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Z:\食研所支援專案繳交資料\11月半成品及日報繳交處\"/>
    </mc:Choice>
  </mc:AlternateContent>
  <xr:revisionPtr revIDLastSave="0" documentId="13_ncr:1_{BC4A609A-292C-423F-B962-9CFDF01FF009}" xr6:coauthVersionLast="47" xr6:coauthVersionMax="47" xr10:uidLastSave="{00000000-0000-0000-0000-000000000000}"/>
  <bookViews>
    <workbookView xWindow="14295" yWindow="0" windowWidth="14610" windowHeight="15585" tabRatio="611" firstSheet="56" activeTab="61" xr2:uid="{00000000-000D-0000-FFFF-FFFF00000000}"/>
  </bookViews>
  <sheets>
    <sheet name="廠價表" sheetId="4" r:id="rId1"/>
    <sheet name="產線配置圖" sheetId="10" r:id="rId2"/>
    <sheet name="1101總" sheetId="127" r:id="rId3"/>
    <sheet name="1101" sheetId="128" r:id="rId4"/>
    <sheet name="1102總 " sheetId="123" r:id="rId5"/>
    <sheet name="1102" sheetId="124" r:id="rId6"/>
    <sheet name="1103總 " sheetId="129" r:id="rId7"/>
    <sheet name="1103" sheetId="130" r:id="rId8"/>
    <sheet name="1104總" sheetId="131" r:id="rId9"/>
    <sheet name="1104" sheetId="132" r:id="rId10"/>
    <sheet name="1105總 " sheetId="133" r:id="rId11"/>
    <sheet name="1105" sheetId="134" r:id="rId12"/>
    <sheet name="1106總" sheetId="135" r:id="rId13"/>
    <sheet name="1106" sheetId="136" r:id="rId14"/>
    <sheet name="1107總" sheetId="137" r:id="rId15"/>
    <sheet name="1107" sheetId="138" r:id="rId16"/>
    <sheet name="1108總" sheetId="139" r:id="rId17"/>
    <sheet name="1108" sheetId="140" r:id="rId18"/>
    <sheet name="1109總" sheetId="141" r:id="rId19"/>
    <sheet name="1109" sheetId="142" r:id="rId20"/>
    <sheet name="1110總" sheetId="143" r:id="rId21"/>
    <sheet name="1110" sheetId="144" r:id="rId22"/>
    <sheet name="1111總 " sheetId="145" r:id="rId23"/>
    <sheet name="1111" sheetId="146" r:id="rId24"/>
    <sheet name="1112總" sheetId="147" r:id="rId25"/>
    <sheet name="1112" sheetId="148" r:id="rId26"/>
    <sheet name="1113總" sheetId="149" r:id="rId27"/>
    <sheet name="1113" sheetId="150" r:id="rId28"/>
    <sheet name="1114總" sheetId="152" r:id="rId29"/>
    <sheet name="1114" sheetId="151" r:id="rId30"/>
    <sheet name="1115總" sheetId="154" r:id="rId31"/>
    <sheet name="1115" sheetId="155" r:id="rId32"/>
    <sheet name="1116總" sheetId="156" r:id="rId33"/>
    <sheet name="1116" sheetId="157" r:id="rId34"/>
    <sheet name="1117總" sheetId="158" r:id="rId35"/>
    <sheet name="1117" sheetId="159" r:id="rId36"/>
    <sheet name="1118總 " sheetId="160" r:id="rId37"/>
    <sheet name="1118" sheetId="161" r:id="rId38"/>
    <sheet name="1119總 " sheetId="162" r:id="rId39"/>
    <sheet name="1119" sheetId="163" r:id="rId40"/>
    <sheet name="1120總" sheetId="164" r:id="rId41"/>
    <sheet name="1120" sheetId="165" r:id="rId42"/>
    <sheet name="1121總 " sheetId="166" r:id="rId43"/>
    <sheet name="1121" sheetId="167" r:id="rId44"/>
    <sheet name="1122總 " sheetId="168" r:id="rId45"/>
    <sheet name="1122" sheetId="169" r:id="rId46"/>
    <sheet name="1123總 " sheetId="170" r:id="rId47"/>
    <sheet name="1123" sheetId="171" r:id="rId48"/>
    <sheet name="1124總" sheetId="172" r:id="rId49"/>
    <sheet name="1124" sheetId="173" r:id="rId50"/>
    <sheet name="1125總" sheetId="174" r:id="rId51"/>
    <sheet name="1125" sheetId="175" r:id="rId52"/>
    <sheet name="1126總 " sheetId="176" r:id="rId53"/>
    <sheet name="1126" sheetId="177" r:id="rId54"/>
    <sheet name="1127總" sheetId="178" r:id="rId55"/>
    <sheet name="1127" sheetId="179" r:id="rId56"/>
    <sheet name="1128總" sheetId="181" r:id="rId57"/>
    <sheet name="1128" sheetId="182" r:id="rId58"/>
    <sheet name="1129總" sheetId="183" r:id="rId59"/>
    <sheet name="1129" sheetId="184" r:id="rId60"/>
    <sheet name="1130總" sheetId="185" r:id="rId61"/>
    <sheet name="1130" sheetId="186" r:id="rId62"/>
  </sheets>
  <definedNames>
    <definedName name="_xlnm._FilterDatabase" localSheetId="3" hidden="1">'1101'!$D$1:$D$92</definedName>
    <definedName name="_xlnm._FilterDatabase" localSheetId="2" hidden="1">'1101總'!$B$10:$J$21</definedName>
    <definedName name="_xlnm._FilterDatabase" localSheetId="5" hidden="1">'1102'!$D$1:$D$92</definedName>
    <definedName name="_xlnm._FilterDatabase" localSheetId="4" hidden="1">'1102總 '!$B$10:$J$21</definedName>
    <definedName name="_xlnm._FilterDatabase" localSheetId="7" hidden="1">'1103'!$D$1:$D$92</definedName>
    <definedName name="_xlnm._FilterDatabase" localSheetId="6" hidden="1">'1103總 '!$B$10:$J$21</definedName>
    <definedName name="_xlnm._FilterDatabase" localSheetId="9" hidden="1">'1104'!$D$1:$D$92</definedName>
    <definedName name="_xlnm._FilterDatabase" localSheetId="8" hidden="1">'1104總'!$B$10:$J$21</definedName>
    <definedName name="_xlnm._FilterDatabase" localSheetId="11" hidden="1">'1105'!$D$1:$D$92</definedName>
    <definedName name="_xlnm._FilterDatabase" localSheetId="10" hidden="1">'1105總 '!$B$10:$J$21</definedName>
    <definedName name="_xlnm._FilterDatabase" localSheetId="13" hidden="1">'1106'!$D$1:$D$92</definedName>
    <definedName name="_xlnm._FilterDatabase" localSheetId="12" hidden="1">'1106總'!$B$10:$J$21</definedName>
    <definedName name="_xlnm._FilterDatabase" localSheetId="15" hidden="1">'1107'!$D$1:$D$92</definedName>
    <definedName name="_xlnm._FilterDatabase" localSheetId="14" hidden="1">'1107總'!$B$10:$J$21</definedName>
    <definedName name="_xlnm._FilterDatabase" localSheetId="17" hidden="1">'1108'!$D$1:$D$92</definedName>
    <definedName name="_xlnm._FilterDatabase" localSheetId="16" hidden="1">'1108總'!$B$10:$J$21</definedName>
    <definedName name="_xlnm._FilterDatabase" localSheetId="19" hidden="1">'1109'!$D$1:$D$92</definedName>
    <definedName name="_xlnm._FilterDatabase" localSheetId="18" hidden="1">'1109總'!$B$10:$J$21</definedName>
    <definedName name="_xlnm._FilterDatabase" localSheetId="21" hidden="1">'1110'!$D$1:$D$92</definedName>
    <definedName name="_xlnm._FilterDatabase" localSheetId="20" hidden="1">'1110總'!$B$10:$J$21</definedName>
    <definedName name="_xlnm._FilterDatabase" localSheetId="23" hidden="1">'1111'!$D$1:$D$92</definedName>
    <definedName name="_xlnm._FilterDatabase" localSheetId="22" hidden="1">'1111總 '!$B$10:$J$21</definedName>
    <definedName name="_xlnm._FilterDatabase" localSheetId="25" hidden="1">'1112'!$D$1:$D$92</definedName>
    <definedName name="_xlnm._FilterDatabase" localSheetId="24" hidden="1">'1112總'!$B$10:$J$21</definedName>
    <definedName name="_xlnm._FilterDatabase" localSheetId="27" hidden="1">'1113'!$D$1:$D$92</definedName>
    <definedName name="_xlnm._FilterDatabase" localSheetId="26" hidden="1">'1113總'!$B$10:$J$21</definedName>
    <definedName name="_xlnm._FilterDatabase" localSheetId="29" hidden="1">'1114'!$D$1:$D$92</definedName>
    <definedName name="_xlnm._FilterDatabase" localSheetId="28" hidden="1">'1114總'!$B$10:$J$21</definedName>
    <definedName name="_xlnm._FilterDatabase" localSheetId="31" hidden="1">'1115'!$D$1:$D$92</definedName>
    <definedName name="_xlnm._FilterDatabase" localSheetId="30" hidden="1">'1115總'!$B$10:$J$21</definedName>
    <definedName name="_xlnm._FilterDatabase" localSheetId="33" hidden="1">'1116'!$D$1:$D$92</definedName>
    <definedName name="_xlnm._FilterDatabase" localSheetId="32" hidden="1">'1116總'!$B$10:$J$21</definedName>
    <definedName name="_xlnm._FilterDatabase" localSheetId="35" hidden="1">'1117'!$D$1:$D$92</definedName>
    <definedName name="_xlnm._FilterDatabase" localSheetId="34" hidden="1">'1117總'!$B$10:$J$21</definedName>
    <definedName name="_xlnm._FilterDatabase" localSheetId="37" hidden="1">'1118'!$D$1:$D$92</definedName>
    <definedName name="_xlnm._FilterDatabase" localSheetId="36" hidden="1">'1118總 '!$B$10:$J$21</definedName>
    <definedName name="_xlnm._FilterDatabase" localSheetId="39" hidden="1">'1119'!$D$1:$D$92</definedName>
    <definedName name="_xlnm._FilterDatabase" localSheetId="38" hidden="1">'1119總 '!$B$10:$J$21</definedName>
    <definedName name="_xlnm._FilterDatabase" localSheetId="41" hidden="1">'1120'!$D$1:$D$92</definedName>
    <definedName name="_xlnm._FilterDatabase" localSheetId="40" hidden="1">'1120總'!$B$10:$J$21</definedName>
    <definedName name="_xlnm._FilterDatabase" localSheetId="43" hidden="1">'1121'!$D$1:$D$92</definedName>
    <definedName name="_xlnm._FilterDatabase" localSheetId="42" hidden="1">'1121總 '!$B$10:$J$21</definedName>
    <definedName name="_xlnm._FilterDatabase" localSheetId="45" hidden="1">'1122'!$D$1:$D$92</definedName>
    <definedName name="_xlnm._FilterDatabase" localSheetId="44" hidden="1">'1122總 '!$B$10:$J$21</definedName>
    <definedName name="_xlnm._FilterDatabase" localSheetId="47" hidden="1">'1123'!$D$1:$D$92</definedName>
    <definedName name="_xlnm._FilterDatabase" localSheetId="46" hidden="1">'1123總 '!$B$10:$J$21</definedName>
    <definedName name="_xlnm._FilterDatabase" localSheetId="49" hidden="1">'1124'!$D$1:$D$92</definedName>
    <definedName name="_xlnm._FilterDatabase" localSheetId="48" hidden="1">'1124總'!$B$10:$J$21</definedName>
    <definedName name="_xlnm._FilterDatabase" localSheetId="51" hidden="1">'1125'!$D$1:$D$92</definedName>
    <definedName name="_xlnm._FilterDatabase" localSheetId="50" hidden="1">'1125總'!$B$10:$J$21</definedName>
    <definedName name="_xlnm._FilterDatabase" localSheetId="53" hidden="1">'1126'!$D$1:$D$92</definedName>
    <definedName name="_xlnm._FilterDatabase" localSheetId="52" hidden="1">'1126總 '!$B$10:$J$21</definedName>
    <definedName name="_xlnm._FilterDatabase" localSheetId="55" hidden="1">'1127'!$D$1:$D$92</definedName>
    <definedName name="_xlnm._FilterDatabase" localSheetId="54" hidden="1">'1127總'!$B$10:$J$21</definedName>
    <definedName name="_xlnm._FilterDatabase" localSheetId="57" hidden="1">'1128'!$D$1:$D$92</definedName>
    <definedName name="_xlnm._FilterDatabase" localSheetId="56" hidden="1">'1128總'!$B$10:$J$21</definedName>
    <definedName name="_xlnm._FilterDatabase" localSheetId="59" hidden="1">'1129'!$D$1:$D$92</definedName>
    <definedName name="_xlnm._FilterDatabase" localSheetId="58" hidden="1">'1129總'!$B$10:$J$21</definedName>
    <definedName name="_xlnm._FilterDatabase" localSheetId="61" hidden="1">'1130'!$D$1:$D$92</definedName>
    <definedName name="_xlnm._FilterDatabase" localSheetId="60" hidden="1">'1130總'!$B$10:$J$21</definedName>
    <definedName name="_xlnm.Print_Area" localSheetId="3">'1101'!$A$1:$AD$79</definedName>
    <definedName name="_xlnm.Print_Area" localSheetId="5">'1102'!$A$1:$AD$79</definedName>
    <definedName name="_xlnm.Print_Area" localSheetId="7">'1103'!$A$1:$AD$79</definedName>
    <definedName name="_xlnm.Print_Area" localSheetId="9">'1104'!$A$1:$AD$79</definedName>
    <definedName name="_xlnm.Print_Area" localSheetId="11">'1105'!$A$1:$AD$79</definedName>
    <definedName name="_xlnm.Print_Area" localSheetId="13">'1106'!$A$1:$AD$79</definedName>
    <definedName name="_xlnm.Print_Area" localSheetId="15">'1107'!$A$1:$AD$79</definedName>
    <definedName name="_xlnm.Print_Area" localSheetId="17">'1108'!$A$1:$AD$79</definedName>
    <definedName name="_xlnm.Print_Area" localSheetId="19">'1109'!$A$1:$AD$79</definedName>
    <definedName name="_xlnm.Print_Area" localSheetId="21">'1110'!$A$1:$AD$79</definedName>
    <definedName name="_xlnm.Print_Area" localSheetId="23">'1111'!$A$1:$AD$79</definedName>
    <definedName name="_xlnm.Print_Area" localSheetId="25">'1112'!$A$1:$AD$79</definedName>
    <definedName name="_xlnm.Print_Area" localSheetId="27">'1113'!$A$1:$AD$79</definedName>
    <definedName name="_xlnm.Print_Area" localSheetId="29">'1114'!$A$1:$AD$79</definedName>
    <definedName name="_xlnm.Print_Area" localSheetId="31">'1115'!$A$1:$AD$79</definedName>
    <definedName name="_xlnm.Print_Area" localSheetId="33">'1116'!$A$1:$AD$79</definedName>
    <definedName name="_xlnm.Print_Area" localSheetId="35">'1117'!$A$1:$AD$79</definedName>
    <definedName name="_xlnm.Print_Area" localSheetId="37">'1118'!$A$1:$AD$79</definedName>
    <definedName name="_xlnm.Print_Area" localSheetId="39">'1119'!$A$1:$AD$79</definedName>
    <definedName name="_xlnm.Print_Area" localSheetId="41">'1120'!$A$1:$AD$79</definedName>
    <definedName name="_xlnm.Print_Area" localSheetId="43">'1121'!$A$1:$AD$79</definedName>
    <definedName name="_xlnm.Print_Area" localSheetId="45">'1122'!$A$1:$AD$79</definedName>
    <definedName name="_xlnm.Print_Area" localSheetId="47">'1123'!$A$1:$AD$79</definedName>
    <definedName name="_xlnm.Print_Area" localSheetId="49">'1124'!$A$1:$AD$79</definedName>
    <definedName name="_xlnm.Print_Area" localSheetId="51">'1125'!$A$1:$AD$79</definedName>
    <definedName name="_xlnm.Print_Area" localSheetId="53">'1126'!$A$1:$AD$79</definedName>
    <definedName name="_xlnm.Print_Area" localSheetId="55">'1127'!$A$1:$AD$79</definedName>
    <definedName name="_xlnm.Print_Area" localSheetId="57">'1128'!$A$1:$AD$79</definedName>
    <definedName name="_xlnm.Print_Area" localSheetId="59">'1129'!$A$1:$AD$79</definedName>
    <definedName name="_xlnm.Print_Area" localSheetId="61">'1130'!$A$1:$AD$79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2" i="184" l="1"/>
  <c r="V53" i="184"/>
  <c r="V52" i="186"/>
  <c r="AB41" i="186"/>
  <c r="AC41" i="186"/>
  <c r="V19" i="186"/>
  <c r="V20" i="186"/>
  <c r="J19" i="186"/>
  <c r="K19" i="186"/>
  <c r="L19" i="186" s="1"/>
  <c r="P19" i="186"/>
  <c r="J20" i="186"/>
  <c r="P20" i="186" s="1"/>
  <c r="K20" i="186"/>
  <c r="L20" i="186" s="1"/>
  <c r="F19" i="186"/>
  <c r="H19" i="186" s="1"/>
  <c r="F20" i="186"/>
  <c r="H20" i="186" s="1"/>
  <c r="B19" i="186"/>
  <c r="B20" i="186"/>
  <c r="V9" i="186"/>
  <c r="W9" i="186"/>
  <c r="J9" i="186"/>
  <c r="P9" i="186" s="1"/>
  <c r="K9" i="186"/>
  <c r="L9" i="186" s="1"/>
  <c r="N9" i="186"/>
  <c r="AC9" i="186" s="1"/>
  <c r="F9" i="186"/>
  <c r="H9" i="186" s="1"/>
  <c r="B9" i="186"/>
  <c r="AC79" i="186"/>
  <c r="AB79" i="186"/>
  <c r="J79" i="186"/>
  <c r="W78" i="186"/>
  <c r="H78" i="186"/>
  <c r="W77" i="186"/>
  <c r="H77" i="186"/>
  <c r="W76" i="186"/>
  <c r="H76" i="186"/>
  <c r="W75" i="186"/>
  <c r="H75" i="186"/>
  <c r="W74" i="186"/>
  <c r="H74" i="186"/>
  <c r="W73" i="186"/>
  <c r="W72" i="186"/>
  <c r="W71" i="186"/>
  <c r="AD70" i="186"/>
  <c r="AC70" i="186"/>
  <c r="AB70" i="186"/>
  <c r="W70" i="186"/>
  <c r="S70" i="186"/>
  <c r="M69" i="186"/>
  <c r="P69" i="186" s="1"/>
  <c r="W68" i="186"/>
  <c r="H68" i="186"/>
  <c r="W67" i="186"/>
  <c r="H67" i="186"/>
  <c r="W66" i="186"/>
  <c r="H66" i="186"/>
  <c r="W65" i="186"/>
  <c r="W64" i="186"/>
  <c r="AC63" i="186"/>
  <c r="AB63" i="186"/>
  <c r="W63" i="186"/>
  <c r="AC62" i="186"/>
  <c r="AB62" i="186"/>
  <c r="W62" i="186"/>
  <c r="W61" i="186"/>
  <c r="N61" i="186" s="1"/>
  <c r="V61" i="186"/>
  <c r="K61" i="186"/>
  <c r="J61" i="186"/>
  <c r="P61" i="186" s="1"/>
  <c r="F61" i="186"/>
  <c r="H61" i="186" s="1"/>
  <c r="B61" i="186"/>
  <c r="W60" i="186"/>
  <c r="N60" i="186" s="1"/>
  <c r="V60" i="186"/>
  <c r="P60" i="186"/>
  <c r="K60" i="186"/>
  <c r="L60" i="186" s="1"/>
  <c r="J60" i="186"/>
  <c r="F60" i="186"/>
  <c r="H60" i="186" s="1"/>
  <c r="B60" i="186"/>
  <c r="W59" i="186"/>
  <c r="N59" i="186" s="1"/>
  <c r="K59" i="186"/>
  <c r="J59" i="186"/>
  <c r="J69" i="186" s="1"/>
  <c r="F59" i="186"/>
  <c r="H59" i="186" s="1"/>
  <c r="B59" i="186"/>
  <c r="M58" i="186"/>
  <c r="H18" i="185" s="1"/>
  <c r="W57" i="186"/>
  <c r="H57" i="186"/>
  <c r="W56" i="186"/>
  <c r="H56" i="186"/>
  <c r="W55" i="186"/>
  <c r="H55" i="186"/>
  <c r="W54" i="186"/>
  <c r="H54" i="186"/>
  <c r="W53" i="186"/>
  <c r="W52" i="186"/>
  <c r="N52" i="186" s="1"/>
  <c r="O52" i="186" s="1"/>
  <c r="K52" i="186"/>
  <c r="J52" i="186"/>
  <c r="P52" i="186" s="1"/>
  <c r="F52" i="186"/>
  <c r="H52" i="186" s="1"/>
  <c r="B52" i="186"/>
  <c r="W51" i="186"/>
  <c r="N51" i="186" s="1"/>
  <c r="V51" i="186"/>
  <c r="K51" i="186"/>
  <c r="J51" i="186"/>
  <c r="P51" i="186" s="1"/>
  <c r="F51" i="186"/>
  <c r="H51" i="186" s="1"/>
  <c r="B51" i="186"/>
  <c r="W50" i="186"/>
  <c r="N50" i="186" s="1"/>
  <c r="V50" i="186"/>
  <c r="K50" i="186"/>
  <c r="J50" i="186"/>
  <c r="P50" i="186" s="1"/>
  <c r="F50" i="186"/>
  <c r="H50" i="186" s="1"/>
  <c r="B50" i="186"/>
  <c r="W49" i="186"/>
  <c r="N49" i="186" s="1"/>
  <c r="AC49" i="186" s="1"/>
  <c r="K49" i="186"/>
  <c r="J49" i="186"/>
  <c r="F49" i="186"/>
  <c r="H49" i="186" s="1"/>
  <c r="B49" i="186"/>
  <c r="W48" i="186"/>
  <c r="M48" i="186"/>
  <c r="G18" i="185" s="1"/>
  <c r="W47" i="186"/>
  <c r="H47" i="186"/>
  <c r="W46" i="186"/>
  <c r="H46" i="186"/>
  <c r="W45" i="186"/>
  <c r="H45" i="186"/>
  <c r="W44" i="186"/>
  <c r="H44" i="186"/>
  <c r="W43" i="186"/>
  <c r="H43" i="186"/>
  <c r="W42" i="186"/>
  <c r="W41" i="186"/>
  <c r="N41" i="186" s="1"/>
  <c r="O41" i="186" s="1"/>
  <c r="V41" i="186"/>
  <c r="K41" i="186"/>
  <c r="L41" i="186" s="1"/>
  <c r="J41" i="186"/>
  <c r="P41" i="186" s="1"/>
  <c r="F41" i="186"/>
  <c r="H41" i="186" s="1"/>
  <c r="W40" i="186"/>
  <c r="N40" i="186" s="1"/>
  <c r="V40" i="186"/>
  <c r="K40" i="186"/>
  <c r="J40" i="186"/>
  <c r="J48" i="186" s="1"/>
  <c r="F40" i="186"/>
  <c r="H40" i="186" s="1"/>
  <c r="W39" i="186"/>
  <c r="N39" i="186" s="1"/>
  <c r="AC39" i="186" s="1"/>
  <c r="V39" i="186"/>
  <c r="P39" i="186"/>
  <c r="K39" i="186"/>
  <c r="F39" i="186"/>
  <c r="H39" i="186" s="1"/>
  <c r="W38" i="186"/>
  <c r="N38" i="186" s="1"/>
  <c r="P38" i="186"/>
  <c r="L38" i="186"/>
  <c r="F38" i="186"/>
  <c r="H38" i="186" s="1"/>
  <c r="M37" i="186"/>
  <c r="F18" i="185" s="1"/>
  <c r="W36" i="186"/>
  <c r="H36" i="186"/>
  <c r="W35" i="186"/>
  <c r="H35" i="186"/>
  <c r="W34" i="186"/>
  <c r="H34" i="186"/>
  <c r="W33" i="186"/>
  <c r="H33" i="186"/>
  <c r="W32" i="186"/>
  <c r="W31" i="186"/>
  <c r="W30" i="186"/>
  <c r="N30" i="186" s="1"/>
  <c r="O30" i="186" s="1"/>
  <c r="V30" i="186"/>
  <c r="K30" i="186"/>
  <c r="J30" i="186"/>
  <c r="P30" i="186" s="1"/>
  <c r="F30" i="186"/>
  <c r="H30" i="186" s="1"/>
  <c r="B30" i="186"/>
  <c r="W29" i="186"/>
  <c r="V29" i="186"/>
  <c r="N29" i="186"/>
  <c r="K29" i="186"/>
  <c r="J29" i="186"/>
  <c r="P29" i="186" s="1"/>
  <c r="F29" i="186"/>
  <c r="H29" i="186" s="1"/>
  <c r="B29" i="186"/>
  <c r="W28" i="186"/>
  <c r="N28" i="186" s="1"/>
  <c r="V28" i="186"/>
  <c r="P28" i="186"/>
  <c r="K28" i="186"/>
  <c r="L28" i="186" s="1"/>
  <c r="J28" i="186"/>
  <c r="F28" i="186"/>
  <c r="H28" i="186" s="1"/>
  <c r="B28" i="186"/>
  <c r="W27" i="186"/>
  <c r="N27" i="186" s="1"/>
  <c r="K27" i="186"/>
  <c r="J27" i="186"/>
  <c r="P27" i="186" s="1"/>
  <c r="F27" i="186"/>
  <c r="H27" i="186" s="1"/>
  <c r="M26" i="186"/>
  <c r="E18" i="185" s="1"/>
  <c r="W25" i="186"/>
  <c r="H25" i="186"/>
  <c r="W24" i="186"/>
  <c r="H24" i="186"/>
  <c r="W23" i="186"/>
  <c r="H22" i="186"/>
  <c r="W21" i="186"/>
  <c r="W20" i="186"/>
  <c r="N20" i="186" s="1"/>
  <c r="W19" i="186"/>
  <c r="N19" i="186" s="1"/>
  <c r="W18" i="186"/>
  <c r="N18" i="186" s="1"/>
  <c r="V18" i="186"/>
  <c r="K18" i="186"/>
  <c r="J18" i="186"/>
  <c r="P18" i="186" s="1"/>
  <c r="F18" i="186"/>
  <c r="H18" i="186" s="1"/>
  <c r="B18" i="186"/>
  <c r="W17" i="186"/>
  <c r="N17" i="186" s="1"/>
  <c r="AC17" i="186" s="1"/>
  <c r="V17" i="186"/>
  <c r="K17" i="186"/>
  <c r="J17" i="186"/>
  <c r="P17" i="186" s="1"/>
  <c r="F17" i="186"/>
  <c r="H17" i="186" s="1"/>
  <c r="B17" i="186"/>
  <c r="W16" i="186"/>
  <c r="N16" i="186" s="1"/>
  <c r="K16" i="186"/>
  <c r="J16" i="186"/>
  <c r="P16" i="186" s="1"/>
  <c r="F16" i="186"/>
  <c r="H16" i="186" s="1"/>
  <c r="B16" i="186"/>
  <c r="M15" i="186"/>
  <c r="W14" i="186"/>
  <c r="W13" i="186"/>
  <c r="W12" i="186"/>
  <c r="H12" i="186"/>
  <c r="W11" i="186"/>
  <c r="H11" i="186"/>
  <c r="W10" i="186"/>
  <c r="W8" i="186"/>
  <c r="N8" i="186" s="1"/>
  <c r="V8" i="186"/>
  <c r="K8" i="186"/>
  <c r="J8" i="186"/>
  <c r="P8" i="186" s="1"/>
  <c r="F8" i="186"/>
  <c r="H8" i="186" s="1"/>
  <c r="B8" i="186"/>
  <c r="W7" i="186"/>
  <c r="N7" i="186" s="1"/>
  <c r="V7" i="186"/>
  <c r="K7" i="186"/>
  <c r="J7" i="186"/>
  <c r="P7" i="186" s="1"/>
  <c r="F7" i="186"/>
  <c r="H7" i="186" s="1"/>
  <c r="B7" i="186"/>
  <c r="W6" i="186"/>
  <c r="N6" i="186" s="1"/>
  <c r="V6" i="186"/>
  <c r="J6" i="186"/>
  <c r="P6" i="186" s="1"/>
  <c r="F6" i="186"/>
  <c r="H6" i="186" s="1"/>
  <c r="B6" i="186"/>
  <c r="W5" i="186"/>
  <c r="N5" i="186"/>
  <c r="K5" i="186"/>
  <c r="J5" i="186"/>
  <c r="F5" i="186"/>
  <c r="H5" i="186" s="1"/>
  <c r="B5" i="186"/>
  <c r="I2" i="186"/>
  <c r="E1" i="186"/>
  <c r="G3" i="185" s="1"/>
  <c r="I16" i="185"/>
  <c r="H16" i="185"/>
  <c r="G16" i="185"/>
  <c r="F16" i="185"/>
  <c r="E16" i="185"/>
  <c r="D16" i="185"/>
  <c r="V31" i="184"/>
  <c r="J52" i="184"/>
  <c r="P52" i="184" s="1"/>
  <c r="K52" i="184"/>
  <c r="L52" i="184" s="1"/>
  <c r="J53" i="184"/>
  <c r="P53" i="184" s="1"/>
  <c r="K53" i="184"/>
  <c r="L53" i="184" s="1"/>
  <c r="F52" i="184"/>
  <c r="H52" i="184" s="1"/>
  <c r="F53" i="184"/>
  <c r="H53" i="184" s="1"/>
  <c r="B52" i="184"/>
  <c r="B53" i="184"/>
  <c r="F31" i="184"/>
  <c r="H31" i="184"/>
  <c r="K31" i="184"/>
  <c r="B31" i="184"/>
  <c r="O20" i="186" l="1"/>
  <c r="AB20" i="186"/>
  <c r="AC20" i="186"/>
  <c r="L18" i="186"/>
  <c r="AC60" i="186"/>
  <c r="L7" i="186"/>
  <c r="L16" i="186"/>
  <c r="L59" i="186"/>
  <c r="L49" i="186"/>
  <c r="L61" i="186"/>
  <c r="L69" i="186" s="1"/>
  <c r="I13" i="185" s="1"/>
  <c r="J6" i="185" s="1"/>
  <c r="L40" i="186"/>
  <c r="L29" i="186"/>
  <c r="AC29" i="186"/>
  <c r="AC30" i="186"/>
  <c r="L50" i="186"/>
  <c r="L30" i="186"/>
  <c r="L5" i="186"/>
  <c r="AC5" i="186"/>
  <c r="K37" i="186"/>
  <c r="P59" i="186"/>
  <c r="I18" i="185"/>
  <c r="L8" i="186"/>
  <c r="AB30" i="186"/>
  <c r="O9" i="186"/>
  <c r="Q9" i="186" s="1"/>
  <c r="O39" i="186"/>
  <c r="AB9" i="186"/>
  <c r="L52" i="186"/>
  <c r="L51" i="186"/>
  <c r="J58" i="186"/>
  <c r="P58" i="186" s="1"/>
  <c r="K48" i="186"/>
  <c r="AC40" i="186"/>
  <c r="P40" i="186"/>
  <c r="L39" i="186"/>
  <c r="Q39" i="186" s="1"/>
  <c r="AB39" i="186"/>
  <c r="O19" i="186"/>
  <c r="R19" i="186" s="1"/>
  <c r="AC19" i="186"/>
  <c r="AB19" i="186"/>
  <c r="Q20" i="186"/>
  <c r="R20" i="186"/>
  <c r="J26" i="186"/>
  <c r="P26" i="186" s="1"/>
  <c r="K26" i="186"/>
  <c r="AB8" i="186"/>
  <c r="J15" i="186"/>
  <c r="P15" i="186" s="1"/>
  <c r="O7" i="186"/>
  <c r="AB7" i="186"/>
  <c r="AC7" i="186"/>
  <c r="O6" i="186"/>
  <c r="AC6" i="186"/>
  <c r="AB6" i="186"/>
  <c r="R30" i="186"/>
  <c r="Q30" i="186"/>
  <c r="O38" i="186"/>
  <c r="N48" i="186"/>
  <c r="AC38" i="186"/>
  <c r="AB38" i="186"/>
  <c r="P48" i="186"/>
  <c r="AC18" i="186"/>
  <c r="AB18" i="186"/>
  <c r="O18" i="186"/>
  <c r="G1" i="186"/>
  <c r="R52" i="186"/>
  <c r="Q52" i="186"/>
  <c r="O59" i="186"/>
  <c r="N69" i="186"/>
  <c r="AC59" i="186"/>
  <c r="AB59" i="186"/>
  <c r="O16" i="186"/>
  <c r="AC16" i="186"/>
  <c r="N26" i="186"/>
  <c r="AB16" i="186"/>
  <c r="O28" i="186"/>
  <c r="AC28" i="186"/>
  <c r="AB28" i="186"/>
  <c r="O51" i="186"/>
  <c r="AC51" i="186"/>
  <c r="AB51" i="186"/>
  <c r="O50" i="186"/>
  <c r="AC50" i="186"/>
  <c r="AB50" i="186"/>
  <c r="R41" i="186"/>
  <c r="Q41" i="186"/>
  <c r="N37" i="186"/>
  <c r="AC27" i="186"/>
  <c r="O27" i="186"/>
  <c r="AB27" i="186"/>
  <c r="O61" i="186"/>
  <c r="AC61" i="186"/>
  <c r="AB61" i="186"/>
  <c r="O17" i="186"/>
  <c r="L27" i="186"/>
  <c r="I1" i="186"/>
  <c r="P5" i="186"/>
  <c r="L6" i="186"/>
  <c r="P49" i="186"/>
  <c r="K69" i="186"/>
  <c r="O60" i="186"/>
  <c r="O5" i="186"/>
  <c r="O49" i="186"/>
  <c r="K15" i="186"/>
  <c r="K58" i="186"/>
  <c r="O8" i="186"/>
  <c r="L17" i="186"/>
  <c r="L26" i="186" s="1"/>
  <c r="E13" i="185" s="1"/>
  <c r="O29" i="186"/>
  <c r="O40" i="186"/>
  <c r="AB29" i="186"/>
  <c r="J37" i="186"/>
  <c r="P37" i="186" s="1"/>
  <c r="AB52" i="186"/>
  <c r="AC8" i="186"/>
  <c r="AB40" i="186"/>
  <c r="AC52" i="186"/>
  <c r="D18" i="185"/>
  <c r="N15" i="186"/>
  <c r="AB17" i="186"/>
  <c r="N58" i="186"/>
  <c r="AB60" i="186"/>
  <c r="AB5" i="186"/>
  <c r="AB49" i="186"/>
  <c r="L31" i="184"/>
  <c r="P31" i="184"/>
  <c r="L48" i="186" l="1"/>
  <c r="G13" i="185" s="1"/>
  <c r="R9" i="186"/>
  <c r="L58" i="186"/>
  <c r="H13" i="185" s="1"/>
  <c r="L37" i="186"/>
  <c r="F13" i="185" s="1"/>
  <c r="R39" i="186"/>
  <c r="L15" i="186"/>
  <c r="D13" i="185" s="1"/>
  <c r="Q19" i="186"/>
  <c r="H6" i="185"/>
  <c r="F6" i="185"/>
  <c r="J3" i="185"/>
  <c r="G2" i="186"/>
  <c r="AB58" i="186"/>
  <c r="AC58" i="186"/>
  <c r="AD49" i="186" s="1"/>
  <c r="Q58" i="186"/>
  <c r="Q28" i="186"/>
  <c r="R28" i="186"/>
  <c r="AC15" i="186"/>
  <c r="AD5" i="186" s="1"/>
  <c r="AB15" i="186"/>
  <c r="R17" i="186"/>
  <c r="Q17" i="186"/>
  <c r="AC26" i="186"/>
  <c r="AD16" i="186" s="1"/>
  <c r="AB26" i="186"/>
  <c r="Q51" i="186"/>
  <c r="R51" i="186"/>
  <c r="R6" i="186"/>
  <c r="Q6" i="186"/>
  <c r="Q40" i="186"/>
  <c r="R40" i="186"/>
  <c r="Q8" i="186"/>
  <c r="R8" i="186"/>
  <c r="O58" i="186"/>
  <c r="R49" i="186"/>
  <c r="Q49" i="186"/>
  <c r="R50" i="186"/>
  <c r="Q50" i="186"/>
  <c r="O15" i="186"/>
  <c r="R5" i="186"/>
  <c r="Q5" i="186"/>
  <c r="R61" i="186"/>
  <c r="Q61" i="186"/>
  <c r="AB37" i="186"/>
  <c r="AC37" i="186"/>
  <c r="AD27" i="186" s="1"/>
  <c r="Q37" i="186"/>
  <c r="R29" i="186"/>
  <c r="Q29" i="186"/>
  <c r="R18" i="186"/>
  <c r="Q18" i="186"/>
  <c r="R16" i="186"/>
  <c r="Q16" i="186"/>
  <c r="O26" i="186"/>
  <c r="R60" i="186"/>
  <c r="Q60" i="186"/>
  <c r="AC48" i="186"/>
  <c r="AD38" i="186" s="1"/>
  <c r="AB48" i="186"/>
  <c r="Q48" i="186"/>
  <c r="Q27" i="186"/>
  <c r="O37" i="186"/>
  <c r="R27" i="186"/>
  <c r="Q69" i="186"/>
  <c r="AC69" i="186"/>
  <c r="AD59" i="186" s="1"/>
  <c r="AB69" i="186"/>
  <c r="R38" i="186"/>
  <c r="O48" i="186"/>
  <c r="Q38" i="186"/>
  <c r="O69" i="186"/>
  <c r="R59" i="186"/>
  <c r="Q59" i="186"/>
  <c r="R7" i="186"/>
  <c r="Q7" i="186"/>
  <c r="H14" i="185" l="1"/>
  <c r="H15" i="185" s="1"/>
  <c r="R58" i="186"/>
  <c r="S49" i="186" s="1"/>
  <c r="I14" i="185"/>
  <c r="R69" i="186"/>
  <c r="S59" i="186" s="1"/>
  <c r="G14" i="185"/>
  <c r="G15" i="185" s="1"/>
  <c r="R48" i="186"/>
  <c r="S38" i="186" s="1"/>
  <c r="R26" i="186"/>
  <c r="S16" i="186" s="1"/>
  <c r="Q26" i="186"/>
  <c r="E14" i="185"/>
  <c r="E15" i="185" s="1"/>
  <c r="Q15" i="186"/>
  <c r="R15" i="186"/>
  <c r="S5" i="186" s="1"/>
  <c r="E2" i="186"/>
  <c r="D14" i="185"/>
  <c r="R37" i="186"/>
  <c r="S27" i="186" s="1"/>
  <c r="F14" i="185"/>
  <c r="F15" i="185" s="1"/>
  <c r="D15" i="185" l="1"/>
  <c r="F7" i="185"/>
  <c r="H7" i="185"/>
  <c r="I15" i="185"/>
  <c r="J8" i="185" s="1"/>
  <c r="J7" i="185"/>
  <c r="H8" i="185" l="1"/>
  <c r="F8" i="185"/>
  <c r="AC79" i="184" l="1"/>
  <c r="AB79" i="184"/>
  <c r="J79" i="184"/>
  <c r="W78" i="184"/>
  <c r="H78" i="184"/>
  <c r="W77" i="184"/>
  <c r="H77" i="184"/>
  <c r="W76" i="184"/>
  <c r="H76" i="184"/>
  <c r="W75" i="184"/>
  <c r="H75" i="184"/>
  <c r="W74" i="184"/>
  <c r="H74" i="184"/>
  <c r="W73" i="184"/>
  <c r="W72" i="184"/>
  <c r="W71" i="184"/>
  <c r="AD70" i="184"/>
  <c r="AC70" i="184"/>
  <c r="AB70" i="184"/>
  <c r="W70" i="184"/>
  <c r="S70" i="184"/>
  <c r="M69" i="184"/>
  <c r="W68" i="184"/>
  <c r="H68" i="184"/>
  <c r="W67" i="184"/>
  <c r="H67" i="184"/>
  <c r="W66" i="184"/>
  <c r="H66" i="184"/>
  <c r="W65" i="184"/>
  <c r="W64" i="184"/>
  <c r="AC63" i="184"/>
  <c r="AB63" i="184"/>
  <c r="W63" i="184"/>
  <c r="AC62" i="184"/>
  <c r="AB62" i="184"/>
  <c r="W62" i="184"/>
  <c r="W61" i="184"/>
  <c r="V61" i="184"/>
  <c r="N61" i="184"/>
  <c r="O61" i="184" s="1"/>
  <c r="K61" i="184"/>
  <c r="J61" i="184"/>
  <c r="P61" i="184" s="1"/>
  <c r="F61" i="184"/>
  <c r="H61" i="184" s="1"/>
  <c r="B61" i="184"/>
  <c r="W60" i="184"/>
  <c r="N60" i="184" s="1"/>
  <c r="V60" i="184"/>
  <c r="K60" i="184"/>
  <c r="J60" i="184"/>
  <c r="P60" i="184" s="1"/>
  <c r="F60" i="184"/>
  <c r="H60" i="184" s="1"/>
  <c r="B60" i="184"/>
  <c r="W59" i="184"/>
  <c r="N59" i="184" s="1"/>
  <c r="K59" i="184"/>
  <c r="J59" i="184"/>
  <c r="J69" i="184" s="1"/>
  <c r="F59" i="184"/>
  <c r="H59" i="184" s="1"/>
  <c r="B59" i="184"/>
  <c r="M58" i="184"/>
  <c r="H18" i="183" s="1"/>
  <c r="W57" i="184"/>
  <c r="H57" i="184"/>
  <c r="W56" i="184"/>
  <c r="H56" i="184"/>
  <c r="W55" i="184"/>
  <c r="H55" i="184"/>
  <c r="W54" i="184"/>
  <c r="H54" i="184"/>
  <c r="W53" i="184"/>
  <c r="N53" i="184" s="1"/>
  <c r="O53" i="184" s="1"/>
  <c r="W52" i="184"/>
  <c r="N52" i="184" s="1"/>
  <c r="O52" i="184" s="1"/>
  <c r="W51" i="184"/>
  <c r="N51" i="184" s="1"/>
  <c r="V51" i="184"/>
  <c r="K51" i="184"/>
  <c r="J51" i="184"/>
  <c r="P51" i="184" s="1"/>
  <c r="F51" i="184"/>
  <c r="H51" i="184" s="1"/>
  <c r="B51" i="184"/>
  <c r="W50" i="184"/>
  <c r="N50" i="184" s="1"/>
  <c r="V50" i="184"/>
  <c r="K50" i="184"/>
  <c r="J50" i="184"/>
  <c r="P50" i="184" s="1"/>
  <c r="F50" i="184"/>
  <c r="H50" i="184" s="1"/>
  <c r="B50" i="184"/>
  <c r="W49" i="184"/>
  <c r="N49" i="184" s="1"/>
  <c r="K49" i="184"/>
  <c r="L49" i="184" s="1"/>
  <c r="J49" i="184"/>
  <c r="P49" i="184" s="1"/>
  <c r="F49" i="184"/>
  <c r="H49" i="184" s="1"/>
  <c r="B49" i="184"/>
  <c r="W48" i="184"/>
  <c r="M48" i="184"/>
  <c r="W47" i="184"/>
  <c r="H47" i="184"/>
  <c r="W46" i="184"/>
  <c r="H46" i="184"/>
  <c r="W45" i="184"/>
  <c r="H45" i="184"/>
  <c r="W44" i="184"/>
  <c r="H44" i="184"/>
  <c r="W43" i="184"/>
  <c r="H43" i="184"/>
  <c r="W42" i="184"/>
  <c r="W41" i="184"/>
  <c r="N41" i="184" s="1"/>
  <c r="O41" i="184" s="1"/>
  <c r="V41" i="184"/>
  <c r="K41" i="184"/>
  <c r="L41" i="184" s="1"/>
  <c r="J41" i="184"/>
  <c r="P41" i="184" s="1"/>
  <c r="F41" i="184"/>
  <c r="H41" i="184" s="1"/>
  <c r="W40" i="184"/>
  <c r="N40" i="184" s="1"/>
  <c r="V40" i="184"/>
  <c r="K40" i="184"/>
  <c r="J40" i="184"/>
  <c r="J48" i="184" s="1"/>
  <c r="H40" i="184"/>
  <c r="F40" i="184"/>
  <c r="W39" i="184"/>
  <c r="N39" i="184" s="1"/>
  <c r="V39" i="184"/>
  <c r="K39" i="184"/>
  <c r="P39" i="184"/>
  <c r="F39" i="184"/>
  <c r="H39" i="184" s="1"/>
  <c r="W38" i="184"/>
  <c r="N38" i="184" s="1"/>
  <c r="P38" i="184"/>
  <c r="L38" i="184"/>
  <c r="F38" i="184"/>
  <c r="H38" i="184" s="1"/>
  <c r="M37" i="184"/>
  <c r="F18" i="183" s="1"/>
  <c r="W36" i="184"/>
  <c r="H36" i="184"/>
  <c r="W35" i="184"/>
  <c r="H35" i="184"/>
  <c r="W34" i="184"/>
  <c r="H34" i="184"/>
  <c r="W33" i="184"/>
  <c r="H33" i="184"/>
  <c r="W32" i="184"/>
  <c r="W31" i="184"/>
  <c r="N31" i="184" s="1"/>
  <c r="O31" i="184" s="1"/>
  <c r="W30" i="184"/>
  <c r="N30" i="184" s="1"/>
  <c r="O30" i="184" s="1"/>
  <c r="V30" i="184"/>
  <c r="P30" i="184"/>
  <c r="K30" i="184"/>
  <c r="J30" i="184"/>
  <c r="F30" i="184"/>
  <c r="H30" i="184" s="1"/>
  <c r="B30" i="184"/>
  <c r="W29" i="184"/>
  <c r="N29" i="184" s="1"/>
  <c r="V29" i="184"/>
  <c r="K29" i="184"/>
  <c r="L29" i="184" s="1"/>
  <c r="J29" i="184"/>
  <c r="P29" i="184" s="1"/>
  <c r="F29" i="184"/>
  <c r="H29" i="184" s="1"/>
  <c r="B29" i="184"/>
  <c r="W28" i="184"/>
  <c r="N28" i="184" s="1"/>
  <c r="O28" i="184" s="1"/>
  <c r="V28" i="184"/>
  <c r="K28" i="184"/>
  <c r="J28" i="184"/>
  <c r="P28" i="184" s="1"/>
  <c r="F28" i="184"/>
  <c r="H28" i="184" s="1"/>
  <c r="B28" i="184"/>
  <c r="W27" i="184"/>
  <c r="P27" i="184"/>
  <c r="N27" i="184"/>
  <c r="AC27" i="184" s="1"/>
  <c r="L27" i="184"/>
  <c r="K27" i="184"/>
  <c r="J27" i="184"/>
  <c r="F27" i="184"/>
  <c r="H27" i="184" s="1"/>
  <c r="M26" i="184"/>
  <c r="W25" i="184"/>
  <c r="H25" i="184"/>
  <c r="W24" i="184"/>
  <c r="H24" i="184"/>
  <c r="W23" i="184"/>
  <c r="H22" i="184"/>
  <c r="W21" i="184"/>
  <c r="W20" i="184"/>
  <c r="AC19" i="184"/>
  <c r="W19" i="184"/>
  <c r="AB19" i="184"/>
  <c r="W18" i="184"/>
  <c r="N18" i="184" s="1"/>
  <c r="O18" i="184" s="1"/>
  <c r="V18" i="184"/>
  <c r="K18" i="184"/>
  <c r="L18" i="184" s="1"/>
  <c r="J18" i="184"/>
  <c r="P18" i="184" s="1"/>
  <c r="F18" i="184"/>
  <c r="H18" i="184" s="1"/>
  <c r="B18" i="184"/>
  <c r="W17" i="184"/>
  <c r="N17" i="184" s="1"/>
  <c r="V17" i="184"/>
  <c r="K17" i="184"/>
  <c r="J17" i="184"/>
  <c r="P17" i="184" s="1"/>
  <c r="F17" i="184"/>
  <c r="H17" i="184" s="1"/>
  <c r="B17" i="184"/>
  <c r="W16" i="184"/>
  <c r="N16" i="184" s="1"/>
  <c r="K16" i="184"/>
  <c r="K26" i="184" s="1"/>
  <c r="J16" i="184"/>
  <c r="J26" i="184" s="1"/>
  <c r="F16" i="184"/>
  <c r="H16" i="184" s="1"/>
  <c r="B16" i="184"/>
  <c r="M15" i="184"/>
  <c r="W14" i="184"/>
  <c r="W13" i="184"/>
  <c r="W12" i="184"/>
  <c r="H12" i="184"/>
  <c r="W11" i="184"/>
  <c r="H11" i="184"/>
  <c r="W10" i="184"/>
  <c r="W9" i="184"/>
  <c r="W8" i="184"/>
  <c r="N8" i="184" s="1"/>
  <c r="V8" i="184"/>
  <c r="K8" i="184"/>
  <c r="K15" i="184" s="1"/>
  <c r="J8" i="184"/>
  <c r="P8" i="184" s="1"/>
  <c r="F8" i="184"/>
  <c r="H8" i="184" s="1"/>
  <c r="B8" i="184"/>
  <c r="W7" i="184"/>
  <c r="N7" i="184" s="1"/>
  <c r="O7" i="184" s="1"/>
  <c r="V7" i="184"/>
  <c r="K7" i="184"/>
  <c r="J7" i="184"/>
  <c r="P7" i="184" s="1"/>
  <c r="F7" i="184"/>
  <c r="H7" i="184" s="1"/>
  <c r="B7" i="184"/>
  <c r="W6" i="184"/>
  <c r="N6" i="184" s="1"/>
  <c r="AC6" i="184" s="1"/>
  <c r="V6" i="184"/>
  <c r="J6" i="184"/>
  <c r="P6" i="184" s="1"/>
  <c r="H6" i="184"/>
  <c r="F6" i="184"/>
  <c r="B6" i="184"/>
  <c r="W5" i="184"/>
  <c r="N5" i="184" s="1"/>
  <c r="K5" i="184"/>
  <c r="J5" i="184"/>
  <c r="P5" i="184" s="1"/>
  <c r="F5" i="184"/>
  <c r="H5" i="184" s="1"/>
  <c r="B5" i="184"/>
  <c r="I2" i="184"/>
  <c r="E1" i="184"/>
  <c r="G3" i="183" s="1"/>
  <c r="I16" i="183"/>
  <c r="H16" i="183"/>
  <c r="G16" i="183"/>
  <c r="F16" i="183"/>
  <c r="E16" i="183"/>
  <c r="D16" i="183"/>
  <c r="K60" i="182"/>
  <c r="L60" i="182" s="1"/>
  <c r="J60" i="182"/>
  <c r="P60" i="182" s="1"/>
  <c r="F60" i="182"/>
  <c r="H60" i="182" s="1"/>
  <c r="B60" i="182"/>
  <c r="K61" i="182"/>
  <c r="L61" i="182" s="1"/>
  <c r="J61" i="182"/>
  <c r="P61" i="182" s="1"/>
  <c r="F61" i="182"/>
  <c r="H61" i="182" s="1"/>
  <c r="B61" i="182"/>
  <c r="P40" i="184" l="1"/>
  <c r="L7" i="184"/>
  <c r="K48" i="184"/>
  <c r="L60" i="184"/>
  <c r="L17" i="184"/>
  <c r="L51" i="184"/>
  <c r="P69" i="184"/>
  <c r="L40" i="184"/>
  <c r="P48" i="184"/>
  <c r="L50" i="184"/>
  <c r="L58" i="184" s="1"/>
  <c r="H13" i="183" s="1"/>
  <c r="P59" i="184"/>
  <c r="L5" i="184"/>
  <c r="L30" i="184"/>
  <c r="R30" i="184" s="1"/>
  <c r="L59" i="184"/>
  <c r="L61" i="184"/>
  <c r="L28" i="184"/>
  <c r="G18" i="183"/>
  <c r="AC60" i="184"/>
  <c r="O50" i="184"/>
  <c r="AC50" i="184"/>
  <c r="AB50" i="184"/>
  <c r="Q53" i="184"/>
  <c r="R53" i="184"/>
  <c r="R52" i="184"/>
  <c r="Q52" i="184"/>
  <c r="AB52" i="184"/>
  <c r="N58" i="184"/>
  <c r="AC52" i="184"/>
  <c r="Q31" i="184"/>
  <c r="R31" i="184"/>
  <c r="K58" i="184"/>
  <c r="AC28" i="184"/>
  <c r="AB28" i="184"/>
  <c r="AC7" i="184"/>
  <c r="AB7" i="184"/>
  <c r="AC61" i="184"/>
  <c r="AB61" i="184"/>
  <c r="L8" i="184"/>
  <c r="AC29" i="184"/>
  <c r="O29" i="184"/>
  <c r="AB29" i="184"/>
  <c r="AC40" i="184"/>
  <c r="O40" i="184"/>
  <c r="AB40" i="184"/>
  <c r="L37" i="184"/>
  <c r="F13" i="183" s="1"/>
  <c r="O39" i="184"/>
  <c r="AB39" i="184"/>
  <c r="AC39" i="184"/>
  <c r="Q41" i="184"/>
  <c r="R41" i="184"/>
  <c r="O59" i="184"/>
  <c r="N69" i="184"/>
  <c r="AC59" i="184"/>
  <c r="AB59" i="184"/>
  <c r="R7" i="184"/>
  <c r="Q7" i="184"/>
  <c r="R28" i="184"/>
  <c r="Q28" i="184"/>
  <c r="R61" i="184"/>
  <c r="Q61" i="184"/>
  <c r="Q30" i="184"/>
  <c r="O8" i="184"/>
  <c r="AB8" i="184"/>
  <c r="AC8" i="184"/>
  <c r="AC5" i="184"/>
  <c r="O5" i="184"/>
  <c r="AB5" i="184"/>
  <c r="N15" i="184"/>
  <c r="P26" i="184"/>
  <c r="O16" i="184"/>
  <c r="N26" i="184"/>
  <c r="AB16" i="184"/>
  <c r="AC16" i="184"/>
  <c r="Q18" i="184"/>
  <c r="R18" i="184"/>
  <c r="G1" i="184"/>
  <c r="O17" i="184"/>
  <c r="AC17" i="184"/>
  <c r="AB17" i="184"/>
  <c r="N48" i="184"/>
  <c r="O38" i="184"/>
  <c r="AB38" i="184"/>
  <c r="AC38" i="184"/>
  <c r="AB51" i="184"/>
  <c r="O51" i="184"/>
  <c r="AC51" i="184"/>
  <c r="L6" i="184"/>
  <c r="J37" i="184"/>
  <c r="P37" i="184" s="1"/>
  <c r="D18" i="183"/>
  <c r="K37" i="184"/>
  <c r="J58" i="184"/>
  <c r="P58" i="184" s="1"/>
  <c r="K69" i="184"/>
  <c r="O49" i="184"/>
  <c r="L16" i="184"/>
  <c r="E18" i="183"/>
  <c r="O27" i="184"/>
  <c r="O6" i="184"/>
  <c r="P16" i="184"/>
  <c r="AB18" i="184"/>
  <c r="AB27" i="184"/>
  <c r="N37" i="184"/>
  <c r="L39" i="184"/>
  <c r="L48" i="184" s="1"/>
  <c r="G13" i="183" s="1"/>
  <c r="AB49" i="184"/>
  <c r="I1" i="184"/>
  <c r="J15" i="184"/>
  <c r="P15" i="184" s="1"/>
  <c r="O60" i="184"/>
  <c r="AB6" i="184"/>
  <c r="AC18" i="184"/>
  <c r="AC49" i="184"/>
  <c r="AB60" i="184"/>
  <c r="I18" i="183"/>
  <c r="R50" i="184" l="1"/>
  <c r="AC58" i="184"/>
  <c r="AD49" i="184" s="1"/>
  <c r="Q50" i="184"/>
  <c r="L26" i="184"/>
  <c r="E13" i="183" s="1"/>
  <c r="L69" i="184"/>
  <c r="I13" i="183" s="1"/>
  <c r="J6" i="183" s="1"/>
  <c r="Q58" i="184"/>
  <c r="AB58" i="184"/>
  <c r="L15" i="184"/>
  <c r="D13" i="183" s="1"/>
  <c r="H6" i="183" s="1"/>
  <c r="R60" i="184"/>
  <c r="Q60" i="184"/>
  <c r="Q39" i="184"/>
  <c r="R39" i="184"/>
  <c r="Q49" i="184"/>
  <c r="O58" i="184"/>
  <c r="R49" i="184"/>
  <c r="Q8" i="184"/>
  <c r="R8" i="184"/>
  <c r="R38" i="184"/>
  <c r="Q38" i="184"/>
  <c r="O48" i="184"/>
  <c r="AC26" i="184"/>
  <c r="AD16" i="184" s="1"/>
  <c r="AB26" i="184"/>
  <c r="G2" i="184"/>
  <c r="J3" i="183"/>
  <c r="O37" i="184"/>
  <c r="Q27" i="184"/>
  <c r="R27" i="184"/>
  <c r="AC48" i="184"/>
  <c r="AD38" i="184" s="1"/>
  <c r="AB48" i="184"/>
  <c r="Q48" i="184"/>
  <c r="R40" i="184"/>
  <c r="Q40" i="184"/>
  <c r="AC15" i="184"/>
  <c r="AD5" i="184" s="1"/>
  <c r="AB15" i="184"/>
  <c r="R6" i="184"/>
  <c r="Q6" i="184"/>
  <c r="Q51" i="184"/>
  <c r="R51" i="184"/>
  <c r="R16" i="184"/>
  <c r="O26" i="184"/>
  <c r="Q16" i="184"/>
  <c r="Q69" i="184"/>
  <c r="AC69" i="184"/>
  <c r="AD59" i="184" s="1"/>
  <c r="AB69" i="184"/>
  <c r="Q59" i="184"/>
  <c r="O69" i="184"/>
  <c r="R59" i="184"/>
  <c r="Q37" i="184"/>
  <c r="AC37" i="184"/>
  <c r="AD27" i="184" s="1"/>
  <c r="AB37" i="184"/>
  <c r="Q29" i="184"/>
  <c r="R29" i="184"/>
  <c r="R17" i="184"/>
  <c r="Q17" i="184"/>
  <c r="Q5" i="184"/>
  <c r="O15" i="184"/>
  <c r="R5" i="184"/>
  <c r="F6" i="183" l="1"/>
  <c r="E14" i="183"/>
  <c r="E15" i="183" s="1"/>
  <c r="R26" i="184"/>
  <c r="S16" i="184" s="1"/>
  <c r="Q26" i="184"/>
  <c r="R37" i="184"/>
  <c r="S27" i="184" s="1"/>
  <c r="F14" i="183"/>
  <c r="F15" i="183" s="1"/>
  <c r="H14" i="183"/>
  <c r="H15" i="183" s="1"/>
  <c r="R58" i="184"/>
  <c r="S49" i="184" s="1"/>
  <c r="D14" i="183"/>
  <c r="E2" i="184"/>
  <c r="R15" i="184"/>
  <c r="S5" i="184" s="1"/>
  <c r="Q15" i="184"/>
  <c r="I14" i="183"/>
  <c r="R69" i="184"/>
  <c r="S59" i="184" s="1"/>
  <c r="R48" i="184"/>
  <c r="S38" i="184" s="1"/>
  <c r="G14" i="183"/>
  <c r="G15" i="183" s="1"/>
  <c r="I15" i="183" l="1"/>
  <c r="J8" i="183" s="1"/>
  <c r="J7" i="183"/>
  <c r="F7" i="183"/>
  <c r="D15" i="183"/>
  <c r="H7" i="183"/>
  <c r="F8" i="183" l="1"/>
  <c r="H8" i="183"/>
  <c r="AC79" i="182" l="1"/>
  <c r="AB79" i="182"/>
  <c r="J79" i="182"/>
  <c r="W78" i="182"/>
  <c r="H78" i="182"/>
  <c r="W77" i="182"/>
  <c r="H77" i="182"/>
  <c r="W76" i="182"/>
  <c r="H76" i="182"/>
  <c r="W75" i="182"/>
  <c r="H75" i="182"/>
  <c r="W74" i="182"/>
  <c r="H74" i="182"/>
  <c r="W73" i="182"/>
  <c r="W72" i="182"/>
  <c r="W71" i="182"/>
  <c r="AD70" i="182"/>
  <c r="AC70" i="182"/>
  <c r="AB70" i="182"/>
  <c r="W70" i="182"/>
  <c r="S70" i="182"/>
  <c r="W59" i="182"/>
  <c r="N59" i="182"/>
  <c r="AC59" i="182" s="1"/>
  <c r="W60" i="182"/>
  <c r="N60" i="182" s="1"/>
  <c r="O60" i="182" s="1"/>
  <c r="W61" i="182"/>
  <c r="N61" i="182" s="1"/>
  <c r="O61" i="182" s="1"/>
  <c r="AC61" i="182"/>
  <c r="K59" i="182"/>
  <c r="K69" i="182"/>
  <c r="J59" i="182"/>
  <c r="L59" i="182"/>
  <c r="J69" i="182"/>
  <c r="M69" i="182"/>
  <c r="I18" i="181" s="1"/>
  <c r="W68" i="182"/>
  <c r="H68" i="182"/>
  <c r="W67" i="182"/>
  <c r="H67" i="182"/>
  <c r="W66" i="182"/>
  <c r="H66" i="182"/>
  <c r="W65" i="182"/>
  <c r="W64" i="182"/>
  <c r="AC63" i="182"/>
  <c r="AB63" i="182"/>
  <c r="W63" i="182"/>
  <c r="AC62" i="182"/>
  <c r="AB62" i="182"/>
  <c r="W62" i="182"/>
  <c r="V61" i="182"/>
  <c r="V60" i="182"/>
  <c r="P59" i="182"/>
  <c r="F59" i="182"/>
  <c r="H59" i="182"/>
  <c r="B59" i="182"/>
  <c r="W49" i="182"/>
  <c r="N49" i="182" s="1"/>
  <c r="W50" i="182"/>
  <c r="N50" i="182" s="1"/>
  <c r="O50" i="182" s="1"/>
  <c r="W51" i="182"/>
  <c r="N51" i="182" s="1"/>
  <c r="O51" i="182" s="1"/>
  <c r="K49" i="182"/>
  <c r="K50" i="182"/>
  <c r="K51" i="182"/>
  <c r="J49" i="182"/>
  <c r="L49" i="182"/>
  <c r="J50" i="182"/>
  <c r="L50" i="182"/>
  <c r="J51" i="182"/>
  <c r="P51" i="182" s="1"/>
  <c r="M58" i="182"/>
  <c r="H18" i="181" s="1"/>
  <c r="J58" i="182"/>
  <c r="W57" i="182"/>
  <c r="H57" i="182"/>
  <c r="W56" i="182"/>
  <c r="H56" i="182"/>
  <c r="W55" i="182"/>
  <c r="H55" i="182"/>
  <c r="W54" i="182"/>
  <c r="H54" i="182"/>
  <c r="W53" i="182"/>
  <c r="AC52" i="182"/>
  <c r="AB52" i="182"/>
  <c r="W52" i="182"/>
  <c r="V51" i="182"/>
  <c r="F51" i="182"/>
  <c r="H51" i="182"/>
  <c r="B51" i="182"/>
  <c r="V50" i="182"/>
  <c r="P50" i="182"/>
  <c r="F50" i="182"/>
  <c r="H50" i="182"/>
  <c r="B50" i="182"/>
  <c r="P49" i="182"/>
  <c r="F49" i="182"/>
  <c r="H49" i="182"/>
  <c r="B49" i="182"/>
  <c r="W38" i="182"/>
  <c r="N38" i="182"/>
  <c r="N48" i="182" s="1"/>
  <c r="W39" i="182"/>
  <c r="N39" i="182"/>
  <c r="AC39" i="182" s="1"/>
  <c r="W40" i="182"/>
  <c r="N40" i="182"/>
  <c r="O40" i="182" s="1"/>
  <c r="W41" i="182"/>
  <c r="N41" i="182"/>
  <c r="O41" i="182" s="1"/>
  <c r="K39" i="182"/>
  <c r="K40" i="182"/>
  <c r="K41" i="182"/>
  <c r="W48" i="182"/>
  <c r="O38" i="182"/>
  <c r="R38" i="182" s="1"/>
  <c r="L38" i="182"/>
  <c r="L39" i="182"/>
  <c r="J40" i="182"/>
  <c r="L40" i="182" s="1"/>
  <c r="J41" i="182"/>
  <c r="L41" i="182"/>
  <c r="M48" i="182"/>
  <c r="G18" i="181" s="1"/>
  <c r="W47" i="182"/>
  <c r="H47" i="182"/>
  <c r="W46" i="182"/>
  <c r="H46" i="182"/>
  <c r="W45" i="182"/>
  <c r="H45" i="182"/>
  <c r="W44" i="182"/>
  <c r="H44" i="182"/>
  <c r="W43" i="182"/>
  <c r="H43" i="182"/>
  <c r="W42" i="182"/>
  <c r="V41" i="182"/>
  <c r="P41" i="182"/>
  <c r="F41" i="182"/>
  <c r="H41" i="182"/>
  <c r="AC40" i="182"/>
  <c r="AB40" i="182"/>
  <c r="V40" i="182"/>
  <c r="P40" i="182"/>
  <c r="F40" i="182"/>
  <c r="H40" i="182"/>
  <c r="V39" i="182"/>
  <c r="P39" i="182"/>
  <c r="F39" i="182"/>
  <c r="H39" i="182"/>
  <c r="P38" i="182"/>
  <c r="F38" i="182"/>
  <c r="H38" i="182"/>
  <c r="W27" i="182"/>
  <c r="N27" i="182" s="1"/>
  <c r="W28" i="182"/>
  <c r="N28" i="182" s="1"/>
  <c r="W29" i="182"/>
  <c r="N29" i="182"/>
  <c r="AC29" i="182" s="1"/>
  <c r="W30" i="182"/>
  <c r="N30" i="182" s="1"/>
  <c r="O30" i="182" s="1"/>
  <c r="R30" i="182" s="1"/>
  <c r="K27" i="182"/>
  <c r="K28" i="182"/>
  <c r="K29" i="182"/>
  <c r="K30" i="182"/>
  <c r="K37" i="182"/>
  <c r="J27" i="182"/>
  <c r="L27" i="182"/>
  <c r="J28" i="182"/>
  <c r="L28" i="182"/>
  <c r="J29" i="182"/>
  <c r="L29" i="182"/>
  <c r="J30" i="182"/>
  <c r="L30" i="182"/>
  <c r="L37" i="182"/>
  <c r="M37" i="182"/>
  <c r="P37" i="182" s="1"/>
  <c r="J37" i="182"/>
  <c r="W36" i="182"/>
  <c r="H36" i="182"/>
  <c r="W35" i="182"/>
  <c r="H35" i="182"/>
  <c r="W34" i="182"/>
  <c r="H34" i="182"/>
  <c r="W33" i="182"/>
  <c r="H33" i="182"/>
  <c r="W32" i="182"/>
  <c r="W31" i="182"/>
  <c r="V30" i="182"/>
  <c r="P30" i="182"/>
  <c r="F30" i="182"/>
  <c r="H30" i="182"/>
  <c r="B30" i="182"/>
  <c r="V29" i="182"/>
  <c r="P29" i="182"/>
  <c r="F29" i="182"/>
  <c r="H29" i="182"/>
  <c r="B29" i="182"/>
  <c r="V28" i="182"/>
  <c r="P28" i="182"/>
  <c r="F28" i="182"/>
  <c r="H28" i="182"/>
  <c r="B28" i="182"/>
  <c r="P27" i="182"/>
  <c r="F27" i="182"/>
  <c r="H27" i="182"/>
  <c r="W16" i="182"/>
  <c r="N16" i="182" s="1"/>
  <c r="O16" i="182" s="1"/>
  <c r="W17" i="182"/>
  <c r="N17" i="182" s="1"/>
  <c r="W18" i="182"/>
  <c r="N18" i="182" s="1"/>
  <c r="W19" i="182"/>
  <c r="N19" i="182"/>
  <c r="AC19" i="182" s="1"/>
  <c r="W20" i="182"/>
  <c r="K16" i="182"/>
  <c r="K17" i="182"/>
  <c r="K18" i="182"/>
  <c r="K19" i="182"/>
  <c r="K26" i="182"/>
  <c r="J16" i="182"/>
  <c r="L16" i="182"/>
  <c r="J17" i="182"/>
  <c r="L17" i="182"/>
  <c r="J18" i="182"/>
  <c r="L18" i="182"/>
  <c r="J19" i="182"/>
  <c r="L19" i="182"/>
  <c r="L26" i="182"/>
  <c r="M26" i="182"/>
  <c r="J26" i="182"/>
  <c r="W25" i="182"/>
  <c r="H25" i="182"/>
  <c r="W24" i="182"/>
  <c r="H24" i="182"/>
  <c r="W23" i="182"/>
  <c r="H22" i="182"/>
  <c r="W21" i="182"/>
  <c r="V19" i="182"/>
  <c r="P19" i="182"/>
  <c r="F19" i="182"/>
  <c r="H19" i="182"/>
  <c r="B19" i="182"/>
  <c r="V18" i="182"/>
  <c r="P18" i="182"/>
  <c r="F18" i="182"/>
  <c r="H18" i="182"/>
  <c r="B18" i="182"/>
  <c r="V17" i="182"/>
  <c r="P17" i="182"/>
  <c r="F17" i="182"/>
  <c r="H17" i="182"/>
  <c r="B17" i="182"/>
  <c r="P16" i="182"/>
  <c r="F16" i="182"/>
  <c r="H16" i="182"/>
  <c r="B16" i="182"/>
  <c r="W5" i="182"/>
  <c r="N5" i="182"/>
  <c r="AC5" i="182" s="1"/>
  <c r="W6" i="182"/>
  <c r="N6" i="182" s="1"/>
  <c r="W7" i="182"/>
  <c r="N7" i="182" s="1"/>
  <c r="W8" i="182"/>
  <c r="N8" i="182"/>
  <c r="O8" i="182" s="1"/>
  <c r="W9" i="182"/>
  <c r="K5" i="182"/>
  <c r="K7" i="182"/>
  <c r="K8" i="182"/>
  <c r="K15" i="182"/>
  <c r="O5" i="182"/>
  <c r="R5" i="182" s="1"/>
  <c r="J5" i="182"/>
  <c r="L5" i="182"/>
  <c r="J6" i="182"/>
  <c r="L6" i="182"/>
  <c r="J7" i="182"/>
  <c r="L7" i="182"/>
  <c r="J8" i="182"/>
  <c r="J15" i="182" s="1"/>
  <c r="P15" i="182" s="1"/>
  <c r="L8" i="182"/>
  <c r="M15" i="182"/>
  <c r="W14" i="182"/>
  <c r="W13" i="182"/>
  <c r="W12" i="182"/>
  <c r="H12" i="182"/>
  <c r="W11" i="182"/>
  <c r="H11" i="182"/>
  <c r="W10" i="182"/>
  <c r="V8" i="182"/>
  <c r="P8" i="182"/>
  <c r="F8" i="182"/>
  <c r="H8" i="182" s="1"/>
  <c r="B8" i="182"/>
  <c r="V7" i="182"/>
  <c r="P7" i="182"/>
  <c r="F7" i="182"/>
  <c r="H7" i="182"/>
  <c r="B7" i="182"/>
  <c r="V6" i="182"/>
  <c r="P6" i="182"/>
  <c r="F6" i="182"/>
  <c r="H6" i="182"/>
  <c r="B6" i="182"/>
  <c r="P5" i="182"/>
  <c r="F5" i="182"/>
  <c r="H5" i="182"/>
  <c r="B5" i="182"/>
  <c r="I2" i="182"/>
  <c r="E1" i="182"/>
  <c r="G3" i="181" s="1"/>
  <c r="E18" i="181"/>
  <c r="D18" i="181"/>
  <c r="I16" i="181"/>
  <c r="H16" i="181"/>
  <c r="G16" i="181"/>
  <c r="F16" i="181"/>
  <c r="E16" i="181"/>
  <c r="D16" i="181"/>
  <c r="F13" i="181"/>
  <c r="E13" i="181"/>
  <c r="L16" i="177"/>
  <c r="K16" i="177"/>
  <c r="J16" i="177"/>
  <c r="L16" i="179"/>
  <c r="R16" i="179"/>
  <c r="O16" i="179"/>
  <c r="K16" i="179"/>
  <c r="J16" i="179"/>
  <c r="P16" i="179"/>
  <c r="AC79" i="179"/>
  <c r="AB79" i="179"/>
  <c r="J79" i="179"/>
  <c r="W78" i="179"/>
  <c r="H78" i="179"/>
  <c r="W77" i="179"/>
  <c r="H77" i="179"/>
  <c r="W76" i="179"/>
  <c r="H76" i="179"/>
  <c r="W75" i="179"/>
  <c r="H75" i="179"/>
  <c r="W74" i="179"/>
  <c r="H74" i="179"/>
  <c r="W73" i="179"/>
  <c r="W72" i="179"/>
  <c r="W71" i="179"/>
  <c r="AD70" i="179"/>
  <c r="AC70" i="179"/>
  <c r="AB70" i="179"/>
  <c r="W70" i="179"/>
  <c r="S70" i="179"/>
  <c r="M69" i="179"/>
  <c r="J69" i="179"/>
  <c r="W68" i="179"/>
  <c r="H68" i="179"/>
  <c r="W67" i="179"/>
  <c r="H67" i="179"/>
  <c r="W66" i="179"/>
  <c r="H66" i="179"/>
  <c r="W65" i="179"/>
  <c r="W64" i="179"/>
  <c r="W63" i="179"/>
  <c r="W62" i="179"/>
  <c r="W61" i="179"/>
  <c r="N61" i="179"/>
  <c r="V61" i="179"/>
  <c r="K61" i="179"/>
  <c r="K69" i="179"/>
  <c r="J61" i="179"/>
  <c r="P61" i="179"/>
  <c r="F61" i="179"/>
  <c r="H61" i="179"/>
  <c r="B61" i="179"/>
  <c r="W60" i="179"/>
  <c r="V60" i="179"/>
  <c r="P60" i="179"/>
  <c r="N60" i="179"/>
  <c r="K60" i="179"/>
  <c r="L60" i="179"/>
  <c r="J60" i="179"/>
  <c r="F60" i="179"/>
  <c r="H60" i="179"/>
  <c r="B60" i="179"/>
  <c r="W59" i="179"/>
  <c r="N59" i="179"/>
  <c r="K59" i="179"/>
  <c r="L59" i="179"/>
  <c r="J59" i="179"/>
  <c r="P59" i="179"/>
  <c r="F59" i="179"/>
  <c r="H59" i="179"/>
  <c r="B59" i="179"/>
  <c r="M58" i="179"/>
  <c r="W57" i="179"/>
  <c r="H57" i="179"/>
  <c r="W56" i="179"/>
  <c r="H56" i="179"/>
  <c r="W55" i="179"/>
  <c r="H55" i="179"/>
  <c r="W54" i="179"/>
  <c r="H54" i="179"/>
  <c r="W53" i="179"/>
  <c r="W52" i="179"/>
  <c r="W51" i="179"/>
  <c r="N51" i="179"/>
  <c r="O51" i="179"/>
  <c r="V51" i="179"/>
  <c r="K51" i="179"/>
  <c r="L51" i="179"/>
  <c r="J51" i="179"/>
  <c r="P51" i="179"/>
  <c r="F51" i="179"/>
  <c r="H51" i="179"/>
  <c r="B51" i="179"/>
  <c r="W50" i="179"/>
  <c r="N50" i="179"/>
  <c r="O50" i="179"/>
  <c r="V50" i="179"/>
  <c r="K50" i="179"/>
  <c r="J50" i="179"/>
  <c r="F50" i="179"/>
  <c r="H50" i="179"/>
  <c r="B50" i="179"/>
  <c r="W49" i="179"/>
  <c r="N49" i="179"/>
  <c r="O49" i="179"/>
  <c r="P49" i="179"/>
  <c r="L49" i="179"/>
  <c r="K49" i="179"/>
  <c r="J49" i="179"/>
  <c r="F49" i="179"/>
  <c r="H49" i="179"/>
  <c r="B49" i="179"/>
  <c r="W48" i="179"/>
  <c r="M48" i="179"/>
  <c r="W47" i="179"/>
  <c r="H47" i="179"/>
  <c r="W46" i="179"/>
  <c r="H46" i="179"/>
  <c r="W45" i="179"/>
  <c r="H45" i="179"/>
  <c r="W44" i="179"/>
  <c r="H44" i="179"/>
  <c r="W43" i="179"/>
  <c r="H43" i="179"/>
  <c r="W42" i="179"/>
  <c r="W41" i="179"/>
  <c r="N41" i="179"/>
  <c r="O41" i="179"/>
  <c r="R41" i="179"/>
  <c r="V41" i="179"/>
  <c r="P41" i="179"/>
  <c r="L41" i="179"/>
  <c r="K41" i="179"/>
  <c r="J41" i="179"/>
  <c r="F41" i="179"/>
  <c r="H41" i="179"/>
  <c r="W40" i="179"/>
  <c r="N40" i="179"/>
  <c r="V40" i="179"/>
  <c r="K40" i="179"/>
  <c r="L40" i="179"/>
  <c r="J40" i="179"/>
  <c r="P40" i="179"/>
  <c r="F40" i="179"/>
  <c r="H40" i="179"/>
  <c r="W39" i="179"/>
  <c r="N39" i="179"/>
  <c r="V39" i="179"/>
  <c r="K39" i="179"/>
  <c r="K48" i="179"/>
  <c r="J39" i="179"/>
  <c r="P39" i="179"/>
  <c r="F39" i="179"/>
  <c r="H39" i="179"/>
  <c r="W38" i="179"/>
  <c r="N38" i="179"/>
  <c r="AC38" i="179"/>
  <c r="P38" i="179"/>
  <c r="L38" i="179"/>
  <c r="F38" i="179"/>
  <c r="H38" i="179"/>
  <c r="M37" i="179"/>
  <c r="K37" i="179"/>
  <c r="W36" i="179"/>
  <c r="H36" i="179"/>
  <c r="W35" i="179"/>
  <c r="H35" i="179"/>
  <c r="W34" i="179"/>
  <c r="H34" i="179"/>
  <c r="W33" i="179"/>
  <c r="H33" i="179"/>
  <c r="W32" i="179"/>
  <c r="W31" i="179"/>
  <c r="W30" i="179"/>
  <c r="N30" i="179"/>
  <c r="O30" i="179"/>
  <c r="R30" i="179"/>
  <c r="V30" i="179"/>
  <c r="K30" i="179"/>
  <c r="L30" i="179"/>
  <c r="J30" i="179"/>
  <c r="P30" i="179"/>
  <c r="F30" i="179"/>
  <c r="H30" i="179"/>
  <c r="B30" i="179"/>
  <c r="W29" i="179"/>
  <c r="N29" i="179"/>
  <c r="O29" i="179"/>
  <c r="V29" i="179"/>
  <c r="K29" i="179"/>
  <c r="J29" i="179"/>
  <c r="P29" i="179"/>
  <c r="F29" i="179"/>
  <c r="H29" i="179"/>
  <c r="B29" i="179"/>
  <c r="W28" i="179"/>
  <c r="N28" i="179"/>
  <c r="V28" i="179"/>
  <c r="K28" i="179"/>
  <c r="L28" i="179"/>
  <c r="J28" i="179"/>
  <c r="P28" i="179"/>
  <c r="F28" i="179"/>
  <c r="H28" i="179"/>
  <c r="B28" i="179"/>
  <c r="W27" i="179"/>
  <c r="N27" i="179"/>
  <c r="P27" i="179"/>
  <c r="L27" i="179"/>
  <c r="K27" i="179"/>
  <c r="J27" i="179"/>
  <c r="F27" i="179"/>
  <c r="H27" i="179"/>
  <c r="M26" i="179"/>
  <c r="E18" i="178"/>
  <c r="W25" i="179"/>
  <c r="H25" i="179"/>
  <c r="W24" i="179"/>
  <c r="H24" i="179"/>
  <c r="W23" i="179"/>
  <c r="H22" i="179"/>
  <c r="W21" i="179"/>
  <c r="W20" i="179"/>
  <c r="N20" i="179"/>
  <c r="O20" i="179"/>
  <c r="V20" i="179"/>
  <c r="K20" i="179"/>
  <c r="L20" i="179"/>
  <c r="J20" i="179"/>
  <c r="P20" i="179"/>
  <c r="F20" i="179"/>
  <c r="H20" i="179"/>
  <c r="B20" i="179"/>
  <c r="W19" i="179"/>
  <c r="V19" i="179"/>
  <c r="P19" i="179"/>
  <c r="N19" i="179"/>
  <c r="O19" i="179"/>
  <c r="K19" i="179"/>
  <c r="L19" i="179"/>
  <c r="J19" i="179"/>
  <c r="F19" i="179"/>
  <c r="H19" i="179"/>
  <c r="B19" i="179"/>
  <c r="W18" i="179"/>
  <c r="N18" i="179"/>
  <c r="O18" i="179"/>
  <c r="R18" i="179"/>
  <c r="V18" i="179"/>
  <c r="P18" i="179"/>
  <c r="K18" i="179"/>
  <c r="L18" i="179"/>
  <c r="J18" i="179"/>
  <c r="F18" i="179"/>
  <c r="H18" i="179"/>
  <c r="B18" i="179"/>
  <c r="W17" i="179"/>
  <c r="N17" i="179"/>
  <c r="V17" i="179"/>
  <c r="K17" i="179"/>
  <c r="J17" i="179"/>
  <c r="F17" i="179"/>
  <c r="H17" i="179"/>
  <c r="B17" i="179"/>
  <c r="W16" i="179"/>
  <c r="N16" i="179"/>
  <c r="F16" i="179"/>
  <c r="H16" i="179"/>
  <c r="B16" i="179"/>
  <c r="M15" i="179"/>
  <c r="D18" i="178"/>
  <c r="K15" i="179"/>
  <c r="W14" i="179"/>
  <c r="W13" i="179"/>
  <c r="W12" i="179"/>
  <c r="H12" i="179"/>
  <c r="W11" i="179"/>
  <c r="H11" i="179"/>
  <c r="W10" i="179"/>
  <c r="W9" i="179"/>
  <c r="V9" i="179"/>
  <c r="P9" i="179"/>
  <c r="N9" i="179"/>
  <c r="O9" i="179"/>
  <c r="L9" i="179"/>
  <c r="K9" i="179"/>
  <c r="J9" i="179"/>
  <c r="F9" i="179"/>
  <c r="H9" i="179"/>
  <c r="B9" i="179"/>
  <c r="W8" i="179"/>
  <c r="N8" i="179"/>
  <c r="V8" i="179"/>
  <c r="K8" i="179"/>
  <c r="L8" i="179"/>
  <c r="J8" i="179"/>
  <c r="P8" i="179"/>
  <c r="F8" i="179"/>
  <c r="H8" i="179"/>
  <c r="B8" i="179"/>
  <c r="W7" i="179"/>
  <c r="N7" i="179"/>
  <c r="O7" i="179"/>
  <c r="V7" i="179"/>
  <c r="K7" i="179"/>
  <c r="J7" i="179"/>
  <c r="P7" i="179"/>
  <c r="F7" i="179"/>
  <c r="H7" i="179"/>
  <c r="B7" i="179"/>
  <c r="W6" i="179"/>
  <c r="V6" i="179"/>
  <c r="N6" i="179"/>
  <c r="J6" i="179"/>
  <c r="P6" i="179"/>
  <c r="H6" i="179"/>
  <c r="F6" i="179"/>
  <c r="B6" i="179"/>
  <c r="W5" i="179"/>
  <c r="P5" i="179"/>
  <c r="N5" i="179"/>
  <c r="L5" i="179"/>
  <c r="K5" i="179"/>
  <c r="J5" i="179"/>
  <c r="F5" i="179"/>
  <c r="H5" i="179"/>
  <c r="B5" i="179"/>
  <c r="I2" i="179"/>
  <c r="E1" i="179"/>
  <c r="G3" i="178"/>
  <c r="G18" i="178"/>
  <c r="I16" i="178"/>
  <c r="H16" i="178"/>
  <c r="G16" i="178"/>
  <c r="F16" i="178"/>
  <c r="E16" i="178"/>
  <c r="D16" i="178"/>
  <c r="V41" i="177"/>
  <c r="V20" i="177"/>
  <c r="J6" i="176"/>
  <c r="L50" i="177"/>
  <c r="J49" i="177"/>
  <c r="J26" i="179"/>
  <c r="P26" i="179"/>
  <c r="AC16" i="179"/>
  <c r="I1" i="179"/>
  <c r="AC7" i="179"/>
  <c r="G1" i="179"/>
  <c r="J3" i="178"/>
  <c r="AB7" i="179"/>
  <c r="K58" i="179"/>
  <c r="R9" i="179"/>
  <c r="Q9" i="179"/>
  <c r="G2" i="179"/>
  <c r="R19" i="179"/>
  <c r="Q19" i="179"/>
  <c r="J37" i="179"/>
  <c r="P50" i="179"/>
  <c r="J58" i="179"/>
  <c r="P58" i="179"/>
  <c r="Q51" i="179"/>
  <c r="R51" i="179"/>
  <c r="L6" i="179"/>
  <c r="R20" i="179"/>
  <c r="Q20" i="179"/>
  <c r="P69" i="179"/>
  <c r="AC6" i="179"/>
  <c r="AB6" i="179"/>
  <c r="O6" i="179"/>
  <c r="P37" i="179"/>
  <c r="L69" i="179"/>
  <c r="I13" i="178"/>
  <c r="J6" i="178"/>
  <c r="AC63" i="179"/>
  <c r="AB63" i="179"/>
  <c r="N48" i="179"/>
  <c r="AB27" i="179"/>
  <c r="AC27" i="179"/>
  <c r="N37" i="179"/>
  <c r="AB40" i="179"/>
  <c r="O40" i="179"/>
  <c r="AC40" i="179"/>
  <c r="L29" i="179"/>
  <c r="L37" i="179"/>
  <c r="F13" i="178"/>
  <c r="AB51" i="179"/>
  <c r="L50" i="179"/>
  <c r="L58" i="179"/>
  <c r="H13" i="178"/>
  <c r="AC51" i="179"/>
  <c r="AB19" i="179"/>
  <c r="AC19" i="179"/>
  <c r="AC5" i="179"/>
  <c r="AB5" i="179"/>
  <c r="N15" i="179"/>
  <c r="J15" i="179"/>
  <c r="P15" i="179"/>
  <c r="AB29" i="179"/>
  <c r="O39" i="179"/>
  <c r="AC39" i="179"/>
  <c r="O5" i="179"/>
  <c r="AC29" i="179"/>
  <c r="AB39" i="179"/>
  <c r="O59" i="179"/>
  <c r="AC59" i="179"/>
  <c r="AB59" i="179"/>
  <c r="N69" i="179"/>
  <c r="Q18" i="179"/>
  <c r="AC28" i="179"/>
  <c r="O28" i="179"/>
  <c r="AB28" i="179"/>
  <c r="L48" i="179"/>
  <c r="G13" i="178"/>
  <c r="R49" i="179"/>
  <c r="AB62" i="179"/>
  <c r="K26" i="179"/>
  <c r="Q41" i="179"/>
  <c r="L61" i="179"/>
  <c r="AC62" i="179"/>
  <c r="O27" i="179"/>
  <c r="Q49" i="179"/>
  <c r="AC61" i="179"/>
  <c r="L7" i="179"/>
  <c r="AC8" i="179"/>
  <c r="AB8" i="179"/>
  <c r="O8" i="179"/>
  <c r="AC18" i="179"/>
  <c r="AB18" i="179"/>
  <c r="N58" i="179"/>
  <c r="AC49" i="179"/>
  <c r="AB49" i="179"/>
  <c r="O17" i="179"/>
  <c r="AC17" i="179"/>
  <c r="Q30" i="179"/>
  <c r="AC52" i="179"/>
  <c r="AB52" i="179"/>
  <c r="AC60" i="179"/>
  <c r="AB60" i="179"/>
  <c r="Q7" i="179"/>
  <c r="R7" i="179"/>
  <c r="Q16" i="179"/>
  <c r="AB17" i="179"/>
  <c r="O60" i="179"/>
  <c r="L39" i="179"/>
  <c r="H18" i="178"/>
  <c r="P17" i="179"/>
  <c r="AB50" i="179"/>
  <c r="AB61" i="179"/>
  <c r="O61" i="179"/>
  <c r="O38" i="179"/>
  <c r="J48" i="179"/>
  <c r="P48" i="179"/>
  <c r="I18" i="178"/>
  <c r="AB16" i="179"/>
  <c r="N26" i="179"/>
  <c r="AB38" i="179"/>
  <c r="AC50" i="179"/>
  <c r="L17" i="179"/>
  <c r="L26" i="179"/>
  <c r="E13" i="178"/>
  <c r="F18" i="178"/>
  <c r="K39" i="177"/>
  <c r="K40" i="177"/>
  <c r="J39" i="177"/>
  <c r="F41" i="177"/>
  <c r="H41" i="177"/>
  <c r="J41" i="177"/>
  <c r="P41" i="177"/>
  <c r="K41" i="177"/>
  <c r="L41" i="177"/>
  <c r="AC26" i="179"/>
  <c r="AD16" i="179"/>
  <c r="AB26" i="179"/>
  <c r="Q17" i="179"/>
  <c r="R17" i="179"/>
  <c r="O26" i="179"/>
  <c r="R39" i="179"/>
  <c r="Q39" i="179"/>
  <c r="Q58" i="179"/>
  <c r="AC58" i="179"/>
  <c r="AD49" i="179"/>
  <c r="AB58" i="179"/>
  <c r="Q69" i="179"/>
  <c r="AB69" i="179"/>
  <c r="AC69" i="179"/>
  <c r="AD59" i="179"/>
  <c r="Q60" i="179"/>
  <c r="R60" i="179"/>
  <c r="R28" i="179"/>
  <c r="Q28" i="179"/>
  <c r="Q50" i="179"/>
  <c r="O37" i="179"/>
  <c r="R27" i="179"/>
  <c r="Q27" i="179"/>
  <c r="R50" i="179"/>
  <c r="AB15" i="179"/>
  <c r="AC15" i="179"/>
  <c r="AD5" i="179"/>
  <c r="R40" i="179"/>
  <c r="Q40" i="179"/>
  <c r="R38" i="179"/>
  <c r="Q38" i="179"/>
  <c r="O48" i="179"/>
  <c r="R6" i="179"/>
  <c r="Q6" i="179"/>
  <c r="Q61" i="179"/>
  <c r="R61" i="179"/>
  <c r="Q37" i="179"/>
  <c r="AB37" i="179"/>
  <c r="AC37" i="179"/>
  <c r="AD27" i="179"/>
  <c r="R8" i="179"/>
  <c r="Q8" i="179"/>
  <c r="R29" i="179"/>
  <c r="O69" i="179"/>
  <c r="Q59" i="179"/>
  <c r="R59" i="179"/>
  <c r="Q29" i="179"/>
  <c r="O58" i="179"/>
  <c r="AB48" i="179"/>
  <c r="AC48" i="179"/>
  <c r="AD38" i="179"/>
  <c r="Q48" i="179"/>
  <c r="O15" i="179"/>
  <c r="R5" i="179"/>
  <c r="Q5" i="179"/>
  <c r="L15" i="179"/>
  <c r="D13" i="178"/>
  <c r="AC79" i="177"/>
  <c r="AD70" i="177"/>
  <c r="AB79" i="177"/>
  <c r="J79" i="177"/>
  <c r="W78" i="177"/>
  <c r="H78" i="177"/>
  <c r="W77" i="177"/>
  <c r="H77" i="177"/>
  <c r="W76" i="177"/>
  <c r="H76" i="177"/>
  <c r="W75" i="177"/>
  <c r="H75" i="177"/>
  <c r="W74" i="177"/>
  <c r="H74" i="177"/>
  <c r="W73" i="177"/>
  <c r="W72" i="177"/>
  <c r="W71" i="177"/>
  <c r="AC70" i="177"/>
  <c r="AB70" i="177"/>
  <c r="W70" i="177"/>
  <c r="S70" i="177"/>
  <c r="M69" i="177"/>
  <c r="W68" i="177"/>
  <c r="H68" i="177"/>
  <c r="W67" i="177"/>
  <c r="H67" i="177"/>
  <c r="W66" i="177"/>
  <c r="H66" i="177"/>
  <c r="W65" i="177"/>
  <c r="W64" i="177"/>
  <c r="W63" i="177"/>
  <c r="N63" i="177"/>
  <c r="AC63" i="177"/>
  <c r="V63" i="177"/>
  <c r="K63" i="177"/>
  <c r="J63" i="177"/>
  <c r="P63" i="177"/>
  <c r="F63" i="177"/>
  <c r="H63" i="177"/>
  <c r="B63" i="177"/>
  <c r="W62" i="177"/>
  <c r="V62" i="177"/>
  <c r="N62" i="177"/>
  <c r="O62" i="177"/>
  <c r="K62" i="177"/>
  <c r="J62" i="177"/>
  <c r="P62" i="177"/>
  <c r="F62" i="177"/>
  <c r="H62" i="177"/>
  <c r="B62" i="177"/>
  <c r="W61" i="177"/>
  <c r="V61" i="177"/>
  <c r="N61" i="177"/>
  <c r="O61" i="177"/>
  <c r="K61" i="177"/>
  <c r="J61" i="177"/>
  <c r="P61" i="177"/>
  <c r="F61" i="177"/>
  <c r="H61" i="177"/>
  <c r="B61" i="177"/>
  <c r="W60" i="177"/>
  <c r="N60" i="177"/>
  <c r="V60" i="177"/>
  <c r="K60" i="177"/>
  <c r="J60" i="177"/>
  <c r="P60" i="177"/>
  <c r="F60" i="177"/>
  <c r="H60" i="177"/>
  <c r="B60" i="177"/>
  <c r="W59" i="177"/>
  <c r="N59" i="177"/>
  <c r="K59" i="177"/>
  <c r="J59" i="177"/>
  <c r="F59" i="177"/>
  <c r="H59" i="177"/>
  <c r="B59" i="177"/>
  <c r="M58" i="177"/>
  <c r="H18" i="176"/>
  <c r="W57" i="177"/>
  <c r="H57" i="177"/>
  <c r="W56" i="177"/>
  <c r="H56" i="177"/>
  <c r="W55" i="177"/>
  <c r="H55" i="177"/>
  <c r="W54" i="177"/>
  <c r="H54" i="177"/>
  <c r="W53" i="177"/>
  <c r="W52" i="177"/>
  <c r="V52" i="177"/>
  <c r="N52" i="177"/>
  <c r="K52" i="177"/>
  <c r="J52" i="177"/>
  <c r="P52" i="177"/>
  <c r="H52" i="177"/>
  <c r="F52" i="177"/>
  <c r="B52" i="177"/>
  <c r="W51" i="177"/>
  <c r="V51" i="177"/>
  <c r="N51" i="177"/>
  <c r="O51" i="177"/>
  <c r="K51" i="177"/>
  <c r="J51" i="177"/>
  <c r="P51" i="177"/>
  <c r="H51" i="177"/>
  <c r="F51" i="177"/>
  <c r="B51" i="177"/>
  <c r="W50" i="177"/>
  <c r="N50" i="177"/>
  <c r="V50" i="177"/>
  <c r="K50" i="177"/>
  <c r="J50" i="177"/>
  <c r="P50" i="177"/>
  <c r="F50" i="177"/>
  <c r="H50" i="177"/>
  <c r="B50" i="177"/>
  <c r="W49" i="177"/>
  <c r="N49" i="177"/>
  <c r="P49" i="177"/>
  <c r="K49" i="177"/>
  <c r="F49" i="177"/>
  <c r="H49" i="177"/>
  <c r="B49" i="177"/>
  <c r="W48" i="177"/>
  <c r="M48" i="177"/>
  <c r="G18" i="176"/>
  <c r="W47" i="177"/>
  <c r="H47" i="177"/>
  <c r="W46" i="177"/>
  <c r="H46" i="177"/>
  <c r="W45" i="177"/>
  <c r="H45" i="177"/>
  <c r="W44" i="177"/>
  <c r="H44" i="177"/>
  <c r="W43" i="177"/>
  <c r="H43" i="177"/>
  <c r="W42" i="177"/>
  <c r="W41" i="177"/>
  <c r="N41" i="177"/>
  <c r="O41" i="177"/>
  <c r="W40" i="177"/>
  <c r="N40" i="177"/>
  <c r="AC40" i="177"/>
  <c r="V40" i="177"/>
  <c r="J40" i="177"/>
  <c r="L40" i="177"/>
  <c r="H40" i="177"/>
  <c r="F40" i="177"/>
  <c r="W39" i="177"/>
  <c r="V39" i="177"/>
  <c r="P39" i="177"/>
  <c r="N39" i="177"/>
  <c r="O39" i="177"/>
  <c r="L39" i="177"/>
  <c r="F39" i="177"/>
  <c r="H39" i="177"/>
  <c r="W38" i="177"/>
  <c r="N38" i="177"/>
  <c r="O38" i="177"/>
  <c r="L38" i="177"/>
  <c r="P38" i="177"/>
  <c r="H38" i="177"/>
  <c r="F38" i="177"/>
  <c r="M37" i="177"/>
  <c r="W36" i="177"/>
  <c r="H36" i="177"/>
  <c r="W35" i="177"/>
  <c r="H35" i="177"/>
  <c r="W34" i="177"/>
  <c r="H34" i="177"/>
  <c r="W33" i="177"/>
  <c r="H33" i="177"/>
  <c r="W32" i="177"/>
  <c r="W31" i="177"/>
  <c r="W30" i="177"/>
  <c r="N30" i="177"/>
  <c r="O30" i="177"/>
  <c r="V30" i="177"/>
  <c r="K30" i="177"/>
  <c r="J30" i="177"/>
  <c r="P30" i="177"/>
  <c r="H30" i="177"/>
  <c r="F30" i="177"/>
  <c r="B30" i="177"/>
  <c r="W29" i="177"/>
  <c r="N29" i="177"/>
  <c r="O29" i="177"/>
  <c r="V29" i="177"/>
  <c r="K29" i="177"/>
  <c r="J29" i="177"/>
  <c r="P29" i="177"/>
  <c r="H29" i="177"/>
  <c r="F29" i="177"/>
  <c r="B29" i="177"/>
  <c r="W28" i="177"/>
  <c r="N28" i="177"/>
  <c r="V28" i="177"/>
  <c r="K28" i="177"/>
  <c r="J28" i="177"/>
  <c r="P28" i="177"/>
  <c r="F28" i="177"/>
  <c r="H28" i="177"/>
  <c r="B28" i="177"/>
  <c r="W27" i="177"/>
  <c r="N27" i="177"/>
  <c r="K27" i="177"/>
  <c r="J27" i="177"/>
  <c r="P27" i="177"/>
  <c r="F27" i="177"/>
  <c r="H27" i="177"/>
  <c r="M26" i="177"/>
  <c r="E18" i="176"/>
  <c r="W25" i="177"/>
  <c r="H25" i="177"/>
  <c r="W24" i="177"/>
  <c r="H24" i="177"/>
  <c r="W23" i="177"/>
  <c r="H22" i="177"/>
  <c r="W21" i="177"/>
  <c r="W20" i="177"/>
  <c r="N20" i="177"/>
  <c r="O20" i="177"/>
  <c r="K20" i="177"/>
  <c r="J20" i="177"/>
  <c r="P20" i="177"/>
  <c r="F20" i="177"/>
  <c r="H20" i="177"/>
  <c r="B20" i="177"/>
  <c r="W19" i="177"/>
  <c r="N19" i="177"/>
  <c r="V19" i="177"/>
  <c r="K19" i="177"/>
  <c r="J19" i="177"/>
  <c r="P19" i="177"/>
  <c r="F19" i="177"/>
  <c r="H19" i="177"/>
  <c r="B19" i="177"/>
  <c r="W18" i="177"/>
  <c r="N18" i="177"/>
  <c r="V18" i="177"/>
  <c r="K18" i="177"/>
  <c r="J18" i="177"/>
  <c r="P18" i="177"/>
  <c r="F18" i="177"/>
  <c r="H18" i="177"/>
  <c r="B18" i="177"/>
  <c r="W17" i="177"/>
  <c r="N17" i="177"/>
  <c r="O17" i="177"/>
  <c r="V17" i="177"/>
  <c r="K17" i="177"/>
  <c r="J17" i="177"/>
  <c r="F17" i="177"/>
  <c r="H17" i="177"/>
  <c r="B17" i="177"/>
  <c r="W16" i="177"/>
  <c r="P16" i="177"/>
  <c r="N16" i="177"/>
  <c r="O16" i="177"/>
  <c r="F16" i="177"/>
  <c r="H16" i="177"/>
  <c r="B16" i="177"/>
  <c r="M15" i="177"/>
  <c r="D18" i="176"/>
  <c r="W14" i="177"/>
  <c r="W13" i="177"/>
  <c r="W12" i="177"/>
  <c r="H12" i="177"/>
  <c r="W11" i="177"/>
  <c r="H11" i="177"/>
  <c r="W10" i="177"/>
  <c r="W9" i="177"/>
  <c r="V9" i="177"/>
  <c r="N9" i="177"/>
  <c r="O9" i="177"/>
  <c r="K9" i="177"/>
  <c r="J9" i="177"/>
  <c r="P9" i="177"/>
  <c r="F9" i="177"/>
  <c r="H9" i="177"/>
  <c r="B9" i="177"/>
  <c r="W8" i="177"/>
  <c r="N8" i="177"/>
  <c r="V8" i="177"/>
  <c r="K8" i="177"/>
  <c r="J8" i="177"/>
  <c r="P8" i="177"/>
  <c r="F8" i="177"/>
  <c r="H8" i="177"/>
  <c r="B8" i="177"/>
  <c r="W7" i="177"/>
  <c r="N7" i="177"/>
  <c r="V7" i="177"/>
  <c r="K7" i="177"/>
  <c r="J7" i="177"/>
  <c r="P7" i="177"/>
  <c r="F7" i="177"/>
  <c r="H7" i="177"/>
  <c r="B7" i="177"/>
  <c r="W6" i="177"/>
  <c r="V6" i="177"/>
  <c r="N6" i="177"/>
  <c r="AC6" i="177"/>
  <c r="J6" i="177"/>
  <c r="P6" i="177"/>
  <c r="F6" i="177"/>
  <c r="H6" i="177"/>
  <c r="B6" i="177"/>
  <c r="W5" i="177"/>
  <c r="N5" i="177"/>
  <c r="K5" i="177"/>
  <c r="J5" i="177"/>
  <c r="F5" i="177"/>
  <c r="H5" i="177"/>
  <c r="B5" i="177"/>
  <c r="I2" i="177"/>
  <c r="E1" i="177"/>
  <c r="G3" i="176"/>
  <c r="I18" i="176"/>
  <c r="I16" i="176"/>
  <c r="H16" i="176"/>
  <c r="G16" i="176"/>
  <c r="F16" i="176"/>
  <c r="E16" i="176"/>
  <c r="D16" i="176"/>
  <c r="I18" i="174"/>
  <c r="H18" i="174"/>
  <c r="G18" i="174"/>
  <c r="F18" i="174"/>
  <c r="E18" i="174"/>
  <c r="D18" i="174"/>
  <c r="V63" i="175"/>
  <c r="K63" i="175"/>
  <c r="AC63" i="175"/>
  <c r="J63" i="175"/>
  <c r="P63" i="175"/>
  <c r="F63" i="175"/>
  <c r="H63" i="175"/>
  <c r="B63" i="175"/>
  <c r="P49" i="175"/>
  <c r="K21" i="175"/>
  <c r="J21" i="175"/>
  <c r="P21" i="175"/>
  <c r="F21" i="175"/>
  <c r="H21" i="175"/>
  <c r="B21" i="175"/>
  <c r="K20" i="175"/>
  <c r="J20" i="175"/>
  <c r="P20" i="175"/>
  <c r="F20" i="175"/>
  <c r="H20" i="175"/>
  <c r="B20" i="175"/>
  <c r="K19" i="175"/>
  <c r="J19" i="175"/>
  <c r="P19" i="175"/>
  <c r="F19" i="175"/>
  <c r="H19" i="175"/>
  <c r="B19" i="175"/>
  <c r="N18" i="175"/>
  <c r="O18" i="175"/>
  <c r="K18" i="175"/>
  <c r="J18" i="175"/>
  <c r="F18" i="175"/>
  <c r="H18" i="175"/>
  <c r="B18" i="175"/>
  <c r="I16" i="174"/>
  <c r="H16" i="174"/>
  <c r="G16" i="174"/>
  <c r="F16" i="174"/>
  <c r="E16" i="174"/>
  <c r="D16" i="174"/>
  <c r="AC79" i="175"/>
  <c r="AD70" i="175"/>
  <c r="AB79" i="175"/>
  <c r="J79" i="175"/>
  <c r="W78" i="175"/>
  <c r="H78" i="175"/>
  <c r="W77" i="175"/>
  <c r="H77" i="175"/>
  <c r="W76" i="175"/>
  <c r="H76" i="175"/>
  <c r="W75" i="175"/>
  <c r="H75" i="175"/>
  <c r="W74" i="175"/>
  <c r="H74" i="175"/>
  <c r="W73" i="175"/>
  <c r="W72" i="175"/>
  <c r="W71" i="175"/>
  <c r="AC70" i="175"/>
  <c r="AB70" i="175"/>
  <c r="W70" i="175"/>
  <c r="S70" i="175"/>
  <c r="M69" i="175"/>
  <c r="W68" i="175"/>
  <c r="H68" i="175"/>
  <c r="W67" i="175"/>
  <c r="H67" i="175"/>
  <c r="W66" i="175"/>
  <c r="H66" i="175"/>
  <c r="W65" i="175"/>
  <c r="W64" i="175"/>
  <c r="W63" i="175"/>
  <c r="N63" i="175"/>
  <c r="O63" i="175"/>
  <c r="W62" i="175"/>
  <c r="N62" i="175"/>
  <c r="O62" i="175"/>
  <c r="V62" i="175"/>
  <c r="K62" i="175"/>
  <c r="AB62" i="175"/>
  <c r="J62" i="175"/>
  <c r="P62" i="175"/>
  <c r="F62" i="175"/>
  <c r="H62" i="175"/>
  <c r="B62" i="175"/>
  <c r="W61" i="175"/>
  <c r="V61" i="175"/>
  <c r="N61" i="175"/>
  <c r="K61" i="175"/>
  <c r="J61" i="175"/>
  <c r="P61" i="175"/>
  <c r="F61" i="175"/>
  <c r="H61" i="175"/>
  <c r="B61" i="175"/>
  <c r="W60" i="175"/>
  <c r="V60" i="175"/>
  <c r="N60" i="175"/>
  <c r="K60" i="175"/>
  <c r="J60" i="175"/>
  <c r="P60" i="175"/>
  <c r="F60" i="175"/>
  <c r="H60" i="175"/>
  <c r="B60" i="175"/>
  <c r="W59" i="175"/>
  <c r="N59" i="175"/>
  <c r="K59" i="175"/>
  <c r="J59" i="175"/>
  <c r="P59" i="175"/>
  <c r="H59" i="175"/>
  <c r="F59" i="175"/>
  <c r="B59" i="175"/>
  <c r="M58" i="175"/>
  <c r="W57" i="175"/>
  <c r="H57" i="175"/>
  <c r="W56" i="175"/>
  <c r="H56" i="175"/>
  <c r="W55" i="175"/>
  <c r="H55" i="175"/>
  <c r="W54" i="175"/>
  <c r="H54" i="175"/>
  <c r="W53" i="175"/>
  <c r="W52" i="175"/>
  <c r="N52" i="175"/>
  <c r="O52" i="175"/>
  <c r="V52" i="175"/>
  <c r="K52" i="175"/>
  <c r="AB52" i="175"/>
  <c r="J52" i="175"/>
  <c r="P52" i="175"/>
  <c r="H52" i="175"/>
  <c r="F52" i="175"/>
  <c r="B52" i="175"/>
  <c r="W51" i="175"/>
  <c r="N51" i="175"/>
  <c r="V51" i="175"/>
  <c r="K51" i="175"/>
  <c r="J51" i="175"/>
  <c r="P51" i="175"/>
  <c r="H51" i="175"/>
  <c r="F51" i="175"/>
  <c r="B51" i="175"/>
  <c r="W50" i="175"/>
  <c r="V50" i="175"/>
  <c r="N50" i="175"/>
  <c r="O50" i="175"/>
  <c r="K50" i="175"/>
  <c r="J50" i="175"/>
  <c r="F50" i="175"/>
  <c r="H50" i="175"/>
  <c r="B50" i="175"/>
  <c r="W49" i="175"/>
  <c r="N49" i="175"/>
  <c r="O49" i="175"/>
  <c r="K49" i="175"/>
  <c r="F49" i="175"/>
  <c r="H49" i="175"/>
  <c r="B49" i="175"/>
  <c r="W48" i="175"/>
  <c r="M48" i="175"/>
  <c r="W47" i="175"/>
  <c r="H47" i="175"/>
  <c r="W46" i="175"/>
  <c r="H46" i="175"/>
  <c r="W45" i="175"/>
  <c r="H45" i="175"/>
  <c r="W44" i="175"/>
  <c r="H44" i="175"/>
  <c r="W43" i="175"/>
  <c r="H43" i="175"/>
  <c r="W42" i="175"/>
  <c r="W41" i="175"/>
  <c r="W40" i="175"/>
  <c r="N40" i="175"/>
  <c r="V40" i="175"/>
  <c r="K40" i="175"/>
  <c r="J40" i="175"/>
  <c r="P40" i="175"/>
  <c r="F40" i="175"/>
  <c r="H40" i="175"/>
  <c r="W39" i="175"/>
  <c r="N39" i="175"/>
  <c r="AC39" i="175"/>
  <c r="V39" i="175"/>
  <c r="P39" i="175"/>
  <c r="L39" i="175"/>
  <c r="F39" i="175"/>
  <c r="H39" i="175"/>
  <c r="W38" i="175"/>
  <c r="N38" i="175"/>
  <c r="K38" i="175"/>
  <c r="J38" i="175"/>
  <c r="P38" i="175"/>
  <c r="H38" i="175"/>
  <c r="F38" i="175"/>
  <c r="M37" i="175"/>
  <c r="W36" i="175"/>
  <c r="H36" i="175"/>
  <c r="W35" i="175"/>
  <c r="H35" i="175"/>
  <c r="W34" i="175"/>
  <c r="H34" i="175"/>
  <c r="W33" i="175"/>
  <c r="H33" i="175"/>
  <c r="W32" i="175"/>
  <c r="W31" i="175"/>
  <c r="W30" i="175"/>
  <c r="N30" i="175"/>
  <c r="O30" i="175"/>
  <c r="V30" i="175"/>
  <c r="K30" i="175"/>
  <c r="J30" i="175"/>
  <c r="P30" i="175"/>
  <c r="H30" i="175"/>
  <c r="F30" i="175"/>
  <c r="B30" i="175"/>
  <c r="W29" i="175"/>
  <c r="N29" i="175"/>
  <c r="V29" i="175"/>
  <c r="K29" i="175"/>
  <c r="J29" i="175"/>
  <c r="H29" i="175"/>
  <c r="F29" i="175"/>
  <c r="B29" i="175"/>
  <c r="W28" i="175"/>
  <c r="V28" i="175"/>
  <c r="N28" i="175"/>
  <c r="K28" i="175"/>
  <c r="J28" i="175"/>
  <c r="P28" i="175"/>
  <c r="H28" i="175"/>
  <c r="F28" i="175"/>
  <c r="B28" i="175"/>
  <c r="W27" i="175"/>
  <c r="N27" i="175"/>
  <c r="O27" i="175"/>
  <c r="K27" i="175"/>
  <c r="J27" i="175"/>
  <c r="H27" i="175"/>
  <c r="F27" i="175"/>
  <c r="M26" i="175"/>
  <c r="W25" i="175"/>
  <c r="H25" i="175"/>
  <c r="W24" i="175"/>
  <c r="H24" i="175"/>
  <c r="W23" i="175"/>
  <c r="H22" i="175"/>
  <c r="W21" i="175"/>
  <c r="N21" i="175"/>
  <c r="O21" i="175"/>
  <c r="W20" i="175"/>
  <c r="N20" i="175"/>
  <c r="O20" i="175"/>
  <c r="W19" i="175"/>
  <c r="N19" i="175"/>
  <c r="O19" i="175"/>
  <c r="V19" i="175"/>
  <c r="W18" i="175"/>
  <c r="V18" i="175"/>
  <c r="W17" i="175"/>
  <c r="V17" i="175"/>
  <c r="N17" i="175"/>
  <c r="O17" i="175"/>
  <c r="K17" i="175"/>
  <c r="J17" i="175"/>
  <c r="P17" i="175"/>
  <c r="F17" i="175"/>
  <c r="H17" i="175"/>
  <c r="B17" i="175"/>
  <c r="W16" i="175"/>
  <c r="N16" i="175"/>
  <c r="AC16" i="175"/>
  <c r="P16" i="175"/>
  <c r="H16" i="175"/>
  <c r="F16" i="175"/>
  <c r="B16" i="175"/>
  <c r="M15" i="175"/>
  <c r="W14" i="175"/>
  <c r="W13" i="175"/>
  <c r="W12" i="175"/>
  <c r="H12" i="175"/>
  <c r="W11" i="175"/>
  <c r="H11" i="175"/>
  <c r="W10" i="175"/>
  <c r="W9" i="175"/>
  <c r="N9" i="175"/>
  <c r="O9" i="175"/>
  <c r="V9" i="175"/>
  <c r="K9" i="175"/>
  <c r="J9" i="175"/>
  <c r="P9" i="175"/>
  <c r="F9" i="175"/>
  <c r="H9" i="175"/>
  <c r="B9" i="175"/>
  <c r="W8" i="175"/>
  <c r="N8" i="175"/>
  <c r="V8" i="175"/>
  <c r="K8" i="175"/>
  <c r="J8" i="175"/>
  <c r="P8" i="175"/>
  <c r="F8" i="175"/>
  <c r="H8" i="175"/>
  <c r="B8" i="175"/>
  <c r="W7" i="175"/>
  <c r="N7" i="175"/>
  <c r="V7" i="175"/>
  <c r="K7" i="175"/>
  <c r="J7" i="175"/>
  <c r="L7" i="175"/>
  <c r="F7" i="175"/>
  <c r="H7" i="175"/>
  <c r="B7" i="175"/>
  <c r="W6" i="175"/>
  <c r="V6" i="175"/>
  <c r="N6" i="175"/>
  <c r="AB6" i="175"/>
  <c r="J6" i="175"/>
  <c r="P6" i="175"/>
  <c r="F6" i="175"/>
  <c r="H6" i="175"/>
  <c r="B6" i="175"/>
  <c r="W5" i="175"/>
  <c r="N5" i="175"/>
  <c r="K5" i="175"/>
  <c r="J5" i="175"/>
  <c r="P5" i="175"/>
  <c r="F5" i="175"/>
  <c r="H5" i="175"/>
  <c r="B5" i="175"/>
  <c r="I2" i="175"/>
  <c r="E1" i="175"/>
  <c r="G3" i="174"/>
  <c r="V62" i="173"/>
  <c r="V52" i="173"/>
  <c r="P16" i="173"/>
  <c r="P19" i="173"/>
  <c r="N19" i="173"/>
  <c r="O19" i="173"/>
  <c r="N18" i="173"/>
  <c r="O18" i="173"/>
  <c r="N17" i="173"/>
  <c r="O17" i="173"/>
  <c r="H19" i="173"/>
  <c r="H18" i="173"/>
  <c r="H17" i="173"/>
  <c r="H16" i="173"/>
  <c r="F19" i="173"/>
  <c r="F18" i="173"/>
  <c r="F17" i="173"/>
  <c r="F16" i="173"/>
  <c r="B19" i="173"/>
  <c r="B18" i="173"/>
  <c r="B17" i="173"/>
  <c r="B16" i="173"/>
  <c r="J17" i="173"/>
  <c r="P17" i="173"/>
  <c r="K17" i="173"/>
  <c r="L17" i="173"/>
  <c r="J18" i="173"/>
  <c r="P18" i="173"/>
  <c r="K18" i="173"/>
  <c r="L18" i="173"/>
  <c r="K19" i="173"/>
  <c r="J19" i="173"/>
  <c r="K5" i="173"/>
  <c r="J5" i="173"/>
  <c r="P5" i="173"/>
  <c r="F5" i="173"/>
  <c r="H5" i="173"/>
  <c r="B5" i="173"/>
  <c r="J6" i="173"/>
  <c r="P6" i="173"/>
  <c r="F6" i="173"/>
  <c r="H6" i="173"/>
  <c r="B6" i="173"/>
  <c r="K7" i="173"/>
  <c r="J7" i="173"/>
  <c r="P7" i="173"/>
  <c r="F7" i="173"/>
  <c r="H7" i="173"/>
  <c r="B7" i="173"/>
  <c r="K8" i="173"/>
  <c r="J8" i="173"/>
  <c r="P8" i="173"/>
  <c r="F8" i="173"/>
  <c r="H8" i="173"/>
  <c r="B8" i="173"/>
  <c r="K9" i="173"/>
  <c r="J9" i="173"/>
  <c r="P9" i="173"/>
  <c r="F9" i="173"/>
  <c r="H9" i="173"/>
  <c r="B9" i="173"/>
  <c r="H14" i="178"/>
  <c r="H15" i="178"/>
  <c r="R58" i="179"/>
  <c r="S49" i="179"/>
  <c r="I14" i="178"/>
  <c r="R69" i="179"/>
  <c r="S59" i="179"/>
  <c r="F6" i="178"/>
  <c r="H6" i="178"/>
  <c r="R48" i="179"/>
  <c r="S38" i="179"/>
  <c r="G14" i="178"/>
  <c r="G15" i="178"/>
  <c r="E14" i="178"/>
  <c r="E15" i="178"/>
  <c r="R26" i="179"/>
  <c r="S16" i="179"/>
  <c r="Q26" i="179"/>
  <c r="Q15" i="179"/>
  <c r="R15" i="179"/>
  <c r="S5" i="179"/>
  <c r="E2" i="179"/>
  <c r="D14" i="178"/>
  <c r="R37" i="179"/>
  <c r="S27" i="179"/>
  <c r="F14" i="178"/>
  <c r="F15" i="178"/>
  <c r="AC59" i="175"/>
  <c r="L59" i="177"/>
  <c r="L59" i="175"/>
  <c r="AB51" i="175"/>
  <c r="L29" i="177"/>
  <c r="L7" i="173"/>
  <c r="AC61" i="175"/>
  <c r="L40" i="175"/>
  <c r="L29" i="175"/>
  <c r="L51" i="177"/>
  <c r="Q51" i="177"/>
  <c r="L50" i="175"/>
  <c r="Q50" i="175"/>
  <c r="L21" i="175"/>
  <c r="R21" i="175"/>
  <c r="L19" i="173"/>
  <c r="Q19" i="173"/>
  <c r="L17" i="175"/>
  <c r="R17" i="175"/>
  <c r="L7" i="177"/>
  <c r="L48" i="177"/>
  <c r="G13" i="176"/>
  <c r="L9" i="175"/>
  <c r="R9" i="175"/>
  <c r="L62" i="175"/>
  <c r="L62" i="177"/>
  <c r="L5" i="173"/>
  <c r="J37" i="175"/>
  <c r="P37" i="175"/>
  <c r="K37" i="175"/>
  <c r="L63" i="175"/>
  <c r="Q63" i="175"/>
  <c r="L52" i="177"/>
  <c r="L8" i="173"/>
  <c r="L27" i="175"/>
  <c r="L30" i="175"/>
  <c r="Q30" i="175"/>
  <c r="AC52" i="177"/>
  <c r="AC62" i="175"/>
  <c r="L30" i="177"/>
  <c r="Q30" i="177"/>
  <c r="J58" i="175"/>
  <c r="P58" i="175"/>
  <c r="L61" i="175"/>
  <c r="R61" i="175"/>
  <c r="AC52" i="175"/>
  <c r="J69" i="177"/>
  <c r="P69" i="177"/>
  <c r="L61" i="177"/>
  <c r="R61" i="177"/>
  <c r="L8" i="177"/>
  <c r="L60" i="175"/>
  <c r="AC60" i="175"/>
  <c r="L60" i="177"/>
  <c r="K58" i="177"/>
  <c r="L9" i="173"/>
  <c r="AB28" i="175"/>
  <c r="L19" i="175"/>
  <c r="Q19" i="175"/>
  <c r="P29" i="175"/>
  <c r="L38" i="175"/>
  <c r="L48" i="175"/>
  <c r="G13" i="174"/>
  <c r="AB63" i="175"/>
  <c r="L20" i="177"/>
  <c r="R20" i="177"/>
  <c r="K37" i="177"/>
  <c r="L63" i="177"/>
  <c r="R41" i="177"/>
  <c r="Q41" i="177"/>
  <c r="AB39" i="177"/>
  <c r="AC39" i="177"/>
  <c r="AB6" i="177"/>
  <c r="O6" i="177"/>
  <c r="J48" i="177"/>
  <c r="P48" i="177"/>
  <c r="L18" i="177"/>
  <c r="L19" i="177"/>
  <c r="K26" i="177"/>
  <c r="J26" i="177"/>
  <c r="P26" i="177"/>
  <c r="P17" i="177"/>
  <c r="AB17" i="177"/>
  <c r="AC17" i="177"/>
  <c r="L17" i="177"/>
  <c r="R17" i="177"/>
  <c r="L9" i="177"/>
  <c r="R9" i="177"/>
  <c r="K15" i="177"/>
  <c r="J15" i="177"/>
  <c r="P15" i="177"/>
  <c r="AC8" i="177"/>
  <c r="AB8" i="177"/>
  <c r="O8" i="177"/>
  <c r="O28" i="177"/>
  <c r="AC28" i="177"/>
  <c r="AB28" i="177"/>
  <c r="N15" i="177"/>
  <c r="R39" i="177"/>
  <c r="Q39" i="177"/>
  <c r="R38" i="177"/>
  <c r="Q38" i="177"/>
  <c r="N58" i="177"/>
  <c r="AC49" i="177"/>
  <c r="O49" i="177"/>
  <c r="AB49" i="177"/>
  <c r="G1" i="177"/>
  <c r="O19" i="177"/>
  <c r="AC19" i="177"/>
  <c r="AB19" i="177"/>
  <c r="O50" i="177"/>
  <c r="AC50" i="177"/>
  <c r="AB50" i="177"/>
  <c r="AB18" i="177"/>
  <c r="O18" i="177"/>
  <c r="AC18" i="177"/>
  <c r="R16" i="177"/>
  <c r="Q16" i="177"/>
  <c r="AC27" i="177"/>
  <c r="N37" i="177"/>
  <c r="O27" i="177"/>
  <c r="AB27" i="177"/>
  <c r="AC60" i="177"/>
  <c r="AB60" i="177"/>
  <c r="O60" i="177"/>
  <c r="Q62" i="177"/>
  <c r="R62" i="177"/>
  <c r="N69" i="177"/>
  <c r="AC59" i="177"/>
  <c r="AB59" i="177"/>
  <c r="O59" i="177"/>
  <c r="AC7" i="177"/>
  <c r="AB7" i="177"/>
  <c r="O7" i="177"/>
  <c r="R29" i="177"/>
  <c r="Q29" i="177"/>
  <c r="AB5" i="177"/>
  <c r="F18" i="176"/>
  <c r="AC5" i="177"/>
  <c r="L27" i="177"/>
  <c r="O40" i="177"/>
  <c r="O48" i="177"/>
  <c r="N48" i="177"/>
  <c r="L49" i="177"/>
  <c r="O52" i="177"/>
  <c r="P59" i="177"/>
  <c r="AB61" i="177"/>
  <c r="O63" i="177"/>
  <c r="N26" i="177"/>
  <c r="P40" i="177"/>
  <c r="AC61" i="177"/>
  <c r="L5" i="177"/>
  <c r="AB16" i="177"/>
  <c r="AB29" i="177"/>
  <c r="AB38" i="177"/>
  <c r="AB51" i="177"/>
  <c r="AB62" i="177"/>
  <c r="AC62" i="177"/>
  <c r="L28" i="177"/>
  <c r="J37" i="177"/>
  <c r="P37" i="177"/>
  <c r="AC38" i="177"/>
  <c r="O5" i="177"/>
  <c r="K69" i="177"/>
  <c r="AC51" i="177"/>
  <c r="J58" i="177"/>
  <c r="P58" i="177"/>
  <c r="I1" i="177"/>
  <c r="P5" i="177"/>
  <c r="L6" i="177"/>
  <c r="R6" i="177"/>
  <c r="AB40" i="177"/>
  <c r="AB52" i="177"/>
  <c r="AB63" i="177"/>
  <c r="AC16" i="177"/>
  <c r="AC29" i="177"/>
  <c r="K48" i="177"/>
  <c r="AB59" i="175"/>
  <c r="N69" i="175"/>
  <c r="O59" i="175"/>
  <c r="R59" i="175"/>
  <c r="O61" i="175"/>
  <c r="O60" i="175"/>
  <c r="J69" i="175"/>
  <c r="P69" i="175"/>
  <c r="L49" i="175"/>
  <c r="Q49" i="175"/>
  <c r="AC51" i="175"/>
  <c r="AB50" i="175"/>
  <c r="AC50" i="175"/>
  <c r="K58" i="175"/>
  <c r="P50" i="175"/>
  <c r="O39" i="175"/>
  <c r="Q39" i="175"/>
  <c r="R39" i="175"/>
  <c r="I1" i="175"/>
  <c r="K48" i="175"/>
  <c r="AC28" i="175"/>
  <c r="L20" i="175"/>
  <c r="Q20" i="175"/>
  <c r="L18" i="175"/>
  <c r="Q18" i="175"/>
  <c r="R20" i="175"/>
  <c r="J26" i="175"/>
  <c r="P26" i="175"/>
  <c r="P18" i="175"/>
  <c r="K26" i="175"/>
  <c r="O16" i="175"/>
  <c r="AB16" i="175"/>
  <c r="AC5" i="175"/>
  <c r="AC6" i="175"/>
  <c r="N15" i="175"/>
  <c r="L8" i="175"/>
  <c r="P7" i="175"/>
  <c r="L6" i="175"/>
  <c r="L5" i="175"/>
  <c r="K15" i="175"/>
  <c r="AB5" i="175"/>
  <c r="R62" i="175"/>
  <c r="Q62" i="175"/>
  <c r="R27" i="175"/>
  <c r="Q27" i="175"/>
  <c r="Q9" i="175"/>
  <c r="O40" i="175"/>
  <c r="AC40" i="175"/>
  <c r="AB40" i="175"/>
  <c r="G1" i="175"/>
  <c r="O8" i="175"/>
  <c r="AC8" i="175"/>
  <c r="AB8" i="175"/>
  <c r="O29" i="175"/>
  <c r="AC29" i="175"/>
  <c r="AB29" i="175"/>
  <c r="N48" i="175"/>
  <c r="O38" i="175"/>
  <c r="AC38" i="175"/>
  <c r="AB38" i="175"/>
  <c r="O7" i="175"/>
  <c r="AC7" i="175"/>
  <c r="AB7" i="175"/>
  <c r="AC19" i="175"/>
  <c r="AB19" i="175"/>
  <c r="O5" i="175"/>
  <c r="P27" i="175"/>
  <c r="J15" i="175"/>
  <c r="P15" i="175"/>
  <c r="L28" i="175"/>
  <c r="AB39" i="175"/>
  <c r="L51" i="175"/>
  <c r="N58" i="175"/>
  <c r="AB60" i="175"/>
  <c r="AB17" i="175"/>
  <c r="J48" i="175"/>
  <c r="P48" i="175"/>
  <c r="AB49" i="175"/>
  <c r="O6" i="175"/>
  <c r="AC17" i="175"/>
  <c r="O28" i="175"/>
  <c r="AC49" i="175"/>
  <c r="O51" i="175"/>
  <c r="O58" i="175"/>
  <c r="H14" i="174"/>
  <c r="N26" i="175"/>
  <c r="L52" i="175"/>
  <c r="Q52" i="175"/>
  <c r="AB61" i="175"/>
  <c r="AB18" i="175"/>
  <c r="AB27" i="175"/>
  <c r="N37" i="175"/>
  <c r="K69" i="175"/>
  <c r="AC18" i="175"/>
  <c r="AC27" i="175"/>
  <c r="R18" i="173"/>
  <c r="Q18" i="173"/>
  <c r="R17" i="173"/>
  <c r="Q17" i="173"/>
  <c r="L6" i="173"/>
  <c r="D15" i="178"/>
  <c r="H7" i="178"/>
  <c r="F7" i="178"/>
  <c r="I15" i="178"/>
  <c r="J8" i="178"/>
  <c r="J7" i="178"/>
  <c r="R30" i="177"/>
  <c r="Q9" i="177"/>
  <c r="R63" i="175"/>
  <c r="R50" i="175"/>
  <c r="R51" i="177"/>
  <c r="L69" i="177"/>
  <c r="I13" i="176"/>
  <c r="Q21" i="175"/>
  <c r="R18" i="175"/>
  <c r="R19" i="175"/>
  <c r="L37" i="177"/>
  <c r="F13" i="176"/>
  <c r="L69" i="175"/>
  <c r="I13" i="174"/>
  <c r="L37" i="175"/>
  <c r="F13" i="174"/>
  <c r="Q17" i="175"/>
  <c r="L26" i="177"/>
  <c r="E13" i="176"/>
  <c r="R19" i="173"/>
  <c r="R60" i="175"/>
  <c r="Q61" i="175"/>
  <c r="R52" i="175"/>
  <c r="R30" i="175"/>
  <c r="L15" i="177"/>
  <c r="D13" i="176"/>
  <c r="L26" i="175"/>
  <c r="E13" i="174"/>
  <c r="L58" i="175"/>
  <c r="H13" i="174"/>
  <c r="H15" i="174"/>
  <c r="Q20" i="177"/>
  <c r="Q61" i="177"/>
  <c r="O26" i="177"/>
  <c r="Q6" i="177"/>
  <c r="Q17" i="177"/>
  <c r="AC37" i="177"/>
  <c r="AD27" i="177"/>
  <c r="AB37" i="177"/>
  <c r="Q37" i="177"/>
  <c r="G2" i="177"/>
  <c r="J3" i="176"/>
  <c r="O58" i="177"/>
  <c r="Q49" i="177"/>
  <c r="R49" i="177"/>
  <c r="Q69" i="177"/>
  <c r="AC69" i="177"/>
  <c r="AD59" i="177"/>
  <c r="AB69" i="177"/>
  <c r="O37" i="177"/>
  <c r="Q27" i="177"/>
  <c r="R27" i="177"/>
  <c r="AC26" i="177"/>
  <c r="AD16" i="177"/>
  <c r="AB26" i="177"/>
  <c r="R18" i="177"/>
  <c r="Q18" i="177"/>
  <c r="Q52" i="177"/>
  <c r="R52" i="177"/>
  <c r="G14" i="176"/>
  <c r="G15" i="176"/>
  <c r="R48" i="177"/>
  <c r="S38" i="177"/>
  <c r="R19" i="177"/>
  <c r="Q19" i="177"/>
  <c r="R5" i="177"/>
  <c r="Q5" i="177"/>
  <c r="O15" i="177"/>
  <c r="R28" i="177"/>
  <c r="Q28" i="177"/>
  <c r="O69" i="177"/>
  <c r="R59" i="177"/>
  <c r="Q59" i="177"/>
  <c r="AC15" i="177"/>
  <c r="AD5" i="177"/>
  <c r="AB15" i="177"/>
  <c r="R63" i="177"/>
  <c r="Q63" i="177"/>
  <c r="AB58" i="177"/>
  <c r="AC58" i="177"/>
  <c r="AD49" i="177"/>
  <c r="Q58" i="177"/>
  <c r="R8" i="177"/>
  <c r="Q8" i="177"/>
  <c r="R60" i="177"/>
  <c r="Q60" i="177"/>
  <c r="AC48" i="177"/>
  <c r="AD38" i="177"/>
  <c r="AB48" i="177"/>
  <c r="Q48" i="177"/>
  <c r="R7" i="177"/>
  <c r="Q7" i="177"/>
  <c r="Q40" i="177"/>
  <c r="R40" i="177"/>
  <c r="Q69" i="175"/>
  <c r="Q59" i="175"/>
  <c r="O69" i="175"/>
  <c r="I14" i="174"/>
  <c r="J7" i="174"/>
  <c r="Q60" i="175"/>
  <c r="R49" i="175"/>
  <c r="Q16" i="175"/>
  <c r="R16" i="175"/>
  <c r="AC15" i="175"/>
  <c r="AD5" i="175"/>
  <c r="AB15" i="175"/>
  <c r="L15" i="175"/>
  <c r="D13" i="174"/>
  <c r="G2" i="175"/>
  <c r="J3" i="174"/>
  <c r="R28" i="175"/>
  <c r="Q28" i="175"/>
  <c r="Q8" i="175"/>
  <c r="R8" i="175"/>
  <c r="O37" i="175"/>
  <c r="R6" i="175"/>
  <c r="Q6" i="175"/>
  <c r="O15" i="175"/>
  <c r="D14" i="174"/>
  <c r="R5" i="175"/>
  <c r="Q5" i="175"/>
  <c r="R38" i="175"/>
  <c r="Q38" i="175"/>
  <c r="O48" i="175"/>
  <c r="AC37" i="175"/>
  <c r="AD27" i="175"/>
  <c r="Q37" i="175"/>
  <c r="AB37" i="175"/>
  <c r="Q48" i="175"/>
  <c r="AC48" i="175"/>
  <c r="AD38" i="175"/>
  <c r="AB48" i="175"/>
  <c r="Q40" i="175"/>
  <c r="R40" i="175"/>
  <c r="AB69" i="175"/>
  <c r="AC58" i="175"/>
  <c r="AD49" i="175"/>
  <c r="AB58" i="175"/>
  <c r="Q58" i="175"/>
  <c r="AC69" i="175"/>
  <c r="AD59" i="175"/>
  <c r="AC26" i="175"/>
  <c r="AD16" i="175"/>
  <c r="AB26" i="175"/>
  <c r="R29" i="175"/>
  <c r="Q29" i="175"/>
  <c r="R51" i="175"/>
  <c r="Q51" i="175"/>
  <c r="R7" i="175"/>
  <c r="Q7" i="175"/>
  <c r="O26" i="175"/>
  <c r="E14" i="174"/>
  <c r="AC79" i="173"/>
  <c r="AB79" i="173"/>
  <c r="J79" i="173"/>
  <c r="W78" i="173"/>
  <c r="H78" i="173"/>
  <c r="W77" i="173"/>
  <c r="H77" i="173"/>
  <c r="W76" i="173"/>
  <c r="H76" i="173"/>
  <c r="W75" i="173"/>
  <c r="H75" i="173"/>
  <c r="W74" i="173"/>
  <c r="H74" i="173"/>
  <c r="W73" i="173"/>
  <c r="W72" i="173"/>
  <c r="W71" i="173"/>
  <c r="AD70" i="173"/>
  <c r="AC70" i="173"/>
  <c r="AB70" i="173"/>
  <c r="W70" i="173"/>
  <c r="S70" i="173"/>
  <c r="M69" i="173"/>
  <c r="W68" i="173"/>
  <c r="H68" i="173"/>
  <c r="W67" i="173"/>
  <c r="H67" i="173"/>
  <c r="W66" i="173"/>
  <c r="H66" i="173"/>
  <c r="W65" i="173"/>
  <c r="W64" i="173"/>
  <c r="W63" i="173"/>
  <c r="W62" i="173"/>
  <c r="N62" i="173"/>
  <c r="O62" i="173"/>
  <c r="K62" i="173"/>
  <c r="J62" i="173"/>
  <c r="P62" i="173"/>
  <c r="F62" i="173"/>
  <c r="H62" i="173"/>
  <c r="B62" i="173"/>
  <c r="W61" i="173"/>
  <c r="N61" i="173"/>
  <c r="V61" i="173"/>
  <c r="K61" i="173"/>
  <c r="J61" i="173"/>
  <c r="P61" i="173"/>
  <c r="F61" i="173"/>
  <c r="H61" i="173"/>
  <c r="B61" i="173"/>
  <c r="W60" i="173"/>
  <c r="N60" i="173"/>
  <c r="V60" i="173"/>
  <c r="K60" i="173"/>
  <c r="J60" i="173"/>
  <c r="P60" i="173"/>
  <c r="F60" i="173"/>
  <c r="H60" i="173"/>
  <c r="B60" i="173"/>
  <c r="W59" i="173"/>
  <c r="N59" i="173"/>
  <c r="K59" i="173"/>
  <c r="J59" i="173"/>
  <c r="F59" i="173"/>
  <c r="H59" i="173"/>
  <c r="B59" i="173"/>
  <c r="M58" i="173"/>
  <c r="H18" i="172"/>
  <c r="W57" i="173"/>
  <c r="H57" i="173"/>
  <c r="W56" i="173"/>
  <c r="H56" i="173"/>
  <c r="W55" i="173"/>
  <c r="H55" i="173"/>
  <c r="W54" i="173"/>
  <c r="H54" i="173"/>
  <c r="W53" i="173"/>
  <c r="W52" i="173"/>
  <c r="N52" i="173"/>
  <c r="O52" i="173"/>
  <c r="K52" i="173"/>
  <c r="J52" i="173"/>
  <c r="P52" i="173"/>
  <c r="F52" i="173"/>
  <c r="H52" i="173"/>
  <c r="B52" i="173"/>
  <c r="W51" i="173"/>
  <c r="V51" i="173"/>
  <c r="N51" i="173"/>
  <c r="K51" i="173"/>
  <c r="J51" i="173"/>
  <c r="P51" i="173"/>
  <c r="H51" i="173"/>
  <c r="F51" i="173"/>
  <c r="B51" i="173"/>
  <c r="W50" i="173"/>
  <c r="V50" i="173"/>
  <c r="N50" i="173"/>
  <c r="O50" i="173"/>
  <c r="K50" i="173"/>
  <c r="J50" i="173"/>
  <c r="P50" i="173"/>
  <c r="F50" i="173"/>
  <c r="H50" i="173"/>
  <c r="B50" i="173"/>
  <c r="W49" i="173"/>
  <c r="N49" i="173"/>
  <c r="P49" i="173"/>
  <c r="K49" i="173"/>
  <c r="F49" i="173"/>
  <c r="H49" i="173"/>
  <c r="B49" i="173"/>
  <c r="W48" i="173"/>
  <c r="M48" i="173"/>
  <c r="G18" i="172"/>
  <c r="W47" i="173"/>
  <c r="H47" i="173"/>
  <c r="W46" i="173"/>
  <c r="H46" i="173"/>
  <c r="W45" i="173"/>
  <c r="H45" i="173"/>
  <c r="W44" i="173"/>
  <c r="H44" i="173"/>
  <c r="W43" i="173"/>
  <c r="H43" i="173"/>
  <c r="W42" i="173"/>
  <c r="W41" i="173"/>
  <c r="N41" i="173"/>
  <c r="O41" i="173"/>
  <c r="R41" i="173"/>
  <c r="V41" i="173"/>
  <c r="Q41" i="173"/>
  <c r="P41" i="173"/>
  <c r="L41" i="173"/>
  <c r="F41" i="173"/>
  <c r="H41" i="173"/>
  <c r="W40" i="173"/>
  <c r="N40" i="173"/>
  <c r="V40" i="173"/>
  <c r="K40" i="173"/>
  <c r="J40" i="173"/>
  <c r="P40" i="173"/>
  <c r="F40" i="173"/>
  <c r="H40" i="173"/>
  <c r="W39" i="173"/>
  <c r="N39" i="173"/>
  <c r="V39" i="173"/>
  <c r="P39" i="173"/>
  <c r="L39" i="173"/>
  <c r="F39" i="173"/>
  <c r="H39" i="173"/>
  <c r="W38" i="173"/>
  <c r="N38" i="173"/>
  <c r="K38" i="173"/>
  <c r="J38" i="173"/>
  <c r="P38" i="173"/>
  <c r="H38" i="173"/>
  <c r="F38" i="173"/>
  <c r="M37" i="173"/>
  <c r="F18" i="172"/>
  <c r="W36" i="173"/>
  <c r="H36" i="173"/>
  <c r="W35" i="173"/>
  <c r="H35" i="173"/>
  <c r="W34" i="173"/>
  <c r="H34" i="173"/>
  <c r="W33" i="173"/>
  <c r="H33" i="173"/>
  <c r="W32" i="173"/>
  <c r="W31" i="173"/>
  <c r="W30" i="173"/>
  <c r="N30" i="173"/>
  <c r="O30" i="173"/>
  <c r="V30" i="173"/>
  <c r="K30" i="173"/>
  <c r="J30" i="173"/>
  <c r="P30" i="173"/>
  <c r="F30" i="173"/>
  <c r="H30" i="173"/>
  <c r="B30" i="173"/>
  <c r="W29" i="173"/>
  <c r="N29" i="173"/>
  <c r="O29" i="173"/>
  <c r="V29" i="173"/>
  <c r="K29" i="173"/>
  <c r="J29" i="173"/>
  <c r="P29" i="173"/>
  <c r="F29" i="173"/>
  <c r="H29" i="173"/>
  <c r="B29" i="173"/>
  <c r="W28" i="173"/>
  <c r="V28" i="173"/>
  <c r="N28" i="173"/>
  <c r="K28" i="173"/>
  <c r="J28" i="173"/>
  <c r="P28" i="173"/>
  <c r="H28" i="173"/>
  <c r="F28" i="173"/>
  <c r="B28" i="173"/>
  <c r="W27" i="173"/>
  <c r="N27" i="173"/>
  <c r="K27" i="173"/>
  <c r="J27" i="173"/>
  <c r="P27" i="173"/>
  <c r="F27" i="173"/>
  <c r="H27" i="173"/>
  <c r="M26" i="173"/>
  <c r="E18" i="172"/>
  <c r="W25" i="173"/>
  <c r="H25" i="173"/>
  <c r="W24" i="173"/>
  <c r="H24" i="173"/>
  <c r="W23" i="173"/>
  <c r="H22" i="173"/>
  <c r="W21" i="173"/>
  <c r="W20" i="173"/>
  <c r="W19" i="173"/>
  <c r="V19" i="173"/>
  <c r="W18" i="173"/>
  <c r="V18" i="173"/>
  <c r="W17" i="173"/>
  <c r="V17" i="173"/>
  <c r="W16" i="173"/>
  <c r="N16" i="173"/>
  <c r="O16" i="173"/>
  <c r="M15" i="173"/>
  <c r="W14" i="173"/>
  <c r="W13" i="173"/>
  <c r="W12" i="173"/>
  <c r="H12" i="173"/>
  <c r="W11" i="173"/>
  <c r="H11" i="173"/>
  <c r="W10" i="173"/>
  <c r="W9" i="173"/>
  <c r="N9" i="173"/>
  <c r="O9" i="173"/>
  <c r="V9" i="173"/>
  <c r="W8" i="173"/>
  <c r="N8" i="173"/>
  <c r="O8" i="173"/>
  <c r="V8" i="173"/>
  <c r="W7" i="173"/>
  <c r="N7" i="173"/>
  <c r="O7" i="173"/>
  <c r="V7" i="173"/>
  <c r="W6" i="173"/>
  <c r="N6" i="173"/>
  <c r="O6" i="173"/>
  <c r="V6" i="173"/>
  <c r="W5" i="173"/>
  <c r="N5" i="173"/>
  <c r="O5" i="173"/>
  <c r="I2" i="173"/>
  <c r="E1" i="173"/>
  <c r="G3" i="172"/>
  <c r="I18" i="172"/>
  <c r="I16" i="172"/>
  <c r="H16" i="172"/>
  <c r="G16" i="172"/>
  <c r="F16" i="172"/>
  <c r="E16" i="172"/>
  <c r="D16" i="172"/>
  <c r="M79" i="159"/>
  <c r="N79" i="159"/>
  <c r="O79" i="159"/>
  <c r="V41" i="171"/>
  <c r="K40" i="171"/>
  <c r="J40" i="171"/>
  <c r="V30" i="171"/>
  <c r="J19" i="171"/>
  <c r="J18" i="171"/>
  <c r="J17" i="171"/>
  <c r="J7" i="171"/>
  <c r="J8" i="171"/>
  <c r="J9" i="171"/>
  <c r="P9" i="171"/>
  <c r="V8" i="171"/>
  <c r="V9" i="171"/>
  <c r="P41" i="171"/>
  <c r="K8" i="171"/>
  <c r="K9" i="171"/>
  <c r="H62" i="171"/>
  <c r="J62" i="171"/>
  <c r="P62" i="171"/>
  <c r="K62" i="171"/>
  <c r="F62" i="171"/>
  <c r="H52" i="171"/>
  <c r="J52" i="171"/>
  <c r="P52" i="171"/>
  <c r="K52" i="171"/>
  <c r="F52" i="171"/>
  <c r="B52" i="171"/>
  <c r="J30" i="171"/>
  <c r="P30" i="171"/>
  <c r="K30" i="171"/>
  <c r="L30" i="171"/>
  <c r="H41" i="171"/>
  <c r="L41" i="171"/>
  <c r="F41" i="171"/>
  <c r="H30" i="171"/>
  <c r="F30" i="171"/>
  <c r="F8" i="171"/>
  <c r="H8" i="171"/>
  <c r="F9" i="171"/>
  <c r="H9" i="171"/>
  <c r="B62" i="171"/>
  <c r="B30" i="171"/>
  <c r="B8" i="171"/>
  <c r="B9" i="171"/>
  <c r="H8" i="178"/>
  <c r="F8" i="178"/>
  <c r="L29" i="173"/>
  <c r="L60" i="173"/>
  <c r="E15" i="174"/>
  <c r="L52" i="171"/>
  <c r="L62" i="173"/>
  <c r="Q62" i="173"/>
  <c r="L62" i="171"/>
  <c r="Q26" i="177"/>
  <c r="L40" i="173"/>
  <c r="L27" i="173"/>
  <c r="J37" i="173"/>
  <c r="P37" i="173"/>
  <c r="L52" i="173"/>
  <c r="Q52" i="173"/>
  <c r="L38" i="173"/>
  <c r="L30" i="173"/>
  <c r="Q30" i="173"/>
  <c r="AB60" i="173"/>
  <c r="L8" i="171"/>
  <c r="K37" i="173"/>
  <c r="L50" i="173"/>
  <c r="R50" i="173"/>
  <c r="AC28" i="173"/>
  <c r="R58" i="175"/>
  <c r="S49" i="175"/>
  <c r="K69" i="173"/>
  <c r="L61" i="173"/>
  <c r="R26" i="177"/>
  <c r="S16" i="177"/>
  <c r="E14" i="176"/>
  <c r="E15" i="176"/>
  <c r="E2" i="177"/>
  <c r="R15" i="177"/>
  <c r="S5" i="177"/>
  <c r="D14" i="176"/>
  <c r="Q15" i="177"/>
  <c r="H14" i="176"/>
  <c r="F14" i="176"/>
  <c r="F15" i="176"/>
  <c r="R37" i="177"/>
  <c r="S27" i="177"/>
  <c r="I14" i="176"/>
  <c r="R69" i="177"/>
  <c r="S59" i="177"/>
  <c r="R69" i="175"/>
  <c r="S59" i="175"/>
  <c r="J6" i="174"/>
  <c r="I15" i="174"/>
  <c r="J8" i="174"/>
  <c r="R48" i="175"/>
  <c r="S38" i="175"/>
  <c r="G14" i="174"/>
  <c r="G15" i="174"/>
  <c r="R37" i="175"/>
  <c r="S27" i="175"/>
  <c r="F14" i="174"/>
  <c r="F15" i="174"/>
  <c r="F7" i="174"/>
  <c r="D15" i="174"/>
  <c r="H6" i="174"/>
  <c r="F6" i="174"/>
  <c r="R15" i="175"/>
  <c r="S5" i="175"/>
  <c r="Q15" i="175"/>
  <c r="E2" i="175"/>
  <c r="R26" i="175"/>
  <c r="S16" i="175"/>
  <c r="Q26" i="175"/>
  <c r="R16" i="173"/>
  <c r="Q16" i="173"/>
  <c r="R5" i="173"/>
  <c r="Q5" i="173"/>
  <c r="R6" i="173"/>
  <c r="Q6" i="173"/>
  <c r="R7" i="173"/>
  <c r="Q7" i="173"/>
  <c r="R8" i="173"/>
  <c r="Q8" i="173"/>
  <c r="Q9" i="173"/>
  <c r="R9" i="173"/>
  <c r="K15" i="173"/>
  <c r="G1" i="173"/>
  <c r="J3" i="172"/>
  <c r="N37" i="173"/>
  <c r="AB27" i="173"/>
  <c r="AC27" i="173"/>
  <c r="AC39" i="173"/>
  <c r="O39" i="173"/>
  <c r="L15" i="173"/>
  <c r="D13" i="172"/>
  <c r="AB7" i="173"/>
  <c r="O27" i="173"/>
  <c r="AB39" i="173"/>
  <c r="AC7" i="173"/>
  <c r="AB16" i="173"/>
  <c r="AC19" i="173"/>
  <c r="AB19" i="173"/>
  <c r="O38" i="173"/>
  <c r="N48" i="173"/>
  <c r="O49" i="173"/>
  <c r="AB49" i="173"/>
  <c r="AC49" i="173"/>
  <c r="N26" i="173"/>
  <c r="AB38" i="173"/>
  <c r="K26" i="173"/>
  <c r="J69" i="173"/>
  <c r="P69" i="173"/>
  <c r="P59" i="173"/>
  <c r="R29" i="173"/>
  <c r="Q29" i="173"/>
  <c r="L28" i="173"/>
  <c r="AB29" i="173"/>
  <c r="AC50" i="173"/>
  <c r="AB50" i="173"/>
  <c r="AC59" i="173"/>
  <c r="AB6" i="173"/>
  <c r="N15" i="173"/>
  <c r="AB5" i="173"/>
  <c r="AC5" i="173"/>
  <c r="AC16" i="173"/>
  <c r="AB18" i="173"/>
  <c r="AC18" i="173"/>
  <c r="I1" i="173"/>
  <c r="N58" i="173"/>
  <c r="O61" i="173"/>
  <c r="AC61" i="173"/>
  <c r="AB61" i="173"/>
  <c r="AC6" i="173"/>
  <c r="AC38" i="173"/>
  <c r="AC60" i="173"/>
  <c r="O60" i="173"/>
  <c r="J58" i="173"/>
  <c r="P58" i="173"/>
  <c r="L51" i="173"/>
  <c r="AB51" i="173"/>
  <c r="O40" i="173"/>
  <c r="AC40" i="173"/>
  <c r="AB40" i="173"/>
  <c r="L59" i="173"/>
  <c r="J15" i="173"/>
  <c r="P15" i="173"/>
  <c r="AB8" i="173"/>
  <c r="AC8" i="173"/>
  <c r="AB17" i="173"/>
  <c r="AC17" i="173"/>
  <c r="AB28" i="173"/>
  <c r="AC29" i="173"/>
  <c r="K58" i="173"/>
  <c r="AC51" i="173"/>
  <c r="R62" i="173"/>
  <c r="J48" i="173"/>
  <c r="P48" i="173"/>
  <c r="K48" i="173"/>
  <c r="O51" i="173"/>
  <c r="L49" i="173"/>
  <c r="N69" i="173"/>
  <c r="L26" i="173"/>
  <c r="E13" i="172"/>
  <c r="O59" i="173"/>
  <c r="D18" i="172"/>
  <c r="J26" i="173"/>
  <c r="P26" i="173"/>
  <c r="AB59" i="173"/>
  <c r="O28" i="173"/>
  <c r="L9" i="171"/>
  <c r="P8" i="171"/>
  <c r="Q52" i="171"/>
  <c r="J79" i="171"/>
  <c r="W78" i="171"/>
  <c r="H78" i="171"/>
  <c r="W77" i="171"/>
  <c r="H77" i="171"/>
  <c r="W76" i="171"/>
  <c r="H76" i="171"/>
  <c r="W75" i="171"/>
  <c r="H75" i="171"/>
  <c r="W74" i="171"/>
  <c r="H74" i="171"/>
  <c r="W73" i="171"/>
  <c r="W72" i="171"/>
  <c r="W71" i="171"/>
  <c r="W70" i="171"/>
  <c r="M69" i="171"/>
  <c r="I18" i="170"/>
  <c r="W68" i="171"/>
  <c r="H68" i="171"/>
  <c r="W67" i="171"/>
  <c r="H67" i="171"/>
  <c r="W66" i="171"/>
  <c r="H66" i="171"/>
  <c r="W65" i="171"/>
  <c r="W64" i="171"/>
  <c r="W63" i="171"/>
  <c r="W62" i="171"/>
  <c r="N62" i="171"/>
  <c r="O62" i="171"/>
  <c r="R62" i="171"/>
  <c r="W61" i="171"/>
  <c r="V61" i="171"/>
  <c r="N61" i="171"/>
  <c r="K61" i="171"/>
  <c r="J61" i="171"/>
  <c r="P61" i="171"/>
  <c r="F61" i="171"/>
  <c r="H61" i="171"/>
  <c r="B61" i="171"/>
  <c r="W60" i="171"/>
  <c r="N60" i="171"/>
  <c r="O60" i="171"/>
  <c r="V60" i="171"/>
  <c r="K60" i="171"/>
  <c r="J60" i="171"/>
  <c r="P60" i="171"/>
  <c r="F60" i="171"/>
  <c r="H60" i="171"/>
  <c r="B60" i="171"/>
  <c r="W59" i="171"/>
  <c r="N59" i="171"/>
  <c r="O59" i="171"/>
  <c r="K59" i="171"/>
  <c r="J59" i="171"/>
  <c r="F59" i="171"/>
  <c r="H59" i="171"/>
  <c r="B59" i="171"/>
  <c r="M58" i="171"/>
  <c r="H18" i="170"/>
  <c r="W57" i="171"/>
  <c r="H57" i="171"/>
  <c r="W56" i="171"/>
  <c r="H56" i="171"/>
  <c r="W55" i="171"/>
  <c r="H55" i="171"/>
  <c r="W54" i="171"/>
  <c r="H54" i="171"/>
  <c r="W53" i="171"/>
  <c r="W52" i="171"/>
  <c r="N52" i="171"/>
  <c r="O52" i="171"/>
  <c r="R52" i="171"/>
  <c r="W51" i="171"/>
  <c r="N51" i="171"/>
  <c r="O51" i="171"/>
  <c r="V51" i="171"/>
  <c r="K51" i="171"/>
  <c r="J51" i="171"/>
  <c r="P51" i="171"/>
  <c r="F51" i="171"/>
  <c r="H51" i="171"/>
  <c r="B51" i="171"/>
  <c r="AC50" i="171"/>
  <c r="W50" i="171"/>
  <c r="V50" i="171"/>
  <c r="N50" i="171"/>
  <c r="K50" i="171"/>
  <c r="J50" i="171"/>
  <c r="P50" i="171"/>
  <c r="H50" i="171"/>
  <c r="F50" i="171"/>
  <c r="B50" i="171"/>
  <c r="W49" i="171"/>
  <c r="N49" i="171"/>
  <c r="K49" i="171"/>
  <c r="K58" i="171"/>
  <c r="P49" i="171"/>
  <c r="F49" i="171"/>
  <c r="H49" i="171"/>
  <c r="B49" i="171"/>
  <c r="W48" i="171"/>
  <c r="M48" i="171"/>
  <c r="G18" i="170"/>
  <c r="W47" i="171"/>
  <c r="H47" i="171"/>
  <c r="W46" i="171"/>
  <c r="H46" i="171"/>
  <c r="W45" i="171"/>
  <c r="H45" i="171"/>
  <c r="W44" i="171"/>
  <c r="H44" i="171"/>
  <c r="W43" i="171"/>
  <c r="H43" i="171"/>
  <c r="W42" i="171"/>
  <c r="W41" i="171"/>
  <c r="N41" i="171"/>
  <c r="O41" i="171"/>
  <c r="Q41" i="171"/>
  <c r="W40" i="171"/>
  <c r="N40" i="171"/>
  <c r="V40" i="171"/>
  <c r="P40" i="171"/>
  <c r="L40" i="171"/>
  <c r="F40" i="171"/>
  <c r="H40" i="171"/>
  <c r="W39" i="171"/>
  <c r="N39" i="171"/>
  <c r="V39" i="171"/>
  <c r="P39" i="171"/>
  <c r="L39" i="171"/>
  <c r="F39" i="171"/>
  <c r="H39" i="171"/>
  <c r="W38" i="171"/>
  <c r="N38" i="171"/>
  <c r="K38" i="171"/>
  <c r="K48" i="171"/>
  <c r="J38" i="171"/>
  <c r="J48" i="171"/>
  <c r="F38" i="171"/>
  <c r="H38" i="171"/>
  <c r="M37" i="171"/>
  <c r="F18" i="170"/>
  <c r="W36" i="171"/>
  <c r="H36" i="171"/>
  <c r="W35" i="171"/>
  <c r="H35" i="171"/>
  <c r="W34" i="171"/>
  <c r="H34" i="171"/>
  <c r="W33" i="171"/>
  <c r="H33" i="171"/>
  <c r="W32" i="171"/>
  <c r="W31" i="171"/>
  <c r="W30" i="171"/>
  <c r="N30" i="171"/>
  <c r="O30" i="171"/>
  <c r="Q30" i="171"/>
  <c r="W29" i="171"/>
  <c r="N29" i="171"/>
  <c r="V29" i="171"/>
  <c r="K29" i="171"/>
  <c r="J29" i="171"/>
  <c r="P29" i="171"/>
  <c r="F29" i="171"/>
  <c r="H29" i="171"/>
  <c r="B29" i="171"/>
  <c r="W28" i="171"/>
  <c r="V28" i="171"/>
  <c r="N28" i="171"/>
  <c r="O28" i="171"/>
  <c r="K28" i="171"/>
  <c r="J28" i="171"/>
  <c r="H28" i="171"/>
  <c r="F28" i="171"/>
  <c r="B28" i="171"/>
  <c r="W27" i="171"/>
  <c r="P27" i="171"/>
  <c r="N27" i="171"/>
  <c r="L27" i="171"/>
  <c r="K27" i="171"/>
  <c r="J27" i="171"/>
  <c r="F27" i="171"/>
  <c r="H27" i="171"/>
  <c r="M26" i="171"/>
  <c r="W25" i="171"/>
  <c r="H25" i="171"/>
  <c r="W24" i="171"/>
  <c r="H24" i="171"/>
  <c r="W23" i="171"/>
  <c r="H23" i="171"/>
  <c r="H22" i="171"/>
  <c r="W21" i="171"/>
  <c r="W20" i="171"/>
  <c r="W19" i="171"/>
  <c r="V19" i="171"/>
  <c r="N19" i="171"/>
  <c r="K19" i="171"/>
  <c r="L19" i="171"/>
  <c r="P19" i="171"/>
  <c r="H19" i="171"/>
  <c r="F19" i="171"/>
  <c r="W18" i="171"/>
  <c r="N18" i="171"/>
  <c r="V18" i="171"/>
  <c r="P18" i="171"/>
  <c r="L18" i="171"/>
  <c r="K18" i="171"/>
  <c r="H18" i="171"/>
  <c r="F18" i="171"/>
  <c r="W17" i="171"/>
  <c r="N17" i="171"/>
  <c r="V17" i="171"/>
  <c r="P17" i="171"/>
  <c r="K17" i="171"/>
  <c r="F17" i="171"/>
  <c r="H17" i="171"/>
  <c r="W16" i="171"/>
  <c r="N16" i="171"/>
  <c r="J16" i="171"/>
  <c r="J26" i="171"/>
  <c r="F16" i="171"/>
  <c r="H16" i="171"/>
  <c r="M15" i="171"/>
  <c r="D18" i="170"/>
  <c r="W14" i="171"/>
  <c r="H14" i="171"/>
  <c r="W13" i="171"/>
  <c r="W12" i="171"/>
  <c r="H12" i="171"/>
  <c r="W11" i="171"/>
  <c r="H11" i="171"/>
  <c r="W10" i="171"/>
  <c r="W9" i="171"/>
  <c r="N9" i="171"/>
  <c r="O9" i="171"/>
  <c r="Q9" i="171"/>
  <c r="W8" i="171"/>
  <c r="N8" i="171"/>
  <c r="O8" i="171"/>
  <c r="R8" i="171"/>
  <c r="W7" i="171"/>
  <c r="N7" i="171"/>
  <c r="V7" i="171"/>
  <c r="P7" i="171"/>
  <c r="K7" i="171"/>
  <c r="L7" i="171"/>
  <c r="F7" i="171"/>
  <c r="H7" i="171"/>
  <c r="B7" i="171"/>
  <c r="W6" i="171"/>
  <c r="N6" i="171"/>
  <c r="O6" i="171"/>
  <c r="V6" i="171"/>
  <c r="K6" i="171"/>
  <c r="J6" i="171"/>
  <c r="P6" i="171"/>
  <c r="F6" i="171"/>
  <c r="H6" i="171"/>
  <c r="B6" i="171"/>
  <c r="W5" i="171"/>
  <c r="P5" i="171"/>
  <c r="N5" i="171"/>
  <c r="AC5" i="171"/>
  <c r="L5" i="171"/>
  <c r="F5" i="171"/>
  <c r="H5" i="171"/>
  <c r="B5" i="171"/>
  <c r="I2" i="171"/>
  <c r="E1" i="171"/>
  <c r="G3" i="170"/>
  <c r="I16" i="170"/>
  <c r="H16" i="170"/>
  <c r="G16" i="170"/>
  <c r="F16" i="170"/>
  <c r="E16" i="170"/>
  <c r="D16" i="170"/>
  <c r="K26" i="171"/>
  <c r="AB50" i="171"/>
  <c r="L48" i="173"/>
  <c r="G13" i="172"/>
  <c r="L69" i="173"/>
  <c r="I13" i="172"/>
  <c r="J6" i="172"/>
  <c r="L37" i="173"/>
  <c r="F13" i="172"/>
  <c r="R52" i="173"/>
  <c r="F8" i="174"/>
  <c r="L58" i="173"/>
  <c r="H13" i="172"/>
  <c r="R30" i="173"/>
  <c r="L61" i="171"/>
  <c r="Q50" i="173"/>
  <c r="I15" i="176"/>
  <c r="J8" i="176"/>
  <c r="J7" i="176"/>
  <c r="D15" i="176"/>
  <c r="F7" i="176"/>
  <c r="H7" i="176"/>
  <c r="H7" i="174"/>
  <c r="H8" i="174"/>
  <c r="G2" i="173"/>
  <c r="Q37" i="173"/>
  <c r="AB37" i="173"/>
  <c r="AC37" i="173"/>
  <c r="AD27" i="173"/>
  <c r="R28" i="173"/>
  <c r="Q28" i="173"/>
  <c r="Q51" i="173"/>
  <c r="R51" i="173"/>
  <c r="R40" i="173"/>
  <c r="Q40" i="173"/>
  <c r="R61" i="173"/>
  <c r="Q61" i="173"/>
  <c r="AB15" i="173"/>
  <c r="AC15" i="173"/>
  <c r="AD5" i="173"/>
  <c r="Q58" i="173"/>
  <c r="AC58" i="173"/>
  <c r="AD49" i="173"/>
  <c r="AB58" i="173"/>
  <c r="O37" i="173"/>
  <c r="R27" i="173"/>
  <c r="Q27" i="173"/>
  <c r="R60" i="173"/>
  <c r="Q60" i="173"/>
  <c r="AC26" i="173"/>
  <c r="AD16" i="173"/>
  <c r="AB26" i="173"/>
  <c r="O69" i="173"/>
  <c r="R59" i="173"/>
  <c r="Q59" i="173"/>
  <c r="F6" i="172"/>
  <c r="H6" i="172"/>
  <c r="Q39" i="173"/>
  <c r="R39" i="173"/>
  <c r="O26" i="173"/>
  <c r="O58" i="173"/>
  <c r="R49" i="173"/>
  <c r="Q49" i="173"/>
  <c r="Q48" i="173"/>
  <c r="AC48" i="173"/>
  <c r="AD38" i="173"/>
  <c r="AB48" i="173"/>
  <c r="Q69" i="173"/>
  <c r="AC69" i="173"/>
  <c r="AD59" i="173"/>
  <c r="AB69" i="173"/>
  <c r="R38" i="173"/>
  <c r="Q38" i="173"/>
  <c r="O48" i="173"/>
  <c r="O15" i="173"/>
  <c r="P16" i="171"/>
  <c r="L17" i="171"/>
  <c r="L60" i="171"/>
  <c r="Q60" i="171"/>
  <c r="P26" i="171"/>
  <c r="L50" i="171"/>
  <c r="J69" i="171"/>
  <c r="L49" i="171"/>
  <c r="L29" i="171"/>
  <c r="L51" i="171"/>
  <c r="R51" i="171"/>
  <c r="R9" i="171"/>
  <c r="Q62" i="171"/>
  <c r="R41" i="171"/>
  <c r="R30" i="171"/>
  <c r="AB8" i="171"/>
  <c r="AC8" i="171"/>
  <c r="Q8" i="171"/>
  <c r="P48" i="171"/>
  <c r="E18" i="170"/>
  <c r="P69" i="171"/>
  <c r="AB59" i="171"/>
  <c r="AC51" i="171"/>
  <c r="AB6" i="171"/>
  <c r="AC6" i="171"/>
  <c r="L6" i="171"/>
  <c r="R6" i="171"/>
  <c r="G1" i="171"/>
  <c r="AB18" i="171"/>
  <c r="AC18" i="171"/>
  <c r="N48" i="171"/>
  <c r="O38" i="171"/>
  <c r="AC38" i="171"/>
  <c r="O18" i="171"/>
  <c r="AC17" i="171"/>
  <c r="AB17" i="171"/>
  <c r="AC29" i="171"/>
  <c r="O29" i="171"/>
  <c r="O17" i="171"/>
  <c r="AB29" i="171"/>
  <c r="AC61" i="171"/>
  <c r="AB61" i="171"/>
  <c r="AC70" i="171"/>
  <c r="AB70" i="171"/>
  <c r="O61" i="171"/>
  <c r="AB27" i="171"/>
  <c r="AC27" i="171"/>
  <c r="N37" i="171"/>
  <c r="K69" i="171"/>
  <c r="N69" i="171"/>
  <c r="AB39" i="171"/>
  <c r="O39" i="171"/>
  <c r="AC39" i="171"/>
  <c r="O7" i="171"/>
  <c r="AC7" i="171"/>
  <c r="AB7" i="171"/>
  <c r="R59" i="171"/>
  <c r="AC60" i="171"/>
  <c r="AB60" i="171"/>
  <c r="P28" i="171"/>
  <c r="J37" i="171"/>
  <c r="P37" i="171"/>
  <c r="AB38" i="171"/>
  <c r="AC49" i="171"/>
  <c r="AB49" i="171"/>
  <c r="N58" i="171"/>
  <c r="L28" i="171"/>
  <c r="R28" i="171"/>
  <c r="K37" i="171"/>
  <c r="O49" i="171"/>
  <c r="O40" i="171"/>
  <c r="AC40" i="171"/>
  <c r="AB40" i="171"/>
  <c r="AB28" i="171"/>
  <c r="O27" i="171"/>
  <c r="AC28" i="171"/>
  <c r="L15" i="171"/>
  <c r="D13" i="170"/>
  <c r="O16" i="171"/>
  <c r="AB16" i="171"/>
  <c r="AC16" i="171"/>
  <c r="AC19" i="171"/>
  <c r="AB19" i="171"/>
  <c r="O19" i="171"/>
  <c r="I1" i="171"/>
  <c r="N15" i="171"/>
  <c r="AB5" i="171"/>
  <c r="O5" i="171"/>
  <c r="N26" i="171"/>
  <c r="AB51" i="171"/>
  <c r="J58" i="171"/>
  <c r="P58" i="171"/>
  <c r="AC59" i="171"/>
  <c r="O50" i="171"/>
  <c r="L59" i="171"/>
  <c r="J15" i="171"/>
  <c r="P15" i="171"/>
  <c r="K15" i="171"/>
  <c r="L16" i="171"/>
  <c r="P59" i="171"/>
  <c r="L38" i="171"/>
  <c r="L48" i="171"/>
  <c r="G13" i="170"/>
  <c r="P38" i="171"/>
  <c r="L26" i="171"/>
  <c r="E13" i="170"/>
  <c r="Q6" i="171"/>
  <c r="R26" i="173"/>
  <c r="S16" i="173"/>
  <c r="Q26" i="173"/>
  <c r="E14" i="172"/>
  <c r="E15" i="172"/>
  <c r="R37" i="173"/>
  <c r="S27" i="173"/>
  <c r="F14" i="172"/>
  <c r="F15" i="172"/>
  <c r="Q15" i="173"/>
  <c r="E2" i="173"/>
  <c r="R15" i="173"/>
  <c r="S5" i="173"/>
  <c r="D14" i="172"/>
  <c r="H14" i="172"/>
  <c r="H15" i="172"/>
  <c r="R58" i="173"/>
  <c r="S49" i="173"/>
  <c r="I14" i="172"/>
  <c r="R69" i="173"/>
  <c r="S59" i="173"/>
  <c r="G14" i="172"/>
  <c r="G15" i="172"/>
  <c r="R48" i="173"/>
  <c r="S38" i="173"/>
  <c r="L58" i="171"/>
  <c r="H13" i="170"/>
  <c r="Q51" i="171"/>
  <c r="R60" i="171"/>
  <c r="L69" i="171"/>
  <c r="I13" i="170"/>
  <c r="J6" i="170"/>
  <c r="R5" i="171"/>
  <c r="Q5" i="171"/>
  <c r="O15" i="171"/>
  <c r="Q29" i="171"/>
  <c r="R29" i="171"/>
  <c r="AC15" i="171"/>
  <c r="AD5" i="171"/>
  <c r="AB15" i="171"/>
  <c r="R27" i="171"/>
  <c r="O37" i="171"/>
  <c r="Q27" i="171"/>
  <c r="L37" i="171"/>
  <c r="F13" i="170"/>
  <c r="AB58" i="171"/>
  <c r="Q58" i="171"/>
  <c r="AC58" i="171"/>
  <c r="AD49" i="171"/>
  <c r="R7" i="171"/>
  <c r="Q7" i="171"/>
  <c r="R61" i="171"/>
  <c r="Q61" i="171"/>
  <c r="O69" i="171"/>
  <c r="AC79" i="171"/>
  <c r="AD70" i="171"/>
  <c r="AB79" i="171"/>
  <c r="R18" i="171"/>
  <c r="Q18" i="171"/>
  <c r="R50" i="171"/>
  <c r="Q50" i="171"/>
  <c r="R19" i="171"/>
  <c r="Q19" i="171"/>
  <c r="R39" i="171"/>
  <c r="Q39" i="171"/>
  <c r="R40" i="171"/>
  <c r="Q40" i="171"/>
  <c r="O48" i="171"/>
  <c r="Q38" i="171"/>
  <c r="R38" i="171"/>
  <c r="Q69" i="171"/>
  <c r="AC69" i="171"/>
  <c r="AD59" i="171"/>
  <c r="AB69" i="171"/>
  <c r="AC48" i="171"/>
  <c r="AD38" i="171"/>
  <c r="AB48" i="171"/>
  <c r="Q48" i="171"/>
  <c r="Q28" i="171"/>
  <c r="AB26" i="171"/>
  <c r="AC26" i="171"/>
  <c r="AD16" i="171"/>
  <c r="R17" i="171"/>
  <c r="Q17" i="171"/>
  <c r="R16" i="171"/>
  <c r="Q16" i="171"/>
  <c r="O26" i="171"/>
  <c r="R49" i="171"/>
  <c r="O58" i="171"/>
  <c r="Q49" i="171"/>
  <c r="Q59" i="171"/>
  <c r="Q37" i="171"/>
  <c r="AC37" i="171"/>
  <c r="AD27" i="171"/>
  <c r="AB37" i="171"/>
  <c r="G2" i="171"/>
  <c r="J3" i="170"/>
  <c r="J7" i="172"/>
  <c r="I15" i="172"/>
  <c r="J8" i="172"/>
  <c r="D15" i="172"/>
  <c r="F7" i="172"/>
  <c r="H7" i="172"/>
  <c r="F6" i="170"/>
  <c r="H6" i="170"/>
  <c r="I14" i="170"/>
  <c r="R69" i="171"/>
  <c r="S59" i="171"/>
  <c r="F14" i="170"/>
  <c r="F15" i="170"/>
  <c r="R37" i="171"/>
  <c r="S27" i="171"/>
  <c r="S70" i="171"/>
  <c r="H14" i="170"/>
  <c r="H15" i="170"/>
  <c r="R58" i="171"/>
  <c r="S49" i="171"/>
  <c r="Q26" i="171"/>
  <c r="R26" i="171"/>
  <c r="S16" i="171"/>
  <c r="E14" i="170"/>
  <c r="E15" i="170"/>
  <c r="E2" i="171"/>
  <c r="D14" i="170"/>
  <c r="R15" i="171"/>
  <c r="S5" i="171"/>
  <c r="Q15" i="171"/>
  <c r="G14" i="170"/>
  <c r="G15" i="170"/>
  <c r="R48" i="171"/>
  <c r="S38" i="171"/>
  <c r="F8" i="172"/>
  <c r="H8" i="172"/>
  <c r="J7" i="170"/>
  <c r="I15" i="170"/>
  <c r="J8" i="170"/>
  <c r="D15" i="170"/>
  <c r="F7" i="170"/>
  <c r="H7" i="170"/>
  <c r="H8" i="170"/>
  <c r="F8" i="170"/>
  <c r="O79" i="169"/>
  <c r="N79" i="169"/>
  <c r="M79" i="169"/>
  <c r="J18" i="168"/>
  <c r="J16" i="168"/>
  <c r="J14" i="168"/>
  <c r="V40" i="169"/>
  <c r="W70" i="169"/>
  <c r="N70" i="169"/>
  <c r="O70" i="169"/>
  <c r="K18" i="169"/>
  <c r="L18" i="169"/>
  <c r="W8" i="169"/>
  <c r="K70" i="169"/>
  <c r="J70" i="169"/>
  <c r="P70" i="169"/>
  <c r="F70" i="169"/>
  <c r="H70" i="169"/>
  <c r="B70" i="169"/>
  <c r="F40" i="169"/>
  <c r="H40" i="169"/>
  <c r="L40" i="169"/>
  <c r="N40" i="169"/>
  <c r="AB40" i="169"/>
  <c r="P40" i="169"/>
  <c r="W78" i="169"/>
  <c r="H78" i="169"/>
  <c r="W77" i="169"/>
  <c r="H77" i="169"/>
  <c r="W76" i="169"/>
  <c r="H76" i="169"/>
  <c r="W75" i="169"/>
  <c r="H75" i="169"/>
  <c r="W74" i="169"/>
  <c r="H74" i="169"/>
  <c r="W73" i="169"/>
  <c r="W72" i="169"/>
  <c r="W71" i="169"/>
  <c r="M69" i="169"/>
  <c r="W68" i="169"/>
  <c r="H68" i="169"/>
  <c r="W67" i="169"/>
  <c r="H67" i="169"/>
  <c r="W66" i="169"/>
  <c r="H66" i="169"/>
  <c r="W65" i="169"/>
  <c r="W64" i="169"/>
  <c r="W63" i="169"/>
  <c r="W62" i="169"/>
  <c r="W61" i="169"/>
  <c r="N61" i="169"/>
  <c r="V61" i="169"/>
  <c r="K61" i="169"/>
  <c r="J61" i="169"/>
  <c r="P61" i="169"/>
  <c r="F61" i="169"/>
  <c r="H61" i="169"/>
  <c r="B61" i="169"/>
  <c r="W60" i="169"/>
  <c r="N60" i="169"/>
  <c r="O60" i="169"/>
  <c r="V60" i="169"/>
  <c r="K60" i="169"/>
  <c r="J60" i="169"/>
  <c r="P60" i="169"/>
  <c r="F60" i="169"/>
  <c r="H60" i="169"/>
  <c r="B60" i="169"/>
  <c r="W59" i="169"/>
  <c r="N59" i="169"/>
  <c r="K59" i="169"/>
  <c r="J59" i="169"/>
  <c r="P59" i="169"/>
  <c r="F59" i="169"/>
  <c r="H59" i="169"/>
  <c r="B59" i="169"/>
  <c r="M58" i="169"/>
  <c r="H18" i="168"/>
  <c r="W57" i="169"/>
  <c r="H57" i="169"/>
  <c r="W56" i="169"/>
  <c r="H56" i="169"/>
  <c r="W55" i="169"/>
  <c r="H55" i="169"/>
  <c r="W54" i="169"/>
  <c r="H54" i="169"/>
  <c r="W53" i="169"/>
  <c r="W52" i="169"/>
  <c r="W51" i="169"/>
  <c r="N51" i="169"/>
  <c r="V51" i="169"/>
  <c r="K51" i="169"/>
  <c r="J51" i="169"/>
  <c r="P51" i="169"/>
  <c r="F51" i="169"/>
  <c r="H51" i="169"/>
  <c r="B51" i="169"/>
  <c r="W50" i="169"/>
  <c r="V50" i="169"/>
  <c r="N50" i="169"/>
  <c r="K50" i="169"/>
  <c r="J50" i="169"/>
  <c r="P50" i="169"/>
  <c r="F50" i="169"/>
  <c r="H50" i="169"/>
  <c r="B50" i="169"/>
  <c r="W49" i="169"/>
  <c r="N49" i="169"/>
  <c r="O49" i="169"/>
  <c r="K49" i="169"/>
  <c r="J49" i="169"/>
  <c r="F49" i="169"/>
  <c r="H49" i="169"/>
  <c r="B49" i="169"/>
  <c r="W48" i="169"/>
  <c r="M48" i="169"/>
  <c r="G18" i="168"/>
  <c r="W47" i="169"/>
  <c r="H47" i="169"/>
  <c r="W46" i="169"/>
  <c r="H46" i="169"/>
  <c r="W45" i="169"/>
  <c r="H45" i="169"/>
  <c r="W44" i="169"/>
  <c r="H44" i="169"/>
  <c r="W43" i="169"/>
  <c r="H43" i="169"/>
  <c r="W42" i="169"/>
  <c r="W41" i="169"/>
  <c r="W40" i="169"/>
  <c r="W39" i="169"/>
  <c r="V39" i="169"/>
  <c r="P39" i="169"/>
  <c r="N39" i="169"/>
  <c r="L39" i="169"/>
  <c r="F39" i="169"/>
  <c r="H39" i="169"/>
  <c r="W38" i="169"/>
  <c r="N38" i="169"/>
  <c r="K38" i="169"/>
  <c r="J38" i="169"/>
  <c r="J48" i="169"/>
  <c r="F38" i="169"/>
  <c r="H38" i="169"/>
  <c r="M37" i="169"/>
  <c r="F18" i="168"/>
  <c r="W36" i="169"/>
  <c r="H36" i="169"/>
  <c r="W35" i="169"/>
  <c r="H35" i="169"/>
  <c r="W34" i="169"/>
  <c r="H34" i="169"/>
  <c r="W33" i="169"/>
  <c r="H33" i="169"/>
  <c r="W32" i="169"/>
  <c r="W31" i="169"/>
  <c r="W30" i="169"/>
  <c r="W29" i="169"/>
  <c r="N29" i="169"/>
  <c r="V29" i="169"/>
  <c r="K29" i="169"/>
  <c r="J29" i="169"/>
  <c r="P29" i="169"/>
  <c r="F29" i="169"/>
  <c r="H29" i="169"/>
  <c r="B29" i="169"/>
  <c r="W28" i="169"/>
  <c r="N28" i="169"/>
  <c r="V28" i="169"/>
  <c r="K28" i="169"/>
  <c r="J28" i="169"/>
  <c r="P28" i="169"/>
  <c r="F28" i="169"/>
  <c r="H28" i="169"/>
  <c r="B28" i="169"/>
  <c r="W27" i="169"/>
  <c r="N27" i="169"/>
  <c r="O27" i="169"/>
  <c r="K27" i="169"/>
  <c r="J27" i="169"/>
  <c r="P27" i="169"/>
  <c r="F27" i="169"/>
  <c r="H27" i="169"/>
  <c r="M26" i="169"/>
  <c r="E18" i="168"/>
  <c r="W25" i="169"/>
  <c r="H25" i="169"/>
  <c r="W24" i="169"/>
  <c r="H24" i="169"/>
  <c r="W23" i="169"/>
  <c r="H23" i="169"/>
  <c r="H22" i="169"/>
  <c r="W21" i="169"/>
  <c r="W20" i="169"/>
  <c r="W19" i="169"/>
  <c r="N19" i="169"/>
  <c r="V19" i="169"/>
  <c r="K19" i="169"/>
  <c r="J19" i="169"/>
  <c r="P19" i="169"/>
  <c r="F19" i="169"/>
  <c r="H19" i="169"/>
  <c r="W18" i="169"/>
  <c r="N18" i="169"/>
  <c r="V18" i="169"/>
  <c r="P18" i="169"/>
  <c r="O18" i="169"/>
  <c r="F18" i="169"/>
  <c r="H18" i="169"/>
  <c r="W17" i="169"/>
  <c r="N17" i="169"/>
  <c r="V17" i="169"/>
  <c r="P17" i="169"/>
  <c r="K17" i="169"/>
  <c r="L17" i="169"/>
  <c r="F17" i="169"/>
  <c r="H17" i="169"/>
  <c r="W16" i="169"/>
  <c r="N16" i="169"/>
  <c r="J16" i="169"/>
  <c r="P16" i="169"/>
  <c r="F16" i="169"/>
  <c r="H16" i="169"/>
  <c r="M15" i="169"/>
  <c r="D18" i="168"/>
  <c r="W14" i="169"/>
  <c r="H14" i="169"/>
  <c r="W13" i="169"/>
  <c r="W12" i="169"/>
  <c r="H12" i="169"/>
  <c r="W11" i="169"/>
  <c r="H11" i="169"/>
  <c r="W10" i="169"/>
  <c r="W9" i="169"/>
  <c r="W7" i="169"/>
  <c r="V7" i="169"/>
  <c r="P7" i="169"/>
  <c r="N7" i="169"/>
  <c r="O7" i="169"/>
  <c r="K7" i="169"/>
  <c r="AC7" i="169"/>
  <c r="F7" i="169"/>
  <c r="H7" i="169"/>
  <c r="B7" i="169"/>
  <c r="W6" i="169"/>
  <c r="V6" i="169"/>
  <c r="N6" i="169"/>
  <c r="K6" i="169"/>
  <c r="J6" i="169"/>
  <c r="P6" i="169"/>
  <c r="F6" i="169"/>
  <c r="H6" i="169"/>
  <c r="B6" i="169"/>
  <c r="W5" i="169"/>
  <c r="N5" i="169"/>
  <c r="AC5" i="169"/>
  <c r="P5" i="169"/>
  <c r="L5" i="169"/>
  <c r="F5" i="169"/>
  <c r="H5" i="169"/>
  <c r="B5" i="169"/>
  <c r="I2" i="169"/>
  <c r="E1" i="169"/>
  <c r="G3" i="168"/>
  <c r="I18" i="168"/>
  <c r="I16" i="168"/>
  <c r="H16" i="168"/>
  <c r="G16" i="168"/>
  <c r="F16" i="168"/>
  <c r="E16" i="168"/>
  <c r="D16" i="168"/>
  <c r="E2" i="167"/>
  <c r="E1" i="167"/>
  <c r="G3" i="166"/>
  <c r="W78" i="167"/>
  <c r="H78" i="167"/>
  <c r="W77" i="167"/>
  <c r="H77" i="167"/>
  <c r="W76" i="167"/>
  <c r="H76" i="167"/>
  <c r="W75" i="167"/>
  <c r="H75" i="167"/>
  <c r="W74" i="167"/>
  <c r="H74" i="167"/>
  <c r="W73" i="167"/>
  <c r="W72" i="167"/>
  <c r="AC71" i="167"/>
  <c r="AB71" i="167"/>
  <c r="W71" i="167"/>
  <c r="AC70" i="167"/>
  <c r="AB70" i="167"/>
  <c r="M69" i="167"/>
  <c r="W68" i="167"/>
  <c r="H68" i="167"/>
  <c r="W67" i="167"/>
  <c r="H67" i="167"/>
  <c r="W66" i="167"/>
  <c r="H66" i="167"/>
  <c r="W65" i="167"/>
  <c r="W64" i="167"/>
  <c r="W63" i="167"/>
  <c r="W62" i="167"/>
  <c r="W61" i="167"/>
  <c r="N61" i="167"/>
  <c r="V61" i="167"/>
  <c r="K61" i="167"/>
  <c r="J61" i="167"/>
  <c r="P61" i="167"/>
  <c r="F61" i="167"/>
  <c r="H61" i="167"/>
  <c r="B61" i="167"/>
  <c r="W60" i="167"/>
  <c r="N60" i="167"/>
  <c r="O60" i="167"/>
  <c r="V60" i="167"/>
  <c r="K60" i="167"/>
  <c r="J60" i="167"/>
  <c r="P60" i="167"/>
  <c r="F60" i="167"/>
  <c r="H60" i="167"/>
  <c r="B60" i="167"/>
  <c r="W59" i="167"/>
  <c r="N59" i="167"/>
  <c r="O59" i="167"/>
  <c r="K59" i="167"/>
  <c r="J59" i="167"/>
  <c r="H59" i="167"/>
  <c r="F59" i="167"/>
  <c r="B59" i="167"/>
  <c r="M58" i="167"/>
  <c r="H18" i="166"/>
  <c r="W57" i="167"/>
  <c r="H57" i="167"/>
  <c r="W56" i="167"/>
  <c r="H56" i="167"/>
  <c r="W55" i="167"/>
  <c r="H55" i="167"/>
  <c r="W54" i="167"/>
  <c r="H54" i="167"/>
  <c r="W53" i="167"/>
  <c r="W52" i="167"/>
  <c r="W51" i="167"/>
  <c r="N51" i="167"/>
  <c r="V51" i="167"/>
  <c r="K51" i="167"/>
  <c r="J51" i="167"/>
  <c r="P51" i="167"/>
  <c r="F51" i="167"/>
  <c r="H51" i="167"/>
  <c r="B51" i="167"/>
  <c r="W50" i="167"/>
  <c r="V50" i="167"/>
  <c r="N50" i="167"/>
  <c r="O50" i="167"/>
  <c r="K50" i="167"/>
  <c r="J50" i="167"/>
  <c r="L50" i="167"/>
  <c r="F50" i="167"/>
  <c r="H50" i="167"/>
  <c r="B50" i="167"/>
  <c r="W49" i="167"/>
  <c r="N49" i="167"/>
  <c r="O49" i="167"/>
  <c r="K49" i="167"/>
  <c r="J49" i="167"/>
  <c r="F49" i="167"/>
  <c r="H49" i="167"/>
  <c r="B49" i="167"/>
  <c r="W48" i="167"/>
  <c r="M48" i="167"/>
  <c r="G18" i="166"/>
  <c r="W47" i="167"/>
  <c r="H47" i="167"/>
  <c r="W46" i="167"/>
  <c r="H46" i="167"/>
  <c r="W45" i="167"/>
  <c r="H45" i="167"/>
  <c r="W44" i="167"/>
  <c r="H44" i="167"/>
  <c r="W43" i="167"/>
  <c r="H43" i="167"/>
  <c r="W42" i="167"/>
  <c r="W41" i="167"/>
  <c r="W40" i="167"/>
  <c r="W39" i="167"/>
  <c r="N39" i="167"/>
  <c r="O39" i="167"/>
  <c r="V39" i="167"/>
  <c r="P39" i="167"/>
  <c r="L39" i="167"/>
  <c r="F39" i="167"/>
  <c r="H39" i="167"/>
  <c r="W38" i="167"/>
  <c r="N38" i="167"/>
  <c r="K38" i="167"/>
  <c r="K48" i="167"/>
  <c r="J38" i="167"/>
  <c r="P38" i="167"/>
  <c r="F38" i="167"/>
  <c r="H38" i="167"/>
  <c r="M37" i="167"/>
  <c r="W36" i="167"/>
  <c r="H36" i="167"/>
  <c r="W35" i="167"/>
  <c r="H35" i="167"/>
  <c r="W34" i="167"/>
  <c r="H34" i="167"/>
  <c r="W33" i="167"/>
  <c r="H33" i="167"/>
  <c r="W32" i="167"/>
  <c r="W31" i="167"/>
  <c r="W30" i="167"/>
  <c r="N30" i="167"/>
  <c r="O30" i="167"/>
  <c r="V30" i="167"/>
  <c r="P30" i="167"/>
  <c r="F30" i="167"/>
  <c r="H30" i="167"/>
  <c r="B30" i="167"/>
  <c r="W29" i="167"/>
  <c r="N29" i="167"/>
  <c r="O29" i="167"/>
  <c r="V29" i="167"/>
  <c r="K29" i="167"/>
  <c r="J29" i="167"/>
  <c r="P29" i="167"/>
  <c r="H29" i="167"/>
  <c r="F29" i="167"/>
  <c r="B29" i="167"/>
  <c r="W28" i="167"/>
  <c r="N28" i="167"/>
  <c r="V28" i="167"/>
  <c r="K28" i="167"/>
  <c r="J28" i="167"/>
  <c r="F28" i="167"/>
  <c r="H28" i="167"/>
  <c r="B28" i="167"/>
  <c r="W27" i="167"/>
  <c r="N27" i="167"/>
  <c r="K27" i="167"/>
  <c r="J27" i="167"/>
  <c r="P27" i="167"/>
  <c r="F27" i="167"/>
  <c r="H27" i="167"/>
  <c r="M26" i="167"/>
  <c r="E18" i="166"/>
  <c r="W25" i="167"/>
  <c r="H25" i="167"/>
  <c r="W24" i="167"/>
  <c r="H24" i="167"/>
  <c r="W23" i="167"/>
  <c r="H23" i="167"/>
  <c r="H22" i="167"/>
  <c r="W21" i="167"/>
  <c r="W20" i="167"/>
  <c r="W19" i="167"/>
  <c r="V19" i="167"/>
  <c r="N19" i="167"/>
  <c r="K19" i="167"/>
  <c r="J19" i="167"/>
  <c r="P19" i="167"/>
  <c r="F19" i="167"/>
  <c r="H19" i="167"/>
  <c r="W18" i="167"/>
  <c r="N18" i="167"/>
  <c r="V18" i="167"/>
  <c r="L18" i="167"/>
  <c r="F18" i="167"/>
  <c r="H18" i="167"/>
  <c r="W17" i="167"/>
  <c r="N17" i="167"/>
  <c r="V17" i="167"/>
  <c r="P17" i="167"/>
  <c r="K17" i="167"/>
  <c r="L17" i="167"/>
  <c r="F17" i="167"/>
  <c r="H17" i="167"/>
  <c r="W16" i="167"/>
  <c r="N16" i="167"/>
  <c r="J16" i="167"/>
  <c r="P16" i="167"/>
  <c r="F16" i="167"/>
  <c r="H16" i="167"/>
  <c r="M15" i="167"/>
  <c r="W14" i="167"/>
  <c r="H14" i="167"/>
  <c r="W13" i="167"/>
  <c r="W12" i="167"/>
  <c r="H12" i="167"/>
  <c r="W11" i="167"/>
  <c r="H11" i="167"/>
  <c r="W10" i="167"/>
  <c r="W9" i="167"/>
  <c r="W8" i="167"/>
  <c r="N8" i="167"/>
  <c r="V8" i="167"/>
  <c r="P8" i="167"/>
  <c r="K8" i="167"/>
  <c r="L8" i="167"/>
  <c r="F8" i="167"/>
  <c r="H8" i="167"/>
  <c r="B8" i="167"/>
  <c r="W7" i="167"/>
  <c r="N7" i="167"/>
  <c r="O7" i="167"/>
  <c r="V7" i="167"/>
  <c r="P7" i="167"/>
  <c r="K7" i="167"/>
  <c r="L7" i="167"/>
  <c r="F7" i="167"/>
  <c r="H7" i="167"/>
  <c r="B7" i="167"/>
  <c r="W6" i="167"/>
  <c r="N6" i="167"/>
  <c r="O6" i="167"/>
  <c r="V6" i="167"/>
  <c r="K6" i="167"/>
  <c r="J6" i="167"/>
  <c r="P6" i="167"/>
  <c r="F6" i="167"/>
  <c r="H6" i="167"/>
  <c r="B6" i="167"/>
  <c r="W5" i="167"/>
  <c r="P5" i="167"/>
  <c r="N5" i="167"/>
  <c r="L5" i="167"/>
  <c r="H5" i="167"/>
  <c r="F5" i="167"/>
  <c r="B5" i="167"/>
  <c r="I2" i="167"/>
  <c r="I16" i="166"/>
  <c r="H16" i="166"/>
  <c r="G16" i="166"/>
  <c r="F16" i="166"/>
  <c r="E16" i="166"/>
  <c r="D16" i="166"/>
  <c r="V21" i="165"/>
  <c r="J21" i="165"/>
  <c r="P21" i="165"/>
  <c r="P20" i="165"/>
  <c r="J19" i="165"/>
  <c r="P19" i="165"/>
  <c r="J18" i="165"/>
  <c r="P18" i="165"/>
  <c r="P17" i="165"/>
  <c r="J16" i="165"/>
  <c r="P16" i="165"/>
  <c r="P7" i="165"/>
  <c r="J6" i="165"/>
  <c r="P6" i="165"/>
  <c r="P5" i="165"/>
  <c r="W21" i="165"/>
  <c r="K21" i="165"/>
  <c r="N21" i="165"/>
  <c r="O21" i="165"/>
  <c r="H21" i="165"/>
  <c r="F21" i="165"/>
  <c r="F41" i="165"/>
  <c r="H41" i="165"/>
  <c r="H40" i="165"/>
  <c r="H39" i="165"/>
  <c r="H38" i="165"/>
  <c r="H42" i="163"/>
  <c r="H41" i="163"/>
  <c r="H40" i="163"/>
  <c r="H39" i="163"/>
  <c r="H38" i="163"/>
  <c r="W78" i="165"/>
  <c r="H78" i="165"/>
  <c r="W77" i="165"/>
  <c r="H77" i="165"/>
  <c r="W76" i="165"/>
  <c r="H76" i="165"/>
  <c r="W75" i="165"/>
  <c r="H75" i="165"/>
  <c r="W74" i="165"/>
  <c r="H74" i="165"/>
  <c r="W73" i="165"/>
  <c r="W72" i="165"/>
  <c r="AC71" i="165"/>
  <c r="AB71" i="165"/>
  <c r="W71" i="165"/>
  <c r="AC70" i="165"/>
  <c r="AB70" i="165"/>
  <c r="M69" i="165"/>
  <c r="W68" i="165"/>
  <c r="H68" i="165"/>
  <c r="W67" i="165"/>
  <c r="H67" i="165"/>
  <c r="W66" i="165"/>
  <c r="H66" i="165"/>
  <c r="W65" i="165"/>
  <c r="W64" i="165"/>
  <c r="W63" i="165"/>
  <c r="W62" i="165"/>
  <c r="N62" i="165"/>
  <c r="V62" i="165"/>
  <c r="K62" i="165"/>
  <c r="J62" i="165"/>
  <c r="P62" i="165"/>
  <c r="F62" i="165"/>
  <c r="H62" i="165"/>
  <c r="B62" i="165"/>
  <c r="W61" i="165"/>
  <c r="V61" i="165"/>
  <c r="N61" i="165"/>
  <c r="K61" i="165"/>
  <c r="J61" i="165"/>
  <c r="P61" i="165"/>
  <c r="F61" i="165"/>
  <c r="H61" i="165"/>
  <c r="B61" i="165"/>
  <c r="W60" i="165"/>
  <c r="N60" i="165"/>
  <c r="V60" i="165"/>
  <c r="K60" i="165"/>
  <c r="J60" i="165"/>
  <c r="P60" i="165"/>
  <c r="F60" i="165"/>
  <c r="H60" i="165"/>
  <c r="B60" i="165"/>
  <c r="W59" i="165"/>
  <c r="N59" i="165"/>
  <c r="K59" i="165"/>
  <c r="J59" i="165"/>
  <c r="F59" i="165"/>
  <c r="H59" i="165"/>
  <c r="B59" i="165"/>
  <c r="M58" i="165"/>
  <c r="W57" i="165"/>
  <c r="H57" i="165"/>
  <c r="W56" i="165"/>
  <c r="H56" i="165"/>
  <c r="W55" i="165"/>
  <c r="H55" i="165"/>
  <c r="W54" i="165"/>
  <c r="H54" i="165"/>
  <c r="W53" i="165"/>
  <c r="W52" i="165"/>
  <c r="N52" i="165"/>
  <c r="O52" i="165"/>
  <c r="V52" i="165"/>
  <c r="K52" i="165"/>
  <c r="J52" i="165"/>
  <c r="P52" i="165"/>
  <c r="F52" i="165"/>
  <c r="H52" i="165"/>
  <c r="B52" i="165"/>
  <c r="W51" i="165"/>
  <c r="V51" i="165"/>
  <c r="N51" i="165"/>
  <c r="K51" i="165"/>
  <c r="J51" i="165"/>
  <c r="P51" i="165"/>
  <c r="F51" i="165"/>
  <c r="H51" i="165"/>
  <c r="B51" i="165"/>
  <c r="W50" i="165"/>
  <c r="V50" i="165"/>
  <c r="N50" i="165"/>
  <c r="K50" i="165"/>
  <c r="J50" i="165"/>
  <c r="P50" i="165"/>
  <c r="H50" i="165"/>
  <c r="F50" i="165"/>
  <c r="B50" i="165"/>
  <c r="W49" i="165"/>
  <c r="N49" i="165"/>
  <c r="K49" i="165"/>
  <c r="J49" i="165"/>
  <c r="P49" i="165"/>
  <c r="F49" i="165"/>
  <c r="H49" i="165"/>
  <c r="B49" i="165"/>
  <c r="W48" i="165"/>
  <c r="M48" i="165"/>
  <c r="G18" i="164"/>
  <c r="W47" i="165"/>
  <c r="H47" i="165"/>
  <c r="W46" i="165"/>
  <c r="H46" i="165"/>
  <c r="W45" i="165"/>
  <c r="H45" i="165"/>
  <c r="W44" i="165"/>
  <c r="H44" i="165"/>
  <c r="W43" i="165"/>
  <c r="H43" i="165"/>
  <c r="W42" i="165"/>
  <c r="W41" i="165"/>
  <c r="N41" i="165"/>
  <c r="V41" i="165"/>
  <c r="P41" i="165"/>
  <c r="O41" i="165"/>
  <c r="R41" i="165"/>
  <c r="L41" i="165"/>
  <c r="W40" i="165"/>
  <c r="V40" i="165"/>
  <c r="N40" i="165"/>
  <c r="K40" i="165"/>
  <c r="J40" i="165"/>
  <c r="P40" i="165"/>
  <c r="F40" i="165"/>
  <c r="W39" i="165"/>
  <c r="N39" i="165"/>
  <c r="AB39" i="165"/>
  <c r="V39" i="165"/>
  <c r="P39" i="165"/>
  <c r="L39" i="165"/>
  <c r="F39" i="165"/>
  <c r="W38" i="165"/>
  <c r="N38" i="165"/>
  <c r="O38" i="165"/>
  <c r="K38" i="165"/>
  <c r="J38" i="165"/>
  <c r="F38" i="165"/>
  <c r="M37" i="165"/>
  <c r="W36" i="165"/>
  <c r="H36" i="165"/>
  <c r="W35" i="165"/>
  <c r="H35" i="165"/>
  <c r="W34" i="165"/>
  <c r="H34" i="165"/>
  <c r="W33" i="165"/>
  <c r="H33" i="165"/>
  <c r="W32" i="165"/>
  <c r="W31" i="165"/>
  <c r="W30" i="165"/>
  <c r="N30" i="165"/>
  <c r="V30" i="165"/>
  <c r="K30" i="165"/>
  <c r="J30" i="165"/>
  <c r="P30" i="165"/>
  <c r="F30" i="165"/>
  <c r="H30" i="165"/>
  <c r="B30" i="165"/>
  <c r="W29" i="165"/>
  <c r="N29" i="165"/>
  <c r="V29" i="165"/>
  <c r="K29" i="165"/>
  <c r="J29" i="165"/>
  <c r="P29" i="165"/>
  <c r="F29" i="165"/>
  <c r="H29" i="165"/>
  <c r="B29" i="165"/>
  <c r="W28" i="165"/>
  <c r="N28" i="165"/>
  <c r="V28" i="165"/>
  <c r="K28" i="165"/>
  <c r="J28" i="165"/>
  <c r="P28" i="165"/>
  <c r="F28" i="165"/>
  <c r="H28" i="165"/>
  <c r="B28" i="165"/>
  <c r="W27" i="165"/>
  <c r="N27" i="165"/>
  <c r="O27" i="165"/>
  <c r="K27" i="165"/>
  <c r="J27" i="165"/>
  <c r="F27" i="165"/>
  <c r="H27" i="165"/>
  <c r="M26" i="165"/>
  <c r="W25" i="165"/>
  <c r="H25" i="165"/>
  <c r="W24" i="165"/>
  <c r="H24" i="165"/>
  <c r="W23" i="165"/>
  <c r="H23" i="165"/>
  <c r="H22" i="165"/>
  <c r="W20" i="165"/>
  <c r="N20" i="165"/>
  <c r="O20" i="165"/>
  <c r="V20" i="165"/>
  <c r="K20" i="165"/>
  <c r="L20" i="165"/>
  <c r="F20" i="165"/>
  <c r="H20" i="165"/>
  <c r="W19" i="165"/>
  <c r="N19" i="165"/>
  <c r="V19" i="165"/>
  <c r="K19" i="165"/>
  <c r="F19" i="165"/>
  <c r="H19" i="165"/>
  <c r="W18" i="165"/>
  <c r="N18" i="165"/>
  <c r="V18" i="165"/>
  <c r="K18" i="165"/>
  <c r="F18" i="165"/>
  <c r="H18" i="165"/>
  <c r="W17" i="165"/>
  <c r="V17" i="165"/>
  <c r="N17" i="165"/>
  <c r="O17" i="165"/>
  <c r="K17" i="165"/>
  <c r="L17" i="165"/>
  <c r="F17" i="165"/>
  <c r="H17" i="165"/>
  <c r="W16" i="165"/>
  <c r="N16" i="165"/>
  <c r="O16" i="165"/>
  <c r="F16" i="165"/>
  <c r="H16" i="165"/>
  <c r="M15" i="165"/>
  <c r="D18" i="164"/>
  <c r="W14" i="165"/>
  <c r="H14" i="165"/>
  <c r="W13" i="165"/>
  <c r="W12" i="165"/>
  <c r="H12" i="165"/>
  <c r="W11" i="165"/>
  <c r="H11" i="165"/>
  <c r="W10" i="165"/>
  <c r="W9" i="165"/>
  <c r="W8" i="165"/>
  <c r="N8" i="165"/>
  <c r="V8" i="165"/>
  <c r="P8" i="165"/>
  <c r="K8" i="165"/>
  <c r="L8" i="165"/>
  <c r="F8" i="165"/>
  <c r="H8" i="165"/>
  <c r="B8" i="165"/>
  <c r="W7" i="165"/>
  <c r="V7" i="165"/>
  <c r="N7" i="165"/>
  <c r="O7" i="165"/>
  <c r="K7" i="165"/>
  <c r="F7" i="165"/>
  <c r="H7" i="165"/>
  <c r="B7" i="165"/>
  <c r="W6" i="165"/>
  <c r="V6" i="165"/>
  <c r="N6" i="165"/>
  <c r="K6" i="165"/>
  <c r="H6" i="165"/>
  <c r="F6" i="165"/>
  <c r="B6" i="165"/>
  <c r="W5" i="165"/>
  <c r="N5" i="165"/>
  <c r="AB5" i="165"/>
  <c r="L5" i="165"/>
  <c r="F5" i="165"/>
  <c r="H5" i="165"/>
  <c r="B5" i="165"/>
  <c r="I2" i="165"/>
  <c r="E1" i="165"/>
  <c r="G3" i="164"/>
  <c r="I18" i="164"/>
  <c r="F18" i="164"/>
  <c r="I16" i="164"/>
  <c r="H16" i="164"/>
  <c r="G16" i="164"/>
  <c r="F16" i="164"/>
  <c r="E16" i="164"/>
  <c r="D16" i="164"/>
  <c r="V63" i="163"/>
  <c r="V31" i="163"/>
  <c r="V42" i="163"/>
  <c r="AC17" i="169"/>
  <c r="J26" i="167"/>
  <c r="L19" i="169"/>
  <c r="J48" i="165"/>
  <c r="J26" i="169"/>
  <c r="P26" i="169"/>
  <c r="L49" i="169"/>
  <c r="L51" i="165"/>
  <c r="L28" i="167"/>
  <c r="L38" i="169"/>
  <c r="L48" i="169"/>
  <c r="G13" i="168"/>
  <c r="P38" i="169"/>
  <c r="L19" i="167"/>
  <c r="L29" i="169"/>
  <c r="K15" i="165"/>
  <c r="K48" i="169"/>
  <c r="AC50" i="165"/>
  <c r="L38" i="165"/>
  <c r="R38" i="165"/>
  <c r="L50" i="169"/>
  <c r="P38" i="165"/>
  <c r="J15" i="165"/>
  <c r="P15" i="165"/>
  <c r="AC18" i="165"/>
  <c r="P28" i="167"/>
  <c r="L61" i="167"/>
  <c r="AC27" i="169"/>
  <c r="L40" i="165"/>
  <c r="L27" i="167"/>
  <c r="AB27" i="167"/>
  <c r="J58" i="165"/>
  <c r="P58" i="165"/>
  <c r="J69" i="165"/>
  <c r="P69" i="165"/>
  <c r="P50" i="167"/>
  <c r="L70" i="169"/>
  <c r="Q70" i="169"/>
  <c r="K69" i="169"/>
  <c r="L52" i="165"/>
  <c r="R52" i="165"/>
  <c r="L49" i="165"/>
  <c r="AC60" i="165"/>
  <c r="L61" i="165"/>
  <c r="AC50" i="169"/>
  <c r="L19" i="165"/>
  <c r="L30" i="165"/>
  <c r="P59" i="165"/>
  <c r="J79" i="169"/>
  <c r="P79" i="169"/>
  <c r="AC40" i="165"/>
  <c r="L60" i="165"/>
  <c r="K15" i="167"/>
  <c r="L62" i="165"/>
  <c r="L28" i="165"/>
  <c r="K48" i="165"/>
  <c r="Q7" i="167"/>
  <c r="K79" i="169"/>
  <c r="Q79" i="169"/>
  <c r="AC40" i="169"/>
  <c r="P48" i="169"/>
  <c r="AC18" i="169"/>
  <c r="O5" i="169"/>
  <c r="Q5" i="169"/>
  <c r="AB70" i="169"/>
  <c r="AC70" i="169"/>
  <c r="J58" i="169"/>
  <c r="P58" i="169"/>
  <c r="L51" i="169"/>
  <c r="K58" i="169"/>
  <c r="O40" i="169"/>
  <c r="I1" i="169"/>
  <c r="O17" i="169"/>
  <c r="R17" i="169"/>
  <c r="K15" i="169"/>
  <c r="AC8" i="169"/>
  <c r="O19" i="169"/>
  <c r="AC19" i="169"/>
  <c r="AB19" i="169"/>
  <c r="G1" i="169"/>
  <c r="AC29" i="169"/>
  <c r="O29" i="169"/>
  <c r="AB29" i="169"/>
  <c r="N37" i="169"/>
  <c r="AC38" i="169"/>
  <c r="N48" i="169"/>
  <c r="O38" i="169"/>
  <c r="AB38" i="169"/>
  <c r="R18" i="169"/>
  <c r="Q18" i="169"/>
  <c r="K37" i="169"/>
  <c r="L27" i="169"/>
  <c r="Q27" i="169"/>
  <c r="R27" i="169"/>
  <c r="L61" i="169"/>
  <c r="Q17" i="169"/>
  <c r="K26" i="169"/>
  <c r="O28" i="169"/>
  <c r="AC28" i="169"/>
  <c r="AB28" i="169"/>
  <c r="L7" i="169"/>
  <c r="Q7" i="169"/>
  <c r="AB18" i="169"/>
  <c r="AB27" i="169"/>
  <c r="L60" i="169"/>
  <c r="R60" i="169"/>
  <c r="L16" i="169"/>
  <c r="L26" i="169"/>
  <c r="E13" i="168"/>
  <c r="Q49" i="169"/>
  <c r="O50" i="169"/>
  <c r="AC51" i="169"/>
  <c r="AB51" i="169"/>
  <c r="L6" i="169"/>
  <c r="AB16" i="169"/>
  <c r="N26" i="169"/>
  <c r="O16" i="169"/>
  <c r="AC39" i="169"/>
  <c r="AB39" i="169"/>
  <c r="R49" i="169"/>
  <c r="O51" i="169"/>
  <c r="L59" i="169"/>
  <c r="O61" i="169"/>
  <c r="AC61" i="169"/>
  <c r="AB61" i="169"/>
  <c r="AC6" i="169"/>
  <c r="AB6" i="169"/>
  <c r="AB17" i="169"/>
  <c r="O39" i="169"/>
  <c r="N69" i="169"/>
  <c r="AC59" i="169"/>
  <c r="AB59" i="169"/>
  <c r="J69" i="169"/>
  <c r="O6" i="169"/>
  <c r="J15" i="169"/>
  <c r="P15" i="169"/>
  <c r="O59" i="169"/>
  <c r="AB60" i="169"/>
  <c r="R5" i="169"/>
  <c r="AB8" i="169"/>
  <c r="AB49" i="169"/>
  <c r="AC60" i="169"/>
  <c r="AB7" i="169"/>
  <c r="AC16" i="169"/>
  <c r="L28" i="169"/>
  <c r="AC49" i="169"/>
  <c r="N58" i="169"/>
  <c r="AB5" i="169"/>
  <c r="N15" i="169"/>
  <c r="J37" i="169"/>
  <c r="P37" i="169"/>
  <c r="AB50" i="169"/>
  <c r="P49" i="169"/>
  <c r="R7" i="167"/>
  <c r="I18" i="166"/>
  <c r="K69" i="167"/>
  <c r="L51" i="167"/>
  <c r="K37" i="167"/>
  <c r="P18" i="167"/>
  <c r="G1" i="167"/>
  <c r="G2" i="167"/>
  <c r="R50" i="167"/>
  <c r="Q50" i="167"/>
  <c r="AB7" i="167"/>
  <c r="K26" i="167"/>
  <c r="AC27" i="167"/>
  <c r="P59" i="167"/>
  <c r="J69" i="167"/>
  <c r="O61" i="167"/>
  <c r="AB61" i="167"/>
  <c r="AC61" i="167"/>
  <c r="O8" i="167"/>
  <c r="AC8" i="167"/>
  <c r="AB8" i="167"/>
  <c r="AB49" i="167"/>
  <c r="AC49" i="167"/>
  <c r="L59" i="167"/>
  <c r="AB60" i="167"/>
  <c r="AC60" i="167"/>
  <c r="AC18" i="167"/>
  <c r="AB18" i="167"/>
  <c r="AC40" i="167"/>
  <c r="AC7" i="167"/>
  <c r="Q39" i="167"/>
  <c r="R39" i="167"/>
  <c r="O17" i="167"/>
  <c r="AC17" i="167"/>
  <c r="L38" i="167"/>
  <c r="L48" i="167"/>
  <c r="G13" i="166"/>
  <c r="AB39" i="167"/>
  <c r="N58" i="167"/>
  <c r="AB62" i="167"/>
  <c r="AC62" i="167"/>
  <c r="AC5" i="167"/>
  <c r="AB5" i="167"/>
  <c r="N15" i="167"/>
  <c r="AB6" i="167"/>
  <c r="AB17" i="167"/>
  <c r="N48" i="167"/>
  <c r="F18" i="166"/>
  <c r="AC6" i="167"/>
  <c r="N26" i="167"/>
  <c r="O16" i="167"/>
  <c r="J58" i="167"/>
  <c r="P58" i="167"/>
  <c r="AC51" i="167"/>
  <c r="AB51" i="167"/>
  <c r="AB16" i="167"/>
  <c r="AB19" i="167"/>
  <c r="AC19" i="167"/>
  <c r="AB38" i="167"/>
  <c r="K58" i="167"/>
  <c r="O51" i="167"/>
  <c r="AC16" i="167"/>
  <c r="O19" i="167"/>
  <c r="AC28" i="167"/>
  <c r="AB28" i="167"/>
  <c r="L29" i="167"/>
  <c r="AB30" i="167"/>
  <c r="J37" i="167"/>
  <c r="P37" i="167"/>
  <c r="AC38" i="167"/>
  <c r="J48" i="167"/>
  <c r="P48" i="167"/>
  <c r="N37" i="167"/>
  <c r="O27" i="167"/>
  <c r="AB40" i="167"/>
  <c r="N69" i="167"/>
  <c r="AC59" i="167"/>
  <c r="AB59" i="167"/>
  <c r="L6" i="167"/>
  <c r="Q6" i="167"/>
  <c r="L30" i="167"/>
  <c r="Q30" i="167"/>
  <c r="AC39" i="167"/>
  <c r="AC50" i="167"/>
  <c r="AB50" i="167"/>
  <c r="O5" i="167"/>
  <c r="J15" i="167"/>
  <c r="P15" i="167"/>
  <c r="O18" i="167"/>
  <c r="O28" i="167"/>
  <c r="AC29" i="167"/>
  <c r="AB29" i="167"/>
  <c r="AC30" i="167"/>
  <c r="L60" i="167"/>
  <c r="R60" i="167"/>
  <c r="I1" i="167"/>
  <c r="L16" i="167"/>
  <c r="L49" i="167"/>
  <c r="R49" i="167"/>
  <c r="D18" i="166"/>
  <c r="P26" i="167"/>
  <c r="P49" i="167"/>
  <c r="O38" i="167"/>
  <c r="O50" i="165"/>
  <c r="R20" i="165"/>
  <c r="L21" i="165"/>
  <c r="Q21" i="165"/>
  <c r="J26" i="165"/>
  <c r="P26" i="165"/>
  <c r="L18" i="165"/>
  <c r="L16" i="165"/>
  <c r="Q16" i="165"/>
  <c r="L7" i="165"/>
  <c r="Q7" i="165"/>
  <c r="K26" i="165"/>
  <c r="AC17" i="165"/>
  <c r="AB7" i="165"/>
  <c r="AC7" i="165"/>
  <c r="P48" i="165"/>
  <c r="AB50" i="165"/>
  <c r="O18" i="165"/>
  <c r="AB17" i="165"/>
  <c r="AB28" i="165"/>
  <c r="K37" i="165"/>
  <c r="AC8" i="165"/>
  <c r="O8" i="165"/>
  <c r="AB8" i="165"/>
  <c r="AC49" i="165"/>
  <c r="O49" i="165"/>
  <c r="N58" i="165"/>
  <c r="AB49" i="165"/>
  <c r="G1" i="165"/>
  <c r="AC30" i="165"/>
  <c r="AB30" i="165"/>
  <c r="O30" i="165"/>
  <c r="AC19" i="165"/>
  <c r="O19" i="165"/>
  <c r="AB19" i="165"/>
  <c r="O6" i="165"/>
  <c r="AC6" i="165"/>
  <c r="AB6" i="165"/>
  <c r="O5" i="165"/>
  <c r="AC61" i="165"/>
  <c r="L27" i="165"/>
  <c r="Q27" i="165"/>
  <c r="Q41" i="165"/>
  <c r="R17" i="165"/>
  <c r="AB38" i="165"/>
  <c r="N48" i="165"/>
  <c r="H18" i="164"/>
  <c r="AB18" i="165"/>
  <c r="AC38" i="165"/>
  <c r="Q17" i="165"/>
  <c r="Q20" i="165"/>
  <c r="O40" i="165"/>
  <c r="O51" i="165"/>
  <c r="AC51" i="165"/>
  <c r="AB51" i="165"/>
  <c r="O60" i="165"/>
  <c r="AC62" i="165"/>
  <c r="AB62" i="165"/>
  <c r="L6" i="165"/>
  <c r="AC28" i="165"/>
  <c r="O28" i="165"/>
  <c r="O62" i="165"/>
  <c r="N15" i="165"/>
  <c r="P27" i="165"/>
  <c r="J37" i="165"/>
  <c r="P37" i="165"/>
  <c r="AC29" i="165"/>
  <c r="AB29" i="165"/>
  <c r="O29" i="165"/>
  <c r="AC39" i="165"/>
  <c r="N69" i="165"/>
  <c r="O59" i="165"/>
  <c r="AC59" i="165"/>
  <c r="AB59" i="165"/>
  <c r="AC5" i="165"/>
  <c r="N37" i="165"/>
  <c r="L29" i="165"/>
  <c r="O39" i="165"/>
  <c r="K69" i="165"/>
  <c r="AB60" i="165"/>
  <c r="I1" i="165"/>
  <c r="E18" i="164"/>
  <c r="AB40" i="165"/>
  <c r="L59" i="165"/>
  <c r="AB16" i="165"/>
  <c r="AB27" i="165"/>
  <c r="L50" i="165"/>
  <c r="K58" i="165"/>
  <c r="O61" i="165"/>
  <c r="AC16" i="165"/>
  <c r="AC27" i="165"/>
  <c r="AB61" i="165"/>
  <c r="N26" i="165"/>
  <c r="K6" i="163"/>
  <c r="P42" i="163"/>
  <c r="L42" i="163"/>
  <c r="F63" i="163"/>
  <c r="H63" i="163"/>
  <c r="J63" i="163"/>
  <c r="P63" i="163"/>
  <c r="K63" i="163"/>
  <c r="B63" i="163"/>
  <c r="F42" i="163"/>
  <c r="J31" i="163"/>
  <c r="P31" i="163"/>
  <c r="K31" i="163"/>
  <c r="F31" i="163"/>
  <c r="H31" i="163"/>
  <c r="B31" i="163"/>
  <c r="H18" i="128"/>
  <c r="H39" i="124"/>
  <c r="H38" i="124"/>
  <c r="H39" i="130"/>
  <c r="H38" i="130"/>
  <c r="H59" i="130"/>
  <c r="H39" i="132"/>
  <c r="H38" i="132"/>
  <c r="H40" i="134"/>
  <c r="H39" i="134"/>
  <c r="H38" i="134"/>
  <c r="H39" i="136"/>
  <c r="H38" i="136"/>
  <c r="H40" i="138"/>
  <c r="H39" i="138"/>
  <c r="H38" i="138"/>
  <c r="H39" i="140"/>
  <c r="H38" i="140"/>
  <c r="H39" i="142"/>
  <c r="H38" i="142"/>
  <c r="H39" i="144"/>
  <c r="H38" i="144"/>
  <c r="H40" i="146"/>
  <c r="H39" i="146"/>
  <c r="H38" i="146"/>
  <c r="H40" i="148"/>
  <c r="H39" i="148"/>
  <c r="H38" i="148"/>
  <c r="H40" i="150"/>
  <c r="H39" i="150"/>
  <c r="H38" i="150"/>
  <c r="H29" i="155"/>
  <c r="H40" i="159"/>
  <c r="H39" i="159"/>
  <c r="H38" i="159"/>
  <c r="H41" i="161"/>
  <c r="H40" i="161"/>
  <c r="H39" i="161"/>
  <c r="H38" i="161"/>
  <c r="R7" i="169"/>
  <c r="L63" i="163"/>
  <c r="Q38" i="165"/>
  <c r="L58" i="169"/>
  <c r="H13" i="168"/>
  <c r="R7" i="165"/>
  <c r="L37" i="169"/>
  <c r="F13" i="168"/>
  <c r="L58" i="165"/>
  <c r="H13" i="164"/>
  <c r="L69" i="167"/>
  <c r="I13" i="166"/>
  <c r="J6" i="166"/>
  <c r="L15" i="169"/>
  <c r="D13" i="168"/>
  <c r="H6" i="168"/>
  <c r="R70" i="169"/>
  <c r="L79" i="169"/>
  <c r="J13" i="168"/>
  <c r="J15" i="168"/>
  <c r="R18" i="165"/>
  <c r="L69" i="165"/>
  <c r="I13" i="164"/>
  <c r="J6" i="164"/>
  <c r="Q50" i="165"/>
  <c r="L48" i="165"/>
  <c r="G13" i="164"/>
  <c r="Q52" i="165"/>
  <c r="L31" i="163"/>
  <c r="L15" i="165"/>
  <c r="D13" i="164"/>
  <c r="O58" i="169"/>
  <c r="H14" i="168"/>
  <c r="O37" i="169"/>
  <c r="F14" i="168"/>
  <c r="Q40" i="169"/>
  <c r="R40" i="169"/>
  <c r="R58" i="169"/>
  <c r="S49" i="169"/>
  <c r="R16" i="169"/>
  <c r="Q16" i="169"/>
  <c r="O26" i="169"/>
  <c r="AB26" i="169"/>
  <c r="AC26" i="169"/>
  <c r="AD16" i="169"/>
  <c r="AB37" i="169"/>
  <c r="AC37" i="169"/>
  <c r="AD27" i="169"/>
  <c r="Q37" i="169"/>
  <c r="AC15" i="169"/>
  <c r="AD5" i="169"/>
  <c r="AB15" i="169"/>
  <c r="Q59" i="169"/>
  <c r="O69" i="169"/>
  <c r="R59" i="169"/>
  <c r="R29" i="169"/>
  <c r="Q29" i="169"/>
  <c r="O15" i="169"/>
  <c r="AC58" i="169"/>
  <c r="AD49" i="169"/>
  <c r="Q58" i="169"/>
  <c r="AB58" i="169"/>
  <c r="Q6" i="169"/>
  <c r="R6" i="169"/>
  <c r="Q60" i="169"/>
  <c r="R61" i="169"/>
  <c r="Q61" i="169"/>
  <c r="P69" i="169"/>
  <c r="L69" i="169"/>
  <c r="Q51" i="169"/>
  <c r="R51" i="169"/>
  <c r="R28" i="169"/>
  <c r="Q28" i="169"/>
  <c r="J3" i="168"/>
  <c r="G2" i="169"/>
  <c r="R50" i="169"/>
  <c r="Q50" i="169"/>
  <c r="AC69" i="169"/>
  <c r="AD59" i="169"/>
  <c r="Q69" i="169"/>
  <c r="AB69" i="169"/>
  <c r="R38" i="169"/>
  <c r="O48" i="169"/>
  <c r="Q38" i="169"/>
  <c r="R39" i="169"/>
  <c r="Q39" i="169"/>
  <c r="Q48" i="169"/>
  <c r="AC48" i="169"/>
  <c r="AD38" i="169"/>
  <c r="AB48" i="169"/>
  <c r="Q19" i="169"/>
  <c r="R19" i="169"/>
  <c r="J3" i="166"/>
  <c r="L37" i="167"/>
  <c r="F13" i="166"/>
  <c r="R18" i="167"/>
  <c r="Q18" i="167"/>
  <c r="R6" i="167"/>
  <c r="Q60" i="167"/>
  <c r="Q29" i="167"/>
  <c r="Q59" i="167"/>
  <c r="L15" i="167"/>
  <c r="D13" i="166"/>
  <c r="R29" i="167"/>
  <c r="R59" i="167"/>
  <c r="R30" i="167"/>
  <c r="AC69" i="167"/>
  <c r="AD59" i="167"/>
  <c r="AB69" i="167"/>
  <c r="Q69" i="167"/>
  <c r="R19" i="167"/>
  <c r="Q19" i="167"/>
  <c r="R16" i="167"/>
  <c r="Q16" i="167"/>
  <c r="O26" i="167"/>
  <c r="R61" i="167"/>
  <c r="Q61" i="167"/>
  <c r="AC15" i="167"/>
  <c r="AD5" i="167"/>
  <c r="AB15" i="167"/>
  <c r="Q17" i="167"/>
  <c r="R17" i="167"/>
  <c r="P69" i="167"/>
  <c r="Q38" i="167"/>
  <c r="R38" i="167"/>
  <c r="O48" i="167"/>
  <c r="R28" i="167"/>
  <c r="Q28" i="167"/>
  <c r="O69" i="167"/>
  <c r="L58" i="167"/>
  <c r="H13" i="166"/>
  <c r="AC26" i="167"/>
  <c r="AD16" i="167"/>
  <c r="AB26" i="167"/>
  <c r="AC58" i="167"/>
  <c r="AD49" i="167"/>
  <c r="AB58" i="167"/>
  <c r="Q58" i="167"/>
  <c r="L26" i="167"/>
  <c r="E13" i="166"/>
  <c r="O15" i="167"/>
  <c r="R5" i="167"/>
  <c r="Q5" i="167"/>
  <c r="Q27" i="167"/>
  <c r="O37" i="167"/>
  <c r="R27" i="167"/>
  <c r="R51" i="167"/>
  <c r="Q51" i="167"/>
  <c r="O58" i="167"/>
  <c r="AC37" i="167"/>
  <c r="AD27" i="167"/>
  <c r="Q37" i="167"/>
  <c r="AB37" i="167"/>
  <c r="Q49" i="167"/>
  <c r="R8" i="167"/>
  <c r="Q8" i="167"/>
  <c r="Q48" i="167"/>
  <c r="AB48" i="167"/>
  <c r="AC48" i="167"/>
  <c r="AD38" i="167"/>
  <c r="L26" i="165"/>
  <c r="E13" i="164"/>
  <c r="R21" i="165"/>
  <c r="R16" i="165"/>
  <c r="Q18" i="165"/>
  <c r="R51" i="165"/>
  <c r="Q51" i="165"/>
  <c r="Q6" i="165"/>
  <c r="R6" i="165"/>
  <c r="R40" i="165"/>
  <c r="Q40" i="165"/>
  <c r="AB48" i="165"/>
  <c r="Q48" i="165"/>
  <c r="AC48" i="165"/>
  <c r="AD38" i="165"/>
  <c r="R8" i="165"/>
  <c r="Q8" i="165"/>
  <c r="R59" i="165"/>
  <c r="Q59" i="165"/>
  <c r="O69" i="165"/>
  <c r="AC15" i="165"/>
  <c r="AD5" i="165"/>
  <c r="AB15" i="165"/>
  <c r="R19" i="165"/>
  <c r="Q19" i="165"/>
  <c r="AC69" i="165"/>
  <c r="AD59" i="165"/>
  <c r="AB69" i="165"/>
  <c r="Q69" i="165"/>
  <c r="R62" i="165"/>
  <c r="Q62" i="165"/>
  <c r="R39" i="165"/>
  <c r="Q39" i="165"/>
  <c r="R28" i="165"/>
  <c r="Q28" i="165"/>
  <c r="O37" i="165"/>
  <c r="R30" i="165"/>
  <c r="Q30" i="165"/>
  <c r="AC26" i="165"/>
  <c r="AD16" i="165"/>
  <c r="AB26" i="165"/>
  <c r="R50" i="165"/>
  <c r="O48" i="165"/>
  <c r="Q29" i="165"/>
  <c r="R29" i="165"/>
  <c r="L37" i="165"/>
  <c r="F13" i="164"/>
  <c r="G2" i="165"/>
  <c r="J3" i="164"/>
  <c r="AC37" i="165"/>
  <c r="AD27" i="165"/>
  <c r="AB37" i="165"/>
  <c r="Q37" i="165"/>
  <c r="O26" i="165"/>
  <c r="R60" i="165"/>
  <c r="Q60" i="165"/>
  <c r="O15" i="165"/>
  <c r="R5" i="165"/>
  <c r="Q5" i="165"/>
  <c r="AB58" i="165"/>
  <c r="Q58" i="165"/>
  <c r="AC58" i="165"/>
  <c r="AD49" i="165"/>
  <c r="R61" i="165"/>
  <c r="Q61" i="165"/>
  <c r="R27" i="165"/>
  <c r="O58" i="165"/>
  <c r="R49" i="165"/>
  <c r="Q49" i="165"/>
  <c r="W78" i="163"/>
  <c r="H78" i="163"/>
  <c r="W77" i="163"/>
  <c r="H77" i="163"/>
  <c r="W76" i="163"/>
  <c r="H76" i="163"/>
  <c r="W75" i="163"/>
  <c r="H75" i="163"/>
  <c r="W74" i="163"/>
  <c r="H74" i="163"/>
  <c r="W73" i="163"/>
  <c r="W72" i="163"/>
  <c r="AC71" i="163"/>
  <c r="AB71" i="163"/>
  <c r="W71" i="163"/>
  <c r="AC70" i="163"/>
  <c r="AB70" i="163"/>
  <c r="M69" i="163"/>
  <c r="W68" i="163"/>
  <c r="H68" i="163"/>
  <c r="W67" i="163"/>
  <c r="H67" i="163"/>
  <c r="W66" i="163"/>
  <c r="H66" i="163"/>
  <c r="W65" i="163"/>
  <c r="W64" i="163"/>
  <c r="W63" i="163"/>
  <c r="N63" i="163"/>
  <c r="O63" i="163"/>
  <c r="W62" i="163"/>
  <c r="N62" i="163"/>
  <c r="V62" i="163"/>
  <c r="K62" i="163"/>
  <c r="J62" i="163"/>
  <c r="P62" i="163"/>
  <c r="F62" i="163"/>
  <c r="H62" i="163"/>
  <c r="B62" i="163"/>
  <c r="W61" i="163"/>
  <c r="N61" i="163"/>
  <c r="O61" i="163"/>
  <c r="V61" i="163"/>
  <c r="K61" i="163"/>
  <c r="J61" i="163"/>
  <c r="P61" i="163"/>
  <c r="F61" i="163"/>
  <c r="H61" i="163"/>
  <c r="B61" i="163"/>
  <c r="W60" i="163"/>
  <c r="V60" i="163"/>
  <c r="N60" i="163"/>
  <c r="K60" i="163"/>
  <c r="J60" i="163"/>
  <c r="P60" i="163"/>
  <c r="F60" i="163"/>
  <c r="H60" i="163"/>
  <c r="B60" i="163"/>
  <c r="W59" i="163"/>
  <c r="N59" i="163"/>
  <c r="K59" i="163"/>
  <c r="J59" i="163"/>
  <c r="P59" i="163"/>
  <c r="F59" i="163"/>
  <c r="H59" i="163"/>
  <c r="B59" i="163"/>
  <c r="M58" i="163"/>
  <c r="W57" i="163"/>
  <c r="H57" i="163"/>
  <c r="W56" i="163"/>
  <c r="H56" i="163"/>
  <c r="W55" i="163"/>
  <c r="H55" i="163"/>
  <c r="W54" i="163"/>
  <c r="H54" i="163"/>
  <c r="W53" i="163"/>
  <c r="W52" i="163"/>
  <c r="V52" i="163"/>
  <c r="N52" i="163"/>
  <c r="O52" i="163"/>
  <c r="K52" i="163"/>
  <c r="J52" i="163"/>
  <c r="P52" i="163"/>
  <c r="F52" i="163"/>
  <c r="H52" i="163"/>
  <c r="B52" i="163"/>
  <c r="W51" i="163"/>
  <c r="N51" i="163"/>
  <c r="V51" i="163"/>
  <c r="K51" i="163"/>
  <c r="J51" i="163"/>
  <c r="P51" i="163"/>
  <c r="F51" i="163"/>
  <c r="H51" i="163"/>
  <c r="B51" i="163"/>
  <c r="W50" i="163"/>
  <c r="N50" i="163"/>
  <c r="O50" i="163"/>
  <c r="V50" i="163"/>
  <c r="K50" i="163"/>
  <c r="J50" i="163"/>
  <c r="P50" i="163"/>
  <c r="F50" i="163"/>
  <c r="H50" i="163"/>
  <c r="B50" i="163"/>
  <c r="W49" i="163"/>
  <c r="N49" i="163"/>
  <c r="K49" i="163"/>
  <c r="J49" i="163"/>
  <c r="F49" i="163"/>
  <c r="H49" i="163"/>
  <c r="B49" i="163"/>
  <c r="W48" i="163"/>
  <c r="M48" i="163"/>
  <c r="G18" i="162"/>
  <c r="W47" i="163"/>
  <c r="H47" i="163"/>
  <c r="W46" i="163"/>
  <c r="H46" i="163"/>
  <c r="W45" i="163"/>
  <c r="H45" i="163"/>
  <c r="W44" i="163"/>
  <c r="H44" i="163"/>
  <c r="W43" i="163"/>
  <c r="H43" i="163"/>
  <c r="W42" i="163"/>
  <c r="N42" i="163"/>
  <c r="O42" i="163"/>
  <c r="W41" i="163"/>
  <c r="N41" i="163"/>
  <c r="O41" i="163"/>
  <c r="V41" i="163"/>
  <c r="P41" i="163"/>
  <c r="L41" i="163"/>
  <c r="F41" i="163"/>
  <c r="W40" i="163"/>
  <c r="V40" i="163"/>
  <c r="N40" i="163"/>
  <c r="K40" i="163"/>
  <c r="J40" i="163"/>
  <c r="P40" i="163"/>
  <c r="F40" i="163"/>
  <c r="W39" i="163"/>
  <c r="N39" i="163"/>
  <c r="V39" i="163"/>
  <c r="P39" i="163"/>
  <c r="L39" i="163"/>
  <c r="F39" i="163"/>
  <c r="W38" i="163"/>
  <c r="N38" i="163"/>
  <c r="K38" i="163"/>
  <c r="J38" i="163"/>
  <c r="F38" i="163"/>
  <c r="M37" i="163"/>
  <c r="W36" i="163"/>
  <c r="H36" i="163"/>
  <c r="W35" i="163"/>
  <c r="H35" i="163"/>
  <c r="W34" i="163"/>
  <c r="H34" i="163"/>
  <c r="W33" i="163"/>
  <c r="H33" i="163"/>
  <c r="W32" i="163"/>
  <c r="W31" i="163"/>
  <c r="N31" i="163"/>
  <c r="O31" i="163"/>
  <c r="W30" i="163"/>
  <c r="N30" i="163"/>
  <c r="O30" i="163"/>
  <c r="V30" i="163"/>
  <c r="K30" i="163"/>
  <c r="J30" i="163"/>
  <c r="P30" i="163"/>
  <c r="F30" i="163"/>
  <c r="H30" i="163"/>
  <c r="B30" i="163"/>
  <c r="W29" i="163"/>
  <c r="V29" i="163"/>
  <c r="N29" i="163"/>
  <c r="K29" i="163"/>
  <c r="J29" i="163"/>
  <c r="P29" i="163"/>
  <c r="F29" i="163"/>
  <c r="H29" i="163"/>
  <c r="B29" i="163"/>
  <c r="W28" i="163"/>
  <c r="N28" i="163"/>
  <c r="O28" i="163"/>
  <c r="V28" i="163"/>
  <c r="K28" i="163"/>
  <c r="J28" i="163"/>
  <c r="P28" i="163"/>
  <c r="F28" i="163"/>
  <c r="H28" i="163"/>
  <c r="B28" i="163"/>
  <c r="W27" i="163"/>
  <c r="N27" i="163"/>
  <c r="K27" i="163"/>
  <c r="J27" i="163"/>
  <c r="P27" i="163"/>
  <c r="F27" i="163"/>
  <c r="H27" i="163"/>
  <c r="M26" i="163"/>
  <c r="E18" i="162"/>
  <c r="J26" i="163"/>
  <c r="W25" i="163"/>
  <c r="H25" i="163"/>
  <c r="W24" i="163"/>
  <c r="H24" i="163"/>
  <c r="W23" i="163"/>
  <c r="H23" i="163"/>
  <c r="H22" i="163"/>
  <c r="H21" i="163"/>
  <c r="W20" i="163"/>
  <c r="N20" i="163"/>
  <c r="O20" i="163"/>
  <c r="V20" i="163"/>
  <c r="P20" i="163"/>
  <c r="K20" i="163"/>
  <c r="L20" i="163"/>
  <c r="F20" i="163"/>
  <c r="H20" i="163"/>
  <c r="W19" i="163"/>
  <c r="V19" i="163"/>
  <c r="P19" i="163"/>
  <c r="N19" i="163"/>
  <c r="K19" i="163"/>
  <c r="L19" i="163"/>
  <c r="F19" i="163"/>
  <c r="H19" i="163"/>
  <c r="W18" i="163"/>
  <c r="N18" i="163"/>
  <c r="V18" i="163"/>
  <c r="P18" i="163"/>
  <c r="K18" i="163"/>
  <c r="L18" i="163"/>
  <c r="F18" i="163"/>
  <c r="H18" i="163"/>
  <c r="W17" i="163"/>
  <c r="N17" i="163"/>
  <c r="V17" i="163"/>
  <c r="P17" i="163"/>
  <c r="K17" i="163"/>
  <c r="F17" i="163"/>
  <c r="H17" i="163"/>
  <c r="W16" i="163"/>
  <c r="N16" i="163"/>
  <c r="P16" i="163"/>
  <c r="L16" i="163"/>
  <c r="F16" i="163"/>
  <c r="H16" i="163"/>
  <c r="M15" i="163"/>
  <c r="J15" i="163"/>
  <c r="W14" i="163"/>
  <c r="H14" i="163"/>
  <c r="W13" i="163"/>
  <c r="W12" i="163"/>
  <c r="H12" i="163"/>
  <c r="W11" i="163"/>
  <c r="H11" i="163"/>
  <c r="W10" i="163"/>
  <c r="W9" i="163"/>
  <c r="W8" i="163"/>
  <c r="N8" i="163"/>
  <c r="O8" i="163"/>
  <c r="V8" i="163"/>
  <c r="P8" i="163"/>
  <c r="K8" i="163"/>
  <c r="L8" i="163"/>
  <c r="R8" i="163"/>
  <c r="F8" i="163"/>
  <c r="H8" i="163"/>
  <c r="B8" i="163"/>
  <c r="W7" i="163"/>
  <c r="N7" i="163"/>
  <c r="O7" i="163"/>
  <c r="V7" i="163"/>
  <c r="P7" i="163"/>
  <c r="K7" i="163"/>
  <c r="L7" i="163"/>
  <c r="F7" i="163"/>
  <c r="H7" i="163"/>
  <c r="B7" i="163"/>
  <c r="W6" i="163"/>
  <c r="V6" i="163"/>
  <c r="P6" i="163"/>
  <c r="N6" i="163"/>
  <c r="L6" i="163"/>
  <c r="F6" i="163"/>
  <c r="H6" i="163"/>
  <c r="B6" i="163"/>
  <c r="W5" i="163"/>
  <c r="P5" i="163"/>
  <c r="N5" i="163"/>
  <c r="L5" i="163"/>
  <c r="F5" i="163"/>
  <c r="H5" i="163"/>
  <c r="B5" i="163"/>
  <c r="I2" i="163"/>
  <c r="E1" i="163"/>
  <c r="G3" i="162"/>
  <c r="H18" i="162"/>
  <c r="D18" i="162"/>
  <c r="I16" i="162"/>
  <c r="H16" i="162"/>
  <c r="G16" i="162"/>
  <c r="F16" i="162"/>
  <c r="E16" i="162"/>
  <c r="D16" i="162"/>
  <c r="V52" i="161"/>
  <c r="V40" i="161"/>
  <c r="V41" i="161"/>
  <c r="V30" i="161"/>
  <c r="V20" i="161"/>
  <c r="J27" i="161"/>
  <c r="P27" i="161"/>
  <c r="K27" i="161"/>
  <c r="J28" i="161"/>
  <c r="P28" i="161"/>
  <c r="K28" i="161"/>
  <c r="J29" i="161"/>
  <c r="P29" i="161"/>
  <c r="K29" i="161"/>
  <c r="K49" i="161"/>
  <c r="K50" i="161"/>
  <c r="K51" i="161"/>
  <c r="J49" i="161"/>
  <c r="P49" i="161"/>
  <c r="J50" i="161"/>
  <c r="P50" i="161"/>
  <c r="J52" i="161"/>
  <c r="P52" i="161"/>
  <c r="N52" i="161"/>
  <c r="O52" i="161"/>
  <c r="N40" i="161"/>
  <c r="O40" i="161"/>
  <c r="N41" i="161"/>
  <c r="O41" i="161"/>
  <c r="P41" i="161"/>
  <c r="J40" i="161"/>
  <c r="P40" i="161"/>
  <c r="K40" i="161"/>
  <c r="L41" i="161"/>
  <c r="R41" i="161"/>
  <c r="N30" i="161"/>
  <c r="O30" i="161"/>
  <c r="J30" i="161"/>
  <c r="P30" i="161"/>
  <c r="K30" i="161"/>
  <c r="L30" i="161"/>
  <c r="P20" i="161"/>
  <c r="K20" i="161"/>
  <c r="L20" i="161"/>
  <c r="K52" i="161"/>
  <c r="F52" i="161"/>
  <c r="H52" i="161"/>
  <c r="F40" i="161"/>
  <c r="F41" i="161"/>
  <c r="F30" i="161"/>
  <c r="H30" i="161"/>
  <c r="F20" i="161"/>
  <c r="H20" i="161"/>
  <c r="B52" i="161"/>
  <c r="B30" i="161"/>
  <c r="H9" i="159"/>
  <c r="H9" i="161"/>
  <c r="W78" i="161"/>
  <c r="H78" i="161"/>
  <c r="W77" i="161"/>
  <c r="H77" i="161"/>
  <c r="W76" i="161"/>
  <c r="H76" i="161"/>
  <c r="W75" i="161"/>
  <c r="H75" i="161"/>
  <c r="W74" i="161"/>
  <c r="H74" i="161"/>
  <c r="W73" i="161"/>
  <c r="W72" i="161"/>
  <c r="AC71" i="161"/>
  <c r="AB71" i="161"/>
  <c r="W71" i="161"/>
  <c r="M69" i="161"/>
  <c r="I18" i="160"/>
  <c r="W68" i="161"/>
  <c r="H68" i="161"/>
  <c r="W67" i="161"/>
  <c r="H67" i="161"/>
  <c r="W66" i="161"/>
  <c r="H66" i="161"/>
  <c r="W65" i="161"/>
  <c r="W64" i="161"/>
  <c r="W63" i="161"/>
  <c r="W62" i="161"/>
  <c r="V62" i="161"/>
  <c r="N62" i="161"/>
  <c r="K62" i="161"/>
  <c r="J62" i="161"/>
  <c r="P62" i="161"/>
  <c r="F62" i="161"/>
  <c r="H62" i="161"/>
  <c r="B62" i="161"/>
  <c r="W61" i="161"/>
  <c r="V61" i="161"/>
  <c r="N61" i="161"/>
  <c r="K61" i="161"/>
  <c r="J61" i="161"/>
  <c r="P61" i="161"/>
  <c r="F61" i="161"/>
  <c r="H61" i="161"/>
  <c r="B61" i="161"/>
  <c r="W60" i="161"/>
  <c r="V60" i="161"/>
  <c r="N60" i="161"/>
  <c r="O60" i="161"/>
  <c r="K60" i="161"/>
  <c r="J60" i="161"/>
  <c r="P60" i="161"/>
  <c r="F60" i="161"/>
  <c r="H60" i="161"/>
  <c r="B60" i="161"/>
  <c r="W59" i="161"/>
  <c r="N59" i="161"/>
  <c r="K59" i="161"/>
  <c r="J59" i="161"/>
  <c r="F59" i="161"/>
  <c r="H59" i="161"/>
  <c r="B59" i="161"/>
  <c r="M58" i="161"/>
  <c r="H18" i="160"/>
  <c r="W57" i="161"/>
  <c r="H57" i="161"/>
  <c r="W56" i="161"/>
  <c r="H56" i="161"/>
  <c r="W55" i="161"/>
  <c r="H55" i="161"/>
  <c r="W54" i="161"/>
  <c r="H54" i="161"/>
  <c r="W53" i="161"/>
  <c r="W52" i="161"/>
  <c r="W51" i="161"/>
  <c r="N51" i="161"/>
  <c r="V51" i="161"/>
  <c r="J51" i="161"/>
  <c r="P51" i="161"/>
  <c r="F51" i="161"/>
  <c r="H51" i="161"/>
  <c r="B51" i="161"/>
  <c r="W50" i="161"/>
  <c r="N50" i="161"/>
  <c r="V50" i="161"/>
  <c r="F50" i="161"/>
  <c r="H50" i="161"/>
  <c r="B50" i="161"/>
  <c r="W49" i="161"/>
  <c r="N49" i="161"/>
  <c r="O49" i="161"/>
  <c r="F49" i="161"/>
  <c r="H49" i="161"/>
  <c r="B49" i="161"/>
  <c r="W48" i="161"/>
  <c r="M48" i="161"/>
  <c r="G18" i="160"/>
  <c r="W47" i="161"/>
  <c r="H47" i="161"/>
  <c r="W46" i="161"/>
  <c r="H46" i="161"/>
  <c r="W45" i="161"/>
  <c r="H45" i="161"/>
  <c r="W44" i="161"/>
  <c r="H44" i="161"/>
  <c r="W43" i="161"/>
  <c r="H43" i="161"/>
  <c r="W42" i="161"/>
  <c r="W41" i="161"/>
  <c r="W40" i="161"/>
  <c r="W39" i="161"/>
  <c r="N39" i="161"/>
  <c r="V39" i="161"/>
  <c r="P39" i="161"/>
  <c r="F39" i="161"/>
  <c r="W38" i="161"/>
  <c r="N38" i="161"/>
  <c r="K38" i="161"/>
  <c r="J38" i="161"/>
  <c r="F38" i="161"/>
  <c r="M37" i="161"/>
  <c r="W36" i="161"/>
  <c r="H36" i="161"/>
  <c r="W35" i="161"/>
  <c r="H35" i="161"/>
  <c r="W34" i="161"/>
  <c r="H34" i="161"/>
  <c r="W33" i="161"/>
  <c r="H33" i="161"/>
  <c r="W32" i="161"/>
  <c r="W31" i="161"/>
  <c r="W30" i="161"/>
  <c r="W29" i="161"/>
  <c r="N29" i="161"/>
  <c r="V29" i="161"/>
  <c r="F29" i="161"/>
  <c r="H29" i="161"/>
  <c r="B29" i="161"/>
  <c r="W28" i="161"/>
  <c r="V28" i="161"/>
  <c r="N28" i="161"/>
  <c r="F28" i="161"/>
  <c r="H28" i="161"/>
  <c r="B28" i="161"/>
  <c r="W27" i="161"/>
  <c r="N27" i="161"/>
  <c r="O27" i="161"/>
  <c r="F27" i="161"/>
  <c r="H27" i="161"/>
  <c r="M26" i="161"/>
  <c r="E18" i="160"/>
  <c r="J26" i="161"/>
  <c r="W25" i="161"/>
  <c r="H25" i="161"/>
  <c r="W24" i="161"/>
  <c r="H24" i="161"/>
  <c r="W23" i="161"/>
  <c r="H23" i="161"/>
  <c r="H22" i="161"/>
  <c r="H21" i="161"/>
  <c r="W20" i="161"/>
  <c r="N20" i="161"/>
  <c r="O20" i="161"/>
  <c r="W19" i="161"/>
  <c r="V19" i="161"/>
  <c r="P19" i="161"/>
  <c r="N19" i="161"/>
  <c r="K19" i="161"/>
  <c r="L19" i="161"/>
  <c r="F19" i="161"/>
  <c r="H19" i="161"/>
  <c r="W18" i="161"/>
  <c r="V18" i="161"/>
  <c r="P18" i="161"/>
  <c r="N18" i="161"/>
  <c r="K18" i="161"/>
  <c r="L18" i="161"/>
  <c r="F18" i="161"/>
  <c r="H18" i="161"/>
  <c r="W17" i="161"/>
  <c r="V17" i="161"/>
  <c r="P17" i="161"/>
  <c r="N17" i="161"/>
  <c r="O17" i="161"/>
  <c r="K17" i="161"/>
  <c r="L17" i="161"/>
  <c r="F17" i="161"/>
  <c r="H17" i="161"/>
  <c r="W16" i="161"/>
  <c r="N16" i="161"/>
  <c r="P16" i="161"/>
  <c r="K16" i="161"/>
  <c r="L16" i="161"/>
  <c r="F16" i="161"/>
  <c r="H16" i="161"/>
  <c r="M15" i="161"/>
  <c r="J15" i="161"/>
  <c r="W14" i="161"/>
  <c r="H14" i="161"/>
  <c r="W13" i="161"/>
  <c r="W12" i="161"/>
  <c r="H12" i="161"/>
  <c r="W11" i="161"/>
  <c r="H11" i="161"/>
  <c r="W10" i="161"/>
  <c r="W9" i="161"/>
  <c r="V9" i="161"/>
  <c r="W8" i="161"/>
  <c r="N8" i="161"/>
  <c r="V8" i="161"/>
  <c r="P8" i="161"/>
  <c r="K8" i="161"/>
  <c r="L8" i="161"/>
  <c r="F8" i="161"/>
  <c r="H8" i="161"/>
  <c r="B8" i="161"/>
  <c r="W7" i="161"/>
  <c r="V7" i="161"/>
  <c r="P7" i="161"/>
  <c r="N7" i="161"/>
  <c r="O7" i="161"/>
  <c r="K7" i="161"/>
  <c r="L7" i="161"/>
  <c r="F7" i="161"/>
  <c r="H7" i="161"/>
  <c r="B7" i="161"/>
  <c r="W6" i="161"/>
  <c r="V6" i="161"/>
  <c r="P6" i="161"/>
  <c r="N6" i="161"/>
  <c r="O6" i="161"/>
  <c r="K6" i="161"/>
  <c r="L6" i="161"/>
  <c r="F6" i="161"/>
  <c r="H6" i="161"/>
  <c r="B6" i="161"/>
  <c r="W5" i="161"/>
  <c r="N5" i="161"/>
  <c r="P5" i="161"/>
  <c r="K5" i="161"/>
  <c r="F5" i="161"/>
  <c r="H5" i="161"/>
  <c r="B5" i="161"/>
  <c r="I2" i="161"/>
  <c r="E1" i="161"/>
  <c r="G3" i="160"/>
  <c r="F18" i="160"/>
  <c r="I16" i="160"/>
  <c r="H16" i="160"/>
  <c r="G16" i="160"/>
  <c r="F16" i="160"/>
  <c r="E16" i="160"/>
  <c r="D16" i="160"/>
  <c r="J18" i="158"/>
  <c r="I18" i="158"/>
  <c r="H18" i="158"/>
  <c r="F18" i="158"/>
  <c r="E18" i="158"/>
  <c r="D18" i="158"/>
  <c r="J16" i="158"/>
  <c r="I16" i="158"/>
  <c r="H16" i="158"/>
  <c r="G16" i="158"/>
  <c r="F16" i="158"/>
  <c r="E16" i="158"/>
  <c r="D16" i="158"/>
  <c r="J14" i="158"/>
  <c r="I14" i="158"/>
  <c r="H14" i="158"/>
  <c r="F14" i="158"/>
  <c r="E14" i="158"/>
  <c r="D14" i="158"/>
  <c r="V63" i="159"/>
  <c r="K63" i="159"/>
  <c r="J63" i="159"/>
  <c r="P63" i="159"/>
  <c r="F63" i="159"/>
  <c r="H63" i="159"/>
  <c r="B63" i="159"/>
  <c r="V9" i="159"/>
  <c r="F29" i="155"/>
  <c r="F9" i="151"/>
  <c r="K8" i="151"/>
  <c r="K9" i="151"/>
  <c r="H9" i="151"/>
  <c r="K29" i="155"/>
  <c r="L29" i="155"/>
  <c r="H9" i="157"/>
  <c r="K29" i="159"/>
  <c r="J29" i="159"/>
  <c r="J37" i="159"/>
  <c r="F29" i="159"/>
  <c r="H29" i="159"/>
  <c r="B29" i="159"/>
  <c r="W78" i="159"/>
  <c r="H78" i="159"/>
  <c r="W77" i="159"/>
  <c r="H77" i="159"/>
  <c r="W76" i="159"/>
  <c r="H76" i="159"/>
  <c r="W75" i="159"/>
  <c r="H75" i="159"/>
  <c r="W74" i="159"/>
  <c r="H74" i="159"/>
  <c r="W73" i="159"/>
  <c r="W72" i="159"/>
  <c r="AC71" i="159"/>
  <c r="AB71" i="159"/>
  <c r="W71" i="159"/>
  <c r="W70" i="159"/>
  <c r="N70" i="159"/>
  <c r="O70" i="159"/>
  <c r="K70" i="159"/>
  <c r="J70" i="159"/>
  <c r="P70" i="159"/>
  <c r="F70" i="159"/>
  <c r="H70" i="159"/>
  <c r="M69" i="159"/>
  <c r="W68" i="159"/>
  <c r="H68" i="159"/>
  <c r="W67" i="159"/>
  <c r="H67" i="159"/>
  <c r="W66" i="159"/>
  <c r="H66" i="159"/>
  <c r="W65" i="159"/>
  <c r="W64" i="159"/>
  <c r="W63" i="159"/>
  <c r="N63" i="159"/>
  <c r="O63" i="159"/>
  <c r="W62" i="159"/>
  <c r="N62" i="159"/>
  <c r="V62" i="159"/>
  <c r="K62" i="159"/>
  <c r="J62" i="159"/>
  <c r="P62" i="159"/>
  <c r="F62" i="159"/>
  <c r="H62" i="159"/>
  <c r="B62" i="159"/>
  <c r="W61" i="159"/>
  <c r="N61" i="159"/>
  <c r="V61" i="159"/>
  <c r="K61" i="159"/>
  <c r="J61" i="159"/>
  <c r="P61" i="159"/>
  <c r="F61" i="159"/>
  <c r="H61" i="159"/>
  <c r="B61" i="159"/>
  <c r="W60" i="159"/>
  <c r="N60" i="159"/>
  <c r="V60" i="159"/>
  <c r="K60" i="159"/>
  <c r="J60" i="159"/>
  <c r="P60" i="159"/>
  <c r="F60" i="159"/>
  <c r="H60" i="159"/>
  <c r="B60" i="159"/>
  <c r="W59" i="159"/>
  <c r="N59" i="159"/>
  <c r="K59" i="159"/>
  <c r="J59" i="159"/>
  <c r="F59" i="159"/>
  <c r="H59" i="159"/>
  <c r="B59" i="159"/>
  <c r="M58" i="159"/>
  <c r="W57" i="159"/>
  <c r="H57" i="159"/>
  <c r="W56" i="159"/>
  <c r="H56" i="159"/>
  <c r="W55" i="159"/>
  <c r="H55" i="159"/>
  <c r="W54" i="159"/>
  <c r="H54" i="159"/>
  <c r="W53" i="159"/>
  <c r="W52" i="159"/>
  <c r="W51" i="159"/>
  <c r="V51" i="159"/>
  <c r="N51" i="159"/>
  <c r="K51" i="159"/>
  <c r="J51" i="159"/>
  <c r="P51" i="159"/>
  <c r="F51" i="159"/>
  <c r="H51" i="159"/>
  <c r="B51" i="159"/>
  <c r="W50" i="159"/>
  <c r="V50" i="159"/>
  <c r="N50" i="159"/>
  <c r="K50" i="159"/>
  <c r="J50" i="159"/>
  <c r="P50" i="159"/>
  <c r="F50" i="159"/>
  <c r="H50" i="159"/>
  <c r="B50" i="159"/>
  <c r="W49" i="159"/>
  <c r="N49" i="159"/>
  <c r="P49" i="159"/>
  <c r="L49" i="159"/>
  <c r="F49" i="159"/>
  <c r="H49" i="159"/>
  <c r="B49" i="159"/>
  <c r="W48" i="159"/>
  <c r="M48" i="159"/>
  <c r="G18" i="158"/>
  <c r="W47" i="159"/>
  <c r="H47" i="159"/>
  <c r="W46" i="159"/>
  <c r="H46" i="159"/>
  <c r="W45" i="159"/>
  <c r="H45" i="159"/>
  <c r="W44" i="159"/>
  <c r="H44" i="159"/>
  <c r="W43" i="159"/>
  <c r="H43" i="159"/>
  <c r="W42" i="159"/>
  <c r="W41" i="159"/>
  <c r="W40" i="159"/>
  <c r="W39" i="159"/>
  <c r="N39" i="159"/>
  <c r="V39" i="159"/>
  <c r="K39" i="159"/>
  <c r="J39" i="159"/>
  <c r="P39" i="159"/>
  <c r="F39" i="159"/>
  <c r="W38" i="159"/>
  <c r="N38" i="159"/>
  <c r="K38" i="159"/>
  <c r="AC38" i="159"/>
  <c r="J38" i="159"/>
  <c r="F38" i="159"/>
  <c r="M37" i="159"/>
  <c r="W36" i="159"/>
  <c r="H36" i="159"/>
  <c r="W35" i="159"/>
  <c r="H35" i="159"/>
  <c r="W34" i="159"/>
  <c r="H34" i="159"/>
  <c r="W33" i="159"/>
  <c r="H33" i="159"/>
  <c r="W32" i="159"/>
  <c r="W31" i="159"/>
  <c r="W30" i="159"/>
  <c r="W29" i="159"/>
  <c r="N29" i="159"/>
  <c r="O29" i="159"/>
  <c r="V29" i="159"/>
  <c r="W28" i="159"/>
  <c r="N28" i="159"/>
  <c r="V28" i="159"/>
  <c r="P28" i="159"/>
  <c r="K28" i="159"/>
  <c r="L28" i="159"/>
  <c r="F28" i="159"/>
  <c r="H28" i="159"/>
  <c r="B28" i="159"/>
  <c r="W27" i="159"/>
  <c r="N27" i="159"/>
  <c r="P27" i="159"/>
  <c r="L27" i="159"/>
  <c r="F27" i="159"/>
  <c r="H27" i="159"/>
  <c r="P26" i="159"/>
  <c r="M26" i="159"/>
  <c r="J26" i="159"/>
  <c r="W25" i="159"/>
  <c r="H25" i="159"/>
  <c r="W24" i="159"/>
  <c r="H24" i="159"/>
  <c r="W23" i="159"/>
  <c r="H23" i="159"/>
  <c r="H22" i="159"/>
  <c r="H21" i="159"/>
  <c r="W20" i="159"/>
  <c r="W19" i="159"/>
  <c r="V19" i="159"/>
  <c r="P19" i="159"/>
  <c r="N19" i="159"/>
  <c r="K19" i="159"/>
  <c r="L19" i="159"/>
  <c r="F19" i="159"/>
  <c r="H19" i="159"/>
  <c r="W18" i="159"/>
  <c r="N18" i="159"/>
  <c r="V18" i="159"/>
  <c r="P18" i="159"/>
  <c r="K18" i="159"/>
  <c r="L18" i="159"/>
  <c r="F18" i="159"/>
  <c r="H18" i="159"/>
  <c r="W17" i="159"/>
  <c r="V17" i="159"/>
  <c r="P17" i="159"/>
  <c r="N17" i="159"/>
  <c r="K17" i="159"/>
  <c r="L17" i="159"/>
  <c r="F17" i="159"/>
  <c r="H17" i="159"/>
  <c r="W16" i="159"/>
  <c r="N16" i="159"/>
  <c r="P16" i="159"/>
  <c r="K16" i="159"/>
  <c r="F16" i="159"/>
  <c r="H16" i="159"/>
  <c r="P15" i="159"/>
  <c r="M15" i="159"/>
  <c r="J15" i="159"/>
  <c r="W14" i="159"/>
  <c r="H14" i="159"/>
  <c r="W13" i="159"/>
  <c r="W12" i="159"/>
  <c r="H12" i="159"/>
  <c r="W11" i="159"/>
  <c r="H11" i="159"/>
  <c r="W10" i="159"/>
  <c r="W9" i="159"/>
  <c r="W8" i="159"/>
  <c r="V8" i="159"/>
  <c r="P8" i="159"/>
  <c r="N8" i="159"/>
  <c r="K8" i="159"/>
  <c r="L8" i="159"/>
  <c r="F8" i="159"/>
  <c r="H8" i="159"/>
  <c r="B8" i="159"/>
  <c r="W7" i="159"/>
  <c r="N7" i="159"/>
  <c r="V7" i="159"/>
  <c r="P7" i="159"/>
  <c r="K7" i="159"/>
  <c r="L7" i="159"/>
  <c r="F7" i="159"/>
  <c r="H7" i="159"/>
  <c r="B7" i="159"/>
  <c r="W6" i="159"/>
  <c r="N6" i="159"/>
  <c r="V6" i="159"/>
  <c r="P6" i="159"/>
  <c r="K6" i="159"/>
  <c r="L6" i="159"/>
  <c r="F6" i="159"/>
  <c r="H6" i="159"/>
  <c r="B6" i="159"/>
  <c r="W5" i="159"/>
  <c r="N5" i="159"/>
  <c r="P5" i="159"/>
  <c r="K5" i="159"/>
  <c r="L5" i="159"/>
  <c r="F5" i="159"/>
  <c r="H5" i="159"/>
  <c r="B5" i="159"/>
  <c r="I2" i="159"/>
  <c r="E1" i="159"/>
  <c r="G3" i="158"/>
  <c r="J18" i="156"/>
  <c r="I18" i="156"/>
  <c r="H18" i="156"/>
  <c r="E18" i="156"/>
  <c r="D18" i="156"/>
  <c r="J16" i="156"/>
  <c r="I16" i="156"/>
  <c r="H16" i="156"/>
  <c r="G16" i="156"/>
  <c r="F16" i="156"/>
  <c r="E16" i="156"/>
  <c r="D16" i="156"/>
  <c r="J14" i="156"/>
  <c r="I14" i="156"/>
  <c r="J7" i="156"/>
  <c r="H14" i="156"/>
  <c r="E14" i="156"/>
  <c r="D14" i="156"/>
  <c r="G3" i="156"/>
  <c r="M79" i="157"/>
  <c r="W78" i="157"/>
  <c r="H78" i="157"/>
  <c r="W77" i="157"/>
  <c r="H77" i="157"/>
  <c r="W76" i="157"/>
  <c r="H76" i="157"/>
  <c r="W75" i="157"/>
  <c r="H75" i="157"/>
  <c r="W74" i="157"/>
  <c r="H74" i="157"/>
  <c r="W73" i="157"/>
  <c r="W72" i="157"/>
  <c r="AC71" i="157"/>
  <c r="AB71" i="157"/>
  <c r="W71" i="157"/>
  <c r="W70" i="157"/>
  <c r="N70" i="157"/>
  <c r="K70" i="157"/>
  <c r="J70" i="157"/>
  <c r="P70" i="157"/>
  <c r="F70" i="157"/>
  <c r="H70" i="157"/>
  <c r="M69" i="157"/>
  <c r="W68" i="157"/>
  <c r="H68" i="157"/>
  <c r="W67" i="157"/>
  <c r="H67" i="157"/>
  <c r="W66" i="157"/>
  <c r="H66" i="157"/>
  <c r="W65" i="157"/>
  <c r="W64" i="157"/>
  <c r="W63" i="157"/>
  <c r="W62" i="157"/>
  <c r="V62" i="157"/>
  <c r="N62" i="157"/>
  <c r="K62" i="157"/>
  <c r="J62" i="157"/>
  <c r="P62" i="157"/>
  <c r="F62" i="157"/>
  <c r="H62" i="157"/>
  <c r="B62" i="157"/>
  <c r="W61" i="157"/>
  <c r="N61" i="157"/>
  <c r="V61" i="157"/>
  <c r="K61" i="157"/>
  <c r="J61" i="157"/>
  <c r="F61" i="157"/>
  <c r="H61" i="157"/>
  <c r="B61" i="157"/>
  <c r="W60" i="157"/>
  <c r="N60" i="157"/>
  <c r="V60" i="157"/>
  <c r="K60" i="157"/>
  <c r="J60" i="157"/>
  <c r="P60" i="157"/>
  <c r="F60" i="157"/>
  <c r="H60" i="157"/>
  <c r="B60" i="157"/>
  <c r="W59" i="157"/>
  <c r="N59" i="157"/>
  <c r="K59" i="157"/>
  <c r="J59" i="157"/>
  <c r="F59" i="157"/>
  <c r="H59" i="157"/>
  <c r="B59" i="157"/>
  <c r="M58" i="157"/>
  <c r="W57" i="157"/>
  <c r="H57" i="157"/>
  <c r="W56" i="157"/>
  <c r="H56" i="157"/>
  <c r="W55" i="157"/>
  <c r="H55" i="157"/>
  <c r="W54" i="157"/>
  <c r="H54" i="157"/>
  <c r="W53" i="157"/>
  <c r="W52" i="157"/>
  <c r="W51" i="157"/>
  <c r="N51" i="157"/>
  <c r="V51" i="157"/>
  <c r="K51" i="157"/>
  <c r="J51" i="157"/>
  <c r="P51" i="157"/>
  <c r="F51" i="157"/>
  <c r="H51" i="157"/>
  <c r="B51" i="157"/>
  <c r="W50" i="157"/>
  <c r="N50" i="157"/>
  <c r="V50" i="157"/>
  <c r="K50" i="157"/>
  <c r="J50" i="157"/>
  <c r="F50" i="157"/>
  <c r="H50" i="157"/>
  <c r="B50" i="157"/>
  <c r="W49" i="157"/>
  <c r="N49" i="157"/>
  <c r="P49" i="157"/>
  <c r="L49" i="157"/>
  <c r="F49" i="157"/>
  <c r="H49" i="157"/>
  <c r="B49" i="157"/>
  <c r="W48" i="157"/>
  <c r="M48" i="157"/>
  <c r="G18" i="156"/>
  <c r="W47" i="157"/>
  <c r="H47" i="157"/>
  <c r="W46" i="157"/>
  <c r="H46" i="157"/>
  <c r="W45" i="157"/>
  <c r="H45" i="157"/>
  <c r="W44" i="157"/>
  <c r="H44" i="157"/>
  <c r="W43" i="157"/>
  <c r="H43" i="157"/>
  <c r="W42" i="157"/>
  <c r="W41" i="157"/>
  <c r="W40" i="157"/>
  <c r="V40" i="157"/>
  <c r="N40" i="157"/>
  <c r="O40" i="157"/>
  <c r="K40" i="157"/>
  <c r="AB40" i="157"/>
  <c r="J40" i="157"/>
  <c r="P40" i="157"/>
  <c r="F40" i="157"/>
  <c r="H40" i="157"/>
  <c r="W39" i="157"/>
  <c r="N39" i="157"/>
  <c r="V39" i="157"/>
  <c r="K39" i="157"/>
  <c r="J39" i="157"/>
  <c r="F39" i="157"/>
  <c r="H39" i="157"/>
  <c r="W38" i="157"/>
  <c r="N38" i="157"/>
  <c r="K38" i="157"/>
  <c r="J38" i="157"/>
  <c r="P38" i="157"/>
  <c r="F38" i="157"/>
  <c r="H38" i="157"/>
  <c r="M37" i="157"/>
  <c r="W36" i="157"/>
  <c r="H36" i="157"/>
  <c r="W35" i="157"/>
  <c r="H35" i="157"/>
  <c r="W34" i="157"/>
  <c r="H34" i="157"/>
  <c r="W33" i="157"/>
  <c r="H33" i="157"/>
  <c r="W32" i="157"/>
  <c r="W31" i="157"/>
  <c r="W30" i="157"/>
  <c r="N30" i="157"/>
  <c r="O30" i="157"/>
  <c r="V30" i="157"/>
  <c r="K30" i="157"/>
  <c r="AC30" i="157"/>
  <c r="J30" i="157"/>
  <c r="J37" i="157"/>
  <c r="F30" i="157"/>
  <c r="H30" i="157"/>
  <c r="B30" i="157"/>
  <c r="W29" i="157"/>
  <c r="N29" i="157"/>
  <c r="V29" i="157"/>
  <c r="P29" i="157"/>
  <c r="K29" i="157"/>
  <c r="L29" i="157"/>
  <c r="F29" i="157"/>
  <c r="H29" i="157"/>
  <c r="B29" i="157"/>
  <c r="W28" i="157"/>
  <c r="N28" i="157"/>
  <c r="V28" i="157"/>
  <c r="P28" i="157"/>
  <c r="K28" i="157"/>
  <c r="F28" i="157"/>
  <c r="H28" i="157"/>
  <c r="B28" i="157"/>
  <c r="W27" i="157"/>
  <c r="N27" i="157"/>
  <c r="O27" i="157"/>
  <c r="P27" i="157"/>
  <c r="L27" i="157"/>
  <c r="F27" i="157"/>
  <c r="H27" i="157"/>
  <c r="M26" i="157"/>
  <c r="P26" i="157"/>
  <c r="J26" i="157"/>
  <c r="W25" i="157"/>
  <c r="H25" i="157"/>
  <c r="W24" i="157"/>
  <c r="H24" i="157"/>
  <c r="W23" i="157"/>
  <c r="H23" i="157"/>
  <c r="H22" i="157"/>
  <c r="H21" i="157"/>
  <c r="W20" i="157"/>
  <c r="W19" i="157"/>
  <c r="N19" i="157"/>
  <c r="V19" i="157"/>
  <c r="P19" i="157"/>
  <c r="K19" i="157"/>
  <c r="L19" i="157"/>
  <c r="F19" i="157"/>
  <c r="H19" i="157"/>
  <c r="W18" i="157"/>
  <c r="N18" i="157"/>
  <c r="V18" i="157"/>
  <c r="P18" i="157"/>
  <c r="K18" i="157"/>
  <c r="L18" i="157"/>
  <c r="F18" i="157"/>
  <c r="H18" i="157"/>
  <c r="W17" i="157"/>
  <c r="N17" i="157"/>
  <c r="V17" i="157"/>
  <c r="P17" i="157"/>
  <c r="K17" i="157"/>
  <c r="L17" i="157"/>
  <c r="F17" i="157"/>
  <c r="H17" i="157"/>
  <c r="W16" i="157"/>
  <c r="P16" i="157"/>
  <c r="N16" i="157"/>
  <c r="O16" i="157"/>
  <c r="K16" i="157"/>
  <c r="F16" i="157"/>
  <c r="H16" i="157"/>
  <c r="M15" i="157"/>
  <c r="J15" i="157"/>
  <c r="W14" i="157"/>
  <c r="H14" i="157"/>
  <c r="W13" i="157"/>
  <c r="W12" i="157"/>
  <c r="H12" i="157"/>
  <c r="W11" i="157"/>
  <c r="H11" i="157"/>
  <c r="W10" i="157"/>
  <c r="W9" i="157"/>
  <c r="W8" i="157"/>
  <c r="N8" i="157"/>
  <c r="V8" i="157"/>
  <c r="P8" i="157"/>
  <c r="K8" i="157"/>
  <c r="L8" i="157"/>
  <c r="F8" i="157"/>
  <c r="H8" i="157"/>
  <c r="B8" i="157"/>
  <c r="W7" i="157"/>
  <c r="N7" i="157"/>
  <c r="V7" i="157"/>
  <c r="P7" i="157"/>
  <c r="K7" i="157"/>
  <c r="L7" i="157"/>
  <c r="F7" i="157"/>
  <c r="H7" i="157"/>
  <c r="B7" i="157"/>
  <c r="W6" i="157"/>
  <c r="N6" i="157"/>
  <c r="V6" i="157"/>
  <c r="P6" i="157"/>
  <c r="K6" i="157"/>
  <c r="F6" i="157"/>
  <c r="H6" i="157"/>
  <c r="B6" i="157"/>
  <c r="W5" i="157"/>
  <c r="P5" i="157"/>
  <c r="N5" i="157"/>
  <c r="O5" i="157"/>
  <c r="K5" i="157"/>
  <c r="L5" i="157"/>
  <c r="F5" i="157"/>
  <c r="H5" i="157"/>
  <c r="B5" i="157"/>
  <c r="I2" i="157"/>
  <c r="E1" i="157"/>
  <c r="J16" i="154"/>
  <c r="J18" i="154"/>
  <c r="I18" i="154"/>
  <c r="H18" i="154"/>
  <c r="F18" i="154"/>
  <c r="E18" i="154"/>
  <c r="D18" i="154"/>
  <c r="D16" i="154"/>
  <c r="E16" i="154"/>
  <c r="F16" i="154"/>
  <c r="G16" i="154"/>
  <c r="H16" i="154"/>
  <c r="I16" i="154"/>
  <c r="J14" i="154"/>
  <c r="I14" i="154"/>
  <c r="H14" i="154"/>
  <c r="F14" i="154"/>
  <c r="E14" i="154"/>
  <c r="D14" i="154"/>
  <c r="G3" i="154"/>
  <c r="H15" i="168"/>
  <c r="Q63" i="163"/>
  <c r="L61" i="157"/>
  <c r="L40" i="161"/>
  <c r="R40" i="161"/>
  <c r="L59" i="163"/>
  <c r="L39" i="157"/>
  <c r="AC19" i="163"/>
  <c r="L52" i="163"/>
  <c r="R52" i="163"/>
  <c r="K26" i="163"/>
  <c r="L27" i="161"/>
  <c r="R27" i="161"/>
  <c r="L17" i="163"/>
  <c r="L26" i="163"/>
  <c r="E13" i="162"/>
  <c r="AB61" i="161"/>
  <c r="AB19" i="161"/>
  <c r="L60" i="163"/>
  <c r="L50" i="163"/>
  <c r="R50" i="163"/>
  <c r="Q30" i="161"/>
  <c r="J37" i="163"/>
  <c r="P37" i="163"/>
  <c r="K69" i="157"/>
  <c r="K79" i="157"/>
  <c r="L40" i="163"/>
  <c r="AC19" i="161"/>
  <c r="AC40" i="163"/>
  <c r="K58" i="163"/>
  <c r="L51" i="163"/>
  <c r="J69" i="157"/>
  <c r="J79" i="157"/>
  <c r="P79" i="157"/>
  <c r="J58" i="157"/>
  <c r="P58" i="157"/>
  <c r="K15" i="163"/>
  <c r="K48" i="163"/>
  <c r="F15" i="168"/>
  <c r="R37" i="169"/>
  <c r="S27" i="169"/>
  <c r="R15" i="169"/>
  <c r="S5" i="169"/>
  <c r="D14" i="168"/>
  <c r="Q15" i="169"/>
  <c r="AC79" i="169"/>
  <c r="AD70" i="169"/>
  <c r="AB79" i="169"/>
  <c r="R79" i="169"/>
  <c r="S70" i="169"/>
  <c r="I14" i="168"/>
  <c r="R69" i="169"/>
  <c r="S59" i="169"/>
  <c r="R26" i="169"/>
  <c r="S16" i="169"/>
  <c r="Q26" i="169"/>
  <c r="E14" i="168"/>
  <c r="E15" i="168"/>
  <c r="R48" i="169"/>
  <c r="S38" i="169"/>
  <c r="G14" i="168"/>
  <c r="G15" i="168"/>
  <c r="I13" i="168"/>
  <c r="Q15" i="167"/>
  <c r="D14" i="166"/>
  <c r="R15" i="167"/>
  <c r="S5" i="167"/>
  <c r="R48" i="167"/>
  <c r="S38" i="167"/>
  <c r="G14" i="166"/>
  <c r="G15" i="166"/>
  <c r="Q26" i="167"/>
  <c r="E14" i="166"/>
  <c r="E15" i="166"/>
  <c r="R26" i="167"/>
  <c r="S16" i="167"/>
  <c r="F6" i="166"/>
  <c r="H6" i="166"/>
  <c r="R37" i="167"/>
  <c r="S27" i="167"/>
  <c r="F14" i="166"/>
  <c r="F15" i="166"/>
  <c r="AC79" i="167"/>
  <c r="AD70" i="167"/>
  <c r="AB79" i="167"/>
  <c r="I14" i="166"/>
  <c r="S70" i="167"/>
  <c r="R69" i="167"/>
  <c r="S59" i="167"/>
  <c r="H14" i="166"/>
  <c r="H15" i="166"/>
  <c r="R58" i="167"/>
  <c r="S49" i="167"/>
  <c r="H6" i="164"/>
  <c r="AC79" i="165"/>
  <c r="AD70" i="165"/>
  <c r="AB79" i="165"/>
  <c r="R37" i="165"/>
  <c r="S27" i="165"/>
  <c r="F14" i="164"/>
  <c r="F15" i="164"/>
  <c r="H14" i="164"/>
  <c r="H15" i="164"/>
  <c r="R58" i="165"/>
  <c r="S49" i="165"/>
  <c r="Q26" i="165"/>
  <c r="R26" i="165"/>
  <c r="S16" i="165"/>
  <c r="E14" i="164"/>
  <c r="E15" i="164"/>
  <c r="R15" i="165"/>
  <c r="S5" i="165"/>
  <c r="Q15" i="165"/>
  <c r="D14" i="164"/>
  <c r="F6" i="164"/>
  <c r="S70" i="165"/>
  <c r="R69" i="165"/>
  <c r="S59" i="165"/>
  <c r="I14" i="164"/>
  <c r="G14" i="164"/>
  <c r="G15" i="164"/>
  <c r="R48" i="165"/>
  <c r="S38" i="165"/>
  <c r="R63" i="163"/>
  <c r="R42" i="163"/>
  <c r="Q42" i="163"/>
  <c r="R31" i="163"/>
  <c r="Q31" i="163"/>
  <c r="I18" i="162"/>
  <c r="AB61" i="163"/>
  <c r="N48" i="163"/>
  <c r="O19" i="163"/>
  <c r="R19" i="163"/>
  <c r="AC7" i="163"/>
  <c r="AB7" i="163"/>
  <c r="L62" i="163"/>
  <c r="I1" i="163"/>
  <c r="K37" i="163"/>
  <c r="L28" i="163"/>
  <c r="Q28" i="163"/>
  <c r="AC28" i="163"/>
  <c r="G1" i="163"/>
  <c r="J3" i="162"/>
  <c r="R20" i="163"/>
  <c r="Q20" i="163"/>
  <c r="L29" i="163"/>
  <c r="O18" i="163"/>
  <c r="AC18" i="163"/>
  <c r="AB18" i="163"/>
  <c r="L27" i="163"/>
  <c r="O51" i="163"/>
  <c r="AC51" i="163"/>
  <c r="AB51" i="163"/>
  <c r="O62" i="163"/>
  <c r="AC62" i="163"/>
  <c r="R41" i="163"/>
  <c r="Q41" i="163"/>
  <c r="J58" i="163"/>
  <c r="P58" i="163"/>
  <c r="P49" i="163"/>
  <c r="O27" i="163"/>
  <c r="N37" i="163"/>
  <c r="AB50" i="163"/>
  <c r="AC50" i="163"/>
  <c r="AC60" i="163"/>
  <c r="AB60" i="163"/>
  <c r="O16" i="163"/>
  <c r="N26" i="163"/>
  <c r="O60" i="163"/>
  <c r="AB8" i="163"/>
  <c r="AB16" i="163"/>
  <c r="L38" i="163"/>
  <c r="AC8" i="163"/>
  <c r="AC16" i="163"/>
  <c r="P26" i="163"/>
  <c r="AC38" i="163"/>
  <c r="AB38" i="163"/>
  <c r="O38" i="163"/>
  <c r="AB6" i="163"/>
  <c r="O6" i="163"/>
  <c r="L15" i="163"/>
  <c r="D13" i="162"/>
  <c r="O59" i="163"/>
  <c r="N69" i="163"/>
  <c r="AC59" i="163"/>
  <c r="AB59" i="163"/>
  <c r="AC5" i="163"/>
  <c r="N15" i="163"/>
  <c r="AB5" i="163"/>
  <c r="AC29" i="163"/>
  <c r="AB29" i="163"/>
  <c r="AB30" i="163"/>
  <c r="O5" i="163"/>
  <c r="O29" i="163"/>
  <c r="AC30" i="163"/>
  <c r="AC39" i="163"/>
  <c r="AB39" i="163"/>
  <c r="O39" i="163"/>
  <c r="J69" i="163"/>
  <c r="AC6" i="163"/>
  <c r="L61" i="163"/>
  <c r="R61" i="163"/>
  <c r="K69" i="163"/>
  <c r="F18" i="162"/>
  <c r="AB62" i="163"/>
  <c r="O17" i="163"/>
  <c r="AC17" i="163"/>
  <c r="AB27" i="163"/>
  <c r="J48" i="163"/>
  <c r="P48" i="163"/>
  <c r="P38" i="163"/>
  <c r="L49" i="163"/>
  <c r="Q8" i="163"/>
  <c r="AB17" i="163"/>
  <c r="AC27" i="163"/>
  <c r="AC49" i="163"/>
  <c r="AB49" i="163"/>
  <c r="N58" i="163"/>
  <c r="O49" i="163"/>
  <c r="AC61" i="163"/>
  <c r="R7" i="163"/>
  <c r="Q7" i="163"/>
  <c r="P15" i="163"/>
  <c r="L30" i="163"/>
  <c r="Q30" i="163"/>
  <c r="AB40" i="163"/>
  <c r="O40" i="163"/>
  <c r="AB19" i="163"/>
  <c r="AB28" i="163"/>
  <c r="Q41" i="161"/>
  <c r="L49" i="161"/>
  <c r="R49" i="161"/>
  <c r="L52" i="161"/>
  <c r="R52" i="161"/>
  <c r="L28" i="161"/>
  <c r="Q40" i="161"/>
  <c r="AB40" i="161"/>
  <c r="AC40" i="161"/>
  <c r="R30" i="161"/>
  <c r="AB30" i="161"/>
  <c r="AC30" i="161"/>
  <c r="Q20" i="161"/>
  <c r="R20" i="161"/>
  <c r="N69" i="161"/>
  <c r="O59" i="161"/>
  <c r="AC61" i="161"/>
  <c r="N26" i="161"/>
  <c r="O19" i="161"/>
  <c r="R19" i="161"/>
  <c r="L29" i="161"/>
  <c r="AC18" i="159"/>
  <c r="L30" i="157"/>
  <c r="R30" i="157"/>
  <c r="K26" i="159"/>
  <c r="AB26" i="159"/>
  <c r="K48" i="157"/>
  <c r="L62" i="161"/>
  <c r="L60" i="157"/>
  <c r="L61" i="159"/>
  <c r="K26" i="157"/>
  <c r="L51" i="157"/>
  <c r="AB30" i="157"/>
  <c r="L62" i="159"/>
  <c r="L39" i="161"/>
  <c r="L63" i="159"/>
  <c r="R63" i="159"/>
  <c r="L62" i="157"/>
  <c r="K37" i="157"/>
  <c r="AC40" i="157"/>
  <c r="AB59" i="159"/>
  <c r="L60" i="161"/>
  <c r="R60" i="161"/>
  <c r="L70" i="159"/>
  <c r="Q70" i="159"/>
  <c r="J48" i="159"/>
  <c r="P48" i="159"/>
  <c r="L61" i="161"/>
  <c r="L70" i="157"/>
  <c r="P39" i="157"/>
  <c r="K58" i="161"/>
  <c r="L39" i="159"/>
  <c r="AC28" i="161"/>
  <c r="J48" i="161"/>
  <c r="P48" i="161"/>
  <c r="AC62" i="161"/>
  <c r="L38" i="159"/>
  <c r="AB38" i="159"/>
  <c r="L16" i="157"/>
  <c r="L26" i="157"/>
  <c r="E13" i="156"/>
  <c r="E15" i="156"/>
  <c r="AB59" i="157"/>
  <c r="AC50" i="157"/>
  <c r="AC70" i="157"/>
  <c r="R6" i="161"/>
  <c r="K26" i="161"/>
  <c r="AB51" i="159"/>
  <c r="K69" i="161"/>
  <c r="P30" i="157"/>
  <c r="AC8" i="159"/>
  <c r="AC28" i="159"/>
  <c r="AC18" i="161"/>
  <c r="K48" i="161"/>
  <c r="L50" i="157"/>
  <c r="AB28" i="161"/>
  <c r="P61" i="157"/>
  <c r="AB18" i="161"/>
  <c r="J69" i="161"/>
  <c r="P69" i="161"/>
  <c r="K58" i="157"/>
  <c r="K58" i="159"/>
  <c r="AB62" i="159"/>
  <c r="K37" i="159"/>
  <c r="K15" i="161"/>
  <c r="AB6" i="161"/>
  <c r="K37" i="161"/>
  <c r="AC59" i="157"/>
  <c r="AC6" i="161"/>
  <c r="L51" i="161"/>
  <c r="L60" i="159"/>
  <c r="L40" i="157"/>
  <c r="R40" i="157"/>
  <c r="AC62" i="157"/>
  <c r="L59" i="159"/>
  <c r="G1" i="161"/>
  <c r="G2" i="161"/>
  <c r="O51" i="161"/>
  <c r="AC51" i="161"/>
  <c r="AB51" i="161"/>
  <c r="R17" i="161"/>
  <c r="Q17" i="161"/>
  <c r="AB38" i="161"/>
  <c r="N48" i="161"/>
  <c r="O38" i="161"/>
  <c r="AC38" i="161"/>
  <c r="O39" i="161"/>
  <c r="AC39" i="161"/>
  <c r="AB39" i="161"/>
  <c r="AB5" i="161"/>
  <c r="N15" i="161"/>
  <c r="O5" i="161"/>
  <c r="AC5" i="161"/>
  <c r="AC8" i="161"/>
  <c r="AB8" i="161"/>
  <c r="O8" i="161"/>
  <c r="AC50" i="161"/>
  <c r="AB50" i="161"/>
  <c r="O50" i="161"/>
  <c r="AC70" i="161"/>
  <c r="AB70" i="161"/>
  <c r="R7" i="161"/>
  <c r="Q7" i="161"/>
  <c r="L26" i="161"/>
  <c r="E13" i="160"/>
  <c r="AC29" i="161"/>
  <c r="AB29" i="161"/>
  <c r="O29" i="161"/>
  <c r="D18" i="160"/>
  <c r="P15" i="161"/>
  <c r="J58" i="161"/>
  <c r="P58" i="161"/>
  <c r="AB59" i="161"/>
  <c r="O18" i="161"/>
  <c r="P26" i="161"/>
  <c r="O28" i="161"/>
  <c r="J37" i="161"/>
  <c r="P37" i="161"/>
  <c r="L50" i="161"/>
  <c r="AC59" i="161"/>
  <c r="O61" i="161"/>
  <c r="L5" i="161"/>
  <c r="L15" i="161"/>
  <c r="D13" i="160"/>
  <c r="AB16" i="161"/>
  <c r="AB60" i="161"/>
  <c r="O62" i="161"/>
  <c r="AC7" i="161"/>
  <c r="AC16" i="161"/>
  <c r="AC27" i="161"/>
  <c r="N37" i="161"/>
  <c r="AB49" i="161"/>
  <c r="AC60" i="161"/>
  <c r="L38" i="161"/>
  <c r="AB7" i="161"/>
  <c r="AB27" i="161"/>
  <c r="N58" i="161"/>
  <c r="L59" i="161"/>
  <c r="AB17" i="161"/>
  <c r="P38" i="161"/>
  <c r="AC49" i="161"/>
  <c r="AC17" i="161"/>
  <c r="P59" i="161"/>
  <c r="Q6" i="161"/>
  <c r="O16" i="161"/>
  <c r="AB62" i="161"/>
  <c r="P37" i="157"/>
  <c r="F18" i="156"/>
  <c r="J7" i="158"/>
  <c r="AB29" i="159"/>
  <c r="L29" i="159"/>
  <c r="R29" i="159"/>
  <c r="P29" i="159"/>
  <c r="P37" i="159"/>
  <c r="N26" i="159"/>
  <c r="O49" i="159"/>
  <c r="N58" i="159"/>
  <c r="AC49" i="159"/>
  <c r="AB49" i="159"/>
  <c r="L51" i="159"/>
  <c r="O39" i="159"/>
  <c r="AC39" i="159"/>
  <c r="AB39" i="159"/>
  <c r="AB30" i="159"/>
  <c r="AC30" i="159"/>
  <c r="AB40" i="159"/>
  <c r="AC40" i="159"/>
  <c r="L15" i="159"/>
  <c r="D13" i="158"/>
  <c r="D15" i="158"/>
  <c r="AC19" i="159"/>
  <c r="O60" i="159"/>
  <c r="AC60" i="159"/>
  <c r="AB60" i="159"/>
  <c r="AC50" i="159"/>
  <c r="AB50" i="159"/>
  <c r="O50" i="159"/>
  <c r="AC7" i="159"/>
  <c r="AB7" i="159"/>
  <c r="AB16" i="159"/>
  <c r="O16" i="159"/>
  <c r="AC16" i="159"/>
  <c r="AC61" i="159"/>
  <c r="O61" i="159"/>
  <c r="AB61" i="159"/>
  <c r="N37" i="159"/>
  <c r="AB27" i="159"/>
  <c r="O27" i="159"/>
  <c r="AC27" i="159"/>
  <c r="O6" i="159"/>
  <c r="AB6" i="159"/>
  <c r="AC6" i="159"/>
  <c r="AC70" i="159"/>
  <c r="AB70" i="159"/>
  <c r="AB17" i="159"/>
  <c r="O17" i="159"/>
  <c r="AC17" i="159"/>
  <c r="G1" i="159"/>
  <c r="J58" i="159"/>
  <c r="P58" i="159"/>
  <c r="AC5" i="159"/>
  <c r="N15" i="159"/>
  <c r="O5" i="159"/>
  <c r="AB5" i="159"/>
  <c r="O7" i="159"/>
  <c r="P59" i="159"/>
  <c r="J69" i="159"/>
  <c r="J79" i="159"/>
  <c r="P79" i="159"/>
  <c r="O19" i="159"/>
  <c r="O51" i="159"/>
  <c r="O59" i="159"/>
  <c r="O38" i="159"/>
  <c r="K48" i="159"/>
  <c r="P38" i="159"/>
  <c r="K15" i="159"/>
  <c r="AB18" i="159"/>
  <c r="AB28" i="159"/>
  <c r="N48" i="159"/>
  <c r="K69" i="159"/>
  <c r="K79" i="159"/>
  <c r="Q79" i="159"/>
  <c r="AC29" i="159"/>
  <c r="L50" i="159"/>
  <c r="AC51" i="159"/>
  <c r="AC59" i="159"/>
  <c r="N69" i="159"/>
  <c r="O8" i="159"/>
  <c r="O18" i="159"/>
  <c r="O28" i="159"/>
  <c r="O62" i="159"/>
  <c r="AB8" i="159"/>
  <c r="I1" i="159"/>
  <c r="L16" i="159"/>
  <c r="L26" i="159"/>
  <c r="E13" i="158"/>
  <c r="E15" i="158"/>
  <c r="AB19" i="159"/>
  <c r="AC62" i="159"/>
  <c r="O50" i="157"/>
  <c r="AB27" i="157"/>
  <c r="AC27" i="157"/>
  <c r="AC16" i="157"/>
  <c r="AB16" i="157"/>
  <c r="P15" i="157"/>
  <c r="K15" i="157"/>
  <c r="AC6" i="157"/>
  <c r="AB6" i="157"/>
  <c r="AB7" i="157"/>
  <c r="AC7" i="157"/>
  <c r="O7" i="157"/>
  <c r="O15" i="157"/>
  <c r="N48" i="157"/>
  <c r="O38" i="157"/>
  <c r="AB38" i="157"/>
  <c r="AC38" i="157"/>
  <c r="O49" i="157"/>
  <c r="AC49" i="157"/>
  <c r="AB49" i="157"/>
  <c r="N58" i="157"/>
  <c r="O18" i="157"/>
  <c r="O26" i="157"/>
  <c r="AC18" i="157"/>
  <c r="AB18" i="157"/>
  <c r="AC51" i="157"/>
  <c r="AB51" i="157"/>
  <c r="O51" i="157"/>
  <c r="AC61" i="157"/>
  <c r="O61" i="157"/>
  <c r="AB61" i="157"/>
  <c r="AC19" i="157"/>
  <c r="O19" i="157"/>
  <c r="AB19" i="157"/>
  <c r="O8" i="157"/>
  <c r="AC8" i="157"/>
  <c r="AB8" i="157"/>
  <c r="O28" i="157"/>
  <c r="O37" i="157"/>
  <c r="F14" i="156"/>
  <c r="AC28" i="157"/>
  <c r="AB28" i="157"/>
  <c r="G1" i="157"/>
  <c r="O29" i="157"/>
  <c r="AC29" i="157"/>
  <c r="AB29" i="157"/>
  <c r="O17" i="157"/>
  <c r="AB17" i="157"/>
  <c r="AC17" i="157"/>
  <c r="R5" i="157"/>
  <c r="Q5" i="157"/>
  <c r="R27" i="157"/>
  <c r="Q27" i="157"/>
  <c r="O39" i="157"/>
  <c r="AC39" i="157"/>
  <c r="AB39" i="157"/>
  <c r="O60" i="157"/>
  <c r="AC60" i="157"/>
  <c r="AB60" i="157"/>
  <c r="N69" i="157"/>
  <c r="L6" i="157"/>
  <c r="L15" i="157"/>
  <c r="D13" i="156"/>
  <c r="D15" i="156"/>
  <c r="L59" i="157"/>
  <c r="O62" i="157"/>
  <c r="O70" i="157"/>
  <c r="N15" i="157"/>
  <c r="P59" i="157"/>
  <c r="AB70" i="157"/>
  <c r="I1" i="157"/>
  <c r="O6" i="157"/>
  <c r="O59" i="157"/>
  <c r="N26" i="157"/>
  <c r="L28" i="157"/>
  <c r="L38" i="157"/>
  <c r="P50" i="157"/>
  <c r="AB5" i="157"/>
  <c r="AC5" i="157"/>
  <c r="AB62" i="157"/>
  <c r="N37" i="157"/>
  <c r="AB50" i="157"/>
  <c r="J48" i="157"/>
  <c r="P48" i="157"/>
  <c r="W78" i="155"/>
  <c r="H78" i="155"/>
  <c r="W77" i="155"/>
  <c r="H77" i="155"/>
  <c r="W76" i="155"/>
  <c r="H76" i="155"/>
  <c r="W75" i="155"/>
  <c r="H75" i="155"/>
  <c r="W74" i="155"/>
  <c r="H74" i="155"/>
  <c r="W73" i="155"/>
  <c r="W72" i="155"/>
  <c r="AC71" i="155"/>
  <c r="AB71" i="155"/>
  <c r="W71" i="155"/>
  <c r="W70" i="155"/>
  <c r="N70" i="155"/>
  <c r="O70" i="155"/>
  <c r="K70" i="155"/>
  <c r="J70" i="155"/>
  <c r="P70" i="155"/>
  <c r="F70" i="155"/>
  <c r="H70" i="155"/>
  <c r="M69" i="155"/>
  <c r="M79" i="155"/>
  <c r="W68" i="155"/>
  <c r="H68" i="155"/>
  <c r="W67" i="155"/>
  <c r="H67" i="155"/>
  <c r="W66" i="155"/>
  <c r="H66" i="155"/>
  <c r="W65" i="155"/>
  <c r="W64" i="155"/>
  <c r="W63" i="155"/>
  <c r="W62" i="155"/>
  <c r="AC62" i="155"/>
  <c r="W61" i="155"/>
  <c r="N61" i="155"/>
  <c r="V61" i="155"/>
  <c r="K61" i="155"/>
  <c r="J61" i="155"/>
  <c r="P61" i="155"/>
  <c r="F61" i="155"/>
  <c r="H61" i="155"/>
  <c r="B61" i="155"/>
  <c r="W60" i="155"/>
  <c r="N60" i="155"/>
  <c r="V60" i="155"/>
  <c r="K60" i="155"/>
  <c r="J60" i="155"/>
  <c r="P60" i="155"/>
  <c r="F60" i="155"/>
  <c r="H60" i="155"/>
  <c r="B60" i="155"/>
  <c r="W59" i="155"/>
  <c r="N59" i="155"/>
  <c r="K59" i="155"/>
  <c r="J59" i="155"/>
  <c r="F59" i="155"/>
  <c r="H59" i="155"/>
  <c r="B59" i="155"/>
  <c r="M58" i="155"/>
  <c r="W57" i="155"/>
  <c r="H57" i="155"/>
  <c r="W56" i="155"/>
  <c r="H56" i="155"/>
  <c r="W55" i="155"/>
  <c r="H55" i="155"/>
  <c r="W54" i="155"/>
  <c r="H54" i="155"/>
  <c r="W53" i="155"/>
  <c r="W52" i="155"/>
  <c r="W51" i="155"/>
  <c r="N51" i="155"/>
  <c r="V51" i="155"/>
  <c r="K51" i="155"/>
  <c r="J51" i="155"/>
  <c r="P51" i="155"/>
  <c r="F51" i="155"/>
  <c r="H51" i="155"/>
  <c r="B51" i="155"/>
  <c r="W50" i="155"/>
  <c r="V50" i="155"/>
  <c r="N50" i="155"/>
  <c r="K50" i="155"/>
  <c r="J50" i="155"/>
  <c r="F50" i="155"/>
  <c r="H50" i="155"/>
  <c r="B50" i="155"/>
  <c r="W49" i="155"/>
  <c r="N49" i="155"/>
  <c r="P49" i="155"/>
  <c r="L49" i="155"/>
  <c r="F49" i="155"/>
  <c r="H49" i="155"/>
  <c r="B49" i="155"/>
  <c r="W48" i="155"/>
  <c r="M48" i="155"/>
  <c r="G18" i="154"/>
  <c r="W47" i="155"/>
  <c r="H47" i="155"/>
  <c r="W46" i="155"/>
  <c r="H46" i="155"/>
  <c r="W45" i="155"/>
  <c r="H45" i="155"/>
  <c r="W44" i="155"/>
  <c r="H44" i="155"/>
  <c r="W43" i="155"/>
  <c r="H43" i="155"/>
  <c r="W42" i="155"/>
  <c r="W41" i="155"/>
  <c r="W40" i="155"/>
  <c r="W39" i="155"/>
  <c r="N39" i="155"/>
  <c r="V39" i="155"/>
  <c r="K39" i="155"/>
  <c r="J39" i="155"/>
  <c r="P39" i="155"/>
  <c r="F39" i="155"/>
  <c r="H39" i="155"/>
  <c r="W38" i="155"/>
  <c r="N38" i="155"/>
  <c r="K38" i="155"/>
  <c r="J38" i="155"/>
  <c r="P38" i="155"/>
  <c r="F38" i="155"/>
  <c r="H38" i="155"/>
  <c r="M37" i="155"/>
  <c r="J37" i="155"/>
  <c r="W36" i="155"/>
  <c r="H36" i="155"/>
  <c r="W35" i="155"/>
  <c r="H35" i="155"/>
  <c r="W34" i="155"/>
  <c r="H34" i="155"/>
  <c r="W33" i="155"/>
  <c r="H33" i="155"/>
  <c r="W32" i="155"/>
  <c r="W31" i="155"/>
  <c r="W30" i="155"/>
  <c r="W29" i="155"/>
  <c r="V29" i="155"/>
  <c r="W28" i="155"/>
  <c r="N28" i="155"/>
  <c r="V28" i="155"/>
  <c r="P28" i="155"/>
  <c r="K28" i="155"/>
  <c r="K37" i="155"/>
  <c r="F28" i="155"/>
  <c r="H28" i="155"/>
  <c r="B28" i="155"/>
  <c r="W27" i="155"/>
  <c r="N27" i="155"/>
  <c r="AC27" i="155"/>
  <c r="P27" i="155"/>
  <c r="L27" i="155"/>
  <c r="F27" i="155"/>
  <c r="H27" i="155"/>
  <c r="M26" i="155"/>
  <c r="J26" i="155"/>
  <c r="W25" i="155"/>
  <c r="H25" i="155"/>
  <c r="W24" i="155"/>
  <c r="H24" i="155"/>
  <c r="W23" i="155"/>
  <c r="H23" i="155"/>
  <c r="H22" i="155"/>
  <c r="H21" i="155"/>
  <c r="W20" i="155"/>
  <c r="W19" i="155"/>
  <c r="W18" i="155"/>
  <c r="N18" i="155"/>
  <c r="V18" i="155"/>
  <c r="P18" i="155"/>
  <c r="K18" i="155"/>
  <c r="L18" i="155"/>
  <c r="F18" i="155"/>
  <c r="H18" i="155"/>
  <c r="W17" i="155"/>
  <c r="N17" i="155"/>
  <c r="V17" i="155"/>
  <c r="P17" i="155"/>
  <c r="K17" i="155"/>
  <c r="L17" i="155"/>
  <c r="F17" i="155"/>
  <c r="H17" i="155"/>
  <c r="W16" i="155"/>
  <c r="N16" i="155"/>
  <c r="P16" i="155"/>
  <c r="K16" i="155"/>
  <c r="F16" i="155"/>
  <c r="H16" i="155"/>
  <c r="M15" i="155"/>
  <c r="J15" i="155"/>
  <c r="W14" i="155"/>
  <c r="H14" i="155"/>
  <c r="W13" i="155"/>
  <c r="W12" i="155"/>
  <c r="H12" i="155"/>
  <c r="W11" i="155"/>
  <c r="H11" i="155"/>
  <c r="W10" i="155"/>
  <c r="W9" i="155"/>
  <c r="W8" i="155"/>
  <c r="W7" i="155"/>
  <c r="N7" i="155"/>
  <c r="V7" i="155"/>
  <c r="P7" i="155"/>
  <c r="K7" i="155"/>
  <c r="L7" i="155"/>
  <c r="F7" i="155"/>
  <c r="H7" i="155"/>
  <c r="B7" i="155"/>
  <c r="W6" i="155"/>
  <c r="V6" i="155"/>
  <c r="P6" i="155"/>
  <c r="N6" i="155"/>
  <c r="K6" i="155"/>
  <c r="L6" i="155"/>
  <c r="F6" i="155"/>
  <c r="H6" i="155"/>
  <c r="B6" i="155"/>
  <c r="W5" i="155"/>
  <c r="N5" i="155"/>
  <c r="P5" i="155"/>
  <c r="K5" i="155"/>
  <c r="L5" i="155"/>
  <c r="F5" i="155"/>
  <c r="H5" i="155"/>
  <c r="B5" i="155"/>
  <c r="I2" i="155"/>
  <c r="E1" i="155"/>
  <c r="J7" i="154"/>
  <c r="J18" i="152"/>
  <c r="I18" i="152"/>
  <c r="H18" i="152"/>
  <c r="F18" i="152"/>
  <c r="E18" i="152"/>
  <c r="D18" i="152"/>
  <c r="J16" i="152"/>
  <c r="I16" i="152"/>
  <c r="H16" i="152"/>
  <c r="G16" i="152"/>
  <c r="F16" i="152"/>
  <c r="E16" i="152"/>
  <c r="D16" i="152"/>
  <c r="J14" i="152"/>
  <c r="I14" i="152"/>
  <c r="H14" i="152"/>
  <c r="F14" i="152"/>
  <c r="E14" i="152"/>
  <c r="D14" i="152"/>
  <c r="G3" i="152"/>
  <c r="V9" i="151"/>
  <c r="J7" i="152"/>
  <c r="W78" i="151"/>
  <c r="H78" i="151"/>
  <c r="W77" i="151"/>
  <c r="H77" i="151"/>
  <c r="W76" i="151"/>
  <c r="H76" i="151"/>
  <c r="W75" i="151"/>
  <c r="H75" i="151"/>
  <c r="W74" i="151"/>
  <c r="H74" i="151"/>
  <c r="W73" i="151"/>
  <c r="W72" i="151"/>
  <c r="AC71" i="151"/>
  <c r="AB71" i="151"/>
  <c r="W71" i="151"/>
  <c r="W70" i="151"/>
  <c r="N70" i="151"/>
  <c r="K70" i="151"/>
  <c r="J70" i="151"/>
  <c r="P70" i="151"/>
  <c r="F70" i="151"/>
  <c r="H70" i="151"/>
  <c r="M69" i="151"/>
  <c r="M79" i="151"/>
  <c r="W68" i="151"/>
  <c r="H68" i="151"/>
  <c r="W67" i="151"/>
  <c r="H67" i="151"/>
  <c r="W66" i="151"/>
  <c r="H66" i="151"/>
  <c r="W65" i="151"/>
  <c r="W64" i="151"/>
  <c r="W63" i="151"/>
  <c r="W62" i="151"/>
  <c r="AC62" i="151"/>
  <c r="W61" i="151"/>
  <c r="V61" i="151"/>
  <c r="N61" i="151"/>
  <c r="K61" i="151"/>
  <c r="J61" i="151"/>
  <c r="P61" i="151"/>
  <c r="F61" i="151"/>
  <c r="H61" i="151"/>
  <c r="B61" i="151"/>
  <c r="W60" i="151"/>
  <c r="N60" i="151"/>
  <c r="V60" i="151"/>
  <c r="K60" i="151"/>
  <c r="J60" i="151"/>
  <c r="P60" i="151"/>
  <c r="F60" i="151"/>
  <c r="H60" i="151"/>
  <c r="B60" i="151"/>
  <c r="W59" i="151"/>
  <c r="N59" i="151"/>
  <c r="O59" i="151"/>
  <c r="K59" i="151"/>
  <c r="AB59" i="151"/>
  <c r="J59" i="151"/>
  <c r="F59" i="151"/>
  <c r="H59" i="151"/>
  <c r="B59" i="151"/>
  <c r="M58" i="151"/>
  <c r="W57" i="151"/>
  <c r="H57" i="151"/>
  <c r="W56" i="151"/>
  <c r="H56" i="151"/>
  <c r="W55" i="151"/>
  <c r="H55" i="151"/>
  <c r="W54" i="151"/>
  <c r="H54" i="151"/>
  <c r="W53" i="151"/>
  <c r="W52" i="151"/>
  <c r="W51" i="151"/>
  <c r="N51" i="151"/>
  <c r="V51" i="151"/>
  <c r="K51" i="151"/>
  <c r="J51" i="151"/>
  <c r="P51" i="151"/>
  <c r="F51" i="151"/>
  <c r="H51" i="151"/>
  <c r="B51" i="151"/>
  <c r="W50" i="151"/>
  <c r="N50" i="151"/>
  <c r="V50" i="151"/>
  <c r="K50" i="151"/>
  <c r="J50" i="151"/>
  <c r="F50" i="151"/>
  <c r="H50" i="151"/>
  <c r="B50" i="151"/>
  <c r="W49" i="151"/>
  <c r="N49" i="151"/>
  <c r="AC49" i="151"/>
  <c r="P49" i="151"/>
  <c r="L49" i="151"/>
  <c r="F49" i="151"/>
  <c r="H49" i="151"/>
  <c r="B49" i="151"/>
  <c r="W48" i="151"/>
  <c r="M48" i="151"/>
  <c r="G18" i="152"/>
  <c r="W47" i="151"/>
  <c r="H47" i="151"/>
  <c r="W46" i="151"/>
  <c r="H46" i="151"/>
  <c r="W45" i="151"/>
  <c r="H45" i="151"/>
  <c r="W44" i="151"/>
  <c r="H44" i="151"/>
  <c r="W43" i="151"/>
  <c r="H43" i="151"/>
  <c r="W42" i="151"/>
  <c r="W41" i="151"/>
  <c r="W40" i="151"/>
  <c r="W39" i="151"/>
  <c r="V39" i="151"/>
  <c r="N39" i="151"/>
  <c r="K39" i="151"/>
  <c r="J39" i="151"/>
  <c r="P39" i="151"/>
  <c r="F39" i="151"/>
  <c r="W38" i="151"/>
  <c r="N38" i="151"/>
  <c r="K38" i="151"/>
  <c r="J38" i="151"/>
  <c r="F38" i="151"/>
  <c r="M37" i="151"/>
  <c r="P37" i="151"/>
  <c r="J37" i="151"/>
  <c r="W36" i="151"/>
  <c r="H36" i="151"/>
  <c r="W35" i="151"/>
  <c r="H35" i="151"/>
  <c r="W34" i="151"/>
  <c r="H34" i="151"/>
  <c r="W33" i="151"/>
  <c r="H33" i="151"/>
  <c r="W32" i="151"/>
  <c r="W31" i="151"/>
  <c r="W30" i="151"/>
  <c r="W29" i="151"/>
  <c r="W28" i="151"/>
  <c r="N28" i="151"/>
  <c r="V28" i="151"/>
  <c r="P28" i="151"/>
  <c r="K28" i="151"/>
  <c r="L28" i="151"/>
  <c r="F28" i="151"/>
  <c r="H28" i="151"/>
  <c r="B28" i="151"/>
  <c r="W27" i="151"/>
  <c r="N27" i="151"/>
  <c r="P27" i="151"/>
  <c r="L27" i="151"/>
  <c r="F27" i="151"/>
  <c r="H27" i="151"/>
  <c r="M26" i="151"/>
  <c r="J26" i="151"/>
  <c r="P26" i="151"/>
  <c r="W25" i="151"/>
  <c r="H25" i="151"/>
  <c r="W24" i="151"/>
  <c r="H24" i="151"/>
  <c r="W23" i="151"/>
  <c r="H23" i="151"/>
  <c r="H22" i="151"/>
  <c r="H21" i="151"/>
  <c r="W20" i="151"/>
  <c r="W19" i="151"/>
  <c r="N19" i="151"/>
  <c r="V19" i="151"/>
  <c r="P19" i="151"/>
  <c r="K19" i="151"/>
  <c r="L19" i="151"/>
  <c r="F19" i="151"/>
  <c r="H19" i="151"/>
  <c r="W18" i="151"/>
  <c r="N18" i="151"/>
  <c r="V18" i="151"/>
  <c r="P18" i="151"/>
  <c r="K18" i="151"/>
  <c r="L18" i="151"/>
  <c r="F18" i="151"/>
  <c r="H18" i="151"/>
  <c r="W17" i="151"/>
  <c r="N17" i="151"/>
  <c r="V17" i="151"/>
  <c r="P17" i="151"/>
  <c r="K17" i="151"/>
  <c r="L17" i="151"/>
  <c r="F17" i="151"/>
  <c r="H17" i="151"/>
  <c r="W16" i="151"/>
  <c r="N16" i="151"/>
  <c r="P16" i="151"/>
  <c r="K16" i="151"/>
  <c r="L16" i="151"/>
  <c r="F16" i="151"/>
  <c r="H16" i="151"/>
  <c r="M15" i="151"/>
  <c r="J15" i="151"/>
  <c r="W14" i="151"/>
  <c r="H14" i="151"/>
  <c r="W13" i="151"/>
  <c r="W12" i="151"/>
  <c r="H12" i="151"/>
  <c r="W11" i="151"/>
  <c r="H11" i="151"/>
  <c r="W10" i="151"/>
  <c r="W9" i="151"/>
  <c r="W8" i="151"/>
  <c r="N8" i="151"/>
  <c r="V8" i="151"/>
  <c r="P8" i="151"/>
  <c r="L8" i="151"/>
  <c r="F8" i="151"/>
  <c r="H8" i="151"/>
  <c r="B8" i="151"/>
  <c r="W7" i="151"/>
  <c r="N7" i="151"/>
  <c r="V7" i="151"/>
  <c r="P7" i="151"/>
  <c r="K7" i="151"/>
  <c r="L7" i="151"/>
  <c r="F7" i="151"/>
  <c r="H7" i="151"/>
  <c r="B7" i="151"/>
  <c r="W6" i="151"/>
  <c r="N6" i="151"/>
  <c r="V6" i="151"/>
  <c r="P6" i="151"/>
  <c r="K6" i="151"/>
  <c r="L6" i="151"/>
  <c r="F6" i="151"/>
  <c r="H6" i="151"/>
  <c r="B6" i="151"/>
  <c r="W5" i="151"/>
  <c r="P5" i="151"/>
  <c r="N5" i="151"/>
  <c r="K5" i="151"/>
  <c r="L5" i="151"/>
  <c r="F5" i="151"/>
  <c r="H5" i="151"/>
  <c r="B5" i="151"/>
  <c r="I2" i="151"/>
  <c r="E1" i="151"/>
  <c r="V52" i="150"/>
  <c r="V30" i="150"/>
  <c r="F52" i="150"/>
  <c r="H52" i="150"/>
  <c r="P52" i="150"/>
  <c r="L52" i="150"/>
  <c r="B52" i="150"/>
  <c r="F30" i="150"/>
  <c r="H30" i="150"/>
  <c r="J30" i="150"/>
  <c r="P30" i="150"/>
  <c r="K30" i="150"/>
  <c r="N30" i="150"/>
  <c r="O30" i="150"/>
  <c r="B30" i="150"/>
  <c r="M79" i="150"/>
  <c r="J18" i="149"/>
  <c r="W78" i="150"/>
  <c r="H78" i="150"/>
  <c r="W77" i="150"/>
  <c r="H77" i="150"/>
  <c r="W76" i="150"/>
  <c r="H76" i="150"/>
  <c r="W75" i="150"/>
  <c r="H75" i="150"/>
  <c r="W74" i="150"/>
  <c r="H74" i="150"/>
  <c r="W73" i="150"/>
  <c r="W72" i="150"/>
  <c r="AC71" i="150"/>
  <c r="AB71" i="150"/>
  <c r="W71" i="150"/>
  <c r="W70" i="150"/>
  <c r="N70" i="150"/>
  <c r="K70" i="150"/>
  <c r="J70" i="150"/>
  <c r="P70" i="150"/>
  <c r="F70" i="150"/>
  <c r="H70" i="150"/>
  <c r="M69" i="150"/>
  <c r="W68" i="150"/>
  <c r="H68" i="150"/>
  <c r="W67" i="150"/>
  <c r="H67" i="150"/>
  <c r="W66" i="150"/>
  <c r="H66" i="150"/>
  <c r="W65" i="150"/>
  <c r="W64" i="150"/>
  <c r="W63" i="150"/>
  <c r="W62" i="150"/>
  <c r="V62" i="150"/>
  <c r="N62" i="150"/>
  <c r="K62" i="150"/>
  <c r="J62" i="150"/>
  <c r="P62" i="150"/>
  <c r="F62" i="150"/>
  <c r="H62" i="150"/>
  <c r="B62" i="150"/>
  <c r="W61" i="150"/>
  <c r="N61" i="150"/>
  <c r="O61" i="150"/>
  <c r="V61" i="150"/>
  <c r="K61" i="150"/>
  <c r="J61" i="150"/>
  <c r="P61" i="150"/>
  <c r="F61" i="150"/>
  <c r="H61" i="150"/>
  <c r="B61" i="150"/>
  <c r="W60" i="150"/>
  <c r="N60" i="150"/>
  <c r="V60" i="150"/>
  <c r="K60" i="150"/>
  <c r="J60" i="150"/>
  <c r="P60" i="150"/>
  <c r="F60" i="150"/>
  <c r="H60" i="150"/>
  <c r="B60" i="150"/>
  <c r="W59" i="150"/>
  <c r="N59" i="150"/>
  <c r="K59" i="150"/>
  <c r="J59" i="150"/>
  <c r="F59" i="150"/>
  <c r="H59" i="150"/>
  <c r="B59" i="150"/>
  <c r="M58" i="150"/>
  <c r="W57" i="150"/>
  <c r="H57" i="150"/>
  <c r="W56" i="150"/>
  <c r="H56" i="150"/>
  <c r="W55" i="150"/>
  <c r="H55" i="150"/>
  <c r="W54" i="150"/>
  <c r="H54" i="150"/>
  <c r="W53" i="150"/>
  <c r="W52" i="150"/>
  <c r="N52" i="150"/>
  <c r="O52" i="150"/>
  <c r="W51" i="150"/>
  <c r="N51" i="150"/>
  <c r="V51" i="150"/>
  <c r="K51" i="150"/>
  <c r="J51" i="150"/>
  <c r="P51" i="150"/>
  <c r="F51" i="150"/>
  <c r="H51" i="150"/>
  <c r="B51" i="150"/>
  <c r="W50" i="150"/>
  <c r="N50" i="150"/>
  <c r="O50" i="150"/>
  <c r="V50" i="150"/>
  <c r="K50" i="150"/>
  <c r="J50" i="150"/>
  <c r="P50" i="150"/>
  <c r="F50" i="150"/>
  <c r="H50" i="150"/>
  <c r="B50" i="150"/>
  <c r="W49" i="150"/>
  <c r="N49" i="150"/>
  <c r="F49" i="150"/>
  <c r="H49" i="150"/>
  <c r="B49" i="150"/>
  <c r="W48" i="150"/>
  <c r="M48" i="150"/>
  <c r="G18" i="149"/>
  <c r="W47" i="150"/>
  <c r="H47" i="150"/>
  <c r="W46" i="150"/>
  <c r="H46" i="150"/>
  <c r="W45" i="150"/>
  <c r="H45" i="150"/>
  <c r="W44" i="150"/>
  <c r="H44" i="150"/>
  <c r="W43" i="150"/>
  <c r="H43" i="150"/>
  <c r="W42" i="150"/>
  <c r="W41" i="150"/>
  <c r="W40" i="150"/>
  <c r="N40" i="150"/>
  <c r="O40" i="150"/>
  <c r="V40" i="150"/>
  <c r="K40" i="150"/>
  <c r="J40" i="150"/>
  <c r="P40" i="150"/>
  <c r="F40" i="150"/>
  <c r="W39" i="150"/>
  <c r="N39" i="150"/>
  <c r="V39" i="150"/>
  <c r="K39" i="150"/>
  <c r="J39" i="150"/>
  <c r="P39" i="150"/>
  <c r="F39" i="150"/>
  <c r="W38" i="150"/>
  <c r="N38" i="150"/>
  <c r="K38" i="150"/>
  <c r="J38" i="150"/>
  <c r="F38" i="150"/>
  <c r="M37" i="150"/>
  <c r="F18" i="149"/>
  <c r="W36" i="150"/>
  <c r="H36" i="150"/>
  <c r="W35" i="150"/>
  <c r="H35" i="150"/>
  <c r="W34" i="150"/>
  <c r="H34" i="150"/>
  <c r="W33" i="150"/>
  <c r="H33" i="150"/>
  <c r="W32" i="150"/>
  <c r="W31" i="150"/>
  <c r="W30" i="150"/>
  <c r="W29" i="150"/>
  <c r="N29" i="150"/>
  <c r="O29" i="150"/>
  <c r="V29" i="150"/>
  <c r="K29" i="150"/>
  <c r="P29" i="150"/>
  <c r="F29" i="150"/>
  <c r="H29" i="150"/>
  <c r="B29" i="150"/>
  <c r="W28" i="150"/>
  <c r="N28" i="150"/>
  <c r="V28" i="150"/>
  <c r="K28" i="150"/>
  <c r="P28" i="150"/>
  <c r="F28" i="150"/>
  <c r="H28" i="150"/>
  <c r="B28" i="150"/>
  <c r="W27" i="150"/>
  <c r="N27" i="150"/>
  <c r="O27" i="150"/>
  <c r="P27" i="150"/>
  <c r="F27" i="150"/>
  <c r="H27" i="150"/>
  <c r="P26" i="150"/>
  <c r="M26" i="150"/>
  <c r="J26" i="150"/>
  <c r="W25" i="150"/>
  <c r="H25" i="150"/>
  <c r="W24" i="150"/>
  <c r="H24" i="150"/>
  <c r="W23" i="150"/>
  <c r="H23" i="150"/>
  <c r="H22" i="150"/>
  <c r="H21" i="150"/>
  <c r="W20" i="150"/>
  <c r="W19" i="150"/>
  <c r="V19" i="150"/>
  <c r="P19" i="150"/>
  <c r="N19" i="150"/>
  <c r="K19" i="150"/>
  <c r="L19" i="150"/>
  <c r="F19" i="150"/>
  <c r="H19" i="150"/>
  <c r="W18" i="150"/>
  <c r="V18" i="150"/>
  <c r="P18" i="150"/>
  <c r="N18" i="150"/>
  <c r="K18" i="150"/>
  <c r="L18" i="150"/>
  <c r="F18" i="150"/>
  <c r="H18" i="150"/>
  <c r="W17" i="150"/>
  <c r="N17" i="150"/>
  <c r="O17" i="150"/>
  <c r="V17" i="150"/>
  <c r="P17" i="150"/>
  <c r="K17" i="150"/>
  <c r="L17" i="150"/>
  <c r="F17" i="150"/>
  <c r="H17" i="150"/>
  <c r="W16" i="150"/>
  <c r="N16" i="150"/>
  <c r="P16" i="150"/>
  <c r="K16" i="150"/>
  <c r="F16" i="150"/>
  <c r="H16" i="150"/>
  <c r="M15" i="150"/>
  <c r="J15" i="150"/>
  <c r="W14" i="150"/>
  <c r="H14" i="150"/>
  <c r="W13" i="150"/>
  <c r="W12" i="150"/>
  <c r="H12" i="150"/>
  <c r="W11" i="150"/>
  <c r="H11" i="150"/>
  <c r="W10" i="150"/>
  <c r="W9" i="150"/>
  <c r="W8" i="150"/>
  <c r="N8" i="150"/>
  <c r="O8" i="150"/>
  <c r="V8" i="150"/>
  <c r="P8" i="150"/>
  <c r="K8" i="150"/>
  <c r="L8" i="150"/>
  <c r="F8" i="150"/>
  <c r="H8" i="150"/>
  <c r="B8" i="150"/>
  <c r="W7" i="150"/>
  <c r="N7" i="150"/>
  <c r="O7" i="150"/>
  <c r="V7" i="150"/>
  <c r="P7" i="150"/>
  <c r="K7" i="150"/>
  <c r="L7" i="150"/>
  <c r="F7" i="150"/>
  <c r="H7" i="150"/>
  <c r="B7" i="150"/>
  <c r="W6" i="150"/>
  <c r="N6" i="150"/>
  <c r="V6" i="150"/>
  <c r="P6" i="150"/>
  <c r="K6" i="150"/>
  <c r="L6" i="150"/>
  <c r="F6" i="150"/>
  <c r="H6" i="150"/>
  <c r="B6" i="150"/>
  <c r="W5" i="150"/>
  <c r="N5" i="150"/>
  <c r="P5" i="150"/>
  <c r="K5" i="150"/>
  <c r="L5" i="150"/>
  <c r="F5" i="150"/>
  <c r="H5" i="150"/>
  <c r="B5" i="150"/>
  <c r="I2" i="150"/>
  <c r="E1" i="150"/>
  <c r="G3" i="149"/>
  <c r="I18" i="149"/>
  <c r="E18" i="149"/>
  <c r="D18" i="149"/>
  <c r="J16" i="149"/>
  <c r="I16" i="149"/>
  <c r="H16" i="149"/>
  <c r="G16" i="149"/>
  <c r="F16" i="149"/>
  <c r="E16" i="149"/>
  <c r="D16" i="149"/>
  <c r="V71" i="146"/>
  <c r="W78" i="148"/>
  <c r="H78" i="148"/>
  <c r="W77" i="148"/>
  <c r="H77" i="148"/>
  <c r="W76" i="148"/>
  <c r="H76" i="148"/>
  <c r="W75" i="148"/>
  <c r="H75" i="148"/>
  <c r="W74" i="148"/>
  <c r="H74" i="148"/>
  <c r="W73" i="148"/>
  <c r="W72" i="148"/>
  <c r="AC71" i="148"/>
  <c r="W71" i="148"/>
  <c r="AB71" i="148"/>
  <c r="W70" i="148"/>
  <c r="N70" i="148"/>
  <c r="K70" i="148"/>
  <c r="J70" i="148"/>
  <c r="P70" i="148"/>
  <c r="F70" i="148"/>
  <c r="H70" i="148"/>
  <c r="M69" i="148"/>
  <c r="I18" i="147"/>
  <c r="W68" i="148"/>
  <c r="H68" i="148"/>
  <c r="W67" i="148"/>
  <c r="H67" i="148"/>
  <c r="W66" i="148"/>
  <c r="H66" i="148"/>
  <c r="W65" i="148"/>
  <c r="W64" i="148"/>
  <c r="W63" i="148"/>
  <c r="W62" i="148"/>
  <c r="V62" i="148"/>
  <c r="N62" i="148"/>
  <c r="K62" i="148"/>
  <c r="J62" i="148"/>
  <c r="P62" i="148"/>
  <c r="F62" i="148"/>
  <c r="H62" i="148"/>
  <c r="B62" i="148"/>
  <c r="W61" i="148"/>
  <c r="V61" i="148"/>
  <c r="N61" i="148"/>
  <c r="K61" i="148"/>
  <c r="J61" i="148"/>
  <c r="P61" i="148"/>
  <c r="F61" i="148"/>
  <c r="H61" i="148"/>
  <c r="B61" i="148"/>
  <c r="W60" i="148"/>
  <c r="N60" i="148"/>
  <c r="V60" i="148"/>
  <c r="K60" i="148"/>
  <c r="J60" i="148"/>
  <c r="P60" i="148"/>
  <c r="F60" i="148"/>
  <c r="H60" i="148"/>
  <c r="B60" i="148"/>
  <c r="W59" i="148"/>
  <c r="N59" i="148"/>
  <c r="K59" i="148"/>
  <c r="J59" i="148"/>
  <c r="F59" i="148"/>
  <c r="H59" i="148"/>
  <c r="B59" i="148"/>
  <c r="M58" i="148"/>
  <c r="W57" i="148"/>
  <c r="H57" i="148"/>
  <c r="W56" i="148"/>
  <c r="H56" i="148"/>
  <c r="W55" i="148"/>
  <c r="H55" i="148"/>
  <c r="W54" i="148"/>
  <c r="H54" i="148"/>
  <c r="W53" i="148"/>
  <c r="W52" i="148"/>
  <c r="W51" i="148"/>
  <c r="N51" i="148"/>
  <c r="V51" i="148"/>
  <c r="K51" i="148"/>
  <c r="J51" i="148"/>
  <c r="P51" i="148"/>
  <c r="F51" i="148"/>
  <c r="H51" i="148"/>
  <c r="B51" i="148"/>
  <c r="W50" i="148"/>
  <c r="V50" i="148"/>
  <c r="N50" i="148"/>
  <c r="K50" i="148"/>
  <c r="J50" i="148"/>
  <c r="P50" i="148"/>
  <c r="F50" i="148"/>
  <c r="H50" i="148"/>
  <c r="B50" i="148"/>
  <c r="W49" i="148"/>
  <c r="N49" i="148"/>
  <c r="K49" i="148"/>
  <c r="J49" i="148"/>
  <c r="P49" i="148"/>
  <c r="F49" i="148"/>
  <c r="H49" i="148"/>
  <c r="B49" i="148"/>
  <c r="W48" i="148"/>
  <c r="M48" i="148"/>
  <c r="G18" i="147"/>
  <c r="W47" i="148"/>
  <c r="H47" i="148"/>
  <c r="W46" i="148"/>
  <c r="H46" i="148"/>
  <c r="W45" i="148"/>
  <c r="H45" i="148"/>
  <c r="W44" i="148"/>
  <c r="H44" i="148"/>
  <c r="W43" i="148"/>
  <c r="H43" i="148"/>
  <c r="W42" i="148"/>
  <c r="W41" i="148"/>
  <c r="W40" i="148"/>
  <c r="N40" i="148"/>
  <c r="O40" i="148"/>
  <c r="V40" i="148"/>
  <c r="K40" i="148"/>
  <c r="J40" i="148"/>
  <c r="F40" i="148"/>
  <c r="W39" i="148"/>
  <c r="N39" i="148"/>
  <c r="V39" i="148"/>
  <c r="K39" i="148"/>
  <c r="J39" i="148"/>
  <c r="P39" i="148"/>
  <c r="F39" i="148"/>
  <c r="W38" i="148"/>
  <c r="N38" i="148"/>
  <c r="K38" i="148"/>
  <c r="J38" i="148"/>
  <c r="P38" i="148"/>
  <c r="F38" i="148"/>
  <c r="M37" i="148"/>
  <c r="W36" i="148"/>
  <c r="H36" i="148"/>
  <c r="W35" i="148"/>
  <c r="H35" i="148"/>
  <c r="W34" i="148"/>
  <c r="H34" i="148"/>
  <c r="W33" i="148"/>
  <c r="H33" i="148"/>
  <c r="W32" i="148"/>
  <c r="W31" i="148"/>
  <c r="W30" i="148"/>
  <c r="W29" i="148"/>
  <c r="N29" i="148"/>
  <c r="V29" i="148"/>
  <c r="K29" i="148"/>
  <c r="J29" i="148"/>
  <c r="P29" i="148"/>
  <c r="F29" i="148"/>
  <c r="H29" i="148"/>
  <c r="B29" i="148"/>
  <c r="W28" i="148"/>
  <c r="V28" i="148"/>
  <c r="N28" i="148"/>
  <c r="O28" i="148"/>
  <c r="K28" i="148"/>
  <c r="J28" i="148"/>
  <c r="P28" i="148"/>
  <c r="F28" i="148"/>
  <c r="H28" i="148"/>
  <c r="B28" i="148"/>
  <c r="W27" i="148"/>
  <c r="N27" i="148"/>
  <c r="K27" i="148"/>
  <c r="J27" i="148"/>
  <c r="P27" i="148"/>
  <c r="F27" i="148"/>
  <c r="H27" i="148"/>
  <c r="M26" i="148"/>
  <c r="J26" i="148"/>
  <c r="W25" i="148"/>
  <c r="H25" i="148"/>
  <c r="W24" i="148"/>
  <c r="H24" i="148"/>
  <c r="W23" i="148"/>
  <c r="H23" i="148"/>
  <c r="H22" i="148"/>
  <c r="H21" i="148"/>
  <c r="W20" i="148"/>
  <c r="W19" i="148"/>
  <c r="N19" i="148"/>
  <c r="O19" i="148"/>
  <c r="V19" i="148"/>
  <c r="P19" i="148"/>
  <c r="K19" i="148"/>
  <c r="L19" i="148"/>
  <c r="F19" i="148"/>
  <c r="H19" i="148"/>
  <c r="W18" i="148"/>
  <c r="N18" i="148"/>
  <c r="V18" i="148"/>
  <c r="P18" i="148"/>
  <c r="K18" i="148"/>
  <c r="L18" i="148"/>
  <c r="F18" i="148"/>
  <c r="H18" i="148"/>
  <c r="W17" i="148"/>
  <c r="V17" i="148"/>
  <c r="P17" i="148"/>
  <c r="N17" i="148"/>
  <c r="K17" i="148"/>
  <c r="F17" i="148"/>
  <c r="H17" i="148"/>
  <c r="W16" i="148"/>
  <c r="N16" i="148"/>
  <c r="P16" i="148"/>
  <c r="K16" i="148"/>
  <c r="L16" i="148"/>
  <c r="H16" i="148"/>
  <c r="F16" i="148"/>
  <c r="M15" i="148"/>
  <c r="D18" i="147"/>
  <c r="J15" i="148"/>
  <c r="W14" i="148"/>
  <c r="H14" i="148"/>
  <c r="W13" i="148"/>
  <c r="W12" i="148"/>
  <c r="H12" i="148"/>
  <c r="W11" i="148"/>
  <c r="H11" i="148"/>
  <c r="W10" i="148"/>
  <c r="W9" i="148"/>
  <c r="N9" i="148"/>
  <c r="O9" i="148"/>
  <c r="V9" i="148"/>
  <c r="P9" i="148"/>
  <c r="K9" i="148"/>
  <c r="L9" i="148"/>
  <c r="F9" i="148"/>
  <c r="H9" i="148"/>
  <c r="B9" i="148"/>
  <c r="W8" i="148"/>
  <c r="N8" i="148"/>
  <c r="O8" i="148"/>
  <c r="V8" i="148"/>
  <c r="P8" i="148"/>
  <c r="K8" i="148"/>
  <c r="L8" i="148"/>
  <c r="F8" i="148"/>
  <c r="H8" i="148"/>
  <c r="B8" i="148"/>
  <c r="W7" i="148"/>
  <c r="V7" i="148"/>
  <c r="P7" i="148"/>
  <c r="N7" i="148"/>
  <c r="K7" i="148"/>
  <c r="L7" i="148"/>
  <c r="F7" i="148"/>
  <c r="H7" i="148"/>
  <c r="B7" i="148"/>
  <c r="W6" i="148"/>
  <c r="V6" i="148"/>
  <c r="P6" i="148"/>
  <c r="N6" i="148"/>
  <c r="K6" i="148"/>
  <c r="L6" i="148"/>
  <c r="F6" i="148"/>
  <c r="H6" i="148"/>
  <c r="B6" i="148"/>
  <c r="W5" i="148"/>
  <c r="N5" i="148"/>
  <c r="P5" i="148"/>
  <c r="K5" i="148"/>
  <c r="F5" i="148"/>
  <c r="H5" i="148"/>
  <c r="B5" i="148"/>
  <c r="I2" i="148"/>
  <c r="E1" i="148"/>
  <c r="G3" i="147"/>
  <c r="J16" i="147"/>
  <c r="I16" i="147"/>
  <c r="H16" i="147"/>
  <c r="G16" i="147"/>
  <c r="F16" i="147"/>
  <c r="E16" i="147"/>
  <c r="D16" i="147"/>
  <c r="V40" i="146"/>
  <c r="V31" i="146"/>
  <c r="K31" i="146"/>
  <c r="J31" i="146"/>
  <c r="P31" i="146"/>
  <c r="F31" i="146"/>
  <c r="H31" i="146"/>
  <c r="B31" i="146"/>
  <c r="K71" i="146"/>
  <c r="J71" i="146"/>
  <c r="P71" i="146"/>
  <c r="F71" i="146"/>
  <c r="H71" i="146"/>
  <c r="F40" i="146"/>
  <c r="J40" i="146"/>
  <c r="P40" i="146"/>
  <c r="K40" i="146"/>
  <c r="R28" i="163"/>
  <c r="L69" i="163"/>
  <c r="I13" i="162"/>
  <c r="J6" i="162"/>
  <c r="L58" i="163"/>
  <c r="H13" i="162"/>
  <c r="Q61" i="163"/>
  <c r="Q40" i="157"/>
  <c r="Q27" i="161"/>
  <c r="Q52" i="163"/>
  <c r="Q30" i="157"/>
  <c r="R50" i="157"/>
  <c r="L48" i="157"/>
  <c r="G13" i="156"/>
  <c r="Q52" i="161"/>
  <c r="L37" i="157"/>
  <c r="F13" i="156"/>
  <c r="F15" i="156"/>
  <c r="Q50" i="163"/>
  <c r="P69" i="157"/>
  <c r="L48" i="159"/>
  <c r="G13" i="158"/>
  <c r="AC48" i="163"/>
  <c r="AD38" i="163"/>
  <c r="P69" i="163"/>
  <c r="R30" i="163"/>
  <c r="L48" i="163"/>
  <c r="G13" i="162"/>
  <c r="L40" i="146"/>
  <c r="AC26" i="159"/>
  <c r="AD16" i="159"/>
  <c r="Q49" i="161"/>
  <c r="L30" i="150"/>
  <c r="R30" i="150"/>
  <c r="R70" i="159"/>
  <c r="J7" i="168"/>
  <c r="I15" i="168"/>
  <c r="J8" i="168"/>
  <c r="J6" i="168"/>
  <c r="F6" i="168"/>
  <c r="E2" i="169"/>
  <c r="F7" i="168"/>
  <c r="D15" i="168"/>
  <c r="H7" i="168"/>
  <c r="J7" i="166"/>
  <c r="I15" i="166"/>
  <c r="J8" i="166"/>
  <c r="D15" i="166"/>
  <c r="H7" i="166"/>
  <c r="F7" i="166"/>
  <c r="E2" i="165"/>
  <c r="H7" i="164"/>
  <c r="F7" i="164"/>
  <c r="D15" i="164"/>
  <c r="J7" i="164"/>
  <c r="I15" i="164"/>
  <c r="J8" i="164"/>
  <c r="Q48" i="163"/>
  <c r="AB48" i="163"/>
  <c r="Q19" i="163"/>
  <c r="L37" i="163"/>
  <c r="F13" i="162"/>
  <c r="J3" i="160"/>
  <c r="G2" i="163"/>
  <c r="R17" i="163"/>
  <c r="Q17" i="163"/>
  <c r="R27" i="163"/>
  <c r="Q27" i="163"/>
  <c r="O37" i="163"/>
  <c r="R60" i="163"/>
  <c r="Q60" i="163"/>
  <c r="AB26" i="163"/>
  <c r="AC26" i="163"/>
  <c r="AD16" i="163"/>
  <c r="R16" i="163"/>
  <c r="Q16" i="163"/>
  <c r="O26" i="163"/>
  <c r="O58" i="163"/>
  <c r="R49" i="163"/>
  <c r="Q49" i="163"/>
  <c r="R29" i="163"/>
  <c r="Q29" i="163"/>
  <c r="AB58" i="163"/>
  <c r="Q58" i="163"/>
  <c r="AC58" i="163"/>
  <c r="AD49" i="163"/>
  <c r="O15" i="163"/>
  <c r="R5" i="163"/>
  <c r="Q5" i="163"/>
  <c r="Q51" i="163"/>
  <c r="R51" i="163"/>
  <c r="R6" i="163"/>
  <c r="Q6" i="163"/>
  <c r="R38" i="163"/>
  <c r="Q38" i="163"/>
  <c r="O48" i="163"/>
  <c r="AB15" i="163"/>
  <c r="AC15" i="163"/>
  <c r="AD5" i="163"/>
  <c r="R18" i="163"/>
  <c r="Q18" i="163"/>
  <c r="R39" i="163"/>
  <c r="Q39" i="163"/>
  <c r="AB69" i="163"/>
  <c r="Q69" i="163"/>
  <c r="AC69" i="163"/>
  <c r="AD59" i="163"/>
  <c r="R40" i="163"/>
  <c r="Q40" i="163"/>
  <c r="O69" i="163"/>
  <c r="R59" i="163"/>
  <c r="Q59" i="163"/>
  <c r="AC37" i="163"/>
  <c r="AD27" i="163"/>
  <c r="AB37" i="163"/>
  <c r="Q37" i="163"/>
  <c r="Q62" i="163"/>
  <c r="R62" i="163"/>
  <c r="I1" i="161"/>
  <c r="L37" i="161"/>
  <c r="F13" i="160"/>
  <c r="Q19" i="161"/>
  <c r="O37" i="161"/>
  <c r="AC26" i="161"/>
  <c r="AD16" i="161"/>
  <c r="L70" i="151"/>
  <c r="Q70" i="151"/>
  <c r="L39" i="155"/>
  <c r="AB5" i="155"/>
  <c r="AB6" i="151"/>
  <c r="L49" i="148"/>
  <c r="J58" i="155"/>
  <c r="P58" i="155"/>
  <c r="J69" i="155"/>
  <c r="P69" i="155"/>
  <c r="L40" i="148"/>
  <c r="L58" i="157"/>
  <c r="H13" i="156"/>
  <c r="H15" i="156"/>
  <c r="L58" i="161"/>
  <c r="H13" i="160"/>
  <c r="AB26" i="161"/>
  <c r="AB18" i="148"/>
  <c r="J48" i="151"/>
  <c r="P48" i="151"/>
  <c r="L61" i="148"/>
  <c r="AC70" i="148"/>
  <c r="AB51" i="150"/>
  <c r="L61" i="151"/>
  <c r="Q61" i="151"/>
  <c r="AC61" i="151"/>
  <c r="Q63" i="159"/>
  <c r="AC16" i="148"/>
  <c r="AC50" i="151"/>
  <c r="L70" i="155"/>
  <c r="Q70" i="155"/>
  <c r="Q60" i="161"/>
  <c r="L69" i="159"/>
  <c r="K58" i="150"/>
  <c r="L69" i="157"/>
  <c r="L79" i="157"/>
  <c r="J13" i="156"/>
  <c r="J15" i="156"/>
  <c r="L51" i="155"/>
  <c r="K15" i="148"/>
  <c r="P38" i="151"/>
  <c r="L48" i="161"/>
  <c r="G13" i="160"/>
  <c r="L51" i="151"/>
  <c r="L59" i="155"/>
  <c r="Q16" i="157"/>
  <c r="AB69" i="161"/>
  <c r="K48" i="150"/>
  <c r="AB59" i="155"/>
  <c r="R16" i="157"/>
  <c r="L50" i="155"/>
  <c r="L61" i="155"/>
  <c r="P40" i="148"/>
  <c r="K37" i="151"/>
  <c r="J69" i="151"/>
  <c r="J79" i="151"/>
  <c r="P79" i="151"/>
  <c r="AC70" i="151"/>
  <c r="Q69" i="161"/>
  <c r="AC5" i="151"/>
  <c r="K26" i="155"/>
  <c r="AC50" i="155"/>
  <c r="AC39" i="151"/>
  <c r="AB6" i="155"/>
  <c r="L37" i="151"/>
  <c r="F13" i="152"/>
  <c r="F15" i="152"/>
  <c r="J58" i="151"/>
  <c r="P58" i="151"/>
  <c r="K48" i="155"/>
  <c r="AC69" i="161"/>
  <c r="AD59" i="161"/>
  <c r="L60" i="148"/>
  <c r="L39" i="151"/>
  <c r="Q39" i="151"/>
  <c r="K37" i="148"/>
  <c r="K48" i="148"/>
  <c r="L60" i="150"/>
  <c r="L50" i="151"/>
  <c r="L27" i="148"/>
  <c r="L31" i="146"/>
  <c r="K48" i="151"/>
  <c r="K58" i="155"/>
  <c r="L60" i="155"/>
  <c r="G2" i="159"/>
  <c r="J3" i="158"/>
  <c r="F14" i="160"/>
  <c r="R61" i="161"/>
  <c r="Q61" i="161"/>
  <c r="R16" i="161"/>
  <c r="O26" i="161"/>
  <c r="Q16" i="161"/>
  <c r="R29" i="161"/>
  <c r="Q29" i="161"/>
  <c r="O15" i="161"/>
  <c r="R5" i="161"/>
  <c r="Q5" i="161"/>
  <c r="R62" i="161"/>
  <c r="Q62" i="161"/>
  <c r="L69" i="161"/>
  <c r="R59" i="161"/>
  <c r="Q59" i="161"/>
  <c r="AC58" i="161"/>
  <c r="AD49" i="161"/>
  <c r="AB58" i="161"/>
  <c r="Q58" i="161"/>
  <c r="AC79" i="161"/>
  <c r="AD70" i="161"/>
  <c r="AB79" i="161"/>
  <c r="R39" i="161"/>
  <c r="Q39" i="161"/>
  <c r="R50" i="161"/>
  <c r="Q50" i="161"/>
  <c r="AB15" i="161"/>
  <c r="AC15" i="161"/>
  <c r="AD5" i="161"/>
  <c r="AC37" i="161"/>
  <c r="AD27" i="161"/>
  <c r="AB37" i="161"/>
  <c r="Q37" i="161"/>
  <c r="R28" i="161"/>
  <c r="Q28" i="161"/>
  <c r="R51" i="161"/>
  <c r="Q51" i="161"/>
  <c r="R8" i="161"/>
  <c r="Q8" i="161"/>
  <c r="O48" i="161"/>
  <c r="Q38" i="161"/>
  <c r="R38" i="161"/>
  <c r="Q18" i="161"/>
  <c r="R18" i="161"/>
  <c r="O58" i="161"/>
  <c r="O69" i="161"/>
  <c r="AB48" i="161"/>
  <c r="AC48" i="161"/>
  <c r="AD38" i="161"/>
  <c r="Q48" i="161"/>
  <c r="G2" i="157"/>
  <c r="J3" i="156"/>
  <c r="L37" i="159"/>
  <c r="F13" i="158"/>
  <c r="Q29" i="159"/>
  <c r="P69" i="159"/>
  <c r="Q60" i="159"/>
  <c r="R60" i="159"/>
  <c r="O26" i="159"/>
  <c r="R16" i="159"/>
  <c r="Q16" i="159"/>
  <c r="AC48" i="159"/>
  <c r="AD38" i="159"/>
  <c r="AB48" i="159"/>
  <c r="Q48" i="159"/>
  <c r="R39" i="159"/>
  <c r="Q39" i="159"/>
  <c r="R28" i="159"/>
  <c r="Q28" i="159"/>
  <c r="R5" i="159"/>
  <c r="Q5" i="159"/>
  <c r="O15" i="159"/>
  <c r="R6" i="159"/>
  <c r="Q6" i="159"/>
  <c r="Q8" i="159"/>
  <c r="R8" i="159"/>
  <c r="Q69" i="159"/>
  <c r="AC69" i="159"/>
  <c r="AD59" i="159"/>
  <c r="AB69" i="159"/>
  <c r="R59" i="159"/>
  <c r="Q59" i="159"/>
  <c r="O69" i="159"/>
  <c r="AB37" i="159"/>
  <c r="AC37" i="159"/>
  <c r="AD27" i="159"/>
  <c r="Q37" i="159"/>
  <c r="R62" i="159"/>
  <c r="Q62" i="159"/>
  <c r="Q7" i="159"/>
  <c r="R7" i="159"/>
  <c r="R18" i="159"/>
  <c r="Q18" i="159"/>
  <c r="AB15" i="159"/>
  <c r="AC15" i="159"/>
  <c r="AD5" i="159"/>
  <c r="R38" i="159"/>
  <c r="Q38" i="159"/>
  <c r="O48" i="159"/>
  <c r="O37" i="159"/>
  <c r="R27" i="159"/>
  <c r="Q27" i="159"/>
  <c r="AB58" i="159"/>
  <c r="Q58" i="159"/>
  <c r="AC58" i="159"/>
  <c r="AD49" i="159"/>
  <c r="L58" i="159"/>
  <c r="H13" i="158"/>
  <c r="H15" i="158"/>
  <c r="Q19" i="159"/>
  <c r="R19" i="159"/>
  <c r="R50" i="159"/>
  <c r="Q50" i="159"/>
  <c r="Q49" i="159"/>
  <c r="O58" i="159"/>
  <c r="R49" i="159"/>
  <c r="R51" i="159"/>
  <c r="Q51" i="159"/>
  <c r="R17" i="159"/>
  <c r="Q17" i="159"/>
  <c r="R61" i="159"/>
  <c r="Q61" i="159"/>
  <c r="Q50" i="157"/>
  <c r="R26" i="157"/>
  <c r="S16" i="157"/>
  <c r="Q26" i="157"/>
  <c r="R70" i="157"/>
  <c r="Q70" i="157"/>
  <c r="AC58" i="157"/>
  <c r="AD49" i="157"/>
  <c r="AB58" i="157"/>
  <c r="Q58" i="157"/>
  <c r="R62" i="157"/>
  <c r="Q62" i="157"/>
  <c r="R19" i="157"/>
  <c r="Q19" i="157"/>
  <c r="R29" i="157"/>
  <c r="Q29" i="157"/>
  <c r="Q61" i="157"/>
  <c r="R61" i="157"/>
  <c r="AB15" i="157"/>
  <c r="AC15" i="157"/>
  <c r="AD5" i="157"/>
  <c r="AC26" i="157"/>
  <c r="AD16" i="157"/>
  <c r="AB26" i="157"/>
  <c r="R59" i="157"/>
  <c r="Q59" i="157"/>
  <c r="O69" i="157"/>
  <c r="R51" i="157"/>
  <c r="Q51" i="157"/>
  <c r="R38" i="157"/>
  <c r="Q38" i="157"/>
  <c r="O48" i="157"/>
  <c r="R15" i="157"/>
  <c r="S5" i="157"/>
  <c r="Q15" i="157"/>
  <c r="AB69" i="157"/>
  <c r="N79" i="157"/>
  <c r="AC69" i="157"/>
  <c r="AD59" i="157"/>
  <c r="Q69" i="157"/>
  <c r="Q6" i="157"/>
  <c r="R6" i="157"/>
  <c r="Q28" i="157"/>
  <c r="R28" i="157"/>
  <c r="AC48" i="157"/>
  <c r="AD38" i="157"/>
  <c r="AB48" i="157"/>
  <c r="Q48" i="157"/>
  <c r="Q18" i="157"/>
  <c r="R18" i="157"/>
  <c r="Q60" i="157"/>
  <c r="R60" i="157"/>
  <c r="R7" i="157"/>
  <c r="Q7" i="157"/>
  <c r="Q39" i="157"/>
  <c r="R39" i="157"/>
  <c r="O58" i="157"/>
  <c r="Q49" i="157"/>
  <c r="R49" i="157"/>
  <c r="R17" i="157"/>
  <c r="Q17" i="157"/>
  <c r="AC37" i="157"/>
  <c r="AD27" i="157"/>
  <c r="AB37" i="157"/>
  <c r="Q37" i="157"/>
  <c r="Q8" i="157"/>
  <c r="R8" i="157"/>
  <c r="AC59" i="155"/>
  <c r="AB27" i="155"/>
  <c r="P37" i="155"/>
  <c r="AC16" i="155"/>
  <c r="AB16" i="155"/>
  <c r="P26" i="155"/>
  <c r="AC6" i="155"/>
  <c r="P15" i="155"/>
  <c r="I1" i="155"/>
  <c r="O28" i="155"/>
  <c r="AC28" i="155"/>
  <c r="AB28" i="155"/>
  <c r="AB19" i="155"/>
  <c r="AC19" i="155"/>
  <c r="AC60" i="155"/>
  <c r="AB60" i="155"/>
  <c r="O60" i="155"/>
  <c r="N69" i="155"/>
  <c r="G1" i="155"/>
  <c r="AB17" i="155"/>
  <c r="O17" i="155"/>
  <c r="AC17" i="155"/>
  <c r="AC39" i="155"/>
  <c r="AB39" i="155"/>
  <c r="O39" i="155"/>
  <c r="AC8" i="155"/>
  <c r="AB8" i="155"/>
  <c r="L15" i="155"/>
  <c r="D13" i="154"/>
  <c r="D15" i="154"/>
  <c r="AB51" i="155"/>
  <c r="O51" i="155"/>
  <c r="AC51" i="155"/>
  <c r="AC29" i="155"/>
  <c r="AB29" i="155"/>
  <c r="O49" i="155"/>
  <c r="N58" i="155"/>
  <c r="AC49" i="155"/>
  <c r="AB49" i="155"/>
  <c r="N26" i="155"/>
  <c r="AC18" i="155"/>
  <c r="O18" i="155"/>
  <c r="AB18" i="155"/>
  <c r="AC61" i="155"/>
  <c r="O61" i="155"/>
  <c r="AB61" i="155"/>
  <c r="N37" i="155"/>
  <c r="N48" i="155"/>
  <c r="O38" i="155"/>
  <c r="AB38" i="155"/>
  <c r="AC38" i="155"/>
  <c r="O7" i="155"/>
  <c r="AB7" i="155"/>
  <c r="AC7" i="155"/>
  <c r="O5" i="155"/>
  <c r="K15" i="155"/>
  <c r="L16" i="155"/>
  <c r="L26" i="155"/>
  <c r="E13" i="154"/>
  <c r="E15" i="154"/>
  <c r="P50" i="155"/>
  <c r="O59" i="155"/>
  <c r="O27" i="155"/>
  <c r="P59" i="155"/>
  <c r="N15" i="155"/>
  <c r="L38" i="155"/>
  <c r="AC70" i="155"/>
  <c r="AC5" i="155"/>
  <c r="AB62" i="155"/>
  <c r="K69" i="155"/>
  <c r="K79" i="155"/>
  <c r="O6" i="155"/>
  <c r="O16" i="155"/>
  <c r="L28" i="155"/>
  <c r="L37" i="155"/>
  <c r="F13" i="154"/>
  <c r="AB70" i="155"/>
  <c r="AB50" i="155"/>
  <c r="O50" i="155"/>
  <c r="J48" i="155"/>
  <c r="P48" i="155"/>
  <c r="O70" i="151"/>
  <c r="O61" i="151"/>
  <c r="O49" i="151"/>
  <c r="Q49" i="151"/>
  <c r="O39" i="151"/>
  <c r="P15" i="151"/>
  <c r="N26" i="151"/>
  <c r="O16" i="151"/>
  <c r="AC16" i="151"/>
  <c r="AB16" i="151"/>
  <c r="O19" i="151"/>
  <c r="AC19" i="151"/>
  <c r="AB19" i="151"/>
  <c r="O60" i="151"/>
  <c r="AC60" i="151"/>
  <c r="AB60" i="151"/>
  <c r="N69" i="151"/>
  <c r="AB17" i="151"/>
  <c r="O17" i="151"/>
  <c r="AC17" i="151"/>
  <c r="O28" i="151"/>
  <c r="AC28" i="151"/>
  <c r="AB28" i="151"/>
  <c r="AB7" i="151"/>
  <c r="O7" i="151"/>
  <c r="AC7" i="151"/>
  <c r="G1" i="151"/>
  <c r="L15" i="151"/>
  <c r="D13" i="152"/>
  <c r="D15" i="152"/>
  <c r="O8" i="151"/>
  <c r="AC8" i="151"/>
  <c r="AB8" i="151"/>
  <c r="L26" i="151"/>
  <c r="E13" i="152"/>
  <c r="E15" i="152"/>
  <c r="AB29" i="151"/>
  <c r="AC29" i="151"/>
  <c r="AC51" i="151"/>
  <c r="O51" i="151"/>
  <c r="AB51" i="151"/>
  <c r="N48" i="151"/>
  <c r="O38" i="151"/>
  <c r="AC38" i="151"/>
  <c r="AB38" i="151"/>
  <c r="N37" i="151"/>
  <c r="O27" i="151"/>
  <c r="AB27" i="151"/>
  <c r="AC27" i="151"/>
  <c r="O18" i="151"/>
  <c r="AC18" i="151"/>
  <c r="AB18" i="151"/>
  <c r="AC6" i="151"/>
  <c r="K58" i="151"/>
  <c r="AC59" i="151"/>
  <c r="R49" i="151"/>
  <c r="N58" i="151"/>
  <c r="O50" i="151"/>
  <c r="O5" i="151"/>
  <c r="L59" i="151"/>
  <c r="I1" i="151"/>
  <c r="K26" i="151"/>
  <c r="N15" i="151"/>
  <c r="AB39" i="151"/>
  <c r="AB49" i="151"/>
  <c r="P59" i="151"/>
  <c r="AB61" i="151"/>
  <c r="K15" i="151"/>
  <c r="O6" i="151"/>
  <c r="P50" i="151"/>
  <c r="L60" i="151"/>
  <c r="AB70" i="151"/>
  <c r="AB5" i="151"/>
  <c r="L38" i="151"/>
  <c r="AB62" i="151"/>
  <c r="K69" i="151"/>
  <c r="K79" i="151"/>
  <c r="AB50" i="151"/>
  <c r="AB38" i="150"/>
  <c r="L50" i="150"/>
  <c r="Q50" i="150"/>
  <c r="AC17" i="148"/>
  <c r="L39" i="150"/>
  <c r="L39" i="148"/>
  <c r="K26" i="150"/>
  <c r="L27" i="150"/>
  <c r="Q27" i="150"/>
  <c r="L49" i="150"/>
  <c r="J69" i="148"/>
  <c r="J79" i="148"/>
  <c r="K69" i="148"/>
  <c r="K79" i="148"/>
  <c r="AB62" i="148"/>
  <c r="L61" i="150"/>
  <c r="Q61" i="150"/>
  <c r="AC6" i="148"/>
  <c r="L70" i="148"/>
  <c r="AC7" i="148"/>
  <c r="AC61" i="148"/>
  <c r="K26" i="148"/>
  <c r="L62" i="148"/>
  <c r="L70" i="150"/>
  <c r="L50" i="148"/>
  <c r="L71" i="146"/>
  <c r="AC50" i="148"/>
  <c r="AC27" i="148"/>
  <c r="L51" i="148"/>
  <c r="L62" i="150"/>
  <c r="AC38" i="150"/>
  <c r="AC51" i="150"/>
  <c r="Q52" i="150"/>
  <c r="R52" i="150"/>
  <c r="J58" i="150"/>
  <c r="P58" i="150"/>
  <c r="L40" i="150"/>
  <c r="R40" i="150"/>
  <c r="L29" i="150"/>
  <c r="R29" i="150"/>
  <c r="K37" i="150"/>
  <c r="P15" i="150"/>
  <c r="R7" i="150"/>
  <c r="Q7" i="150"/>
  <c r="G1" i="150"/>
  <c r="R17" i="150"/>
  <c r="Q17" i="150"/>
  <c r="AC18" i="150"/>
  <c r="AB18" i="150"/>
  <c r="AC70" i="150"/>
  <c r="AB70" i="150"/>
  <c r="L59" i="150"/>
  <c r="K69" i="150"/>
  <c r="K79" i="150"/>
  <c r="N15" i="150"/>
  <c r="O5" i="150"/>
  <c r="AB5" i="150"/>
  <c r="AC8" i="150"/>
  <c r="AB8" i="150"/>
  <c r="L51" i="150"/>
  <c r="AC62" i="150"/>
  <c r="AB62" i="150"/>
  <c r="O62" i="150"/>
  <c r="AC49" i="150"/>
  <c r="O49" i="150"/>
  <c r="AB49" i="150"/>
  <c r="N58" i="150"/>
  <c r="L15" i="150"/>
  <c r="D13" i="149"/>
  <c r="O18" i="150"/>
  <c r="AB29" i="150"/>
  <c r="O60" i="150"/>
  <c r="AC60" i="150"/>
  <c r="AB60" i="150"/>
  <c r="O70" i="150"/>
  <c r="J37" i="150"/>
  <c r="P37" i="150"/>
  <c r="AC28" i="150"/>
  <c r="AB59" i="150"/>
  <c r="AC5" i="150"/>
  <c r="Q8" i="150"/>
  <c r="R8" i="150"/>
  <c r="O39" i="150"/>
  <c r="AC39" i="150"/>
  <c r="AC59" i="150"/>
  <c r="J48" i="150"/>
  <c r="P48" i="150"/>
  <c r="P38" i="150"/>
  <c r="AB39" i="150"/>
  <c r="N69" i="150"/>
  <c r="N26" i="150"/>
  <c r="O16" i="150"/>
  <c r="AB16" i="150"/>
  <c r="AC16" i="150"/>
  <c r="AB61" i="150"/>
  <c r="AC61" i="150"/>
  <c r="AB7" i="150"/>
  <c r="AC7" i="150"/>
  <c r="J69" i="150"/>
  <c r="P59" i="150"/>
  <c r="AB17" i="150"/>
  <c r="AC17" i="150"/>
  <c r="AC19" i="150"/>
  <c r="AB19" i="150"/>
  <c r="N48" i="150"/>
  <c r="O6" i="150"/>
  <c r="AC6" i="150"/>
  <c r="AB6" i="150"/>
  <c r="L28" i="150"/>
  <c r="AC29" i="150"/>
  <c r="AC50" i="150"/>
  <c r="AB50" i="150"/>
  <c r="O19" i="150"/>
  <c r="N37" i="150"/>
  <c r="AB27" i="150"/>
  <c r="AC27" i="150"/>
  <c r="H18" i="149"/>
  <c r="L38" i="150"/>
  <c r="O38" i="150"/>
  <c r="K15" i="150"/>
  <c r="L16" i="150"/>
  <c r="L26" i="150"/>
  <c r="E13" i="149"/>
  <c r="I1" i="150"/>
  <c r="AB28" i="150"/>
  <c r="O28" i="150"/>
  <c r="O37" i="150"/>
  <c r="O51" i="150"/>
  <c r="O59" i="150"/>
  <c r="P49" i="150"/>
  <c r="AB8" i="148"/>
  <c r="AC8" i="148"/>
  <c r="AC19" i="148"/>
  <c r="AB19" i="148"/>
  <c r="AC18" i="148"/>
  <c r="AC28" i="148"/>
  <c r="AB28" i="148"/>
  <c r="AC62" i="148"/>
  <c r="O59" i="148"/>
  <c r="AC59" i="148"/>
  <c r="N69" i="148"/>
  <c r="AB59" i="148"/>
  <c r="R8" i="148"/>
  <c r="Q8" i="148"/>
  <c r="O5" i="148"/>
  <c r="N15" i="148"/>
  <c r="AC5" i="148"/>
  <c r="AB5" i="148"/>
  <c r="O29" i="148"/>
  <c r="AC29" i="148"/>
  <c r="AB29" i="148"/>
  <c r="O39" i="148"/>
  <c r="AB39" i="148"/>
  <c r="AC39" i="148"/>
  <c r="AC49" i="148"/>
  <c r="AB49" i="148"/>
  <c r="N58" i="148"/>
  <c r="O49" i="148"/>
  <c r="O60" i="148"/>
  <c r="AC60" i="148"/>
  <c r="AB60" i="148"/>
  <c r="R19" i="148"/>
  <c r="Q19" i="148"/>
  <c r="Q40" i="148"/>
  <c r="R40" i="148"/>
  <c r="O51" i="148"/>
  <c r="AC51" i="148"/>
  <c r="AB51" i="148"/>
  <c r="G1" i="148"/>
  <c r="R9" i="148"/>
  <c r="Q9" i="148"/>
  <c r="N48" i="148"/>
  <c r="AC38" i="148"/>
  <c r="O38" i="148"/>
  <c r="AB38" i="148"/>
  <c r="K58" i="148"/>
  <c r="O6" i="148"/>
  <c r="L17" i="148"/>
  <c r="L26" i="148"/>
  <c r="E13" i="147"/>
  <c r="P26" i="148"/>
  <c r="M79" i="148"/>
  <c r="O7" i="148"/>
  <c r="O17" i="148"/>
  <c r="L28" i="148"/>
  <c r="R28" i="148"/>
  <c r="J58" i="148"/>
  <c r="P58" i="148"/>
  <c r="O27" i="148"/>
  <c r="P15" i="148"/>
  <c r="E18" i="147"/>
  <c r="O18" i="148"/>
  <c r="J48" i="148"/>
  <c r="P48" i="148"/>
  <c r="L59" i="148"/>
  <c r="O62" i="148"/>
  <c r="F18" i="147"/>
  <c r="L38" i="148"/>
  <c r="N26" i="148"/>
  <c r="O16" i="148"/>
  <c r="O70" i="148"/>
  <c r="O50" i="148"/>
  <c r="H18" i="147"/>
  <c r="AB16" i="148"/>
  <c r="AB27" i="148"/>
  <c r="N37" i="148"/>
  <c r="P59" i="148"/>
  <c r="AB61" i="148"/>
  <c r="O61" i="148"/>
  <c r="J37" i="148"/>
  <c r="P37" i="148"/>
  <c r="L29" i="148"/>
  <c r="AB6" i="148"/>
  <c r="L5" i="148"/>
  <c r="L15" i="148"/>
  <c r="D13" i="147"/>
  <c r="AB70" i="148"/>
  <c r="AB7" i="148"/>
  <c r="AB17" i="148"/>
  <c r="AB50" i="148"/>
  <c r="R37" i="161"/>
  <c r="S27" i="161"/>
  <c r="R37" i="157"/>
  <c r="S27" i="157"/>
  <c r="Q30" i="150"/>
  <c r="H6" i="162"/>
  <c r="R61" i="151"/>
  <c r="L79" i="159"/>
  <c r="R79" i="159"/>
  <c r="S70" i="159"/>
  <c r="F15" i="160"/>
  <c r="L58" i="155"/>
  <c r="H13" i="154"/>
  <c r="H15" i="154"/>
  <c r="R48" i="157"/>
  <c r="S38" i="157"/>
  <c r="G14" i="156"/>
  <c r="R48" i="159"/>
  <c r="S38" i="159"/>
  <c r="G14" i="158"/>
  <c r="R70" i="151"/>
  <c r="I13" i="158"/>
  <c r="I15" i="158"/>
  <c r="R50" i="150"/>
  <c r="L48" i="155"/>
  <c r="G13" i="154"/>
  <c r="J79" i="155"/>
  <c r="P79" i="155"/>
  <c r="H8" i="168"/>
  <c r="F8" i="168"/>
  <c r="H8" i="166"/>
  <c r="F8" i="166"/>
  <c r="H8" i="164"/>
  <c r="F8" i="164"/>
  <c r="R37" i="163"/>
  <c r="S27" i="163"/>
  <c r="F14" i="162"/>
  <c r="F15" i="162"/>
  <c r="H14" i="162"/>
  <c r="H15" i="162"/>
  <c r="R58" i="163"/>
  <c r="S49" i="163"/>
  <c r="R26" i="163"/>
  <c r="S16" i="163"/>
  <c r="Q26" i="163"/>
  <c r="E14" i="162"/>
  <c r="E15" i="162"/>
  <c r="R69" i="163"/>
  <c r="S59" i="163"/>
  <c r="I14" i="162"/>
  <c r="S70" i="163"/>
  <c r="Q15" i="163"/>
  <c r="E2" i="163"/>
  <c r="D14" i="162"/>
  <c r="R15" i="163"/>
  <c r="S5" i="163"/>
  <c r="R48" i="163"/>
  <c r="S38" i="163"/>
  <c r="G14" i="162"/>
  <c r="G15" i="162"/>
  <c r="AC79" i="163"/>
  <c r="AD70" i="163"/>
  <c r="AB79" i="163"/>
  <c r="F6" i="162"/>
  <c r="H6" i="156"/>
  <c r="H6" i="160"/>
  <c r="P69" i="148"/>
  <c r="R70" i="155"/>
  <c r="L48" i="148"/>
  <c r="G13" i="147"/>
  <c r="R58" i="157"/>
  <c r="S49" i="157"/>
  <c r="L69" i="155"/>
  <c r="I13" i="154"/>
  <c r="L69" i="148"/>
  <c r="I13" i="147"/>
  <c r="L58" i="151"/>
  <c r="H13" i="152"/>
  <c r="H15" i="152"/>
  <c r="P69" i="151"/>
  <c r="I13" i="156"/>
  <c r="J6" i="156"/>
  <c r="L48" i="150"/>
  <c r="G13" i="149"/>
  <c r="L48" i="151"/>
  <c r="G13" i="152"/>
  <c r="L69" i="151"/>
  <c r="L37" i="148"/>
  <c r="F13" i="147"/>
  <c r="R59" i="151"/>
  <c r="R39" i="151"/>
  <c r="Q26" i="161"/>
  <c r="E14" i="160"/>
  <c r="E15" i="160"/>
  <c r="R26" i="161"/>
  <c r="S16" i="161"/>
  <c r="R48" i="161"/>
  <c r="S38" i="161"/>
  <c r="G14" i="160"/>
  <c r="G15" i="160"/>
  <c r="R58" i="161"/>
  <c r="S49" i="161"/>
  <c r="H14" i="160"/>
  <c r="H15" i="160"/>
  <c r="R15" i="161"/>
  <c r="S5" i="161"/>
  <c r="Q15" i="161"/>
  <c r="D14" i="160"/>
  <c r="I13" i="160"/>
  <c r="E2" i="161"/>
  <c r="I14" i="160"/>
  <c r="R69" i="161"/>
  <c r="S59" i="161"/>
  <c r="H6" i="158"/>
  <c r="F15" i="158"/>
  <c r="R37" i="159"/>
  <c r="S27" i="159"/>
  <c r="G2" i="151"/>
  <c r="J3" i="152"/>
  <c r="G2" i="155"/>
  <c r="J3" i="154"/>
  <c r="F15" i="154"/>
  <c r="R26" i="159"/>
  <c r="S16" i="159"/>
  <c r="Q26" i="159"/>
  <c r="AC79" i="159"/>
  <c r="AD70" i="159"/>
  <c r="AB79" i="159"/>
  <c r="R69" i="159"/>
  <c r="S59" i="159"/>
  <c r="E2" i="159"/>
  <c r="R15" i="159"/>
  <c r="S5" i="159"/>
  <c r="Q15" i="159"/>
  <c r="R58" i="159"/>
  <c r="S49" i="159"/>
  <c r="AC79" i="157"/>
  <c r="AD70" i="157"/>
  <c r="AB79" i="157"/>
  <c r="Q79" i="157"/>
  <c r="R69" i="157"/>
  <c r="S59" i="157"/>
  <c r="O79" i="157"/>
  <c r="R79" i="157"/>
  <c r="S70" i="157"/>
  <c r="N79" i="155"/>
  <c r="Q69" i="155"/>
  <c r="AC69" i="155"/>
  <c r="AD59" i="155"/>
  <c r="AB69" i="155"/>
  <c r="AC58" i="155"/>
  <c r="AD49" i="155"/>
  <c r="AB58" i="155"/>
  <c r="Q58" i="155"/>
  <c r="Q60" i="155"/>
  <c r="R60" i="155"/>
  <c r="O58" i="155"/>
  <c r="R49" i="155"/>
  <c r="Q49" i="155"/>
  <c r="R50" i="155"/>
  <c r="Q50" i="155"/>
  <c r="R61" i="155"/>
  <c r="Q61" i="155"/>
  <c r="AB15" i="155"/>
  <c r="AC15" i="155"/>
  <c r="AD5" i="155"/>
  <c r="R7" i="155"/>
  <c r="Q7" i="155"/>
  <c r="R39" i="155"/>
  <c r="Q39" i="155"/>
  <c r="O37" i="155"/>
  <c r="R37" i="155"/>
  <c r="S27" i="155"/>
  <c r="R27" i="155"/>
  <c r="Q27" i="155"/>
  <c r="Q18" i="155"/>
  <c r="R18" i="155"/>
  <c r="O26" i="155"/>
  <c r="Q16" i="155"/>
  <c r="R16" i="155"/>
  <c r="Q59" i="155"/>
  <c r="R59" i="155"/>
  <c r="O69" i="155"/>
  <c r="Q6" i="155"/>
  <c r="R6" i="155"/>
  <c r="O48" i="155"/>
  <c r="Q38" i="155"/>
  <c r="R38" i="155"/>
  <c r="R17" i="155"/>
  <c r="Q17" i="155"/>
  <c r="AB48" i="155"/>
  <c r="AC48" i="155"/>
  <c r="AD38" i="155"/>
  <c r="Q48" i="155"/>
  <c r="AC26" i="155"/>
  <c r="AD16" i="155"/>
  <c r="AB26" i="155"/>
  <c r="R51" i="155"/>
  <c r="Q51" i="155"/>
  <c r="O15" i="155"/>
  <c r="R5" i="155"/>
  <c r="Q5" i="155"/>
  <c r="AC37" i="155"/>
  <c r="AD27" i="155"/>
  <c r="Q37" i="155"/>
  <c r="AB37" i="155"/>
  <c r="Q28" i="155"/>
  <c r="R28" i="155"/>
  <c r="O58" i="151"/>
  <c r="O37" i="151"/>
  <c r="R37" i="151"/>
  <c r="S27" i="151"/>
  <c r="R27" i="151"/>
  <c r="Q27" i="151"/>
  <c r="AB37" i="151"/>
  <c r="AC37" i="151"/>
  <c r="AD27" i="151"/>
  <c r="Q37" i="151"/>
  <c r="Q28" i="151"/>
  <c r="R28" i="151"/>
  <c r="R38" i="151"/>
  <c r="O48" i="151"/>
  <c r="G14" i="152"/>
  <c r="Q38" i="151"/>
  <c r="AB15" i="151"/>
  <c r="AC15" i="151"/>
  <c r="AD5" i="151"/>
  <c r="AB48" i="151"/>
  <c r="AC48" i="151"/>
  <c r="AD38" i="151"/>
  <c r="Q48" i="151"/>
  <c r="Q6" i="151"/>
  <c r="R6" i="151"/>
  <c r="Q60" i="151"/>
  <c r="O69" i="151"/>
  <c r="R60" i="151"/>
  <c r="Q8" i="151"/>
  <c r="R8" i="151"/>
  <c r="Q19" i="151"/>
  <c r="R19" i="151"/>
  <c r="R51" i="151"/>
  <c r="Q51" i="151"/>
  <c r="R17" i="151"/>
  <c r="Q17" i="151"/>
  <c r="Q18" i="151"/>
  <c r="R18" i="151"/>
  <c r="R16" i="151"/>
  <c r="O26" i="151"/>
  <c r="Q16" i="151"/>
  <c r="AC58" i="151"/>
  <c r="AD49" i="151"/>
  <c r="AB58" i="151"/>
  <c r="Q58" i="151"/>
  <c r="Q59" i="151"/>
  <c r="O15" i="151"/>
  <c r="R5" i="151"/>
  <c r="Q5" i="151"/>
  <c r="AC69" i="151"/>
  <c r="AD59" i="151"/>
  <c r="N79" i="151"/>
  <c r="AB69" i="151"/>
  <c r="Q69" i="151"/>
  <c r="R50" i="151"/>
  <c r="Q50" i="151"/>
  <c r="R7" i="151"/>
  <c r="Q7" i="151"/>
  <c r="AC26" i="151"/>
  <c r="AD16" i="151"/>
  <c r="AB26" i="151"/>
  <c r="R27" i="150"/>
  <c r="L37" i="150"/>
  <c r="F13" i="149"/>
  <c r="L58" i="148"/>
  <c r="H13" i="147"/>
  <c r="R61" i="150"/>
  <c r="Q40" i="150"/>
  <c r="L69" i="150"/>
  <c r="I13" i="149"/>
  <c r="L58" i="150"/>
  <c r="H13" i="149"/>
  <c r="Q29" i="150"/>
  <c r="R59" i="150"/>
  <c r="Q59" i="150"/>
  <c r="O69" i="150"/>
  <c r="F14" i="149"/>
  <c r="R51" i="150"/>
  <c r="Q51" i="150"/>
  <c r="R16" i="150"/>
  <c r="O26" i="150"/>
  <c r="Q16" i="150"/>
  <c r="Q60" i="150"/>
  <c r="R60" i="150"/>
  <c r="R28" i="150"/>
  <c r="Q28" i="150"/>
  <c r="AB37" i="150"/>
  <c r="Q37" i="150"/>
  <c r="AC37" i="150"/>
  <c r="AD27" i="150"/>
  <c r="AC26" i="150"/>
  <c r="AD16" i="150"/>
  <c r="AB26" i="150"/>
  <c r="R19" i="150"/>
  <c r="Q19" i="150"/>
  <c r="R18" i="150"/>
  <c r="Q18" i="150"/>
  <c r="O15" i="150"/>
  <c r="R5" i="150"/>
  <c r="Q5" i="150"/>
  <c r="P69" i="150"/>
  <c r="J79" i="150"/>
  <c r="P79" i="150"/>
  <c r="AC69" i="150"/>
  <c r="AD59" i="150"/>
  <c r="AB69" i="150"/>
  <c r="Q69" i="150"/>
  <c r="N79" i="150"/>
  <c r="AC58" i="150"/>
  <c r="AD49" i="150"/>
  <c r="AB58" i="150"/>
  <c r="Q58" i="150"/>
  <c r="AC15" i="150"/>
  <c r="AD5" i="150"/>
  <c r="AB15" i="150"/>
  <c r="G2" i="150"/>
  <c r="J3" i="149"/>
  <c r="O58" i="150"/>
  <c r="Q49" i="150"/>
  <c r="R49" i="150"/>
  <c r="R38" i="150"/>
  <c r="O48" i="150"/>
  <c r="Q38" i="150"/>
  <c r="R62" i="150"/>
  <c r="Q62" i="150"/>
  <c r="R6" i="150"/>
  <c r="Q6" i="150"/>
  <c r="R70" i="150"/>
  <c r="Q70" i="150"/>
  <c r="Q48" i="150"/>
  <c r="AB48" i="150"/>
  <c r="AC48" i="150"/>
  <c r="AD38" i="150"/>
  <c r="R39" i="150"/>
  <c r="Q39" i="150"/>
  <c r="R38" i="148"/>
  <c r="O48" i="148"/>
  <c r="Q38" i="148"/>
  <c r="AC48" i="148"/>
  <c r="AD38" i="148"/>
  <c r="Q48" i="148"/>
  <c r="AB48" i="148"/>
  <c r="J18" i="147"/>
  <c r="P79" i="148"/>
  <c r="R60" i="148"/>
  <c r="Q60" i="148"/>
  <c r="AC26" i="148"/>
  <c r="AD16" i="148"/>
  <c r="AB26" i="148"/>
  <c r="Q29" i="148"/>
  <c r="R29" i="148"/>
  <c r="R17" i="148"/>
  <c r="Q17" i="148"/>
  <c r="R7" i="148"/>
  <c r="Q7" i="148"/>
  <c r="AB15" i="148"/>
  <c r="AC15" i="148"/>
  <c r="AD5" i="148"/>
  <c r="Q62" i="148"/>
  <c r="R62" i="148"/>
  <c r="Q28" i="148"/>
  <c r="R5" i="148"/>
  <c r="O15" i="148"/>
  <c r="Q5" i="148"/>
  <c r="G2" i="148"/>
  <c r="J3" i="147"/>
  <c r="I1" i="148"/>
  <c r="Q18" i="148"/>
  <c r="R18" i="148"/>
  <c r="Q6" i="148"/>
  <c r="R6" i="148"/>
  <c r="Q49" i="148"/>
  <c r="R49" i="148"/>
  <c r="O58" i="148"/>
  <c r="Q37" i="148"/>
  <c r="AC37" i="148"/>
  <c r="AD27" i="148"/>
  <c r="AB37" i="148"/>
  <c r="AC58" i="148"/>
  <c r="AD49" i="148"/>
  <c r="AB58" i="148"/>
  <c r="Q58" i="148"/>
  <c r="R61" i="148"/>
  <c r="Q61" i="148"/>
  <c r="R50" i="148"/>
  <c r="Q50" i="148"/>
  <c r="R51" i="148"/>
  <c r="Q51" i="148"/>
  <c r="Q39" i="148"/>
  <c r="R39" i="148"/>
  <c r="AB69" i="148"/>
  <c r="AC69" i="148"/>
  <c r="AD59" i="148"/>
  <c r="N79" i="148"/>
  <c r="Q69" i="148"/>
  <c r="R70" i="148"/>
  <c r="Q70" i="148"/>
  <c r="O37" i="148"/>
  <c r="Q27" i="148"/>
  <c r="R27" i="148"/>
  <c r="Q16" i="148"/>
  <c r="R16" i="148"/>
  <c r="O26" i="148"/>
  <c r="R59" i="148"/>
  <c r="Q59" i="148"/>
  <c r="O69" i="148"/>
  <c r="R58" i="155"/>
  <c r="S49" i="155"/>
  <c r="H6" i="154"/>
  <c r="L79" i="155"/>
  <c r="J13" i="154"/>
  <c r="J15" i="154"/>
  <c r="J13" i="158"/>
  <c r="G15" i="152"/>
  <c r="H8" i="152"/>
  <c r="F7" i="152"/>
  <c r="H7" i="152"/>
  <c r="R48" i="155"/>
  <c r="S38" i="155"/>
  <c r="G14" i="154"/>
  <c r="G15" i="154"/>
  <c r="H8" i="154"/>
  <c r="G15" i="156"/>
  <c r="H8" i="156"/>
  <c r="H7" i="156"/>
  <c r="F7" i="156"/>
  <c r="H7" i="158"/>
  <c r="F7" i="158"/>
  <c r="G15" i="158"/>
  <c r="F6" i="156"/>
  <c r="F6" i="154"/>
  <c r="I15" i="162"/>
  <c r="J8" i="162"/>
  <c r="J7" i="162"/>
  <c r="D15" i="162"/>
  <c r="H7" i="162"/>
  <c r="F7" i="162"/>
  <c r="I15" i="156"/>
  <c r="J8" i="156"/>
  <c r="R58" i="151"/>
  <c r="S49" i="151"/>
  <c r="R48" i="151"/>
  <c r="S38" i="151"/>
  <c r="L79" i="148"/>
  <c r="J13" i="147"/>
  <c r="F6" i="147"/>
  <c r="H6" i="147"/>
  <c r="L79" i="151"/>
  <c r="J13" i="152"/>
  <c r="J15" i="152"/>
  <c r="I13" i="152"/>
  <c r="L79" i="150"/>
  <c r="J13" i="149"/>
  <c r="F6" i="149"/>
  <c r="H6" i="152"/>
  <c r="J6" i="154"/>
  <c r="I15" i="154"/>
  <c r="J6" i="160"/>
  <c r="F6" i="160"/>
  <c r="S70" i="161"/>
  <c r="D15" i="160"/>
  <c r="H7" i="160"/>
  <c r="I15" i="160"/>
  <c r="H8" i="158"/>
  <c r="E2" i="157"/>
  <c r="R15" i="155"/>
  <c r="S5" i="155"/>
  <c r="Q15" i="155"/>
  <c r="R26" i="155"/>
  <c r="S16" i="155"/>
  <c r="Q26" i="155"/>
  <c r="R69" i="155"/>
  <c r="S59" i="155"/>
  <c r="O79" i="155"/>
  <c r="R79" i="155"/>
  <c r="S70" i="155"/>
  <c r="AC79" i="155"/>
  <c r="AD70" i="155"/>
  <c r="Q79" i="155"/>
  <c r="AB79" i="155"/>
  <c r="AC79" i="151"/>
  <c r="AD70" i="151"/>
  <c r="AB79" i="151"/>
  <c r="Q79" i="151"/>
  <c r="O79" i="151"/>
  <c r="R69" i="151"/>
  <c r="S59" i="151"/>
  <c r="R15" i="151"/>
  <c r="S5" i="151"/>
  <c r="Q15" i="151"/>
  <c r="E2" i="151"/>
  <c r="R26" i="151"/>
  <c r="S16" i="151"/>
  <c r="Q26" i="151"/>
  <c r="R37" i="150"/>
  <c r="S27" i="150"/>
  <c r="F15" i="149"/>
  <c r="H6" i="149"/>
  <c r="AC79" i="150"/>
  <c r="AD70" i="150"/>
  <c r="AB79" i="150"/>
  <c r="Q79" i="150"/>
  <c r="R15" i="150"/>
  <c r="S5" i="150"/>
  <c r="Q15" i="150"/>
  <c r="D14" i="149"/>
  <c r="R48" i="150"/>
  <c r="S38" i="150"/>
  <c r="G14" i="149"/>
  <c r="G15" i="149"/>
  <c r="E14" i="149"/>
  <c r="E15" i="149"/>
  <c r="R26" i="150"/>
  <c r="S16" i="150"/>
  <c r="Q26" i="150"/>
  <c r="R58" i="150"/>
  <c r="S49" i="150"/>
  <c r="H14" i="149"/>
  <c r="H15" i="149"/>
  <c r="O79" i="150"/>
  <c r="E2" i="150"/>
  <c r="R69" i="150"/>
  <c r="S59" i="150"/>
  <c r="I14" i="149"/>
  <c r="F14" i="147"/>
  <c r="F15" i="147"/>
  <c r="R37" i="148"/>
  <c r="S27" i="148"/>
  <c r="O79" i="148"/>
  <c r="R69" i="148"/>
  <c r="S59" i="148"/>
  <c r="I14" i="147"/>
  <c r="AC79" i="148"/>
  <c r="AD70" i="148"/>
  <c r="AB79" i="148"/>
  <c r="Q79" i="148"/>
  <c r="E14" i="147"/>
  <c r="E15" i="147"/>
  <c r="Q26" i="148"/>
  <c r="R26" i="148"/>
  <c r="S16" i="148"/>
  <c r="D14" i="147"/>
  <c r="R15" i="148"/>
  <c r="S5" i="148"/>
  <c r="Q15" i="148"/>
  <c r="H14" i="147"/>
  <c r="H15" i="147"/>
  <c r="R58" i="148"/>
  <c r="S49" i="148"/>
  <c r="G14" i="147"/>
  <c r="G15" i="147"/>
  <c r="R48" i="148"/>
  <c r="S38" i="148"/>
  <c r="J6" i="158"/>
  <c r="J15" i="158"/>
  <c r="F6" i="158"/>
  <c r="H7" i="154"/>
  <c r="F7" i="154"/>
  <c r="F8" i="156"/>
  <c r="H8" i="162"/>
  <c r="F8" i="162"/>
  <c r="J7" i="160"/>
  <c r="F7" i="160"/>
  <c r="J6" i="147"/>
  <c r="J6" i="152"/>
  <c r="I15" i="152"/>
  <c r="F6" i="152"/>
  <c r="J6" i="149"/>
  <c r="R79" i="151"/>
  <c r="S70" i="151"/>
  <c r="J8" i="154"/>
  <c r="F8" i="154"/>
  <c r="J8" i="160"/>
  <c r="H8" i="160"/>
  <c r="F8" i="160"/>
  <c r="E2" i="155"/>
  <c r="D15" i="149"/>
  <c r="H7" i="149"/>
  <c r="I15" i="149"/>
  <c r="R79" i="150"/>
  <c r="S70" i="150"/>
  <c r="J14" i="149"/>
  <c r="J15" i="149"/>
  <c r="H7" i="147"/>
  <c r="D15" i="147"/>
  <c r="I15" i="147"/>
  <c r="R79" i="148"/>
  <c r="S70" i="148"/>
  <c r="J14" i="147"/>
  <c r="J15" i="147"/>
  <c r="E2" i="148"/>
  <c r="J8" i="158"/>
  <c r="F8" i="158"/>
  <c r="J8" i="152"/>
  <c r="F8" i="152"/>
  <c r="F7" i="149"/>
  <c r="J8" i="149"/>
  <c r="J7" i="149"/>
  <c r="H8" i="149"/>
  <c r="F8" i="149"/>
  <c r="F7" i="147"/>
  <c r="J8" i="147"/>
  <c r="J7" i="147"/>
  <c r="H8" i="147"/>
  <c r="F8" i="147"/>
  <c r="W78" i="146"/>
  <c r="H78" i="146"/>
  <c r="W77" i="146"/>
  <c r="H77" i="146"/>
  <c r="W76" i="146"/>
  <c r="H76" i="146"/>
  <c r="W75" i="146"/>
  <c r="H75" i="146"/>
  <c r="W74" i="146"/>
  <c r="H74" i="146"/>
  <c r="W73" i="146"/>
  <c r="W72" i="146"/>
  <c r="W71" i="146"/>
  <c r="N71" i="146"/>
  <c r="O71" i="146"/>
  <c r="W70" i="146"/>
  <c r="N70" i="146"/>
  <c r="K70" i="146"/>
  <c r="J70" i="146"/>
  <c r="P70" i="146"/>
  <c r="F70" i="146"/>
  <c r="H70" i="146"/>
  <c r="M69" i="146"/>
  <c r="W68" i="146"/>
  <c r="H68" i="146"/>
  <c r="W67" i="146"/>
  <c r="H67" i="146"/>
  <c r="W66" i="146"/>
  <c r="H66" i="146"/>
  <c r="W65" i="146"/>
  <c r="W64" i="146"/>
  <c r="W63" i="146"/>
  <c r="W62" i="146"/>
  <c r="N62" i="146"/>
  <c r="V62" i="146"/>
  <c r="K62" i="146"/>
  <c r="J62" i="146"/>
  <c r="P62" i="146"/>
  <c r="F62" i="146"/>
  <c r="H62" i="146"/>
  <c r="B62" i="146"/>
  <c r="W61" i="146"/>
  <c r="V61" i="146"/>
  <c r="N61" i="146"/>
  <c r="K61" i="146"/>
  <c r="J61" i="146"/>
  <c r="P61" i="146"/>
  <c r="F61" i="146"/>
  <c r="H61" i="146"/>
  <c r="B61" i="146"/>
  <c r="W60" i="146"/>
  <c r="N60" i="146"/>
  <c r="V60" i="146"/>
  <c r="K60" i="146"/>
  <c r="J60" i="146"/>
  <c r="P60" i="146"/>
  <c r="F60" i="146"/>
  <c r="H60" i="146"/>
  <c r="B60" i="146"/>
  <c r="W59" i="146"/>
  <c r="N59" i="146"/>
  <c r="K59" i="146"/>
  <c r="J59" i="146"/>
  <c r="F59" i="146"/>
  <c r="H59" i="146"/>
  <c r="B59" i="146"/>
  <c r="M58" i="146"/>
  <c r="W57" i="146"/>
  <c r="H57" i="146"/>
  <c r="W56" i="146"/>
  <c r="H56" i="146"/>
  <c r="W55" i="146"/>
  <c r="H55" i="146"/>
  <c r="W54" i="146"/>
  <c r="H54" i="146"/>
  <c r="W53" i="146"/>
  <c r="W52" i="146"/>
  <c r="W51" i="146"/>
  <c r="N51" i="146"/>
  <c r="V51" i="146"/>
  <c r="K51" i="146"/>
  <c r="J51" i="146"/>
  <c r="P51" i="146"/>
  <c r="F51" i="146"/>
  <c r="H51" i="146"/>
  <c r="B51" i="146"/>
  <c r="W50" i="146"/>
  <c r="N50" i="146"/>
  <c r="V50" i="146"/>
  <c r="K50" i="146"/>
  <c r="J50" i="146"/>
  <c r="P50" i="146"/>
  <c r="F50" i="146"/>
  <c r="H50" i="146"/>
  <c r="B50" i="146"/>
  <c r="W49" i="146"/>
  <c r="N49" i="146"/>
  <c r="K49" i="146"/>
  <c r="J49" i="146"/>
  <c r="P49" i="146"/>
  <c r="F49" i="146"/>
  <c r="H49" i="146"/>
  <c r="B49" i="146"/>
  <c r="W48" i="146"/>
  <c r="M48" i="146"/>
  <c r="G18" i="145"/>
  <c r="W47" i="146"/>
  <c r="H47" i="146"/>
  <c r="W46" i="146"/>
  <c r="H46" i="146"/>
  <c r="W45" i="146"/>
  <c r="H45" i="146"/>
  <c r="W44" i="146"/>
  <c r="H44" i="146"/>
  <c r="W43" i="146"/>
  <c r="H43" i="146"/>
  <c r="W42" i="146"/>
  <c r="W41" i="146"/>
  <c r="W40" i="146"/>
  <c r="N40" i="146"/>
  <c r="O40" i="146"/>
  <c r="W39" i="146"/>
  <c r="N39" i="146"/>
  <c r="V39" i="146"/>
  <c r="K39" i="146"/>
  <c r="J39" i="146"/>
  <c r="F39" i="146"/>
  <c r="W38" i="146"/>
  <c r="N38" i="146"/>
  <c r="O38" i="146"/>
  <c r="K38" i="146"/>
  <c r="J38" i="146"/>
  <c r="P38" i="146"/>
  <c r="F38" i="146"/>
  <c r="M37" i="146"/>
  <c r="F18" i="145"/>
  <c r="W36" i="146"/>
  <c r="H36" i="146"/>
  <c r="W35" i="146"/>
  <c r="H35" i="146"/>
  <c r="W34" i="146"/>
  <c r="H34" i="146"/>
  <c r="W33" i="146"/>
  <c r="H33" i="146"/>
  <c r="W32" i="146"/>
  <c r="W31" i="146"/>
  <c r="N31" i="146"/>
  <c r="O31" i="146"/>
  <c r="W30" i="146"/>
  <c r="N30" i="146"/>
  <c r="O30" i="146"/>
  <c r="V30" i="146"/>
  <c r="K30" i="146"/>
  <c r="J30" i="146"/>
  <c r="P30" i="146"/>
  <c r="F30" i="146"/>
  <c r="H30" i="146"/>
  <c r="B30" i="146"/>
  <c r="W29" i="146"/>
  <c r="N29" i="146"/>
  <c r="V29" i="146"/>
  <c r="K29" i="146"/>
  <c r="J29" i="146"/>
  <c r="P29" i="146"/>
  <c r="F29" i="146"/>
  <c r="H29" i="146"/>
  <c r="B29" i="146"/>
  <c r="W28" i="146"/>
  <c r="N28" i="146"/>
  <c r="V28" i="146"/>
  <c r="K28" i="146"/>
  <c r="J28" i="146"/>
  <c r="P28" i="146"/>
  <c r="F28" i="146"/>
  <c r="H28" i="146"/>
  <c r="B28" i="146"/>
  <c r="W27" i="146"/>
  <c r="N27" i="146"/>
  <c r="K27" i="146"/>
  <c r="J27" i="146"/>
  <c r="P27" i="146"/>
  <c r="F27" i="146"/>
  <c r="H27" i="146"/>
  <c r="P26" i="146"/>
  <c r="M26" i="146"/>
  <c r="J26" i="146"/>
  <c r="W25" i="146"/>
  <c r="H25" i="146"/>
  <c r="W24" i="146"/>
  <c r="H24" i="146"/>
  <c r="W23" i="146"/>
  <c r="H23" i="146"/>
  <c r="H22" i="146"/>
  <c r="H21" i="146"/>
  <c r="W20" i="146"/>
  <c r="V20" i="146"/>
  <c r="P20" i="146"/>
  <c r="N20" i="146"/>
  <c r="O20" i="146"/>
  <c r="K20" i="146"/>
  <c r="L20" i="146"/>
  <c r="F20" i="146"/>
  <c r="H20" i="146"/>
  <c r="W19" i="146"/>
  <c r="N19" i="146"/>
  <c r="V19" i="146"/>
  <c r="P19" i="146"/>
  <c r="K19" i="146"/>
  <c r="L19" i="146"/>
  <c r="F19" i="146"/>
  <c r="H19" i="146"/>
  <c r="W18" i="146"/>
  <c r="V18" i="146"/>
  <c r="P18" i="146"/>
  <c r="N18" i="146"/>
  <c r="K18" i="146"/>
  <c r="AB18" i="146"/>
  <c r="F18" i="146"/>
  <c r="H18" i="146"/>
  <c r="W17" i="146"/>
  <c r="V17" i="146"/>
  <c r="P17" i="146"/>
  <c r="N17" i="146"/>
  <c r="K17" i="146"/>
  <c r="L17" i="146"/>
  <c r="F17" i="146"/>
  <c r="H17" i="146"/>
  <c r="W16" i="146"/>
  <c r="N16" i="146"/>
  <c r="P16" i="146"/>
  <c r="K16" i="146"/>
  <c r="L16" i="146"/>
  <c r="F16" i="146"/>
  <c r="H16" i="146"/>
  <c r="M15" i="146"/>
  <c r="D18" i="145"/>
  <c r="J15" i="146"/>
  <c r="P15" i="146"/>
  <c r="W14" i="146"/>
  <c r="H14" i="146"/>
  <c r="W13" i="146"/>
  <c r="W12" i="146"/>
  <c r="H12" i="146"/>
  <c r="W11" i="146"/>
  <c r="H11" i="146"/>
  <c r="W10" i="146"/>
  <c r="W9" i="146"/>
  <c r="N9" i="146"/>
  <c r="O9" i="146"/>
  <c r="V9" i="146"/>
  <c r="P9" i="146"/>
  <c r="K9" i="146"/>
  <c r="L9" i="146"/>
  <c r="F9" i="146"/>
  <c r="H9" i="146"/>
  <c r="B9" i="146"/>
  <c r="W8" i="146"/>
  <c r="N8" i="146"/>
  <c r="V8" i="146"/>
  <c r="P8" i="146"/>
  <c r="K8" i="146"/>
  <c r="L8" i="146"/>
  <c r="F8" i="146"/>
  <c r="H8" i="146"/>
  <c r="B8" i="146"/>
  <c r="W7" i="146"/>
  <c r="N7" i="146"/>
  <c r="V7" i="146"/>
  <c r="P7" i="146"/>
  <c r="K7" i="146"/>
  <c r="L7" i="146"/>
  <c r="F7" i="146"/>
  <c r="H7" i="146"/>
  <c r="B7" i="146"/>
  <c r="W6" i="146"/>
  <c r="N6" i="146"/>
  <c r="V6" i="146"/>
  <c r="P6" i="146"/>
  <c r="K6" i="146"/>
  <c r="L6" i="146"/>
  <c r="F6" i="146"/>
  <c r="H6" i="146"/>
  <c r="B6" i="146"/>
  <c r="W5" i="146"/>
  <c r="N5" i="146"/>
  <c r="P5" i="146"/>
  <c r="K5" i="146"/>
  <c r="L5" i="146"/>
  <c r="F5" i="146"/>
  <c r="H5" i="146"/>
  <c r="B5" i="146"/>
  <c r="I2" i="146"/>
  <c r="E1" i="146"/>
  <c r="G3" i="145"/>
  <c r="J16" i="145"/>
  <c r="I16" i="145"/>
  <c r="H16" i="145"/>
  <c r="G16" i="145"/>
  <c r="F16" i="145"/>
  <c r="E16" i="145"/>
  <c r="D16" i="145"/>
  <c r="V30" i="144"/>
  <c r="V20" i="144"/>
  <c r="F30" i="144"/>
  <c r="H30" i="144"/>
  <c r="J30" i="144"/>
  <c r="K30" i="144"/>
  <c r="B30" i="144"/>
  <c r="K20" i="144"/>
  <c r="L20" i="144"/>
  <c r="P20" i="144"/>
  <c r="F20" i="144"/>
  <c r="H20" i="144"/>
  <c r="W78" i="144"/>
  <c r="H78" i="144"/>
  <c r="W77" i="144"/>
  <c r="H77" i="144"/>
  <c r="W76" i="144"/>
  <c r="H76" i="144"/>
  <c r="W75" i="144"/>
  <c r="H75" i="144"/>
  <c r="W74" i="144"/>
  <c r="H74" i="144"/>
  <c r="W73" i="144"/>
  <c r="W72" i="144"/>
  <c r="AC71" i="144"/>
  <c r="W71" i="144"/>
  <c r="AB71" i="144"/>
  <c r="W70" i="144"/>
  <c r="N70" i="144"/>
  <c r="K70" i="144"/>
  <c r="J70" i="144"/>
  <c r="P70" i="144"/>
  <c r="F70" i="144"/>
  <c r="H70" i="144"/>
  <c r="M69" i="144"/>
  <c r="M79" i="144"/>
  <c r="J18" i="143"/>
  <c r="W68" i="144"/>
  <c r="H68" i="144"/>
  <c r="W67" i="144"/>
  <c r="H67" i="144"/>
  <c r="W66" i="144"/>
  <c r="H66" i="144"/>
  <c r="W65" i="144"/>
  <c r="W64" i="144"/>
  <c r="W63" i="144"/>
  <c r="W62" i="144"/>
  <c r="N62" i="144"/>
  <c r="V62" i="144"/>
  <c r="K62" i="144"/>
  <c r="J62" i="144"/>
  <c r="P62" i="144"/>
  <c r="F62" i="144"/>
  <c r="H62" i="144"/>
  <c r="B62" i="144"/>
  <c r="W61" i="144"/>
  <c r="N61" i="144"/>
  <c r="V61" i="144"/>
  <c r="K61" i="144"/>
  <c r="J61" i="144"/>
  <c r="P61" i="144"/>
  <c r="F61" i="144"/>
  <c r="H61" i="144"/>
  <c r="B61" i="144"/>
  <c r="W60" i="144"/>
  <c r="N60" i="144"/>
  <c r="V60" i="144"/>
  <c r="K60" i="144"/>
  <c r="J60" i="144"/>
  <c r="P60" i="144"/>
  <c r="F60" i="144"/>
  <c r="H60" i="144"/>
  <c r="B60" i="144"/>
  <c r="W59" i="144"/>
  <c r="N59" i="144"/>
  <c r="K59" i="144"/>
  <c r="J59" i="144"/>
  <c r="P59" i="144"/>
  <c r="F59" i="144"/>
  <c r="H59" i="144"/>
  <c r="B59" i="144"/>
  <c r="M58" i="144"/>
  <c r="W57" i="144"/>
  <c r="H57" i="144"/>
  <c r="W56" i="144"/>
  <c r="H56" i="144"/>
  <c r="W55" i="144"/>
  <c r="H55" i="144"/>
  <c r="W54" i="144"/>
  <c r="H54" i="144"/>
  <c r="W53" i="144"/>
  <c r="W52" i="144"/>
  <c r="W51" i="144"/>
  <c r="V51" i="144"/>
  <c r="N51" i="144"/>
  <c r="K51" i="144"/>
  <c r="J51" i="144"/>
  <c r="P51" i="144"/>
  <c r="F51" i="144"/>
  <c r="H51" i="144"/>
  <c r="B51" i="144"/>
  <c r="W50" i="144"/>
  <c r="V50" i="144"/>
  <c r="N50" i="144"/>
  <c r="O50" i="144"/>
  <c r="K50" i="144"/>
  <c r="J50" i="144"/>
  <c r="P50" i="144"/>
  <c r="F50" i="144"/>
  <c r="H50" i="144"/>
  <c r="B50" i="144"/>
  <c r="W49" i="144"/>
  <c r="N49" i="144"/>
  <c r="K49" i="144"/>
  <c r="J49" i="144"/>
  <c r="F49" i="144"/>
  <c r="H49" i="144"/>
  <c r="B49" i="144"/>
  <c r="W48" i="144"/>
  <c r="M48" i="144"/>
  <c r="G18" i="143"/>
  <c r="W47" i="144"/>
  <c r="H47" i="144"/>
  <c r="W46" i="144"/>
  <c r="H46" i="144"/>
  <c r="W45" i="144"/>
  <c r="H45" i="144"/>
  <c r="W44" i="144"/>
  <c r="H44" i="144"/>
  <c r="W43" i="144"/>
  <c r="H43" i="144"/>
  <c r="W42" i="144"/>
  <c r="W41" i="144"/>
  <c r="W40" i="144"/>
  <c r="W39" i="144"/>
  <c r="N39" i="144"/>
  <c r="O39" i="144"/>
  <c r="V39" i="144"/>
  <c r="K39" i="144"/>
  <c r="J39" i="144"/>
  <c r="P39" i="144"/>
  <c r="F39" i="144"/>
  <c r="W38" i="144"/>
  <c r="N38" i="144"/>
  <c r="K38" i="144"/>
  <c r="J38" i="144"/>
  <c r="P38" i="144"/>
  <c r="F38" i="144"/>
  <c r="M37" i="144"/>
  <c r="W36" i="144"/>
  <c r="H36" i="144"/>
  <c r="W35" i="144"/>
  <c r="H35" i="144"/>
  <c r="W34" i="144"/>
  <c r="H34" i="144"/>
  <c r="W33" i="144"/>
  <c r="H33" i="144"/>
  <c r="W32" i="144"/>
  <c r="W31" i="144"/>
  <c r="W30" i="144"/>
  <c r="N30" i="144"/>
  <c r="O30" i="144"/>
  <c r="W29" i="144"/>
  <c r="V29" i="144"/>
  <c r="N29" i="144"/>
  <c r="K29" i="144"/>
  <c r="J29" i="144"/>
  <c r="P29" i="144"/>
  <c r="F29" i="144"/>
  <c r="H29" i="144"/>
  <c r="B29" i="144"/>
  <c r="W28" i="144"/>
  <c r="V28" i="144"/>
  <c r="N28" i="144"/>
  <c r="O28" i="144"/>
  <c r="K28" i="144"/>
  <c r="J28" i="144"/>
  <c r="P28" i="144"/>
  <c r="F28" i="144"/>
  <c r="H28" i="144"/>
  <c r="B28" i="144"/>
  <c r="W27" i="144"/>
  <c r="N27" i="144"/>
  <c r="K27" i="144"/>
  <c r="J27" i="144"/>
  <c r="P27" i="144"/>
  <c r="F27" i="144"/>
  <c r="H27" i="144"/>
  <c r="M26" i="144"/>
  <c r="J26" i="144"/>
  <c r="W25" i="144"/>
  <c r="H25" i="144"/>
  <c r="W24" i="144"/>
  <c r="H24" i="144"/>
  <c r="W23" i="144"/>
  <c r="H23" i="144"/>
  <c r="H22" i="144"/>
  <c r="H21" i="144"/>
  <c r="W20" i="144"/>
  <c r="N20" i="144"/>
  <c r="O20" i="144"/>
  <c r="W19" i="144"/>
  <c r="N19" i="144"/>
  <c r="V19" i="144"/>
  <c r="P19" i="144"/>
  <c r="K19" i="144"/>
  <c r="L19" i="144"/>
  <c r="F19" i="144"/>
  <c r="H19" i="144"/>
  <c r="W18" i="144"/>
  <c r="N18" i="144"/>
  <c r="V18" i="144"/>
  <c r="P18" i="144"/>
  <c r="K18" i="144"/>
  <c r="L18" i="144"/>
  <c r="F18" i="144"/>
  <c r="H18" i="144"/>
  <c r="W17" i="144"/>
  <c r="N17" i="144"/>
  <c r="V17" i="144"/>
  <c r="P17" i="144"/>
  <c r="K17" i="144"/>
  <c r="L17" i="144"/>
  <c r="F17" i="144"/>
  <c r="H17" i="144"/>
  <c r="W16" i="144"/>
  <c r="N16" i="144"/>
  <c r="P16" i="144"/>
  <c r="K16" i="144"/>
  <c r="L16" i="144"/>
  <c r="F16" i="144"/>
  <c r="H16" i="144"/>
  <c r="M15" i="144"/>
  <c r="J15" i="144"/>
  <c r="W14" i="144"/>
  <c r="H14" i="144"/>
  <c r="W13" i="144"/>
  <c r="W12" i="144"/>
  <c r="H12" i="144"/>
  <c r="W11" i="144"/>
  <c r="H11" i="144"/>
  <c r="W10" i="144"/>
  <c r="W9" i="144"/>
  <c r="V9" i="144"/>
  <c r="P9" i="144"/>
  <c r="N9" i="144"/>
  <c r="O9" i="144"/>
  <c r="K9" i="144"/>
  <c r="L9" i="144"/>
  <c r="F9" i="144"/>
  <c r="H9" i="144"/>
  <c r="B9" i="144"/>
  <c r="W8" i="144"/>
  <c r="N8" i="144"/>
  <c r="V8" i="144"/>
  <c r="P8" i="144"/>
  <c r="K8" i="144"/>
  <c r="L8" i="144"/>
  <c r="F8" i="144"/>
  <c r="H8" i="144"/>
  <c r="B8" i="144"/>
  <c r="W7" i="144"/>
  <c r="N7" i="144"/>
  <c r="V7" i="144"/>
  <c r="P7" i="144"/>
  <c r="K7" i="144"/>
  <c r="L7" i="144"/>
  <c r="F7" i="144"/>
  <c r="H7" i="144"/>
  <c r="B7" i="144"/>
  <c r="W6" i="144"/>
  <c r="N6" i="144"/>
  <c r="V6" i="144"/>
  <c r="P6" i="144"/>
  <c r="K6" i="144"/>
  <c r="L6" i="144"/>
  <c r="F6" i="144"/>
  <c r="H6" i="144"/>
  <c r="B6" i="144"/>
  <c r="W5" i="144"/>
  <c r="P5" i="144"/>
  <c r="N5" i="144"/>
  <c r="K5" i="144"/>
  <c r="L5" i="144"/>
  <c r="F5" i="144"/>
  <c r="H5" i="144"/>
  <c r="B5" i="144"/>
  <c r="I2" i="144"/>
  <c r="E1" i="144"/>
  <c r="G3" i="143"/>
  <c r="H18" i="143"/>
  <c r="D18" i="143"/>
  <c r="J16" i="143"/>
  <c r="I16" i="143"/>
  <c r="H16" i="143"/>
  <c r="G16" i="143"/>
  <c r="F16" i="143"/>
  <c r="E16" i="143"/>
  <c r="D16" i="143"/>
  <c r="K63" i="142"/>
  <c r="J63" i="142"/>
  <c r="P63" i="142"/>
  <c r="F63" i="142"/>
  <c r="H63" i="142"/>
  <c r="B63" i="142"/>
  <c r="K62" i="142"/>
  <c r="J62" i="142"/>
  <c r="P62" i="142"/>
  <c r="F62" i="142"/>
  <c r="H62" i="142"/>
  <c r="B62" i="142"/>
  <c r="V63" i="142"/>
  <c r="V9" i="142"/>
  <c r="F9" i="142"/>
  <c r="H9" i="142"/>
  <c r="K9" i="142"/>
  <c r="L9" i="142"/>
  <c r="P9" i="142"/>
  <c r="B9" i="142"/>
  <c r="L50" i="144"/>
  <c r="Q50" i="144"/>
  <c r="J58" i="144"/>
  <c r="P58" i="144"/>
  <c r="L28" i="144"/>
  <c r="R28" i="144"/>
  <c r="L38" i="146"/>
  <c r="Q38" i="146"/>
  <c r="AB59" i="144"/>
  <c r="L60" i="146"/>
  <c r="K58" i="144"/>
  <c r="K37" i="144"/>
  <c r="AC18" i="146"/>
  <c r="L62" i="146"/>
  <c r="AC62" i="144"/>
  <c r="L49" i="146"/>
  <c r="Q49" i="146"/>
  <c r="AB29" i="144"/>
  <c r="AB17" i="146"/>
  <c r="L51" i="144"/>
  <c r="J69" i="146"/>
  <c r="J79" i="146"/>
  <c r="L61" i="146"/>
  <c r="K69" i="146"/>
  <c r="K79" i="146"/>
  <c r="L70" i="146"/>
  <c r="L61" i="144"/>
  <c r="AC70" i="144"/>
  <c r="L30" i="144"/>
  <c r="Q30" i="144"/>
  <c r="L70" i="144"/>
  <c r="L62" i="142"/>
  <c r="L59" i="144"/>
  <c r="L27" i="146"/>
  <c r="AC61" i="146"/>
  <c r="AC70" i="146"/>
  <c r="AB5" i="144"/>
  <c r="AC38" i="144"/>
  <c r="L26" i="144"/>
  <c r="E13" i="143"/>
  <c r="L29" i="144"/>
  <c r="L39" i="144"/>
  <c r="R39" i="144"/>
  <c r="J48" i="146"/>
  <c r="P48" i="146"/>
  <c r="AB49" i="146"/>
  <c r="L51" i="146"/>
  <c r="L50" i="146"/>
  <c r="K48" i="146"/>
  <c r="L63" i="142"/>
  <c r="AB51" i="144"/>
  <c r="L60" i="144"/>
  <c r="P39" i="146"/>
  <c r="L38" i="144"/>
  <c r="L28" i="146"/>
  <c r="L30" i="146"/>
  <c r="R30" i="146"/>
  <c r="R31" i="146"/>
  <c r="Q31" i="146"/>
  <c r="AC38" i="146"/>
  <c r="AC17" i="146"/>
  <c r="AB71" i="146"/>
  <c r="AC71" i="146"/>
  <c r="R71" i="146"/>
  <c r="Q71" i="146"/>
  <c r="AB62" i="146"/>
  <c r="AC62" i="146"/>
  <c r="O49" i="146"/>
  <c r="Q40" i="146"/>
  <c r="R40" i="146"/>
  <c r="AB38" i="146"/>
  <c r="AB7" i="146"/>
  <c r="AC7" i="146"/>
  <c r="L29" i="146"/>
  <c r="O48" i="146"/>
  <c r="R38" i="146"/>
  <c r="N37" i="146"/>
  <c r="AC27" i="146"/>
  <c r="AB27" i="146"/>
  <c r="O27" i="146"/>
  <c r="O29" i="146"/>
  <c r="AC29" i="146"/>
  <c r="AB29" i="146"/>
  <c r="AC50" i="146"/>
  <c r="AB50" i="146"/>
  <c r="O50" i="146"/>
  <c r="AC19" i="146"/>
  <c r="AB19" i="146"/>
  <c r="O19" i="146"/>
  <c r="O6" i="146"/>
  <c r="AB6" i="146"/>
  <c r="AC6" i="146"/>
  <c r="O5" i="146"/>
  <c r="AC5" i="146"/>
  <c r="AB5" i="146"/>
  <c r="N15" i="146"/>
  <c r="O59" i="146"/>
  <c r="N69" i="146"/>
  <c r="AC59" i="146"/>
  <c r="AB59" i="146"/>
  <c r="R9" i="146"/>
  <c r="Q9" i="146"/>
  <c r="G1" i="146"/>
  <c r="N26" i="146"/>
  <c r="O16" i="146"/>
  <c r="AB16" i="146"/>
  <c r="AC16" i="146"/>
  <c r="AC28" i="146"/>
  <c r="AB28" i="146"/>
  <c r="O28" i="146"/>
  <c r="R20" i="146"/>
  <c r="Q20" i="146"/>
  <c r="L15" i="146"/>
  <c r="D13" i="145"/>
  <c r="AC8" i="146"/>
  <c r="AB8" i="146"/>
  <c r="O8" i="146"/>
  <c r="O51" i="146"/>
  <c r="AC51" i="146"/>
  <c r="AB51" i="146"/>
  <c r="O60" i="146"/>
  <c r="AC60" i="146"/>
  <c r="AB60" i="146"/>
  <c r="N48" i="146"/>
  <c r="O39" i="146"/>
  <c r="AC39" i="146"/>
  <c r="AB39" i="146"/>
  <c r="L18" i="146"/>
  <c r="L26" i="146"/>
  <c r="E13" i="145"/>
  <c r="J58" i="146"/>
  <c r="P58" i="146"/>
  <c r="O7" i="146"/>
  <c r="O17" i="146"/>
  <c r="J37" i="146"/>
  <c r="P37" i="146"/>
  <c r="K58" i="146"/>
  <c r="O61" i="146"/>
  <c r="E18" i="145"/>
  <c r="O18" i="146"/>
  <c r="K37" i="146"/>
  <c r="O70" i="146"/>
  <c r="N58" i="146"/>
  <c r="L59" i="146"/>
  <c r="O62" i="146"/>
  <c r="M79" i="146"/>
  <c r="I1" i="146"/>
  <c r="H18" i="145"/>
  <c r="I18" i="145"/>
  <c r="AC49" i="146"/>
  <c r="L39" i="146"/>
  <c r="K26" i="146"/>
  <c r="P59" i="146"/>
  <c r="AB61" i="146"/>
  <c r="AB70" i="146"/>
  <c r="K15" i="146"/>
  <c r="P15" i="144"/>
  <c r="R20" i="144"/>
  <c r="Q20" i="144"/>
  <c r="I18" i="143"/>
  <c r="AC59" i="144"/>
  <c r="L62" i="144"/>
  <c r="AC51" i="144"/>
  <c r="AB39" i="144"/>
  <c r="AC39" i="144"/>
  <c r="AC29" i="144"/>
  <c r="AC5" i="144"/>
  <c r="J37" i="144"/>
  <c r="P37" i="144"/>
  <c r="F18" i="143"/>
  <c r="P30" i="144"/>
  <c r="P26" i="144"/>
  <c r="O60" i="144"/>
  <c r="AB60" i="144"/>
  <c r="AC60" i="144"/>
  <c r="N69" i="144"/>
  <c r="N26" i="144"/>
  <c r="AC16" i="144"/>
  <c r="AB16" i="144"/>
  <c r="O16" i="144"/>
  <c r="L15" i="144"/>
  <c r="D13" i="143"/>
  <c r="O61" i="144"/>
  <c r="AC61" i="144"/>
  <c r="AB61" i="144"/>
  <c r="O17" i="144"/>
  <c r="AC17" i="144"/>
  <c r="AB17" i="144"/>
  <c r="AC7" i="144"/>
  <c r="O7" i="144"/>
  <c r="AB7" i="144"/>
  <c r="Q9" i="144"/>
  <c r="R9" i="144"/>
  <c r="AB27" i="144"/>
  <c r="O27" i="144"/>
  <c r="AC27" i="144"/>
  <c r="N37" i="144"/>
  <c r="R50" i="144"/>
  <c r="O18" i="144"/>
  <c r="AB18" i="144"/>
  <c r="AC18" i="144"/>
  <c r="AC6" i="144"/>
  <c r="O6" i="144"/>
  <c r="AB6" i="144"/>
  <c r="G1" i="144"/>
  <c r="O49" i="144"/>
  <c r="AC49" i="144"/>
  <c r="AB49" i="144"/>
  <c r="N58" i="144"/>
  <c r="O8" i="144"/>
  <c r="AB8" i="144"/>
  <c r="AC8" i="144"/>
  <c r="AB19" i="144"/>
  <c r="O19" i="144"/>
  <c r="AC19" i="144"/>
  <c r="O70" i="144"/>
  <c r="O29" i="144"/>
  <c r="O51" i="144"/>
  <c r="O59" i="144"/>
  <c r="I1" i="144"/>
  <c r="N48" i="144"/>
  <c r="AB70" i="144"/>
  <c r="K48" i="144"/>
  <c r="K26" i="144"/>
  <c r="N15" i="144"/>
  <c r="L27" i="144"/>
  <c r="AB28" i="144"/>
  <c r="L49" i="144"/>
  <c r="AB50" i="144"/>
  <c r="J69" i="144"/>
  <c r="J48" i="144"/>
  <c r="P48" i="144"/>
  <c r="O62" i="144"/>
  <c r="K15" i="144"/>
  <c r="AC28" i="144"/>
  <c r="AC50" i="144"/>
  <c r="AB62" i="144"/>
  <c r="K69" i="144"/>
  <c r="K79" i="144"/>
  <c r="O5" i="144"/>
  <c r="AB38" i="144"/>
  <c r="O38" i="144"/>
  <c r="E18" i="143"/>
  <c r="P49" i="144"/>
  <c r="L58" i="144"/>
  <c r="H13" i="143"/>
  <c r="Q28" i="144"/>
  <c r="L69" i="146"/>
  <c r="L79" i="146"/>
  <c r="J13" i="145"/>
  <c r="L48" i="146"/>
  <c r="G13" i="145"/>
  <c r="L58" i="146"/>
  <c r="H13" i="145"/>
  <c r="R49" i="146"/>
  <c r="L37" i="146"/>
  <c r="F13" i="145"/>
  <c r="Q30" i="146"/>
  <c r="Q39" i="144"/>
  <c r="L48" i="144"/>
  <c r="G13" i="143"/>
  <c r="P69" i="146"/>
  <c r="R30" i="144"/>
  <c r="L37" i="144"/>
  <c r="F13" i="143"/>
  <c r="L69" i="144"/>
  <c r="I13" i="143"/>
  <c r="O58" i="146"/>
  <c r="H14" i="145"/>
  <c r="R7" i="146"/>
  <c r="Q7" i="146"/>
  <c r="R60" i="146"/>
  <c r="Q60" i="146"/>
  <c r="R6" i="146"/>
  <c r="Q6" i="146"/>
  <c r="AC48" i="146"/>
  <c r="AD38" i="146"/>
  <c r="AB48" i="146"/>
  <c r="Q48" i="146"/>
  <c r="AC15" i="146"/>
  <c r="AD5" i="146"/>
  <c r="AB15" i="146"/>
  <c r="Q61" i="146"/>
  <c r="R61" i="146"/>
  <c r="O26" i="146"/>
  <c r="R16" i="146"/>
  <c r="Q16" i="146"/>
  <c r="Q5" i="146"/>
  <c r="O15" i="146"/>
  <c r="R5" i="146"/>
  <c r="R29" i="146"/>
  <c r="Q29" i="146"/>
  <c r="P79" i="146"/>
  <c r="J18" i="145"/>
  <c r="AC26" i="146"/>
  <c r="AD16" i="146"/>
  <c r="AB26" i="146"/>
  <c r="O37" i="146"/>
  <c r="R27" i="146"/>
  <c r="Q27" i="146"/>
  <c r="R62" i="146"/>
  <c r="Q62" i="146"/>
  <c r="R17" i="146"/>
  <c r="Q17" i="146"/>
  <c r="AC58" i="146"/>
  <c r="AD49" i="146"/>
  <c r="AB58" i="146"/>
  <c r="Q58" i="146"/>
  <c r="AB37" i="146"/>
  <c r="Q37" i="146"/>
  <c r="AC37" i="146"/>
  <c r="AD27" i="146"/>
  <c r="R70" i="146"/>
  <c r="Q70" i="146"/>
  <c r="R51" i="146"/>
  <c r="Q51" i="146"/>
  <c r="R28" i="146"/>
  <c r="Q28" i="146"/>
  <c r="J3" i="145"/>
  <c r="G2" i="146"/>
  <c r="R19" i="146"/>
  <c r="Q19" i="146"/>
  <c r="Q8" i="146"/>
  <c r="R8" i="146"/>
  <c r="AC69" i="146"/>
  <c r="AD59" i="146"/>
  <c r="N79" i="146"/>
  <c r="AB69" i="146"/>
  <c r="Q69" i="146"/>
  <c r="R50" i="146"/>
  <c r="Q50" i="146"/>
  <c r="G14" i="145"/>
  <c r="R18" i="146"/>
  <c r="Q18" i="146"/>
  <c r="R39" i="146"/>
  <c r="Q39" i="146"/>
  <c r="R59" i="146"/>
  <c r="Q59" i="146"/>
  <c r="O69" i="146"/>
  <c r="R16" i="144"/>
  <c r="O26" i="144"/>
  <c r="Q16" i="144"/>
  <c r="R8" i="144"/>
  <c r="Q8" i="144"/>
  <c r="R51" i="144"/>
  <c r="Q51" i="144"/>
  <c r="Q58" i="144"/>
  <c r="AC58" i="144"/>
  <c r="AD49" i="144"/>
  <c r="AB58" i="144"/>
  <c r="R18" i="144"/>
  <c r="Q18" i="144"/>
  <c r="R29" i="144"/>
  <c r="Q29" i="144"/>
  <c r="AC26" i="144"/>
  <c r="AD16" i="144"/>
  <c r="AB26" i="144"/>
  <c r="O48" i="144"/>
  <c r="R38" i="144"/>
  <c r="Q38" i="144"/>
  <c r="R70" i="144"/>
  <c r="Q70" i="144"/>
  <c r="O58" i="144"/>
  <c r="Q49" i="144"/>
  <c r="R49" i="144"/>
  <c r="O15" i="144"/>
  <c r="R5" i="144"/>
  <c r="Q5" i="144"/>
  <c r="AC37" i="144"/>
  <c r="AD27" i="144"/>
  <c r="AB37" i="144"/>
  <c r="Q37" i="144"/>
  <c r="R17" i="144"/>
  <c r="Q17" i="144"/>
  <c r="G2" i="144"/>
  <c r="J3" i="143"/>
  <c r="O37" i="144"/>
  <c r="R27" i="144"/>
  <c r="Q27" i="144"/>
  <c r="AB69" i="144"/>
  <c r="Q69" i="144"/>
  <c r="N79" i="144"/>
  <c r="AC69" i="144"/>
  <c r="AD59" i="144"/>
  <c r="Q19" i="144"/>
  <c r="R19" i="144"/>
  <c r="R6" i="144"/>
  <c r="Q6" i="144"/>
  <c r="Q61" i="144"/>
  <c r="R61" i="144"/>
  <c r="R62" i="144"/>
  <c r="Q62" i="144"/>
  <c r="O69" i="144"/>
  <c r="R59" i="144"/>
  <c r="Q59" i="144"/>
  <c r="R7" i="144"/>
  <c r="Q7" i="144"/>
  <c r="P69" i="144"/>
  <c r="J79" i="144"/>
  <c r="P79" i="144"/>
  <c r="AB15" i="144"/>
  <c r="AC15" i="144"/>
  <c r="AD5" i="144"/>
  <c r="AB48" i="144"/>
  <c r="Q48" i="144"/>
  <c r="AC48" i="144"/>
  <c r="AD38" i="144"/>
  <c r="Q60" i="144"/>
  <c r="R60" i="144"/>
  <c r="R58" i="146"/>
  <c r="S49" i="146"/>
  <c r="H6" i="145"/>
  <c r="G15" i="145"/>
  <c r="H6" i="143"/>
  <c r="R48" i="146"/>
  <c r="S38" i="146"/>
  <c r="H15" i="145"/>
  <c r="I13" i="145"/>
  <c r="J6" i="145"/>
  <c r="L79" i="144"/>
  <c r="J13" i="143"/>
  <c r="F6" i="143"/>
  <c r="I14" i="145"/>
  <c r="O79" i="146"/>
  <c r="E2" i="146"/>
  <c r="R69" i="146"/>
  <c r="S59" i="146"/>
  <c r="E14" i="145"/>
  <c r="E15" i="145"/>
  <c r="R26" i="146"/>
  <c r="S16" i="146"/>
  <c r="Q26" i="146"/>
  <c r="AC79" i="146"/>
  <c r="AD70" i="146"/>
  <c r="AB79" i="146"/>
  <c r="Q79" i="146"/>
  <c r="D14" i="145"/>
  <c r="R15" i="146"/>
  <c r="S5" i="146"/>
  <c r="Q15" i="146"/>
  <c r="R37" i="146"/>
  <c r="S27" i="146"/>
  <c r="F14" i="145"/>
  <c r="F15" i="145"/>
  <c r="J6" i="143"/>
  <c r="H14" i="143"/>
  <c r="H15" i="143"/>
  <c r="R58" i="144"/>
  <c r="S49" i="144"/>
  <c r="AC79" i="144"/>
  <c r="AD70" i="144"/>
  <c r="AB79" i="144"/>
  <c r="Q79" i="144"/>
  <c r="R69" i="144"/>
  <c r="S59" i="144"/>
  <c r="I14" i="143"/>
  <c r="O79" i="144"/>
  <c r="E2" i="144"/>
  <c r="Q15" i="144"/>
  <c r="R15" i="144"/>
  <c r="S5" i="144"/>
  <c r="D14" i="143"/>
  <c r="Q26" i="144"/>
  <c r="R26" i="144"/>
  <c r="S16" i="144"/>
  <c r="E14" i="143"/>
  <c r="E15" i="143"/>
  <c r="R48" i="144"/>
  <c r="S38" i="144"/>
  <c r="G14" i="143"/>
  <c r="G15" i="143"/>
  <c r="F14" i="143"/>
  <c r="F15" i="143"/>
  <c r="R37" i="144"/>
  <c r="S27" i="144"/>
  <c r="F6" i="145"/>
  <c r="R79" i="146"/>
  <c r="S70" i="146"/>
  <c r="J14" i="145"/>
  <c r="J15" i="145"/>
  <c r="D15" i="145"/>
  <c r="H7" i="145"/>
  <c r="I15" i="145"/>
  <c r="D15" i="143"/>
  <c r="H7" i="143"/>
  <c r="R79" i="144"/>
  <c r="S70" i="144"/>
  <c r="J14" i="143"/>
  <c r="J15" i="143"/>
  <c r="I15" i="143"/>
  <c r="J8" i="145"/>
  <c r="J7" i="145"/>
  <c r="F7" i="145"/>
  <c r="H8" i="145"/>
  <c r="F8" i="145"/>
  <c r="F7" i="143"/>
  <c r="J7" i="143"/>
  <c r="J8" i="143"/>
  <c r="H8" i="143"/>
  <c r="F8" i="143"/>
  <c r="W78" i="142"/>
  <c r="H78" i="142"/>
  <c r="W77" i="142"/>
  <c r="H77" i="142"/>
  <c r="W76" i="142"/>
  <c r="H76" i="142"/>
  <c r="W75" i="142"/>
  <c r="H75" i="142"/>
  <c r="W74" i="142"/>
  <c r="H74" i="142"/>
  <c r="W73" i="142"/>
  <c r="W72" i="142"/>
  <c r="W71" i="142"/>
  <c r="N71" i="142"/>
  <c r="V71" i="142"/>
  <c r="K71" i="142"/>
  <c r="J71" i="142"/>
  <c r="P71" i="142"/>
  <c r="F71" i="142"/>
  <c r="H71" i="142"/>
  <c r="B71" i="142"/>
  <c r="W70" i="142"/>
  <c r="N70" i="142"/>
  <c r="K70" i="142"/>
  <c r="J70" i="142"/>
  <c r="P70" i="142"/>
  <c r="F70" i="142"/>
  <c r="H70" i="142"/>
  <c r="M69" i="142"/>
  <c r="M79" i="142"/>
  <c r="W68" i="142"/>
  <c r="H68" i="142"/>
  <c r="W67" i="142"/>
  <c r="H67" i="142"/>
  <c r="W66" i="142"/>
  <c r="H66" i="142"/>
  <c r="W65" i="142"/>
  <c r="W64" i="142"/>
  <c r="W63" i="142"/>
  <c r="N63" i="142"/>
  <c r="O63" i="142"/>
  <c r="W62" i="142"/>
  <c r="N62" i="142"/>
  <c r="O62" i="142"/>
  <c r="V62" i="142"/>
  <c r="W61" i="142"/>
  <c r="N61" i="142"/>
  <c r="V61" i="142"/>
  <c r="K61" i="142"/>
  <c r="J61" i="142"/>
  <c r="F61" i="142"/>
  <c r="H61" i="142"/>
  <c r="B61" i="142"/>
  <c r="W60" i="142"/>
  <c r="N60" i="142"/>
  <c r="V60" i="142"/>
  <c r="K60" i="142"/>
  <c r="J60" i="142"/>
  <c r="P60" i="142"/>
  <c r="F60" i="142"/>
  <c r="H60" i="142"/>
  <c r="B60" i="142"/>
  <c r="W59" i="142"/>
  <c r="N59" i="142"/>
  <c r="K59" i="142"/>
  <c r="J59" i="142"/>
  <c r="P59" i="142"/>
  <c r="F59" i="142"/>
  <c r="H59" i="142"/>
  <c r="B59" i="142"/>
  <c r="M58" i="142"/>
  <c r="H18" i="141"/>
  <c r="W57" i="142"/>
  <c r="H57" i="142"/>
  <c r="W56" i="142"/>
  <c r="H56" i="142"/>
  <c r="W55" i="142"/>
  <c r="H55" i="142"/>
  <c r="W54" i="142"/>
  <c r="H54" i="142"/>
  <c r="W53" i="142"/>
  <c r="W52" i="142"/>
  <c r="W51" i="142"/>
  <c r="N51" i="142"/>
  <c r="V51" i="142"/>
  <c r="K51" i="142"/>
  <c r="J51" i="142"/>
  <c r="P51" i="142"/>
  <c r="F51" i="142"/>
  <c r="H51" i="142"/>
  <c r="B51" i="142"/>
  <c r="W50" i="142"/>
  <c r="N50" i="142"/>
  <c r="V50" i="142"/>
  <c r="K50" i="142"/>
  <c r="J50" i="142"/>
  <c r="P50" i="142"/>
  <c r="F50" i="142"/>
  <c r="H50" i="142"/>
  <c r="B50" i="142"/>
  <c r="W49" i="142"/>
  <c r="N49" i="142"/>
  <c r="K49" i="142"/>
  <c r="J49" i="142"/>
  <c r="F49" i="142"/>
  <c r="H49" i="142"/>
  <c r="B49" i="142"/>
  <c r="W48" i="142"/>
  <c r="M48" i="142"/>
  <c r="W47" i="142"/>
  <c r="H47" i="142"/>
  <c r="W46" i="142"/>
  <c r="H46" i="142"/>
  <c r="W45" i="142"/>
  <c r="H45" i="142"/>
  <c r="W44" i="142"/>
  <c r="H44" i="142"/>
  <c r="W43" i="142"/>
  <c r="H43" i="142"/>
  <c r="W42" i="142"/>
  <c r="W41" i="142"/>
  <c r="W40" i="142"/>
  <c r="W39" i="142"/>
  <c r="V39" i="142"/>
  <c r="N39" i="142"/>
  <c r="K39" i="142"/>
  <c r="J39" i="142"/>
  <c r="F39" i="142"/>
  <c r="W38" i="142"/>
  <c r="N38" i="142"/>
  <c r="K38" i="142"/>
  <c r="J38" i="142"/>
  <c r="P38" i="142"/>
  <c r="F38" i="142"/>
  <c r="M37" i="142"/>
  <c r="F18" i="141"/>
  <c r="W36" i="142"/>
  <c r="H36" i="142"/>
  <c r="W35" i="142"/>
  <c r="H35" i="142"/>
  <c r="W34" i="142"/>
  <c r="H34" i="142"/>
  <c r="W33" i="142"/>
  <c r="H33" i="142"/>
  <c r="W32" i="142"/>
  <c r="W31" i="142"/>
  <c r="W30" i="142"/>
  <c r="W29" i="142"/>
  <c r="N29" i="142"/>
  <c r="V29" i="142"/>
  <c r="K29" i="142"/>
  <c r="J29" i="142"/>
  <c r="P29" i="142"/>
  <c r="F29" i="142"/>
  <c r="H29" i="142"/>
  <c r="B29" i="142"/>
  <c r="W28" i="142"/>
  <c r="N28" i="142"/>
  <c r="V28" i="142"/>
  <c r="K28" i="142"/>
  <c r="J28" i="142"/>
  <c r="P28" i="142"/>
  <c r="F28" i="142"/>
  <c r="H28" i="142"/>
  <c r="B28" i="142"/>
  <c r="W27" i="142"/>
  <c r="N27" i="142"/>
  <c r="K27" i="142"/>
  <c r="J27" i="142"/>
  <c r="F27" i="142"/>
  <c r="H27" i="142"/>
  <c r="M26" i="142"/>
  <c r="E18" i="141"/>
  <c r="J26" i="142"/>
  <c r="W25" i="142"/>
  <c r="H25" i="142"/>
  <c r="W24" i="142"/>
  <c r="H24" i="142"/>
  <c r="W23" i="142"/>
  <c r="H23" i="142"/>
  <c r="H22" i="142"/>
  <c r="H21" i="142"/>
  <c r="W20" i="142"/>
  <c r="W19" i="142"/>
  <c r="N19" i="142"/>
  <c r="V19" i="142"/>
  <c r="P19" i="142"/>
  <c r="K19" i="142"/>
  <c r="L19" i="142"/>
  <c r="F19" i="142"/>
  <c r="H19" i="142"/>
  <c r="W18" i="142"/>
  <c r="V18" i="142"/>
  <c r="P18" i="142"/>
  <c r="N18" i="142"/>
  <c r="O18" i="142"/>
  <c r="K18" i="142"/>
  <c r="AB18" i="142"/>
  <c r="F18" i="142"/>
  <c r="H18" i="142"/>
  <c r="W17" i="142"/>
  <c r="N17" i="142"/>
  <c r="AB17" i="142"/>
  <c r="V17" i="142"/>
  <c r="P17" i="142"/>
  <c r="K17" i="142"/>
  <c r="F17" i="142"/>
  <c r="H17" i="142"/>
  <c r="W16" i="142"/>
  <c r="P16" i="142"/>
  <c r="N16" i="142"/>
  <c r="K16" i="142"/>
  <c r="L16" i="142"/>
  <c r="F16" i="142"/>
  <c r="H16" i="142"/>
  <c r="M15" i="142"/>
  <c r="J15" i="142"/>
  <c r="W14" i="142"/>
  <c r="H14" i="142"/>
  <c r="W13" i="142"/>
  <c r="W12" i="142"/>
  <c r="H12" i="142"/>
  <c r="W11" i="142"/>
  <c r="H11" i="142"/>
  <c r="W10" i="142"/>
  <c r="W9" i="142"/>
  <c r="N9" i="142"/>
  <c r="O9" i="142"/>
  <c r="W8" i="142"/>
  <c r="N8" i="142"/>
  <c r="O8" i="142"/>
  <c r="V8" i="142"/>
  <c r="P8" i="142"/>
  <c r="K8" i="142"/>
  <c r="F8" i="142"/>
  <c r="H8" i="142"/>
  <c r="B8" i="142"/>
  <c r="W7" i="142"/>
  <c r="V7" i="142"/>
  <c r="P7" i="142"/>
  <c r="N7" i="142"/>
  <c r="K7" i="142"/>
  <c r="F7" i="142"/>
  <c r="H7" i="142"/>
  <c r="B7" i="142"/>
  <c r="W6" i="142"/>
  <c r="V6" i="142"/>
  <c r="P6" i="142"/>
  <c r="N6" i="142"/>
  <c r="K6" i="142"/>
  <c r="L6" i="142"/>
  <c r="F6" i="142"/>
  <c r="H6" i="142"/>
  <c r="B6" i="142"/>
  <c r="W5" i="142"/>
  <c r="N5" i="142"/>
  <c r="P5" i="142"/>
  <c r="K5" i="142"/>
  <c r="L5" i="142"/>
  <c r="F5" i="142"/>
  <c r="H5" i="142"/>
  <c r="B5" i="142"/>
  <c r="I2" i="142"/>
  <c r="E1" i="142"/>
  <c r="G3" i="141"/>
  <c r="J16" i="141"/>
  <c r="I16" i="141"/>
  <c r="H16" i="141"/>
  <c r="G16" i="141"/>
  <c r="F16" i="141"/>
  <c r="E16" i="141"/>
  <c r="D16" i="141"/>
  <c r="V51" i="140"/>
  <c r="V29" i="140"/>
  <c r="F51" i="140"/>
  <c r="H51" i="140"/>
  <c r="J51" i="140"/>
  <c r="P51" i="140"/>
  <c r="K51" i="140"/>
  <c r="L51" i="140"/>
  <c r="N51" i="140"/>
  <c r="O51" i="140"/>
  <c r="B51" i="140"/>
  <c r="F29" i="140"/>
  <c r="H29" i="140"/>
  <c r="J29" i="140"/>
  <c r="P29" i="140"/>
  <c r="K29" i="140"/>
  <c r="B29" i="140"/>
  <c r="W78" i="140"/>
  <c r="H78" i="140"/>
  <c r="W77" i="140"/>
  <c r="H77" i="140"/>
  <c r="W76" i="140"/>
  <c r="H76" i="140"/>
  <c r="W75" i="140"/>
  <c r="H75" i="140"/>
  <c r="W74" i="140"/>
  <c r="H74" i="140"/>
  <c r="W73" i="140"/>
  <c r="W72" i="140"/>
  <c r="W71" i="140"/>
  <c r="N71" i="140"/>
  <c r="V71" i="140"/>
  <c r="K71" i="140"/>
  <c r="J71" i="140"/>
  <c r="P71" i="140"/>
  <c r="F71" i="140"/>
  <c r="H71" i="140"/>
  <c r="B71" i="140"/>
  <c r="W70" i="140"/>
  <c r="N70" i="140"/>
  <c r="K70" i="140"/>
  <c r="J70" i="140"/>
  <c r="P70" i="140"/>
  <c r="F70" i="140"/>
  <c r="H70" i="140"/>
  <c r="M69" i="140"/>
  <c r="M79" i="140"/>
  <c r="W68" i="140"/>
  <c r="H68" i="140"/>
  <c r="W67" i="140"/>
  <c r="H67" i="140"/>
  <c r="W66" i="140"/>
  <c r="H66" i="140"/>
  <c r="W65" i="140"/>
  <c r="W64" i="140"/>
  <c r="W63" i="140"/>
  <c r="W62" i="140"/>
  <c r="N62" i="140"/>
  <c r="V62" i="140"/>
  <c r="K62" i="140"/>
  <c r="J62" i="140"/>
  <c r="P62" i="140"/>
  <c r="F62" i="140"/>
  <c r="H62" i="140"/>
  <c r="B62" i="140"/>
  <c r="W61" i="140"/>
  <c r="N61" i="140"/>
  <c r="V61" i="140"/>
  <c r="K61" i="140"/>
  <c r="J61" i="140"/>
  <c r="P61" i="140"/>
  <c r="F61" i="140"/>
  <c r="H61" i="140"/>
  <c r="B61" i="140"/>
  <c r="W60" i="140"/>
  <c r="N60" i="140"/>
  <c r="V60" i="140"/>
  <c r="K60" i="140"/>
  <c r="J60" i="140"/>
  <c r="P60" i="140"/>
  <c r="F60" i="140"/>
  <c r="H60" i="140"/>
  <c r="B60" i="140"/>
  <c r="W59" i="140"/>
  <c r="N59" i="140"/>
  <c r="K59" i="140"/>
  <c r="J59" i="140"/>
  <c r="P59" i="140"/>
  <c r="F59" i="140"/>
  <c r="H59" i="140"/>
  <c r="B59" i="140"/>
  <c r="M58" i="140"/>
  <c r="W57" i="140"/>
  <c r="H57" i="140"/>
  <c r="W56" i="140"/>
  <c r="H56" i="140"/>
  <c r="W55" i="140"/>
  <c r="H55" i="140"/>
  <c r="W54" i="140"/>
  <c r="H54" i="140"/>
  <c r="W53" i="140"/>
  <c r="W52" i="140"/>
  <c r="W51" i="140"/>
  <c r="W50" i="140"/>
  <c r="N50" i="140"/>
  <c r="V50" i="140"/>
  <c r="O50" i="140"/>
  <c r="K50" i="140"/>
  <c r="J50" i="140"/>
  <c r="P50" i="140"/>
  <c r="F50" i="140"/>
  <c r="H50" i="140"/>
  <c r="B50" i="140"/>
  <c r="W49" i="140"/>
  <c r="N49" i="140"/>
  <c r="K49" i="140"/>
  <c r="J49" i="140"/>
  <c r="P49" i="140"/>
  <c r="F49" i="140"/>
  <c r="H49" i="140"/>
  <c r="B49" i="140"/>
  <c r="W48" i="140"/>
  <c r="M48" i="140"/>
  <c r="W47" i="140"/>
  <c r="H47" i="140"/>
  <c r="W46" i="140"/>
  <c r="H46" i="140"/>
  <c r="W45" i="140"/>
  <c r="H45" i="140"/>
  <c r="W44" i="140"/>
  <c r="H44" i="140"/>
  <c r="W43" i="140"/>
  <c r="H43" i="140"/>
  <c r="W42" i="140"/>
  <c r="W41" i="140"/>
  <c r="W40" i="140"/>
  <c r="W39" i="140"/>
  <c r="N39" i="140"/>
  <c r="O39" i="140"/>
  <c r="V39" i="140"/>
  <c r="K39" i="140"/>
  <c r="J39" i="140"/>
  <c r="P39" i="140"/>
  <c r="F39" i="140"/>
  <c r="W38" i="140"/>
  <c r="N38" i="140"/>
  <c r="K38" i="140"/>
  <c r="J38" i="140"/>
  <c r="F38" i="140"/>
  <c r="M37" i="140"/>
  <c r="F18" i="139"/>
  <c r="W36" i="140"/>
  <c r="H36" i="140"/>
  <c r="W35" i="140"/>
  <c r="H35" i="140"/>
  <c r="W34" i="140"/>
  <c r="H34" i="140"/>
  <c r="W33" i="140"/>
  <c r="H33" i="140"/>
  <c r="W32" i="140"/>
  <c r="W31" i="140"/>
  <c r="W30" i="140"/>
  <c r="W29" i="140"/>
  <c r="N29" i="140"/>
  <c r="W28" i="140"/>
  <c r="V28" i="140"/>
  <c r="N28" i="140"/>
  <c r="K28" i="140"/>
  <c r="J28" i="140"/>
  <c r="P28" i="140"/>
  <c r="F28" i="140"/>
  <c r="H28" i="140"/>
  <c r="B28" i="140"/>
  <c r="W27" i="140"/>
  <c r="N27" i="140"/>
  <c r="K27" i="140"/>
  <c r="J27" i="140"/>
  <c r="P27" i="140"/>
  <c r="F27" i="140"/>
  <c r="H27" i="140"/>
  <c r="M26" i="140"/>
  <c r="J26" i="140"/>
  <c r="W25" i="140"/>
  <c r="H25" i="140"/>
  <c r="W24" i="140"/>
  <c r="H24" i="140"/>
  <c r="W23" i="140"/>
  <c r="H23" i="140"/>
  <c r="H22" i="140"/>
  <c r="H21" i="140"/>
  <c r="W20" i="140"/>
  <c r="W19" i="140"/>
  <c r="N19" i="140"/>
  <c r="O19" i="140"/>
  <c r="V19" i="140"/>
  <c r="P19" i="140"/>
  <c r="K19" i="140"/>
  <c r="L19" i="140"/>
  <c r="F19" i="140"/>
  <c r="H19" i="140"/>
  <c r="W18" i="140"/>
  <c r="N18" i="140"/>
  <c r="V18" i="140"/>
  <c r="P18" i="140"/>
  <c r="K18" i="140"/>
  <c r="L18" i="140"/>
  <c r="F18" i="140"/>
  <c r="H18" i="140"/>
  <c r="W17" i="140"/>
  <c r="N17" i="140"/>
  <c r="V17" i="140"/>
  <c r="P17" i="140"/>
  <c r="K17" i="140"/>
  <c r="L17" i="140"/>
  <c r="F17" i="140"/>
  <c r="H17" i="140"/>
  <c r="W16" i="140"/>
  <c r="N16" i="140"/>
  <c r="P16" i="140"/>
  <c r="K16" i="140"/>
  <c r="F16" i="140"/>
  <c r="H16" i="140"/>
  <c r="M15" i="140"/>
  <c r="D18" i="139"/>
  <c r="J15" i="140"/>
  <c r="W14" i="140"/>
  <c r="H14" i="140"/>
  <c r="W13" i="140"/>
  <c r="W12" i="140"/>
  <c r="H12" i="140"/>
  <c r="W11" i="140"/>
  <c r="H11" i="140"/>
  <c r="W10" i="140"/>
  <c r="W9" i="140"/>
  <c r="W8" i="140"/>
  <c r="N8" i="140"/>
  <c r="V8" i="140"/>
  <c r="P8" i="140"/>
  <c r="K8" i="140"/>
  <c r="L8" i="140"/>
  <c r="F8" i="140"/>
  <c r="H8" i="140"/>
  <c r="B8" i="140"/>
  <c r="W7" i="140"/>
  <c r="N7" i="140"/>
  <c r="V7" i="140"/>
  <c r="P7" i="140"/>
  <c r="K7" i="140"/>
  <c r="L7" i="140"/>
  <c r="F7" i="140"/>
  <c r="H7" i="140"/>
  <c r="B7" i="140"/>
  <c r="W6" i="140"/>
  <c r="N6" i="140"/>
  <c r="V6" i="140"/>
  <c r="P6" i="140"/>
  <c r="K6" i="140"/>
  <c r="L6" i="140"/>
  <c r="F6" i="140"/>
  <c r="H6" i="140"/>
  <c r="B6" i="140"/>
  <c r="W5" i="140"/>
  <c r="N5" i="140"/>
  <c r="P5" i="140"/>
  <c r="K5" i="140"/>
  <c r="F5" i="140"/>
  <c r="H5" i="140"/>
  <c r="B5" i="140"/>
  <c r="I2" i="140"/>
  <c r="E1" i="140"/>
  <c r="G3" i="139"/>
  <c r="I18" i="139"/>
  <c r="G18" i="139"/>
  <c r="J16" i="139"/>
  <c r="I16" i="139"/>
  <c r="H16" i="139"/>
  <c r="G16" i="139"/>
  <c r="F16" i="139"/>
  <c r="E16" i="139"/>
  <c r="D16" i="139"/>
  <c r="N39" i="138"/>
  <c r="V40" i="138"/>
  <c r="P9" i="138"/>
  <c r="K9" i="138"/>
  <c r="L9" i="138"/>
  <c r="F9" i="138"/>
  <c r="H9" i="138"/>
  <c r="B9" i="138"/>
  <c r="P8" i="138"/>
  <c r="N8" i="138"/>
  <c r="O8" i="138"/>
  <c r="K8" i="138"/>
  <c r="L8" i="138"/>
  <c r="F8" i="138"/>
  <c r="H8" i="138"/>
  <c r="B8" i="138"/>
  <c r="V9" i="138"/>
  <c r="V10" i="138"/>
  <c r="V63" i="138"/>
  <c r="H12" i="138"/>
  <c r="H11" i="138"/>
  <c r="P10" i="138"/>
  <c r="J40" i="138"/>
  <c r="P40" i="138"/>
  <c r="K40" i="138"/>
  <c r="K10" i="138"/>
  <c r="L10" i="138"/>
  <c r="AC5" i="140"/>
  <c r="L29" i="142"/>
  <c r="L28" i="140"/>
  <c r="L40" i="138"/>
  <c r="L27" i="140"/>
  <c r="L50" i="142"/>
  <c r="L29" i="140"/>
  <c r="AB10" i="138"/>
  <c r="L70" i="140"/>
  <c r="K58" i="140"/>
  <c r="L51" i="142"/>
  <c r="L61" i="140"/>
  <c r="K69" i="142"/>
  <c r="K79" i="142"/>
  <c r="AC51" i="140"/>
  <c r="J48" i="142"/>
  <c r="P48" i="142"/>
  <c r="AC38" i="140"/>
  <c r="J37" i="142"/>
  <c r="P37" i="142"/>
  <c r="L38" i="142"/>
  <c r="AC28" i="140"/>
  <c r="L39" i="140"/>
  <c r="Q39" i="140"/>
  <c r="AC16" i="142"/>
  <c r="J58" i="142"/>
  <c r="P58" i="142"/>
  <c r="K37" i="140"/>
  <c r="AC39" i="142"/>
  <c r="L49" i="142"/>
  <c r="L71" i="140"/>
  <c r="P39" i="142"/>
  <c r="AC49" i="142"/>
  <c r="J37" i="140"/>
  <c r="P37" i="140"/>
  <c r="L70" i="142"/>
  <c r="J58" i="140"/>
  <c r="P58" i="140"/>
  <c r="K48" i="142"/>
  <c r="L50" i="140"/>
  <c r="R50" i="140"/>
  <c r="AC71" i="140"/>
  <c r="K26" i="142"/>
  <c r="L28" i="142"/>
  <c r="K48" i="140"/>
  <c r="AC10" i="138"/>
  <c r="L59" i="142"/>
  <c r="L61" i="142"/>
  <c r="P15" i="142"/>
  <c r="Q63" i="142"/>
  <c r="R63" i="142"/>
  <c r="R62" i="142"/>
  <c r="Q62" i="142"/>
  <c r="AC27" i="142"/>
  <c r="Q9" i="142"/>
  <c r="R9" i="142"/>
  <c r="AB8" i="142"/>
  <c r="I18" i="141"/>
  <c r="O39" i="142"/>
  <c r="AC18" i="142"/>
  <c r="L71" i="142"/>
  <c r="L60" i="142"/>
  <c r="AC60" i="142"/>
  <c r="J69" i="142"/>
  <c r="J79" i="142"/>
  <c r="P79" i="142"/>
  <c r="AC8" i="142"/>
  <c r="AC7" i="142"/>
  <c r="K15" i="142"/>
  <c r="AC6" i="142"/>
  <c r="O5" i="142"/>
  <c r="AB5" i="142"/>
  <c r="N15" i="142"/>
  <c r="AC5" i="142"/>
  <c r="O29" i="142"/>
  <c r="AC29" i="142"/>
  <c r="AB29" i="142"/>
  <c r="O51" i="142"/>
  <c r="AC51" i="142"/>
  <c r="AB51" i="142"/>
  <c r="O28" i="142"/>
  <c r="AC28" i="142"/>
  <c r="AB28" i="142"/>
  <c r="N37" i="142"/>
  <c r="AB70" i="142"/>
  <c r="AC70" i="142"/>
  <c r="O70" i="142"/>
  <c r="O38" i="142"/>
  <c r="AB38" i="142"/>
  <c r="AC38" i="142"/>
  <c r="N48" i="142"/>
  <c r="AB62" i="142"/>
  <c r="AC62" i="142"/>
  <c r="O50" i="142"/>
  <c r="AB50" i="142"/>
  <c r="AC50" i="142"/>
  <c r="O59" i="142"/>
  <c r="N69" i="142"/>
  <c r="AC59" i="142"/>
  <c r="AB59" i="142"/>
  <c r="I1" i="142"/>
  <c r="J18" i="141"/>
  <c r="AB19" i="142"/>
  <c r="O19" i="142"/>
  <c r="AC19" i="142"/>
  <c r="G1" i="142"/>
  <c r="AB61" i="142"/>
  <c r="AC61" i="142"/>
  <c r="O61" i="142"/>
  <c r="O71" i="142"/>
  <c r="AC71" i="142"/>
  <c r="AB71" i="142"/>
  <c r="O7" i="142"/>
  <c r="L18" i="142"/>
  <c r="Q18" i="142"/>
  <c r="O17" i="142"/>
  <c r="P26" i="142"/>
  <c r="P27" i="142"/>
  <c r="P49" i="142"/>
  <c r="G18" i="141"/>
  <c r="AB39" i="142"/>
  <c r="K58" i="142"/>
  <c r="O6" i="142"/>
  <c r="O16" i="142"/>
  <c r="L27" i="142"/>
  <c r="D18" i="141"/>
  <c r="N26" i="142"/>
  <c r="O27" i="142"/>
  <c r="O49" i="142"/>
  <c r="AB6" i="142"/>
  <c r="K37" i="142"/>
  <c r="P61" i="142"/>
  <c r="AB16" i="142"/>
  <c r="L7" i="142"/>
  <c r="AB7" i="142"/>
  <c r="N58" i="142"/>
  <c r="AB60" i="142"/>
  <c r="L17" i="142"/>
  <c r="L8" i="142"/>
  <c r="R8" i="142"/>
  <c r="O60" i="142"/>
  <c r="AB27" i="142"/>
  <c r="L39" i="142"/>
  <c r="AB49" i="142"/>
  <c r="AC17" i="142"/>
  <c r="O29" i="140"/>
  <c r="AB29" i="140"/>
  <c r="AC29" i="140"/>
  <c r="P15" i="140"/>
  <c r="AB51" i="140"/>
  <c r="AC39" i="140"/>
  <c r="AB39" i="140"/>
  <c r="L62" i="140"/>
  <c r="L60" i="140"/>
  <c r="R51" i="140"/>
  <c r="Q51" i="140"/>
  <c r="P26" i="140"/>
  <c r="K26" i="140"/>
  <c r="R19" i="140"/>
  <c r="Q19" i="140"/>
  <c r="O7" i="140"/>
  <c r="AB7" i="140"/>
  <c r="AC7" i="140"/>
  <c r="AB59" i="140"/>
  <c r="O27" i="140"/>
  <c r="AC27" i="140"/>
  <c r="AB27" i="140"/>
  <c r="N37" i="140"/>
  <c r="O61" i="140"/>
  <c r="AC61" i="140"/>
  <c r="AB61" i="140"/>
  <c r="N26" i="140"/>
  <c r="O16" i="140"/>
  <c r="AB16" i="140"/>
  <c r="AC16" i="140"/>
  <c r="AC70" i="140"/>
  <c r="AB70" i="140"/>
  <c r="O70" i="140"/>
  <c r="O18" i="140"/>
  <c r="AC18" i="140"/>
  <c r="AB18" i="140"/>
  <c r="O6" i="140"/>
  <c r="AC6" i="140"/>
  <c r="AB6" i="140"/>
  <c r="G1" i="140"/>
  <c r="L5" i="140"/>
  <c r="L15" i="140"/>
  <c r="D13" i="139"/>
  <c r="K15" i="140"/>
  <c r="I1" i="140"/>
  <c r="AC50" i="140"/>
  <c r="AB50" i="140"/>
  <c r="J18" i="139"/>
  <c r="O49" i="140"/>
  <c r="AB49" i="140"/>
  <c r="AC49" i="140"/>
  <c r="N58" i="140"/>
  <c r="AC62" i="140"/>
  <c r="AB62" i="140"/>
  <c r="O62" i="140"/>
  <c r="K69" i="140"/>
  <c r="K79" i="140"/>
  <c r="L59" i="140"/>
  <c r="O8" i="140"/>
  <c r="AB8" i="140"/>
  <c r="AC8" i="140"/>
  <c r="O17" i="140"/>
  <c r="AC17" i="140"/>
  <c r="AB17" i="140"/>
  <c r="J48" i="140"/>
  <c r="P48" i="140"/>
  <c r="P38" i="140"/>
  <c r="N69" i="140"/>
  <c r="AC19" i="140"/>
  <c r="AB19" i="140"/>
  <c r="H18" i="139"/>
  <c r="AC60" i="140"/>
  <c r="O60" i="140"/>
  <c r="AB60" i="140"/>
  <c r="AB71" i="140"/>
  <c r="O71" i="140"/>
  <c r="O5" i="140"/>
  <c r="O38" i="140"/>
  <c r="O28" i="140"/>
  <c r="L38" i="140"/>
  <c r="O59" i="140"/>
  <c r="N48" i="140"/>
  <c r="L16" i="140"/>
  <c r="L26" i="140"/>
  <c r="E13" i="139"/>
  <c r="L49" i="140"/>
  <c r="N15" i="140"/>
  <c r="AB28" i="140"/>
  <c r="J69" i="140"/>
  <c r="E18" i="139"/>
  <c r="AC59" i="140"/>
  <c r="AB5" i="140"/>
  <c r="AB38" i="140"/>
  <c r="R8" i="138"/>
  <c r="Q8" i="138"/>
  <c r="L48" i="140"/>
  <c r="G13" i="139"/>
  <c r="L37" i="140"/>
  <c r="F13" i="139"/>
  <c r="L26" i="142"/>
  <c r="E13" i="141"/>
  <c r="L37" i="142"/>
  <c r="F13" i="141"/>
  <c r="L48" i="142"/>
  <c r="G13" i="141"/>
  <c r="R18" i="142"/>
  <c r="R29" i="140"/>
  <c r="L58" i="142"/>
  <c r="H13" i="141"/>
  <c r="L69" i="142"/>
  <c r="L79" i="142"/>
  <c r="J13" i="141"/>
  <c r="Q50" i="140"/>
  <c r="L58" i="140"/>
  <c r="H13" i="139"/>
  <c r="R39" i="140"/>
  <c r="L15" i="142"/>
  <c r="D13" i="141"/>
  <c r="P69" i="142"/>
  <c r="Q71" i="142"/>
  <c r="R71" i="142"/>
  <c r="R28" i="142"/>
  <c r="Q28" i="142"/>
  <c r="R60" i="142"/>
  <c r="Q60" i="142"/>
  <c r="AC48" i="142"/>
  <c r="AD38" i="142"/>
  <c r="Q48" i="142"/>
  <c r="AB48" i="142"/>
  <c r="O58" i="142"/>
  <c r="R49" i="142"/>
  <c r="Q49" i="142"/>
  <c r="Q39" i="142"/>
  <c r="R51" i="142"/>
  <c r="Q51" i="142"/>
  <c r="O37" i="142"/>
  <c r="R27" i="142"/>
  <c r="Q27" i="142"/>
  <c r="R17" i="142"/>
  <c r="Q17" i="142"/>
  <c r="Q8" i="142"/>
  <c r="AC69" i="142"/>
  <c r="AD59" i="142"/>
  <c r="N79" i="142"/>
  <c r="AB69" i="142"/>
  <c r="Q69" i="142"/>
  <c r="R61" i="142"/>
  <c r="Q61" i="142"/>
  <c r="Q5" i="142"/>
  <c r="O15" i="142"/>
  <c r="R5" i="142"/>
  <c r="AC26" i="142"/>
  <c r="AD16" i="142"/>
  <c r="AB26" i="142"/>
  <c r="R39" i="142"/>
  <c r="Q59" i="142"/>
  <c r="O69" i="142"/>
  <c r="R59" i="142"/>
  <c r="Q38" i="142"/>
  <c r="O48" i="142"/>
  <c r="R38" i="142"/>
  <c r="Q58" i="142"/>
  <c r="AC58" i="142"/>
  <c r="AD49" i="142"/>
  <c r="AB58" i="142"/>
  <c r="R70" i="142"/>
  <c r="Q70" i="142"/>
  <c r="G2" i="142"/>
  <c r="J3" i="141"/>
  <c r="Q29" i="142"/>
  <c r="R29" i="142"/>
  <c r="Q7" i="142"/>
  <c r="R7" i="142"/>
  <c r="O26" i="142"/>
  <c r="R16" i="142"/>
  <c r="Q16" i="142"/>
  <c r="R19" i="142"/>
  <c r="Q19" i="142"/>
  <c r="R50" i="142"/>
  <c r="Q50" i="142"/>
  <c r="Q6" i="142"/>
  <c r="R6" i="142"/>
  <c r="AB37" i="142"/>
  <c r="Q37" i="142"/>
  <c r="AC37" i="142"/>
  <c r="AD27" i="142"/>
  <c r="AC15" i="142"/>
  <c r="AD5" i="142"/>
  <c r="AB15" i="142"/>
  <c r="Q29" i="140"/>
  <c r="AB37" i="140"/>
  <c r="AC37" i="140"/>
  <c r="AD27" i="140"/>
  <c r="Q37" i="140"/>
  <c r="O69" i="140"/>
  <c r="R59" i="140"/>
  <c r="Q59" i="140"/>
  <c r="R16" i="140"/>
  <c r="Q16" i="140"/>
  <c r="O26" i="140"/>
  <c r="R28" i="140"/>
  <c r="Q28" i="140"/>
  <c r="R62" i="140"/>
  <c r="Q62" i="140"/>
  <c r="AC26" i="140"/>
  <c r="AD16" i="140"/>
  <c r="AB26" i="140"/>
  <c r="AC69" i="140"/>
  <c r="AD59" i="140"/>
  <c r="N79" i="140"/>
  <c r="AB69" i="140"/>
  <c r="Q69" i="140"/>
  <c r="R17" i="140"/>
  <c r="Q17" i="140"/>
  <c r="R61" i="140"/>
  <c r="Q61" i="140"/>
  <c r="R6" i="140"/>
  <c r="Q6" i="140"/>
  <c r="AB48" i="140"/>
  <c r="Q48" i="140"/>
  <c r="AC48" i="140"/>
  <c r="AD38" i="140"/>
  <c r="Q8" i="140"/>
  <c r="R8" i="140"/>
  <c r="L69" i="140"/>
  <c r="R27" i="140"/>
  <c r="O37" i="140"/>
  <c r="Q27" i="140"/>
  <c r="R38" i="140"/>
  <c r="O48" i="140"/>
  <c r="Q38" i="140"/>
  <c r="J79" i="140"/>
  <c r="P79" i="140"/>
  <c r="P69" i="140"/>
  <c r="O15" i="140"/>
  <c r="R5" i="140"/>
  <c r="Q5" i="140"/>
  <c r="AC58" i="140"/>
  <c r="AD49" i="140"/>
  <c r="AB58" i="140"/>
  <c r="Q58" i="140"/>
  <c r="R18" i="140"/>
  <c r="Q18" i="140"/>
  <c r="Q7" i="140"/>
  <c r="R7" i="140"/>
  <c r="R71" i="140"/>
  <c r="Q71" i="140"/>
  <c r="Q70" i="140"/>
  <c r="R70" i="140"/>
  <c r="R49" i="140"/>
  <c r="Q49" i="140"/>
  <c r="O58" i="140"/>
  <c r="R60" i="140"/>
  <c r="Q60" i="140"/>
  <c r="AC15" i="140"/>
  <c r="AD5" i="140"/>
  <c r="AB15" i="140"/>
  <c r="G2" i="140"/>
  <c r="J3" i="139"/>
  <c r="H6" i="141"/>
  <c r="H6" i="139"/>
  <c r="I13" i="141"/>
  <c r="J6" i="141"/>
  <c r="O79" i="142"/>
  <c r="E2" i="142"/>
  <c r="I14" i="141"/>
  <c r="R69" i="142"/>
  <c r="S59" i="142"/>
  <c r="Q79" i="142"/>
  <c r="AC79" i="142"/>
  <c r="AD70" i="142"/>
  <c r="AB79" i="142"/>
  <c r="H14" i="141"/>
  <c r="H15" i="141"/>
  <c r="R58" i="142"/>
  <c r="S49" i="142"/>
  <c r="R26" i="142"/>
  <c r="S16" i="142"/>
  <c r="E14" i="141"/>
  <c r="E15" i="141"/>
  <c r="Q26" i="142"/>
  <c r="R15" i="142"/>
  <c r="S5" i="142"/>
  <c r="D14" i="141"/>
  <c r="Q15" i="142"/>
  <c r="G14" i="141"/>
  <c r="G15" i="141"/>
  <c r="R48" i="142"/>
  <c r="S38" i="142"/>
  <c r="F14" i="141"/>
  <c r="F15" i="141"/>
  <c r="R37" i="142"/>
  <c r="S27" i="142"/>
  <c r="AC79" i="140"/>
  <c r="AD70" i="140"/>
  <c r="Q79" i="140"/>
  <c r="AB79" i="140"/>
  <c r="Q15" i="140"/>
  <c r="R15" i="140"/>
  <c r="S5" i="140"/>
  <c r="D14" i="139"/>
  <c r="R37" i="140"/>
  <c r="S27" i="140"/>
  <c r="F14" i="139"/>
  <c r="F15" i="139"/>
  <c r="R26" i="140"/>
  <c r="S16" i="140"/>
  <c r="Q26" i="140"/>
  <c r="E14" i="139"/>
  <c r="E15" i="139"/>
  <c r="R58" i="140"/>
  <c r="S49" i="140"/>
  <c r="H14" i="139"/>
  <c r="H15" i="139"/>
  <c r="R48" i="140"/>
  <c r="S38" i="140"/>
  <c r="G14" i="139"/>
  <c r="G15" i="139"/>
  <c r="I13" i="139"/>
  <c r="L79" i="140"/>
  <c r="J13" i="139"/>
  <c r="I14" i="139"/>
  <c r="O79" i="140"/>
  <c r="R69" i="140"/>
  <c r="S59" i="140"/>
  <c r="F6" i="141"/>
  <c r="D15" i="141"/>
  <c r="H7" i="141"/>
  <c r="I15" i="141"/>
  <c r="J14" i="141"/>
  <c r="J15" i="141"/>
  <c r="R79" i="142"/>
  <c r="S70" i="142"/>
  <c r="R79" i="140"/>
  <c r="S70" i="140"/>
  <c r="J14" i="139"/>
  <c r="J15" i="139"/>
  <c r="J6" i="139"/>
  <c r="F6" i="139"/>
  <c r="D15" i="139"/>
  <c r="H7" i="139"/>
  <c r="I15" i="139"/>
  <c r="E2" i="140"/>
  <c r="F7" i="141"/>
  <c r="J8" i="141"/>
  <c r="J7" i="141"/>
  <c r="H8" i="141"/>
  <c r="F8" i="141"/>
  <c r="J8" i="139"/>
  <c r="J7" i="139"/>
  <c r="F7" i="139"/>
  <c r="F8" i="139"/>
  <c r="H8" i="139"/>
  <c r="F63" i="138"/>
  <c r="H63" i="138"/>
  <c r="J63" i="138"/>
  <c r="P63" i="138"/>
  <c r="K63" i="138"/>
  <c r="B63" i="138"/>
  <c r="F40" i="138"/>
  <c r="F10" i="138"/>
  <c r="H10" i="138"/>
  <c r="B10" i="138"/>
  <c r="L63" i="138"/>
  <c r="W78" i="138"/>
  <c r="H78" i="138"/>
  <c r="W77" i="138"/>
  <c r="H77" i="138"/>
  <c r="W76" i="138"/>
  <c r="H76" i="138"/>
  <c r="W75" i="138"/>
  <c r="H75" i="138"/>
  <c r="W74" i="138"/>
  <c r="H74" i="138"/>
  <c r="W73" i="138"/>
  <c r="W72" i="138"/>
  <c r="W71" i="138"/>
  <c r="N71" i="138"/>
  <c r="V71" i="138"/>
  <c r="K71" i="138"/>
  <c r="J71" i="138"/>
  <c r="P71" i="138"/>
  <c r="F71" i="138"/>
  <c r="H71" i="138"/>
  <c r="B71" i="138"/>
  <c r="W70" i="138"/>
  <c r="N70" i="138"/>
  <c r="K70" i="138"/>
  <c r="J70" i="138"/>
  <c r="P70" i="138"/>
  <c r="F70" i="138"/>
  <c r="H70" i="138"/>
  <c r="M69" i="138"/>
  <c r="M79" i="138"/>
  <c r="W68" i="138"/>
  <c r="H68" i="138"/>
  <c r="W67" i="138"/>
  <c r="H67" i="138"/>
  <c r="W66" i="138"/>
  <c r="H66" i="138"/>
  <c r="W65" i="138"/>
  <c r="W64" i="138"/>
  <c r="W63" i="138"/>
  <c r="N63" i="138"/>
  <c r="O63" i="138"/>
  <c r="W62" i="138"/>
  <c r="V62" i="138"/>
  <c r="N62" i="138"/>
  <c r="K62" i="138"/>
  <c r="J62" i="138"/>
  <c r="F62" i="138"/>
  <c r="H62" i="138"/>
  <c r="B62" i="138"/>
  <c r="W61" i="138"/>
  <c r="V61" i="138"/>
  <c r="N61" i="138"/>
  <c r="K61" i="138"/>
  <c r="J61" i="138"/>
  <c r="P61" i="138"/>
  <c r="F61" i="138"/>
  <c r="H61" i="138"/>
  <c r="B61" i="138"/>
  <c r="W60" i="138"/>
  <c r="N60" i="138"/>
  <c r="V60" i="138"/>
  <c r="K60" i="138"/>
  <c r="J60" i="138"/>
  <c r="P60" i="138"/>
  <c r="F60" i="138"/>
  <c r="H60" i="138"/>
  <c r="B60" i="138"/>
  <c r="W59" i="138"/>
  <c r="N59" i="138"/>
  <c r="K59" i="138"/>
  <c r="J59" i="138"/>
  <c r="P59" i="138"/>
  <c r="F59" i="138"/>
  <c r="H59" i="138"/>
  <c r="B59" i="138"/>
  <c r="M58" i="138"/>
  <c r="W57" i="138"/>
  <c r="H57" i="138"/>
  <c r="W56" i="138"/>
  <c r="H56" i="138"/>
  <c r="W55" i="138"/>
  <c r="H55" i="138"/>
  <c r="W54" i="138"/>
  <c r="H54" i="138"/>
  <c r="W53" i="138"/>
  <c r="W52" i="138"/>
  <c r="W51" i="138"/>
  <c r="W50" i="138"/>
  <c r="V50" i="138"/>
  <c r="N50" i="138"/>
  <c r="K50" i="138"/>
  <c r="J50" i="138"/>
  <c r="P50" i="138"/>
  <c r="F50" i="138"/>
  <c r="H50" i="138"/>
  <c r="B50" i="138"/>
  <c r="W49" i="138"/>
  <c r="N49" i="138"/>
  <c r="O49" i="138"/>
  <c r="K49" i="138"/>
  <c r="J49" i="138"/>
  <c r="P49" i="138"/>
  <c r="F49" i="138"/>
  <c r="H49" i="138"/>
  <c r="B49" i="138"/>
  <c r="W48" i="138"/>
  <c r="M48" i="138"/>
  <c r="G18" i="137"/>
  <c r="W47" i="138"/>
  <c r="H47" i="138"/>
  <c r="W46" i="138"/>
  <c r="H46" i="138"/>
  <c r="W45" i="138"/>
  <c r="H45" i="138"/>
  <c r="W44" i="138"/>
  <c r="H44" i="138"/>
  <c r="W43" i="138"/>
  <c r="H43" i="138"/>
  <c r="W42" i="138"/>
  <c r="W41" i="138"/>
  <c r="W40" i="138"/>
  <c r="N40" i="138"/>
  <c r="O40" i="138"/>
  <c r="W39" i="138"/>
  <c r="V39" i="138"/>
  <c r="K39" i="138"/>
  <c r="J39" i="138"/>
  <c r="P39" i="138"/>
  <c r="F39" i="138"/>
  <c r="W38" i="138"/>
  <c r="N38" i="138"/>
  <c r="K38" i="138"/>
  <c r="J38" i="138"/>
  <c r="F38" i="138"/>
  <c r="M37" i="138"/>
  <c r="W36" i="138"/>
  <c r="H36" i="138"/>
  <c r="W35" i="138"/>
  <c r="H35" i="138"/>
  <c r="W34" i="138"/>
  <c r="H34" i="138"/>
  <c r="W33" i="138"/>
  <c r="H33" i="138"/>
  <c r="W32" i="138"/>
  <c r="W31" i="138"/>
  <c r="W30" i="138"/>
  <c r="W29" i="138"/>
  <c r="W28" i="138"/>
  <c r="V28" i="138"/>
  <c r="N28" i="138"/>
  <c r="K28" i="138"/>
  <c r="J28" i="138"/>
  <c r="P28" i="138"/>
  <c r="F28" i="138"/>
  <c r="H28" i="138"/>
  <c r="B28" i="138"/>
  <c r="W27" i="138"/>
  <c r="N27" i="138"/>
  <c r="K27" i="138"/>
  <c r="J27" i="138"/>
  <c r="P27" i="138"/>
  <c r="F27" i="138"/>
  <c r="H27" i="138"/>
  <c r="M26" i="138"/>
  <c r="E18" i="137"/>
  <c r="J26" i="138"/>
  <c r="W25" i="138"/>
  <c r="H25" i="138"/>
  <c r="W24" i="138"/>
  <c r="H24" i="138"/>
  <c r="W23" i="138"/>
  <c r="H23" i="138"/>
  <c r="H22" i="138"/>
  <c r="H21" i="138"/>
  <c r="W20" i="138"/>
  <c r="W19" i="138"/>
  <c r="N19" i="138"/>
  <c r="O19" i="138"/>
  <c r="V19" i="138"/>
  <c r="P19" i="138"/>
  <c r="K19" i="138"/>
  <c r="L19" i="138"/>
  <c r="F19" i="138"/>
  <c r="H19" i="138"/>
  <c r="W18" i="138"/>
  <c r="N18" i="138"/>
  <c r="V18" i="138"/>
  <c r="P18" i="138"/>
  <c r="K18" i="138"/>
  <c r="L18" i="138"/>
  <c r="F18" i="138"/>
  <c r="H18" i="138"/>
  <c r="W17" i="138"/>
  <c r="V17" i="138"/>
  <c r="P17" i="138"/>
  <c r="N17" i="138"/>
  <c r="K17" i="138"/>
  <c r="L17" i="138"/>
  <c r="F17" i="138"/>
  <c r="H17" i="138"/>
  <c r="W16" i="138"/>
  <c r="N16" i="138"/>
  <c r="P16" i="138"/>
  <c r="K16" i="138"/>
  <c r="F16" i="138"/>
  <c r="H16" i="138"/>
  <c r="M15" i="138"/>
  <c r="D18" i="137"/>
  <c r="J15" i="138"/>
  <c r="W14" i="138"/>
  <c r="H14" i="138"/>
  <c r="W13" i="138"/>
  <c r="W12" i="138"/>
  <c r="W11" i="138"/>
  <c r="W10" i="138"/>
  <c r="N10" i="138"/>
  <c r="O10" i="138"/>
  <c r="W9" i="138"/>
  <c r="N9" i="138"/>
  <c r="O9" i="138"/>
  <c r="W8" i="138"/>
  <c r="V8" i="138"/>
  <c r="W7" i="138"/>
  <c r="N7" i="138"/>
  <c r="V7" i="138"/>
  <c r="P7" i="138"/>
  <c r="K7" i="138"/>
  <c r="L7" i="138"/>
  <c r="F7" i="138"/>
  <c r="H7" i="138"/>
  <c r="B7" i="138"/>
  <c r="W6" i="138"/>
  <c r="N6" i="138"/>
  <c r="O6" i="138"/>
  <c r="V6" i="138"/>
  <c r="P6" i="138"/>
  <c r="K6" i="138"/>
  <c r="L6" i="138"/>
  <c r="F6" i="138"/>
  <c r="H6" i="138"/>
  <c r="B6" i="138"/>
  <c r="W5" i="138"/>
  <c r="P5" i="138"/>
  <c r="N5" i="138"/>
  <c r="K5" i="138"/>
  <c r="L5" i="138"/>
  <c r="F5" i="138"/>
  <c r="H5" i="138"/>
  <c r="B5" i="138"/>
  <c r="I2" i="138"/>
  <c r="E1" i="138"/>
  <c r="G3" i="137"/>
  <c r="J16" i="137"/>
  <c r="I16" i="137"/>
  <c r="H16" i="137"/>
  <c r="G16" i="137"/>
  <c r="F16" i="137"/>
  <c r="E16" i="137"/>
  <c r="D16" i="137"/>
  <c r="V72" i="136"/>
  <c r="V71" i="136"/>
  <c r="K72" i="136"/>
  <c r="J72" i="136"/>
  <c r="P72" i="136"/>
  <c r="K71" i="136"/>
  <c r="J71" i="136"/>
  <c r="P71" i="136"/>
  <c r="F72" i="136"/>
  <c r="H72" i="136"/>
  <c r="F71" i="136"/>
  <c r="H71" i="136"/>
  <c r="B72" i="136"/>
  <c r="B71" i="136"/>
  <c r="L60" i="138"/>
  <c r="K69" i="138"/>
  <c r="K79" i="138"/>
  <c r="AC17" i="138"/>
  <c r="AC38" i="138"/>
  <c r="L49" i="138"/>
  <c r="L27" i="138"/>
  <c r="J69" i="138"/>
  <c r="J79" i="138"/>
  <c r="P79" i="138"/>
  <c r="L61" i="138"/>
  <c r="L70" i="138"/>
  <c r="AC5" i="138"/>
  <c r="Q49" i="138"/>
  <c r="L59" i="138"/>
  <c r="L69" i="138"/>
  <c r="AC61" i="138"/>
  <c r="J37" i="138"/>
  <c r="P37" i="138"/>
  <c r="L15" i="138"/>
  <c r="D13" i="137"/>
  <c r="J58" i="138"/>
  <c r="P58" i="138"/>
  <c r="L28" i="138"/>
  <c r="L71" i="136"/>
  <c r="L72" i="136"/>
  <c r="AC27" i="138"/>
  <c r="L39" i="138"/>
  <c r="AC18" i="138"/>
  <c r="J48" i="138"/>
  <c r="P48" i="138"/>
  <c r="K58" i="138"/>
  <c r="AC62" i="138"/>
  <c r="AC28" i="138"/>
  <c r="K48" i="138"/>
  <c r="AC50" i="138"/>
  <c r="R9" i="138"/>
  <c r="Q9" i="138"/>
  <c r="AB63" i="138"/>
  <c r="AC63" i="138"/>
  <c r="Q63" i="138"/>
  <c r="R63" i="138"/>
  <c r="Q40" i="138"/>
  <c r="R40" i="138"/>
  <c r="O17" i="138"/>
  <c r="R17" i="138"/>
  <c r="AC9" i="138"/>
  <c r="AB9" i="138"/>
  <c r="Q10" i="138"/>
  <c r="R10" i="138"/>
  <c r="H18" i="137"/>
  <c r="F18" i="137"/>
  <c r="P26" i="138"/>
  <c r="P15" i="138"/>
  <c r="I18" i="137"/>
  <c r="I1" i="138"/>
  <c r="R49" i="138"/>
  <c r="N58" i="138"/>
  <c r="O27" i="138"/>
  <c r="Q17" i="138"/>
  <c r="O18" i="138"/>
  <c r="R18" i="138"/>
  <c r="L71" i="138"/>
  <c r="K26" i="138"/>
  <c r="O60" i="138"/>
  <c r="AB60" i="138"/>
  <c r="AC60" i="138"/>
  <c r="AC7" i="138"/>
  <c r="AB7" i="138"/>
  <c r="O7" i="138"/>
  <c r="O71" i="138"/>
  <c r="AC71" i="138"/>
  <c r="AB71" i="138"/>
  <c r="N26" i="138"/>
  <c r="O16" i="138"/>
  <c r="AB16" i="138"/>
  <c r="AC16" i="138"/>
  <c r="R19" i="138"/>
  <c r="Q19" i="138"/>
  <c r="AC6" i="138"/>
  <c r="AB6" i="138"/>
  <c r="G1" i="138"/>
  <c r="AC8" i="138"/>
  <c r="AB8" i="138"/>
  <c r="J18" i="137"/>
  <c r="AC39" i="138"/>
  <c r="AB39" i="138"/>
  <c r="O39" i="138"/>
  <c r="O59" i="138"/>
  <c r="N69" i="138"/>
  <c r="AC59" i="138"/>
  <c r="AB59" i="138"/>
  <c r="O70" i="138"/>
  <c r="AC70" i="138"/>
  <c r="AB70" i="138"/>
  <c r="O61" i="138"/>
  <c r="L38" i="138"/>
  <c r="O5" i="138"/>
  <c r="O50" i="138"/>
  <c r="N37" i="138"/>
  <c r="O62" i="138"/>
  <c r="AB17" i="138"/>
  <c r="AB27" i="138"/>
  <c r="P38" i="138"/>
  <c r="AB49" i="138"/>
  <c r="P62" i="138"/>
  <c r="O38" i="138"/>
  <c r="K15" i="138"/>
  <c r="AB18" i="138"/>
  <c r="AC49" i="138"/>
  <c r="L50" i="138"/>
  <c r="L58" i="138"/>
  <c r="H13" i="137"/>
  <c r="L62" i="138"/>
  <c r="L16" i="138"/>
  <c r="L26" i="138"/>
  <c r="E13" i="137"/>
  <c r="AB19" i="138"/>
  <c r="AB61" i="138"/>
  <c r="P69" i="138"/>
  <c r="K37" i="138"/>
  <c r="AC19" i="138"/>
  <c r="N48" i="138"/>
  <c r="O28" i="138"/>
  <c r="AB5" i="138"/>
  <c r="N15" i="138"/>
  <c r="AB28" i="138"/>
  <c r="AB50" i="138"/>
  <c r="AB38" i="138"/>
  <c r="AB62" i="138"/>
  <c r="W78" i="136"/>
  <c r="H78" i="136"/>
  <c r="W77" i="136"/>
  <c r="H77" i="136"/>
  <c r="W76" i="136"/>
  <c r="H76" i="136"/>
  <c r="W75" i="136"/>
  <c r="H75" i="136"/>
  <c r="W74" i="136"/>
  <c r="H74" i="136"/>
  <c r="W73" i="136"/>
  <c r="W72" i="136"/>
  <c r="N72" i="136"/>
  <c r="O72" i="136"/>
  <c r="W71" i="136"/>
  <c r="N71" i="136"/>
  <c r="O71" i="136"/>
  <c r="W70" i="136"/>
  <c r="N70" i="136"/>
  <c r="K70" i="136"/>
  <c r="J70" i="136"/>
  <c r="P70" i="136"/>
  <c r="F70" i="136"/>
  <c r="H70" i="136"/>
  <c r="M69" i="136"/>
  <c r="M79" i="136"/>
  <c r="W68" i="136"/>
  <c r="H68" i="136"/>
  <c r="W67" i="136"/>
  <c r="H67" i="136"/>
  <c r="W66" i="136"/>
  <c r="H66" i="136"/>
  <c r="W65" i="136"/>
  <c r="H65" i="136"/>
  <c r="W64" i="136"/>
  <c r="H64" i="136"/>
  <c r="W63" i="136"/>
  <c r="AC63" i="136"/>
  <c r="W62" i="136"/>
  <c r="N62" i="136"/>
  <c r="V62" i="136"/>
  <c r="K62" i="136"/>
  <c r="J62" i="136"/>
  <c r="P62" i="136"/>
  <c r="F62" i="136"/>
  <c r="H62" i="136"/>
  <c r="B62" i="136"/>
  <c r="W61" i="136"/>
  <c r="V61" i="136"/>
  <c r="N61" i="136"/>
  <c r="K61" i="136"/>
  <c r="J61" i="136"/>
  <c r="P61" i="136"/>
  <c r="F61" i="136"/>
  <c r="H61" i="136"/>
  <c r="B61" i="136"/>
  <c r="W60" i="136"/>
  <c r="V60" i="136"/>
  <c r="N60" i="136"/>
  <c r="O60" i="136"/>
  <c r="K60" i="136"/>
  <c r="J60" i="136"/>
  <c r="P60" i="136"/>
  <c r="F60" i="136"/>
  <c r="H60" i="136"/>
  <c r="B60" i="136"/>
  <c r="W59" i="136"/>
  <c r="N59" i="136"/>
  <c r="O59" i="136"/>
  <c r="K59" i="136"/>
  <c r="J59" i="136"/>
  <c r="F59" i="136"/>
  <c r="H59" i="136"/>
  <c r="B59" i="136"/>
  <c r="M58" i="136"/>
  <c r="H18" i="135"/>
  <c r="W57" i="136"/>
  <c r="H57" i="136"/>
  <c r="W56" i="136"/>
  <c r="H56" i="136"/>
  <c r="W55" i="136"/>
  <c r="H55" i="136"/>
  <c r="W54" i="136"/>
  <c r="H54" i="136"/>
  <c r="W53" i="136"/>
  <c r="W52" i="136"/>
  <c r="W51" i="136"/>
  <c r="V51" i="136"/>
  <c r="N51" i="136"/>
  <c r="O51" i="136"/>
  <c r="K51" i="136"/>
  <c r="J51" i="136"/>
  <c r="P51" i="136"/>
  <c r="F51" i="136"/>
  <c r="H51" i="136"/>
  <c r="B51" i="136"/>
  <c r="W50" i="136"/>
  <c r="N50" i="136"/>
  <c r="V50" i="136"/>
  <c r="K50" i="136"/>
  <c r="J50" i="136"/>
  <c r="P50" i="136"/>
  <c r="F50" i="136"/>
  <c r="H50" i="136"/>
  <c r="B50" i="136"/>
  <c r="W49" i="136"/>
  <c r="N49" i="136"/>
  <c r="O49" i="136"/>
  <c r="K49" i="136"/>
  <c r="J49" i="136"/>
  <c r="P49" i="136"/>
  <c r="F49" i="136"/>
  <c r="H49" i="136"/>
  <c r="B49" i="136"/>
  <c r="W48" i="136"/>
  <c r="M48" i="136"/>
  <c r="G18" i="135"/>
  <c r="W47" i="136"/>
  <c r="H47" i="136"/>
  <c r="W46" i="136"/>
  <c r="H46" i="136"/>
  <c r="W45" i="136"/>
  <c r="H45" i="136"/>
  <c r="W44" i="136"/>
  <c r="H44" i="136"/>
  <c r="W43" i="136"/>
  <c r="H43" i="136"/>
  <c r="W42" i="136"/>
  <c r="H42" i="136"/>
  <c r="W41" i="136"/>
  <c r="W40" i="136"/>
  <c r="W39" i="136"/>
  <c r="N39" i="136"/>
  <c r="V39" i="136"/>
  <c r="K39" i="136"/>
  <c r="J39" i="136"/>
  <c r="P39" i="136"/>
  <c r="F39" i="136"/>
  <c r="W38" i="136"/>
  <c r="N38" i="136"/>
  <c r="K38" i="136"/>
  <c r="J38" i="136"/>
  <c r="P38" i="136"/>
  <c r="F38" i="136"/>
  <c r="M37" i="136"/>
  <c r="W36" i="136"/>
  <c r="H36" i="136"/>
  <c r="W35" i="136"/>
  <c r="H35" i="136"/>
  <c r="W34" i="136"/>
  <c r="H34" i="136"/>
  <c r="W33" i="136"/>
  <c r="H33" i="136"/>
  <c r="W32" i="136"/>
  <c r="W31" i="136"/>
  <c r="W30" i="136"/>
  <c r="W29" i="136"/>
  <c r="V29" i="136"/>
  <c r="N29" i="136"/>
  <c r="O29" i="136"/>
  <c r="K29" i="136"/>
  <c r="J29" i="136"/>
  <c r="P29" i="136"/>
  <c r="F29" i="136"/>
  <c r="H29" i="136"/>
  <c r="W28" i="136"/>
  <c r="N28" i="136"/>
  <c r="V28" i="136"/>
  <c r="K28" i="136"/>
  <c r="J28" i="136"/>
  <c r="P28" i="136"/>
  <c r="F28" i="136"/>
  <c r="H28" i="136"/>
  <c r="B28" i="136"/>
  <c r="W27" i="136"/>
  <c r="N27" i="136"/>
  <c r="K27" i="136"/>
  <c r="J27" i="136"/>
  <c r="F27" i="136"/>
  <c r="H27" i="136"/>
  <c r="M26" i="136"/>
  <c r="W25" i="136"/>
  <c r="H25" i="136"/>
  <c r="W24" i="136"/>
  <c r="H24" i="136"/>
  <c r="W23" i="136"/>
  <c r="H23" i="136"/>
  <c r="H22" i="136"/>
  <c r="H21" i="136"/>
  <c r="W20" i="136"/>
  <c r="W19" i="136"/>
  <c r="N19" i="136"/>
  <c r="V19" i="136"/>
  <c r="P19" i="136"/>
  <c r="K19" i="136"/>
  <c r="L19" i="136"/>
  <c r="F19" i="136"/>
  <c r="H19" i="136"/>
  <c r="W18" i="136"/>
  <c r="N18" i="136"/>
  <c r="V18" i="136"/>
  <c r="K18" i="136"/>
  <c r="L18" i="136"/>
  <c r="P18" i="136"/>
  <c r="F18" i="136"/>
  <c r="H18" i="136"/>
  <c r="W17" i="136"/>
  <c r="N17" i="136"/>
  <c r="V17" i="136"/>
  <c r="K17" i="136"/>
  <c r="P17" i="136"/>
  <c r="F17" i="136"/>
  <c r="H17" i="136"/>
  <c r="W16" i="136"/>
  <c r="N16" i="136"/>
  <c r="P16" i="136"/>
  <c r="K16" i="136"/>
  <c r="L16" i="136"/>
  <c r="J26" i="136"/>
  <c r="P26" i="136"/>
  <c r="F16" i="136"/>
  <c r="H16" i="136"/>
  <c r="M15" i="136"/>
  <c r="D18" i="135"/>
  <c r="W14" i="136"/>
  <c r="H14" i="136"/>
  <c r="W13" i="136"/>
  <c r="H13" i="136"/>
  <c r="W12" i="136"/>
  <c r="H12" i="136"/>
  <c r="W11" i="136"/>
  <c r="W10" i="136"/>
  <c r="W9" i="136"/>
  <c r="AC9" i="136"/>
  <c r="W8" i="136"/>
  <c r="N8" i="136"/>
  <c r="V8" i="136"/>
  <c r="P8" i="136"/>
  <c r="K8" i="136"/>
  <c r="L8" i="136"/>
  <c r="F8" i="136"/>
  <c r="H8" i="136"/>
  <c r="B8" i="136"/>
  <c r="W7" i="136"/>
  <c r="N7" i="136"/>
  <c r="V7" i="136"/>
  <c r="K7" i="136"/>
  <c r="P7" i="136"/>
  <c r="F7" i="136"/>
  <c r="H7" i="136"/>
  <c r="B7" i="136"/>
  <c r="W6" i="136"/>
  <c r="V6" i="136"/>
  <c r="N6" i="136"/>
  <c r="K6" i="136"/>
  <c r="L6" i="136"/>
  <c r="P6" i="136"/>
  <c r="F6" i="136"/>
  <c r="H6" i="136"/>
  <c r="B6" i="136"/>
  <c r="W5" i="136"/>
  <c r="N5" i="136"/>
  <c r="K5" i="136"/>
  <c r="F5" i="136"/>
  <c r="H5" i="136"/>
  <c r="B5" i="136"/>
  <c r="I2" i="136"/>
  <c r="E1" i="136"/>
  <c r="G3" i="135"/>
  <c r="E18" i="135"/>
  <c r="J16" i="135"/>
  <c r="I16" i="135"/>
  <c r="H16" i="135"/>
  <c r="G16" i="135"/>
  <c r="F16" i="135"/>
  <c r="E16" i="135"/>
  <c r="D16" i="135"/>
  <c r="V10" i="134"/>
  <c r="W38" i="134"/>
  <c r="N38" i="134"/>
  <c r="V40" i="134"/>
  <c r="W71" i="134"/>
  <c r="N40" i="134"/>
  <c r="O40" i="134"/>
  <c r="N10" i="134"/>
  <c r="O10" i="134"/>
  <c r="F10" i="134"/>
  <c r="H10" i="134"/>
  <c r="J10" i="134"/>
  <c r="P10" i="134"/>
  <c r="K10" i="134"/>
  <c r="B10" i="134"/>
  <c r="F40" i="134"/>
  <c r="J40" i="134"/>
  <c r="P40" i="134"/>
  <c r="K40" i="134"/>
  <c r="W78" i="134"/>
  <c r="H78" i="134"/>
  <c r="W77" i="134"/>
  <c r="H77" i="134"/>
  <c r="W76" i="134"/>
  <c r="H76" i="134"/>
  <c r="W75" i="134"/>
  <c r="H75" i="134"/>
  <c r="W74" i="134"/>
  <c r="H74" i="134"/>
  <c r="W73" i="134"/>
  <c r="W72" i="134"/>
  <c r="AB71" i="134"/>
  <c r="W70" i="134"/>
  <c r="N70" i="134"/>
  <c r="K70" i="134"/>
  <c r="J70" i="134"/>
  <c r="P70" i="134"/>
  <c r="F70" i="134"/>
  <c r="H70" i="134"/>
  <c r="M69" i="134"/>
  <c r="W68" i="134"/>
  <c r="H68" i="134"/>
  <c r="W67" i="134"/>
  <c r="H67" i="134"/>
  <c r="W66" i="134"/>
  <c r="H66" i="134"/>
  <c r="W65" i="134"/>
  <c r="H65" i="134"/>
  <c r="W64" i="134"/>
  <c r="H64" i="134"/>
  <c r="W63" i="134"/>
  <c r="N63" i="134"/>
  <c r="V63" i="134"/>
  <c r="K63" i="134"/>
  <c r="J63" i="134"/>
  <c r="P63" i="134"/>
  <c r="F63" i="134"/>
  <c r="H63" i="134"/>
  <c r="W62" i="134"/>
  <c r="V62" i="134"/>
  <c r="N62" i="134"/>
  <c r="K62" i="134"/>
  <c r="J62" i="134"/>
  <c r="P62" i="134"/>
  <c r="F62" i="134"/>
  <c r="H62" i="134"/>
  <c r="B62" i="134"/>
  <c r="W61" i="134"/>
  <c r="N61" i="134"/>
  <c r="V61" i="134"/>
  <c r="K61" i="134"/>
  <c r="J61" i="134"/>
  <c r="P61" i="134"/>
  <c r="F61" i="134"/>
  <c r="H61" i="134"/>
  <c r="B61" i="134"/>
  <c r="W60" i="134"/>
  <c r="N60" i="134"/>
  <c r="V60" i="134"/>
  <c r="K60" i="134"/>
  <c r="J60" i="134"/>
  <c r="P60" i="134"/>
  <c r="F60" i="134"/>
  <c r="H60" i="134"/>
  <c r="B60" i="134"/>
  <c r="W59" i="134"/>
  <c r="N59" i="134"/>
  <c r="K59" i="134"/>
  <c r="J59" i="134"/>
  <c r="F59" i="134"/>
  <c r="H59" i="134"/>
  <c r="B59" i="134"/>
  <c r="M58" i="134"/>
  <c r="W57" i="134"/>
  <c r="H57" i="134"/>
  <c r="W56" i="134"/>
  <c r="H56" i="134"/>
  <c r="W55" i="134"/>
  <c r="H55" i="134"/>
  <c r="W54" i="134"/>
  <c r="H54" i="134"/>
  <c r="W53" i="134"/>
  <c r="W52" i="134"/>
  <c r="W51" i="134"/>
  <c r="V51" i="134"/>
  <c r="N51" i="134"/>
  <c r="K51" i="134"/>
  <c r="J51" i="134"/>
  <c r="P51" i="134"/>
  <c r="F51" i="134"/>
  <c r="H51" i="134"/>
  <c r="B51" i="134"/>
  <c r="W50" i="134"/>
  <c r="N50" i="134"/>
  <c r="V50" i="134"/>
  <c r="K50" i="134"/>
  <c r="J50" i="134"/>
  <c r="P50" i="134"/>
  <c r="F50" i="134"/>
  <c r="H50" i="134"/>
  <c r="B50" i="134"/>
  <c r="W49" i="134"/>
  <c r="N49" i="134"/>
  <c r="K49" i="134"/>
  <c r="J49" i="134"/>
  <c r="F49" i="134"/>
  <c r="H49" i="134"/>
  <c r="B49" i="134"/>
  <c r="W48" i="134"/>
  <c r="M48" i="134"/>
  <c r="G18" i="133"/>
  <c r="W47" i="134"/>
  <c r="H47" i="134"/>
  <c r="W46" i="134"/>
  <c r="H46" i="134"/>
  <c r="W45" i="134"/>
  <c r="H45" i="134"/>
  <c r="W44" i="134"/>
  <c r="H44" i="134"/>
  <c r="W43" i="134"/>
  <c r="H43" i="134"/>
  <c r="W42" i="134"/>
  <c r="H42" i="134"/>
  <c r="W41" i="134"/>
  <c r="W40" i="134"/>
  <c r="W39" i="134"/>
  <c r="V39" i="134"/>
  <c r="N39" i="134"/>
  <c r="K39" i="134"/>
  <c r="J39" i="134"/>
  <c r="F39" i="134"/>
  <c r="K38" i="134"/>
  <c r="J38" i="134"/>
  <c r="P38" i="134"/>
  <c r="F38" i="134"/>
  <c r="M37" i="134"/>
  <c r="W36" i="134"/>
  <c r="H36" i="134"/>
  <c r="W35" i="134"/>
  <c r="H35" i="134"/>
  <c r="W34" i="134"/>
  <c r="H34" i="134"/>
  <c r="W33" i="134"/>
  <c r="H33" i="134"/>
  <c r="W32" i="134"/>
  <c r="H32" i="134"/>
  <c r="W31" i="134"/>
  <c r="W30" i="134"/>
  <c r="W29" i="134"/>
  <c r="N29" i="134"/>
  <c r="V29" i="134"/>
  <c r="K29" i="134"/>
  <c r="J29" i="134"/>
  <c r="P29" i="134"/>
  <c r="F29" i="134"/>
  <c r="H29" i="134"/>
  <c r="W28" i="134"/>
  <c r="N28" i="134"/>
  <c r="O28" i="134"/>
  <c r="V28" i="134"/>
  <c r="K28" i="134"/>
  <c r="J28" i="134"/>
  <c r="P28" i="134"/>
  <c r="F28" i="134"/>
  <c r="H28" i="134"/>
  <c r="B28" i="134"/>
  <c r="W27" i="134"/>
  <c r="N27" i="134"/>
  <c r="K27" i="134"/>
  <c r="J27" i="134"/>
  <c r="P27" i="134"/>
  <c r="F27" i="134"/>
  <c r="H27" i="134"/>
  <c r="M26" i="134"/>
  <c r="W25" i="134"/>
  <c r="H25" i="134"/>
  <c r="W24" i="134"/>
  <c r="H24" i="134"/>
  <c r="W23" i="134"/>
  <c r="H23" i="134"/>
  <c r="H22" i="134"/>
  <c r="H21" i="134"/>
  <c r="W20" i="134"/>
  <c r="W19" i="134"/>
  <c r="N19" i="134"/>
  <c r="V19" i="134"/>
  <c r="K19" i="134"/>
  <c r="J19" i="134"/>
  <c r="P19" i="134"/>
  <c r="F19" i="134"/>
  <c r="H19" i="134"/>
  <c r="W18" i="134"/>
  <c r="N18" i="134"/>
  <c r="V18" i="134"/>
  <c r="K18" i="134"/>
  <c r="J18" i="134"/>
  <c r="P18" i="134"/>
  <c r="F18" i="134"/>
  <c r="H18" i="134"/>
  <c r="W17" i="134"/>
  <c r="V17" i="134"/>
  <c r="N17" i="134"/>
  <c r="O17" i="134"/>
  <c r="K17" i="134"/>
  <c r="AC17" i="134"/>
  <c r="J17" i="134"/>
  <c r="F17" i="134"/>
  <c r="H17" i="134"/>
  <c r="W16" i="134"/>
  <c r="N16" i="134"/>
  <c r="K16" i="134"/>
  <c r="J16" i="134"/>
  <c r="P16" i="134"/>
  <c r="F16" i="134"/>
  <c r="H16" i="134"/>
  <c r="M15" i="134"/>
  <c r="W14" i="134"/>
  <c r="H14" i="134"/>
  <c r="W13" i="134"/>
  <c r="H13" i="134"/>
  <c r="W12" i="134"/>
  <c r="H12" i="134"/>
  <c r="W11" i="134"/>
  <c r="W10" i="134"/>
  <c r="W9" i="134"/>
  <c r="V9" i="134"/>
  <c r="N9" i="134"/>
  <c r="K9" i="134"/>
  <c r="J9" i="134"/>
  <c r="P9" i="134"/>
  <c r="F9" i="134"/>
  <c r="H9" i="134"/>
  <c r="B9" i="134"/>
  <c r="W8" i="134"/>
  <c r="V8" i="134"/>
  <c r="N8" i="134"/>
  <c r="K8" i="134"/>
  <c r="J8" i="134"/>
  <c r="P8" i="134"/>
  <c r="F8" i="134"/>
  <c r="H8" i="134"/>
  <c r="B8" i="134"/>
  <c r="W7" i="134"/>
  <c r="N7" i="134"/>
  <c r="V7" i="134"/>
  <c r="K7" i="134"/>
  <c r="J7" i="134"/>
  <c r="P7" i="134"/>
  <c r="F7" i="134"/>
  <c r="H7" i="134"/>
  <c r="B7" i="134"/>
  <c r="W6" i="134"/>
  <c r="N6" i="134"/>
  <c r="V6" i="134"/>
  <c r="K6" i="134"/>
  <c r="J6" i="134"/>
  <c r="P6" i="134"/>
  <c r="F6" i="134"/>
  <c r="H6" i="134"/>
  <c r="B6" i="134"/>
  <c r="W5" i="134"/>
  <c r="N5" i="134"/>
  <c r="K5" i="134"/>
  <c r="J5" i="134"/>
  <c r="F5" i="134"/>
  <c r="H5" i="134"/>
  <c r="B5" i="134"/>
  <c r="I2" i="134"/>
  <c r="E1" i="134"/>
  <c r="G3" i="133"/>
  <c r="E18" i="133"/>
  <c r="J16" i="133"/>
  <c r="I16" i="133"/>
  <c r="H16" i="133"/>
  <c r="G16" i="133"/>
  <c r="F16" i="133"/>
  <c r="E16" i="133"/>
  <c r="D16" i="133"/>
  <c r="V71" i="132"/>
  <c r="I18" i="131"/>
  <c r="H18" i="131"/>
  <c r="F18" i="131"/>
  <c r="E18" i="131"/>
  <c r="D18" i="131"/>
  <c r="J16" i="131"/>
  <c r="I16" i="131"/>
  <c r="H16" i="131"/>
  <c r="G16" i="131"/>
  <c r="F16" i="131"/>
  <c r="E16" i="131"/>
  <c r="D16" i="131"/>
  <c r="I14" i="131"/>
  <c r="H14" i="131"/>
  <c r="F14" i="131"/>
  <c r="E14" i="131"/>
  <c r="D14" i="131"/>
  <c r="G3" i="131"/>
  <c r="K71" i="132"/>
  <c r="J71" i="132"/>
  <c r="P71" i="132"/>
  <c r="F71" i="132"/>
  <c r="V63" i="132"/>
  <c r="K63" i="132"/>
  <c r="J63" i="132"/>
  <c r="P63" i="132"/>
  <c r="F63" i="132"/>
  <c r="H63" i="132"/>
  <c r="E1" i="132"/>
  <c r="W78" i="132"/>
  <c r="H78" i="132"/>
  <c r="W77" i="132"/>
  <c r="H77" i="132"/>
  <c r="W76" i="132"/>
  <c r="H76" i="132"/>
  <c r="W75" i="132"/>
  <c r="H75" i="132"/>
  <c r="W74" i="132"/>
  <c r="H74" i="132"/>
  <c r="W73" i="132"/>
  <c r="W72" i="132"/>
  <c r="W71" i="132"/>
  <c r="N71" i="132"/>
  <c r="O71" i="132"/>
  <c r="W70" i="132"/>
  <c r="N70" i="132"/>
  <c r="K70" i="132"/>
  <c r="J70" i="132"/>
  <c r="P70" i="132"/>
  <c r="F70" i="132"/>
  <c r="H70" i="132"/>
  <c r="M69" i="132"/>
  <c r="M79" i="132"/>
  <c r="J18" i="131"/>
  <c r="W68" i="132"/>
  <c r="H68" i="132"/>
  <c r="W67" i="132"/>
  <c r="H67" i="132"/>
  <c r="W66" i="132"/>
  <c r="H66" i="132"/>
  <c r="W65" i="132"/>
  <c r="H65" i="132"/>
  <c r="W64" i="132"/>
  <c r="H64" i="132"/>
  <c r="W63" i="132"/>
  <c r="N63" i="132"/>
  <c r="O63" i="132"/>
  <c r="W62" i="132"/>
  <c r="V62" i="132"/>
  <c r="N62" i="132"/>
  <c r="O62" i="132"/>
  <c r="K62" i="132"/>
  <c r="J62" i="132"/>
  <c r="P62" i="132"/>
  <c r="F62" i="132"/>
  <c r="H62" i="132"/>
  <c r="B62" i="132"/>
  <c r="W61" i="132"/>
  <c r="N61" i="132"/>
  <c r="O61" i="132"/>
  <c r="V61" i="132"/>
  <c r="K61" i="132"/>
  <c r="J61" i="132"/>
  <c r="P61" i="132"/>
  <c r="F61" i="132"/>
  <c r="H61" i="132"/>
  <c r="B61" i="132"/>
  <c r="W60" i="132"/>
  <c r="V60" i="132"/>
  <c r="N60" i="132"/>
  <c r="K60" i="132"/>
  <c r="J60" i="132"/>
  <c r="P60" i="132"/>
  <c r="F60" i="132"/>
  <c r="H60" i="132"/>
  <c r="B60" i="132"/>
  <c r="W59" i="132"/>
  <c r="N59" i="132"/>
  <c r="K59" i="132"/>
  <c r="J59" i="132"/>
  <c r="F59" i="132"/>
  <c r="H59" i="132"/>
  <c r="B59" i="132"/>
  <c r="M58" i="132"/>
  <c r="W57" i="132"/>
  <c r="H57" i="132"/>
  <c r="W56" i="132"/>
  <c r="H56" i="132"/>
  <c r="W55" i="132"/>
  <c r="H55" i="132"/>
  <c r="W54" i="132"/>
  <c r="H54" i="132"/>
  <c r="W53" i="132"/>
  <c r="W52" i="132"/>
  <c r="W51" i="132"/>
  <c r="N51" i="132"/>
  <c r="V51" i="132"/>
  <c r="K51" i="132"/>
  <c r="J51" i="132"/>
  <c r="P51" i="132"/>
  <c r="F51" i="132"/>
  <c r="H51" i="132"/>
  <c r="B51" i="132"/>
  <c r="W50" i="132"/>
  <c r="V50" i="132"/>
  <c r="N50" i="132"/>
  <c r="O50" i="132"/>
  <c r="K50" i="132"/>
  <c r="J50" i="132"/>
  <c r="P50" i="132"/>
  <c r="F50" i="132"/>
  <c r="H50" i="132"/>
  <c r="B50" i="132"/>
  <c r="W49" i="132"/>
  <c r="N49" i="132"/>
  <c r="K49" i="132"/>
  <c r="J49" i="132"/>
  <c r="P49" i="132"/>
  <c r="F49" i="132"/>
  <c r="H49" i="132"/>
  <c r="B49" i="132"/>
  <c r="W48" i="132"/>
  <c r="M48" i="132"/>
  <c r="G18" i="131"/>
  <c r="W47" i="132"/>
  <c r="H47" i="132"/>
  <c r="W46" i="132"/>
  <c r="H46" i="132"/>
  <c r="W45" i="132"/>
  <c r="H45" i="132"/>
  <c r="W44" i="132"/>
  <c r="H44" i="132"/>
  <c r="W43" i="132"/>
  <c r="H43" i="132"/>
  <c r="W42" i="132"/>
  <c r="H42" i="132"/>
  <c r="W41" i="132"/>
  <c r="W40" i="132"/>
  <c r="W39" i="132"/>
  <c r="N39" i="132"/>
  <c r="V39" i="132"/>
  <c r="K39" i="132"/>
  <c r="J39" i="132"/>
  <c r="F39" i="132"/>
  <c r="W38" i="132"/>
  <c r="N38" i="132"/>
  <c r="K38" i="132"/>
  <c r="J38" i="132"/>
  <c r="P38" i="132"/>
  <c r="F38" i="132"/>
  <c r="M37" i="132"/>
  <c r="W36" i="132"/>
  <c r="H36" i="132"/>
  <c r="W35" i="132"/>
  <c r="H35" i="132"/>
  <c r="W34" i="132"/>
  <c r="H34" i="132"/>
  <c r="W33" i="132"/>
  <c r="H33" i="132"/>
  <c r="W32" i="132"/>
  <c r="H32" i="132"/>
  <c r="W31" i="132"/>
  <c r="W30" i="132"/>
  <c r="W29" i="132"/>
  <c r="V29" i="132"/>
  <c r="N29" i="132"/>
  <c r="O29" i="132"/>
  <c r="K29" i="132"/>
  <c r="J29" i="132"/>
  <c r="P29" i="132"/>
  <c r="F29" i="132"/>
  <c r="H29" i="132"/>
  <c r="W28" i="132"/>
  <c r="N28" i="132"/>
  <c r="V28" i="132"/>
  <c r="K28" i="132"/>
  <c r="J28" i="132"/>
  <c r="P28" i="132"/>
  <c r="F28" i="132"/>
  <c r="H28" i="132"/>
  <c r="B28" i="132"/>
  <c r="W27" i="132"/>
  <c r="N27" i="132"/>
  <c r="K27" i="132"/>
  <c r="J27" i="132"/>
  <c r="F27" i="132"/>
  <c r="H27" i="132"/>
  <c r="M26" i="132"/>
  <c r="W25" i="132"/>
  <c r="H25" i="132"/>
  <c r="W24" i="132"/>
  <c r="H24" i="132"/>
  <c r="W23" i="132"/>
  <c r="H23" i="132"/>
  <c r="H22" i="132"/>
  <c r="H21" i="132"/>
  <c r="W20" i="132"/>
  <c r="W19" i="132"/>
  <c r="V19" i="132"/>
  <c r="N19" i="132"/>
  <c r="K19" i="132"/>
  <c r="J19" i="132"/>
  <c r="P19" i="132"/>
  <c r="F19" i="132"/>
  <c r="H19" i="132"/>
  <c r="W18" i="132"/>
  <c r="N18" i="132"/>
  <c r="V18" i="132"/>
  <c r="K18" i="132"/>
  <c r="J18" i="132"/>
  <c r="P18" i="132"/>
  <c r="F18" i="132"/>
  <c r="H18" i="132"/>
  <c r="W17" i="132"/>
  <c r="N17" i="132"/>
  <c r="V17" i="132"/>
  <c r="K17" i="132"/>
  <c r="J17" i="132"/>
  <c r="P17" i="132"/>
  <c r="F17" i="132"/>
  <c r="H17" i="132"/>
  <c r="W16" i="132"/>
  <c r="N16" i="132"/>
  <c r="K16" i="132"/>
  <c r="J16" i="132"/>
  <c r="F16" i="132"/>
  <c r="H16" i="132"/>
  <c r="M15" i="132"/>
  <c r="W14" i="132"/>
  <c r="H14" i="132"/>
  <c r="W13" i="132"/>
  <c r="H13" i="132"/>
  <c r="W12" i="132"/>
  <c r="H12" i="132"/>
  <c r="W11" i="132"/>
  <c r="H11" i="132"/>
  <c r="W10" i="132"/>
  <c r="W9" i="132"/>
  <c r="N9" i="132"/>
  <c r="O9" i="132"/>
  <c r="V9" i="132"/>
  <c r="K9" i="132"/>
  <c r="J9" i="132"/>
  <c r="P9" i="132"/>
  <c r="F9" i="132"/>
  <c r="H9" i="132"/>
  <c r="B9" i="132"/>
  <c r="W8" i="132"/>
  <c r="V8" i="132"/>
  <c r="N8" i="132"/>
  <c r="O8" i="132"/>
  <c r="K8" i="132"/>
  <c r="J8" i="132"/>
  <c r="P8" i="132"/>
  <c r="F8" i="132"/>
  <c r="H8" i="132"/>
  <c r="B8" i="132"/>
  <c r="W7" i="132"/>
  <c r="V7" i="132"/>
  <c r="N7" i="132"/>
  <c r="K7" i="132"/>
  <c r="J7" i="132"/>
  <c r="P7" i="132"/>
  <c r="F7" i="132"/>
  <c r="H7" i="132"/>
  <c r="B7" i="132"/>
  <c r="W6" i="132"/>
  <c r="V6" i="132"/>
  <c r="N6" i="132"/>
  <c r="K6" i="132"/>
  <c r="J6" i="132"/>
  <c r="P6" i="132"/>
  <c r="F6" i="132"/>
  <c r="H6" i="132"/>
  <c r="B6" i="132"/>
  <c r="W5" i="132"/>
  <c r="N5" i="132"/>
  <c r="K5" i="132"/>
  <c r="K15" i="132"/>
  <c r="J5" i="132"/>
  <c r="P5" i="132"/>
  <c r="F5" i="132"/>
  <c r="H5" i="132"/>
  <c r="B5" i="132"/>
  <c r="G3" i="129"/>
  <c r="W78" i="130"/>
  <c r="H78" i="130"/>
  <c r="W77" i="130"/>
  <c r="H77" i="130"/>
  <c r="W76" i="130"/>
  <c r="H76" i="130"/>
  <c r="W75" i="130"/>
  <c r="H75" i="130"/>
  <c r="W74" i="130"/>
  <c r="H74" i="130"/>
  <c r="W73" i="130"/>
  <c r="W72" i="130"/>
  <c r="W71" i="130"/>
  <c r="AB71" i="130"/>
  <c r="W70" i="130"/>
  <c r="N70" i="130"/>
  <c r="K70" i="130"/>
  <c r="J70" i="130"/>
  <c r="P70" i="130"/>
  <c r="F70" i="130"/>
  <c r="H70" i="130"/>
  <c r="M69" i="130"/>
  <c r="W68" i="130"/>
  <c r="H68" i="130"/>
  <c r="W67" i="130"/>
  <c r="H67" i="130"/>
  <c r="W66" i="130"/>
  <c r="H66" i="130"/>
  <c r="W65" i="130"/>
  <c r="H65" i="130"/>
  <c r="W64" i="130"/>
  <c r="H64" i="130"/>
  <c r="AC63" i="130"/>
  <c r="AB63" i="130"/>
  <c r="W63" i="130"/>
  <c r="H63" i="130"/>
  <c r="W62" i="130"/>
  <c r="N62" i="130"/>
  <c r="V62" i="130"/>
  <c r="K62" i="130"/>
  <c r="J62" i="130"/>
  <c r="P62" i="130"/>
  <c r="F62" i="130"/>
  <c r="H62" i="130"/>
  <c r="B62" i="130"/>
  <c r="W61" i="130"/>
  <c r="N61" i="130"/>
  <c r="V61" i="130"/>
  <c r="K61" i="130"/>
  <c r="J61" i="130"/>
  <c r="P61" i="130"/>
  <c r="F61" i="130"/>
  <c r="H61" i="130"/>
  <c r="B61" i="130"/>
  <c r="W60" i="130"/>
  <c r="N60" i="130"/>
  <c r="V60" i="130"/>
  <c r="K60" i="130"/>
  <c r="J60" i="130"/>
  <c r="P60" i="130"/>
  <c r="F60" i="130"/>
  <c r="H60" i="130"/>
  <c r="B60" i="130"/>
  <c r="W59" i="130"/>
  <c r="N59" i="130"/>
  <c r="K59" i="130"/>
  <c r="J59" i="130"/>
  <c r="F59" i="130"/>
  <c r="B59" i="130"/>
  <c r="M58" i="130"/>
  <c r="H18" i="129"/>
  <c r="W57" i="130"/>
  <c r="H57" i="130"/>
  <c r="W56" i="130"/>
  <c r="H56" i="130"/>
  <c r="W55" i="130"/>
  <c r="H55" i="130"/>
  <c r="W54" i="130"/>
  <c r="H54" i="130"/>
  <c r="W53" i="130"/>
  <c r="AC52" i="130"/>
  <c r="AB52" i="130"/>
  <c r="W52" i="130"/>
  <c r="W51" i="130"/>
  <c r="N51" i="130"/>
  <c r="V51" i="130"/>
  <c r="K51" i="130"/>
  <c r="J51" i="130"/>
  <c r="P51" i="130"/>
  <c r="F51" i="130"/>
  <c r="H51" i="130"/>
  <c r="B51" i="130"/>
  <c r="W50" i="130"/>
  <c r="N50" i="130"/>
  <c r="V50" i="130"/>
  <c r="K50" i="130"/>
  <c r="J50" i="130"/>
  <c r="P50" i="130"/>
  <c r="F50" i="130"/>
  <c r="H50" i="130"/>
  <c r="B50" i="130"/>
  <c r="W49" i="130"/>
  <c r="N49" i="130"/>
  <c r="O49" i="130"/>
  <c r="K49" i="130"/>
  <c r="J49" i="130"/>
  <c r="F49" i="130"/>
  <c r="H49" i="130"/>
  <c r="B49" i="130"/>
  <c r="W48" i="130"/>
  <c r="M48" i="130"/>
  <c r="G18" i="129"/>
  <c r="W47" i="130"/>
  <c r="H47" i="130"/>
  <c r="W46" i="130"/>
  <c r="H46" i="130"/>
  <c r="W45" i="130"/>
  <c r="H45" i="130"/>
  <c r="W44" i="130"/>
  <c r="H44" i="130"/>
  <c r="W43" i="130"/>
  <c r="H43" i="130"/>
  <c r="W42" i="130"/>
  <c r="H42" i="130"/>
  <c r="W41" i="130"/>
  <c r="AC40" i="130"/>
  <c r="AB40" i="130"/>
  <c r="W40" i="130"/>
  <c r="W39" i="130"/>
  <c r="N39" i="130"/>
  <c r="V39" i="130"/>
  <c r="K39" i="130"/>
  <c r="J39" i="130"/>
  <c r="P39" i="130"/>
  <c r="F39" i="130"/>
  <c r="W38" i="130"/>
  <c r="N38" i="130"/>
  <c r="K38" i="130"/>
  <c r="J38" i="130"/>
  <c r="F38" i="130"/>
  <c r="M37" i="130"/>
  <c r="W36" i="130"/>
  <c r="H36" i="130"/>
  <c r="W35" i="130"/>
  <c r="H35" i="130"/>
  <c r="W34" i="130"/>
  <c r="H34" i="130"/>
  <c r="W33" i="130"/>
  <c r="H33" i="130"/>
  <c r="W32" i="130"/>
  <c r="H32" i="130"/>
  <c r="W31" i="130"/>
  <c r="W30" i="130"/>
  <c r="W29" i="130"/>
  <c r="N29" i="130"/>
  <c r="V29" i="130"/>
  <c r="K29" i="130"/>
  <c r="J29" i="130"/>
  <c r="P29" i="130"/>
  <c r="F29" i="130"/>
  <c r="H29" i="130"/>
  <c r="W28" i="130"/>
  <c r="N28" i="130"/>
  <c r="V28" i="130"/>
  <c r="K28" i="130"/>
  <c r="J28" i="130"/>
  <c r="P28" i="130"/>
  <c r="F28" i="130"/>
  <c r="H28" i="130"/>
  <c r="B28" i="130"/>
  <c r="W27" i="130"/>
  <c r="N27" i="130"/>
  <c r="K27" i="130"/>
  <c r="J27" i="130"/>
  <c r="P27" i="130"/>
  <c r="F27" i="130"/>
  <c r="H27" i="130"/>
  <c r="M26" i="130"/>
  <c r="E18" i="129"/>
  <c r="W25" i="130"/>
  <c r="H25" i="130"/>
  <c r="W24" i="130"/>
  <c r="H24" i="130"/>
  <c r="W23" i="130"/>
  <c r="H23" i="130"/>
  <c r="H22" i="130"/>
  <c r="H21" i="130"/>
  <c r="W20" i="130"/>
  <c r="W19" i="130"/>
  <c r="N19" i="130"/>
  <c r="V19" i="130"/>
  <c r="K19" i="130"/>
  <c r="J19" i="130"/>
  <c r="P19" i="130"/>
  <c r="F19" i="130"/>
  <c r="H19" i="130"/>
  <c r="W18" i="130"/>
  <c r="V18" i="130"/>
  <c r="N18" i="130"/>
  <c r="O18" i="130"/>
  <c r="K18" i="130"/>
  <c r="J18" i="130"/>
  <c r="P18" i="130"/>
  <c r="F18" i="130"/>
  <c r="H18" i="130"/>
  <c r="W17" i="130"/>
  <c r="N17" i="130"/>
  <c r="V17" i="130"/>
  <c r="K17" i="130"/>
  <c r="J17" i="130"/>
  <c r="P17" i="130"/>
  <c r="F17" i="130"/>
  <c r="H17" i="130"/>
  <c r="W16" i="130"/>
  <c r="N16" i="130"/>
  <c r="K16" i="130"/>
  <c r="J16" i="130"/>
  <c r="P16" i="130"/>
  <c r="F16" i="130"/>
  <c r="H16" i="130"/>
  <c r="M15" i="130"/>
  <c r="D18" i="129"/>
  <c r="W14" i="130"/>
  <c r="H14" i="130"/>
  <c r="W13" i="130"/>
  <c r="H13" i="130"/>
  <c r="W12" i="130"/>
  <c r="H12" i="130"/>
  <c r="W11" i="130"/>
  <c r="H11" i="130"/>
  <c r="W10" i="130"/>
  <c r="W9" i="130"/>
  <c r="N9" i="130"/>
  <c r="O9" i="130"/>
  <c r="V9" i="130"/>
  <c r="K9" i="130"/>
  <c r="J9" i="130"/>
  <c r="P9" i="130"/>
  <c r="F9" i="130"/>
  <c r="H9" i="130"/>
  <c r="B9" i="130"/>
  <c r="W8" i="130"/>
  <c r="V8" i="130"/>
  <c r="N8" i="130"/>
  <c r="K8" i="130"/>
  <c r="J8" i="130"/>
  <c r="P8" i="130"/>
  <c r="F8" i="130"/>
  <c r="H8" i="130"/>
  <c r="B8" i="130"/>
  <c r="W7" i="130"/>
  <c r="N7" i="130"/>
  <c r="V7" i="130"/>
  <c r="K7" i="130"/>
  <c r="J7" i="130"/>
  <c r="P7" i="130"/>
  <c r="F7" i="130"/>
  <c r="H7" i="130"/>
  <c r="B7" i="130"/>
  <c r="W6" i="130"/>
  <c r="N6" i="130"/>
  <c r="V6" i="130"/>
  <c r="K6" i="130"/>
  <c r="J6" i="130"/>
  <c r="P6" i="130"/>
  <c r="F6" i="130"/>
  <c r="H6" i="130"/>
  <c r="B6" i="130"/>
  <c r="W5" i="130"/>
  <c r="N5" i="130"/>
  <c r="K5" i="130"/>
  <c r="J5" i="130"/>
  <c r="F5" i="130"/>
  <c r="H5" i="130"/>
  <c r="B5" i="130"/>
  <c r="I2" i="130"/>
  <c r="E1" i="130"/>
  <c r="I18" i="129"/>
  <c r="F18" i="129"/>
  <c r="J16" i="129"/>
  <c r="I16" i="129"/>
  <c r="H16" i="129"/>
  <c r="G16" i="129"/>
  <c r="F16" i="129"/>
  <c r="E16" i="129"/>
  <c r="D16" i="129"/>
  <c r="F71" i="128"/>
  <c r="H71" i="128"/>
  <c r="F70" i="128"/>
  <c r="F38" i="128"/>
  <c r="H38" i="128"/>
  <c r="V9" i="124"/>
  <c r="V20" i="124"/>
  <c r="J30" i="124"/>
  <c r="K30" i="124"/>
  <c r="F30" i="124"/>
  <c r="H30" i="124"/>
  <c r="J20" i="124"/>
  <c r="P20" i="124"/>
  <c r="K20" i="124"/>
  <c r="F20" i="124"/>
  <c r="H20" i="124"/>
  <c r="J9" i="124"/>
  <c r="P9" i="124"/>
  <c r="K9" i="124"/>
  <c r="F9" i="124"/>
  <c r="H9" i="124"/>
  <c r="B9" i="124"/>
  <c r="F39" i="124"/>
  <c r="F38" i="124"/>
  <c r="V62" i="128"/>
  <c r="V52" i="128"/>
  <c r="V8" i="128"/>
  <c r="F62" i="128"/>
  <c r="H62" i="128"/>
  <c r="J62" i="128"/>
  <c r="P62" i="128"/>
  <c r="K62" i="128"/>
  <c r="B62" i="128"/>
  <c r="F52" i="128"/>
  <c r="H52" i="128"/>
  <c r="J52" i="128"/>
  <c r="P52" i="128"/>
  <c r="K52" i="128"/>
  <c r="B52" i="128"/>
  <c r="L37" i="138"/>
  <c r="F13" i="137"/>
  <c r="AC58" i="138"/>
  <c r="AD49" i="138"/>
  <c r="AC39" i="134"/>
  <c r="L60" i="132"/>
  <c r="AC60" i="132"/>
  <c r="L51" i="132"/>
  <c r="L38" i="134"/>
  <c r="L8" i="132"/>
  <c r="Q8" i="132"/>
  <c r="L29" i="134"/>
  <c r="L63" i="132"/>
  <c r="R63" i="132"/>
  <c r="L17" i="132"/>
  <c r="L61" i="136"/>
  <c r="L20" i="124"/>
  <c r="L27" i="132"/>
  <c r="L28" i="136"/>
  <c r="L9" i="132"/>
  <c r="K48" i="132"/>
  <c r="AC9" i="132"/>
  <c r="L60" i="134"/>
  <c r="L8" i="134"/>
  <c r="K26" i="136"/>
  <c r="L48" i="138"/>
  <c r="G13" i="137"/>
  <c r="H6" i="137"/>
  <c r="L60" i="136"/>
  <c r="Q60" i="136"/>
  <c r="L6" i="134"/>
  <c r="L62" i="134"/>
  <c r="L50" i="136"/>
  <c r="L7" i="132"/>
  <c r="K26" i="134"/>
  <c r="L70" i="134"/>
  <c r="L6" i="132"/>
  <c r="R6" i="132"/>
  <c r="L28" i="132"/>
  <c r="L19" i="134"/>
  <c r="L7" i="134"/>
  <c r="L50" i="132"/>
  <c r="Q50" i="132"/>
  <c r="AB5" i="136"/>
  <c r="L40" i="134"/>
  <c r="Q40" i="134"/>
  <c r="L18" i="134"/>
  <c r="AC28" i="136"/>
  <c r="L50" i="134"/>
  <c r="L17" i="136"/>
  <c r="L26" i="136"/>
  <c r="E13" i="135"/>
  <c r="AB7" i="132"/>
  <c r="AC28" i="132"/>
  <c r="AB9" i="132"/>
  <c r="L71" i="132"/>
  <c r="R71" i="132"/>
  <c r="L5" i="132"/>
  <c r="L28" i="134"/>
  <c r="R28" i="134"/>
  <c r="K58" i="132"/>
  <c r="L70" i="132"/>
  <c r="L70" i="136"/>
  <c r="AC70" i="132"/>
  <c r="L61" i="134"/>
  <c r="L39" i="136"/>
  <c r="AB19" i="132"/>
  <c r="AC38" i="132"/>
  <c r="AB6" i="132"/>
  <c r="L29" i="132"/>
  <c r="Q29" i="132"/>
  <c r="L10" i="134"/>
  <c r="R10" i="134"/>
  <c r="L49" i="136"/>
  <c r="R49" i="136"/>
  <c r="L19" i="132"/>
  <c r="Q19" i="132"/>
  <c r="R8" i="132"/>
  <c r="J26" i="132"/>
  <c r="P26" i="132"/>
  <c r="K58" i="134"/>
  <c r="K69" i="136"/>
  <c r="K79" i="136"/>
  <c r="L61" i="132"/>
  <c r="R61" i="132"/>
  <c r="AC61" i="136"/>
  <c r="J48" i="132"/>
  <c r="P48" i="132"/>
  <c r="K26" i="132"/>
  <c r="AC26" i="132"/>
  <c r="AD16" i="132"/>
  <c r="K37" i="134"/>
  <c r="O37" i="138"/>
  <c r="R37" i="138"/>
  <c r="S27" i="138"/>
  <c r="Q58" i="138"/>
  <c r="AB58" i="138"/>
  <c r="O58" i="138"/>
  <c r="R58" i="138"/>
  <c r="S49" i="138"/>
  <c r="Q18" i="138"/>
  <c r="Q27" i="138"/>
  <c r="R27" i="138"/>
  <c r="AC37" i="138"/>
  <c r="AD27" i="138"/>
  <c r="AB37" i="138"/>
  <c r="Q37" i="138"/>
  <c r="O26" i="138"/>
  <c r="Q16" i="138"/>
  <c r="R16" i="138"/>
  <c r="AC15" i="138"/>
  <c r="AD5" i="138"/>
  <c r="AB15" i="138"/>
  <c r="R50" i="138"/>
  <c r="Q50" i="138"/>
  <c r="AC69" i="138"/>
  <c r="AD59" i="138"/>
  <c r="N79" i="138"/>
  <c r="AB69" i="138"/>
  <c r="Q69" i="138"/>
  <c r="AB26" i="138"/>
  <c r="AC26" i="138"/>
  <c r="AD16" i="138"/>
  <c r="O15" i="138"/>
  <c r="R5" i="138"/>
  <c r="Q5" i="138"/>
  <c r="R59" i="138"/>
  <c r="Q59" i="138"/>
  <c r="O69" i="138"/>
  <c r="R28" i="138"/>
  <c r="Q28" i="138"/>
  <c r="R7" i="138"/>
  <c r="Q7" i="138"/>
  <c r="I13" i="137"/>
  <c r="L79" i="138"/>
  <c r="J13" i="137"/>
  <c r="Q48" i="138"/>
  <c r="AC48" i="138"/>
  <c r="AD38" i="138"/>
  <c r="AB48" i="138"/>
  <c r="Q61" i="138"/>
  <c r="R61" i="138"/>
  <c r="G2" i="138"/>
  <c r="J3" i="137"/>
  <c r="R71" i="138"/>
  <c r="Q71" i="138"/>
  <c r="Q60" i="138"/>
  <c r="R60" i="138"/>
  <c r="R62" i="138"/>
  <c r="Q62" i="138"/>
  <c r="O48" i="138"/>
  <c r="R38" i="138"/>
  <c r="Q38" i="138"/>
  <c r="R39" i="138"/>
  <c r="Q39" i="138"/>
  <c r="R70" i="138"/>
  <c r="Q70" i="138"/>
  <c r="R6" i="138"/>
  <c r="Q6" i="138"/>
  <c r="R71" i="136"/>
  <c r="Q71" i="136"/>
  <c r="AB71" i="136"/>
  <c r="AC71" i="136"/>
  <c r="R72" i="136"/>
  <c r="Q72" i="136"/>
  <c r="AB59" i="136"/>
  <c r="O17" i="136"/>
  <c r="AC17" i="136"/>
  <c r="O19" i="136"/>
  <c r="R19" i="136"/>
  <c r="AB19" i="136"/>
  <c r="I18" i="135"/>
  <c r="AC6" i="136"/>
  <c r="AC60" i="136"/>
  <c r="AB51" i="136"/>
  <c r="N48" i="136"/>
  <c r="AB38" i="136"/>
  <c r="AB29" i="136"/>
  <c r="AB63" i="136"/>
  <c r="J69" i="136"/>
  <c r="J79" i="136"/>
  <c r="P79" i="136"/>
  <c r="L62" i="136"/>
  <c r="J58" i="136"/>
  <c r="P58" i="136"/>
  <c r="J37" i="136"/>
  <c r="P37" i="136"/>
  <c r="K37" i="136"/>
  <c r="L29" i="136"/>
  <c r="R29" i="136"/>
  <c r="K15" i="136"/>
  <c r="J15" i="136"/>
  <c r="P15" i="136"/>
  <c r="L7" i="136"/>
  <c r="G1" i="136"/>
  <c r="O18" i="136"/>
  <c r="AC18" i="136"/>
  <c r="AB18" i="136"/>
  <c r="O27" i="136"/>
  <c r="AC27" i="136"/>
  <c r="N37" i="136"/>
  <c r="AB27" i="136"/>
  <c r="P69" i="136"/>
  <c r="AC8" i="136"/>
  <c r="O8" i="136"/>
  <c r="AB8" i="136"/>
  <c r="O50" i="136"/>
  <c r="O58" i="136"/>
  <c r="AC50" i="136"/>
  <c r="AB50" i="136"/>
  <c r="AC39" i="136"/>
  <c r="AB39" i="136"/>
  <c r="O39" i="136"/>
  <c r="AC16" i="136"/>
  <c r="N26" i="136"/>
  <c r="O16" i="136"/>
  <c r="AB16" i="136"/>
  <c r="J18" i="135"/>
  <c r="Q17" i="136"/>
  <c r="R17" i="136"/>
  <c r="AC70" i="136"/>
  <c r="AB70" i="136"/>
  <c r="O70" i="136"/>
  <c r="Q19" i="136"/>
  <c r="AC62" i="136"/>
  <c r="AB62" i="136"/>
  <c r="O62" i="136"/>
  <c r="AC7" i="136"/>
  <c r="AB7" i="136"/>
  <c r="O7" i="136"/>
  <c r="O6" i="136"/>
  <c r="P27" i="136"/>
  <c r="AC29" i="136"/>
  <c r="AC38" i="136"/>
  <c r="AC51" i="136"/>
  <c r="K58" i="136"/>
  <c r="AC59" i="136"/>
  <c r="O61" i="136"/>
  <c r="F18" i="135"/>
  <c r="AC5" i="136"/>
  <c r="AB9" i="136"/>
  <c r="AB17" i="136"/>
  <c r="O28" i="136"/>
  <c r="L38" i="136"/>
  <c r="L48" i="136"/>
  <c r="G13" i="135"/>
  <c r="J48" i="136"/>
  <c r="P48" i="136"/>
  <c r="L51" i="136"/>
  <c r="R51" i="136"/>
  <c r="N58" i="136"/>
  <c r="L59" i="136"/>
  <c r="AB60" i="136"/>
  <c r="N69" i="136"/>
  <c r="AB49" i="136"/>
  <c r="K48" i="136"/>
  <c r="N15" i="136"/>
  <c r="O38" i="136"/>
  <c r="AC49" i="136"/>
  <c r="L5" i="136"/>
  <c r="L15" i="136"/>
  <c r="D13" i="135"/>
  <c r="AB6" i="136"/>
  <c r="P59" i="136"/>
  <c r="AB61" i="136"/>
  <c r="O5" i="136"/>
  <c r="AC19" i="136"/>
  <c r="I1" i="136"/>
  <c r="P5" i="136"/>
  <c r="L27" i="136"/>
  <c r="AB28" i="136"/>
  <c r="AB17" i="134"/>
  <c r="AC71" i="134"/>
  <c r="L16" i="134"/>
  <c r="F18" i="133"/>
  <c r="AC59" i="134"/>
  <c r="O7" i="134"/>
  <c r="AC7" i="134"/>
  <c r="AB7" i="134"/>
  <c r="AB16" i="134"/>
  <c r="AC16" i="134"/>
  <c r="O16" i="134"/>
  <c r="N26" i="134"/>
  <c r="O19" i="134"/>
  <c r="AB19" i="134"/>
  <c r="AC19" i="134"/>
  <c r="AB70" i="134"/>
  <c r="AC28" i="134"/>
  <c r="AB28" i="134"/>
  <c r="O49" i="134"/>
  <c r="AB49" i="134"/>
  <c r="N58" i="134"/>
  <c r="AC49" i="134"/>
  <c r="G1" i="134"/>
  <c r="O6" i="134"/>
  <c r="AC6" i="134"/>
  <c r="J15" i="134"/>
  <c r="P15" i="134"/>
  <c r="P5" i="134"/>
  <c r="AB6" i="134"/>
  <c r="L9" i="134"/>
  <c r="L51" i="134"/>
  <c r="O61" i="134"/>
  <c r="AC61" i="134"/>
  <c r="AB61" i="134"/>
  <c r="K15" i="134"/>
  <c r="AB9" i="134"/>
  <c r="O18" i="134"/>
  <c r="AB18" i="134"/>
  <c r="AC18" i="134"/>
  <c r="AC38" i="134"/>
  <c r="AB38" i="134"/>
  <c r="O38" i="134"/>
  <c r="N48" i="134"/>
  <c r="AC51" i="134"/>
  <c r="L63" i="134"/>
  <c r="L5" i="134"/>
  <c r="P17" i="134"/>
  <c r="J26" i="134"/>
  <c r="P26" i="134"/>
  <c r="O27" i="134"/>
  <c r="N37" i="134"/>
  <c r="AB27" i="134"/>
  <c r="AC27" i="134"/>
  <c r="AC63" i="134"/>
  <c r="AC5" i="134"/>
  <c r="AC8" i="134"/>
  <c r="AB8" i="134"/>
  <c r="D18" i="133"/>
  <c r="L17" i="134"/>
  <c r="R17" i="134"/>
  <c r="AC29" i="134"/>
  <c r="AB29" i="134"/>
  <c r="O29" i="134"/>
  <c r="P58" i="134"/>
  <c r="O8" i="134"/>
  <c r="AC9" i="134"/>
  <c r="N15" i="134"/>
  <c r="AC50" i="134"/>
  <c r="AB50" i="134"/>
  <c r="O60" i="134"/>
  <c r="N69" i="134"/>
  <c r="AB60" i="134"/>
  <c r="AC60" i="134"/>
  <c r="M79" i="134"/>
  <c r="I1" i="134"/>
  <c r="H18" i="133"/>
  <c r="J48" i="134"/>
  <c r="P48" i="134"/>
  <c r="P39" i="134"/>
  <c r="O50" i="134"/>
  <c r="I18" i="133"/>
  <c r="K48" i="134"/>
  <c r="L39" i="134"/>
  <c r="J58" i="134"/>
  <c r="J69" i="134"/>
  <c r="J79" i="134"/>
  <c r="P59" i="134"/>
  <c r="AC62" i="134"/>
  <c r="AB62" i="134"/>
  <c r="O62" i="134"/>
  <c r="K69" i="134"/>
  <c r="K79" i="134"/>
  <c r="L59" i="134"/>
  <c r="O39" i="134"/>
  <c r="O51" i="134"/>
  <c r="O59" i="134"/>
  <c r="O9" i="134"/>
  <c r="L27" i="134"/>
  <c r="O5" i="134"/>
  <c r="O63" i="134"/>
  <c r="L49" i="134"/>
  <c r="O70" i="134"/>
  <c r="AB5" i="134"/>
  <c r="J37" i="134"/>
  <c r="P37" i="134"/>
  <c r="AB39" i="134"/>
  <c r="P49" i="134"/>
  <c r="AB51" i="134"/>
  <c r="AB59" i="134"/>
  <c r="AB63" i="134"/>
  <c r="AC70" i="134"/>
  <c r="AC71" i="132"/>
  <c r="AB71" i="132"/>
  <c r="AC63" i="132"/>
  <c r="AB63" i="132"/>
  <c r="I2" i="132"/>
  <c r="AC62" i="132"/>
  <c r="L62" i="132"/>
  <c r="R62" i="132"/>
  <c r="J69" i="132"/>
  <c r="J79" i="132"/>
  <c r="P79" i="132"/>
  <c r="K69" i="132"/>
  <c r="K79" i="132"/>
  <c r="O38" i="132"/>
  <c r="I1" i="132"/>
  <c r="O19" i="132"/>
  <c r="AC19" i="132"/>
  <c r="N26" i="132"/>
  <c r="AB8" i="132"/>
  <c r="O6" i="132"/>
  <c r="AC8" i="132"/>
  <c r="AC6" i="132"/>
  <c r="AC18" i="132"/>
  <c r="AB18" i="132"/>
  <c r="O18" i="132"/>
  <c r="AC59" i="132"/>
  <c r="AB59" i="132"/>
  <c r="N69" i="132"/>
  <c r="O59" i="132"/>
  <c r="O39" i="132"/>
  <c r="O48" i="132"/>
  <c r="G14" i="131"/>
  <c r="H7" i="131"/>
  <c r="AB39" i="132"/>
  <c r="AC39" i="132"/>
  <c r="R9" i="132"/>
  <c r="Q9" i="132"/>
  <c r="AB49" i="132"/>
  <c r="O49" i="132"/>
  <c r="AC49" i="132"/>
  <c r="N58" i="132"/>
  <c r="AC51" i="132"/>
  <c r="AB51" i="132"/>
  <c r="O51" i="132"/>
  <c r="AB5" i="132"/>
  <c r="AC5" i="132"/>
  <c r="N15" i="132"/>
  <c r="O5" i="132"/>
  <c r="AB17" i="132"/>
  <c r="AC17" i="132"/>
  <c r="O17" i="132"/>
  <c r="AC27" i="132"/>
  <c r="N37" i="132"/>
  <c r="AB27" i="132"/>
  <c r="O27" i="132"/>
  <c r="G1" i="132"/>
  <c r="P16" i="132"/>
  <c r="AC7" i="132"/>
  <c r="AB29" i="132"/>
  <c r="AB38" i="132"/>
  <c r="N48" i="132"/>
  <c r="L18" i="132"/>
  <c r="AB28" i="132"/>
  <c r="L59" i="132"/>
  <c r="AB60" i="132"/>
  <c r="AB16" i="132"/>
  <c r="P27" i="132"/>
  <c r="AC29" i="132"/>
  <c r="L49" i="132"/>
  <c r="AB50" i="132"/>
  <c r="P59" i="132"/>
  <c r="AB61" i="132"/>
  <c r="O70" i="132"/>
  <c r="J15" i="132"/>
  <c r="P15" i="132"/>
  <c r="AC16" i="132"/>
  <c r="J37" i="132"/>
  <c r="P37" i="132"/>
  <c r="AC50" i="132"/>
  <c r="AC61" i="132"/>
  <c r="AB62" i="132"/>
  <c r="K37" i="132"/>
  <c r="O60" i="132"/>
  <c r="O7" i="132"/>
  <c r="L16" i="132"/>
  <c r="O28" i="132"/>
  <c r="L39" i="132"/>
  <c r="L38" i="132"/>
  <c r="J58" i="132"/>
  <c r="P58" i="132"/>
  <c r="O16" i="132"/>
  <c r="AB70" i="132"/>
  <c r="P39" i="132"/>
  <c r="L9" i="124"/>
  <c r="K48" i="130"/>
  <c r="J69" i="130"/>
  <c r="J79" i="130"/>
  <c r="L60" i="130"/>
  <c r="L29" i="130"/>
  <c r="L62" i="128"/>
  <c r="L62" i="130"/>
  <c r="L7" i="130"/>
  <c r="AC59" i="130"/>
  <c r="L17" i="130"/>
  <c r="L61" i="130"/>
  <c r="L70" i="130"/>
  <c r="L8" i="130"/>
  <c r="K58" i="130"/>
  <c r="L50" i="130"/>
  <c r="L27" i="130"/>
  <c r="J58" i="130"/>
  <c r="P58" i="130"/>
  <c r="L19" i="130"/>
  <c r="AC62" i="130"/>
  <c r="K69" i="130"/>
  <c r="K79" i="130"/>
  <c r="L30" i="124"/>
  <c r="AB27" i="130"/>
  <c r="L18" i="130"/>
  <c r="R18" i="130"/>
  <c r="J15" i="130"/>
  <c r="P15" i="130"/>
  <c r="AC8" i="130"/>
  <c r="AC16" i="130"/>
  <c r="L6" i="130"/>
  <c r="AC17" i="130"/>
  <c r="L9" i="130"/>
  <c r="R9" i="130"/>
  <c r="L39" i="130"/>
  <c r="L59" i="130"/>
  <c r="P59" i="130"/>
  <c r="L51" i="130"/>
  <c r="AC70" i="130"/>
  <c r="AC51" i="130"/>
  <c r="L52" i="128"/>
  <c r="L16" i="130"/>
  <c r="L5" i="130"/>
  <c r="AC5" i="130"/>
  <c r="P30" i="124"/>
  <c r="L28" i="130"/>
  <c r="J48" i="130"/>
  <c r="P48" i="130"/>
  <c r="L38" i="130"/>
  <c r="AC49" i="130"/>
  <c r="O62" i="130"/>
  <c r="O51" i="130"/>
  <c r="O16" i="130"/>
  <c r="AB18" i="130"/>
  <c r="AC18" i="130"/>
  <c r="AC19" i="130"/>
  <c r="O19" i="130"/>
  <c r="AB19" i="130"/>
  <c r="O61" i="130"/>
  <c r="AC61" i="130"/>
  <c r="AB61" i="130"/>
  <c r="AC6" i="130"/>
  <c r="AB6" i="130"/>
  <c r="O6" i="130"/>
  <c r="N15" i="130"/>
  <c r="O29" i="130"/>
  <c r="AC29" i="130"/>
  <c r="AB29" i="130"/>
  <c r="G1" i="130"/>
  <c r="O50" i="130"/>
  <c r="AB50" i="130"/>
  <c r="AC50" i="130"/>
  <c r="N58" i="130"/>
  <c r="N48" i="130"/>
  <c r="O38" i="130"/>
  <c r="AB38" i="130"/>
  <c r="AC38" i="130"/>
  <c r="O28" i="130"/>
  <c r="AC28" i="130"/>
  <c r="AB28" i="130"/>
  <c r="AB60" i="130"/>
  <c r="O60" i="130"/>
  <c r="AC60" i="130"/>
  <c r="O39" i="130"/>
  <c r="AC39" i="130"/>
  <c r="AB39" i="130"/>
  <c r="O7" i="130"/>
  <c r="AC7" i="130"/>
  <c r="AB7" i="130"/>
  <c r="J26" i="130"/>
  <c r="P26" i="130"/>
  <c r="AC27" i="130"/>
  <c r="AB49" i="130"/>
  <c r="AC71" i="130"/>
  <c r="K26" i="130"/>
  <c r="O8" i="130"/>
  <c r="L49" i="130"/>
  <c r="Q49" i="130"/>
  <c r="O70" i="130"/>
  <c r="M79" i="130"/>
  <c r="O5" i="130"/>
  <c r="O27" i="130"/>
  <c r="J37" i="130"/>
  <c r="P37" i="130"/>
  <c r="K37" i="130"/>
  <c r="O59" i="130"/>
  <c r="N26" i="130"/>
  <c r="AB16" i="130"/>
  <c r="P49" i="130"/>
  <c r="AB51" i="130"/>
  <c r="AB62" i="130"/>
  <c r="N69" i="130"/>
  <c r="P5" i="130"/>
  <c r="AB8" i="130"/>
  <c r="K15" i="130"/>
  <c r="N37" i="130"/>
  <c r="AB59" i="130"/>
  <c r="AB5" i="130"/>
  <c r="AB17" i="130"/>
  <c r="P38" i="130"/>
  <c r="AB70" i="130"/>
  <c r="O17" i="130"/>
  <c r="O26" i="130"/>
  <c r="F8" i="128"/>
  <c r="H8" i="128"/>
  <c r="J8" i="128"/>
  <c r="P8" i="128"/>
  <c r="K8" i="128"/>
  <c r="B8" i="128"/>
  <c r="Q6" i="132"/>
  <c r="L15" i="132"/>
  <c r="D13" i="131"/>
  <c r="D15" i="131"/>
  <c r="Q61" i="132"/>
  <c r="Q62" i="132"/>
  <c r="L58" i="134"/>
  <c r="H13" i="133"/>
  <c r="L69" i="132"/>
  <c r="I13" i="131"/>
  <c r="Q63" i="132"/>
  <c r="R40" i="134"/>
  <c r="R50" i="132"/>
  <c r="L37" i="132"/>
  <c r="F13" i="131"/>
  <c r="F15" i="131"/>
  <c r="R60" i="136"/>
  <c r="L58" i="132"/>
  <c r="H13" i="131"/>
  <c r="H15" i="131"/>
  <c r="L48" i="134"/>
  <c r="G13" i="133"/>
  <c r="L69" i="134"/>
  <c r="L79" i="134"/>
  <c r="J13" i="133"/>
  <c r="Q71" i="132"/>
  <c r="R19" i="132"/>
  <c r="P69" i="134"/>
  <c r="Q51" i="136"/>
  <c r="Q49" i="136"/>
  <c r="R29" i="132"/>
  <c r="AB26" i="132"/>
  <c r="L15" i="134"/>
  <c r="D13" i="133"/>
  <c r="L37" i="134"/>
  <c r="F13" i="133"/>
  <c r="Q29" i="136"/>
  <c r="Q28" i="134"/>
  <c r="Q10" i="134"/>
  <c r="Q62" i="130"/>
  <c r="H14" i="137"/>
  <c r="H15" i="137"/>
  <c r="F14" i="137"/>
  <c r="F15" i="137"/>
  <c r="F6" i="137"/>
  <c r="R48" i="138"/>
  <c r="S38" i="138"/>
  <c r="G14" i="137"/>
  <c r="G15" i="137"/>
  <c r="D14" i="137"/>
  <c r="R15" i="138"/>
  <c r="S5" i="138"/>
  <c r="Q15" i="138"/>
  <c r="Q26" i="138"/>
  <c r="E14" i="137"/>
  <c r="E15" i="137"/>
  <c r="R26" i="138"/>
  <c r="S16" i="138"/>
  <c r="J6" i="137"/>
  <c r="O79" i="138"/>
  <c r="R69" i="138"/>
  <c r="S59" i="138"/>
  <c r="I14" i="137"/>
  <c r="AB79" i="138"/>
  <c r="AC79" i="138"/>
  <c r="AD70" i="138"/>
  <c r="Q79" i="138"/>
  <c r="G2" i="132"/>
  <c r="J3" i="131"/>
  <c r="AB48" i="136"/>
  <c r="L58" i="136"/>
  <c r="H13" i="135"/>
  <c r="L37" i="136"/>
  <c r="F13" i="135"/>
  <c r="R39" i="136"/>
  <c r="Q39" i="136"/>
  <c r="L69" i="136"/>
  <c r="AC48" i="136"/>
  <c r="AD38" i="136"/>
  <c r="H14" i="135"/>
  <c r="R27" i="136"/>
  <c r="Q27" i="136"/>
  <c r="O37" i="136"/>
  <c r="AC58" i="136"/>
  <c r="AD49" i="136"/>
  <c r="AB58" i="136"/>
  <c r="Q58" i="136"/>
  <c r="R16" i="136"/>
  <c r="Q16" i="136"/>
  <c r="O26" i="136"/>
  <c r="R50" i="136"/>
  <c r="Q50" i="136"/>
  <c r="AC69" i="136"/>
  <c r="AD59" i="136"/>
  <c r="N79" i="136"/>
  <c r="AB69" i="136"/>
  <c r="Q69" i="136"/>
  <c r="Q48" i="136"/>
  <c r="AC26" i="136"/>
  <c r="AD16" i="136"/>
  <c r="AB26" i="136"/>
  <c r="R62" i="136"/>
  <c r="Q62" i="136"/>
  <c r="R5" i="136"/>
  <c r="Q5" i="136"/>
  <c r="O15" i="136"/>
  <c r="Q61" i="136"/>
  <c r="R61" i="136"/>
  <c r="AB37" i="136"/>
  <c r="Q37" i="136"/>
  <c r="AC37" i="136"/>
  <c r="AD27" i="136"/>
  <c r="R7" i="136"/>
  <c r="Q7" i="136"/>
  <c r="R8" i="136"/>
  <c r="Q8" i="136"/>
  <c r="R18" i="136"/>
  <c r="Q18" i="136"/>
  <c r="R70" i="136"/>
  <c r="Q70" i="136"/>
  <c r="O69" i="136"/>
  <c r="J3" i="135"/>
  <c r="G2" i="136"/>
  <c r="O48" i="136"/>
  <c r="R38" i="136"/>
  <c r="Q38" i="136"/>
  <c r="R28" i="136"/>
  <c r="Q28" i="136"/>
  <c r="Q6" i="136"/>
  <c r="R6" i="136"/>
  <c r="Q59" i="136"/>
  <c r="AB15" i="136"/>
  <c r="AC15" i="136"/>
  <c r="AD5" i="136"/>
  <c r="R59" i="136"/>
  <c r="R18" i="134"/>
  <c r="Q18" i="134"/>
  <c r="R19" i="134"/>
  <c r="Q19" i="134"/>
  <c r="R39" i="134"/>
  <c r="Q39" i="134"/>
  <c r="AC26" i="134"/>
  <c r="AD16" i="134"/>
  <c r="AB26" i="134"/>
  <c r="O26" i="134"/>
  <c r="Q16" i="134"/>
  <c r="R16" i="134"/>
  <c r="Q50" i="134"/>
  <c r="R50" i="134"/>
  <c r="Q17" i="134"/>
  <c r="Q70" i="134"/>
  <c r="R70" i="134"/>
  <c r="AC58" i="134"/>
  <c r="AD49" i="134"/>
  <c r="AB58" i="134"/>
  <c r="Q58" i="134"/>
  <c r="Q48" i="134"/>
  <c r="AC48" i="134"/>
  <c r="AD38" i="134"/>
  <c r="AB48" i="134"/>
  <c r="R8" i="134"/>
  <c r="Q8" i="134"/>
  <c r="O48" i="134"/>
  <c r="R38" i="134"/>
  <c r="Q38" i="134"/>
  <c r="Q7" i="134"/>
  <c r="R7" i="134"/>
  <c r="R51" i="134"/>
  <c r="Q51" i="134"/>
  <c r="R27" i="134"/>
  <c r="Q27" i="134"/>
  <c r="O37" i="134"/>
  <c r="R6" i="134"/>
  <c r="Q6" i="134"/>
  <c r="G2" i="134"/>
  <c r="J3" i="133"/>
  <c r="R60" i="134"/>
  <c r="Q60" i="134"/>
  <c r="AC15" i="134"/>
  <c r="AD5" i="134"/>
  <c r="AB15" i="134"/>
  <c r="R61" i="134"/>
  <c r="Q61" i="134"/>
  <c r="R62" i="134"/>
  <c r="Q62" i="134"/>
  <c r="Q49" i="134"/>
  <c r="O58" i="134"/>
  <c r="R49" i="134"/>
  <c r="R63" i="134"/>
  <c r="Q63" i="134"/>
  <c r="P79" i="134"/>
  <c r="J18" i="133"/>
  <c r="R5" i="134"/>
  <c r="Q5" i="134"/>
  <c r="O15" i="134"/>
  <c r="R29" i="134"/>
  <c r="Q29" i="134"/>
  <c r="R9" i="134"/>
  <c r="Q9" i="134"/>
  <c r="O69" i="134"/>
  <c r="R59" i="134"/>
  <c r="Q59" i="134"/>
  <c r="AC69" i="134"/>
  <c r="AD59" i="134"/>
  <c r="AB69" i="134"/>
  <c r="N79" i="134"/>
  <c r="Q69" i="134"/>
  <c r="AC37" i="134"/>
  <c r="AD27" i="134"/>
  <c r="AB37" i="134"/>
  <c r="Q37" i="134"/>
  <c r="L26" i="134"/>
  <c r="E13" i="133"/>
  <c r="P69" i="132"/>
  <c r="Q38" i="132"/>
  <c r="L48" i="132"/>
  <c r="G13" i="131"/>
  <c r="G15" i="131"/>
  <c r="R28" i="132"/>
  <c r="Q28" i="132"/>
  <c r="O15" i="132"/>
  <c r="R5" i="132"/>
  <c r="Q5" i="132"/>
  <c r="L26" i="132"/>
  <c r="E13" i="131"/>
  <c r="E15" i="131"/>
  <c r="Q7" i="132"/>
  <c r="R7" i="132"/>
  <c r="AB37" i="132"/>
  <c r="Q37" i="132"/>
  <c r="AC37" i="132"/>
  <c r="AD27" i="132"/>
  <c r="R51" i="132"/>
  <c r="Q51" i="132"/>
  <c r="R60" i="132"/>
  <c r="Q60" i="132"/>
  <c r="R18" i="132"/>
  <c r="Q18" i="132"/>
  <c r="R38" i="132"/>
  <c r="R39" i="132"/>
  <c r="Q39" i="132"/>
  <c r="Q16" i="132"/>
  <c r="R16" i="132"/>
  <c r="O26" i="132"/>
  <c r="R70" i="132"/>
  <c r="Q70" i="132"/>
  <c r="O37" i="132"/>
  <c r="R27" i="132"/>
  <c r="Q27" i="132"/>
  <c r="AB15" i="132"/>
  <c r="AC15" i="132"/>
  <c r="AD5" i="132"/>
  <c r="R59" i="132"/>
  <c r="Q59" i="132"/>
  <c r="O69" i="132"/>
  <c r="AC69" i="132"/>
  <c r="AD59" i="132"/>
  <c r="N79" i="132"/>
  <c r="AB69" i="132"/>
  <c r="Q69" i="132"/>
  <c r="AC48" i="132"/>
  <c r="AD38" i="132"/>
  <c r="AB48" i="132"/>
  <c r="Q48" i="132"/>
  <c r="AC58" i="132"/>
  <c r="AD49" i="132"/>
  <c r="AB58" i="132"/>
  <c r="Q58" i="132"/>
  <c r="R17" i="132"/>
  <c r="Q17" i="132"/>
  <c r="O58" i="132"/>
  <c r="R49" i="132"/>
  <c r="Q49" i="132"/>
  <c r="R51" i="130"/>
  <c r="P69" i="130"/>
  <c r="L26" i="130"/>
  <c r="E13" i="129"/>
  <c r="L69" i="130"/>
  <c r="I13" i="129"/>
  <c r="L37" i="130"/>
  <c r="F13" i="129"/>
  <c r="L48" i="130"/>
  <c r="G13" i="129"/>
  <c r="Q9" i="130"/>
  <c r="L15" i="130"/>
  <c r="D13" i="129"/>
  <c r="L8" i="128"/>
  <c r="Q16" i="130"/>
  <c r="Q18" i="130"/>
  <c r="R16" i="130"/>
  <c r="R62" i="130"/>
  <c r="Q51" i="130"/>
  <c r="E14" i="129"/>
  <c r="AC48" i="130"/>
  <c r="AD38" i="130"/>
  <c r="AB48" i="130"/>
  <c r="Q48" i="130"/>
  <c r="J18" i="129"/>
  <c r="P79" i="130"/>
  <c r="R17" i="130"/>
  <c r="Q17" i="130"/>
  <c r="O37" i="130"/>
  <c r="R27" i="130"/>
  <c r="Q27" i="130"/>
  <c r="AC15" i="130"/>
  <c r="AD5" i="130"/>
  <c r="AB15" i="130"/>
  <c r="R6" i="130"/>
  <c r="Q6" i="130"/>
  <c r="Q39" i="130"/>
  <c r="R39" i="130"/>
  <c r="AC26" i="130"/>
  <c r="AD16" i="130"/>
  <c r="AB26" i="130"/>
  <c r="R70" i="130"/>
  <c r="Q70" i="130"/>
  <c r="R60" i="130"/>
  <c r="Q60" i="130"/>
  <c r="AB37" i="130"/>
  <c r="AC37" i="130"/>
  <c r="AD27" i="130"/>
  <c r="Q37" i="130"/>
  <c r="G2" i="130"/>
  <c r="J3" i="129"/>
  <c r="R61" i="130"/>
  <c r="Q61" i="130"/>
  <c r="R8" i="130"/>
  <c r="Q8" i="130"/>
  <c r="Q28" i="130"/>
  <c r="R28" i="130"/>
  <c r="R19" i="130"/>
  <c r="Q19" i="130"/>
  <c r="Q38" i="130"/>
  <c r="O48" i="130"/>
  <c r="R38" i="130"/>
  <c r="O15" i="130"/>
  <c r="R5" i="130"/>
  <c r="Q5" i="130"/>
  <c r="R59" i="130"/>
  <c r="Q59" i="130"/>
  <c r="O69" i="130"/>
  <c r="L58" i="130"/>
  <c r="H13" i="129"/>
  <c r="R49" i="130"/>
  <c r="Q29" i="130"/>
  <c r="R29" i="130"/>
  <c r="AC58" i="130"/>
  <c r="AD49" i="130"/>
  <c r="AB58" i="130"/>
  <c r="Q58" i="130"/>
  <c r="R50" i="130"/>
  <c r="O58" i="130"/>
  <c r="Q50" i="130"/>
  <c r="I1" i="130"/>
  <c r="AC69" i="130"/>
  <c r="AD59" i="130"/>
  <c r="AB69" i="130"/>
  <c r="Q69" i="130"/>
  <c r="N79" i="130"/>
  <c r="R7" i="130"/>
  <c r="Q7" i="130"/>
  <c r="J16" i="127"/>
  <c r="V71" i="128"/>
  <c r="W71" i="128"/>
  <c r="N71" i="128"/>
  <c r="W70" i="128"/>
  <c r="N70" i="128"/>
  <c r="O70" i="128"/>
  <c r="W78" i="128"/>
  <c r="H78" i="128"/>
  <c r="W77" i="128"/>
  <c r="H77" i="128"/>
  <c r="W76" i="128"/>
  <c r="H76" i="128"/>
  <c r="W75" i="128"/>
  <c r="H75" i="128"/>
  <c r="W74" i="128"/>
  <c r="W73" i="128"/>
  <c r="W72" i="128"/>
  <c r="K71" i="128"/>
  <c r="J71" i="128"/>
  <c r="P71" i="128"/>
  <c r="K70" i="128"/>
  <c r="J70" i="128"/>
  <c r="P70" i="128"/>
  <c r="H70" i="128"/>
  <c r="M69" i="128"/>
  <c r="I18" i="127"/>
  <c r="W68" i="128"/>
  <c r="H68" i="128"/>
  <c r="W67" i="128"/>
  <c r="H67" i="128"/>
  <c r="W66" i="128"/>
  <c r="H66" i="128"/>
  <c r="W65" i="128"/>
  <c r="H65" i="128"/>
  <c r="W64" i="128"/>
  <c r="H64" i="128"/>
  <c r="W63" i="128"/>
  <c r="W62" i="128"/>
  <c r="N62" i="128"/>
  <c r="O62" i="128"/>
  <c r="W61" i="128"/>
  <c r="N61" i="128"/>
  <c r="V61" i="128"/>
  <c r="K61" i="128"/>
  <c r="J61" i="128"/>
  <c r="P61" i="128"/>
  <c r="F61" i="128"/>
  <c r="H61" i="128"/>
  <c r="B61" i="128"/>
  <c r="W60" i="128"/>
  <c r="N60" i="128"/>
  <c r="V60" i="128"/>
  <c r="K60" i="128"/>
  <c r="J60" i="128"/>
  <c r="P60" i="128"/>
  <c r="F60" i="128"/>
  <c r="H60" i="128"/>
  <c r="B60" i="128"/>
  <c r="W59" i="128"/>
  <c r="N59" i="128"/>
  <c r="O59" i="128"/>
  <c r="K59" i="128"/>
  <c r="J59" i="128"/>
  <c r="P59" i="128"/>
  <c r="F59" i="128"/>
  <c r="H59" i="128"/>
  <c r="B59" i="128"/>
  <c r="M58" i="128"/>
  <c r="H18" i="127"/>
  <c r="W57" i="128"/>
  <c r="H57" i="128"/>
  <c r="W56" i="128"/>
  <c r="H56" i="128"/>
  <c r="W55" i="128"/>
  <c r="H55" i="128"/>
  <c r="W54" i="128"/>
  <c r="W53" i="128"/>
  <c r="W52" i="128"/>
  <c r="N52" i="128"/>
  <c r="O52" i="128"/>
  <c r="W51" i="128"/>
  <c r="N51" i="128"/>
  <c r="V51" i="128"/>
  <c r="K51" i="128"/>
  <c r="J51" i="128"/>
  <c r="P51" i="128"/>
  <c r="F51" i="128"/>
  <c r="H51" i="128"/>
  <c r="B51" i="128"/>
  <c r="W50" i="128"/>
  <c r="N50" i="128"/>
  <c r="V50" i="128"/>
  <c r="K50" i="128"/>
  <c r="J50" i="128"/>
  <c r="P50" i="128"/>
  <c r="F50" i="128"/>
  <c r="H50" i="128"/>
  <c r="B50" i="128"/>
  <c r="W49" i="128"/>
  <c r="N49" i="128"/>
  <c r="O49" i="128"/>
  <c r="J49" i="128"/>
  <c r="L49" i="128"/>
  <c r="F49" i="128"/>
  <c r="H49" i="128"/>
  <c r="B49" i="128"/>
  <c r="W48" i="128"/>
  <c r="M48" i="128"/>
  <c r="G18" i="127"/>
  <c r="W47" i="128"/>
  <c r="H47" i="128"/>
  <c r="W46" i="128"/>
  <c r="H46" i="128"/>
  <c r="W45" i="128"/>
  <c r="H45" i="128"/>
  <c r="W44" i="128"/>
  <c r="H44" i="128"/>
  <c r="W43" i="128"/>
  <c r="H43" i="128"/>
  <c r="W42" i="128"/>
  <c r="H42" i="128"/>
  <c r="W41" i="128"/>
  <c r="W40" i="128"/>
  <c r="W39" i="128"/>
  <c r="W38" i="128"/>
  <c r="N38" i="128"/>
  <c r="K38" i="128"/>
  <c r="J38" i="128"/>
  <c r="M37" i="128"/>
  <c r="F18" i="127"/>
  <c r="W36" i="128"/>
  <c r="H36" i="128"/>
  <c r="W35" i="128"/>
  <c r="H35" i="128"/>
  <c r="W34" i="128"/>
  <c r="H34" i="128"/>
  <c r="W33" i="128"/>
  <c r="H33" i="128"/>
  <c r="W32" i="128"/>
  <c r="H32" i="128"/>
  <c r="W31" i="128"/>
  <c r="W30" i="128"/>
  <c r="W29" i="128"/>
  <c r="W28" i="128"/>
  <c r="N28" i="128"/>
  <c r="V28" i="128"/>
  <c r="K28" i="128"/>
  <c r="J28" i="128"/>
  <c r="P28" i="128"/>
  <c r="F28" i="128"/>
  <c r="H28" i="128"/>
  <c r="B28" i="128"/>
  <c r="W27" i="128"/>
  <c r="N27" i="128"/>
  <c r="K27" i="128"/>
  <c r="J27" i="128"/>
  <c r="F27" i="128"/>
  <c r="H27" i="128"/>
  <c r="M26" i="128"/>
  <c r="E18" i="127"/>
  <c r="W25" i="128"/>
  <c r="H25" i="128"/>
  <c r="W24" i="128"/>
  <c r="H24" i="128"/>
  <c r="W23" i="128"/>
  <c r="H23" i="128"/>
  <c r="H22" i="128"/>
  <c r="H21" i="128"/>
  <c r="W20" i="128"/>
  <c r="W19" i="128"/>
  <c r="N19" i="128"/>
  <c r="V19" i="128"/>
  <c r="K19" i="128"/>
  <c r="J19" i="128"/>
  <c r="P19" i="128"/>
  <c r="F19" i="128"/>
  <c r="H19" i="128"/>
  <c r="W18" i="128"/>
  <c r="N18" i="128"/>
  <c r="O18" i="128"/>
  <c r="V18" i="128"/>
  <c r="K18" i="128"/>
  <c r="J18" i="128"/>
  <c r="P18" i="128"/>
  <c r="F18" i="128"/>
  <c r="W17" i="128"/>
  <c r="N17" i="128"/>
  <c r="V17" i="128"/>
  <c r="K17" i="128"/>
  <c r="J17" i="128"/>
  <c r="P17" i="128"/>
  <c r="F17" i="128"/>
  <c r="H17" i="128"/>
  <c r="W16" i="128"/>
  <c r="N16" i="128"/>
  <c r="K16" i="128"/>
  <c r="J16" i="128"/>
  <c r="F16" i="128"/>
  <c r="H16" i="128"/>
  <c r="M15" i="128"/>
  <c r="D18" i="127"/>
  <c r="W14" i="128"/>
  <c r="H14" i="128"/>
  <c r="W13" i="128"/>
  <c r="H13" i="128"/>
  <c r="W12" i="128"/>
  <c r="H12" i="128"/>
  <c r="W11" i="128"/>
  <c r="H11" i="128"/>
  <c r="W10" i="128"/>
  <c r="W9" i="128"/>
  <c r="W8" i="128"/>
  <c r="N8" i="128"/>
  <c r="O8" i="128"/>
  <c r="W7" i="128"/>
  <c r="N7" i="128"/>
  <c r="V7" i="128"/>
  <c r="K7" i="128"/>
  <c r="J7" i="128"/>
  <c r="P7" i="128"/>
  <c r="F7" i="128"/>
  <c r="H7" i="128"/>
  <c r="B7" i="128"/>
  <c r="W6" i="128"/>
  <c r="V6" i="128"/>
  <c r="N6" i="128"/>
  <c r="O6" i="128"/>
  <c r="K6" i="128"/>
  <c r="J6" i="128"/>
  <c r="P6" i="128"/>
  <c r="F6" i="128"/>
  <c r="H6" i="128"/>
  <c r="B6" i="128"/>
  <c r="W5" i="128"/>
  <c r="N5" i="128"/>
  <c r="K5" i="128"/>
  <c r="J5" i="128"/>
  <c r="P5" i="128"/>
  <c r="F5" i="128"/>
  <c r="H5" i="128"/>
  <c r="B5" i="128"/>
  <c r="I2" i="128"/>
  <c r="E1" i="128"/>
  <c r="G3" i="127"/>
  <c r="I16" i="127"/>
  <c r="H16" i="127"/>
  <c r="G16" i="127"/>
  <c r="F16" i="127"/>
  <c r="E16" i="127"/>
  <c r="D16" i="127"/>
  <c r="L79" i="132"/>
  <c r="J13" i="131"/>
  <c r="R37" i="132"/>
  <c r="S27" i="132"/>
  <c r="R58" i="132"/>
  <c r="S49" i="132"/>
  <c r="H6" i="135"/>
  <c r="H6" i="133"/>
  <c r="I13" i="133"/>
  <c r="J6" i="133"/>
  <c r="R58" i="136"/>
  <c r="S49" i="136"/>
  <c r="R48" i="132"/>
  <c r="S38" i="132"/>
  <c r="H15" i="135"/>
  <c r="H6" i="131"/>
  <c r="F6" i="131"/>
  <c r="J6" i="131"/>
  <c r="I15" i="131"/>
  <c r="H8" i="131"/>
  <c r="R79" i="138"/>
  <c r="S70" i="138"/>
  <c r="J14" i="137"/>
  <c r="J15" i="137"/>
  <c r="I15" i="137"/>
  <c r="E2" i="138"/>
  <c r="H7" i="137"/>
  <c r="D15" i="137"/>
  <c r="R69" i="136"/>
  <c r="S59" i="136"/>
  <c r="O79" i="136"/>
  <c r="E2" i="136"/>
  <c r="I14" i="135"/>
  <c r="AC79" i="136"/>
  <c r="AD70" i="136"/>
  <c r="AB79" i="136"/>
  <c r="Q79" i="136"/>
  <c r="R15" i="136"/>
  <c r="S5" i="136"/>
  <c r="Q15" i="136"/>
  <c r="D14" i="135"/>
  <c r="R37" i="136"/>
  <c r="S27" i="136"/>
  <c r="F14" i="135"/>
  <c r="F15" i="135"/>
  <c r="R26" i="136"/>
  <c r="S16" i="136"/>
  <c r="Q26" i="136"/>
  <c r="E14" i="135"/>
  <c r="E15" i="135"/>
  <c r="I13" i="135"/>
  <c r="L79" i="136"/>
  <c r="J13" i="135"/>
  <c r="R48" i="136"/>
  <c r="S38" i="136"/>
  <c r="G14" i="135"/>
  <c r="G15" i="135"/>
  <c r="R37" i="134"/>
  <c r="S27" i="134"/>
  <c r="F14" i="133"/>
  <c r="F15" i="133"/>
  <c r="H14" i="133"/>
  <c r="H15" i="133"/>
  <c r="R58" i="134"/>
  <c r="S49" i="134"/>
  <c r="R48" i="134"/>
  <c r="S38" i="134"/>
  <c r="G14" i="133"/>
  <c r="G15" i="133"/>
  <c r="D14" i="133"/>
  <c r="Q15" i="134"/>
  <c r="R15" i="134"/>
  <c r="S5" i="134"/>
  <c r="AC79" i="134"/>
  <c r="AD70" i="134"/>
  <c r="Q79" i="134"/>
  <c r="AB79" i="134"/>
  <c r="R26" i="134"/>
  <c r="S16" i="134"/>
  <c r="Q26" i="134"/>
  <c r="E14" i="133"/>
  <c r="E15" i="133"/>
  <c r="I14" i="133"/>
  <c r="O79" i="134"/>
  <c r="E2" i="134"/>
  <c r="R69" i="134"/>
  <c r="S59" i="134"/>
  <c r="Q15" i="132"/>
  <c r="R15" i="132"/>
  <c r="S5" i="132"/>
  <c r="O79" i="132"/>
  <c r="R69" i="132"/>
  <c r="S59" i="132"/>
  <c r="AC79" i="132"/>
  <c r="AD70" i="132"/>
  <c r="AB79" i="132"/>
  <c r="Q79" i="132"/>
  <c r="R26" i="132"/>
  <c r="S16" i="132"/>
  <c r="Q26" i="132"/>
  <c r="E15" i="129"/>
  <c r="R26" i="130"/>
  <c r="S16" i="130"/>
  <c r="Q26" i="130"/>
  <c r="L79" i="130"/>
  <c r="J13" i="129"/>
  <c r="F6" i="129"/>
  <c r="H6" i="129"/>
  <c r="D14" i="129"/>
  <c r="R15" i="130"/>
  <c r="S5" i="130"/>
  <c r="Q15" i="130"/>
  <c r="G14" i="129"/>
  <c r="G15" i="129"/>
  <c r="R48" i="130"/>
  <c r="S38" i="130"/>
  <c r="AC79" i="130"/>
  <c r="AD70" i="130"/>
  <c r="AB79" i="130"/>
  <c r="Q79" i="130"/>
  <c r="R69" i="130"/>
  <c r="S59" i="130"/>
  <c r="O79" i="130"/>
  <c r="I14" i="129"/>
  <c r="H14" i="129"/>
  <c r="H15" i="129"/>
  <c r="R58" i="130"/>
  <c r="S49" i="130"/>
  <c r="F14" i="129"/>
  <c r="F15" i="129"/>
  <c r="R37" i="130"/>
  <c r="S27" i="130"/>
  <c r="Q8" i="128"/>
  <c r="R8" i="128"/>
  <c r="R52" i="128"/>
  <c r="Q52" i="128"/>
  <c r="R62" i="128"/>
  <c r="Q62" i="128"/>
  <c r="L50" i="128"/>
  <c r="L19" i="128"/>
  <c r="L70" i="128"/>
  <c r="Q70" i="128"/>
  <c r="L5" i="128"/>
  <c r="K58" i="128"/>
  <c r="J26" i="128"/>
  <c r="P26" i="128"/>
  <c r="L59" i="128"/>
  <c r="R59" i="128"/>
  <c r="L38" i="128"/>
  <c r="L48" i="128"/>
  <c r="G13" i="127"/>
  <c r="L18" i="128"/>
  <c r="R18" i="128"/>
  <c r="P38" i="128"/>
  <c r="L51" i="128"/>
  <c r="L16" i="128"/>
  <c r="AB27" i="128"/>
  <c r="J58" i="128"/>
  <c r="P58" i="128"/>
  <c r="L60" i="128"/>
  <c r="L71" i="128"/>
  <c r="P16" i="128"/>
  <c r="K26" i="128"/>
  <c r="L61" i="128"/>
  <c r="AB49" i="128"/>
  <c r="AC49" i="128"/>
  <c r="AC27" i="128"/>
  <c r="AC6" i="128"/>
  <c r="AB59" i="128"/>
  <c r="AC59" i="128"/>
  <c r="AB70" i="128"/>
  <c r="AC70" i="128"/>
  <c r="AB18" i="128"/>
  <c r="AC18" i="128"/>
  <c r="J48" i="128"/>
  <c r="P48" i="128"/>
  <c r="K48" i="128"/>
  <c r="G1" i="128"/>
  <c r="J3" i="127"/>
  <c r="K15" i="128"/>
  <c r="J15" i="128"/>
  <c r="P15" i="128"/>
  <c r="AB6" i="128"/>
  <c r="AC51" i="128"/>
  <c r="AB51" i="128"/>
  <c r="J69" i="128"/>
  <c r="J79" i="128"/>
  <c r="AB16" i="128"/>
  <c r="AC16" i="128"/>
  <c r="N26" i="128"/>
  <c r="O51" i="128"/>
  <c r="O60" i="128"/>
  <c r="AC60" i="128"/>
  <c r="AB60" i="128"/>
  <c r="O16" i="128"/>
  <c r="O38" i="128"/>
  <c r="N48" i="128"/>
  <c r="AC38" i="128"/>
  <c r="AB38" i="128"/>
  <c r="AB7" i="128"/>
  <c r="O7" i="128"/>
  <c r="AC7" i="128"/>
  <c r="L17" i="128"/>
  <c r="O50" i="128"/>
  <c r="N58" i="128"/>
  <c r="AB50" i="128"/>
  <c r="AC50" i="128"/>
  <c r="O5" i="128"/>
  <c r="AC5" i="128"/>
  <c r="AB5" i="128"/>
  <c r="AC17" i="128"/>
  <c r="J37" i="128"/>
  <c r="P37" i="128"/>
  <c r="P27" i="128"/>
  <c r="L27" i="128"/>
  <c r="AC19" i="128"/>
  <c r="O19" i="128"/>
  <c r="AB19" i="128"/>
  <c r="K69" i="128"/>
  <c r="K79" i="128"/>
  <c r="AC61" i="128"/>
  <c r="AB61" i="128"/>
  <c r="O61" i="128"/>
  <c r="N15" i="128"/>
  <c r="N37" i="128"/>
  <c r="R49" i="128"/>
  <c r="Q49" i="128"/>
  <c r="AC71" i="128"/>
  <c r="O71" i="128"/>
  <c r="AB71" i="128"/>
  <c r="AC28" i="128"/>
  <c r="AB28" i="128"/>
  <c r="O28" i="128"/>
  <c r="N69" i="128"/>
  <c r="L28" i="128"/>
  <c r="P49" i="128"/>
  <c r="L6" i="128"/>
  <c r="R6" i="128"/>
  <c r="O17" i="128"/>
  <c r="L7" i="128"/>
  <c r="K37" i="128"/>
  <c r="AB17" i="128"/>
  <c r="M79" i="128"/>
  <c r="O27" i="128"/>
  <c r="F6" i="133"/>
  <c r="F8" i="137"/>
  <c r="H8" i="137"/>
  <c r="F7" i="137"/>
  <c r="J7" i="137"/>
  <c r="J8" i="137"/>
  <c r="D15" i="135"/>
  <c r="H7" i="135"/>
  <c r="J6" i="135"/>
  <c r="F6" i="135"/>
  <c r="I15" i="135"/>
  <c r="R79" i="136"/>
  <c r="S70" i="136"/>
  <c r="J14" i="135"/>
  <c r="J15" i="135"/>
  <c r="H7" i="133"/>
  <c r="D15" i="133"/>
  <c r="R79" i="134"/>
  <c r="S70" i="134"/>
  <c r="J14" i="133"/>
  <c r="J15" i="133"/>
  <c r="I15" i="133"/>
  <c r="R79" i="132"/>
  <c r="S70" i="132"/>
  <c r="J14" i="131"/>
  <c r="E2" i="132"/>
  <c r="L69" i="128"/>
  <c r="I13" i="127"/>
  <c r="R70" i="128"/>
  <c r="J6" i="129"/>
  <c r="Q59" i="128"/>
  <c r="I15" i="129"/>
  <c r="R79" i="130"/>
  <c r="S70" i="130"/>
  <c r="J14" i="129"/>
  <c r="J15" i="129"/>
  <c r="H7" i="129"/>
  <c r="D15" i="129"/>
  <c r="E2" i="130"/>
  <c r="O69" i="128"/>
  <c r="L58" i="128"/>
  <c r="H13" i="127"/>
  <c r="L26" i="128"/>
  <c r="E13" i="127"/>
  <c r="Q18" i="128"/>
  <c r="Q6" i="128"/>
  <c r="P69" i="128"/>
  <c r="G2" i="128"/>
  <c r="R38" i="128"/>
  <c r="O48" i="128"/>
  <c r="Q38" i="128"/>
  <c r="R27" i="128"/>
  <c r="Q27" i="128"/>
  <c r="O37" i="128"/>
  <c r="L37" i="128"/>
  <c r="F13" i="127"/>
  <c r="AC69" i="128"/>
  <c r="AD59" i="128"/>
  <c r="AB69" i="128"/>
  <c r="Q69" i="128"/>
  <c r="N79" i="128"/>
  <c r="Q7" i="128"/>
  <c r="R7" i="128"/>
  <c r="AC48" i="128"/>
  <c r="AD38" i="128"/>
  <c r="AB48" i="128"/>
  <c r="Q48" i="128"/>
  <c r="Q16" i="128"/>
  <c r="R16" i="128"/>
  <c r="O26" i="128"/>
  <c r="R60" i="128"/>
  <c r="Q60" i="128"/>
  <c r="Q28" i="128"/>
  <c r="R28" i="128"/>
  <c r="Q37" i="128"/>
  <c r="AC37" i="128"/>
  <c r="AD27" i="128"/>
  <c r="AB37" i="128"/>
  <c r="R51" i="128"/>
  <c r="Q51" i="128"/>
  <c r="R61" i="128"/>
  <c r="Q61" i="128"/>
  <c r="AC58" i="128"/>
  <c r="AD49" i="128"/>
  <c r="AB58" i="128"/>
  <c r="Q58" i="128"/>
  <c r="R71" i="128"/>
  <c r="Q71" i="128"/>
  <c r="R50" i="128"/>
  <c r="Q50" i="128"/>
  <c r="P79" i="128"/>
  <c r="I1" i="128"/>
  <c r="J18" i="127"/>
  <c r="O58" i="128"/>
  <c r="AB15" i="128"/>
  <c r="AC15" i="128"/>
  <c r="AD5" i="128"/>
  <c r="R19" i="128"/>
  <c r="Q19" i="128"/>
  <c r="R5" i="128"/>
  <c r="Q5" i="128"/>
  <c r="O15" i="128"/>
  <c r="AC26" i="128"/>
  <c r="AD16" i="128"/>
  <c r="AB26" i="128"/>
  <c r="R17" i="128"/>
  <c r="Q17" i="128"/>
  <c r="L15" i="128"/>
  <c r="D13" i="127"/>
  <c r="R69" i="128"/>
  <c r="S59" i="128"/>
  <c r="L79" i="128"/>
  <c r="J13" i="127"/>
  <c r="F6" i="127"/>
  <c r="J8" i="135"/>
  <c r="J7" i="135"/>
  <c r="F7" i="135"/>
  <c r="H8" i="135"/>
  <c r="F8" i="135"/>
  <c r="J7" i="133"/>
  <c r="J8" i="133"/>
  <c r="H8" i="133"/>
  <c r="F8" i="133"/>
  <c r="F7" i="133"/>
  <c r="J15" i="131"/>
  <c r="J7" i="131"/>
  <c r="F7" i="131"/>
  <c r="F7" i="129"/>
  <c r="H8" i="129"/>
  <c r="F8" i="129"/>
  <c r="J7" i="129"/>
  <c r="J8" i="129"/>
  <c r="O79" i="128"/>
  <c r="E2" i="128"/>
  <c r="I14" i="127"/>
  <c r="I15" i="127"/>
  <c r="F14" i="127"/>
  <c r="F15" i="127"/>
  <c r="R37" i="128"/>
  <c r="S27" i="128"/>
  <c r="H6" i="127"/>
  <c r="R48" i="128"/>
  <c r="S38" i="128"/>
  <c r="G14" i="127"/>
  <c r="G15" i="127"/>
  <c r="R58" i="128"/>
  <c r="S49" i="128"/>
  <c r="H14" i="127"/>
  <c r="H15" i="127"/>
  <c r="AC79" i="128"/>
  <c r="AD70" i="128"/>
  <c r="AB79" i="128"/>
  <c r="Q79" i="128"/>
  <c r="D14" i="127"/>
  <c r="Q15" i="128"/>
  <c r="R15" i="128"/>
  <c r="S5" i="128"/>
  <c r="E14" i="127"/>
  <c r="E15" i="127"/>
  <c r="R26" i="128"/>
  <c r="S16" i="128"/>
  <c r="Q26" i="128"/>
  <c r="J6" i="127"/>
  <c r="J8" i="131"/>
  <c r="F8" i="131"/>
  <c r="J14" i="127"/>
  <c r="J15" i="127"/>
  <c r="J8" i="127"/>
  <c r="R79" i="128"/>
  <c r="S70" i="128"/>
  <c r="H7" i="127"/>
  <c r="D15" i="127"/>
  <c r="F7" i="127"/>
  <c r="J7" i="127"/>
  <c r="F8" i="127"/>
  <c r="H8" i="127"/>
  <c r="W78" i="124"/>
  <c r="H78" i="124"/>
  <c r="W77" i="124"/>
  <c r="H77" i="124"/>
  <c r="W76" i="124"/>
  <c r="H76" i="124"/>
  <c r="W75" i="124"/>
  <c r="H75" i="124"/>
  <c r="W74" i="124"/>
  <c r="H74" i="124"/>
  <c r="W73" i="124"/>
  <c r="W72" i="124"/>
  <c r="W71" i="124"/>
  <c r="N71" i="124"/>
  <c r="O71" i="124"/>
  <c r="V71" i="124"/>
  <c r="K71" i="124"/>
  <c r="J71" i="124"/>
  <c r="P71" i="124"/>
  <c r="W70" i="124"/>
  <c r="N70" i="124"/>
  <c r="O70" i="124"/>
  <c r="K70" i="124"/>
  <c r="J70" i="124"/>
  <c r="P70" i="124"/>
  <c r="F70" i="124"/>
  <c r="H70" i="124"/>
  <c r="M69" i="124"/>
  <c r="M79" i="124"/>
  <c r="J18" i="123"/>
  <c r="W68" i="124"/>
  <c r="H68" i="124"/>
  <c r="W67" i="124"/>
  <c r="H67" i="124"/>
  <c r="W66" i="124"/>
  <c r="H66" i="124"/>
  <c r="W65" i="124"/>
  <c r="H65" i="124"/>
  <c r="W64" i="124"/>
  <c r="H64" i="124"/>
  <c r="W63" i="124"/>
  <c r="H63" i="124"/>
  <c r="W62" i="124"/>
  <c r="N62" i="124"/>
  <c r="V62" i="124"/>
  <c r="K62" i="124"/>
  <c r="J62" i="124"/>
  <c r="P62" i="124"/>
  <c r="F62" i="124"/>
  <c r="H62" i="124"/>
  <c r="B62" i="124"/>
  <c r="W61" i="124"/>
  <c r="N61" i="124"/>
  <c r="O61" i="124"/>
  <c r="V61" i="124"/>
  <c r="K61" i="124"/>
  <c r="J61" i="124"/>
  <c r="P61" i="124"/>
  <c r="F61" i="124"/>
  <c r="H61" i="124"/>
  <c r="B61" i="124"/>
  <c r="W60" i="124"/>
  <c r="N60" i="124"/>
  <c r="V60" i="124"/>
  <c r="K60" i="124"/>
  <c r="J60" i="124"/>
  <c r="P60" i="124"/>
  <c r="F60" i="124"/>
  <c r="H60" i="124"/>
  <c r="B60" i="124"/>
  <c r="W59" i="124"/>
  <c r="N59" i="124"/>
  <c r="O59" i="124"/>
  <c r="K59" i="124"/>
  <c r="J59" i="124"/>
  <c r="P59" i="124"/>
  <c r="F59" i="124"/>
  <c r="H59" i="124"/>
  <c r="B59" i="124"/>
  <c r="M58" i="124"/>
  <c r="W57" i="124"/>
  <c r="H57" i="124"/>
  <c r="W56" i="124"/>
  <c r="H56" i="124"/>
  <c r="W55" i="124"/>
  <c r="H55" i="124"/>
  <c r="W54" i="124"/>
  <c r="H54" i="124"/>
  <c r="W53" i="124"/>
  <c r="W52" i="124"/>
  <c r="W51" i="124"/>
  <c r="N51" i="124"/>
  <c r="O51" i="124"/>
  <c r="V51" i="124"/>
  <c r="K51" i="124"/>
  <c r="J51" i="124"/>
  <c r="P51" i="124"/>
  <c r="F51" i="124"/>
  <c r="H51" i="124"/>
  <c r="B51" i="124"/>
  <c r="W50" i="124"/>
  <c r="N50" i="124"/>
  <c r="O50" i="124"/>
  <c r="V50" i="124"/>
  <c r="K50" i="124"/>
  <c r="J50" i="124"/>
  <c r="P50" i="124"/>
  <c r="F50" i="124"/>
  <c r="H50" i="124"/>
  <c r="B50" i="124"/>
  <c r="W49" i="124"/>
  <c r="N49" i="124"/>
  <c r="K49" i="124"/>
  <c r="J49" i="124"/>
  <c r="P49" i="124"/>
  <c r="F49" i="124"/>
  <c r="H49" i="124"/>
  <c r="B49" i="124"/>
  <c r="W48" i="124"/>
  <c r="M48" i="124"/>
  <c r="G18" i="123"/>
  <c r="W47" i="124"/>
  <c r="H47" i="124"/>
  <c r="W46" i="124"/>
  <c r="H46" i="124"/>
  <c r="W45" i="124"/>
  <c r="H45" i="124"/>
  <c r="W44" i="124"/>
  <c r="H44" i="124"/>
  <c r="W43" i="124"/>
  <c r="H43" i="124"/>
  <c r="W42" i="124"/>
  <c r="H42" i="124"/>
  <c r="W41" i="124"/>
  <c r="W40" i="124"/>
  <c r="W39" i="124"/>
  <c r="N39" i="124"/>
  <c r="V39" i="124"/>
  <c r="K39" i="124"/>
  <c r="J39" i="124"/>
  <c r="P39" i="124"/>
  <c r="W38" i="124"/>
  <c r="N38" i="124"/>
  <c r="K38" i="124"/>
  <c r="J38" i="124"/>
  <c r="P38" i="124"/>
  <c r="M37" i="124"/>
  <c r="W36" i="124"/>
  <c r="H36" i="124"/>
  <c r="W35" i="124"/>
  <c r="H35" i="124"/>
  <c r="W34" i="124"/>
  <c r="H34" i="124"/>
  <c r="W33" i="124"/>
  <c r="H33" i="124"/>
  <c r="W32" i="124"/>
  <c r="H32" i="124"/>
  <c r="W31" i="124"/>
  <c r="W30" i="124"/>
  <c r="N30" i="124"/>
  <c r="O30" i="124"/>
  <c r="W29" i="124"/>
  <c r="N29" i="124"/>
  <c r="V29" i="124"/>
  <c r="K29" i="124"/>
  <c r="J29" i="124"/>
  <c r="P29" i="124"/>
  <c r="F29" i="124"/>
  <c r="H29" i="124"/>
  <c r="W28" i="124"/>
  <c r="V28" i="124"/>
  <c r="N28" i="124"/>
  <c r="K28" i="124"/>
  <c r="J28" i="124"/>
  <c r="P28" i="124"/>
  <c r="F28" i="124"/>
  <c r="H28" i="124"/>
  <c r="B28" i="124"/>
  <c r="W27" i="124"/>
  <c r="N27" i="124"/>
  <c r="K27" i="124"/>
  <c r="J27" i="124"/>
  <c r="P27" i="124"/>
  <c r="F27" i="124"/>
  <c r="H27" i="124"/>
  <c r="M26" i="124"/>
  <c r="E18" i="123"/>
  <c r="W25" i="124"/>
  <c r="H25" i="124"/>
  <c r="W24" i="124"/>
  <c r="H24" i="124"/>
  <c r="W23" i="124"/>
  <c r="H23" i="124"/>
  <c r="H22" i="124"/>
  <c r="H21" i="124"/>
  <c r="W20" i="124"/>
  <c r="N20" i="124"/>
  <c r="O20" i="124"/>
  <c r="W19" i="124"/>
  <c r="N19" i="124"/>
  <c r="O19" i="124"/>
  <c r="V19" i="124"/>
  <c r="K19" i="124"/>
  <c r="J19" i="124"/>
  <c r="P19" i="124"/>
  <c r="F19" i="124"/>
  <c r="H19" i="124"/>
  <c r="W18" i="124"/>
  <c r="N18" i="124"/>
  <c r="O18" i="124"/>
  <c r="V18" i="124"/>
  <c r="K18" i="124"/>
  <c r="J18" i="124"/>
  <c r="P18" i="124"/>
  <c r="F18" i="124"/>
  <c r="H18" i="124"/>
  <c r="W17" i="124"/>
  <c r="N17" i="124"/>
  <c r="V17" i="124"/>
  <c r="K17" i="124"/>
  <c r="J17" i="124"/>
  <c r="F17" i="124"/>
  <c r="H17" i="124"/>
  <c r="W16" i="124"/>
  <c r="N16" i="124"/>
  <c r="O16" i="124"/>
  <c r="K16" i="124"/>
  <c r="J16" i="124"/>
  <c r="P16" i="124"/>
  <c r="F16" i="124"/>
  <c r="H16" i="124"/>
  <c r="M15" i="124"/>
  <c r="D18" i="123"/>
  <c r="W14" i="124"/>
  <c r="H14" i="124"/>
  <c r="W13" i="124"/>
  <c r="H13" i="124"/>
  <c r="W12" i="124"/>
  <c r="H12" i="124"/>
  <c r="W11" i="124"/>
  <c r="H11" i="124"/>
  <c r="W10" i="124"/>
  <c r="W9" i="124"/>
  <c r="N9" i="124"/>
  <c r="O9" i="124"/>
  <c r="W8" i="124"/>
  <c r="V8" i="124"/>
  <c r="N8" i="124"/>
  <c r="K8" i="124"/>
  <c r="J8" i="124"/>
  <c r="P8" i="124"/>
  <c r="F8" i="124"/>
  <c r="H8" i="124"/>
  <c r="B8" i="124"/>
  <c r="W7" i="124"/>
  <c r="N7" i="124"/>
  <c r="V7" i="124"/>
  <c r="K7" i="124"/>
  <c r="J7" i="124"/>
  <c r="P7" i="124"/>
  <c r="F7" i="124"/>
  <c r="H7" i="124"/>
  <c r="B7" i="124"/>
  <c r="W6" i="124"/>
  <c r="N6" i="124"/>
  <c r="O6" i="124"/>
  <c r="V6" i="124"/>
  <c r="K6" i="124"/>
  <c r="J6" i="124"/>
  <c r="F6" i="124"/>
  <c r="H6" i="124"/>
  <c r="B6" i="124"/>
  <c r="W5" i="124"/>
  <c r="N5" i="124"/>
  <c r="K5" i="124"/>
  <c r="J5" i="124"/>
  <c r="P5" i="124"/>
  <c r="F5" i="124"/>
  <c r="H5" i="124"/>
  <c r="B5" i="124"/>
  <c r="I2" i="124"/>
  <c r="E1" i="124"/>
  <c r="G3" i="123"/>
  <c r="J16" i="123"/>
  <c r="I16" i="123"/>
  <c r="H16" i="123"/>
  <c r="G16" i="123"/>
  <c r="F16" i="123"/>
  <c r="E16" i="123"/>
  <c r="D16" i="123"/>
  <c r="R30" i="124"/>
  <c r="Q30" i="124"/>
  <c r="R20" i="124"/>
  <c r="Q20" i="124"/>
  <c r="Q9" i="124"/>
  <c r="R9" i="124"/>
  <c r="L16" i="124"/>
  <c r="Q16" i="124"/>
  <c r="L17" i="124"/>
  <c r="L8" i="124"/>
  <c r="L28" i="124"/>
  <c r="L5" i="124"/>
  <c r="L39" i="124"/>
  <c r="L27" i="124"/>
  <c r="L59" i="124"/>
  <c r="R59" i="124"/>
  <c r="L61" i="124"/>
  <c r="Q61" i="124"/>
  <c r="L70" i="124"/>
  <c r="R70" i="124"/>
  <c r="L19" i="124"/>
  <c r="R19" i="124"/>
  <c r="I18" i="123"/>
  <c r="AC6" i="124"/>
  <c r="AB70" i="124"/>
  <c r="AC70" i="124"/>
  <c r="L62" i="124"/>
  <c r="AC52" i="124"/>
  <c r="AB52" i="124"/>
  <c r="L51" i="124"/>
  <c r="R51" i="124"/>
  <c r="L50" i="124"/>
  <c r="R50" i="124"/>
  <c r="J58" i="124"/>
  <c r="P58" i="124"/>
  <c r="L49" i="124"/>
  <c r="AB49" i="124"/>
  <c r="K48" i="124"/>
  <c r="L29" i="124"/>
  <c r="K37" i="124"/>
  <c r="AB6" i="124"/>
  <c r="G1" i="124"/>
  <c r="L18" i="124"/>
  <c r="R18" i="124"/>
  <c r="AC38" i="124"/>
  <c r="AB38" i="124"/>
  <c r="N48" i="124"/>
  <c r="AC40" i="124"/>
  <c r="AB40" i="124"/>
  <c r="AB7" i="124"/>
  <c r="O7" i="124"/>
  <c r="AC7" i="124"/>
  <c r="K58" i="124"/>
  <c r="AC63" i="124"/>
  <c r="K69" i="124"/>
  <c r="K79" i="124"/>
  <c r="AC62" i="124"/>
  <c r="AB62" i="124"/>
  <c r="O62" i="124"/>
  <c r="L71" i="124"/>
  <c r="R71" i="124"/>
  <c r="AC8" i="124"/>
  <c r="AB8" i="124"/>
  <c r="O8" i="124"/>
  <c r="AC28" i="124"/>
  <c r="AB28" i="124"/>
  <c r="AC60" i="124"/>
  <c r="O60" i="124"/>
  <c r="AB60" i="124"/>
  <c r="AB19" i="124"/>
  <c r="J15" i="124"/>
  <c r="P15" i="124"/>
  <c r="P6" i="124"/>
  <c r="AC19" i="124"/>
  <c r="O38" i="124"/>
  <c r="AC59" i="124"/>
  <c r="J69" i="124"/>
  <c r="J79" i="124"/>
  <c r="P79" i="124"/>
  <c r="J26" i="124"/>
  <c r="P26" i="124"/>
  <c r="P17" i="124"/>
  <c r="O27" i="124"/>
  <c r="AB27" i="124"/>
  <c r="N37" i="124"/>
  <c r="AC27" i="124"/>
  <c r="K15" i="124"/>
  <c r="AB18" i="124"/>
  <c r="H18" i="123"/>
  <c r="I1" i="124"/>
  <c r="AC61" i="124"/>
  <c r="AB61" i="124"/>
  <c r="L38" i="124"/>
  <c r="AC51" i="124"/>
  <c r="AB51" i="124"/>
  <c r="AB63" i="124"/>
  <c r="L6" i="124"/>
  <c r="R6" i="124"/>
  <c r="J37" i="124"/>
  <c r="P37" i="124"/>
  <c r="J48" i="124"/>
  <c r="P48" i="124"/>
  <c r="AC5" i="124"/>
  <c r="AB5" i="124"/>
  <c r="K26" i="124"/>
  <c r="AC17" i="124"/>
  <c r="O17" i="124"/>
  <c r="O26" i="124"/>
  <c r="AB17" i="124"/>
  <c r="AB71" i="124"/>
  <c r="R16" i="124"/>
  <c r="N15" i="124"/>
  <c r="O28" i="124"/>
  <c r="AB59" i="124"/>
  <c r="AC18" i="124"/>
  <c r="O49" i="124"/>
  <c r="N58" i="124"/>
  <c r="AC50" i="124"/>
  <c r="AB50" i="124"/>
  <c r="O5" i="124"/>
  <c r="AC29" i="124"/>
  <c r="AB29" i="124"/>
  <c r="O29" i="124"/>
  <c r="AC39" i="124"/>
  <c r="O39" i="124"/>
  <c r="AB39" i="124"/>
  <c r="AC49" i="124"/>
  <c r="AC71" i="124"/>
  <c r="N26" i="124"/>
  <c r="AC16" i="124"/>
  <c r="AB16" i="124"/>
  <c r="F18" i="123"/>
  <c r="N69" i="124"/>
  <c r="L60" i="124"/>
  <c r="L7" i="124"/>
  <c r="Q19" i="124"/>
  <c r="L48" i="124"/>
  <c r="G13" i="123"/>
  <c r="Q50" i="124"/>
  <c r="Q59" i="124"/>
  <c r="L26" i="124"/>
  <c r="E13" i="123"/>
  <c r="Q70" i="124"/>
  <c r="R61" i="124"/>
  <c r="Q51" i="124"/>
  <c r="O69" i="124"/>
  <c r="O79" i="124"/>
  <c r="L69" i="124"/>
  <c r="I13" i="123"/>
  <c r="L58" i="124"/>
  <c r="H13" i="123"/>
  <c r="L37" i="124"/>
  <c r="F13" i="123"/>
  <c r="E14" i="123"/>
  <c r="AC26" i="124"/>
  <c r="AD16" i="124"/>
  <c r="AB26" i="124"/>
  <c r="G2" i="124"/>
  <c r="J3" i="123"/>
  <c r="AC69" i="124"/>
  <c r="AD59" i="124"/>
  <c r="AB69" i="124"/>
  <c r="Q69" i="124"/>
  <c r="N79" i="124"/>
  <c r="R29" i="124"/>
  <c r="Q29" i="124"/>
  <c r="O48" i="124"/>
  <c r="R38" i="124"/>
  <c r="Q38" i="124"/>
  <c r="R7" i="124"/>
  <c r="Q7" i="124"/>
  <c r="P69" i="124"/>
  <c r="Q71" i="124"/>
  <c r="R49" i="124"/>
  <c r="Q49" i="124"/>
  <c r="O58" i="124"/>
  <c r="AB48" i="124"/>
  <c r="Q48" i="124"/>
  <c r="AC48" i="124"/>
  <c r="AD38" i="124"/>
  <c r="L15" i="124"/>
  <c r="D13" i="123"/>
  <c r="Q6" i="124"/>
  <c r="R5" i="124"/>
  <c r="Q5" i="124"/>
  <c r="O15" i="124"/>
  <c r="R62" i="124"/>
  <c r="Q62" i="124"/>
  <c r="AC15" i="124"/>
  <c r="AD5" i="124"/>
  <c r="AB15" i="124"/>
  <c r="AC37" i="124"/>
  <c r="AD27" i="124"/>
  <c r="AB37" i="124"/>
  <c r="Q37" i="124"/>
  <c r="Q18" i="124"/>
  <c r="O37" i="124"/>
  <c r="R27" i="124"/>
  <c r="Q27" i="124"/>
  <c r="R60" i="124"/>
  <c r="Q60" i="124"/>
  <c r="Q39" i="124"/>
  <c r="R39" i="124"/>
  <c r="R8" i="124"/>
  <c r="Q8" i="124"/>
  <c r="Q17" i="124"/>
  <c r="R17" i="124"/>
  <c r="R28" i="124"/>
  <c r="Q28" i="124"/>
  <c r="AC58" i="124"/>
  <c r="AD49" i="124"/>
  <c r="AB58" i="124"/>
  <c r="Q58" i="124"/>
  <c r="E15" i="123"/>
  <c r="R26" i="124"/>
  <c r="S16" i="124"/>
  <c r="Q26" i="124"/>
  <c r="I14" i="123"/>
  <c r="I15" i="123"/>
  <c r="L79" i="124"/>
  <c r="J13" i="123"/>
  <c r="J6" i="123"/>
  <c r="R69" i="124"/>
  <c r="S59" i="124"/>
  <c r="J14" i="123"/>
  <c r="R48" i="124"/>
  <c r="S38" i="124"/>
  <c r="G14" i="123"/>
  <c r="G15" i="123"/>
  <c r="H6" i="123"/>
  <c r="R15" i="124"/>
  <c r="S5" i="124"/>
  <c r="D14" i="123"/>
  <c r="E2" i="124"/>
  <c r="Q15" i="124"/>
  <c r="R58" i="124"/>
  <c r="S49" i="124"/>
  <c r="H14" i="123"/>
  <c r="H15" i="123"/>
  <c r="R37" i="124"/>
  <c r="S27" i="124"/>
  <c r="F14" i="123"/>
  <c r="F15" i="123"/>
  <c r="AC79" i="124"/>
  <c r="AD70" i="124"/>
  <c r="AB79" i="124"/>
  <c r="Q79" i="124"/>
  <c r="F6" i="123"/>
  <c r="J15" i="123"/>
  <c r="J8" i="123"/>
  <c r="R79" i="124"/>
  <c r="S70" i="124"/>
  <c r="H7" i="123"/>
  <c r="F7" i="123"/>
  <c r="D15" i="123"/>
  <c r="J7" i="123"/>
  <c r="F8" i="123"/>
  <c r="H8" i="123"/>
  <c r="L58" i="177"/>
  <c r="R58" i="177"/>
  <c r="S49" i="177"/>
  <c r="H13" i="176"/>
  <c r="H15" i="176"/>
  <c r="H6" i="176"/>
  <c r="R50" i="177"/>
  <c r="Q50" i="177"/>
  <c r="F8" i="176"/>
  <c r="H8" i="176"/>
  <c r="F6" i="176"/>
  <c r="R60" i="182" l="1"/>
  <c r="Q60" i="182"/>
  <c r="Q61" i="182"/>
  <c r="R61" i="182"/>
  <c r="P69" i="182"/>
  <c r="AC60" i="182"/>
  <c r="AB59" i="182"/>
  <c r="AC49" i="182"/>
  <c r="O49" i="182"/>
  <c r="R49" i="182" s="1"/>
  <c r="AC38" i="182"/>
  <c r="AB38" i="182"/>
  <c r="AC27" i="182"/>
  <c r="O27" i="182"/>
  <c r="R27" i="182" s="1"/>
  <c r="N37" i="182"/>
  <c r="AC37" i="182" s="1"/>
  <c r="AD27" i="182" s="1"/>
  <c r="AB27" i="182"/>
  <c r="AC28" i="182"/>
  <c r="O28" i="182"/>
  <c r="R28" i="182" s="1"/>
  <c r="AB28" i="182"/>
  <c r="AB29" i="182"/>
  <c r="O29" i="182"/>
  <c r="R29" i="182" s="1"/>
  <c r="O18" i="182"/>
  <c r="R18" i="182" s="1"/>
  <c r="AC18" i="182"/>
  <c r="AB18" i="182"/>
  <c r="O17" i="182"/>
  <c r="AC17" i="182"/>
  <c r="AB17" i="182"/>
  <c r="O6" i="182"/>
  <c r="AB6" i="182"/>
  <c r="AC6" i="182"/>
  <c r="AB7" i="182"/>
  <c r="AC7" i="182"/>
  <c r="O7" i="182"/>
  <c r="Q5" i="182"/>
  <c r="N15" i="182"/>
  <c r="AC15" i="182" s="1"/>
  <c r="AD5" i="182" s="1"/>
  <c r="AB5" i="182"/>
  <c r="P58" i="182"/>
  <c r="F18" i="181"/>
  <c r="I1" i="182"/>
  <c r="P26" i="182"/>
  <c r="AB61" i="182"/>
  <c r="O59" i="182"/>
  <c r="N69" i="182"/>
  <c r="AC51" i="182"/>
  <c r="R50" i="182"/>
  <c r="Q50" i="182"/>
  <c r="N58" i="182"/>
  <c r="AB50" i="182"/>
  <c r="AC50" i="182"/>
  <c r="O58" i="182"/>
  <c r="H14" i="181" s="1"/>
  <c r="AB49" i="182"/>
  <c r="Q38" i="182"/>
  <c r="R41" i="182"/>
  <c r="Q41" i="182"/>
  <c r="O39" i="182"/>
  <c r="Q37" i="182"/>
  <c r="Q30" i="182"/>
  <c r="R16" i="182"/>
  <c r="Q16" i="182"/>
  <c r="R17" i="182"/>
  <c r="Q17" i="182"/>
  <c r="N26" i="182"/>
  <c r="AC26" i="182" s="1"/>
  <c r="AD16" i="182" s="1"/>
  <c r="AB16" i="182"/>
  <c r="AC16" i="182"/>
  <c r="O19" i="182"/>
  <c r="AB19" i="182"/>
  <c r="O15" i="182"/>
  <c r="D14" i="181" s="1"/>
  <c r="Q8" i="182"/>
  <c r="R8" i="182"/>
  <c r="AC8" i="182"/>
  <c r="AB60" i="182"/>
  <c r="L51" i="182"/>
  <c r="K58" i="182"/>
  <c r="AB51" i="182"/>
  <c r="L48" i="182"/>
  <c r="Q40" i="182"/>
  <c r="R40" i="182"/>
  <c r="K48" i="182"/>
  <c r="AC48" i="182" s="1"/>
  <c r="AD38" i="182" s="1"/>
  <c r="J48" i="182"/>
  <c r="P48" i="182" s="1"/>
  <c r="Q48" i="182"/>
  <c r="AB39" i="182"/>
  <c r="G1" i="182"/>
  <c r="G2" i="182" s="1"/>
  <c r="AB8" i="182"/>
  <c r="Q49" i="182" l="1"/>
  <c r="O37" i="182"/>
  <c r="R37" i="182" s="1"/>
  <c r="S27" i="182" s="1"/>
  <c r="Q28" i="182"/>
  <c r="AB37" i="182"/>
  <c r="Q29" i="182"/>
  <c r="Q27" i="182"/>
  <c r="Q18" i="182"/>
  <c r="AB26" i="182"/>
  <c r="AB15" i="182"/>
  <c r="R7" i="182"/>
  <c r="Q7" i="182"/>
  <c r="Q6" i="182"/>
  <c r="R6" i="182"/>
  <c r="F14" i="181"/>
  <c r="F15" i="181" s="1"/>
  <c r="AB69" i="182"/>
  <c r="Q69" i="182"/>
  <c r="AC69" i="182"/>
  <c r="AD59" i="182" s="1"/>
  <c r="R59" i="182"/>
  <c r="O69" i="182"/>
  <c r="I14" i="181" s="1"/>
  <c r="J7" i="181" s="1"/>
  <c r="Q59" i="182"/>
  <c r="R39" i="182"/>
  <c r="Q39" i="182"/>
  <c r="O48" i="182"/>
  <c r="G14" i="181" s="1"/>
  <c r="R19" i="182"/>
  <c r="Q19" i="182"/>
  <c r="L69" i="182"/>
  <c r="Q58" i="182"/>
  <c r="AC58" i="182"/>
  <c r="AD49" i="182" s="1"/>
  <c r="AB58" i="182"/>
  <c r="R51" i="182"/>
  <c r="Q51" i="182"/>
  <c r="L58" i="182"/>
  <c r="AB48" i="182"/>
  <c r="G13" i="181"/>
  <c r="J3" i="181"/>
  <c r="O26" i="182"/>
  <c r="L15" i="182"/>
  <c r="R48" i="182" l="1"/>
  <c r="S38" i="182" s="1"/>
  <c r="G15" i="181"/>
  <c r="I13" i="181"/>
  <c r="R69" i="182"/>
  <c r="S59" i="182" s="1"/>
  <c r="R58" i="182"/>
  <c r="S49" i="182" s="1"/>
  <c r="H13" i="181"/>
  <c r="H15" i="181" s="1"/>
  <c r="R26" i="182"/>
  <c r="S16" i="182" s="1"/>
  <c r="Q26" i="182"/>
  <c r="E14" i="181"/>
  <c r="E2" i="182"/>
  <c r="D13" i="181"/>
  <c r="Q15" i="182"/>
  <c r="R15" i="182"/>
  <c r="S5" i="182" s="1"/>
  <c r="J6" i="181" l="1"/>
  <c r="I15" i="181"/>
  <c r="J8" i="181" s="1"/>
  <c r="E15" i="181"/>
  <c r="F7" i="181"/>
  <c r="H7" i="181"/>
  <c r="F6" i="181"/>
  <c r="H6" i="181"/>
  <c r="D15" i="181"/>
  <c r="H8" i="181" l="1"/>
  <c r="F8" i="181"/>
</calcChain>
</file>

<file path=xl/sharedStrings.xml><?xml version="1.0" encoding="utf-8"?>
<sst xmlns="http://schemas.openxmlformats.org/spreadsheetml/2006/main" count="4899" uniqueCount="263">
  <si>
    <t>溫層</t>
    <phoneticPr fontId="2" type="noConversion"/>
  </si>
  <si>
    <t>人時性</t>
    <phoneticPr fontId="5" type="noConversion"/>
  </si>
  <si>
    <t>平均廠價</t>
  </si>
  <si>
    <t>廠價</t>
    <phoneticPr fontId="2" type="noConversion"/>
  </si>
  <si>
    <t>生產時間</t>
    <rPh sb="0" eb="4">
      <t>カイシジカン</t>
    </rPh>
    <phoneticPr fontId="3"/>
  </si>
  <si>
    <t>開始</t>
    <rPh sb="0" eb="2">
      <t>カイシジカン</t>
    </rPh>
    <phoneticPr fontId="3"/>
  </si>
  <si>
    <t>結束</t>
    <rPh sb="0" eb="2">
      <t>シュウリョウジカン</t>
    </rPh>
    <phoneticPr fontId="3"/>
  </si>
  <si>
    <t>平均</t>
    <phoneticPr fontId="5" type="noConversion"/>
  </si>
  <si>
    <t>總生產量</t>
    <phoneticPr fontId="5" type="noConversion"/>
  </si>
  <si>
    <t>營業額</t>
    <phoneticPr fontId="2" type="noConversion"/>
  </si>
  <si>
    <t>出勤人數</t>
  </si>
  <si>
    <t>產線配置圖</t>
    <phoneticPr fontId="5" type="noConversion"/>
  </si>
  <si>
    <t>生產實績</t>
    <phoneticPr fontId="5" type="noConversion"/>
  </si>
  <si>
    <t>人時性差異分析</t>
    <phoneticPr fontId="5" type="noConversion"/>
  </si>
  <si>
    <t>日報登錄</t>
    <phoneticPr fontId="5" type="noConversion"/>
  </si>
  <si>
    <t>分析說明</t>
    <phoneticPr fontId="5" type="noConversion"/>
  </si>
  <si>
    <t>產能差異分析</t>
    <phoneticPr fontId="5" type="noConversion"/>
  </si>
  <si>
    <t>多次生產數</t>
  </si>
  <si>
    <t>線別</t>
    <phoneticPr fontId="2" type="noConversion"/>
  </si>
  <si>
    <t>品類</t>
    <phoneticPr fontId="5" type="noConversion"/>
  </si>
  <si>
    <t>品名</t>
    <phoneticPr fontId="2" type="noConversion"/>
  </si>
  <si>
    <t>廠價</t>
  </si>
  <si>
    <t>生產量</t>
  </si>
  <si>
    <t>營收</t>
  </si>
  <si>
    <t>多次
生產</t>
    <phoneticPr fontId="5" type="noConversion"/>
  </si>
  <si>
    <t>人數</t>
    <phoneticPr fontId="5" type="noConversion"/>
  </si>
  <si>
    <t>產能/時</t>
    <phoneticPr fontId="5" type="noConversion"/>
  </si>
  <si>
    <t>達成率</t>
    <phoneticPr fontId="5" type="noConversion"/>
  </si>
  <si>
    <t>達成率平均</t>
    <phoneticPr fontId="5" type="noConversion"/>
  </si>
  <si>
    <t>前置、換線時間/分</t>
    <rPh sb="0" eb="2">
      <t>キリカエ</t>
    </rPh>
    <phoneticPr fontId="3"/>
  </si>
  <si>
    <t>稼動時間/分</t>
    <phoneticPr fontId="5" type="noConversion"/>
  </si>
  <si>
    <t>休息時間</t>
    <phoneticPr fontId="5" type="noConversion"/>
  </si>
  <si>
    <t>開始</t>
    <phoneticPr fontId="5" type="noConversion"/>
  </si>
  <si>
    <t>結束</t>
  </si>
  <si>
    <t>4度一組</t>
    <phoneticPr fontId="2" type="noConversion"/>
  </si>
  <si>
    <t xml:space="preserve">4度二組A
</t>
    <phoneticPr fontId="2" type="noConversion"/>
  </si>
  <si>
    <t xml:space="preserve">
4度二組B
</t>
    <phoneticPr fontId="2" type="noConversion"/>
  </si>
  <si>
    <t xml:space="preserve">
4度二組C1
</t>
    <phoneticPr fontId="2" type="noConversion"/>
  </si>
  <si>
    <t xml:space="preserve">
4度二組C2
</t>
    <phoneticPr fontId="2" type="noConversion"/>
  </si>
  <si>
    <t xml:space="preserve">
4度三組
</t>
    <phoneticPr fontId="2" type="noConversion"/>
  </si>
  <si>
    <t xml:space="preserve">
4度四組
</t>
    <phoneticPr fontId="2" type="noConversion"/>
  </si>
  <si>
    <t>1.當日出勤人數較多</t>
  </si>
  <si>
    <t>2.當日出勤人數較少</t>
  </si>
  <si>
    <t>3.當日出勤熟手較少</t>
    <phoneticPr fontId="5" type="noConversion"/>
  </si>
  <si>
    <t>4.當日出勤新人較多</t>
  </si>
  <si>
    <t>5.機台夾盒</t>
  </si>
  <si>
    <t>6.封膜不順</t>
  </si>
  <si>
    <t>7.更換膠膜</t>
  </si>
  <si>
    <t>8.更換碳帶</t>
  </si>
  <si>
    <t>9.當日熱轉印碳帶異常</t>
  </si>
  <si>
    <t>10.訂單量過少</t>
  </si>
  <si>
    <t>11.新品上市，尚未熟悉</t>
  </si>
  <si>
    <t>12.商品結構，產能較低</t>
    <phoneticPr fontId="2" type="noConversion"/>
  </si>
  <si>
    <t>13.區域出貨，分段生產</t>
    <phoneticPr fontId="2" type="noConversion"/>
  </si>
  <si>
    <t>手工三線
(ET-55)</t>
    <phoneticPr fontId="2" type="noConversion"/>
  </si>
  <si>
    <t>手工四線
(ET-55)</t>
    <phoneticPr fontId="5" type="noConversion"/>
  </si>
  <si>
    <t>手工五線
(ET-55)</t>
    <phoneticPr fontId="5" type="noConversion"/>
  </si>
  <si>
    <t>調理包一線
(八爪機)</t>
    <phoneticPr fontId="5" type="noConversion"/>
  </si>
  <si>
    <t>調理包二線
(手工)</t>
    <phoneticPr fontId="5" type="noConversion"/>
  </si>
  <si>
    <t>起司馬鈴薯</t>
    <phoneticPr fontId="5" type="noConversion"/>
  </si>
  <si>
    <t>品項</t>
    <phoneticPr fontId="2" type="noConversion"/>
  </si>
  <si>
    <t>類別</t>
    <phoneticPr fontId="2" type="noConversion"/>
  </si>
  <si>
    <t>義大利麵</t>
    <phoneticPr fontId="2" type="noConversion"/>
  </si>
  <si>
    <t>4度C</t>
    <phoneticPr fontId="2" type="noConversion"/>
  </si>
  <si>
    <t>check</t>
    <phoneticPr fontId="2" type="noConversion"/>
  </si>
  <si>
    <t>焗烤起司雙饗筆尖麵</t>
  </si>
  <si>
    <t>自動一線
(ET-600)</t>
    <phoneticPr fontId="5" type="noConversion"/>
  </si>
  <si>
    <t>自動二線
(ET-600)</t>
    <phoneticPr fontId="5" type="noConversion"/>
  </si>
  <si>
    <t>人數</t>
    <phoneticPr fontId="2" type="noConversion"/>
  </si>
  <si>
    <t>產能</t>
    <phoneticPr fontId="2" type="noConversion"/>
  </si>
  <si>
    <t>焗烤起司雙饗筆尖麵</t>
    <phoneticPr fontId="2" type="noConversion"/>
  </si>
  <si>
    <t>(長家回填)</t>
    <phoneticPr fontId="5" type="noConversion"/>
  </si>
  <si>
    <t xml:space="preserve">長家廠4度C日報分析                              </t>
    <phoneticPr fontId="5" type="noConversion"/>
  </si>
  <si>
    <t>長家廠組合室生產人時性分析</t>
    <phoneticPr fontId="2" type="noConversion"/>
  </si>
  <si>
    <t>日期</t>
  </si>
  <si>
    <t>訂單量</t>
  </si>
  <si>
    <t>營業額</t>
  </si>
  <si>
    <t>項目</t>
    <phoneticPr fontId="2" type="noConversion"/>
  </si>
  <si>
    <t>➀</t>
    <phoneticPr fontId="5" type="noConversion"/>
  </si>
  <si>
    <t>➁</t>
    <phoneticPr fontId="5" type="noConversion"/>
  </si>
  <si>
    <t>③</t>
    <phoneticPr fontId="2" type="noConversion"/>
  </si>
  <si>
    <t>人時性</t>
    <phoneticPr fontId="2" type="noConversion"/>
  </si>
  <si>
    <t>組合室</t>
    <phoneticPr fontId="2" type="noConversion"/>
  </si>
  <si>
    <t>全溫層</t>
    <phoneticPr fontId="2" type="noConversion"/>
  </si>
  <si>
    <t>袋裝小吃、義麵</t>
    <phoneticPr fontId="2" type="noConversion"/>
  </si>
  <si>
    <t>排關平均</t>
  </si>
  <si>
    <t>實績平均</t>
  </si>
  <si>
    <t>達成率平均</t>
  </si>
  <si>
    <t>※現行日本鮮食廠以達成率80%為基本(即為現行KPI)</t>
  </si>
  <si>
    <t>4度C-各編組展開</t>
    <phoneticPr fontId="2" type="noConversion"/>
  </si>
  <si>
    <t>編組</t>
    <phoneticPr fontId="2" type="noConversion"/>
  </si>
  <si>
    <t>自動1線</t>
    <phoneticPr fontId="2" type="noConversion"/>
  </si>
  <si>
    <t>自動2線</t>
    <phoneticPr fontId="2" type="noConversion"/>
  </si>
  <si>
    <t>手工3線</t>
    <phoneticPr fontId="2" type="noConversion"/>
  </si>
  <si>
    <t>手工4線</t>
    <phoneticPr fontId="2" type="noConversion"/>
  </si>
  <si>
    <t>手工5線</t>
    <phoneticPr fontId="2" type="noConversion"/>
  </si>
  <si>
    <t>調理包1線</t>
    <phoneticPr fontId="2" type="noConversion"/>
  </si>
  <si>
    <t>調理包2線</t>
    <phoneticPr fontId="2" type="noConversion"/>
  </si>
  <si>
    <t>排關</t>
    <phoneticPr fontId="2" type="noConversion"/>
  </si>
  <si>
    <t>實績</t>
    <phoneticPr fontId="2" type="noConversion"/>
  </si>
  <si>
    <t>達成率</t>
    <phoneticPr fontId="2" type="noConversion"/>
  </si>
  <si>
    <t>作業
時間</t>
    <phoneticPr fontId="2" type="noConversion"/>
  </si>
  <si>
    <t>開始</t>
    <phoneticPr fontId="2" type="noConversion"/>
  </si>
  <si>
    <t>結束</t>
    <phoneticPr fontId="2" type="noConversion"/>
  </si>
  <si>
    <t>配置人數</t>
    <phoneticPr fontId="2" type="noConversion"/>
  </si>
  <si>
    <t>主要應用設備</t>
    <phoneticPr fontId="2" type="noConversion"/>
  </si>
  <si>
    <t>ET-600</t>
  </si>
  <si>
    <t>ET-55</t>
  </si>
  <si>
    <t>八爪機</t>
    <phoneticPr fontId="2" type="noConversion"/>
  </si>
  <si>
    <t>封口機</t>
    <phoneticPr fontId="2" type="noConversion"/>
  </si>
  <si>
    <t>次要應用設備</t>
    <phoneticPr fontId="2" type="noConversion"/>
  </si>
  <si>
    <t>備註</t>
    <phoneticPr fontId="2" type="noConversion"/>
  </si>
  <si>
    <t>4度C</t>
  </si>
  <si>
    <t>小吃、微波</t>
    <phoneticPr fontId="2" type="noConversion"/>
  </si>
  <si>
    <t>冷凍</t>
  </si>
  <si>
    <t>冷凍調理麵</t>
    <phoneticPr fontId="2" type="noConversion"/>
  </si>
  <si>
    <t>青醬蛤蜊義大利麵</t>
    <phoneticPr fontId="2" type="noConversion"/>
  </si>
  <si>
    <t>經典肉醬義大利麵</t>
    <phoneticPr fontId="2" type="noConversion"/>
  </si>
  <si>
    <t>奶油蘑菇培根義大利麵</t>
    <phoneticPr fontId="2" type="noConversion"/>
  </si>
  <si>
    <t>清炒蛤蜊義大利麵</t>
    <phoneticPr fontId="2" type="noConversion"/>
  </si>
  <si>
    <t>青醬乳酪筆尖麵</t>
    <phoneticPr fontId="2" type="noConversion"/>
  </si>
  <si>
    <t>辣蕃茄義大利麵</t>
    <phoneticPr fontId="2" type="noConversion"/>
  </si>
  <si>
    <t>韓式起司義大利麵</t>
    <phoneticPr fontId="2" type="noConversion"/>
  </si>
  <si>
    <t>和風明太子細扁麵</t>
    <phoneticPr fontId="2" type="noConversion"/>
  </si>
  <si>
    <t>小滷青蔬</t>
    <phoneticPr fontId="5" type="noConversion"/>
  </si>
  <si>
    <t>小滷青蔬</t>
  </si>
  <si>
    <t>品名</t>
    <phoneticPr fontId="2" type="noConversion"/>
  </si>
  <si>
    <t>白酒蛤蜊義大利麵</t>
  </si>
  <si>
    <t>白酒蛤蜊義大利麵</t>
    <phoneticPr fontId="2" type="noConversion"/>
  </si>
  <si>
    <t>奶油培根義大利麵</t>
    <phoneticPr fontId="2" type="noConversion"/>
  </si>
  <si>
    <t>白酒蛤蜊義大利麵</t>
    <phoneticPr fontId="2" type="noConversion"/>
  </si>
  <si>
    <t>義式蕃茄起司義大利麵</t>
    <phoneticPr fontId="2" type="noConversion"/>
  </si>
  <si>
    <t>ET-600</t>
    <phoneticPr fontId="2" type="noConversion"/>
  </si>
  <si>
    <t>ET-55</t>
    <phoneticPr fontId="2" type="noConversion"/>
  </si>
  <si>
    <t>義大利麵</t>
  </si>
  <si>
    <t>起司馬鈴薯</t>
  </si>
  <si>
    <t>起司馬鈴薯</t>
    <phoneticPr fontId="2" type="noConversion"/>
  </si>
  <si>
    <t>奶油蒜香雞義大利麵</t>
  </si>
  <si>
    <t>奶油蒜香雞義大利麵</t>
    <phoneticPr fontId="2" type="noConversion"/>
  </si>
  <si>
    <t>韓式起司炸雞義大利麵</t>
  </si>
  <si>
    <t>韓式起司炸雞義大利麵</t>
    <phoneticPr fontId="2" type="noConversion"/>
  </si>
  <si>
    <t>奶油培根義大利麵</t>
  </si>
  <si>
    <t>青花椒麻雞肉拌麵</t>
    <phoneticPr fontId="2" type="noConversion"/>
  </si>
  <si>
    <t>熱乾麵</t>
    <phoneticPr fontId="2" type="noConversion"/>
  </si>
  <si>
    <t>青花椒麻雞肉拌麵</t>
  </si>
  <si>
    <t>台式綜合甜不辣</t>
    <phoneticPr fontId="2" type="noConversion"/>
  </si>
  <si>
    <t>台式綜合甜不辣</t>
  </si>
  <si>
    <t xml:space="preserve"> </t>
    <phoneticPr fontId="2" type="noConversion"/>
  </si>
  <si>
    <t>奶油蒜香雞義大利麵-降速生產</t>
    <phoneticPr fontId="2" type="noConversion"/>
  </si>
  <si>
    <t>白酒蛤蜊義大利麵-手</t>
    <phoneticPr fontId="2" type="noConversion"/>
  </si>
  <si>
    <t>青花椒麻雞肉拌麵-降速生產</t>
    <phoneticPr fontId="2" type="noConversion"/>
  </si>
  <si>
    <t>熱乾麵</t>
  </si>
  <si>
    <t>剝皮辣椒雞奶油扁麵</t>
  </si>
  <si>
    <t>青醬蛤蜊義大利麵</t>
  </si>
  <si>
    <t>焗烤明太子筆尖麵</t>
  </si>
  <si>
    <t>焗烤明太子筆尖麵</t>
    <phoneticPr fontId="2" type="noConversion"/>
  </si>
  <si>
    <t>濃拿坡里義大利麵</t>
  </si>
  <si>
    <t>濃拿坡里義大利麵</t>
    <phoneticPr fontId="2" type="noConversion"/>
  </si>
  <si>
    <t>奶油起司蝦仁通心粉</t>
  </si>
  <si>
    <t>奶油起司蝦仁通心粉</t>
    <phoneticPr fontId="2" type="noConversion"/>
  </si>
  <si>
    <t>封口設備異常</t>
    <phoneticPr fontId="2" type="noConversion"/>
  </si>
  <si>
    <t>更新日期11/02</t>
    <phoneticPr fontId="2" type="noConversion"/>
  </si>
  <si>
    <t>11月01日  星期六</t>
    <phoneticPr fontId="5" type="noConversion"/>
  </si>
  <si>
    <t>11月02日  星期日</t>
    <phoneticPr fontId="5" type="noConversion"/>
  </si>
  <si>
    <t>13:35-14:10待玉取機煮麵</t>
    <phoneticPr fontId="2" type="noConversion"/>
  </si>
  <si>
    <t>1.7:00開線請工務調整封口位置
2.封口處因投入口摩擦鐵片會產生黑墨,八爪機每小時須停機2分鐘擦拭鐵片黑墨</t>
    <phoneticPr fontId="2" type="noConversion"/>
  </si>
  <si>
    <t xml:space="preserve">  </t>
    <phoneticPr fontId="2" type="noConversion"/>
  </si>
  <si>
    <t>11月03日  星期一</t>
    <phoneticPr fontId="5" type="noConversion"/>
  </si>
  <si>
    <t>14:08~14:42待麵，停線</t>
    <phoneticPr fontId="2" type="noConversion"/>
  </si>
  <si>
    <t>9:14~9:37蓋子不足停線貼標，4人補封膜216盒</t>
    <phoneticPr fontId="2" type="noConversion"/>
  </si>
  <si>
    <t>剝皮辣椒雞奶油扁麵-降速生產(3線)</t>
    <phoneticPr fontId="2" type="noConversion"/>
  </si>
  <si>
    <r>
      <t>11月04日  星期</t>
    </r>
    <r>
      <rPr>
        <sz val="14"/>
        <rFont val="Microsoft JhengHei UI"/>
        <family val="2"/>
        <charset val="136"/>
      </rPr>
      <t>二</t>
    </r>
    <phoneticPr fontId="5" type="noConversion"/>
  </si>
  <si>
    <t>10:18-10:19玉取機停麵</t>
    <phoneticPr fontId="2" type="noConversion"/>
  </si>
  <si>
    <t>9:45-9:48待醬</t>
    <phoneticPr fontId="2" type="noConversion"/>
  </si>
  <si>
    <t>11:13-11:19待料</t>
    <phoneticPr fontId="2" type="noConversion"/>
  </si>
  <si>
    <t>(麵待料)</t>
    <phoneticPr fontId="2" type="noConversion"/>
  </si>
  <si>
    <t>11月05日  星期三</t>
    <phoneticPr fontId="5" type="noConversion"/>
  </si>
  <si>
    <t>10:00~10:14待醬停線貼標</t>
    <phoneticPr fontId="2" type="noConversion"/>
  </si>
  <si>
    <t>人員輪流休息</t>
    <phoneticPr fontId="2" type="noConversion"/>
  </si>
  <si>
    <t>7:50~7:55待玉取機出麵</t>
    <phoneticPr fontId="2" type="noConversion"/>
  </si>
  <si>
    <t>11月06日  星期四</t>
    <phoneticPr fontId="5" type="noConversion"/>
  </si>
  <si>
    <t>11:00~11:20待醬，停線</t>
    <phoneticPr fontId="2" type="noConversion"/>
  </si>
  <si>
    <t>11月07日  星期五</t>
    <phoneticPr fontId="5" type="noConversion"/>
  </si>
  <si>
    <t>11月08日  星期六</t>
    <phoneticPr fontId="5" type="noConversion"/>
  </si>
  <si>
    <t>11月09日  星期日</t>
    <phoneticPr fontId="5" type="noConversion"/>
  </si>
  <si>
    <t>7:50~8:06玉取機停麵</t>
    <phoneticPr fontId="2" type="noConversion"/>
  </si>
  <si>
    <t>封口設備異常</t>
  </si>
  <si>
    <t>11月10日  星期一</t>
    <phoneticPr fontId="5" type="noConversion"/>
  </si>
  <si>
    <t xml:space="preserve">7:40-8:50機台異常  </t>
    <phoneticPr fontId="2" type="noConversion"/>
  </si>
  <si>
    <t>11:28-11:50機台異常</t>
    <phoneticPr fontId="2" type="noConversion"/>
  </si>
  <si>
    <t>(小量生產)補醬</t>
    <phoneticPr fontId="2" type="noConversion"/>
  </si>
  <si>
    <t>(小量生產)補德腸</t>
    <phoneticPr fontId="2" type="noConversion"/>
  </si>
  <si>
    <t>11月11日  星期二</t>
    <phoneticPr fontId="5" type="noConversion"/>
  </si>
  <si>
    <t>11月12日  星期三</t>
    <phoneticPr fontId="5" type="noConversion"/>
  </si>
  <si>
    <t>剛更換零件速度較快</t>
    <phoneticPr fontId="2" type="noConversion"/>
  </si>
  <si>
    <t>10:48~11:20試產-鹽水意麵100盒</t>
    <phoneticPr fontId="2" type="noConversion"/>
  </si>
  <si>
    <t>11:30試產</t>
    <phoneticPr fontId="2" type="noConversion"/>
  </si>
  <si>
    <t>11月13日  星期四</t>
    <phoneticPr fontId="5" type="noConversion"/>
  </si>
  <si>
    <t>7:50-8:08(玉取機停麵)  9:43-9:47待料(蛤蜊)停線</t>
    <phoneticPr fontId="2" type="noConversion"/>
  </si>
  <si>
    <t>11月14日  星期五</t>
    <phoneticPr fontId="5" type="noConversion"/>
  </si>
  <si>
    <t>11月15日  星期六</t>
    <phoneticPr fontId="5" type="noConversion"/>
  </si>
  <si>
    <t>9:59-10:21熱轉印異常</t>
    <phoneticPr fontId="2" type="noConversion"/>
  </si>
  <si>
    <t>11月16日  星期日</t>
    <phoneticPr fontId="5" type="noConversion"/>
  </si>
  <si>
    <t>11月17日  星期一</t>
    <phoneticPr fontId="5" type="noConversion"/>
  </si>
  <si>
    <t>日一二正常版</t>
    <phoneticPr fontId="2" type="noConversion"/>
  </si>
  <si>
    <t>11月18日  星期二</t>
    <phoneticPr fontId="5" type="noConversion"/>
  </si>
  <si>
    <t>南洋紅咖哩豬義大利麵</t>
  </si>
  <si>
    <t>南洋紅咖哩豬義大利麵</t>
    <phoneticPr fontId="2" type="noConversion"/>
  </si>
  <si>
    <t>改為手工 線製作</t>
    <phoneticPr fontId="2" type="noConversion"/>
  </si>
  <si>
    <t>更換設備封條</t>
    <phoneticPr fontId="2" type="noConversion"/>
  </si>
  <si>
    <t>初次製作此商品(支援)</t>
    <phoneticPr fontId="2" type="noConversion"/>
  </si>
  <si>
    <t>拆線支援其他線別</t>
    <phoneticPr fontId="2" type="noConversion"/>
  </si>
  <si>
    <t xml:space="preserve">8:31-8:53玉取機停麵 </t>
    <phoneticPr fontId="2" type="noConversion"/>
  </si>
  <si>
    <t>8:40-9:01玉取機停麵</t>
    <phoneticPr fontId="2" type="noConversion"/>
  </si>
  <si>
    <t>15:33-16:01熱轉印異常</t>
    <phoneticPr fontId="2" type="noConversion"/>
  </si>
  <si>
    <t>10:37-12:00手工作業</t>
    <phoneticPr fontId="2" type="noConversion"/>
  </si>
  <si>
    <t>10:00-10:05待馬鈴薯醬未冷卻</t>
    <phoneticPr fontId="2" type="noConversion"/>
  </si>
  <si>
    <t>11月19日  星期三</t>
    <phoneticPr fontId="5" type="noConversion"/>
  </si>
  <si>
    <t>補料</t>
    <phoneticPr fontId="2" type="noConversion"/>
  </si>
  <si>
    <t>08:30-09:30L型封模機台異常</t>
    <phoneticPr fontId="2" type="noConversion"/>
  </si>
  <si>
    <t>12;45</t>
    <phoneticPr fontId="2" type="noConversion"/>
  </si>
  <si>
    <t>13;00</t>
    <phoneticPr fontId="2" type="noConversion"/>
  </si>
  <si>
    <t>11;30</t>
    <phoneticPr fontId="2" type="noConversion"/>
  </si>
  <si>
    <t>11;45</t>
    <phoneticPr fontId="2" type="noConversion"/>
  </si>
  <si>
    <t>11月20日  星期四</t>
    <phoneticPr fontId="5" type="noConversion"/>
  </si>
  <si>
    <t>11:35-12:00補醬</t>
    <phoneticPr fontId="2" type="noConversion"/>
  </si>
  <si>
    <t>9:08-9:44白酒手工抓麵</t>
    <phoneticPr fontId="2" type="noConversion"/>
  </si>
  <si>
    <t>L型封模機台異常</t>
  </si>
  <si>
    <t>L型封模機台異常</t>
    <phoneticPr fontId="2" type="noConversion"/>
  </si>
  <si>
    <t>生產數量少</t>
    <phoneticPr fontId="2" type="noConversion"/>
  </si>
  <si>
    <t>11月21日  星期五</t>
    <phoneticPr fontId="5" type="noConversion"/>
  </si>
  <si>
    <t>11月22日  星期六</t>
    <phoneticPr fontId="5" type="noConversion"/>
  </si>
  <si>
    <t>調理包2線</t>
  </si>
  <si>
    <t>11月23日  星期日</t>
    <phoneticPr fontId="5" type="noConversion"/>
  </si>
  <si>
    <t>10:47~10:52、11:23~11:31煮麵機當機</t>
    <phoneticPr fontId="2" type="noConversion"/>
  </si>
  <si>
    <t>11月24日  星期一</t>
    <phoneticPr fontId="5" type="noConversion"/>
  </si>
  <si>
    <t>9:09~9:19下貼標異常</t>
    <phoneticPr fontId="2" type="noConversion"/>
  </si>
  <si>
    <t>11月25日  星期二</t>
    <phoneticPr fontId="5" type="noConversion"/>
  </si>
  <si>
    <t>南洋紅咖哩豬義大利麵</t>
    <phoneticPr fontId="2" type="noConversion"/>
  </si>
  <si>
    <t>義式蕃茄起司義大利麵</t>
  </si>
  <si>
    <t xml:space="preserve">               </t>
    <phoneticPr fontId="2" type="noConversion"/>
  </si>
  <si>
    <t>7:23-7:31封膜異常拆41盒</t>
    <phoneticPr fontId="2" type="noConversion"/>
  </si>
  <si>
    <t>11月26日  星期三</t>
    <phoneticPr fontId="5" type="noConversion"/>
  </si>
  <si>
    <t>南洋紅咖哩豬義大利麵-手工</t>
    <phoneticPr fontId="2" type="noConversion"/>
  </si>
  <si>
    <t>初次製作</t>
    <phoneticPr fontId="2" type="noConversion"/>
  </si>
  <si>
    <t>14:45-15:10熱轉印異常</t>
    <phoneticPr fontId="2" type="noConversion"/>
  </si>
  <si>
    <t>7:44~8:36、10:13~10:15玉取機停麵</t>
    <phoneticPr fontId="2" type="noConversion"/>
  </si>
  <si>
    <t>7:09~7:48封膜機異常</t>
    <phoneticPr fontId="2" type="noConversion"/>
  </si>
  <si>
    <t>11月27日  星期四</t>
    <phoneticPr fontId="5" type="noConversion"/>
  </si>
  <si>
    <t>11月28日  星期五</t>
    <phoneticPr fontId="5" type="noConversion"/>
  </si>
  <si>
    <t>7:47-7:52玉取機停麵</t>
    <phoneticPr fontId="2" type="noConversion"/>
  </si>
  <si>
    <t>7:44-7:53玉取機停麵</t>
    <phoneticPr fontId="2" type="noConversion"/>
  </si>
  <si>
    <t>10:20-10:35組裝注醬機</t>
    <phoneticPr fontId="2" type="noConversion"/>
  </si>
  <si>
    <t>L型封膜異常</t>
    <phoneticPr fontId="2" type="noConversion"/>
  </si>
  <si>
    <t>11:20-11:35手工挖醬</t>
    <phoneticPr fontId="2" type="noConversion"/>
  </si>
  <si>
    <t>9:45-10:00手工挖醬</t>
    <phoneticPr fontId="2" type="noConversion"/>
  </si>
  <si>
    <t>生產數量少</t>
    <phoneticPr fontId="2" type="noConversion"/>
  </si>
  <si>
    <t>10:30~11:30封膜頻繁異常，陸續停線總計14分鐘</t>
    <phoneticPr fontId="2" type="noConversion"/>
  </si>
  <si>
    <t>9:10~9:17手工作業</t>
    <phoneticPr fontId="2" type="noConversion"/>
  </si>
  <si>
    <t>10:05~10:12手工作業</t>
    <phoneticPr fontId="2" type="noConversion"/>
  </si>
  <si>
    <t>11月29日  星期六</t>
    <phoneticPr fontId="5" type="noConversion"/>
  </si>
  <si>
    <t>11月30日  星期一</t>
    <phoneticPr fontId="5" type="noConversion"/>
  </si>
  <si>
    <t>8:52~9:08確認半成品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</si>
</sst>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76" formatCode="_-* #,##0_-;\-* #,##0_-;_-* &quot;-&quot;??_-;_-@_-"/>
    <numFmt numFmtId="177" formatCode="0.0"/>
    <numFmt numFmtId="178" formatCode="0.0%"/>
    <numFmt numFmtId="179" formatCode="h:mm;@"/>
    <numFmt numFmtId="180" formatCode="0_ "/>
    <numFmt numFmtId="181" formatCode="0.0_ "/>
    <numFmt numFmtId="182" formatCode="0_);[Red]\(0\)"/>
    <numFmt numFmtId="183" formatCode="[$-F800]dddd\,\ mmmm\ dd\,\ yyyy"/>
    <numFmt numFmtId="184" formatCode="#,##0_ "/>
  </numFmts>
  <fonts count="30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1"/>
      <color theme="1"/>
      <name val="新細明體"/>
      <family val="2"/>
      <charset val="128"/>
      <scheme val="minor"/>
    </font>
    <font>
      <sz val="14"/>
      <name val="微軟正黑體"/>
      <family val="2"/>
      <charset val="136"/>
    </font>
    <font>
      <sz val="16"/>
      <name val="微軟正黑體"/>
      <family val="2"/>
      <charset val="136"/>
    </font>
    <font>
      <sz val="12"/>
      <name val="微軟正黑體"/>
      <family val="2"/>
      <charset val="136"/>
    </font>
    <font>
      <sz val="18"/>
      <name val="微軟正黑體"/>
      <family val="2"/>
      <charset val="136"/>
    </font>
    <font>
      <sz val="1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b/>
      <sz val="26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b/>
      <sz val="18"/>
      <color theme="0"/>
      <name val="微軟正黑體"/>
      <family val="2"/>
      <charset val="136"/>
    </font>
    <font>
      <sz val="16"/>
      <color theme="1"/>
      <name val="Meiryo UI"/>
      <family val="2"/>
      <charset val="128"/>
    </font>
    <font>
      <b/>
      <sz val="18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2"/>
      <color theme="0" tint="-0.499984740745262"/>
      <name val="微軟正黑體"/>
      <family val="2"/>
      <charset val="136"/>
    </font>
    <font>
      <sz val="14"/>
      <color theme="5"/>
      <name val="微軟正黑體"/>
      <family val="2"/>
      <charset val="136"/>
    </font>
    <font>
      <sz val="16"/>
      <color theme="5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1"/>
      <color theme="1" tint="0.499984740745262"/>
      <name val="微軟正黑體"/>
      <family val="2"/>
      <charset val="136"/>
    </font>
    <font>
      <sz val="14"/>
      <name val="Microsoft JhengHei UI"/>
      <family val="2"/>
      <charset val="136"/>
    </font>
    <font>
      <sz val="12"/>
      <name val="Microsoft JhengHei"/>
      <family val="2"/>
      <charset val="136"/>
    </font>
    <font>
      <sz val="12"/>
      <color theme="1"/>
      <name val="Microsoft JhengHei"/>
      <family val="2"/>
      <charset val="136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EBEBE"/>
        <bgColor indexed="64"/>
      </patternFill>
    </fill>
    <fill>
      <patternFill patternType="solid">
        <fgColor rgb="FF002060"/>
        <bgColor indexed="64"/>
      </patternFill>
    </fill>
  </fills>
  <borders count="10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/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medium">
        <color indexed="64"/>
      </left>
      <right style="thin">
        <color theme="1"/>
      </right>
      <top/>
      <bottom/>
      <diagonal/>
    </border>
    <border>
      <left style="medium">
        <color indexed="64"/>
      </left>
      <right style="thin">
        <color theme="1"/>
      </right>
      <top/>
      <bottom style="medium">
        <color indexed="64"/>
      </bottom>
      <diagonal/>
    </border>
    <border>
      <left/>
      <right style="thin">
        <color theme="1"/>
      </right>
      <top style="medium">
        <color indexed="64"/>
      </top>
      <bottom/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medium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theme="1"/>
      </top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/>
      <top style="medium">
        <color indexed="64"/>
      </top>
      <bottom style="thin">
        <color indexed="64"/>
      </bottom>
      <diagonal/>
    </border>
    <border>
      <left/>
      <right style="thin">
        <color theme="1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medium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indexed="64"/>
      </bottom>
      <diagonal/>
    </border>
  </borders>
  <cellStyleXfs count="158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482">
    <xf numFmtId="0" fontId="0" fillId="0" borderId="0" xfId="0">
      <alignment vertical="center"/>
    </xf>
    <xf numFmtId="0" fontId="6" fillId="0" borderId="9" xfId="1" applyFont="1" applyBorder="1" applyAlignment="1">
      <alignment horizontal="center" vertical="center"/>
    </xf>
    <xf numFmtId="0" fontId="9" fillId="0" borderId="15" xfId="9" applyFont="1" applyBorder="1">
      <alignment vertical="center"/>
    </xf>
    <xf numFmtId="176" fontId="10" fillId="6" borderId="15" xfId="10" applyNumberFormat="1" applyFont="1" applyFill="1" applyBorder="1" applyAlignment="1">
      <alignment horizontal="center" vertical="center"/>
    </xf>
    <xf numFmtId="43" fontId="9" fillId="0" borderId="15" xfId="10" applyFont="1" applyBorder="1" applyAlignment="1">
      <alignment horizontal="center" vertical="center"/>
    </xf>
    <xf numFmtId="1" fontId="9" fillId="0" borderId="15" xfId="9" applyNumberFormat="1" applyFont="1" applyBorder="1" applyAlignment="1">
      <alignment horizontal="center" vertical="center"/>
    </xf>
    <xf numFmtId="0" fontId="11" fillId="0" borderId="0" xfId="9" applyFont="1">
      <alignment vertical="center"/>
    </xf>
    <xf numFmtId="177" fontId="9" fillId="0" borderId="15" xfId="9" applyNumberFormat="1" applyFont="1" applyBorder="1" applyAlignment="1">
      <alignment horizontal="center" vertical="center"/>
    </xf>
    <xf numFmtId="177" fontId="13" fillId="0" borderId="15" xfId="9" applyNumberFormat="1" applyFont="1" applyBorder="1" applyAlignment="1">
      <alignment horizontal="center" vertical="center" wrapText="1"/>
    </xf>
    <xf numFmtId="2" fontId="9" fillId="0" borderId="15" xfId="9" applyNumberFormat="1" applyFont="1" applyBorder="1" applyAlignment="1">
      <alignment horizontal="center" vertical="center"/>
    </xf>
    <xf numFmtId="0" fontId="11" fillId="0" borderId="22" xfId="9" applyFont="1" applyBorder="1" applyAlignment="1">
      <alignment horizontal="center"/>
    </xf>
    <xf numFmtId="0" fontId="11" fillId="0" borderId="19" xfId="8" applyFont="1" applyBorder="1" applyAlignment="1"/>
    <xf numFmtId="0" fontId="11" fillId="0" borderId="20" xfId="8" applyFont="1" applyBorder="1" applyAlignment="1"/>
    <xf numFmtId="0" fontId="11" fillId="0" borderId="20" xfId="8" applyFont="1" applyBorder="1" applyAlignment="1">
      <alignment horizontal="center"/>
    </xf>
    <xf numFmtId="1" fontId="11" fillId="0" borderId="15" xfId="9" applyNumberFormat="1" applyFont="1" applyBorder="1" applyAlignment="1">
      <alignment horizontal="center" vertical="center"/>
    </xf>
    <xf numFmtId="43" fontId="11" fillId="0" borderId="15" xfId="10" applyFont="1" applyBorder="1" applyAlignment="1">
      <alignment horizontal="center" vertical="center"/>
    </xf>
    <xf numFmtId="1" fontId="11" fillId="2" borderId="15" xfId="9" applyNumberFormat="1" applyFont="1" applyFill="1" applyBorder="1" applyAlignment="1">
      <alignment horizontal="center" vertical="center"/>
    </xf>
    <xf numFmtId="177" fontId="11" fillId="0" borderId="15" xfId="9" applyNumberFormat="1" applyFont="1" applyBorder="1" applyAlignment="1">
      <alignment horizontal="center" vertical="center"/>
    </xf>
    <xf numFmtId="180" fontId="11" fillId="0" borderId="15" xfId="9" applyNumberFormat="1" applyFont="1" applyBorder="1" applyAlignment="1">
      <alignment horizontal="center" vertical="center"/>
    </xf>
    <xf numFmtId="181" fontId="11" fillId="0" borderId="15" xfId="9" applyNumberFormat="1" applyFont="1" applyBorder="1" applyAlignment="1">
      <alignment horizontal="center" vertical="center"/>
    </xf>
    <xf numFmtId="179" fontId="11" fillId="0" borderId="15" xfId="9" applyNumberFormat="1" applyFont="1" applyBorder="1" applyAlignment="1">
      <alignment horizontal="center" vertical="center"/>
    </xf>
    <xf numFmtId="0" fontId="11" fillId="2" borderId="2" xfId="9" applyFont="1" applyFill="1" applyBorder="1" applyAlignment="1">
      <alignment horizontal="center" vertical="center"/>
    </xf>
    <xf numFmtId="20" fontId="11" fillId="0" borderId="15" xfId="9" applyNumberFormat="1" applyFont="1" applyBorder="1" applyAlignment="1">
      <alignment horizontal="center" vertical="center"/>
    </xf>
    <xf numFmtId="0" fontId="11" fillId="0" borderId="19" xfId="9" applyFont="1" applyBorder="1" applyAlignment="1">
      <alignment horizontal="center"/>
    </xf>
    <xf numFmtId="0" fontId="11" fillId="0" borderId="20" xfId="9" applyFont="1" applyBorder="1" applyAlignment="1">
      <alignment horizontal="center" vertical="center" wrapText="1"/>
    </xf>
    <xf numFmtId="1" fontId="11" fillId="0" borderId="20" xfId="9" applyNumberFormat="1" applyFont="1" applyBorder="1" applyAlignment="1">
      <alignment horizontal="center" vertical="center"/>
    </xf>
    <xf numFmtId="0" fontId="11" fillId="0" borderId="23" xfId="9" applyFont="1" applyBorder="1" applyAlignment="1">
      <alignment horizontal="center" vertical="center"/>
    </xf>
    <xf numFmtId="0" fontId="11" fillId="0" borderId="24" xfId="9" applyFont="1" applyBorder="1" applyAlignment="1">
      <alignment horizontal="center" vertical="center"/>
    </xf>
    <xf numFmtId="0" fontId="11" fillId="0" borderId="21" xfId="8" applyFont="1" applyBorder="1" applyAlignment="1"/>
    <xf numFmtId="0" fontId="11" fillId="0" borderId="23" xfId="8" applyFont="1" applyBorder="1" applyAlignment="1"/>
    <xf numFmtId="1" fontId="11" fillId="0" borderId="18" xfId="9" applyNumberFormat="1" applyFont="1" applyBorder="1" applyAlignment="1">
      <alignment horizontal="center" vertical="center"/>
    </xf>
    <xf numFmtId="1" fontId="11" fillId="2" borderId="18" xfId="9" applyNumberFormat="1" applyFont="1" applyFill="1" applyBorder="1" applyAlignment="1">
      <alignment horizontal="center" vertical="center"/>
    </xf>
    <xf numFmtId="179" fontId="11" fillId="0" borderId="18" xfId="9" applyNumberFormat="1" applyFont="1" applyBorder="1" applyAlignment="1">
      <alignment horizontal="center" vertical="center"/>
    </xf>
    <xf numFmtId="20" fontId="11" fillId="0" borderId="18" xfId="9" applyNumberFormat="1" applyFont="1" applyBorder="1" applyAlignment="1">
      <alignment horizontal="center" vertical="center"/>
    </xf>
    <xf numFmtId="180" fontId="11" fillId="0" borderId="18" xfId="9" applyNumberFormat="1" applyFont="1" applyBorder="1" applyAlignment="1">
      <alignment horizontal="center" vertical="center"/>
    </xf>
    <xf numFmtId="177" fontId="11" fillId="0" borderId="18" xfId="9" applyNumberFormat="1" applyFont="1" applyBorder="1" applyAlignment="1">
      <alignment horizontal="center" vertical="center"/>
    </xf>
    <xf numFmtId="1" fontId="11" fillId="0" borderId="2" xfId="9" applyNumberFormat="1" applyFont="1" applyBorder="1" applyAlignment="1">
      <alignment horizontal="center" vertical="center"/>
    </xf>
    <xf numFmtId="1" fontId="11" fillId="2" borderId="2" xfId="9" applyNumberFormat="1" applyFont="1" applyFill="1" applyBorder="1" applyAlignment="1">
      <alignment horizontal="center" vertical="center"/>
    </xf>
    <xf numFmtId="177" fontId="11" fillId="0" borderId="2" xfId="9" applyNumberFormat="1" applyFont="1" applyBorder="1" applyAlignment="1">
      <alignment horizontal="center" vertical="center"/>
    </xf>
    <xf numFmtId="180" fontId="11" fillId="0" borderId="2" xfId="9" applyNumberFormat="1" applyFont="1" applyBorder="1" applyAlignment="1">
      <alignment horizontal="center" vertical="center"/>
    </xf>
    <xf numFmtId="181" fontId="11" fillId="0" borderId="2" xfId="9" applyNumberFormat="1" applyFont="1" applyBorder="1" applyAlignment="1">
      <alignment horizontal="center" vertical="center"/>
    </xf>
    <xf numFmtId="179" fontId="11" fillId="0" borderId="2" xfId="9" applyNumberFormat="1" applyFont="1" applyBorder="1" applyAlignment="1">
      <alignment horizontal="center" vertical="center"/>
    </xf>
    <xf numFmtId="0" fontId="11" fillId="0" borderId="2" xfId="9" applyFont="1" applyBorder="1" applyAlignment="1">
      <alignment horizontal="center" vertical="center"/>
    </xf>
    <xf numFmtId="0" fontId="11" fillId="0" borderId="2" xfId="9" applyFont="1" applyBorder="1" applyAlignment="1">
      <alignment horizontal="center" vertical="center" wrapText="1"/>
    </xf>
    <xf numFmtId="20" fontId="11" fillId="0" borderId="2" xfId="9" applyNumberFormat="1" applyFont="1" applyBorder="1" applyAlignment="1">
      <alignment horizontal="center" vertical="center"/>
    </xf>
    <xf numFmtId="1" fontId="11" fillId="0" borderId="11" xfId="9" applyNumberFormat="1" applyFont="1" applyBorder="1" applyAlignment="1">
      <alignment horizontal="center" vertical="center"/>
    </xf>
    <xf numFmtId="177" fontId="11" fillId="0" borderId="11" xfId="9" applyNumberFormat="1" applyFont="1" applyBorder="1" applyAlignment="1">
      <alignment horizontal="center" vertical="center"/>
    </xf>
    <xf numFmtId="180" fontId="11" fillId="0" borderId="11" xfId="9" applyNumberFormat="1" applyFont="1" applyBorder="1" applyAlignment="1">
      <alignment horizontal="center" vertical="center"/>
    </xf>
    <xf numFmtId="181" fontId="11" fillId="0" borderId="11" xfId="9" applyNumberFormat="1" applyFont="1" applyBorder="1" applyAlignment="1">
      <alignment horizontal="center" vertical="center"/>
    </xf>
    <xf numFmtId="178" fontId="11" fillId="0" borderId="11" xfId="11" applyNumberFormat="1" applyFont="1" applyBorder="1" applyAlignment="1">
      <alignment horizontal="center" vertical="center"/>
    </xf>
    <xf numFmtId="43" fontId="11" fillId="0" borderId="2" xfId="10" applyFont="1" applyBorder="1" applyAlignment="1">
      <alignment horizontal="center" vertical="center"/>
    </xf>
    <xf numFmtId="180" fontId="11" fillId="0" borderId="14" xfId="9" applyNumberFormat="1" applyFont="1" applyBorder="1" applyAlignment="1">
      <alignment horizontal="center" vertical="center"/>
    </xf>
    <xf numFmtId="178" fontId="11" fillId="0" borderId="14" xfId="11" applyNumberFormat="1" applyFont="1" applyBorder="1" applyAlignment="1">
      <alignment horizontal="center" vertical="center"/>
    </xf>
    <xf numFmtId="182" fontId="11" fillId="0" borderId="2" xfId="9" applyNumberFormat="1" applyFont="1" applyBorder="1" applyAlignment="1">
      <alignment horizontal="center" vertical="center"/>
    </xf>
    <xf numFmtId="20" fontId="11" fillId="0" borderId="2" xfId="8" applyNumberFormat="1" applyFont="1" applyBorder="1" applyAlignment="1">
      <alignment horizontal="center" vertical="center"/>
    </xf>
    <xf numFmtId="178" fontId="11" fillId="0" borderId="19" xfId="11" applyNumberFormat="1" applyFont="1" applyBorder="1" applyAlignment="1">
      <alignment horizontal="center" vertical="center"/>
    </xf>
    <xf numFmtId="0" fontId="11" fillId="0" borderId="2" xfId="8" applyFont="1" applyBorder="1" applyAlignment="1">
      <alignment horizontal="center"/>
    </xf>
    <xf numFmtId="178" fontId="11" fillId="0" borderId="21" xfId="11" applyNumberFormat="1" applyFont="1" applyBorder="1" applyAlignment="1">
      <alignment horizontal="center" vertical="center"/>
    </xf>
    <xf numFmtId="177" fontId="3" fillId="0" borderId="11" xfId="12" applyNumberFormat="1" applyFont="1" applyBorder="1" applyAlignment="1">
      <alignment horizontal="center" vertical="center"/>
    </xf>
    <xf numFmtId="179" fontId="3" fillId="0" borderId="11" xfId="12" applyNumberFormat="1" applyFont="1" applyBorder="1" applyAlignment="1">
      <alignment horizontal="center" vertical="center"/>
    </xf>
    <xf numFmtId="177" fontId="3" fillId="0" borderId="4" xfId="12" applyNumberFormat="1" applyFont="1" applyBorder="1" applyAlignment="1">
      <alignment horizontal="center" vertical="center"/>
    </xf>
    <xf numFmtId="178" fontId="3" fillId="0" borderId="2" xfId="4" applyNumberFormat="1" applyFont="1" applyBorder="1" applyAlignment="1">
      <alignment horizontal="center" vertical="center"/>
    </xf>
    <xf numFmtId="0" fontId="3" fillId="0" borderId="0" xfId="12" applyFont="1">
      <alignment vertical="center"/>
    </xf>
    <xf numFmtId="43" fontId="3" fillId="0" borderId="2" xfId="10" applyFont="1" applyBorder="1" applyAlignment="1">
      <alignment horizontal="center" vertical="center"/>
    </xf>
    <xf numFmtId="0" fontId="3" fillId="0" borderId="2" xfId="12" applyFont="1" applyBorder="1" applyAlignment="1">
      <alignment horizontal="center" vertical="center"/>
    </xf>
    <xf numFmtId="1" fontId="3" fillId="2" borderId="2" xfId="12" applyNumberFormat="1" applyFont="1" applyFill="1" applyBorder="1" applyAlignment="1">
      <alignment horizontal="center" vertical="center"/>
    </xf>
    <xf numFmtId="1" fontId="3" fillId="0" borderId="2" xfId="12" applyNumberFormat="1" applyFont="1" applyBorder="1" applyAlignment="1">
      <alignment horizontal="center" vertical="center"/>
    </xf>
    <xf numFmtId="177" fontId="3" fillId="0" borderId="2" xfId="12" applyNumberFormat="1" applyFont="1" applyBorder="1" applyAlignment="1">
      <alignment horizontal="center" vertical="center"/>
    </xf>
    <xf numFmtId="178" fontId="11" fillId="0" borderId="20" xfId="11" applyNumberFormat="1" applyFont="1" applyBorder="1" applyAlignment="1">
      <alignment horizontal="center" vertical="center"/>
    </xf>
    <xf numFmtId="0" fontId="3" fillId="0" borderId="2" xfId="9" applyFont="1" applyBorder="1" applyAlignment="1">
      <alignment horizontal="center" vertical="center" wrapText="1"/>
    </xf>
    <xf numFmtId="20" fontId="3" fillId="0" borderId="2" xfId="13" applyNumberFormat="1" applyFont="1" applyBorder="1" applyAlignment="1">
      <alignment horizontal="center" vertical="center"/>
    </xf>
    <xf numFmtId="180" fontId="3" fillId="0" borderId="16" xfId="12" applyNumberFormat="1" applyFont="1" applyBorder="1" applyAlignment="1">
      <alignment horizontal="center" vertical="center"/>
    </xf>
    <xf numFmtId="0" fontId="3" fillId="0" borderId="2" xfId="12" applyFont="1" applyBorder="1" applyAlignment="1">
      <alignment horizontal="center"/>
    </xf>
    <xf numFmtId="180" fontId="11" fillId="0" borderId="17" xfId="9" applyNumberFormat="1" applyFont="1" applyBorder="1" applyAlignment="1">
      <alignment horizontal="center" vertical="center"/>
    </xf>
    <xf numFmtId="181" fontId="11" fillId="0" borderId="17" xfId="9" applyNumberFormat="1" applyFont="1" applyBorder="1" applyAlignment="1">
      <alignment horizontal="center" vertical="center"/>
    </xf>
    <xf numFmtId="179" fontId="3" fillId="0" borderId="2" xfId="12" applyNumberFormat="1" applyFont="1" applyBorder="1" applyAlignment="1">
      <alignment horizontal="center" vertical="center"/>
    </xf>
    <xf numFmtId="43" fontId="11" fillId="0" borderId="14" xfId="10" applyFont="1" applyBorder="1" applyAlignment="1">
      <alignment horizontal="center" vertical="center"/>
    </xf>
    <xf numFmtId="1" fontId="11" fillId="0" borderId="14" xfId="9" applyNumberFormat="1" applyFont="1" applyBorder="1" applyAlignment="1">
      <alignment horizontal="center" vertical="center"/>
    </xf>
    <xf numFmtId="177" fontId="11" fillId="0" borderId="14" xfId="9" applyNumberFormat="1" applyFont="1" applyBorder="1" applyAlignment="1">
      <alignment horizontal="center" vertical="center"/>
    </xf>
    <xf numFmtId="179" fontId="3" fillId="7" borderId="11" xfId="12" applyNumberFormat="1" applyFont="1" applyFill="1" applyBorder="1" applyAlignment="1">
      <alignment horizontal="center" vertical="center"/>
    </xf>
    <xf numFmtId="0" fontId="11" fillId="7" borderId="15" xfId="9" applyFont="1" applyFill="1" applyBorder="1" applyAlignment="1">
      <alignment horizontal="center" vertical="center" wrapText="1"/>
    </xf>
    <xf numFmtId="0" fontId="11" fillId="0" borderId="17" xfId="9" applyFont="1" applyBorder="1" applyAlignment="1">
      <alignment horizontal="center" vertical="center"/>
    </xf>
    <xf numFmtId="1" fontId="11" fillId="0" borderId="17" xfId="9" applyNumberFormat="1" applyFont="1" applyBorder="1" applyAlignment="1">
      <alignment horizontal="center" vertical="center"/>
    </xf>
    <xf numFmtId="177" fontId="11" fillId="0" borderId="17" xfId="9" applyNumberFormat="1" applyFont="1" applyBorder="1" applyAlignment="1">
      <alignment horizontal="center" vertical="center"/>
    </xf>
    <xf numFmtId="20" fontId="11" fillId="0" borderId="15" xfId="8" applyNumberFormat="1" applyFont="1" applyBorder="1" applyAlignment="1">
      <alignment horizontal="center" vertical="center"/>
    </xf>
    <xf numFmtId="0" fontId="11" fillId="0" borderId="1" xfId="9" applyFont="1" applyBorder="1" applyAlignment="1">
      <alignment horizontal="center" vertical="center"/>
    </xf>
    <xf numFmtId="0" fontId="11" fillId="0" borderId="22" xfId="8" applyFont="1" applyBorder="1" applyAlignment="1"/>
    <xf numFmtId="1" fontId="11" fillId="2" borderId="17" xfId="9" applyNumberFormat="1" applyFont="1" applyFill="1" applyBorder="1" applyAlignment="1">
      <alignment horizontal="center" vertical="center"/>
    </xf>
    <xf numFmtId="0" fontId="11" fillId="0" borderId="25" xfId="9" applyFont="1" applyBorder="1" applyAlignment="1">
      <alignment horizontal="center" vertical="center" wrapText="1"/>
    </xf>
    <xf numFmtId="20" fontId="11" fillId="0" borderId="25" xfId="9" applyNumberFormat="1" applyFont="1" applyBorder="1" applyAlignment="1">
      <alignment horizontal="center" vertical="center"/>
    </xf>
    <xf numFmtId="0" fontId="11" fillId="0" borderId="14" xfId="9" applyFont="1" applyBorder="1" applyAlignment="1">
      <alignment horizontal="center" vertical="center" wrapText="1"/>
    </xf>
    <xf numFmtId="20" fontId="11" fillId="0" borderId="18" xfId="8" applyNumberFormat="1" applyFont="1" applyBorder="1" applyAlignment="1">
      <alignment horizontal="center" vertical="center"/>
    </xf>
    <xf numFmtId="0" fontId="11" fillId="0" borderId="0" xfId="9" applyFont="1" applyAlignment="1">
      <alignment vertical="center" wrapText="1"/>
    </xf>
    <xf numFmtId="0" fontId="11" fillId="0" borderId="2" xfId="9" applyFont="1" applyBorder="1">
      <alignment vertical="center"/>
    </xf>
    <xf numFmtId="20" fontId="11" fillId="0" borderId="28" xfId="0" applyNumberFormat="1" applyFont="1" applyBorder="1" applyAlignment="1">
      <alignment horizontal="center" vertical="center"/>
    </xf>
    <xf numFmtId="20" fontId="11" fillId="0" borderId="2" xfId="0" applyNumberFormat="1" applyFont="1" applyBorder="1" applyAlignment="1">
      <alignment horizontal="center" vertical="center"/>
    </xf>
    <xf numFmtId="182" fontId="11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182" fontId="3" fillId="0" borderId="11" xfId="0" applyNumberFormat="1" applyFont="1" applyBorder="1" applyAlignment="1">
      <alignment horizontal="center" vertical="center"/>
    </xf>
    <xf numFmtId="182" fontId="3" fillId="7" borderId="2" xfId="0" applyNumberFormat="1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1" fillId="0" borderId="30" xfId="9" applyFont="1" applyBorder="1" applyAlignment="1">
      <alignment horizontal="center"/>
    </xf>
    <xf numFmtId="0" fontId="11" fillId="0" borderId="31" xfId="8" applyFont="1" applyBorder="1" applyAlignment="1"/>
    <xf numFmtId="0" fontId="11" fillId="0" borderId="32" xfId="8" applyFont="1" applyBorder="1" applyAlignment="1"/>
    <xf numFmtId="1" fontId="11" fillId="0" borderId="33" xfId="9" applyNumberFormat="1" applyFont="1" applyBorder="1" applyAlignment="1">
      <alignment horizontal="center" vertical="center"/>
    </xf>
    <xf numFmtId="43" fontId="11" fillId="0" borderId="33" xfId="10" applyFont="1" applyBorder="1" applyAlignment="1">
      <alignment horizontal="center" vertical="center"/>
    </xf>
    <xf numFmtId="0" fontId="11" fillId="0" borderId="33" xfId="9" applyFont="1" applyBorder="1" applyAlignment="1">
      <alignment horizontal="center" vertical="center" wrapText="1"/>
    </xf>
    <xf numFmtId="1" fontId="11" fillId="2" borderId="33" xfId="9" applyNumberFormat="1" applyFont="1" applyFill="1" applyBorder="1" applyAlignment="1">
      <alignment horizontal="center" vertical="center"/>
    </xf>
    <xf numFmtId="177" fontId="11" fillId="0" borderId="33" xfId="9" applyNumberFormat="1" applyFont="1" applyBorder="1" applyAlignment="1">
      <alignment horizontal="center" vertical="center"/>
    </xf>
    <xf numFmtId="0" fontId="11" fillId="2" borderId="33" xfId="9" applyFont="1" applyFill="1" applyBorder="1" applyAlignment="1">
      <alignment horizontal="center" vertical="center"/>
    </xf>
    <xf numFmtId="180" fontId="11" fillId="0" borderId="33" xfId="9" applyNumberFormat="1" applyFont="1" applyBorder="1" applyAlignment="1">
      <alignment horizontal="center" vertical="center"/>
    </xf>
    <xf numFmtId="181" fontId="11" fillId="0" borderId="33" xfId="9" applyNumberFormat="1" applyFont="1" applyBorder="1" applyAlignment="1">
      <alignment horizontal="center" vertical="center"/>
    </xf>
    <xf numFmtId="0" fontId="11" fillId="0" borderId="38" xfId="9" applyFont="1" applyBorder="1" applyAlignment="1">
      <alignment horizontal="center"/>
    </xf>
    <xf numFmtId="0" fontId="11" fillId="10" borderId="39" xfId="9" applyFont="1" applyFill="1" applyBorder="1" applyAlignment="1">
      <alignment horizontal="center"/>
    </xf>
    <xf numFmtId="177" fontId="11" fillId="10" borderId="39" xfId="9" applyNumberFormat="1" applyFont="1" applyFill="1" applyBorder="1" applyAlignment="1">
      <alignment horizontal="center" vertical="center"/>
    </xf>
    <xf numFmtId="43" fontId="11" fillId="10" borderId="39" xfId="10" applyFont="1" applyFill="1" applyBorder="1" applyAlignment="1">
      <alignment horizontal="center" vertical="center"/>
    </xf>
    <xf numFmtId="0" fontId="11" fillId="10" borderId="39" xfId="9" applyFont="1" applyFill="1" applyBorder="1" applyAlignment="1">
      <alignment horizontal="center" vertical="center"/>
    </xf>
    <xf numFmtId="1" fontId="11" fillId="10" borderId="39" xfId="9" applyNumberFormat="1" applyFont="1" applyFill="1" applyBorder="1" applyAlignment="1">
      <alignment horizontal="center" vertical="center"/>
    </xf>
    <xf numFmtId="180" fontId="11" fillId="0" borderId="39" xfId="9" applyNumberFormat="1" applyFont="1" applyBorder="1" applyAlignment="1">
      <alignment horizontal="center" vertical="center"/>
    </xf>
    <xf numFmtId="181" fontId="11" fillId="0" borderId="39" xfId="9" applyNumberFormat="1" applyFont="1" applyBorder="1" applyAlignment="1">
      <alignment horizontal="center" vertical="center"/>
    </xf>
    <xf numFmtId="178" fontId="11" fillId="0" borderId="39" xfId="11" applyNumberFormat="1" applyFont="1" applyFill="1" applyBorder="1" applyAlignment="1">
      <alignment horizontal="center" vertical="center"/>
    </xf>
    <xf numFmtId="179" fontId="11" fillId="0" borderId="39" xfId="9" applyNumberFormat="1" applyFont="1" applyBorder="1" applyAlignment="1">
      <alignment horizontal="center" vertical="center"/>
    </xf>
    <xf numFmtId="0" fontId="11" fillId="0" borderId="38" xfId="9" applyFont="1" applyBorder="1" applyAlignment="1">
      <alignment horizontal="center" vertical="center" wrapText="1"/>
    </xf>
    <xf numFmtId="177" fontId="11" fillId="0" borderId="39" xfId="9" applyNumberFormat="1" applyFont="1" applyBorder="1" applyAlignment="1">
      <alignment horizontal="center" vertical="center"/>
    </xf>
    <xf numFmtId="43" fontId="11" fillId="0" borderId="28" xfId="10" applyFont="1" applyBorder="1" applyAlignment="1">
      <alignment horizontal="center" vertical="center"/>
    </xf>
    <xf numFmtId="0" fontId="11" fillId="0" borderId="28" xfId="9" applyFont="1" applyBorder="1" applyAlignment="1">
      <alignment horizontal="center" vertical="center"/>
    </xf>
    <xf numFmtId="1" fontId="11" fillId="0" borderId="28" xfId="9" applyNumberFormat="1" applyFont="1" applyBorder="1" applyAlignment="1">
      <alignment horizontal="center" vertical="center"/>
    </xf>
    <xf numFmtId="177" fontId="11" fillId="0" borderId="28" xfId="9" applyNumberFormat="1" applyFont="1" applyBorder="1" applyAlignment="1">
      <alignment horizontal="center" vertical="center"/>
    </xf>
    <xf numFmtId="180" fontId="11" fillId="0" borderId="28" xfId="9" applyNumberFormat="1" applyFont="1" applyBorder="1" applyAlignment="1">
      <alignment horizontal="center" vertical="center"/>
    </xf>
    <xf numFmtId="181" fontId="11" fillId="0" borderId="28" xfId="9" applyNumberFormat="1" applyFont="1" applyBorder="1" applyAlignment="1">
      <alignment horizontal="center" vertical="center"/>
    </xf>
    <xf numFmtId="0" fontId="11" fillId="0" borderId="28" xfId="9" applyFont="1" applyBorder="1" applyAlignment="1">
      <alignment horizontal="center" vertical="center" wrapText="1"/>
    </xf>
    <xf numFmtId="0" fontId="11" fillId="0" borderId="9" xfId="9" applyFont="1" applyBorder="1" applyAlignment="1">
      <alignment horizontal="center"/>
    </xf>
    <xf numFmtId="0" fontId="11" fillId="10" borderId="9" xfId="9" applyFont="1" applyFill="1" applyBorder="1" applyAlignment="1">
      <alignment horizontal="center"/>
    </xf>
    <xf numFmtId="1" fontId="11" fillId="10" borderId="9" xfId="9" applyNumberFormat="1" applyFont="1" applyFill="1" applyBorder="1" applyAlignment="1">
      <alignment horizontal="center" vertical="center"/>
    </xf>
    <xf numFmtId="43" fontId="11" fillId="10" borderId="9" xfId="10" applyFont="1" applyFill="1" applyBorder="1" applyAlignment="1">
      <alignment horizontal="center" vertical="center"/>
    </xf>
    <xf numFmtId="0" fontId="11" fillId="10" borderId="9" xfId="9" applyFont="1" applyFill="1" applyBorder="1" applyAlignment="1">
      <alignment horizontal="center" vertical="center"/>
    </xf>
    <xf numFmtId="177" fontId="11" fillId="10" borderId="9" xfId="9" applyNumberFormat="1" applyFont="1" applyFill="1" applyBorder="1" applyAlignment="1">
      <alignment horizontal="center" vertical="center"/>
    </xf>
    <xf numFmtId="180" fontId="11" fillId="0" borderId="9" xfId="9" applyNumberFormat="1" applyFont="1" applyBorder="1" applyAlignment="1">
      <alignment horizontal="center" vertical="center"/>
    </xf>
    <xf numFmtId="181" fontId="11" fillId="0" borderId="9" xfId="9" applyNumberFormat="1" applyFont="1" applyBorder="1" applyAlignment="1">
      <alignment horizontal="center" vertical="center"/>
    </xf>
    <xf numFmtId="178" fontId="11" fillId="0" borderId="9" xfId="11" applyNumberFormat="1" applyFont="1" applyFill="1" applyBorder="1" applyAlignment="1">
      <alignment horizontal="center" vertical="center"/>
    </xf>
    <xf numFmtId="179" fontId="11" fillId="0" borderId="9" xfId="9" applyNumberFormat="1" applyFont="1" applyBorder="1" applyAlignment="1">
      <alignment horizontal="center" vertical="center"/>
    </xf>
    <xf numFmtId="1" fontId="11" fillId="0" borderId="9" xfId="9" applyNumberFormat="1" applyFont="1" applyBorder="1" applyAlignment="1">
      <alignment horizontal="center" vertical="center"/>
    </xf>
    <xf numFmtId="177" fontId="11" fillId="0" borderId="9" xfId="9" applyNumberFormat="1" applyFont="1" applyBorder="1" applyAlignment="1">
      <alignment horizontal="center" vertical="center"/>
    </xf>
    <xf numFmtId="0" fontId="11" fillId="2" borderId="28" xfId="9" applyFont="1" applyFill="1" applyBorder="1" applyAlignment="1">
      <alignment horizontal="center" vertical="center"/>
    </xf>
    <xf numFmtId="182" fontId="11" fillId="10" borderId="9" xfId="9" applyNumberFormat="1" applyFont="1" applyFill="1" applyBorder="1" applyAlignment="1">
      <alignment horizontal="center" vertical="center"/>
    </xf>
    <xf numFmtId="0" fontId="11" fillId="0" borderId="9" xfId="9" applyFont="1" applyBorder="1" applyAlignment="1">
      <alignment horizontal="center" vertical="center"/>
    </xf>
    <xf numFmtId="43" fontId="3" fillId="0" borderId="28" xfId="10" applyFont="1" applyBorder="1" applyAlignment="1">
      <alignment horizontal="center" vertical="center"/>
    </xf>
    <xf numFmtId="0" fontId="3" fillId="0" borderId="28" xfId="12" applyFont="1" applyBorder="1" applyAlignment="1">
      <alignment horizontal="center" vertical="center"/>
    </xf>
    <xf numFmtId="1" fontId="3" fillId="0" borderId="28" xfId="12" applyNumberFormat="1" applyFont="1" applyBorder="1" applyAlignment="1">
      <alignment horizontal="center" vertical="center"/>
    </xf>
    <xf numFmtId="177" fontId="3" fillId="0" borderId="28" xfId="12" applyNumberFormat="1" applyFont="1" applyBorder="1" applyAlignment="1">
      <alignment horizontal="center" vertical="center"/>
    </xf>
    <xf numFmtId="179" fontId="3" fillId="0" borderId="28" xfId="12" applyNumberFormat="1" applyFont="1" applyBorder="1" applyAlignment="1">
      <alignment horizontal="center" vertical="center"/>
    </xf>
    <xf numFmtId="0" fontId="3" fillId="0" borderId="28" xfId="9" applyFont="1" applyBorder="1" applyAlignment="1">
      <alignment horizontal="center" vertical="center" wrapText="1"/>
    </xf>
    <xf numFmtId="177" fontId="3" fillId="0" borderId="6" xfId="12" applyNumberFormat="1" applyFont="1" applyBorder="1" applyAlignment="1">
      <alignment horizontal="center" vertical="center"/>
    </xf>
    <xf numFmtId="178" fontId="3" fillId="0" borderId="28" xfId="4" applyNumberFormat="1" applyFont="1" applyBorder="1" applyAlignment="1">
      <alignment horizontal="center" vertical="center"/>
    </xf>
    <xf numFmtId="0" fontId="3" fillId="0" borderId="0" xfId="12" applyFont="1" applyAlignment="1">
      <alignment horizontal="center"/>
    </xf>
    <xf numFmtId="0" fontId="11" fillId="0" borderId="47" xfId="9" applyFont="1" applyBorder="1" applyAlignment="1">
      <alignment horizontal="center"/>
    </xf>
    <xf numFmtId="180" fontId="11" fillId="0" borderId="48" xfId="9" applyNumberFormat="1" applyFont="1" applyBorder="1" applyAlignment="1">
      <alignment horizontal="center" vertical="center"/>
    </xf>
    <xf numFmtId="181" fontId="11" fillId="0" borderId="49" xfId="9" applyNumberFormat="1" applyFont="1" applyBorder="1" applyAlignment="1">
      <alignment horizontal="center" vertical="center"/>
    </xf>
    <xf numFmtId="178" fontId="11" fillId="0" borderId="49" xfId="11" applyNumberFormat="1" applyFont="1" applyFill="1" applyBorder="1" applyAlignment="1">
      <alignment horizontal="center" vertical="center"/>
    </xf>
    <xf numFmtId="179" fontId="11" fillId="0" borderId="49" xfId="9" applyNumberFormat="1" applyFont="1" applyBorder="1" applyAlignment="1">
      <alignment horizontal="center" vertical="center"/>
    </xf>
    <xf numFmtId="0" fontId="3" fillId="0" borderId="9" xfId="9" applyFont="1" applyBorder="1" applyAlignment="1">
      <alignment horizontal="center" vertical="center" wrapText="1"/>
    </xf>
    <xf numFmtId="20" fontId="11" fillId="0" borderId="49" xfId="9" applyNumberFormat="1" applyFont="1" applyBorder="1" applyAlignment="1">
      <alignment horizontal="center" vertical="center"/>
    </xf>
    <xf numFmtId="180" fontId="11" fillId="0" borderId="47" xfId="9" applyNumberFormat="1" applyFont="1" applyBorder="1" applyAlignment="1">
      <alignment horizontal="center" vertical="center"/>
    </xf>
    <xf numFmtId="180" fontId="11" fillId="0" borderId="32" xfId="9" applyNumberFormat="1" applyFont="1" applyBorder="1" applyAlignment="1">
      <alignment horizontal="center" vertical="center"/>
    </xf>
    <xf numFmtId="0" fontId="11" fillId="0" borderId="39" xfId="9" applyFont="1" applyBorder="1" applyAlignment="1">
      <alignment horizontal="center"/>
    </xf>
    <xf numFmtId="1" fontId="11" fillId="10" borderId="49" xfId="9" applyNumberFormat="1" applyFont="1" applyFill="1" applyBorder="1" applyAlignment="1">
      <alignment horizontal="center" vertical="center"/>
    </xf>
    <xf numFmtId="179" fontId="3" fillId="0" borderId="53" xfId="12" applyNumberFormat="1" applyFont="1" applyBorder="1" applyAlignment="1">
      <alignment horizontal="center" vertical="center"/>
    </xf>
    <xf numFmtId="1" fontId="11" fillId="0" borderId="39" xfId="9" applyNumberFormat="1" applyFont="1" applyBorder="1" applyAlignment="1">
      <alignment horizontal="center" vertical="center"/>
    </xf>
    <xf numFmtId="179" fontId="11" fillId="0" borderId="33" xfId="9" applyNumberFormat="1" applyFont="1" applyBorder="1" applyAlignment="1">
      <alignment horizontal="center" vertical="center"/>
    </xf>
    <xf numFmtId="0" fontId="11" fillId="10" borderId="49" xfId="9" applyFont="1" applyFill="1" applyBorder="1" applyAlignment="1">
      <alignment horizontal="center" vertical="center"/>
    </xf>
    <xf numFmtId="177" fontId="11" fillId="10" borderId="49" xfId="9" applyNumberFormat="1" applyFont="1" applyFill="1" applyBorder="1" applyAlignment="1">
      <alignment horizontal="center" vertical="center"/>
    </xf>
    <xf numFmtId="180" fontId="11" fillId="0" borderId="49" xfId="9" applyNumberFormat="1" applyFont="1" applyBorder="1" applyAlignment="1">
      <alignment horizontal="center" vertical="center"/>
    </xf>
    <xf numFmtId="43" fontId="11" fillId="10" borderId="49" xfId="10" applyFont="1" applyFill="1" applyBorder="1" applyAlignment="1">
      <alignment horizontal="center" vertical="center"/>
    </xf>
    <xf numFmtId="0" fontId="11" fillId="2" borderId="26" xfId="9" applyFont="1" applyFill="1" applyBorder="1" applyAlignment="1">
      <alignment horizontal="center" vertical="center"/>
    </xf>
    <xf numFmtId="0" fontId="9" fillId="0" borderId="15" xfId="9" applyFont="1" applyBorder="1" applyAlignment="1">
      <alignment horizontal="center" vertical="center"/>
    </xf>
    <xf numFmtId="0" fontId="9" fillId="0" borderId="15" xfId="9" applyFont="1" applyBorder="1" applyAlignment="1">
      <alignment horizontal="left" vertical="center"/>
    </xf>
    <xf numFmtId="0" fontId="11" fillId="0" borderId="15" xfId="9" applyFont="1" applyBorder="1" applyAlignment="1">
      <alignment horizontal="center" vertical="center"/>
    </xf>
    <xf numFmtId="0" fontId="11" fillId="0" borderId="18" xfId="9" applyFont="1" applyBorder="1" applyAlignment="1">
      <alignment horizontal="center" vertical="center"/>
    </xf>
    <xf numFmtId="0" fontId="7" fillId="8" borderId="18" xfId="9" applyFont="1" applyFill="1" applyBorder="1" applyAlignment="1">
      <alignment horizontal="center" vertical="center"/>
    </xf>
    <xf numFmtId="0" fontId="11" fillId="2" borderId="15" xfId="9" applyFont="1" applyFill="1" applyBorder="1" applyAlignment="1">
      <alignment horizontal="center" vertical="center"/>
    </xf>
    <xf numFmtId="0" fontId="11" fillId="2" borderId="18" xfId="9" applyFont="1" applyFill="1" applyBorder="1" applyAlignment="1">
      <alignment horizontal="center" vertical="center"/>
    </xf>
    <xf numFmtId="0" fontId="11" fillId="0" borderId="15" xfId="9" applyFont="1" applyBorder="1" applyAlignment="1">
      <alignment horizontal="center" vertical="center" wrapText="1"/>
    </xf>
    <xf numFmtId="0" fontId="11" fillId="0" borderId="19" xfId="9" applyFont="1" applyBorder="1" applyAlignment="1">
      <alignment horizontal="center" vertical="center"/>
    </xf>
    <xf numFmtId="178" fontId="11" fillId="0" borderId="33" xfId="11" applyNumberFormat="1" applyFont="1" applyBorder="1" applyAlignment="1">
      <alignment horizontal="center" vertical="center"/>
    </xf>
    <xf numFmtId="178" fontId="11" fillId="0" borderId="15" xfId="11" applyNumberFormat="1" applyFont="1" applyBorder="1" applyAlignment="1">
      <alignment horizontal="center" vertical="center"/>
    </xf>
    <xf numFmtId="178" fontId="11" fillId="0" borderId="18" xfId="11" applyNumberFormat="1" applyFont="1" applyBorder="1" applyAlignment="1">
      <alignment horizontal="center" vertical="center"/>
    </xf>
    <xf numFmtId="178" fontId="11" fillId="0" borderId="39" xfId="11" applyNumberFormat="1" applyFont="1" applyBorder="1" applyAlignment="1">
      <alignment horizontal="center" vertical="center"/>
    </xf>
    <xf numFmtId="0" fontId="11" fillId="0" borderId="33" xfId="9" applyFont="1" applyBorder="1" applyAlignment="1">
      <alignment horizontal="center" vertical="center"/>
    </xf>
    <xf numFmtId="178" fontId="11" fillId="0" borderId="28" xfId="11" applyNumberFormat="1" applyFont="1" applyBorder="1" applyAlignment="1">
      <alignment horizontal="center" vertical="center"/>
    </xf>
    <xf numFmtId="178" fontId="11" fillId="0" borderId="2" xfId="11" applyNumberFormat="1" applyFont="1" applyBorder="1" applyAlignment="1">
      <alignment horizontal="center" vertical="center"/>
    </xf>
    <xf numFmtId="178" fontId="11" fillId="0" borderId="9" xfId="11" applyNumberFormat="1" applyFont="1" applyBorder="1" applyAlignment="1">
      <alignment horizontal="center" vertical="center"/>
    </xf>
    <xf numFmtId="178" fontId="11" fillId="0" borderId="23" xfId="11" applyNumberFormat="1" applyFont="1" applyBorder="1" applyAlignment="1">
      <alignment horizontal="center" vertical="center"/>
    </xf>
    <xf numFmtId="0" fontId="11" fillId="0" borderId="14" xfId="9" applyFont="1" applyBorder="1" applyAlignment="1">
      <alignment horizontal="center" vertical="center"/>
    </xf>
    <xf numFmtId="0" fontId="11" fillId="0" borderId="34" xfId="9" applyFont="1" applyBorder="1">
      <alignment vertical="center"/>
    </xf>
    <xf numFmtId="0" fontId="11" fillId="0" borderId="39" xfId="9" applyFont="1" applyBorder="1" applyAlignment="1">
      <alignment horizontal="center" vertical="center"/>
    </xf>
    <xf numFmtId="0" fontId="11" fillId="0" borderId="49" xfId="9" applyFont="1" applyBorder="1" applyAlignment="1">
      <alignment horizontal="center" vertical="center"/>
    </xf>
    <xf numFmtId="0" fontId="11" fillId="7" borderId="15" xfId="9" applyFont="1" applyFill="1" applyBorder="1" applyAlignment="1">
      <alignment horizontal="center" vertical="center"/>
    </xf>
    <xf numFmtId="179" fontId="11" fillId="0" borderId="14" xfId="9" applyNumberFormat="1" applyFont="1" applyBorder="1" applyAlignment="1">
      <alignment horizontal="center" vertical="center"/>
    </xf>
    <xf numFmtId="0" fontId="11" fillId="0" borderId="57" xfId="8" applyFont="1" applyBorder="1" applyAlignment="1">
      <alignment horizontal="center"/>
    </xf>
    <xf numFmtId="0" fontId="3" fillId="0" borderId="2" xfId="0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16" fillId="0" borderId="0" xfId="1" applyFont="1">
      <alignment vertical="center"/>
    </xf>
    <xf numFmtId="0" fontId="3" fillId="0" borderId="0" xfId="1" applyFont="1">
      <alignment vertical="center"/>
    </xf>
    <xf numFmtId="0" fontId="17" fillId="0" borderId="2" xfId="1" applyFont="1" applyBorder="1" applyAlignment="1">
      <alignment horizontal="center" vertical="center"/>
    </xf>
    <xf numFmtId="176" fontId="17" fillId="0" borderId="0" xfId="3" applyNumberFormat="1" applyFont="1" applyBorder="1" applyAlignment="1">
      <alignment vertical="center"/>
    </xf>
    <xf numFmtId="0" fontId="17" fillId="0" borderId="59" xfId="1" applyFont="1" applyBorder="1">
      <alignment vertical="center"/>
    </xf>
    <xf numFmtId="0" fontId="17" fillId="0" borderId="0" xfId="1" applyFont="1">
      <alignment vertical="center"/>
    </xf>
    <xf numFmtId="0" fontId="21" fillId="0" borderId="0" xfId="1" applyFont="1">
      <alignment vertical="center"/>
    </xf>
    <xf numFmtId="0" fontId="22" fillId="0" borderId="0" xfId="2" applyFont="1">
      <alignment vertical="center"/>
    </xf>
    <xf numFmtId="0" fontId="23" fillId="0" borderId="0" xfId="1" applyFont="1">
      <alignment vertical="center"/>
    </xf>
    <xf numFmtId="0" fontId="24" fillId="0" borderId="0" xfId="1" applyFont="1">
      <alignment vertical="center"/>
    </xf>
    <xf numFmtId="0" fontId="3" fillId="0" borderId="2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77" fontId="25" fillId="0" borderId="2" xfId="1" applyNumberFormat="1" applyFont="1" applyBorder="1" applyAlignment="1">
      <alignment horizontal="center" vertical="center"/>
    </xf>
    <xf numFmtId="1" fontId="3" fillId="0" borderId="2" xfId="1" applyNumberFormat="1" applyFont="1" applyBorder="1" applyAlignment="1">
      <alignment horizontal="center" vertical="center" wrapText="1"/>
    </xf>
    <xf numFmtId="0" fontId="15" fillId="0" borderId="2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0" xfId="8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1" fillId="0" borderId="26" xfId="8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180" fontId="11" fillId="0" borderId="61" xfId="9" applyNumberFormat="1" applyFont="1" applyBorder="1" applyAlignment="1">
      <alignment horizontal="center" vertical="center"/>
    </xf>
    <xf numFmtId="178" fontId="11" fillId="0" borderId="61" xfId="11" applyNumberFormat="1" applyFont="1" applyBorder="1" applyAlignment="1">
      <alignment horizontal="center" vertical="center"/>
    </xf>
    <xf numFmtId="180" fontId="11" fillId="0" borderId="62" xfId="9" applyNumberFormat="1" applyFont="1" applyBorder="1" applyAlignment="1">
      <alignment horizontal="center" vertical="center"/>
    </xf>
    <xf numFmtId="178" fontId="11" fillId="0" borderId="63" xfId="11" applyNumberFormat="1" applyFont="1" applyBorder="1" applyAlignment="1">
      <alignment horizontal="center" vertical="center"/>
    </xf>
    <xf numFmtId="0" fontId="11" fillId="0" borderId="64" xfId="8" applyFont="1" applyBorder="1" applyAlignment="1">
      <alignment horizontal="center"/>
    </xf>
    <xf numFmtId="0" fontId="11" fillId="0" borderId="66" xfId="9" applyFont="1" applyBorder="1" applyAlignment="1">
      <alignment horizontal="center" vertical="center"/>
    </xf>
    <xf numFmtId="0" fontId="11" fillId="0" borderId="67" xfId="9" applyFont="1" applyBorder="1" applyAlignment="1">
      <alignment horizontal="center" vertical="center"/>
    </xf>
    <xf numFmtId="0" fontId="11" fillId="0" borderId="68" xfId="9" applyFont="1" applyBorder="1" applyAlignment="1">
      <alignment horizontal="center" vertical="center"/>
    </xf>
    <xf numFmtId="178" fontId="25" fillId="0" borderId="17" xfId="5" applyNumberFormat="1" applyFont="1" applyBorder="1" applyAlignment="1">
      <alignment horizontal="center" vertical="center"/>
    </xf>
    <xf numFmtId="1" fontId="11" fillId="2" borderId="19" xfId="9" applyNumberFormat="1" applyFont="1" applyFill="1" applyBorder="1" applyAlignment="1">
      <alignment horizontal="center" vertical="center"/>
    </xf>
    <xf numFmtId="177" fontId="11" fillId="0" borderId="20" xfId="9" applyNumberFormat="1" applyFont="1" applyBorder="1" applyAlignment="1">
      <alignment horizontal="center" vertical="center"/>
    </xf>
    <xf numFmtId="1" fontId="11" fillId="0" borderId="61" xfId="9" applyNumberFormat="1" applyFont="1" applyBorder="1" applyAlignment="1">
      <alignment horizontal="center" vertical="center"/>
    </xf>
    <xf numFmtId="0" fontId="11" fillId="0" borderId="21" xfId="9" applyFont="1" applyBorder="1" applyAlignment="1">
      <alignment horizontal="center"/>
    </xf>
    <xf numFmtId="182" fontId="11" fillId="0" borderId="17" xfId="9" applyNumberFormat="1" applyFont="1" applyBorder="1" applyAlignment="1">
      <alignment horizontal="center" vertical="center"/>
    </xf>
    <xf numFmtId="43" fontId="11" fillId="0" borderId="17" xfId="10" applyFont="1" applyBorder="1" applyAlignment="1">
      <alignment horizontal="center" vertical="center"/>
    </xf>
    <xf numFmtId="0" fontId="11" fillId="0" borderId="65" xfId="9" applyFont="1" applyBorder="1" applyAlignment="1">
      <alignment horizontal="center" vertical="center"/>
    </xf>
    <xf numFmtId="0" fontId="11" fillId="0" borderId="71" xfId="9" applyFont="1" applyBorder="1" applyAlignment="1">
      <alignment horizontal="center" vertical="center"/>
    </xf>
    <xf numFmtId="0" fontId="11" fillId="0" borderId="71" xfId="8" applyFont="1" applyBorder="1" applyAlignment="1"/>
    <xf numFmtId="0" fontId="11" fillId="0" borderId="26" xfId="8" applyFont="1" applyBorder="1" applyAlignment="1"/>
    <xf numFmtId="182" fontId="11" fillId="0" borderId="11" xfId="9" applyNumberFormat="1" applyFont="1" applyBorder="1" applyAlignment="1">
      <alignment horizontal="center" vertical="center"/>
    </xf>
    <xf numFmtId="43" fontId="11" fillId="0" borderId="11" xfId="10" applyFont="1" applyBorder="1" applyAlignment="1">
      <alignment horizontal="center" vertical="center"/>
    </xf>
    <xf numFmtId="0" fontId="11" fillId="0" borderId="11" xfId="9" applyFont="1" applyBorder="1" applyAlignment="1">
      <alignment horizontal="center" vertical="center"/>
    </xf>
    <xf numFmtId="1" fontId="11" fillId="2" borderId="11" xfId="9" applyNumberFormat="1" applyFont="1" applyFill="1" applyBorder="1" applyAlignment="1">
      <alignment horizontal="center" vertical="center"/>
    </xf>
    <xf numFmtId="0" fontId="11" fillId="2" borderId="11" xfId="9" applyFont="1" applyFill="1" applyBorder="1" applyAlignment="1">
      <alignment horizontal="center" vertical="center"/>
    </xf>
    <xf numFmtId="0" fontId="11" fillId="0" borderId="72" xfId="9" applyFont="1" applyBorder="1" applyAlignment="1">
      <alignment horizontal="center"/>
    </xf>
    <xf numFmtId="0" fontId="11" fillId="0" borderId="73" xfId="8" applyFont="1" applyBorder="1" applyAlignment="1"/>
    <xf numFmtId="0" fontId="11" fillId="0" borderId="74" xfId="8" applyFont="1" applyBorder="1" applyAlignment="1"/>
    <xf numFmtId="0" fontId="11" fillId="0" borderId="75" xfId="9" applyFont="1" applyBorder="1" applyAlignment="1">
      <alignment horizontal="center"/>
    </xf>
    <xf numFmtId="0" fontId="11" fillId="0" borderId="75" xfId="8" applyFont="1" applyBorder="1" applyAlignment="1"/>
    <xf numFmtId="0" fontId="11" fillId="0" borderId="76" xfId="8" applyFont="1" applyBorder="1" applyAlignment="1"/>
    <xf numFmtId="1" fontId="11" fillId="2" borderId="75" xfId="9" applyNumberFormat="1" applyFont="1" applyFill="1" applyBorder="1" applyAlignment="1">
      <alignment horizontal="center" vertical="center"/>
    </xf>
    <xf numFmtId="177" fontId="11" fillId="0" borderId="76" xfId="9" applyNumberFormat="1" applyFont="1" applyBorder="1" applyAlignment="1">
      <alignment horizontal="center" vertical="center"/>
    </xf>
    <xf numFmtId="180" fontId="11" fillId="0" borderId="78" xfId="9" applyNumberFormat="1" applyFont="1" applyBorder="1" applyAlignment="1">
      <alignment horizontal="center" vertical="center"/>
    </xf>
    <xf numFmtId="178" fontId="11" fillId="0" borderId="79" xfId="11" applyNumberFormat="1" applyFont="1" applyBorder="1" applyAlignment="1">
      <alignment horizontal="center" vertical="center"/>
    </xf>
    <xf numFmtId="20" fontId="3" fillId="0" borderId="81" xfId="13" applyNumberFormat="1" applyFont="1" applyBorder="1" applyAlignment="1">
      <alignment horizontal="center" vertical="center"/>
    </xf>
    <xf numFmtId="1" fontId="11" fillId="0" borderId="80" xfId="9" applyNumberFormat="1" applyFont="1" applyBorder="1" applyAlignment="1">
      <alignment horizontal="center" vertical="center"/>
    </xf>
    <xf numFmtId="177" fontId="11" fillId="0" borderId="82" xfId="9" applyNumberFormat="1" applyFont="1" applyBorder="1" applyAlignment="1">
      <alignment horizontal="center" vertical="center"/>
    </xf>
    <xf numFmtId="0" fontId="3" fillId="0" borderId="0" xfId="0" applyFont="1">
      <alignment vertical="center"/>
    </xf>
    <xf numFmtId="20" fontId="11" fillId="0" borderId="19" xfId="9" applyNumberFormat="1" applyFont="1" applyBorder="1" applyAlignment="1">
      <alignment horizontal="center" vertical="center"/>
    </xf>
    <xf numFmtId="180" fontId="11" fillId="0" borderId="20" xfId="9" applyNumberFormat="1" applyFont="1" applyBorder="1" applyAlignment="1">
      <alignment horizontal="center" vertical="center"/>
    </xf>
    <xf numFmtId="182" fontId="11" fillId="0" borderId="28" xfId="0" applyNumberFormat="1" applyFont="1" applyBorder="1" applyAlignment="1">
      <alignment horizontal="center" vertical="center"/>
    </xf>
    <xf numFmtId="182" fontId="3" fillId="0" borderId="28" xfId="0" applyNumberFormat="1" applyFont="1" applyBorder="1" applyAlignment="1">
      <alignment horizontal="center" vertical="center"/>
    </xf>
    <xf numFmtId="1" fontId="11" fillId="2" borderId="28" xfId="9" applyNumberFormat="1" applyFont="1" applyFill="1" applyBorder="1" applyAlignment="1">
      <alignment horizontal="center" vertical="center"/>
    </xf>
    <xf numFmtId="179" fontId="11" fillId="0" borderId="28" xfId="9" applyNumberFormat="1" applyFont="1" applyBorder="1" applyAlignment="1">
      <alignment horizontal="center" vertical="center"/>
    </xf>
    <xf numFmtId="182" fontId="11" fillId="0" borderId="28" xfId="9" applyNumberFormat="1" applyFont="1" applyBorder="1" applyAlignment="1">
      <alignment horizontal="center" vertical="center"/>
    </xf>
    <xf numFmtId="20" fontId="11" fillId="0" borderId="11" xfId="0" applyNumberFormat="1" applyFont="1" applyBorder="1" applyAlignment="1">
      <alignment horizontal="center" vertical="center"/>
    </xf>
    <xf numFmtId="180" fontId="3" fillId="0" borderId="2" xfId="12" applyNumberFormat="1" applyFont="1" applyBorder="1" applyAlignment="1">
      <alignment horizontal="center" vertical="center"/>
    </xf>
    <xf numFmtId="179" fontId="11" fillId="0" borderId="63" xfId="9" applyNumberFormat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1" fontId="11" fillId="2" borderId="61" xfId="9" applyNumberFormat="1" applyFont="1" applyFill="1" applyBorder="1" applyAlignment="1">
      <alignment horizontal="center" vertical="center"/>
    </xf>
    <xf numFmtId="0" fontId="11" fillId="0" borderId="87" xfId="8" applyFont="1" applyBorder="1" applyAlignment="1">
      <alignment horizontal="center"/>
    </xf>
    <xf numFmtId="182" fontId="3" fillId="0" borderId="2" xfId="0" applyNumberFormat="1" applyFont="1" applyBorder="1" applyAlignment="1">
      <alignment horizontal="center" vertical="center"/>
    </xf>
    <xf numFmtId="0" fontId="11" fillId="0" borderId="81" xfId="9" applyFont="1" applyBorder="1" applyAlignment="1">
      <alignment horizontal="center"/>
    </xf>
    <xf numFmtId="0" fontId="11" fillId="0" borderId="1" xfId="8" applyFont="1" applyBorder="1" applyAlignment="1"/>
    <xf numFmtId="0" fontId="11" fillId="0" borderId="81" xfId="8" applyFont="1" applyBorder="1" applyAlignment="1"/>
    <xf numFmtId="0" fontId="11" fillId="0" borderId="34" xfId="8" applyFont="1" applyBorder="1" applyAlignment="1"/>
    <xf numFmtId="0" fontId="11" fillId="10" borderId="17" xfId="9" applyFont="1" applyFill="1" applyBorder="1" applyAlignment="1">
      <alignment horizontal="center"/>
    </xf>
    <xf numFmtId="182" fontId="11" fillId="10" borderId="17" xfId="9" applyNumberFormat="1" applyFont="1" applyFill="1" applyBorder="1" applyAlignment="1">
      <alignment horizontal="center" vertical="center"/>
    </xf>
    <xf numFmtId="43" fontId="11" fillId="10" borderId="17" xfId="10" applyFont="1" applyFill="1" applyBorder="1" applyAlignment="1">
      <alignment horizontal="center" vertical="center"/>
    </xf>
    <xf numFmtId="0" fontId="11" fillId="10" borderId="17" xfId="9" applyFont="1" applyFill="1" applyBorder="1" applyAlignment="1">
      <alignment horizontal="center" vertical="center"/>
    </xf>
    <xf numFmtId="1" fontId="11" fillId="10" borderId="17" xfId="9" applyNumberFormat="1" applyFont="1" applyFill="1" applyBorder="1" applyAlignment="1">
      <alignment horizontal="center" vertical="center"/>
    </xf>
    <xf numFmtId="177" fontId="11" fillId="10" borderId="17" xfId="9" applyNumberFormat="1" applyFont="1" applyFill="1" applyBorder="1" applyAlignment="1">
      <alignment horizontal="center" vertical="center"/>
    </xf>
    <xf numFmtId="178" fontId="11" fillId="0" borderId="17" xfId="11" applyNumberFormat="1" applyFont="1" applyFill="1" applyBorder="1" applyAlignment="1">
      <alignment horizontal="center" vertical="center"/>
    </xf>
    <xf numFmtId="177" fontId="11" fillId="0" borderId="88" xfId="9" applyNumberFormat="1" applyFont="1" applyBorder="1" applyAlignment="1">
      <alignment horizontal="center" vertical="center"/>
    </xf>
    <xf numFmtId="0" fontId="11" fillId="2" borderId="86" xfId="9" applyFont="1" applyFill="1" applyBorder="1" applyAlignment="1">
      <alignment horizontal="center" vertical="center"/>
    </xf>
    <xf numFmtId="180" fontId="3" fillId="0" borderId="28" xfId="12" applyNumberFormat="1" applyFont="1" applyBorder="1" applyAlignment="1">
      <alignment horizontal="center" vertical="center"/>
    </xf>
    <xf numFmtId="178" fontId="11" fillId="0" borderId="91" xfId="11" applyNumberFormat="1" applyFont="1" applyBorder="1" applyAlignment="1">
      <alignment horizontal="center" vertical="center"/>
    </xf>
    <xf numFmtId="180" fontId="11" fillId="0" borderId="71" xfId="9" applyNumberFormat="1" applyFont="1" applyBorder="1" applyAlignment="1">
      <alignment horizontal="center" vertical="center"/>
    </xf>
    <xf numFmtId="178" fontId="11" fillId="0" borderId="27" xfId="11" applyNumberFormat="1" applyFont="1" applyBorder="1" applyAlignment="1">
      <alignment horizontal="center" vertical="center"/>
    </xf>
    <xf numFmtId="0" fontId="11" fillId="0" borderId="20" xfId="9" applyFont="1" applyBorder="1" applyAlignment="1">
      <alignment horizontal="center" vertical="center"/>
    </xf>
    <xf numFmtId="0" fontId="11" fillId="0" borderId="71" xfId="9" applyFont="1" applyBorder="1" applyAlignment="1">
      <alignment horizontal="center" vertical="center" wrapText="1"/>
    </xf>
    <xf numFmtId="20" fontId="11" fillId="0" borderId="61" xfId="9" applyNumberFormat="1" applyFont="1" applyBorder="1" applyAlignment="1">
      <alignment horizontal="center" vertical="center"/>
    </xf>
    <xf numFmtId="20" fontId="11" fillId="0" borderId="14" xfId="9" applyNumberFormat="1" applyFont="1" applyBorder="1" applyAlignment="1">
      <alignment horizontal="center" vertical="center"/>
    </xf>
    <xf numFmtId="20" fontId="11" fillId="0" borderId="62" xfId="9" applyNumberFormat="1" applyFont="1" applyBorder="1" applyAlignment="1">
      <alignment horizontal="center" vertical="center"/>
    </xf>
    <xf numFmtId="20" fontId="11" fillId="0" borderId="63" xfId="9" applyNumberFormat="1" applyFont="1" applyBorder="1" applyAlignment="1">
      <alignment horizontal="center" vertical="center"/>
    </xf>
    <xf numFmtId="0" fontId="11" fillId="0" borderId="17" xfId="9" applyFont="1" applyBorder="1" applyAlignment="1">
      <alignment horizontal="center"/>
    </xf>
    <xf numFmtId="0" fontId="6" fillId="0" borderId="17" xfId="1" applyFont="1" applyBorder="1" applyAlignment="1">
      <alignment horizontal="center" vertical="center"/>
    </xf>
    <xf numFmtId="179" fontId="11" fillId="0" borderId="17" xfId="9" applyNumberFormat="1" applyFont="1" applyBorder="1" applyAlignment="1">
      <alignment horizontal="center" vertical="center"/>
    </xf>
    <xf numFmtId="20" fontId="11" fillId="0" borderId="17" xfId="9" applyNumberFormat="1" applyFont="1" applyBorder="1" applyAlignment="1">
      <alignment horizontal="center" vertical="center"/>
    </xf>
    <xf numFmtId="0" fontId="11" fillId="0" borderId="91" xfId="8" applyFont="1" applyBorder="1" applyAlignment="1"/>
    <xf numFmtId="0" fontId="11" fillId="0" borderId="28" xfId="8" applyFont="1" applyBorder="1" applyAlignment="1">
      <alignment horizontal="center"/>
    </xf>
    <xf numFmtId="180" fontId="11" fillId="0" borderId="95" xfId="9" applyNumberFormat="1" applyFont="1" applyBorder="1" applyAlignment="1">
      <alignment horizontal="center" vertical="center"/>
    </xf>
    <xf numFmtId="178" fontId="11" fillId="0" borderId="95" xfId="11" applyNumberFormat="1" applyFont="1" applyBorder="1" applyAlignment="1">
      <alignment horizontal="center" vertical="center"/>
    </xf>
    <xf numFmtId="179" fontId="11" fillId="0" borderId="27" xfId="9" applyNumberFormat="1" applyFont="1" applyBorder="1" applyAlignment="1">
      <alignment horizontal="center" vertical="center"/>
    </xf>
    <xf numFmtId="179" fontId="3" fillId="7" borderId="2" xfId="12" applyNumberFormat="1" applyFont="1" applyFill="1" applyBorder="1" applyAlignment="1">
      <alignment horizontal="center" vertical="center"/>
    </xf>
    <xf numFmtId="182" fontId="10" fillId="0" borderId="2" xfId="0" applyNumberFormat="1" applyFont="1" applyBorder="1" applyAlignment="1">
      <alignment horizontal="center" vertical="center"/>
    </xf>
    <xf numFmtId="0" fontId="28" fillId="0" borderId="2" xfId="8" applyFont="1" applyBorder="1" applyAlignment="1">
      <alignment horizontal="center"/>
    </xf>
    <xf numFmtId="0" fontId="29" fillId="0" borderId="0" xfId="0" applyFont="1">
      <alignment vertical="center"/>
    </xf>
    <xf numFmtId="0" fontId="11" fillId="0" borderId="93" xfId="8" applyFont="1" applyBorder="1" applyAlignment="1">
      <alignment horizontal="center"/>
    </xf>
    <xf numFmtId="0" fontId="11" fillId="0" borderId="97" xfId="8" applyFont="1" applyBorder="1" applyAlignment="1">
      <alignment horizontal="center"/>
    </xf>
    <xf numFmtId="1" fontId="11" fillId="0" borderId="98" xfId="9" applyNumberFormat="1" applyFont="1" applyBorder="1" applyAlignment="1">
      <alignment horizontal="center" vertical="center"/>
    </xf>
    <xf numFmtId="43" fontId="11" fillId="0" borderId="98" xfId="10" applyFont="1" applyBorder="1" applyAlignment="1">
      <alignment horizontal="center" vertical="center"/>
    </xf>
    <xf numFmtId="0" fontId="11" fillId="0" borderId="98" xfId="9" applyFont="1" applyBorder="1" applyAlignment="1">
      <alignment horizontal="center" vertical="center" wrapText="1"/>
    </xf>
    <xf numFmtId="1" fontId="11" fillId="2" borderId="98" xfId="9" applyNumberFormat="1" applyFont="1" applyFill="1" applyBorder="1" applyAlignment="1">
      <alignment horizontal="center" vertical="center"/>
    </xf>
    <xf numFmtId="177" fontId="11" fillId="0" borderId="98" xfId="9" applyNumberFormat="1" applyFont="1" applyBorder="1" applyAlignment="1">
      <alignment horizontal="center" vertical="center"/>
    </xf>
    <xf numFmtId="0" fontId="11" fillId="2" borderId="98" xfId="9" applyFont="1" applyFill="1" applyBorder="1" applyAlignment="1">
      <alignment horizontal="center" vertical="center"/>
    </xf>
    <xf numFmtId="180" fontId="11" fillId="0" borderId="98" xfId="9" applyNumberFormat="1" applyFont="1" applyBorder="1" applyAlignment="1">
      <alignment horizontal="center" vertical="center"/>
    </xf>
    <xf numFmtId="181" fontId="11" fillId="0" borderId="98" xfId="9" applyNumberFormat="1" applyFont="1" applyBorder="1" applyAlignment="1">
      <alignment horizontal="center" vertical="center"/>
    </xf>
    <xf numFmtId="178" fontId="11" fillId="0" borderId="98" xfId="11" applyNumberFormat="1" applyFont="1" applyBorder="1" applyAlignment="1">
      <alignment horizontal="center" vertical="center"/>
    </xf>
    <xf numFmtId="0" fontId="11" fillId="0" borderId="99" xfId="9" applyFont="1" applyBorder="1" applyAlignment="1">
      <alignment horizontal="center"/>
    </xf>
    <xf numFmtId="0" fontId="11" fillId="0" borderId="100" xfId="8" applyFont="1" applyBorder="1" applyAlignment="1"/>
    <xf numFmtId="0" fontId="11" fillId="0" borderId="99" xfId="8" applyFont="1" applyBorder="1" applyAlignment="1"/>
    <xf numFmtId="1" fontId="11" fillId="0" borderId="101" xfId="9" applyNumberFormat="1" applyFont="1" applyBorder="1" applyAlignment="1">
      <alignment horizontal="center" vertical="center"/>
    </xf>
    <xf numFmtId="43" fontId="11" fillId="0" borderId="102" xfId="10" applyFont="1" applyBorder="1" applyAlignment="1">
      <alignment horizontal="center" vertical="center"/>
    </xf>
    <xf numFmtId="0" fontId="11" fillId="0" borderId="102" xfId="9" applyFont="1" applyBorder="1" applyAlignment="1">
      <alignment horizontal="center" vertical="center" wrapText="1"/>
    </xf>
    <xf numFmtId="1" fontId="11" fillId="2" borderId="102" xfId="9" applyNumberFormat="1" applyFont="1" applyFill="1" applyBorder="1" applyAlignment="1">
      <alignment horizontal="center" vertical="center"/>
    </xf>
    <xf numFmtId="1" fontId="11" fillId="0" borderId="102" xfId="9" applyNumberFormat="1" applyFont="1" applyBorder="1" applyAlignment="1">
      <alignment horizontal="center" vertical="center"/>
    </xf>
    <xf numFmtId="177" fontId="11" fillId="0" borderId="102" xfId="9" applyNumberFormat="1" applyFont="1" applyBorder="1" applyAlignment="1">
      <alignment horizontal="center" vertical="center"/>
    </xf>
    <xf numFmtId="0" fontId="11" fillId="2" borderId="102" xfId="9" applyFont="1" applyFill="1" applyBorder="1" applyAlignment="1">
      <alignment horizontal="center" vertical="center"/>
    </xf>
    <xf numFmtId="180" fontId="11" fillId="0" borderId="102" xfId="9" applyNumberFormat="1" applyFont="1" applyBorder="1" applyAlignment="1">
      <alignment horizontal="center" vertical="center"/>
    </xf>
    <xf numFmtId="181" fontId="11" fillId="0" borderId="102" xfId="9" applyNumberFormat="1" applyFont="1" applyBorder="1" applyAlignment="1">
      <alignment horizontal="center" vertical="center"/>
    </xf>
    <xf numFmtId="178" fontId="11" fillId="0" borderId="102" xfId="11" applyNumberFormat="1" applyFont="1" applyBorder="1" applyAlignment="1">
      <alignment horizontal="center" vertical="center"/>
    </xf>
    <xf numFmtId="179" fontId="3" fillId="7" borderId="103" xfId="12" applyNumberFormat="1" applyFont="1" applyFill="1" applyBorder="1" applyAlignment="1">
      <alignment horizontal="center" vertical="center"/>
    </xf>
    <xf numFmtId="179" fontId="3" fillId="7" borderId="104" xfId="12" applyNumberFormat="1" applyFont="1" applyFill="1" applyBorder="1" applyAlignment="1">
      <alignment horizontal="center" vertical="center"/>
    </xf>
    <xf numFmtId="0" fontId="11" fillId="0" borderId="105" xfId="8" applyFont="1" applyBorder="1" applyAlignment="1"/>
    <xf numFmtId="0" fontId="11" fillId="0" borderId="16" xfId="8" applyFont="1" applyBorder="1" applyAlignment="1"/>
    <xf numFmtId="176" fontId="17" fillId="3" borderId="2" xfId="3" applyNumberFormat="1" applyFont="1" applyFill="1" applyBorder="1" applyAlignment="1">
      <alignment horizontal="center" vertical="center"/>
    </xf>
    <xf numFmtId="0" fontId="17" fillId="0" borderId="2" xfId="1" applyFont="1" applyBorder="1" applyAlignment="1">
      <alignment horizontal="center" vertical="center"/>
    </xf>
    <xf numFmtId="0" fontId="17" fillId="0" borderId="2" xfId="2" applyFont="1" applyBorder="1" applyAlignment="1">
      <alignment horizontal="center" vertical="center"/>
    </xf>
    <xf numFmtId="0" fontId="19" fillId="0" borderId="2" xfId="2" applyFont="1" applyBorder="1" applyAlignment="1">
      <alignment horizontal="center" vertical="center"/>
    </xf>
    <xf numFmtId="0" fontId="16" fillId="0" borderId="2" xfId="1" applyFont="1" applyBorder="1" applyAlignment="1">
      <alignment horizontal="center" vertical="center"/>
    </xf>
    <xf numFmtId="183" fontId="18" fillId="13" borderId="2" xfId="2" applyNumberFormat="1" applyFont="1" applyFill="1" applyBorder="1" applyAlignment="1">
      <alignment horizontal="center" vertical="center"/>
    </xf>
    <xf numFmtId="184" fontId="17" fillId="0" borderId="2" xfId="49" applyNumberFormat="1" applyFont="1" applyBorder="1" applyAlignment="1">
      <alignment horizontal="center" vertical="center"/>
    </xf>
    <xf numFmtId="184" fontId="17" fillId="0" borderId="2" xfId="1" applyNumberFormat="1" applyFont="1" applyBorder="1" applyAlignment="1">
      <alignment horizontal="center" vertical="center"/>
    </xf>
    <xf numFmtId="177" fontId="17" fillId="0" borderId="2" xfId="3" applyNumberFormat="1" applyFont="1" applyBorder="1" applyAlignment="1">
      <alignment horizontal="center" vertical="center"/>
    </xf>
    <xf numFmtId="0" fontId="20" fillId="0" borderId="2" xfId="1" applyFont="1" applyBorder="1" applyAlignment="1">
      <alignment horizontal="center" vertical="center"/>
    </xf>
    <xf numFmtId="177" fontId="20" fillId="4" borderId="2" xfId="1" applyNumberFormat="1" applyFont="1" applyFill="1" applyBorder="1" applyAlignment="1">
      <alignment horizontal="center" vertical="center"/>
    </xf>
    <xf numFmtId="177" fontId="20" fillId="4" borderId="2" xfId="3" applyNumberFormat="1" applyFont="1" applyFill="1" applyBorder="1" applyAlignment="1">
      <alignment horizontal="center" vertical="center"/>
    </xf>
    <xf numFmtId="178" fontId="20" fillId="0" borderId="2" xfId="4" applyNumberFormat="1" applyFont="1" applyFill="1" applyBorder="1" applyAlignment="1">
      <alignment horizontal="center" vertical="center"/>
    </xf>
    <xf numFmtId="0" fontId="3" fillId="0" borderId="8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177" fontId="17" fillId="0" borderId="2" xfId="1" applyNumberFormat="1" applyFont="1" applyBorder="1" applyAlignment="1">
      <alignment horizontal="center" vertical="center"/>
    </xf>
    <xf numFmtId="0" fontId="17" fillId="2" borderId="81" xfId="1" applyFont="1" applyFill="1" applyBorder="1" applyAlignment="1">
      <alignment horizontal="center" vertical="center"/>
    </xf>
    <xf numFmtId="0" fontId="17" fillId="2" borderId="16" xfId="1" applyFont="1" applyFill="1" applyBorder="1" applyAlignment="1">
      <alignment horizontal="center" vertical="center"/>
    </xf>
    <xf numFmtId="0" fontId="17" fillId="2" borderId="1" xfId="1" applyFont="1" applyFill="1" applyBorder="1" applyAlignment="1">
      <alignment horizontal="center" vertical="center"/>
    </xf>
    <xf numFmtId="0" fontId="3" fillId="0" borderId="84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17" xfId="1" applyFont="1" applyBorder="1" applyAlignment="1">
      <alignment horizontal="center" vertical="center" textRotation="255"/>
    </xf>
    <xf numFmtId="0" fontId="3" fillId="0" borderId="85" xfId="1" applyFont="1" applyBorder="1" applyAlignment="1">
      <alignment horizontal="center" vertical="center" textRotation="255"/>
    </xf>
    <xf numFmtId="0" fontId="3" fillId="0" borderId="11" xfId="1" applyFont="1" applyBorder="1" applyAlignment="1">
      <alignment horizontal="center" vertical="center" textRotation="255"/>
    </xf>
    <xf numFmtId="0" fontId="3" fillId="0" borderId="17" xfId="1" applyFont="1" applyBorder="1" applyAlignment="1">
      <alignment horizontal="center" vertical="center" wrapText="1"/>
    </xf>
    <xf numFmtId="0" fontId="3" fillId="0" borderId="11" xfId="1" applyFont="1" applyBorder="1" applyAlignment="1">
      <alignment horizontal="center" vertical="center" wrapText="1"/>
    </xf>
    <xf numFmtId="176" fontId="17" fillId="2" borderId="2" xfId="3" applyNumberFormat="1" applyFont="1" applyFill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12" fillId="0" borderId="15" xfId="9" applyFont="1" applyBorder="1" applyAlignment="1">
      <alignment horizontal="center" vertical="center"/>
    </xf>
    <xf numFmtId="0" fontId="9" fillId="0" borderId="15" xfId="9" applyFont="1" applyBorder="1" applyAlignment="1">
      <alignment horizontal="center" vertical="center"/>
    </xf>
    <xf numFmtId="0" fontId="11" fillId="0" borderId="91" xfId="9" applyFont="1" applyBorder="1" applyAlignment="1">
      <alignment horizontal="left" vertical="center" wrapText="1"/>
    </xf>
    <xf numFmtId="0" fontId="11" fillId="0" borderId="34" xfId="9" applyFont="1" applyBorder="1" applyAlignment="1">
      <alignment horizontal="left" vertical="center"/>
    </xf>
    <xf numFmtId="0" fontId="11" fillId="0" borderId="89" xfId="9" applyFont="1" applyBorder="1" applyAlignment="1">
      <alignment horizontal="left" vertical="center"/>
    </xf>
    <xf numFmtId="0" fontId="11" fillId="0" borderId="0" xfId="9" applyFont="1" applyAlignment="1">
      <alignment horizontal="left" vertical="center"/>
    </xf>
    <xf numFmtId="0" fontId="11" fillId="0" borderId="71" xfId="9" applyFont="1" applyBorder="1" applyAlignment="1">
      <alignment horizontal="left" vertical="center"/>
    </xf>
    <xf numFmtId="0" fontId="11" fillId="0" borderId="96" xfId="9" applyFont="1" applyBorder="1" applyAlignment="1">
      <alignment horizontal="left" vertical="center"/>
    </xf>
    <xf numFmtId="0" fontId="11" fillId="0" borderId="18" xfId="9" applyFont="1" applyBorder="1" applyAlignment="1">
      <alignment horizontal="center" vertical="center"/>
    </xf>
    <xf numFmtId="0" fontId="11" fillId="0" borderId="27" xfId="9" applyFont="1" applyBorder="1" applyAlignment="1">
      <alignment horizontal="center" vertical="center"/>
    </xf>
    <xf numFmtId="0" fontId="11" fillId="0" borderId="15" xfId="9" applyFont="1" applyBorder="1" applyAlignment="1">
      <alignment horizontal="center" vertical="center" wrapText="1"/>
    </xf>
    <xf numFmtId="0" fontId="11" fillId="0" borderId="18" xfId="9" applyFont="1" applyBorder="1" applyAlignment="1">
      <alignment horizontal="center" vertical="center" wrapText="1"/>
    </xf>
    <xf numFmtId="0" fontId="11" fillId="2" borderId="15" xfId="9" applyFont="1" applyFill="1" applyBorder="1" applyAlignment="1">
      <alignment horizontal="center" vertical="center"/>
    </xf>
    <xf numFmtId="0" fontId="11" fillId="2" borderId="18" xfId="9" applyFont="1" applyFill="1" applyBorder="1" applyAlignment="1">
      <alignment horizontal="center" vertical="center"/>
    </xf>
    <xf numFmtId="0" fontId="11" fillId="9" borderId="15" xfId="9" applyFont="1" applyFill="1" applyBorder="1" applyAlignment="1">
      <alignment horizontal="center" vertical="center"/>
    </xf>
    <xf numFmtId="0" fontId="11" fillId="9" borderId="18" xfId="9" applyFont="1" applyFill="1" applyBorder="1" applyAlignment="1">
      <alignment horizontal="center" vertical="center"/>
    </xf>
    <xf numFmtId="0" fontId="11" fillId="3" borderId="15" xfId="9" applyFont="1" applyFill="1" applyBorder="1" applyAlignment="1">
      <alignment horizontal="center" vertical="center"/>
    </xf>
    <xf numFmtId="0" fontId="11" fillId="3" borderId="18" xfId="9" applyFont="1" applyFill="1" applyBorder="1" applyAlignment="1">
      <alignment horizontal="center" vertical="center"/>
    </xf>
    <xf numFmtId="0" fontId="7" fillId="8" borderId="15" xfId="9" applyFont="1" applyFill="1" applyBorder="1" applyAlignment="1">
      <alignment horizontal="center" vertical="center"/>
    </xf>
    <xf numFmtId="0" fontId="7" fillId="8" borderId="18" xfId="9" applyFont="1" applyFill="1" applyBorder="1" applyAlignment="1">
      <alignment horizontal="center" vertical="center"/>
    </xf>
    <xf numFmtId="0" fontId="11" fillId="0" borderId="39" xfId="9" applyFont="1" applyBorder="1" applyAlignment="1">
      <alignment horizontal="center" vertical="center"/>
    </xf>
    <xf numFmtId="0" fontId="11" fillId="4" borderId="15" xfId="9" applyFont="1" applyFill="1" applyBorder="1" applyAlignment="1">
      <alignment horizontal="center" vertical="center"/>
    </xf>
    <xf numFmtId="0" fontId="11" fillId="4" borderId="18" xfId="9" applyFont="1" applyFill="1" applyBorder="1" applyAlignment="1">
      <alignment horizontal="center" vertical="center"/>
    </xf>
    <xf numFmtId="0" fontId="11" fillId="5" borderId="15" xfId="9" applyFont="1" applyFill="1" applyBorder="1" applyAlignment="1">
      <alignment horizontal="center" vertical="center" wrapText="1"/>
    </xf>
    <xf numFmtId="0" fontId="11" fillId="5" borderId="18" xfId="9" applyFont="1" applyFill="1" applyBorder="1" applyAlignment="1">
      <alignment horizontal="center" vertical="center" wrapText="1"/>
    </xf>
    <xf numFmtId="178" fontId="11" fillId="0" borderId="33" xfId="11" applyNumberFormat="1" applyFont="1" applyBorder="1" applyAlignment="1">
      <alignment horizontal="center" vertical="center"/>
    </xf>
    <xf numFmtId="178" fontId="11" fillId="0" borderId="15" xfId="11" applyNumberFormat="1" applyFont="1" applyBorder="1" applyAlignment="1">
      <alignment horizontal="center" vertical="center"/>
    </xf>
    <xf numFmtId="178" fontId="11" fillId="0" borderId="18" xfId="11" applyNumberFormat="1" applyFont="1" applyBorder="1" applyAlignment="1">
      <alignment horizontal="center" vertical="center"/>
    </xf>
    <xf numFmtId="178" fontId="11" fillId="0" borderId="39" xfId="11" applyNumberFormat="1" applyFont="1" applyBorder="1" applyAlignment="1">
      <alignment horizontal="center" vertical="center"/>
    </xf>
    <xf numFmtId="0" fontId="11" fillId="0" borderId="33" xfId="9" applyFont="1" applyBorder="1" applyAlignment="1">
      <alignment horizontal="center" vertical="center"/>
    </xf>
    <xf numFmtId="178" fontId="11" fillId="0" borderId="35" xfId="11" applyNumberFormat="1" applyFont="1" applyBorder="1" applyAlignment="1">
      <alignment horizontal="center" vertical="center"/>
    </xf>
    <xf numFmtId="178" fontId="11" fillId="0" borderId="36" xfId="11" applyNumberFormat="1" applyFont="1" applyBorder="1" applyAlignment="1">
      <alignment horizontal="center" vertical="center"/>
    </xf>
    <xf numFmtId="178" fontId="11" fillId="0" borderId="37" xfId="11" applyNumberFormat="1" applyFont="1" applyBorder="1" applyAlignment="1">
      <alignment horizontal="center" vertical="center"/>
    </xf>
    <xf numFmtId="178" fontId="11" fillId="0" borderId="40" xfId="11" applyNumberFormat="1" applyFont="1" applyBorder="1" applyAlignment="1">
      <alignment horizontal="center" vertical="center"/>
    </xf>
    <xf numFmtId="0" fontId="11" fillId="0" borderId="15" xfId="9" applyFont="1" applyBorder="1" applyAlignment="1">
      <alignment horizontal="center" vertical="center"/>
    </xf>
    <xf numFmtId="0" fontId="11" fillId="0" borderId="25" xfId="9" applyFont="1" applyBorder="1" applyAlignment="1">
      <alignment horizontal="center" vertical="center"/>
    </xf>
    <xf numFmtId="0" fontId="11" fillId="0" borderId="14" xfId="9" applyFont="1" applyBorder="1" applyAlignment="1">
      <alignment horizontal="center" vertical="center" wrapText="1"/>
    </xf>
    <xf numFmtId="0" fontId="7" fillId="8" borderId="15" xfId="9" applyFont="1" applyFill="1" applyBorder="1" applyAlignment="1">
      <alignment horizontal="center" vertical="center" wrapText="1"/>
    </xf>
    <xf numFmtId="14" fontId="9" fillId="0" borderId="15" xfId="9" applyNumberFormat="1" applyFont="1" applyBorder="1" applyAlignment="1">
      <alignment horizontal="left" vertical="center"/>
    </xf>
    <xf numFmtId="0" fontId="11" fillId="10" borderId="39" xfId="9" applyFont="1" applyFill="1" applyBorder="1" applyAlignment="1"/>
    <xf numFmtId="0" fontId="11" fillId="2" borderId="29" xfId="9" applyFont="1" applyFill="1" applyBorder="1" applyAlignment="1">
      <alignment horizontal="center" vertical="center" wrapText="1"/>
    </xf>
    <xf numFmtId="0" fontId="11" fillId="2" borderId="12" xfId="9" applyFont="1" applyFill="1" applyBorder="1" applyAlignment="1">
      <alignment horizontal="center" vertical="center"/>
    </xf>
    <xf numFmtId="0" fontId="11" fillId="2" borderId="8" xfId="9" applyFont="1" applyFill="1" applyBorder="1" applyAlignment="1">
      <alignment horizontal="center" vertical="center"/>
    </xf>
    <xf numFmtId="0" fontId="11" fillId="2" borderId="13" xfId="9" applyFont="1" applyFill="1" applyBorder="1" applyAlignment="1">
      <alignment horizontal="center" vertical="center"/>
    </xf>
    <xf numFmtId="0" fontId="10" fillId="0" borderId="15" xfId="9" applyFont="1" applyBorder="1" applyAlignment="1">
      <alignment horizontal="center" vertical="center" wrapText="1"/>
    </xf>
    <xf numFmtId="0" fontId="10" fillId="0" borderId="15" xfId="9" applyFont="1" applyBorder="1" applyAlignment="1">
      <alignment horizontal="center" vertical="center"/>
    </xf>
    <xf numFmtId="0" fontId="10" fillId="0" borderId="18" xfId="9" applyFont="1" applyBorder="1" applyAlignment="1">
      <alignment horizontal="center" vertical="center"/>
    </xf>
    <xf numFmtId="0" fontId="11" fillId="0" borderId="20" xfId="9" applyFont="1" applyBorder="1" applyAlignment="1">
      <alignment horizontal="center" vertical="center"/>
    </xf>
    <xf numFmtId="0" fontId="11" fillId="0" borderId="19" xfId="9" applyFont="1" applyBorder="1" applyAlignment="1">
      <alignment horizontal="center" vertical="center"/>
    </xf>
    <xf numFmtId="0" fontId="11" fillId="0" borderId="38" xfId="9" applyFont="1" applyBorder="1" applyAlignment="1">
      <alignment horizontal="center" vertical="center"/>
    </xf>
    <xf numFmtId="0" fontId="11" fillId="3" borderId="41" xfId="9" applyFont="1" applyFill="1" applyBorder="1" applyAlignment="1">
      <alignment horizontal="center" vertical="center" wrapText="1"/>
    </xf>
    <xf numFmtId="0" fontId="11" fillId="3" borderId="42" xfId="9" applyFont="1" applyFill="1" applyBorder="1" applyAlignment="1">
      <alignment horizontal="center" vertical="center"/>
    </xf>
    <xf numFmtId="0" fontId="11" fillId="3" borderId="92" xfId="9" applyFont="1" applyFill="1" applyBorder="1" applyAlignment="1">
      <alignment horizontal="center" vertical="center"/>
    </xf>
    <xf numFmtId="178" fontId="11" fillId="0" borderId="28" xfId="11" applyNumberFormat="1" applyFont="1" applyBorder="1" applyAlignment="1">
      <alignment horizontal="center" vertical="center"/>
    </xf>
    <xf numFmtId="178" fontId="11" fillId="0" borderId="2" xfId="11" applyNumberFormat="1" applyFont="1" applyBorder="1" applyAlignment="1">
      <alignment horizontal="center" vertical="center"/>
    </xf>
    <xf numFmtId="178" fontId="11" fillId="0" borderId="17" xfId="11" applyNumberFormat="1" applyFont="1" applyBorder="1" applyAlignment="1">
      <alignment horizontal="center" vertical="center"/>
    </xf>
    <xf numFmtId="0" fontId="11" fillId="0" borderId="32" xfId="9" applyFont="1" applyBorder="1" applyAlignment="1">
      <alignment horizontal="center" vertical="center"/>
    </xf>
    <xf numFmtId="0" fontId="11" fillId="10" borderId="93" xfId="9" applyFont="1" applyFill="1" applyBorder="1" applyAlignment="1"/>
    <xf numFmtId="0" fontId="11" fillId="10" borderId="94" xfId="9" applyFont="1" applyFill="1" applyBorder="1" applyAlignment="1"/>
    <xf numFmtId="0" fontId="11" fillId="0" borderId="23" xfId="9" applyFont="1" applyBorder="1" applyAlignment="1">
      <alignment horizontal="center" vertical="center"/>
    </xf>
    <xf numFmtId="0" fontId="11" fillId="5" borderId="29" xfId="9" applyFont="1" applyFill="1" applyBorder="1" applyAlignment="1">
      <alignment horizontal="center" vertical="center" wrapText="1"/>
    </xf>
    <xf numFmtId="0" fontId="11" fillId="5" borderId="12" xfId="9" applyFont="1" applyFill="1" applyBorder="1" applyAlignment="1">
      <alignment horizontal="center" vertical="center"/>
    </xf>
    <xf numFmtId="0" fontId="11" fillId="5" borderId="8" xfId="9" applyFont="1" applyFill="1" applyBorder="1" applyAlignment="1">
      <alignment horizontal="center" vertical="center"/>
    </xf>
    <xf numFmtId="0" fontId="11" fillId="5" borderId="13" xfId="9" applyFont="1" applyFill="1" applyBorder="1" applyAlignment="1">
      <alignment horizontal="center" vertical="center"/>
    </xf>
    <xf numFmtId="178" fontId="11" fillId="0" borderId="9" xfId="11" applyNumberFormat="1" applyFont="1" applyBorder="1" applyAlignment="1">
      <alignment horizontal="center" vertical="center"/>
    </xf>
    <xf numFmtId="178" fontId="3" fillId="0" borderId="44" xfId="4" applyNumberFormat="1" applyFont="1" applyBorder="1" applyAlignment="1">
      <alignment horizontal="center" vertical="center"/>
    </xf>
    <xf numFmtId="178" fontId="3" fillId="0" borderId="7" xfId="4" applyNumberFormat="1" applyFont="1" applyBorder="1" applyAlignment="1">
      <alignment horizontal="center" vertical="center"/>
    </xf>
    <xf numFmtId="178" fontId="3" fillId="0" borderId="10" xfId="4" applyNumberFormat="1" applyFont="1" applyBorder="1" applyAlignment="1">
      <alignment horizontal="center" vertical="center"/>
    </xf>
    <xf numFmtId="0" fontId="3" fillId="0" borderId="90" xfId="12" applyFont="1" applyBorder="1" applyAlignment="1">
      <alignment horizontal="center" vertical="center"/>
    </xf>
    <xf numFmtId="0" fontId="3" fillId="0" borderId="1" xfId="12" applyFont="1" applyBorder="1" applyAlignment="1">
      <alignment horizontal="center" vertical="center"/>
    </xf>
    <xf numFmtId="0" fontId="11" fillId="0" borderId="2" xfId="9" applyFont="1" applyBorder="1" applyAlignment="1">
      <alignment horizontal="left" vertical="center"/>
    </xf>
    <xf numFmtId="0" fontId="11" fillId="0" borderId="81" xfId="9" applyFont="1" applyBorder="1" applyAlignment="1">
      <alignment horizontal="left" vertical="center"/>
    </xf>
    <xf numFmtId="0" fontId="11" fillId="0" borderId="2" xfId="9" applyFont="1" applyBorder="1" applyAlignment="1">
      <alignment horizontal="center" vertical="center"/>
    </xf>
    <xf numFmtId="0" fontId="11" fillId="0" borderId="81" xfId="9" applyFont="1" applyBorder="1" applyAlignment="1">
      <alignment horizontal="center" vertical="center"/>
    </xf>
    <xf numFmtId="0" fontId="11" fillId="0" borderId="14" xfId="9" applyFont="1" applyBorder="1" applyAlignment="1">
      <alignment horizontal="center" vertical="center"/>
    </xf>
    <xf numFmtId="0" fontId="11" fillId="0" borderId="71" xfId="9" applyFont="1" applyBorder="1" applyAlignment="1">
      <alignment horizontal="center" vertical="center"/>
    </xf>
    <xf numFmtId="178" fontId="11" fillId="0" borderId="69" xfId="11" applyNumberFormat="1" applyFont="1" applyBorder="1" applyAlignment="1">
      <alignment horizontal="center" vertical="center"/>
    </xf>
    <xf numFmtId="178" fontId="11" fillId="0" borderId="77" xfId="11" applyNumberFormat="1" applyFont="1" applyBorder="1" applyAlignment="1">
      <alignment horizontal="center" vertical="center"/>
    </xf>
    <xf numFmtId="0" fontId="11" fillId="0" borderId="70" xfId="9" applyFont="1" applyBorder="1" applyAlignment="1">
      <alignment horizontal="center" vertical="center"/>
    </xf>
    <xf numFmtId="0" fontId="11" fillId="0" borderId="83" xfId="9" applyFont="1" applyBorder="1" applyAlignment="1">
      <alignment horizontal="center" vertical="center"/>
    </xf>
    <xf numFmtId="0" fontId="11" fillId="3" borderId="50" xfId="9" applyFont="1" applyFill="1" applyBorder="1" applyAlignment="1">
      <alignment horizontal="center" vertical="center" wrapText="1"/>
    </xf>
    <xf numFmtId="0" fontId="11" fillId="3" borderId="51" xfId="9" applyFont="1" applyFill="1" applyBorder="1" applyAlignment="1">
      <alignment horizontal="center" vertical="center"/>
    </xf>
    <xf numFmtId="0" fontId="11" fillId="3" borderId="52" xfId="9" applyFont="1" applyFill="1" applyBorder="1" applyAlignment="1">
      <alignment horizontal="center" vertical="center"/>
    </xf>
    <xf numFmtId="0" fontId="14" fillId="12" borderId="43" xfId="12" applyFont="1" applyFill="1" applyBorder="1" applyAlignment="1">
      <alignment horizontal="center" vertical="center" wrapText="1"/>
    </xf>
    <xf numFmtId="0" fontId="14" fillId="12" borderId="45" xfId="12" applyFont="1" applyFill="1" applyBorder="1" applyAlignment="1">
      <alignment horizontal="center" vertical="center" wrapText="1"/>
    </xf>
    <xf numFmtId="0" fontId="14" fillId="12" borderId="46" xfId="12" applyFont="1" applyFill="1" applyBorder="1" applyAlignment="1">
      <alignment horizontal="center" vertical="center" wrapText="1"/>
    </xf>
    <xf numFmtId="178" fontId="11" fillId="0" borderId="32" xfId="11" applyNumberFormat="1" applyFont="1" applyBorder="1" applyAlignment="1">
      <alignment horizontal="center" vertical="center"/>
    </xf>
    <xf numFmtId="178" fontId="11" fillId="0" borderId="20" xfId="11" applyNumberFormat="1" applyFont="1" applyBorder="1" applyAlignment="1">
      <alignment horizontal="center" vertical="center"/>
    </xf>
    <xf numFmtId="0" fontId="11" fillId="0" borderId="28" xfId="9" applyFont="1" applyBorder="1" applyAlignment="1">
      <alignment horizontal="center" vertical="center"/>
    </xf>
    <xf numFmtId="0" fontId="11" fillId="0" borderId="6" xfId="9" applyFont="1" applyBorder="1" applyAlignment="1">
      <alignment horizontal="center" vertical="center"/>
    </xf>
    <xf numFmtId="0" fontId="11" fillId="11" borderId="54" xfId="9" applyFont="1" applyFill="1" applyBorder="1" applyAlignment="1">
      <alignment horizontal="center" vertical="center" wrapText="1"/>
    </xf>
    <xf numFmtId="0" fontId="11" fillId="11" borderId="55" xfId="9" applyFont="1" applyFill="1" applyBorder="1" applyAlignment="1">
      <alignment horizontal="center" vertical="center" wrapText="1"/>
    </xf>
    <xf numFmtId="0" fontId="11" fillId="11" borderId="56" xfId="9" applyFont="1" applyFill="1" applyBorder="1" applyAlignment="1">
      <alignment horizontal="center" vertical="center" wrapText="1"/>
    </xf>
    <xf numFmtId="178" fontId="11" fillId="0" borderId="23" xfId="11" applyNumberFormat="1" applyFont="1" applyBorder="1" applyAlignment="1">
      <alignment horizontal="center" vertical="center"/>
    </xf>
    <xf numFmtId="0" fontId="11" fillId="0" borderId="31" xfId="9" applyFont="1" applyBorder="1" applyAlignment="1">
      <alignment horizontal="center" vertical="center"/>
    </xf>
    <xf numFmtId="0" fontId="11" fillId="5" borderId="50" xfId="9" applyFont="1" applyFill="1" applyBorder="1" applyAlignment="1">
      <alignment horizontal="center" vertical="center" wrapText="1"/>
    </xf>
    <xf numFmtId="0" fontId="11" fillId="5" borderId="58" xfId="9" applyFont="1" applyFill="1" applyBorder="1" applyAlignment="1">
      <alignment horizontal="center" vertical="center" wrapText="1"/>
    </xf>
    <xf numFmtId="0" fontId="11" fillId="5" borderId="51" xfId="9" applyFont="1" applyFill="1" applyBorder="1" applyAlignment="1">
      <alignment horizontal="center" vertical="center" wrapText="1"/>
    </xf>
    <xf numFmtId="0" fontId="11" fillId="5" borderId="52" xfId="9" applyFont="1" applyFill="1" applyBorder="1" applyAlignment="1">
      <alignment horizontal="center" vertical="center"/>
    </xf>
    <xf numFmtId="178" fontId="11" fillId="0" borderId="14" xfId="11" applyNumberFormat="1" applyFont="1" applyBorder="1" applyAlignment="1">
      <alignment horizontal="center" vertical="center"/>
    </xf>
    <xf numFmtId="178" fontId="11" fillId="0" borderId="19" xfId="11" applyNumberFormat="1" applyFont="1" applyBorder="1" applyAlignment="1">
      <alignment horizontal="center" vertical="center"/>
    </xf>
    <xf numFmtId="0" fontId="3" fillId="0" borderId="16" xfId="12" applyFont="1" applyBorder="1" applyAlignment="1">
      <alignment horizontal="center" vertical="center"/>
    </xf>
    <xf numFmtId="178" fontId="11" fillId="0" borderId="60" xfId="11" applyNumberFormat="1" applyFont="1" applyBorder="1" applyAlignment="1">
      <alignment horizontal="center" vertical="center"/>
    </xf>
    <xf numFmtId="0" fontId="3" fillId="0" borderId="90" xfId="12" applyFont="1" applyBorder="1" applyAlignment="1">
      <alignment horizontal="left" vertical="center"/>
    </xf>
    <xf numFmtId="0" fontId="3" fillId="0" borderId="1" xfId="12" applyFont="1" applyBorder="1" applyAlignment="1">
      <alignment horizontal="left" vertical="center"/>
    </xf>
    <xf numFmtId="0" fontId="11" fillId="0" borderId="20" xfId="9" applyFont="1" applyBorder="1" applyAlignment="1">
      <alignment horizontal="left" vertical="center"/>
    </xf>
    <xf numFmtId="0" fontId="11" fillId="0" borderId="19" xfId="9" applyFont="1" applyBorder="1" applyAlignment="1">
      <alignment horizontal="left" vertical="center"/>
    </xf>
    <xf numFmtId="20" fontId="11" fillId="0" borderId="28" xfId="9" applyNumberFormat="1" applyFont="1" applyBorder="1" applyAlignment="1">
      <alignment horizontal="center" vertical="center"/>
    </xf>
    <xf numFmtId="178" fontId="11" fillId="0" borderId="21" xfId="11" applyNumberFormat="1" applyFont="1" applyBorder="1" applyAlignment="1">
      <alignment horizontal="center" vertical="center"/>
    </xf>
    <xf numFmtId="9" fontId="11" fillId="0" borderId="23" xfId="157" applyFont="1" applyBorder="1" applyAlignment="1">
      <alignment horizontal="center" vertical="center"/>
    </xf>
    <xf numFmtId="9" fontId="11" fillId="0" borderId="18" xfId="157" applyFont="1" applyBorder="1" applyAlignment="1">
      <alignment horizontal="center" vertical="center"/>
    </xf>
  </cellXfs>
  <cellStyles count="158">
    <cellStyle name="一般" xfId="0" builtinId="0"/>
    <cellStyle name="一般 2" xfId="15" xr:uid="{00000000-0005-0000-0000-000001000000}"/>
    <cellStyle name="一般 2 17 2" xfId="1" xr:uid="{00000000-0005-0000-0000-000002000000}"/>
    <cellStyle name="一般 2 18" xfId="13" xr:uid="{00000000-0005-0000-0000-000003000000}"/>
    <cellStyle name="一般 2 2 10" xfId="6" xr:uid="{00000000-0005-0000-0000-000004000000}"/>
    <cellStyle name="一般 2 2 2 2" xfId="2" xr:uid="{00000000-0005-0000-0000-000005000000}"/>
    <cellStyle name="一般 2 2 4" xfId="12" xr:uid="{00000000-0005-0000-0000-000006000000}"/>
    <cellStyle name="一般 2 4 2" xfId="8" xr:uid="{00000000-0005-0000-0000-000007000000}"/>
    <cellStyle name="一般 2 8" xfId="9" xr:uid="{00000000-0005-0000-0000-000008000000}"/>
    <cellStyle name="一般 2 8 23" xfId="14" xr:uid="{00000000-0005-0000-0000-000009000000}"/>
    <cellStyle name="千分位 2" xfId="16" xr:uid="{00000000-0005-0000-0000-00000A000000}"/>
    <cellStyle name="千分位 2 10" xfId="7" xr:uid="{00000000-0005-0000-0000-00000B000000}"/>
    <cellStyle name="千分位 2 10 2" xfId="18" xr:uid="{00000000-0005-0000-0000-00000C000000}"/>
    <cellStyle name="千分位 2 10 2 2" xfId="27" xr:uid="{00000000-0005-0000-0000-00000D000000}"/>
    <cellStyle name="千分位 2 10 2 2 2" xfId="45" xr:uid="{CCA7ACBC-AA0E-4307-A5CB-665E0794326B}"/>
    <cellStyle name="千分位 2 10 2 2 2 2" xfId="81" xr:uid="{FC098A42-3553-4F93-90A6-F5503BA06D82}"/>
    <cellStyle name="千分位 2 10 2 2 2 2 2" xfId="153" xr:uid="{9766C234-7708-4C25-88E6-C0376C610998}"/>
    <cellStyle name="千分位 2 10 2 2 2 3" xfId="117" xr:uid="{BCCB5C23-3457-40F8-9C65-650DF745A430}"/>
    <cellStyle name="千分位 2 10 2 2 3" xfId="63" xr:uid="{082AE1FE-265D-4964-A4E4-A8F316C60530}"/>
    <cellStyle name="千分位 2 10 2 2 3 2" xfId="135" xr:uid="{4803E3BF-B0C4-4F9D-8EEA-D9AD991CF7C7}"/>
    <cellStyle name="千分位 2 10 2 2 4" xfId="99" xr:uid="{AE07D88E-1053-4D67-8C33-6711FD460115}"/>
    <cellStyle name="千分位 2 10 2 3" xfId="36" xr:uid="{9B427948-4AC0-4BA1-B8C6-AD466DBEC1D3}"/>
    <cellStyle name="千分位 2 10 2 3 2" xfId="72" xr:uid="{E95BE5CC-53C5-451B-AB86-4BF483B41BAF}"/>
    <cellStyle name="千分位 2 10 2 3 2 2" xfId="144" xr:uid="{391FC833-7AB6-44E7-89B5-AF27288CFD89}"/>
    <cellStyle name="千分位 2 10 2 3 3" xfId="108" xr:uid="{1EF2E2C7-143A-4AA6-BCC1-112968B81CDB}"/>
    <cellStyle name="千分位 2 10 2 4" xfId="54" xr:uid="{B4314F7D-5F2D-48B0-B4C9-57C44ED484B9}"/>
    <cellStyle name="千分位 2 10 2 4 2" xfId="126" xr:uid="{63F903BA-8CEC-4D2A-A375-C2E23DE8F699}"/>
    <cellStyle name="千分位 2 10 2 5" xfId="90" xr:uid="{951AC121-06E3-427A-A72B-6061ED8EE1B3}"/>
    <cellStyle name="千分位 2 10 3" xfId="23" xr:uid="{00000000-0005-0000-0000-00000E000000}"/>
    <cellStyle name="千分位 2 10 3 2" xfId="41" xr:uid="{660B26A6-C8FB-4D40-BB7F-E0D2E1674EFF}"/>
    <cellStyle name="千分位 2 10 3 2 2" xfId="77" xr:uid="{5BCAF342-7EA7-4603-AA46-384C71BCC18B}"/>
    <cellStyle name="千分位 2 10 3 2 2 2" xfId="149" xr:uid="{C0506DF6-F8A7-4CC0-9208-1250E0B1C5A6}"/>
    <cellStyle name="千分位 2 10 3 2 3" xfId="113" xr:uid="{0049DC1E-CE8E-4C51-8638-915298984C4E}"/>
    <cellStyle name="千分位 2 10 3 3" xfId="59" xr:uid="{EB4B107A-0418-42C4-A278-EC57DC8FB0B7}"/>
    <cellStyle name="千分位 2 10 3 3 2" xfId="131" xr:uid="{3E74ECAC-A393-4D0C-A032-351C7ACE0E38}"/>
    <cellStyle name="千分位 2 10 3 4" xfId="95" xr:uid="{83A5A868-367E-4E32-8D0E-7A89CEBE3080}"/>
    <cellStyle name="千分位 2 10 4" xfId="32" xr:uid="{F78D6FC6-A48E-4EF6-9420-77EF7A7AB07A}"/>
    <cellStyle name="千分位 2 10 4 2" xfId="68" xr:uid="{02EA994A-0215-4264-8EF9-2901391FF373}"/>
    <cellStyle name="千分位 2 10 4 2 2" xfId="140" xr:uid="{02429BDF-0BB2-428A-B2D6-C3A52DECEDE1}"/>
    <cellStyle name="千分位 2 10 4 3" xfId="104" xr:uid="{B05D1134-7EDC-4D0A-BF6A-4210F0235C7F}"/>
    <cellStyle name="千分位 2 10 5" xfId="50" xr:uid="{2167D3D7-4534-4ACC-9E99-25260512F380}"/>
    <cellStyle name="千分位 2 10 5 2" xfId="122" xr:uid="{DA2B7636-4159-4923-8C42-88E691615847}"/>
    <cellStyle name="千分位 2 10 6" xfId="86" xr:uid="{589C315A-12E5-4C30-BA61-D12C1E2D7C69}"/>
    <cellStyle name="千分位 2 2" xfId="20" xr:uid="{00000000-0005-0000-0000-00000F000000}"/>
    <cellStyle name="千分位 2 2 2" xfId="29" xr:uid="{00000000-0005-0000-0000-000010000000}"/>
    <cellStyle name="千分位 2 2 2 2" xfId="47" xr:uid="{28F6FE21-A1DB-4D0C-827F-1CBBC2A60574}"/>
    <cellStyle name="千分位 2 2 2 2 2" xfId="83" xr:uid="{B006A87C-E375-49C2-81B8-391BF26ED091}"/>
    <cellStyle name="千分位 2 2 2 2 2 2" xfId="155" xr:uid="{4F66D6E3-0EBA-48A0-BF9C-A95D4352DC61}"/>
    <cellStyle name="千分位 2 2 2 2 3" xfId="119" xr:uid="{FD002035-E0DA-495C-A58D-636A5ADB643C}"/>
    <cellStyle name="千分位 2 2 2 3" xfId="65" xr:uid="{2D807146-2F91-4698-B821-0F0C65F6EAD6}"/>
    <cellStyle name="千分位 2 2 2 3 2" xfId="137" xr:uid="{DCAB0834-444E-4728-9FE7-ADB52DE84C2C}"/>
    <cellStyle name="千分位 2 2 2 4" xfId="101" xr:uid="{08BBE11F-0EE7-4326-B788-81BBF293C373}"/>
    <cellStyle name="千分位 2 2 3" xfId="38" xr:uid="{CFDC599E-5FE7-4E20-B9C0-CB22E089050C}"/>
    <cellStyle name="千分位 2 2 3 2" xfId="74" xr:uid="{EA612C5A-38D8-4899-834E-D6643AF707E2}"/>
    <cellStyle name="千分位 2 2 3 2 2" xfId="146" xr:uid="{5F7BA43B-2CC5-412D-B51F-CF7AF7E138CC}"/>
    <cellStyle name="千分位 2 2 3 3" xfId="110" xr:uid="{5735EDCC-21F0-4C77-B19D-EB3A17107929}"/>
    <cellStyle name="千分位 2 2 4" xfId="56" xr:uid="{8506F565-AEE7-4329-BDBC-F0041930055E}"/>
    <cellStyle name="千分位 2 2 4 2" xfId="128" xr:uid="{73C4071A-E476-47C0-B723-9ED84A02EC9A}"/>
    <cellStyle name="千分位 2 2 5" xfId="92" xr:uid="{D1E5876E-FFA3-4AF0-AA4E-1595A061489D}"/>
    <cellStyle name="千分位 2 3" xfId="21" xr:uid="{00000000-0005-0000-0000-000011000000}"/>
    <cellStyle name="千分位 2 3 2" xfId="30" xr:uid="{00000000-0005-0000-0000-000012000000}"/>
    <cellStyle name="千分位 2 3 2 2" xfId="48" xr:uid="{6DCAC8CA-E906-4C45-9F1C-A0EF81E8540C}"/>
    <cellStyle name="千分位 2 3 2 2 2" xfId="84" xr:uid="{881BDF22-5D29-4C35-A9CF-14FC6BFA1522}"/>
    <cellStyle name="千分位 2 3 2 2 2 2" xfId="156" xr:uid="{FC6866BC-C97E-4E91-B35B-B003832CA4F2}"/>
    <cellStyle name="千分位 2 3 2 2 3" xfId="120" xr:uid="{20164837-3476-488B-8C4F-728881939E63}"/>
    <cellStyle name="千分位 2 3 2 3" xfId="66" xr:uid="{D73E6B86-03F3-4F90-8EF4-D278FB6375E7}"/>
    <cellStyle name="千分位 2 3 2 3 2" xfId="138" xr:uid="{4698CC5E-1326-4B53-B660-15E6E9E3974E}"/>
    <cellStyle name="千分位 2 3 2 4" xfId="102" xr:uid="{7B154594-C263-4575-8573-2FE09E9E2A26}"/>
    <cellStyle name="千分位 2 3 3" xfId="39" xr:uid="{EC5EB9A8-563C-4B20-A7D6-AF7A0F15C9AD}"/>
    <cellStyle name="千分位 2 3 3 2" xfId="75" xr:uid="{FFC290F7-62F5-45D5-B41B-404354497C96}"/>
    <cellStyle name="千分位 2 3 3 2 2" xfId="147" xr:uid="{D678D4E3-596C-441A-AFD4-6CEB49164A44}"/>
    <cellStyle name="千分位 2 3 3 3" xfId="111" xr:uid="{37C87BFB-0345-4572-BCBB-278AF9C0E708}"/>
    <cellStyle name="千分位 2 3 4" xfId="57" xr:uid="{0C0A61C8-5911-49EA-9114-0DB5DF2D45DD}"/>
    <cellStyle name="千分位 2 3 4 2" xfId="129" xr:uid="{B38876EE-2A25-4F7D-8333-DB8A7DCFAE12}"/>
    <cellStyle name="千分位 2 3 5" xfId="93" xr:uid="{E551383C-DC01-4461-90C6-80C7E1574CA0}"/>
    <cellStyle name="千分位 2 4" xfId="25" xr:uid="{00000000-0005-0000-0000-000013000000}"/>
    <cellStyle name="千分位 2 4 2" xfId="43" xr:uid="{AB2A1345-60C3-4FE1-A1D0-084860EBE819}"/>
    <cellStyle name="千分位 2 4 2 2" xfId="79" xr:uid="{09BC1E89-A196-4A72-A641-DB0008A0CBC2}"/>
    <cellStyle name="千分位 2 4 2 2 2" xfId="151" xr:uid="{9392153F-7810-455F-AC46-D085B36867E7}"/>
    <cellStyle name="千分位 2 4 2 3" xfId="115" xr:uid="{EA1EC826-61D1-4AB4-A7A9-66760E64D7B7}"/>
    <cellStyle name="千分位 2 4 3" xfId="61" xr:uid="{2C12B9B0-3B43-43AE-A447-77A0871777B5}"/>
    <cellStyle name="千分位 2 4 3 2" xfId="133" xr:uid="{B4A9CF85-62F7-4E57-A866-D7B3778E563B}"/>
    <cellStyle name="千分位 2 4 4" xfId="97" xr:uid="{21D462E5-6B90-4E52-8AC1-9F3A8F3E5610}"/>
    <cellStyle name="千分位 2 5" xfId="34" xr:uid="{CEFDFA41-A4F1-4390-8AD4-554E35B9ADDE}"/>
    <cellStyle name="千分位 2 5 2" xfId="70" xr:uid="{E5133263-9BE0-42C3-8F2B-A69379C30A8E}"/>
    <cellStyle name="千分位 2 5 2 2" xfId="142" xr:uid="{1CF11EEA-ADFF-45FC-B579-3BEB868CD8E2}"/>
    <cellStyle name="千分位 2 5 3" xfId="106" xr:uid="{103F2834-6F55-46FF-8D66-E0717418DBA7}"/>
    <cellStyle name="千分位 2 6" xfId="52" xr:uid="{1B816F45-8117-446C-8005-3993FF566BE8}"/>
    <cellStyle name="千分位 2 6 2" xfId="124" xr:uid="{CD70DF67-9566-4CE4-A422-D7901700645A}"/>
    <cellStyle name="千分位 2 7" xfId="88" xr:uid="{FFFE3E16-E2B7-4EB3-A915-E8D936E8602F}"/>
    <cellStyle name="千分位 2 8" xfId="10" xr:uid="{00000000-0005-0000-0000-000014000000}"/>
    <cellStyle name="千分位 2 8 2" xfId="19" xr:uid="{00000000-0005-0000-0000-000015000000}"/>
    <cellStyle name="千分位 2 8 2 2" xfId="28" xr:uid="{00000000-0005-0000-0000-000016000000}"/>
    <cellStyle name="千分位 2 8 2 2 2" xfId="46" xr:uid="{07F82648-D9EE-4B20-8EC0-8CBCE751D67C}"/>
    <cellStyle name="千分位 2 8 2 2 2 2" xfId="82" xr:uid="{3D3E40F9-D7A2-4F1A-8270-D6F309D814ED}"/>
    <cellStyle name="千分位 2 8 2 2 2 2 2" xfId="154" xr:uid="{A7F8AFBD-53D0-427C-8352-DB97047399D8}"/>
    <cellStyle name="千分位 2 8 2 2 2 3" xfId="118" xr:uid="{2DAD3F88-1DF4-4136-A180-C0F162D56B49}"/>
    <cellStyle name="千分位 2 8 2 2 3" xfId="64" xr:uid="{0F1C0BDA-064E-45E9-B16F-D9C1AEAC0594}"/>
    <cellStyle name="千分位 2 8 2 2 3 2" xfId="136" xr:uid="{FE125F34-39A4-4C8A-A96B-C751B9FDD067}"/>
    <cellStyle name="千分位 2 8 2 2 4" xfId="100" xr:uid="{52AC6BF9-8D21-4EE2-8455-068C4EE029FE}"/>
    <cellStyle name="千分位 2 8 2 3" xfId="37" xr:uid="{C6F888E9-C9E3-40C2-AB4F-DB47B1D9D012}"/>
    <cellStyle name="千分位 2 8 2 3 2" xfId="73" xr:uid="{325F2CF1-1E4F-4E9F-9300-C5EC2CEE9E67}"/>
    <cellStyle name="千分位 2 8 2 3 2 2" xfId="145" xr:uid="{CCA8CC3E-B7D0-4D19-9F78-C46B3FC41E1F}"/>
    <cellStyle name="千分位 2 8 2 3 3" xfId="109" xr:uid="{1A44B5EE-49D8-44B0-8A27-5EE014BF82CA}"/>
    <cellStyle name="千分位 2 8 2 4" xfId="55" xr:uid="{09DB624E-9098-48C7-A95A-2923D540FE2C}"/>
    <cellStyle name="千分位 2 8 2 4 2" xfId="127" xr:uid="{AD3BFA1B-D8C5-45D9-B452-AD34795741CA}"/>
    <cellStyle name="千分位 2 8 2 5" xfId="91" xr:uid="{F3224143-0AA8-4FFC-ABF7-9A843F33843F}"/>
    <cellStyle name="千分位 2 8 3" xfId="24" xr:uid="{00000000-0005-0000-0000-000017000000}"/>
    <cellStyle name="千分位 2 8 3 2" xfId="42" xr:uid="{F02BDF1D-DD62-45DA-A940-395EE9741291}"/>
    <cellStyle name="千分位 2 8 3 2 2" xfId="78" xr:uid="{EE58DA76-74D6-4B3A-A77F-583474C62B47}"/>
    <cellStyle name="千分位 2 8 3 2 2 2" xfId="150" xr:uid="{D69A3B45-B159-4EBD-9BE7-D75022C53202}"/>
    <cellStyle name="千分位 2 8 3 2 3" xfId="114" xr:uid="{35800BAE-2D7E-4ABF-AB58-DCCAEB48A85D}"/>
    <cellStyle name="千分位 2 8 3 3" xfId="60" xr:uid="{AD515B0B-BACA-4D19-B294-60E2B6892898}"/>
    <cellStyle name="千分位 2 8 3 3 2" xfId="132" xr:uid="{10A3B820-49DE-41CF-8E01-7B44A1BC095E}"/>
    <cellStyle name="千分位 2 8 3 4" xfId="96" xr:uid="{3FDADB14-F8D3-4C1A-AE86-A7700D09F272}"/>
    <cellStyle name="千分位 2 8 4" xfId="33" xr:uid="{039F25AC-D748-40F3-AB8F-AF7CE2EF1259}"/>
    <cellStyle name="千分位 2 8 4 2" xfId="69" xr:uid="{3F1AFE60-8177-498C-8A8F-DB2B6DCB7F21}"/>
    <cellStyle name="千分位 2 8 4 2 2" xfId="141" xr:uid="{CAE9B7CC-E89C-44C9-908D-38E17C83D543}"/>
    <cellStyle name="千分位 2 8 4 3" xfId="105" xr:uid="{5A7CF629-ECD6-4467-84A8-B1023B5EA5B7}"/>
    <cellStyle name="千分位 2 8 5" xfId="51" xr:uid="{D2D5CC92-ECA4-4B64-A8F7-ECE9510CD2EB}"/>
    <cellStyle name="千分位 2 8 5 2" xfId="123" xr:uid="{34A50A48-5A88-4DDC-8D3A-1D3C7175827A}"/>
    <cellStyle name="千分位 2 8 6" xfId="87" xr:uid="{AEDE9137-9D81-4687-A9E2-F7C861C48CAF}"/>
    <cellStyle name="千分位 9" xfId="3" xr:uid="{00000000-0005-0000-0000-000018000000}"/>
    <cellStyle name="千分位 9 2" xfId="17" xr:uid="{00000000-0005-0000-0000-000019000000}"/>
    <cellStyle name="千分位 9 2 2" xfId="26" xr:uid="{00000000-0005-0000-0000-00001A000000}"/>
    <cellStyle name="千分位 9 2 2 2" xfId="44" xr:uid="{1E8ED0E5-5A6C-4F3B-B7E7-6A45C2112A01}"/>
    <cellStyle name="千分位 9 2 2 2 2" xfId="80" xr:uid="{55450B03-12B1-4D51-83CE-65684FCD4FA4}"/>
    <cellStyle name="千分位 9 2 2 2 2 2" xfId="152" xr:uid="{87D75CB8-A970-45E4-A15C-5E1E3BEAB59E}"/>
    <cellStyle name="千分位 9 2 2 2 3" xfId="116" xr:uid="{CBBE2498-3D5B-4B7C-9EA5-5E5625C24A29}"/>
    <cellStyle name="千分位 9 2 2 3" xfId="62" xr:uid="{BA0008F2-CFCA-4606-AAE7-38A17D7D9E2F}"/>
    <cellStyle name="千分位 9 2 2 3 2" xfId="134" xr:uid="{9D6FCB65-849B-4577-BE24-10E15501DB0C}"/>
    <cellStyle name="千分位 9 2 2 4" xfId="98" xr:uid="{79962834-C406-4D49-9253-031F14220229}"/>
    <cellStyle name="千分位 9 2 3" xfId="35" xr:uid="{70D5B25E-0AD5-4E45-A3C0-A6CCBD630E34}"/>
    <cellStyle name="千分位 9 2 3 2" xfId="71" xr:uid="{BDB9963D-8787-4687-9A6F-DA218717C638}"/>
    <cellStyle name="千分位 9 2 3 2 2" xfId="143" xr:uid="{C6C5A50B-9B87-43FD-BA78-6301DD98F2F8}"/>
    <cellStyle name="千分位 9 2 3 3" xfId="107" xr:uid="{E0CD9B38-406E-4E58-AA3B-6FC7D48ACEF5}"/>
    <cellStyle name="千分位 9 2 4" xfId="53" xr:uid="{86766E81-982C-4BB3-B922-1AECB99AAAF3}"/>
    <cellStyle name="千分位 9 2 4 2" xfId="125" xr:uid="{A2824A35-AAE0-4595-83A6-C4DFDA6992B5}"/>
    <cellStyle name="千分位 9 2 5" xfId="89" xr:uid="{5B28D93D-9A55-4509-8775-FC5B6454156E}"/>
    <cellStyle name="千分位 9 3" xfId="22" xr:uid="{00000000-0005-0000-0000-00001B000000}"/>
    <cellStyle name="千分位 9 3 2" xfId="40" xr:uid="{CBFB44CA-08C9-401D-B585-F48C154AF5D2}"/>
    <cellStyle name="千分位 9 3 2 2" xfId="76" xr:uid="{DFFFF40C-36D2-478F-A1A9-06D1A29C895C}"/>
    <cellStyle name="千分位 9 3 2 2 2" xfId="148" xr:uid="{0D56F49F-F73C-4A72-8173-2CA4D1610EC5}"/>
    <cellStyle name="千分位 9 3 2 3" xfId="112" xr:uid="{E2FAD7D4-ECA4-4B84-A255-1F8ACD5A4ABA}"/>
    <cellStyle name="千分位 9 3 3" xfId="58" xr:uid="{D8F45D0E-6A3E-47C8-81D6-94B8D706E90A}"/>
    <cellStyle name="千分位 9 3 3 2" xfId="130" xr:uid="{EBFA84D8-C213-4E44-B78B-21DEE7BAE831}"/>
    <cellStyle name="千分位 9 3 4" xfId="94" xr:uid="{5A420A06-CADC-4270-B65C-85A051CB0339}"/>
    <cellStyle name="千分位 9 4" xfId="31" xr:uid="{602DDABF-600E-47E2-BDC0-5545AEF97F9E}"/>
    <cellStyle name="千分位 9 4 2" xfId="67" xr:uid="{106D0F84-624A-4C98-B9F9-431953A42368}"/>
    <cellStyle name="千分位 9 4 2 2" xfId="139" xr:uid="{60A64B11-0BB5-4763-917D-0CAA76AC7B65}"/>
    <cellStyle name="千分位 9 4 3" xfId="103" xr:uid="{5DA5D8B8-E068-4A06-9E77-1BCD1886FAEA}"/>
    <cellStyle name="千分位 9 5" xfId="49" xr:uid="{246DC62D-D1EA-4C99-B577-620C7741E3C5}"/>
    <cellStyle name="千分位 9 5 2" xfId="121" xr:uid="{2051E57F-B0F3-4B4E-AE20-95B16C1C9CFC}"/>
    <cellStyle name="千分位 9 6" xfId="85" xr:uid="{10DBDDD2-3C7A-4023-A58F-689D4D78927B}"/>
    <cellStyle name="百分比" xfId="157" builtinId="5"/>
    <cellStyle name="百分比 2 2 2 2" xfId="5" xr:uid="{00000000-0005-0000-0000-00001C000000}"/>
    <cellStyle name="百分比 2 5" xfId="4" xr:uid="{00000000-0005-0000-0000-00001D000000}"/>
    <cellStyle name="百分比 7" xfId="11" xr:uid="{00000000-0005-0000-0000-00001E000000}"/>
  </cellStyles>
  <dxfs count="301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theme" Target="theme/theme1.xml"/><Relationship Id="rId68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69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customXml" Target="../customXml/item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格1" displayName="表格1" ref="A1:E42" totalsRowShown="0">
  <tableColumns count="5">
    <tableColumn id="1" xr3:uid="{00000000-0010-0000-0000-000001000000}" name="check" dataDxfId="300"/>
    <tableColumn id="2" xr3:uid="{00000000-0010-0000-0000-000002000000}" name="溫層"/>
    <tableColumn id="4" xr3:uid="{00000000-0010-0000-0000-000004000000}" name="品名"/>
    <tableColumn id="3" xr3:uid="{00000000-0010-0000-0000-000003000000}" name="類別"/>
    <tableColumn id="5" xr3:uid="{00000000-0010-0000-0000-000005000000}" name="廠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workbookViewId="0">
      <selection activeCell="E4" sqref="E4"/>
    </sheetView>
  </sheetViews>
  <sheetFormatPr defaultRowHeight="16.5"/>
  <cols>
    <col min="1" max="1" width="9" style="97"/>
    <col min="2" max="2" width="9.75" bestFit="1" customWidth="1"/>
    <col min="3" max="3" width="27.625" bestFit="1" customWidth="1"/>
    <col min="4" max="5" width="11.875" bestFit="1" customWidth="1"/>
    <col min="6" max="6" width="7.375" bestFit="1" customWidth="1"/>
    <col min="9" max="9" width="23" bestFit="1" customWidth="1"/>
  </cols>
  <sheetData>
    <row r="1" spans="1:5">
      <c r="A1" s="97" t="s">
        <v>64</v>
      </c>
      <c r="B1" s="101" t="s">
        <v>0</v>
      </c>
      <c r="C1" s="101" t="s">
        <v>126</v>
      </c>
      <c r="D1" s="101" t="s">
        <v>61</v>
      </c>
      <c r="E1" s="101" t="s">
        <v>3</v>
      </c>
    </row>
    <row r="2" spans="1:5">
      <c r="A2" s="98"/>
      <c r="B2" s="201" t="s">
        <v>63</v>
      </c>
      <c r="C2" s="56" t="s">
        <v>130</v>
      </c>
      <c r="D2" s="201" t="s">
        <v>62</v>
      </c>
      <c r="E2" s="56">
        <v>57.21</v>
      </c>
    </row>
    <row r="3" spans="1:5">
      <c r="A3" s="98"/>
      <c r="B3" s="201" t="s">
        <v>63</v>
      </c>
      <c r="C3" s="56" t="s">
        <v>207</v>
      </c>
      <c r="D3" s="201" t="s">
        <v>62</v>
      </c>
      <c r="E3" s="56">
        <v>56.43</v>
      </c>
    </row>
    <row r="4" spans="1:5">
      <c r="A4" s="98"/>
      <c r="B4" s="201" t="s">
        <v>63</v>
      </c>
      <c r="C4" s="56" t="s">
        <v>131</v>
      </c>
      <c r="D4" s="201" t="s">
        <v>62</v>
      </c>
      <c r="E4" s="56">
        <v>50.39</v>
      </c>
    </row>
    <row r="5" spans="1:5">
      <c r="A5" s="98"/>
      <c r="B5" s="201" t="s">
        <v>63</v>
      </c>
      <c r="C5" s="56" t="s">
        <v>70</v>
      </c>
      <c r="D5" s="201" t="s">
        <v>62</v>
      </c>
      <c r="E5" s="56">
        <v>49.97</v>
      </c>
    </row>
    <row r="6" spans="1:5">
      <c r="A6" s="98"/>
      <c r="B6" s="201" t="s">
        <v>63</v>
      </c>
      <c r="C6" s="56" t="s">
        <v>129</v>
      </c>
      <c r="D6" s="201" t="s">
        <v>62</v>
      </c>
      <c r="E6" s="56">
        <v>49.14</v>
      </c>
    </row>
    <row r="7" spans="1:5">
      <c r="A7" s="98"/>
      <c r="B7" s="201" t="s">
        <v>63</v>
      </c>
      <c r="C7" s="219" t="s">
        <v>140</v>
      </c>
      <c r="D7" s="201" t="s">
        <v>62</v>
      </c>
      <c r="E7" s="56">
        <v>57.21</v>
      </c>
    </row>
    <row r="8" spans="1:5">
      <c r="A8" s="98"/>
      <c r="B8" s="201" t="s">
        <v>112</v>
      </c>
      <c r="C8" s="219"/>
      <c r="D8" s="201" t="s">
        <v>134</v>
      </c>
      <c r="E8" s="56"/>
    </row>
    <row r="9" spans="1:5">
      <c r="A9" s="98"/>
      <c r="B9" s="201" t="s">
        <v>112</v>
      </c>
      <c r="C9" s="72"/>
      <c r="D9" s="201" t="s">
        <v>62</v>
      </c>
      <c r="E9" s="56"/>
    </row>
    <row r="10" spans="1:5">
      <c r="A10" s="98"/>
      <c r="B10" s="201" t="s">
        <v>112</v>
      </c>
      <c r="C10" s="72"/>
      <c r="D10" s="201" t="s">
        <v>62</v>
      </c>
      <c r="E10" s="56"/>
    </row>
    <row r="11" spans="1:5">
      <c r="A11" s="98"/>
      <c r="B11" s="201" t="s">
        <v>112</v>
      </c>
      <c r="C11" s="56"/>
      <c r="D11" s="201" t="s">
        <v>62</v>
      </c>
      <c r="E11" s="56"/>
    </row>
    <row r="12" spans="1:5">
      <c r="A12" s="98"/>
      <c r="B12" s="201" t="s">
        <v>112</v>
      </c>
      <c r="C12" s="56" t="s">
        <v>152</v>
      </c>
      <c r="D12" s="201" t="s">
        <v>134</v>
      </c>
      <c r="E12" s="56">
        <v>56.87</v>
      </c>
    </row>
    <row r="13" spans="1:5">
      <c r="A13" s="98"/>
      <c r="B13" s="201" t="s">
        <v>112</v>
      </c>
      <c r="C13" s="56" t="s">
        <v>138</v>
      </c>
      <c r="D13" s="201" t="s">
        <v>62</v>
      </c>
      <c r="E13" s="56">
        <v>55.13</v>
      </c>
    </row>
    <row r="14" spans="1:5">
      <c r="A14" s="98"/>
      <c r="B14" s="201" t="s">
        <v>112</v>
      </c>
      <c r="C14" s="56" t="s">
        <v>153</v>
      </c>
      <c r="D14" s="201" t="s">
        <v>62</v>
      </c>
      <c r="E14" s="56">
        <v>50.67</v>
      </c>
    </row>
    <row r="15" spans="1:5">
      <c r="A15" s="98"/>
      <c r="B15" s="201" t="s">
        <v>112</v>
      </c>
      <c r="C15" s="56" t="s">
        <v>154</v>
      </c>
      <c r="D15" s="201" t="s">
        <v>134</v>
      </c>
      <c r="E15" s="56">
        <v>57.3</v>
      </c>
    </row>
    <row r="16" spans="1:5">
      <c r="A16" s="98"/>
      <c r="B16" s="201" t="s">
        <v>112</v>
      </c>
      <c r="C16" s="56" t="s">
        <v>157</v>
      </c>
      <c r="D16" s="201" t="s">
        <v>62</v>
      </c>
      <c r="E16" s="56">
        <v>56.43</v>
      </c>
    </row>
    <row r="17" spans="1:5">
      <c r="A17" s="98"/>
      <c r="B17" s="201" t="s">
        <v>63</v>
      </c>
      <c r="C17" s="56" t="s">
        <v>159</v>
      </c>
      <c r="D17" s="201" t="s">
        <v>62</v>
      </c>
      <c r="E17" s="56">
        <v>47.71</v>
      </c>
    </row>
    <row r="18" spans="1:5">
      <c r="A18" s="98"/>
      <c r="B18" s="201" t="s">
        <v>112</v>
      </c>
      <c r="C18" s="56" t="s">
        <v>142</v>
      </c>
      <c r="D18" s="201" t="s">
        <v>143</v>
      </c>
      <c r="E18" s="56">
        <v>49.91</v>
      </c>
    </row>
    <row r="19" spans="1:5">
      <c r="A19" s="98"/>
      <c r="B19" s="201" t="s">
        <v>112</v>
      </c>
      <c r="C19" s="56"/>
      <c r="D19" s="201" t="s">
        <v>151</v>
      </c>
      <c r="E19" s="56"/>
    </row>
    <row r="20" spans="1:5">
      <c r="A20" s="98"/>
      <c r="B20" s="201" t="s">
        <v>63</v>
      </c>
      <c r="C20" s="56" t="s">
        <v>124</v>
      </c>
      <c r="D20" s="201" t="s">
        <v>113</v>
      </c>
      <c r="E20" s="56">
        <v>26.99</v>
      </c>
    </row>
    <row r="21" spans="1:5">
      <c r="A21" s="98"/>
      <c r="B21" s="201" t="s">
        <v>63</v>
      </c>
      <c r="C21" s="56" t="s">
        <v>59</v>
      </c>
      <c r="D21" s="201" t="s">
        <v>113</v>
      </c>
      <c r="E21" s="56">
        <v>28.26</v>
      </c>
    </row>
    <row r="22" spans="1:5">
      <c r="A22" s="98"/>
      <c r="B22" s="201" t="s">
        <v>112</v>
      </c>
      <c r="C22" s="56" t="s">
        <v>145</v>
      </c>
      <c r="D22" s="201" t="s">
        <v>113</v>
      </c>
      <c r="E22" s="56">
        <v>28.47</v>
      </c>
    </row>
    <row r="23" spans="1:5">
      <c r="A23" s="98"/>
      <c r="B23" s="201" t="s">
        <v>114</v>
      </c>
      <c r="C23" s="56" t="s">
        <v>116</v>
      </c>
      <c r="D23" s="201" t="s">
        <v>115</v>
      </c>
      <c r="E23" s="56">
        <v>29.38</v>
      </c>
    </row>
    <row r="24" spans="1:5">
      <c r="A24" s="98"/>
      <c r="B24" s="201" t="s">
        <v>114</v>
      </c>
      <c r="C24" s="56" t="s">
        <v>117</v>
      </c>
      <c r="D24" s="201" t="s">
        <v>115</v>
      </c>
      <c r="E24" s="56">
        <v>29.38</v>
      </c>
    </row>
    <row r="25" spans="1:5">
      <c r="A25" s="98"/>
      <c r="B25" s="201" t="s">
        <v>114</v>
      </c>
      <c r="C25" s="56" t="s">
        <v>118</v>
      </c>
      <c r="D25" s="201" t="s">
        <v>115</v>
      </c>
      <c r="E25" s="56">
        <v>29.38</v>
      </c>
    </row>
    <row r="26" spans="1:5">
      <c r="A26" s="98"/>
      <c r="B26" s="201" t="s">
        <v>114</v>
      </c>
      <c r="C26" s="56" t="s">
        <v>119</v>
      </c>
      <c r="D26" s="201" t="s">
        <v>115</v>
      </c>
      <c r="E26" s="56">
        <v>29.38</v>
      </c>
    </row>
    <row r="27" spans="1:5">
      <c r="A27" s="98"/>
      <c r="B27" s="201" t="s">
        <v>114</v>
      </c>
      <c r="C27" s="56" t="s">
        <v>120</v>
      </c>
      <c r="D27" s="201" t="s">
        <v>115</v>
      </c>
      <c r="E27" s="56">
        <v>29.38</v>
      </c>
    </row>
    <row r="28" spans="1:5">
      <c r="A28" s="98"/>
      <c r="B28" s="201" t="s">
        <v>114</v>
      </c>
      <c r="C28" s="56" t="s">
        <v>121</v>
      </c>
      <c r="D28" s="201" t="s">
        <v>115</v>
      </c>
      <c r="E28" s="56">
        <v>29.38</v>
      </c>
    </row>
    <row r="29" spans="1:5">
      <c r="B29" s="201" t="s">
        <v>114</v>
      </c>
      <c r="C29" s="56"/>
      <c r="D29" s="201" t="s">
        <v>115</v>
      </c>
      <c r="E29" s="56"/>
    </row>
    <row r="30" spans="1:5">
      <c r="B30" s="201" t="s">
        <v>114</v>
      </c>
      <c r="C30" s="201" t="s">
        <v>122</v>
      </c>
      <c r="D30" s="201" t="s">
        <v>115</v>
      </c>
      <c r="E30" s="56">
        <v>29.38</v>
      </c>
    </row>
    <row r="31" spans="1:5">
      <c r="B31" s="201" t="s">
        <v>114</v>
      </c>
      <c r="C31" s="201"/>
      <c r="D31" s="201" t="s">
        <v>115</v>
      </c>
      <c r="E31" s="201"/>
    </row>
    <row r="32" spans="1:5">
      <c r="B32" s="201" t="s">
        <v>114</v>
      </c>
      <c r="C32" s="201" t="s">
        <v>123</v>
      </c>
      <c r="D32" s="201" t="s">
        <v>115</v>
      </c>
      <c r="E32" s="201">
        <v>29.38</v>
      </c>
    </row>
    <row r="33" spans="2:5">
      <c r="B33" s="200"/>
      <c r="C33" s="201"/>
      <c r="D33" s="200"/>
      <c r="E33" s="201"/>
    </row>
    <row r="34" spans="2:5">
      <c r="B34" s="200"/>
      <c r="C34" s="201"/>
      <c r="D34" s="200"/>
      <c r="E34" s="201"/>
    </row>
    <row r="35" spans="2:5">
      <c r="B35" s="200"/>
      <c r="C35" s="56"/>
      <c r="D35" s="200"/>
      <c r="E35" s="56"/>
    </row>
    <row r="36" spans="2:5">
      <c r="B36" s="200"/>
      <c r="C36" s="72"/>
      <c r="D36" s="200"/>
      <c r="E36" s="56"/>
    </row>
    <row r="37" spans="2:5">
      <c r="B37" s="200"/>
      <c r="C37" s="201"/>
      <c r="D37" s="200"/>
      <c r="E37" s="201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2"/>
  <sheetViews>
    <sheetView workbookViewId="0">
      <selection activeCell="C20" sqref="C20"/>
    </sheetView>
  </sheetViews>
  <sheetFormatPr defaultColWidth="9" defaultRowHeight="15.75"/>
  <cols>
    <col min="1" max="1" width="35.5" style="262" customWidth="1"/>
    <col min="2" max="6" width="9" style="262"/>
    <col min="7" max="7" width="22.75" style="262" bestFit="1" customWidth="1"/>
    <col min="8" max="16384" width="9" style="262"/>
  </cols>
  <sheetData>
    <row r="1" spans="1:7">
      <c r="A1" s="201" t="s">
        <v>60</v>
      </c>
      <c r="B1" s="201" t="s">
        <v>68</v>
      </c>
      <c r="C1" s="201" t="s">
        <v>69</v>
      </c>
      <c r="D1" s="221"/>
    </row>
    <row r="2" spans="1:7">
      <c r="A2" s="201" t="s">
        <v>128</v>
      </c>
      <c r="B2" s="201">
        <v>13</v>
      </c>
      <c r="C2" s="201">
        <v>2105</v>
      </c>
      <c r="D2" s="222" t="s">
        <v>132</v>
      </c>
    </row>
    <row r="3" spans="1:7">
      <c r="A3" s="201" t="s">
        <v>149</v>
      </c>
      <c r="B3" s="201">
        <v>15</v>
      </c>
      <c r="C3" s="201">
        <v>1565</v>
      </c>
      <c r="D3" s="222" t="s">
        <v>133</v>
      </c>
    </row>
    <row r="4" spans="1:7">
      <c r="A4" s="201" t="s">
        <v>116</v>
      </c>
      <c r="B4" s="201">
        <v>13</v>
      </c>
      <c r="C4" s="201">
        <v>2000</v>
      </c>
      <c r="D4" s="221"/>
    </row>
    <row r="5" spans="1:7">
      <c r="A5" s="201" t="s">
        <v>131</v>
      </c>
      <c r="B5" s="201">
        <v>12</v>
      </c>
      <c r="C5" s="201">
        <v>2000</v>
      </c>
      <c r="D5" s="221"/>
    </row>
    <row r="6" spans="1:7">
      <c r="A6" s="201" t="s">
        <v>70</v>
      </c>
      <c r="B6" s="201">
        <v>18</v>
      </c>
      <c r="C6" s="201">
        <v>1600</v>
      </c>
      <c r="D6" s="221"/>
    </row>
    <row r="7" spans="1:7">
      <c r="A7" s="201" t="s">
        <v>129</v>
      </c>
      <c r="B7" s="201">
        <v>13</v>
      </c>
      <c r="C7" s="201">
        <v>2000</v>
      </c>
      <c r="D7" s="221"/>
    </row>
    <row r="8" spans="1:7">
      <c r="A8" s="201" t="s">
        <v>140</v>
      </c>
      <c r="B8" s="201">
        <v>17</v>
      </c>
      <c r="C8" s="201">
        <v>1895</v>
      </c>
      <c r="D8" s="221"/>
    </row>
    <row r="9" spans="1:7">
      <c r="A9" s="201" t="s">
        <v>152</v>
      </c>
      <c r="B9" s="201">
        <v>19</v>
      </c>
      <c r="C9" s="201">
        <v>1565</v>
      </c>
      <c r="D9" s="221"/>
    </row>
    <row r="10" spans="1:7">
      <c r="A10" s="201" t="s">
        <v>142</v>
      </c>
      <c r="B10" s="201">
        <v>17</v>
      </c>
      <c r="C10" s="201">
        <v>1565</v>
      </c>
      <c r="D10" s="221"/>
    </row>
    <row r="11" spans="1:7">
      <c r="A11" s="201" t="s">
        <v>150</v>
      </c>
      <c r="B11" s="201">
        <v>14</v>
      </c>
      <c r="C11" s="201">
        <v>1385</v>
      </c>
      <c r="D11" s="221"/>
    </row>
    <row r="12" spans="1:7">
      <c r="A12" s="201" t="s">
        <v>138</v>
      </c>
      <c r="B12" s="201">
        <v>18</v>
      </c>
      <c r="C12" s="201">
        <v>1385</v>
      </c>
      <c r="D12" s="221"/>
      <c r="G12" s="312" t="s">
        <v>204</v>
      </c>
    </row>
    <row r="13" spans="1:7">
      <c r="A13" s="201" t="s">
        <v>148</v>
      </c>
      <c r="B13" s="201">
        <v>16</v>
      </c>
      <c r="C13" s="201">
        <v>1385</v>
      </c>
      <c r="D13" s="221"/>
    </row>
    <row r="14" spans="1:7">
      <c r="A14" s="201" t="s">
        <v>155</v>
      </c>
      <c r="B14" s="201">
        <v>15</v>
      </c>
      <c r="C14" s="201">
        <v>1385</v>
      </c>
      <c r="D14" s="221"/>
    </row>
    <row r="15" spans="1:7">
      <c r="A15" s="201" t="s">
        <v>157</v>
      </c>
      <c r="B15" s="201">
        <v>15</v>
      </c>
      <c r="C15" s="201">
        <v>1406</v>
      </c>
      <c r="D15" s="221"/>
    </row>
    <row r="16" spans="1:7">
      <c r="A16" s="201" t="s">
        <v>159</v>
      </c>
      <c r="B16" s="201">
        <v>15</v>
      </c>
      <c r="C16" s="201">
        <v>1500</v>
      </c>
      <c r="D16" s="221"/>
    </row>
    <row r="17" spans="1:5">
      <c r="A17" s="201" t="s">
        <v>170</v>
      </c>
      <c r="B17" s="201">
        <v>16</v>
      </c>
      <c r="C17" s="201">
        <v>1440</v>
      </c>
      <c r="D17" s="221"/>
    </row>
    <row r="18" spans="1:5">
      <c r="A18" s="201" t="s">
        <v>207</v>
      </c>
      <c r="B18" s="201">
        <v>15</v>
      </c>
      <c r="C18" s="201">
        <v>1636</v>
      </c>
      <c r="D18" s="221"/>
    </row>
    <row r="19" spans="1:5">
      <c r="A19" s="201" t="s">
        <v>243</v>
      </c>
      <c r="B19" s="201">
        <v>16</v>
      </c>
      <c r="C19" s="201">
        <v>1500</v>
      </c>
      <c r="D19" s="221"/>
    </row>
    <row r="20" spans="1:5">
      <c r="A20" s="201"/>
      <c r="B20" s="201"/>
      <c r="C20" s="201"/>
      <c r="D20" s="221"/>
    </row>
    <row r="21" spans="1:5">
      <c r="A21" s="201"/>
      <c r="B21" s="201"/>
      <c r="C21" s="201"/>
      <c r="D21" s="221"/>
    </row>
    <row r="22" spans="1:5">
      <c r="A22" s="201"/>
      <c r="B22" s="201"/>
      <c r="C22" s="201"/>
      <c r="D22" s="221"/>
    </row>
    <row r="23" spans="1:5">
      <c r="A23" s="201"/>
      <c r="B23" s="201"/>
      <c r="C23" s="201"/>
      <c r="D23" s="221"/>
    </row>
    <row r="24" spans="1:5">
      <c r="A24" s="201"/>
      <c r="B24" s="201"/>
      <c r="C24" s="201"/>
      <c r="D24" s="221"/>
    </row>
    <row r="25" spans="1:5">
      <c r="A25" s="201" t="s">
        <v>125</v>
      </c>
      <c r="B25" s="201">
        <v>13</v>
      </c>
      <c r="C25" s="201">
        <v>1565</v>
      </c>
      <c r="D25" s="221"/>
    </row>
    <row r="26" spans="1:5">
      <c r="A26" s="201" t="s">
        <v>136</v>
      </c>
      <c r="B26" s="201">
        <v>12</v>
      </c>
      <c r="C26" s="201">
        <v>1565</v>
      </c>
      <c r="D26" s="221"/>
    </row>
    <row r="27" spans="1:5">
      <c r="A27" s="201" t="s">
        <v>145</v>
      </c>
      <c r="B27" s="201">
        <v>12</v>
      </c>
      <c r="C27" s="201">
        <v>1565</v>
      </c>
    </row>
    <row r="28" spans="1:5">
      <c r="A28" s="201"/>
      <c r="B28" s="201"/>
      <c r="C28" s="201"/>
    </row>
    <row r="29" spans="1:5">
      <c r="A29" s="201"/>
      <c r="B29" s="201"/>
      <c r="C29" s="201"/>
    </row>
    <row r="30" spans="1:5">
      <c r="A30" s="201"/>
      <c r="B30" s="201"/>
      <c r="C30" s="201"/>
    </row>
    <row r="31" spans="1:5">
      <c r="A31" s="201"/>
      <c r="B31" s="201"/>
      <c r="C31" s="201"/>
    </row>
    <row r="32" spans="1:5">
      <c r="E32" s="262" t="s">
        <v>161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0FDC6-66A5-4228-A58C-3EFFD394D67B}">
  <sheetPr>
    <pageSetUpPr fitToPage="1"/>
  </sheetPr>
  <dimension ref="B1:O22"/>
  <sheetViews>
    <sheetView zoomScale="70" zoomScaleNormal="70" workbookViewId="0">
      <selection activeCell="H18" sqref="H18"/>
    </sheetView>
  </sheetViews>
  <sheetFormatPr defaultColWidth="8.125" defaultRowHeight="15.75"/>
  <cols>
    <col min="1" max="1" width="8.125" style="203"/>
    <col min="2" max="2" width="7.125" style="203" customWidth="1"/>
    <col min="3" max="3" width="7.125" style="218" customWidth="1"/>
    <col min="4" max="17" width="14.125" style="203" customWidth="1"/>
    <col min="18" max="21" width="9.625" style="203" customWidth="1"/>
    <col min="22" max="22" width="11.125" style="203" customWidth="1"/>
    <col min="23" max="23" width="11.5" style="203" customWidth="1"/>
    <col min="24" max="16384" width="8.125" style="203"/>
  </cols>
  <sheetData>
    <row r="1" spans="2:15" ht="27.75" customHeight="1">
      <c r="B1" s="345" t="s">
        <v>73</v>
      </c>
      <c r="C1" s="345"/>
      <c r="D1" s="345"/>
      <c r="E1" s="345"/>
      <c r="F1" s="345"/>
      <c r="G1" s="345"/>
      <c r="H1" s="345"/>
      <c r="I1" s="345"/>
      <c r="J1" s="345"/>
      <c r="K1" s="345"/>
      <c r="L1" s="202"/>
      <c r="M1" s="202"/>
    </row>
    <row r="2" spans="2:15" ht="27.75" customHeight="1"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202"/>
      <c r="M2" s="202"/>
    </row>
    <row r="3" spans="2:15" ht="46.5" customHeight="1">
      <c r="B3" s="342" t="s">
        <v>74</v>
      </c>
      <c r="C3" s="342"/>
      <c r="D3" s="346">
        <v>45962</v>
      </c>
      <c r="E3" s="346"/>
      <c r="F3" s="204" t="s">
        <v>75</v>
      </c>
      <c r="G3" s="347">
        <f>'1101'!E1</f>
        <v>47648</v>
      </c>
      <c r="H3" s="347"/>
      <c r="I3" s="204" t="s">
        <v>76</v>
      </c>
      <c r="J3" s="348">
        <f>'1101'!G1</f>
        <v>2315838.1700000004</v>
      </c>
      <c r="K3" s="348"/>
      <c r="L3" s="205"/>
    </row>
    <row r="4" spans="2:15" ht="24" customHeight="1">
      <c r="B4" s="342" t="s">
        <v>77</v>
      </c>
      <c r="C4" s="342"/>
      <c r="D4" s="343">
        <v>3</v>
      </c>
      <c r="E4" s="343"/>
      <c r="F4" s="344" t="s">
        <v>78</v>
      </c>
      <c r="G4" s="344"/>
      <c r="H4" s="344" t="s">
        <v>79</v>
      </c>
      <c r="I4" s="344"/>
      <c r="J4" s="343" t="s">
        <v>80</v>
      </c>
      <c r="K4" s="344"/>
      <c r="L4" s="206"/>
    </row>
    <row r="5" spans="2:15" ht="24" customHeight="1">
      <c r="B5" s="342" t="s">
        <v>81</v>
      </c>
      <c r="C5" s="342"/>
      <c r="D5" s="343" t="s">
        <v>82</v>
      </c>
      <c r="E5" s="343"/>
      <c r="F5" s="343" t="s">
        <v>83</v>
      </c>
      <c r="G5" s="343"/>
      <c r="H5" s="369" t="s">
        <v>62</v>
      </c>
      <c r="I5" s="369"/>
      <c r="J5" s="341" t="s">
        <v>84</v>
      </c>
      <c r="K5" s="341"/>
      <c r="L5" s="207"/>
    </row>
    <row r="6" spans="2:15" ht="39.6" customHeight="1">
      <c r="B6" s="342"/>
      <c r="C6" s="342"/>
      <c r="D6" s="342" t="s">
        <v>85</v>
      </c>
      <c r="E6" s="342"/>
      <c r="F6" s="356">
        <f>AVERAGE(D13:J13)</f>
        <v>115.8478800697067</v>
      </c>
      <c r="G6" s="356"/>
      <c r="H6" s="349">
        <f>AVERAGE(D13:H13)</f>
        <v>115.25583551639281</v>
      </c>
      <c r="I6" s="349"/>
      <c r="J6" s="349">
        <f>AVERAGE(I13:J13)</f>
        <v>117.32799145299145</v>
      </c>
      <c r="K6" s="349"/>
      <c r="L6" s="207"/>
    </row>
    <row r="7" spans="2:15" s="208" customFormat="1" ht="39.6" customHeight="1">
      <c r="B7" s="342"/>
      <c r="C7" s="342"/>
      <c r="D7" s="350" t="s">
        <v>86</v>
      </c>
      <c r="E7" s="350"/>
      <c r="F7" s="351">
        <f>AVERAGE(D14:J14)</f>
        <v>93.770500114099534</v>
      </c>
      <c r="G7" s="351"/>
      <c r="H7" s="352">
        <f>AVERAGE(D14:H14)</f>
        <v>96.710153799433556</v>
      </c>
      <c r="I7" s="352"/>
      <c r="J7" s="352">
        <f>AVERAGE(I14:J14)</f>
        <v>86.421365900764513</v>
      </c>
      <c r="K7" s="352"/>
    </row>
    <row r="8" spans="2:15" s="208" customFormat="1" ht="39.6" customHeight="1">
      <c r="B8" s="342"/>
      <c r="C8" s="342"/>
      <c r="D8" s="350" t="s">
        <v>87</v>
      </c>
      <c r="E8" s="350"/>
      <c r="F8" s="353">
        <f>AVERAGE(D15:J15)</f>
        <v>0.80833171614804411</v>
      </c>
      <c r="G8" s="353"/>
      <c r="H8" s="353">
        <f>AVERAGE(D15:H15)</f>
        <v>0.83672125083632276</v>
      </c>
      <c r="I8" s="353"/>
      <c r="J8" s="353">
        <f>AVERAGE(I15:J15)</f>
        <v>0.73735787942734765</v>
      </c>
      <c r="K8" s="353"/>
      <c r="L8" s="209" t="s">
        <v>88</v>
      </c>
    </row>
    <row r="9" spans="2:15" ht="25.5" customHeight="1">
      <c r="B9" s="207"/>
      <c r="C9" s="207"/>
      <c r="D9" s="207"/>
      <c r="E9" s="207"/>
      <c r="F9" s="207"/>
      <c r="G9" s="207"/>
      <c r="H9" s="210"/>
      <c r="I9" s="211"/>
      <c r="J9" s="211"/>
      <c r="K9" s="211"/>
      <c r="L9" s="211"/>
      <c r="M9" s="211"/>
      <c r="N9" s="211"/>
      <c r="O9" s="207"/>
    </row>
    <row r="10" spans="2:15" ht="30" customHeight="1">
      <c r="B10" s="354" t="s">
        <v>0</v>
      </c>
      <c r="C10" s="355"/>
      <c r="D10" s="357" t="s">
        <v>89</v>
      </c>
      <c r="E10" s="358"/>
      <c r="F10" s="358"/>
      <c r="G10" s="358"/>
      <c r="H10" s="358"/>
      <c r="I10" s="358"/>
      <c r="J10" s="359"/>
    </row>
    <row r="11" spans="2:15" ht="17.25" customHeight="1">
      <c r="B11" s="360" t="s">
        <v>90</v>
      </c>
      <c r="C11" s="361"/>
      <c r="D11" s="212">
        <v>1</v>
      </c>
      <c r="E11" s="212">
        <v>2</v>
      </c>
      <c r="F11" s="212">
        <v>3</v>
      </c>
      <c r="G11" s="212">
        <v>4</v>
      </c>
      <c r="H11" s="212">
        <v>5</v>
      </c>
      <c r="I11" s="212">
        <v>6</v>
      </c>
      <c r="J11" s="212">
        <v>7</v>
      </c>
    </row>
    <row r="12" spans="2:15" ht="33.950000000000003" customHeight="1">
      <c r="B12" s="362"/>
      <c r="C12" s="363"/>
      <c r="D12" s="213" t="s">
        <v>91</v>
      </c>
      <c r="E12" s="213" t="s">
        <v>92</v>
      </c>
      <c r="F12" s="213" t="s">
        <v>93</v>
      </c>
      <c r="G12" s="213" t="s">
        <v>94</v>
      </c>
      <c r="H12" s="213" t="s">
        <v>95</v>
      </c>
      <c r="I12" s="213" t="s">
        <v>96</v>
      </c>
      <c r="J12" s="213" t="s">
        <v>97</v>
      </c>
    </row>
    <row r="13" spans="2:15" ht="39.950000000000003" customHeight="1">
      <c r="B13" s="364" t="s">
        <v>1</v>
      </c>
      <c r="C13" s="214" t="s">
        <v>98</v>
      </c>
      <c r="D13" s="215">
        <f>VALUE('1101'!L15)</f>
        <v>145.27149321266967</v>
      </c>
      <c r="E13" s="215">
        <f>VALUE('1101'!L26)</f>
        <v>162.27564102564102</v>
      </c>
      <c r="F13" s="215">
        <f>VALUE('1101'!L37)</f>
        <v>84.501633986928113</v>
      </c>
      <c r="G13" s="215">
        <f>VALUE('1101'!L48)</f>
        <v>93.733333333333334</v>
      </c>
      <c r="H13" s="215">
        <f>VALUE('1101'!L58)</f>
        <v>90.497076023391813</v>
      </c>
      <c r="I13" s="215">
        <f>VALUE('1101'!L69)</f>
        <v>127.90865384615384</v>
      </c>
      <c r="J13" s="215">
        <f>VALUE('1101'!L79)</f>
        <v>106.74732905982906</v>
      </c>
    </row>
    <row r="14" spans="2:15" ht="39.950000000000003" customHeight="1">
      <c r="B14" s="365"/>
      <c r="C14" s="214" t="s">
        <v>99</v>
      </c>
      <c r="D14" s="215">
        <f>VALUE('1101'!O15)</f>
        <v>131.22365150558093</v>
      </c>
      <c r="E14" s="215">
        <f>VALUE('1101'!O26)</f>
        <v>131.12525365870442</v>
      </c>
      <c r="F14" s="215">
        <f>VALUE('1101'!O37)</f>
        <v>69.207178434616424</v>
      </c>
      <c r="G14" s="215">
        <f>VALUE('1101'!O48)</f>
        <v>68.911627906976733</v>
      </c>
      <c r="H14" s="215">
        <f>VALUE('1101'!O58)</f>
        <v>83.083057491289267</v>
      </c>
      <c r="I14" s="215">
        <f>VALUE('1101'!O69)</f>
        <v>93.210094850948479</v>
      </c>
      <c r="J14" s="215">
        <f>VALUE('1101'!O79)</f>
        <v>79.632636950580547</v>
      </c>
    </row>
    <row r="15" spans="2:15" ht="39.950000000000003" customHeight="1">
      <c r="B15" s="366"/>
      <c r="C15" s="212" t="s">
        <v>100</v>
      </c>
      <c r="D15" s="233">
        <f>D14/D13</f>
        <v>0.90329939208015542</v>
      </c>
      <c r="E15" s="233">
        <f t="shared" ref="E15:J15" si="0">E14/E13</f>
        <v>0.80804027536076994</v>
      </c>
      <c r="F15" s="233">
        <f t="shared" si="0"/>
        <v>0.81900402594963251</v>
      </c>
      <c r="G15" s="233">
        <f t="shared" si="0"/>
        <v>0.73518806444143026</v>
      </c>
      <c r="H15" s="233">
        <f t="shared" si="0"/>
        <v>0.91807449634962612</v>
      </c>
      <c r="I15" s="233">
        <f t="shared" si="0"/>
        <v>0.72872391388826474</v>
      </c>
      <c r="J15" s="233">
        <f t="shared" si="0"/>
        <v>0.74599184496643056</v>
      </c>
    </row>
    <row r="16" spans="2:15" ht="17.25" customHeight="1">
      <c r="B16" s="367" t="s">
        <v>101</v>
      </c>
      <c r="C16" s="212" t="s">
        <v>102</v>
      </c>
      <c r="D16" s="95">
        <f>'1101'!T5</f>
        <v>0.2902777777777778</v>
      </c>
      <c r="E16" s="95">
        <f>'1101'!T16</f>
        <v>0.2902777777777778</v>
      </c>
      <c r="F16" s="95">
        <f>'1101'!T27</f>
        <v>0.28819444444444442</v>
      </c>
      <c r="G16" s="95">
        <f>'1101'!T38</f>
        <v>0.33333333333333331</v>
      </c>
      <c r="H16" s="95">
        <f>'1101'!T49</f>
        <v>0.2902777777777778</v>
      </c>
      <c r="I16" s="95">
        <f>'1101'!T59</f>
        <v>0.29166666666666669</v>
      </c>
      <c r="J16" s="272">
        <f>'1101'!T70</f>
        <v>0.34027777777777779</v>
      </c>
    </row>
    <row r="17" spans="2:10" ht="17.25" customHeight="1">
      <c r="B17" s="368"/>
      <c r="C17" s="212" t="s">
        <v>103</v>
      </c>
      <c r="D17" s="79">
        <v>0.5625</v>
      </c>
      <c r="E17" s="41">
        <v>0.62291666666666667</v>
      </c>
      <c r="F17" s="270">
        <v>0.45347222222222222</v>
      </c>
      <c r="G17" s="59">
        <v>0.4826388888888889</v>
      </c>
      <c r="H17" s="79">
        <v>0.60763888888888884</v>
      </c>
      <c r="I17" s="20">
        <v>0.61805555555555558</v>
      </c>
      <c r="J17" s="20">
        <v>0.63958333333333328</v>
      </c>
    </row>
    <row r="18" spans="2:10" ht="17.25" customHeight="1">
      <c r="B18" s="354" t="s">
        <v>104</v>
      </c>
      <c r="C18" s="355"/>
      <c r="D18" s="216">
        <f>VALUE('1101'!M15)</f>
        <v>14</v>
      </c>
      <c r="E18" s="216">
        <f>VALUE('1101'!M26)</f>
        <v>13</v>
      </c>
      <c r="F18" s="216">
        <f>VALUE('1101'!M37)</f>
        <v>17</v>
      </c>
      <c r="G18" s="216">
        <f>VALUE('1101'!M48)</f>
        <v>15</v>
      </c>
      <c r="H18" s="216">
        <f>VALUE('1101'!M58)</f>
        <v>17</v>
      </c>
      <c r="I18" s="216">
        <f>VALUE('1101'!M69)</f>
        <v>12.25</v>
      </c>
      <c r="J18" s="216">
        <f>VALUE('1101'!M79)</f>
        <v>13.75</v>
      </c>
    </row>
    <row r="19" spans="2:10" ht="17.25" customHeight="1">
      <c r="B19" s="354" t="s">
        <v>105</v>
      </c>
      <c r="C19" s="355"/>
      <c r="D19" s="213" t="s">
        <v>106</v>
      </c>
      <c r="E19" s="213" t="s">
        <v>106</v>
      </c>
      <c r="F19" s="213" t="s">
        <v>107</v>
      </c>
      <c r="G19" s="213" t="s">
        <v>107</v>
      </c>
      <c r="H19" s="213" t="s">
        <v>107</v>
      </c>
      <c r="I19" s="213" t="s">
        <v>108</v>
      </c>
      <c r="J19" s="213" t="s">
        <v>107</v>
      </c>
    </row>
    <row r="20" spans="2:10" ht="17.25" customHeight="1">
      <c r="B20" s="354" t="s">
        <v>110</v>
      </c>
      <c r="C20" s="355"/>
      <c r="D20" s="213"/>
      <c r="E20" s="213"/>
      <c r="F20" s="213"/>
      <c r="G20" s="217"/>
      <c r="H20" s="213" t="s">
        <v>109</v>
      </c>
      <c r="I20" s="213"/>
      <c r="J20" s="213"/>
    </row>
    <row r="21" spans="2:10" ht="17.25" customHeight="1">
      <c r="B21" s="354" t="s">
        <v>111</v>
      </c>
      <c r="C21" s="355"/>
      <c r="D21" s="273"/>
      <c r="E21" s="273"/>
      <c r="F21" s="273"/>
      <c r="G21" s="273"/>
      <c r="H21" s="273"/>
      <c r="I21" s="273"/>
      <c r="J21" s="273"/>
    </row>
    <row r="22" spans="2:10">
      <c r="B22" s="370"/>
      <c r="C22" s="370"/>
    </row>
  </sheetData>
  <mergeCells count="37">
    <mergeCell ref="B20:C20"/>
    <mergeCell ref="B21:C21"/>
    <mergeCell ref="B22:C22"/>
    <mergeCell ref="D8:E8"/>
    <mergeCell ref="F8:G8"/>
    <mergeCell ref="H8:I8"/>
    <mergeCell ref="B18:C18"/>
    <mergeCell ref="B19:C19"/>
    <mergeCell ref="D6:E6"/>
    <mergeCell ref="F6:G6"/>
    <mergeCell ref="H6:I6"/>
    <mergeCell ref="D10:J10"/>
    <mergeCell ref="B11:C12"/>
    <mergeCell ref="B13:B15"/>
    <mergeCell ref="B16:B17"/>
    <mergeCell ref="B10:C10"/>
    <mergeCell ref="J8:K8"/>
    <mergeCell ref="B5:C8"/>
    <mergeCell ref="D5:E5"/>
    <mergeCell ref="F5:G5"/>
    <mergeCell ref="H5:I5"/>
    <mergeCell ref="J6:K6"/>
    <mergeCell ref="D7:E7"/>
    <mergeCell ref="F7:G7"/>
    <mergeCell ref="H7:I7"/>
    <mergeCell ref="J7:K7"/>
    <mergeCell ref="B1:K2"/>
    <mergeCell ref="B3:C3"/>
    <mergeCell ref="D3:E3"/>
    <mergeCell ref="G3:H3"/>
    <mergeCell ref="J3:K3"/>
    <mergeCell ref="J5:K5"/>
    <mergeCell ref="B4:C4"/>
    <mergeCell ref="D4:E4"/>
    <mergeCell ref="F4:G4"/>
    <mergeCell ref="H4:I4"/>
    <mergeCell ref="J4:K4"/>
  </mergeCells>
  <phoneticPr fontId="2" type="noConversion"/>
  <conditionalFormatting sqref="D15:J15">
    <cfRule type="cellIs" dxfId="299" priority="1" operator="lessThan">
      <formula>0.8</formula>
    </cfRule>
  </conditionalFormatting>
  <pageMargins left="0.7" right="0.7" top="0.75" bottom="0.75" header="0.3" footer="0.3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F834F-CD51-4E8C-B0D6-75402B87E021}">
  <sheetPr>
    <tabColor theme="9" tint="0.79998168889431442"/>
    <pageSetUpPr fitToPage="1"/>
  </sheetPr>
  <dimension ref="A1:AF92"/>
  <sheetViews>
    <sheetView zoomScale="69" zoomScaleNormal="69" workbookViewId="0">
      <pane xSplit="5" ySplit="4" topLeftCell="F32" activePane="bottomRight" state="frozen"/>
      <selection activeCell="AB8" sqref="AB8:AC10"/>
      <selection pane="topRight" activeCell="AB8" sqref="AB8:AC10"/>
      <selection pane="bottomLeft" activeCell="AB8" sqref="AB8:AC10"/>
      <selection pane="bottomRight" activeCell="Z71" sqref="Z71:AA71"/>
    </sheetView>
  </sheetViews>
  <sheetFormatPr defaultColWidth="7.875" defaultRowHeight="15.75"/>
  <cols>
    <col min="1" max="1" width="15" style="6" customWidth="1"/>
    <col min="2" max="2" width="12.875" style="6" customWidth="1"/>
    <col min="3" max="3" width="12.875" style="6" hidden="1" customWidth="1"/>
    <col min="4" max="4" width="26.125" style="6" bestFit="1" customWidth="1"/>
    <col min="5" max="5" width="15" style="6" customWidth="1"/>
    <col min="6" max="6" width="8.875" style="6" bestFit="1" customWidth="1"/>
    <col min="7" max="7" width="20.125" style="6" bestFit="1" customWidth="1"/>
    <col min="8" max="8" width="16.375" style="6" bestFit="1" customWidth="1"/>
    <col min="9" max="9" width="10.875" style="6" bestFit="1" customWidth="1"/>
    <col min="10" max="10" width="10.125" style="6" bestFit="1" customWidth="1"/>
    <col min="11" max="11" width="10.625" style="6" customWidth="1"/>
    <col min="12" max="12" width="14.5" style="6" customWidth="1"/>
    <col min="13" max="13" width="10.125" style="6" bestFit="1" customWidth="1"/>
    <col min="14" max="14" width="10.25" style="6" bestFit="1" customWidth="1"/>
    <col min="15" max="15" width="11.875" style="6" customWidth="1"/>
    <col min="16" max="17" width="9.125" style="6" bestFit="1" customWidth="1"/>
    <col min="18" max="18" width="9.125" style="6" customWidth="1"/>
    <col min="19" max="19" width="8.375" style="6" customWidth="1"/>
    <col min="20" max="21" width="9.375" style="6" bestFit="1" customWidth="1"/>
    <col min="22" max="22" width="10.625" style="6" customWidth="1"/>
    <col min="23" max="23" width="8.625" style="92" customWidth="1"/>
    <col min="24" max="24" width="7.5" style="6" bestFit="1" customWidth="1"/>
    <col min="25" max="25" width="6.875" style="6" customWidth="1"/>
    <col min="26" max="26" width="12.625" style="6" customWidth="1"/>
    <col min="27" max="27" width="33.375" style="6" customWidth="1"/>
    <col min="28" max="28" width="13.125" style="6" bestFit="1" customWidth="1"/>
    <col min="29" max="29" width="10.375" style="6" customWidth="1"/>
    <col min="30" max="30" width="9.125" style="6" customWidth="1"/>
    <col min="31" max="31" width="7.875" style="6"/>
    <col min="32" max="32" width="24.5" style="6" bestFit="1" customWidth="1"/>
    <col min="33" max="16384" width="7.875" style="6"/>
  </cols>
  <sheetData>
    <row r="1" spans="1:30" ht="21">
      <c r="A1" s="2" t="s">
        <v>72</v>
      </c>
      <c r="B1" s="2"/>
      <c r="C1" s="2"/>
      <c r="D1" s="176" t="s">
        <v>8</v>
      </c>
      <c r="E1" s="3">
        <f>SUM(G5:G79)</f>
        <v>47648</v>
      </c>
      <c r="F1" s="177" t="s">
        <v>9</v>
      </c>
      <c r="G1" s="4">
        <f>SUM(H5:H79)</f>
        <v>2315838.1700000004</v>
      </c>
      <c r="H1" s="175" t="s">
        <v>10</v>
      </c>
      <c r="I1" s="5">
        <f>M15+M26+M48+M58+M69+M79+M37</f>
        <v>102</v>
      </c>
      <c r="J1" s="371" t="s">
        <v>11</v>
      </c>
      <c r="K1" s="371"/>
      <c r="L1" s="371"/>
      <c r="M1" s="371" t="s">
        <v>12</v>
      </c>
      <c r="N1" s="371"/>
      <c r="O1" s="371"/>
      <c r="P1" s="371" t="s">
        <v>13</v>
      </c>
      <c r="Q1" s="371"/>
      <c r="R1" s="371"/>
      <c r="S1" s="371"/>
      <c r="T1" s="371" t="s">
        <v>14</v>
      </c>
      <c r="U1" s="371"/>
      <c r="V1" s="371"/>
      <c r="W1" s="371"/>
      <c r="X1" s="371"/>
      <c r="Y1" s="371"/>
      <c r="Z1" s="371" t="s">
        <v>15</v>
      </c>
      <c r="AA1" s="371"/>
      <c r="AB1" s="371" t="s">
        <v>16</v>
      </c>
      <c r="AC1" s="372"/>
      <c r="AD1" s="372"/>
    </row>
    <row r="2" spans="1:30" ht="18.75">
      <c r="A2" s="409" t="s">
        <v>162</v>
      </c>
      <c r="B2" s="409"/>
      <c r="C2" s="176"/>
      <c r="D2" s="176" t="s">
        <v>1</v>
      </c>
      <c r="E2" s="7">
        <f>AVERAGE(O15,O26,O37,O48,O58,O69,O79)</f>
        <v>93.770500114099534</v>
      </c>
      <c r="F2" s="8" t="s">
        <v>2</v>
      </c>
      <c r="G2" s="9">
        <f>G1/E1</f>
        <v>48.60305091504366</v>
      </c>
      <c r="H2" s="175" t="s">
        <v>17</v>
      </c>
      <c r="I2" s="175">
        <f>COUNT(I5:I79)</f>
        <v>0</v>
      </c>
      <c r="J2" s="371"/>
      <c r="K2" s="371"/>
      <c r="L2" s="371"/>
      <c r="M2" s="371"/>
      <c r="N2" s="371"/>
      <c r="O2" s="371"/>
      <c r="P2" s="371"/>
      <c r="Q2" s="371"/>
      <c r="R2" s="371"/>
      <c r="S2" s="371"/>
      <c r="T2" s="371"/>
      <c r="U2" s="371"/>
      <c r="V2" s="371"/>
      <c r="W2" s="371"/>
      <c r="X2" s="371"/>
      <c r="Y2" s="371"/>
      <c r="Z2" s="371"/>
      <c r="AA2" s="371"/>
      <c r="AB2" s="372"/>
      <c r="AC2" s="372"/>
      <c r="AD2" s="372"/>
    </row>
    <row r="3" spans="1:30">
      <c r="A3" s="405" t="s">
        <v>18</v>
      </c>
      <c r="B3" s="405" t="s">
        <v>19</v>
      </c>
      <c r="C3" s="177"/>
      <c r="D3" s="405" t="s">
        <v>20</v>
      </c>
      <c r="E3" s="405"/>
      <c r="F3" s="379" t="s">
        <v>21</v>
      </c>
      <c r="G3" s="389" t="s">
        <v>22</v>
      </c>
      <c r="H3" s="379" t="s">
        <v>23</v>
      </c>
      <c r="I3" s="381" t="s">
        <v>24</v>
      </c>
      <c r="J3" s="383" t="s">
        <v>25</v>
      </c>
      <c r="K3" s="385" t="s">
        <v>26</v>
      </c>
      <c r="L3" s="387" t="s">
        <v>1</v>
      </c>
      <c r="M3" s="389" t="s">
        <v>25</v>
      </c>
      <c r="N3" s="385" t="s">
        <v>26</v>
      </c>
      <c r="O3" s="387" t="s">
        <v>1</v>
      </c>
      <c r="P3" s="383" t="s">
        <v>25</v>
      </c>
      <c r="Q3" s="387" t="s">
        <v>1</v>
      </c>
      <c r="R3" s="392" t="s">
        <v>27</v>
      </c>
      <c r="S3" s="394" t="s">
        <v>28</v>
      </c>
      <c r="T3" s="389" t="s">
        <v>4</v>
      </c>
      <c r="U3" s="389"/>
      <c r="V3" s="408" t="s">
        <v>29</v>
      </c>
      <c r="W3" s="381" t="s">
        <v>30</v>
      </c>
      <c r="X3" s="389" t="s">
        <v>31</v>
      </c>
      <c r="Y3" s="389"/>
      <c r="Z3" s="415" t="s">
        <v>71</v>
      </c>
      <c r="AA3" s="416"/>
      <c r="AB3" s="385" t="s">
        <v>26</v>
      </c>
      <c r="AC3" s="392" t="s">
        <v>27</v>
      </c>
      <c r="AD3" s="394" t="s">
        <v>28</v>
      </c>
    </row>
    <row r="4" spans="1:30" ht="16.5" thickBot="1">
      <c r="A4" s="379"/>
      <c r="B4" s="379"/>
      <c r="C4" s="178"/>
      <c r="D4" s="379"/>
      <c r="E4" s="379"/>
      <c r="F4" s="380"/>
      <c r="G4" s="390"/>
      <c r="H4" s="380"/>
      <c r="I4" s="382"/>
      <c r="J4" s="384"/>
      <c r="K4" s="386"/>
      <c r="L4" s="388"/>
      <c r="M4" s="390"/>
      <c r="N4" s="386"/>
      <c r="O4" s="388"/>
      <c r="P4" s="384"/>
      <c r="Q4" s="388"/>
      <c r="R4" s="393"/>
      <c r="S4" s="395"/>
      <c r="T4" s="179" t="s">
        <v>5</v>
      </c>
      <c r="U4" s="179" t="s">
        <v>6</v>
      </c>
      <c r="V4" s="390"/>
      <c r="W4" s="382"/>
      <c r="X4" s="178" t="s">
        <v>32</v>
      </c>
      <c r="Y4" s="178" t="s">
        <v>33</v>
      </c>
      <c r="Z4" s="417"/>
      <c r="AA4" s="417"/>
      <c r="AB4" s="386"/>
      <c r="AC4" s="393"/>
      <c r="AD4" s="395"/>
    </row>
    <row r="5" spans="1:30" ht="15" customHeight="1">
      <c r="A5" s="411" t="s">
        <v>66</v>
      </c>
      <c r="B5" s="199" t="str">
        <f>VLOOKUP(D5,廠價表!$C$1:$E$39,2,0)</f>
        <v>義大利麵</v>
      </c>
      <c r="C5" s="102"/>
      <c r="D5" s="103" t="s">
        <v>127</v>
      </c>
      <c r="E5" s="104"/>
      <c r="F5" s="199">
        <f>VLOOKUP(D5,廠價表!$C$1:$E$39,3,0)</f>
        <v>57.21</v>
      </c>
      <c r="G5" s="105">
        <v>1423</v>
      </c>
      <c r="H5" s="106">
        <f>F5*G5</f>
        <v>81409.83</v>
      </c>
      <c r="I5" s="107"/>
      <c r="J5" s="108">
        <f>VLOOKUP(D5,產線配置圖!$A$2:$C$38,2,0)</f>
        <v>13</v>
      </c>
      <c r="K5" s="105">
        <f>VLOOKUP(D5,產線配置圖!$A$2:$C$38,3,0)</f>
        <v>2105</v>
      </c>
      <c r="L5" s="109">
        <f>K5/J5</f>
        <v>161.92307692307693</v>
      </c>
      <c r="M5" s="110">
        <v>13</v>
      </c>
      <c r="N5" s="105">
        <f>G5/W5*60</f>
        <v>1897.3333333333335</v>
      </c>
      <c r="O5" s="109">
        <f>N5/M5</f>
        <v>145.94871794871796</v>
      </c>
      <c r="P5" s="111">
        <f>M5-J5</f>
        <v>0</v>
      </c>
      <c r="Q5" s="112">
        <f>O5-L5</f>
        <v>-15.974358974358978</v>
      </c>
      <c r="R5" s="184">
        <f>O5/L5</f>
        <v>0.90134600158353129</v>
      </c>
      <c r="S5" s="396">
        <f>R15</f>
        <v>0.90329939208015542</v>
      </c>
      <c r="T5" s="94">
        <v>0.2902777777777778</v>
      </c>
      <c r="U5" s="94">
        <v>0.3215277777777778</v>
      </c>
      <c r="V5" s="194"/>
      <c r="W5" s="107">
        <f t="shared" ref="W5:W14" si="0">(U5-T5)*24*60</f>
        <v>45</v>
      </c>
      <c r="X5" s="188"/>
      <c r="Y5" s="188"/>
      <c r="Z5" s="400"/>
      <c r="AA5" s="400"/>
      <c r="AB5" s="111">
        <f>N5-K5</f>
        <v>-207.66666666666652</v>
      </c>
      <c r="AC5" s="184">
        <f>N5/K5</f>
        <v>0.9013460015835314</v>
      </c>
      <c r="AD5" s="401">
        <f>AC15</f>
        <v>0.90127553409423444</v>
      </c>
    </row>
    <row r="6" spans="1:30" ht="15" customHeight="1">
      <c r="A6" s="412"/>
      <c r="B6" s="56" t="str">
        <f>VLOOKUP(D6,廠價表!$C$1:$E$39,2,0)</f>
        <v>義大利麵</v>
      </c>
      <c r="C6" s="10"/>
      <c r="D6" s="11" t="s">
        <v>139</v>
      </c>
      <c r="E6" s="86"/>
      <c r="F6" s="56">
        <f>VLOOKUP(D6,廠價表!$C$1:$E$39,3,0)</f>
        <v>57.21</v>
      </c>
      <c r="G6" s="25">
        <v>1862</v>
      </c>
      <c r="H6" s="15">
        <f t="shared" ref="H6:H14" si="1">F6*G6</f>
        <v>106525.02</v>
      </c>
      <c r="I6" s="182"/>
      <c r="J6" s="16">
        <f>VLOOKUP(D6,產線配置圖!$A$2:$C$38,2,0)</f>
        <v>17</v>
      </c>
      <c r="K6" s="14">
        <f>VLOOKUP(D6,產線配置圖!$A$2:$C$38,3,0)</f>
        <v>1895</v>
      </c>
      <c r="L6" s="17">
        <f>K6/J6</f>
        <v>111.47058823529412</v>
      </c>
      <c r="M6" s="180">
        <v>17</v>
      </c>
      <c r="N6" s="14">
        <f>G6/W6*60</f>
        <v>1642.9411764705883</v>
      </c>
      <c r="O6" s="17">
        <f>N6/M6</f>
        <v>96.643598615916957</v>
      </c>
      <c r="P6" s="18">
        <f>M6-J6</f>
        <v>0</v>
      </c>
      <c r="Q6" s="19">
        <f>O6-L6</f>
        <v>-14.826989619377159</v>
      </c>
      <c r="R6" s="185">
        <f>O6/L6</f>
        <v>0.8669874282166693</v>
      </c>
      <c r="S6" s="397"/>
      <c r="T6" s="95">
        <v>0.33055555555555555</v>
      </c>
      <c r="U6" s="95">
        <v>0.37777777777777777</v>
      </c>
      <c r="V6" s="177">
        <f>(T6-U5)*24*60</f>
        <v>12.999999999999954</v>
      </c>
      <c r="W6" s="182">
        <f t="shared" si="0"/>
        <v>68</v>
      </c>
      <c r="X6" s="22"/>
      <c r="Y6" s="22"/>
      <c r="Z6" s="381"/>
      <c r="AA6" s="381"/>
      <c r="AB6" s="18">
        <f>N6-K6</f>
        <v>-252.05882352941171</v>
      </c>
      <c r="AC6" s="185">
        <f>N6/K6</f>
        <v>0.8669874282166693</v>
      </c>
      <c r="AD6" s="402"/>
    </row>
    <row r="7" spans="1:30" ht="15" customHeight="1">
      <c r="A7" s="412"/>
      <c r="B7" s="56" t="str">
        <f>VLOOKUP(D7,廠價表!$C$1:$E$39,2,0)</f>
        <v>義大利麵</v>
      </c>
      <c r="C7" s="10"/>
      <c r="D7" s="11" t="s">
        <v>141</v>
      </c>
      <c r="E7" s="86"/>
      <c r="F7" s="56">
        <f>VLOOKUP(D7,廠價表!$C$1:$E$39,3,0)</f>
        <v>49.14</v>
      </c>
      <c r="G7" s="25">
        <v>3786</v>
      </c>
      <c r="H7" s="15">
        <f t="shared" si="1"/>
        <v>186044.04</v>
      </c>
      <c r="I7" s="182"/>
      <c r="J7" s="16">
        <f>VLOOKUP(D7,產線配置圖!$A$2:$C$38,2,0)</f>
        <v>13</v>
      </c>
      <c r="K7" s="14">
        <f>VLOOKUP(D7,產線配置圖!$A$2:$C$38,3,0)</f>
        <v>2000</v>
      </c>
      <c r="L7" s="17">
        <f>K7/J7</f>
        <v>153.84615384615384</v>
      </c>
      <c r="M7" s="180">
        <v>13</v>
      </c>
      <c r="N7" s="14">
        <f>G7/W7*60</f>
        <v>1695.2238805970151</v>
      </c>
      <c r="O7" s="17">
        <f>N7/M7</f>
        <v>130.40183696900115</v>
      </c>
      <c r="P7" s="18">
        <f>M7-J7</f>
        <v>0</v>
      </c>
      <c r="Q7" s="19">
        <f>O7-L7</f>
        <v>-23.444316877152687</v>
      </c>
      <c r="R7" s="185">
        <f>O7/L7</f>
        <v>0.8476119402985075</v>
      </c>
      <c r="S7" s="397"/>
      <c r="T7" s="95">
        <v>0.38611111111111113</v>
      </c>
      <c r="U7" s="95">
        <v>0.47916666666666669</v>
      </c>
      <c r="V7" s="177">
        <f>(T7-U6)*24*60</f>
        <v>12.000000000000037</v>
      </c>
      <c r="W7" s="182">
        <f t="shared" si="0"/>
        <v>134</v>
      </c>
      <c r="X7" s="22"/>
      <c r="Y7" s="22"/>
      <c r="Z7" s="405"/>
      <c r="AA7" s="405"/>
      <c r="AB7" s="18">
        <f>N7-K7</f>
        <v>-304.77611940298493</v>
      </c>
      <c r="AC7" s="185">
        <f>N7/K7</f>
        <v>0.8476119402985075</v>
      </c>
      <c r="AD7" s="402"/>
    </row>
    <row r="8" spans="1:30" ht="15" customHeight="1">
      <c r="A8" s="412"/>
      <c r="B8" s="56" t="str">
        <f>VLOOKUP(D8,廠價表!$C$1:$E$39,2,0)</f>
        <v>義大利麵</v>
      </c>
      <c r="C8" s="10"/>
      <c r="D8" s="11" t="s">
        <v>141</v>
      </c>
      <c r="E8" s="86"/>
      <c r="F8" s="56">
        <f>VLOOKUP(D8,廠價表!$C$1:$E$39,3,0)</f>
        <v>49.14</v>
      </c>
      <c r="G8" s="25">
        <v>1119</v>
      </c>
      <c r="H8" s="15">
        <f t="shared" ref="H8" si="2">F8*G8</f>
        <v>54987.66</v>
      </c>
      <c r="I8" s="182"/>
      <c r="J8" s="16">
        <f>VLOOKUP(D8,產線配置圖!$A$2:$C$38,2,0)</f>
        <v>13</v>
      </c>
      <c r="K8" s="14">
        <f>VLOOKUP(D8,產線配置圖!$A$2:$C$38,3,0)</f>
        <v>2000</v>
      </c>
      <c r="L8" s="17">
        <f>K8/J8</f>
        <v>153.84615384615384</v>
      </c>
      <c r="M8" s="180">
        <v>13</v>
      </c>
      <c r="N8" s="14">
        <f>G8/W8*60</f>
        <v>1974.7058823529387</v>
      </c>
      <c r="O8" s="17">
        <f>N8/M8</f>
        <v>151.90045248868759</v>
      </c>
      <c r="P8" s="18">
        <f>M8-J8</f>
        <v>0</v>
      </c>
      <c r="Q8" s="19">
        <f>O8-L8</f>
        <v>-1.9457013574662483</v>
      </c>
      <c r="R8" s="185">
        <f>O8/L8</f>
        <v>0.98735294117646943</v>
      </c>
      <c r="S8" s="397"/>
      <c r="T8" s="79">
        <v>0.53888888888888886</v>
      </c>
      <c r="U8" s="79">
        <v>0.5625</v>
      </c>
      <c r="V8" s="177">
        <f>(T8-U7)*24*60</f>
        <v>85.999999999999929</v>
      </c>
      <c r="W8" s="182">
        <f t="shared" si="0"/>
        <v>34.000000000000043</v>
      </c>
      <c r="X8" s="22"/>
      <c r="Y8" s="22"/>
      <c r="Z8" s="406"/>
      <c r="AA8" s="406"/>
      <c r="AB8" s="18"/>
      <c r="AC8" s="185"/>
      <c r="AD8" s="402"/>
    </row>
    <row r="9" spans="1:30" ht="15" customHeight="1">
      <c r="A9" s="413"/>
      <c r="B9" s="56"/>
      <c r="C9" s="10"/>
      <c r="D9" s="11"/>
      <c r="E9" s="86"/>
      <c r="F9" s="56"/>
      <c r="G9" s="25"/>
      <c r="H9" s="15"/>
      <c r="I9" s="182"/>
      <c r="J9" s="16"/>
      <c r="K9" s="14"/>
      <c r="L9" s="17"/>
      <c r="M9" s="180"/>
      <c r="N9" s="14"/>
      <c r="O9" s="17"/>
      <c r="P9" s="18"/>
      <c r="Q9" s="19"/>
      <c r="R9" s="185"/>
      <c r="S9" s="398"/>
      <c r="T9" s="20"/>
      <c r="U9" s="20"/>
      <c r="V9" s="177"/>
      <c r="W9" s="24">
        <f t="shared" si="0"/>
        <v>0</v>
      </c>
      <c r="X9" s="22"/>
      <c r="Y9" s="263"/>
      <c r="Z9" s="407"/>
      <c r="AA9" s="407"/>
      <c r="AB9" s="18"/>
      <c r="AC9" s="185"/>
      <c r="AD9" s="403"/>
    </row>
    <row r="10" spans="1:30" ht="15" customHeight="1">
      <c r="A10" s="413"/>
      <c r="B10" s="177"/>
      <c r="C10" s="23"/>
      <c r="D10" s="11"/>
      <c r="E10" s="12"/>
      <c r="F10" s="13"/>
      <c r="G10" s="14"/>
      <c r="H10" s="15"/>
      <c r="I10" s="177"/>
      <c r="J10" s="16"/>
      <c r="K10" s="14"/>
      <c r="L10" s="17"/>
      <c r="M10" s="180"/>
      <c r="N10" s="14"/>
      <c r="O10" s="17"/>
      <c r="P10" s="18"/>
      <c r="Q10" s="19"/>
      <c r="R10" s="185"/>
      <c r="S10" s="398"/>
      <c r="T10" s="20"/>
      <c r="U10" s="20"/>
      <c r="V10" s="177"/>
      <c r="W10" s="182">
        <f t="shared" si="0"/>
        <v>0</v>
      </c>
      <c r="X10" s="22"/>
      <c r="Y10" s="263"/>
      <c r="Z10" s="419"/>
      <c r="AA10" s="418"/>
      <c r="AB10" s="264"/>
      <c r="AC10" s="185"/>
      <c r="AD10" s="403"/>
    </row>
    <row r="11" spans="1:30" ht="15" customHeight="1">
      <c r="A11" s="413"/>
      <c r="B11" s="177"/>
      <c r="C11" s="183"/>
      <c r="D11" s="11"/>
      <c r="E11" s="12"/>
      <c r="F11" s="13"/>
      <c r="G11" s="14"/>
      <c r="H11" s="15">
        <f t="shared" si="1"/>
        <v>0</v>
      </c>
      <c r="I11" s="177"/>
      <c r="J11" s="16"/>
      <c r="K11" s="14"/>
      <c r="L11" s="17"/>
      <c r="M11" s="180"/>
      <c r="N11" s="25"/>
      <c r="O11" s="17"/>
      <c r="P11" s="18"/>
      <c r="Q11" s="19"/>
      <c r="R11" s="185"/>
      <c r="S11" s="398"/>
      <c r="T11" s="20"/>
      <c r="U11" s="20"/>
      <c r="V11" s="177"/>
      <c r="W11" s="24">
        <f t="shared" si="0"/>
        <v>0</v>
      </c>
      <c r="X11" s="22"/>
      <c r="Y11" s="263"/>
      <c r="Z11" s="419"/>
      <c r="AA11" s="418"/>
      <c r="AB11" s="264"/>
      <c r="AC11" s="185"/>
      <c r="AD11" s="403"/>
    </row>
    <row r="12" spans="1:30" ht="15" customHeight="1">
      <c r="A12" s="413"/>
      <c r="B12" s="26"/>
      <c r="C12" s="27"/>
      <c r="D12" s="28"/>
      <c r="E12" s="29"/>
      <c r="F12" s="13"/>
      <c r="G12" s="30"/>
      <c r="H12" s="15">
        <f t="shared" si="1"/>
        <v>0</v>
      </c>
      <c r="I12" s="178"/>
      <c r="J12" s="31"/>
      <c r="K12" s="30"/>
      <c r="L12" s="17"/>
      <c r="M12" s="181"/>
      <c r="N12" s="25"/>
      <c r="O12" s="17"/>
      <c r="P12" s="18"/>
      <c r="Q12" s="19"/>
      <c r="R12" s="185"/>
      <c r="S12" s="398"/>
      <c r="T12" s="32"/>
      <c r="U12" s="32"/>
      <c r="V12" s="178"/>
      <c r="W12" s="24">
        <f t="shared" si="0"/>
        <v>0</v>
      </c>
      <c r="X12" s="33"/>
      <c r="Y12" s="33"/>
      <c r="Z12" s="407"/>
      <c r="AA12" s="407"/>
      <c r="AB12" s="34"/>
      <c r="AC12" s="186"/>
      <c r="AD12" s="403"/>
    </row>
    <row r="13" spans="1:30" ht="15" customHeight="1">
      <c r="A13" s="413"/>
      <c r="B13" s="26"/>
      <c r="C13" s="27"/>
      <c r="D13" s="28"/>
      <c r="E13" s="29"/>
      <c r="F13" s="13"/>
      <c r="G13" s="30"/>
      <c r="H13" s="15">
        <f t="shared" si="1"/>
        <v>0</v>
      </c>
      <c r="I13" s="178"/>
      <c r="J13" s="31"/>
      <c r="K13" s="30"/>
      <c r="L13" s="17"/>
      <c r="M13" s="181"/>
      <c r="N13" s="25"/>
      <c r="O13" s="17"/>
      <c r="P13" s="18"/>
      <c r="Q13" s="19"/>
      <c r="R13" s="185"/>
      <c r="S13" s="398"/>
      <c r="T13" s="32"/>
      <c r="U13" s="32"/>
      <c r="V13" s="178"/>
      <c r="W13" s="24">
        <f t="shared" si="0"/>
        <v>0</v>
      </c>
      <c r="X13" s="33"/>
      <c r="Y13" s="33"/>
      <c r="Z13" s="419"/>
      <c r="AA13" s="418"/>
      <c r="AB13" s="34"/>
      <c r="AC13" s="186"/>
      <c r="AD13" s="403"/>
    </row>
    <row r="14" spans="1:30" ht="15" customHeight="1">
      <c r="A14" s="413"/>
      <c r="B14" s="26"/>
      <c r="C14" s="27"/>
      <c r="D14" s="28"/>
      <c r="E14" s="29"/>
      <c r="F14" s="13"/>
      <c r="G14" s="30"/>
      <c r="H14" s="15">
        <f t="shared" si="1"/>
        <v>0</v>
      </c>
      <c r="I14" s="178"/>
      <c r="J14" s="31"/>
      <c r="K14" s="30"/>
      <c r="L14" s="17"/>
      <c r="M14" s="181"/>
      <c r="N14" s="25"/>
      <c r="O14" s="17"/>
      <c r="P14" s="18"/>
      <c r="Q14" s="19"/>
      <c r="R14" s="185"/>
      <c r="S14" s="398"/>
      <c r="T14" s="32"/>
      <c r="U14" s="32"/>
      <c r="V14" s="178"/>
      <c r="W14" s="24">
        <f t="shared" si="0"/>
        <v>0</v>
      </c>
      <c r="X14" s="33"/>
      <c r="Y14" s="33"/>
      <c r="Z14" s="419"/>
      <c r="AA14" s="418"/>
      <c r="AB14" s="34"/>
      <c r="AC14" s="186"/>
      <c r="AD14" s="403"/>
    </row>
    <row r="15" spans="1:30" ht="15" customHeight="1" thickBot="1">
      <c r="A15" s="414"/>
      <c r="B15" s="113"/>
      <c r="C15" s="113" t="s">
        <v>34</v>
      </c>
      <c r="D15" s="410" t="s">
        <v>7</v>
      </c>
      <c r="E15" s="410"/>
      <c r="F15" s="114"/>
      <c r="G15" s="115"/>
      <c r="H15" s="116"/>
      <c r="I15" s="117"/>
      <c r="J15" s="118">
        <f t="shared" ref="J15:O15" si="3">AVERAGE(J5:J14)</f>
        <v>14</v>
      </c>
      <c r="K15" s="118">
        <f t="shared" si="3"/>
        <v>2000</v>
      </c>
      <c r="L15" s="115">
        <f t="shared" si="3"/>
        <v>145.27149321266967</v>
      </c>
      <c r="M15" s="118">
        <f t="shared" si="3"/>
        <v>14</v>
      </c>
      <c r="N15" s="118">
        <f t="shared" si="3"/>
        <v>1802.5510681884689</v>
      </c>
      <c r="O15" s="115">
        <f t="shared" si="3"/>
        <v>131.22365150558093</v>
      </c>
      <c r="P15" s="119">
        <f t="shared" ref="P15:P16" si="4">M15-J15</f>
        <v>0</v>
      </c>
      <c r="Q15" s="120">
        <f t="shared" ref="Q15:Q16" si="5">O15-L15</f>
        <v>-14.047841707088736</v>
      </c>
      <c r="R15" s="121">
        <f t="shared" ref="R15:R16" si="6">O15/L15</f>
        <v>0.90329939208015542</v>
      </c>
      <c r="S15" s="399"/>
      <c r="T15" s="122"/>
      <c r="U15" s="122"/>
      <c r="V15" s="195"/>
      <c r="W15" s="123"/>
      <c r="X15" s="124"/>
      <c r="Y15" s="124"/>
      <c r="Z15" s="391"/>
      <c r="AA15" s="391"/>
      <c r="AB15" s="119">
        <f>N15-K15</f>
        <v>-197.44893181153111</v>
      </c>
      <c r="AC15" s="187">
        <f>N15/K15</f>
        <v>0.90127553409423444</v>
      </c>
      <c r="AD15" s="404"/>
    </row>
    <row r="16" spans="1:30" ht="15" customHeight="1">
      <c r="A16" s="431" t="s">
        <v>67</v>
      </c>
      <c r="B16" s="199" t="s">
        <v>134</v>
      </c>
      <c r="C16" s="102"/>
      <c r="D16" s="103" t="s">
        <v>127</v>
      </c>
      <c r="E16" s="104"/>
      <c r="F16" s="199">
        <f>VLOOKUP(D16,廠價表!$C$1:$E$39,3,0)</f>
        <v>57.21</v>
      </c>
      <c r="G16" s="265">
        <v>1130</v>
      </c>
      <c r="H16" s="125">
        <f t="shared" ref="H16:H25" si="7">F16*G16</f>
        <v>64647.3</v>
      </c>
      <c r="I16" s="126"/>
      <c r="J16" s="108">
        <f>VLOOKUP(D16,產線配置圖!$A$2:$C$38,2,0)</f>
        <v>13</v>
      </c>
      <c r="K16" s="105">
        <f>VLOOKUP(D16,產線配置圖!$A$2:$C$38,3,0)</f>
        <v>2105</v>
      </c>
      <c r="L16" s="109">
        <f>K16/J16</f>
        <v>161.92307692307693</v>
      </c>
      <c r="M16" s="267">
        <v>13</v>
      </c>
      <c r="N16" s="127">
        <f>G16/W16*60</f>
        <v>1883.333333333336</v>
      </c>
      <c r="O16" s="128">
        <f>N16/M16</f>
        <v>144.87179487179509</v>
      </c>
      <c r="P16" s="129">
        <f t="shared" si="4"/>
        <v>0</v>
      </c>
      <c r="Q16" s="130">
        <f t="shared" si="5"/>
        <v>-17.051282051281845</v>
      </c>
      <c r="R16" s="189">
        <f t="shared" si="6"/>
        <v>0.89469517022961331</v>
      </c>
      <c r="S16" s="424">
        <f>R26</f>
        <v>0.80804027536076994</v>
      </c>
      <c r="T16" s="268">
        <v>0.2902777777777778</v>
      </c>
      <c r="U16" s="268">
        <v>0.31527777777777777</v>
      </c>
      <c r="V16" s="126"/>
      <c r="W16" s="131">
        <f t="shared" ref="W16:W71" si="8">(U16-T16)*24*60</f>
        <v>35.99999999999995</v>
      </c>
      <c r="X16" s="128"/>
      <c r="Y16" s="128"/>
      <c r="Z16" s="400"/>
      <c r="AA16" s="400"/>
      <c r="AB16" s="111">
        <f>N16-K16</f>
        <v>-221.66666666666401</v>
      </c>
      <c r="AC16" s="184">
        <f>N16/K16</f>
        <v>0.89469517022961331</v>
      </c>
      <c r="AD16" s="401">
        <f>AC26</f>
        <v>0.84060223980113491</v>
      </c>
    </row>
    <row r="17" spans="1:30" ht="15" customHeight="1">
      <c r="A17" s="432"/>
      <c r="B17" s="56" t="s">
        <v>62</v>
      </c>
      <c r="C17" s="10"/>
      <c r="D17" s="11" t="s">
        <v>153</v>
      </c>
      <c r="E17" s="86"/>
      <c r="F17" s="56">
        <f>VLOOKUP(D17,廠價表!$C$1:$E$39,3,0)</f>
        <v>50.67</v>
      </c>
      <c r="G17" s="96">
        <v>4428</v>
      </c>
      <c r="H17" s="15">
        <f>F17*G17</f>
        <v>224366.76</v>
      </c>
      <c r="I17" s="177"/>
      <c r="J17" s="16">
        <f>VLOOKUP(D17,產線配置圖!$A$2:$C$38,2,0)</f>
        <v>13</v>
      </c>
      <c r="K17" s="14">
        <f>VLOOKUP(D17,產線配置圖!$A$2:$C$38,3,0)</f>
        <v>2000</v>
      </c>
      <c r="L17" s="17">
        <f>K17/J17</f>
        <v>153.84615384615384</v>
      </c>
      <c r="M17" s="37">
        <v>15</v>
      </c>
      <c r="N17" s="36">
        <f>G17/W17*60</f>
        <v>1870.9859154929582</v>
      </c>
      <c r="O17" s="38">
        <f>N17/M17</f>
        <v>124.73239436619721</v>
      </c>
      <c r="P17" s="39">
        <f>M17-J17</f>
        <v>2</v>
      </c>
      <c r="Q17" s="40">
        <f>O17-L17</f>
        <v>-29.113759479956627</v>
      </c>
      <c r="R17" s="190">
        <f>O17/L17</f>
        <v>0.81076056338028191</v>
      </c>
      <c r="S17" s="425"/>
      <c r="T17" s="41">
        <v>0.32361111111111113</v>
      </c>
      <c r="U17" s="41">
        <v>0.42222222222222222</v>
      </c>
      <c r="V17" s="177">
        <f>(T17-U16)*24*60</f>
        <v>12.000000000000037</v>
      </c>
      <c r="W17" s="43">
        <f t="shared" si="8"/>
        <v>141.99999999999997</v>
      </c>
      <c r="X17" s="44"/>
      <c r="Y17" s="44"/>
      <c r="Z17" s="418"/>
      <c r="AA17" s="405"/>
      <c r="AB17" s="18">
        <f>N17-K17</f>
        <v>-129.01408450704184</v>
      </c>
      <c r="AC17" s="185">
        <f>N17/K17</f>
        <v>0.93549295774647911</v>
      </c>
      <c r="AD17" s="402"/>
    </row>
    <row r="18" spans="1:30" ht="15" customHeight="1">
      <c r="A18" s="432"/>
      <c r="B18" s="56" t="s">
        <v>62</v>
      </c>
      <c r="C18" s="10"/>
      <c r="D18" s="11" t="s">
        <v>131</v>
      </c>
      <c r="E18" s="86"/>
      <c r="F18" s="56">
        <f>VLOOKUP(D18,廠價表!$C$1:$E$39,3,0)</f>
        <v>50.39</v>
      </c>
      <c r="G18" s="96">
        <v>2153</v>
      </c>
      <c r="H18" s="15">
        <f>F18*G18</f>
        <v>108489.67</v>
      </c>
      <c r="I18" s="177"/>
      <c r="J18" s="16">
        <f>VLOOKUP(D18,產線配置圖!$A$2:$C$38,2,0)</f>
        <v>12</v>
      </c>
      <c r="K18" s="14">
        <f>VLOOKUP(D18,產線配置圖!$A$2:$C$38,3,0)</f>
        <v>2000</v>
      </c>
      <c r="L18" s="17">
        <f>K18/J18</f>
        <v>166.66666666666666</v>
      </c>
      <c r="M18" s="37">
        <v>12</v>
      </c>
      <c r="N18" s="36">
        <f>G18/W18*60</f>
        <v>1845.4285714285718</v>
      </c>
      <c r="O18" s="38">
        <f>N18/M18</f>
        <v>153.78571428571431</v>
      </c>
      <c r="P18" s="39">
        <f>M18-J18</f>
        <v>0</v>
      </c>
      <c r="Q18" s="40">
        <f>O18-L18</f>
        <v>-12.880952380952351</v>
      </c>
      <c r="R18" s="190">
        <f>O18/L18</f>
        <v>0.92271428571428593</v>
      </c>
      <c r="S18" s="425"/>
      <c r="T18" s="41">
        <v>0.43055555555555558</v>
      </c>
      <c r="U18" s="41">
        <v>0.47916666666666669</v>
      </c>
      <c r="V18" s="177">
        <f>(T18-U17)*24*60</f>
        <v>12.000000000000037</v>
      </c>
      <c r="W18" s="43">
        <f t="shared" si="8"/>
        <v>69.999999999999986</v>
      </c>
      <c r="X18" s="22"/>
      <c r="Y18" s="22"/>
      <c r="Z18" s="418"/>
      <c r="AA18" s="405"/>
      <c r="AB18" s="18">
        <f>N18-K18</f>
        <v>-154.57142857142821</v>
      </c>
      <c r="AC18" s="185">
        <f>N18/K18</f>
        <v>0.92271428571428593</v>
      </c>
      <c r="AD18" s="402"/>
    </row>
    <row r="19" spans="1:30" ht="15" customHeight="1">
      <c r="A19" s="432"/>
      <c r="B19" s="56" t="s">
        <v>62</v>
      </c>
      <c r="C19" s="23"/>
      <c r="D19" s="11" t="s">
        <v>131</v>
      </c>
      <c r="E19" s="12"/>
      <c r="F19" s="56">
        <f>VLOOKUP(D19,廠價表!$C$1:$E$39,3,0)</f>
        <v>50.39</v>
      </c>
      <c r="G19" s="96">
        <v>2366</v>
      </c>
      <c r="H19" s="15">
        <f t="shared" ref="H19" si="9">F19*G19</f>
        <v>119222.74</v>
      </c>
      <c r="I19" s="177"/>
      <c r="J19" s="16">
        <f>VLOOKUP(D19,產線配置圖!$A$2:$C$38,2,0)</f>
        <v>12</v>
      </c>
      <c r="K19" s="14">
        <f>VLOOKUP(D19,產線配置圖!$A$2:$C$38,3,0)</f>
        <v>2000</v>
      </c>
      <c r="L19" s="17">
        <f t="shared" ref="L19" si="10">K19/J19</f>
        <v>166.66666666666666</v>
      </c>
      <c r="M19" s="37">
        <v>12</v>
      </c>
      <c r="N19" s="36">
        <f>G19/W19*60</f>
        <v>1213.3333333333326</v>
      </c>
      <c r="O19" s="38">
        <f>N19/M19</f>
        <v>101.11111111111104</v>
      </c>
      <c r="P19" s="39">
        <f>M19-J19</f>
        <v>0</v>
      </c>
      <c r="Q19" s="40">
        <f>O19-L19</f>
        <v>-65.555555555555614</v>
      </c>
      <c r="R19" s="190">
        <f>O19/L19</f>
        <v>0.60666666666666624</v>
      </c>
      <c r="S19" s="425"/>
      <c r="T19" s="41">
        <v>0.54166666666666663</v>
      </c>
      <c r="U19" s="41">
        <v>0.62291666666666667</v>
      </c>
      <c r="V19" s="177">
        <f>(T19-U18)*24*60</f>
        <v>89.999999999999915</v>
      </c>
      <c r="W19" s="43">
        <f t="shared" si="8"/>
        <v>117.00000000000006</v>
      </c>
      <c r="X19" s="22"/>
      <c r="Y19" s="22"/>
      <c r="Z19" s="419" t="s">
        <v>164</v>
      </c>
      <c r="AA19" s="418"/>
      <c r="AB19" s="18">
        <f>N19-K19</f>
        <v>-786.66666666666742</v>
      </c>
      <c r="AC19" s="185">
        <f>N19/K19</f>
        <v>0.60666666666666624</v>
      </c>
      <c r="AD19" s="403"/>
    </row>
    <row r="20" spans="1:30" ht="15" customHeight="1">
      <c r="A20" s="432"/>
      <c r="B20" s="56"/>
      <c r="C20" s="10"/>
      <c r="D20" s="11"/>
      <c r="E20" s="86"/>
      <c r="F20" s="56"/>
      <c r="G20" s="96"/>
      <c r="H20" s="15"/>
      <c r="I20" s="177"/>
      <c r="J20" s="16"/>
      <c r="K20" s="14"/>
      <c r="L20" s="17"/>
      <c r="M20" s="37"/>
      <c r="N20" s="36"/>
      <c r="O20" s="38"/>
      <c r="P20" s="39"/>
      <c r="Q20" s="40"/>
      <c r="R20" s="190"/>
      <c r="S20" s="425"/>
      <c r="T20" s="41"/>
      <c r="U20" s="41"/>
      <c r="V20" s="177"/>
      <c r="W20" s="43">
        <f t="shared" si="8"/>
        <v>0</v>
      </c>
      <c r="X20" s="44"/>
      <c r="Y20" s="44"/>
      <c r="Z20" s="418"/>
      <c r="AA20" s="405"/>
      <c r="AB20" s="34"/>
      <c r="AC20" s="186"/>
      <c r="AD20" s="403"/>
    </row>
    <row r="21" spans="1:30" ht="15" customHeight="1">
      <c r="A21" s="433"/>
      <c r="B21" s="177"/>
      <c r="C21" s="23"/>
      <c r="D21" s="11"/>
      <c r="E21" s="12"/>
      <c r="F21" s="13"/>
      <c r="G21" s="36"/>
      <c r="H21" s="15">
        <f t="shared" si="7"/>
        <v>0</v>
      </c>
      <c r="I21" s="43"/>
      <c r="J21" s="37"/>
      <c r="K21" s="36"/>
      <c r="L21" s="38"/>
      <c r="M21" s="37"/>
      <c r="N21" s="36"/>
      <c r="O21" s="38"/>
      <c r="P21" s="39"/>
      <c r="Q21" s="40"/>
      <c r="R21" s="190"/>
      <c r="S21" s="425"/>
      <c r="T21" s="41"/>
      <c r="U21" s="41"/>
      <c r="V21" s="42"/>
      <c r="W21" s="43">
        <v>0</v>
      </c>
      <c r="X21" s="42"/>
      <c r="Y21" s="42"/>
      <c r="Z21" s="418"/>
      <c r="AA21" s="405"/>
      <c r="AB21" s="34"/>
      <c r="AC21" s="186"/>
      <c r="AD21" s="403"/>
    </row>
    <row r="22" spans="1:30" ht="15" customHeight="1">
      <c r="A22" s="433"/>
      <c r="B22" s="177"/>
      <c r="C22" s="183"/>
      <c r="D22" s="11"/>
      <c r="E22" s="12"/>
      <c r="F22" s="13"/>
      <c r="G22" s="36"/>
      <c r="H22" s="15">
        <f t="shared" si="7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90"/>
      <c r="S22" s="425"/>
      <c r="T22" s="41"/>
      <c r="U22" s="41"/>
      <c r="V22" s="42"/>
      <c r="W22" s="43">
        <v>0</v>
      </c>
      <c r="X22" s="42"/>
      <c r="Y22" s="42"/>
      <c r="Z22" s="418"/>
      <c r="AA22" s="405"/>
      <c r="AB22" s="34"/>
      <c r="AC22" s="186"/>
      <c r="AD22" s="403"/>
    </row>
    <row r="23" spans="1:30" ht="15" customHeight="1">
      <c r="A23" s="433"/>
      <c r="B23" s="26"/>
      <c r="C23" s="27"/>
      <c r="D23" s="28"/>
      <c r="E23" s="29"/>
      <c r="F23" s="13"/>
      <c r="G23" s="36"/>
      <c r="H23" s="15">
        <f t="shared" si="7"/>
        <v>0</v>
      </c>
      <c r="I23" s="43"/>
      <c r="J23" s="37"/>
      <c r="K23" s="36"/>
      <c r="L23" s="38"/>
      <c r="M23" s="37"/>
      <c r="N23" s="36"/>
      <c r="O23" s="38"/>
      <c r="P23" s="39"/>
      <c r="Q23" s="40"/>
      <c r="R23" s="190"/>
      <c r="S23" s="425"/>
      <c r="T23" s="41"/>
      <c r="U23" s="41"/>
      <c r="W23" s="43">
        <f t="shared" si="8"/>
        <v>0</v>
      </c>
      <c r="X23" s="42"/>
      <c r="Y23" s="42"/>
      <c r="Z23" s="418"/>
      <c r="AA23" s="405"/>
      <c r="AB23" s="34"/>
      <c r="AC23" s="186"/>
      <c r="AD23" s="403"/>
    </row>
    <row r="24" spans="1:30" ht="15" customHeight="1">
      <c r="A24" s="433"/>
      <c r="B24" s="26"/>
      <c r="C24" s="27"/>
      <c r="D24" s="28"/>
      <c r="E24" s="29"/>
      <c r="F24" s="13"/>
      <c r="G24" s="36"/>
      <c r="H24" s="15">
        <f t="shared" si="7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90"/>
      <c r="S24" s="425"/>
      <c r="T24" s="41"/>
      <c r="U24" s="41"/>
      <c r="V24" s="42"/>
      <c r="W24" s="43">
        <f t="shared" si="8"/>
        <v>0</v>
      </c>
      <c r="X24" s="42"/>
      <c r="Y24" s="42"/>
      <c r="Z24" s="418"/>
      <c r="AA24" s="405"/>
      <c r="AB24" s="34"/>
      <c r="AC24" s="186"/>
      <c r="AD24" s="403"/>
    </row>
    <row r="25" spans="1:30" ht="15" customHeight="1">
      <c r="A25" s="433"/>
      <c r="B25" s="26"/>
      <c r="C25" s="27"/>
      <c r="D25" s="28"/>
      <c r="E25" s="29"/>
      <c r="F25" s="13"/>
      <c r="G25" s="36"/>
      <c r="H25" s="50">
        <f t="shared" si="7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90"/>
      <c r="S25" s="425"/>
      <c r="T25" s="41"/>
      <c r="U25" s="41"/>
      <c r="V25" s="42"/>
      <c r="W25" s="43">
        <f t="shared" si="8"/>
        <v>0</v>
      </c>
      <c r="X25" s="42"/>
      <c r="Y25" s="42"/>
      <c r="Z25" s="418"/>
      <c r="AA25" s="405"/>
      <c r="AB25" s="34"/>
      <c r="AC25" s="186"/>
      <c r="AD25" s="403"/>
    </row>
    <row r="26" spans="1:30" ht="15" customHeight="1" thickBot="1">
      <c r="A26" s="434"/>
      <c r="B26" s="132"/>
      <c r="C26" s="1" t="s">
        <v>35</v>
      </c>
      <c r="D26" s="410" t="s">
        <v>7</v>
      </c>
      <c r="E26" s="410"/>
      <c r="F26" s="133"/>
      <c r="G26" s="134"/>
      <c r="H26" s="135"/>
      <c r="I26" s="136"/>
      <c r="J26" s="134">
        <f t="shared" ref="J26:O26" si="11">AVERAGE(J16:J25)</f>
        <v>12.5</v>
      </c>
      <c r="K26" s="134">
        <f t="shared" si="11"/>
        <v>2026.25</v>
      </c>
      <c r="L26" s="137">
        <f t="shared" si="11"/>
        <v>162.27564102564102</v>
      </c>
      <c r="M26" s="134">
        <f t="shared" si="11"/>
        <v>13</v>
      </c>
      <c r="N26" s="134">
        <f t="shared" si="11"/>
        <v>1703.2702883970496</v>
      </c>
      <c r="O26" s="137">
        <f t="shared" si="11"/>
        <v>131.12525365870442</v>
      </c>
      <c r="P26" s="138">
        <f t="shared" ref="P26:P28" si="12">M26-J26</f>
        <v>0.5</v>
      </c>
      <c r="Q26" s="139">
        <f t="shared" ref="Q26:Q28" si="13">O26-L26</f>
        <v>-31.150387366936599</v>
      </c>
      <c r="R26" s="140">
        <f t="shared" ref="R26:R28" si="14">O26/L26</f>
        <v>0.80804027536076994</v>
      </c>
      <c r="S26" s="435"/>
      <c r="T26" s="141"/>
      <c r="U26" s="141"/>
      <c r="V26" s="146"/>
      <c r="W26" s="142"/>
      <c r="X26" s="143"/>
      <c r="Y26" s="143"/>
      <c r="Z26" s="420"/>
      <c r="AA26" s="391"/>
      <c r="AB26" s="119">
        <f>N26-K26</f>
        <v>-322.97971160295037</v>
      </c>
      <c r="AC26" s="187">
        <f>N26/K26</f>
        <v>0.84060223980113491</v>
      </c>
      <c r="AD26" s="404"/>
    </row>
    <row r="27" spans="1:30" ht="15" customHeight="1">
      <c r="A27" s="421" t="s">
        <v>54</v>
      </c>
      <c r="B27" s="229" t="s">
        <v>62</v>
      </c>
      <c r="C27" s="102"/>
      <c r="D27" s="103" t="s">
        <v>144</v>
      </c>
      <c r="E27" s="104"/>
      <c r="F27" s="199">
        <f>VLOOKUP(D27,廠價表!$C$1:$E$39,3,0)</f>
        <v>49.91</v>
      </c>
      <c r="G27" s="269">
        <v>2593</v>
      </c>
      <c r="H27" s="125">
        <f t="shared" ref="H27:H38" si="15">F27*G27</f>
        <v>129416.62999999999</v>
      </c>
      <c r="I27" s="126"/>
      <c r="J27" s="108">
        <f>VLOOKUP(D27,產線配置圖!$A$2:$C$38,2,0)</f>
        <v>17</v>
      </c>
      <c r="K27" s="236">
        <f>VLOOKUP(D27,產線配置圖!$A$2:$C$38,3,0)</f>
        <v>1565</v>
      </c>
      <c r="L27" s="109">
        <f>K27/J27</f>
        <v>92.058823529411768</v>
      </c>
      <c r="M27" s="144">
        <v>17</v>
      </c>
      <c r="N27" s="127">
        <f>G27/W27*60</f>
        <v>1275.2459016393439</v>
      </c>
      <c r="O27" s="128">
        <f>N27/M27</f>
        <v>75.01446480231435</v>
      </c>
      <c r="P27" s="129">
        <f t="shared" si="12"/>
        <v>0</v>
      </c>
      <c r="Q27" s="130">
        <f t="shared" si="13"/>
        <v>-17.044358727097418</v>
      </c>
      <c r="R27" s="189">
        <f>O27/L27</f>
        <v>0.81485361127114631</v>
      </c>
      <c r="S27" s="424">
        <f>R37</f>
        <v>0.81900402594963251</v>
      </c>
      <c r="T27" s="94">
        <v>0.28819444444444442</v>
      </c>
      <c r="U27" s="94">
        <v>0.37291666666666667</v>
      </c>
      <c r="V27" s="126"/>
      <c r="W27" s="131">
        <f t="shared" si="8"/>
        <v>122.00000000000004</v>
      </c>
      <c r="X27" s="126"/>
      <c r="Y27" s="126" t="s">
        <v>147</v>
      </c>
      <c r="Z27" s="427"/>
      <c r="AA27" s="400"/>
      <c r="AB27" s="225">
        <f>N27-K27</f>
        <v>-289.75409836065614</v>
      </c>
      <c r="AC27" s="291">
        <f>N27/K27</f>
        <v>0.81485361127114619</v>
      </c>
      <c r="AD27" s="401">
        <f>AC37</f>
        <v>0.7976420565345621</v>
      </c>
    </row>
    <row r="28" spans="1:30" ht="15" customHeight="1">
      <c r="A28" s="422"/>
      <c r="B28" s="56" t="str">
        <f>VLOOKUP(D28,廠價表!$C$1:$E$39,2,0)</f>
        <v>義大利麵</v>
      </c>
      <c r="C28" s="10"/>
      <c r="D28" s="11" t="s">
        <v>137</v>
      </c>
      <c r="E28" s="86"/>
      <c r="F28" s="56">
        <f>VLOOKUP(D28,廠價表!$C$1:$E$39,3,0)</f>
        <v>55.13</v>
      </c>
      <c r="G28" s="53">
        <v>1958</v>
      </c>
      <c r="H28" s="50">
        <f t="shared" si="15"/>
        <v>107944.54000000001</v>
      </c>
      <c r="I28" s="42"/>
      <c r="J28" s="16">
        <f>VLOOKUP(D28,產線配置圖!$A$2:$C$38,2,0)</f>
        <v>18</v>
      </c>
      <c r="K28" s="14">
        <f>VLOOKUP(D28,產線配置圖!$A$2:$C$38,3,0)</f>
        <v>1385</v>
      </c>
      <c r="L28" s="235">
        <f>K28/J28</f>
        <v>76.944444444444443</v>
      </c>
      <c r="M28" s="21">
        <v>17</v>
      </c>
      <c r="N28" s="36">
        <f>G28/W28*60</f>
        <v>1077.7981651376144</v>
      </c>
      <c r="O28" s="38">
        <f>N28/M28</f>
        <v>63.399892066918497</v>
      </c>
      <c r="P28" s="39">
        <f t="shared" si="12"/>
        <v>-1</v>
      </c>
      <c r="Q28" s="40">
        <f t="shared" si="13"/>
        <v>-13.544552377525946</v>
      </c>
      <c r="R28" s="190">
        <f t="shared" si="14"/>
        <v>0.82396971639316463</v>
      </c>
      <c r="S28" s="425"/>
      <c r="T28" s="270">
        <v>0.37777777777777777</v>
      </c>
      <c r="U28" s="270">
        <v>0.45347222222222222</v>
      </c>
      <c r="V28" s="42">
        <f>(T28-U27)*24*60</f>
        <v>6.9999999999999751</v>
      </c>
      <c r="W28" s="43">
        <f t="shared" si="8"/>
        <v>109.00000000000001</v>
      </c>
      <c r="X28" s="54"/>
      <c r="Y28" s="54"/>
      <c r="Z28" s="418"/>
      <c r="AA28" s="419"/>
      <c r="AB28" s="39">
        <f>N28-K28</f>
        <v>-307.20183486238557</v>
      </c>
      <c r="AC28" s="190">
        <f>N28/K28</f>
        <v>0.77819362103798873</v>
      </c>
      <c r="AD28" s="447"/>
    </row>
    <row r="29" spans="1:30" ht="15" customHeight="1">
      <c r="A29" s="422"/>
      <c r="B29" s="56"/>
      <c r="C29" s="10"/>
      <c r="D29" s="11"/>
      <c r="E29" s="86"/>
      <c r="F29" s="56"/>
      <c r="G29" s="238"/>
      <c r="H29" s="50"/>
      <c r="I29" s="42"/>
      <c r="J29" s="16"/>
      <c r="K29" s="14"/>
      <c r="L29" s="235"/>
      <c r="M29" s="21"/>
      <c r="N29" s="36"/>
      <c r="O29" s="38"/>
      <c r="P29" s="39"/>
      <c r="Q29" s="40"/>
      <c r="R29" s="190"/>
      <c r="S29" s="425"/>
      <c r="T29" s="41"/>
      <c r="U29" s="41"/>
      <c r="V29" s="42"/>
      <c r="W29" s="43">
        <f t="shared" si="8"/>
        <v>0</v>
      </c>
      <c r="X29" s="54"/>
      <c r="Y29" s="54"/>
      <c r="Z29" s="418"/>
      <c r="AA29" s="419"/>
      <c r="AB29" s="292"/>
      <c r="AC29" s="190"/>
      <c r="AD29" s="447"/>
    </row>
    <row r="30" spans="1:30" ht="15" customHeight="1">
      <c r="A30" s="422"/>
      <c r="B30" s="56"/>
      <c r="C30" s="237"/>
      <c r="D30" s="11"/>
      <c r="E30" s="29"/>
      <c r="F30" s="56"/>
      <c r="G30" s="238"/>
      <c r="H30" s="50"/>
      <c r="I30" s="42"/>
      <c r="J30" s="16"/>
      <c r="K30" s="14"/>
      <c r="L30" s="235"/>
      <c r="M30" s="21"/>
      <c r="N30" s="36"/>
      <c r="O30" s="38"/>
      <c r="P30" s="39"/>
      <c r="Q30" s="40"/>
      <c r="R30" s="190"/>
      <c r="S30" s="425"/>
      <c r="T30" s="41"/>
      <c r="U30" s="41"/>
      <c r="V30" s="42"/>
      <c r="W30" s="43">
        <f t="shared" si="8"/>
        <v>0</v>
      </c>
      <c r="X30" s="54"/>
      <c r="Y30" s="54"/>
      <c r="Z30" s="449"/>
      <c r="AA30" s="418"/>
      <c r="AB30" s="34"/>
      <c r="AC30" s="293"/>
      <c r="AD30" s="448"/>
    </row>
    <row r="31" spans="1:30" ht="15" customHeight="1">
      <c r="A31" s="422"/>
      <c r="B31" s="56"/>
      <c r="C31" s="10"/>
      <c r="D31" s="28"/>
      <c r="E31" s="86"/>
      <c r="F31" s="56"/>
      <c r="G31" s="238"/>
      <c r="H31" s="239"/>
      <c r="I31" s="81"/>
      <c r="J31" s="16"/>
      <c r="K31" s="14"/>
      <c r="L31" s="235"/>
      <c r="M31" s="21"/>
      <c r="N31" s="36"/>
      <c r="O31" s="38"/>
      <c r="P31" s="39"/>
      <c r="Q31" s="40"/>
      <c r="R31" s="190"/>
      <c r="S31" s="425"/>
      <c r="T31" s="41"/>
      <c r="U31" s="41"/>
      <c r="V31" s="42"/>
      <c r="W31" s="43">
        <f t="shared" si="8"/>
        <v>0</v>
      </c>
      <c r="X31" s="54"/>
      <c r="Y31" s="54"/>
      <c r="Z31" s="449"/>
      <c r="AA31" s="450"/>
      <c r="AB31" s="257"/>
      <c r="AC31" s="258"/>
      <c r="AD31" s="403"/>
    </row>
    <row r="32" spans="1:30" ht="15" customHeight="1">
      <c r="A32" s="422"/>
      <c r="B32" s="56"/>
      <c r="C32" s="252"/>
      <c r="D32" s="253"/>
      <c r="E32" s="254"/>
      <c r="F32" s="56"/>
      <c r="G32" s="53"/>
      <c r="H32" s="50">
        <f t="shared" si="15"/>
        <v>0</v>
      </c>
      <c r="I32" s="42"/>
      <c r="J32" s="255"/>
      <c r="K32" s="36"/>
      <c r="L32" s="256"/>
      <c r="M32" s="21"/>
      <c r="N32" s="36"/>
      <c r="O32" s="38"/>
      <c r="P32" s="39"/>
      <c r="Q32" s="40"/>
      <c r="R32" s="190"/>
      <c r="S32" s="425"/>
      <c r="T32" s="41"/>
      <c r="U32" s="41"/>
      <c r="V32" s="42"/>
      <c r="W32" s="43">
        <f t="shared" si="8"/>
        <v>0</v>
      </c>
      <c r="X32" s="54"/>
      <c r="Y32" s="54"/>
      <c r="Z32" s="418"/>
      <c r="AA32" s="405"/>
      <c r="AB32" s="18"/>
      <c r="AC32" s="185"/>
      <c r="AD32" s="403"/>
    </row>
    <row r="33" spans="1:30" ht="15" customHeight="1">
      <c r="A33" s="422"/>
      <c r="B33" s="240"/>
      <c r="C33" s="241"/>
      <c r="D33" s="242"/>
      <c r="E33" s="243"/>
      <c r="F33" s="223"/>
      <c r="G33" s="244"/>
      <c r="H33" s="245">
        <f t="shared" si="15"/>
        <v>0</v>
      </c>
      <c r="I33" s="246"/>
      <c r="J33" s="247"/>
      <c r="K33" s="45"/>
      <c r="M33" s="248"/>
      <c r="N33" s="45"/>
      <c r="O33" s="46"/>
      <c r="P33" s="47"/>
      <c r="Q33" s="48"/>
      <c r="R33" s="49"/>
      <c r="S33" s="425"/>
      <c r="T33" s="41"/>
      <c r="U33" s="41"/>
      <c r="V33" s="42"/>
      <c r="W33" s="43">
        <f t="shared" si="8"/>
        <v>0</v>
      </c>
      <c r="X33" s="54"/>
      <c r="Y33" s="54"/>
      <c r="Z33" s="418"/>
      <c r="AA33" s="405"/>
      <c r="AB33" s="18"/>
      <c r="AC33" s="57"/>
      <c r="AD33" s="403"/>
    </row>
    <row r="34" spans="1:30" ht="15" customHeight="1">
      <c r="A34" s="422"/>
      <c r="B34" s="231"/>
      <c r="C34" s="27"/>
      <c r="D34" s="28"/>
      <c r="E34" s="29"/>
      <c r="F34" s="13"/>
      <c r="G34" s="53"/>
      <c r="H34" s="50">
        <f t="shared" si="15"/>
        <v>0</v>
      </c>
      <c r="I34" s="42"/>
      <c r="J34" s="37"/>
      <c r="K34" s="36"/>
      <c r="L34" s="38"/>
      <c r="M34" s="21"/>
      <c r="N34" s="36"/>
      <c r="O34" s="38"/>
      <c r="P34" s="39"/>
      <c r="Q34" s="40"/>
      <c r="R34" s="190"/>
      <c r="S34" s="425"/>
      <c r="T34" s="41"/>
      <c r="U34" s="41"/>
      <c r="V34" s="42"/>
      <c r="W34" s="43">
        <f t="shared" si="8"/>
        <v>0</v>
      </c>
      <c r="X34" s="54"/>
      <c r="Y34" s="54"/>
      <c r="Z34" s="418"/>
      <c r="AA34" s="405"/>
      <c r="AB34" s="18"/>
      <c r="AC34" s="57"/>
      <c r="AD34" s="403"/>
    </row>
    <row r="35" spans="1:30" ht="15" customHeight="1">
      <c r="A35" s="422"/>
      <c r="B35" s="231"/>
      <c r="C35" s="27"/>
      <c r="D35" s="28"/>
      <c r="E35" s="29"/>
      <c r="F35" s="13"/>
      <c r="G35" s="53"/>
      <c r="H35" s="50">
        <f t="shared" si="15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90"/>
      <c r="S35" s="425"/>
      <c r="T35" s="41"/>
      <c r="U35" s="41"/>
      <c r="V35" s="42"/>
      <c r="W35" s="43">
        <f t="shared" si="8"/>
        <v>0</v>
      </c>
      <c r="X35" s="54"/>
      <c r="Y35" s="54"/>
      <c r="Z35" s="418"/>
      <c r="AA35" s="405"/>
      <c r="AB35" s="18"/>
      <c r="AC35" s="57"/>
      <c r="AD35" s="403"/>
    </row>
    <row r="36" spans="1:30" ht="15" customHeight="1">
      <c r="A36" s="422"/>
      <c r="B36" s="232"/>
      <c r="C36" s="27"/>
      <c r="D36" s="28"/>
      <c r="E36" s="29"/>
      <c r="F36" s="13"/>
      <c r="G36" s="53"/>
      <c r="H36" s="50">
        <f t="shared" si="15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90"/>
      <c r="S36" s="425"/>
      <c r="T36" s="41"/>
      <c r="U36" s="41"/>
      <c r="V36" s="42"/>
      <c r="W36" s="43">
        <f t="shared" si="8"/>
        <v>0</v>
      </c>
      <c r="X36" s="54"/>
      <c r="Y36" s="54"/>
      <c r="Z36" s="418"/>
      <c r="AA36" s="405"/>
      <c r="AB36" s="18"/>
      <c r="AC36" s="57"/>
      <c r="AD36" s="403"/>
    </row>
    <row r="37" spans="1:30" ht="15" customHeight="1" thickBot="1">
      <c r="A37" s="423"/>
      <c r="B37" s="300"/>
      <c r="C37" s="301" t="s">
        <v>36</v>
      </c>
      <c r="D37" s="428" t="s">
        <v>7</v>
      </c>
      <c r="E37" s="429"/>
      <c r="F37" s="281"/>
      <c r="G37" s="282"/>
      <c r="H37" s="283"/>
      <c r="I37" s="284"/>
      <c r="J37" s="285">
        <f t="shared" ref="J37:O37" si="16">AVERAGE(J27:J36)</f>
        <v>17.5</v>
      </c>
      <c r="K37" s="285">
        <f t="shared" si="16"/>
        <v>1475</v>
      </c>
      <c r="L37" s="286">
        <f t="shared" si="16"/>
        <v>84.501633986928113</v>
      </c>
      <c r="M37" s="285">
        <f t="shared" si="16"/>
        <v>17</v>
      </c>
      <c r="N37" s="285">
        <f t="shared" si="16"/>
        <v>1176.522033388479</v>
      </c>
      <c r="O37" s="286">
        <f t="shared" si="16"/>
        <v>69.207178434616424</v>
      </c>
      <c r="P37" s="73">
        <f>M37-J37</f>
        <v>-0.5</v>
      </c>
      <c r="Q37" s="74">
        <f>N37-K37</f>
        <v>-298.47796661152097</v>
      </c>
      <c r="R37" s="287">
        <f t="shared" ref="R37:R38" si="17">O37/L37</f>
        <v>0.81900402594963251</v>
      </c>
      <c r="S37" s="426"/>
      <c r="T37" s="302"/>
      <c r="U37" s="302"/>
      <c r="V37" s="81"/>
      <c r="W37" s="81"/>
      <c r="X37" s="303"/>
      <c r="Y37" s="303"/>
      <c r="Z37" s="430"/>
      <c r="AA37" s="379"/>
      <c r="AB37" s="34">
        <f t="shared" ref="AB37:AB38" si="18">N37-K37</f>
        <v>-298.47796661152097</v>
      </c>
      <c r="AC37" s="186">
        <f t="shared" ref="AC37:AC38" si="19">N37/K37</f>
        <v>0.7976420565345621</v>
      </c>
      <c r="AD37" s="403"/>
    </row>
    <row r="38" spans="1:30" s="62" customFormat="1" ht="15" customHeight="1">
      <c r="A38" s="454" t="s">
        <v>55</v>
      </c>
      <c r="B38" s="229" t="s">
        <v>134</v>
      </c>
      <c r="C38" s="199"/>
      <c r="D38" s="304" t="s">
        <v>156</v>
      </c>
      <c r="E38" s="280"/>
      <c r="F38" s="305">
        <f>VLOOKUP(D38,廠價表!$C$1:$E$39,3,0)</f>
        <v>56.43</v>
      </c>
      <c r="G38" s="266">
        <v>3704</v>
      </c>
      <c r="H38" s="147">
        <f t="shared" si="15"/>
        <v>209016.72</v>
      </c>
      <c r="I38" s="126"/>
      <c r="J38" s="274">
        <f>VLOOKUP(D38,產線配置圖!$A$2:$C$38,2,0)</f>
        <v>15</v>
      </c>
      <c r="K38" s="236">
        <f>VLOOKUP(D38,產線配置圖!$A$2:$C$38,3,0)</f>
        <v>1406</v>
      </c>
      <c r="L38" s="288">
        <f t="shared" ref="L38" si="20">K38/J38</f>
        <v>93.733333333333334</v>
      </c>
      <c r="M38" s="289">
        <v>15</v>
      </c>
      <c r="N38" s="127">
        <f>G38/W38*60</f>
        <v>1033.674418604651</v>
      </c>
      <c r="O38" s="128">
        <f>N38/M38</f>
        <v>68.911627906976733</v>
      </c>
      <c r="P38" s="129">
        <f t="shared" ref="P38" si="21">M38-J38</f>
        <v>0</v>
      </c>
      <c r="Q38" s="130">
        <f t="shared" ref="Q38" si="22">O38-L38</f>
        <v>-24.821705426356601</v>
      </c>
      <c r="R38" s="189">
        <f t="shared" si="17"/>
        <v>0.73518806444143026</v>
      </c>
      <c r="S38" s="457">
        <f>R48</f>
        <v>0.73518806444143026</v>
      </c>
      <c r="T38" s="151">
        <v>0.33333333333333331</v>
      </c>
      <c r="U38" s="151">
        <v>0.4826388888888889</v>
      </c>
      <c r="V38" s="148"/>
      <c r="W38" s="152">
        <f t="shared" si="8"/>
        <v>215.00000000000003</v>
      </c>
      <c r="X38" s="150"/>
      <c r="Y38" s="153"/>
      <c r="Z38" s="459" t="s">
        <v>160</v>
      </c>
      <c r="AA38" s="460"/>
      <c r="AB38" s="290">
        <f t="shared" si="18"/>
        <v>-372.32558139534899</v>
      </c>
      <c r="AC38" s="154">
        <f t="shared" si="19"/>
        <v>0.73518806444143026</v>
      </c>
      <c r="AD38" s="436">
        <f>AC48</f>
        <v>0.73518806444143026</v>
      </c>
    </row>
    <row r="39" spans="1:30" s="62" customFormat="1" ht="15" customHeight="1">
      <c r="A39" s="455"/>
      <c r="B39" s="56"/>
      <c r="C39" s="277"/>
      <c r="D39" s="279"/>
      <c r="E39" s="278"/>
      <c r="F39" s="56"/>
      <c r="G39" s="276"/>
      <c r="H39" s="63"/>
      <c r="I39" s="64"/>
      <c r="J39" s="37"/>
      <c r="K39" s="36"/>
      <c r="L39" s="38"/>
      <c r="M39" s="65"/>
      <c r="N39" s="66"/>
      <c r="O39" s="67"/>
      <c r="P39" s="39"/>
      <c r="Q39" s="40"/>
      <c r="R39" s="190"/>
      <c r="S39" s="458"/>
      <c r="T39" s="59"/>
      <c r="U39" s="59"/>
      <c r="V39" s="42"/>
      <c r="W39" s="69">
        <f t="shared" si="8"/>
        <v>0</v>
      </c>
      <c r="X39" s="22"/>
      <c r="Y39" s="22"/>
      <c r="Z39" s="439"/>
      <c r="AA39" s="440"/>
      <c r="AB39" s="271"/>
      <c r="AC39" s="61"/>
      <c r="AD39" s="437"/>
    </row>
    <row r="40" spans="1:30" s="62" customFormat="1" ht="15" customHeight="1">
      <c r="A40" s="455"/>
      <c r="B40" s="56"/>
      <c r="C40" s="275"/>
      <c r="D40" s="279"/>
      <c r="E40" s="243"/>
      <c r="F40" s="56"/>
      <c r="G40" s="276"/>
      <c r="H40" s="63"/>
      <c r="I40" s="64"/>
      <c r="J40" s="37"/>
      <c r="K40" s="36"/>
      <c r="L40" s="38"/>
      <c r="M40" s="65"/>
      <c r="N40" s="66"/>
      <c r="O40" s="67"/>
      <c r="P40" s="39"/>
      <c r="Q40" s="40"/>
      <c r="R40" s="190"/>
      <c r="S40" s="397"/>
      <c r="T40" s="59"/>
      <c r="U40" s="59"/>
      <c r="V40" s="42"/>
      <c r="W40" s="69">
        <f t="shared" si="8"/>
        <v>0</v>
      </c>
      <c r="X40" s="70"/>
      <c r="Y40" s="259"/>
      <c r="Z40" s="441"/>
      <c r="AA40" s="442"/>
      <c r="AB40" s="271"/>
      <c r="AC40" s="61"/>
      <c r="AD40" s="437"/>
    </row>
    <row r="41" spans="1:30" s="62" customFormat="1" ht="15" customHeight="1">
      <c r="A41" s="455"/>
      <c r="B41" s="56"/>
      <c r="C41" s="275"/>
      <c r="D41" s="279"/>
      <c r="E41" s="243"/>
      <c r="F41" s="56"/>
      <c r="G41" s="276"/>
      <c r="H41" s="63"/>
      <c r="I41" s="64"/>
      <c r="J41" s="37"/>
      <c r="K41" s="36"/>
      <c r="L41" s="38"/>
      <c r="M41" s="65"/>
      <c r="N41" s="66"/>
      <c r="O41" s="67"/>
      <c r="P41" s="39"/>
      <c r="Q41" s="40"/>
      <c r="R41" s="190"/>
      <c r="S41" s="397"/>
      <c r="T41" s="59"/>
      <c r="U41" s="59"/>
      <c r="V41" s="42"/>
      <c r="W41" s="69">
        <f t="shared" si="8"/>
        <v>0</v>
      </c>
      <c r="X41" s="70"/>
      <c r="Y41" s="259"/>
      <c r="Z41" s="443"/>
      <c r="AA41" s="444"/>
      <c r="AB41" s="271"/>
      <c r="AC41" s="61"/>
      <c r="AD41" s="437"/>
    </row>
    <row r="42" spans="1:30" s="62" customFormat="1" ht="15" customHeight="1">
      <c r="A42" s="455"/>
      <c r="B42" s="56"/>
      <c r="C42" s="23"/>
      <c r="D42" s="11"/>
      <c r="E42" s="12"/>
      <c r="F42" s="56"/>
      <c r="G42" s="99"/>
      <c r="H42" s="63">
        <f t="shared" ref="H42:H47" si="23">F42*G42</f>
        <v>0</v>
      </c>
      <c r="I42" s="64"/>
      <c r="J42" s="16"/>
      <c r="K42" s="14"/>
      <c r="L42" s="17"/>
      <c r="M42" s="65"/>
      <c r="N42" s="66"/>
      <c r="O42" s="67"/>
      <c r="P42" s="39"/>
      <c r="Q42" s="40"/>
      <c r="R42" s="68"/>
      <c r="S42" s="397"/>
      <c r="T42" s="75"/>
      <c r="U42" s="75"/>
      <c r="V42" s="42"/>
      <c r="W42" s="69">
        <f t="shared" si="8"/>
        <v>0</v>
      </c>
      <c r="X42" s="70"/>
      <c r="Y42" s="60"/>
      <c r="Z42" s="445"/>
      <c r="AA42" s="446"/>
      <c r="AB42" s="271"/>
      <c r="AC42" s="61"/>
      <c r="AD42" s="437"/>
    </row>
    <row r="43" spans="1:30" s="62" customFormat="1" ht="15" customHeight="1">
      <c r="A43" s="455"/>
      <c r="B43" s="230"/>
      <c r="C43" s="23"/>
      <c r="D43" s="11"/>
      <c r="E43" s="12"/>
      <c r="F43" s="13"/>
      <c r="G43" s="100"/>
      <c r="H43" s="63">
        <f t="shared" si="23"/>
        <v>0</v>
      </c>
      <c r="I43" s="64"/>
      <c r="J43" s="65"/>
      <c r="K43" s="66"/>
      <c r="L43" s="67"/>
      <c r="M43" s="65"/>
      <c r="N43" s="66"/>
      <c r="O43" s="67"/>
      <c r="P43" s="39"/>
      <c r="Q43" s="40"/>
      <c r="R43" s="68"/>
      <c r="S43" s="397"/>
      <c r="T43" s="75"/>
      <c r="U43" s="75"/>
      <c r="V43" s="64"/>
      <c r="W43" s="69">
        <f>(U43-T43)*24*60</f>
        <v>0</v>
      </c>
      <c r="X43" s="70"/>
      <c r="Y43" s="67"/>
      <c r="Z43" s="405"/>
      <c r="AA43" s="405"/>
      <c r="AB43" s="71"/>
      <c r="AC43" s="61"/>
      <c r="AD43" s="437"/>
    </row>
    <row r="44" spans="1:30" s="62" customFormat="1" ht="15" customHeight="1">
      <c r="A44" s="455"/>
      <c r="B44" s="230"/>
      <c r="C44" s="183"/>
      <c r="D44" s="11"/>
      <c r="E44" s="12"/>
      <c r="F44" s="13"/>
      <c r="G44" s="100"/>
      <c r="H44" s="63">
        <f t="shared" si="23"/>
        <v>0</v>
      </c>
      <c r="I44" s="64"/>
      <c r="J44" s="65"/>
      <c r="K44" s="66"/>
      <c r="L44" s="58"/>
      <c r="M44" s="65"/>
      <c r="N44" s="66"/>
      <c r="O44" s="67"/>
      <c r="P44" s="39"/>
      <c r="Q44" s="40"/>
      <c r="R44" s="68"/>
      <c r="S44" s="397"/>
      <c r="T44" s="59"/>
      <c r="U44" s="59"/>
      <c r="V44" s="64"/>
      <c r="W44" s="69">
        <f t="shared" ref="W44:W48" si="24">(U44-T44)*24*60</f>
        <v>0</v>
      </c>
      <c r="X44" s="70"/>
      <c r="Y44" s="67"/>
      <c r="Z44" s="405"/>
      <c r="AA44" s="405"/>
      <c r="AB44" s="71"/>
      <c r="AC44" s="61"/>
      <c r="AD44" s="437"/>
    </row>
    <row r="45" spans="1:30" s="62" customFormat="1" ht="15" customHeight="1">
      <c r="A45" s="455"/>
      <c r="B45" s="231"/>
      <c r="C45" s="27"/>
      <c r="D45" s="28"/>
      <c r="E45" s="29"/>
      <c r="F45" s="13"/>
      <c r="G45" s="66"/>
      <c r="H45" s="63">
        <f t="shared" si="23"/>
        <v>0</v>
      </c>
      <c r="I45" s="64"/>
      <c r="J45" s="65"/>
      <c r="K45" s="66"/>
      <c r="L45" s="67"/>
      <c r="M45" s="65"/>
      <c r="N45" s="66"/>
      <c r="O45" s="67"/>
      <c r="P45" s="39"/>
      <c r="Q45" s="40"/>
      <c r="R45" s="68"/>
      <c r="S45" s="397"/>
      <c r="T45" s="75"/>
      <c r="U45" s="75"/>
      <c r="V45" s="64"/>
      <c r="W45" s="69">
        <f t="shared" si="24"/>
        <v>0</v>
      </c>
      <c r="X45" s="70"/>
      <c r="Y45" s="67"/>
      <c r="Z45" s="405"/>
      <c r="AA45" s="405"/>
      <c r="AB45" s="71"/>
      <c r="AC45" s="61"/>
      <c r="AD45" s="437"/>
    </row>
    <row r="46" spans="1:30" s="62" customFormat="1" ht="15" customHeight="1">
      <c r="A46" s="455"/>
      <c r="B46" s="231"/>
      <c r="C46" s="27"/>
      <c r="D46" s="28"/>
      <c r="E46" s="29"/>
      <c r="F46" s="13"/>
      <c r="G46" s="66"/>
      <c r="H46" s="63">
        <f t="shared" si="23"/>
        <v>0</v>
      </c>
      <c r="I46" s="64"/>
      <c r="J46" s="65"/>
      <c r="K46" s="66"/>
      <c r="L46" s="67"/>
      <c r="M46" s="65"/>
      <c r="N46" s="66"/>
      <c r="O46" s="67"/>
      <c r="P46" s="39"/>
      <c r="Q46" s="40"/>
      <c r="R46" s="68"/>
      <c r="S46" s="397"/>
      <c r="T46" s="59"/>
      <c r="U46" s="59"/>
      <c r="V46" s="64"/>
      <c r="W46" s="69">
        <f t="shared" si="24"/>
        <v>0</v>
      </c>
      <c r="X46" s="70"/>
      <c r="Y46" s="67"/>
      <c r="Z46" s="405"/>
      <c r="AA46" s="405"/>
      <c r="AB46" s="71"/>
      <c r="AC46" s="61"/>
      <c r="AD46" s="437"/>
    </row>
    <row r="47" spans="1:30" s="62" customFormat="1" ht="15" customHeight="1">
      <c r="A47" s="455"/>
      <c r="B47" s="230"/>
      <c r="C47" s="27"/>
      <c r="D47" s="28"/>
      <c r="E47" s="29"/>
      <c r="F47" s="13"/>
      <c r="G47" s="66"/>
      <c r="H47" s="63">
        <f t="shared" si="23"/>
        <v>0</v>
      </c>
      <c r="I47" s="64"/>
      <c r="J47" s="65"/>
      <c r="K47" s="66"/>
      <c r="L47" s="67"/>
      <c r="M47" s="65"/>
      <c r="N47" s="66"/>
      <c r="O47" s="67"/>
      <c r="P47" s="39"/>
      <c r="Q47" s="40"/>
      <c r="R47" s="68"/>
      <c r="S47" s="397"/>
      <c r="T47" s="75"/>
      <c r="U47" s="75"/>
      <c r="V47" s="64"/>
      <c r="W47" s="69">
        <f t="shared" si="24"/>
        <v>0</v>
      </c>
      <c r="X47" s="70"/>
      <c r="Y47" s="67"/>
      <c r="Z47" s="405"/>
      <c r="AA47" s="405"/>
      <c r="AB47" s="71"/>
      <c r="AC47" s="61"/>
      <c r="AD47" s="437"/>
    </row>
    <row r="48" spans="1:30" ht="15" customHeight="1" thickBot="1">
      <c r="A48" s="456"/>
      <c r="B48" s="156"/>
      <c r="C48" s="1" t="s">
        <v>37</v>
      </c>
      <c r="D48" s="410" t="s">
        <v>7</v>
      </c>
      <c r="E48" s="410"/>
      <c r="F48" s="133"/>
      <c r="G48" s="145"/>
      <c r="H48" s="135"/>
      <c r="I48" s="136"/>
      <c r="J48" s="134">
        <f t="shared" ref="J48:O48" si="25">AVERAGE(J38:J47)</f>
        <v>15</v>
      </c>
      <c r="K48" s="134">
        <f t="shared" si="25"/>
        <v>1406</v>
      </c>
      <c r="L48" s="137">
        <f t="shared" si="25"/>
        <v>93.733333333333334</v>
      </c>
      <c r="M48" s="134">
        <f t="shared" si="25"/>
        <v>15</v>
      </c>
      <c r="N48" s="134">
        <f t="shared" si="25"/>
        <v>1033.674418604651</v>
      </c>
      <c r="O48" s="137">
        <f t="shared" si="25"/>
        <v>68.911627906976733</v>
      </c>
      <c r="P48" s="157">
        <f>M48-J48</f>
        <v>0</v>
      </c>
      <c r="Q48" s="158">
        <f>N48-K48</f>
        <v>-372.32558139534899</v>
      </c>
      <c r="R48" s="159">
        <f>O48/L48</f>
        <v>0.73518806444143026</v>
      </c>
      <c r="S48" s="399"/>
      <c r="T48" s="160"/>
      <c r="U48" s="160"/>
      <c r="V48" s="196"/>
      <c r="W48" s="161">
        <f t="shared" si="24"/>
        <v>0</v>
      </c>
      <c r="X48" s="162"/>
      <c r="Y48" s="162"/>
      <c r="Z48" s="391"/>
      <c r="AA48" s="391"/>
      <c r="AB48" s="163">
        <f>N48-K48</f>
        <v>-372.32558139534899</v>
      </c>
      <c r="AC48" s="191">
        <f>N48/K48</f>
        <v>0.73518806444143026</v>
      </c>
      <c r="AD48" s="438"/>
    </row>
    <row r="49" spans="1:30" ht="15" customHeight="1">
      <c r="A49" s="451" t="s">
        <v>56</v>
      </c>
      <c r="B49" s="199" t="str">
        <f>VLOOKUP(D49,廠價表!$C$1:$E$39,2,0)</f>
        <v>義大利麵</v>
      </c>
      <c r="C49" s="102"/>
      <c r="D49" s="103" t="s">
        <v>152</v>
      </c>
      <c r="E49" s="104"/>
      <c r="F49" s="199">
        <f>VLOOKUP(D49,廠價表!$C$1:$E$39,3,0)</f>
        <v>56.87</v>
      </c>
      <c r="G49" s="149">
        <v>2533</v>
      </c>
      <c r="H49" s="125">
        <f t="shared" ref="H49:H57" si="26">F49*G49</f>
        <v>144051.71</v>
      </c>
      <c r="I49" s="126"/>
      <c r="J49" s="108">
        <f>VLOOKUP(D49,產線配置圖!$A$2:$C$38,2,0)</f>
        <v>19</v>
      </c>
      <c r="K49" s="105">
        <v>1600</v>
      </c>
      <c r="L49" s="109">
        <f>K49/J49</f>
        <v>84.21052631578948</v>
      </c>
      <c r="M49" s="144">
        <v>17</v>
      </c>
      <c r="N49" s="127">
        <f>G49/W49*60</f>
        <v>1356.9642857142856</v>
      </c>
      <c r="O49" s="128">
        <f>N49/M49</f>
        <v>79.821428571428555</v>
      </c>
      <c r="P49" s="164">
        <f>M49-J49</f>
        <v>-2</v>
      </c>
      <c r="Q49" s="112">
        <f>O49-L49</f>
        <v>-4.3890977443609245</v>
      </c>
      <c r="R49" s="184">
        <f>O49/L49</f>
        <v>0.94787946428571401</v>
      </c>
      <c r="S49" s="396">
        <f>R58</f>
        <v>0.91807449634962612</v>
      </c>
      <c r="T49" s="151">
        <v>0.2902777777777778</v>
      </c>
      <c r="U49" s="151">
        <v>0.36805555555555558</v>
      </c>
      <c r="V49" s="188"/>
      <c r="W49" s="152">
        <f t="shared" si="8"/>
        <v>112</v>
      </c>
      <c r="X49" s="188"/>
      <c r="Y49" s="188"/>
      <c r="Z49" s="400"/>
      <c r="AA49" s="400"/>
      <c r="AB49" s="111">
        <f>N49-K49</f>
        <v>-243.03571428571445</v>
      </c>
      <c r="AC49" s="184">
        <f>N49/K49</f>
        <v>0.84810267857142851</v>
      </c>
      <c r="AD49" s="401">
        <f>AC58</f>
        <v>0.8978982080637139</v>
      </c>
    </row>
    <row r="50" spans="1:30" ht="15" customHeight="1">
      <c r="A50" s="452"/>
      <c r="B50" s="56" t="str">
        <f>VLOOKUP(D50,廠價表!$C$1:$E$39,2,0)</f>
        <v>義大利麵</v>
      </c>
      <c r="C50" s="10"/>
      <c r="D50" s="11" t="s">
        <v>65</v>
      </c>
      <c r="E50" s="86"/>
      <c r="F50" s="56">
        <f>VLOOKUP(D50,廠價表!$C$1:$E$39,3,0)</f>
        <v>49.97</v>
      </c>
      <c r="G50" s="66">
        <v>3564</v>
      </c>
      <c r="H50" s="76">
        <f t="shared" si="26"/>
        <v>178093.08</v>
      </c>
      <c r="I50" s="193"/>
      <c r="J50" s="16">
        <f>VLOOKUP(D50,產線配置圖!$A$2:$C$38,2,0)</f>
        <v>18</v>
      </c>
      <c r="K50" s="14">
        <f>VLOOKUP(D50,產線配置圖!$A$2:$C$38,3,0)</f>
        <v>1600</v>
      </c>
      <c r="L50" s="17">
        <f>K50/J50</f>
        <v>88.888888888888886</v>
      </c>
      <c r="M50" s="174">
        <v>18</v>
      </c>
      <c r="N50" s="77">
        <f>G50/W50*60</f>
        <v>1527.4285714285718</v>
      </c>
      <c r="O50" s="78">
        <f>N50/M50</f>
        <v>84.857142857142875</v>
      </c>
      <c r="P50" s="18">
        <f>M50-J50</f>
        <v>0</v>
      </c>
      <c r="Q50" s="19">
        <f>O50-L50</f>
        <v>-4.0317460317460103</v>
      </c>
      <c r="R50" s="185">
        <f>O50/L50</f>
        <v>0.95464285714285735</v>
      </c>
      <c r="S50" s="397"/>
      <c r="T50" s="79">
        <v>0.375</v>
      </c>
      <c r="U50" s="79">
        <v>0.47222222222222221</v>
      </c>
      <c r="V50" s="177">
        <f t="shared" ref="V50:V52" si="27">(T50-U49)*24*60</f>
        <v>9.9999999999999645</v>
      </c>
      <c r="W50" s="80">
        <f t="shared" si="8"/>
        <v>139.99999999999997</v>
      </c>
      <c r="X50" s="22"/>
      <c r="Y50" s="22"/>
      <c r="Z50" s="419"/>
      <c r="AA50" s="418"/>
      <c r="AB50" s="18">
        <f>N50-K50</f>
        <v>-72.571428571428214</v>
      </c>
      <c r="AC50" s="185">
        <f>N50/K50</f>
        <v>0.95464285714285735</v>
      </c>
      <c r="AD50" s="402"/>
    </row>
    <row r="51" spans="1:30" ht="15" customHeight="1">
      <c r="A51" s="452"/>
      <c r="B51" s="56" t="str">
        <f>VLOOKUP(D51,廠價表!$C$1:$E$39,2,0)</f>
        <v>義大利麵</v>
      </c>
      <c r="C51" s="10"/>
      <c r="D51" s="11" t="s">
        <v>65</v>
      </c>
      <c r="E51" s="86"/>
      <c r="F51" s="56">
        <f>VLOOKUP(D51,廠價表!$C$1:$E$39,3,0)</f>
        <v>49.97</v>
      </c>
      <c r="G51" s="66">
        <v>1056</v>
      </c>
      <c r="H51" s="76">
        <f t="shared" si="26"/>
        <v>52768.32</v>
      </c>
      <c r="I51" s="193"/>
      <c r="J51" s="16">
        <f>VLOOKUP(D51,產線配置圖!$A$2:$C$38,2,0)</f>
        <v>18</v>
      </c>
      <c r="K51" s="14">
        <f>VLOOKUP(D51,產線配置圖!$A$2:$C$38,3,0)</f>
        <v>1600</v>
      </c>
      <c r="L51" s="17">
        <f>K51/J51</f>
        <v>88.888888888888886</v>
      </c>
      <c r="M51" s="174">
        <v>18</v>
      </c>
      <c r="N51" s="77">
        <f>G51/W51*60</f>
        <v>1545.365853658536</v>
      </c>
      <c r="O51" s="78">
        <f>N51/M51</f>
        <v>85.853658536585328</v>
      </c>
      <c r="P51" s="18">
        <f>M51-J51</f>
        <v>0</v>
      </c>
      <c r="Q51" s="19">
        <f>O51-L51</f>
        <v>-3.0352303523035573</v>
      </c>
      <c r="R51" s="185">
        <f>O51/L51</f>
        <v>0.965853658536585</v>
      </c>
      <c r="S51" s="397"/>
      <c r="T51" s="79">
        <v>0.5444444444444444</v>
      </c>
      <c r="U51" s="44">
        <v>0.57291666666666663</v>
      </c>
      <c r="V51" s="177">
        <f t="shared" si="27"/>
        <v>103.99999999999994</v>
      </c>
      <c r="W51" s="80">
        <f t="shared" si="8"/>
        <v>41.000000000000014</v>
      </c>
      <c r="X51" s="22"/>
      <c r="Y51" s="22"/>
      <c r="Z51" s="405"/>
      <c r="AA51" s="405"/>
      <c r="AB51" s="18">
        <f>N51-K51</f>
        <v>-54.634146341463975</v>
      </c>
      <c r="AC51" s="185">
        <f>N51/K51</f>
        <v>0.965853658536585</v>
      </c>
      <c r="AD51" s="402"/>
    </row>
    <row r="52" spans="1:30" ht="15" customHeight="1">
      <c r="A52" s="452"/>
      <c r="B52" s="56" t="str">
        <f>VLOOKUP(D52,廠價表!$C$1:$E$39,2,0)</f>
        <v>義大利麵</v>
      </c>
      <c r="C52" s="23"/>
      <c r="D52" s="11" t="s">
        <v>158</v>
      </c>
      <c r="E52" s="12"/>
      <c r="F52" s="56">
        <f>VLOOKUP(D52,廠價表!$C$1:$E$39,3,0)</f>
        <v>47.71</v>
      </c>
      <c r="G52" s="66">
        <v>818</v>
      </c>
      <c r="H52" s="76">
        <f t="shared" ref="H52" si="28">F52*G52</f>
        <v>39026.78</v>
      </c>
      <c r="I52" s="193"/>
      <c r="J52" s="16">
        <f>VLOOKUP(D52,產線配置圖!$A$2:$C$38,2,0)</f>
        <v>15</v>
      </c>
      <c r="K52" s="14">
        <f>VLOOKUP(D52,產線配置圖!$A$2:$C$38,3,0)</f>
        <v>1500</v>
      </c>
      <c r="L52" s="17">
        <f>K52/J52</f>
        <v>100</v>
      </c>
      <c r="M52" s="174">
        <v>15</v>
      </c>
      <c r="N52" s="77">
        <f>G52/W52*60</f>
        <v>1227.0000000000045</v>
      </c>
      <c r="O52" s="78">
        <f>N52/M52</f>
        <v>81.80000000000031</v>
      </c>
      <c r="P52" s="18">
        <f>M52-J52</f>
        <v>0</v>
      </c>
      <c r="Q52" s="19">
        <f>O52-L52</f>
        <v>-18.19999999999969</v>
      </c>
      <c r="R52" s="185">
        <f>O52/L52</f>
        <v>0.81800000000000306</v>
      </c>
      <c r="S52" s="397"/>
      <c r="T52" s="79">
        <v>0.57986111111111116</v>
      </c>
      <c r="U52" s="79">
        <v>0.60763888888888884</v>
      </c>
      <c r="V52" s="177">
        <f t="shared" si="27"/>
        <v>10.000000000000124</v>
      </c>
      <c r="W52" s="80">
        <f t="shared" si="8"/>
        <v>39.999999999999858</v>
      </c>
      <c r="X52" s="22"/>
      <c r="Y52" s="22"/>
      <c r="Z52" s="405"/>
      <c r="AA52" s="405"/>
      <c r="AB52" s="18"/>
      <c r="AC52" s="185"/>
      <c r="AD52" s="402"/>
    </row>
    <row r="53" spans="1:30" ht="15" customHeight="1">
      <c r="A53" s="452"/>
      <c r="B53" s="56"/>
      <c r="C53" s="23"/>
      <c r="D53" s="11"/>
      <c r="E53" s="12"/>
      <c r="F53" s="56"/>
      <c r="G53" s="66"/>
      <c r="H53" s="76"/>
      <c r="I53" s="193"/>
      <c r="J53" s="16"/>
      <c r="K53" s="14"/>
      <c r="L53" s="17"/>
      <c r="M53" s="174"/>
      <c r="N53" s="77"/>
      <c r="O53" s="78"/>
      <c r="P53" s="18"/>
      <c r="Q53" s="19"/>
      <c r="R53" s="185"/>
      <c r="S53" s="397"/>
      <c r="T53" s="79"/>
      <c r="U53" s="79"/>
      <c r="V53" s="177"/>
      <c r="W53" s="80">
        <f t="shared" si="8"/>
        <v>0</v>
      </c>
      <c r="X53" s="177"/>
      <c r="Y53" s="177"/>
      <c r="Z53" s="419"/>
      <c r="AA53" s="418"/>
      <c r="AB53" s="18"/>
      <c r="AC53" s="185"/>
      <c r="AD53" s="402"/>
    </row>
    <row r="54" spans="1:30" ht="15" customHeight="1">
      <c r="A54" s="452"/>
      <c r="B54" s="177"/>
      <c r="C54" s="183"/>
      <c r="D54" s="11"/>
      <c r="E54" s="12"/>
      <c r="F54" s="13"/>
      <c r="G54" s="66"/>
      <c r="H54" s="76"/>
      <c r="I54" s="177"/>
      <c r="J54" s="31"/>
      <c r="K54" s="30"/>
      <c r="L54" s="38"/>
      <c r="M54" s="181"/>
      <c r="N54" s="30"/>
      <c r="O54" s="35"/>
      <c r="P54" s="18"/>
      <c r="Q54" s="19"/>
      <c r="R54" s="185"/>
      <c r="S54" s="397"/>
      <c r="T54" s="79"/>
      <c r="U54" s="79"/>
      <c r="V54" s="197"/>
      <c r="W54" s="80">
        <f t="shared" si="8"/>
        <v>0</v>
      </c>
      <c r="X54" s="177"/>
      <c r="Y54" s="177"/>
      <c r="Z54" s="419"/>
      <c r="AA54" s="418"/>
      <c r="AB54" s="18"/>
      <c r="AC54" s="185"/>
      <c r="AD54" s="402"/>
    </row>
    <row r="55" spans="1:30" ht="15" customHeight="1">
      <c r="A55" s="452"/>
      <c r="B55" s="26"/>
      <c r="C55" s="27"/>
      <c r="D55" s="28"/>
      <c r="E55" s="29"/>
      <c r="F55" s="13"/>
      <c r="G55" s="66"/>
      <c r="H55" s="15">
        <f t="shared" si="26"/>
        <v>0</v>
      </c>
      <c r="I55" s="177"/>
      <c r="J55" s="31"/>
      <c r="K55" s="30"/>
      <c r="L55" s="38"/>
      <c r="M55" s="181"/>
      <c r="N55" s="30"/>
      <c r="O55" s="35"/>
      <c r="P55" s="18"/>
      <c r="Q55" s="19"/>
      <c r="R55" s="185"/>
      <c r="S55" s="397"/>
      <c r="T55" s="79"/>
      <c r="U55" s="79"/>
      <c r="V55" s="197"/>
      <c r="W55" s="80">
        <f t="shared" si="8"/>
        <v>0</v>
      </c>
      <c r="X55" s="177"/>
      <c r="Y55" s="177"/>
      <c r="Z55" s="419"/>
      <c r="AA55" s="418"/>
      <c r="AB55" s="18"/>
      <c r="AC55" s="185"/>
      <c r="AD55" s="402"/>
    </row>
    <row r="56" spans="1:30" ht="15" customHeight="1">
      <c r="A56" s="452"/>
      <c r="B56" s="26"/>
      <c r="C56" s="27"/>
      <c r="D56" s="28"/>
      <c r="E56" s="29"/>
      <c r="F56" s="13"/>
      <c r="G56" s="66"/>
      <c r="H56" s="15">
        <f t="shared" si="26"/>
        <v>0</v>
      </c>
      <c r="I56" s="177"/>
      <c r="J56" s="31"/>
      <c r="K56" s="30"/>
      <c r="L56" s="38"/>
      <c r="M56" s="181"/>
      <c r="N56" s="30"/>
      <c r="O56" s="35"/>
      <c r="P56" s="18"/>
      <c r="Q56" s="19"/>
      <c r="R56" s="185"/>
      <c r="S56" s="397"/>
      <c r="T56" s="79"/>
      <c r="U56" s="79"/>
      <c r="V56" s="197"/>
      <c r="W56" s="80">
        <f t="shared" si="8"/>
        <v>0</v>
      </c>
      <c r="X56" s="177"/>
      <c r="Y56" s="177"/>
      <c r="Z56" s="405"/>
      <c r="AA56" s="405"/>
      <c r="AB56" s="18"/>
      <c r="AC56" s="185"/>
      <c r="AD56" s="402"/>
    </row>
    <row r="57" spans="1:30" ht="15" customHeight="1">
      <c r="A57" s="452"/>
      <c r="B57" s="26"/>
      <c r="C57" s="27"/>
      <c r="D57" s="28"/>
      <c r="E57" s="29"/>
      <c r="F57" s="13"/>
      <c r="G57" s="66"/>
      <c r="H57" s="15">
        <f t="shared" si="26"/>
        <v>0</v>
      </c>
      <c r="I57" s="177"/>
      <c r="J57" s="31"/>
      <c r="K57" s="30"/>
      <c r="L57" s="38"/>
      <c r="M57" s="181"/>
      <c r="N57" s="30"/>
      <c r="O57" s="35"/>
      <c r="P57" s="18"/>
      <c r="Q57" s="19"/>
      <c r="R57" s="185"/>
      <c r="S57" s="397"/>
      <c r="T57" s="79"/>
      <c r="U57" s="79"/>
      <c r="V57" s="197"/>
      <c r="W57" s="80">
        <f t="shared" si="8"/>
        <v>0</v>
      </c>
      <c r="X57" s="177"/>
      <c r="Y57" s="177"/>
      <c r="Z57" s="405"/>
      <c r="AA57" s="405"/>
      <c r="AB57" s="18"/>
      <c r="AC57" s="185"/>
      <c r="AD57" s="402"/>
    </row>
    <row r="58" spans="1:30" ht="15" customHeight="1" thickBot="1">
      <c r="A58" s="453"/>
      <c r="B58" s="165"/>
      <c r="C58" s="1" t="s">
        <v>38</v>
      </c>
      <c r="D58" s="410" t="s">
        <v>7</v>
      </c>
      <c r="E58" s="410"/>
      <c r="F58" s="114"/>
      <c r="G58" s="166"/>
      <c r="H58" s="116"/>
      <c r="I58" s="115"/>
      <c r="J58" s="118">
        <f t="shared" ref="J58:O58" si="29">AVERAGE(J49:J57)</f>
        <v>17.5</v>
      </c>
      <c r="K58" s="118">
        <f t="shared" si="29"/>
        <v>1575</v>
      </c>
      <c r="L58" s="115">
        <f t="shared" si="29"/>
        <v>90.497076023391813</v>
      </c>
      <c r="M58" s="118">
        <f t="shared" si="29"/>
        <v>17</v>
      </c>
      <c r="N58" s="118">
        <f t="shared" si="29"/>
        <v>1414.1896777003494</v>
      </c>
      <c r="O58" s="115">
        <f t="shared" si="29"/>
        <v>83.083057491289267</v>
      </c>
      <c r="P58" s="119">
        <f>M58-J58</f>
        <v>-0.5</v>
      </c>
      <c r="Q58" s="120">
        <f>N58-K58</f>
        <v>-160.81032229965058</v>
      </c>
      <c r="R58" s="121">
        <f t="shared" ref="R58:R60" si="30">O58/L58</f>
        <v>0.91807449634962612</v>
      </c>
      <c r="S58" s="399"/>
      <c r="T58" s="167"/>
      <c r="U58" s="167"/>
      <c r="V58" s="195"/>
      <c r="W58" s="168"/>
      <c r="X58" s="124"/>
      <c r="Y58" s="124"/>
      <c r="Z58" s="391"/>
      <c r="AA58" s="391"/>
      <c r="AB58" s="119">
        <f t="shared" ref="AB58:AB61" si="31">N58-K58</f>
        <v>-160.81032229965058</v>
      </c>
      <c r="AC58" s="187">
        <f t="shared" ref="AC58:AC61" si="32">N58/K58</f>
        <v>0.8978982080637139</v>
      </c>
      <c r="AD58" s="404"/>
    </row>
    <row r="59" spans="1:30" ht="15" customHeight="1">
      <c r="A59" s="466" t="s">
        <v>57</v>
      </c>
      <c r="B59" s="199" t="str">
        <f>VLOOKUP(D59,廠價表!$C$1:$E$39,2,0)</f>
        <v>小吃、微波</v>
      </c>
      <c r="C59" s="102"/>
      <c r="D59" s="103" t="s">
        <v>125</v>
      </c>
      <c r="E59" s="104"/>
      <c r="F59" s="199">
        <f>VLOOKUP(D59,廠價表!$C$1:$E$39,3,0)</f>
        <v>26.99</v>
      </c>
      <c r="G59" s="188">
        <v>3679</v>
      </c>
      <c r="H59" s="106">
        <f t="shared" ref="H59:H68" si="33">F59*G59</f>
        <v>99296.209999999992</v>
      </c>
      <c r="I59" s="188"/>
      <c r="J59" s="108">
        <f>VLOOKUP(D59,產線配置圖!$A$2:$C$38,2,0)</f>
        <v>13</v>
      </c>
      <c r="K59" s="105">
        <f>VLOOKUP(D59,產線配置圖!$A$2:$C$38,3,0)</f>
        <v>1565</v>
      </c>
      <c r="L59" s="109">
        <f>K59/J59</f>
        <v>120.38461538461539</v>
      </c>
      <c r="M59" s="110">
        <v>13</v>
      </c>
      <c r="N59" s="105">
        <f t="shared" ref="N59:N61" si="34">G59/W59*60</f>
        <v>1076.780487804878</v>
      </c>
      <c r="O59" s="109">
        <f t="shared" ref="O59:O61" si="35">N59/M59</f>
        <v>82.829268292682926</v>
      </c>
      <c r="P59" s="111">
        <f t="shared" ref="P59:P61" si="36">M59-J59</f>
        <v>0</v>
      </c>
      <c r="Q59" s="112">
        <f t="shared" ref="Q59:Q61" si="37">O59-L59</f>
        <v>-37.555347091932461</v>
      </c>
      <c r="R59" s="184">
        <f t="shared" si="30"/>
        <v>0.68803865035455469</v>
      </c>
      <c r="S59" s="396">
        <f>R69</f>
        <v>0.72872391388826474</v>
      </c>
      <c r="T59" s="169">
        <v>0.29166666666666669</v>
      </c>
      <c r="U59" s="169">
        <v>0.43402777777777779</v>
      </c>
      <c r="V59" s="188"/>
      <c r="W59" s="107">
        <f t="shared" si="8"/>
        <v>205</v>
      </c>
      <c r="X59" s="188"/>
      <c r="Y59" s="188"/>
      <c r="Z59" s="373" t="s">
        <v>165</v>
      </c>
      <c r="AA59" s="374"/>
      <c r="AB59" s="225">
        <f t="shared" si="31"/>
        <v>-488.21951219512198</v>
      </c>
      <c r="AC59" s="226">
        <f t="shared" si="32"/>
        <v>0.68803865035455469</v>
      </c>
      <c r="AD59" s="401">
        <f>AC69</f>
        <v>0.727941504974155</v>
      </c>
    </row>
    <row r="60" spans="1:30" ht="15" customHeight="1">
      <c r="A60" s="467"/>
      <c r="B60" s="56" t="str">
        <f>VLOOKUP(D60,廠價表!$C$1:$E$39,2,0)</f>
        <v>小吃、微波</v>
      </c>
      <c r="C60" s="10"/>
      <c r="D60" s="242" t="s">
        <v>135</v>
      </c>
      <c r="E60" s="86"/>
      <c r="F60" s="56">
        <f>VLOOKUP(D60,廠價表!$C$1:$E$39,3,0)</f>
        <v>28.26</v>
      </c>
      <c r="G60" s="177">
        <v>1225</v>
      </c>
      <c r="H60" s="15">
        <f t="shared" si="33"/>
        <v>34618.5</v>
      </c>
      <c r="I60" s="177"/>
      <c r="J60" s="16">
        <f>VLOOKUP(D60,產線配置圖!$A$2:$C$38,2,0)</f>
        <v>12</v>
      </c>
      <c r="K60" s="14">
        <f>VLOOKUP(D60,產線配置圖!$A$2:$C$38,3,0)</f>
        <v>1565</v>
      </c>
      <c r="L60" s="17">
        <f>K60/J60</f>
        <v>130.41666666666666</v>
      </c>
      <c r="M60" s="180">
        <v>12</v>
      </c>
      <c r="N60" s="14">
        <f t="shared" si="34"/>
        <v>1049.9999999999989</v>
      </c>
      <c r="O60" s="17">
        <f t="shared" si="35"/>
        <v>87.499999999999901</v>
      </c>
      <c r="P60" s="18">
        <f t="shared" si="36"/>
        <v>0</v>
      </c>
      <c r="Q60" s="19">
        <f t="shared" si="37"/>
        <v>-42.916666666666757</v>
      </c>
      <c r="R60" s="185">
        <f t="shared" si="30"/>
        <v>0.67092651757188426</v>
      </c>
      <c r="S60" s="470"/>
      <c r="T60" s="198">
        <v>0.44444444444444442</v>
      </c>
      <c r="U60" s="198">
        <v>0.49305555555555558</v>
      </c>
      <c r="V60" s="177">
        <f t="shared" ref="V60:V62" si="38">(T60-U59)*24*60</f>
        <v>14.999999999999947</v>
      </c>
      <c r="W60" s="90">
        <f t="shared" si="8"/>
        <v>70.000000000000071</v>
      </c>
      <c r="X60" s="193"/>
      <c r="Y60" s="193"/>
      <c r="Z60" s="375"/>
      <c r="AA60" s="376"/>
      <c r="AB60" s="227">
        <f t="shared" si="31"/>
        <v>-515.00000000000114</v>
      </c>
      <c r="AC60" s="228">
        <f t="shared" si="32"/>
        <v>0.67092651757188426</v>
      </c>
      <c r="AD60" s="473"/>
    </row>
    <row r="61" spans="1:30" ht="15" customHeight="1">
      <c r="A61" s="468"/>
      <c r="B61" s="56" t="str">
        <f>VLOOKUP(D61,廠價表!$C$1:$E$39,2,0)</f>
        <v>小吃、微波</v>
      </c>
      <c r="C61" s="10"/>
      <c r="D61" s="242" t="s">
        <v>146</v>
      </c>
      <c r="E61" s="86"/>
      <c r="F61" s="56">
        <f>VLOOKUP(D61,廠價表!$C$1:$E$39,3,0)</f>
        <v>28.47</v>
      </c>
      <c r="G61" s="177">
        <v>954</v>
      </c>
      <c r="H61" s="15">
        <f t="shared" si="33"/>
        <v>27160.379999999997</v>
      </c>
      <c r="I61" s="81"/>
      <c r="J61" s="16">
        <f>VLOOKUP(D61,產線配置圖!$A$2:$C$38,2,0)</f>
        <v>12</v>
      </c>
      <c r="K61" s="14">
        <f>VLOOKUP(D61,產線配置圖!$A$2:$C$38,3,0)</f>
        <v>1565</v>
      </c>
      <c r="L61" s="17">
        <f t="shared" ref="L61" si="39">K61/J61</f>
        <v>130.41666666666666</v>
      </c>
      <c r="M61" s="180">
        <v>12</v>
      </c>
      <c r="N61" s="14">
        <f t="shared" si="34"/>
        <v>1144.8000000000004</v>
      </c>
      <c r="O61" s="17">
        <f t="shared" si="35"/>
        <v>95.400000000000034</v>
      </c>
      <c r="P61" s="18">
        <f t="shared" si="36"/>
        <v>0</v>
      </c>
      <c r="Q61" s="19">
        <f t="shared" si="37"/>
        <v>-35.016666666666623</v>
      </c>
      <c r="R61" s="185">
        <f>O61/L61</f>
        <v>0.73150159744408982</v>
      </c>
      <c r="S61" s="397"/>
      <c r="T61" s="20">
        <v>0.50347222222222221</v>
      </c>
      <c r="U61" s="20">
        <v>0.53819444444444442</v>
      </c>
      <c r="V61" s="177">
        <f t="shared" si="38"/>
        <v>14.999999999999947</v>
      </c>
      <c r="W61" s="88">
        <f t="shared" si="8"/>
        <v>49.999999999999986</v>
      </c>
      <c r="X61" s="22"/>
      <c r="Y61" s="22"/>
      <c r="Z61" s="375"/>
      <c r="AA61" s="376"/>
      <c r="AB61" s="51">
        <f t="shared" si="31"/>
        <v>-420.19999999999959</v>
      </c>
      <c r="AC61" s="52">
        <f t="shared" si="32"/>
        <v>0.73150159744408971</v>
      </c>
      <c r="AD61" s="402"/>
    </row>
    <row r="62" spans="1:30" ht="15" customHeight="1">
      <c r="A62" s="468"/>
      <c r="B62" s="56" t="str">
        <f>VLOOKUP(D62,廠價表!$C$1:$E$39,2,0)</f>
        <v>小吃、微波</v>
      </c>
      <c r="C62" s="10"/>
      <c r="D62" s="242" t="s">
        <v>135</v>
      </c>
      <c r="E62" s="86"/>
      <c r="F62" s="56">
        <f>VLOOKUP(D62,廠價表!$C$1:$E$39,3,0)</f>
        <v>28.26</v>
      </c>
      <c r="G62" s="177">
        <v>964</v>
      </c>
      <c r="H62" s="15">
        <f t="shared" ref="H62" si="40">F62*G62</f>
        <v>27242.640000000003</v>
      </c>
      <c r="I62" s="81"/>
      <c r="J62" s="16">
        <f>VLOOKUP(D62,產線配置圖!$A$2:$C$38,2,0)</f>
        <v>12</v>
      </c>
      <c r="K62" s="14">
        <f>VLOOKUP(D62,產線配置圖!$A$2:$C$38,3,0)</f>
        <v>1565</v>
      </c>
      <c r="L62" s="17">
        <f t="shared" ref="L62" si="41">K62/J62</f>
        <v>130.41666666666666</v>
      </c>
      <c r="M62" s="180">
        <v>12</v>
      </c>
      <c r="N62" s="14">
        <f t="shared" ref="N62" si="42">G62/W62*60</f>
        <v>1285.3333333333333</v>
      </c>
      <c r="O62" s="17">
        <f t="shared" ref="O62" si="43">N62/M62</f>
        <v>107.1111111111111</v>
      </c>
      <c r="P62" s="18">
        <f t="shared" ref="P62" si="44">M62-J62</f>
        <v>0</v>
      </c>
      <c r="Q62" s="19">
        <f t="shared" ref="Q62" si="45">O62-L62</f>
        <v>-23.305555555555557</v>
      </c>
      <c r="R62" s="185">
        <f>O62/L62</f>
        <v>0.82129925452609154</v>
      </c>
      <c r="S62" s="397"/>
      <c r="T62" s="20">
        <v>0.58680555555555558</v>
      </c>
      <c r="U62" s="20">
        <v>0.61805555555555558</v>
      </c>
      <c r="V62" s="177">
        <f t="shared" si="38"/>
        <v>70.000000000000071</v>
      </c>
      <c r="W62" s="90">
        <f t="shared" si="8"/>
        <v>45</v>
      </c>
      <c r="X62" s="22"/>
      <c r="Y62" s="22"/>
      <c r="Z62" s="375"/>
      <c r="AA62" s="376"/>
      <c r="AB62" s="51"/>
      <c r="AC62" s="52"/>
      <c r="AD62" s="402"/>
    </row>
    <row r="63" spans="1:30" ht="15" customHeight="1">
      <c r="A63" s="468"/>
      <c r="B63" s="56"/>
      <c r="C63" s="23"/>
      <c r="D63" s="11"/>
      <c r="E63" s="12"/>
      <c r="F63" s="56"/>
      <c r="G63" s="177"/>
      <c r="H63" s="15"/>
      <c r="I63" s="81"/>
      <c r="J63" s="16"/>
      <c r="K63" s="14"/>
      <c r="L63" s="17"/>
      <c r="M63" s="180"/>
      <c r="N63" s="14"/>
      <c r="O63" s="17"/>
      <c r="P63" s="18"/>
      <c r="Q63" s="19"/>
      <c r="R63" s="185"/>
      <c r="S63" s="397"/>
      <c r="T63" s="20"/>
      <c r="U63" s="20"/>
      <c r="V63" s="177"/>
      <c r="W63" s="90">
        <f t="shared" si="8"/>
        <v>0</v>
      </c>
      <c r="X63" s="84"/>
      <c r="Y63" s="84"/>
      <c r="Z63" s="377"/>
      <c r="AA63" s="378"/>
      <c r="AB63" s="51"/>
      <c r="AC63" s="52"/>
      <c r="AD63" s="402"/>
    </row>
    <row r="64" spans="1:30" ht="15" customHeight="1">
      <c r="A64" s="468"/>
      <c r="B64" s="177"/>
      <c r="C64" s="23"/>
      <c r="D64" s="11"/>
      <c r="E64" s="12"/>
      <c r="F64" s="13"/>
      <c r="G64" s="177"/>
      <c r="H64" s="15">
        <f t="shared" si="33"/>
        <v>0</v>
      </c>
      <c r="I64" s="177"/>
      <c r="J64" s="16"/>
      <c r="K64" s="14"/>
      <c r="L64" s="17"/>
      <c r="M64" s="180"/>
      <c r="N64" s="14"/>
      <c r="O64" s="17"/>
      <c r="P64" s="18"/>
      <c r="Q64" s="19"/>
      <c r="R64" s="185"/>
      <c r="S64" s="397"/>
      <c r="T64" s="20"/>
      <c r="U64" s="20"/>
      <c r="V64" s="177"/>
      <c r="W64" s="182">
        <f t="shared" si="8"/>
        <v>0</v>
      </c>
      <c r="X64" s="84"/>
      <c r="Y64" s="84"/>
      <c r="Z64" s="419"/>
      <c r="AA64" s="418"/>
      <c r="AB64" s="18"/>
      <c r="AC64" s="55"/>
      <c r="AD64" s="402"/>
    </row>
    <row r="65" spans="1:32" ht="15" customHeight="1">
      <c r="A65" s="468"/>
      <c r="B65" s="177"/>
      <c r="C65" s="183"/>
      <c r="D65" s="11"/>
      <c r="E65" s="12"/>
      <c r="F65" s="13"/>
      <c r="G65" s="177"/>
      <c r="H65" s="15">
        <f t="shared" si="33"/>
        <v>0</v>
      </c>
      <c r="I65" s="177"/>
      <c r="J65" s="16"/>
      <c r="K65" s="82"/>
      <c r="L65" s="83"/>
      <c r="M65" s="180"/>
      <c r="N65" s="14"/>
      <c r="O65" s="17"/>
      <c r="P65" s="18"/>
      <c r="Q65" s="19"/>
      <c r="R65" s="185"/>
      <c r="S65" s="397"/>
      <c r="T65" s="20"/>
      <c r="U65" s="20"/>
      <c r="V65" s="177" t="s">
        <v>166</v>
      </c>
      <c r="W65" s="182">
        <f t="shared" si="8"/>
        <v>0</v>
      </c>
      <c r="X65" s="84"/>
      <c r="Y65" s="84"/>
      <c r="Z65" s="419"/>
      <c r="AA65" s="418"/>
      <c r="AB65" s="18"/>
      <c r="AC65" s="55"/>
      <c r="AD65" s="402"/>
    </row>
    <row r="66" spans="1:32" ht="15" customHeight="1">
      <c r="A66" s="468"/>
      <c r="B66" s="26"/>
      <c r="C66" s="27"/>
      <c r="D66" s="28"/>
      <c r="E66" s="29"/>
      <c r="F66" s="13"/>
      <c r="G66" s="183"/>
      <c r="H66" s="15">
        <f t="shared" si="33"/>
        <v>0</v>
      </c>
      <c r="I66" s="85"/>
      <c r="J66" s="16"/>
      <c r="K66" s="14"/>
      <c r="L66" s="17"/>
      <c r="M66" s="21"/>
      <c r="N66" s="36"/>
      <c r="O66" s="38"/>
      <c r="P66" s="39"/>
      <c r="Q66" s="40"/>
      <c r="R66" s="68"/>
      <c r="S66" s="397"/>
      <c r="T66" s="20"/>
      <c r="U66" s="20"/>
      <c r="V66" s="177"/>
      <c r="W66" s="182">
        <f t="shared" si="8"/>
        <v>0</v>
      </c>
      <c r="X66" s="84"/>
      <c r="Y66" s="84"/>
      <c r="Z66" s="405"/>
      <c r="AA66" s="405"/>
      <c r="AB66" s="18"/>
      <c r="AC66" s="55"/>
      <c r="AD66" s="402"/>
    </row>
    <row r="67" spans="1:32" ht="15" customHeight="1">
      <c r="A67" s="468"/>
      <c r="B67" s="26"/>
      <c r="C67" s="27"/>
      <c r="D67" s="28"/>
      <c r="E67" s="29"/>
      <c r="F67" s="13"/>
      <c r="G67" s="177"/>
      <c r="H67" s="15">
        <f t="shared" si="33"/>
        <v>0</v>
      </c>
      <c r="I67" s="177"/>
      <c r="J67" s="16"/>
      <c r="K67" s="14"/>
      <c r="L67" s="17"/>
      <c r="M67" s="21"/>
      <c r="N67" s="36"/>
      <c r="O67" s="38"/>
      <c r="P67" s="39"/>
      <c r="Q67" s="40"/>
      <c r="R67" s="68"/>
      <c r="S67" s="397"/>
      <c r="T67" s="32"/>
      <c r="U67" s="32"/>
      <c r="V67" s="177"/>
      <c r="W67" s="182">
        <f t="shared" si="8"/>
        <v>0</v>
      </c>
      <c r="X67" s="84"/>
      <c r="Y67" s="84"/>
      <c r="Z67" s="419"/>
      <c r="AA67" s="418"/>
      <c r="AB67" s="18"/>
      <c r="AC67" s="55"/>
      <c r="AD67" s="402"/>
    </row>
    <row r="68" spans="1:32" ht="15" customHeight="1">
      <c r="A68" s="468"/>
      <c r="B68" s="26"/>
      <c r="C68" s="27"/>
      <c r="D68" s="28"/>
      <c r="E68" s="29"/>
      <c r="F68" s="13"/>
      <c r="G68" s="183"/>
      <c r="H68" s="15">
        <f t="shared" si="33"/>
        <v>0</v>
      </c>
      <c r="I68" s="85"/>
      <c r="J68" s="16"/>
      <c r="K68" s="260"/>
      <c r="L68" s="261"/>
      <c r="M68" s="21"/>
      <c r="N68" s="36"/>
      <c r="O68" s="38"/>
      <c r="P68" s="39"/>
      <c r="Q68" s="40"/>
      <c r="R68" s="68"/>
      <c r="S68" s="471"/>
      <c r="T68" s="41"/>
      <c r="U68" s="41"/>
      <c r="V68" s="294"/>
      <c r="W68" s="182">
        <f t="shared" si="8"/>
        <v>0</v>
      </c>
      <c r="X68" s="84"/>
      <c r="Y68" s="84"/>
      <c r="Z68" s="419"/>
      <c r="AA68" s="418"/>
      <c r="AB68" s="18"/>
      <c r="AC68" s="55"/>
      <c r="AD68" s="402"/>
    </row>
    <row r="69" spans="1:32" ht="15" customHeight="1" thickBot="1">
      <c r="A69" s="469"/>
      <c r="B69" s="165"/>
      <c r="C69" s="1" t="s">
        <v>39</v>
      </c>
      <c r="D69" s="410" t="s">
        <v>7</v>
      </c>
      <c r="E69" s="410"/>
      <c r="F69" s="114"/>
      <c r="G69" s="115"/>
      <c r="H69" s="116"/>
      <c r="I69" s="170"/>
      <c r="J69" s="166">
        <f t="shared" ref="J69:O69" si="46">AVERAGE(J59:J68)</f>
        <v>12.25</v>
      </c>
      <c r="K69" s="166">
        <f t="shared" si="46"/>
        <v>1565</v>
      </c>
      <c r="L69" s="171">
        <f t="shared" si="46"/>
        <v>127.90865384615384</v>
      </c>
      <c r="M69" s="166">
        <f t="shared" si="46"/>
        <v>12.25</v>
      </c>
      <c r="N69" s="166">
        <f t="shared" si="46"/>
        <v>1139.2284552845526</v>
      </c>
      <c r="O69" s="171">
        <f t="shared" si="46"/>
        <v>93.210094850948479</v>
      </c>
      <c r="P69" s="172">
        <f>M69-J69</f>
        <v>0</v>
      </c>
      <c r="Q69" s="158">
        <f>N69-K69</f>
        <v>-425.77154471544736</v>
      </c>
      <c r="R69" s="121">
        <f>O69/L69</f>
        <v>0.72872391388826474</v>
      </c>
      <c r="S69" s="399"/>
      <c r="T69" s="198"/>
      <c r="U69" s="198"/>
      <c r="V69" s="195"/>
      <c r="W69" s="168"/>
      <c r="X69" s="124"/>
      <c r="Y69" s="124"/>
      <c r="Z69" s="405"/>
      <c r="AA69" s="405"/>
      <c r="AB69" s="119">
        <f>N69-K69</f>
        <v>-425.77154471544736</v>
      </c>
      <c r="AC69" s="187">
        <f>N69/K69</f>
        <v>0.727941504974155</v>
      </c>
      <c r="AD69" s="404"/>
    </row>
    <row r="70" spans="1:32" ht="15" customHeight="1">
      <c r="A70" s="461" t="s">
        <v>58</v>
      </c>
      <c r="B70" s="199" t="s">
        <v>62</v>
      </c>
      <c r="C70" s="199"/>
      <c r="D70" s="103" t="s">
        <v>158</v>
      </c>
      <c r="E70" s="104"/>
      <c r="F70" s="199">
        <f>VLOOKUP(D70,廠價表!$C$1:$E$39,3,0)</f>
        <v>47.71</v>
      </c>
      <c r="G70" s="188">
        <v>4314</v>
      </c>
      <c r="H70" s="106">
        <f t="shared" ref="H70:H71" si="47">F70*G70</f>
        <v>205820.94</v>
      </c>
      <c r="I70" s="188"/>
      <c r="J70" s="108">
        <f>VLOOKUP(D70,產線配置圖!$A$2:$C$38,2,0)</f>
        <v>15</v>
      </c>
      <c r="K70" s="105">
        <f>VLOOKUP(D70,產線配置圖!$A$2:$C$38,3,0)</f>
        <v>1500</v>
      </c>
      <c r="L70" s="109">
        <f>K70/J70</f>
        <v>100</v>
      </c>
      <c r="M70" s="110">
        <v>14</v>
      </c>
      <c r="N70" s="105">
        <f t="shared" ref="N70:N71" si="48">G70/W70*60</f>
        <v>1176.5454545454543</v>
      </c>
      <c r="O70" s="109">
        <f t="shared" ref="O70:O71" si="49">N70/M70</f>
        <v>84.03896103896102</v>
      </c>
      <c r="P70" s="111">
        <f t="shared" ref="P70:P71" si="50">M70-J70</f>
        <v>-1</v>
      </c>
      <c r="Q70" s="112">
        <f t="shared" ref="Q70:Q71" si="51">O70-L70</f>
        <v>-15.96103896103898</v>
      </c>
      <c r="R70" s="184">
        <f t="shared" ref="R70:R71" si="52">O70/L70</f>
        <v>0.84038961038961024</v>
      </c>
      <c r="S70" s="396">
        <f>R79</f>
        <v>0.74599184496643056</v>
      </c>
      <c r="T70" s="169">
        <v>0.34027777777777779</v>
      </c>
      <c r="U70" s="169">
        <v>0.49305555555555558</v>
      </c>
      <c r="V70" s="188"/>
      <c r="W70" s="107">
        <f t="shared" si="8"/>
        <v>220.00000000000003</v>
      </c>
      <c r="X70" s="296"/>
      <c r="Y70" s="296"/>
      <c r="Z70" s="465"/>
      <c r="AA70" s="427"/>
      <c r="AB70" s="225">
        <f t="shared" ref="AB70:AB71" si="53">N70-K70</f>
        <v>-323.45454545454572</v>
      </c>
      <c r="AC70" s="226">
        <f t="shared" ref="AC70:AC71" si="54">N70/K70</f>
        <v>0.78436363636363615</v>
      </c>
      <c r="AD70" s="401">
        <f>AC79</f>
        <v>0.72820376050730085</v>
      </c>
    </row>
    <row r="71" spans="1:32" ht="15" customHeight="1">
      <c r="A71" s="462"/>
      <c r="B71" s="56" t="s">
        <v>134</v>
      </c>
      <c r="C71" s="10"/>
      <c r="D71" s="11" t="s">
        <v>154</v>
      </c>
      <c r="E71" s="86"/>
      <c r="F71" s="56">
        <f>VLOOKUP(D71,廠價表!$C$1:$E$39,3,0)</f>
        <v>57.3</v>
      </c>
      <c r="G71" s="66">
        <v>2019</v>
      </c>
      <c r="H71" s="76">
        <f t="shared" si="47"/>
        <v>115688.7</v>
      </c>
      <c r="I71" s="193"/>
      <c r="J71" s="16">
        <f>VLOOKUP(D71,產線配置圖!$A$2:$C$38,2,0)</f>
        <v>15</v>
      </c>
      <c r="K71" s="14">
        <f>VLOOKUP(D71,產線配置圖!$A$2:$C$38,3,0)</f>
        <v>1385</v>
      </c>
      <c r="L71" s="17">
        <f t="shared" ref="L71" si="55">K71/J71</f>
        <v>92.333333333333329</v>
      </c>
      <c r="M71" s="180">
        <v>15</v>
      </c>
      <c r="N71" s="14">
        <f t="shared" si="48"/>
        <v>924.73282442748189</v>
      </c>
      <c r="O71" s="17">
        <f t="shared" si="49"/>
        <v>61.648854961832129</v>
      </c>
      <c r="P71" s="18">
        <f t="shared" si="50"/>
        <v>0</v>
      </c>
      <c r="Q71" s="19">
        <f t="shared" si="51"/>
        <v>-30.6844783715012</v>
      </c>
      <c r="R71" s="185">
        <f t="shared" si="52"/>
        <v>0.66767712955052849</v>
      </c>
      <c r="S71" s="397"/>
      <c r="T71" s="20">
        <v>0.54861111111111116</v>
      </c>
      <c r="U71" s="20">
        <v>0.63958333333333328</v>
      </c>
      <c r="V71" s="177">
        <f t="shared" ref="V71" si="56">(T71-U70)*24*60</f>
        <v>80.000000000000028</v>
      </c>
      <c r="W71" s="295">
        <f t="shared" si="8"/>
        <v>130.99999999999986</v>
      </c>
      <c r="X71" s="298"/>
      <c r="Y71" s="299"/>
      <c r="Z71" s="439" t="s">
        <v>160</v>
      </c>
      <c r="AA71" s="472"/>
      <c r="AB71" s="39">
        <f t="shared" si="53"/>
        <v>-460.26717557251811</v>
      </c>
      <c r="AC71" s="190">
        <f t="shared" si="54"/>
        <v>0.66767712955052849</v>
      </c>
      <c r="AD71" s="447"/>
    </row>
    <row r="72" spans="1:32" ht="15" customHeight="1">
      <c r="A72" s="462"/>
      <c r="B72" s="56"/>
      <c r="C72" s="10"/>
      <c r="D72" s="11"/>
      <c r="E72" s="86"/>
      <c r="F72" s="56"/>
      <c r="G72" s="66"/>
      <c r="H72" s="76"/>
      <c r="I72" s="193"/>
      <c r="J72" s="16"/>
      <c r="K72" s="14"/>
      <c r="L72" s="17"/>
      <c r="M72" s="180"/>
      <c r="N72" s="14"/>
      <c r="O72" s="17"/>
      <c r="P72" s="18"/>
      <c r="Q72" s="19"/>
      <c r="R72" s="185"/>
      <c r="S72" s="397"/>
      <c r="T72" s="20"/>
      <c r="U72" s="20"/>
      <c r="V72" s="177"/>
      <c r="W72" s="182">
        <f t="shared" ref="W72:W78" si="57">(U72-T72)*24*60</f>
        <v>0</v>
      </c>
      <c r="X72" s="297"/>
      <c r="Y72" s="297"/>
      <c r="Z72" s="405"/>
      <c r="AA72" s="419"/>
      <c r="AB72" s="39"/>
      <c r="AC72" s="190"/>
      <c r="AD72" s="447"/>
    </row>
    <row r="73" spans="1:32" ht="15" customHeight="1">
      <c r="A73" s="462"/>
      <c r="B73" s="56"/>
      <c r="C73" s="23"/>
      <c r="D73" s="11"/>
      <c r="E73" s="12"/>
      <c r="F73" s="56"/>
      <c r="G73" s="66"/>
      <c r="H73" s="76"/>
      <c r="I73" s="193"/>
      <c r="J73" s="16"/>
      <c r="K73" s="14"/>
      <c r="L73" s="17"/>
      <c r="M73" s="180"/>
      <c r="N73" s="14"/>
      <c r="O73" s="17"/>
      <c r="P73" s="18"/>
      <c r="Q73" s="19"/>
      <c r="R73" s="185"/>
      <c r="S73" s="397"/>
      <c r="T73" s="20"/>
      <c r="U73" s="20"/>
      <c r="V73" s="177"/>
      <c r="W73" s="182">
        <f t="shared" si="57"/>
        <v>0</v>
      </c>
      <c r="X73" s="22"/>
      <c r="Y73" s="22"/>
      <c r="Z73" s="405"/>
      <c r="AA73" s="419"/>
      <c r="AB73" s="39"/>
      <c r="AC73" s="190"/>
      <c r="AD73" s="447"/>
    </row>
    <row r="74" spans="1:32" ht="15" customHeight="1">
      <c r="A74" s="462"/>
      <c r="B74" s="56"/>
      <c r="C74" s="249"/>
      <c r="D74" s="250"/>
      <c r="E74" s="251"/>
      <c r="F74" s="56"/>
      <c r="G74" s="238"/>
      <c r="H74" s="76"/>
      <c r="I74" s="81"/>
      <c r="J74" s="234"/>
      <c r="K74" s="36"/>
      <c r="L74" s="235"/>
      <c r="M74" s="21"/>
      <c r="N74" s="36"/>
      <c r="O74" s="38"/>
      <c r="P74" s="39"/>
      <c r="Q74" s="40"/>
      <c r="R74" s="190"/>
      <c r="S74" s="397"/>
      <c r="T74" s="20"/>
      <c r="U74" s="20"/>
      <c r="V74" s="177"/>
      <c r="W74" s="182">
        <f t="shared" si="57"/>
        <v>0</v>
      </c>
      <c r="X74" s="22"/>
      <c r="Y74" s="22"/>
      <c r="Z74" s="405"/>
      <c r="AA74" s="419"/>
      <c r="AB74" s="39"/>
      <c r="AC74" s="190"/>
      <c r="AD74" s="447"/>
    </row>
    <row r="75" spans="1:32" ht="15" customHeight="1">
      <c r="A75" s="462"/>
      <c r="B75" s="177"/>
      <c r="C75" s="183"/>
      <c r="D75" s="11"/>
      <c r="E75" s="12"/>
      <c r="F75" s="13"/>
      <c r="G75" s="177"/>
      <c r="H75" s="15">
        <f t="shared" ref="H75:H78" si="58">F75*G75</f>
        <v>0</v>
      </c>
      <c r="I75" s="81"/>
      <c r="J75" s="87"/>
      <c r="K75" s="82"/>
      <c r="L75" s="83"/>
      <c r="M75" s="181"/>
      <c r="N75" s="82"/>
      <c r="O75" s="83"/>
      <c r="P75" s="73"/>
      <c r="Q75" s="74"/>
      <c r="R75" s="192"/>
      <c r="S75" s="397"/>
      <c r="T75" s="20"/>
      <c r="U75" s="20"/>
      <c r="V75" s="177"/>
      <c r="W75" s="88">
        <f t="shared" si="57"/>
        <v>0</v>
      </c>
      <c r="X75" s="89"/>
      <c r="Y75" s="89"/>
      <c r="Z75" s="406"/>
      <c r="AA75" s="406"/>
      <c r="AB75" s="306"/>
      <c r="AC75" s="307"/>
      <c r="AD75" s="402"/>
    </row>
    <row r="76" spans="1:32" ht="15" customHeight="1">
      <c r="A76" s="462"/>
      <c r="B76" s="26"/>
      <c r="C76" s="27"/>
      <c r="D76" s="28"/>
      <c r="E76" s="29"/>
      <c r="F76" s="13"/>
      <c r="G76" s="177"/>
      <c r="H76" s="15">
        <f t="shared" si="58"/>
        <v>0</v>
      </c>
      <c r="I76" s="81"/>
      <c r="J76" s="87"/>
      <c r="K76" s="82"/>
      <c r="L76" s="83"/>
      <c r="M76" s="181"/>
      <c r="N76" s="82"/>
      <c r="O76" s="83"/>
      <c r="P76" s="73"/>
      <c r="Q76" s="74"/>
      <c r="R76" s="192"/>
      <c r="S76" s="398"/>
      <c r="T76" s="20"/>
      <c r="U76" s="20"/>
      <c r="V76" s="177"/>
      <c r="W76" s="90">
        <f t="shared" si="57"/>
        <v>0</v>
      </c>
      <c r="X76" s="78"/>
      <c r="Y76" s="78"/>
      <c r="Z76" s="445"/>
      <c r="AA76" s="445"/>
      <c r="AB76" s="51"/>
      <c r="AC76" s="52"/>
      <c r="AD76" s="403"/>
    </row>
    <row r="77" spans="1:32" ht="15" customHeight="1">
      <c r="A77" s="462"/>
      <c r="B77" s="26"/>
      <c r="C77" s="27"/>
      <c r="D77" s="28"/>
      <c r="E77" s="29"/>
      <c r="F77" s="13"/>
      <c r="G77" s="177"/>
      <c r="H77" s="15">
        <f t="shared" si="58"/>
        <v>0</v>
      </c>
      <c r="I77" s="81"/>
      <c r="J77" s="87"/>
      <c r="K77" s="82"/>
      <c r="L77" s="83"/>
      <c r="M77" s="181"/>
      <c r="N77" s="82"/>
      <c r="O77" s="83"/>
      <c r="P77" s="73"/>
      <c r="Q77" s="74"/>
      <c r="R77" s="192"/>
      <c r="S77" s="398"/>
      <c r="T77" s="20"/>
      <c r="U77" s="20"/>
      <c r="V77" s="177"/>
      <c r="W77" s="182">
        <f t="shared" si="57"/>
        <v>0</v>
      </c>
      <c r="X77" s="84"/>
      <c r="Y77" s="84"/>
      <c r="Z77" s="405"/>
      <c r="AA77" s="405"/>
      <c r="AB77" s="18"/>
      <c r="AC77" s="55"/>
      <c r="AD77" s="403"/>
    </row>
    <row r="78" spans="1:32" ht="15" customHeight="1">
      <c r="A78" s="462"/>
      <c r="B78" s="26"/>
      <c r="C78" s="27"/>
      <c r="D78" s="28"/>
      <c r="E78" s="29"/>
      <c r="F78" s="13"/>
      <c r="G78" s="177"/>
      <c r="H78" s="15">
        <f t="shared" si="58"/>
        <v>0</v>
      </c>
      <c r="I78" s="85"/>
      <c r="J78" s="37"/>
      <c r="K78" s="36"/>
      <c r="L78" s="83"/>
      <c r="M78" s="21"/>
      <c r="N78" s="36"/>
      <c r="O78" s="38"/>
      <c r="P78" s="39"/>
      <c r="Q78" s="40"/>
      <c r="R78" s="190"/>
      <c r="S78" s="464"/>
      <c r="T78" s="32"/>
      <c r="U78" s="32"/>
      <c r="V78" s="178"/>
      <c r="W78" s="182">
        <f t="shared" si="57"/>
        <v>0</v>
      </c>
      <c r="X78" s="91"/>
      <c r="Y78" s="91"/>
      <c r="Z78" s="405"/>
      <c r="AA78" s="405"/>
      <c r="AB78" s="34"/>
      <c r="AC78" s="57"/>
      <c r="AD78" s="403"/>
    </row>
    <row r="79" spans="1:32" ht="15" customHeight="1" thickBot="1">
      <c r="A79" s="463"/>
      <c r="B79" s="165"/>
      <c r="C79" s="1" t="s">
        <v>40</v>
      </c>
      <c r="D79" s="410" t="s">
        <v>7</v>
      </c>
      <c r="E79" s="410"/>
      <c r="F79" s="114"/>
      <c r="G79" s="115"/>
      <c r="H79" s="173"/>
      <c r="I79" s="171"/>
      <c r="J79" s="166">
        <f t="shared" ref="J79:O79" si="59">AVERAGE(J69:J78)</f>
        <v>14.083333333333334</v>
      </c>
      <c r="K79" s="166">
        <f t="shared" si="59"/>
        <v>1483.3333333333333</v>
      </c>
      <c r="L79" s="171">
        <f t="shared" si="59"/>
        <v>106.74732905982906</v>
      </c>
      <c r="M79" s="166">
        <f t="shared" si="59"/>
        <v>13.75</v>
      </c>
      <c r="N79" s="166">
        <f t="shared" si="59"/>
        <v>1080.1689114191629</v>
      </c>
      <c r="O79" s="171">
        <f t="shared" si="59"/>
        <v>79.632636950580547</v>
      </c>
      <c r="P79" s="172">
        <f>M79-J79</f>
        <v>-0.33333333333333393</v>
      </c>
      <c r="Q79" s="158">
        <f>N79-K79</f>
        <v>-403.16442191417036</v>
      </c>
      <c r="R79" s="159">
        <f>O79/L79</f>
        <v>0.74599184496643056</v>
      </c>
      <c r="S79" s="399"/>
      <c r="T79" s="122"/>
      <c r="U79" s="122"/>
      <c r="V79" s="195"/>
      <c r="W79" s="168"/>
      <c r="X79" s="124"/>
      <c r="Y79" s="124"/>
      <c r="Z79" s="391"/>
      <c r="AA79" s="391"/>
      <c r="AB79" s="119">
        <f>N79-K79</f>
        <v>-403.16442191417036</v>
      </c>
      <c r="AC79" s="187">
        <f>N79/K79</f>
        <v>0.72820376050730085</v>
      </c>
      <c r="AD79" s="404"/>
    </row>
    <row r="80" spans="1:32">
      <c r="AF80" s="93" t="s">
        <v>41</v>
      </c>
    </row>
    <row r="81" spans="4:32">
      <c r="AF81" s="93" t="s">
        <v>42</v>
      </c>
    </row>
    <row r="82" spans="4:32">
      <c r="AF82" s="93" t="s">
        <v>43</v>
      </c>
    </row>
    <row r="83" spans="4:32">
      <c r="D83" s="220"/>
      <c r="W83" s="6"/>
      <c r="AF83" s="93" t="s">
        <v>44</v>
      </c>
    </row>
    <row r="84" spans="4:32">
      <c r="D84" s="224"/>
      <c r="W84" s="6"/>
      <c r="AF84" s="93" t="s">
        <v>45</v>
      </c>
    </row>
    <row r="85" spans="4:32">
      <c r="D85" s="224"/>
      <c r="W85" s="6"/>
      <c r="AF85" s="93" t="s">
        <v>46</v>
      </c>
    </row>
    <row r="86" spans="4:32">
      <c r="D86" s="155"/>
      <c r="W86" s="6"/>
      <c r="AF86" s="93" t="s">
        <v>47</v>
      </c>
    </row>
    <row r="87" spans="4:32">
      <c r="W87" s="6"/>
      <c r="AF87" s="93" t="s">
        <v>48</v>
      </c>
    </row>
    <row r="88" spans="4:32">
      <c r="W88" s="6"/>
      <c r="AF88" s="93" t="s">
        <v>49</v>
      </c>
    </row>
    <row r="89" spans="4:32">
      <c r="W89" s="6"/>
      <c r="AF89" s="93" t="s">
        <v>50</v>
      </c>
    </row>
    <row r="90" spans="4:32">
      <c r="W90" s="6"/>
      <c r="AF90" s="93" t="s">
        <v>51</v>
      </c>
    </row>
    <row r="91" spans="4:32">
      <c r="W91" s="6"/>
      <c r="AF91" s="93" t="s">
        <v>52</v>
      </c>
    </row>
    <row r="92" spans="4:32">
      <c r="W92" s="6"/>
      <c r="AF92" s="93" t="s">
        <v>53</v>
      </c>
    </row>
  </sheetData>
  <autoFilter ref="D1:D92" xr:uid="{EF5AD393-5A39-4C0E-A7B0-465235F2AB14}"/>
  <mergeCells count="131">
    <mergeCell ref="D69:E69"/>
    <mergeCell ref="Z69:AA69"/>
    <mergeCell ref="A70:A79"/>
    <mergeCell ref="S70:S79"/>
    <mergeCell ref="Z70:AA70"/>
    <mergeCell ref="D79:E79"/>
    <mergeCell ref="A59:A69"/>
    <mergeCell ref="S59:S69"/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  <mergeCell ref="AD59:AD69"/>
    <mergeCell ref="Z64:AA64"/>
    <mergeCell ref="Z65:AA65"/>
    <mergeCell ref="Z66:AA66"/>
    <mergeCell ref="Z67:AA67"/>
    <mergeCell ref="Z68:AA68"/>
    <mergeCell ref="AD49:AD58"/>
    <mergeCell ref="Z50:AA50"/>
    <mergeCell ref="Z51:AA51"/>
    <mergeCell ref="Z52:AA52"/>
    <mergeCell ref="Z53:AA53"/>
    <mergeCell ref="Z54:AA54"/>
    <mergeCell ref="Z55:AA55"/>
    <mergeCell ref="Z56:AA56"/>
    <mergeCell ref="Z57:AA57"/>
    <mergeCell ref="Z58:AA58"/>
    <mergeCell ref="D48:E48"/>
    <mergeCell ref="Z48:AA48"/>
    <mergeCell ref="A49:A58"/>
    <mergeCell ref="S49:S58"/>
    <mergeCell ref="Z49:AA49"/>
    <mergeCell ref="D58:E58"/>
    <mergeCell ref="A38:A48"/>
    <mergeCell ref="S38:S48"/>
    <mergeCell ref="Z38:AA38"/>
    <mergeCell ref="AD38:AD48"/>
    <mergeCell ref="Z39:AA39"/>
    <mergeCell ref="Z40:AA40"/>
    <mergeCell ref="Z41:AA41"/>
    <mergeCell ref="Z42:AA42"/>
    <mergeCell ref="Z43:AA43"/>
    <mergeCell ref="Z44:AA44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Z45:AA45"/>
    <mergeCell ref="Z46:AA46"/>
    <mergeCell ref="Z47:AA47"/>
    <mergeCell ref="D26:E26"/>
    <mergeCell ref="Z26:AA26"/>
    <mergeCell ref="A27:A37"/>
    <mergeCell ref="S27:S37"/>
    <mergeCell ref="Z27:AA27"/>
    <mergeCell ref="D37:E37"/>
    <mergeCell ref="Z37:AA37"/>
    <mergeCell ref="A16:A26"/>
    <mergeCell ref="S16:S26"/>
    <mergeCell ref="Z16:AA16"/>
    <mergeCell ref="AD16:AD26"/>
    <mergeCell ref="Z17:AA17"/>
    <mergeCell ref="Z18:AA18"/>
    <mergeCell ref="Z19:AA19"/>
    <mergeCell ref="Z20:AA20"/>
    <mergeCell ref="Z21:AA21"/>
    <mergeCell ref="Z22:AA22"/>
    <mergeCell ref="Z10:AA10"/>
    <mergeCell ref="Z11:AA11"/>
    <mergeCell ref="Z12:AA12"/>
    <mergeCell ref="Z13:AA13"/>
    <mergeCell ref="Z14:AA14"/>
    <mergeCell ref="Z23:AA23"/>
    <mergeCell ref="Z24:AA24"/>
    <mergeCell ref="Z25:AA25"/>
    <mergeCell ref="X3:Y3"/>
    <mergeCell ref="Z3:AA4"/>
    <mergeCell ref="AB3:AB4"/>
    <mergeCell ref="N3:N4"/>
    <mergeCell ref="O3:O4"/>
    <mergeCell ref="P3:P4"/>
    <mergeCell ref="Q3:Q4"/>
    <mergeCell ref="R3:R4"/>
    <mergeCell ref="S3:S4"/>
    <mergeCell ref="A2:B2"/>
    <mergeCell ref="A3:A4"/>
    <mergeCell ref="B3:B4"/>
    <mergeCell ref="D3:E4"/>
    <mergeCell ref="F3:F4"/>
    <mergeCell ref="G3:G4"/>
    <mergeCell ref="J1:L2"/>
    <mergeCell ref="M1:O2"/>
    <mergeCell ref="D15:E15"/>
    <mergeCell ref="A5:A15"/>
    <mergeCell ref="P1:S2"/>
    <mergeCell ref="T1:Y2"/>
    <mergeCell ref="Z1:AA2"/>
    <mergeCell ref="AB1:AD2"/>
    <mergeCell ref="Z59:AA63"/>
    <mergeCell ref="H3:H4"/>
    <mergeCell ref="I3:I4"/>
    <mergeCell ref="J3:J4"/>
    <mergeCell ref="K3:K4"/>
    <mergeCell ref="L3:L4"/>
    <mergeCell ref="M3:M4"/>
    <mergeCell ref="Z15:AA15"/>
    <mergeCell ref="AC3:AC4"/>
    <mergeCell ref="AD3:AD4"/>
    <mergeCell ref="S5:S15"/>
    <mergeCell ref="Z5:AA5"/>
    <mergeCell ref="AD5:AD15"/>
    <mergeCell ref="Z6:AA6"/>
    <mergeCell ref="Z7:AA7"/>
    <mergeCell ref="Z8:AA8"/>
    <mergeCell ref="Z9:AA9"/>
    <mergeCell ref="T3:U3"/>
    <mergeCell ref="V3:V4"/>
    <mergeCell ref="W3:W4"/>
  </mergeCells>
  <phoneticPr fontId="2" type="noConversion"/>
  <conditionalFormatting sqref="P5:P79">
    <cfRule type="cellIs" dxfId="298" priority="1" operator="greaterThan">
      <formula>0</formula>
    </cfRule>
  </conditionalFormatting>
  <conditionalFormatting sqref="Q5:Q79 AB5:AB79">
    <cfRule type="cellIs" dxfId="297" priority="4" operator="lessThan">
      <formula>0</formula>
    </cfRule>
  </conditionalFormatting>
  <conditionalFormatting sqref="R5:R79 AC5:AC79">
    <cfRule type="cellIs" dxfId="296" priority="2" operator="greaterThan">
      <formula>1</formula>
    </cfRule>
    <cfRule type="cellIs" dxfId="295" priority="3" operator="lessThan">
      <formula>0.8</formula>
    </cfRule>
  </conditionalFormatting>
  <conditionalFormatting sqref="S5:S10 S37:S62 AD59:AD62 S69:S76 AD69:AD76">
    <cfRule type="cellIs" dxfId="294" priority="7" operator="lessThan">
      <formula>0.8</formula>
    </cfRule>
  </conditionalFormatting>
  <conditionalFormatting sqref="S19:S25 AD19:AD25">
    <cfRule type="cellIs" dxfId="293" priority="6" operator="lessThan">
      <formula>0.8</formula>
    </cfRule>
  </conditionalFormatting>
  <conditionalFormatting sqref="S79">
    <cfRule type="cellIs" dxfId="292" priority="5" operator="lessThan">
      <formula>0.8</formula>
    </cfRule>
  </conditionalFormatting>
  <conditionalFormatting sqref="AD5:AD8 S15:S16 AD15:AD16 AD49 AD79">
    <cfRule type="cellIs" dxfId="291" priority="9" operator="lessThan">
      <formula>0.8</formula>
    </cfRule>
  </conditionalFormatting>
  <conditionalFormatting sqref="AD27 S27:S28">
    <cfRule type="cellIs" dxfId="29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01264B3-2FA9-46A6-BE56-1E78516A8EAE}">
          <x14:formula1>
            <xm:f>廠價表!$C$2:$C$37</xm:f>
          </x14:formula1>
          <xm:sqref>D1:D1048576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B3327-8CC9-4EA1-A862-4BB03FCF0B0E}">
  <sheetPr>
    <pageSetUpPr fitToPage="1"/>
  </sheetPr>
  <dimension ref="B1:O22"/>
  <sheetViews>
    <sheetView zoomScale="70" zoomScaleNormal="70" workbookViewId="0">
      <selection activeCell="U20" sqref="U20"/>
    </sheetView>
  </sheetViews>
  <sheetFormatPr defaultColWidth="8.125" defaultRowHeight="15.75"/>
  <cols>
    <col min="1" max="1" width="8.125" style="203"/>
    <col min="2" max="2" width="7.125" style="203" customWidth="1"/>
    <col min="3" max="3" width="7.125" style="218" customWidth="1"/>
    <col min="4" max="17" width="14.125" style="203" customWidth="1"/>
    <col min="18" max="21" width="9.625" style="203" customWidth="1"/>
    <col min="22" max="22" width="11.125" style="203" customWidth="1"/>
    <col min="23" max="23" width="11.5" style="203" customWidth="1"/>
    <col min="24" max="16384" width="8.125" style="203"/>
  </cols>
  <sheetData>
    <row r="1" spans="2:15" ht="27.75" customHeight="1">
      <c r="B1" s="345" t="s">
        <v>73</v>
      </c>
      <c r="C1" s="345"/>
      <c r="D1" s="345"/>
      <c r="E1" s="345"/>
      <c r="F1" s="345"/>
      <c r="G1" s="345"/>
      <c r="H1" s="345"/>
      <c r="I1" s="345"/>
      <c r="J1" s="345"/>
      <c r="K1" s="345"/>
      <c r="L1" s="202"/>
      <c r="M1" s="202"/>
    </row>
    <row r="2" spans="2:15" ht="27.75" customHeight="1"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202"/>
      <c r="M2" s="202"/>
    </row>
    <row r="3" spans="2:15" ht="46.5" customHeight="1">
      <c r="B3" s="342" t="s">
        <v>74</v>
      </c>
      <c r="C3" s="342"/>
      <c r="D3" s="346">
        <v>45963</v>
      </c>
      <c r="E3" s="346"/>
      <c r="F3" s="204" t="s">
        <v>75</v>
      </c>
      <c r="G3" s="347">
        <f>'1102'!E1</f>
        <v>65617</v>
      </c>
      <c r="H3" s="347"/>
      <c r="I3" s="204" t="s">
        <v>76</v>
      </c>
      <c r="J3" s="348">
        <f>'1102'!G1</f>
        <v>3113202.2</v>
      </c>
      <c r="K3" s="348"/>
      <c r="L3" s="205"/>
    </row>
    <row r="4" spans="2:15" ht="24" customHeight="1">
      <c r="B4" s="342" t="s">
        <v>77</v>
      </c>
      <c r="C4" s="342"/>
      <c r="D4" s="343">
        <v>3</v>
      </c>
      <c r="E4" s="343"/>
      <c r="F4" s="344" t="s">
        <v>78</v>
      </c>
      <c r="G4" s="344"/>
      <c r="H4" s="344" t="s">
        <v>79</v>
      </c>
      <c r="I4" s="344"/>
      <c r="J4" s="343" t="s">
        <v>80</v>
      </c>
      <c r="K4" s="344"/>
      <c r="L4" s="206"/>
    </row>
    <row r="5" spans="2:15" ht="24" customHeight="1">
      <c r="B5" s="342" t="s">
        <v>81</v>
      </c>
      <c r="C5" s="342"/>
      <c r="D5" s="343" t="s">
        <v>82</v>
      </c>
      <c r="E5" s="343"/>
      <c r="F5" s="343" t="s">
        <v>83</v>
      </c>
      <c r="G5" s="343"/>
      <c r="H5" s="369" t="s">
        <v>62</v>
      </c>
      <c r="I5" s="369"/>
      <c r="J5" s="341" t="s">
        <v>84</v>
      </c>
      <c r="K5" s="341"/>
      <c r="L5" s="207"/>
    </row>
    <row r="6" spans="2:15" ht="39.6" customHeight="1">
      <c r="B6" s="342"/>
      <c r="C6" s="342"/>
      <c r="D6" s="342" t="s">
        <v>85</v>
      </c>
      <c r="E6" s="342"/>
      <c r="F6" s="356">
        <f>AVERAGE(D13:J13)</f>
        <v>115.11768511273155</v>
      </c>
      <c r="G6" s="356"/>
      <c r="H6" s="349">
        <f>AVERAGE(D13:H13)</f>
        <v>114.902365995431</v>
      </c>
      <c r="I6" s="349"/>
      <c r="J6" s="349">
        <f>AVERAGE(I13:J13)</f>
        <v>115.65598290598291</v>
      </c>
      <c r="K6" s="349"/>
      <c r="L6" s="207"/>
    </row>
    <row r="7" spans="2:15" s="208" customFormat="1" ht="39.6" customHeight="1">
      <c r="B7" s="342"/>
      <c r="C7" s="342"/>
      <c r="D7" s="350" t="s">
        <v>86</v>
      </c>
      <c r="E7" s="350"/>
      <c r="F7" s="351">
        <f>AVERAGE(D14:J14)</f>
        <v>102.69935076733216</v>
      </c>
      <c r="G7" s="351"/>
      <c r="H7" s="352">
        <f>AVERAGE(D14:H14)</f>
        <v>104.34339126751988</v>
      </c>
      <c r="I7" s="352"/>
      <c r="J7" s="352">
        <f>AVERAGE(I14:J14)</f>
        <v>98.589249516862907</v>
      </c>
      <c r="K7" s="352"/>
    </row>
    <row r="8" spans="2:15" s="208" customFormat="1" ht="39.6" customHeight="1">
      <c r="B8" s="342"/>
      <c r="C8" s="342"/>
      <c r="D8" s="350" t="s">
        <v>87</v>
      </c>
      <c r="E8" s="350"/>
      <c r="F8" s="353">
        <f>AVERAGE(D15:J15)</f>
        <v>0.88682945635635202</v>
      </c>
      <c r="G8" s="353"/>
      <c r="H8" s="353">
        <f>AVERAGE(D15:H15)</f>
        <v>0.90145753020555719</v>
      </c>
      <c r="I8" s="353"/>
      <c r="J8" s="353">
        <f>AVERAGE(I15:J15)</f>
        <v>0.85025927173333882</v>
      </c>
      <c r="K8" s="353"/>
      <c r="L8" s="209" t="s">
        <v>88</v>
      </c>
    </row>
    <row r="9" spans="2:15" ht="25.5" customHeight="1">
      <c r="B9" s="207"/>
      <c r="C9" s="207"/>
      <c r="D9" s="207"/>
      <c r="E9" s="207"/>
      <c r="F9" s="207"/>
      <c r="G9" s="207"/>
      <c r="H9" s="210"/>
      <c r="I9" s="211"/>
      <c r="J9" s="211"/>
      <c r="K9" s="211"/>
      <c r="L9" s="211"/>
      <c r="M9" s="211"/>
      <c r="N9" s="211"/>
      <c r="O9" s="207"/>
    </row>
    <row r="10" spans="2:15" ht="30" customHeight="1">
      <c r="B10" s="354" t="s">
        <v>0</v>
      </c>
      <c r="C10" s="355"/>
      <c r="D10" s="357" t="s">
        <v>89</v>
      </c>
      <c r="E10" s="358"/>
      <c r="F10" s="358"/>
      <c r="G10" s="358"/>
      <c r="H10" s="358"/>
      <c r="I10" s="358"/>
      <c r="J10" s="359"/>
    </row>
    <row r="11" spans="2:15" ht="17.25" customHeight="1">
      <c r="B11" s="360" t="s">
        <v>90</v>
      </c>
      <c r="C11" s="361"/>
      <c r="D11" s="212">
        <v>1</v>
      </c>
      <c r="E11" s="212">
        <v>2</v>
      </c>
      <c r="F11" s="212">
        <v>3</v>
      </c>
      <c r="G11" s="212">
        <v>4</v>
      </c>
      <c r="H11" s="212">
        <v>5</v>
      </c>
      <c r="I11" s="212">
        <v>6</v>
      </c>
      <c r="J11" s="212">
        <v>7</v>
      </c>
    </row>
    <row r="12" spans="2:15" ht="33.950000000000003" customHeight="1">
      <c r="B12" s="362"/>
      <c r="C12" s="363"/>
      <c r="D12" s="213" t="s">
        <v>91</v>
      </c>
      <c r="E12" s="213" t="s">
        <v>92</v>
      </c>
      <c r="F12" s="213" t="s">
        <v>93</v>
      </c>
      <c r="G12" s="213" t="s">
        <v>94</v>
      </c>
      <c r="H12" s="213" t="s">
        <v>95</v>
      </c>
      <c r="I12" s="213" t="s">
        <v>96</v>
      </c>
      <c r="J12" s="213" t="s">
        <v>97</v>
      </c>
    </row>
    <row r="13" spans="2:15" ht="39.950000000000003" customHeight="1">
      <c r="B13" s="364" t="s">
        <v>1</v>
      </c>
      <c r="C13" s="214" t="s">
        <v>98</v>
      </c>
      <c r="D13" s="215">
        <f>VALUE('1102'!L15)</f>
        <v>146.98642533936649</v>
      </c>
      <c r="E13" s="215">
        <f>VALUE('1102'!L26)</f>
        <v>160.58974358974359</v>
      </c>
      <c r="F13" s="215">
        <f>VALUE('1102'!L37)</f>
        <v>86.486928104575171</v>
      </c>
      <c r="G13" s="215">
        <f>VALUE('1102'!L48)</f>
        <v>93.733333333333334</v>
      </c>
      <c r="H13" s="215">
        <f>VALUE('1102'!L58)</f>
        <v>86.715399610136458</v>
      </c>
      <c r="I13" s="215">
        <f>VALUE('1102'!L69)</f>
        <v>125.40064102564102</v>
      </c>
      <c r="J13" s="215">
        <f>VALUE('1102'!L79)</f>
        <v>105.91132478632478</v>
      </c>
    </row>
    <row r="14" spans="2:15" ht="39.950000000000003" customHeight="1">
      <c r="B14" s="365"/>
      <c r="C14" s="214" t="s">
        <v>99</v>
      </c>
      <c r="D14" s="215">
        <f>VALUE('1102'!O15)</f>
        <v>136.27735068346618</v>
      </c>
      <c r="E14" s="215">
        <f>VALUE('1102'!O26)</f>
        <v>150.71671214522607</v>
      </c>
      <c r="F14" s="215">
        <f>VALUE('1102'!O37)</f>
        <v>74.000832934511635</v>
      </c>
      <c r="G14" s="215">
        <f>VALUE('1102'!O48)</f>
        <v>78.118181818181839</v>
      </c>
      <c r="H14" s="215">
        <f>VALUE('1102'!O58)</f>
        <v>82.603878756213732</v>
      </c>
      <c r="I14" s="215">
        <f>VALUE('1102'!O69)</f>
        <v>109.86181139608861</v>
      </c>
      <c r="J14" s="215">
        <f>VALUE('1102'!O79)</f>
        <v>87.316687637637187</v>
      </c>
    </row>
    <row r="15" spans="2:15" ht="39.950000000000003" customHeight="1">
      <c r="B15" s="366"/>
      <c r="C15" s="212" t="s">
        <v>100</v>
      </c>
      <c r="D15" s="233">
        <f>D14/D13</f>
        <v>0.92714242399476765</v>
      </c>
      <c r="E15" s="233">
        <f t="shared" ref="E15:J15" si="0">E14/E13</f>
        <v>0.93852016184956355</v>
      </c>
      <c r="F15" s="233">
        <f t="shared" si="0"/>
        <v>0.85563026177821877</v>
      </c>
      <c r="G15" s="233">
        <f t="shared" si="0"/>
        <v>0.83340876761929417</v>
      </c>
      <c r="H15" s="233">
        <f t="shared" si="0"/>
        <v>0.95258603578594225</v>
      </c>
      <c r="I15" s="233">
        <f t="shared" si="0"/>
        <v>0.87608652154836164</v>
      </c>
      <c r="J15" s="233">
        <f t="shared" si="0"/>
        <v>0.82443202191831588</v>
      </c>
    </row>
    <row r="16" spans="2:15" ht="17.25" customHeight="1">
      <c r="B16" s="367" t="s">
        <v>101</v>
      </c>
      <c r="C16" s="212" t="s">
        <v>102</v>
      </c>
      <c r="D16" s="95">
        <f>'1102'!T5</f>
        <v>0.2902777777777778</v>
      </c>
      <c r="E16" s="95">
        <f>'1102'!T16</f>
        <v>0.29097222222222224</v>
      </c>
      <c r="F16" s="95">
        <f>'1102'!T27</f>
        <v>0.2902777777777778</v>
      </c>
      <c r="G16" s="95">
        <f>'1102'!T38</f>
        <v>0.33333333333333331</v>
      </c>
      <c r="H16" s="95">
        <f>'1102'!T49</f>
        <v>0.2902777777777778</v>
      </c>
      <c r="I16" s="95">
        <f>'1102'!T59</f>
        <v>0.29097222222222224</v>
      </c>
      <c r="J16" s="272">
        <f>'1102'!T70</f>
        <v>0.34444444444444444</v>
      </c>
    </row>
    <row r="17" spans="2:10" ht="17.25" customHeight="1">
      <c r="B17" s="368"/>
      <c r="C17" s="212" t="s">
        <v>103</v>
      </c>
      <c r="D17" s="79">
        <v>0.67013888888888884</v>
      </c>
      <c r="E17" s="41">
        <v>0.68333333333333335</v>
      </c>
      <c r="F17" s="41">
        <v>0.67013888888888884</v>
      </c>
      <c r="G17" s="59">
        <v>0.57638888888888884</v>
      </c>
      <c r="H17" s="20">
        <v>0.63611111111111107</v>
      </c>
      <c r="I17" s="20">
        <v>0.6333333333333333</v>
      </c>
      <c r="J17" s="20">
        <v>0.68402777777777779</v>
      </c>
    </row>
    <row r="18" spans="2:10" ht="17.25" customHeight="1">
      <c r="B18" s="354" t="s">
        <v>104</v>
      </c>
      <c r="C18" s="355"/>
      <c r="D18" s="216">
        <f>VALUE('1102'!M15)</f>
        <v>13.8</v>
      </c>
      <c r="E18" s="216">
        <f>VALUE('1102'!M26)</f>
        <v>12.6</v>
      </c>
      <c r="F18" s="216">
        <f>VALUE('1102'!M37)</f>
        <v>17</v>
      </c>
      <c r="G18" s="216">
        <f>VALUE('1102'!M48)</f>
        <v>15</v>
      </c>
      <c r="H18" s="216">
        <f>VALUE('1102'!M58)</f>
        <v>18.333333333333332</v>
      </c>
      <c r="I18" s="216">
        <f>VALUE('1102'!M69)</f>
        <v>12.5</v>
      </c>
      <c r="J18" s="216">
        <f>VALUE('1102'!M79)</f>
        <v>13.5</v>
      </c>
    </row>
    <row r="19" spans="2:10" ht="17.25" customHeight="1">
      <c r="B19" s="354" t="s">
        <v>105</v>
      </c>
      <c r="C19" s="355"/>
      <c r="D19" s="213" t="s">
        <v>106</v>
      </c>
      <c r="E19" s="213" t="s">
        <v>106</v>
      </c>
      <c r="F19" s="213" t="s">
        <v>107</v>
      </c>
      <c r="G19" s="213" t="s">
        <v>107</v>
      </c>
      <c r="H19" s="213" t="s">
        <v>107</v>
      </c>
      <c r="I19" s="213" t="s">
        <v>108</v>
      </c>
      <c r="J19" s="213" t="s">
        <v>107</v>
      </c>
    </row>
    <row r="20" spans="2:10" ht="17.25" customHeight="1">
      <c r="B20" s="354" t="s">
        <v>110</v>
      </c>
      <c r="C20" s="355"/>
      <c r="D20" s="213"/>
      <c r="E20" s="213"/>
      <c r="F20" s="213"/>
      <c r="G20" s="217"/>
      <c r="H20" s="213" t="s">
        <v>109</v>
      </c>
      <c r="I20" s="213"/>
      <c r="J20" s="213"/>
    </row>
    <row r="21" spans="2:10" ht="17.25" customHeight="1">
      <c r="B21" s="354" t="s">
        <v>111</v>
      </c>
      <c r="C21" s="355"/>
      <c r="D21" s="273"/>
      <c r="E21" s="273"/>
      <c r="F21" s="273"/>
      <c r="G21" s="273"/>
      <c r="H21" s="273"/>
      <c r="I21" s="273"/>
      <c r="J21" s="273"/>
    </row>
    <row r="22" spans="2:10">
      <c r="B22" s="370"/>
      <c r="C22" s="370"/>
    </row>
  </sheetData>
  <mergeCells count="37">
    <mergeCell ref="J5:K5"/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J6:K6"/>
    <mergeCell ref="D7:E7"/>
    <mergeCell ref="F7:G7"/>
    <mergeCell ref="H7:I7"/>
    <mergeCell ref="J7:K7"/>
    <mergeCell ref="H8:I8"/>
    <mergeCell ref="B18:C18"/>
    <mergeCell ref="B19:C19"/>
    <mergeCell ref="D6:E6"/>
    <mergeCell ref="F6:G6"/>
    <mergeCell ref="H6:I6"/>
    <mergeCell ref="D10:J10"/>
    <mergeCell ref="B11:C12"/>
    <mergeCell ref="B13:B15"/>
    <mergeCell ref="B16:B17"/>
    <mergeCell ref="B10:C10"/>
    <mergeCell ref="J8:K8"/>
    <mergeCell ref="B5:C8"/>
    <mergeCell ref="D5:E5"/>
    <mergeCell ref="F5:G5"/>
    <mergeCell ref="H5:I5"/>
    <mergeCell ref="B20:C20"/>
    <mergeCell ref="B21:C21"/>
    <mergeCell ref="B22:C22"/>
    <mergeCell ref="D8:E8"/>
    <mergeCell ref="F8:G8"/>
  </mergeCells>
  <phoneticPr fontId="2" type="noConversion"/>
  <conditionalFormatting sqref="D15:J15">
    <cfRule type="cellIs" dxfId="289" priority="1" operator="lessThan">
      <formula>0.8</formula>
    </cfRule>
  </conditionalFormatting>
  <pageMargins left="0.7" right="0.7" top="0.75" bottom="0.75" header="0.3" footer="0.3"/>
  <pageSetup paperSize="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F7548-7DA2-4536-A62F-BD76CAD1B52C}">
  <sheetPr>
    <tabColor theme="9" tint="0.79998168889431442"/>
    <pageSetUpPr fitToPage="1"/>
  </sheetPr>
  <dimension ref="A1:AF92"/>
  <sheetViews>
    <sheetView zoomScale="69" zoomScaleNormal="69" workbookViewId="0">
      <pane xSplit="5" ySplit="4" topLeftCell="F38" activePane="bottomRight" state="frozen"/>
      <selection activeCell="U20" sqref="U20"/>
      <selection pane="topRight" activeCell="U20" sqref="U20"/>
      <selection pane="bottomLeft" activeCell="U20" sqref="U20"/>
      <selection pane="bottomRight" activeCell="Z71" sqref="Z71:AA71"/>
    </sheetView>
  </sheetViews>
  <sheetFormatPr defaultColWidth="7.875" defaultRowHeight="15.75"/>
  <cols>
    <col min="1" max="1" width="15" style="6" customWidth="1"/>
    <col min="2" max="2" width="12.875" style="6" customWidth="1"/>
    <col min="3" max="3" width="12.875" style="6" hidden="1" customWidth="1"/>
    <col min="4" max="4" width="26.125" style="6" bestFit="1" customWidth="1"/>
    <col min="5" max="5" width="15" style="6" customWidth="1"/>
    <col min="6" max="6" width="8.875" style="6" bestFit="1" customWidth="1"/>
    <col min="7" max="7" width="20.125" style="6" bestFit="1" customWidth="1"/>
    <col min="8" max="8" width="16.375" style="6" bestFit="1" customWidth="1"/>
    <col min="9" max="9" width="10.875" style="6" bestFit="1" customWidth="1"/>
    <col min="10" max="10" width="10.125" style="6" bestFit="1" customWidth="1"/>
    <col min="11" max="11" width="10.625" style="6" customWidth="1"/>
    <col min="12" max="12" width="14.5" style="6" customWidth="1"/>
    <col min="13" max="13" width="10.125" style="6" bestFit="1" customWidth="1"/>
    <col min="14" max="14" width="10.25" style="6" bestFit="1" customWidth="1"/>
    <col min="15" max="15" width="11.875" style="6" customWidth="1"/>
    <col min="16" max="17" width="9.125" style="6" bestFit="1" customWidth="1"/>
    <col min="18" max="18" width="9.125" style="6" customWidth="1"/>
    <col min="19" max="19" width="8.375" style="6" customWidth="1"/>
    <col min="20" max="21" width="9.375" style="6" bestFit="1" customWidth="1"/>
    <col min="22" max="22" width="10.625" style="6" customWidth="1"/>
    <col min="23" max="23" width="8.625" style="92" customWidth="1"/>
    <col min="24" max="24" width="7.5" style="6" bestFit="1" customWidth="1"/>
    <col min="25" max="25" width="6.875" style="6" customWidth="1"/>
    <col min="26" max="26" width="12.625" style="6" customWidth="1"/>
    <col min="27" max="27" width="33.375" style="6" customWidth="1"/>
    <col min="28" max="28" width="13.125" style="6" bestFit="1" customWidth="1"/>
    <col min="29" max="29" width="10.375" style="6" customWidth="1"/>
    <col min="30" max="30" width="9.125" style="6" customWidth="1"/>
    <col min="31" max="31" width="7.875" style="6"/>
    <col min="32" max="32" width="24.5" style="6" bestFit="1" customWidth="1"/>
    <col min="33" max="16384" width="7.875" style="6"/>
  </cols>
  <sheetData>
    <row r="1" spans="1:30" ht="21">
      <c r="A1" s="2" t="s">
        <v>72</v>
      </c>
      <c r="B1" s="2"/>
      <c r="C1" s="2"/>
      <c r="D1" s="176" t="s">
        <v>8</v>
      </c>
      <c r="E1" s="3">
        <f>SUM(G5:G79)</f>
        <v>65617</v>
      </c>
      <c r="F1" s="177" t="s">
        <v>9</v>
      </c>
      <c r="G1" s="4">
        <f>SUM(H5:H79)</f>
        <v>3113202.2</v>
      </c>
      <c r="H1" s="175" t="s">
        <v>10</v>
      </c>
      <c r="I1" s="5">
        <f>M15+M26+M48+M58+M69+M79+M37</f>
        <v>102.73333333333333</v>
      </c>
      <c r="J1" s="371" t="s">
        <v>11</v>
      </c>
      <c r="K1" s="371"/>
      <c r="L1" s="371"/>
      <c r="M1" s="371" t="s">
        <v>12</v>
      </c>
      <c r="N1" s="371"/>
      <c r="O1" s="371"/>
      <c r="P1" s="371" t="s">
        <v>13</v>
      </c>
      <c r="Q1" s="371"/>
      <c r="R1" s="371"/>
      <c r="S1" s="371"/>
      <c r="T1" s="371" t="s">
        <v>14</v>
      </c>
      <c r="U1" s="371"/>
      <c r="V1" s="371"/>
      <c r="W1" s="371"/>
      <c r="X1" s="371"/>
      <c r="Y1" s="371"/>
      <c r="Z1" s="371" t="s">
        <v>15</v>
      </c>
      <c r="AA1" s="371"/>
      <c r="AB1" s="371" t="s">
        <v>16</v>
      </c>
      <c r="AC1" s="372"/>
      <c r="AD1" s="372"/>
    </row>
    <row r="2" spans="1:30" ht="18.75">
      <c r="A2" s="409" t="s">
        <v>163</v>
      </c>
      <c r="B2" s="409"/>
      <c r="C2" s="176"/>
      <c r="D2" s="176" t="s">
        <v>1</v>
      </c>
      <c r="E2" s="7">
        <f>AVERAGE(O15,O26,O37,O48,O58,O69,O79)</f>
        <v>102.69935076733216</v>
      </c>
      <c r="F2" s="8" t="s">
        <v>2</v>
      </c>
      <c r="G2" s="9">
        <f>G1/E1</f>
        <v>47.445055397229382</v>
      </c>
      <c r="H2" s="175" t="s">
        <v>17</v>
      </c>
      <c r="I2" s="175">
        <f>COUNT(I5:I79)</f>
        <v>0</v>
      </c>
      <c r="J2" s="371"/>
      <c r="K2" s="371"/>
      <c r="L2" s="371"/>
      <c r="M2" s="371"/>
      <c r="N2" s="371"/>
      <c r="O2" s="371"/>
      <c r="P2" s="371"/>
      <c r="Q2" s="371"/>
      <c r="R2" s="371"/>
      <c r="S2" s="371"/>
      <c r="T2" s="371"/>
      <c r="U2" s="371"/>
      <c r="V2" s="371"/>
      <c r="W2" s="371"/>
      <c r="X2" s="371"/>
      <c r="Y2" s="371"/>
      <c r="Z2" s="371"/>
      <c r="AA2" s="371"/>
      <c r="AB2" s="372"/>
      <c r="AC2" s="372"/>
      <c r="AD2" s="372"/>
    </row>
    <row r="3" spans="1:30">
      <c r="A3" s="405" t="s">
        <v>18</v>
      </c>
      <c r="B3" s="405" t="s">
        <v>19</v>
      </c>
      <c r="C3" s="177"/>
      <c r="D3" s="405" t="s">
        <v>20</v>
      </c>
      <c r="E3" s="405"/>
      <c r="F3" s="379" t="s">
        <v>21</v>
      </c>
      <c r="G3" s="389" t="s">
        <v>22</v>
      </c>
      <c r="H3" s="379" t="s">
        <v>23</v>
      </c>
      <c r="I3" s="381" t="s">
        <v>24</v>
      </c>
      <c r="J3" s="383" t="s">
        <v>25</v>
      </c>
      <c r="K3" s="385" t="s">
        <v>26</v>
      </c>
      <c r="L3" s="387" t="s">
        <v>1</v>
      </c>
      <c r="M3" s="389" t="s">
        <v>25</v>
      </c>
      <c r="N3" s="385" t="s">
        <v>26</v>
      </c>
      <c r="O3" s="387" t="s">
        <v>1</v>
      </c>
      <c r="P3" s="383" t="s">
        <v>25</v>
      </c>
      <c r="Q3" s="387" t="s">
        <v>1</v>
      </c>
      <c r="R3" s="392" t="s">
        <v>27</v>
      </c>
      <c r="S3" s="394" t="s">
        <v>28</v>
      </c>
      <c r="T3" s="389" t="s">
        <v>4</v>
      </c>
      <c r="U3" s="389"/>
      <c r="V3" s="408" t="s">
        <v>29</v>
      </c>
      <c r="W3" s="381" t="s">
        <v>30</v>
      </c>
      <c r="X3" s="389" t="s">
        <v>31</v>
      </c>
      <c r="Y3" s="389"/>
      <c r="Z3" s="415" t="s">
        <v>71</v>
      </c>
      <c r="AA3" s="416"/>
      <c r="AB3" s="385" t="s">
        <v>26</v>
      </c>
      <c r="AC3" s="392" t="s">
        <v>27</v>
      </c>
      <c r="AD3" s="394" t="s">
        <v>28</v>
      </c>
    </row>
    <row r="4" spans="1:30" ht="16.5" thickBot="1">
      <c r="A4" s="379"/>
      <c r="B4" s="379"/>
      <c r="C4" s="178"/>
      <c r="D4" s="379"/>
      <c r="E4" s="379"/>
      <c r="F4" s="380"/>
      <c r="G4" s="390"/>
      <c r="H4" s="380"/>
      <c r="I4" s="382"/>
      <c r="J4" s="384"/>
      <c r="K4" s="386"/>
      <c r="L4" s="388"/>
      <c r="M4" s="390"/>
      <c r="N4" s="386"/>
      <c r="O4" s="388"/>
      <c r="P4" s="384"/>
      <c r="Q4" s="388"/>
      <c r="R4" s="393"/>
      <c r="S4" s="395"/>
      <c r="T4" s="179" t="s">
        <v>5</v>
      </c>
      <c r="U4" s="179" t="s">
        <v>6</v>
      </c>
      <c r="V4" s="390"/>
      <c r="W4" s="382"/>
      <c r="X4" s="178" t="s">
        <v>32</v>
      </c>
      <c r="Y4" s="178" t="s">
        <v>33</v>
      </c>
      <c r="Z4" s="417"/>
      <c r="AA4" s="417"/>
      <c r="AB4" s="386"/>
      <c r="AC4" s="393"/>
      <c r="AD4" s="395"/>
    </row>
    <row r="5" spans="1:30" ht="15" customHeight="1">
      <c r="A5" s="411" t="s">
        <v>66</v>
      </c>
      <c r="B5" s="199" t="str">
        <f>VLOOKUP(D5,廠價表!$C$1:$E$39,2,0)</f>
        <v>義大利麵</v>
      </c>
      <c r="C5" s="102"/>
      <c r="D5" s="103" t="s">
        <v>127</v>
      </c>
      <c r="E5" s="104"/>
      <c r="F5" s="199">
        <f>VLOOKUP(D5,廠價表!$C$1:$E$39,3,0)</f>
        <v>57.21</v>
      </c>
      <c r="G5" s="105">
        <v>1909</v>
      </c>
      <c r="H5" s="106">
        <f>F5*G5</f>
        <v>109213.89</v>
      </c>
      <c r="I5" s="107"/>
      <c r="J5" s="108">
        <f>VLOOKUP(D5,產線配置圖!$A$2:$C$38,2,0)</f>
        <v>13</v>
      </c>
      <c r="K5" s="105">
        <f>VLOOKUP(D5,產線配置圖!$A$2:$C$38,3,0)</f>
        <v>2105</v>
      </c>
      <c r="L5" s="109">
        <f>K5/J5</f>
        <v>161.92307692307693</v>
      </c>
      <c r="M5" s="110">
        <v>13</v>
      </c>
      <c r="N5" s="105">
        <f>G5/W5*60</f>
        <v>1941.3559322033914</v>
      </c>
      <c r="O5" s="109">
        <f>N5/M5</f>
        <v>149.33507170795318</v>
      </c>
      <c r="P5" s="111">
        <f>M5-J5</f>
        <v>0</v>
      </c>
      <c r="Q5" s="112">
        <f>O5-L5</f>
        <v>-12.588005215123758</v>
      </c>
      <c r="R5" s="184">
        <f>O5/L5</f>
        <v>0.92225935021538774</v>
      </c>
      <c r="S5" s="396">
        <f>R15</f>
        <v>0.92714242399476765</v>
      </c>
      <c r="T5" s="94">
        <v>0.2902777777777778</v>
      </c>
      <c r="U5" s="94">
        <v>0.33124999999999999</v>
      </c>
      <c r="V5" s="194"/>
      <c r="W5" s="107">
        <f t="shared" ref="W5:W14" si="0">(U5-T5)*24*60</f>
        <v>58.99999999999995</v>
      </c>
      <c r="X5" s="188"/>
      <c r="Y5" s="188"/>
      <c r="Z5" s="400"/>
      <c r="AA5" s="400"/>
      <c r="AB5" s="111">
        <f>N5-K5</f>
        <v>-163.64406779660862</v>
      </c>
      <c r="AC5" s="184">
        <f>N5/K5</f>
        <v>0.92225935021538785</v>
      </c>
      <c r="AD5" s="401">
        <f>AC15</f>
        <v>0.92765027399590727</v>
      </c>
    </row>
    <row r="6" spans="1:30" ht="15" customHeight="1">
      <c r="A6" s="412"/>
      <c r="B6" s="56" t="str">
        <f>VLOOKUP(D6,廠價表!$C$1:$E$39,2,0)</f>
        <v>義大利麵</v>
      </c>
      <c r="C6" s="10"/>
      <c r="D6" s="11" t="s">
        <v>153</v>
      </c>
      <c r="E6" s="86"/>
      <c r="F6" s="56">
        <f>VLOOKUP(D6,廠價表!$C$1:$E$39,3,0)</f>
        <v>50.67</v>
      </c>
      <c r="G6" s="25">
        <v>1909</v>
      </c>
      <c r="H6" s="15">
        <f t="shared" ref="H6:H14" si="1">F6*G6</f>
        <v>96729.03</v>
      </c>
      <c r="I6" s="182"/>
      <c r="J6" s="16">
        <f>VLOOKUP(D6,產線配置圖!$A$2:$C$38,2,0)</f>
        <v>13</v>
      </c>
      <c r="K6" s="14">
        <f>VLOOKUP(D6,產線配置圖!$A$2:$C$38,3,0)</f>
        <v>2000</v>
      </c>
      <c r="L6" s="17">
        <f>K6/J6</f>
        <v>153.84615384615384</v>
      </c>
      <c r="M6" s="180">
        <v>13</v>
      </c>
      <c r="N6" s="14">
        <f>G6/W6*60</f>
        <v>1941.3559322033914</v>
      </c>
      <c r="O6" s="17">
        <f>N6/M6</f>
        <v>149.33507170795318</v>
      </c>
      <c r="P6" s="18">
        <f>M6-J6</f>
        <v>0</v>
      </c>
      <c r="Q6" s="19">
        <f>O6-L6</f>
        <v>-4.5110821382006634</v>
      </c>
      <c r="R6" s="185">
        <f>O6/L6</f>
        <v>0.97067796610169566</v>
      </c>
      <c r="S6" s="397"/>
      <c r="T6" s="95">
        <v>0.33750000000000002</v>
      </c>
      <c r="U6" s="95">
        <v>0.37847222222222221</v>
      </c>
      <c r="V6" s="177">
        <f>(T6-U5)*24*60</f>
        <v>9.000000000000048</v>
      </c>
      <c r="W6" s="182">
        <f t="shared" si="0"/>
        <v>58.99999999999995</v>
      </c>
      <c r="X6" s="22"/>
      <c r="Y6" s="22"/>
      <c r="Z6" s="381"/>
      <c r="AA6" s="381"/>
      <c r="AB6" s="18">
        <f>N6-K6</f>
        <v>-58.644067796608624</v>
      </c>
      <c r="AC6" s="185">
        <f>N6/K6</f>
        <v>0.97067796610169566</v>
      </c>
      <c r="AD6" s="402"/>
    </row>
    <row r="7" spans="1:30" ht="15" customHeight="1">
      <c r="A7" s="412"/>
      <c r="B7" s="56" t="str">
        <f>VLOOKUP(D7,廠價表!$C$1:$E$39,2,0)</f>
        <v>義大利麵</v>
      </c>
      <c r="C7" s="10"/>
      <c r="D7" s="11" t="s">
        <v>139</v>
      </c>
      <c r="E7" s="86"/>
      <c r="F7" s="56">
        <f>VLOOKUP(D7,廠價表!$C$1:$E$39,3,0)</f>
        <v>57.21</v>
      </c>
      <c r="G7" s="25">
        <v>2401</v>
      </c>
      <c r="H7" s="15">
        <f t="shared" si="1"/>
        <v>137361.21</v>
      </c>
      <c r="I7" s="182"/>
      <c r="J7" s="16">
        <f>VLOOKUP(D7,產線配置圖!$A$2:$C$38,2,0)</f>
        <v>17</v>
      </c>
      <c r="K7" s="14">
        <f>VLOOKUP(D7,產線配置圖!$A$2:$C$38,3,0)</f>
        <v>1895</v>
      </c>
      <c r="L7" s="17">
        <f>K7/J7</f>
        <v>111.47058823529412</v>
      </c>
      <c r="M7" s="180">
        <v>17</v>
      </c>
      <c r="N7" s="14">
        <f>G7/W7*60</f>
        <v>1778.5185185185196</v>
      </c>
      <c r="O7" s="17">
        <f>N7/M7</f>
        <v>104.61873638344233</v>
      </c>
      <c r="P7" s="18">
        <f>M7-J7</f>
        <v>0</v>
      </c>
      <c r="Q7" s="19">
        <f>O7-L7</f>
        <v>-6.8518518518517908</v>
      </c>
      <c r="R7" s="185">
        <f>O7/L7</f>
        <v>0.93853219974592061</v>
      </c>
      <c r="S7" s="397"/>
      <c r="T7" s="95">
        <v>0.38750000000000001</v>
      </c>
      <c r="U7" s="95">
        <v>0.44374999999999998</v>
      </c>
      <c r="V7" s="177">
        <f>(T7-U6)*24*60</f>
        <v>13.000000000000034</v>
      </c>
      <c r="W7" s="182">
        <f t="shared" si="0"/>
        <v>80.999999999999957</v>
      </c>
      <c r="X7" s="22"/>
      <c r="Y7" s="22"/>
      <c r="Z7" s="405"/>
      <c r="AA7" s="405"/>
      <c r="AB7" s="18">
        <f>N7-K7</f>
        <v>-116.48148148148039</v>
      </c>
      <c r="AC7" s="185">
        <f>N7/K7</f>
        <v>0.93853219974592061</v>
      </c>
      <c r="AD7" s="402"/>
    </row>
    <row r="8" spans="1:30" ht="15" customHeight="1">
      <c r="A8" s="412"/>
      <c r="B8" s="56" t="str">
        <f>VLOOKUP(D8,廠價表!$C$1:$E$39,2,0)</f>
        <v>義大利麵</v>
      </c>
      <c r="C8" s="10"/>
      <c r="D8" s="11" t="s">
        <v>141</v>
      </c>
      <c r="E8" s="86"/>
      <c r="F8" s="56">
        <f>VLOOKUP(D8,廠價表!$C$1:$E$39,3,0)</f>
        <v>49.14</v>
      </c>
      <c r="G8" s="25">
        <v>2697</v>
      </c>
      <c r="H8" s="15">
        <f t="shared" si="1"/>
        <v>132530.57999999999</v>
      </c>
      <c r="I8" s="182"/>
      <c r="J8" s="16">
        <f>VLOOKUP(D8,產線配置圖!$A$2:$C$38,2,0)</f>
        <v>13</v>
      </c>
      <c r="K8" s="14">
        <f>VLOOKUP(D8,產線配置圖!$A$2:$C$38,3,0)</f>
        <v>2000</v>
      </c>
      <c r="L8" s="17">
        <f>K8/J8</f>
        <v>153.84615384615384</v>
      </c>
      <c r="M8" s="180">
        <v>13</v>
      </c>
      <c r="N8" s="14">
        <f>G8/W8*60</f>
        <v>1949.6385542168691</v>
      </c>
      <c r="O8" s="17">
        <f>N8/M8</f>
        <v>149.9721964782207</v>
      </c>
      <c r="P8" s="18">
        <f>M8-J8</f>
        <v>0</v>
      </c>
      <c r="Q8" s="19">
        <f>O8-L8</f>
        <v>-3.8739573679331443</v>
      </c>
      <c r="R8" s="185">
        <f>O8/L8</f>
        <v>0.97481927710843452</v>
      </c>
      <c r="S8" s="397"/>
      <c r="T8" s="79">
        <v>0.4513888888888889</v>
      </c>
      <c r="U8" s="79">
        <v>0.50902777777777775</v>
      </c>
      <c r="V8" s="177">
        <f>(T8-U7)*24*60</f>
        <v>11.000000000000041</v>
      </c>
      <c r="W8" s="182">
        <f t="shared" si="0"/>
        <v>82.999999999999943</v>
      </c>
      <c r="X8" s="22"/>
      <c r="Y8" s="22"/>
      <c r="Z8" s="406"/>
      <c r="AA8" s="406"/>
      <c r="AB8" s="18">
        <f>N8-K8</f>
        <v>-50.361445783130875</v>
      </c>
      <c r="AC8" s="185">
        <f>N8/K8</f>
        <v>0.97481927710843452</v>
      </c>
      <c r="AD8" s="402"/>
    </row>
    <row r="9" spans="1:30" ht="15" customHeight="1">
      <c r="A9" s="413"/>
      <c r="B9" s="56" t="str">
        <f>VLOOKUP(D9,廠價表!$C$1:$E$39,2,0)</f>
        <v>義大利麵</v>
      </c>
      <c r="C9" s="10"/>
      <c r="D9" s="11" t="s">
        <v>141</v>
      </c>
      <c r="E9" s="86"/>
      <c r="F9" s="56">
        <f>VLOOKUP(D9,廠價表!$C$1:$E$39,3,0)</f>
        <v>49.14</v>
      </c>
      <c r="G9" s="25">
        <v>3942</v>
      </c>
      <c r="H9" s="15">
        <f t="shared" si="1"/>
        <v>193709.88</v>
      </c>
      <c r="I9" s="182"/>
      <c r="J9" s="16">
        <f>VLOOKUP(D9,產線配置圖!$A$2:$C$38,2,0)</f>
        <v>13</v>
      </c>
      <c r="K9" s="14">
        <f>VLOOKUP(D9,產線配置圖!$A$2:$C$38,3,0)</f>
        <v>2000</v>
      </c>
      <c r="L9" s="17">
        <f>K9/J9</f>
        <v>153.84615384615384</v>
      </c>
      <c r="M9" s="180">
        <v>13</v>
      </c>
      <c r="N9" s="14">
        <f>G9/W9*60</f>
        <v>1665.6338028169016</v>
      </c>
      <c r="O9" s="17">
        <f>N9/M9</f>
        <v>128.12567713976165</v>
      </c>
      <c r="P9" s="18">
        <f>M9-J9</f>
        <v>0</v>
      </c>
      <c r="Q9" s="19">
        <f>O9-L9</f>
        <v>-25.720476706392191</v>
      </c>
      <c r="R9" s="185">
        <f>O9/L9</f>
        <v>0.83281690140845077</v>
      </c>
      <c r="S9" s="398"/>
      <c r="T9" s="20">
        <v>0.57152777777777775</v>
      </c>
      <c r="U9" s="20">
        <v>0.67013888888888884</v>
      </c>
      <c r="V9" s="177">
        <f>(T9-U8)*24*60</f>
        <v>90</v>
      </c>
      <c r="W9" s="24">
        <f t="shared" si="0"/>
        <v>141.99999999999997</v>
      </c>
      <c r="X9" s="22"/>
      <c r="Y9" s="263"/>
      <c r="Z9" s="407"/>
      <c r="AA9" s="407"/>
      <c r="AB9" s="18"/>
      <c r="AC9" s="185"/>
      <c r="AD9" s="403"/>
    </row>
    <row r="10" spans="1:30" ht="15" customHeight="1">
      <c r="A10" s="413"/>
      <c r="B10" s="177"/>
      <c r="C10" s="23"/>
      <c r="D10" s="11"/>
      <c r="E10" s="12"/>
      <c r="F10" s="13"/>
      <c r="G10" s="14"/>
      <c r="H10" s="15"/>
      <c r="I10" s="177"/>
      <c r="J10" s="16"/>
      <c r="K10" s="14"/>
      <c r="L10" s="17"/>
      <c r="M10" s="180"/>
      <c r="N10" s="14"/>
      <c r="O10" s="17"/>
      <c r="P10" s="18"/>
      <c r="Q10" s="19"/>
      <c r="R10" s="185"/>
      <c r="S10" s="398"/>
      <c r="T10" s="20"/>
      <c r="U10" s="20"/>
      <c r="V10" s="177"/>
      <c r="W10" s="182">
        <f t="shared" si="0"/>
        <v>0</v>
      </c>
      <c r="X10" s="22"/>
      <c r="Y10" s="263"/>
      <c r="Z10" s="419"/>
      <c r="AA10" s="418"/>
      <c r="AB10" s="264"/>
      <c r="AC10" s="185"/>
      <c r="AD10" s="403"/>
    </row>
    <row r="11" spans="1:30" ht="15" customHeight="1">
      <c r="A11" s="413"/>
      <c r="B11" s="177"/>
      <c r="C11" s="183"/>
      <c r="D11" s="11"/>
      <c r="E11" s="12"/>
      <c r="F11" s="13"/>
      <c r="G11" s="14"/>
      <c r="H11" s="15">
        <f t="shared" si="1"/>
        <v>0</v>
      </c>
      <c r="I11" s="177"/>
      <c r="J11" s="16"/>
      <c r="K11" s="14"/>
      <c r="L11" s="17"/>
      <c r="M11" s="180"/>
      <c r="N11" s="25"/>
      <c r="O11" s="17"/>
      <c r="P11" s="18"/>
      <c r="Q11" s="19"/>
      <c r="R11" s="185"/>
      <c r="S11" s="398"/>
      <c r="T11" s="20"/>
      <c r="U11" s="20"/>
      <c r="V11" s="177"/>
      <c r="W11" s="24">
        <f t="shared" si="0"/>
        <v>0</v>
      </c>
      <c r="X11" s="22"/>
      <c r="Y11" s="263"/>
      <c r="Z11" s="419"/>
      <c r="AA11" s="418"/>
      <c r="AB11" s="264"/>
      <c r="AC11" s="185"/>
      <c r="AD11" s="403"/>
    </row>
    <row r="12" spans="1:30" ht="15" customHeight="1">
      <c r="A12" s="413"/>
      <c r="B12" s="26"/>
      <c r="C12" s="27"/>
      <c r="D12" s="28"/>
      <c r="E12" s="29"/>
      <c r="F12" s="13"/>
      <c r="G12" s="30"/>
      <c r="H12" s="15">
        <f t="shared" si="1"/>
        <v>0</v>
      </c>
      <c r="I12" s="178"/>
      <c r="J12" s="31"/>
      <c r="K12" s="30"/>
      <c r="L12" s="17"/>
      <c r="M12" s="181"/>
      <c r="N12" s="25"/>
      <c r="O12" s="17"/>
      <c r="P12" s="18"/>
      <c r="Q12" s="19"/>
      <c r="R12" s="185"/>
      <c r="S12" s="398"/>
      <c r="T12" s="32"/>
      <c r="U12" s="32"/>
      <c r="V12" s="178"/>
      <c r="W12" s="24">
        <f t="shared" si="0"/>
        <v>0</v>
      </c>
      <c r="X12" s="33"/>
      <c r="Y12" s="33"/>
      <c r="Z12" s="407"/>
      <c r="AA12" s="407"/>
      <c r="AB12" s="34"/>
      <c r="AC12" s="186"/>
      <c r="AD12" s="403"/>
    </row>
    <row r="13" spans="1:30" ht="15" customHeight="1">
      <c r="A13" s="413"/>
      <c r="B13" s="26"/>
      <c r="C13" s="27"/>
      <c r="D13" s="28"/>
      <c r="E13" s="29"/>
      <c r="F13" s="13"/>
      <c r="G13" s="30"/>
      <c r="H13" s="15">
        <f t="shared" si="1"/>
        <v>0</v>
      </c>
      <c r="I13" s="178"/>
      <c r="J13" s="31"/>
      <c r="K13" s="30"/>
      <c r="L13" s="17"/>
      <c r="M13" s="181"/>
      <c r="N13" s="25"/>
      <c r="O13" s="17"/>
      <c r="P13" s="18"/>
      <c r="Q13" s="19"/>
      <c r="R13" s="185"/>
      <c r="S13" s="398"/>
      <c r="T13" s="32"/>
      <c r="U13" s="32"/>
      <c r="V13" s="178"/>
      <c r="W13" s="24">
        <f t="shared" si="0"/>
        <v>0</v>
      </c>
      <c r="X13" s="33"/>
      <c r="Y13" s="33"/>
      <c r="Z13" s="419"/>
      <c r="AA13" s="418"/>
      <c r="AB13" s="34"/>
      <c r="AC13" s="186"/>
      <c r="AD13" s="403"/>
    </row>
    <row r="14" spans="1:30" ht="15" customHeight="1">
      <c r="A14" s="413"/>
      <c r="B14" s="26"/>
      <c r="C14" s="27"/>
      <c r="D14" s="28"/>
      <c r="E14" s="29"/>
      <c r="F14" s="13"/>
      <c r="G14" s="30"/>
      <c r="H14" s="15">
        <f t="shared" si="1"/>
        <v>0</v>
      </c>
      <c r="I14" s="178"/>
      <c r="J14" s="31"/>
      <c r="K14" s="30"/>
      <c r="L14" s="17"/>
      <c r="M14" s="181"/>
      <c r="N14" s="25"/>
      <c r="O14" s="17"/>
      <c r="P14" s="18"/>
      <c r="Q14" s="19"/>
      <c r="R14" s="185"/>
      <c r="S14" s="398"/>
      <c r="T14" s="32"/>
      <c r="U14" s="32"/>
      <c r="V14" s="178"/>
      <c r="W14" s="24">
        <f t="shared" si="0"/>
        <v>0</v>
      </c>
      <c r="X14" s="33"/>
      <c r="Y14" s="33"/>
      <c r="Z14" s="419"/>
      <c r="AA14" s="418"/>
      <c r="AB14" s="34"/>
      <c r="AC14" s="186"/>
      <c r="AD14" s="403"/>
    </row>
    <row r="15" spans="1:30" ht="15" customHeight="1" thickBot="1">
      <c r="A15" s="414"/>
      <c r="B15" s="113"/>
      <c r="C15" s="113" t="s">
        <v>34</v>
      </c>
      <c r="D15" s="410" t="s">
        <v>7</v>
      </c>
      <c r="E15" s="410"/>
      <c r="F15" s="114"/>
      <c r="G15" s="115"/>
      <c r="H15" s="116"/>
      <c r="I15" s="117"/>
      <c r="J15" s="118">
        <f t="shared" ref="J15:O15" si="2">AVERAGE(J5:J14)</f>
        <v>13.8</v>
      </c>
      <c r="K15" s="118">
        <f t="shared" si="2"/>
        <v>2000</v>
      </c>
      <c r="L15" s="115">
        <f t="shared" si="2"/>
        <v>146.98642533936649</v>
      </c>
      <c r="M15" s="118">
        <f t="shared" si="2"/>
        <v>13.8</v>
      </c>
      <c r="N15" s="118">
        <f t="shared" si="2"/>
        <v>1855.3005479918145</v>
      </c>
      <c r="O15" s="115">
        <f t="shared" si="2"/>
        <v>136.27735068346618</v>
      </c>
      <c r="P15" s="119">
        <f t="shared" ref="P15:P16" si="3">M15-J15</f>
        <v>0</v>
      </c>
      <c r="Q15" s="120">
        <f t="shared" ref="Q15:Q16" si="4">O15-L15</f>
        <v>-10.709074655900309</v>
      </c>
      <c r="R15" s="121">
        <f t="shared" ref="R15:R16" si="5">O15/L15</f>
        <v>0.92714242399476765</v>
      </c>
      <c r="S15" s="399"/>
      <c r="T15" s="122"/>
      <c r="U15" s="122"/>
      <c r="V15" s="195"/>
      <c r="W15" s="123"/>
      <c r="X15" s="124"/>
      <c r="Y15" s="124"/>
      <c r="Z15" s="391"/>
      <c r="AA15" s="391"/>
      <c r="AB15" s="119">
        <f>N15-K15</f>
        <v>-144.69945200818552</v>
      </c>
      <c r="AC15" s="187">
        <f>N15/K15</f>
        <v>0.92765027399590727</v>
      </c>
      <c r="AD15" s="404"/>
    </row>
    <row r="16" spans="1:30" ht="15" customHeight="1">
      <c r="A16" s="431" t="s">
        <v>67</v>
      </c>
      <c r="B16" s="199" t="s">
        <v>134</v>
      </c>
      <c r="C16" s="102"/>
      <c r="D16" s="103" t="s">
        <v>127</v>
      </c>
      <c r="E16" s="104"/>
      <c r="F16" s="199">
        <f>VLOOKUP(D16,廠價表!$C$1:$E$39,3,0)</f>
        <v>57.21</v>
      </c>
      <c r="G16" s="265">
        <v>1671</v>
      </c>
      <c r="H16" s="125">
        <f t="shared" ref="H16:H25" si="6">F16*G16</f>
        <v>95597.91</v>
      </c>
      <c r="I16" s="126"/>
      <c r="J16" s="108">
        <f>VLOOKUP(D16,產線配置圖!$A$2:$C$38,2,0)</f>
        <v>13</v>
      </c>
      <c r="K16" s="105">
        <f>VLOOKUP(D16,產線配置圖!$A$2:$C$38,3,0)</f>
        <v>2105</v>
      </c>
      <c r="L16" s="109">
        <f>K16/J16</f>
        <v>161.92307692307693</v>
      </c>
      <c r="M16" s="267">
        <v>13</v>
      </c>
      <c r="N16" s="127">
        <f>G16/W16*60</f>
        <v>1965.8823529411775</v>
      </c>
      <c r="O16" s="128">
        <f>N16/M16</f>
        <v>151.22171945701365</v>
      </c>
      <c r="P16" s="129">
        <f t="shared" si="3"/>
        <v>0</v>
      </c>
      <c r="Q16" s="130">
        <f t="shared" si="4"/>
        <v>-10.701357466063286</v>
      </c>
      <c r="R16" s="189">
        <f t="shared" si="5"/>
        <v>0.9339108565041222</v>
      </c>
      <c r="S16" s="424">
        <f>R26</f>
        <v>0.93852016184956355</v>
      </c>
      <c r="T16" s="268">
        <v>0.29097222222222224</v>
      </c>
      <c r="U16" s="268">
        <v>0.3263888888888889</v>
      </c>
      <c r="V16" s="126"/>
      <c r="W16" s="131">
        <f t="shared" ref="W16:W68" si="7">(U16-T16)*24*60</f>
        <v>50.999999999999979</v>
      </c>
      <c r="X16" s="128"/>
      <c r="Y16" s="128"/>
      <c r="Z16" s="400"/>
      <c r="AA16" s="400"/>
      <c r="AB16" s="111">
        <f>N16-K16</f>
        <v>-139.11764705882251</v>
      </c>
      <c r="AC16" s="184">
        <f>N16/K16</f>
        <v>0.93391085650412231</v>
      </c>
      <c r="AD16" s="401">
        <f>AC26</f>
        <v>0.93872001887413747</v>
      </c>
    </row>
    <row r="17" spans="1:30" ht="15" customHeight="1">
      <c r="A17" s="432"/>
      <c r="B17" s="56" t="s">
        <v>62</v>
      </c>
      <c r="C17" s="10"/>
      <c r="D17" s="11" t="s">
        <v>153</v>
      </c>
      <c r="E17" s="86"/>
      <c r="F17" s="56">
        <f>VLOOKUP(D17,廠價表!$C$1:$E$39,3,0)</f>
        <v>50.67</v>
      </c>
      <c r="G17" s="96">
        <v>2764</v>
      </c>
      <c r="H17" s="15">
        <f>F17*G17</f>
        <v>140051.88</v>
      </c>
      <c r="I17" s="177"/>
      <c r="J17" s="16">
        <f>VLOOKUP(D17,產線配置圖!$A$2:$C$38,2,0)</f>
        <v>13</v>
      </c>
      <c r="K17" s="14">
        <f>VLOOKUP(D17,產線配置圖!$A$2:$C$38,3,0)</f>
        <v>2000</v>
      </c>
      <c r="L17" s="17">
        <f>K17/J17</f>
        <v>153.84615384615384</v>
      </c>
      <c r="M17" s="37">
        <v>13</v>
      </c>
      <c r="N17" s="36">
        <f>G17/W17*60</f>
        <v>1863.370786516854</v>
      </c>
      <c r="O17" s="38">
        <f>N17/M17</f>
        <v>143.33621434745029</v>
      </c>
      <c r="P17" s="39">
        <f>M17-J17</f>
        <v>0</v>
      </c>
      <c r="Q17" s="40">
        <f>O17-L17</f>
        <v>-10.509939498703545</v>
      </c>
      <c r="R17" s="190">
        <f>O17/L17</f>
        <v>0.93168539325842692</v>
      </c>
      <c r="S17" s="425"/>
      <c r="T17" s="41">
        <v>0.33402777777777776</v>
      </c>
      <c r="U17" s="41">
        <v>0.39583333333333331</v>
      </c>
      <c r="V17" s="177">
        <f>(T17-U16)*24*60</f>
        <v>10.999999999999961</v>
      </c>
      <c r="W17" s="43">
        <f t="shared" si="7"/>
        <v>89</v>
      </c>
      <c r="X17" s="44"/>
      <c r="Y17" s="44"/>
      <c r="Z17" s="418"/>
      <c r="AA17" s="405"/>
      <c r="AB17" s="18">
        <f>N17-K17</f>
        <v>-136.62921348314603</v>
      </c>
      <c r="AC17" s="185">
        <f>N17/K17</f>
        <v>0.93168539325842703</v>
      </c>
      <c r="AD17" s="402"/>
    </row>
    <row r="18" spans="1:30" ht="15" customHeight="1">
      <c r="A18" s="432"/>
      <c r="B18" s="56" t="s">
        <v>62</v>
      </c>
      <c r="C18" s="10"/>
      <c r="D18" s="11" t="s">
        <v>131</v>
      </c>
      <c r="E18" s="86"/>
      <c r="F18" s="56">
        <f>VLOOKUP(D18,廠價表!$C$1:$E$39,3,0)</f>
        <v>50.39</v>
      </c>
      <c r="G18" s="96">
        <v>3478</v>
      </c>
      <c r="H18" s="15">
        <f>F18*G18</f>
        <v>175256.42</v>
      </c>
      <c r="I18" s="177"/>
      <c r="J18" s="16">
        <f>VLOOKUP(D18,產線配置圖!$A$2:$C$38,2,0)</f>
        <v>12</v>
      </c>
      <c r="K18" s="14">
        <f>VLOOKUP(D18,產線配置圖!$A$2:$C$38,3,0)</f>
        <v>2000</v>
      </c>
      <c r="L18" s="17">
        <f>K18/J18</f>
        <v>166.66666666666666</v>
      </c>
      <c r="M18" s="37">
        <v>12</v>
      </c>
      <c r="N18" s="36">
        <f>G18/W18*60</f>
        <v>1932.2222222222222</v>
      </c>
      <c r="O18" s="38">
        <f>N18/M18</f>
        <v>161.0185185185185</v>
      </c>
      <c r="P18" s="39">
        <f>M18-J18</f>
        <v>0</v>
      </c>
      <c r="Q18" s="40">
        <f>O18-L18</f>
        <v>-5.6481481481481524</v>
      </c>
      <c r="R18" s="190">
        <f>O18/L18</f>
        <v>0.96611111111111103</v>
      </c>
      <c r="S18" s="425"/>
      <c r="T18" s="41">
        <v>0.40416666666666667</v>
      </c>
      <c r="U18" s="41">
        <v>0.47916666666666669</v>
      </c>
      <c r="V18" s="177">
        <f>(T18-U17)*24*60</f>
        <v>12.000000000000037</v>
      </c>
      <c r="W18" s="43">
        <f t="shared" si="7"/>
        <v>108.00000000000001</v>
      </c>
      <c r="X18" s="22"/>
      <c r="Y18" s="22"/>
      <c r="Z18" s="418"/>
      <c r="AA18" s="405"/>
      <c r="AB18" s="18">
        <f>N18-K18</f>
        <v>-67.777777777777828</v>
      </c>
      <c r="AC18" s="185">
        <f>N18/K18</f>
        <v>0.96611111111111103</v>
      </c>
      <c r="AD18" s="402"/>
    </row>
    <row r="19" spans="1:30" ht="15" customHeight="1">
      <c r="A19" s="432"/>
      <c r="B19" s="56" t="s">
        <v>62</v>
      </c>
      <c r="C19" s="23"/>
      <c r="D19" s="11" t="s">
        <v>131</v>
      </c>
      <c r="E19" s="12"/>
      <c r="F19" s="56">
        <f>VLOOKUP(D19,廠價表!$C$1:$E$39,3,0)</f>
        <v>50.39</v>
      </c>
      <c r="G19" s="96">
        <v>3026</v>
      </c>
      <c r="H19" s="15">
        <f t="shared" ref="H19" si="8">F19*G19</f>
        <v>152480.14000000001</v>
      </c>
      <c r="I19" s="177"/>
      <c r="J19" s="16">
        <f>VLOOKUP(D19,產線配置圖!$A$2:$C$38,2,0)</f>
        <v>12</v>
      </c>
      <c r="K19" s="14">
        <f>VLOOKUP(D19,產線配置圖!$A$2:$C$38,3,0)</f>
        <v>2000</v>
      </c>
      <c r="L19" s="17">
        <f t="shared" ref="L19" si="9">K19/J19</f>
        <v>166.66666666666666</v>
      </c>
      <c r="M19" s="37">
        <v>12</v>
      </c>
      <c r="N19" s="36">
        <f>G19/W19*60</f>
        <v>1797.6237623762386</v>
      </c>
      <c r="O19" s="38">
        <f>N19/M19</f>
        <v>149.80198019801989</v>
      </c>
      <c r="P19" s="39">
        <f>M19-J19</f>
        <v>0</v>
      </c>
      <c r="Q19" s="40">
        <f>O19-L19</f>
        <v>-16.864686468646767</v>
      </c>
      <c r="R19" s="190">
        <f>O19/L19</f>
        <v>0.89881188118811939</v>
      </c>
      <c r="S19" s="425"/>
      <c r="T19" s="41">
        <v>0.56597222222222221</v>
      </c>
      <c r="U19" s="41">
        <v>0.63611111111111107</v>
      </c>
      <c r="V19" s="177">
        <f>(T19-U18)*24*60</f>
        <v>124.99999999999996</v>
      </c>
      <c r="W19" s="43">
        <f t="shared" si="7"/>
        <v>100.99999999999996</v>
      </c>
      <c r="X19" s="22"/>
      <c r="Y19" s="22"/>
      <c r="Z19" s="419"/>
      <c r="AA19" s="418"/>
      <c r="AB19" s="18">
        <f>N19-K19</f>
        <v>-202.37623762376143</v>
      </c>
      <c r="AC19" s="185">
        <f>N19/K19</f>
        <v>0.89881188118811928</v>
      </c>
      <c r="AD19" s="403"/>
    </row>
    <row r="20" spans="1:30" ht="15" customHeight="1">
      <c r="A20" s="432"/>
      <c r="B20" s="56" t="s">
        <v>62</v>
      </c>
      <c r="C20" s="23"/>
      <c r="D20" s="11" t="s">
        <v>153</v>
      </c>
      <c r="E20" s="12"/>
      <c r="F20" s="56">
        <f>VLOOKUP(D20,廠價表!$C$1:$E$39,3,0)</f>
        <v>50.67</v>
      </c>
      <c r="G20" s="96">
        <v>1156</v>
      </c>
      <c r="H20" s="15">
        <f t="shared" ref="H20" si="10">F20*G20</f>
        <v>58574.520000000004</v>
      </c>
      <c r="I20" s="177"/>
      <c r="J20" s="16">
        <f>VLOOKUP(D20,產線配置圖!$A$2:$C$38,2,0)</f>
        <v>13</v>
      </c>
      <c r="K20" s="14">
        <f>VLOOKUP(D20,產線配置圖!$A$2:$C$38,3,0)</f>
        <v>2000</v>
      </c>
      <c r="L20" s="17">
        <f t="shared" ref="L20" si="11">K20/J20</f>
        <v>153.84615384615384</v>
      </c>
      <c r="M20" s="37">
        <v>13</v>
      </c>
      <c r="N20" s="36">
        <f>G20/W20*60</f>
        <v>1926.6666666666652</v>
      </c>
      <c r="O20" s="38">
        <f>N20/M20</f>
        <v>148.20512820512809</v>
      </c>
      <c r="P20" s="39">
        <f>M20-J20</f>
        <v>0</v>
      </c>
      <c r="Q20" s="40">
        <f>O20-L20</f>
        <v>-5.6410256410257489</v>
      </c>
      <c r="R20" s="190">
        <f>O20/L20</f>
        <v>0.9633333333333326</v>
      </c>
      <c r="S20" s="425"/>
      <c r="T20" s="41">
        <v>0.65833333333333333</v>
      </c>
      <c r="U20" s="41">
        <v>0.68333333333333335</v>
      </c>
      <c r="V20" s="177">
        <f>(T20-U19)*24*60</f>
        <v>32.000000000000043</v>
      </c>
      <c r="W20" s="43">
        <f t="shared" si="7"/>
        <v>36.000000000000028</v>
      </c>
      <c r="X20" s="44"/>
      <c r="Y20" s="44"/>
      <c r="Z20" s="418"/>
      <c r="AA20" s="405"/>
      <c r="AB20" s="34"/>
      <c r="AC20" s="186"/>
      <c r="AD20" s="403"/>
    </row>
    <row r="21" spans="1:30" ht="15" customHeight="1">
      <c r="A21" s="433"/>
      <c r="B21" s="177"/>
      <c r="C21" s="23"/>
      <c r="D21" s="11"/>
      <c r="E21" s="12"/>
      <c r="F21" s="13"/>
      <c r="G21" s="36"/>
      <c r="H21" s="15">
        <f t="shared" si="6"/>
        <v>0</v>
      </c>
      <c r="I21" s="43"/>
      <c r="J21" s="37"/>
      <c r="K21" s="36"/>
      <c r="L21" s="38"/>
      <c r="M21" s="37"/>
      <c r="N21" s="36"/>
      <c r="O21" s="38"/>
      <c r="P21" s="39"/>
      <c r="Q21" s="40"/>
      <c r="R21" s="190"/>
      <c r="S21" s="425"/>
      <c r="T21" s="41"/>
      <c r="U21" s="41"/>
      <c r="V21" s="42"/>
      <c r="W21" s="43">
        <v>0</v>
      </c>
      <c r="X21" s="42"/>
      <c r="Y21" s="42"/>
      <c r="Z21" s="418"/>
      <c r="AA21" s="405"/>
      <c r="AB21" s="34"/>
      <c r="AC21" s="186"/>
      <c r="AD21" s="403"/>
    </row>
    <row r="22" spans="1:30" ht="15" customHeight="1">
      <c r="A22" s="433"/>
      <c r="B22" s="177"/>
      <c r="C22" s="183"/>
      <c r="D22" s="11"/>
      <c r="E22" s="12"/>
      <c r="F22" s="13"/>
      <c r="G22" s="36"/>
      <c r="H22" s="15">
        <f t="shared" si="6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90"/>
      <c r="S22" s="425"/>
      <c r="T22" s="41"/>
      <c r="U22" s="41"/>
      <c r="V22" s="42"/>
      <c r="W22" s="43">
        <v>0</v>
      </c>
      <c r="X22" s="42"/>
      <c r="Y22" s="42"/>
      <c r="Z22" s="418"/>
      <c r="AA22" s="405"/>
      <c r="AB22" s="34"/>
      <c r="AC22" s="186"/>
      <c r="AD22" s="403"/>
    </row>
    <row r="23" spans="1:30" ht="15" customHeight="1">
      <c r="A23" s="433"/>
      <c r="B23" s="26"/>
      <c r="C23" s="27"/>
      <c r="D23" s="28"/>
      <c r="E23" s="29"/>
      <c r="F23" s="13"/>
      <c r="G23" s="36"/>
      <c r="H23" s="15">
        <f t="shared" si="6"/>
        <v>0</v>
      </c>
      <c r="I23" s="43"/>
      <c r="J23" s="37"/>
      <c r="K23" s="36"/>
      <c r="L23" s="38"/>
      <c r="M23" s="37"/>
      <c r="N23" s="36"/>
      <c r="O23" s="38"/>
      <c r="P23" s="39"/>
      <c r="Q23" s="40"/>
      <c r="R23" s="190"/>
      <c r="S23" s="425"/>
      <c r="T23" s="41"/>
      <c r="U23" s="41"/>
      <c r="W23" s="43">
        <f t="shared" si="7"/>
        <v>0</v>
      </c>
      <c r="X23" s="42"/>
      <c r="Y23" s="42"/>
      <c r="Z23" s="418"/>
      <c r="AA23" s="405"/>
      <c r="AB23" s="34"/>
      <c r="AC23" s="186"/>
      <c r="AD23" s="403"/>
    </row>
    <row r="24" spans="1:30" ht="15" customHeight="1">
      <c r="A24" s="433"/>
      <c r="B24" s="26"/>
      <c r="C24" s="27"/>
      <c r="D24" s="28"/>
      <c r="E24" s="29"/>
      <c r="F24" s="13"/>
      <c r="G24" s="36"/>
      <c r="H24" s="15">
        <f t="shared" si="6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90"/>
      <c r="S24" s="425"/>
      <c r="T24" s="41"/>
      <c r="U24" s="41"/>
      <c r="V24" s="42"/>
      <c r="W24" s="43">
        <f t="shared" si="7"/>
        <v>0</v>
      </c>
      <c r="X24" s="42"/>
      <c r="Y24" s="42"/>
      <c r="Z24" s="418"/>
      <c r="AA24" s="405"/>
      <c r="AB24" s="34"/>
      <c r="AC24" s="186"/>
      <c r="AD24" s="403"/>
    </row>
    <row r="25" spans="1:30" ht="15" customHeight="1">
      <c r="A25" s="433"/>
      <c r="B25" s="26"/>
      <c r="C25" s="27"/>
      <c r="D25" s="28"/>
      <c r="E25" s="29"/>
      <c r="F25" s="13"/>
      <c r="G25" s="36"/>
      <c r="H25" s="50">
        <f t="shared" si="6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90"/>
      <c r="S25" s="425"/>
      <c r="T25" s="41"/>
      <c r="U25" s="41"/>
      <c r="V25" s="42"/>
      <c r="W25" s="43">
        <f t="shared" si="7"/>
        <v>0</v>
      </c>
      <c r="X25" s="42"/>
      <c r="Y25" s="42"/>
      <c r="Z25" s="418"/>
      <c r="AA25" s="405"/>
      <c r="AB25" s="34"/>
      <c r="AC25" s="186"/>
      <c r="AD25" s="403"/>
    </row>
    <row r="26" spans="1:30" ht="15" customHeight="1" thickBot="1">
      <c r="A26" s="434"/>
      <c r="B26" s="132"/>
      <c r="C26" s="1" t="s">
        <v>35</v>
      </c>
      <c r="D26" s="410" t="s">
        <v>7</v>
      </c>
      <c r="E26" s="410"/>
      <c r="F26" s="133"/>
      <c r="G26" s="134"/>
      <c r="H26" s="135"/>
      <c r="I26" s="136"/>
      <c r="J26" s="134">
        <f t="shared" ref="J26:O26" si="12">AVERAGE(J16:J25)</f>
        <v>12.6</v>
      </c>
      <c r="K26" s="134">
        <f t="shared" si="12"/>
        <v>2021</v>
      </c>
      <c r="L26" s="137">
        <f t="shared" si="12"/>
        <v>160.58974358974359</v>
      </c>
      <c r="M26" s="134">
        <f t="shared" si="12"/>
        <v>12.6</v>
      </c>
      <c r="N26" s="134">
        <f t="shared" si="12"/>
        <v>1897.1531581446318</v>
      </c>
      <c r="O26" s="137">
        <f t="shared" si="12"/>
        <v>150.71671214522607</v>
      </c>
      <c r="P26" s="138">
        <f t="shared" ref="P26:P29" si="13">M26-J26</f>
        <v>0</v>
      </c>
      <c r="Q26" s="139">
        <f t="shared" ref="Q26:Q29" si="14">O26-L26</f>
        <v>-9.8730314445175225</v>
      </c>
      <c r="R26" s="140">
        <f t="shared" ref="R26:R29" si="15">O26/L26</f>
        <v>0.93852016184956355</v>
      </c>
      <c r="S26" s="435"/>
      <c r="T26" s="141"/>
      <c r="U26" s="141"/>
      <c r="V26" s="146"/>
      <c r="W26" s="142"/>
      <c r="X26" s="143"/>
      <c r="Y26" s="143"/>
      <c r="Z26" s="420"/>
      <c r="AA26" s="391"/>
      <c r="AB26" s="119">
        <f>N26-K26</f>
        <v>-123.84684185536821</v>
      </c>
      <c r="AC26" s="187">
        <f>N26/K26</f>
        <v>0.93872001887413747</v>
      </c>
      <c r="AD26" s="404"/>
    </row>
    <row r="27" spans="1:30" ht="15" customHeight="1">
      <c r="A27" s="421" t="s">
        <v>54</v>
      </c>
      <c r="B27" s="229" t="s">
        <v>62</v>
      </c>
      <c r="C27" s="102"/>
      <c r="D27" s="103" t="s">
        <v>144</v>
      </c>
      <c r="E27" s="104"/>
      <c r="F27" s="199">
        <f>VLOOKUP(D27,廠價表!$C$1:$E$39,3,0)</f>
        <v>49.91</v>
      </c>
      <c r="G27" s="269">
        <v>3612</v>
      </c>
      <c r="H27" s="125">
        <f t="shared" ref="H27:H39" si="16">F27*G27</f>
        <v>180274.91999999998</v>
      </c>
      <c r="I27" s="126"/>
      <c r="J27" s="108">
        <f>VLOOKUP(D27,產線配置圖!$A$2:$C$38,2,0)</f>
        <v>17</v>
      </c>
      <c r="K27" s="236">
        <f>VLOOKUP(D27,產線配置圖!$A$2:$C$38,3,0)</f>
        <v>1565</v>
      </c>
      <c r="L27" s="109">
        <f>K27/J27</f>
        <v>92.058823529411768</v>
      </c>
      <c r="M27" s="144">
        <v>17</v>
      </c>
      <c r="N27" s="127">
        <f>G27/W27*60</f>
        <v>1297.7245508982039</v>
      </c>
      <c r="O27" s="128">
        <f>N27/M27</f>
        <v>76.336738288129638</v>
      </c>
      <c r="P27" s="129">
        <f t="shared" si="13"/>
        <v>0</v>
      </c>
      <c r="Q27" s="130">
        <f t="shared" si="14"/>
        <v>-15.72208524128213</v>
      </c>
      <c r="R27" s="189">
        <f>O27/L27</f>
        <v>0.82921696543016221</v>
      </c>
      <c r="S27" s="424">
        <f>R37</f>
        <v>0.85563026177821877</v>
      </c>
      <c r="T27" s="94">
        <v>0.2902777777777778</v>
      </c>
      <c r="U27" s="94">
        <v>0.40625</v>
      </c>
      <c r="V27" s="126"/>
      <c r="W27" s="131">
        <f t="shared" si="7"/>
        <v>166.99999999999997</v>
      </c>
      <c r="X27" s="126"/>
      <c r="Y27" s="126" t="s">
        <v>147</v>
      </c>
      <c r="Z27" s="427"/>
      <c r="AA27" s="400"/>
      <c r="AB27" s="225">
        <f>N27-K27</f>
        <v>-267.27544910179608</v>
      </c>
      <c r="AC27" s="291">
        <f>N27/K27</f>
        <v>0.82921696543016221</v>
      </c>
      <c r="AD27" s="401">
        <f>AC37</f>
        <v>0.8585545998525389</v>
      </c>
    </row>
    <row r="28" spans="1:30" ht="15" customHeight="1">
      <c r="A28" s="422"/>
      <c r="B28" s="56" t="str">
        <f>VLOOKUP(D28,廠價表!$C$1:$E$39,2,0)</f>
        <v>義大利麵</v>
      </c>
      <c r="C28" s="10"/>
      <c r="D28" s="11" t="s">
        <v>137</v>
      </c>
      <c r="E28" s="86"/>
      <c r="F28" s="56">
        <f>VLOOKUP(D28,廠價表!$C$1:$E$39,3,0)</f>
        <v>55.13</v>
      </c>
      <c r="G28" s="53">
        <v>1720</v>
      </c>
      <c r="H28" s="50">
        <f t="shared" si="16"/>
        <v>94823.6</v>
      </c>
      <c r="I28" s="42"/>
      <c r="J28" s="16">
        <f>VLOOKUP(D28,產線配置圖!$A$2:$C$38,2,0)</f>
        <v>18</v>
      </c>
      <c r="K28" s="14">
        <f>VLOOKUP(D28,產線配置圖!$A$2:$C$38,3,0)</f>
        <v>1385</v>
      </c>
      <c r="L28" s="235">
        <f>K28/J28</f>
        <v>76.944444444444443</v>
      </c>
      <c r="M28" s="21">
        <v>18</v>
      </c>
      <c r="N28" s="36">
        <f>G28/W28*60</f>
        <v>1159.5505617977528</v>
      </c>
      <c r="O28" s="38">
        <f>N28/M28</f>
        <v>64.419475655430716</v>
      </c>
      <c r="P28" s="39">
        <f t="shared" si="13"/>
        <v>0</v>
      </c>
      <c r="Q28" s="40">
        <f t="shared" si="14"/>
        <v>-12.524968789013727</v>
      </c>
      <c r="R28" s="190">
        <f t="shared" si="15"/>
        <v>0.83722062223664473</v>
      </c>
      <c r="S28" s="425"/>
      <c r="T28" s="270">
        <v>0.41180555555555554</v>
      </c>
      <c r="U28" s="270">
        <v>0.47361111111111109</v>
      </c>
      <c r="V28" s="42">
        <f>(T28-U27)*24*60</f>
        <v>7.9999999999999716</v>
      </c>
      <c r="W28" s="43">
        <f t="shared" si="7"/>
        <v>89</v>
      </c>
      <c r="X28" s="54"/>
      <c r="Y28" s="54"/>
      <c r="Z28" s="418"/>
      <c r="AA28" s="419"/>
      <c r="AB28" s="39">
        <f>N28-K28</f>
        <v>-225.44943820224717</v>
      </c>
      <c r="AC28" s="190">
        <f>N28/K28</f>
        <v>0.83722062223664462</v>
      </c>
      <c r="AD28" s="447"/>
    </row>
    <row r="29" spans="1:30" ht="15" customHeight="1">
      <c r="A29" s="422"/>
      <c r="B29" s="56" t="s">
        <v>134</v>
      </c>
      <c r="C29" s="10"/>
      <c r="D29" s="11" t="s">
        <v>137</v>
      </c>
      <c r="E29" s="86"/>
      <c r="F29" s="56">
        <f>VLOOKUP(D29,廠價表!$C$1:$E$39,3,0)</f>
        <v>55.13</v>
      </c>
      <c r="G29" s="238">
        <v>850</v>
      </c>
      <c r="H29" s="50">
        <f t="shared" si="16"/>
        <v>46860.5</v>
      </c>
      <c r="I29" s="42"/>
      <c r="J29" s="16">
        <f>VLOOKUP(D29,產線配置圖!$A$2:$C$38,2,0)</f>
        <v>18</v>
      </c>
      <c r="K29" s="14">
        <f>VLOOKUP(D29,產線配置圖!$A$2:$C$38,3,0)</f>
        <v>1385</v>
      </c>
      <c r="L29" s="235">
        <f t="shared" ref="L29" si="17">K29/J29</f>
        <v>76.944444444444443</v>
      </c>
      <c r="M29" s="21">
        <v>18</v>
      </c>
      <c r="N29" s="36">
        <f>G29/W29*60</f>
        <v>1342.1052631578937</v>
      </c>
      <c r="O29" s="38">
        <f t="shared" ref="O29" si="18">N29/M29</f>
        <v>74.561403508771875</v>
      </c>
      <c r="P29" s="39">
        <f t="shared" si="13"/>
        <v>0</v>
      </c>
      <c r="Q29" s="40">
        <f t="shared" si="14"/>
        <v>-2.3830409356725681</v>
      </c>
      <c r="R29" s="190">
        <f t="shared" si="15"/>
        <v>0.96902907087212542</v>
      </c>
      <c r="S29" s="425"/>
      <c r="T29" s="41">
        <v>0.53819444444444442</v>
      </c>
      <c r="U29" s="41">
        <v>0.56458333333333333</v>
      </c>
      <c r="V29" s="42">
        <f t="shared" ref="V29" si="19">(T29-U28)*24*60</f>
        <v>92.999999999999986</v>
      </c>
      <c r="W29" s="43">
        <f t="shared" si="7"/>
        <v>38.000000000000028</v>
      </c>
      <c r="X29" s="54">
        <v>0.54166666666666663</v>
      </c>
      <c r="Y29" s="54">
        <v>0.58333333333333337</v>
      </c>
      <c r="Z29" s="418"/>
      <c r="AA29" s="419"/>
      <c r="AB29" s="292">
        <f>N29-K29</f>
        <v>-42.89473684210634</v>
      </c>
      <c r="AC29" s="190">
        <f>N29/K29</f>
        <v>0.96902907087212542</v>
      </c>
      <c r="AD29" s="447"/>
    </row>
    <row r="30" spans="1:30" ht="15" customHeight="1">
      <c r="A30" s="422"/>
      <c r="B30" s="56" t="s">
        <v>134</v>
      </c>
      <c r="C30" s="237"/>
      <c r="D30" s="11" t="s">
        <v>158</v>
      </c>
      <c r="E30" s="29"/>
      <c r="F30" s="56">
        <f>VLOOKUP(D30,廠價表!$C$1:$E$39,3,0)</f>
        <v>47.71</v>
      </c>
      <c r="G30" s="238">
        <v>2824</v>
      </c>
      <c r="H30" s="50">
        <f t="shared" si="16"/>
        <v>134733.04</v>
      </c>
      <c r="I30" s="42"/>
      <c r="J30" s="16">
        <f>VLOOKUP(D30,產線配置圖!$A$2:$C$38,2,0)</f>
        <v>15</v>
      </c>
      <c r="K30" s="14">
        <f>VLOOKUP(D30,產線配置圖!$A$2:$C$38,3,0)</f>
        <v>1500</v>
      </c>
      <c r="L30" s="235">
        <f t="shared" ref="L30" si="20">K30/J30</f>
        <v>100</v>
      </c>
      <c r="M30" s="21">
        <v>15</v>
      </c>
      <c r="N30" s="36">
        <f>G30/W30*60</f>
        <v>1210.2857142857144</v>
      </c>
      <c r="O30" s="38">
        <f t="shared" ref="O30" si="21">N30/M30</f>
        <v>80.685714285714297</v>
      </c>
      <c r="P30" s="39">
        <f t="shared" ref="P30" si="22">M30-J30</f>
        <v>0</v>
      </c>
      <c r="Q30" s="40">
        <f t="shared" ref="Q30" si="23">O30-L30</f>
        <v>-19.314285714285703</v>
      </c>
      <c r="R30" s="190">
        <f t="shared" ref="R30" si="24">O30/L30</f>
        <v>0.80685714285714294</v>
      </c>
      <c r="S30" s="425"/>
      <c r="T30" s="41">
        <v>0.57291666666666663</v>
      </c>
      <c r="U30" s="41">
        <v>0.67013888888888884</v>
      </c>
      <c r="V30" s="42"/>
      <c r="W30" s="43">
        <f t="shared" si="7"/>
        <v>139.99999999999997</v>
      </c>
      <c r="X30" s="54"/>
      <c r="Y30" s="54"/>
      <c r="Z30" s="449"/>
      <c r="AA30" s="450"/>
      <c r="AB30" s="34"/>
      <c r="AC30" s="293"/>
      <c r="AD30" s="448"/>
    </row>
    <row r="31" spans="1:30" ht="15" customHeight="1">
      <c r="A31" s="422"/>
      <c r="B31" s="56"/>
      <c r="C31" s="10"/>
      <c r="D31" s="28"/>
      <c r="E31" s="86"/>
      <c r="F31" s="56"/>
      <c r="G31" s="238"/>
      <c r="H31" s="239"/>
      <c r="I31" s="81"/>
      <c r="J31" s="16"/>
      <c r="K31" s="14"/>
      <c r="L31" s="235"/>
      <c r="M31" s="21"/>
      <c r="N31" s="36"/>
      <c r="O31" s="38"/>
      <c r="P31" s="39"/>
      <c r="Q31" s="40"/>
      <c r="R31" s="190"/>
      <c r="S31" s="425"/>
      <c r="T31" s="41"/>
      <c r="U31" s="41"/>
      <c r="V31" s="42"/>
      <c r="W31" s="43">
        <f t="shared" si="7"/>
        <v>0</v>
      </c>
      <c r="X31" s="54"/>
      <c r="Y31" s="54"/>
      <c r="Z31" s="449"/>
      <c r="AA31" s="450"/>
      <c r="AB31" s="257"/>
      <c r="AC31" s="258"/>
      <c r="AD31" s="403"/>
    </row>
    <row r="32" spans="1:30" ht="15" customHeight="1">
      <c r="A32" s="422"/>
      <c r="B32" s="56"/>
      <c r="C32" s="252"/>
      <c r="D32" s="253"/>
      <c r="E32" s="254"/>
      <c r="F32" s="56"/>
      <c r="G32" s="53"/>
      <c r="H32" s="50">
        <f t="shared" si="16"/>
        <v>0</v>
      </c>
      <c r="I32" s="42"/>
      <c r="J32" s="255"/>
      <c r="K32" s="36"/>
      <c r="L32" s="256"/>
      <c r="M32" s="21"/>
      <c r="N32" s="36"/>
      <c r="O32" s="38"/>
      <c r="P32" s="39"/>
      <c r="Q32" s="40"/>
      <c r="R32" s="190"/>
      <c r="S32" s="425"/>
      <c r="T32" s="41"/>
      <c r="U32" s="41"/>
      <c r="V32" s="42"/>
      <c r="W32" s="43">
        <f t="shared" si="7"/>
        <v>0</v>
      </c>
      <c r="X32" s="54"/>
      <c r="Y32" s="54"/>
      <c r="Z32" s="418"/>
      <c r="AA32" s="405"/>
      <c r="AB32" s="18"/>
      <c r="AC32" s="185"/>
      <c r="AD32" s="403"/>
    </row>
    <row r="33" spans="1:30" ht="15" customHeight="1">
      <c r="A33" s="422"/>
      <c r="B33" s="240"/>
      <c r="C33" s="241"/>
      <c r="D33" s="242"/>
      <c r="E33" s="243"/>
      <c r="F33" s="223"/>
      <c r="G33" s="244"/>
      <c r="H33" s="245">
        <f t="shared" si="16"/>
        <v>0</v>
      </c>
      <c r="I33" s="246"/>
      <c r="J33" s="247"/>
      <c r="K33" s="45"/>
      <c r="M33" s="248"/>
      <c r="N33" s="45"/>
      <c r="O33" s="46"/>
      <c r="P33" s="47"/>
      <c r="Q33" s="48"/>
      <c r="R33" s="49"/>
      <c r="S33" s="425"/>
      <c r="T33" s="41"/>
      <c r="U33" s="41"/>
      <c r="V33" s="42"/>
      <c r="W33" s="43">
        <f t="shared" si="7"/>
        <v>0</v>
      </c>
      <c r="X33" s="54"/>
      <c r="Y33" s="54"/>
      <c r="Z33" s="418"/>
      <c r="AA33" s="405"/>
      <c r="AB33" s="18"/>
      <c r="AC33" s="57"/>
      <c r="AD33" s="403"/>
    </row>
    <row r="34" spans="1:30" ht="15" customHeight="1">
      <c r="A34" s="422"/>
      <c r="B34" s="231"/>
      <c r="C34" s="27"/>
      <c r="D34" s="28"/>
      <c r="E34" s="29"/>
      <c r="F34" s="13"/>
      <c r="G34" s="53"/>
      <c r="H34" s="50">
        <f t="shared" si="16"/>
        <v>0</v>
      </c>
      <c r="I34" s="42"/>
      <c r="J34" s="37"/>
      <c r="K34" s="36"/>
      <c r="L34" s="38"/>
      <c r="M34" s="21"/>
      <c r="N34" s="36"/>
      <c r="O34" s="38"/>
      <c r="P34" s="39"/>
      <c r="Q34" s="40"/>
      <c r="R34" s="190"/>
      <c r="S34" s="425"/>
      <c r="T34" s="41"/>
      <c r="U34" s="41"/>
      <c r="V34" s="42"/>
      <c r="W34" s="43">
        <f t="shared" si="7"/>
        <v>0</v>
      </c>
      <c r="X34" s="54"/>
      <c r="Y34" s="54"/>
      <c r="Z34" s="418"/>
      <c r="AA34" s="405"/>
      <c r="AB34" s="18"/>
      <c r="AC34" s="57"/>
      <c r="AD34" s="403"/>
    </row>
    <row r="35" spans="1:30" ht="15" customHeight="1">
      <c r="A35" s="422"/>
      <c r="B35" s="231"/>
      <c r="C35" s="27"/>
      <c r="D35" s="28"/>
      <c r="E35" s="29"/>
      <c r="F35" s="13"/>
      <c r="G35" s="53"/>
      <c r="H35" s="50">
        <f t="shared" si="16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90"/>
      <c r="S35" s="425"/>
      <c r="T35" s="41"/>
      <c r="U35" s="41"/>
      <c r="V35" s="42"/>
      <c r="W35" s="43">
        <f t="shared" si="7"/>
        <v>0</v>
      </c>
      <c r="X35" s="54"/>
      <c r="Y35" s="54"/>
      <c r="Z35" s="418"/>
      <c r="AA35" s="405"/>
      <c r="AB35" s="18"/>
      <c r="AC35" s="57"/>
      <c r="AD35" s="403"/>
    </row>
    <row r="36" spans="1:30" ht="15" customHeight="1">
      <c r="A36" s="422"/>
      <c r="B36" s="232"/>
      <c r="C36" s="27"/>
      <c r="D36" s="28"/>
      <c r="E36" s="29"/>
      <c r="F36" s="13"/>
      <c r="G36" s="53"/>
      <c r="H36" s="50">
        <f t="shared" si="16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90"/>
      <c r="S36" s="425"/>
      <c r="T36" s="41"/>
      <c r="U36" s="41"/>
      <c r="V36" s="42"/>
      <c r="W36" s="43">
        <f t="shared" si="7"/>
        <v>0</v>
      </c>
      <c r="X36" s="54"/>
      <c r="Y36" s="54"/>
      <c r="Z36" s="418"/>
      <c r="AA36" s="405"/>
      <c r="AB36" s="18"/>
      <c r="AC36" s="57"/>
      <c r="AD36" s="403"/>
    </row>
    <row r="37" spans="1:30" ht="15" customHeight="1" thickBot="1">
      <c r="A37" s="423"/>
      <c r="B37" s="300"/>
      <c r="C37" s="301" t="s">
        <v>36</v>
      </c>
      <c r="D37" s="428" t="s">
        <v>7</v>
      </c>
      <c r="E37" s="429"/>
      <c r="F37" s="281"/>
      <c r="G37" s="282"/>
      <c r="H37" s="283"/>
      <c r="I37" s="284"/>
      <c r="J37" s="285">
        <f t="shared" ref="J37:O37" si="25">AVERAGE(J27:J36)</f>
        <v>17</v>
      </c>
      <c r="K37" s="285">
        <f t="shared" si="25"/>
        <v>1458.75</v>
      </c>
      <c r="L37" s="286">
        <f t="shared" si="25"/>
        <v>86.486928104575171</v>
      </c>
      <c r="M37" s="285">
        <f t="shared" si="25"/>
        <v>17</v>
      </c>
      <c r="N37" s="285">
        <f t="shared" si="25"/>
        <v>1252.4165225348911</v>
      </c>
      <c r="O37" s="286">
        <f t="shared" si="25"/>
        <v>74.000832934511635</v>
      </c>
      <c r="P37" s="73">
        <f>M37-J37</f>
        <v>0</v>
      </c>
      <c r="Q37" s="74">
        <f>N37-K37</f>
        <v>-206.3334774651089</v>
      </c>
      <c r="R37" s="287">
        <f t="shared" ref="R37:R39" si="26">O37/L37</f>
        <v>0.85563026177821877</v>
      </c>
      <c r="S37" s="426"/>
      <c r="T37" s="302"/>
      <c r="U37" s="302"/>
      <c r="V37" s="81"/>
      <c r="W37" s="81"/>
      <c r="X37" s="303"/>
      <c r="Y37" s="303"/>
      <c r="Z37" s="430"/>
      <c r="AA37" s="379"/>
      <c r="AB37" s="34">
        <f t="shared" ref="AB37:AB40" si="27">N37-K37</f>
        <v>-206.3334774651089</v>
      </c>
      <c r="AC37" s="186">
        <f t="shared" ref="AC37:AC40" si="28">N37/K37</f>
        <v>0.8585545998525389</v>
      </c>
      <c r="AD37" s="403"/>
    </row>
    <row r="38" spans="1:30" s="62" customFormat="1" ht="15" customHeight="1">
      <c r="A38" s="454" t="s">
        <v>55</v>
      </c>
      <c r="B38" s="229" t="s">
        <v>134</v>
      </c>
      <c r="C38" s="199"/>
      <c r="D38" s="304" t="s">
        <v>156</v>
      </c>
      <c r="E38" s="280"/>
      <c r="F38" s="305">
        <f>VLOOKUP(D38,廠價表!$C$1:$E$39,3,0)</f>
        <v>56.43</v>
      </c>
      <c r="G38" s="266">
        <v>4253</v>
      </c>
      <c r="H38" s="50">
        <f t="shared" si="16"/>
        <v>239996.79</v>
      </c>
      <c r="I38" s="126"/>
      <c r="J38" s="274">
        <f>VLOOKUP(D38,產線配置圖!$A$2:$C$38,2,0)</f>
        <v>15</v>
      </c>
      <c r="K38" s="236">
        <f>VLOOKUP(D38,產線配置圖!$A$2:$C$38,3,0)</f>
        <v>1406</v>
      </c>
      <c r="L38" s="288">
        <f t="shared" ref="L38:L39" si="29">K38/J38</f>
        <v>93.733333333333334</v>
      </c>
      <c r="M38" s="289">
        <v>15</v>
      </c>
      <c r="N38" s="127">
        <f>G38/W38*60</f>
        <v>1159.9090909090908</v>
      </c>
      <c r="O38" s="128">
        <f>N38/M38</f>
        <v>77.327272727272714</v>
      </c>
      <c r="P38" s="129">
        <f t="shared" ref="P38:P39" si="30">M38-J38</f>
        <v>0</v>
      </c>
      <c r="Q38" s="130">
        <f t="shared" ref="Q38:Q39" si="31">O38-L38</f>
        <v>-16.40606060606062</v>
      </c>
      <c r="R38" s="189">
        <f t="shared" si="26"/>
        <v>0.82497090391827221</v>
      </c>
      <c r="S38" s="457">
        <f>R48</f>
        <v>0.83340876761929417</v>
      </c>
      <c r="T38" s="151">
        <v>0.33333333333333331</v>
      </c>
      <c r="U38" s="151">
        <v>0.4861111111111111</v>
      </c>
      <c r="V38" s="148"/>
      <c r="W38" s="152">
        <f t="shared" si="7"/>
        <v>220.00000000000003</v>
      </c>
      <c r="X38" s="150"/>
      <c r="Y38" s="153"/>
      <c r="Z38" s="459"/>
      <c r="AA38" s="460"/>
      <c r="AB38" s="290">
        <f t="shared" si="27"/>
        <v>-246.09090909090924</v>
      </c>
      <c r="AC38" s="154">
        <f t="shared" si="28"/>
        <v>0.82497090391827221</v>
      </c>
      <c r="AD38" s="436">
        <f>AC48</f>
        <v>0.83340876761929406</v>
      </c>
    </row>
    <row r="39" spans="1:30" s="62" customFormat="1" ht="15" customHeight="1">
      <c r="A39" s="455"/>
      <c r="B39" s="56" t="s">
        <v>134</v>
      </c>
      <c r="C39" s="277"/>
      <c r="D39" s="279" t="s">
        <v>156</v>
      </c>
      <c r="E39" s="278"/>
      <c r="F39" s="56">
        <f>VLOOKUP(D39,廠價表!$C$1:$E$39,3,0)</f>
        <v>56.43</v>
      </c>
      <c r="G39" s="276">
        <v>1085</v>
      </c>
      <c r="H39" s="50">
        <f t="shared" si="16"/>
        <v>61226.55</v>
      </c>
      <c r="I39" s="64"/>
      <c r="J39" s="37">
        <f>VLOOKUP(D39,產線配置圖!$A$2:$C$38,2,0)</f>
        <v>15</v>
      </c>
      <c r="K39" s="36">
        <f>VLOOKUP(D39,產線配置圖!$A$2:$C$38,3,0)</f>
        <v>1406</v>
      </c>
      <c r="L39" s="38">
        <f t="shared" si="29"/>
        <v>93.733333333333334</v>
      </c>
      <c r="M39" s="65">
        <v>15</v>
      </c>
      <c r="N39" s="66">
        <f>G39/W39*60</f>
        <v>1183.6363636363644</v>
      </c>
      <c r="O39" s="67">
        <f t="shared" ref="O39" si="32">N39/M39</f>
        <v>78.909090909090963</v>
      </c>
      <c r="P39" s="39">
        <f t="shared" si="30"/>
        <v>0</v>
      </c>
      <c r="Q39" s="40">
        <f t="shared" si="31"/>
        <v>-14.824242424242371</v>
      </c>
      <c r="R39" s="190">
        <f t="shared" si="26"/>
        <v>0.84184663132031612</v>
      </c>
      <c r="S39" s="458"/>
      <c r="T39" s="59">
        <v>0.53819444444444442</v>
      </c>
      <c r="U39" s="59">
        <v>0.57638888888888884</v>
      </c>
      <c r="V39" s="42">
        <f>(T39-U38)*24*60</f>
        <v>74.999999999999972</v>
      </c>
      <c r="W39" s="69">
        <f t="shared" si="7"/>
        <v>54.999999999999964</v>
      </c>
      <c r="X39" s="22">
        <v>0.5</v>
      </c>
      <c r="Y39" s="22">
        <v>0.54166666666666663</v>
      </c>
      <c r="Z39" s="474"/>
      <c r="AA39" s="475"/>
      <c r="AB39" s="271">
        <f t="shared" si="27"/>
        <v>-222.36363636363558</v>
      </c>
      <c r="AC39" s="61">
        <f t="shared" si="28"/>
        <v>0.84184663132031612</v>
      </c>
      <c r="AD39" s="437"/>
    </row>
    <row r="40" spans="1:30" s="62" customFormat="1" ht="15" customHeight="1">
      <c r="A40" s="455"/>
      <c r="B40" s="56"/>
      <c r="C40" s="275"/>
      <c r="D40" s="279"/>
      <c r="E40" s="243"/>
      <c r="F40" s="56"/>
      <c r="G40" s="276"/>
      <c r="H40" s="63"/>
      <c r="I40" s="64"/>
      <c r="J40" s="37"/>
      <c r="K40" s="36"/>
      <c r="L40" s="38"/>
      <c r="M40" s="65"/>
      <c r="N40" s="66"/>
      <c r="O40" s="67"/>
      <c r="P40" s="39"/>
      <c r="Q40" s="40"/>
      <c r="R40" s="190"/>
      <c r="S40" s="397"/>
      <c r="T40" s="59"/>
      <c r="U40" s="59"/>
      <c r="V40" s="42"/>
      <c r="W40" s="69">
        <f t="shared" si="7"/>
        <v>0</v>
      </c>
      <c r="X40" s="70"/>
      <c r="Y40" s="259"/>
      <c r="Z40" s="441"/>
      <c r="AA40" s="442"/>
      <c r="AB40" s="271">
        <f t="shared" si="27"/>
        <v>0</v>
      </c>
      <c r="AC40" s="61" t="e">
        <f t="shared" si="28"/>
        <v>#DIV/0!</v>
      </c>
      <c r="AD40" s="437"/>
    </row>
    <row r="41" spans="1:30" s="62" customFormat="1" ht="15" customHeight="1">
      <c r="A41" s="455"/>
      <c r="B41" s="56"/>
      <c r="C41" s="275"/>
      <c r="D41" s="279"/>
      <c r="E41" s="243"/>
      <c r="F41" s="56"/>
      <c r="G41" s="276"/>
      <c r="H41" s="63"/>
      <c r="I41" s="64"/>
      <c r="J41" s="37"/>
      <c r="K41" s="36"/>
      <c r="L41" s="38"/>
      <c r="M41" s="65"/>
      <c r="N41" s="66"/>
      <c r="O41" s="67"/>
      <c r="P41" s="39"/>
      <c r="Q41" s="40"/>
      <c r="R41" s="190"/>
      <c r="S41" s="397"/>
      <c r="T41" s="59"/>
      <c r="U41" s="59"/>
      <c r="V41" s="42"/>
      <c r="W41" s="69">
        <f t="shared" si="7"/>
        <v>0</v>
      </c>
      <c r="X41" s="70"/>
      <c r="Y41" s="259"/>
      <c r="Z41" s="443"/>
      <c r="AA41" s="444"/>
      <c r="AB41" s="271"/>
      <c r="AC41" s="61"/>
      <c r="AD41" s="437"/>
    </row>
    <row r="42" spans="1:30" s="62" customFormat="1" ht="15" customHeight="1">
      <c r="A42" s="455"/>
      <c r="B42" s="56"/>
      <c r="C42" s="23"/>
      <c r="D42" s="11"/>
      <c r="E42" s="12"/>
      <c r="F42" s="56"/>
      <c r="G42" s="99"/>
      <c r="H42" s="63">
        <f t="shared" ref="H42:H47" si="33">F42*G42</f>
        <v>0</v>
      </c>
      <c r="I42" s="64"/>
      <c r="J42" s="16"/>
      <c r="K42" s="14"/>
      <c r="L42" s="17"/>
      <c r="M42" s="65"/>
      <c r="N42" s="66"/>
      <c r="O42" s="67"/>
      <c r="P42" s="39"/>
      <c r="Q42" s="40"/>
      <c r="R42" s="68"/>
      <c r="S42" s="397"/>
      <c r="T42" s="75"/>
      <c r="U42" s="75"/>
      <c r="V42" s="42"/>
      <c r="W42" s="69">
        <f t="shared" si="7"/>
        <v>0</v>
      </c>
      <c r="X42" s="70"/>
      <c r="Y42" s="60"/>
      <c r="Z42" s="445"/>
      <c r="AA42" s="446"/>
      <c r="AB42" s="271"/>
      <c r="AC42" s="61"/>
      <c r="AD42" s="437"/>
    </row>
    <row r="43" spans="1:30" s="62" customFormat="1" ht="15" customHeight="1">
      <c r="A43" s="455"/>
      <c r="B43" s="230"/>
      <c r="C43" s="23"/>
      <c r="D43" s="11"/>
      <c r="E43" s="12"/>
      <c r="F43" s="13"/>
      <c r="G43" s="100"/>
      <c r="H43" s="63">
        <f t="shared" si="33"/>
        <v>0</v>
      </c>
      <c r="I43" s="64"/>
      <c r="J43" s="65"/>
      <c r="K43" s="66"/>
      <c r="L43" s="67"/>
      <c r="M43" s="65"/>
      <c r="N43" s="66"/>
      <c r="O43" s="67"/>
      <c r="P43" s="39"/>
      <c r="Q43" s="40"/>
      <c r="R43" s="68"/>
      <c r="S43" s="397"/>
      <c r="T43" s="75"/>
      <c r="U43" s="75"/>
      <c r="V43" s="64"/>
      <c r="W43" s="69">
        <f>(U43-T43)*24*60</f>
        <v>0</v>
      </c>
      <c r="X43" s="70"/>
      <c r="Y43" s="67"/>
      <c r="Z43" s="405"/>
      <c r="AA43" s="405"/>
      <c r="AB43" s="71"/>
      <c r="AC43" s="61"/>
      <c r="AD43" s="437"/>
    </row>
    <row r="44" spans="1:30" s="62" customFormat="1" ht="15" customHeight="1">
      <c r="A44" s="455"/>
      <c r="B44" s="230"/>
      <c r="C44" s="183"/>
      <c r="D44" s="11"/>
      <c r="E44" s="12"/>
      <c r="F44" s="13"/>
      <c r="G44" s="100"/>
      <c r="H44" s="63">
        <f t="shared" si="33"/>
        <v>0</v>
      </c>
      <c r="I44" s="64"/>
      <c r="J44" s="65"/>
      <c r="K44" s="66"/>
      <c r="L44" s="58"/>
      <c r="M44" s="65"/>
      <c r="N44" s="66"/>
      <c r="O44" s="67"/>
      <c r="P44" s="39"/>
      <c r="Q44" s="40"/>
      <c r="R44" s="68"/>
      <c r="S44" s="397"/>
      <c r="T44" s="59"/>
      <c r="U44" s="59"/>
      <c r="V44" s="64"/>
      <c r="W44" s="69">
        <f t="shared" ref="W44:W48" si="34">(U44-T44)*24*60</f>
        <v>0</v>
      </c>
      <c r="X44" s="70"/>
      <c r="Y44" s="67"/>
      <c r="Z44" s="405"/>
      <c r="AA44" s="405"/>
      <c r="AB44" s="71"/>
      <c r="AC44" s="61"/>
      <c r="AD44" s="437"/>
    </row>
    <row r="45" spans="1:30" s="62" customFormat="1" ht="15" customHeight="1">
      <c r="A45" s="455"/>
      <c r="B45" s="231"/>
      <c r="C45" s="27"/>
      <c r="D45" s="28"/>
      <c r="E45" s="29"/>
      <c r="F45" s="13"/>
      <c r="G45" s="66"/>
      <c r="H45" s="63">
        <f t="shared" si="33"/>
        <v>0</v>
      </c>
      <c r="I45" s="64"/>
      <c r="J45" s="65"/>
      <c r="K45" s="66"/>
      <c r="L45" s="67"/>
      <c r="M45" s="65"/>
      <c r="N45" s="66"/>
      <c r="O45" s="67"/>
      <c r="P45" s="39"/>
      <c r="Q45" s="40"/>
      <c r="R45" s="68"/>
      <c r="S45" s="397"/>
      <c r="T45" s="75"/>
      <c r="U45" s="75"/>
      <c r="V45" s="64"/>
      <c r="W45" s="69">
        <f t="shared" si="34"/>
        <v>0</v>
      </c>
      <c r="X45" s="70"/>
      <c r="Y45" s="67"/>
      <c r="Z45" s="405"/>
      <c r="AA45" s="405"/>
      <c r="AB45" s="71"/>
      <c r="AC45" s="61"/>
      <c r="AD45" s="437"/>
    </row>
    <row r="46" spans="1:30" s="62" customFormat="1" ht="15" customHeight="1">
      <c r="A46" s="455"/>
      <c r="B46" s="231"/>
      <c r="C46" s="27"/>
      <c r="D46" s="28"/>
      <c r="E46" s="29"/>
      <c r="F46" s="13"/>
      <c r="G46" s="66"/>
      <c r="H46" s="63">
        <f t="shared" si="33"/>
        <v>0</v>
      </c>
      <c r="I46" s="64"/>
      <c r="J46" s="65"/>
      <c r="K46" s="66"/>
      <c r="L46" s="67"/>
      <c r="M46" s="65"/>
      <c r="N46" s="66"/>
      <c r="O46" s="67"/>
      <c r="P46" s="39"/>
      <c r="Q46" s="40"/>
      <c r="R46" s="68"/>
      <c r="S46" s="397"/>
      <c r="T46" s="59"/>
      <c r="U46" s="59"/>
      <c r="V46" s="64"/>
      <c r="W46" s="69">
        <f t="shared" si="34"/>
        <v>0</v>
      </c>
      <c r="X46" s="70"/>
      <c r="Y46" s="67"/>
      <c r="Z46" s="405"/>
      <c r="AA46" s="405"/>
      <c r="AB46" s="71"/>
      <c r="AC46" s="61"/>
      <c r="AD46" s="437"/>
    </row>
    <row r="47" spans="1:30" s="62" customFormat="1" ht="15" customHeight="1">
      <c r="A47" s="455"/>
      <c r="B47" s="230"/>
      <c r="C47" s="27"/>
      <c r="D47" s="28"/>
      <c r="E47" s="29"/>
      <c r="F47" s="13"/>
      <c r="G47" s="66"/>
      <c r="H47" s="63">
        <f t="shared" si="33"/>
        <v>0</v>
      </c>
      <c r="I47" s="64"/>
      <c r="J47" s="65"/>
      <c r="K47" s="66"/>
      <c r="L47" s="67"/>
      <c r="M47" s="65"/>
      <c r="N47" s="66"/>
      <c r="O47" s="67"/>
      <c r="P47" s="39"/>
      <c r="Q47" s="40"/>
      <c r="R47" s="68"/>
      <c r="S47" s="397"/>
      <c r="T47" s="75"/>
      <c r="U47" s="75"/>
      <c r="V47" s="64"/>
      <c r="W47" s="69">
        <f t="shared" si="34"/>
        <v>0</v>
      </c>
      <c r="X47" s="70"/>
      <c r="Y47" s="67"/>
      <c r="Z47" s="405"/>
      <c r="AA47" s="405"/>
      <c r="AB47" s="71"/>
      <c r="AC47" s="61"/>
      <c r="AD47" s="437"/>
    </row>
    <row r="48" spans="1:30" ht="15" customHeight="1" thickBot="1">
      <c r="A48" s="456"/>
      <c r="B48" s="156"/>
      <c r="C48" s="1" t="s">
        <v>37</v>
      </c>
      <c r="D48" s="410" t="s">
        <v>7</v>
      </c>
      <c r="E48" s="410"/>
      <c r="F48" s="133"/>
      <c r="G48" s="145"/>
      <c r="H48" s="135"/>
      <c r="I48" s="136"/>
      <c r="J48" s="134">
        <f t="shared" ref="J48:O48" si="35">AVERAGE(J38:J47)</f>
        <v>15</v>
      </c>
      <c r="K48" s="134">
        <f t="shared" si="35"/>
        <v>1406</v>
      </c>
      <c r="L48" s="137">
        <f t="shared" si="35"/>
        <v>93.733333333333334</v>
      </c>
      <c r="M48" s="134">
        <f t="shared" si="35"/>
        <v>15</v>
      </c>
      <c r="N48" s="134">
        <f t="shared" si="35"/>
        <v>1171.7727272727275</v>
      </c>
      <c r="O48" s="137">
        <f t="shared" si="35"/>
        <v>78.118181818181839</v>
      </c>
      <c r="P48" s="157">
        <f>M48-J48</f>
        <v>0</v>
      </c>
      <c r="Q48" s="158">
        <f>N48-K48</f>
        <v>-234.22727272727252</v>
      </c>
      <c r="R48" s="159">
        <f>O48/L48</f>
        <v>0.83340876761929417</v>
      </c>
      <c r="S48" s="399"/>
      <c r="T48" s="160"/>
      <c r="U48" s="160"/>
      <c r="V48" s="196"/>
      <c r="W48" s="161">
        <f t="shared" si="34"/>
        <v>0</v>
      </c>
      <c r="X48" s="162"/>
      <c r="Y48" s="162"/>
      <c r="Z48" s="391"/>
      <c r="AA48" s="391"/>
      <c r="AB48" s="163">
        <f>N48-K48</f>
        <v>-234.22727272727252</v>
      </c>
      <c r="AC48" s="191">
        <f>N48/K48</f>
        <v>0.83340876761929406</v>
      </c>
      <c r="AD48" s="438"/>
    </row>
    <row r="49" spans="1:30" ht="15" customHeight="1">
      <c r="A49" s="451" t="s">
        <v>56</v>
      </c>
      <c r="B49" s="199" t="str">
        <f>VLOOKUP(D49,廠價表!$C$1:$E$39,2,0)</f>
        <v>義大利麵</v>
      </c>
      <c r="C49" s="102"/>
      <c r="D49" s="103" t="s">
        <v>152</v>
      </c>
      <c r="E49" s="104"/>
      <c r="F49" s="199">
        <f>VLOOKUP(D49,廠價表!$C$1:$E$39,3,0)</f>
        <v>56.87</v>
      </c>
      <c r="G49" s="149">
        <v>3560</v>
      </c>
      <c r="H49" s="125">
        <f t="shared" ref="H49:H57" si="36">F49*G49</f>
        <v>202457.19999999998</v>
      </c>
      <c r="I49" s="126"/>
      <c r="J49" s="108">
        <f>VLOOKUP(D49,產線配置圖!$A$2:$C$38,2,0)</f>
        <v>19</v>
      </c>
      <c r="K49" s="105">
        <f>VLOOKUP(D49,產線配置圖!$A$2:$C$38,3,0)</f>
        <v>1565</v>
      </c>
      <c r="L49" s="109">
        <f>K49/J49</f>
        <v>82.368421052631575</v>
      </c>
      <c r="M49" s="144">
        <v>19</v>
      </c>
      <c r="N49" s="127">
        <f>G49/W49*60</f>
        <v>1433.5570469798663</v>
      </c>
      <c r="O49" s="128">
        <f>N49/M49</f>
        <v>75.450370893677174</v>
      </c>
      <c r="P49" s="164">
        <f>M49-J49</f>
        <v>0</v>
      </c>
      <c r="Q49" s="112">
        <f>O49-L49</f>
        <v>-6.9180501589544008</v>
      </c>
      <c r="R49" s="184">
        <f>O49/L49</f>
        <v>0.91601089263889224</v>
      </c>
      <c r="S49" s="396">
        <f>R58</f>
        <v>0.95258603578594225</v>
      </c>
      <c r="T49" s="151">
        <v>0.2902777777777778</v>
      </c>
      <c r="U49" s="151">
        <v>0.39374999999999999</v>
      </c>
      <c r="V49" s="188"/>
      <c r="W49" s="152">
        <f t="shared" si="7"/>
        <v>148.99999999999994</v>
      </c>
      <c r="X49" s="188"/>
      <c r="Y49" s="188"/>
      <c r="Z49" s="400"/>
      <c r="AA49" s="400"/>
      <c r="AB49" s="111">
        <f>N49-K49</f>
        <v>-131.4429530201337</v>
      </c>
      <c r="AC49" s="184">
        <f>N49/K49</f>
        <v>0.91601089263889224</v>
      </c>
      <c r="AD49" s="401">
        <f>AC58</f>
        <v>0.95195379301767435</v>
      </c>
    </row>
    <row r="50" spans="1:30" ht="15" customHeight="1">
      <c r="A50" s="452"/>
      <c r="B50" s="56" t="str">
        <f>VLOOKUP(D50,廠價表!$C$1:$E$39,2,0)</f>
        <v>義大利麵</v>
      </c>
      <c r="C50" s="10"/>
      <c r="D50" s="11" t="s">
        <v>65</v>
      </c>
      <c r="E50" s="86"/>
      <c r="F50" s="56">
        <f>VLOOKUP(D50,廠價表!$C$1:$E$39,3,0)</f>
        <v>49.97</v>
      </c>
      <c r="G50" s="66">
        <v>2881</v>
      </c>
      <c r="H50" s="76">
        <f t="shared" si="36"/>
        <v>143963.57</v>
      </c>
      <c r="I50" s="193"/>
      <c r="J50" s="16">
        <f>VLOOKUP(D50,產線配置圖!$A$2:$C$38,2,0)</f>
        <v>18</v>
      </c>
      <c r="K50" s="14">
        <f>VLOOKUP(D50,產線配置圖!$A$2:$C$38,3,0)</f>
        <v>1600</v>
      </c>
      <c r="L50" s="17">
        <f>K50/J50</f>
        <v>88.888888888888886</v>
      </c>
      <c r="M50" s="174">
        <v>18</v>
      </c>
      <c r="N50" s="77">
        <f>G50/W50*60</f>
        <v>1557.2972972972973</v>
      </c>
      <c r="O50" s="78">
        <f>N50/M50</f>
        <v>86.516516516516518</v>
      </c>
      <c r="P50" s="18">
        <f>M50-J50</f>
        <v>0</v>
      </c>
      <c r="Q50" s="19">
        <f>O50-L50</f>
        <v>-2.372372372372368</v>
      </c>
      <c r="R50" s="185">
        <f>O50/L50</f>
        <v>0.97331081081081083</v>
      </c>
      <c r="S50" s="397"/>
      <c r="T50" s="79">
        <v>0.39791666666666664</v>
      </c>
      <c r="U50" s="79">
        <v>0.47499999999999998</v>
      </c>
      <c r="V50" s="177">
        <f t="shared" ref="V50:V51" si="37">(T50-U49)*24*60</f>
        <v>5.9999999999999787</v>
      </c>
      <c r="W50" s="80">
        <f t="shared" si="7"/>
        <v>111</v>
      </c>
      <c r="X50" s="22"/>
      <c r="Y50" s="22"/>
      <c r="Z50" s="419"/>
      <c r="AA50" s="418"/>
      <c r="AB50" s="18">
        <f>N50-K50</f>
        <v>-42.702702702702709</v>
      </c>
      <c r="AC50" s="185">
        <f>N50/K50</f>
        <v>0.97331081081081083</v>
      </c>
      <c r="AD50" s="402"/>
    </row>
    <row r="51" spans="1:30" ht="15" customHeight="1">
      <c r="A51" s="452"/>
      <c r="B51" s="56" t="str">
        <f>VLOOKUP(D51,廠價表!$C$1:$E$39,2,0)</f>
        <v>義大利麵</v>
      </c>
      <c r="C51" s="10"/>
      <c r="D51" s="11" t="s">
        <v>65</v>
      </c>
      <c r="E51" s="86"/>
      <c r="F51" s="56">
        <f>VLOOKUP(D51,廠價表!$C$1:$E$39,3,0)</f>
        <v>49.97</v>
      </c>
      <c r="G51" s="66">
        <v>3760</v>
      </c>
      <c r="H51" s="76">
        <f t="shared" si="36"/>
        <v>187887.19999999998</v>
      </c>
      <c r="I51" s="193"/>
      <c r="J51" s="16">
        <f>VLOOKUP(D51,產線配置圖!$A$2:$C$38,2,0)</f>
        <v>18</v>
      </c>
      <c r="K51" s="14">
        <f>VLOOKUP(D51,產線配置圖!$A$2:$C$38,3,0)</f>
        <v>1600</v>
      </c>
      <c r="L51" s="17">
        <f>K51/J51</f>
        <v>88.888888888888886</v>
      </c>
      <c r="M51" s="174">
        <v>18</v>
      </c>
      <c r="N51" s="77">
        <f>G51/W51*60</f>
        <v>1545.205479452055</v>
      </c>
      <c r="O51" s="78">
        <f>N51/M51</f>
        <v>85.844748858447502</v>
      </c>
      <c r="P51" s="18">
        <f>M51-J51</f>
        <v>0</v>
      </c>
      <c r="Q51" s="19">
        <f>O51-L51</f>
        <v>-3.0441400304413833</v>
      </c>
      <c r="R51" s="185">
        <f>O51/L51</f>
        <v>0.96575342465753444</v>
      </c>
      <c r="S51" s="397"/>
      <c r="T51" s="79">
        <v>0.53472222222222221</v>
      </c>
      <c r="U51" s="44">
        <v>0.63611111111111107</v>
      </c>
      <c r="V51" s="177">
        <f t="shared" si="37"/>
        <v>86.000000000000014</v>
      </c>
      <c r="W51" s="80">
        <f t="shared" si="7"/>
        <v>145.99999999999997</v>
      </c>
      <c r="X51" s="22">
        <v>0.50347222222222221</v>
      </c>
      <c r="Y51" s="22">
        <v>0.54513888888888884</v>
      </c>
      <c r="Z51" s="405"/>
      <c r="AA51" s="405"/>
      <c r="AB51" s="18">
        <f>N51-K51</f>
        <v>-54.794520547945012</v>
      </c>
      <c r="AC51" s="185">
        <f>N51/K51</f>
        <v>0.96575342465753433</v>
      </c>
      <c r="AD51" s="402"/>
    </row>
    <row r="52" spans="1:30" ht="15" customHeight="1">
      <c r="A52" s="452"/>
      <c r="B52" s="56"/>
      <c r="C52" s="23"/>
      <c r="D52" s="11"/>
      <c r="E52" s="12"/>
      <c r="F52" s="56"/>
      <c r="G52" s="66"/>
      <c r="H52" s="76"/>
      <c r="I52" s="193"/>
      <c r="J52" s="16"/>
      <c r="K52" s="14"/>
      <c r="L52" s="17"/>
      <c r="M52" s="174"/>
      <c r="N52" s="77"/>
      <c r="O52" s="78"/>
      <c r="P52" s="18"/>
      <c r="Q52" s="19"/>
      <c r="R52" s="185"/>
      <c r="S52" s="397"/>
      <c r="T52" s="79"/>
      <c r="U52" s="79"/>
      <c r="V52" s="177"/>
      <c r="W52" s="80">
        <f t="shared" si="7"/>
        <v>0</v>
      </c>
      <c r="X52" s="22"/>
      <c r="Y52" s="22"/>
      <c r="Z52" s="405"/>
      <c r="AA52" s="405"/>
      <c r="AB52" s="18">
        <f t="shared" ref="AB52" si="38">N52-K52</f>
        <v>0</v>
      </c>
      <c r="AC52" s="185" t="e">
        <f t="shared" ref="AC52" si="39">N52/K52</f>
        <v>#DIV/0!</v>
      </c>
      <c r="AD52" s="402"/>
    </row>
    <row r="53" spans="1:30" ht="15" customHeight="1">
      <c r="A53" s="452"/>
      <c r="B53" s="56"/>
      <c r="C53" s="23"/>
      <c r="D53" s="11"/>
      <c r="E53" s="12"/>
      <c r="F53" s="56"/>
      <c r="G53" s="66"/>
      <c r="H53" s="76"/>
      <c r="I53" s="193"/>
      <c r="J53" s="16"/>
      <c r="K53" s="14"/>
      <c r="L53" s="17"/>
      <c r="M53" s="174"/>
      <c r="N53" s="77"/>
      <c r="O53" s="78"/>
      <c r="P53" s="18"/>
      <c r="Q53" s="19"/>
      <c r="R53" s="185"/>
      <c r="S53" s="397"/>
      <c r="T53" s="79"/>
      <c r="U53" s="79"/>
      <c r="V53" s="177"/>
      <c r="W53" s="80">
        <f t="shared" si="7"/>
        <v>0</v>
      </c>
      <c r="X53" s="177"/>
      <c r="Y53" s="177"/>
      <c r="Z53" s="419"/>
      <c r="AA53" s="418"/>
      <c r="AB53" s="18"/>
      <c r="AC53" s="185"/>
      <c r="AD53" s="402"/>
    </row>
    <row r="54" spans="1:30" ht="15" customHeight="1">
      <c r="A54" s="452"/>
      <c r="B54" s="177"/>
      <c r="C54" s="183"/>
      <c r="D54" s="11"/>
      <c r="E54" s="12"/>
      <c r="F54" s="13"/>
      <c r="G54" s="66"/>
      <c r="H54" s="76">
        <f t="shared" si="36"/>
        <v>0</v>
      </c>
      <c r="I54" s="177"/>
      <c r="J54" s="31"/>
      <c r="K54" s="30"/>
      <c r="L54" s="38"/>
      <c r="M54" s="181"/>
      <c r="N54" s="30"/>
      <c r="O54" s="35"/>
      <c r="P54" s="18"/>
      <c r="Q54" s="19"/>
      <c r="R54" s="185"/>
      <c r="S54" s="397"/>
      <c r="T54" s="79"/>
      <c r="U54" s="79"/>
      <c r="V54" s="197"/>
      <c r="W54" s="80">
        <f t="shared" si="7"/>
        <v>0</v>
      </c>
      <c r="X54" s="177"/>
      <c r="Y54" s="177"/>
      <c r="Z54" s="419"/>
      <c r="AA54" s="418"/>
      <c r="AB54" s="18"/>
      <c r="AC54" s="185"/>
      <c r="AD54" s="402"/>
    </row>
    <row r="55" spans="1:30" ht="15" customHeight="1">
      <c r="A55" s="452"/>
      <c r="B55" s="26"/>
      <c r="C55" s="27"/>
      <c r="D55" s="28"/>
      <c r="E55" s="29"/>
      <c r="F55" s="13"/>
      <c r="G55" s="66"/>
      <c r="H55" s="15">
        <f t="shared" si="36"/>
        <v>0</v>
      </c>
      <c r="I55" s="177"/>
      <c r="J55" s="31"/>
      <c r="K55" s="30"/>
      <c r="L55" s="38"/>
      <c r="M55" s="181"/>
      <c r="N55" s="30"/>
      <c r="O55" s="35"/>
      <c r="P55" s="18"/>
      <c r="Q55" s="19"/>
      <c r="R55" s="185"/>
      <c r="S55" s="397"/>
      <c r="T55" s="79"/>
      <c r="U55" s="79"/>
      <c r="V55" s="197"/>
      <c r="W55" s="80">
        <f t="shared" si="7"/>
        <v>0</v>
      </c>
      <c r="X55" s="177"/>
      <c r="Y55" s="177"/>
      <c r="Z55" s="419"/>
      <c r="AA55" s="418"/>
      <c r="AB55" s="18"/>
      <c r="AC55" s="185"/>
      <c r="AD55" s="402"/>
    </row>
    <row r="56" spans="1:30" ht="15" customHeight="1">
      <c r="A56" s="452"/>
      <c r="B56" s="26"/>
      <c r="C56" s="27"/>
      <c r="D56" s="28"/>
      <c r="E56" s="29"/>
      <c r="F56" s="13"/>
      <c r="G56" s="66"/>
      <c r="H56" s="15">
        <f t="shared" si="36"/>
        <v>0</v>
      </c>
      <c r="I56" s="177"/>
      <c r="J56" s="31"/>
      <c r="K56" s="30"/>
      <c r="L56" s="38"/>
      <c r="M56" s="181"/>
      <c r="N56" s="30"/>
      <c r="O56" s="35"/>
      <c r="P56" s="18"/>
      <c r="Q56" s="19"/>
      <c r="R56" s="185"/>
      <c r="S56" s="397"/>
      <c r="T56" s="79"/>
      <c r="U56" s="79"/>
      <c r="V56" s="197"/>
      <c r="W56" s="80">
        <f t="shared" si="7"/>
        <v>0</v>
      </c>
      <c r="X56" s="177"/>
      <c r="Y56" s="177"/>
      <c r="Z56" s="405"/>
      <c r="AA56" s="405"/>
      <c r="AB56" s="18"/>
      <c r="AC56" s="185"/>
      <c r="AD56" s="402"/>
    </row>
    <row r="57" spans="1:30" ht="15" customHeight="1">
      <c r="A57" s="452"/>
      <c r="B57" s="26"/>
      <c r="C57" s="27"/>
      <c r="D57" s="28"/>
      <c r="E57" s="29"/>
      <c r="F57" s="13"/>
      <c r="G57" s="66"/>
      <c r="H57" s="15">
        <f t="shared" si="36"/>
        <v>0</v>
      </c>
      <c r="I57" s="177"/>
      <c r="J57" s="31"/>
      <c r="K57" s="30"/>
      <c r="L57" s="38"/>
      <c r="M57" s="181"/>
      <c r="N57" s="30"/>
      <c r="O57" s="35"/>
      <c r="P57" s="18"/>
      <c r="Q57" s="19"/>
      <c r="R57" s="185"/>
      <c r="S57" s="397"/>
      <c r="T57" s="79"/>
      <c r="U57" s="79"/>
      <c r="V57" s="197"/>
      <c r="W57" s="80">
        <f t="shared" si="7"/>
        <v>0</v>
      </c>
      <c r="X57" s="177"/>
      <c r="Y57" s="177"/>
      <c r="Z57" s="405"/>
      <c r="AA57" s="405"/>
      <c r="AB57" s="18"/>
      <c r="AC57" s="185"/>
      <c r="AD57" s="402"/>
    </row>
    <row r="58" spans="1:30" ht="15" customHeight="1" thickBot="1">
      <c r="A58" s="453"/>
      <c r="B58" s="165"/>
      <c r="C58" s="1" t="s">
        <v>38</v>
      </c>
      <c r="D58" s="410" t="s">
        <v>7</v>
      </c>
      <c r="E58" s="410"/>
      <c r="F58" s="114"/>
      <c r="G58" s="166"/>
      <c r="H58" s="116"/>
      <c r="I58" s="115"/>
      <c r="J58" s="118">
        <f t="shared" ref="J58:O58" si="40">AVERAGE(J49:J57)</f>
        <v>18.333333333333332</v>
      </c>
      <c r="K58" s="118">
        <f t="shared" si="40"/>
        <v>1588.3333333333333</v>
      </c>
      <c r="L58" s="115">
        <f t="shared" si="40"/>
        <v>86.715399610136458</v>
      </c>
      <c r="M58" s="118">
        <f t="shared" si="40"/>
        <v>18.333333333333332</v>
      </c>
      <c r="N58" s="118">
        <f t="shared" si="40"/>
        <v>1512.0199412430727</v>
      </c>
      <c r="O58" s="115">
        <f t="shared" si="40"/>
        <v>82.603878756213732</v>
      </c>
      <c r="P58" s="119">
        <f>M58-J58</f>
        <v>0</v>
      </c>
      <c r="Q58" s="120">
        <f>N58-K58</f>
        <v>-76.31339209026055</v>
      </c>
      <c r="R58" s="121">
        <f t="shared" ref="R58:R60" si="41">O58/L58</f>
        <v>0.95258603578594225</v>
      </c>
      <c r="S58" s="399"/>
      <c r="T58" s="167"/>
      <c r="U58" s="167"/>
      <c r="V58" s="195"/>
      <c r="W58" s="168"/>
      <c r="X58" s="124"/>
      <c r="Y58" s="124"/>
      <c r="Z58" s="391"/>
      <c r="AA58" s="391"/>
      <c r="AB58" s="119">
        <f t="shared" ref="AB58:AB63" si="42">N58-K58</f>
        <v>-76.31339209026055</v>
      </c>
      <c r="AC58" s="187">
        <f t="shared" ref="AC58:AC63" si="43">N58/K58</f>
        <v>0.95195379301767435</v>
      </c>
      <c r="AD58" s="404"/>
    </row>
    <row r="59" spans="1:30" ht="15" customHeight="1">
      <c r="A59" s="466" t="s">
        <v>57</v>
      </c>
      <c r="B59" s="199" t="str">
        <f>VLOOKUP(D59,廠價表!$C$1:$E$39,2,0)</f>
        <v>小吃、微波</v>
      </c>
      <c r="C59" s="102"/>
      <c r="D59" s="103" t="s">
        <v>125</v>
      </c>
      <c r="E59" s="104"/>
      <c r="F59" s="199">
        <f>VLOOKUP(D59,廠價表!$C$1:$E$39,3,0)</f>
        <v>26.99</v>
      </c>
      <c r="G59" s="188">
        <v>3133</v>
      </c>
      <c r="H59" s="106">
        <f t="shared" ref="H59:H68" si="44">F59*G59</f>
        <v>84559.67</v>
      </c>
      <c r="I59" s="188"/>
      <c r="J59" s="108">
        <f>VLOOKUP(D59,產線配置圖!$A$2:$C$38,2,0)</f>
        <v>13</v>
      </c>
      <c r="K59" s="105">
        <f>VLOOKUP(D59,產線配置圖!$A$2:$C$38,3,0)</f>
        <v>1565</v>
      </c>
      <c r="L59" s="109">
        <f>K59/J59</f>
        <v>120.38461538461539</v>
      </c>
      <c r="M59" s="110">
        <v>13</v>
      </c>
      <c r="N59" s="105">
        <f t="shared" ref="N59:N62" si="45">G59/W59*60</f>
        <v>1553.5537190082648</v>
      </c>
      <c r="O59" s="109">
        <f t="shared" ref="O59:O62" si="46">N59/M59</f>
        <v>119.50413223140498</v>
      </c>
      <c r="P59" s="111">
        <f t="shared" ref="P59:P62" si="47">M59-J59</f>
        <v>0</v>
      </c>
      <c r="Q59" s="112">
        <f t="shared" ref="Q59:Q62" si="48">O59-L59</f>
        <v>-0.88048315321040604</v>
      </c>
      <c r="R59" s="184">
        <f t="shared" si="41"/>
        <v>0.99268608243339596</v>
      </c>
      <c r="S59" s="396">
        <f>R69</f>
        <v>0.87608652154836164</v>
      </c>
      <c r="T59" s="169">
        <v>0.29097222222222224</v>
      </c>
      <c r="U59" s="169">
        <v>0.375</v>
      </c>
      <c r="V59" s="188"/>
      <c r="W59" s="107">
        <f t="shared" si="7"/>
        <v>120.99999999999997</v>
      </c>
      <c r="X59" s="188"/>
      <c r="Y59" s="188"/>
      <c r="Z59" s="405"/>
      <c r="AA59" s="405"/>
      <c r="AB59" s="225">
        <f t="shared" si="42"/>
        <v>-11.446280991735193</v>
      </c>
      <c r="AC59" s="226">
        <f t="shared" si="43"/>
        <v>0.99268608243339607</v>
      </c>
      <c r="AD59" s="401">
        <f>AC69</f>
        <v>0.87696392271034118</v>
      </c>
    </row>
    <row r="60" spans="1:30" ht="15" customHeight="1">
      <c r="A60" s="467"/>
      <c r="B60" s="56" t="str">
        <f>VLOOKUP(D60,廠價表!$C$1:$E$39,2,0)</f>
        <v>小吃、微波</v>
      </c>
      <c r="C60" s="10"/>
      <c r="D60" s="242" t="s">
        <v>146</v>
      </c>
      <c r="E60" s="86"/>
      <c r="F60" s="56">
        <f>VLOOKUP(D60,廠價表!$C$1:$E$39,3,0)</f>
        <v>28.47</v>
      </c>
      <c r="G60" s="177">
        <v>998</v>
      </c>
      <c r="H60" s="15">
        <f t="shared" si="44"/>
        <v>28413.059999999998</v>
      </c>
      <c r="I60" s="177"/>
      <c r="J60" s="16">
        <f>VLOOKUP(D60,產線配置圖!$A$2:$C$38,2,0)</f>
        <v>12</v>
      </c>
      <c r="K60" s="14">
        <f>VLOOKUP(D60,產線配置圖!$A$2:$C$38,3,0)</f>
        <v>1565</v>
      </c>
      <c r="L60" s="17">
        <f>K60/J60</f>
        <v>130.41666666666666</v>
      </c>
      <c r="M60" s="180">
        <v>12</v>
      </c>
      <c r="N60" s="14">
        <f t="shared" si="45"/>
        <v>1330.6666666666665</v>
      </c>
      <c r="O60" s="17">
        <f t="shared" si="46"/>
        <v>110.88888888888887</v>
      </c>
      <c r="P60" s="18">
        <f t="shared" si="47"/>
        <v>0</v>
      </c>
      <c r="Q60" s="19">
        <f t="shared" si="48"/>
        <v>-19.527777777777786</v>
      </c>
      <c r="R60" s="185">
        <f t="shared" si="41"/>
        <v>0.85026624068157608</v>
      </c>
      <c r="S60" s="470"/>
      <c r="T60" s="198">
        <v>0.38541666666666669</v>
      </c>
      <c r="U60" s="198">
        <v>0.41666666666666669</v>
      </c>
      <c r="V60" s="177">
        <f t="shared" ref="V60:V62" si="49">(T60-U59)*24*60</f>
        <v>15.000000000000027</v>
      </c>
      <c r="W60" s="90">
        <f t="shared" si="7"/>
        <v>45</v>
      </c>
      <c r="X60" s="193"/>
      <c r="Y60" s="193"/>
      <c r="Z60" s="405"/>
      <c r="AA60" s="405"/>
      <c r="AB60" s="227">
        <f t="shared" si="42"/>
        <v>-234.33333333333348</v>
      </c>
      <c r="AC60" s="228">
        <f t="shared" si="43"/>
        <v>0.85026624068157608</v>
      </c>
      <c r="AD60" s="473"/>
    </row>
    <row r="61" spans="1:30" ht="15" customHeight="1">
      <c r="A61" s="468"/>
      <c r="B61" s="56" t="str">
        <f>VLOOKUP(D61,廠價表!$C$1:$E$39,2,0)</f>
        <v>小吃、微波</v>
      </c>
      <c r="C61" s="10"/>
      <c r="D61" s="242" t="s">
        <v>135</v>
      </c>
      <c r="E61" s="86"/>
      <c r="F61" s="56">
        <f>VLOOKUP(D61,廠價表!$C$1:$E$39,3,0)</f>
        <v>28.26</v>
      </c>
      <c r="G61" s="177">
        <v>2736</v>
      </c>
      <c r="H61" s="15">
        <f t="shared" si="44"/>
        <v>77319.360000000001</v>
      </c>
      <c r="I61" s="81"/>
      <c r="J61" s="16">
        <f>VLOOKUP(D61,產線配置圖!$A$2:$C$38,2,0)</f>
        <v>12</v>
      </c>
      <c r="K61" s="14">
        <f>VLOOKUP(D61,產線配置圖!$A$2:$C$38,3,0)</f>
        <v>1565</v>
      </c>
      <c r="L61" s="17">
        <f t="shared" ref="L61:L62" si="50">K61/J61</f>
        <v>130.41666666666666</v>
      </c>
      <c r="M61" s="180">
        <v>12</v>
      </c>
      <c r="N61" s="14">
        <f t="shared" si="45"/>
        <v>1345.5737704918035</v>
      </c>
      <c r="O61" s="17">
        <f t="shared" si="46"/>
        <v>112.13114754098363</v>
      </c>
      <c r="P61" s="18">
        <f t="shared" si="47"/>
        <v>0</v>
      </c>
      <c r="Q61" s="19">
        <f t="shared" si="48"/>
        <v>-18.285519125683024</v>
      </c>
      <c r="R61" s="185">
        <f>O61/L61</f>
        <v>0.85979154664013013</v>
      </c>
      <c r="S61" s="397"/>
      <c r="T61" s="20">
        <v>0.42569444444444443</v>
      </c>
      <c r="U61" s="20">
        <v>0.51041666666666663</v>
      </c>
      <c r="V61" s="177">
        <f t="shared" si="49"/>
        <v>12.999999999999954</v>
      </c>
      <c r="W61" s="88">
        <f t="shared" si="7"/>
        <v>121.99999999999997</v>
      </c>
      <c r="X61" s="22"/>
      <c r="Y61" s="22"/>
      <c r="Z61" s="405"/>
      <c r="AA61" s="405"/>
      <c r="AB61" s="51">
        <f t="shared" si="42"/>
        <v>-219.42622950819646</v>
      </c>
      <c r="AC61" s="52">
        <f t="shared" si="43"/>
        <v>0.85979154664013002</v>
      </c>
      <c r="AD61" s="402"/>
    </row>
    <row r="62" spans="1:30" ht="15" customHeight="1">
      <c r="A62" s="468"/>
      <c r="B62" s="56" t="str">
        <f>VLOOKUP(D62,廠價表!$C$1:$E$39,2,0)</f>
        <v>小吃、微波</v>
      </c>
      <c r="C62" s="10"/>
      <c r="D62" s="11" t="s">
        <v>125</v>
      </c>
      <c r="E62" s="86"/>
      <c r="F62" s="56">
        <f>VLOOKUP(D62,廠價表!$C$1:$E$39,3,0)</f>
        <v>26.99</v>
      </c>
      <c r="G62" s="177">
        <v>2184</v>
      </c>
      <c r="H62" s="15">
        <f t="shared" si="44"/>
        <v>58946.159999999996</v>
      </c>
      <c r="I62" s="81"/>
      <c r="J62" s="16">
        <f>VLOOKUP(D62,產線配置圖!$A$2:$C$38,2,0)</f>
        <v>13</v>
      </c>
      <c r="K62" s="14">
        <f>VLOOKUP(D62,產線配置圖!$A$2:$C$38,3,0)</f>
        <v>1565</v>
      </c>
      <c r="L62" s="17">
        <f t="shared" si="50"/>
        <v>120.38461538461539</v>
      </c>
      <c r="M62" s="180">
        <v>13</v>
      </c>
      <c r="N62" s="14">
        <f t="shared" si="45"/>
        <v>1260.0000000000007</v>
      </c>
      <c r="O62" s="17">
        <f t="shared" si="46"/>
        <v>96.923076923076977</v>
      </c>
      <c r="P62" s="18">
        <f t="shared" si="47"/>
        <v>0</v>
      </c>
      <c r="Q62" s="19">
        <f t="shared" si="48"/>
        <v>-23.46153846153841</v>
      </c>
      <c r="R62" s="185">
        <f>O62/L62</f>
        <v>0.80511182108626245</v>
      </c>
      <c r="S62" s="397"/>
      <c r="T62" s="20">
        <v>0.56111111111111112</v>
      </c>
      <c r="U62" s="20">
        <v>0.6333333333333333</v>
      </c>
      <c r="V62" s="177">
        <f t="shared" si="49"/>
        <v>73.000000000000057</v>
      </c>
      <c r="W62" s="90">
        <f t="shared" si="7"/>
        <v>103.99999999999994</v>
      </c>
      <c r="X62" s="22">
        <v>0.49652777777777779</v>
      </c>
      <c r="Y62" s="22">
        <v>0.53819444444444442</v>
      </c>
      <c r="Z62" s="405"/>
      <c r="AA62" s="405"/>
      <c r="AB62" s="51">
        <f t="shared" si="42"/>
        <v>-304.99999999999932</v>
      </c>
      <c r="AC62" s="52">
        <f t="shared" si="43"/>
        <v>0.80511182108626245</v>
      </c>
      <c r="AD62" s="402"/>
    </row>
    <row r="63" spans="1:30" ht="15" customHeight="1">
      <c r="A63" s="468"/>
      <c r="B63" s="56"/>
      <c r="C63" s="23"/>
      <c r="D63" s="11"/>
      <c r="E63" s="12"/>
      <c r="F63" s="56"/>
      <c r="G63" s="177"/>
      <c r="H63" s="15">
        <f t="shared" si="44"/>
        <v>0</v>
      </c>
      <c r="I63" s="81"/>
      <c r="J63" s="16"/>
      <c r="K63" s="14"/>
      <c r="L63" s="17"/>
      <c r="M63" s="180"/>
      <c r="N63" s="14"/>
      <c r="O63" s="17"/>
      <c r="P63" s="18"/>
      <c r="Q63" s="19"/>
      <c r="R63" s="185"/>
      <c r="S63" s="397"/>
      <c r="T63" s="20"/>
      <c r="U63" s="20"/>
      <c r="V63" s="177"/>
      <c r="W63" s="90">
        <f t="shared" si="7"/>
        <v>0</v>
      </c>
      <c r="X63" s="84"/>
      <c r="Y63" s="84"/>
      <c r="Z63" s="405"/>
      <c r="AA63" s="405"/>
      <c r="AB63" s="51">
        <f t="shared" si="42"/>
        <v>0</v>
      </c>
      <c r="AC63" s="52" t="e">
        <f t="shared" si="43"/>
        <v>#DIV/0!</v>
      </c>
      <c r="AD63" s="402"/>
    </row>
    <row r="64" spans="1:30" ht="15" customHeight="1">
      <c r="A64" s="468"/>
      <c r="B64" s="177"/>
      <c r="C64" s="23"/>
      <c r="D64" s="11"/>
      <c r="E64" s="12"/>
      <c r="F64" s="13"/>
      <c r="G64" s="177"/>
      <c r="H64" s="15">
        <f t="shared" si="44"/>
        <v>0</v>
      </c>
      <c r="I64" s="177"/>
      <c r="J64" s="16"/>
      <c r="K64" s="14"/>
      <c r="L64" s="17"/>
      <c r="M64" s="180"/>
      <c r="N64" s="14"/>
      <c r="O64" s="17"/>
      <c r="P64" s="18"/>
      <c r="Q64" s="19"/>
      <c r="R64" s="185"/>
      <c r="S64" s="397"/>
      <c r="T64" s="20"/>
      <c r="U64" s="20"/>
      <c r="V64" s="177"/>
      <c r="W64" s="182">
        <f t="shared" si="7"/>
        <v>0</v>
      </c>
      <c r="X64" s="84"/>
      <c r="Y64" s="84"/>
      <c r="Z64" s="419"/>
      <c r="AA64" s="418"/>
      <c r="AB64" s="18"/>
      <c r="AC64" s="55"/>
      <c r="AD64" s="402"/>
    </row>
    <row r="65" spans="1:32" ht="15" customHeight="1">
      <c r="A65" s="468"/>
      <c r="B65" s="177"/>
      <c r="C65" s="183"/>
      <c r="D65" s="11"/>
      <c r="E65" s="12"/>
      <c r="F65" s="13"/>
      <c r="G65" s="177"/>
      <c r="H65" s="15">
        <f t="shared" si="44"/>
        <v>0</v>
      </c>
      <c r="I65" s="177"/>
      <c r="J65" s="16"/>
      <c r="K65" s="82"/>
      <c r="L65" s="83"/>
      <c r="M65" s="180"/>
      <c r="N65" s="14"/>
      <c r="O65" s="17"/>
      <c r="P65" s="18"/>
      <c r="Q65" s="19"/>
      <c r="R65" s="185"/>
      <c r="S65" s="397"/>
      <c r="T65" s="20"/>
      <c r="U65" s="20"/>
      <c r="V65" s="177"/>
      <c r="W65" s="182">
        <f t="shared" si="7"/>
        <v>0</v>
      </c>
      <c r="X65" s="84"/>
      <c r="Y65" s="84"/>
      <c r="Z65" s="419"/>
      <c r="AA65" s="418"/>
      <c r="AB65" s="18"/>
      <c r="AC65" s="55"/>
      <c r="AD65" s="402"/>
    </row>
    <row r="66" spans="1:32" ht="15" customHeight="1">
      <c r="A66" s="468"/>
      <c r="B66" s="26"/>
      <c r="C66" s="27"/>
      <c r="D66" s="28"/>
      <c r="E66" s="29"/>
      <c r="F66" s="13"/>
      <c r="G66" s="183"/>
      <c r="H66" s="15">
        <f t="shared" si="44"/>
        <v>0</v>
      </c>
      <c r="I66" s="85"/>
      <c r="J66" s="16"/>
      <c r="K66" s="14"/>
      <c r="L66" s="17"/>
      <c r="M66" s="21"/>
      <c r="N66" s="36"/>
      <c r="O66" s="38"/>
      <c r="P66" s="39"/>
      <c r="Q66" s="40"/>
      <c r="R66" s="68"/>
      <c r="S66" s="397"/>
      <c r="T66" s="20"/>
      <c r="U66" s="20"/>
      <c r="V66" s="177"/>
      <c r="W66" s="182">
        <f t="shared" si="7"/>
        <v>0</v>
      </c>
      <c r="X66" s="84"/>
      <c r="Y66" s="84"/>
      <c r="Z66" s="405"/>
      <c r="AA66" s="405"/>
      <c r="AB66" s="18"/>
      <c r="AC66" s="55"/>
      <c r="AD66" s="402"/>
    </row>
    <row r="67" spans="1:32" ht="15" customHeight="1">
      <c r="A67" s="468"/>
      <c r="B67" s="26"/>
      <c r="C67" s="27"/>
      <c r="D67" s="28"/>
      <c r="E67" s="29"/>
      <c r="F67" s="13"/>
      <c r="G67" s="177"/>
      <c r="H67" s="15">
        <f t="shared" si="44"/>
        <v>0</v>
      </c>
      <c r="I67" s="177"/>
      <c r="J67" s="16"/>
      <c r="K67" s="14"/>
      <c r="L67" s="17"/>
      <c r="M67" s="21"/>
      <c r="N67" s="36"/>
      <c r="O67" s="38"/>
      <c r="P67" s="39"/>
      <c r="Q67" s="40"/>
      <c r="R67" s="68"/>
      <c r="S67" s="397"/>
      <c r="T67" s="20"/>
      <c r="U67" s="20"/>
      <c r="V67" s="177"/>
      <c r="W67" s="182">
        <f t="shared" si="7"/>
        <v>0</v>
      </c>
      <c r="X67" s="84"/>
      <c r="Y67" s="84"/>
      <c r="Z67" s="419"/>
      <c r="AA67" s="418"/>
      <c r="AB67" s="18"/>
      <c r="AC67" s="55"/>
      <c r="AD67" s="402"/>
    </row>
    <row r="68" spans="1:32" ht="15" customHeight="1">
      <c r="A68" s="468"/>
      <c r="B68" s="26"/>
      <c r="C68" s="27"/>
      <c r="D68" s="28"/>
      <c r="E68" s="29"/>
      <c r="F68" s="13"/>
      <c r="G68" s="183"/>
      <c r="H68" s="15">
        <f t="shared" si="44"/>
        <v>0</v>
      </c>
      <c r="I68" s="85"/>
      <c r="J68" s="16"/>
      <c r="K68" s="260"/>
      <c r="L68" s="261"/>
      <c r="M68" s="21"/>
      <c r="N68" s="36"/>
      <c r="O68" s="38"/>
      <c r="P68" s="39"/>
      <c r="Q68" s="40"/>
      <c r="R68" s="68"/>
      <c r="S68" s="397"/>
      <c r="T68" s="20"/>
      <c r="U68" s="20"/>
      <c r="V68" s="177"/>
      <c r="W68" s="182">
        <f t="shared" si="7"/>
        <v>0</v>
      </c>
      <c r="X68" s="84"/>
      <c r="Y68" s="84"/>
      <c r="Z68" s="419"/>
      <c r="AA68" s="418"/>
      <c r="AB68" s="18"/>
      <c r="AC68" s="55"/>
      <c r="AD68" s="402"/>
    </row>
    <row r="69" spans="1:32" ht="15" customHeight="1" thickBot="1">
      <c r="A69" s="469"/>
      <c r="B69" s="165"/>
      <c r="C69" s="1" t="s">
        <v>39</v>
      </c>
      <c r="D69" s="410" t="s">
        <v>7</v>
      </c>
      <c r="E69" s="410"/>
      <c r="F69" s="114"/>
      <c r="G69" s="115"/>
      <c r="H69" s="116"/>
      <c r="I69" s="170"/>
      <c r="J69" s="166">
        <f t="shared" ref="J69:O69" si="51">AVERAGE(J59:J68)</f>
        <v>12.5</v>
      </c>
      <c r="K69" s="166">
        <f t="shared" si="51"/>
        <v>1565</v>
      </c>
      <c r="L69" s="171">
        <f t="shared" si="51"/>
        <v>125.40064102564102</v>
      </c>
      <c r="M69" s="166">
        <f t="shared" si="51"/>
        <v>12.5</v>
      </c>
      <c r="N69" s="166">
        <f t="shared" si="51"/>
        <v>1372.4485390416839</v>
      </c>
      <c r="O69" s="171">
        <f t="shared" si="51"/>
        <v>109.86181139608861</v>
      </c>
      <c r="P69" s="172">
        <f>M69-J69</f>
        <v>0</v>
      </c>
      <c r="Q69" s="158">
        <f>N69-K69</f>
        <v>-192.55146095831606</v>
      </c>
      <c r="R69" s="121">
        <f>O69/L69</f>
        <v>0.87608652154836164</v>
      </c>
      <c r="S69" s="399"/>
      <c r="T69" s="122"/>
      <c r="U69" s="122"/>
      <c r="V69" s="195"/>
      <c r="W69" s="168"/>
      <c r="X69" s="124"/>
      <c r="Y69" s="124"/>
      <c r="Z69" s="405"/>
      <c r="AA69" s="405"/>
      <c r="AB69" s="119">
        <f>N69-K69</f>
        <v>-192.55146095831606</v>
      </c>
      <c r="AC69" s="187">
        <f>N69/K69</f>
        <v>0.87696392271034118</v>
      </c>
      <c r="AD69" s="404"/>
    </row>
    <row r="70" spans="1:32" ht="15" customHeight="1">
      <c r="A70" s="461" t="s">
        <v>58</v>
      </c>
      <c r="B70" s="199" t="s">
        <v>62</v>
      </c>
      <c r="C70" s="199"/>
      <c r="D70" s="103" t="s">
        <v>158</v>
      </c>
      <c r="E70" s="104"/>
      <c r="F70" s="199">
        <f>VLOOKUP(D70,廠價表!$C$1:$E$39,3,0)</f>
        <v>47.71</v>
      </c>
      <c r="G70" s="188">
        <v>4224</v>
      </c>
      <c r="H70" s="106">
        <f t="shared" ref="H70" si="52">F70*G70</f>
        <v>201527.04000000001</v>
      </c>
      <c r="I70" s="188"/>
      <c r="J70" s="108">
        <f>VLOOKUP(D70,產線配置圖!$A$2:$C$38,2,0)</f>
        <v>15</v>
      </c>
      <c r="K70" s="105">
        <f>VLOOKUP(D70,產線配置圖!$A$2:$C$38,3,0)</f>
        <v>1500</v>
      </c>
      <c r="L70" s="109">
        <f>K70/J70</f>
        <v>100</v>
      </c>
      <c r="M70" s="110">
        <v>14</v>
      </c>
      <c r="N70" s="105">
        <f t="shared" ref="N70:N71" si="53">G70/W70*60</f>
        <v>1206.8571428571431</v>
      </c>
      <c r="O70" s="109">
        <f t="shared" ref="O70:O71" si="54">N70/M70</f>
        <v>86.204081632653086</v>
      </c>
      <c r="P70" s="111">
        <f t="shared" ref="P70:P71" si="55">M70-J70</f>
        <v>-1</v>
      </c>
      <c r="Q70" s="112">
        <f t="shared" ref="Q70:Q71" si="56">O70-L70</f>
        <v>-13.795918367346914</v>
      </c>
      <c r="R70" s="184">
        <f t="shared" ref="R70:R71" si="57">O70/L70</f>
        <v>0.86204081632653085</v>
      </c>
      <c r="S70" s="396">
        <f>R79</f>
        <v>0.82443202191831588</v>
      </c>
      <c r="T70" s="169">
        <v>0.34444444444444444</v>
      </c>
      <c r="U70" s="169">
        <v>0.49027777777777776</v>
      </c>
      <c r="V70" s="188"/>
      <c r="W70" s="107">
        <f t="shared" ref="W70:W78" si="58">(U70-T70)*24*60</f>
        <v>209.99999999999997</v>
      </c>
      <c r="X70" s="296"/>
      <c r="Y70" s="296"/>
      <c r="Z70" s="465"/>
      <c r="AA70" s="427"/>
      <c r="AB70" s="225">
        <f t="shared" ref="AB70:AB71" si="59">N70-K70</f>
        <v>-293.14285714285688</v>
      </c>
      <c r="AC70" s="226">
        <f t="shared" ref="AC70:AC71" si="60">N70/K70</f>
        <v>0.80457142857142872</v>
      </c>
      <c r="AD70" s="401">
        <f>AC79</f>
        <v>0.78689529444431583</v>
      </c>
    </row>
    <row r="71" spans="1:32" ht="15" customHeight="1">
      <c r="A71" s="462"/>
      <c r="B71" s="56" t="s">
        <v>134</v>
      </c>
      <c r="C71" s="10"/>
      <c r="D71" s="11" t="s">
        <v>154</v>
      </c>
      <c r="E71" s="86"/>
      <c r="F71" s="56">
        <v>56.87</v>
      </c>
      <c r="G71" s="66">
        <v>2844</v>
      </c>
      <c r="H71" s="76">
        <v>78708.08</v>
      </c>
      <c r="I71" s="193"/>
      <c r="J71" s="16">
        <f>VLOOKUP(D71,產線配置圖!$A$2:$C$38,2,0)</f>
        <v>15</v>
      </c>
      <c r="K71" s="14">
        <f>VLOOKUP(D71,產線配置圖!$A$2:$C$38,3,0)</f>
        <v>1385</v>
      </c>
      <c r="L71" s="17">
        <f t="shared" ref="L71" si="61">K71/J71</f>
        <v>92.333333333333329</v>
      </c>
      <c r="M71" s="180">
        <v>14</v>
      </c>
      <c r="N71" s="14">
        <f t="shared" si="53"/>
        <v>922.37837837837856</v>
      </c>
      <c r="O71" s="17">
        <f t="shared" si="54"/>
        <v>65.884169884169893</v>
      </c>
      <c r="P71" s="18">
        <f t="shared" si="55"/>
        <v>-1</v>
      </c>
      <c r="Q71" s="19">
        <f t="shared" si="56"/>
        <v>-26.449163449163436</v>
      </c>
      <c r="R71" s="185">
        <f t="shared" si="57"/>
        <v>0.71354696625454761</v>
      </c>
      <c r="S71" s="397"/>
      <c r="T71" s="20">
        <v>0.55555555555555558</v>
      </c>
      <c r="U71" s="20">
        <v>0.68402777777777779</v>
      </c>
      <c r="V71" s="177">
        <f t="shared" ref="V71" si="62">(T71-U70)*24*60</f>
        <v>94.000000000000071</v>
      </c>
      <c r="W71" s="295">
        <f t="shared" si="58"/>
        <v>184.99999999999997</v>
      </c>
      <c r="X71" s="298">
        <v>0.5</v>
      </c>
      <c r="Y71" s="299">
        <v>0.54166666666666663</v>
      </c>
      <c r="Z71" s="439" t="s">
        <v>160</v>
      </c>
      <c r="AA71" s="472"/>
      <c r="AB71" s="39">
        <f t="shared" si="59"/>
        <v>-462.62162162162144</v>
      </c>
      <c r="AC71" s="190">
        <f t="shared" si="60"/>
        <v>0.66597716850424449</v>
      </c>
      <c r="AD71" s="447"/>
    </row>
    <row r="72" spans="1:32" ht="15" customHeight="1">
      <c r="A72" s="462"/>
      <c r="B72" s="56"/>
      <c r="C72" s="10"/>
      <c r="D72" s="11"/>
      <c r="E72" s="86"/>
      <c r="F72" s="56"/>
      <c r="G72" s="66"/>
      <c r="H72" s="76"/>
      <c r="I72" s="193"/>
      <c r="J72" s="16"/>
      <c r="K72" s="14"/>
      <c r="L72" s="17"/>
      <c r="M72" s="180"/>
      <c r="N72" s="14"/>
      <c r="O72" s="17"/>
      <c r="P72" s="18"/>
      <c r="Q72" s="19"/>
      <c r="R72" s="185"/>
      <c r="S72" s="397"/>
      <c r="T72" s="20"/>
      <c r="U72" s="20"/>
      <c r="V72" s="177"/>
      <c r="W72" s="182">
        <f t="shared" si="58"/>
        <v>0</v>
      </c>
      <c r="X72" s="297"/>
      <c r="Y72" s="297"/>
      <c r="Z72" s="405"/>
      <c r="AA72" s="419"/>
      <c r="AB72" s="39"/>
      <c r="AC72" s="190"/>
      <c r="AD72" s="447"/>
    </row>
    <row r="73" spans="1:32" ht="15" customHeight="1">
      <c r="A73" s="462"/>
      <c r="B73" s="56"/>
      <c r="C73" s="23"/>
      <c r="D73" s="11"/>
      <c r="E73" s="12"/>
      <c r="F73" s="56"/>
      <c r="G73" s="66"/>
      <c r="H73" s="76"/>
      <c r="I73" s="193"/>
      <c r="J73" s="16"/>
      <c r="K73" s="14"/>
      <c r="L73" s="17"/>
      <c r="M73" s="180"/>
      <c r="N73" s="14"/>
      <c r="O73" s="17"/>
      <c r="P73" s="18"/>
      <c r="Q73" s="19"/>
      <c r="R73" s="185"/>
      <c r="S73" s="397"/>
      <c r="T73" s="20"/>
      <c r="U73" s="20"/>
      <c r="V73" s="177"/>
      <c r="W73" s="182">
        <f t="shared" si="58"/>
        <v>0</v>
      </c>
      <c r="X73" s="22"/>
      <c r="Y73" s="22"/>
      <c r="Z73" s="405"/>
      <c r="AA73" s="419"/>
      <c r="AB73" s="39"/>
      <c r="AC73" s="190"/>
      <c r="AD73" s="447"/>
    </row>
    <row r="74" spans="1:32" ht="15" customHeight="1">
      <c r="A74" s="462"/>
      <c r="B74" s="56"/>
      <c r="C74" s="249"/>
      <c r="D74" s="250"/>
      <c r="E74" s="251"/>
      <c r="F74" s="56"/>
      <c r="G74" s="238"/>
      <c r="H74" s="76">
        <f t="shared" ref="H74:H78" si="63">F74*G74</f>
        <v>0</v>
      </c>
      <c r="I74" s="81"/>
      <c r="J74" s="234"/>
      <c r="K74" s="36"/>
      <c r="L74" s="235"/>
      <c r="M74" s="21"/>
      <c r="N74" s="36"/>
      <c r="O74" s="38"/>
      <c r="P74" s="39"/>
      <c r="Q74" s="40"/>
      <c r="R74" s="190"/>
      <c r="S74" s="397"/>
      <c r="T74" s="20"/>
      <c r="U74" s="20"/>
      <c r="V74" s="177"/>
      <c r="W74" s="182">
        <f t="shared" si="58"/>
        <v>0</v>
      </c>
      <c r="X74" s="22"/>
      <c r="Y74" s="22"/>
      <c r="Z74" s="405"/>
      <c r="AA74" s="419"/>
      <c r="AB74" s="39"/>
      <c r="AC74" s="190"/>
      <c r="AD74" s="447"/>
    </row>
    <row r="75" spans="1:32" ht="15" customHeight="1">
      <c r="A75" s="462"/>
      <c r="B75" s="177"/>
      <c r="C75" s="183"/>
      <c r="D75" s="11"/>
      <c r="E75" s="12"/>
      <c r="F75" s="13"/>
      <c r="G75" s="177"/>
      <c r="H75" s="15">
        <f t="shared" si="63"/>
        <v>0</v>
      </c>
      <c r="I75" s="81"/>
      <c r="J75" s="87"/>
      <c r="K75" s="82"/>
      <c r="L75" s="83"/>
      <c r="M75" s="181"/>
      <c r="N75" s="82"/>
      <c r="O75" s="83"/>
      <c r="P75" s="73"/>
      <c r="Q75" s="74"/>
      <c r="R75" s="192"/>
      <c r="S75" s="397"/>
      <c r="T75" s="20"/>
      <c r="U75" s="20"/>
      <c r="V75" s="177"/>
      <c r="W75" s="88">
        <f t="shared" si="58"/>
        <v>0</v>
      </c>
      <c r="X75" s="89"/>
      <c r="Y75" s="89"/>
      <c r="Z75" s="406"/>
      <c r="AA75" s="406"/>
      <c r="AB75" s="306"/>
      <c r="AC75" s="307"/>
      <c r="AD75" s="402"/>
    </row>
    <row r="76" spans="1:32" ht="15" customHeight="1">
      <c r="A76" s="462"/>
      <c r="B76" s="26"/>
      <c r="C76" s="27"/>
      <c r="D76" s="28"/>
      <c r="E76" s="29"/>
      <c r="F76" s="13"/>
      <c r="G76" s="177"/>
      <c r="H76" s="15">
        <f t="shared" si="63"/>
        <v>0</v>
      </c>
      <c r="I76" s="81"/>
      <c r="J76" s="87"/>
      <c r="K76" s="82"/>
      <c r="L76" s="83"/>
      <c r="M76" s="181"/>
      <c r="N76" s="82"/>
      <c r="O76" s="83"/>
      <c r="P76" s="73"/>
      <c r="Q76" s="74"/>
      <c r="R76" s="192"/>
      <c r="S76" s="398"/>
      <c r="T76" s="20"/>
      <c r="U76" s="20"/>
      <c r="V76" s="177"/>
      <c r="W76" s="90">
        <f t="shared" si="58"/>
        <v>0</v>
      </c>
      <c r="X76" s="78"/>
      <c r="Y76" s="78"/>
      <c r="Z76" s="445"/>
      <c r="AA76" s="445"/>
      <c r="AB76" s="51"/>
      <c r="AC76" s="52"/>
      <c r="AD76" s="403"/>
    </row>
    <row r="77" spans="1:32" ht="15" customHeight="1">
      <c r="A77" s="462"/>
      <c r="B77" s="26"/>
      <c r="C77" s="27"/>
      <c r="D77" s="28"/>
      <c r="E77" s="29"/>
      <c r="F77" s="13"/>
      <c r="G77" s="177"/>
      <c r="H77" s="15">
        <f t="shared" si="63"/>
        <v>0</v>
      </c>
      <c r="I77" s="81"/>
      <c r="J77" s="87"/>
      <c r="K77" s="82"/>
      <c r="L77" s="83"/>
      <c r="M77" s="181"/>
      <c r="N77" s="82"/>
      <c r="O77" s="83"/>
      <c r="P77" s="73"/>
      <c r="Q77" s="74"/>
      <c r="R77" s="192"/>
      <c r="S77" s="398"/>
      <c r="T77" s="20"/>
      <c r="U77" s="20"/>
      <c r="V77" s="177"/>
      <c r="W77" s="182">
        <f t="shared" si="58"/>
        <v>0</v>
      </c>
      <c r="X77" s="84"/>
      <c r="Y77" s="84"/>
      <c r="Z77" s="405"/>
      <c r="AA77" s="405"/>
      <c r="AB77" s="18"/>
      <c r="AC77" s="55"/>
      <c r="AD77" s="403"/>
    </row>
    <row r="78" spans="1:32" ht="15" customHeight="1">
      <c r="A78" s="462"/>
      <c r="B78" s="26"/>
      <c r="C78" s="27"/>
      <c r="D78" s="28"/>
      <c r="E78" s="29"/>
      <c r="F78" s="13"/>
      <c r="G78" s="177"/>
      <c r="H78" s="15">
        <f t="shared" si="63"/>
        <v>0</v>
      </c>
      <c r="I78" s="85"/>
      <c r="J78" s="37"/>
      <c r="K78" s="36"/>
      <c r="L78" s="83"/>
      <c r="M78" s="21"/>
      <c r="N78" s="36"/>
      <c r="O78" s="38"/>
      <c r="P78" s="39"/>
      <c r="Q78" s="40"/>
      <c r="R78" s="190"/>
      <c r="S78" s="464"/>
      <c r="T78" s="32"/>
      <c r="U78" s="32"/>
      <c r="V78" s="178"/>
      <c r="W78" s="182">
        <f t="shared" si="58"/>
        <v>0</v>
      </c>
      <c r="X78" s="91"/>
      <c r="Y78" s="91"/>
      <c r="Z78" s="405"/>
      <c r="AA78" s="405"/>
      <c r="AB78" s="34"/>
      <c r="AC78" s="57"/>
      <c r="AD78" s="403"/>
    </row>
    <row r="79" spans="1:32" ht="15" customHeight="1" thickBot="1">
      <c r="A79" s="463"/>
      <c r="B79" s="165"/>
      <c r="C79" s="1" t="s">
        <v>40</v>
      </c>
      <c r="D79" s="410" t="s">
        <v>7</v>
      </c>
      <c r="E79" s="410"/>
      <c r="F79" s="114"/>
      <c r="G79" s="115"/>
      <c r="H79" s="173"/>
      <c r="I79" s="171"/>
      <c r="J79" s="166">
        <f t="shared" ref="J79:O79" si="64">AVERAGE(J69:J78)</f>
        <v>14.166666666666666</v>
      </c>
      <c r="K79" s="166">
        <f t="shared" si="64"/>
        <v>1483.3333333333333</v>
      </c>
      <c r="L79" s="171">
        <f t="shared" si="64"/>
        <v>105.91132478632478</v>
      </c>
      <c r="M79" s="166">
        <f t="shared" si="64"/>
        <v>13.5</v>
      </c>
      <c r="N79" s="166">
        <f t="shared" si="64"/>
        <v>1167.2280200924017</v>
      </c>
      <c r="O79" s="171">
        <f t="shared" si="64"/>
        <v>87.316687637637187</v>
      </c>
      <c r="P79" s="172">
        <f>M79-J79</f>
        <v>-0.66666666666666607</v>
      </c>
      <c r="Q79" s="158">
        <f>N79-K79</f>
        <v>-316.10531324093154</v>
      </c>
      <c r="R79" s="159">
        <f>O79/L79</f>
        <v>0.82443202191831588</v>
      </c>
      <c r="S79" s="399"/>
      <c r="T79" s="122"/>
      <c r="U79" s="122"/>
      <c r="V79" s="195"/>
      <c r="W79" s="168"/>
      <c r="X79" s="124"/>
      <c r="Y79" s="124"/>
      <c r="Z79" s="391"/>
      <c r="AA79" s="391"/>
      <c r="AB79" s="119">
        <f>N79-K79</f>
        <v>-316.10531324093154</v>
      </c>
      <c r="AC79" s="187">
        <f>N79/K79</f>
        <v>0.78689529444431583</v>
      </c>
      <c r="AD79" s="404"/>
    </row>
    <row r="80" spans="1:32">
      <c r="AF80" s="93" t="s">
        <v>41</v>
      </c>
    </row>
    <row r="81" spans="4:32">
      <c r="AF81" s="93" t="s">
        <v>42</v>
      </c>
    </row>
    <row r="82" spans="4:32">
      <c r="AF82" s="93" t="s">
        <v>43</v>
      </c>
    </row>
    <row r="83" spans="4:32">
      <c r="D83" s="220"/>
      <c r="W83" s="6"/>
      <c r="AF83" s="93" t="s">
        <v>44</v>
      </c>
    </row>
    <row r="84" spans="4:32">
      <c r="D84" s="224"/>
      <c r="W84" s="6"/>
      <c r="AF84" s="93" t="s">
        <v>45</v>
      </c>
    </row>
    <row r="85" spans="4:32">
      <c r="D85" s="224"/>
      <c r="W85" s="6"/>
      <c r="AF85" s="93" t="s">
        <v>46</v>
      </c>
    </row>
    <row r="86" spans="4:32">
      <c r="D86" s="155"/>
      <c r="W86" s="6"/>
      <c r="AF86" s="93" t="s">
        <v>47</v>
      </c>
    </row>
    <row r="87" spans="4:32">
      <c r="W87" s="6"/>
      <c r="AF87" s="93" t="s">
        <v>48</v>
      </c>
    </row>
    <row r="88" spans="4:32">
      <c r="W88" s="6"/>
      <c r="AF88" s="93" t="s">
        <v>49</v>
      </c>
    </row>
    <row r="89" spans="4:32">
      <c r="W89" s="6"/>
      <c r="AF89" s="93" t="s">
        <v>50</v>
      </c>
    </row>
    <row r="90" spans="4:32">
      <c r="W90" s="6"/>
      <c r="AF90" s="93" t="s">
        <v>51</v>
      </c>
    </row>
    <row r="91" spans="4:32">
      <c r="W91" s="6"/>
      <c r="AF91" s="93" t="s">
        <v>52</v>
      </c>
    </row>
    <row r="92" spans="4:32">
      <c r="W92" s="6"/>
      <c r="AF92" s="93" t="s">
        <v>53</v>
      </c>
    </row>
  </sheetData>
  <autoFilter ref="D1:D92" xr:uid="{EF5AD393-5A39-4C0E-A7B0-465235F2AB14}"/>
  <mergeCells count="135">
    <mergeCell ref="P1:S2"/>
    <mergeCell ref="T1:Y2"/>
    <mergeCell ref="Z1:AA2"/>
    <mergeCell ref="AB1:AD2"/>
    <mergeCell ref="H3:H4"/>
    <mergeCell ref="I3:I4"/>
    <mergeCell ref="J3:J4"/>
    <mergeCell ref="K3:K4"/>
    <mergeCell ref="L3:L4"/>
    <mergeCell ref="M3:M4"/>
    <mergeCell ref="AC3:AC4"/>
    <mergeCell ref="AD3:AD4"/>
    <mergeCell ref="P3:P4"/>
    <mergeCell ref="Q3:Q4"/>
    <mergeCell ref="R3:R4"/>
    <mergeCell ref="A2:B2"/>
    <mergeCell ref="A3:A4"/>
    <mergeCell ref="B3:B4"/>
    <mergeCell ref="D3:E4"/>
    <mergeCell ref="F3:F4"/>
    <mergeCell ref="G3:G4"/>
    <mergeCell ref="J1:L2"/>
    <mergeCell ref="M1:O2"/>
    <mergeCell ref="D15:E15"/>
    <mergeCell ref="A5:A15"/>
    <mergeCell ref="N3:N4"/>
    <mergeCell ref="O3:O4"/>
    <mergeCell ref="S5:S15"/>
    <mergeCell ref="Z5:AA5"/>
    <mergeCell ref="AD5:AD15"/>
    <mergeCell ref="Z6:AA6"/>
    <mergeCell ref="Z7:AA7"/>
    <mergeCell ref="Z8:AA8"/>
    <mergeCell ref="Z9:AA9"/>
    <mergeCell ref="T3:U3"/>
    <mergeCell ref="V3:V4"/>
    <mergeCell ref="W3:W4"/>
    <mergeCell ref="X3:Y3"/>
    <mergeCell ref="Z3:AA4"/>
    <mergeCell ref="AB3:AB4"/>
    <mergeCell ref="S3:S4"/>
    <mergeCell ref="AD16:AD26"/>
    <mergeCell ref="Z17:AA17"/>
    <mergeCell ref="Z18:AA18"/>
    <mergeCell ref="Z19:AA19"/>
    <mergeCell ref="Z20:AA20"/>
    <mergeCell ref="Z21:AA21"/>
    <mergeCell ref="Z22:AA22"/>
    <mergeCell ref="Z10:AA10"/>
    <mergeCell ref="Z11:AA11"/>
    <mergeCell ref="Z12:AA12"/>
    <mergeCell ref="Z13:AA13"/>
    <mergeCell ref="Z14:AA14"/>
    <mergeCell ref="Z23:AA23"/>
    <mergeCell ref="Z24:AA24"/>
    <mergeCell ref="Z25:AA25"/>
    <mergeCell ref="Z15:AA15"/>
    <mergeCell ref="D26:E26"/>
    <mergeCell ref="Z26:AA26"/>
    <mergeCell ref="A27:A37"/>
    <mergeCell ref="S27:S37"/>
    <mergeCell ref="Z27:AA27"/>
    <mergeCell ref="D37:E37"/>
    <mergeCell ref="Z37:AA37"/>
    <mergeCell ref="A16:A26"/>
    <mergeCell ref="S16:S26"/>
    <mergeCell ref="Z16:AA16"/>
    <mergeCell ref="AD38:AD48"/>
    <mergeCell ref="Z39:AA39"/>
    <mergeCell ref="Z40:AA40"/>
    <mergeCell ref="Z41:AA41"/>
    <mergeCell ref="Z42:AA42"/>
    <mergeCell ref="Z43:AA43"/>
    <mergeCell ref="Z44:AA44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Z45:AA45"/>
    <mergeCell ref="Z46:AA46"/>
    <mergeCell ref="Z47:AA47"/>
    <mergeCell ref="D48:E48"/>
    <mergeCell ref="Z48:AA48"/>
    <mergeCell ref="A49:A58"/>
    <mergeCell ref="S49:S58"/>
    <mergeCell ref="Z49:AA49"/>
    <mergeCell ref="D58:E58"/>
    <mergeCell ref="A38:A48"/>
    <mergeCell ref="S38:S48"/>
    <mergeCell ref="Z38:AA38"/>
    <mergeCell ref="AD59:AD69"/>
    <mergeCell ref="Z60:AA60"/>
    <mergeCell ref="Z61:AA61"/>
    <mergeCell ref="Z62:AA62"/>
    <mergeCell ref="Z63:AA63"/>
    <mergeCell ref="Z64:AA64"/>
    <mergeCell ref="Z65:AA65"/>
    <mergeCell ref="AD49:AD58"/>
    <mergeCell ref="Z50:AA50"/>
    <mergeCell ref="Z51:AA51"/>
    <mergeCell ref="Z52:AA52"/>
    <mergeCell ref="Z53:AA53"/>
    <mergeCell ref="Z54:AA54"/>
    <mergeCell ref="Z55:AA55"/>
    <mergeCell ref="Z56:AA56"/>
    <mergeCell ref="Z57:AA57"/>
    <mergeCell ref="Z58:AA58"/>
    <mergeCell ref="Z66:AA66"/>
    <mergeCell ref="Z67:AA67"/>
    <mergeCell ref="Z68:AA68"/>
    <mergeCell ref="D69:E69"/>
    <mergeCell ref="Z69:AA69"/>
    <mergeCell ref="A70:A79"/>
    <mergeCell ref="S70:S79"/>
    <mergeCell ref="Z70:AA70"/>
    <mergeCell ref="D79:E79"/>
    <mergeCell ref="A59:A69"/>
    <mergeCell ref="S59:S69"/>
    <mergeCell ref="Z59:AA59"/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</mergeCells>
  <phoneticPr fontId="2" type="noConversion"/>
  <conditionalFormatting sqref="P5:P79">
    <cfRule type="cellIs" dxfId="288" priority="1" operator="greaterThan">
      <formula>0</formula>
    </cfRule>
  </conditionalFormatting>
  <conditionalFormatting sqref="Q5:Q79 AB5:AB79">
    <cfRule type="cellIs" dxfId="287" priority="4" operator="lessThan">
      <formula>0</formula>
    </cfRule>
  </conditionalFormatting>
  <conditionalFormatting sqref="R5:R79 AC5:AC79">
    <cfRule type="cellIs" dxfId="286" priority="2" operator="greaterThan">
      <formula>1</formula>
    </cfRule>
    <cfRule type="cellIs" dxfId="285" priority="3" operator="lessThan">
      <formula>0.8</formula>
    </cfRule>
  </conditionalFormatting>
  <conditionalFormatting sqref="S5:S10 S37:S62 AD59:AD62 S69:S76 AD69:AD76">
    <cfRule type="cellIs" dxfId="284" priority="7" operator="lessThan">
      <formula>0.8</formula>
    </cfRule>
  </conditionalFormatting>
  <conditionalFormatting sqref="S19:S25 AD19:AD25">
    <cfRule type="cellIs" dxfId="283" priority="6" operator="lessThan">
      <formula>0.8</formula>
    </cfRule>
  </conditionalFormatting>
  <conditionalFormatting sqref="S79">
    <cfRule type="cellIs" dxfId="282" priority="5" operator="lessThan">
      <formula>0.8</formula>
    </cfRule>
  </conditionalFormatting>
  <conditionalFormatting sqref="AD5:AD8 S15:S16 AD15:AD16 AD49 AD79">
    <cfRule type="cellIs" dxfId="281" priority="9" operator="lessThan">
      <formula>0.8</formula>
    </cfRule>
  </conditionalFormatting>
  <conditionalFormatting sqref="AD27 S27:S28">
    <cfRule type="cellIs" dxfId="28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3AE98F1-19B1-4B55-8AC5-D319C005AFDD}">
          <x14:formula1>
            <xm:f>廠價表!$C$2:$C$37</xm:f>
          </x14:formula1>
          <xm:sqref>D1:D1048576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30FB4-096E-426A-A665-A716433906C0}">
  <sheetPr>
    <pageSetUpPr fitToPage="1"/>
  </sheetPr>
  <dimension ref="B1:O22"/>
  <sheetViews>
    <sheetView zoomScale="70" zoomScaleNormal="70" workbookViewId="0">
      <selection activeCell="G31" sqref="G31"/>
    </sheetView>
  </sheetViews>
  <sheetFormatPr defaultColWidth="8.125" defaultRowHeight="15.75"/>
  <cols>
    <col min="1" max="1" width="8.125" style="203"/>
    <col min="2" max="2" width="7.125" style="203" customWidth="1"/>
    <col min="3" max="3" width="7.125" style="218" customWidth="1"/>
    <col min="4" max="17" width="14.125" style="203" customWidth="1"/>
    <col min="18" max="21" width="9.625" style="203" customWidth="1"/>
    <col min="22" max="22" width="11.125" style="203" customWidth="1"/>
    <col min="23" max="23" width="11.5" style="203" customWidth="1"/>
    <col min="24" max="16384" width="8.125" style="203"/>
  </cols>
  <sheetData>
    <row r="1" spans="2:15" ht="27.75" customHeight="1">
      <c r="B1" s="345" t="s">
        <v>73</v>
      </c>
      <c r="C1" s="345"/>
      <c r="D1" s="345"/>
      <c r="E1" s="345"/>
      <c r="F1" s="345"/>
      <c r="G1" s="345"/>
      <c r="H1" s="345"/>
      <c r="I1" s="345"/>
      <c r="J1" s="345"/>
      <c r="K1" s="345"/>
      <c r="L1" s="202"/>
      <c r="M1" s="202"/>
    </row>
    <row r="2" spans="2:15" ht="27.75" customHeight="1"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202"/>
      <c r="M2" s="202"/>
    </row>
    <row r="3" spans="2:15" ht="46.5" customHeight="1">
      <c r="B3" s="342" t="s">
        <v>74</v>
      </c>
      <c r="C3" s="342"/>
      <c r="D3" s="346">
        <v>45964</v>
      </c>
      <c r="E3" s="346"/>
      <c r="F3" s="204" t="s">
        <v>75</v>
      </c>
      <c r="G3" s="347">
        <f>'1103'!E1</f>
        <v>56473</v>
      </c>
      <c r="H3" s="347"/>
      <c r="I3" s="204" t="s">
        <v>76</v>
      </c>
      <c r="J3" s="348">
        <f>'1103'!G1</f>
        <v>2731807.38</v>
      </c>
      <c r="K3" s="348"/>
      <c r="L3" s="205"/>
    </row>
    <row r="4" spans="2:15" ht="24" customHeight="1">
      <c r="B4" s="342" t="s">
        <v>77</v>
      </c>
      <c r="C4" s="342"/>
      <c r="D4" s="343">
        <v>3</v>
      </c>
      <c r="E4" s="343"/>
      <c r="F4" s="344" t="s">
        <v>78</v>
      </c>
      <c r="G4" s="344"/>
      <c r="H4" s="344" t="s">
        <v>79</v>
      </c>
      <c r="I4" s="344"/>
      <c r="J4" s="343" t="s">
        <v>80</v>
      </c>
      <c r="K4" s="344"/>
      <c r="L4" s="206"/>
    </row>
    <row r="5" spans="2:15" ht="24" customHeight="1">
      <c r="B5" s="342" t="s">
        <v>81</v>
      </c>
      <c r="C5" s="342"/>
      <c r="D5" s="343" t="s">
        <v>82</v>
      </c>
      <c r="E5" s="343"/>
      <c r="F5" s="343" t="s">
        <v>83</v>
      </c>
      <c r="G5" s="343"/>
      <c r="H5" s="369" t="s">
        <v>62</v>
      </c>
      <c r="I5" s="369"/>
      <c r="J5" s="341" t="s">
        <v>84</v>
      </c>
      <c r="K5" s="341"/>
      <c r="L5" s="207"/>
    </row>
    <row r="6" spans="2:15" ht="39.6" customHeight="1">
      <c r="B6" s="342"/>
      <c r="C6" s="342"/>
      <c r="D6" s="342" t="s">
        <v>85</v>
      </c>
      <c r="E6" s="342"/>
      <c r="F6" s="356">
        <f>AVERAGE(D13:J13)</f>
        <v>115.58490452186274</v>
      </c>
      <c r="G6" s="356"/>
      <c r="H6" s="349">
        <f>AVERAGE(D13:H13)</f>
        <v>114.19867402291553</v>
      </c>
      <c r="I6" s="349"/>
      <c r="J6" s="349">
        <f>AVERAGE(I13:J13)</f>
        <v>119.05048076923077</v>
      </c>
      <c r="K6" s="349"/>
      <c r="L6" s="207"/>
    </row>
    <row r="7" spans="2:15" s="208" customFormat="1" ht="39.6" customHeight="1">
      <c r="B7" s="342"/>
      <c r="C7" s="342"/>
      <c r="D7" s="350" t="s">
        <v>86</v>
      </c>
      <c r="E7" s="350"/>
      <c r="F7" s="351">
        <f>AVERAGE(D14:J14)</f>
        <v>102.18649925684038</v>
      </c>
      <c r="G7" s="351"/>
      <c r="H7" s="352">
        <f>AVERAGE(D14:H14)</f>
        <v>100.96665719290328</v>
      </c>
      <c r="I7" s="352"/>
      <c r="J7" s="352">
        <f>AVERAGE(I14:J14)</f>
        <v>105.23610441668309</v>
      </c>
      <c r="K7" s="352"/>
    </row>
    <row r="8" spans="2:15" s="208" customFormat="1" ht="39.6" customHeight="1">
      <c r="B8" s="342"/>
      <c r="C8" s="342"/>
      <c r="D8" s="350" t="s">
        <v>87</v>
      </c>
      <c r="E8" s="350"/>
      <c r="F8" s="353">
        <f>AVERAGE(D15:J15)</f>
        <v>0.88659775043435674</v>
      </c>
      <c r="G8" s="353"/>
      <c r="H8" s="353">
        <f>AVERAGE(D15:H15)</f>
        <v>0.88776740275770805</v>
      </c>
      <c r="I8" s="353"/>
      <c r="J8" s="353">
        <f>AVERAGE(I15:J15)</f>
        <v>0.88367361962597857</v>
      </c>
      <c r="K8" s="353"/>
      <c r="L8" s="209" t="s">
        <v>88</v>
      </c>
    </row>
    <row r="9" spans="2:15" ht="25.5" customHeight="1">
      <c r="B9" s="207"/>
      <c r="C9" s="207"/>
      <c r="D9" s="207"/>
      <c r="E9" s="207"/>
      <c r="F9" s="207"/>
      <c r="G9" s="207"/>
      <c r="H9" s="210"/>
      <c r="I9" s="211"/>
      <c r="J9" s="211"/>
      <c r="K9" s="211"/>
      <c r="L9" s="211"/>
      <c r="M9" s="211"/>
      <c r="N9" s="211"/>
      <c r="O9" s="207"/>
    </row>
    <row r="10" spans="2:15" ht="30" customHeight="1">
      <c r="B10" s="354" t="s">
        <v>0</v>
      </c>
      <c r="C10" s="355"/>
      <c r="D10" s="357" t="s">
        <v>89</v>
      </c>
      <c r="E10" s="358"/>
      <c r="F10" s="358"/>
      <c r="G10" s="358"/>
      <c r="H10" s="358"/>
      <c r="I10" s="358"/>
      <c r="J10" s="359"/>
    </row>
    <row r="11" spans="2:15" ht="17.25" customHeight="1">
      <c r="B11" s="360" t="s">
        <v>90</v>
      </c>
      <c r="C11" s="361"/>
      <c r="D11" s="212">
        <v>1</v>
      </c>
      <c r="E11" s="212">
        <v>2</v>
      </c>
      <c r="F11" s="212">
        <v>3</v>
      </c>
      <c r="G11" s="212">
        <v>4</v>
      </c>
      <c r="H11" s="212">
        <v>5</v>
      </c>
      <c r="I11" s="212">
        <v>6</v>
      </c>
      <c r="J11" s="212">
        <v>7</v>
      </c>
    </row>
    <row r="12" spans="2:15" ht="33.950000000000003" customHeight="1">
      <c r="B12" s="362"/>
      <c r="C12" s="363"/>
      <c r="D12" s="213" t="s">
        <v>91</v>
      </c>
      <c r="E12" s="213" t="s">
        <v>92</v>
      </c>
      <c r="F12" s="213" t="s">
        <v>93</v>
      </c>
      <c r="G12" s="213" t="s">
        <v>94</v>
      </c>
      <c r="H12" s="213" t="s">
        <v>95</v>
      </c>
      <c r="I12" s="213" t="s">
        <v>96</v>
      </c>
      <c r="J12" s="213" t="s">
        <v>97</v>
      </c>
    </row>
    <row r="13" spans="2:15" ht="39.950000000000003" customHeight="1">
      <c r="B13" s="364" t="s">
        <v>1</v>
      </c>
      <c r="C13" s="214" t="s">
        <v>98</v>
      </c>
      <c r="D13" s="215">
        <f>VALUE('1103'!L15)</f>
        <v>146.98642533936649</v>
      </c>
      <c r="E13" s="215">
        <f>VALUE('1103'!L26)</f>
        <v>162.27564102564102</v>
      </c>
      <c r="F13" s="215">
        <f>VALUE('1103'!L37)</f>
        <v>81.982570806100227</v>
      </c>
      <c r="G13" s="215">
        <f>VALUE('1103'!L48)</f>
        <v>93.033333333333331</v>
      </c>
      <c r="H13" s="215">
        <f>VALUE('1103'!L58)</f>
        <v>86.715399610136458</v>
      </c>
      <c r="I13" s="215">
        <f>VALUE('1103'!L69)</f>
        <v>125.40064102564102</v>
      </c>
      <c r="J13" s="215">
        <f>VALUE('1103'!L79)</f>
        <v>112.70032051282051</v>
      </c>
    </row>
    <row r="14" spans="2:15" ht="39.950000000000003" customHeight="1">
      <c r="B14" s="365"/>
      <c r="C14" s="214" t="s">
        <v>99</v>
      </c>
      <c r="D14" s="215">
        <f>VALUE('1103'!O15)</f>
        <v>129.91248346257885</v>
      </c>
      <c r="E14" s="215">
        <f>VALUE('1103'!O26)</f>
        <v>141.83472727996059</v>
      </c>
      <c r="F14" s="215">
        <f>VALUE('1103'!O37)</f>
        <v>75.920594837261476</v>
      </c>
      <c r="G14" s="215">
        <f>VALUE('1103'!O48)</f>
        <v>73.454545454545439</v>
      </c>
      <c r="H14" s="215">
        <f>VALUE('1103'!O58)</f>
        <v>83.710934930170069</v>
      </c>
      <c r="I14" s="215">
        <f>VALUE('1103'!O69)</f>
        <v>111.49127647714607</v>
      </c>
      <c r="J14" s="215">
        <f>VALUE('1103'!O79)</f>
        <v>98.980932356220109</v>
      </c>
    </row>
    <row r="15" spans="2:15" ht="39.950000000000003" customHeight="1">
      <c r="B15" s="366"/>
      <c r="C15" s="212" t="s">
        <v>100</v>
      </c>
      <c r="D15" s="233">
        <f>D14/D13</f>
        <v>0.88384000878062829</v>
      </c>
      <c r="E15" s="233">
        <f t="shared" ref="E15:J15" si="0">E14/E13</f>
        <v>0.87403584656029443</v>
      </c>
      <c r="F15" s="233">
        <f t="shared" si="0"/>
        <v>0.9260577472841619</v>
      </c>
      <c r="G15" s="233">
        <f t="shared" si="0"/>
        <v>0.78955082896322581</v>
      </c>
      <c r="H15" s="233">
        <f t="shared" si="0"/>
        <v>0.96535258220023024</v>
      </c>
      <c r="I15" s="233">
        <f t="shared" si="0"/>
        <v>0.88908059452701793</v>
      </c>
      <c r="J15" s="233">
        <f t="shared" si="0"/>
        <v>0.8782666447249392</v>
      </c>
    </row>
    <row r="16" spans="2:15" ht="17.25" customHeight="1">
      <c r="B16" s="367" t="s">
        <v>101</v>
      </c>
      <c r="C16" s="212" t="s">
        <v>102</v>
      </c>
      <c r="D16" s="95">
        <f>'1103'!T5</f>
        <v>0.2902777777777778</v>
      </c>
      <c r="E16" s="95">
        <f>'1103'!T16</f>
        <v>0.28958333333333336</v>
      </c>
      <c r="F16" s="95">
        <f>'1103'!T27</f>
        <v>0.29097222222222224</v>
      </c>
      <c r="G16" s="95">
        <f>'1103'!T38</f>
        <v>0.33333333333333331</v>
      </c>
      <c r="H16" s="95">
        <f>'1103'!T49</f>
        <v>0.2902777777777778</v>
      </c>
      <c r="I16" s="95">
        <f>'1103'!T59</f>
        <v>0.29166666666666669</v>
      </c>
      <c r="J16" s="272">
        <f>'1103'!T70</f>
        <v>0.33819444444444446</v>
      </c>
    </row>
    <row r="17" spans="2:10" ht="17.25" customHeight="1">
      <c r="B17" s="368"/>
      <c r="C17" s="212" t="s">
        <v>103</v>
      </c>
      <c r="D17" s="20">
        <v>0.62916666666666665</v>
      </c>
      <c r="E17" s="41">
        <v>0.62013888888888891</v>
      </c>
      <c r="F17" s="41">
        <v>0.57916666666666672</v>
      </c>
      <c r="G17" s="59">
        <v>0.59722222222222221</v>
      </c>
      <c r="H17" s="44">
        <v>0.62777777777777777</v>
      </c>
      <c r="I17" s="20">
        <v>0.625</v>
      </c>
      <c r="J17" s="20">
        <v>0.50347222222222221</v>
      </c>
    </row>
    <row r="18" spans="2:10" ht="17.25" customHeight="1">
      <c r="B18" s="354" t="s">
        <v>104</v>
      </c>
      <c r="C18" s="355"/>
      <c r="D18" s="216">
        <f>VALUE('1103'!M15)</f>
        <v>13.8</v>
      </c>
      <c r="E18" s="216">
        <f>VALUE('1103'!M26)</f>
        <v>12.5</v>
      </c>
      <c r="F18" s="216">
        <f>VALUE('1103'!M37)</f>
        <v>15</v>
      </c>
      <c r="G18" s="216">
        <f>VALUE('1103'!M48)</f>
        <v>15</v>
      </c>
      <c r="H18" s="216">
        <f>VALUE('1103'!M58)</f>
        <v>18.333333333333332</v>
      </c>
      <c r="I18" s="216">
        <f>VALUE('1103'!M69)</f>
        <v>12.5</v>
      </c>
      <c r="J18" s="216">
        <f>VALUE('1103'!M79)</f>
        <v>13.25</v>
      </c>
    </row>
    <row r="19" spans="2:10" ht="17.25" customHeight="1">
      <c r="B19" s="354" t="s">
        <v>105</v>
      </c>
      <c r="C19" s="355"/>
      <c r="D19" s="213" t="s">
        <v>106</v>
      </c>
      <c r="E19" s="213" t="s">
        <v>106</v>
      </c>
      <c r="F19" s="213" t="s">
        <v>107</v>
      </c>
      <c r="G19" s="213" t="s">
        <v>107</v>
      </c>
      <c r="H19" s="213" t="s">
        <v>107</v>
      </c>
      <c r="I19" s="213" t="s">
        <v>108</v>
      </c>
      <c r="J19" s="213" t="s">
        <v>107</v>
      </c>
    </row>
    <row r="20" spans="2:10" ht="17.25" customHeight="1">
      <c r="B20" s="354" t="s">
        <v>110</v>
      </c>
      <c r="C20" s="355"/>
      <c r="D20" s="213"/>
      <c r="E20" s="213"/>
      <c r="F20" s="213"/>
      <c r="G20" s="217"/>
      <c r="H20" s="213" t="s">
        <v>109</v>
      </c>
      <c r="I20" s="213"/>
      <c r="J20" s="213"/>
    </row>
    <row r="21" spans="2:10" ht="17.25" customHeight="1">
      <c r="B21" s="354" t="s">
        <v>111</v>
      </c>
      <c r="C21" s="355"/>
      <c r="D21" s="273"/>
      <c r="E21" s="273"/>
      <c r="F21" s="273"/>
      <c r="G21" s="273"/>
      <c r="H21" s="273"/>
      <c r="I21" s="273"/>
      <c r="J21" s="273"/>
    </row>
    <row r="22" spans="2:10">
      <c r="B22" s="370"/>
      <c r="C22" s="370"/>
    </row>
  </sheetData>
  <mergeCells count="37">
    <mergeCell ref="J5:K5"/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J6:K6"/>
    <mergeCell ref="D7:E7"/>
    <mergeCell ref="F7:G7"/>
    <mergeCell ref="H7:I7"/>
    <mergeCell ref="J7:K7"/>
    <mergeCell ref="H8:I8"/>
    <mergeCell ref="B18:C18"/>
    <mergeCell ref="B19:C19"/>
    <mergeCell ref="D6:E6"/>
    <mergeCell ref="F6:G6"/>
    <mergeCell ref="H6:I6"/>
    <mergeCell ref="D10:J10"/>
    <mergeCell ref="B11:C12"/>
    <mergeCell ref="B13:B15"/>
    <mergeCell ref="B16:B17"/>
    <mergeCell ref="B10:C10"/>
    <mergeCell ref="J8:K8"/>
    <mergeCell ref="B5:C8"/>
    <mergeCell ref="D5:E5"/>
    <mergeCell ref="F5:G5"/>
    <mergeCell ref="H5:I5"/>
    <mergeCell ref="B20:C20"/>
    <mergeCell ref="B21:C21"/>
    <mergeCell ref="B22:C22"/>
    <mergeCell ref="D8:E8"/>
    <mergeCell ref="F8:G8"/>
  </mergeCells>
  <phoneticPr fontId="2" type="noConversion"/>
  <conditionalFormatting sqref="D15:J15">
    <cfRule type="cellIs" dxfId="279" priority="1" operator="lessThan">
      <formula>0.8</formula>
    </cfRule>
  </conditionalFormatting>
  <pageMargins left="0.7" right="0.7" top="0.75" bottom="0.75" header="0.3" footer="0.3"/>
  <pageSetup paperSize="8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7BCBC-0A82-4A37-94EF-B5F5421BED82}">
  <sheetPr>
    <tabColor theme="9" tint="0.79998168889431442"/>
    <pageSetUpPr fitToPage="1"/>
  </sheetPr>
  <dimension ref="A1:AF92"/>
  <sheetViews>
    <sheetView zoomScale="69" zoomScaleNormal="69" workbookViewId="0">
      <pane xSplit="5" ySplit="4" topLeftCell="F17" activePane="bottomRight" state="frozen"/>
      <selection activeCell="U20" sqref="U20"/>
      <selection pane="topRight" activeCell="U20" sqref="U20"/>
      <selection pane="bottomLeft" activeCell="U20" sqref="U20"/>
      <selection pane="bottomRight" activeCell="H38" sqref="H38:H39"/>
    </sheetView>
  </sheetViews>
  <sheetFormatPr defaultColWidth="7.875" defaultRowHeight="15.75"/>
  <cols>
    <col min="1" max="1" width="15" style="6" customWidth="1"/>
    <col min="2" max="2" width="12.875" style="6" customWidth="1"/>
    <col min="3" max="3" width="12.875" style="6" hidden="1" customWidth="1"/>
    <col min="4" max="4" width="26.125" style="6" bestFit="1" customWidth="1"/>
    <col min="5" max="5" width="15" style="6" customWidth="1"/>
    <col min="6" max="6" width="8.875" style="6" bestFit="1" customWidth="1"/>
    <col min="7" max="7" width="20.125" style="6" bestFit="1" customWidth="1"/>
    <col min="8" max="8" width="16.375" style="6" bestFit="1" customWidth="1"/>
    <col min="9" max="9" width="10.875" style="6" bestFit="1" customWidth="1"/>
    <col min="10" max="10" width="10.125" style="6" bestFit="1" customWidth="1"/>
    <col min="11" max="11" width="10.625" style="6" customWidth="1"/>
    <col min="12" max="12" width="14.5" style="6" customWidth="1"/>
    <col min="13" max="13" width="10.125" style="6" bestFit="1" customWidth="1"/>
    <col min="14" max="14" width="10.25" style="6" bestFit="1" customWidth="1"/>
    <col min="15" max="15" width="11.875" style="6" customWidth="1"/>
    <col min="16" max="17" width="9.125" style="6" bestFit="1" customWidth="1"/>
    <col min="18" max="18" width="9.125" style="6" customWidth="1"/>
    <col min="19" max="19" width="8.375" style="6" customWidth="1"/>
    <col min="20" max="21" width="9.375" style="6" bestFit="1" customWidth="1"/>
    <col min="22" max="22" width="10.625" style="6" customWidth="1"/>
    <col min="23" max="23" width="8.625" style="92" customWidth="1"/>
    <col min="24" max="24" width="7.5" style="6" bestFit="1" customWidth="1"/>
    <col min="25" max="25" width="6.875" style="6" customWidth="1"/>
    <col min="26" max="26" width="12.625" style="6" customWidth="1"/>
    <col min="27" max="27" width="33.375" style="6" customWidth="1"/>
    <col min="28" max="28" width="13.125" style="6" bestFit="1" customWidth="1"/>
    <col min="29" max="29" width="10.375" style="6" customWidth="1"/>
    <col min="30" max="30" width="9.125" style="6" customWidth="1"/>
    <col min="31" max="31" width="7.875" style="6"/>
    <col min="32" max="32" width="24.5" style="6" bestFit="1" customWidth="1"/>
    <col min="33" max="16384" width="7.875" style="6"/>
  </cols>
  <sheetData>
    <row r="1" spans="1:30" ht="21">
      <c r="A1" s="2" t="s">
        <v>72</v>
      </c>
      <c r="B1" s="2"/>
      <c r="C1" s="2"/>
      <c r="D1" s="176" t="s">
        <v>8</v>
      </c>
      <c r="E1" s="3">
        <f>SUM(G5:G79)</f>
        <v>56473</v>
      </c>
      <c r="F1" s="177" t="s">
        <v>9</v>
      </c>
      <c r="G1" s="4">
        <f>SUM(H5:H79)</f>
        <v>2731807.38</v>
      </c>
      <c r="H1" s="175" t="s">
        <v>10</v>
      </c>
      <c r="I1" s="5">
        <f>M15+M26+M48+M58+M69+M79+M37</f>
        <v>100.38333333333333</v>
      </c>
      <c r="J1" s="371" t="s">
        <v>11</v>
      </c>
      <c r="K1" s="371"/>
      <c r="L1" s="371"/>
      <c r="M1" s="371" t="s">
        <v>12</v>
      </c>
      <c r="N1" s="371"/>
      <c r="O1" s="371"/>
      <c r="P1" s="371" t="s">
        <v>13</v>
      </c>
      <c r="Q1" s="371"/>
      <c r="R1" s="371"/>
      <c r="S1" s="371"/>
      <c r="T1" s="371" t="s">
        <v>14</v>
      </c>
      <c r="U1" s="371"/>
      <c r="V1" s="371"/>
      <c r="W1" s="371"/>
      <c r="X1" s="371"/>
      <c r="Y1" s="371"/>
      <c r="Z1" s="371" t="s">
        <v>15</v>
      </c>
      <c r="AA1" s="371"/>
      <c r="AB1" s="371" t="s">
        <v>16</v>
      </c>
      <c r="AC1" s="372"/>
      <c r="AD1" s="372"/>
    </row>
    <row r="2" spans="1:30" ht="18.75">
      <c r="A2" s="409" t="s">
        <v>167</v>
      </c>
      <c r="B2" s="409"/>
      <c r="C2" s="176"/>
      <c r="D2" s="176" t="s">
        <v>1</v>
      </c>
      <c r="E2" s="7">
        <f>AVERAGE(O15,O26,O37,O48,O58,O69,O79)</f>
        <v>102.18649925684038</v>
      </c>
      <c r="F2" s="8" t="s">
        <v>2</v>
      </c>
      <c r="G2" s="9">
        <f>G1/E1</f>
        <v>48.373689727834538</v>
      </c>
      <c r="H2" s="175" t="s">
        <v>17</v>
      </c>
      <c r="I2" s="175">
        <f>COUNT(I5:I79)</f>
        <v>0</v>
      </c>
      <c r="J2" s="371"/>
      <c r="K2" s="371"/>
      <c r="L2" s="371"/>
      <c r="M2" s="371"/>
      <c r="N2" s="371"/>
      <c r="O2" s="371"/>
      <c r="P2" s="371"/>
      <c r="Q2" s="371"/>
      <c r="R2" s="371"/>
      <c r="S2" s="371"/>
      <c r="T2" s="371"/>
      <c r="U2" s="371"/>
      <c r="V2" s="371"/>
      <c r="W2" s="371"/>
      <c r="X2" s="371"/>
      <c r="Y2" s="371"/>
      <c r="Z2" s="371"/>
      <c r="AA2" s="371"/>
      <c r="AB2" s="372"/>
      <c r="AC2" s="372"/>
      <c r="AD2" s="372"/>
    </row>
    <row r="3" spans="1:30">
      <c r="A3" s="405" t="s">
        <v>18</v>
      </c>
      <c r="B3" s="405" t="s">
        <v>19</v>
      </c>
      <c r="C3" s="177"/>
      <c r="D3" s="405" t="s">
        <v>20</v>
      </c>
      <c r="E3" s="405"/>
      <c r="F3" s="379" t="s">
        <v>21</v>
      </c>
      <c r="G3" s="389" t="s">
        <v>22</v>
      </c>
      <c r="H3" s="379" t="s">
        <v>23</v>
      </c>
      <c r="I3" s="381" t="s">
        <v>24</v>
      </c>
      <c r="J3" s="383" t="s">
        <v>25</v>
      </c>
      <c r="K3" s="385" t="s">
        <v>26</v>
      </c>
      <c r="L3" s="387" t="s">
        <v>1</v>
      </c>
      <c r="M3" s="389" t="s">
        <v>25</v>
      </c>
      <c r="N3" s="385" t="s">
        <v>26</v>
      </c>
      <c r="O3" s="387" t="s">
        <v>1</v>
      </c>
      <c r="P3" s="383" t="s">
        <v>25</v>
      </c>
      <c r="Q3" s="387" t="s">
        <v>1</v>
      </c>
      <c r="R3" s="392" t="s">
        <v>27</v>
      </c>
      <c r="S3" s="394" t="s">
        <v>28</v>
      </c>
      <c r="T3" s="389" t="s">
        <v>4</v>
      </c>
      <c r="U3" s="389"/>
      <c r="V3" s="408" t="s">
        <v>29</v>
      </c>
      <c r="W3" s="381" t="s">
        <v>30</v>
      </c>
      <c r="X3" s="389" t="s">
        <v>31</v>
      </c>
      <c r="Y3" s="389"/>
      <c r="Z3" s="415" t="s">
        <v>71</v>
      </c>
      <c r="AA3" s="416"/>
      <c r="AB3" s="385" t="s">
        <v>26</v>
      </c>
      <c r="AC3" s="392" t="s">
        <v>27</v>
      </c>
      <c r="AD3" s="394" t="s">
        <v>28</v>
      </c>
    </row>
    <row r="4" spans="1:30" ht="16.5" thickBot="1">
      <c r="A4" s="379"/>
      <c r="B4" s="379"/>
      <c r="C4" s="178"/>
      <c r="D4" s="379"/>
      <c r="E4" s="379"/>
      <c r="F4" s="380"/>
      <c r="G4" s="390"/>
      <c r="H4" s="380"/>
      <c r="I4" s="382"/>
      <c r="J4" s="384"/>
      <c r="K4" s="386"/>
      <c r="L4" s="388"/>
      <c r="M4" s="390"/>
      <c r="N4" s="386"/>
      <c r="O4" s="388"/>
      <c r="P4" s="384"/>
      <c r="Q4" s="388"/>
      <c r="R4" s="393"/>
      <c r="S4" s="395"/>
      <c r="T4" s="179" t="s">
        <v>5</v>
      </c>
      <c r="U4" s="179" t="s">
        <v>6</v>
      </c>
      <c r="V4" s="390"/>
      <c r="W4" s="382"/>
      <c r="X4" s="178" t="s">
        <v>32</v>
      </c>
      <c r="Y4" s="178" t="s">
        <v>33</v>
      </c>
      <c r="Z4" s="417"/>
      <c r="AA4" s="417"/>
      <c r="AB4" s="386"/>
      <c r="AC4" s="393"/>
      <c r="AD4" s="395"/>
    </row>
    <row r="5" spans="1:30" ht="15" customHeight="1">
      <c r="A5" s="411" t="s">
        <v>66</v>
      </c>
      <c r="B5" s="199" t="str">
        <f>VLOOKUP(D5,廠價表!$C$1:$E$39,2,0)</f>
        <v>義大利麵</v>
      </c>
      <c r="C5" s="102"/>
      <c r="D5" s="103" t="s">
        <v>127</v>
      </c>
      <c r="E5" s="104"/>
      <c r="F5" s="199">
        <f>VLOOKUP(D5,廠價表!$C$1:$E$39,3,0)</f>
        <v>57.21</v>
      </c>
      <c r="G5" s="105">
        <v>1799</v>
      </c>
      <c r="H5" s="106">
        <f>F5*G5</f>
        <v>102920.79000000001</v>
      </c>
      <c r="I5" s="107"/>
      <c r="J5" s="108">
        <f>VLOOKUP(D5,產線配置圖!$A$2:$C$38,2,0)</f>
        <v>13</v>
      </c>
      <c r="K5" s="105">
        <f>VLOOKUP(D5,產線配置圖!$A$2:$C$38,3,0)</f>
        <v>2105</v>
      </c>
      <c r="L5" s="109">
        <f>K5/J5</f>
        <v>161.92307692307693</v>
      </c>
      <c r="M5" s="110">
        <v>13</v>
      </c>
      <c r="N5" s="105">
        <f>G5/W5*60</f>
        <v>1927.5000000000014</v>
      </c>
      <c r="O5" s="109">
        <f>N5/M5</f>
        <v>148.26923076923089</v>
      </c>
      <c r="P5" s="111">
        <f>M5-J5</f>
        <v>0</v>
      </c>
      <c r="Q5" s="112">
        <f>O5-L5</f>
        <v>-13.653846153846047</v>
      </c>
      <c r="R5" s="184">
        <f>O5/L5</f>
        <v>0.91567695961995321</v>
      </c>
      <c r="S5" s="396">
        <f>R15</f>
        <v>0.88384000878062829</v>
      </c>
      <c r="T5" s="94">
        <v>0.2902777777777778</v>
      </c>
      <c r="U5" s="94">
        <v>0.32916666666666666</v>
      </c>
      <c r="V5" s="194"/>
      <c r="W5" s="107">
        <f t="shared" ref="W5:W14" si="0">(U5-T5)*24*60</f>
        <v>55.999999999999957</v>
      </c>
      <c r="X5" s="188"/>
      <c r="Y5" s="188"/>
      <c r="Z5" s="400"/>
      <c r="AA5" s="400"/>
      <c r="AB5" s="111">
        <f>N5-K5</f>
        <v>-177.49999999999864</v>
      </c>
      <c r="AC5" s="184">
        <f>N5/K5</f>
        <v>0.9156769596199531</v>
      </c>
      <c r="AD5" s="401">
        <f>AC15</f>
        <v>0.88844924205427378</v>
      </c>
    </row>
    <row r="6" spans="1:30" ht="15" customHeight="1">
      <c r="A6" s="412"/>
      <c r="B6" s="56" t="str">
        <f>VLOOKUP(D6,廠價表!$C$1:$E$39,2,0)</f>
        <v>義大利麵</v>
      </c>
      <c r="C6" s="10"/>
      <c r="D6" s="11" t="s">
        <v>153</v>
      </c>
      <c r="E6" s="86"/>
      <c r="F6" s="56">
        <f>VLOOKUP(D6,廠價表!$C$1:$E$39,3,0)</f>
        <v>50.67</v>
      </c>
      <c r="G6" s="25">
        <v>1398</v>
      </c>
      <c r="H6" s="15">
        <f t="shared" ref="H6:H14" si="1">F6*G6</f>
        <v>70836.66</v>
      </c>
      <c r="I6" s="182"/>
      <c r="J6" s="16">
        <f>VLOOKUP(D6,產線配置圖!$A$2:$C$38,2,0)</f>
        <v>13</v>
      </c>
      <c r="K6" s="14">
        <f>VLOOKUP(D6,產線配置圖!$A$2:$C$38,3,0)</f>
        <v>2000</v>
      </c>
      <c r="L6" s="17">
        <f>K6/J6</f>
        <v>153.84615384615384</v>
      </c>
      <c r="M6" s="180">
        <v>13</v>
      </c>
      <c r="N6" s="14">
        <f>G6/W6*60</f>
        <v>1784.68085106383</v>
      </c>
      <c r="O6" s="17">
        <f>N6/M6</f>
        <v>137.28314238952538</v>
      </c>
      <c r="P6" s="18">
        <f>M6-J6</f>
        <v>0</v>
      </c>
      <c r="Q6" s="19">
        <f>O6-L6</f>
        <v>-16.563011456628459</v>
      </c>
      <c r="R6" s="185">
        <f>O6/L6</f>
        <v>0.89234042553191506</v>
      </c>
      <c r="S6" s="397"/>
      <c r="T6" s="95">
        <v>0.33680555555555558</v>
      </c>
      <c r="U6" s="95">
        <v>0.36944444444444446</v>
      </c>
      <c r="V6" s="177">
        <f>(T6-U5)*24*60</f>
        <v>11.000000000000041</v>
      </c>
      <c r="W6" s="182">
        <f t="shared" si="0"/>
        <v>46.999999999999993</v>
      </c>
      <c r="X6" s="22"/>
      <c r="Y6" s="22"/>
      <c r="Z6" s="381"/>
      <c r="AA6" s="381"/>
      <c r="AB6" s="18">
        <f>N6-K6</f>
        <v>-215.31914893617</v>
      </c>
      <c r="AC6" s="185">
        <f>N6/K6</f>
        <v>0.89234042553191495</v>
      </c>
      <c r="AD6" s="402"/>
    </row>
    <row r="7" spans="1:30" ht="15" customHeight="1">
      <c r="A7" s="412"/>
      <c r="B7" s="56" t="str">
        <f>VLOOKUP(D7,廠價表!$C$1:$E$39,2,0)</f>
        <v>義大利麵</v>
      </c>
      <c r="C7" s="10"/>
      <c r="D7" s="11" t="s">
        <v>139</v>
      </c>
      <c r="E7" s="86"/>
      <c r="F7" s="56">
        <f>VLOOKUP(D7,廠價表!$C$1:$E$39,3,0)</f>
        <v>57.21</v>
      </c>
      <c r="G7" s="25">
        <v>2432</v>
      </c>
      <c r="H7" s="15">
        <f t="shared" si="1"/>
        <v>139134.72</v>
      </c>
      <c r="I7" s="182"/>
      <c r="J7" s="16">
        <f>VLOOKUP(D7,產線配置圖!$A$2:$C$38,2,0)</f>
        <v>17</v>
      </c>
      <c r="K7" s="14">
        <f>VLOOKUP(D7,產線配置圖!$A$2:$C$38,3,0)</f>
        <v>1895</v>
      </c>
      <c r="L7" s="17">
        <f>K7/J7</f>
        <v>111.47058823529412</v>
      </c>
      <c r="M7" s="180">
        <v>17</v>
      </c>
      <c r="N7" s="14">
        <f>G7/W7*60</f>
        <v>1870.7692307692296</v>
      </c>
      <c r="O7" s="17">
        <f>N7/M7</f>
        <v>110.04524886877822</v>
      </c>
      <c r="P7" s="18">
        <f>M7-J7</f>
        <v>0</v>
      </c>
      <c r="Q7" s="19">
        <f>O7-L7</f>
        <v>-1.4253393665158995</v>
      </c>
      <c r="R7" s="185">
        <f>O7/L7</f>
        <v>0.98721331439009485</v>
      </c>
      <c r="S7" s="397"/>
      <c r="T7" s="95">
        <v>0.37638888888888888</v>
      </c>
      <c r="U7" s="95">
        <v>0.43055555555555558</v>
      </c>
      <c r="V7" s="177">
        <f>(T7-U6)*24*60</f>
        <v>9.9999999999999645</v>
      </c>
      <c r="W7" s="182">
        <f t="shared" si="0"/>
        <v>78.000000000000043</v>
      </c>
      <c r="X7" s="22"/>
      <c r="Y7" s="22"/>
      <c r="Z7" s="405"/>
      <c r="AA7" s="405"/>
      <c r="AB7" s="18">
        <f>N7-K7</f>
        <v>-24.23076923077042</v>
      </c>
      <c r="AC7" s="185">
        <f>N7/K7</f>
        <v>0.98721331439009474</v>
      </c>
      <c r="AD7" s="402"/>
    </row>
    <row r="8" spans="1:30" ht="15" customHeight="1">
      <c r="A8" s="412"/>
      <c r="B8" s="56" t="str">
        <f>VLOOKUP(D8,廠價表!$C$1:$E$39,2,0)</f>
        <v>義大利麵</v>
      </c>
      <c r="C8" s="10"/>
      <c r="D8" s="11" t="s">
        <v>141</v>
      </c>
      <c r="E8" s="86"/>
      <c r="F8" s="56">
        <f>VLOOKUP(D8,廠價表!$C$1:$E$39,3,0)</f>
        <v>49.14</v>
      </c>
      <c r="G8" s="25">
        <v>1880</v>
      </c>
      <c r="H8" s="15">
        <f t="shared" si="1"/>
        <v>92383.2</v>
      </c>
      <c r="I8" s="182"/>
      <c r="J8" s="16">
        <f>VLOOKUP(D8,產線配置圖!$A$2:$C$38,2,0)</f>
        <v>13</v>
      </c>
      <c r="K8" s="14">
        <f>VLOOKUP(D8,產線配置圖!$A$2:$C$38,3,0)</f>
        <v>2000</v>
      </c>
      <c r="L8" s="17">
        <f>K8/J8</f>
        <v>153.84615384615384</v>
      </c>
      <c r="M8" s="180">
        <v>13</v>
      </c>
      <c r="N8" s="14">
        <f>G8/W8*60</f>
        <v>1819.3548387096769</v>
      </c>
      <c r="O8" s="17">
        <f>N8/M8</f>
        <v>139.95037220843668</v>
      </c>
      <c r="P8" s="18">
        <f>M8-J8</f>
        <v>0</v>
      </c>
      <c r="Q8" s="19">
        <f>O8-L8</f>
        <v>-13.895781637717164</v>
      </c>
      <c r="R8" s="185">
        <f>O8/L8</f>
        <v>0.90967741935483848</v>
      </c>
      <c r="S8" s="397"/>
      <c r="T8" s="79">
        <v>0.43611111111111112</v>
      </c>
      <c r="U8" s="79">
        <v>0.47916666666666669</v>
      </c>
      <c r="V8" s="177">
        <f>(T8-U7)*24*60</f>
        <v>7.9999999999999716</v>
      </c>
      <c r="W8" s="182">
        <f t="shared" si="0"/>
        <v>62.000000000000021</v>
      </c>
      <c r="X8" s="22"/>
      <c r="Y8" s="22"/>
      <c r="Z8" s="406"/>
      <c r="AA8" s="406"/>
      <c r="AB8" s="18">
        <f>N8-K8</f>
        <v>-180.64516129032313</v>
      </c>
      <c r="AC8" s="185">
        <f>N8/K8</f>
        <v>0.90967741935483848</v>
      </c>
      <c r="AD8" s="402"/>
    </row>
    <row r="9" spans="1:30" ht="15" customHeight="1">
      <c r="A9" s="413"/>
      <c r="B9" s="56" t="str">
        <f>VLOOKUP(D9,廠價表!$C$1:$E$39,2,0)</f>
        <v>義大利麵</v>
      </c>
      <c r="C9" s="10"/>
      <c r="D9" s="11" t="s">
        <v>141</v>
      </c>
      <c r="E9" s="86"/>
      <c r="F9" s="56">
        <f>VLOOKUP(D9,廠價表!$C$1:$E$39,3,0)</f>
        <v>49.14</v>
      </c>
      <c r="G9" s="25">
        <v>3162</v>
      </c>
      <c r="H9" s="15">
        <f t="shared" si="1"/>
        <v>155380.68</v>
      </c>
      <c r="I9" s="182"/>
      <c r="J9" s="16">
        <f>VLOOKUP(D9,產線配置圖!$A$2:$C$38,2,0)</f>
        <v>13</v>
      </c>
      <c r="K9" s="14">
        <f>VLOOKUP(D9,產線配置圖!$A$2:$C$38,3,0)</f>
        <v>2000</v>
      </c>
      <c r="L9" s="17">
        <f>K9/J9</f>
        <v>153.84615384615384</v>
      </c>
      <c r="M9" s="180">
        <v>13</v>
      </c>
      <c r="N9" s="14">
        <f>G9/W9*60</f>
        <v>1482.1874999999995</v>
      </c>
      <c r="O9" s="17">
        <f>N9/M9</f>
        <v>114.01442307692304</v>
      </c>
      <c r="P9" s="18">
        <f>M9-J9</f>
        <v>0</v>
      </c>
      <c r="Q9" s="19">
        <f>O9-L9</f>
        <v>-39.831730769230802</v>
      </c>
      <c r="R9" s="185">
        <f>O9/L9</f>
        <v>0.74109374999999977</v>
      </c>
      <c r="S9" s="398"/>
      <c r="T9" s="20">
        <v>0.54027777777777775</v>
      </c>
      <c r="U9" s="20">
        <v>0.62916666666666665</v>
      </c>
      <c r="V9" s="177">
        <f>(T9-U8)*24*60</f>
        <v>87.999999999999929</v>
      </c>
      <c r="W9" s="24">
        <f t="shared" si="0"/>
        <v>128.00000000000003</v>
      </c>
      <c r="X9" s="22">
        <v>0.4861111111111111</v>
      </c>
      <c r="Y9" s="263">
        <v>0.52777777777777779</v>
      </c>
      <c r="Z9" s="407" t="s">
        <v>168</v>
      </c>
      <c r="AA9" s="407"/>
      <c r="AB9" s="18"/>
      <c r="AC9" s="185"/>
      <c r="AD9" s="403"/>
    </row>
    <row r="10" spans="1:30" ht="15" customHeight="1">
      <c r="A10" s="413"/>
      <c r="B10" s="177"/>
      <c r="C10" s="23"/>
      <c r="D10" s="11"/>
      <c r="E10" s="12"/>
      <c r="F10" s="13"/>
      <c r="G10" s="14"/>
      <c r="H10" s="15"/>
      <c r="I10" s="177"/>
      <c r="J10" s="16"/>
      <c r="K10" s="14"/>
      <c r="L10" s="17"/>
      <c r="M10" s="180"/>
      <c r="N10" s="14"/>
      <c r="O10" s="17"/>
      <c r="P10" s="18"/>
      <c r="Q10" s="19"/>
      <c r="R10" s="185"/>
      <c r="S10" s="398"/>
      <c r="T10" s="20"/>
      <c r="U10" s="20"/>
      <c r="V10" s="177"/>
      <c r="W10" s="182">
        <f t="shared" si="0"/>
        <v>0</v>
      </c>
      <c r="X10" s="22"/>
      <c r="Y10" s="263"/>
      <c r="Z10" s="419"/>
      <c r="AA10" s="418"/>
      <c r="AB10" s="264"/>
      <c r="AC10" s="185"/>
      <c r="AD10" s="403"/>
    </row>
    <row r="11" spans="1:30" ht="15" customHeight="1">
      <c r="A11" s="413"/>
      <c r="B11" s="177"/>
      <c r="C11" s="183"/>
      <c r="D11" s="11"/>
      <c r="E11" s="12"/>
      <c r="F11" s="13"/>
      <c r="G11" s="14"/>
      <c r="H11" s="15">
        <f t="shared" si="1"/>
        <v>0</v>
      </c>
      <c r="I11" s="177"/>
      <c r="J11" s="16"/>
      <c r="K11" s="14"/>
      <c r="L11" s="17"/>
      <c r="M11" s="180"/>
      <c r="N11" s="25"/>
      <c r="O11" s="17"/>
      <c r="P11" s="18"/>
      <c r="Q11" s="19"/>
      <c r="R11" s="185"/>
      <c r="S11" s="398"/>
      <c r="T11" s="20"/>
      <c r="U11" s="20"/>
      <c r="V11" s="177"/>
      <c r="W11" s="24">
        <f t="shared" si="0"/>
        <v>0</v>
      </c>
      <c r="X11" s="22"/>
      <c r="Y11" s="263"/>
      <c r="Z11" s="419"/>
      <c r="AA11" s="418"/>
      <c r="AB11" s="264"/>
      <c r="AC11" s="185"/>
      <c r="AD11" s="403"/>
    </row>
    <row r="12" spans="1:30" ht="15" customHeight="1">
      <c r="A12" s="413"/>
      <c r="B12" s="26"/>
      <c r="C12" s="27"/>
      <c r="D12" s="28"/>
      <c r="E12" s="29"/>
      <c r="F12" s="13"/>
      <c r="G12" s="30"/>
      <c r="H12" s="15">
        <f t="shared" si="1"/>
        <v>0</v>
      </c>
      <c r="I12" s="178"/>
      <c r="J12" s="31"/>
      <c r="K12" s="30"/>
      <c r="L12" s="17"/>
      <c r="M12" s="181"/>
      <c r="N12" s="25"/>
      <c r="O12" s="17"/>
      <c r="P12" s="18"/>
      <c r="Q12" s="19"/>
      <c r="R12" s="185"/>
      <c r="S12" s="398"/>
      <c r="T12" s="32"/>
      <c r="U12" s="32"/>
      <c r="V12" s="178"/>
      <c r="W12" s="24">
        <f t="shared" si="0"/>
        <v>0</v>
      </c>
      <c r="X12" s="33"/>
      <c r="Y12" s="33"/>
      <c r="Z12" s="407"/>
      <c r="AA12" s="407"/>
      <c r="AB12" s="34"/>
      <c r="AC12" s="186"/>
      <c r="AD12" s="403"/>
    </row>
    <row r="13" spans="1:30" ht="15" customHeight="1">
      <c r="A13" s="413"/>
      <c r="B13" s="26"/>
      <c r="C13" s="27"/>
      <c r="D13" s="28"/>
      <c r="E13" s="29"/>
      <c r="F13" s="13"/>
      <c r="G13" s="30"/>
      <c r="H13" s="15">
        <f t="shared" si="1"/>
        <v>0</v>
      </c>
      <c r="I13" s="178"/>
      <c r="J13" s="31"/>
      <c r="K13" s="30"/>
      <c r="L13" s="17"/>
      <c r="M13" s="181"/>
      <c r="N13" s="25"/>
      <c r="O13" s="17"/>
      <c r="P13" s="18"/>
      <c r="Q13" s="19"/>
      <c r="R13" s="185"/>
      <c r="S13" s="398"/>
      <c r="T13" s="32"/>
      <c r="U13" s="32"/>
      <c r="V13" s="178"/>
      <c r="W13" s="24">
        <f t="shared" si="0"/>
        <v>0</v>
      </c>
      <c r="X13" s="33"/>
      <c r="Y13" s="33"/>
      <c r="Z13" s="419"/>
      <c r="AA13" s="418"/>
      <c r="AB13" s="34"/>
      <c r="AC13" s="186"/>
      <c r="AD13" s="403"/>
    </row>
    <row r="14" spans="1:30" ht="15" customHeight="1">
      <c r="A14" s="413"/>
      <c r="B14" s="26"/>
      <c r="C14" s="27"/>
      <c r="D14" s="28"/>
      <c r="E14" s="29"/>
      <c r="F14" s="13"/>
      <c r="G14" s="30"/>
      <c r="H14" s="15">
        <f t="shared" si="1"/>
        <v>0</v>
      </c>
      <c r="I14" s="178"/>
      <c r="J14" s="31"/>
      <c r="K14" s="30"/>
      <c r="L14" s="17"/>
      <c r="M14" s="181"/>
      <c r="N14" s="25"/>
      <c r="O14" s="17"/>
      <c r="P14" s="18"/>
      <c r="Q14" s="19"/>
      <c r="R14" s="185"/>
      <c r="S14" s="398"/>
      <c r="T14" s="32"/>
      <c r="U14" s="32"/>
      <c r="V14" s="178"/>
      <c r="W14" s="24">
        <f t="shared" si="0"/>
        <v>0</v>
      </c>
      <c r="X14" s="33"/>
      <c r="Y14" s="33"/>
      <c r="Z14" s="419"/>
      <c r="AA14" s="418"/>
      <c r="AB14" s="34"/>
      <c r="AC14" s="186"/>
      <c r="AD14" s="403"/>
    </row>
    <row r="15" spans="1:30" ht="15" customHeight="1" thickBot="1">
      <c r="A15" s="414"/>
      <c r="B15" s="113"/>
      <c r="C15" s="113" t="s">
        <v>34</v>
      </c>
      <c r="D15" s="410" t="s">
        <v>7</v>
      </c>
      <c r="E15" s="410"/>
      <c r="F15" s="114"/>
      <c r="G15" s="115"/>
      <c r="H15" s="116"/>
      <c r="I15" s="117"/>
      <c r="J15" s="118">
        <f t="shared" ref="J15:O15" si="2">AVERAGE(J5:J14)</f>
        <v>13.8</v>
      </c>
      <c r="K15" s="118">
        <f t="shared" si="2"/>
        <v>2000</v>
      </c>
      <c r="L15" s="115">
        <f t="shared" si="2"/>
        <v>146.98642533936649</v>
      </c>
      <c r="M15" s="118">
        <f t="shared" si="2"/>
        <v>13.8</v>
      </c>
      <c r="N15" s="118">
        <f t="shared" si="2"/>
        <v>1776.8984841085476</v>
      </c>
      <c r="O15" s="115">
        <f t="shared" si="2"/>
        <v>129.91248346257885</v>
      </c>
      <c r="P15" s="119">
        <f t="shared" ref="P15:P16" si="3">M15-J15</f>
        <v>0</v>
      </c>
      <c r="Q15" s="120">
        <f t="shared" ref="Q15:Q16" si="4">O15-L15</f>
        <v>-17.073941876787643</v>
      </c>
      <c r="R15" s="121">
        <f t="shared" ref="R15:R16" si="5">O15/L15</f>
        <v>0.88384000878062829</v>
      </c>
      <c r="S15" s="399"/>
      <c r="T15" s="122"/>
      <c r="U15" s="122"/>
      <c r="V15" s="195"/>
      <c r="W15" s="123"/>
      <c r="X15" s="124"/>
      <c r="Y15" s="124"/>
      <c r="Z15" s="391"/>
      <c r="AA15" s="391"/>
      <c r="AB15" s="119">
        <f>N15-K15</f>
        <v>-223.10151589145244</v>
      </c>
      <c r="AC15" s="187">
        <f>N15/K15</f>
        <v>0.88844924205427378</v>
      </c>
      <c r="AD15" s="404"/>
    </row>
    <row r="16" spans="1:30" ht="15" customHeight="1">
      <c r="A16" s="431" t="s">
        <v>67</v>
      </c>
      <c r="B16" s="199" t="s">
        <v>134</v>
      </c>
      <c r="C16" s="102"/>
      <c r="D16" s="103" t="s">
        <v>127</v>
      </c>
      <c r="E16" s="104"/>
      <c r="F16" s="199">
        <f>VLOOKUP(D16,廠價表!$C$1:$E$39,3,0)</f>
        <v>57.21</v>
      </c>
      <c r="G16" s="265">
        <v>1749</v>
      </c>
      <c r="H16" s="125">
        <f t="shared" ref="H16:H25" si="6">F16*G16</f>
        <v>100060.29000000001</v>
      </c>
      <c r="I16" s="126"/>
      <c r="J16" s="108">
        <f>VLOOKUP(D16,產線配置圖!$A$2:$C$38,2,0)</f>
        <v>13</v>
      </c>
      <c r="K16" s="105">
        <f>VLOOKUP(D16,產線配置圖!$A$2:$C$38,3,0)</f>
        <v>2105</v>
      </c>
      <c r="L16" s="109">
        <f>K16/J16</f>
        <v>161.92307692307693</v>
      </c>
      <c r="M16" s="267">
        <v>13</v>
      </c>
      <c r="N16" s="127">
        <f>G16/W16*60</f>
        <v>1873.9285714285729</v>
      </c>
      <c r="O16" s="128">
        <f>N16/M16</f>
        <v>144.14835164835176</v>
      </c>
      <c r="P16" s="129">
        <f t="shared" si="3"/>
        <v>0</v>
      </c>
      <c r="Q16" s="130">
        <f t="shared" si="4"/>
        <v>-17.774725274725171</v>
      </c>
      <c r="R16" s="189">
        <f t="shared" si="5"/>
        <v>0.89022734984730301</v>
      </c>
      <c r="S16" s="424">
        <f>R26</f>
        <v>0.87403584656029443</v>
      </c>
      <c r="T16" s="268">
        <v>0.28958333333333336</v>
      </c>
      <c r="U16" s="268">
        <v>0.32847222222222222</v>
      </c>
      <c r="V16" s="126"/>
      <c r="W16" s="131">
        <f t="shared" ref="W16:W68" si="7">(U16-T16)*24*60</f>
        <v>55.999999999999957</v>
      </c>
      <c r="X16" s="128"/>
      <c r="Y16" s="128"/>
      <c r="Z16" s="400"/>
      <c r="AA16" s="400"/>
      <c r="AB16" s="111">
        <f>N16-K16</f>
        <v>-231.07142857142708</v>
      </c>
      <c r="AC16" s="184">
        <f>N16/K16</f>
        <v>0.89022734984730301</v>
      </c>
      <c r="AD16" s="401">
        <f>AC26</f>
        <v>0.87663581149738046</v>
      </c>
    </row>
    <row r="17" spans="1:30" ht="15" customHeight="1">
      <c r="A17" s="432"/>
      <c r="B17" s="56" t="s">
        <v>62</v>
      </c>
      <c r="C17" s="10"/>
      <c r="D17" s="11" t="s">
        <v>153</v>
      </c>
      <c r="E17" s="86"/>
      <c r="F17" s="56">
        <f>VLOOKUP(D17,廠價表!$C$1:$E$39,3,0)</f>
        <v>50.67</v>
      </c>
      <c r="G17" s="96">
        <v>4009</v>
      </c>
      <c r="H17" s="15">
        <f>F17*G17</f>
        <v>203136.03</v>
      </c>
      <c r="I17" s="177"/>
      <c r="J17" s="16">
        <f>VLOOKUP(D17,產線配置圖!$A$2:$C$38,2,0)</f>
        <v>13</v>
      </c>
      <c r="K17" s="14">
        <f>VLOOKUP(D17,產線配置圖!$A$2:$C$38,3,0)</f>
        <v>2000</v>
      </c>
      <c r="L17" s="17">
        <f>K17/J17</f>
        <v>153.84615384615384</v>
      </c>
      <c r="M17" s="37">
        <v>13</v>
      </c>
      <c r="N17" s="36">
        <f>G17/W17*60</f>
        <v>1987.9338842975212</v>
      </c>
      <c r="O17" s="38">
        <f>N17/M17</f>
        <v>152.91799109980931</v>
      </c>
      <c r="P17" s="39">
        <f>M17-J17</f>
        <v>0</v>
      </c>
      <c r="Q17" s="40">
        <f>O17-L17</f>
        <v>-0.92816274634452611</v>
      </c>
      <c r="R17" s="190">
        <f>O17/L17</f>
        <v>0.99396694214876058</v>
      </c>
      <c r="S17" s="425"/>
      <c r="T17" s="41">
        <v>0.33611111111111114</v>
      </c>
      <c r="U17" s="41">
        <v>0.4201388888888889</v>
      </c>
      <c r="V17" s="177">
        <f>(T17-U16)*24*60</f>
        <v>11.000000000000041</v>
      </c>
      <c r="W17" s="43">
        <f t="shared" si="7"/>
        <v>120.99999999999997</v>
      </c>
      <c r="X17" s="44"/>
      <c r="Y17" s="44"/>
      <c r="Z17" s="418"/>
      <c r="AA17" s="405"/>
      <c r="AB17" s="18">
        <f>N17-K17</f>
        <v>-12.066115702478783</v>
      </c>
      <c r="AC17" s="185">
        <f>N17/K17</f>
        <v>0.99396694214876058</v>
      </c>
      <c r="AD17" s="402"/>
    </row>
    <row r="18" spans="1:30" ht="15" customHeight="1">
      <c r="A18" s="432"/>
      <c r="B18" s="56" t="s">
        <v>62</v>
      </c>
      <c r="C18" s="10"/>
      <c r="D18" s="11" t="s">
        <v>131</v>
      </c>
      <c r="E18" s="86"/>
      <c r="F18" s="56">
        <f>VLOOKUP(D18,廠價表!$C$1:$E$39,3,0)</f>
        <v>50.39</v>
      </c>
      <c r="G18" s="96">
        <v>2349</v>
      </c>
      <c r="H18" s="15">
        <f>F18*G18</f>
        <v>118366.11</v>
      </c>
      <c r="I18" s="177"/>
      <c r="J18" s="16">
        <f>VLOOKUP(D18,產線配置圖!$A$2:$C$38,2,0)</f>
        <v>12</v>
      </c>
      <c r="K18" s="14">
        <f>VLOOKUP(D18,產線配置圖!$A$2:$C$38,3,0)</f>
        <v>2000</v>
      </c>
      <c r="L18" s="17">
        <f>K18/J18</f>
        <v>166.66666666666666</v>
      </c>
      <c r="M18" s="37">
        <v>12</v>
      </c>
      <c r="N18" s="36">
        <f>G18/W18*60</f>
        <v>1879.1999999999985</v>
      </c>
      <c r="O18" s="38">
        <f>N18/M18</f>
        <v>156.59999999999988</v>
      </c>
      <c r="P18" s="39">
        <f>M18-J18</f>
        <v>0</v>
      </c>
      <c r="Q18" s="40">
        <f>O18-L18</f>
        <v>-10.066666666666777</v>
      </c>
      <c r="R18" s="190">
        <f>O18/L18</f>
        <v>0.93959999999999932</v>
      </c>
      <c r="S18" s="425"/>
      <c r="T18" s="41">
        <v>0.42708333333333331</v>
      </c>
      <c r="U18" s="41">
        <v>0.47916666666666669</v>
      </c>
      <c r="V18" s="177">
        <f>(T18-U17)*24*60</f>
        <v>9.9999999999999645</v>
      </c>
      <c r="W18" s="43">
        <f t="shared" si="7"/>
        <v>75.000000000000057</v>
      </c>
      <c r="X18" s="22"/>
      <c r="Y18" s="22"/>
      <c r="Z18" s="418"/>
      <c r="AA18" s="405"/>
      <c r="AB18" s="18">
        <f>N18-K18</f>
        <v>-120.80000000000155</v>
      </c>
      <c r="AC18" s="185">
        <f>N18/K18</f>
        <v>0.93959999999999921</v>
      </c>
      <c r="AD18" s="402"/>
    </row>
    <row r="19" spans="1:30" ht="15" customHeight="1">
      <c r="A19" s="432"/>
      <c r="B19" s="56" t="s">
        <v>62</v>
      </c>
      <c r="C19" s="23"/>
      <c r="D19" s="11" t="s">
        <v>131</v>
      </c>
      <c r="E19" s="12"/>
      <c r="F19" s="56">
        <f>VLOOKUP(D19,廠價表!$C$1:$E$39,3,0)</f>
        <v>50.39</v>
      </c>
      <c r="G19" s="96">
        <v>2569</v>
      </c>
      <c r="H19" s="15">
        <f t="shared" ref="H19" si="8">F19*G19</f>
        <v>129451.91</v>
      </c>
      <c r="I19" s="177"/>
      <c r="J19" s="16">
        <f>VLOOKUP(D19,產線配置圖!$A$2:$C$38,2,0)</f>
        <v>12</v>
      </c>
      <c r="K19" s="14">
        <f>VLOOKUP(D19,產線配置圖!$A$2:$C$38,3,0)</f>
        <v>2000</v>
      </c>
      <c r="L19" s="17">
        <f t="shared" ref="L19" si="9">K19/J19</f>
        <v>166.66666666666666</v>
      </c>
      <c r="M19" s="37">
        <v>12</v>
      </c>
      <c r="N19" s="36">
        <f>G19/W19*60</f>
        <v>1364.0707964601759</v>
      </c>
      <c r="O19" s="38">
        <f>N19/M19</f>
        <v>113.67256637168133</v>
      </c>
      <c r="P19" s="39">
        <f>M19-J19</f>
        <v>0</v>
      </c>
      <c r="Q19" s="40">
        <f>O19-L19</f>
        <v>-52.99410029498533</v>
      </c>
      <c r="R19" s="190">
        <f>O19/L19</f>
        <v>0.68203539823008796</v>
      </c>
      <c r="S19" s="425"/>
      <c r="T19" s="41">
        <v>0.54166666666666663</v>
      </c>
      <c r="U19" s="41">
        <v>0.62013888888888891</v>
      </c>
      <c r="V19" s="177">
        <f>(T19-U18)*24*60</f>
        <v>89.999999999999915</v>
      </c>
      <c r="W19" s="43">
        <f t="shared" si="7"/>
        <v>113.00000000000009</v>
      </c>
      <c r="X19" s="22">
        <v>0.5</v>
      </c>
      <c r="Y19" s="22">
        <v>0.54166666666666663</v>
      </c>
      <c r="Z19" s="407" t="s">
        <v>168</v>
      </c>
      <c r="AA19" s="407"/>
      <c r="AB19" s="18">
        <f>N19-K19</f>
        <v>-635.92920353982413</v>
      </c>
      <c r="AC19" s="185">
        <f>N19/K19</f>
        <v>0.68203539823008796</v>
      </c>
      <c r="AD19" s="403"/>
    </row>
    <row r="20" spans="1:30" ht="15" customHeight="1">
      <c r="A20" s="432"/>
      <c r="B20" s="56"/>
      <c r="C20" s="23"/>
      <c r="D20" s="11"/>
      <c r="E20" s="12"/>
      <c r="F20" s="56"/>
      <c r="G20" s="96"/>
      <c r="H20" s="15"/>
      <c r="I20" s="177"/>
      <c r="J20" s="16"/>
      <c r="K20" s="14"/>
      <c r="L20" s="17"/>
      <c r="M20" s="37"/>
      <c r="N20" s="36"/>
      <c r="O20" s="38"/>
      <c r="P20" s="39"/>
      <c r="Q20" s="40"/>
      <c r="R20" s="190"/>
      <c r="S20" s="425"/>
      <c r="T20" s="41"/>
      <c r="U20" s="41"/>
      <c r="V20" s="177"/>
      <c r="W20" s="43">
        <f t="shared" si="7"/>
        <v>0</v>
      </c>
      <c r="X20" s="44"/>
      <c r="Y20" s="44"/>
      <c r="Z20" s="418"/>
      <c r="AA20" s="405"/>
      <c r="AB20" s="34"/>
      <c r="AC20" s="186"/>
      <c r="AD20" s="403"/>
    </row>
    <row r="21" spans="1:30" ht="15" customHeight="1">
      <c r="A21" s="433"/>
      <c r="B21" s="177"/>
      <c r="C21" s="23"/>
      <c r="D21" s="11"/>
      <c r="E21" s="12"/>
      <c r="F21" s="13"/>
      <c r="G21" s="36"/>
      <c r="H21" s="15">
        <f t="shared" si="6"/>
        <v>0</v>
      </c>
      <c r="I21" s="43"/>
      <c r="J21" s="37"/>
      <c r="K21" s="36"/>
      <c r="L21" s="38"/>
      <c r="M21" s="37"/>
      <c r="N21" s="36"/>
      <c r="O21" s="38"/>
      <c r="P21" s="39"/>
      <c r="Q21" s="40"/>
      <c r="R21" s="190"/>
      <c r="S21" s="425"/>
      <c r="T21" s="41"/>
      <c r="U21" s="41"/>
      <c r="V21" s="42"/>
      <c r="W21" s="43">
        <v>0</v>
      </c>
      <c r="X21" s="42"/>
      <c r="Y21" s="42"/>
      <c r="Z21" s="418"/>
      <c r="AA21" s="405"/>
      <c r="AB21" s="34"/>
      <c r="AC21" s="186"/>
      <c r="AD21" s="403"/>
    </row>
    <row r="22" spans="1:30" ht="15" customHeight="1">
      <c r="A22" s="433"/>
      <c r="B22" s="177"/>
      <c r="C22" s="183"/>
      <c r="D22" s="11"/>
      <c r="E22" s="12"/>
      <c r="F22" s="13"/>
      <c r="G22" s="36"/>
      <c r="H22" s="15">
        <f t="shared" si="6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90"/>
      <c r="S22" s="425"/>
      <c r="T22" s="41"/>
      <c r="U22" s="41"/>
      <c r="V22" s="42"/>
      <c r="W22" s="43">
        <v>0</v>
      </c>
      <c r="X22" s="42"/>
      <c r="Y22" s="42"/>
      <c r="Z22" s="418"/>
      <c r="AA22" s="405"/>
      <c r="AB22" s="34"/>
      <c r="AC22" s="186"/>
      <c r="AD22" s="403"/>
    </row>
    <row r="23" spans="1:30" ht="15" customHeight="1">
      <c r="A23" s="433"/>
      <c r="B23" s="26"/>
      <c r="C23" s="27"/>
      <c r="D23" s="28"/>
      <c r="E23" s="29"/>
      <c r="F23" s="13"/>
      <c r="G23" s="36"/>
      <c r="H23" s="15">
        <f t="shared" si="6"/>
        <v>0</v>
      </c>
      <c r="I23" s="43"/>
      <c r="J23" s="37"/>
      <c r="K23" s="36"/>
      <c r="L23" s="38"/>
      <c r="M23" s="37"/>
      <c r="N23" s="36"/>
      <c r="O23" s="38"/>
      <c r="P23" s="39"/>
      <c r="Q23" s="40"/>
      <c r="R23" s="190"/>
      <c r="S23" s="425"/>
      <c r="T23" s="41"/>
      <c r="U23" s="41"/>
      <c r="W23" s="43">
        <f t="shared" si="7"/>
        <v>0</v>
      </c>
      <c r="X23" s="42"/>
      <c r="Y23" s="42"/>
      <c r="Z23" s="418"/>
      <c r="AA23" s="405"/>
      <c r="AB23" s="34"/>
      <c r="AC23" s="186"/>
      <c r="AD23" s="403"/>
    </row>
    <row r="24" spans="1:30" ht="15" customHeight="1">
      <c r="A24" s="433"/>
      <c r="B24" s="26"/>
      <c r="C24" s="27"/>
      <c r="D24" s="28"/>
      <c r="E24" s="29"/>
      <c r="F24" s="13"/>
      <c r="G24" s="36"/>
      <c r="H24" s="15">
        <f t="shared" si="6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90"/>
      <c r="S24" s="425"/>
      <c r="T24" s="41"/>
      <c r="U24" s="41"/>
      <c r="V24" s="42"/>
      <c r="W24" s="43">
        <f t="shared" si="7"/>
        <v>0</v>
      </c>
      <c r="X24" s="42"/>
      <c r="Y24" s="42"/>
      <c r="Z24" s="418"/>
      <c r="AA24" s="405"/>
      <c r="AB24" s="34"/>
      <c r="AC24" s="186"/>
      <c r="AD24" s="403"/>
    </row>
    <row r="25" spans="1:30" ht="15" customHeight="1">
      <c r="A25" s="433"/>
      <c r="B25" s="26"/>
      <c r="C25" s="27"/>
      <c r="D25" s="28"/>
      <c r="E25" s="29"/>
      <c r="F25" s="13"/>
      <c r="G25" s="36"/>
      <c r="H25" s="50">
        <f t="shared" si="6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90"/>
      <c r="S25" s="425"/>
      <c r="T25" s="41"/>
      <c r="U25" s="41"/>
      <c r="V25" s="42"/>
      <c r="W25" s="43">
        <f t="shared" si="7"/>
        <v>0</v>
      </c>
      <c r="X25" s="42"/>
      <c r="Y25" s="42"/>
      <c r="Z25" s="418"/>
      <c r="AA25" s="405"/>
      <c r="AB25" s="34"/>
      <c r="AC25" s="186"/>
      <c r="AD25" s="403"/>
    </row>
    <row r="26" spans="1:30" ht="15" customHeight="1" thickBot="1">
      <c r="A26" s="434"/>
      <c r="B26" s="132"/>
      <c r="C26" s="1" t="s">
        <v>35</v>
      </c>
      <c r="D26" s="410" t="s">
        <v>7</v>
      </c>
      <c r="E26" s="410"/>
      <c r="F26" s="133"/>
      <c r="G26" s="134"/>
      <c r="H26" s="135"/>
      <c r="I26" s="136"/>
      <c r="J26" s="134">
        <f t="shared" ref="J26:O26" si="10">AVERAGE(J16:J25)</f>
        <v>12.5</v>
      </c>
      <c r="K26" s="134">
        <f t="shared" si="10"/>
        <v>2026.25</v>
      </c>
      <c r="L26" s="137">
        <f t="shared" si="10"/>
        <v>162.27564102564102</v>
      </c>
      <c r="M26" s="134">
        <f t="shared" si="10"/>
        <v>12.5</v>
      </c>
      <c r="N26" s="134">
        <f t="shared" si="10"/>
        <v>1776.2833130465672</v>
      </c>
      <c r="O26" s="137">
        <f t="shared" si="10"/>
        <v>141.83472727996059</v>
      </c>
      <c r="P26" s="138">
        <f t="shared" ref="P26:P29" si="11">M26-J26</f>
        <v>0</v>
      </c>
      <c r="Q26" s="139">
        <f t="shared" ref="Q26:Q29" si="12">O26-L26</f>
        <v>-20.440913745680433</v>
      </c>
      <c r="R26" s="140">
        <f t="shared" ref="R26:R29" si="13">O26/L26</f>
        <v>0.87403584656029443</v>
      </c>
      <c r="S26" s="435"/>
      <c r="T26" s="141"/>
      <c r="U26" s="141"/>
      <c r="V26" s="146"/>
      <c r="W26" s="142"/>
      <c r="X26" s="143"/>
      <c r="Y26" s="143"/>
      <c r="Z26" s="420"/>
      <c r="AA26" s="391"/>
      <c r="AB26" s="119">
        <f>N26-K26</f>
        <v>-249.96668695343283</v>
      </c>
      <c r="AC26" s="187">
        <f>N26/K26</f>
        <v>0.87663581149738046</v>
      </c>
      <c r="AD26" s="404"/>
    </row>
    <row r="27" spans="1:30" ht="15" customHeight="1">
      <c r="A27" s="421" t="s">
        <v>54</v>
      </c>
      <c r="B27" s="229" t="s">
        <v>62</v>
      </c>
      <c r="C27" s="102"/>
      <c r="D27" s="103" t="s">
        <v>144</v>
      </c>
      <c r="E27" s="104"/>
      <c r="F27" s="199">
        <f>VLOOKUP(D27,廠價表!$C$1:$E$39,3,0)</f>
        <v>49.91</v>
      </c>
      <c r="G27" s="269">
        <v>3657</v>
      </c>
      <c r="H27" s="125">
        <f t="shared" ref="H27:H39" si="14">F27*G27</f>
        <v>182520.87</v>
      </c>
      <c r="I27" s="126"/>
      <c r="J27" s="108">
        <f>VLOOKUP(D27,產線配置圖!$A$2:$C$38,2,0)</f>
        <v>17</v>
      </c>
      <c r="K27" s="236">
        <f>VLOOKUP(D27,產線配置圖!$A$2:$C$38,3,0)</f>
        <v>1565</v>
      </c>
      <c r="L27" s="109">
        <f>K27/J27</f>
        <v>92.058823529411768</v>
      </c>
      <c r="M27" s="144">
        <v>15</v>
      </c>
      <c r="N27" s="127">
        <f>G27/W27*60</f>
        <v>1246.7045454545457</v>
      </c>
      <c r="O27" s="128">
        <f>N27/M27</f>
        <v>83.113636363636388</v>
      </c>
      <c r="P27" s="129">
        <f t="shared" si="11"/>
        <v>-2</v>
      </c>
      <c r="Q27" s="130">
        <f t="shared" si="12"/>
        <v>-8.9451871657753799</v>
      </c>
      <c r="R27" s="189">
        <f>O27/L27</f>
        <v>0.90283183270403744</v>
      </c>
      <c r="S27" s="424">
        <f>R37</f>
        <v>0.9260577472841619</v>
      </c>
      <c r="T27" s="94">
        <v>0.29097222222222224</v>
      </c>
      <c r="U27" s="94">
        <v>0.41319444444444442</v>
      </c>
      <c r="V27" s="126"/>
      <c r="W27" s="131">
        <f t="shared" si="7"/>
        <v>175.99999999999994</v>
      </c>
      <c r="X27" s="126"/>
      <c r="Y27" s="126" t="s">
        <v>147</v>
      </c>
      <c r="Z27" s="427"/>
      <c r="AA27" s="400"/>
      <c r="AB27" s="225">
        <f>N27-K27</f>
        <v>-318.29545454545428</v>
      </c>
      <c r="AC27" s="291">
        <f>N27/K27</f>
        <v>0.79661632297415064</v>
      </c>
      <c r="AD27" s="401">
        <f>AC37</f>
        <v>0.78810306059440982</v>
      </c>
    </row>
    <row r="28" spans="1:30" ht="15" customHeight="1">
      <c r="A28" s="422"/>
      <c r="B28" s="56" t="str">
        <f>VLOOKUP(D28,廠價表!$C$1:$E$39,2,0)</f>
        <v>義大利麵</v>
      </c>
      <c r="C28" s="10"/>
      <c r="D28" s="11" t="s">
        <v>137</v>
      </c>
      <c r="E28" s="86"/>
      <c r="F28" s="56">
        <f>VLOOKUP(D28,廠價表!$C$1:$E$39,3,0)</f>
        <v>55.13</v>
      </c>
      <c r="G28" s="53">
        <v>1542</v>
      </c>
      <c r="H28" s="50">
        <f t="shared" si="14"/>
        <v>85010.46</v>
      </c>
      <c r="I28" s="42"/>
      <c r="J28" s="16">
        <f>VLOOKUP(D28,產線配置圖!$A$2:$C$38,2,0)</f>
        <v>18</v>
      </c>
      <c r="K28" s="14">
        <f>VLOOKUP(D28,產線配置圖!$A$2:$C$38,3,0)</f>
        <v>1385</v>
      </c>
      <c r="L28" s="235">
        <f>K28/J28</f>
        <v>76.944444444444443</v>
      </c>
      <c r="M28" s="21">
        <v>15</v>
      </c>
      <c r="N28" s="36">
        <f>G28/W28*60</f>
        <v>1142.2222222222219</v>
      </c>
      <c r="O28" s="38">
        <f>N28/M28</f>
        <v>76.148148148148124</v>
      </c>
      <c r="P28" s="39">
        <f t="shared" si="11"/>
        <v>-3</v>
      </c>
      <c r="Q28" s="40">
        <f t="shared" si="12"/>
        <v>-0.79629629629631893</v>
      </c>
      <c r="R28" s="190">
        <f t="shared" si="13"/>
        <v>0.98965102286401896</v>
      </c>
      <c r="S28" s="425"/>
      <c r="T28" s="270">
        <v>0.4236111111111111</v>
      </c>
      <c r="U28" s="270">
        <v>0.47986111111111113</v>
      </c>
      <c r="V28" s="42">
        <f>(T28-U27)*24*60</f>
        <v>15.000000000000027</v>
      </c>
      <c r="W28" s="43">
        <f t="shared" si="7"/>
        <v>81.000000000000028</v>
      </c>
      <c r="X28" s="54"/>
      <c r="Y28" s="54"/>
      <c r="Z28" s="418"/>
      <c r="AA28" s="419"/>
      <c r="AB28" s="39">
        <f>N28-K28</f>
        <v>-242.77777777777806</v>
      </c>
      <c r="AC28" s="190">
        <f>N28/K28</f>
        <v>0.82470918572001584</v>
      </c>
      <c r="AD28" s="447"/>
    </row>
    <row r="29" spans="1:30" ht="15" customHeight="1">
      <c r="A29" s="422"/>
      <c r="B29" s="56" t="s">
        <v>134</v>
      </c>
      <c r="C29" s="10"/>
      <c r="D29" s="11" t="s">
        <v>137</v>
      </c>
      <c r="E29" s="86"/>
      <c r="F29" s="56">
        <f>VLOOKUP(D29,廠價表!$C$1:$E$39,3,0)</f>
        <v>55.13</v>
      </c>
      <c r="G29" s="238">
        <v>1096</v>
      </c>
      <c r="H29" s="50">
        <f t="shared" si="14"/>
        <v>60422.48</v>
      </c>
      <c r="I29" s="42"/>
      <c r="J29" s="16">
        <f>VLOOKUP(D29,產線配置圖!$A$2:$C$38,2,0)</f>
        <v>18</v>
      </c>
      <c r="K29" s="14">
        <f>VLOOKUP(D29,產線配置圖!$A$2:$C$38,3,0)</f>
        <v>1385</v>
      </c>
      <c r="L29" s="235">
        <f t="shared" ref="L29" si="15">K29/J29</f>
        <v>76.944444444444443</v>
      </c>
      <c r="M29" s="21">
        <v>15</v>
      </c>
      <c r="N29" s="36">
        <f>G29/W29*60</f>
        <v>1027.4999999999986</v>
      </c>
      <c r="O29" s="38">
        <f t="shared" ref="O29" si="16">N29/M29</f>
        <v>68.499999999999915</v>
      </c>
      <c r="P29" s="39">
        <f t="shared" si="11"/>
        <v>-3</v>
      </c>
      <c r="Q29" s="40">
        <f t="shared" si="12"/>
        <v>-8.4444444444445281</v>
      </c>
      <c r="R29" s="190">
        <f t="shared" si="13"/>
        <v>0.89025270758122632</v>
      </c>
      <c r="S29" s="425"/>
      <c r="T29" s="41">
        <v>0.53472222222222221</v>
      </c>
      <c r="U29" s="41">
        <v>0.57916666666666672</v>
      </c>
      <c r="V29" s="42">
        <f t="shared" ref="V29" si="17">(T29-U28)*24*60</f>
        <v>78.999999999999957</v>
      </c>
      <c r="W29" s="43">
        <f t="shared" si="7"/>
        <v>64.000000000000085</v>
      </c>
      <c r="X29" s="54">
        <v>0.4861111111111111</v>
      </c>
      <c r="Y29" s="54">
        <v>0.52777777777777779</v>
      </c>
      <c r="Z29" s="418"/>
      <c r="AA29" s="419"/>
      <c r="AB29" s="292">
        <f>N29-K29</f>
        <v>-357.50000000000136</v>
      </c>
      <c r="AC29" s="190">
        <f>N29/K29</f>
        <v>0.74187725631768853</v>
      </c>
      <c r="AD29" s="447"/>
    </row>
    <row r="30" spans="1:30" ht="15" customHeight="1">
      <c r="A30" s="422"/>
      <c r="B30" s="56"/>
      <c r="C30" s="237"/>
      <c r="D30" s="11"/>
      <c r="E30" s="29"/>
      <c r="F30" s="56"/>
      <c r="G30" s="238"/>
      <c r="H30" s="50"/>
      <c r="I30" s="42"/>
      <c r="J30" s="16"/>
      <c r="K30" s="14"/>
      <c r="L30" s="235"/>
      <c r="M30" s="21"/>
      <c r="N30" s="36"/>
      <c r="O30" s="38"/>
      <c r="P30" s="39"/>
      <c r="Q30" s="40"/>
      <c r="R30" s="190"/>
      <c r="S30" s="425"/>
      <c r="T30" s="41"/>
      <c r="U30" s="41"/>
      <c r="V30" s="42"/>
      <c r="W30" s="43">
        <f t="shared" si="7"/>
        <v>0</v>
      </c>
      <c r="X30" s="54"/>
      <c r="Y30" s="54"/>
      <c r="Z30" s="449"/>
      <c r="AA30" s="450"/>
      <c r="AB30" s="34"/>
      <c r="AC30" s="293"/>
      <c r="AD30" s="448"/>
    </row>
    <row r="31" spans="1:30" ht="15" customHeight="1">
      <c r="A31" s="422"/>
      <c r="B31" s="56"/>
      <c r="C31" s="10"/>
      <c r="D31" s="28"/>
      <c r="E31" s="86"/>
      <c r="F31" s="56"/>
      <c r="G31" s="238"/>
      <c r="H31" s="239"/>
      <c r="I31" s="81"/>
      <c r="J31" s="16"/>
      <c r="K31" s="14"/>
      <c r="L31" s="235"/>
      <c r="M31" s="21"/>
      <c r="N31" s="36"/>
      <c r="O31" s="38"/>
      <c r="P31" s="39"/>
      <c r="Q31" s="40"/>
      <c r="R31" s="190"/>
      <c r="S31" s="425"/>
      <c r="T31" s="41"/>
      <c r="U31" s="41"/>
      <c r="V31" s="42"/>
      <c r="W31" s="43">
        <f t="shared" si="7"/>
        <v>0</v>
      </c>
      <c r="X31" s="54"/>
      <c r="Y31" s="54"/>
      <c r="Z31" s="449"/>
      <c r="AA31" s="450"/>
      <c r="AB31" s="257"/>
      <c r="AC31" s="258"/>
      <c r="AD31" s="403"/>
    </row>
    <row r="32" spans="1:30" ht="15" customHeight="1">
      <c r="A32" s="422"/>
      <c r="B32" s="56"/>
      <c r="C32" s="252"/>
      <c r="D32" s="253"/>
      <c r="E32" s="254"/>
      <c r="F32" s="56"/>
      <c r="G32" s="53"/>
      <c r="H32" s="50">
        <f t="shared" si="14"/>
        <v>0</v>
      </c>
      <c r="I32" s="42"/>
      <c r="J32" s="255"/>
      <c r="K32" s="36"/>
      <c r="L32" s="256"/>
      <c r="M32" s="21"/>
      <c r="N32" s="36"/>
      <c r="O32" s="38"/>
      <c r="P32" s="39"/>
      <c r="Q32" s="40"/>
      <c r="R32" s="190"/>
      <c r="S32" s="425"/>
      <c r="T32" s="41"/>
      <c r="U32" s="41"/>
      <c r="V32" s="42"/>
      <c r="W32" s="43">
        <f t="shared" si="7"/>
        <v>0</v>
      </c>
      <c r="X32" s="54"/>
      <c r="Y32" s="54"/>
      <c r="Z32" s="418"/>
      <c r="AA32" s="405"/>
      <c r="AB32" s="18"/>
      <c r="AC32" s="185"/>
      <c r="AD32" s="403"/>
    </row>
    <row r="33" spans="1:30" ht="15" customHeight="1">
      <c r="A33" s="422"/>
      <c r="B33" s="240"/>
      <c r="C33" s="241"/>
      <c r="D33" s="242"/>
      <c r="E33" s="243"/>
      <c r="F33" s="223"/>
      <c r="G33" s="244"/>
      <c r="H33" s="245">
        <f t="shared" si="14"/>
        <v>0</v>
      </c>
      <c r="I33" s="246"/>
      <c r="J33" s="247"/>
      <c r="K33" s="45"/>
      <c r="M33" s="248"/>
      <c r="N33" s="45"/>
      <c r="O33" s="46"/>
      <c r="P33" s="47"/>
      <c r="Q33" s="48"/>
      <c r="R33" s="49"/>
      <c r="S33" s="425"/>
      <c r="T33" s="41"/>
      <c r="U33" s="41"/>
      <c r="V33" s="42"/>
      <c r="W33" s="43">
        <f t="shared" si="7"/>
        <v>0</v>
      </c>
      <c r="X33" s="54"/>
      <c r="Y33" s="54"/>
      <c r="Z33" s="418"/>
      <c r="AA33" s="405"/>
      <c r="AB33" s="18"/>
      <c r="AC33" s="57"/>
      <c r="AD33" s="403"/>
    </row>
    <row r="34" spans="1:30" ht="15" customHeight="1">
      <c r="A34" s="422"/>
      <c r="B34" s="231"/>
      <c r="C34" s="27"/>
      <c r="D34" s="28"/>
      <c r="E34" s="29"/>
      <c r="F34" s="13"/>
      <c r="G34" s="53"/>
      <c r="H34" s="50">
        <f t="shared" si="14"/>
        <v>0</v>
      </c>
      <c r="I34" s="42"/>
      <c r="J34" s="37"/>
      <c r="K34" s="36"/>
      <c r="L34" s="38"/>
      <c r="M34" s="21"/>
      <c r="N34" s="36"/>
      <c r="O34" s="38"/>
      <c r="P34" s="39"/>
      <c r="Q34" s="40"/>
      <c r="R34" s="190"/>
      <c r="S34" s="425"/>
      <c r="T34" s="41"/>
      <c r="U34" s="41"/>
      <c r="V34" s="42"/>
      <c r="W34" s="43">
        <f t="shared" si="7"/>
        <v>0</v>
      </c>
      <c r="X34" s="54"/>
      <c r="Y34" s="54"/>
      <c r="Z34" s="418"/>
      <c r="AA34" s="405"/>
      <c r="AB34" s="18"/>
      <c r="AC34" s="57"/>
      <c r="AD34" s="403"/>
    </row>
    <row r="35" spans="1:30" ht="15" customHeight="1">
      <c r="A35" s="422"/>
      <c r="B35" s="231"/>
      <c r="C35" s="27"/>
      <c r="D35" s="28"/>
      <c r="E35" s="29"/>
      <c r="F35" s="13"/>
      <c r="G35" s="53"/>
      <c r="H35" s="50">
        <f t="shared" si="14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90"/>
      <c r="S35" s="425"/>
      <c r="T35" s="41"/>
      <c r="U35" s="41"/>
      <c r="V35" s="42"/>
      <c r="W35" s="43">
        <f t="shared" si="7"/>
        <v>0</v>
      </c>
      <c r="X35" s="54"/>
      <c r="Y35" s="54"/>
      <c r="Z35" s="418"/>
      <c r="AA35" s="405"/>
      <c r="AB35" s="18"/>
      <c r="AC35" s="57"/>
      <c r="AD35" s="403"/>
    </row>
    <row r="36" spans="1:30" ht="15" customHeight="1">
      <c r="A36" s="422"/>
      <c r="B36" s="232"/>
      <c r="C36" s="27"/>
      <c r="D36" s="28"/>
      <c r="E36" s="29"/>
      <c r="F36" s="13"/>
      <c r="G36" s="53"/>
      <c r="H36" s="50">
        <f t="shared" si="14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90"/>
      <c r="S36" s="425"/>
      <c r="T36" s="41"/>
      <c r="U36" s="41"/>
      <c r="V36" s="42"/>
      <c r="W36" s="43">
        <f t="shared" si="7"/>
        <v>0</v>
      </c>
      <c r="X36" s="54"/>
      <c r="Y36" s="54"/>
      <c r="Z36" s="418"/>
      <c r="AA36" s="405"/>
      <c r="AB36" s="18"/>
      <c r="AC36" s="57"/>
      <c r="AD36" s="403"/>
    </row>
    <row r="37" spans="1:30" ht="15" customHeight="1" thickBot="1">
      <c r="A37" s="423"/>
      <c r="B37" s="300"/>
      <c r="C37" s="301" t="s">
        <v>36</v>
      </c>
      <c r="D37" s="428" t="s">
        <v>7</v>
      </c>
      <c r="E37" s="429"/>
      <c r="F37" s="281"/>
      <c r="G37" s="282"/>
      <c r="H37" s="283"/>
      <c r="I37" s="284"/>
      <c r="J37" s="285">
        <f t="shared" ref="J37:O37" si="18">AVERAGE(J27:J36)</f>
        <v>17.666666666666668</v>
      </c>
      <c r="K37" s="285">
        <f t="shared" si="18"/>
        <v>1445</v>
      </c>
      <c r="L37" s="286">
        <f t="shared" si="18"/>
        <v>81.982570806100227</v>
      </c>
      <c r="M37" s="285">
        <f t="shared" si="18"/>
        <v>15</v>
      </c>
      <c r="N37" s="285">
        <f t="shared" si="18"/>
        <v>1138.8089225589222</v>
      </c>
      <c r="O37" s="286">
        <f t="shared" si="18"/>
        <v>75.920594837261476</v>
      </c>
      <c r="P37" s="73">
        <f>M37-J37</f>
        <v>-2.6666666666666679</v>
      </c>
      <c r="Q37" s="74">
        <f>N37-K37</f>
        <v>-306.19107744107782</v>
      </c>
      <c r="R37" s="287">
        <f t="shared" ref="R37:R39" si="19">O37/L37</f>
        <v>0.9260577472841619</v>
      </c>
      <c r="S37" s="426"/>
      <c r="T37" s="302"/>
      <c r="U37" s="302"/>
      <c r="V37" s="81"/>
      <c r="W37" s="81"/>
      <c r="X37" s="303"/>
      <c r="Y37" s="303"/>
      <c r="Z37" s="430"/>
      <c r="AA37" s="379"/>
      <c r="AB37" s="34">
        <f t="shared" ref="AB37:AB40" si="20">N37-K37</f>
        <v>-306.19107744107782</v>
      </c>
      <c r="AC37" s="186">
        <f t="shared" ref="AC37:AC40" si="21">N37/K37</f>
        <v>0.78810306059440982</v>
      </c>
      <c r="AD37" s="403"/>
    </row>
    <row r="38" spans="1:30" s="62" customFormat="1" ht="15" customHeight="1">
      <c r="A38" s="454" t="s">
        <v>55</v>
      </c>
      <c r="B38" s="229" t="s">
        <v>134</v>
      </c>
      <c r="C38" s="199"/>
      <c r="D38" s="304" t="s">
        <v>156</v>
      </c>
      <c r="E38" s="280"/>
      <c r="F38" s="305">
        <f>VLOOKUP(D38,廠價表!$C$1:$E$39,3,0)</f>
        <v>56.43</v>
      </c>
      <c r="G38" s="266">
        <v>2760</v>
      </c>
      <c r="H38" s="125">
        <f t="shared" si="14"/>
        <v>155746.79999999999</v>
      </c>
      <c r="I38" s="126"/>
      <c r="J38" s="274">
        <f>VLOOKUP(D38,產線配置圖!$A$2:$C$38,2,0)</f>
        <v>15</v>
      </c>
      <c r="K38" s="236">
        <f>VLOOKUP(D38,產線配置圖!$A$2:$C$38,3,0)</f>
        <v>1406</v>
      </c>
      <c r="L38" s="288">
        <f t="shared" ref="L38:L39" si="22">K38/J38</f>
        <v>93.733333333333334</v>
      </c>
      <c r="M38" s="289">
        <v>15</v>
      </c>
      <c r="N38" s="127">
        <f>G38/W38*60</f>
        <v>1003.6363636363634</v>
      </c>
      <c r="O38" s="128">
        <f>N38/M38</f>
        <v>66.909090909090892</v>
      </c>
      <c r="P38" s="129">
        <f t="shared" ref="P38:P39" si="23">M38-J38</f>
        <v>0</v>
      </c>
      <c r="Q38" s="130">
        <f t="shared" ref="Q38:Q39" si="24">O38-L38</f>
        <v>-26.824242424242442</v>
      </c>
      <c r="R38" s="189">
        <f t="shared" si="19"/>
        <v>0.71382387171860839</v>
      </c>
      <c r="S38" s="457">
        <f>R48</f>
        <v>0.78955082896322581</v>
      </c>
      <c r="T38" s="151">
        <v>0.33333333333333331</v>
      </c>
      <c r="U38" s="151">
        <v>0.44791666666666669</v>
      </c>
      <c r="V38" s="148"/>
      <c r="W38" s="152">
        <f t="shared" si="7"/>
        <v>165.00000000000006</v>
      </c>
      <c r="X38" s="150"/>
      <c r="Y38" s="153"/>
      <c r="Z38" s="459" t="s">
        <v>169</v>
      </c>
      <c r="AA38" s="460"/>
      <c r="AB38" s="290">
        <f t="shared" si="20"/>
        <v>-402.3636363636366</v>
      </c>
      <c r="AC38" s="154">
        <f t="shared" si="21"/>
        <v>0.71382387171860839</v>
      </c>
      <c r="AD38" s="436">
        <f>AC48</f>
        <v>0.7895508289632257</v>
      </c>
    </row>
    <row r="39" spans="1:30" s="62" customFormat="1" ht="15" customHeight="1">
      <c r="A39" s="455"/>
      <c r="B39" s="56" t="s">
        <v>134</v>
      </c>
      <c r="C39" s="277"/>
      <c r="D39" s="279" t="s">
        <v>154</v>
      </c>
      <c r="E39" s="278"/>
      <c r="F39" s="56">
        <f>VLOOKUP(D39,廠價表!$C$1:$E$39,3,0)</f>
        <v>57.3</v>
      </c>
      <c r="G39" s="276">
        <v>2500</v>
      </c>
      <c r="H39" s="50">
        <f t="shared" si="14"/>
        <v>143250</v>
      </c>
      <c r="I39" s="64"/>
      <c r="J39" s="37">
        <f>VLOOKUP(D39,產線配置圖!$A$2:$C$38,2,0)</f>
        <v>15</v>
      </c>
      <c r="K39" s="36">
        <f>VLOOKUP(D39,產線配置圖!$A$2:$C$38,3,0)</f>
        <v>1385</v>
      </c>
      <c r="L39" s="38">
        <f t="shared" si="22"/>
        <v>92.333333333333329</v>
      </c>
      <c r="M39" s="65">
        <v>15</v>
      </c>
      <c r="N39" s="66">
        <f>G39/W39*60</f>
        <v>1199.9999999999998</v>
      </c>
      <c r="O39" s="67">
        <f t="shared" ref="O39" si="25">N39/M39</f>
        <v>79.999999999999986</v>
      </c>
      <c r="P39" s="39">
        <f t="shared" si="23"/>
        <v>0</v>
      </c>
      <c r="Q39" s="40">
        <f t="shared" si="24"/>
        <v>-12.333333333333343</v>
      </c>
      <c r="R39" s="190">
        <f t="shared" si="19"/>
        <v>0.86642599277978327</v>
      </c>
      <c r="S39" s="458"/>
      <c r="T39" s="59">
        <v>0.51041666666666663</v>
      </c>
      <c r="U39" s="59">
        <v>0.59722222222222221</v>
      </c>
      <c r="V39" s="42">
        <f>(T39-U38)*24*60</f>
        <v>89.999999999999915</v>
      </c>
      <c r="W39" s="69">
        <f t="shared" si="7"/>
        <v>125.00000000000003</v>
      </c>
      <c r="X39" s="22">
        <v>0.45833333333333331</v>
      </c>
      <c r="Y39" s="22">
        <v>0.5</v>
      </c>
      <c r="Z39" s="474"/>
      <c r="AA39" s="475"/>
      <c r="AB39" s="271">
        <f t="shared" si="20"/>
        <v>-185.00000000000023</v>
      </c>
      <c r="AC39" s="61">
        <f t="shared" si="21"/>
        <v>0.86642599277978327</v>
      </c>
      <c r="AD39" s="437"/>
    </row>
    <row r="40" spans="1:30" s="62" customFormat="1" ht="15" customHeight="1">
      <c r="A40" s="455"/>
      <c r="B40" s="56"/>
      <c r="C40" s="275"/>
      <c r="D40" s="279"/>
      <c r="E40" s="243"/>
      <c r="F40" s="56"/>
      <c r="G40" s="276"/>
      <c r="H40" s="63"/>
      <c r="I40" s="64"/>
      <c r="J40" s="37"/>
      <c r="K40" s="36"/>
      <c r="L40" s="38"/>
      <c r="M40" s="65"/>
      <c r="N40" s="66"/>
      <c r="O40" s="67"/>
      <c r="P40" s="39"/>
      <c r="Q40" s="40"/>
      <c r="R40" s="190"/>
      <c r="S40" s="397"/>
      <c r="T40" s="59"/>
      <c r="U40" s="59"/>
      <c r="V40" s="42"/>
      <c r="W40" s="69">
        <f t="shared" si="7"/>
        <v>0</v>
      </c>
      <c r="X40" s="70"/>
      <c r="Y40" s="259"/>
      <c r="Z40" s="441"/>
      <c r="AA40" s="442"/>
      <c r="AB40" s="271">
        <f t="shared" si="20"/>
        <v>0</v>
      </c>
      <c r="AC40" s="61" t="e">
        <f t="shared" si="21"/>
        <v>#DIV/0!</v>
      </c>
      <c r="AD40" s="437"/>
    </row>
    <row r="41" spans="1:30" s="62" customFormat="1" ht="15" customHeight="1">
      <c r="A41" s="455"/>
      <c r="B41" s="56"/>
      <c r="C41" s="275"/>
      <c r="D41" s="279"/>
      <c r="E41" s="243"/>
      <c r="F41" s="56"/>
      <c r="G41" s="276"/>
      <c r="H41" s="63"/>
      <c r="I41" s="64"/>
      <c r="J41" s="37"/>
      <c r="K41" s="36"/>
      <c r="L41" s="38"/>
      <c r="M41" s="65"/>
      <c r="N41" s="66"/>
      <c r="O41" s="67"/>
      <c r="P41" s="39"/>
      <c r="Q41" s="40"/>
      <c r="R41" s="190"/>
      <c r="S41" s="397"/>
      <c r="T41" s="59"/>
      <c r="U41" s="59"/>
      <c r="V41" s="42"/>
      <c r="W41" s="69">
        <f t="shared" si="7"/>
        <v>0</v>
      </c>
      <c r="X41" s="70"/>
      <c r="Y41" s="259"/>
      <c r="Z41" s="443"/>
      <c r="AA41" s="444"/>
      <c r="AB41" s="271"/>
      <c r="AC41" s="61"/>
      <c r="AD41" s="437"/>
    </row>
    <row r="42" spans="1:30" s="62" customFormat="1" ht="15" customHeight="1">
      <c r="A42" s="455"/>
      <c r="B42" s="56"/>
      <c r="C42" s="23"/>
      <c r="D42" s="11"/>
      <c r="E42" s="12"/>
      <c r="F42" s="56"/>
      <c r="G42" s="99"/>
      <c r="H42" s="63">
        <f t="shared" ref="H42:H47" si="26">F42*G42</f>
        <v>0</v>
      </c>
      <c r="I42" s="64"/>
      <c r="J42" s="16"/>
      <c r="K42" s="14"/>
      <c r="L42" s="17"/>
      <c r="M42" s="65"/>
      <c r="N42" s="66"/>
      <c r="O42" s="67"/>
      <c r="P42" s="39"/>
      <c r="Q42" s="40"/>
      <c r="R42" s="68"/>
      <c r="S42" s="397"/>
      <c r="T42" s="75"/>
      <c r="U42" s="75"/>
      <c r="V42" s="42"/>
      <c r="W42" s="69">
        <f t="shared" si="7"/>
        <v>0</v>
      </c>
      <c r="X42" s="70"/>
      <c r="Y42" s="60"/>
      <c r="Z42" s="445"/>
      <c r="AA42" s="446"/>
      <c r="AB42" s="271"/>
      <c r="AC42" s="61"/>
      <c r="AD42" s="437"/>
    </row>
    <row r="43" spans="1:30" s="62" customFormat="1" ht="15" customHeight="1">
      <c r="A43" s="455"/>
      <c r="B43" s="230"/>
      <c r="C43" s="23"/>
      <c r="D43" s="11"/>
      <c r="E43" s="12"/>
      <c r="F43" s="13"/>
      <c r="G43" s="100"/>
      <c r="H43" s="63">
        <f t="shared" si="26"/>
        <v>0</v>
      </c>
      <c r="I43" s="64"/>
      <c r="J43" s="65"/>
      <c r="K43" s="66"/>
      <c r="L43" s="67"/>
      <c r="M43" s="65"/>
      <c r="N43" s="66"/>
      <c r="O43" s="67"/>
      <c r="P43" s="39"/>
      <c r="Q43" s="40"/>
      <c r="R43" s="68"/>
      <c r="S43" s="397"/>
      <c r="T43" s="75"/>
      <c r="U43" s="75"/>
      <c r="V43" s="64"/>
      <c r="W43" s="69">
        <f>(U43-T43)*24*60</f>
        <v>0</v>
      </c>
      <c r="X43" s="70"/>
      <c r="Y43" s="67"/>
      <c r="Z43" s="405"/>
      <c r="AA43" s="405"/>
      <c r="AB43" s="71"/>
      <c r="AC43" s="61"/>
      <c r="AD43" s="437"/>
    </row>
    <row r="44" spans="1:30" s="62" customFormat="1" ht="15" customHeight="1">
      <c r="A44" s="455"/>
      <c r="B44" s="230"/>
      <c r="C44" s="183"/>
      <c r="D44" s="11"/>
      <c r="E44" s="12"/>
      <c r="F44" s="13"/>
      <c r="G44" s="100"/>
      <c r="H44" s="63">
        <f t="shared" si="26"/>
        <v>0</v>
      </c>
      <c r="I44" s="64"/>
      <c r="J44" s="65"/>
      <c r="K44" s="66"/>
      <c r="L44" s="58"/>
      <c r="M44" s="65"/>
      <c r="N44" s="66"/>
      <c r="O44" s="67"/>
      <c r="P44" s="39"/>
      <c r="Q44" s="40"/>
      <c r="R44" s="68"/>
      <c r="S44" s="397"/>
      <c r="T44" s="59"/>
      <c r="U44" s="59"/>
      <c r="V44" s="64"/>
      <c r="W44" s="69">
        <f t="shared" ref="W44:W48" si="27">(U44-T44)*24*60</f>
        <v>0</v>
      </c>
      <c r="X44" s="70"/>
      <c r="Y44" s="67"/>
      <c r="Z44" s="405"/>
      <c r="AA44" s="405"/>
      <c r="AB44" s="71"/>
      <c r="AC44" s="61"/>
      <c r="AD44" s="437"/>
    </row>
    <row r="45" spans="1:30" s="62" customFormat="1" ht="15" customHeight="1">
      <c r="A45" s="455"/>
      <c r="B45" s="231"/>
      <c r="C45" s="27"/>
      <c r="D45" s="28"/>
      <c r="E45" s="29"/>
      <c r="F45" s="13"/>
      <c r="G45" s="66"/>
      <c r="H45" s="63">
        <f t="shared" si="26"/>
        <v>0</v>
      </c>
      <c r="I45" s="64"/>
      <c r="J45" s="65"/>
      <c r="K45" s="66"/>
      <c r="L45" s="67"/>
      <c r="M45" s="65"/>
      <c r="N45" s="66"/>
      <c r="O45" s="67"/>
      <c r="P45" s="39"/>
      <c r="Q45" s="40"/>
      <c r="R45" s="68"/>
      <c r="S45" s="397"/>
      <c r="T45" s="75"/>
      <c r="U45" s="75"/>
      <c r="V45" s="64"/>
      <c r="W45" s="69">
        <f t="shared" si="27"/>
        <v>0</v>
      </c>
      <c r="X45" s="70"/>
      <c r="Y45" s="67"/>
      <c r="Z45" s="405"/>
      <c r="AA45" s="405"/>
      <c r="AB45" s="71"/>
      <c r="AC45" s="61"/>
      <c r="AD45" s="437"/>
    </row>
    <row r="46" spans="1:30" s="62" customFormat="1" ht="15" customHeight="1">
      <c r="A46" s="455"/>
      <c r="B46" s="231"/>
      <c r="C46" s="27"/>
      <c r="D46" s="28"/>
      <c r="E46" s="29"/>
      <c r="F46" s="13"/>
      <c r="G46" s="66"/>
      <c r="H46" s="63">
        <f t="shared" si="26"/>
        <v>0</v>
      </c>
      <c r="I46" s="64"/>
      <c r="J46" s="65"/>
      <c r="K46" s="66"/>
      <c r="L46" s="67"/>
      <c r="M46" s="65"/>
      <c r="N46" s="66"/>
      <c r="O46" s="67"/>
      <c r="P46" s="39"/>
      <c r="Q46" s="40"/>
      <c r="R46" s="68"/>
      <c r="S46" s="397"/>
      <c r="T46" s="59"/>
      <c r="U46" s="59"/>
      <c r="V46" s="64"/>
      <c r="W46" s="69">
        <f t="shared" si="27"/>
        <v>0</v>
      </c>
      <c r="X46" s="70"/>
      <c r="Y46" s="67"/>
      <c r="Z46" s="405"/>
      <c r="AA46" s="405"/>
      <c r="AB46" s="71"/>
      <c r="AC46" s="61"/>
      <c r="AD46" s="437"/>
    </row>
    <row r="47" spans="1:30" s="62" customFormat="1" ht="15" customHeight="1">
      <c r="A47" s="455"/>
      <c r="B47" s="230"/>
      <c r="C47" s="27"/>
      <c r="D47" s="28"/>
      <c r="E47" s="29"/>
      <c r="F47" s="13"/>
      <c r="G47" s="66"/>
      <c r="H47" s="63">
        <f t="shared" si="26"/>
        <v>0</v>
      </c>
      <c r="I47" s="64"/>
      <c r="J47" s="65"/>
      <c r="K47" s="66"/>
      <c r="L47" s="67"/>
      <c r="M47" s="65"/>
      <c r="N47" s="66"/>
      <c r="O47" s="67"/>
      <c r="P47" s="39"/>
      <c r="Q47" s="40"/>
      <c r="R47" s="68"/>
      <c r="S47" s="397"/>
      <c r="T47" s="75"/>
      <c r="U47" s="75"/>
      <c r="V47" s="64"/>
      <c r="W47" s="69">
        <f t="shared" si="27"/>
        <v>0</v>
      </c>
      <c r="X47" s="70"/>
      <c r="Y47" s="67"/>
      <c r="Z47" s="405"/>
      <c r="AA47" s="405"/>
      <c r="AB47" s="71"/>
      <c r="AC47" s="61"/>
      <c r="AD47" s="437"/>
    </row>
    <row r="48" spans="1:30" ht="15" customHeight="1" thickBot="1">
      <c r="A48" s="456"/>
      <c r="B48" s="156"/>
      <c r="C48" s="1" t="s">
        <v>37</v>
      </c>
      <c r="D48" s="410" t="s">
        <v>7</v>
      </c>
      <c r="E48" s="410"/>
      <c r="F48" s="133"/>
      <c r="G48" s="145"/>
      <c r="H48" s="135"/>
      <c r="I48" s="136"/>
      <c r="J48" s="134">
        <f t="shared" ref="J48:O48" si="28">AVERAGE(J38:J47)</f>
        <v>15</v>
      </c>
      <c r="K48" s="134">
        <f t="shared" si="28"/>
        <v>1395.5</v>
      </c>
      <c r="L48" s="137">
        <f t="shared" si="28"/>
        <v>93.033333333333331</v>
      </c>
      <c r="M48" s="134">
        <f t="shared" si="28"/>
        <v>15</v>
      </c>
      <c r="N48" s="134">
        <f t="shared" si="28"/>
        <v>1101.8181818181815</v>
      </c>
      <c r="O48" s="137">
        <f t="shared" si="28"/>
        <v>73.454545454545439</v>
      </c>
      <c r="P48" s="157">
        <f>M48-J48</f>
        <v>0</v>
      </c>
      <c r="Q48" s="158">
        <f>N48-K48</f>
        <v>-293.68181818181847</v>
      </c>
      <c r="R48" s="159">
        <f>O48/L48</f>
        <v>0.78955082896322581</v>
      </c>
      <c r="S48" s="399"/>
      <c r="T48" s="160"/>
      <c r="U48" s="160"/>
      <c r="V48" s="196"/>
      <c r="W48" s="161">
        <f t="shared" si="27"/>
        <v>0</v>
      </c>
      <c r="X48" s="162"/>
      <c r="Y48" s="162"/>
      <c r="Z48" s="391"/>
      <c r="AA48" s="391"/>
      <c r="AB48" s="163">
        <f>N48-K48</f>
        <v>-293.68181818181847</v>
      </c>
      <c r="AC48" s="191">
        <f>N48/K48</f>
        <v>0.7895508289632257</v>
      </c>
      <c r="AD48" s="438"/>
    </row>
    <row r="49" spans="1:30" ht="15" customHeight="1">
      <c r="A49" s="451" t="s">
        <v>56</v>
      </c>
      <c r="B49" s="199" t="str">
        <f>VLOOKUP(D49,廠價表!$C$1:$E$39,2,0)</f>
        <v>義大利麵</v>
      </c>
      <c r="C49" s="102"/>
      <c r="D49" s="103" t="s">
        <v>152</v>
      </c>
      <c r="E49" s="104"/>
      <c r="F49" s="199">
        <f>VLOOKUP(D49,廠價表!$C$1:$E$39,3,0)</f>
        <v>56.87</v>
      </c>
      <c r="G49" s="149">
        <v>3460</v>
      </c>
      <c r="H49" s="125">
        <f t="shared" ref="H49:H57" si="29">F49*G49</f>
        <v>196770.19999999998</v>
      </c>
      <c r="I49" s="126"/>
      <c r="J49" s="108">
        <f>VLOOKUP(D49,產線配置圖!$A$2:$C$38,2,0)</f>
        <v>19</v>
      </c>
      <c r="K49" s="105">
        <f>VLOOKUP(D49,產線配置圖!$A$2:$C$38,3,0)</f>
        <v>1565</v>
      </c>
      <c r="L49" s="109">
        <f>K49/J49</f>
        <v>82.368421052631575</v>
      </c>
      <c r="M49" s="144">
        <v>19</v>
      </c>
      <c r="N49" s="127">
        <f>G49/W49*60</f>
        <v>1482.8571428571431</v>
      </c>
      <c r="O49" s="128">
        <f>N49/M49</f>
        <v>78.045112781954899</v>
      </c>
      <c r="P49" s="164">
        <f>M49-J49</f>
        <v>0</v>
      </c>
      <c r="Q49" s="112">
        <f>O49-L49</f>
        <v>-4.3233082706766766</v>
      </c>
      <c r="R49" s="184">
        <f>O49/L49</f>
        <v>0.94751255134641732</v>
      </c>
      <c r="S49" s="396">
        <f>R58</f>
        <v>0.96535258220023024</v>
      </c>
      <c r="T49" s="151">
        <v>0.2902777777777778</v>
      </c>
      <c r="U49" s="151">
        <v>0.38750000000000001</v>
      </c>
      <c r="V49" s="188"/>
      <c r="W49" s="152">
        <f t="shared" si="7"/>
        <v>139.99999999999997</v>
      </c>
      <c r="X49" s="188"/>
      <c r="Y49" s="188"/>
      <c r="Z49" s="400"/>
      <c r="AA49" s="400"/>
      <c r="AB49" s="111">
        <f>N49-K49</f>
        <v>-82.142857142856883</v>
      </c>
      <c r="AC49" s="184">
        <f>N49/K49</f>
        <v>0.94751255134641732</v>
      </c>
      <c r="AD49" s="401">
        <f>AC58</f>
        <v>0.96504419706424738</v>
      </c>
    </row>
    <row r="50" spans="1:30" ht="15" customHeight="1">
      <c r="A50" s="452"/>
      <c r="B50" s="56" t="str">
        <f>VLOOKUP(D50,廠價表!$C$1:$E$39,2,0)</f>
        <v>義大利麵</v>
      </c>
      <c r="C50" s="10"/>
      <c r="D50" s="11" t="s">
        <v>65</v>
      </c>
      <c r="E50" s="86"/>
      <c r="F50" s="56">
        <f>VLOOKUP(D50,廠價表!$C$1:$E$39,3,0)</f>
        <v>49.97</v>
      </c>
      <c r="G50" s="66">
        <v>2889</v>
      </c>
      <c r="H50" s="76">
        <f t="shared" si="29"/>
        <v>144363.32999999999</v>
      </c>
      <c r="I50" s="193"/>
      <c r="J50" s="16">
        <f>VLOOKUP(D50,產線配置圖!$A$2:$C$38,2,0)</f>
        <v>18</v>
      </c>
      <c r="K50" s="14">
        <f>VLOOKUP(D50,產線配置圖!$A$2:$C$38,3,0)</f>
        <v>1600</v>
      </c>
      <c r="L50" s="17">
        <f>K50/J50</f>
        <v>88.888888888888886</v>
      </c>
      <c r="M50" s="174">
        <v>18</v>
      </c>
      <c r="N50" s="77">
        <f>G50/W50*60</f>
        <v>1561.6216216216217</v>
      </c>
      <c r="O50" s="78">
        <f>N50/M50</f>
        <v>86.756756756756758</v>
      </c>
      <c r="P50" s="18">
        <f>M50-J50</f>
        <v>0</v>
      </c>
      <c r="Q50" s="19">
        <f>O50-L50</f>
        <v>-2.1321321321321278</v>
      </c>
      <c r="R50" s="185">
        <f>O50/L50</f>
        <v>0.97601351351351351</v>
      </c>
      <c r="S50" s="397"/>
      <c r="T50" s="79">
        <v>0.39305555555555555</v>
      </c>
      <c r="U50" s="79">
        <v>0.47013888888888888</v>
      </c>
      <c r="V50" s="177">
        <f t="shared" ref="V50:V51" si="30">(T50-U49)*24*60</f>
        <v>7.9999999999999716</v>
      </c>
      <c r="W50" s="80">
        <f t="shared" si="7"/>
        <v>111</v>
      </c>
      <c r="X50" s="22"/>
      <c r="Y50" s="22"/>
      <c r="Z50" s="419"/>
      <c r="AA50" s="418"/>
      <c r="AB50" s="18">
        <f>N50-K50</f>
        <v>-38.378378378378329</v>
      </c>
      <c r="AC50" s="185">
        <f>N50/K50</f>
        <v>0.97601351351351351</v>
      </c>
      <c r="AD50" s="402"/>
    </row>
    <row r="51" spans="1:30" ht="15" customHeight="1">
      <c r="A51" s="452"/>
      <c r="B51" s="56" t="str">
        <f>VLOOKUP(D51,廠價表!$C$1:$E$39,2,0)</f>
        <v>義大利麵</v>
      </c>
      <c r="C51" s="10"/>
      <c r="D51" s="11" t="s">
        <v>65</v>
      </c>
      <c r="E51" s="86"/>
      <c r="F51" s="56">
        <f>VLOOKUP(D51,廠價表!$C$1:$E$39,3,0)</f>
        <v>49.97</v>
      </c>
      <c r="G51" s="66">
        <v>3600</v>
      </c>
      <c r="H51" s="76">
        <f t="shared" si="29"/>
        <v>179892</v>
      </c>
      <c r="I51" s="193"/>
      <c r="J51" s="16">
        <f>VLOOKUP(D51,產線配置圖!$A$2:$C$38,2,0)</f>
        <v>18</v>
      </c>
      <c r="K51" s="14">
        <f>VLOOKUP(D51,產線配置圖!$A$2:$C$38,3,0)</f>
        <v>1600</v>
      </c>
      <c r="L51" s="17">
        <f>K51/J51</f>
        <v>88.888888888888886</v>
      </c>
      <c r="M51" s="174">
        <v>18</v>
      </c>
      <c r="N51" s="77">
        <f>G51/W51*60</f>
        <v>1553.9568345323739</v>
      </c>
      <c r="O51" s="78">
        <f>N51/M51</f>
        <v>86.33093525179855</v>
      </c>
      <c r="P51" s="18">
        <f>M51-J51</f>
        <v>0</v>
      </c>
      <c r="Q51" s="19">
        <f>O51-L51</f>
        <v>-2.5579536370903355</v>
      </c>
      <c r="R51" s="185">
        <f>O51/L51</f>
        <v>0.97122302158273377</v>
      </c>
      <c r="S51" s="397"/>
      <c r="T51" s="79">
        <v>0.53125</v>
      </c>
      <c r="U51" s="44">
        <v>0.62777777777777777</v>
      </c>
      <c r="V51" s="177">
        <f t="shared" si="30"/>
        <v>88</v>
      </c>
      <c r="W51" s="80">
        <f t="shared" si="7"/>
        <v>139</v>
      </c>
      <c r="X51" s="22">
        <v>0.47916666666666669</v>
      </c>
      <c r="Y51" s="22">
        <v>0.52083333333333337</v>
      </c>
      <c r="Z51" s="405"/>
      <c r="AA51" s="405"/>
      <c r="AB51" s="18">
        <f>N51-K51</f>
        <v>-46.043165467626068</v>
      </c>
      <c r="AC51" s="185">
        <f>N51/K51</f>
        <v>0.97122302158273366</v>
      </c>
      <c r="AD51" s="402"/>
    </row>
    <row r="52" spans="1:30" ht="15" customHeight="1">
      <c r="A52" s="452"/>
      <c r="B52" s="56"/>
      <c r="C52" s="23"/>
      <c r="D52" s="11"/>
      <c r="E52" s="12"/>
      <c r="F52" s="56"/>
      <c r="G52" s="66"/>
      <c r="H52" s="76"/>
      <c r="I52" s="193"/>
      <c r="J52" s="16"/>
      <c r="K52" s="14"/>
      <c r="L52" s="17"/>
      <c r="M52" s="174"/>
      <c r="N52" s="77"/>
      <c r="O52" s="78"/>
      <c r="P52" s="18"/>
      <c r="Q52" s="19"/>
      <c r="R52" s="185"/>
      <c r="S52" s="397"/>
      <c r="T52" s="79"/>
      <c r="U52" s="79"/>
      <c r="V52" s="177"/>
      <c r="W52" s="80">
        <f t="shared" si="7"/>
        <v>0</v>
      </c>
      <c r="X52" s="22"/>
      <c r="Y52" s="22"/>
      <c r="Z52" s="405"/>
      <c r="AA52" s="405"/>
      <c r="AB52" s="18">
        <f t="shared" ref="AB52" si="31">N52-K52</f>
        <v>0</v>
      </c>
      <c r="AC52" s="185" t="e">
        <f t="shared" ref="AC52" si="32">N52/K52</f>
        <v>#DIV/0!</v>
      </c>
      <c r="AD52" s="402"/>
    </row>
    <row r="53" spans="1:30" ht="15" customHeight="1">
      <c r="A53" s="452"/>
      <c r="B53" s="56"/>
      <c r="C53" s="23"/>
      <c r="D53" s="11"/>
      <c r="E53" s="12"/>
      <c r="F53" s="56"/>
      <c r="G53" s="66"/>
      <c r="H53" s="76"/>
      <c r="I53" s="193"/>
      <c r="J53" s="16"/>
      <c r="K53" s="14"/>
      <c r="L53" s="17"/>
      <c r="M53" s="174"/>
      <c r="N53" s="77"/>
      <c r="O53" s="78"/>
      <c r="P53" s="18"/>
      <c r="Q53" s="19"/>
      <c r="R53" s="185"/>
      <c r="S53" s="397"/>
      <c r="T53" s="79"/>
      <c r="U53" s="79"/>
      <c r="V53" s="177"/>
      <c r="W53" s="80">
        <f t="shared" si="7"/>
        <v>0</v>
      </c>
      <c r="X53" s="177"/>
      <c r="Y53" s="177"/>
      <c r="Z53" s="419"/>
      <c r="AA53" s="418"/>
      <c r="AB53" s="18"/>
      <c r="AC53" s="185"/>
      <c r="AD53" s="402"/>
    </row>
    <row r="54" spans="1:30" ht="15" customHeight="1">
      <c r="A54" s="452"/>
      <c r="B54" s="177"/>
      <c r="C54" s="183"/>
      <c r="D54" s="11"/>
      <c r="E54" s="12"/>
      <c r="F54" s="13"/>
      <c r="G54" s="66"/>
      <c r="H54" s="76">
        <f t="shared" si="29"/>
        <v>0</v>
      </c>
      <c r="I54" s="177"/>
      <c r="J54" s="31"/>
      <c r="K54" s="30"/>
      <c r="L54" s="38"/>
      <c r="M54" s="181"/>
      <c r="N54" s="30"/>
      <c r="O54" s="35"/>
      <c r="P54" s="18"/>
      <c r="Q54" s="19"/>
      <c r="R54" s="185"/>
      <c r="S54" s="397"/>
      <c r="T54" s="79"/>
      <c r="U54" s="79"/>
      <c r="V54" s="197"/>
      <c r="W54" s="80">
        <f t="shared" si="7"/>
        <v>0</v>
      </c>
      <c r="X54" s="177"/>
      <c r="Y54" s="177"/>
      <c r="Z54" s="419"/>
      <c r="AA54" s="418"/>
      <c r="AB54" s="18"/>
      <c r="AC54" s="185"/>
      <c r="AD54" s="402"/>
    </row>
    <row r="55" spans="1:30" ht="15" customHeight="1">
      <c r="A55" s="452"/>
      <c r="B55" s="26"/>
      <c r="C55" s="27"/>
      <c r="D55" s="28"/>
      <c r="E55" s="29"/>
      <c r="F55" s="13"/>
      <c r="G55" s="66"/>
      <c r="H55" s="15">
        <f t="shared" si="29"/>
        <v>0</v>
      </c>
      <c r="I55" s="177"/>
      <c r="J55" s="31"/>
      <c r="K55" s="30"/>
      <c r="L55" s="38"/>
      <c r="M55" s="181"/>
      <c r="N55" s="30"/>
      <c r="O55" s="35"/>
      <c r="P55" s="18"/>
      <c r="Q55" s="19"/>
      <c r="R55" s="185"/>
      <c r="S55" s="397"/>
      <c r="T55" s="79"/>
      <c r="U55" s="79"/>
      <c r="V55" s="197"/>
      <c r="W55" s="80">
        <f t="shared" si="7"/>
        <v>0</v>
      </c>
      <c r="X55" s="177"/>
      <c r="Y55" s="177"/>
      <c r="Z55" s="419"/>
      <c r="AA55" s="418"/>
      <c r="AB55" s="18"/>
      <c r="AC55" s="185"/>
      <c r="AD55" s="402"/>
    </row>
    <row r="56" spans="1:30" ht="15" customHeight="1">
      <c r="A56" s="452"/>
      <c r="B56" s="26"/>
      <c r="C56" s="27"/>
      <c r="D56" s="28"/>
      <c r="E56" s="29"/>
      <c r="F56" s="13"/>
      <c r="G56" s="66"/>
      <c r="H56" s="15">
        <f t="shared" si="29"/>
        <v>0</v>
      </c>
      <c r="I56" s="177"/>
      <c r="J56" s="31"/>
      <c r="K56" s="30"/>
      <c r="L56" s="38"/>
      <c r="M56" s="181"/>
      <c r="N56" s="30"/>
      <c r="O56" s="35"/>
      <c r="P56" s="18"/>
      <c r="Q56" s="19"/>
      <c r="R56" s="185"/>
      <c r="S56" s="397"/>
      <c r="T56" s="79"/>
      <c r="U56" s="79"/>
      <c r="V56" s="197"/>
      <c r="W56" s="80">
        <f t="shared" si="7"/>
        <v>0</v>
      </c>
      <c r="X56" s="177"/>
      <c r="Y56" s="177"/>
      <c r="Z56" s="405"/>
      <c r="AA56" s="405"/>
      <c r="AB56" s="18"/>
      <c r="AC56" s="185"/>
      <c r="AD56" s="402"/>
    </row>
    <row r="57" spans="1:30" ht="15" customHeight="1">
      <c r="A57" s="452"/>
      <c r="B57" s="26"/>
      <c r="C57" s="27"/>
      <c r="D57" s="28"/>
      <c r="E57" s="29"/>
      <c r="F57" s="13"/>
      <c r="G57" s="66"/>
      <c r="H57" s="15">
        <f t="shared" si="29"/>
        <v>0</v>
      </c>
      <c r="I57" s="177"/>
      <c r="J57" s="31"/>
      <c r="K57" s="30"/>
      <c r="L57" s="38"/>
      <c r="M57" s="181"/>
      <c r="N57" s="30"/>
      <c r="O57" s="35"/>
      <c r="P57" s="18"/>
      <c r="Q57" s="19"/>
      <c r="R57" s="185"/>
      <c r="S57" s="397"/>
      <c r="T57" s="79"/>
      <c r="U57" s="79"/>
      <c r="V57" s="197"/>
      <c r="W57" s="80">
        <f t="shared" si="7"/>
        <v>0</v>
      </c>
      <c r="X57" s="177"/>
      <c r="Y57" s="177"/>
      <c r="Z57" s="405"/>
      <c r="AA57" s="405"/>
      <c r="AB57" s="18"/>
      <c r="AC57" s="185"/>
      <c r="AD57" s="402"/>
    </row>
    <row r="58" spans="1:30" ht="15" customHeight="1" thickBot="1">
      <c r="A58" s="453"/>
      <c r="B58" s="165"/>
      <c r="C58" s="1" t="s">
        <v>38</v>
      </c>
      <c r="D58" s="410" t="s">
        <v>7</v>
      </c>
      <c r="E58" s="410"/>
      <c r="F58" s="114"/>
      <c r="G58" s="166"/>
      <c r="H58" s="116"/>
      <c r="I58" s="115"/>
      <c r="J58" s="118">
        <f t="shared" ref="J58:O58" si="33">AVERAGE(J49:J57)</f>
        <v>18.333333333333332</v>
      </c>
      <c r="K58" s="118">
        <f t="shared" si="33"/>
        <v>1588.3333333333333</v>
      </c>
      <c r="L58" s="115">
        <f t="shared" si="33"/>
        <v>86.715399610136458</v>
      </c>
      <c r="M58" s="118">
        <f t="shared" si="33"/>
        <v>18.333333333333332</v>
      </c>
      <c r="N58" s="118">
        <f t="shared" si="33"/>
        <v>1532.8118663370462</v>
      </c>
      <c r="O58" s="115">
        <f t="shared" si="33"/>
        <v>83.710934930170069</v>
      </c>
      <c r="P58" s="119">
        <f>M58-J58</f>
        <v>0</v>
      </c>
      <c r="Q58" s="120">
        <f>N58-K58</f>
        <v>-55.521466996287018</v>
      </c>
      <c r="R58" s="121">
        <f t="shared" ref="R58:R60" si="34">O58/L58</f>
        <v>0.96535258220023024</v>
      </c>
      <c r="S58" s="399"/>
      <c r="T58" s="167"/>
      <c r="U58" s="167"/>
      <c r="V58" s="195"/>
      <c r="W58" s="168"/>
      <c r="X58" s="124"/>
      <c r="Y58" s="124"/>
      <c r="Z58" s="391"/>
      <c r="AA58" s="391"/>
      <c r="AB58" s="119">
        <f t="shared" ref="AB58:AB63" si="35">N58-K58</f>
        <v>-55.521466996287018</v>
      </c>
      <c r="AC58" s="187">
        <f t="shared" ref="AC58:AC63" si="36">N58/K58</f>
        <v>0.96504419706424738</v>
      </c>
      <c r="AD58" s="404"/>
    </row>
    <row r="59" spans="1:30" ht="15" customHeight="1">
      <c r="A59" s="466" t="s">
        <v>57</v>
      </c>
      <c r="B59" s="199" t="str">
        <f>VLOOKUP(D59,廠價表!$C$1:$E$39,2,0)</f>
        <v>小吃、微波</v>
      </c>
      <c r="C59" s="102"/>
      <c r="D59" s="103" t="s">
        <v>125</v>
      </c>
      <c r="E59" s="104"/>
      <c r="F59" s="199">
        <f>VLOOKUP(D59,廠價表!$C$1:$E$39,3,0)</f>
        <v>26.99</v>
      </c>
      <c r="G59" s="188">
        <v>2880</v>
      </c>
      <c r="H59" s="106">
        <f>F59*G59</f>
        <v>77731.199999999997</v>
      </c>
      <c r="I59" s="188"/>
      <c r="J59" s="108">
        <f>VLOOKUP(D59,產線配置圖!$A$2:$C$38,2,0)</f>
        <v>13</v>
      </c>
      <c r="K59" s="105">
        <f>VLOOKUP(D59,產線配置圖!$A$2:$C$38,3,0)</f>
        <v>1565</v>
      </c>
      <c r="L59" s="109">
        <f>K59/J59</f>
        <v>120.38461538461539</v>
      </c>
      <c r="M59" s="110">
        <v>13</v>
      </c>
      <c r="N59" s="105">
        <f t="shared" ref="N59:N62" si="37">G59/W59*60</f>
        <v>1440.0000000000005</v>
      </c>
      <c r="O59" s="109">
        <f t="shared" ref="O59:O62" si="38">N59/M59</f>
        <v>110.7692307692308</v>
      </c>
      <c r="P59" s="111">
        <f t="shared" ref="P59:P62" si="39">M59-J59</f>
        <v>0</v>
      </c>
      <c r="Q59" s="112">
        <f t="shared" ref="Q59:Q62" si="40">O59-L59</f>
        <v>-9.6153846153845848</v>
      </c>
      <c r="R59" s="184">
        <f t="shared" si="34"/>
        <v>0.92012779552715684</v>
      </c>
      <c r="S59" s="396">
        <f>R69</f>
        <v>0.88908059452701793</v>
      </c>
      <c r="T59" s="169">
        <v>0.29166666666666669</v>
      </c>
      <c r="U59" s="169">
        <v>0.375</v>
      </c>
      <c r="V59" s="188"/>
      <c r="W59" s="107">
        <f t="shared" si="7"/>
        <v>119.99999999999997</v>
      </c>
      <c r="X59" s="188"/>
      <c r="Y59" s="188"/>
      <c r="Z59" s="405"/>
      <c r="AA59" s="405"/>
      <c r="AB59" s="225">
        <f t="shared" si="35"/>
        <v>-124.99999999999955</v>
      </c>
      <c r="AC59" s="226">
        <f t="shared" si="36"/>
        <v>0.92012779552715684</v>
      </c>
      <c r="AD59" s="401">
        <f>AC69</f>
        <v>0.8903894059360099</v>
      </c>
    </row>
    <row r="60" spans="1:30" ht="15" customHeight="1">
      <c r="A60" s="467"/>
      <c r="B60" s="56" t="str">
        <f>VLOOKUP(D60,廠價表!$C$1:$E$39,2,0)</f>
        <v>小吃、微波</v>
      </c>
      <c r="C60" s="10"/>
      <c r="D60" s="242" t="s">
        <v>146</v>
      </c>
      <c r="E60" s="86"/>
      <c r="F60" s="56">
        <f>VLOOKUP(D60,廠價表!$C$1:$E$39,3,0)</f>
        <v>28.47</v>
      </c>
      <c r="G60" s="177">
        <v>1061</v>
      </c>
      <c r="H60" s="15">
        <f t="shared" ref="H60:H68" si="41">F60*G60</f>
        <v>30206.67</v>
      </c>
      <c r="I60" s="177"/>
      <c r="J60" s="16">
        <f>VLOOKUP(D60,產線配置圖!$A$2:$C$38,2,0)</f>
        <v>12</v>
      </c>
      <c r="K60" s="14">
        <f>VLOOKUP(D60,產線配置圖!$A$2:$C$38,3,0)</f>
        <v>1565</v>
      </c>
      <c r="L60" s="17">
        <f>K60/J60</f>
        <v>130.41666666666666</v>
      </c>
      <c r="M60" s="180">
        <v>12</v>
      </c>
      <c r="N60" s="14">
        <f t="shared" si="37"/>
        <v>1273.2000000000003</v>
      </c>
      <c r="O60" s="17">
        <f t="shared" si="38"/>
        <v>106.10000000000002</v>
      </c>
      <c r="P60" s="18">
        <f t="shared" si="39"/>
        <v>0</v>
      </c>
      <c r="Q60" s="19">
        <f t="shared" si="40"/>
        <v>-24.316666666666634</v>
      </c>
      <c r="R60" s="185">
        <f t="shared" si="34"/>
        <v>0.81354632587859443</v>
      </c>
      <c r="S60" s="470"/>
      <c r="T60" s="198">
        <v>0.38541666666666669</v>
      </c>
      <c r="U60" s="198">
        <v>0.4201388888888889</v>
      </c>
      <c r="V60" s="177">
        <f t="shared" ref="V60:V62" si="42">(T60-U59)*24*60</f>
        <v>15.000000000000027</v>
      </c>
      <c r="W60" s="90">
        <f t="shared" si="7"/>
        <v>49.999999999999986</v>
      </c>
      <c r="X60" s="193"/>
      <c r="Y60" s="193"/>
      <c r="Z60" s="405"/>
      <c r="AA60" s="405"/>
      <c r="AB60" s="227">
        <f t="shared" si="35"/>
        <v>-291.79999999999973</v>
      </c>
      <c r="AC60" s="228">
        <f t="shared" si="36"/>
        <v>0.81354632587859443</v>
      </c>
      <c r="AD60" s="473"/>
    </row>
    <row r="61" spans="1:30" ht="15" customHeight="1">
      <c r="A61" s="468"/>
      <c r="B61" s="56" t="str">
        <f>VLOOKUP(D61,廠價表!$C$1:$E$39,2,0)</f>
        <v>小吃、微波</v>
      </c>
      <c r="C61" s="10"/>
      <c r="D61" s="242" t="s">
        <v>135</v>
      </c>
      <c r="E61" s="86"/>
      <c r="F61" s="56">
        <f>VLOOKUP(D61,廠價表!$C$1:$E$39,3,0)</f>
        <v>28.26</v>
      </c>
      <c r="G61" s="177">
        <v>2705</v>
      </c>
      <c r="H61" s="15">
        <f t="shared" si="41"/>
        <v>76443.3</v>
      </c>
      <c r="I61" s="81"/>
      <c r="J61" s="16">
        <f>VLOOKUP(D61,產線配置圖!$A$2:$C$38,2,0)</f>
        <v>12</v>
      </c>
      <c r="K61" s="14">
        <f>VLOOKUP(D61,產線配置圖!$A$2:$C$38,3,0)</f>
        <v>1565</v>
      </c>
      <c r="L61" s="17">
        <f t="shared" ref="L61:L62" si="43">K61/J61</f>
        <v>130.41666666666666</v>
      </c>
      <c r="M61" s="180">
        <v>12</v>
      </c>
      <c r="N61" s="14">
        <f t="shared" si="37"/>
        <v>1411.3043478260879</v>
      </c>
      <c r="O61" s="17">
        <f t="shared" si="38"/>
        <v>117.60869565217399</v>
      </c>
      <c r="P61" s="18">
        <f t="shared" si="39"/>
        <v>0</v>
      </c>
      <c r="Q61" s="19">
        <f t="shared" si="40"/>
        <v>-12.807971014492665</v>
      </c>
      <c r="R61" s="185">
        <f>O61/L61</f>
        <v>0.90179191554382621</v>
      </c>
      <c r="S61" s="397"/>
      <c r="T61" s="20">
        <v>0.43055555555555558</v>
      </c>
      <c r="U61" s="20">
        <v>0.51041666666666663</v>
      </c>
      <c r="V61" s="177">
        <f t="shared" si="42"/>
        <v>15.000000000000027</v>
      </c>
      <c r="W61" s="88">
        <f t="shared" si="7"/>
        <v>114.99999999999991</v>
      </c>
      <c r="X61" s="22"/>
      <c r="Y61" s="22"/>
      <c r="Z61" s="405"/>
      <c r="AA61" s="405"/>
      <c r="AB61" s="51">
        <f t="shared" si="35"/>
        <v>-153.69565217391209</v>
      </c>
      <c r="AC61" s="52">
        <f t="shared" si="36"/>
        <v>0.90179191554382609</v>
      </c>
      <c r="AD61" s="402"/>
    </row>
    <row r="62" spans="1:30" ht="15" customHeight="1">
      <c r="A62" s="468"/>
      <c r="B62" s="56" t="str">
        <f>VLOOKUP(D62,廠價表!$C$1:$E$39,2,0)</f>
        <v>小吃、微波</v>
      </c>
      <c r="C62" s="10"/>
      <c r="D62" s="11" t="s">
        <v>125</v>
      </c>
      <c r="E62" s="86"/>
      <c r="F62" s="56">
        <f>VLOOKUP(D62,廠價表!$C$1:$E$39,3,0)</f>
        <v>26.99</v>
      </c>
      <c r="G62" s="177">
        <v>2174</v>
      </c>
      <c r="H62" s="15">
        <f t="shared" si="41"/>
        <v>58676.259999999995</v>
      </c>
      <c r="I62" s="81"/>
      <c r="J62" s="16">
        <f>VLOOKUP(D62,產線配置圖!$A$2:$C$38,2,0)</f>
        <v>13</v>
      </c>
      <c r="K62" s="14">
        <f>VLOOKUP(D62,產線配置圖!$A$2:$C$38,3,0)</f>
        <v>1565</v>
      </c>
      <c r="L62" s="17">
        <f t="shared" si="43"/>
        <v>120.38461538461539</v>
      </c>
      <c r="M62" s="180">
        <v>13</v>
      </c>
      <c r="N62" s="14">
        <f t="shared" si="37"/>
        <v>1449.3333333333333</v>
      </c>
      <c r="O62" s="17">
        <f t="shared" si="38"/>
        <v>111.48717948717947</v>
      </c>
      <c r="P62" s="18">
        <f t="shared" si="39"/>
        <v>0</v>
      </c>
      <c r="Q62" s="19">
        <f t="shared" si="40"/>
        <v>-8.897435897435912</v>
      </c>
      <c r="R62" s="185">
        <f>O62/L62</f>
        <v>0.92609158679446213</v>
      </c>
      <c r="S62" s="397"/>
      <c r="T62" s="20">
        <v>0.5625</v>
      </c>
      <c r="U62" s="20">
        <v>0.625</v>
      </c>
      <c r="V62" s="177">
        <f t="shared" si="42"/>
        <v>75.000000000000057</v>
      </c>
      <c r="W62" s="90">
        <f t="shared" si="7"/>
        <v>90</v>
      </c>
      <c r="X62" s="22">
        <v>0.51388888888888884</v>
      </c>
      <c r="Y62" s="22">
        <v>0.55555555555555558</v>
      </c>
      <c r="Z62" s="405"/>
      <c r="AA62" s="405"/>
      <c r="AB62" s="51">
        <f t="shared" si="35"/>
        <v>-115.66666666666674</v>
      </c>
      <c r="AC62" s="52">
        <f t="shared" si="36"/>
        <v>0.92609158679446213</v>
      </c>
      <c r="AD62" s="402"/>
    </row>
    <row r="63" spans="1:30" ht="15" customHeight="1">
      <c r="A63" s="468"/>
      <c r="B63" s="56"/>
      <c r="C63" s="23"/>
      <c r="D63" s="11"/>
      <c r="E63" s="12"/>
      <c r="F63" s="56"/>
      <c r="G63" s="177"/>
      <c r="H63" s="15">
        <f t="shared" si="41"/>
        <v>0</v>
      </c>
      <c r="I63" s="81"/>
      <c r="J63" s="16"/>
      <c r="K63" s="14"/>
      <c r="L63" s="17"/>
      <c r="M63" s="180"/>
      <c r="N63" s="14"/>
      <c r="O63" s="17"/>
      <c r="P63" s="18"/>
      <c r="Q63" s="19"/>
      <c r="R63" s="185"/>
      <c r="S63" s="397"/>
      <c r="T63" s="20"/>
      <c r="U63" s="20"/>
      <c r="V63" s="177"/>
      <c r="W63" s="90">
        <f t="shared" si="7"/>
        <v>0</v>
      </c>
      <c r="X63" s="84"/>
      <c r="Y63" s="84"/>
      <c r="Z63" s="405"/>
      <c r="AA63" s="405"/>
      <c r="AB63" s="51">
        <f t="shared" si="35"/>
        <v>0</v>
      </c>
      <c r="AC63" s="52" t="e">
        <f t="shared" si="36"/>
        <v>#DIV/0!</v>
      </c>
      <c r="AD63" s="402"/>
    </row>
    <row r="64" spans="1:30" ht="15" customHeight="1">
      <c r="A64" s="468"/>
      <c r="B64" s="177"/>
      <c r="C64" s="23"/>
      <c r="D64" s="11"/>
      <c r="E64" s="12"/>
      <c r="F64" s="13"/>
      <c r="G64" s="177"/>
      <c r="H64" s="15">
        <f t="shared" si="41"/>
        <v>0</v>
      </c>
      <c r="I64" s="177"/>
      <c r="J64" s="16"/>
      <c r="K64" s="14"/>
      <c r="L64" s="17"/>
      <c r="M64" s="180"/>
      <c r="N64" s="14"/>
      <c r="O64" s="17"/>
      <c r="P64" s="18"/>
      <c r="Q64" s="19"/>
      <c r="R64" s="185"/>
      <c r="S64" s="397"/>
      <c r="T64" s="20"/>
      <c r="U64" s="20"/>
      <c r="V64" s="177"/>
      <c r="W64" s="182">
        <f t="shared" si="7"/>
        <v>0</v>
      </c>
      <c r="X64" s="84"/>
      <c r="Y64" s="84"/>
      <c r="Z64" s="419"/>
      <c r="AA64" s="418"/>
      <c r="AB64" s="18"/>
      <c r="AC64" s="55"/>
      <c r="AD64" s="402"/>
    </row>
    <row r="65" spans="1:32" ht="15" customHeight="1">
      <c r="A65" s="468"/>
      <c r="B65" s="177"/>
      <c r="C65" s="183"/>
      <c r="D65" s="11"/>
      <c r="E65" s="12"/>
      <c r="F65" s="13"/>
      <c r="G65" s="177"/>
      <c r="H65" s="15">
        <f t="shared" si="41"/>
        <v>0</v>
      </c>
      <c r="I65" s="177"/>
      <c r="J65" s="16"/>
      <c r="K65" s="82"/>
      <c r="L65" s="83"/>
      <c r="M65" s="180"/>
      <c r="N65" s="14"/>
      <c r="O65" s="17"/>
      <c r="P65" s="18"/>
      <c r="Q65" s="19"/>
      <c r="R65" s="185"/>
      <c r="S65" s="397"/>
      <c r="T65" s="20"/>
      <c r="U65" s="20"/>
      <c r="V65" s="177"/>
      <c r="W65" s="182">
        <f t="shared" si="7"/>
        <v>0</v>
      </c>
      <c r="X65" s="84"/>
      <c r="Y65" s="84"/>
      <c r="Z65" s="419"/>
      <c r="AA65" s="418"/>
      <c r="AB65" s="18"/>
      <c r="AC65" s="55"/>
      <c r="AD65" s="402"/>
    </row>
    <row r="66" spans="1:32" ht="15" customHeight="1">
      <c r="A66" s="468"/>
      <c r="B66" s="26"/>
      <c r="C66" s="27"/>
      <c r="D66" s="28"/>
      <c r="E66" s="29"/>
      <c r="F66" s="13"/>
      <c r="G66" s="183"/>
      <c r="H66" s="15">
        <f t="shared" si="41"/>
        <v>0</v>
      </c>
      <c r="I66" s="85"/>
      <c r="J66" s="16"/>
      <c r="K66" s="14"/>
      <c r="L66" s="17"/>
      <c r="M66" s="21"/>
      <c r="N66" s="36"/>
      <c r="O66" s="38"/>
      <c r="P66" s="39"/>
      <c r="Q66" s="40"/>
      <c r="R66" s="68"/>
      <c r="S66" s="397"/>
      <c r="T66" s="20"/>
      <c r="U66" s="20"/>
      <c r="V66" s="177"/>
      <c r="W66" s="182">
        <f t="shared" si="7"/>
        <v>0</v>
      </c>
      <c r="X66" s="84"/>
      <c r="Y66" s="84"/>
      <c r="Z66" s="405"/>
      <c r="AA66" s="405"/>
      <c r="AB66" s="18"/>
      <c r="AC66" s="55"/>
      <c r="AD66" s="402"/>
    </row>
    <row r="67" spans="1:32" ht="15" customHeight="1">
      <c r="A67" s="468"/>
      <c r="B67" s="26"/>
      <c r="C67" s="27"/>
      <c r="D67" s="28"/>
      <c r="E67" s="29"/>
      <c r="F67" s="13"/>
      <c r="G67" s="177"/>
      <c r="H67" s="15">
        <f t="shared" si="41"/>
        <v>0</v>
      </c>
      <c r="I67" s="177"/>
      <c r="J67" s="16"/>
      <c r="K67" s="14"/>
      <c r="L67" s="17"/>
      <c r="M67" s="21"/>
      <c r="N67" s="36"/>
      <c r="O67" s="38"/>
      <c r="P67" s="39"/>
      <c r="Q67" s="40"/>
      <c r="R67" s="68"/>
      <c r="S67" s="397"/>
      <c r="T67" s="20"/>
      <c r="U67" s="20"/>
      <c r="V67" s="177"/>
      <c r="W67" s="182">
        <f t="shared" si="7"/>
        <v>0</v>
      </c>
      <c r="X67" s="84"/>
      <c r="Y67" s="84"/>
      <c r="Z67" s="419"/>
      <c r="AA67" s="418"/>
      <c r="AB67" s="18"/>
      <c r="AC67" s="55"/>
      <c r="AD67" s="402"/>
    </row>
    <row r="68" spans="1:32" ht="15" customHeight="1">
      <c r="A68" s="468"/>
      <c r="B68" s="26"/>
      <c r="C68" s="27"/>
      <c r="D68" s="28"/>
      <c r="E68" s="29"/>
      <c r="F68" s="13"/>
      <c r="G68" s="183"/>
      <c r="H68" s="15">
        <f t="shared" si="41"/>
        <v>0</v>
      </c>
      <c r="I68" s="85"/>
      <c r="J68" s="16"/>
      <c r="K68" s="260"/>
      <c r="L68" s="261"/>
      <c r="M68" s="21"/>
      <c r="N68" s="36"/>
      <c r="O68" s="38"/>
      <c r="P68" s="39"/>
      <c r="Q68" s="40"/>
      <c r="R68" s="68"/>
      <c r="S68" s="397"/>
      <c r="T68" s="20"/>
      <c r="U68" s="20"/>
      <c r="V68" s="177"/>
      <c r="W68" s="182">
        <f t="shared" si="7"/>
        <v>0</v>
      </c>
      <c r="X68" s="84"/>
      <c r="Y68" s="84"/>
      <c r="Z68" s="419"/>
      <c r="AA68" s="418"/>
      <c r="AB68" s="18"/>
      <c r="AC68" s="55"/>
      <c r="AD68" s="402"/>
    </row>
    <row r="69" spans="1:32" ht="15" customHeight="1" thickBot="1">
      <c r="A69" s="469"/>
      <c r="B69" s="165"/>
      <c r="C69" s="1" t="s">
        <v>39</v>
      </c>
      <c r="D69" s="410" t="s">
        <v>7</v>
      </c>
      <c r="E69" s="410"/>
      <c r="F69" s="114"/>
      <c r="G69" s="115"/>
      <c r="H69" s="116"/>
      <c r="I69" s="170"/>
      <c r="J69" s="166">
        <f t="shared" ref="J69:O69" si="44">AVERAGE(J59:J68)</f>
        <v>12.5</v>
      </c>
      <c r="K69" s="166">
        <f t="shared" si="44"/>
        <v>1565</v>
      </c>
      <c r="L69" s="171">
        <f t="shared" si="44"/>
        <v>125.40064102564102</v>
      </c>
      <c r="M69" s="166">
        <f t="shared" si="44"/>
        <v>12.5</v>
      </c>
      <c r="N69" s="166">
        <f t="shared" si="44"/>
        <v>1393.4594202898554</v>
      </c>
      <c r="O69" s="171">
        <f t="shared" si="44"/>
        <v>111.49127647714607</v>
      </c>
      <c r="P69" s="172">
        <f>M69-J69</f>
        <v>0</v>
      </c>
      <c r="Q69" s="158">
        <f>N69-K69</f>
        <v>-171.54057971014458</v>
      </c>
      <c r="R69" s="121">
        <f>O69/L69</f>
        <v>0.88908059452701793</v>
      </c>
      <c r="S69" s="399"/>
      <c r="T69" s="122"/>
      <c r="U69" s="122"/>
      <c r="V69" s="195"/>
      <c r="W69" s="168"/>
      <c r="X69" s="124"/>
      <c r="Y69" s="124"/>
      <c r="Z69" s="405"/>
      <c r="AA69" s="405"/>
      <c r="AB69" s="119">
        <f>N69-K69</f>
        <v>-171.54057971014458</v>
      </c>
      <c r="AC69" s="187">
        <f>N69/K69</f>
        <v>0.8903894059360099</v>
      </c>
      <c r="AD69" s="404"/>
    </row>
    <row r="70" spans="1:32" ht="15" customHeight="1">
      <c r="A70" s="461" t="s">
        <v>58</v>
      </c>
      <c r="B70" s="199" t="s">
        <v>62</v>
      </c>
      <c r="C70" s="199"/>
      <c r="D70" s="103" t="s">
        <v>158</v>
      </c>
      <c r="E70" s="104"/>
      <c r="F70" s="199">
        <f>VLOOKUP(D70,廠價表!$C$1:$E$39,3,0)</f>
        <v>47.71</v>
      </c>
      <c r="G70" s="188">
        <v>4802</v>
      </c>
      <c r="H70" s="106">
        <f t="shared" ref="H70" si="45">F70*G70</f>
        <v>229103.42</v>
      </c>
      <c r="I70" s="188"/>
      <c r="J70" s="108">
        <f>VLOOKUP(D70,產線配置圖!$A$2:$C$38,2,0)</f>
        <v>15</v>
      </c>
      <c r="K70" s="105">
        <f>VLOOKUP(D70,產線配置圖!$A$2:$C$38,3,0)</f>
        <v>1500</v>
      </c>
      <c r="L70" s="109">
        <f>K70/J70</f>
        <v>100</v>
      </c>
      <c r="M70" s="110">
        <v>14</v>
      </c>
      <c r="N70" s="105">
        <f t="shared" ref="N70" si="46">G70/W70*60</f>
        <v>1210.588235294118</v>
      </c>
      <c r="O70" s="109">
        <f t="shared" ref="O70" si="47">N70/M70</f>
        <v>86.470588235294144</v>
      </c>
      <c r="P70" s="111">
        <f t="shared" ref="P70" si="48">M70-J70</f>
        <v>-1</v>
      </c>
      <c r="Q70" s="112">
        <f t="shared" ref="Q70" si="49">O70-L70</f>
        <v>-13.529411764705856</v>
      </c>
      <c r="R70" s="184">
        <f t="shared" ref="R70" si="50">O70/L70</f>
        <v>0.86470588235294144</v>
      </c>
      <c r="S70" s="396">
        <f>R79</f>
        <v>0.8782666447249392</v>
      </c>
      <c r="T70" s="169">
        <v>0.33819444444444446</v>
      </c>
      <c r="U70" s="169">
        <v>0.50347222222222221</v>
      </c>
      <c r="V70" s="188"/>
      <c r="W70" s="107">
        <f t="shared" ref="W70:W78" si="51">(U70-T70)*24*60</f>
        <v>237.99999999999994</v>
      </c>
      <c r="X70" s="296"/>
      <c r="Y70" s="296"/>
      <c r="Z70" s="465"/>
      <c r="AA70" s="427"/>
      <c r="AB70" s="225">
        <f t="shared" ref="AB70:AB71" si="52">N70-K70</f>
        <v>-289.41176470588198</v>
      </c>
      <c r="AC70" s="226">
        <f t="shared" ref="AC70:AC71" si="53">N70/K70</f>
        <v>0.80705882352941205</v>
      </c>
      <c r="AD70" s="401">
        <f>AC79</f>
        <v>0.84960771797193257</v>
      </c>
    </row>
    <row r="71" spans="1:32" ht="15" customHeight="1">
      <c r="A71" s="462"/>
      <c r="B71" s="56"/>
      <c r="C71" s="10"/>
      <c r="D71" s="11"/>
      <c r="E71" s="86"/>
      <c r="F71" s="56"/>
      <c r="G71" s="66"/>
      <c r="H71" s="76"/>
      <c r="I71" s="193"/>
      <c r="J71" s="16"/>
      <c r="K71" s="14"/>
      <c r="L71" s="17"/>
      <c r="M71" s="180"/>
      <c r="N71" s="14"/>
      <c r="O71" s="17"/>
      <c r="P71" s="18"/>
      <c r="Q71" s="19"/>
      <c r="R71" s="185"/>
      <c r="S71" s="397"/>
      <c r="T71" s="20"/>
      <c r="U71" s="20"/>
      <c r="V71" s="177"/>
      <c r="W71" s="295">
        <f t="shared" si="51"/>
        <v>0</v>
      </c>
      <c r="X71" s="298"/>
      <c r="Y71" s="299"/>
      <c r="Z71" s="476"/>
      <c r="AA71" s="477"/>
      <c r="AB71" s="39">
        <f t="shared" si="52"/>
        <v>0</v>
      </c>
      <c r="AC71" s="190" t="e">
        <f t="shared" si="53"/>
        <v>#DIV/0!</v>
      </c>
      <c r="AD71" s="447"/>
    </row>
    <row r="72" spans="1:32" ht="15" customHeight="1">
      <c r="A72" s="462"/>
      <c r="B72" s="56"/>
      <c r="C72" s="10"/>
      <c r="D72" s="11"/>
      <c r="E72" s="86"/>
      <c r="F72" s="56"/>
      <c r="G72" s="66"/>
      <c r="H72" s="76"/>
      <c r="I72" s="193"/>
      <c r="J72" s="16"/>
      <c r="K72" s="14"/>
      <c r="L72" s="17"/>
      <c r="M72" s="180"/>
      <c r="N72" s="14"/>
      <c r="O72" s="17"/>
      <c r="P72" s="18"/>
      <c r="Q72" s="19"/>
      <c r="R72" s="185"/>
      <c r="S72" s="397"/>
      <c r="T72" s="20"/>
      <c r="U72" s="20"/>
      <c r="V72" s="177"/>
      <c r="W72" s="182">
        <f t="shared" si="51"/>
        <v>0</v>
      </c>
      <c r="X72" s="297"/>
      <c r="Y72" s="297"/>
      <c r="Z72" s="405"/>
      <c r="AA72" s="419"/>
      <c r="AB72" s="39"/>
      <c r="AC72" s="190"/>
      <c r="AD72" s="447"/>
    </row>
    <row r="73" spans="1:32" ht="15" customHeight="1">
      <c r="A73" s="462"/>
      <c r="B73" s="56"/>
      <c r="C73" s="23"/>
      <c r="D73" s="11"/>
      <c r="E73" s="12"/>
      <c r="F73" s="56"/>
      <c r="G73" s="66"/>
      <c r="H73" s="76"/>
      <c r="I73" s="193"/>
      <c r="J73" s="16"/>
      <c r="K73" s="14"/>
      <c r="L73" s="17"/>
      <c r="M73" s="180"/>
      <c r="N73" s="14"/>
      <c r="O73" s="17"/>
      <c r="P73" s="18"/>
      <c r="Q73" s="19"/>
      <c r="R73" s="185"/>
      <c r="S73" s="397"/>
      <c r="T73" s="20"/>
      <c r="U73" s="20"/>
      <c r="V73" s="177"/>
      <c r="W73" s="182">
        <f t="shared" si="51"/>
        <v>0</v>
      </c>
      <c r="X73" s="22"/>
      <c r="Y73" s="22"/>
      <c r="Z73" s="405"/>
      <c r="AA73" s="419"/>
      <c r="AB73" s="39"/>
      <c r="AC73" s="190"/>
      <c r="AD73" s="447"/>
    </row>
    <row r="74" spans="1:32" ht="15" customHeight="1">
      <c r="A74" s="462"/>
      <c r="B74" s="56"/>
      <c r="C74" s="249"/>
      <c r="D74" s="250"/>
      <c r="E74" s="251"/>
      <c r="F74" s="56"/>
      <c r="G74" s="238"/>
      <c r="H74" s="76">
        <f t="shared" ref="H74:H78" si="54">F74*G74</f>
        <v>0</v>
      </c>
      <c r="I74" s="81"/>
      <c r="J74" s="234"/>
      <c r="K74" s="36"/>
      <c r="L74" s="235"/>
      <c r="M74" s="21"/>
      <c r="N74" s="36"/>
      <c r="O74" s="38"/>
      <c r="P74" s="39"/>
      <c r="Q74" s="40"/>
      <c r="R74" s="190"/>
      <c r="S74" s="397"/>
      <c r="T74" s="20"/>
      <c r="U74" s="20"/>
      <c r="V74" s="177"/>
      <c r="W74" s="182">
        <f t="shared" si="51"/>
        <v>0</v>
      </c>
      <c r="X74" s="22"/>
      <c r="Y74" s="22"/>
      <c r="Z74" s="405"/>
      <c r="AA74" s="419"/>
      <c r="AB74" s="39"/>
      <c r="AC74" s="190"/>
      <c r="AD74" s="447"/>
    </row>
    <row r="75" spans="1:32" ht="15" customHeight="1">
      <c r="A75" s="462"/>
      <c r="B75" s="177"/>
      <c r="C75" s="183"/>
      <c r="D75" s="11"/>
      <c r="E75" s="12"/>
      <c r="F75" s="13"/>
      <c r="G75" s="177"/>
      <c r="H75" s="15">
        <f t="shared" si="54"/>
        <v>0</v>
      </c>
      <c r="I75" s="81"/>
      <c r="J75" s="87"/>
      <c r="K75" s="82"/>
      <c r="L75" s="83"/>
      <c r="M75" s="181"/>
      <c r="N75" s="82"/>
      <c r="O75" s="83"/>
      <c r="P75" s="73"/>
      <c r="Q75" s="74"/>
      <c r="R75" s="192"/>
      <c r="S75" s="397"/>
      <c r="T75" s="20"/>
      <c r="U75" s="20"/>
      <c r="V75" s="177"/>
      <c r="W75" s="88">
        <f t="shared" si="51"/>
        <v>0</v>
      </c>
      <c r="X75" s="89"/>
      <c r="Y75" s="89"/>
      <c r="Z75" s="406"/>
      <c r="AA75" s="406"/>
      <c r="AB75" s="306"/>
      <c r="AC75" s="307"/>
      <c r="AD75" s="402"/>
    </row>
    <row r="76" spans="1:32" ht="15" customHeight="1">
      <c r="A76" s="462"/>
      <c r="B76" s="26"/>
      <c r="C76" s="27"/>
      <c r="D76" s="28"/>
      <c r="E76" s="29"/>
      <c r="F76" s="13"/>
      <c r="G76" s="177"/>
      <c r="H76" s="15">
        <f t="shared" si="54"/>
        <v>0</v>
      </c>
      <c r="I76" s="81"/>
      <c r="J76" s="87"/>
      <c r="K76" s="82"/>
      <c r="L76" s="83"/>
      <c r="M76" s="181"/>
      <c r="N76" s="82"/>
      <c r="O76" s="83"/>
      <c r="P76" s="73"/>
      <c r="Q76" s="74"/>
      <c r="R76" s="192"/>
      <c r="S76" s="398"/>
      <c r="T76" s="20"/>
      <c r="U76" s="20"/>
      <c r="V76" s="177"/>
      <c r="W76" s="90">
        <f t="shared" si="51"/>
        <v>0</v>
      </c>
      <c r="X76" s="78"/>
      <c r="Y76" s="78"/>
      <c r="Z76" s="445"/>
      <c r="AA76" s="445"/>
      <c r="AB76" s="51"/>
      <c r="AC76" s="52"/>
      <c r="AD76" s="403"/>
    </row>
    <row r="77" spans="1:32" ht="15" customHeight="1">
      <c r="A77" s="462"/>
      <c r="B77" s="26"/>
      <c r="C77" s="27"/>
      <c r="D77" s="28"/>
      <c r="E77" s="29"/>
      <c r="F77" s="13"/>
      <c r="G77" s="177"/>
      <c r="H77" s="15">
        <f t="shared" si="54"/>
        <v>0</v>
      </c>
      <c r="I77" s="81"/>
      <c r="J77" s="87"/>
      <c r="K77" s="82"/>
      <c r="L77" s="83"/>
      <c r="M77" s="181"/>
      <c r="N77" s="82"/>
      <c r="O77" s="83"/>
      <c r="P77" s="73"/>
      <c r="Q77" s="74"/>
      <c r="R77" s="192"/>
      <c r="S77" s="398"/>
      <c r="T77" s="20"/>
      <c r="U77" s="20"/>
      <c r="V77" s="177"/>
      <c r="W77" s="182">
        <f t="shared" si="51"/>
        <v>0</v>
      </c>
      <c r="X77" s="84"/>
      <c r="Y77" s="84"/>
      <c r="Z77" s="405"/>
      <c r="AA77" s="405"/>
      <c r="AB77" s="18"/>
      <c r="AC77" s="55"/>
      <c r="AD77" s="403"/>
    </row>
    <row r="78" spans="1:32" ht="15" customHeight="1">
      <c r="A78" s="462"/>
      <c r="B78" s="26"/>
      <c r="C78" s="27"/>
      <c r="D78" s="28"/>
      <c r="E78" s="29"/>
      <c r="F78" s="13"/>
      <c r="G78" s="177"/>
      <c r="H78" s="15">
        <f t="shared" si="54"/>
        <v>0</v>
      </c>
      <c r="I78" s="85"/>
      <c r="J78" s="37"/>
      <c r="K78" s="36"/>
      <c r="L78" s="83"/>
      <c r="M78" s="21"/>
      <c r="N78" s="36"/>
      <c r="O78" s="38"/>
      <c r="P78" s="39"/>
      <c r="Q78" s="40"/>
      <c r="R78" s="190"/>
      <c r="S78" s="464"/>
      <c r="T78" s="32"/>
      <c r="U78" s="32"/>
      <c r="V78" s="178"/>
      <c r="W78" s="182">
        <f t="shared" si="51"/>
        <v>0</v>
      </c>
      <c r="X78" s="91"/>
      <c r="Y78" s="91"/>
      <c r="Z78" s="405"/>
      <c r="AA78" s="405"/>
      <c r="AB78" s="34"/>
      <c r="AC78" s="57"/>
      <c r="AD78" s="403"/>
    </row>
    <row r="79" spans="1:32" ht="15" customHeight="1" thickBot="1">
      <c r="A79" s="463"/>
      <c r="B79" s="165"/>
      <c r="C79" s="1" t="s">
        <v>40</v>
      </c>
      <c r="D79" s="410" t="s">
        <v>7</v>
      </c>
      <c r="E79" s="410"/>
      <c r="F79" s="114"/>
      <c r="G79" s="115"/>
      <c r="H79" s="173"/>
      <c r="I79" s="171"/>
      <c r="J79" s="166">
        <f t="shared" ref="J79:O79" si="55">AVERAGE(J69:J78)</f>
        <v>13.75</v>
      </c>
      <c r="K79" s="166">
        <f t="shared" si="55"/>
        <v>1532.5</v>
      </c>
      <c r="L79" s="171">
        <f t="shared" si="55"/>
        <v>112.70032051282051</v>
      </c>
      <c r="M79" s="166">
        <f t="shared" si="55"/>
        <v>13.25</v>
      </c>
      <c r="N79" s="166">
        <f t="shared" si="55"/>
        <v>1302.0238277919866</v>
      </c>
      <c r="O79" s="171">
        <f t="shared" si="55"/>
        <v>98.980932356220109</v>
      </c>
      <c r="P79" s="172">
        <f>M79-J79</f>
        <v>-0.5</v>
      </c>
      <c r="Q79" s="158">
        <f>N79-K79</f>
        <v>-230.47617220801339</v>
      </c>
      <c r="R79" s="159">
        <f>O79/L79</f>
        <v>0.8782666447249392</v>
      </c>
      <c r="S79" s="399"/>
      <c r="T79" s="122"/>
      <c r="U79" s="122"/>
      <c r="V79" s="195"/>
      <c r="W79" s="168"/>
      <c r="X79" s="124"/>
      <c r="Y79" s="124"/>
      <c r="Z79" s="391"/>
      <c r="AA79" s="391"/>
      <c r="AB79" s="119">
        <f>N79-K79</f>
        <v>-230.47617220801339</v>
      </c>
      <c r="AC79" s="187">
        <f>N79/K79</f>
        <v>0.84960771797193257</v>
      </c>
      <c r="AD79" s="404"/>
    </row>
    <row r="80" spans="1:32">
      <c r="AF80" s="93" t="s">
        <v>41</v>
      </c>
    </row>
    <row r="81" spans="4:32">
      <c r="AF81" s="93" t="s">
        <v>42</v>
      </c>
    </row>
    <row r="82" spans="4:32">
      <c r="AF82" s="93" t="s">
        <v>43</v>
      </c>
    </row>
    <row r="83" spans="4:32">
      <c r="D83" s="220"/>
      <c r="W83" s="6"/>
      <c r="AF83" s="93" t="s">
        <v>44</v>
      </c>
    </row>
    <row r="84" spans="4:32">
      <c r="D84" s="224"/>
      <c r="W84" s="6"/>
      <c r="AF84" s="93" t="s">
        <v>45</v>
      </c>
    </row>
    <row r="85" spans="4:32">
      <c r="D85" s="224"/>
      <c r="W85" s="6"/>
      <c r="AF85" s="93" t="s">
        <v>46</v>
      </c>
    </row>
    <row r="86" spans="4:32">
      <c r="D86" s="155"/>
      <c r="W86" s="6"/>
      <c r="AF86" s="93" t="s">
        <v>47</v>
      </c>
    </row>
    <row r="87" spans="4:32">
      <c r="W87" s="6"/>
      <c r="AF87" s="93" t="s">
        <v>48</v>
      </c>
    </row>
    <row r="88" spans="4:32">
      <c r="W88" s="6"/>
      <c r="AF88" s="93" t="s">
        <v>49</v>
      </c>
    </row>
    <row r="89" spans="4:32">
      <c r="W89" s="6"/>
      <c r="AF89" s="93" t="s">
        <v>50</v>
      </c>
    </row>
    <row r="90" spans="4:32">
      <c r="W90" s="6"/>
      <c r="AF90" s="93" t="s">
        <v>51</v>
      </c>
    </row>
    <row r="91" spans="4:32">
      <c r="W91" s="6"/>
      <c r="AF91" s="93" t="s">
        <v>52</v>
      </c>
    </row>
    <row r="92" spans="4:32">
      <c r="W92" s="6"/>
      <c r="AF92" s="93" t="s">
        <v>53</v>
      </c>
    </row>
  </sheetData>
  <autoFilter ref="D1:D92" xr:uid="{EF5AD393-5A39-4C0E-A7B0-465235F2AB14}"/>
  <mergeCells count="135">
    <mergeCell ref="P1:S2"/>
    <mergeCell ref="T1:Y2"/>
    <mergeCell ref="Z1:AA2"/>
    <mergeCell ref="AB1:AD2"/>
    <mergeCell ref="H3:H4"/>
    <mergeCell ref="I3:I4"/>
    <mergeCell ref="J3:J4"/>
    <mergeCell ref="K3:K4"/>
    <mergeCell ref="L3:L4"/>
    <mergeCell ref="M3:M4"/>
    <mergeCell ref="AC3:AC4"/>
    <mergeCell ref="AD3:AD4"/>
    <mergeCell ref="P3:P4"/>
    <mergeCell ref="Q3:Q4"/>
    <mergeCell ref="R3:R4"/>
    <mergeCell ref="A2:B2"/>
    <mergeCell ref="A3:A4"/>
    <mergeCell ref="B3:B4"/>
    <mergeCell ref="D3:E4"/>
    <mergeCell ref="F3:F4"/>
    <mergeCell ref="G3:G4"/>
    <mergeCell ref="J1:L2"/>
    <mergeCell ref="M1:O2"/>
    <mergeCell ref="D15:E15"/>
    <mergeCell ref="A5:A15"/>
    <mergeCell ref="N3:N4"/>
    <mergeCell ref="O3:O4"/>
    <mergeCell ref="S5:S15"/>
    <mergeCell ref="Z5:AA5"/>
    <mergeCell ref="AD5:AD15"/>
    <mergeCell ref="Z6:AA6"/>
    <mergeCell ref="Z7:AA7"/>
    <mergeCell ref="Z8:AA8"/>
    <mergeCell ref="Z9:AA9"/>
    <mergeCell ref="T3:U3"/>
    <mergeCell ref="V3:V4"/>
    <mergeCell ref="W3:W4"/>
    <mergeCell ref="X3:Y3"/>
    <mergeCell ref="Z3:AA4"/>
    <mergeCell ref="AB3:AB4"/>
    <mergeCell ref="S3:S4"/>
    <mergeCell ref="AD16:AD26"/>
    <mergeCell ref="Z17:AA17"/>
    <mergeCell ref="Z18:AA18"/>
    <mergeCell ref="Z19:AA19"/>
    <mergeCell ref="Z20:AA20"/>
    <mergeCell ref="Z21:AA21"/>
    <mergeCell ref="Z22:AA22"/>
    <mergeCell ref="Z10:AA10"/>
    <mergeCell ref="Z11:AA11"/>
    <mergeCell ref="Z12:AA12"/>
    <mergeCell ref="Z13:AA13"/>
    <mergeCell ref="Z14:AA14"/>
    <mergeCell ref="Z23:AA23"/>
    <mergeCell ref="Z24:AA24"/>
    <mergeCell ref="Z25:AA25"/>
    <mergeCell ref="Z15:AA15"/>
    <mergeCell ref="D26:E26"/>
    <mergeCell ref="Z26:AA26"/>
    <mergeCell ref="A27:A37"/>
    <mergeCell ref="S27:S37"/>
    <mergeCell ref="Z27:AA27"/>
    <mergeCell ref="D37:E37"/>
    <mergeCell ref="Z37:AA37"/>
    <mergeCell ref="A16:A26"/>
    <mergeCell ref="S16:S26"/>
    <mergeCell ref="Z16:AA16"/>
    <mergeCell ref="AD38:AD48"/>
    <mergeCell ref="Z39:AA39"/>
    <mergeCell ref="Z40:AA40"/>
    <mergeCell ref="Z41:AA41"/>
    <mergeCell ref="Z42:AA42"/>
    <mergeCell ref="Z43:AA43"/>
    <mergeCell ref="Z44:AA44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Z45:AA45"/>
    <mergeCell ref="Z46:AA46"/>
    <mergeCell ref="Z47:AA47"/>
    <mergeCell ref="D48:E48"/>
    <mergeCell ref="Z48:AA48"/>
    <mergeCell ref="A49:A58"/>
    <mergeCell ref="S49:S58"/>
    <mergeCell ref="Z49:AA49"/>
    <mergeCell ref="D58:E58"/>
    <mergeCell ref="A38:A48"/>
    <mergeCell ref="S38:S48"/>
    <mergeCell ref="Z38:AA38"/>
    <mergeCell ref="AD59:AD69"/>
    <mergeCell ref="Z60:AA60"/>
    <mergeCell ref="Z61:AA61"/>
    <mergeCell ref="Z62:AA62"/>
    <mergeCell ref="Z63:AA63"/>
    <mergeCell ref="Z64:AA64"/>
    <mergeCell ref="Z65:AA65"/>
    <mergeCell ref="AD49:AD58"/>
    <mergeCell ref="Z50:AA50"/>
    <mergeCell ref="Z51:AA51"/>
    <mergeCell ref="Z52:AA52"/>
    <mergeCell ref="Z53:AA53"/>
    <mergeCell ref="Z54:AA54"/>
    <mergeCell ref="Z55:AA55"/>
    <mergeCell ref="Z56:AA56"/>
    <mergeCell ref="Z57:AA57"/>
    <mergeCell ref="Z58:AA58"/>
    <mergeCell ref="Z66:AA66"/>
    <mergeCell ref="Z67:AA67"/>
    <mergeCell ref="Z68:AA68"/>
    <mergeCell ref="D69:E69"/>
    <mergeCell ref="Z69:AA69"/>
    <mergeCell ref="A70:A79"/>
    <mergeCell ref="S70:S79"/>
    <mergeCell ref="Z70:AA70"/>
    <mergeCell ref="D79:E79"/>
    <mergeCell ref="A59:A69"/>
    <mergeCell ref="S59:S69"/>
    <mergeCell ref="Z59:AA59"/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</mergeCells>
  <phoneticPr fontId="2" type="noConversion"/>
  <conditionalFormatting sqref="P5:P79">
    <cfRule type="cellIs" dxfId="278" priority="1" operator="greaterThan">
      <formula>0</formula>
    </cfRule>
  </conditionalFormatting>
  <conditionalFormatting sqref="Q5:Q79 AB5:AB79">
    <cfRule type="cellIs" dxfId="277" priority="4" operator="lessThan">
      <formula>0</formula>
    </cfRule>
  </conditionalFormatting>
  <conditionalFormatting sqref="R5:R79 AC5:AC79">
    <cfRule type="cellIs" dxfId="276" priority="2" operator="greaterThan">
      <formula>1</formula>
    </cfRule>
    <cfRule type="cellIs" dxfId="275" priority="3" operator="lessThan">
      <formula>0.8</formula>
    </cfRule>
  </conditionalFormatting>
  <conditionalFormatting sqref="S5:S10 S37:S62 AD59:AD62 S69:S76 AD69:AD76">
    <cfRule type="cellIs" dxfId="274" priority="7" operator="lessThan">
      <formula>0.8</formula>
    </cfRule>
  </conditionalFormatting>
  <conditionalFormatting sqref="S19:S25 AD19:AD25">
    <cfRule type="cellIs" dxfId="273" priority="6" operator="lessThan">
      <formula>0.8</formula>
    </cfRule>
  </conditionalFormatting>
  <conditionalFormatting sqref="S79">
    <cfRule type="cellIs" dxfId="272" priority="5" operator="lessThan">
      <formula>0.8</formula>
    </cfRule>
  </conditionalFormatting>
  <conditionalFormatting sqref="AD5:AD8 S15:S16 AD15:AD16 AD49 AD79">
    <cfRule type="cellIs" dxfId="271" priority="9" operator="lessThan">
      <formula>0.8</formula>
    </cfRule>
  </conditionalFormatting>
  <conditionalFormatting sqref="AD27 S27:S28">
    <cfRule type="cellIs" dxfId="27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57C4078-0833-457F-8729-8A5C23760CF7}">
          <x14:formula1>
            <xm:f>廠價表!$C$2:$C$37</xm:f>
          </x14:formula1>
          <xm:sqref>D1:D1048576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6DAF1-7C48-420D-AED3-6EFED253F0F8}">
  <sheetPr>
    <pageSetUpPr fitToPage="1"/>
  </sheetPr>
  <dimension ref="B1:O22"/>
  <sheetViews>
    <sheetView zoomScale="70" zoomScaleNormal="70" workbookViewId="0">
      <selection activeCell="Z73" sqref="Z73:AA73"/>
    </sheetView>
  </sheetViews>
  <sheetFormatPr defaultColWidth="8.125" defaultRowHeight="15.75"/>
  <cols>
    <col min="1" max="1" width="8.125" style="203"/>
    <col min="2" max="2" width="7.125" style="203" customWidth="1"/>
    <col min="3" max="3" width="7.125" style="218" customWidth="1"/>
    <col min="4" max="17" width="14.125" style="203" customWidth="1"/>
    <col min="18" max="21" width="9.625" style="203" customWidth="1"/>
    <col min="22" max="22" width="11.125" style="203" customWidth="1"/>
    <col min="23" max="23" width="11.5" style="203" customWidth="1"/>
    <col min="24" max="16384" width="8.125" style="203"/>
  </cols>
  <sheetData>
    <row r="1" spans="2:15" ht="27.75" customHeight="1">
      <c r="B1" s="345" t="s">
        <v>73</v>
      </c>
      <c r="C1" s="345"/>
      <c r="D1" s="345"/>
      <c r="E1" s="345"/>
      <c r="F1" s="345"/>
      <c r="G1" s="345"/>
      <c r="H1" s="345"/>
      <c r="I1" s="345"/>
      <c r="J1" s="345"/>
      <c r="K1" s="345"/>
      <c r="L1" s="202"/>
      <c r="M1" s="202"/>
    </row>
    <row r="2" spans="2:15" ht="27.75" customHeight="1"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202"/>
      <c r="M2" s="202"/>
    </row>
    <row r="3" spans="2:15" ht="46.5" customHeight="1">
      <c r="B3" s="342" t="s">
        <v>74</v>
      </c>
      <c r="C3" s="342"/>
      <c r="D3" s="346">
        <v>45965</v>
      </c>
      <c r="E3" s="346"/>
      <c r="F3" s="204" t="s">
        <v>75</v>
      </c>
      <c r="G3" s="347">
        <f>'1104'!E1</f>
        <v>53251</v>
      </c>
      <c r="H3" s="347"/>
      <c r="I3" s="204" t="s">
        <v>76</v>
      </c>
      <c r="J3" s="348">
        <f>'1104'!G1</f>
        <v>2563730.9600000004</v>
      </c>
      <c r="K3" s="348"/>
      <c r="L3" s="205"/>
    </row>
    <row r="4" spans="2:15" ht="24" customHeight="1">
      <c r="B4" s="342" t="s">
        <v>77</v>
      </c>
      <c r="C4" s="342"/>
      <c r="D4" s="343">
        <v>3</v>
      </c>
      <c r="E4" s="343"/>
      <c r="F4" s="344" t="s">
        <v>78</v>
      </c>
      <c r="G4" s="344"/>
      <c r="H4" s="344" t="s">
        <v>79</v>
      </c>
      <c r="I4" s="344"/>
      <c r="J4" s="343" t="s">
        <v>80</v>
      </c>
      <c r="K4" s="344"/>
      <c r="L4" s="206"/>
    </row>
    <row r="5" spans="2:15" ht="24" customHeight="1">
      <c r="B5" s="342" t="s">
        <v>81</v>
      </c>
      <c r="C5" s="342"/>
      <c r="D5" s="343" t="s">
        <v>82</v>
      </c>
      <c r="E5" s="343"/>
      <c r="F5" s="343" t="s">
        <v>83</v>
      </c>
      <c r="G5" s="343"/>
      <c r="H5" s="369" t="s">
        <v>62</v>
      </c>
      <c r="I5" s="369"/>
      <c r="J5" s="341" t="s">
        <v>84</v>
      </c>
      <c r="K5" s="341"/>
      <c r="L5" s="207"/>
    </row>
    <row r="6" spans="2:15" ht="39.6" customHeight="1">
      <c r="B6" s="342"/>
      <c r="C6" s="342"/>
      <c r="D6" s="342" t="s">
        <v>85</v>
      </c>
      <c r="E6" s="342"/>
      <c r="F6" s="356">
        <f>AVERAGE(D13:J13)</f>
        <v>114.80613468059289</v>
      </c>
      <c r="G6" s="356"/>
      <c r="H6" s="349">
        <f>AVERAGE(D13:H13)</f>
        <v>114.19867402291553</v>
      </c>
      <c r="I6" s="349"/>
      <c r="J6" s="349">
        <f>AVERAGE(I13:J13)</f>
        <v>116.32478632478632</v>
      </c>
      <c r="K6" s="349"/>
      <c r="L6" s="207"/>
    </row>
    <row r="7" spans="2:15" s="208" customFormat="1" ht="39.6" customHeight="1">
      <c r="B7" s="342"/>
      <c r="C7" s="342"/>
      <c r="D7" s="350" t="s">
        <v>86</v>
      </c>
      <c r="E7" s="350"/>
      <c r="F7" s="351">
        <f>AVERAGE(D14:J14)</f>
        <v>103.60218830451494</v>
      </c>
      <c r="G7" s="351"/>
      <c r="H7" s="352">
        <f>AVERAGE(D14:H14)</f>
        <v>105.01525935949265</v>
      </c>
      <c r="I7" s="352"/>
      <c r="J7" s="352">
        <f>AVERAGE(I14:J14)</f>
        <v>100.06951066707069</v>
      </c>
      <c r="K7" s="352"/>
    </row>
    <row r="8" spans="2:15" s="208" customFormat="1" ht="39.6" customHeight="1">
      <c r="B8" s="342"/>
      <c r="C8" s="342"/>
      <c r="D8" s="350" t="s">
        <v>87</v>
      </c>
      <c r="E8" s="350"/>
      <c r="F8" s="353">
        <f>AVERAGE(D15:J15)</f>
        <v>0.89969228081579256</v>
      </c>
      <c r="G8" s="353"/>
      <c r="H8" s="353">
        <f>AVERAGE(D15:H15)</f>
        <v>0.91690406475071384</v>
      </c>
      <c r="I8" s="353"/>
      <c r="J8" s="353">
        <f>AVERAGE(I15:J15)</f>
        <v>0.85666282097848923</v>
      </c>
      <c r="K8" s="353"/>
      <c r="L8" s="209" t="s">
        <v>88</v>
      </c>
    </row>
    <row r="9" spans="2:15" ht="25.5" customHeight="1">
      <c r="B9" s="207"/>
      <c r="C9" s="207"/>
      <c r="D9" s="207"/>
      <c r="E9" s="207"/>
      <c r="F9" s="207"/>
      <c r="G9" s="207"/>
      <c r="H9" s="210"/>
      <c r="I9" s="211"/>
      <c r="J9" s="211"/>
      <c r="K9" s="211"/>
      <c r="L9" s="211"/>
      <c r="M9" s="211"/>
      <c r="N9" s="211"/>
      <c r="O9" s="207"/>
    </row>
    <row r="10" spans="2:15" ht="30" customHeight="1">
      <c r="B10" s="354" t="s">
        <v>0</v>
      </c>
      <c r="C10" s="355"/>
      <c r="D10" s="357" t="s">
        <v>89</v>
      </c>
      <c r="E10" s="358"/>
      <c r="F10" s="358"/>
      <c r="G10" s="358"/>
      <c r="H10" s="358"/>
      <c r="I10" s="358"/>
      <c r="J10" s="359"/>
    </row>
    <row r="11" spans="2:15" ht="17.25" customHeight="1">
      <c r="B11" s="360" t="s">
        <v>90</v>
      </c>
      <c r="C11" s="361"/>
      <c r="D11" s="212">
        <v>1</v>
      </c>
      <c r="E11" s="212">
        <v>2</v>
      </c>
      <c r="F11" s="212">
        <v>3</v>
      </c>
      <c r="G11" s="212">
        <v>4</v>
      </c>
      <c r="H11" s="212">
        <v>5</v>
      </c>
      <c r="I11" s="212">
        <v>6</v>
      </c>
      <c r="J11" s="212">
        <v>7</v>
      </c>
    </row>
    <row r="12" spans="2:15" ht="33.950000000000003" customHeight="1">
      <c r="B12" s="362"/>
      <c r="C12" s="363"/>
      <c r="D12" s="213" t="s">
        <v>91</v>
      </c>
      <c r="E12" s="213" t="s">
        <v>92</v>
      </c>
      <c r="F12" s="213" t="s">
        <v>93</v>
      </c>
      <c r="G12" s="213" t="s">
        <v>94</v>
      </c>
      <c r="H12" s="213" t="s">
        <v>95</v>
      </c>
      <c r="I12" s="213" t="s">
        <v>96</v>
      </c>
      <c r="J12" s="213" t="s">
        <v>97</v>
      </c>
    </row>
    <row r="13" spans="2:15" ht="39.950000000000003" customHeight="1">
      <c r="B13" s="364" t="s">
        <v>1</v>
      </c>
      <c r="C13" s="214" t="s">
        <v>98</v>
      </c>
      <c r="D13" s="215">
        <f>VALUE('1104'!L15)</f>
        <v>146.98642533936649</v>
      </c>
      <c r="E13" s="215">
        <f>VALUE('1104'!L26)</f>
        <v>162.27564102564102</v>
      </c>
      <c r="F13" s="215">
        <f>VALUE('1104'!L37)</f>
        <v>81.982570806100227</v>
      </c>
      <c r="G13" s="215">
        <f>VALUE('1104'!L48)</f>
        <v>93.033333333333331</v>
      </c>
      <c r="H13" s="215">
        <f>VALUE('1104'!L58)</f>
        <v>86.715399610136458</v>
      </c>
      <c r="I13" s="215">
        <f>VALUE('1104'!L69)</f>
        <v>126.40384615384615</v>
      </c>
      <c r="J13" s="215">
        <f>VALUE('1104'!L79)</f>
        <v>106.24572649572649</v>
      </c>
    </row>
    <row r="14" spans="2:15" ht="39.950000000000003" customHeight="1">
      <c r="B14" s="365"/>
      <c r="C14" s="214" t="s">
        <v>99</v>
      </c>
      <c r="D14" s="215">
        <f>VALUE('1104'!O15)</f>
        <v>136.41259179330322</v>
      </c>
      <c r="E14" s="215">
        <f>VALUE('1104'!O26)</f>
        <v>152.03054904090757</v>
      </c>
      <c r="F14" s="215">
        <f>VALUE('1104'!O37)</f>
        <v>76.008459073049707</v>
      </c>
      <c r="G14" s="215">
        <f>VALUE('1104'!O48)</f>
        <v>76.433333333333294</v>
      </c>
      <c r="H14" s="215">
        <f>VALUE('1104'!O58)</f>
        <v>84.191363556869376</v>
      </c>
      <c r="I14" s="215">
        <f>VALUE('1104'!O69)</f>
        <v>113.53261560131587</v>
      </c>
      <c r="J14" s="215">
        <f>VALUE('1104'!O79)</f>
        <v>86.606405732825522</v>
      </c>
    </row>
    <row r="15" spans="2:15" ht="39.950000000000003" customHeight="1">
      <c r="B15" s="366"/>
      <c r="C15" s="212" t="s">
        <v>100</v>
      </c>
      <c r="D15" s="233">
        <f>D14/D13</f>
        <v>0.92806251651028249</v>
      </c>
      <c r="E15" s="233">
        <f t="shared" ref="E15:J15" si="0">E14/E13</f>
        <v>0.93686611299156952</v>
      </c>
      <c r="F15" s="233">
        <f t="shared" si="0"/>
        <v>0.92712949015492452</v>
      </c>
      <c r="G15" s="233">
        <f t="shared" si="0"/>
        <v>0.82156932998925081</v>
      </c>
      <c r="H15" s="233">
        <f t="shared" si="0"/>
        <v>0.97089287410754155</v>
      </c>
      <c r="I15" s="233">
        <f t="shared" si="0"/>
        <v>0.89817374277627038</v>
      </c>
      <c r="J15" s="233">
        <f t="shared" si="0"/>
        <v>0.81515189918070807</v>
      </c>
    </row>
    <row r="16" spans="2:15" ht="17.25" customHeight="1">
      <c r="B16" s="367" t="s">
        <v>101</v>
      </c>
      <c r="C16" s="212" t="s">
        <v>102</v>
      </c>
      <c r="D16" s="95">
        <f>'1104'!T5</f>
        <v>0.2902777777777778</v>
      </c>
      <c r="E16" s="95">
        <f>'1104'!T16</f>
        <v>0.2902777777777778</v>
      </c>
      <c r="F16" s="95">
        <f>'1104'!T27</f>
        <v>0.28888888888888886</v>
      </c>
      <c r="G16" s="95">
        <f>'1104'!T38</f>
        <v>0.33333333333333331</v>
      </c>
      <c r="H16" s="95">
        <f>'1104'!T49</f>
        <v>0.29166666666666669</v>
      </c>
      <c r="I16" s="95">
        <f>'1104'!T59</f>
        <v>0.29444444444444445</v>
      </c>
      <c r="J16" s="272">
        <f>'1104'!T70</f>
        <v>0.33680555555555558</v>
      </c>
    </row>
    <row r="17" spans="2:10" ht="17.25" customHeight="1">
      <c r="B17" s="368"/>
      <c r="C17" s="212" t="s">
        <v>103</v>
      </c>
      <c r="D17" s="20">
        <v>0.60833333333333328</v>
      </c>
      <c r="E17" s="41">
        <v>0.59652777777777777</v>
      </c>
      <c r="F17" s="41">
        <v>0.55069444444444449</v>
      </c>
      <c r="G17" s="59">
        <v>0.47916666666666669</v>
      </c>
      <c r="H17" s="44">
        <v>0.61875000000000002</v>
      </c>
      <c r="I17" s="20">
        <v>0.61944444444444446</v>
      </c>
      <c r="J17" s="20">
        <v>0.60416666666666663</v>
      </c>
    </row>
    <row r="18" spans="2:10" ht="17.25" customHeight="1">
      <c r="B18" s="354" t="s">
        <v>104</v>
      </c>
      <c r="C18" s="355"/>
      <c r="D18" s="216">
        <f>VALUE('1104'!M15)</f>
        <v>13.8</v>
      </c>
      <c r="E18" s="216">
        <f>VALUE('1104'!M26)</f>
        <v>12.5</v>
      </c>
      <c r="F18" s="216">
        <f>VALUE('1104'!M37)</f>
        <v>16.666666666666668</v>
      </c>
      <c r="G18" s="216">
        <f>VALUE('1104'!M48)</f>
        <v>15</v>
      </c>
      <c r="H18" s="216">
        <f>VALUE('1104'!M58)</f>
        <v>18.333333333333332</v>
      </c>
      <c r="I18" s="216">
        <f>VALUE('1104'!M69)</f>
        <v>12.4</v>
      </c>
      <c r="J18" s="216">
        <f>VALUE('1104'!M79)</f>
        <v>13.466666666666667</v>
      </c>
    </row>
    <row r="19" spans="2:10" ht="17.25" customHeight="1">
      <c r="B19" s="354" t="s">
        <v>105</v>
      </c>
      <c r="C19" s="355"/>
      <c r="D19" s="213" t="s">
        <v>106</v>
      </c>
      <c r="E19" s="213" t="s">
        <v>106</v>
      </c>
      <c r="F19" s="213" t="s">
        <v>107</v>
      </c>
      <c r="G19" s="213" t="s">
        <v>107</v>
      </c>
      <c r="H19" s="213" t="s">
        <v>107</v>
      </c>
      <c r="I19" s="213" t="s">
        <v>108</v>
      </c>
      <c r="J19" s="213" t="s">
        <v>107</v>
      </c>
    </row>
    <row r="20" spans="2:10" ht="17.25" customHeight="1">
      <c r="B20" s="354" t="s">
        <v>110</v>
      </c>
      <c r="C20" s="355"/>
      <c r="D20" s="213"/>
      <c r="E20" s="213"/>
      <c r="F20" s="213"/>
      <c r="G20" s="217"/>
      <c r="H20" s="213" t="s">
        <v>109</v>
      </c>
      <c r="I20" s="213"/>
      <c r="J20" s="213"/>
    </row>
    <row r="21" spans="2:10" ht="17.25" customHeight="1">
      <c r="B21" s="354" t="s">
        <v>111</v>
      </c>
      <c r="C21" s="355"/>
      <c r="D21" s="273"/>
      <c r="E21" s="273"/>
      <c r="F21" s="273"/>
      <c r="G21" s="273"/>
      <c r="H21" s="273"/>
      <c r="I21" s="273"/>
      <c r="J21" s="273"/>
    </row>
    <row r="22" spans="2:10">
      <c r="B22" s="370"/>
      <c r="C22" s="370"/>
    </row>
  </sheetData>
  <mergeCells count="37">
    <mergeCell ref="J5:K5"/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J6:K6"/>
    <mergeCell ref="D7:E7"/>
    <mergeCell ref="F7:G7"/>
    <mergeCell ref="H7:I7"/>
    <mergeCell ref="J7:K7"/>
    <mergeCell ref="H8:I8"/>
    <mergeCell ref="B18:C18"/>
    <mergeCell ref="B19:C19"/>
    <mergeCell ref="D6:E6"/>
    <mergeCell ref="F6:G6"/>
    <mergeCell ref="H6:I6"/>
    <mergeCell ref="D10:J10"/>
    <mergeCell ref="B11:C12"/>
    <mergeCell ref="B13:B15"/>
    <mergeCell ref="B16:B17"/>
    <mergeCell ref="B10:C10"/>
    <mergeCell ref="J8:K8"/>
    <mergeCell ref="B5:C8"/>
    <mergeCell ref="D5:E5"/>
    <mergeCell ref="F5:G5"/>
    <mergeCell ref="H5:I5"/>
    <mergeCell ref="B20:C20"/>
    <mergeCell ref="B21:C21"/>
    <mergeCell ref="B22:C22"/>
    <mergeCell ref="D8:E8"/>
    <mergeCell ref="F8:G8"/>
  </mergeCells>
  <phoneticPr fontId="2" type="noConversion"/>
  <conditionalFormatting sqref="D15:J15">
    <cfRule type="cellIs" dxfId="269" priority="1" operator="lessThan">
      <formula>0.8</formula>
    </cfRule>
  </conditionalFormatting>
  <pageMargins left="0.7" right="0.7" top="0.75" bottom="0.75" header="0.3" footer="0.3"/>
  <pageSetup paperSize="8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C162E-0F77-4B36-A409-104E3F51177D}">
  <sheetPr>
    <tabColor theme="9" tint="0.79998168889431442"/>
    <pageSetUpPr fitToPage="1"/>
  </sheetPr>
  <dimension ref="A1:AF92"/>
  <sheetViews>
    <sheetView zoomScale="69" zoomScaleNormal="69" workbookViewId="0">
      <pane xSplit="5" ySplit="4" topLeftCell="F5" activePane="bottomRight" state="frozen"/>
      <selection activeCell="Z73" sqref="Z73:AA73"/>
      <selection pane="topRight" activeCell="Z73" sqref="Z73:AA73"/>
      <selection pane="bottomLeft" activeCell="Z73" sqref="Z73:AA73"/>
      <selection pane="bottomRight" activeCell="M40" sqref="M40"/>
    </sheetView>
  </sheetViews>
  <sheetFormatPr defaultColWidth="7.875" defaultRowHeight="15.75"/>
  <cols>
    <col min="1" max="1" width="15" style="6" customWidth="1"/>
    <col min="2" max="2" width="12.875" style="6" customWidth="1"/>
    <col min="3" max="3" width="12.875" style="6" hidden="1" customWidth="1"/>
    <col min="4" max="4" width="26.125" style="6" bestFit="1" customWidth="1"/>
    <col min="5" max="5" width="15" style="6" customWidth="1"/>
    <col min="6" max="6" width="8.875" style="6" bestFit="1" customWidth="1"/>
    <col min="7" max="7" width="20.125" style="6" bestFit="1" customWidth="1"/>
    <col min="8" max="8" width="16.375" style="6" bestFit="1" customWidth="1"/>
    <col min="9" max="9" width="10.875" style="6" bestFit="1" customWidth="1"/>
    <col min="10" max="10" width="10.125" style="6" bestFit="1" customWidth="1"/>
    <col min="11" max="11" width="10.625" style="6" customWidth="1"/>
    <col min="12" max="12" width="14.5" style="6" customWidth="1"/>
    <col min="13" max="13" width="10.125" style="6" bestFit="1" customWidth="1"/>
    <col min="14" max="14" width="10.25" style="6" bestFit="1" customWidth="1"/>
    <col min="15" max="15" width="11.875" style="6" customWidth="1"/>
    <col min="16" max="17" width="9.125" style="6" bestFit="1" customWidth="1"/>
    <col min="18" max="18" width="9.125" style="6" customWidth="1"/>
    <col min="19" max="19" width="8.375" style="6" customWidth="1"/>
    <col min="20" max="21" width="9.375" style="6" bestFit="1" customWidth="1"/>
    <col min="22" max="22" width="10.625" style="6" customWidth="1"/>
    <col min="23" max="23" width="8.625" style="92" customWidth="1"/>
    <col min="24" max="24" width="7.5" style="6" bestFit="1" customWidth="1"/>
    <col min="25" max="25" width="6.875" style="6" customWidth="1"/>
    <col min="26" max="26" width="12.625" style="6" customWidth="1"/>
    <col min="27" max="27" width="33.375" style="6" customWidth="1"/>
    <col min="28" max="28" width="13.125" style="6" bestFit="1" customWidth="1"/>
    <col min="29" max="29" width="10.375" style="6" customWidth="1"/>
    <col min="30" max="30" width="9.125" style="6" customWidth="1"/>
    <col min="31" max="31" width="7.875" style="6"/>
    <col min="32" max="32" width="24.5" style="6" bestFit="1" customWidth="1"/>
    <col min="33" max="16384" width="7.875" style="6"/>
  </cols>
  <sheetData>
    <row r="1" spans="1:30" ht="21">
      <c r="A1" s="2" t="s">
        <v>72</v>
      </c>
      <c r="B1" s="2"/>
      <c r="C1" s="2"/>
      <c r="D1" s="176" t="s">
        <v>8</v>
      </c>
      <c r="E1" s="3">
        <f>SUM(G5:G79)</f>
        <v>53251</v>
      </c>
      <c r="F1" s="177" t="s">
        <v>9</v>
      </c>
      <c r="G1" s="4">
        <f>SUM(H5:H79)</f>
        <v>2563730.9600000004</v>
      </c>
      <c r="H1" s="175" t="s">
        <v>10</v>
      </c>
      <c r="I1" s="5">
        <f>M15+M26+M48+M58+M69+M79+M37</f>
        <v>102.16666666666667</v>
      </c>
      <c r="J1" s="371" t="s">
        <v>11</v>
      </c>
      <c r="K1" s="371"/>
      <c r="L1" s="371"/>
      <c r="M1" s="371" t="s">
        <v>12</v>
      </c>
      <c r="N1" s="371"/>
      <c r="O1" s="371"/>
      <c r="P1" s="371" t="s">
        <v>13</v>
      </c>
      <c r="Q1" s="371"/>
      <c r="R1" s="371"/>
      <c r="S1" s="371"/>
      <c r="T1" s="371" t="s">
        <v>14</v>
      </c>
      <c r="U1" s="371"/>
      <c r="V1" s="371"/>
      <c r="W1" s="371"/>
      <c r="X1" s="371"/>
      <c r="Y1" s="371"/>
      <c r="Z1" s="371" t="s">
        <v>15</v>
      </c>
      <c r="AA1" s="371"/>
      <c r="AB1" s="371" t="s">
        <v>16</v>
      </c>
      <c r="AC1" s="372"/>
      <c r="AD1" s="372"/>
    </row>
    <row r="2" spans="1:30" ht="18.75">
      <c r="A2" s="409" t="s">
        <v>171</v>
      </c>
      <c r="B2" s="409"/>
      <c r="C2" s="176"/>
      <c r="D2" s="176" t="s">
        <v>1</v>
      </c>
      <c r="E2" s="7">
        <f>AVERAGE(O15,O26,O37,O48,O58,O69,O79)</f>
        <v>103.60218830451494</v>
      </c>
      <c r="F2" s="8" t="s">
        <v>2</v>
      </c>
      <c r="G2" s="9">
        <f>G1/E1</f>
        <v>48.144278229516821</v>
      </c>
      <c r="H2" s="175" t="s">
        <v>17</v>
      </c>
      <c r="I2" s="175">
        <f>COUNT(I5:I79)</f>
        <v>0</v>
      </c>
      <c r="J2" s="371"/>
      <c r="K2" s="371"/>
      <c r="L2" s="371"/>
      <c r="M2" s="371"/>
      <c r="N2" s="371"/>
      <c r="O2" s="371"/>
      <c r="P2" s="371"/>
      <c r="Q2" s="371"/>
      <c r="R2" s="371"/>
      <c r="S2" s="371"/>
      <c r="T2" s="371"/>
      <c r="U2" s="371"/>
      <c r="V2" s="371"/>
      <c r="W2" s="371"/>
      <c r="X2" s="371"/>
      <c r="Y2" s="371"/>
      <c r="Z2" s="371"/>
      <c r="AA2" s="371"/>
      <c r="AB2" s="372"/>
      <c r="AC2" s="372"/>
      <c r="AD2" s="372"/>
    </row>
    <row r="3" spans="1:30">
      <c r="A3" s="405" t="s">
        <v>18</v>
      </c>
      <c r="B3" s="405" t="s">
        <v>19</v>
      </c>
      <c r="C3" s="177"/>
      <c r="D3" s="405" t="s">
        <v>20</v>
      </c>
      <c r="E3" s="405"/>
      <c r="F3" s="379" t="s">
        <v>21</v>
      </c>
      <c r="G3" s="389" t="s">
        <v>22</v>
      </c>
      <c r="H3" s="379" t="s">
        <v>23</v>
      </c>
      <c r="I3" s="381" t="s">
        <v>24</v>
      </c>
      <c r="J3" s="383" t="s">
        <v>25</v>
      </c>
      <c r="K3" s="385" t="s">
        <v>26</v>
      </c>
      <c r="L3" s="387" t="s">
        <v>1</v>
      </c>
      <c r="M3" s="389" t="s">
        <v>25</v>
      </c>
      <c r="N3" s="385" t="s">
        <v>26</v>
      </c>
      <c r="O3" s="387" t="s">
        <v>1</v>
      </c>
      <c r="P3" s="383" t="s">
        <v>25</v>
      </c>
      <c r="Q3" s="387" t="s">
        <v>1</v>
      </c>
      <c r="R3" s="392" t="s">
        <v>27</v>
      </c>
      <c r="S3" s="394" t="s">
        <v>28</v>
      </c>
      <c r="T3" s="389" t="s">
        <v>4</v>
      </c>
      <c r="U3" s="389"/>
      <c r="V3" s="408" t="s">
        <v>29</v>
      </c>
      <c r="W3" s="381" t="s">
        <v>30</v>
      </c>
      <c r="X3" s="389" t="s">
        <v>31</v>
      </c>
      <c r="Y3" s="389"/>
      <c r="Z3" s="415" t="s">
        <v>71</v>
      </c>
      <c r="AA3" s="416"/>
      <c r="AB3" s="385" t="s">
        <v>26</v>
      </c>
      <c r="AC3" s="392" t="s">
        <v>27</v>
      </c>
      <c r="AD3" s="394" t="s">
        <v>28</v>
      </c>
    </row>
    <row r="4" spans="1:30" ht="16.5" thickBot="1">
      <c r="A4" s="379"/>
      <c r="B4" s="379"/>
      <c r="C4" s="178"/>
      <c r="D4" s="379"/>
      <c r="E4" s="379"/>
      <c r="F4" s="380"/>
      <c r="G4" s="390"/>
      <c r="H4" s="380"/>
      <c r="I4" s="382"/>
      <c r="J4" s="384"/>
      <c r="K4" s="386"/>
      <c r="L4" s="388"/>
      <c r="M4" s="390"/>
      <c r="N4" s="386"/>
      <c r="O4" s="388"/>
      <c r="P4" s="384"/>
      <c r="Q4" s="388"/>
      <c r="R4" s="393"/>
      <c r="S4" s="395"/>
      <c r="T4" s="179" t="s">
        <v>5</v>
      </c>
      <c r="U4" s="179" t="s">
        <v>6</v>
      </c>
      <c r="V4" s="390"/>
      <c r="W4" s="382"/>
      <c r="X4" s="178" t="s">
        <v>32</v>
      </c>
      <c r="Y4" s="178" t="s">
        <v>33</v>
      </c>
      <c r="Z4" s="417"/>
      <c r="AA4" s="417"/>
      <c r="AB4" s="386"/>
      <c r="AC4" s="393"/>
      <c r="AD4" s="395"/>
    </row>
    <row r="5" spans="1:30" ht="15" customHeight="1">
      <c r="A5" s="411" t="s">
        <v>66</v>
      </c>
      <c r="B5" s="199" t="str">
        <f>VLOOKUP(D5,廠價表!$C$1:$E$39,2,0)</f>
        <v>義大利麵</v>
      </c>
      <c r="C5" s="102"/>
      <c r="D5" s="103" t="s">
        <v>127</v>
      </c>
      <c r="E5" s="104"/>
      <c r="F5" s="199">
        <f>VLOOKUP(D5,廠價表!$C$1:$E$39,3,0)</f>
        <v>57.21</v>
      </c>
      <c r="G5" s="105">
        <v>1870</v>
      </c>
      <c r="H5" s="106">
        <f>F5*G5</f>
        <v>106982.7</v>
      </c>
      <c r="I5" s="107"/>
      <c r="J5" s="108">
        <f>VLOOKUP(D5,產線配置圖!$A$2:$C$38,2,0)</f>
        <v>13</v>
      </c>
      <c r="K5" s="105">
        <f>VLOOKUP(D5,產線配置圖!$A$2:$C$38,3,0)</f>
        <v>2105</v>
      </c>
      <c r="L5" s="109">
        <f>K5/J5</f>
        <v>161.92307692307693</v>
      </c>
      <c r="M5" s="110">
        <v>13</v>
      </c>
      <c r="N5" s="105">
        <f>G5/W5*60</f>
        <v>1780.9523809523828</v>
      </c>
      <c r="O5" s="109">
        <f>N5/M5</f>
        <v>136.99633699633713</v>
      </c>
      <c r="P5" s="111">
        <f>M5-J5</f>
        <v>0</v>
      </c>
      <c r="Q5" s="112">
        <f>O5-L5</f>
        <v>-24.926739926739799</v>
      </c>
      <c r="R5" s="184">
        <f>O5/L5</f>
        <v>0.84605813821965925</v>
      </c>
      <c r="S5" s="396">
        <f>R15</f>
        <v>0.92806251651028249</v>
      </c>
      <c r="T5" s="94">
        <v>0.2902777777777778</v>
      </c>
      <c r="U5" s="94">
        <v>0.33402777777777776</v>
      </c>
      <c r="V5" s="194"/>
      <c r="W5" s="107">
        <f t="shared" ref="W5:W14" si="0">(U5-T5)*24*60</f>
        <v>62.999999999999936</v>
      </c>
      <c r="X5" s="188"/>
      <c r="Y5" s="188"/>
      <c r="Z5" s="400"/>
      <c r="AA5" s="400"/>
      <c r="AB5" s="111">
        <f>N5-K5</f>
        <v>-324.04761904761722</v>
      </c>
      <c r="AC5" s="184">
        <f>N5/K5</f>
        <v>0.84605813821965925</v>
      </c>
      <c r="AD5" s="401">
        <f>AC15</f>
        <v>0.92914772900941234</v>
      </c>
    </row>
    <row r="6" spans="1:30" ht="15" customHeight="1">
      <c r="A6" s="412"/>
      <c r="B6" s="56" t="str">
        <f>VLOOKUP(D6,廠價表!$C$1:$E$39,2,0)</f>
        <v>義大利麵</v>
      </c>
      <c r="C6" s="10"/>
      <c r="D6" s="11" t="s">
        <v>153</v>
      </c>
      <c r="E6" s="86"/>
      <c r="F6" s="56">
        <f>VLOOKUP(D6,廠價表!$C$1:$E$39,3,0)</f>
        <v>50.67</v>
      </c>
      <c r="G6" s="25">
        <v>1109</v>
      </c>
      <c r="H6" s="15">
        <f t="shared" ref="H6:H14" si="1">F6*G6</f>
        <v>56193.03</v>
      </c>
      <c r="I6" s="182"/>
      <c r="J6" s="16">
        <f>VLOOKUP(D6,產線配置圖!$A$2:$C$38,2,0)</f>
        <v>13</v>
      </c>
      <c r="K6" s="14">
        <f>VLOOKUP(D6,產線配置圖!$A$2:$C$38,3,0)</f>
        <v>2000</v>
      </c>
      <c r="L6" s="17">
        <f>K6/J6</f>
        <v>153.84615384615384</v>
      </c>
      <c r="M6" s="180">
        <v>13</v>
      </c>
      <c r="N6" s="14">
        <f>G6/W6*60</f>
        <v>1901.1428571428596</v>
      </c>
      <c r="O6" s="17">
        <f>N6/M6</f>
        <v>146.24175824175842</v>
      </c>
      <c r="P6" s="18">
        <f>M6-J6</f>
        <v>0</v>
      </c>
      <c r="Q6" s="19">
        <f>O6-L6</f>
        <v>-7.6043956043954211</v>
      </c>
      <c r="R6" s="185">
        <f>O6/L6</f>
        <v>0.95057142857142973</v>
      </c>
      <c r="S6" s="397"/>
      <c r="T6" s="95">
        <v>0.34027777777777779</v>
      </c>
      <c r="U6" s="95">
        <v>0.36458333333333331</v>
      </c>
      <c r="V6" s="177">
        <f>(T6-U5)*24*60</f>
        <v>9.000000000000048</v>
      </c>
      <c r="W6" s="182">
        <f t="shared" si="0"/>
        <v>34.999999999999957</v>
      </c>
      <c r="X6" s="22"/>
      <c r="Y6" s="22"/>
      <c r="Z6" s="381"/>
      <c r="AA6" s="381"/>
      <c r="AB6" s="18">
        <f>N6-K6</f>
        <v>-98.857142857140389</v>
      </c>
      <c r="AC6" s="185">
        <f>N6/K6</f>
        <v>0.95057142857142984</v>
      </c>
      <c r="AD6" s="402"/>
    </row>
    <row r="7" spans="1:30" ht="15" customHeight="1">
      <c r="A7" s="412"/>
      <c r="B7" s="56" t="str">
        <f>VLOOKUP(D7,廠價表!$C$1:$E$39,2,0)</f>
        <v>義大利麵</v>
      </c>
      <c r="C7" s="10"/>
      <c r="D7" s="11" t="s">
        <v>139</v>
      </c>
      <c r="E7" s="86"/>
      <c r="F7" s="56">
        <f>VLOOKUP(D7,廠價表!$C$1:$E$39,3,0)</f>
        <v>57.21</v>
      </c>
      <c r="G7" s="25">
        <v>2256</v>
      </c>
      <c r="H7" s="15">
        <f t="shared" si="1"/>
        <v>129065.76</v>
      </c>
      <c r="I7" s="182"/>
      <c r="J7" s="16">
        <f>VLOOKUP(D7,產線配置圖!$A$2:$C$38,2,0)</f>
        <v>17</v>
      </c>
      <c r="K7" s="14">
        <f>VLOOKUP(D7,產線配置圖!$A$2:$C$38,3,0)</f>
        <v>1895</v>
      </c>
      <c r="L7" s="17">
        <f>K7/J7</f>
        <v>111.47058823529412</v>
      </c>
      <c r="M7" s="180">
        <v>17</v>
      </c>
      <c r="N7" s="14">
        <f>G7/W7*60</f>
        <v>1804.8000000000006</v>
      </c>
      <c r="O7" s="17">
        <f>N7/M7</f>
        <v>106.16470588235298</v>
      </c>
      <c r="P7" s="18">
        <f>M7-J7</f>
        <v>0</v>
      </c>
      <c r="Q7" s="19">
        <f>O7-L7</f>
        <v>-5.3058823529411399</v>
      </c>
      <c r="R7" s="185">
        <f>O7/L7</f>
        <v>0.95240105540897135</v>
      </c>
      <c r="S7" s="397"/>
      <c r="T7" s="95">
        <v>0.37083333333333335</v>
      </c>
      <c r="U7" s="95">
        <v>0.42291666666666666</v>
      </c>
      <c r="V7" s="177">
        <f>(T7-U6)*24*60</f>
        <v>9.000000000000048</v>
      </c>
      <c r="W7" s="182">
        <f t="shared" si="0"/>
        <v>74.999999999999972</v>
      </c>
      <c r="X7" s="22"/>
      <c r="Y7" s="22"/>
      <c r="Z7" s="405"/>
      <c r="AA7" s="405"/>
      <c r="AB7" s="18">
        <f>N7-K7</f>
        <v>-90.199999999999363</v>
      </c>
      <c r="AC7" s="185">
        <f>N7/K7</f>
        <v>0.95240105540897135</v>
      </c>
      <c r="AD7" s="402"/>
    </row>
    <row r="8" spans="1:30" ht="15" customHeight="1">
      <c r="A8" s="412"/>
      <c r="B8" s="56" t="str">
        <f>VLOOKUP(D8,廠價表!$C$1:$E$39,2,0)</f>
        <v>義大利麵</v>
      </c>
      <c r="C8" s="10"/>
      <c r="D8" s="11" t="s">
        <v>141</v>
      </c>
      <c r="E8" s="86"/>
      <c r="F8" s="56">
        <f>VLOOKUP(D8,廠價表!$C$1:$E$39,3,0)</f>
        <v>49.14</v>
      </c>
      <c r="G8" s="25">
        <v>2316</v>
      </c>
      <c r="H8" s="15">
        <f t="shared" si="1"/>
        <v>113808.24</v>
      </c>
      <c r="I8" s="182"/>
      <c r="J8" s="16">
        <f>VLOOKUP(D8,產線配置圖!$A$2:$C$38,2,0)</f>
        <v>13</v>
      </c>
      <c r="K8" s="14">
        <f>VLOOKUP(D8,產線配置圖!$A$2:$C$38,3,0)</f>
        <v>2000</v>
      </c>
      <c r="L8" s="17">
        <f>K8/J8</f>
        <v>153.84615384615384</v>
      </c>
      <c r="M8" s="180">
        <v>13</v>
      </c>
      <c r="N8" s="14">
        <f>G8/W8*60</f>
        <v>1903.5616438356151</v>
      </c>
      <c r="O8" s="17">
        <f>N8/M8</f>
        <v>146.42781875658576</v>
      </c>
      <c r="P8" s="18">
        <f>M8-J8</f>
        <v>0</v>
      </c>
      <c r="Q8" s="19">
        <f>O8-L8</f>
        <v>-7.4183350895680746</v>
      </c>
      <c r="R8" s="185">
        <f>O8/L8</f>
        <v>0.95178082191780755</v>
      </c>
      <c r="S8" s="397"/>
      <c r="T8" s="79">
        <v>0.4284722222222222</v>
      </c>
      <c r="U8" s="79">
        <v>0.47916666666666669</v>
      </c>
      <c r="V8" s="177">
        <f>(T8-U7)*24*60</f>
        <v>7.9999999999999716</v>
      </c>
      <c r="W8" s="182">
        <f t="shared" si="0"/>
        <v>73.000000000000057</v>
      </c>
      <c r="X8" s="22"/>
      <c r="Y8" s="22"/>
      <c r="Z8" s="406"/>
      <c r="AA8" s="406"/>
      <c r="AB8" s="18">
        <f>N8-K8</f>
        <v>-96.438356164384913</v>
      </c>
      <c r="AC8" s="185">
        <f>N8/K8</f>
        <v>0.95178082191780755</v>
      </c>
      <c r="AD8" s="402"/>
    </row>
    <row r="9" spans="1:30" ht="15" customHeight="1">
      <c r="A9" s="413"/>
      <c r="B9" s="56" t="str">
        <f>VLOOKUP(D9,廠價表!$C$1:$E$39,2,0)</f>
        <v>義大利麵</v>
      </c>
      <c r="C9" s="10"/>
      <c r="D9" s="11" t="s">
        <v>141</v>
      </c>
      <c r="E9" s="86"/>
      <c r="F9" s="56">
        <f>VLOOKUP(D9,廠價表!$C$1:$E$39,3,0)</f>
        <v>49.14</v>
      </c>
      <c r="G9" s="25">
        <v>3105</v>
      </c>
      <c r="H9" s="15">
        <f t="shared" si="1"/>
        <v>152579.70000000001</v>
      </c>
      <c r="I9" s="182"/>
      <c r="J9" s="16">
        <f>VLOOKUP(D9,產線配置圖!$A$2:$C$38,2,0)</f>
        <v>13</v>
      </c>
      <c r="K9" s="14">
        <f>VLOOKUP(D9,產線配置圖!$A$2:$C$38,3,0)</f>
        <v>2000</v>
      </c>
      <c r="L9" s="17">
        <f>K9/J9</f>
        <v>153.84615384615384</v>
      </c>
      <c r="M9" s="180">
        <v>13</v>
      </c>
      <c r="N9" s="14">
        <f>G9/W9*60</f>
        <v>1901.0204081632658</v>
      </c>
      <c r="O9" s="17">
        <f>N9/M9</f>
        <v>146.23233908948197</v>
      </c>
      <c r="P9" s="18">
        <f>M9-J9</f>
        <v>0</v>
      </c>
      <c r="Q9" s="19">
        <f>O9-L9</f>
        <v>-7.6138147566718715</v>
      </c>
      <c r="R9" s="185">
        <f>O9/L9</f>
        <v>0.95051020408163278</v>
      </c>
      <c r="S9" s="398"/>
      <c r="T9" s="20">
        <v>0.54027777777777775</v>
      </c>
      <c r="U9" s="20">
        <v>0.60833333333333328</v>
      </c>
      <c r="V9" s="177">
        <f>(T9-U8)*24*60</f>
        <v>87.999999999999929</v>
      </c>
      <c r="W9" s="24">
        <f t="shared" si="0"/>
        <v>97.999999999999972</v>
      </c>
      <c r="X9" s="22">
        <v>0.4861111111111111</v>
      </c>
      <c r="Y9" s="263">
        <v>0.52777777777777779</v>
      </c>
      <c r="Z9" s="407"/>
      <c r="AA9" s="407"/>
      <c r="AB9" s="18">
        <f>N9-K9</f>
        <v>-98.979591836734244</v>
      </c>
      <c r="AC9" s="185">
        <f>N9/K9</f>
        <v>0.95051020408163289</v>
      </c>
      <c r="AD9" s="403"/>
    </row>
    <row r="10" spans="1:30" ht="15" customHeight="1">
      <c r="A10" s="413"/>
      <c r="B10" s="177"/>
      <c r="C10" s="23"/>
      <c r="D10" s="11"/>
      <c r="E10" s="12"/>
      <c r="F10" s="13"/>
      <c r="G10" s="14"/>
      <c r="H10" s="15"/>
      <c r="I10" s="177"/>
      <c r="J10" s="16"/>
      <c r="K10" s="14"/>
      <c r="L10" s="17"/>
      <c r="M10" s="180"/>
      <c r="N10" s="14"/>
      <c r="O10" s="17"/>
      <c r="P10" s="18"/>
      <c r="Q10" s="19"/>
      <c r="R10" s="185"/>
      <c r="S10" s="398"/>
      <c r="T10" s="20"/>
      <c r="U10" s="20"/>
      <c r="V10" s="177"/>
      <c r="W10" s="182">
        <f t="shared" si="0"/>
        <v>0</v>
      </c>
      <c r="X10" s="22"/>
      <c r="Y10" s="263"/>
      <c r="Z10" s="419"/>
      <c r="AA10" s="418"/>
      <c r="AB10" s="264"/>
      <c r="AC10" s="185"/>
      <c r="AD10" s="403"/>
    </row>
    <row r="11" spans="1:30" ht="15" customHeight="1">
      <c r="A11" s="413"/>
      <c r="B11" s="177"/>
      <c r="C11" s="183"/>
      <c r="D11" s="11"/>
      <c r="E11" s="12"/>
      <c r="F11" s="13"/>
      <c r="G11" s="14"/>
      <c r="H11" s="15">
        <f t="shared" si="1"/>
        <v>0</v>
      </c>
      <c r="I11" s="177"/>
      <c r="J11" s="16"/>
      <c r="K11" s="14"/>
      <c r="L11" s="17"/>
      <c r="M11" s="180"/>
      <c r="N11" s="25"/>
      <c r="O11" s="17"/>
      <c r="P11" s="18"/>
      <c r="Q11" s="19"/>
      <c r="R11" s="185"/>
      <c r="S11" s="398"/>
      <c r="T11" s="20"/>
      <c r="U11" s="20"/>
      <c r="V11" s="177"/>
      <c r="W11" s="24">
        <f t="shared" si="0"/>
        <v>0</v>
      </c>
      <c r="X11" s="22"/>
      <c r="Y11" s="263"/>
      <c r="Z11" s="419"/>
      <c r="AA11" s="418"/>
      <c r="AB11" s="264"/>
      <c r="AC11" s="185"/>
      <c r="AD11" s="403"/>
    </row>
    <row r="12" spans="1:30" ht="15" customHeight="1">
      <c r="A12" s="413"/>
      <c r="B12" s="26"/>
      <c r="C12" s="27"/>
      <c r="D12" s="28"/>
      <c r="E12" s="29"/>
      <c r="F12" s="13"/>
      <c r="G12" s="30"/>
      <c r="H12" s="15">
        <f t="shared" si="1"/>
        <v>0</v>
      </c>
      <c r="I12" s="178"/>
      <c r="J12" s="31"/>
      <c r="K12" s="30"/>
      <c r="L12" s="17"/>
      <c r="M12" s="181"/>
      <c r="N12" s="25"/>
      <c r="O12" s="17"/>
      <c r="P12" s="18"/>
      <c r="Q12" s="19"/>
      <c r="R12" s="185"/>
      <c r="S12" s="398"/>
      <c r="T12" s="32"/>
      <c r="U12" s="32"/>
      <c r="V12" s="178"/>
      <c r="W12" s="24">
        <f t="shared" si="0"/>
        <v>0</v>
      </c>
      <c r="X12" s="33"/>
      <c r="Y12" s="33"/>
      <c r="Z12" s="407"/>
      <c r="AA12" s="407"/>
      <c r="AB12" s="34"/>
      <c r="AC12" s="186"/>
      <c r="AD12" s="403"/>
    </row>
    <row r="13" spans="1:30" ht="15" customHeight="1">
      <c r="A13" s="413"/>
      <c r="B13" s="26"/>
      <c r="C13" s="27"/>
      <c r="D13" s="28"/>
      <c r="E13" s="29"/>
      <c r="F13" s="13"/>
      <c r="G13" s="30"/>
      <c r="H13" s="15">
        <f t="shared" si="1"/>
        <v>0</v>
      </c>
      <c r="I13" s="178"/>
      <c r="J13" s="31"/>
      <c r="K13" s="30"/>
      <c r="L13" s="17"/>
      <c r="M13" s="181"/>
      <c r="N13" s="25"/>
      <c r="O13" s="17"/>
      <c r="P13" s="18"/>
      <c r="Q13" s="19"/>
      <c r="R13" s="185"/>
      <c r="S13" s="398"/>
      <c r="T13" s="32"/>
      <c r="U13" s="32"/>
      <c r="V13" s="178"/>
      <c r="W13" s="24">
        <f t="shared" si="0"/>
        <v>0</v>
      </c>
      <c r="X13" s="33"/>
      <c r="Y13" s="33"/>
      <c r="Z13" s="419"/>
      <c r="AA13" s="418"/>
      <c r="AB13" s="34"/>
      <c r="AC13" s="186"/>
      <c r="AD13" s="403"/>
    </row>
    <row r="14" spans="1:30" ht="15" customHeight="1">
      <c r="A14" s="413"/>
      <c r="B14" s="26"/>
      <c r="C14" s="27"/>
      <c r="D14" s="28"/>
      <c r="E14" s="29"/>
      <c r="F14" s="13"/>
      <c r="G14" s="30"/>
      <c r="H14" s="15">
        <f t="shared" si="1"/>
        <v>0</v>
      </c>
      <c r="I14" s="178"/>
      <c r="J14" s="31"/>
      <c r="K14" s="30"/>
      <c r="L14" s="17"/>
      <c r="M14" s="181"/>
      <c r="N14" s="25"/>
      <c r="O14" s="17"/>
      <c r="P14" s="18"/>
      <c r="Q14" s="19"/>
      <c r="R14" s="185"/>
      <c r="S14" s="398"/>
      <c r="T14" s="32"/>
      <c r="U14" s="32"/>
      <c r="V14" s="178"/>
      <c r="W14" s="24">
        <f t="shared" si="0"/>
        <v>0</v>
      </c>
      <c r="X14" s="33"/>
      <c r="Y14" s="33"/>
      <c r="Z14" s="419"/>
      <c r="AA14" s="418"/>
      <c r="AB14" s="34"/>
      <c r="AC14" s="186"/>
      <c r="AD14" s="403"/>
    </row>
    <row r="15" spans="1:30" ht="15" customHeight="1" thickBot="1">
      <c r="A15" s="414"/>
      <c r="B15" s="113"/>
      <c r="C15" s="113" t="s">
        <v>34</v>
      </c>
      <c r="D15" s="410" t="s">
        <v>7</v>
      </c>
      <c r="E15" s="410"/>
      <c r="F15" s="114"/>
      <c r="G15" s="115"/>
      <c r="H15" s="116"/>
      <c r="I15" s="117"/>
      <c r="J15" s="118">
        <f t="shared" ref="J15:O15" si="2">AVERAGE(J5:J14)</f>
        <v>13.8</v>
      </c>
      <c r="K15" s="118">
        <f t="shared" si="2"/>
        <v>2000</v>
      </c>
      <c r="L15" s="115">
        <f t="shared" si="2"/>
        <v>146.98642533936649</v>
      </c>
      <c r="M15" s="118">
        <f t="shared" si="2"/>
        <v>13.8</v>
      </c>
      <c r="N15" s="118">
        <f t="shared" si="2"/>
        <v>1858.2954580188248</v>
      </c>
      <c r="O15" s="115">
        <f t="shared" si="2"/>
        <v>136.41259179330322</v>
      </c>
      <c r="P15" s="119">
        <f t="shared" ref="P15:P16" si="3">M15-J15</f>
        <v>0</v>
      </c>
      <c r="Q15" s="120">
        <f t="shared" ref="Q15:Q16" si="4">O15-L15</f>
        <v>-10.57383354606327</v>
      </c>
      <c r="R15" s="121">
        <f t="shared" ref="R15:R16" si="5">O15/L15</f>
        <v>0.92806251651028249</v>
      </c>
      <c r="S15" s="399"/>
      <c r="T15" s="122"/>
      <c r="U15" s="122"/>
      <c r="V15" s="195"/>
      <c r="W15" s="123"/>
      <c r="X15" s="124"/>
      <c r="Y15" s="124"/>
      <c r="Z15" s="391"/>
      <c r="AA15" s="391"/>
      <c r="AB15" s="119">
        <f>N15-K15</f>
        <v>-141.70454198117523</v>
      </c>
      <c r="AC15" s="187">
        <f>N15/K15</f>
        <v>0.92914772900941234</v>
      </c>
      <c r="AD15" s="404"/>
    </row>
    <row r="16" spans="1:30" ht="15" customHeight="1">
      <c r="A16" s="431" t="s">
        <v>67</v>
      </c>
      <c r="B16" s="199" t="s">
        <v>134</v>
      </c>
      <c r="C16" s="102"/>
      <c r="D16" s="103" t="s">
        <v>127</v>
      </c>
      <c r="E16" s="104"/>
      <c r="F16" s="199">
        <f>VLOOKUP(D16,廠價表!$C$1:$E$39,3,0)</f>
        <v>57.21</v>
      </c>
      <c r="G16" s="265">
        <v>1484</v>
      </c>
      <c r="H16" s="125">
        <f t="shared" ref="H16:H25" si="6">F16*G16</f>
        <v>84899.64</v>
      </c>
      <c r="I16" s="126"/>
      <c r="J16" s="108">
        <f>VLOOKUP(D16,產線配置圖!$A$2:$C$38,2,0)</f>
        <v>13</v>
      </c>
      <c r="K16" s="105">
        <f>VLOOKUP(D16,產線配置圖!$A$2:$C$38,3,0)</f>
        <v>2105</v>
      </c>
      <c r="L16" s="109">
        <f>K16/J16</f>
        <v>161.92307692307693</v>
      </c>
      <c r="M16" s="267">
        <v>13</v>
      </c>
      <c r="N16" s="127">
        <f>G16/W16*60</f>
        <v>1817.1428571428578</v>
      </c>
      <c r="O16" s="128">
        <f>N16/M16</f>
        <v>139.78021978021982</v>
      </c>
      <c r="P16" s="129">
        <f t="shared" si="3"/>
        <v>0</v>
      </c>
      <c r="Q16" s="130">
        <f t="shared" si="4"/>
        <v>-22.14285714285711</v>
      </c>
      <c r="R16" s="189">
        <f t="shared" si="5"/>
        <v>0.86325076348829344</v>
      </c>
      <c r="S16" s="424">
        <f>R26</f>
        <v>0.93686611299156952</v>
      </c>
      <c r="T16" s="268">
        <v>0.2902777777777778</v>
      </c>
      <c r="U16" s="268">
        <v>0.32430555555555557</v>
      </c>
      <c r="V16" s="126"/>
      <c r="W16" s="131">
        <f t="shared" ref="W16:W68" si="7">(U16-T16)*24*60</f>
        <v>48.999999999999986</v>
      </c>
      <c r="X16" s="128"/>
      <c r="Y16" s="128"/>
      <c r="Z16" s="400"/>
      <c r="AA16" s="400"/>
      <c r="AB16" s="111">
        <f>N16-K16</f>
        <v>-287.85714285714221</v>
      </c>
      <c r="AC16" s="184">
        <f>N16/K16</f>
        <v>0.86325076348829344</v>
      </c>
      <c r="AD16" s="401">
        <f>AC26</f>
        <v>0.93597930713194444</v>
      </c>
    </row>
    <row r="17" spans="1:30" ht="15" customHeight="1">
      <c r="A17" s="432"/>
      <c r="B17" s="56" t="s">
        <v>62</v>
      </c>
      <c r="C17" s="10"/>
      <c r="D17" s="11" t="s">
        <v>153</v>
      </c>
      <c r="E17" s="86"/>
      <c r="F17" s="56">
        <f>VLOOKUP(D17,廠價表!$C$1:$E$39,3,0)</f>
        <v>50.67</v>
      </c>
      <c r="G17" s="96">
        <v>3806</v>
      </c>
      <c r="H17" s="15">
        <f>F17*G17</f>
        <v>192850.02000000002</v>
      </c>
      <c r="I17" s="177"/>
      <c r="J17" s="16">
        <f>VLOOKUP(D17,產線配置圖!$A$2:$C$38,2,0)</f>
        <v>13</v>
      </c>
      <c r="K17" s="14">
        <f>VLOOKUP(D17,產線配置圖!$A$2:$C$38,3,0)</f>
        <v>2000</v>
      </c>
      <c r="L17" s="17">
        <f>K17/J17</f>
        <v>153.84615384615384</v>
      </c>
      <c r="M17" s="37">
        <v>13</v>
      </c>
      <c r="N17" s="36">
        <f>G17/W17*60</f>
        <v>1935.254237288136</v>
      </c>
      <c r="O17" s="38">
        <f>N17/M17</f>
        <v>148.86571056062584</v>
      </c>
      <c r="P17" s="39">
        <f>M17-J17</f>
        <v>0</v>
      </c>
      <c r="Q17" s="40">
        <f>O17-L17</f>
        <v>-4.980443285527997</v>
      </c>
      <c r="R17" s="190">
        <f>O17/L17</f>
        <v>0.96762711864406803</v>
      </c>
      <c r="S17" s="425"/>
      <c r="T17" s="41">
        <v>0.33194444444444443</v>
      </c>
      <c r="U17" s="41">
        <v>0.41388888888888886</v>
      </c>
      <c r="V17" s="177">
        <f>(T17-U16)*24*60</f>
        <v>10.999999999999961</v>
      </c>
      <c r="W17" s="43">
        <f t="shared" si="7"/>
        <v>117.99999999999999</v>
      </c>
      <c r="X17" s="44"/>
      <c r="Y17" s="44"/>
      <c r="Z17" s="418"/>
      <c r="AA17" s="405"/>
      <c r="AB17" s="18">
        <f>N17-K17</f>
        <v>-64.745762711864018</v>
      </c>
      <c r="AC17" s="185">
        <f>N17/K17</f>
        <v>0.96762711864406803</v>
      </c>
      <c r="AD17" s="402"/>
    </row>
    <row r="18" spans="1:30" ht="15" customHeight="1">
      <c r="A18" s="432"/>
      <c r="B18" s="56" t="s">
        <v>62</v>
      </c>
      <c r="C18" s="10"/>
      <c r="D18" s="11" t="s">
        <v>131</v>
      </c>
      <c r="E18" s="86"/>
      <c r="F18" s="56">
        <f>VLOOKUP(D18,廠價表!$C$1:$E$39,3,0)</f>
        <v>50.39</v>
      </c>
      <c r="G18" s="96">
        <v>2502</v>
      </c>
      <c r="H18" s="15">
        <f>F18*G18</f>
        <v>126075.78</v>
      </c>
      <c r="I18" s="177"/>
      <c r="J18" s="16">
        <f>VLOOKUP(D18,產線配置圖!$A$2:$C$38,2,0)</f>
        <v>12</v>
      </c>
      <c r="K18" s="14">
        <f>VLOOKUP(D18,產線配置圖!$A$2:$C$38,3,0)</f>
        <v>2000</v>
      </c>
      <c r="L18" s="17">
        <f>K18/J18</f>
        <v>166.66666666666666</v>
      </c>
      <c r="M18" s="37">
        <v>12</v>
      </c>
      <c r="N18" s="36">
        <f>G18/W18*60</f>
        <v>1876.4999999999993</v>
      </c>
      <c r="O18" s="38">
        <f>N18/M18</f>
        <v>156.37499999999994</v>
      </c>
      <c r="P18" s="39">
        <f>M18-J18</f>
        <v>0</v>
      </c>
      <c r="Q18" s="40">
        <f>O18-L18</f>
        <v>-10.291666666666714</v>
      </c>
      <c r="R18" s="190">
        <f>O18/L18</f>
        <v>0.9382499999999997</v>
      </c>
      <c r="S18" s="425"/>
      <c r="T18" s="41">
        <v>0.4236111111111111</v>
      </c>
      <c r="U18" s="41">
        <v>0.47916666666666669</v>
      </c>
      <c r="V18" s="177">
        <f>(T18-U17)*24*60</f>
        <v>14.00000000000003</v>
      </c>
      <c r="W18" s="43">
        <f t="shared" si="7"/>
        <v>80.000000000000028</v>
      </c>
      <c r="X18" s="22"/>
      <c r="Y18" s="22"/>
      <c r="Z18" s="418" t="s">
        <v>172</v>
      </c>
      <c r="AA18" s="405"/>
      <c r="AB18" s="18">
        <f>N18-K18</f>
        <v>-123.50000000000068</v>
      </c>
      <c r="AC18" s="185">
        <f>N18/K18</f>
        <v>0.9382499999999997</v>
      </c>
      <c r="AD18" s="402"/>
    </row>
    <row r="19" spans="1:30" ht="15" customHeight="1">
      <c r="A19" s="432"/>
      <c r="B19" s="56" t="s">
        <v>62</v>
      </c>
      <c r="C19" s="23"/>
      <c r="D19" s="11" t="s">
        <v>131</v>
      </c>
      <c r="E19" s="12"/>
      <c r="F19" s="56">
        <f>VLOOKUP(D19,廠價表!$C$1:$E$39,3,0)</f>
        <v>50.39</v>
      </c>
      <c r="G19" s="96">
        <v>2577</v>
      </c>
      <c r="H19" s="15">
        <f t="shared" ref="H19" si="8">F19*G19</f>
        <v>129855.03</v>
      </c>
      <c r="I19" s="177"/>
      <c r="J19" s="16">
        <f>VLOOKUP(D19,產線配置圖!$A$2:$C$38,2,0)</f>
        <v>12</v>
      </c>
      <c r="K19" s="14">
        <f>VLOOKUP(D19,產線配置圖!$A$2:$C$38,3,0)</f>
        <v>2000</v>
      </c>
      <c r="L19" s="17">
        <f t="shared" ref="L19" si="9">K19/J19</f>
        <v>166.66666666666666</v>
      </c>
      <c r="M19" s="37">
        <v>12</v>
      </c>
      <c r="N19" s="36">
        <f>G19/W19*60</f>
        <v>1957.2151898734164</v>
      </c>
      <c r="O19" s="38">
        <f>N19/M19</f>
        <v>163.10126582278471</v>
      </c>
      <c r="P19" s="39">
        <f>M19-J19</f>
        <v>0</v>
      </c>
      <c r="Q19" s="40">
        <f>O19-L19</f>
        <v>-3.565400843881946</v>
      </c>
      <c r="R19" s="190">
        <f>O19/L19</f>
        <v>0.97860759493670835</v>
      </c>
      <c r="S19" s="425"/>
      <c r="T19" s="41">
        <v>0.54166666666666663</v>
      </c>
      <c r="U19" s="41">
        <v>0.59652777777777777</v>
      </c>
      <c r="V19" s="177">
        <f>(T19-U18)*24*60</f>
        <v>89.999999999999915</v>
      </c>
      <c r="W19" s="43">
        <f t="shared" si="7"/>
        <v>79.000000000000043</v>
      </c>
      <c r="X19" s="22">
        <v>0.4861111111111111</v>
      </c>
      <c r="Y19" s="263">
        <v>0.52777777777777779</v>
      </c>
      <c r="Z19" s="407"/>
      <c r="AA19" s="407"/>
      <c r="AB19" s="18">
        <f>N19-K19</f>
        <v>-42.784810126583579</v>
      </c>
      <c r="AC19" s="185">
        <f>N19/K19</f>
        <v>0.97860759493670824</v>
      </c>
      <c r="AD19" s="403"/>
    </row>
    <row r="20" spans="1:30" ht="15" customHeight="1">
      <c r="A20" s="432"/>
      <c r="B20" s="56"/>
      <c r="C20" s="23"/>
      <c r="D20" s="11"/>
      <c r="E20" s="12"/>
      <c r="F20" s="56"/>
      <c r="G20" s="96"/>
      <c r="H20" s="15"/>
      <c r="I20" s="177"/>
      <c r="J20" s="16"/>
      <c r="K20" s="14"/>
      <c r="L20" s="17"/>
      <c r="M20" s="37"/>
      <c r="N20" s="36"/>
      <c r="O20" s="38"/>
      <c r="P20" s="39"/>
      <c r="Q20" s="40"/>
      <c r="R20" s="190"/>
      <c r="S20" s="425"/>
      <c r="T20" s="41"/>
      <c r="U20" s="41"/>
      <c r="V20" s="177"/>
      <c r="W20" s="43">
        <f t="shared" si="7"/>
        <v>0</v>
      </c>
      <c r="X20" s="44"/>
      <c r="Y20" s="44"/>
      <c r="Z20" s="418"/>
      <c r="AA20" s="405"/>
      <c r="AB20" s="34"/>
      <c r="AC20" s="186"/>
      <c r="AD20" s="403"/>
    </row>
    <row r="21" spans="1:30" ht="15" customHeight="1">
      <c r="A21" s="433"/>
      <c r="B21" s="177"/>
      <c r="C21" s="23"/>
      <c r="D21" s="11"/>
      <c r="E21" s="12"/>
      <c r="F21" s="13"/>
      <c r="G21" s="36"/>
      <c r="H21" s="15">
        <f t="shared" si="6"/>
        <v>0</v>
      </c>
      <c r="I21" s="43"/>
      <c r="J21" s="37"/>
      <c r="K21" s="36"/>
      <c r="L21" s="38"/>
      <c r="M21" s="37"/>
      <c r="N21" s="36"/>
      <c r="O21" s="38"/>
      <c r="P21" s="39"/>
      <c r="Q21" s="40"/>
      <c r="R21" s="190"/>
      <c r="S21" s="425"/>
      <c r="T21" s="41"/>
      <c r="U21" s="41"/>
      <c r="V21" s="42"/>
      <c r="W21" s="43">
        <v>0</v>
      </c>
      <c r="X21" s="42"/>
      <c r="Y21" s="42"/>
      <c r="Z21" s="418"/>
      <c r="AA21" s="405"/>
      <c r="AB21" s="34"/>
      <c r="AC21" s="186"/>
      <c r="AD21" s="403"/>
    </row>
    <row r="22" spans="1:30" ht="15" customHeight="1">
      <c r="A22" s="433"/>
      <c r="B22" s="177"/>
      <c r="C22" s="183"/>
      <c r="D22" s="11"/>
      <c r="E22" s="12"/>
      <c r="F22" s="13"/>
      <c r="G22" s="36"/>
      <c r="H22" s="15">
        <f t="shared" si="6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90"/>
      <c r="S22" s="425"/>
      <c r="T22" s="41"/>
      <c r="U22" s="41"/>
      <c r="V22" s="42"/>
      <c r="W22" s="43">
        <v>0</v>
      </c>
      <c r="X22" s="42"/>
      <c r="Y22" s="42"/>
      <c r="Z22" s="418"/>
      <c r="AA22" s="405"/>
      <c r="AB22" s="34"/>
      <c r="AC22" s="186"/>
      <c r="AD22" s="403"/>
    </row>
    <row r="23" spans="1:30" ht="15" customHeight="1">
      <c r="A23" s="433"/>
      <c r="B23" s="26"/>
      <c r="C23" s="27"/>
      <c r="D23" s="28"/>
      <c r="E23" s="29"/>
      <c r="F23" s="13"/>
      <c r="G23" s="36"/>
      <c r="H23" s="15">
        <f t="shared" si="6"/>
        <v>0</v>
      </c>
      <c r="I23" s="43"/>
      <c r="J23" s="37"/>
      <c r="K23" s="36"/>
      <c r="L23" s="38"/>
      <c r="M23" s="37"/>
      <c r="N23" s="36"/>
      <c r="O23" s="38"/>
      <c r="P23" s="39"/>
      <c r="Q23" s="40"/>
      <c r="R23" s="190"/>
      <c r="S23" s="425"/>
      <c r="T23" s="41"/>
      <c r="U23" s="41"/>
      <c r="W23" s="43">
        <f t="shared" si="7"/>
        <v>0</v>
      </c>
      <c r="X23" s="42"/>
      <c r="Y23" s="42"/>
      <c r="Z23" s="418"/>
      <c r="AA23" s="405"/>
      <c r="AB23" s="34"/>
      <c r="AC23" s="186"/>
      <c r="AD23" s="403"/>
    </row>
    <row r="24" spans="1:30" ht="15" customHeight="1">
      <c r="A24" s="433"/>
      <c r="B24" s="26"/>
      <c r="C24" s="27"/>
      <c r="D24" s="28"/>
      <c r="E24" s="29"/>
      <c r="F24" s="13"/>
      <c r="G24" s="36"/>
      <c r="H24" s="15">
        <f t="shared" si="6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90"/>
      <c r="S24" s="425"/>
      <c r="T24" s="41"/>
      <c r="U24" s="41"/>
      <c r="V24" s="42"/>
      <c r="W24" s="43">
        <f t="shared" si="7"/>
        <v>0</v>
      </c>
      <c r="X24" s="42"/>
      <c r="Y24" s="42"/>
      <c r="Z24" s="418"/>
      <c r="AA24" s="405"/>
      <c r="AB24" s="34"/>
      <c r="AC24" s="186"/>
      <c r="AD24" s="403"/>
    </row>
    <row r="25" spans="1:30" ht="15" customHeight="1">
      <c r="A25" s="433"/>
      <c r="B25" s="26"/>
      <c r="C25" s="27"/>
      <c r="D25" s="28"/>
      <c r="E25" s="29"/>
      <c r="F25" s="13"/>
      <c r="G25" s="36"/>
      <c r="H25" s="50">
        <f t="shared" si="6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90"/>
      <c r="S25" s="425"/>
      <c r="T25" s="41"/>
      <c r="U25" s="41"/>
      <c r="V25" s="42"/>
      <c r="W25" s="43">
        <f t="shared" si="7"/>
        <v>0</v>
      </c>
      <c r="X25" s="42"/>
      <c r="Y25" s="42"/>
      <c r="Z25" s="418"/>
      <c r="AA25" s="405"/>
      <c r="AB25" s="34"/>
      <c r="AC25" s="186"/>
      <c r="AD25" s="403"/>
    </row>
    <row r="26" spans="1:30" ht="15" customHeight="1" thickBot="1">
      <c r="A26" s="434"/>
      <c r="B26" s="132"/>
      <c r="C26" s="1" t="s">
        <v>35</v>
      </c>
      <c r="D26" s="410" t="s">
        <v>7</v>
      </c>
      <c r="E26" s="410"/>
      <c r="F26" s="133"/>
      <c r="G26" s="134"/>
      <c r="H26" s="135"/>
      <c r="I26" s="136"/>
      <c r="J26" s="134">
        <f t="shared" ref="J26:O26" si="10">AVERAGE(J16:J25)</f>
        <v>12.5</v>
      </c>
      <c r="K26" s="134">
        <f t="shared" si="10"/>
        <v>2026.25</v>
      </c>
      <c r="L26" s="137">
        <f t="shared" si="10"/>
        <v>162.27564102564102</v>
      </c>
      <c r="M26" s="134">
        <f t="shared" si="10"/>
        <v>12.5</v>
      </c>
      <c r="N26" s="134">
        <f t="shared" si="10"/>
        <v>1896.5280710761024</v>
      </c>
      <c r="O26" s="137">
        <f t="shared" si="10"/>
        <v>152.03054904090757</v>
      </c>
      <c r="P26" s="138">
        <f t="shared" ref="P26:P29" si="11">M26-J26</f>
        <v>0</v>
      </c>
      <c r="Q26" s="139">
        <f t="shared" ref="Q26:Q29" si="12">O26-L26</f>
        <v>-10.245091984733449</v>
      </c>
      <c r="R26" s="140">
        <f t="shared" ref="R26:R29" si="13">O26/L26</f>
        <v>0.93686611299156952</v>
      </c>
      <c r="S26" s="435"/>
      <c r="T26" s="141"/>
      <c r="U26" s="141"/>
      <c r="V26" s="146"/>
      <c r="W26" s="142"/>
      <c r="X26" s="143"/>
      <c r="Y26" s="143"/>
      <c r="Z26" s="420"/>
      <c r="AA26" s="391"/>
      <c r="AB26" s="119">
        <f>N26-K26</f>
        <v>-129.72192892389762</v>
      </c>
      <c r="AC26" s="187">
        <f>N26/K26</f>
        <v>0.93597930713194444</v>
      </c>
      <c r="AD26" s="404"/>
    </row>
    <row r="27" spans="1:30" ht="15" customHeight="1">
      <c r="A27" s="421" t="s">
        <v>54</v>
      </c>
      <c r="B27" s="229" t="s">
        <v>62</v>
      </c>
      <c r="C27" s="102"/>
      <c r="D27" s="103" t="s">
        <v>144</v>
      </c>
      <c r="E27" s="104"/>
      <c r="F27" s="199">
        <f>VLOOKUP(D27,廠價表!$C$1:$E$39,3,0)</f>
        <v>49.91</v>
      </c>
      <c r="G27" s="269">
        <v>3497</v>
      </c>
      <c r="H27" s="125">
        <f t="shared" ref="H27:H39" si="14">F27*G27</f>
        <v>174535.27</v>
      </c>
      <c r="I27" s="126"/>
      <c r="J27" s="108">
        <f>VLOOKUP(D27,產線配置圖!$A$2:$C$38,2,0)</f>
        <v>17</v>
      </c>
      <c r="K27" s="236">
        <f>VLOOKUP(D27,產線配置圖!$A$2:$C$38,3,0)</f>
        <v>1565</v>
      </c>
      <c r="L27" s="109">
        <f>K27/J27</f>
        <v>92.058823529411768</v>
      </c>
      <c r="M27" s="144">
        <v>16</v>
      </c>
      <c r="N27" s="127">
        <f>G27/W27*60</f>
        <v>1271.6363636363633</v>
      </c>
      <c r="O27" s="128">
        <f>N27/M27</f>
        <v>79.477272727272705</v>
      </c>
      <c r="P27" s="129">
        <f t="shared" si="11"/>
        <v>-1</v>
      </c>
      <c r="Q27" s="130">
        <f t="shared" si="12"/>
        <v>-12.581550802139063</v>
      </c>
      <c r="R27" s="189">
        <f>O27/L27</f>
        <v>0.86333139703746709</v>
      </c>
      <c r="S27" s="424">
        <f>R37</f>
        <v>0.92712949015492452</v>
      </c>
      <c r="T27" s="94">
        <v>0.28888888888888886</v>
      </c>
      <c r="U27" s="94">
        <v>0.40347222222222223</v>
      </c>
      <c r="V27" s="126"/>
      <c r="W27" s="131">
        <f t="shared" si="7"/>
        <v>165.00000000000006</v>
      </c>
      <c r="X27" s="126"/>
      <c r="Y27" s="126" t="s">
        <v>147</v>
      </c>
      <c r="Z27" s="427"/>
      <c r="AA27" s="400"/>
      <c r="AB27" s="225">
        <f>N27-K27</f>
        <v>-293.36363636363672</v>
      </c>
      <c r="AC27" s="291">
        <f>N27/K27</f>
        <v>0.81254719721173374</v>
      </c>
      <c r="AD27" s="401">
        <f>AC37</f>
        <v>0.87616458532107278</v>
      </c>
    </row>
    <row r="28" spans="1:30" ht="15" customHeight="1">
      <c r="A28" s="422"/>
      <c r="B28" s="56" t="str">
        <f>VLOOKUP(D28,廠價表!$C$1:$E$39,2,0)</f>
        <v>義大利麵</v>
      </c>
      <c r="C28" s="10"/>
      <c r="D28" s="11" t="s">
        <v>137</v>
      </c>
      <c r="E28" s="86"/>
      <c r="F28" s="56">
        <f>VLOOKUP(D28,廠價表!$C$1:$E$39,3,0)</f>
        <v>55.13</v>
      </c>
      <c r="G28" s="53">
        <v>1434</v>
      </c>
      <c r="H28" s="50">
        <f t="shared" si="14"/>
        <v>79056.42</v>
      </c>
      <c r="I28" s="42"/>
      <c r="J28" s="16">
        <f>VLOOKUP(D28,產線配置圖!$A$2:$C$38,2,0)</f>
        <v>18</v>
      </c>
      <c r="K28" s="14">
        <f>VLOOKUP(D28,產線配置圖!$A$2:$C$38,3,0)</f>
        <v>1385</v>
      </c>
      <c r="L28" s="235">
        <f>K28/J28</f>
        <v>76.944444444444443</v>
      </c>
      <c r="M28" s="21">
        <v>16</v>
      </c>
      <c r="N28" s="36">
        <f>G28/W28*60</f>
        <v>1178.6301369863015</v>
      </c>
      <c r="O28" s="38">
        <f>N28/M28</f>
        <v>73.664383561643845</v>
      </c>
      <c r="P28" s="39">
        <f t="shared" si="11"/>
        <v>-2</v>
      </c>
      <c r="Q28" s="40">
        <f t="shared" si="12"/>
        <v>-3.2800608828005977</v>
      </c>
      <c r="R28" s="190">
        <f t="shared" si="13"/>
        <v>0.95737104989862043</v>
      </c>
      <c r="S28" s="425"/>
      <c r="T28" s="270">
        <v>0.40972222222222221</v>
      </c>
      <c r="U28" s="270">
        <v>0.46041666666666664</v>
      </c>
      <c r="V28" s="42">
        <f>(T28-U27)*24*60</f>
        <v>8.999999999999968</v>
      </c>
      <c r="W28" s="43">
        <f t="shared" si="7"/>
        <v>72.999999999999986</v>
      </c>
      <c r="X28" s="54"/>
      <c r="Y28" s="54"/>
      <c r="Z28" s="418"/>
      <c r="AA28" s="419"/>
      <c r="AB28" s="39">
        <f>N28-K28</f>
        <v>-206.36986301369848</v>
      </c>
      <c r="AC28" s="190">
        <f>N28/K28</f>
        <v>0.85099648879877365</v>
      </c>
      <c r="AD28" s="447"/>
    </row>
    <row r="29" spans="1:30" ht="15" customHeight="1">
      <c r="A29" s="422"/>
      <c r="B29" s="56" t="s">
        <v>134</v>
      </c>
      <c r="C29" s="10"/>
      <c r="D29" s="11" t="s">
        <v>137</v>
      </c>
      <c r="E29" s="86"/>
      <c r="F29" s="56">
        <f>VLOOKUP(D29,廠價表!$C$1:$E$39,3,0)</f>
        <v>55.13</v>
      </c>
      <c r="G29" s="238">
        <v>966</v>
      </c>
      <c r="H29" s="50">
        <f t="shared" si="14"/>
        <v>53255.58</v>
      </c>
      <c r="I29" s="42"/>
      <c r="J29" s="16">
        <f>VLOOKUP(D29,產線配置圖!$A$2:$C$38,2,0)</f>
        <v>18</v>
      </c>
      <c r="K29" s="14">
        <f>VLOOKUP(D29,產線配置圖!$A$2:$C$38,3,0)</f>
        <v>1385</v>
      </c>
      <c r="L29" s="235">
        <f t="shared" ref="L29" si="15">K29/J29</f>
        <v>76.944444444444443</v>
      </c>
      <c r="M29" s="21">
        <v>18</v>
      </c>
      <c r="N29" s="36">
        <f>G29/W29*60</f>
        <v>1347.9069767441858</v>
      </c>
      <c r="O29" s="38">
        <f t="shared" ref="O29" si="16">N29/M29</f>
        <v>74.883720930232542</v>
      </c>
      <c r="P29" s="39">
        <f t="shared" si="11"/>
        <v>0</v>
      </c>
      <c r="Q29" s="40">
        <f t="shared" si="12"/>
        <v>-2.0607235142119009</v>
      </c>
      <c r="R29" s="190">
        <f t="shared" si="13"/>
        <v>0.97321803375031468</v>
      </c>
      <c r="S29" s="425"/>
      <c r="T29" s="41">
        <v>0.52083333333333337</v>
      </c>
      <c r="U29" s="41">
        <v>0.55069444444444449</v>
      </c>
      <c r="V29" s="42">
        <f t="shared" ref="V29" si="17">(T29-U28)*24*60</f>
        <v>87.000000000000085</v>
      </c>
      <c r="W29" s="43">
        <f t="shared" si="7"/>
        <v>43.000000000000007</v>
      </c>
      <c r="X29" s="54">
        <v>0.47222222222222221</v>
      </c>
      <c r="Y29" s="54">
        <v>0.51388888888888884</v>
      </c>
      <c r="Z29" s="418"/>
      <c r="AA29" s="419"/>
      <c r="AB29" s="292">
        <f>N29-K29</f>
        <v>-37.09302325581416</v>
      </c>
      <c r="AC29" s="190">
        <f>N29/K29</f>
        <v>0.97321803375031468</v>
      </c>
      <c r="AD29" s="447"/>
    </row>
    <row r="30" spans="1:30" ht="15" customHeight="1">
      <c r="A30" s="422"/>
      <c r="B30" s="56"/>
      <c r="C30" s="237"/>
      <c r="D30" s="11"/>
      <c r="E30" s="29"/>
      <c r="F30" s="56"/>
      <c r="G30" s="238"/>
      <c r="H30" s="50"/>
      <c r="I30" s="42"/>
      <c r="J30" s="16"/>
      <c r="K30" s="14"/>
      <c r="L30" s="235"/>
      <c r="M30" s="21"/>
      <c r="N30" s="36"/>
      <c r="O30" s="38"/>
      <c r="P30" s="39"/>
      <c r="Q30" s="40"/>
      <c r="R30" s="190"/>
      <c r="S30" s="425"/>
      <c r="T30" s="41"/>
      <c r="U30" s="41"/>
      <c r="V30" s="42"/>
      <c r="W30" s="43">
        <f t="shared" si="7"/>
        <v>0</v>
      </c>
      <c r="X30" s="54"/>
      <c r="Y30" s="54"/>
      <c r="Z30" s="449"/>
      <c r="AA30" s="450"/>
      <c r="AB30" s="34"/>
      <c r="AC30" s="293"/>
      <c r="AD30" s="448"/>
    </row>
    <row r="31" spans="1:30" ht="15" customHeight="1">
      <c r="A31" s="422"/>
      <c r="B31" s="56"/>
      <c r="C31" s="10"/>
      <c r="D31" s="28"/>
      <c r="E31" s="86"/>
      <c r="F31" s="56"/>
      <c r="G31" s="238"/>
      <c r="H31" s="239"/>
      <c r="I31" s="81"/>
      <c r="J31" s="16"/>
      <c r="K31" s="14"/>
      <c r="L31" s="235"/>
      <c r="M31" s="21"/>
      <c r="N31" s="36"/>
      <c r="O31" s="38"/>
      <c r="P31" s="39"/>
      <c r="Q31" s="40"/>
      <c r="R31" s="190"/>
      <c r="S31" s="425"/>
      <c r="T31" s="41"/>
      <c r="U31" s="41"/>
      <c r="V31" s="42"/>
      <c r="W31" s="43">
        <f t="shared" si="7"/>
        <v>0</v>
      </c>
      <c r="X31" s="54"/>
      <c r="Y31" s="54"/>
      <c r="Z31" s="449"/>
      <c r="AA31" s="450"/>
      <c r="AB31" s="257"/>
      <c r="AC31" s="258"/>
      <c r="AD31" s="403"/>
    </row>
    <row r="32" spans="1:30" ht="15" customHeight="1">
      <c r="A32" s="422"/>
      <c r="B32" s="56"/>
      <c r="C32" s="252"/>
      <c r="D32" s="253"/>
      <c r="E32" s="254"/>
      <c r="F32" s="56"/>
      <c r="G32" s="53"/>
      <c r="H32" s="50">
        <f t="shared" si="14"/>
        <v>0</v>
      </c>
      <c r="I32" s="42"/>
      <c r="J32" s="255"/>
      <c r="K32" s="36"/>
      <c r="L32" s="256"/>
      <c r="M32" s="21"/>
      <c r="N32" s="36"/>
      <c r="O32" s="38"/>
      <c r="P32" s="39"/>
      <c r="Q32" s="40"/>
      <c r="R32" s="190"/>
      <c r="S32" s="425"/>
      <c r="T32" s="41"/>
      <c r="U32" s="41"/>
      <c r="V32" s="42"/>
      <c r="W32" s="43">
        <f t="shared" si="7"/>
        <v>0</v>
      </c>
      <c r="X32" s="54"/>
      <c r="Y32" s="54"/>
      <c r="Z32" s="418"/>
      <c r="AA32" s="405"/>
      <c r="AB32" s="18"/>
      <c r="AC32" s="185"/>
      <c r="AD32" s="403"/>
    </row>
    <row r="33" spans="1:30" ht="15" customHeight="1">
      <c r="A33" s="422"/>
      <c r="B33" s="240"/>
      <c r="C33" s="241"/>
      <c r="D33" s="242"/>
      <c r="E33" s="243"/>
      <c r="F33" s="223"/>
      <c r="G33" s="244"/>
      <c r="H33" s="245">
        <f t="shared" si="14"/>
        <v>0</v>
      </c>
      <c r="I33" s="246"/>
      <c r="J33" s="247"/>
      <c r="K33" s="45"/>
      <c r="M33" s="248"/>
      <c r="N33" s="45"/>
      <c r="O33" s="46"/>
      <c r="P33" s="47"/>
      <c r="Q33" s="48"/>
      <c r="R33" s="49"/>
      <c r="S33" s="425"/>
      <c r="T33" s="41"/>
      <c r="U33" s="41"/>
      <c r="V33" s="42"/>
      <c r="W33" s="43">
        <f t="shared" si="7"/>
        <v>0</v>
      </c>
      <c r="X33" s="54"/>
      <c r="Y33" s="54"/>
      <c r="Z33" s="418"/>
      <c r="AA33" s="405"/>
      <c r="AB33" s="18"/>
      <c r="AC33" s="57"/>
      <c r="AD33" s="403"/>
    </row>
    <row r="34" spans="1:30" ht="15" customHeight="1">
      <c r="A34" s="422"/>
      <c r="B34" s="231"/>
      <c r="C34" s="27"/>
      <c r="D34" s="28"/>
      <c r="E34" s="29"/>
      <c r="F34" s="13"/>
      <c r="G34" s="53"/>
      <c r="H34" s="50">
        <f t="shared" si="14"/>
        <v>0</v>
      </c>
      <c r="I34" s="42"/>
      <c r="J34" s="37"/>
      <c r="K34" s="36"/>
      <c r="L34" s="38"/>
      <c r="M34" s="21"/>
      <c r="N34" s="36"/>
      <c r="O34" s="38"/>
      <c r="P34" s="39"/>
      <c r="Q34" s="40"/>
      <c r="R34" s="190"/>
      <c r="S34" s="425"/>
      <c r="T34" s="41"/>
      <c r="U34" s="41"/>
      <c r="V34" s="42"/>
      <c r="W34" s="43">
        <f t="shared" si="7"/>
        <v>0</v>
      </c>
      <c r="X34" s="54"/>
      <c r="Y34" s="54"/>
      <c r="Z34" s="418"/>
      <c r="AA34" s="405"/>
      <c r="AB34" s="18"/>
      <c r="AC34" s="57"/>
      <c r="AD34" s="403"/>
    </row>
    <row r="35" spans="1:30" ht="15" customHeight="1">
      <c r="A35" s="422"/>
      <c r="B35" s="231"/>
      <c r="C35" s="27"/>
      <c r="D35" s="28"/>
      <c r="E35" s="29"/>
      <c r="F35" s="13"/>
      <c r="G35" s="53"/>
      <c r="H35" s="50">
        <f t="shared" si="14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90"/>
      <c r="S35" s="425"/>
      <c r="T35" s="41"/>
      <c r="U35" s="41"/>
      <c r="V35" s="42"/>
      <c r="W35" s="43">
        <f t="shared" si="7"/>
        <v>0</v>
      </c>
      <c r="X35" s="54"/>
      <c r="Y35" s="54"/>
      <c r="Z35" s="418"/>
      <c r="AA35" s="405"/>
      <c r="AB35" s="18"/>
      <c r="AC35" s="57"/>
      <c r="AD35" s="403"/>
    </row>
    <row r="36" spans="1:30" ht="15" customHeight="1">
      <c r="A36" s="422"/>
      <c r="B36" s="232"/>
      <c r="C36" s="27"/>
      <c r="D36" s="28"/>
      <c r="E36" s="29"/>
      <c r="F36" s="13"/>
      <c r="G36" s="53"/>
      <c r="H36" s="50">
        <f t="shared" si="14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90"/>
      <c r="S36" s="425"/>
      <c r="T36" s="41"/>
      <c r="U36" s="41"/>
      <c r="V36" s="42"/>
      <c r="W36" s="43">
        <f t="shared" si="7"/>
        <v>0</v>
      </c>
      <c r="X36" s="54"/>
      <c r="Y36" s="54"/>
      <c r="Z36" s="418"/>
      <c r="AA36" s="405"/>
      <c r="AB36" s="18"/>
      <c r="AC36" s="57"/>
      <c r="AD36" s="403"/>
    </row>
    <row r="37" spans="1:30" ht="15" customHeight="1" thickBot="1">
      <c r="A37" s="423"/>
      <c r="B37" s="300"/>
      <c r="C37" s="301" t="s">
        <v>36</v>
      </c>
      <c r="D37" s="428" t="s">
        <v>7</v>
      </c>
      <c r="E37" s="429"/>
      <c r="F37" s="281"/>
      <c r="G37" s="282"/>
      <c r="H37" s="283"/>
      <c r="I37" s="284"/>
      <c r="J37" s="285">
        <f t="shared" ref="J37:O37" si="18">AVERAGE(J27:J36)</f>
        <v>17.666666666666668</v>
      </c>
      <c r="K37" s="285">
        <f t="shared" si="18"/>
        <v>1445</v>
      </c>
      <c r="L37" s="286">
        <f t="shared" si="18"/>
        <v>81.982570806100227</v>
      </c>
      <c r="M37" s="285">
        <f t="shared" si="18"/>
        <v>16.666666666666668</v>
      </c>
      <c r="N37" s="285">
        <f t="shared" si="18"/>
        <v>1266.0578257889501</v>
      </c>
      <c r="O37" s="286">
        <f t="shared" si="18"/>
        <v>76.008459073049707</v>
      </c>
      <c r="P37" s="73">
        <f>M37-J37</f>
        <v>-1</v>
      </c>
      <c r="Q37" s="74">
        <f>N37-K37</f>
        <v>-178.94217421104986</v>
      </c>
      <c r="R37" s="287">
        <f t="shared" ref="R37:R39" si="19">O37/L37</f>
        <v>0.92712949015492452</v>
      </c>
      <c r="S37" s="426"/>
      <c r="T37" s="302"/>
      <c r="U37" s="302"/>
      <c r="V37" s="81"/>
      <c r="W37" s="81"/>
      <c r="X37" s="303"/>
      <c r="Y37" s="303"/>
      <c r="Z37" s="430"/>
      <c r="AA37" s="379"/>
      <c r="AB37" s="34">
        <f t="shared" ref="AB37:AB39" si="20">N37-K37</f>
        <v>-178.94217421104986</v>
      </c>
      <c r="AC37" s="186">
        <f t="shared" ref="AC37:AC39" si="21">N37/K37</f>
        <v>0.87616458532107278</v>
      </c>
      <c r="AD37" s="403"/>
    </row>
    <row r="38" spans="1:30" s="62" customFormat="1" ht="15" customHeight="1">
      <c r="A38" s="454" t="s">
        <v>55</v>
      </c>
      <c r="B38" s="229" t="s">
        <v>134</v>
      </c>
      <c r="C38" s="199"/>
      <c r="D38" s="304" t="s">
        <v>156</v>
      </c>
      <c r="E38" s="280"/>
      <c r="F38" s="305">
        <f>VLOOKUP(D38,廠價表!$C$1:$E$39,3,0)</f>
        <v>56.43</v>
      </c>
      <c r="G38" s="266">
        <v>2324</v>
      </c>
      <c r="H38" s="125">
        <f t="shared" si="14"/>
        <v>131143.32</v>
      </c>
      <c r="I38" s="126"/>
      <c r="J38" s="274">
        <f>VLOOKUP(D38,產線配置圖!$A$2:$C$38,2,0)</f>
        <v>15</v>
      </c>
      <c r="K38" s="236">
        <f>VLOOKUP(D38,產線配置圖!$A$2:$C$38,3,0)</f>
        <v>1406</v>
      </c>
      <c r="L38" s="288">
        <f t="shared" ref="L38:L39" si="22">K38/J38</f>
        <v>93.733333333333334</v>
      </c>
      <c r="M38" s="289">
        <v>15</v>
      </c>
      <c r="N38" s="127">
        <f>G38/W38*60</f>
        <v>1161.9999999999993</v>
      </c>
      <c r="O38" s="128">
        <f>N38/M38</f>
        <v>77.466666666666626</v>
      </c>
      <c r="P38" s="129">
        <f t="shared" ref="P38:P39" si="23">M38-J38</f>
        <v>0</v>
      </c>
      <c r="Q38" s="130">
        <f t="shared" ref="Q38:Q39" si="24">O38-L38</f>
        <v>-16.266666666666708</v>
      </c>
      <c r="R38" s="189">
        <f t="shared" si="19"/>
        <v>0.82645803698435238</v>
      </c>
      <c r="S38" s="457">
        <f>R48</f>
        <v>0.82156932998925081</v>
      </c>
      <c r="T38" s="151">
        <v>0.33333333333333331</v>
      </c>
      <c r="U38" s="151">
        <v>0.41666666666666669</v>
      </c>
      <c r="V38" s="148"/>
      <c r="W38" s="152">
        <f t="shared" si="7"/>
        <v>120.00000000000006</v>
      </c>
      <c r="X38" s="150"/>
      <c r="Y38" s="153"/>
      <c r="Z38" s="478" t="s">
        <v>173</v>
      </c>
      <c r="AA38" s="460"/>
      <c r="AB38" s="290">
        <f t="shared" si="20"/>
        <v>-244.00000000000068</v>
      </c>
      <c r="AC38" s="154">
        <f t="shared" si="21"/>
        <v>0.82645803698435227</v>
      </c>
      <c r="AD38" s="436">
        <f>AC48</f>
        <v>0.82156932998925081</v>
      </c>
    </row>
    <row r="39" spans="1:30" s="62" customFormat="1" ht="15" customHeight="1">
      <c r="A39" s="455"/>
      <c r="B39" s="56" t="s">
        <v>134</v>
      </c>
      <c r="C39" s="277"/>
      <c r="D39" s="279" t="s">
        <v>154</v>
      </c>
      <c r="E39" s="278"/>
      <c r="F39" s="56">
        <f>VLOOKUP(D39,廠價表!$C$1:$E$39,3,0)</f>
        <v>57.3</v>
      </c>
      <c r="G39" s="276">
        <v>1131</v>
      </c>
      <c r="H39" s="50">
        <f t="shared" si="14"/>
        <v>64806.299999999996</v>
      </c>
      <c r="I39" s="64"/>
      <c r="J39" s="37">
        <f>VLOOKUP(D39,產線配置圖!$A$2:$C$38,2,0)</f>
        <v>15</v>
      </c>
      <c r="K39" s="36">
        <f>VLOOKUP(D39,產線配置圖!$A$2:$C$38,3,0)</f>
        <v>1385</v>
      </c>
      <c r="L39" s="38">
        <f t="shared" si="22"/>
        <v>92.333333333333329</v>
      </c>
      <c r="M39" s="65">
        <v>15</v>
      </c>
      <c r="N39" s="66">
        <f>G39/W39*60</f>
        <v>1130.9999999999995</v>
      </c>
      <c r="O39" s="67">
        <f t="shared" ref="O39" si="25">N39/M39</f>
        <v>75.399999999999963</v>
      </c>
      <c r="P39" s="39">
        <f t="shared" si="23"/>
        <v>0</v>
      </c>
      <c r="Q39" s="40">
        <f t="shared" si="24"/>
        <v>-16.933333333333366</v>
      </c>
      <c r="R39" s="190">
        <f t="shared" si="19"/>
        <v>0.81660649819494546</v>
      </c>
      <c r="S39" s="458"/>
      <c r="T39" s="59">
        <v>0.4375</v>
      </c>
      <c r="U39" s="59">
        <v>0.47916666666666669</v>
      </c>
      <c r="V39" s="42">
        <f>(T39-U38)*24*60</f>
        <v>29.999999999999972</v>
      </c>
      <c r="W39" s="69">
        <f t="shared" si="7"/>
        <v>60.000000000000028</v>
      </c>
      <c r="X39" s="22"/>
      <c r="Y39" s="22"/>
      <c r="Z39" s="474"/>
      <c r="AA39" s="475"/>
      <c r="AB39" s="271">
        <f t="shared" si="20"/>
        <v>-254.00000000000045</v>
      </c>
      <c r="AC39" s="61">
        <f t="shared" si="21"/>
        <v>0.81660649819494557</v>
      </c>
      <c r="AD39" s="437"/>
    </row>
    <row r="40" spans="1:30" s="62" customFormat="1" ht="15" customHeight="1">
      <c r="A40" s="455"/>
      <c r="B40" s="56"/>
      <c r="C40" s="275"/>
      <c r="D40" s="279"/>
      <c r="E40" s="243"/>
      <c r="F40" s="56"/>
      <c r="G40" s="276"/>
      <c r="H40" s="63"/>
      <c r="I40" s="64"/>
      <c r="J40" s="37"/>
      <c r="K40" s="36"/>
      <c r="L40" s="38"/>
      <c r="M40" s="65"/>
      <c r="N40" s="66"/>
      <c r="O40" s="67"/>
      <c r="P40" s="39"/>
      <c r="Q40" s="40"/>
      <c r="R40" s="190"/>
      <c r="S40" s="397"/>
      <c r="T40" s="59"/>
      <c r="U40" s="59"/>
      <c r="V40" s="42"/>
      <c r="W40" s="69">
        <f t="shared" si="7"/>
        <v>0</v>
      </c>
      <c r="X40" s="70"/>
      <c r="Y40" s="259"/>
      <c r="Z40" s="441"/>
      <c r="AA40" s="442"/>
      <c r="AB40" s="271"/>
      <c r="AC40" s="61"/>
      <c r="AD40" s="437"/>
    </row>
    <row r="41" spans="1:30" s="62" customFormat="1" ht="15" customHeight="1">
      <c r="A41" s="455"/>
      <c r="B41" s="56"/>
      <c r="C41" s="275"/>
      <c r="D41" s="279"/>
      <c r="E41" s="243"/>
      <c r="F41" s="56"/>
      <c r="G41" s="276"/>
      <c r="H41" s="63"/>
      <c r="I41" s="64"/>
      <c r="J41" s="37"/>
      <c r="K41" s="36"/>
      <c r="L41" s="38"/>
      <c r="M41" s="65"/>
      <c r="N41" s="66"/>
      <c r="O41" s="67"/>
      <c r="P41" s="39"/>
      <c r="Q41" s="40"/>
      <c r="R41" s="190"/>
      <c r="S41" s="397"/>
      <c r="T41" s="59"/>
      <c r="U41" s="59"/>
      <c r="V41" s="42"/>
      <c r="W41" s="69">
        <f t="shared" si="7"/>
        <v>0</v>
      </c>
      <c r="X41" s="70"/>
      <c r="Y41" s="259"/>
      <c r="Z41" s="443"/>
      <c r="AA41" s="444"/>
      <c r="AB41" s="271"/>
      <c r="AC41" s="61"/>
      <c r="AD41" s="437"/>
    </row>
    <row r="42" spans="1:30" s="62" customFormat="1" ht="15" customHeight="1">
      <c r="A42" s="455"/>
      <c r="B42" s="56"/>
      <c r="C42" s="23"/>
      <c r="D42" s="11"/>
      <c r="E42" s="12"/>
      <c r="F42" s="56"/>
      <c r="G42" s="99"/>
      <c r="H42" s="63">
        <f t="shared" ref="H42:H47" si="26">F42*G42</f>
        <v>0</v>
      </c>
      <c r="I42" s="64"/>
      <c r="J42" s="16"/>
      <c r="K42" s="14"/>
      <c r="L42" s="17"/>
      <c r="M42" s="65"/>
      <c r="N42" s="66"/>
      <c r="O42" s="67"/>
      <c r="P42" s="39"/>
      <c r="Q42" s="40"/>
      <c r="R42" s="68"/>
      <c r="S42" s="397"/>
      <c r="T42" s="75"/>
      <c r="U42" s="75"/>
      <c r="V42" s="42"/>
      <c r="W42" s="69">
        <f t="shared" si="7"/>
        <v>0</v>
      </c>
      <c r="X42" s="70"/>
      <c r="Y42" s="60"/>
      <c r="Z42" s="445"/>
      <c r="AA42" s="446"/>
      <c r="AB42" s="271"/>
      <c r="AC42" s="61"/>
      <c r="AD42" s="437"/>
    </row>
    <row r="43" spans="1:30" s="62" customFormat="1" ht="15" customHeight="1">
      <c r="A43" s="455"/>
      <c r="B43" s="230"/>
      <c r="C43" s="23"/>
      <c r="D43" s="11"/>
      <c r="E43" s="12"/>
      <c r="F43" s="13"/>
      <c r="G43" s="100"/>
      <c r="H43" s="63">
        <f t="shared" si="26"/>
        <v>0</v>
      </c>
      <c r="I43" s="64"/>
      <c r="J43" s="65"/>
      <c r="K43" s="66"/>
      <c r="L43" s="67"/>
      <c r="M43" s="65"/>
      <c r="N43" s="66"/>
      <c r="O43" s="67"/>
      <c r="P43" s="39"/>
      <c r="Q43" s="40"/>
      <c r="R43" s="68"/>
      <c r="S43" s="397"/>
      <c r="T43" s="75"/>
      <c r="U43" s="75"/>
      <c r="V43" s="64"/>
      <c r="W43" s="69">
        <f>(U43-T43)*24*60</f>
        <v>0</v>
      </c>
      <c r="X43" s="70"/>
      <c r="Y43" s="67"/>
      <c r="Z43" s="405"/>
      <c r="AA43" s="405"/>
      <c r="AB43" s="71"/>
      <c r="AC43" s="61"/>
      <c r="AD43" s="437"/>
    </row>
    <row r="44" spans="1:30" s="62" customFormat="1" ht="15" customHeight="1">
      <c r="A44" s="455"/>
      <c r="B44" s="230"/>
      <c r="C44" s="183"/>
      <c r="D44" s="11"/>
      <c r="E44" s="12"/>
      <c r="F44" s="13"/>
      <c r="G44" s="100"/>
      <c r="H44" s="63">
        <f t="shared" si="26"/>
        <v>0</v>
      </c>
      <c r="I44" s="64"/>
      <c r="J44" s="65"/>
      <c r="K44" s="66"/>
      <c r="L44" s="58"/>
      <c r="M44" s="65"/>
      <c r="N44" s="66"/>
      <c r="O44" s="67"/>
      <c r="P44" s="39"/>
      <c r="Q44" s="40"/>
      <c r="R44" s="68"/>
      <c r="S44" s="397"/>
      <c r="T44" s="59"/>
      <c r="U44" s="59"/>
      <c r="V44" s="64"/>
      <c r="W44" s="69">
        <f t="shared" ref="W44:W48" si="27">(U44-T44)*24*60</f>
        <v>0</v>
      </c>
      <c r="X44" s="70"/>
      <c r="Y44" s="67"/>
      <c r="Z44" s="405"/>
      <c r="AA44" s="405"/>
      <c r="AB44" s="71"/>
      <c r="AC44" s="61"/>
      <c r="AD44" s="437"/>
    </row>
    <row r="45" spans="1:30" s="62" customFormat="1" ht="15" customHeight="1">
      <c r="A45" s="455"/>
      <c r="B45" s="231"/>
      <c r="C45" s="27"/>
      <c r="D45" s="28"/>
      <c r="E45" s="29"/>
      <c r="F45" s="13"/>
      <c r="G45" s="66"/>
      <c r="H45" s="63">
        <f t="shared" si="26"/>
        <v>0</v>
      </c>
      <c r="I45" s="64"/>
      <c r="J45" s="65"/>
      <c r="K45" s="66"/>
      <c r="L45" s="67"/>
      <c r="M45" s="65"/>
      <c r="N45" s="66"/>
      <c r="O45" s="67"/>
      <c r="P45" s="39"/>
      <c r="Q45" s="40"/>
      <c r="R45" s="68"/>
      <c r="S45" s="397"/>
      <c r="T45" s="75"/>
      <c r="U45" s="75"/>
      <c r="V45" s="64"/>
      <c r="W45" s="69">
        <f t="shared" si="27"/>
        <v>0</v>
      </c>
      <c r="X45" s="70"/>
      <c r="Y45" s="67"/>
      <c r="Z45" s="405"/>
      <c r="AA45" s="405"/>
      <c r="AB45" s="71"/>
      <c r="AC45" s="61"/>
      <c r="AD45" s="437"/>
    </row>
    <row r="46" spans="1:30" s="62" customFormat="1" ht="15" customHeight="1">
      <c r="A46" s="455"/>
      <c r="B46" s="231"/>
      <c r="C46" s="27"/>
      <c r="D46" s="28"/>
      <c r="E46" s="29"/>
      <c r="F46" s="13"/>
      <c r="G46" s="66"/>
      <c r="H46" s="63">
        <f t="shared" si="26"/>
        <v>0</v>
      </c>
      <c r="I46" s="64"/>
      <c r="J46" s="65"/>
      <c r="K46" s="66"/>
      <c r="L46" s="67"/>
      <c r="M46" s="65"/>
      <c r="N46" s="66"/>
      <c r="O46" s="67"/>
      <c r="P46" s="39"/>
      <c r="Q46" s="40"/>
      <c r="R46" s="68"/>
      <c r="S46" s="397"/>
      <c r="T46" s="59"/>
      <c r="U46" s="59"/>
      <c r="V46" s="64"/>
      <c r="W46" s="69">
        <f t="shared" si="27"/>
        <v>0</v>
      </c>
      <c r="X46" s="70"/>
      <c r="Y46" s="67"/>
      <c r="Z46" s="405"/>
      <c r="AA46" s="405"/>
      <c r="AB46" s="71"/>
      <c r="AC46" s="61"/>
      <c r="AD46" s="437"/>
    </row>
    <row r="47" spans="1:30" s="62" customFormat="1" ht="15" customHeight="1">
      <c r="A47" s="455"/>
      <c r="B47" s="230"/>
      <c r="C47" s="27"/>
      <c r="D47" s="28"/>
      <c r="E47" s="29"/>
      <c r="F47" s="13"/>
      <c r="G47" s="66"/>
      <c r="H47" s="63">
        <f t="shared" si="26"/>
        <v>0</v>
      </c>
      <c r="I47" s="64"/>
      <c r="J47" s="65"/>
      <c r="K47" s="66"/>
      <c r="L47" s="67"/>
      <c r="M47" s="65"/>
      <c r="N47" s="66"/>
      <c r="O47" s="67"/>
      <c r="P47" s="39"/>
      <c r="Q47" s="40"/>
      <c r="R47" s="68"/>
      <c r="S47" s="397"/>
      <c r="T47" s="75"/>
      <c r="U47" s="75"/>
      <c r="V47" s="64"/>
      <c r="W47" s="69">
        <f t="shared" si="27"/>
        <v>0</v>
      </c>
      <c r="X47" s="70"/>
      <c r="Y47" s="67"/>
      <c r="Z47" s="405"/>
      <c r="AA47" s="405"/>
      <c r="AB47" s="71"/>
      <c r="AC47" s="61"/>
      <c r="AD47" s="437"/>
    </row>
    <row r="48" spans="1:30" ht="15" customHeight="1" thickBot="1">
      <c r="A48" s="456"/>
      <c r="B48" s="156"/>
      <c r="C48" s="1" t="s">
        <v>37</v>
      </c>
      <c r="D48" s="410" t="s">
        <v>7</v>
      </c>
      <c r="E48" s="410"/>
      <c r="F48" s="133"/>
      <c r="G48" s="145"/>
      <c r="H48" s="135"/>
      <c r="I48" s="136"/>
      <c r="J48" s="134">
        <f t="shared" ref="J48:O48" si="28">AVERAGE(J38:J47)</f>
        <v>15</v>
      </c>
      <c r="K48" s="134">
        <f t="shared" si="28"/>
        <v>1395.5</v>
      </c>
      <c r="L48" s="137">
        <f t="shared" si="28"/>
        <v>93.033333333333331</v>
      </c>
      <c r="M48" s="134">
        <f t="shared" si="28"/>
        <v>15</v>
      </c>
      <c r="N48" s="134">
        <f t="shared" si="28"/>
        <v>1146.4999999999995</v>
      </c>
      <c r="O48" s="137">
        <f t="shared" si="28"/>
        <v>76.433333333333294</v>
      </c>
      <c r="P48" s="157">
        <f>M48-J48</f>
        <v>0</v>
      </c>
      <c r="Q48" s="158">
        <f>N48-K48</f>
        <v>-249.00000000000045</v>
      </c>
      <c r="R48" s="159">
        <f>O48/L48</f>
        <v>0.82156932998925081</v>
      </c>
      <c r="S48" s="399"/>
      <c r="T48" s="160"/>
      <c r="U48" s="160"/>
      <c r="V48" s="196"/>
      <c r="W48" s="161">
        <f t="shared" si="27"/>
        <v>0</v>
      </c>
      <c r="X48" s="162"/>
      <c r="Y48" s="162"/>
      <c r="Z48" s="391"/>
      <c r="AA48" s="391"/>
      <c r="AB48" s="163">
        <f>N48-K48</f>
        <v>-249.00000000000045</v>
      </c>
      <c r="AC48" s="191">
        <f>N48/K48</f>
        <v>0.82156932998925081</v>
      </c>
      <c r="AD48" s="438"/>
    </row>
    <row r="49" spans="1:30" ht="15" customHeight="1">
      <c r="A49" s="451" t="s">
        <v>56</v>
      </c>
      <c r="B49" s="199" t="str">
        <f>VLOOKUP(D49,廠價表!$C$1:$E$39,2,0)</f>
        <v>義大利麵</v>
      </c>
      <c r="C49" s="102"/>
      <c r="D49" s="103" t="s">
        <v>152</v>
      </c>
      <c r="E49" s="104"/>
      <c r="F49" s="199">
        <f>VLOOKUP(D49,廠價表!$C$1:$E$39,3,0)</f>
        <v>56.87</v>
      </c>
      <c r="G49" s="149">
        <v>3263</v>
      </c>
      <c r="H49" s="125">
        <f t="shared" ref="H49:H57" si="29">F49*G49</f>
        <v>185566.81</v>
      </c>
      <c r="I49" s="126"/>
      <c r="J49" s="108">
        <f>VLOOKUP(D49,產線配置圖!$A$2:$C$38,2,0)</f>
        <v>19</v>
      </c>
      <c r="K49" s="105">
        <f>VLOOKUP(D49,產線配置圖!$A$2:$C$38,3,0)</f>
        <v>1565</v>
      </c>
      <c r="L49" s="109">
        <f>K49/J49</f>
        <v>82.368421052631575</v>
      </c>
      <c r="M49" s="144">
        <v>19</v>
      </c>
      <c r="N49" s="127">
        <f>G49/W49*60</f>
        <v>1553.8095238095243</v>
      </c>
      <c r="O49" s="128">
        <f>N49/M49</f>
        <v>81.779448621553911</v>
      </c>
      <c r="P49" s="164">
        <f>M49-J49</f>
        <v>0</v>
      </c>
      <c r="Q49" s="112">
        <f>O49-L49</f>
        <v>-0.58897243107766428</v>
      </c>
      <c r="R49" s="184">
        <f>O49/L49</f>
        <v>0.99284953598052672</v>
      </c>
      <c r="S49" s="396">
        <f>R58</f>
        <v>0.97089287410754155</v>
      </c>
      <c r="T49" s="151">
        <v>0.29166666666666669</v>
      </c>
      <c r="U49" s="151">
        <v>0.37916666666666665</v>
      </c>
      <c r="V49" s="188"/>
      <c r="W49" s="152">
        <f t="shared" si="7"/>
        <v>125.99999999999996</v>
      </c>
      <c r="X49" s="188"/>
      <c r="Y49" s="188"/>
      <c r="Z49" s="400"/>
      <c r="AA49" s="400"/>
      <c r="AB49" s="111">
        <f>N49-K49</f>
        <v>-11.190476190475692</v>
      </c>
      <c r="AC49" s="184">
        <f>N49/K49</f>
        <v>0.99284953598052672</v>
      </c>
      <c r="AD49" s="401">
        <f>AC58</f>
        <v>0.9712724198725079</v>
      </c>
    </row>
    <row r="50" spans="1:30" ht="15" customHeight="1">
      <c r="A50" s="452"/>
      <c r="B50" s="56" t="str">
        <f>VLOOKUP(D50,廠價表!$C$1:$E$39,2,0)</f>
        <v>義大利麵</v>
      </c>
      <c r="C50" s="10"/>
      <c r="D50" s="11" t="s">
        <v>65</v>
      </c>
      <c r="E50" s="86"/>
      <c r="F50" s="56">
        <f>VLOOKUP(D50,廠價表!$C$1:$E$39,3,0)</f>
        <v>49.97</v>
      </c>
      <c r="G50" s="66">
        <v>3306</v>
      </c>
      <c r="H50" s="76">
        <f t="shared" si="29"/>
        <v>165200.82</v>
      </c>
      <c r="I50" s="193"/>
      <c r="J50" s="16">
        <f>VLOOKUP(D50,產線配置圖!$A$2:$C$38,2,0)</f>
        <v>18</v>
      </c>
      <c r="K50" s="14">
        <f>VLOOKUP(D50,產線配置圖!$A$2:$C$38,3,0)</f>
        <v>1600</v>
      </c>
      <c r="L50" s="17">
        <f>K50/J50</f>
        <v>88.888888888888886</v>
      </c>
      <c r="M50" s="174">
        <v>18</v>
      </c>
      <c r="N50" s="77">
        <f>G50/W50*60</f>
        <v>1561.8897637795283</v>
      </c>
      <c r="O50" s="78">
        <f>N50/M50</f>
        <v>86.771653543307124</v>
      </c>
      <c r="P50" s="18">
        <f>M50-J50</f>
        <v>0</v>
      </c>
      <c r="Q50" s="19">
        <f>O50-L50</f>
        <v>-2.1172353455817614</v>
      </c>
      <c r="R50" s="185">
        <f>O50/L50</f>
        <v>0.97618110236220523</v>
      </c>
      <c r="S50" s="397"/>
      <c r="T50" s="79">
        <v>0.3840277777777778</v>
      </c>
      <c r="U50" s="79">
        <v>0.47222222222222221</v>
      </c>
      <c r="V50" s="177">
        <f t="shared" ref="V50:V51" si="30">(T50-U49)*24*60</f>
        <v>7.0000000000000551</v>
      </c>
      <c r="W50" s="80">
        <f t="shared" si="7"/>
        <v>126.99999999999994</v>
      </c>
      <c r="X50" s="22"/>
      <c r="Y50" s="22"/>
      <c r="Z50" s="419"/>
      <c r="AA50" s="418"/>
      <c r="AB50" s="18">
        <f>N50-K50</f>
        <v>-38.110236220471734</v>
      </c>
      <c r="AC50" s="185">
        <f>N50/K50</f>
        <v>0.97618110236220512</v>
      </c>
      <c r="AD50" s="402"/>
    </row>
    <row r="51" spans="1:30" ht="15" customHeight="1">
      <c r="A51" s="452"/>
      <c r="B51" s="56" t="str">
        <f>VLOOKUP(D51,廠價表!$C$1:$E$39,2,0)</f>
        <v>義大利麵</v>
      </c>
      <c r="C51" s="10"/>
      <c r="D51" s="11" t="s">
        <v>65</v>
      </c>
      <c r="E51" s="86"/>
      <c r="F51" s="56">
        <f>VLOOKUP(D51,廠價表!$C$1:$E$39,3,0)</f>
        <v>49.97</v>
      </c>
      <c r="G51" s="66">
        <v>2924</v>
      </c>
      <c r="H51" s="76">
        <f t="shared" si="29"/>
        <v>146112.28</v>
      </c>
      <c r="I51" s="193"/>
      <c r="J51" s="16">
        <f>VLOOKUP(D51,產線配置圖!$A$2:$C$38,2,0)</f>
        <v>18</v>
      </c>
      <c r="K51" s="14">
        <f>VLOOKUP(D51,產線配置圖!$A$2:$C$38,3,0)</f>
        <v>1600</v>
      </c>
      <c r="L51" s="17">
        <f>K51/J51</f>
        <v>88.888888888888886</v>
      </c>
      <c r="M51" s="174">
        <v>18</v>
      </c>
      <c r="N51" s="77">
        <f>G51/W51*60</f>
        <v>1512.4137931034472</v>
      </c>
      <c r="O51" s="78">
        <f>N51/M51</f>
        <v>84.022988505747065</v>
      </c>
      <c r="P51" s="18">
        <f>M51-J51</f>
        <v>0</v>
      </c>
      <c r="Q51" s="19">
        <f>O51-L51</f>
        <v>-4.8659003831418204</v>
      </c>
      <c r="R51" s="185">
        <f>O51/L51</f>
        <v>0.94525862068965449</v>
      </c>
      <c r="S51" s="397"/>
      <c r="T51" s="79">
        <v>0.53819444444444442</v>
      </c>
      <c r="U51" s="44">
        <v>0.61875000000000002</v>
      </c>
      <c r="V51" s="177">
        <f t="shared" si="30"/>
        <v>94.999999999999986</v>
      </c>
      <c r="W51" s="80">
        <f t="shared" si="7"/>
        <v>116.00000000000007</v>
      </c>
      <c r="X51" s="22">
        <v>0.47916666666666669</v>
      </c>
      <c r="Y51" s="22">
        <v>0.52083333333333337</v>
      </c>
      <c r="Z51" s="405"/>
      <c r="AA51" s="405"/>
      <c r="AB51" s="18">
        <f>N51-K51</f>
        <v>-87.586206896552767</v>
      </c>
      <c r="AC51" s="185">
        <f>N51/K51</f>
        <v>0.94525862068965449</v>
      </c>
      <c r="AD51" s="402"/>
    </row>
    <row r="52" spans="1:30" ht="15" customHeight="1">
      <c r="A52" s="452"/>
      <c r="B52" s="56"/>
      <c r="C52" s="23"/>
      <c r="D52" s="11"/>
      <c r="E52" s="12"/>
      <c r="F52" s="56"/>
      <c r="G52" s="66"/>
      <c r="H52" s="76"/>
      <c r="I52" s="193"/>
      <c r="J52" s="16"/>
      <c r="K52" s="14"/>
      <c r="L52" s="17"/>
      <c r="M52" s="174"/>
      <c r="N52" s="77"/>
      <c r="O52" s="78"/>
      <c r="P52" s="18"/>
      <c r="Q52" s="19"/>
      <c r="R52" s="185"/>
      <c r="S52" s="397"/>
      <c r="T52" s="79"/>
      <c r="U52" s="79"/>
      <c r="V52" s="177"/>
      <c r="W52" s="80">
        <f t="shared" si="7"/>
        <v>0</v>
      </c>
      <c r="X52" s="22"/>
      <c r="Y52" s="22"/>
      <c r="Z52" s="405"/>
      <c r="AA52" s="405"/>
      <c r="AB52" s="18"/>
      <c r="AC52" s="185"/>
      <c r="AD52" s="402"/>
    </row>
    <row r="53" spans="1:30" ht="15" customHeight="1">
      <c r="A53" s="452"/>
      <c r="B53" s="56"/>
      <c r="C53" s="23"/>
      <c r="D53" s="11"/>
      <c r="E53" s="12"/>
      <c r="F53" s="56"/>
      <c r="G53" s="66"/>
      <c r="H53" s="76"/>
      <c r="I53" s="193"/>
      <c r="J53" s="16"/>
      <c r="K53" s="14"/>
      <c r="L53" s="17"/>
      <c r="M53" s="174"/>
      <c r="N53" s="77"/>
      <c r="O53" s="78"/>
      <c r="P53" s="18"/>
      <c r="Q53" s="19"/>
      <c r="R53" s="185"/>
      <c r="S53" s="397"/>
      <c r="T53" s="79"/>
      <c r="U53" s="79"/>
      <c r="V53" s="177"/>
      <c r="W53" s="80">
        <f t="shared" si="7"/>
        <v>0</v>
      </c>
      <c r="X53" s="177"/>
      <c r="Y53" s="177"/>
      <c r="Z53" s="419"/>
      <c r="AA53" s="418"/>
      <c r="AB53" s="18"/>
      <c r="AC53" s="185"/>
      <c r="AD53" s="402"/>
    </row>
    <row r="54" spans="1:30" ht="15" customHeight="1">
      <c r="A54" s="452"/>
      <c r="B54" s="177"/>
      <c r="C54" s="183"/>
      <c r="D54" s="11"/>
      <c r="E54" s="12"/>
      <c r="F54" s="13"/>
      <c r="G54" s="66"/>
      <c r="H54" s="76">
        <f t="shared" si="29"/>
        <v>0</v>
      </c>
      <c r="I54" s="177"/>
      <c r="J54" s="31"/>
      <c r="K54" s="30"/>
      <c r="L54" s="38"/>
      <c r="M54" s="181"/>
      <c r="N54" s="30"/>
      <c r="O54" s="35"/>
      <c r="P54" s="18"/>
      <c r="Q54" s="19"/>
      <c r="R54" s="185"/>
      <c r="S54" s="397"/>
      <c r="T54" s="79"/>
      <c r="U54" s="79"/>
      <c r="V54" s="197"/>
      <c r="W54" s="80">
        <f t="shared" si="7"/>
        <v>0</v>
      </c>
      <c r="X54" s="177"/>
      <c r="Y54" s="177"/>
      <c r="Z54" s="419"/>
      <c r="AA54" s="418"/>
      <c r="AB54" s="18"/>
      <c r="AC54" s="185"/>
      <c r="AD54" s="402"/>
    </row>
    <row r="55" spans="1:30" ht="15" customHeight="1">
      <c r="A55" s="452"/>
      <c r="B55" s="26"/>
      <c r="C55" s="27"/>
      <c r="D55" s="28"/>
      <c r="E55" s="29"/>
      <c r="F55" s="13"/>
      <c r="G55" s="66"/>
      <c r="H55" s="15">
        <f t="shared" si="29"/>
        <v>0</v>
      </c>
      <c r="I55" s="177"/>
      <c r="J55" s="31"/>
      <c r="K55" s="30"/>
      <c r="L55" s="38"/>
      <c r="M55" s="181"/>
      <c r="N55" s="30"/>
      <c r="O55" s="35"/>
      <c r="P55" s="18"/>
      <c r="Q55" s="19"/>
      <c r="R55" s="185"/>
      <c r="S55" s="397"/>
      <c r="T55" s="79"/>
      <c r="U55" s="79"/>
      <c r="V55" s="197"/>
      <c r="W55" s="80">
        <f t="shared" si="7"/>
        <v>0</v>
      </c>
      <c r="X55" s="177"/>
      <c r="Y55" s="177"/>
      <c r="Z55" s="419"/>
      <c r="AA55" s="418"/>
      <c r="AB55" s="18"/>
      <c r="AC55" s="185"/>
      <c r="AD55" s="402"/>
    </row>
    <row r="56" spans="1:30" ht="15" customHeight="1">
      <c r="A56" s="452"/>
      <c r="B56" s="26"/>
      <c r="C56" s="27"/>
      <c r="D56" s="28"/>
      <c r="E56" s="29"/>
      <c r="F56" s="13"/>
      <c r="G56" s="66"/>
      <c r="H56" s="15">
        <f t="shared" si="29"/>
        <v>0</v>
      </c>
      <c r="I56" s="177"/>
      <c r="J56" s="31"/>
      <c r="K56" s="30"/>
      <c r="L56" s="38"/>
      <c r="M56" s="181"/>
      <c r="N56" s="30"/>
      <c r="O56" s="35"/>
      <c r="P56" s="18"/>
      <c r="Q56" s="19"/>
      <c r="R56" s="185"/>
      <c r="S56" s="397"/>
      <c r="T56" s="79"/>
      <c r="U56" s="79"/>
      <c r="V56" s="197"/>
      <c r="W56" s="80">
        <f t="shared" si="7"/>
        <v>0</v>
      </c>
      <c r="X56" s="177"/>
      <c r="Y56" s="177"/>
      <c r="Z56" s="405"/>
      <c r="AA56" s="405"/>
      <c r="AB56" s="18"/>
      <c r="AC56" s="185"/>
      <c r="AD56" s="402"/>
    </row>
    <row r="57" spans="1:30" ht="15" customHeight="1">
      <c r="A57" s="452"/>
      <c r="B57" s="26"/>
      <c r="C57" s="27"/>
      <c r="D57" s="28"/>
      <c r="E57" s="29"/>
      <c r="F57" s="13"/>
      <c r="G57" s="66"/>
      <c r="H57" s="15">
        <f t="shared" si="29"/>
        <v>0</v>
      </c>
      <c r="I57" s="177"/>
      <c r="J57" s="31"/>
      <c r="K57" s="30"/>
      <c r="L57" s="38"/>
      <c r="M57" s="181"/>
      <c r="N57" s="30"/>
      <c r="O57" s="35"/>
      <c r="P57" s="18"/>
      <c r="Q57" s="19"/>
      <c r="R57" s="185"/>
      <c r="S57" s="397"/>
      <c r="T57" s="79"/>
      <c r="U57" s="79"/>
      <c r="V57" s="197"/>
      <c r="W57" s="80">
        <f t="shared" si="7"/>
        <v>0</v>
      </c>
      <c r="X57" s="177"/>
      <c r="Y57" s="177"/>
      <c r="Z57" s="405"/>
      <c r="AA57" s="405"/>
      <c r="AB57" s="18"/>
      <c r="AC57" s="185"/>
      <c r="AD57" s="402"/>
    </row>
    <row r="58" spans="1:30" ht="15" customHeight="1" thickBot="1">
      <c r="A58" s="453"/>
      <c r="B58" s="165"/>
      <c r="C58" s="1" t="s">
        <v>38</v>
      </c>
      <c r="D58" s="410" t="s">
        <v>7</v>
      </c>
      <c r="E58" s="410"/>
      <c r="F58" s="114"/>
      <c r="G58" s="166"/>
      <c r="H58" s="116"/>
      <c r="I58" s="115"/>
      <c r="J58" s="118">
        <f t="shared" ref="J58:O58" si="31">AVERAGE(J49:J57)</f>
        <v>18.333333333333332</v>
      </c>
      <c r="K58" s="118">
        <f t="shared" si="31"/>
        <v>1588.3333333333333</v>
      </c>
      <c r="L58" s="115">
        <f t="shared" si="31"/>
        <v>86.715399610136458</v>
      </c>
      <c r="M58" s="118">
        <f t="shared" si="31"/>
        <v>18.333333333333332</v>
      </c>
      <c r="N58" s="118">
        <f t="shared" si="31"/>
        <v>1542.7043602308333</v>
      </c>
      <c r="O58" s="115">
        <f t="shared" si="31"/>
        <v>84.191363556869376</v>
      </c>
      <c r="P58" s="119">
        <f>M58-J58</f>
        <v>0</v>
      </c>
      <c r="Q58" s="120">
        <f>N58-K58</f>
        <v>-45.628973102499913</v>
      </c>
      <c r="R58" s="121">
        <f t="shared" ref="R58:R60" si="32">O58/L58</f>
        <v>0.97089287410754155</v>
      </c>
      <c r="S58" s="399"/>
      <c r="T58" s="167"/>
      <c r="U58" s="167"/>
      <c r="V58" s="195"/>
      <c r="W58" s="168"/>
      <c r="X58" s="124"/>
      <c r="Y58" s="124"/>
      <c r="Z58" s="391"/>
      <c r="AA58" s="391"/>
      <c r="AB58" s="119">
        <f t="shared" ref="AB58:AB63" si="33">N58-K58</f>
        <v>-45.628973102499913</v>
      </c>
      <c r="AC58" s="187">
        <f t="shared" ref="AC58:AC63" si="34">N58/K58</f>
        <v>0.9712724198725079</v>
      </c>
      <c r="AD58" s="404"/>
    </row>
    <row r="59" spans="1:30" ht="15" customHeight="1">
      <c r="A59" s="466" t="s">
        <v>57</v>
      </c>
      <c r="B59" s="199" t="str">
        <f>VLOOKUP(D59,廠價表!$C$1:$E$39,2,0)</f>
        <v>小吃、微波</v>
      </c>
      <c r="C59" s="102"/>
      <c r="D59" s="103" t="s">
        <v>125</v>
      </c>
      <c r="E59" s="104"/>
      <c r="F59" s="199">
        <f>VLOOKUP(D59,廠價表!$C$1:$E$39,3,0)</f>
        <v>26.99</v>
      </c>
      <c r="G59" s="188">
        <v>3113</v>
      </c>
      <c r="H59" s="106">
        <f t="shared" ref="H59:H68" si="35">F59*G59</f>
        <v>84019.87</v>
      </c>
      <c r="I59" s="188"/>
      <c r="J59" s="108">
        <f>VLOOKUP(D59,產線配置圖!$A$2:$C$38,2,0)</f>
        <v>13</v>
      </c>
      <c r="K59" s="105">
        <f>VLOOKUP(D59,產線配置圖!$A$2:$C$38,3,0)</f>
        <v>1565</v>
      </c>
      <c r="L59" s="109">
        <f>K59/J59</f>
        <v>120.38461538461539</v>
      </c>
      <c r="M59" s="110">
        <v>13</v>
      </c>
      <c r="N59" s="105">
        <f t="shared" ref="N59:N62" si="36">G59/W59*60</f>
        <v>1482.380952380953</v>
      </c>
      <c r="O59" s="109">
        <f t="shared" ref="O59:O62" si="37">N59/M59</f>
        <v>114.02930402930407</v>
      </c>
      <c r="P59" s="111">
        <f t="shared" ref="P59:P62" si="38">M59-J59</f>
        <v>0</v>
      </c>
      <c r="Q59" s="112">
        <f t="shared" ref="Q59:Q62" si="39">O59-L59</f>
        <v>-6.355311355311315</v>
      </c>
      <c r="R59" s="184">
        <f t="shared" si="32"/>
        <v>0.94720827628175908</v>
      </c>
      <c r="S59" s="396">
        <f>R69</f>
        <v>0.89817374277627038</v>
      </c>
      <c r="T59" s="169">
        <v>0.29444444444444445</v>
      </c>
      <c r="U59" s="169">
        <v>0.38194444444444442</v>
      </c>
      <c r="V59" s="188"/>
      <c r="W59" s="107">
        <f t="shared" si="7"/>
        <v>125.99999999999996</v>
      </c>
      <c r="X59" s="188"/>
      <c r="Y59" s="188"/>
      <c r="Z59" s="405"/>
      <c r="AA59" s="405"/>
      <c r="AB59" s="225">
        <f t="shared" si="33"/>
        <v>-82.619047619047024</v>
      </c>
      <c r="AC59" s="226">
        <f t="shared" si="34"/>
        <v>0.94720827628175908</v>
      </c>
      <c r="AD59" s="401">
        <f>AC69</f>
        <v>0.90037746910281902</v>
      </c>
    </row>
    <row r="60" spans="1:30" ht="15" customHeight="1">
      <c r="A60" s="467"/>
      <c r="B60" s="56" t="str">
        <f>VLOOKUP(D60,廠價表!$C$1:$E$39,2,0)</f>
        <v>小吃、微波</v>
      </c>
      <c r="C60" s="10"/>
      <c r="D60" s="242" t="s">
        <v>146</v>
      </c>
      <c r="E60" s="86"/>
      <c r="F60" s="56">
        <f>VLOOKUP(D60,廠價表!$C$1:$E$39,3,0)</f>
        <v>28.47</v>
      </c>
      <c r="G60" s="177">
        <v>998</v>
      </c>
      <c r="H60" s="15">
        <f t="shared" si="35"/>
        <v>28413.059999999998</v>
      </c>
      <c r="I60" s="177"/>
      <c r="J60" s="16">
        <f>VLOOKUP(D60,產線配置圖!$A$2:$C$38,2,0)</f>
        <v>12</v>
      </c>
      <c r="K60" s="14">
        <f>VLOOKUP(D60,產線配置圖!$A$2:$C$38,3,0)</f>
        <v>1565</v>
      </c>
      <c r="L60" s="17">
        <f>K60/J60</f>
        <v>130.41666666666666</v>
      </c>
      <c r="M60" s="180">
        <v>12</v>
      </c>
      <c r="N60" s="14">
        <f t="shared" si="36"/>
        <v>1330.6666666666665</v>
      </c>
      <c r="O60" s="17">
        <f t="shared" si="37"/>
        <v>110.88888888888887</v>
      </c>
      <c r="P60" s="18">
        <f t="shared" si="38"/>
        <v>0</v>
      </c>
      <c r="Q60" s="19">
        <f t="shared" si="39"/>
        <v>-19.527777777777786</v>
      </c>
      <c r="R60" s="185">
        <f t="shared" si="32"/>
        <v>0.85026624068157608</v>
      </c>
      <c r="S60" s="470"/>
      <c r="T60" s="198">
        <v>0.3923611111111111</v>
      </c>
      <c r="U60" s="198">
        <v>0.4236111111111111</v>
      </c>
      <c r="V60" s="177">
        <f t="shared" ref="V60:V63" si="40">(T60-U59)*24*60</f>
        <v>15.000000000000027</v>
      </c>
      <c r="W60" s="90">
        <f t="shared" si="7"/>
        <v>45</v>
      </c>
      <c r="X60" s="193"/>
      <c r="Y60" s="193"/>
      <c r="Z60" s="405"/>
      <c r="AA60" s="405"/>
      <c r="AB60" s="227">
        <f t="shared" si="33"/>
        <v>-234.33333333333348</v>
      </c>
      <c r="AC60" s="228">
        <f t="shared" si="34"/>
        <v>0.85026624068157608</v>
      </c>
      <c r="AD60" s="473"/>
    </row>
    <row r="61" spans="1:30" ht="15" customHeight="1">
      <c r="A61" s="468"/>
      <c r="B61" s="56" t="str">
        <f>VLOOKUP(D61,廠價表!$C$1:$E$39,2,0)</f>
        <v>小吃、微波</v>
      </c>
      <c r="C61" s="10"/>
      <c r="D61" s="242" t="s">
        <v>135</v>
      </c>
      <c r="E61" s="86"/>
      <c r="F61" s="56">
        <f>VLOOKUP(D61,廠價表!$C$1:$E$39,3,0)</f>
        <v>28.26</v>
      </c>
      <c r="G61" s="177">
        <v>1217</v>
      </c>
      <c r="H61" s="15">
        <f t="shared" si="35"/>
        <v>34392.420000000006</v>
      </c>
      <c r="I61" s="81"/>
      <c r="J61" s="16">
        <f>VLOOKUP(D61,產線配置圖!$A$2:$C$38,2,0)</f>
        <v>12</v>
      </c>
      <c r="K61" s="14">
        <f>VLOOKUP(D61,產線配置圖!$A$2:$C$38,3,0)</f>
        <v>1565</v>
      </c>
      <c r="L61" s="17">
        <f t="shared" ref="L61:L62" si="41">K61/J61</f>
        <v>130.41666666666666</v>
      </c>
      <c r="M61" s="180">
        <v>12</v>
      </c>
      <c r="N61" s="14">
        <f t="shared" si="36"/>
        <v>1258.9655172413784</v>
      </c>
      <c r="O61" s="17">
        <f t="shared" si="37"/>
        <v>104.9137931034482</v>
      </c>
      <c r="P61" s="18">
        <f t="shared" si="38"/>
        <v>0</v>
      </c>
      <c r="Q61" s="19">
        <f t="shared" si="39"/>
        <v>-25.502873563218458</v>
      </c>
      <c r="R61" s="185">
        <f>O61/L61</f>
        <v>0.80445080973890004</v>
      </c>
      <c r="S61" s="397"/>
      <c r="T61" s="20">
        <v>0.4375</v>
      </c>
      <c r="U61" s="20">
        <v>0.4777777777777778</v>
      </c>
      <c r="V61" s="177">
        <f t="shared" si="40"/>
        <v>20.000000000000007</v>
      </c>
      <c r="W61" s="88">
        <f t="shared" si="7"/>
        <v>58.000000000000036</v>
      </c>
      <c r="X61" s="22"/>
      <c r="Y61" s="22"/>
      <c r="Z61" s="405" t="s">
        <v>174</v>
      </c>
      <c r="AA61" s="405"/>
      <c r="AB61" s="51">
        <f t="shared" si="33"/>
        <v>-306.03448275862161</v>
      </c>
      <c r="AC61" s="52">
        <f t="shared" si="34"/>
        <v>0.80445080973889993</v>
      </c>
      <c r="AD61" s="402"/>
    </row>
    <row r="62" spans="1:30" ht="15" customHeight="1">
      <c r="A62" s="468"/>
      <c r="B62" s="56" t="str">
        <f>VLOOKUP(D62,廠價表!$C$1:$E$39,2,0)</f>
        <v>小吃、微波</v>
      </c>
      <c r="C62" s="10"/>
      <c r="D62" s="11" t="s">
        <v>135</v>
      </c>
      <c r="E62" s="86"/>
      <c r="F62" s="56">
        <f>VLOOKUP(D62,廠價表!$C$1:$E$39,3,0)</f>
        <v>28.26</v>
      </c>
      <c r="G62" s="177">
        <v>1302</v>
      </c>
      <c r="H62" s="15">
        <f t="shared" si="35"/>
        <v>36794.520000000004</v>
      </c>
      <c r="I62" s="81"/>
      <c r="J62" s="16">
        <f>VLOOKUP(D62,產線配置圖!$A$2:$C$38,2,0)</f>
        <v>12</v>
      </c>
      <c r="K62" s="14">
        <f>VLOOKUP(D62,產線配置圖!$A$2:$C$38,3,0)</f>
        <v>1565</v>
      </c>
      <c r="L62" s="17">
        <f t="shared" si="41"/>
        <v>130.41666666666666</v>
      </c>
      <c r="M62" s="180">
        <v>12</v>
      </c>
      <c r="N62" s="14">
        <f t="shared" si="36"/>
        <v>1420.3636363636374</v>
      </c>
      <c r="O62" s="17">
        <f t="shared" si="37"/>
        <v>118.36363636363645</v>
      </c>
      <c r="P62" s="18">
        <f t="shared" si="38"/>
        <v>0</v>
      </c>
      <c r="Q62" s="19">
        <f t="shared" si="39"/>
        <v>-12.053030303030212</v>
      </c>
      <c r="R62" s="185">
        <f>O62/L62</f>
        <v>0.90758059831542326</v>
      </c>
      <c r="S62" s="397"/>
      <c r="T62" s="20">
        <v>0.53472222222222221</v>
      </c>
      <c r="U62" s="20">
        <v>0.57291666666666663</v>
      </c>
      <c r="V62" s="177">
        <f t="shared" si="40"/>
        <v>81.999999999999943</v>
      </c>
      <c r="W62" s="90">
        <f t="shared" si="7"/>
        <v>54.999999999999964</v>
      </c>
      <c r="X62" s="22">
        <v>0.4861111111111111</v>
      </c>
      <c r="Y62" s="22">
        <v>0.52777777777777779</v>
      </c>
      <c r="Z62" s="405"/>
      <c r="AA62" s="405"/>
      <c r="AB62" s="51">
        <f t="shared" si="33"/>
        <v>-144.6363636363626</v>
      </c>
      <c r="AC62" s="52">
        <f t="shared" si="34"/>
        <v>0.90758059831542326</v>
      </c>
      <c r="AD62" s="402"/>
    </row>
    <row r="63" spans="1:30" ht="15" customHeight="1">
      <c r="A63" s="468"/>
      <c r="B63" s="56" t="s">
        <v>113</v>
      </c>
      <c r="C63" s="23"/>
      <c r="D63" s="11" t="s">
        <v>125</v>
      </c>
      <c r="E63" s="12"/>
      <c r="F63" s="56">
        <f>VLOOKUP(D63,廠價表!$C$1:$E$39,3,0)</f>
        <v>26.99</v>
      </c>
      <c r="G63" s="177">
        <v>1346</v>
      </c>
      <c r="H63" s="15">
        <f t="shared" ref="H63" si="42">F63*G63</f>
        <v>36328.54</v>
      </c>
      <c r="I63" s="81"/>
      <c r="J63" s="16">
        <f>VLOOKUP(D63,產線配置圖!$A$2:$C$38,2,0)</f>
        <v>13</v>
      </c>
      <c r="K63" s="14">
        <f>VLOOKUP(D63,產線配置圖!$A$2:$C$38,3,0)</f>
        <v>1565</v>
      </c>
      <c r="L63" s="17">
        <f>K63/J63</f>
        <v>120.38461538461539</v>
      </c>
      <c r="M63" s="180">
        <v>13</v>
      </c>
      <c r="N63" s="14">
        <f t="shared" ref="N63" si="43">G63/W63*60</f>
        <v>1553.0769230769238</v>
      </c>
      <c r="O63" s="17">
        <f t="shared" ref="O63" si="44">N63/M63</f>
        <v>119.46745562130182</v>
      </c>
      <c r="P63" s="18">
        <f t="shared" ref="P63" si="45">M63-J63</f>
        <v>0</v>
      </c>
      <c r="Q63" s="19">
        <f t="shared" ref="Q63" si="46">O63-L63</f>
        <v>-0.9171597633135633</v>
      </c>
      <c r="R63" s="185">
        <f t="shared" ref="R63" si="47">O63/L63</f>
        <v>0.99238142049643685</v>
      </c>
      <c r="S63" s="397"/>
      <c r="T63" s="20">
        <v>0.58333333333333337</v>
      </c>
      <c r="U63" s="20">
        <v>0.61944444444444446</v>
      </c>
      <c r="V63" s="177">
        <f t="shared" si="40"/>
        <v>15.000000000000107</v>
      </c>
      <c r="W63" s="90">
        <f t="shared" si="7"/>
        <v>51.999999999999972</v>
      </c>
      <c r="X63" s="84"/>
      <c r="Y63" s="84"/>
      <c r="Z63" s="405"/>
      <c r="AA63" s="405"/>
      <c r="AB63" s="51">
        <f t="shared" si="33"/>
        <v>-11.923076923076223</v>
      </c>
      <c r="AC63" s="52">
        <f t="shared" si="34"/>
        <v>0.99238142049643696</v>
      </c>
      <c r="AD63" s="402"/>
    </row>
    <row r="64" spans="1:30" ht="15" customHeight="1">
      <c r="A64" s="468"/>
      <c r="B64" s="177"/>
      <c r="C64" s="23"/>
      <c r="D64" s="11"/>
      <c r="E64" s="12"/>
      <c r="F64" s="13"/>
      <c r="G64" s="177"/>
      <c r="H64" s="15">
        <f t="shared" si="35"/>
        <v>0</v>
      </c>
      <c r="I64" s="177"/>
      <c r="J64" s="16"/>
      <c r="K64" s="14"/>
      <c r="L64" s="17"/>
      <c r="M64" s="180"/>
      <c r="N64" s="14"/>
      <c r="O64" s="17"/>
      <c r="P64" s="18"/>
      <c r="Q64" s="19"/>
      <c r="R64" s="185"/>
      <c r="S64" s="397"/>
      <c r="T64" s="20"/>
      <c r="U64" s="20"/>
      <c r="V64" s="177"/>
      <c r="W64" s="182">
        <f t="shared" si="7"/>
        <v>0</v>
      </c>
      <c r="X64" s="84"/>
      <c r="Y64" s="84"/>
      <c r="Z64" s="419"/>
      <c r="AA64" s="418"/>
      <c r="AB64" s="18"/>
      <c r="AC64" s="55"/>
      <c r="AD64" s="402"/>
    </row>
    <row r="65" spans="1:32" ht="15" customHeight="1">
      <c r="A65" s="468"/>
      <c r="B65" s="177"/>
      <c r="C65" s="183"/>
      <c r="D65" s="11"/>
      <c r="E65" s="12"/>
      <c r="F65" s="13"/>
      <c r="G65" s="177"/>
      <c r="H65" s="15">
        <f t="shared" si="35"/>
        <v>0</v>
      </c>
      <c r="I65" s="177"/>
      <c r="J65" s="16"/>
      <c r="K65" s="82"/>
      <c r="L65" s="83"/>
      <c r="M65" s="180"/>
      <c r="N65" s="14"/>
      <c r="O65" s="17"/>
      <c r="P65" s="18"/>
      <c r="Q65" s="19"/>
      <c r="R65" s="185"/>
      <c r="S65" s="397"/>
      <c r="T65" s="20"/>
      <c r="U65" s="20"/>
      <c r="V65" s="177"/>
      <c r="W65" s="182">
        <f t="shared" si="7"/>
        <v>0</v>
      </c>
      <c r="X65" s="84"/>
      <c r="Y65" s="84"/>
      <c r="Z65" s="419"/>
      <c r="AA65" s="418"/>
      <c r="AB65" s="18"/>
      <c r="AC65" s="55"/>
      <c r="AD65" s="402"/>
    </row>
    <row r="66" spans="1:32" ht="15" customHeight="1">
      <c r="A66" s="468"/>
      <c r="B66" s="26"/>
      <c r="C66" s="27"/>
      <c r="D66" s="28"/>
      <c r="E66" s="29"/>
      <c r="F66" s="13"/>
      <c r="G66" s="183"/>
      <c r="H66" s="15">
        <f t="shared" si="35"/>
        <v>0</v>
      </c>
      <c r="I66" s="85"/>
      <c r="J66" s="16"/>
      <c r="K66" s="14"/>
      <c r="L66" s="17"/>
      <c r="M66" s="21"/>
      <c r="N66" s="36"/>
      <c r="O66" s="38"/>
      <c r="P66" s="39"/>
      <c r="Q66" s="40"/>
      <c r="R66" s="68"/>
      <c r="S66" s="397"/>
      <c r="T66" s="20"/>
      <c r="U66" s="20"/>
      <c r="V66" s="177"/>
      <c r="W66" s="182">
        <f t="shared" si="7"/>
        <v>0</v>
      </c>
      <c r="X66" s="84"/>
      <c r="Y66" s="84"/>
      <c r="Z66" s="405"/>
      <c r="AA66" s="405"/>
      <c r="AB66" s="18"/>
      <c r="AC66" s="55"/>
      <c r="AD66" s="402"/>
    </row>
    <row r="67" spans="1:32" ht="15" customHeight="1">
      <c r="A67" s="468"/>
      <c r="B67" s="26"/>
      <c r="C67" s="27"/>
      <c r="D67" s="28"/>
      <c r="E67" s="29"/>
      <c r="F67" s="13"/>
      <c r="G67" s="177"/>
      <c r="H67" s="15">
        <f t="shared" si="35"/>
        <v>0</v>
      </c>
      <c r="I67" s="177"/>
      <c r="J67" s="16"/>
      <c r="K67" s="14"/>
      <c r="L67" s="17"/>
      <c r="M67" s="21"/>
      <c r="N67" s="36"/>
      <c r="O67" s="38"/>
      <c r="P67" s="39"/>
      <c r="Q67" s="40"/>
      <c r="R67" s="68"/>
      <c r="S67" s="397"/>
      <c r="T67" s="20"/>
      <c r="U67" s="20"/>
      <c r="V67" s="177"/>
      <c r="W67" s="182">
        <f t="shared" si="7"/>
        <v>0</v>
      </c>
      <c r="X67" s="84"/>
      <c r="Y67" s="84"/>
      <c r="Z67" s="419"/>
      <c r="AA67" s="418"/>
      <c r="AB67" s="18"/>
      <c r="AC67" s="55"/>
      <c r="AD67" s="402"/>
    </row>
    <row r="68" spans="1:32" ht="15" customHeight="1">
      <c r="A68" s="468"/>
      <c r="B68" s="26"/>
      <c r="C68" s="27"/>
      <c r="D68" s="28"/>
      <c r="E68" s="29"/>
      <c r="F68" s="13"/>
      <c r="G68" s="183"/>
      <c r="H68" s="15">
        <f t="shared" si="35"/>
        <v>0</v>
      </c>
      <c r="I68" s="85"/>
      <c r="J68" s="16"/>
      <c r="K68" s="260"/>
      <c r="L68" s="261"/>
      <c r="M68" s="21"/>
      <c r="N68" s="36"/>
      <c r="O68" s="38"/>
      <c r="P68" s="39"/>
      <c r="Q68" s="40"/>
      <c r="R68" s="68"/>
      <c r="S68" s="397"/>
      <c r="T68" s="20"/>
      <c r="U68" s="20"/>
      <c r="V68" s="177"/>
      <c r="W68" s="182">
        <f t="shared" si="7"/>
        <v>0</v>
      </c>
      <c r="X68" s="84"/>
      <c r="Y68" s="84"/>
      <c r="Z68" s="419"/>
      <c r="AA68" s="418"/>
      <c r="AB68" s="18"/>
      <c r="AC68" s="55"/>
      <c r="AD68" s="402"/>
    </row>
    <row r="69" spans="1:32" ht="15" customHeight="1" thickBot="1">
      <c r="A69" s="469"/>
      <c r="B69" s="165"/>
      <c r="C69" s="1" t="s">
        <v>39</v>
      </c>
      <c r="D69" s="410" t="s">
        <v>7</v>
      </c>
      <c r="E69" s="410"/>
      <c r="F69" s="114"/>
      <c r="G69" s="115"/>
      <c r="H69" s="116"/>
      <c r="I69" s="170"/>
      <c r="J69" s="166">
        <f t="shared" ref="J69:O69" si="48">AVERAGE(J59:J68)</f>
        <v>12.4</v>
      </c>
      <c r="K69" s="166">
        <f t="shared" si="48"/>
        <v>1565</v>
      </c>
      <c r="L69" s="171">
        <f t="shared" si="48"/>
        <v>126.40384615384615</v>
      </c>
      <c r="M69" s="166">
        <f t="shared" si="48"/>
        <v>12.4</v>
      </c>
      <c r="N69" s="166">
        <f t="shared" si="48"/>
        <v>1409.0907391459118</v>
      </c>
      <c r="O69" s="171">
        <f t="shared" si="48"/>
        <v>113.53261560131587</v>
      </c>
      <c r="P69" s="172">
        <f>M69-J69</f>
        <v>0</v>
      </c>
      <c r="Q69" s="158">
        <f>N69-K69</f>
        <v>-155.90926085408819</v>
      </c>
      <c r="R69" s="121">
        <f>O69/L69</f>
        <v>0.89817374277627038</v>
      </c>
      <c r="S69" s="399"/>
      <c r="T69" s="122"/>
      <c r="U69" s="122"/>
      <c r="V69" s="195"/>
      <c r="W69" s="168"/>
      <c r="X69" s="124"/>
      <c r="Y69" s="124"/>
      <c r="Z69" s="405"/>
      <c r="AA69" s="405"/>
      <c r="AB69" s="119">
        <f>N69-K69</f>
        <v>-155.90926085408819</v>
      </c>
      <c r="AC69" s="187">
        <f>N69/K69</f>
        <v>0.90037746910281902</v>
      </c>
      <c r="AD69" s="404"/>
    </row>
    <row r="70" spans="1:32" ht="15" customHeight="1">
      <c r="A70" s="461" t="s">
        <v>58</v>
      </c>
      <c r="B70" s="199" t="s">
        <v>62</v>
      </c>
      <c r="C70" s="199"/>
      <c r="D70" s="103" t="s">
        <v>158</v>
      </c>
      <c r="E70" s="104"/>
      <c r="F70" s="199">
        <f>VLOOKUP(D70,廠價表!$C$1:$E$39,3,0)</f>
        <v>47.71</v>
      </c>
      <c r="G70" s="188">
        <v>4335</v>
      </c>
      <c r="H70" s="106">
        <f t="shared" ref="H70" si="49">F70*G70</f>
        <v>206822.85</v>
      </c>
      <c r="I70" s="188"/>
      <c r="J70" s="108">
        <f>VLOOKUP(D70,產線配置圖!$A$2:$C$38,2,0)</f>
        <v>15</v>
      </c>
      <c r="K70" s="105">
        <f>VLOOKUP(D70,產線配置圖!$A$2:$C$38,3,0)</f>
        <v>1500</v>
      </c>
      <c r="L70" s="109">
        <f>K70/J70</f>
        <v>100</v>
      </c>
      <c r="M70" s="110">
        <v>14</v>
      </c>
      <c r="N70" s="105">
        <f t="shared" ref="N70" si="50">G70/W70*60</f>
        <v>1130.8695652173915</v>
      </c>
      <c r="O70" s="109">
        <f t="shared" ref="O70:O71" si="51">N70/M70</f>
        <v>80.776397515527961</v>
      </c>
      <c r="P70" s="111">
        <f t="shared" ref="P70:P71" si="52">M70-J70</f>
        <v>-1</v>
      </c>
      <c r="Q70" s="112">
        <f t="shared" ref="Q70:Q71" si="53">O70-L70</f>
        <v>-19.223602484472039</v>
      </c>
      <c r="R70" s="184">
        <f t="shared" ref="R70:R71" si="54">O70/L70</f>
        <v>0.80776397515527965</v>
      </c>
      <c r="S70" s="396">
        <f>R79</f>
        <v>0.81515189918070807</v>
      </c>
      <c r="T70" s="169">
        <v>0.33680555555555558</v>
      </c>
      <c r="U70" s="169">
        <v>0.49652777777777779</v>
      </c>
      <c r="V70" s="188"/>
      <c r="W70" s="107">
        <f t="shared" ref="W70:W78" si="55">(U70-T70)*24*60</f>
        <v>229.99999999999997</v>
      </c>
      <c r="X70" s="296"/>
      <c r="Y70" s="296"/>
      <c r="Z70" s="465" t="s">
        <v>175</v>
      </c>
      <c r="AA70" s="427"/>
      <c r="AB70" s="225">
        <f t="shared" ref="AB70:AB71" si="56">N70-K70</f>
        <v>-369.13043478260852</v>
      </c>
      <c r="AC70" s="226">
        <f t="shared" ref="AC70:AC71" si="57">N70/K70</f>
        <v>0.75391304347826094</v>
      </c>
      <c r="AD70" s="401">
        <f>AC79</f>
        <v>0.77687711494520484</v>
      </c>
    </row>
    <row r="71" spans="1:32" ht="15" customHeight="1">
      <c r="A71" s="462"/>
      <c r="B71" s="56" t="s">
        <v>134</v>
      </c>
      <c r="C71" s="10"/>
      <c r="D71" s="11" t="s">
        <v>154</v>
      </c>
      <c r="E71" s="86"/>
      <c r="F71" s="56">
        <f>VLOOKUP(D71,廠價表!$C$1:$E$39,3,0)</f>
        <v>57.3</v>
      </c>
      <c r="G71" s="66">
        <v>1070</v>
      </c>
      <c r="H71" s="76">
        <v>44973</v>
      </c>
      <c r="I71" s="193"/>
      <c r="J71" s="16">
        <f>VLOOKUP(D71,產線配置圖!$A$2:$C$38,2,0)</f>
        <v>15</v>
      </c>
      <c r="K71" s="14">
        <f>VLOOKUP(D71,產線配置圖!$A$2:$C$38,3,0)</f>
        <v>1385</v>
      </c>
      <c r="L71" s="17">
        <f t="shared" ref="L71" si="58">K71/J71</f>
        <v>92.333333333333329</v>
      </c>
      <c r="M71" s="180">
        <v>14</v>
      </c>
      <c r="N71" s="14">
        <f>G71/W71*60</f>
        <v>917.14285714285825</v>
      </c>
      <c r="O71" s="17">
        <f t="shared" si="51"/>
        <v>65.510204081632736</v>
      </c>
      <c r="P71" s="18">
        <f t="shared" si="52"/>
        <v>-1</v>
      </c>
      <c r="Q71" s="19">
        <f t="shared" si="53"/>
        <v>-26.823129251700593</v>
      </c>
      <c r="R71" s="185">
        <f t="shared" si="54"/>
        <v>0.70949679510793584</v>
      </c>
      <c r="S71" s="397"/>
      <c r="T71" s="20">
        <v>0.55555555555555558</v>
      </c>
      <c r="U71" s="20">
        <v>0.60416666666666663</v>
      </c>
      <c r="V71" s="177">
        <f t="shared" ref="V71" si="59">(T71-U70)*24*60</f>
        <v>85.000000000000014</v>
      </c>
      <c r="W71" s="295">
        <f t="shared" si="55"/>
        <v>69.999999999999915</v>
      </c>
      <c r="X71" s="298">
        <v>0.50347222222222221</v>
      </c>
      <c r="Y71" s="299">
        <v>0.54513888888888884</v>
      </c>
      <c r="Z71" s="476"/>
      <c r="AA71" s="477"/>
      <c r="AB71" s="39">
        <f t="shared" si="56"/>
        <v>-467.85714285714175</v>
      </c>
      <c r="AC71" s="190">
        <f t="shared" si="57"/>
        <v>0.66219700876740673</v>
      </c>
      <c r="AD71" s="447"/>
    </row>
    <row r="72" spans="1:32" ht="15" customHeight="1">
      <c r="A72" s="462"/>
      <c r="B72" s="56"/>
      <c r="C72" s="10"/>
      <c r="D72" s="11"/>
      <c r="E72" s="86"/>
      <c r="F72" s="56"/>
      <c r="G72" s="66"/>
      <c r="H72" s="76"/>
      <c r="I72" s="193"/>
      <c r="J72" s="16"/>
      <c r="K72" s="14"/>
      <c r="L72" s="17"/>
      <c r="M72" s="180"/>
      <c r="N72" s="14"/>
      <c r="O72" s="17"/>
      <c r="P72" s="18"/>
      <c r="Q72" s="19"/>
      <c r="R72" s="185"/>
      <c r="S72" s="397"/>
      <c r="T72" s="20"/>
      <c r="U72" s="20"/>
      <c r="V72" s="177"/>
      <c r="W72" s="182">
        <f t="shared" si="55"/>
        <v>0</v>
      </c>
      <c r="X72" s="297"/>
      <c r="Y72" s="297"/>
      <c r="Z72" s="405"/>
      <c r="AA72" s="419"/>
      <c r="AB72" s="39"/>
      <c r="AC72" s="190"/>
      <c r="AD72" s="447"/>
    </row>
    <row r="73" spans="1:32" ht="15" customHeight="1">
      <c r="A73" s="462"/>
      <c r="B73" s="56"/>
      <c r="C73" s="23"/>
      <c r="D73" s="11"/>
      <c r="E73" s="12"/>
      <c r="F73" s="56"/>
      <c r="G73" s="66"/>
      <c r="H73" s="76"/>
      <c r="I73" s="193"/>
      <c r="J73" s="16"/>
      <c r="K73" s="14"/>
      <c r="L73" s="17"/>
      <c r="M73" s="180"/>
      <c r="N73" s="14"/>
      <c r="O73" s="17"/>
      <c r="P73" s="18"/>
      <c r="Q73" s="19"/>
      <c r="R73" s="185"/>
      <c r="S73" s="397"/>
      <c r="T73" s="20"/>
      <c r="U73" s="20"/>
      <c r="V73" s="177"/>
      <c r="W73" s="182">
        <f t="shared" si="55"/>
        <v>0</v>
      </c>
      <c r="X73" s="22"/>
      <c r="Y73" s="22"/>
      <c r="Z73" s="405"/>
      <c r="AA73" s="419"/>
      <c r="AB73" s="39"/>
      <c r="AC73" s="190"/>
      <c r="AD73" s="447"/>
    </row>
    <row r="74" spans="1:32" ht="15" customHeight="1">
      <c r="A74" s="462"/>
      <c r="B74" s="56"/>
      <c r="C74" s="249"/>
      <c r="D74" s="250"/>
      <c r="E74" s="251"/>
      <c r="F74" s="56"/>
      <c r="G74" s="238"/>
      <c r="H74" s="76">
        <f t="shared" ref="H74:H78" si="60">F74*G74</f>
        <v>0</v>
      </c>
      <c r="I74" s="81"/>
      <c r="J74" s="234"/>
      <c r="K74" s="36"/>
      <c r="L74" s="235"/>
      <c r="M74" s="21"/>
      <c r="N74" s="36"/>
      <c r="O74" s="38"/>
      <c r="P74" s="39"/>
      <c r="Q74" s="40"/>
      <c r="R74" s="190"/>
      <c r="S74" s="397"/>
      <c r="T74" s="20"/>
      <c r="U74" s="20"/>
      <c r="V74" s="177"/>
      <c r="W74" s="182">
        <f t="shared" si="55"/>
        <v>0</v>
      </c>
      <c r="X74" s="22"/>
      <c r="Y74" s="22"/>
      <c r="Z74" s="405"/>
      <c r="AA74" s="419"/>
      <c r="AB74" s="39"/>
      <c r="AC74" s="190"/>
      <c r="AD74" s="447"/>
    </row>
    <row r="75" spans="1:32" ht="15" customHeight="1">
      <c r="A75" s="462"/>
      <c r="B75" s="177"/>
      <c r="C75" s="183"/>
      <c r="D75" s="11"/>
      <c r="E75" s="12"/>
      <c r="F75" s="13"/>
      <c r="G75" s="177"/>
      <c r="H75" s="15">
        <f t="shared" si="60"/>
        <v>0</v>
      </c>
      <c r="I75" s="81"/>
      <c r="J75" s="87"/>
      <c r="K75" s="82"/>
      <c r="L75" s="83"/>
      <c r="M75" s="181"/>
      <c r="N75" s="82"/>
      <c r="O75" s="83"/>
      <c r="P75" s="73"/>
      <c r="Q75" s="74"/>
      <c r="R75" s="192"/>
      <c r="S75" s="397"/>
      <c r="T75" s="20"/>
      <c r="U75" s="20"/>
      <c r="V75" s="177"/>
      <c r="W75" s="88">
        <f t="shared" si="55"/>
        <v>0</v>
      </c>
      <c r="X75" s="89"/>
      <c r="Y75" s="89"/>
      <c r="Z75" s="406"/>
      <c r="AA75" s="406"/>
      <c r="AB75" s="306"/>
      <c r="AC75" s="307"/>
      <c r="AD75" s="402"/>
    </row>
    <row r="76" spans="1:32" ht="15" customHeight="1">
      <c r="A76" s="462"/>
      <c r="B76" s="26"/>
      <c r="C76" s="27"/>
      <c r="D76" s="28"/>
      <c r="E76" s="29"/>
      <c r="F76" s="13"/>
      <c r="G76" s="177"/>
      <c r="H76" s="15">
        <f t="shared" si="60"/>
        <v>0</v>
      </c>
      <c r="I76" s="81"/>
      <c r="J76" s="87"/>
      <c r="K76" s="82"/>
      <c r="L76" s="83"/>
      <c r="M76" s="181"/>
      <c r="N76" s="82"/>
      <c r="O76" s="83"/>
      <c r="P76" s="73"/>
      <c r="Q76" s="74"/>
      <c r="R76" s="192"/>
      <c r="S76" s="398"/>
      <c r="T76" s="20"/>
      <c r="U76" s="20"/>
      <c r="V76" s="177"/>
      <c r="W76" s="90">
        <f t="shared" si="55"/>
        <v>0</v>
      </c>
      <c r="X76" s="78"/>
      <c r="Y76" s="78"/>
      <c r="Z76" s="445"/>
      <c r="AA76" s="445"/>
      <c r="AB76" s="51"/>
      <c r="AC76" s="52"/>
      <c r="AD76" s="403"/>
    </row>
    <row r="77" spans="1:32" ht="15" customHeight="1">
      <c r="A77" s="462"/>
      <c r="B77" s="26"/>
      <c r="C77" s="27"/>
      <c r="D77" s="28"/>
      <c r="E77" s="29"/>
      <c r="F77" s="13"/>
      <c r="G77" s="177"/>
      <c r="H77" s="15">
        <f t="shared" si="60"/>
        <v>0</v>
      </c>
      <c r="I77" s="81"/>
      <c r="J77" s="87"/>
      <c r="K77" s="82"/>
      <c r="L77" s="83"/>
      <c r="M77" s="181"/>
      <c r="N77" s="82"/>
      <c r="O77" s="83"/>
      <c r="P77" s="73"/>
      <c r="Q77" s="74"/>
      <c r="R77" s="192"/>
      <c r="S77" s="398"/>
      <c r="T77" s="20"/>
      <c r="U77" s="20"/>
      <c r="V77" s="177"/>
      <c r="W77" s="182">
        <f t="shared" si="55"/>
        <v>0</v>
      </c>
      <c r="X77" s="84"/>
      <c r="Y77" s="84"/>
      <c r="Z77" s="405"/>
      <c r="AA77" s="405"/>
      <c r="AB77" s="18"/>
      <c r="AC77" s="55"/>
      <c r="AD77" s="403"/>
    </row>
    <row r="78" spans="1:32" ht="15" customHeight="1">
      <c r="A78" s="462"/>
      <c r="B78" s="26"/>
      <c r="C78" s="27"/>
      <c r="D78" s="28"/>
      <c r="E78" s="29"/>
      <c r="F78" s="13"/>
      <c r="G78" s="177"/>
      <c r="H78" s="15">
        <f t="shared" si="60"/>
        <v>0</v>
      </c>
      <c r="I78" s="85"/>
      <c r="J78" s="37"/>
      <c r="K78" s="36"/>
      <c r="L78" s="83"/>
      <c r="M78" s="21"/>
      <c r="N78" s="36"/>
      <c r="O78" s="38"/>
      <c r="P78" s="39"/>
      <c r="Q78" s="40"/>
      <c r="R78" s="190"/>
      <c r="S78" s="464"/>
      <c r="T78" s="32"/>
      <c r="U78" s="32"/>
      <c r="V78" s="178"/>
      <c r="W78" s="182">
        <f t="shared" si="55"/>
        <v>0</v>
      </c>
      <c r="X78" s="91"/>
      <c r="Y78" s="91"/>
      <c r="Z78" s="405"/>
      <c r="AA78" s="405"/>
      <c r="AB78" s="34"/>
      <c r="AC78" s="57"/>
      <c r="AD78" s="403"/>
    </row>
    <row r="79" spans="1:32" ht="15" customHeight="1" thickBot="1">
      <c r="A79" s="463"/>
      <c r="B79" s="165"/>
      <c r="C79" s="1" t="s">
        <v>40</v>
      </c>
      <c r="D79" s="410" t="s">
        <v>7</v>
      </c>
      <c r="E79" s="410"/>
      <c r="F79" s="114"/>
      <c r="G79" s="115"/>
      <c r="H79" s="173"/>
      <c r="I79" s="171"/>
      <c r="J79" s="166">
        <f t="shared" ref="J79:O79" si="61">AVERAGE(J69:J78)</f>
        <v>14.133333333333333</v>
      </c>
      <c r="K79" s="166">
        <f t="shared" si="61"/>
        <v>1483.3333333333333</v>
      </c>
      <c r="L79" s="171">
        <f t="shared" si="61"/>
        <v>106.24572649572649</v>
      </c>
      <c r="M79" s="166">
        <f t="shared" si="61"/>
        <v>13.466666666666667</v>
      </c>
      <c r="N79" s="166">
        <f t="shared" si="61"/>
        <v>1152.3677205020538</v>
      </c>
      <c r="O79" s="171">
        <f t="shared" si="61"/>
        <v>86.606405732825522</v>
      </c>
      <c r="P79" s="172">
        <f>M79-J79</f>
        <v>-0.66666666666666607</v>
      </c>
      <c r="Q79" s="158">
        <f>N79-K79</f>
        <v>-330.96561283127949</v>
      </c>
      <c r="R79" s="159">
        <f>O79/L79</f>
        <v>0.81515189918070807</v>
      </c>
      <c r="S79" s="399"/>
      <c r="T79" s="122"/>
      <c r="U79" s="122"/>
      <c r="V79" s="195"/>
      <c r="W79" s="168"/>
      <c r="X79" s="124"/>
      <c r="Y79" s="124"/>
      <c r="Z79" s="391"/>
      <c r="AA79" s="391"/>
      <c r="AB79" s="119">
        <f>N79-K79</f>
        <v>-330.96561283127949</v>
      </c>
      <c r="AC79" s="187">
        <f>N79/K79</f>
        <v>0.77687711494520484</v>
      </c>
      <c r="AD79" s="404"/>
    </row>
    <row r="80" spans="1:32">
      <c r="AF80" s="93" t="s">
        <v>41</v>
      </c>
    </row>
    <row r="81" spans="4:32">
      <c r="AF81" s="93" t="s">
        <v>42</v>
      </c>
    </row>
    <row r="82" spans="4:32">
      <c r="AF82" s="93" t="s">
        <v>43</v>
      </c>
    </row>
    <row r="83" spans="4:32">
      <c r="D83" s="220"/>
      <c r="W83" s="6"/>
      <c r="AF83" s="93" t="s">
        <v>44</v>
      </c>
    </row>
    <row r="84" spans="4:32">
      <c r="D84" s="224"/>
      <c r="W84" s="6"/>
      <c r="AF84" s="93" t="s">
        <v>45</v>
      </c>
    </row>
    <row r="85" spans="4:32">
      <c r="D85" s="224"/>
      <c r="W85" s="6"/>
      <c r="AF85" s="93" t="s">
        <v>46</v>
      </c>
    </row>
    <row r="86" spans="4:32">
      <c r="D86" s="155"/>
      <c r="W86" s="6"/>
      <c r="AF86" s="93" t="s">
        <v>47</v>
      </c>
    </row>
    <row r="87" spans="4:32">
      <c r="W87" s="6"/>
      <c r="AF87" s="93" t="s">
        <v>48</v>
      </c>
    </row>
    <row r="88" spans="4:32">
      <c r="W88" s="6"/>
      <c r="AF88" s="93" t="s">
        <v>49</v>
      </c>
    </row>
    <row r="89" spans="4:32">
      <c r="W89" s="6"/>
      <c r="AF89" s="93" t="s">
        <v>50</v>
      </c>
    </row>
    <row r="90" spans="4:32">
      <c r="W90" s="6"/>
      <c r="AF90" s="93" t="s">
        <v>51</v>
      </c>
    </row>
    <row r="91" spans="4:32">
      <c r="W91" s="6"/>
      <c r="AF91" s="93" t="s">
        <v>52</v>
      </c>
    </row>
    <row r="92" spans="4:32">
      <c r="W92" s="6"/>
      <c r="AF92" s="93" t="s">
        <v>53</v>
      </c>
    </row>
  </sheetData>
  <autoFilter ref="D1:D92" xr:uid="{EF5AD393-5A39-4C0E-A7B0-465235F2AB14}"/>
  <mergeCells count="135">
    <mergeCell ref="P1:S2"/>
    <mergeCell ref="T1:Y2"/>
    <mergeCell ref="Z1:AA2"/>
    <mergeCell ref="AB1:AD2"/>
    <mergeCell ref="H3:H4"/>
    <mergeCell ref="I3:I4"/>
    <mergeCell ref="J3:J4"/>
    <mergeCell ref="K3:K4"/>
    <mergeCell ref="L3:L4"/>
    <mergeCell ref="M3:M4"/>
    <mergeCell ref="AC3:AC4"/>
    <mergeCell ref="AD3:AD4"/>
    <mergeCell ref="P3:P4"/>
    <mergeCell ref="Q3:Q4"/>
    <mergeCell ref="R3:R4"/>
    <mergeCell ref="A2:B2"/>
    <mergeCell ref="A3:A4"/>
    <mergeCell ref="B3:B4"/>
    <mergeCell ref="D3:E4"/>
    <mergeCell ref="F3:F4"/>
    <mergeCell ref="G3:G4"/>
    <mergeCell ref="J1:L2"/>
    <mergeCell ref="M1:O2"/>
    <mergeCell ref="D15:E15"/>
    <mergeCell ref="A5:A15"/>
    <mergeCell ref="N3:N4"/>
    <mergeCell ref="O3:O4"/>
    <mergeCell ref="S5:S15"/>
    <mergeCell ref="Z5:AA5"/>
    <mergeCell ref="AD5:AD15"/>
    <mergeCell ref="Z6:AA6"/>
    <mergeCell ref="Z7:AA7"/>
    <mergeCell ref="Z8:AA8"/>
    <mergeCell ref="Z9:AA9"/>
    <mergeCell ref="T3:U3"/>
    <mergeCell ref="V3:V4"/>
    <mergeCell ref="W3:W4"/>
    <mergeCell ref="X3:Y3"/>
    <mergeCell ref="Z3:AA4"/>
    <mergeCell ref="AB3:AB4"/>
    <mergeCell ref="S3:S4"/>
    <mergeCell ref="AD16:AD26"/>
    <mergeCell ref="Z17:AA17"/>
    <mergeCell ref="Z18:AA18"/>
    <mergeCell ref="Z19:AA19"/>
    <mergeCell ref="Z20:AA20"/>
    <mergeCell ref="Z21:AA21"/>
    <mergeCell ref="Z22:AA22"/>
    <mergeCell ref="Z10:AA10"/>
    <mergeCell ref="Z11:AA11"/>
    <mergeCell ref="Z12:AA12"/>
    <mergeCell ref="Z13:AA13"/>
    <mergeCell ref="Z14:AA14"/>
    <mergeCell ref="Z23:AA23"/>
    <mergeCell ref="Z24:AA24"/>
    <mergeCell ref="Z25:AA25"/>
    <mergeCell ref="Z15:AA15"/>
    <mergeCell ref="D26:E26"/>
    <mergeCell ref="Z26:AA26"/>
    <mergeCell ref="A27:A37"/>
    <mergeCell ref="S27:S37"/>
    <mergeCell ref="Z27:AA27"/>
    <mergeCell ref="D37:E37"/>
    <mergeCell ref="Z37:AA37"/>
    <mergeCell ref="A16:A26"/>
    <mergeCell ref="S16:S26"/>
    <mergeCell ref="Z16:AA16"/>
    <mergeCell ref="AD38:AD48"/>
    <mergeCell ref="Z39:AA39"/>
    <mergeCell ref="Z40:AA40"/>
    <mergeCell ref="Z41:AA41"/>
    <mergeCell ref="Z42:AA42"/>
    <mergeCell ref="Z43:AA43"/>
    <mergeCell ref="Z44:AA44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Z45:AA45"/>
    <mergeCell ref="Z46:AA46"/>
    <mergeCell ref="Z47:AA47"/>
    <mergeCell ref="D48:E48"/>
    <mergeCell ref="Z48:AA48"/>
    <mergeCell ref="A49:A58"/>
    <mergeCell ref="S49:S58"/>
    <mergeCell ref="Z49:AA49"/>
    <mergeCell ref="D58:E58"/>
    <mergeCell ref="A38:A48"/>
    <mergeCell ref="S38:S48"/>
    <mergeCell ref="Z38:AA38"/>
    <mergeCell ref="AD59:AD69"/>
    <mergeCell ref="Z60:AA60"/>
    <mergeCell ref="Z61:AA61"/>
    <mergeCell ref="Z62:AA62"/>
    <mergeCell ref="Z63:AA63"/>
    <mergeCell ref="Z64:AA64"/>
    <mergeCell ref="Z65:AA65"/>
    <mergeCell ref="AD49:AD58"/>
    <mergeCell ref="Z50:AA50"/>
    <mergeCell ref="Z51:AA51"/>
    <mergeCell ref="Z52:AA52"/>
    <mergeCell ref="Z53:AA53"/>
    <mergeCell ref="Z54:AA54"/>
    <mergeCell ref="Z55:AA55"/>
    <mergeCell ref="Z56:AA56"/>
    <mergeCell ref="Z57:AA57"/>
    <mergeCell ref="Z58:AA58"/>
    <mergeCell ref="Z66:AA66"/>
    <mergeCell ref="Z67:AA67"/>
    <mergeCell ref="Z68:AA68"/>
    <mergeCell ref="D69:E69"/>
    <mergeCell ref="Z69:AA69"/>
    <mergeCell ref="A70:A79"/>
    <mergeCell ref="S70:S79"/>
    <mergeCell ref="Z70:AA70"/>
    <mergeCell ref="D79:E79"/>
    <mergeCell ref="A59:A69"/>
    <mergeCell ref="S59:S69"/>
    <mergeCell ref="Z59:AA59"/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</mergeCells>
  <phoneticPr fontId="2" type="noConversion"/>
  <conditionalFormatting sqref="P5:P79">
    <cfRule type="cellIs" dxfId="268" priority="1" operator="greaterThan">
      <formula>0</formula>
    </cfRule>
  </conditionalFormatting>
  <conditionalFormatting sqref="Q5:Q79 AB5:AB79">
    <cfRule type="cellIs" dxfId="267" priority="4" operator="lessThan">
      <formula>0</formula>
    </cfRule>
  </conditionalFormatting>
  <conditionalFormatting sqref="R5:R79 AC5:AC79">
    <cfRule type="cellIs" dxfId="266" priority="2" operator="greaterThan">
      <formula>1</formula>
    </cfRule>
    <cfRule type="cellIs" dxfId="265" priority="3" operator="lessThan">
      <formula>0.8</formula>
    </cfRule>
  </conditionalFormatting>
  <conditionalFormatting sqref="S5:S10 S37:S62 AD59:AD62 S69:S76 AD69:AD76">
    <cfRule type="cellIs" dxfId="264" priority="7" operator="lessThan">
      <formula>0.8</formula>
    </cfRule>
  </conditionalFormatting>
  <conditionalFormatting sqref="S19:S25 AD19:AD25">
    <cfRule type="cellIs" dxfId="263" priority="6" operator="lessThan">
      <formula>0.8</formula>
    </cfRule>
  </conditionalFormatting>
  <conditionalFormatting sqref="S79">
    <cfRule type="cellIs" dxfId="262" priority="5" operator="lessThan">
      <formula>0.8</formula>
    </cfRule>
  </conditionalFormatting>
  <conditionalFormatting sqref="AD5:AD8 S15:S16 AD15:AD16 AD49 AD79">
    <cfRule type="cellIs" dxfId="261" priority="9" operator="lessThan">
      <formula>0.8</formula>
    </cfRule>
  </conditionalFormatting>
  <conditionalFormatting sqref="AD27 S27:S28">
    <cfRule type="cellIs" dxfId="26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6785C80-D146-4D82-9A6F-2031136FDE60}">
          <x14:formula1>
            <xm:f>廠價表!$C$2:$C$37</xm:f>
          </x14:formula1>
          <xm:sqref>D1:D1048576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59645-8F37-4BAA-B39C-A4B3DEC37552}">
  <sheetPr>
    <pageSetUpPr fitToPage="1"/>
  </sheetPr>
  <dimension ref="B1:O22"/>
  <sheetViews>
    <sheetView zoomScale="70" zoomScaleNormal="70" workbookViewId="0">
      <selection activeCell="U51" sqref="U51"/>
    </sheetView>
  </sheetViews>
  <sheetFormatPr defaultColWidth="8.125" defaultRowHeight="15.75"/>
  <cols>
    <col min="1" max="1" width="8.125" style="203"/>
    <col min="2" max="2" width="7.125" style="203" customWidth="1"/>
    <col min="3" max="3" width="7.125" style="218" customWidth="1"/>
    <col min="4" max="17" width="14.125" style="203" customWidth="1"/>
    <col min="18" max="21" width="9.625" style="203" customWidth="1"/>
    <col min="22" max="22" width="11.125" style="203" customWidth="1"/>
    <col min="23" max="23" width="11.5" style="203" customWidth="1"/>
    <col min="24" max="16384" width="8.125" style="203"/>
  </cols>
  <sheetData>
    <row r="1" spans="2:15" ht="27.75" customHeight="1">
      <c r="B1" s="345" t="s">
        <v>73</v>
      </c>
      <c r="C1" s="345"/>
      <c r="D1" s="345"/>
      <c r="E1" s="345"/>
      <c r="F1" s="345"/>
      <c r="G1" s="345"/>
      <c r="H1" s="345"/>
      <c r="I1" s="345"/>
      <c r="J1" s="345"/>
      <c r="K1" s="345"/>
      <c r="L1" s="202"/>
      <c r="M1" s="202"/>
    </row>
    <row r="2" spans="2:15" ht="27.75" customHeight="1"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202"/>
      <c r="M2" s="202"/>
    </row>
    <row r="3" spans="2:15" ht="46.5" customHeight="1">
      <c r="B3" s="342" t="s">
        <v>74</v>
      </c>
      <c r="C3" s="342"/>
      <c r="D3" s="346">
        <v>45966</v>
      </c>
      <c r="E3" s="346"/>
      <c r="F3" s="204" t="s">
        <v>75</v>
      </c>
      <c r="G3" s="347">
        <f>'1105'!E1</f>
        <v>53267</v>
      </c>
      <c r="H3" s="347"/>
      <c r="I3" s="204" t="s">
        <v>76</v>
      </c>
      <c r="J3" s="348">
        <f>'1105'!G1</f>
        <v>2583087.8100000005</v>
      </c>
      <c r="K3" s="348"/>
      <c r="L3" s="205"/>
    </row>
    <row r="4" spans="2:15" ht="24" customHeight="1">
      <c r="B4" s="342" t="s">
        <v>77</v>
      </c>
      <c r="C4" s="342"/>
      <c r="D4" s="343">
        <v>3</v>
      </c>
      <c r="E4" s="343"/>
      <c r="F4" s="344" t="s">
        <v>78</v>
      </c>
      <c r="G4" s="344"/>
      <c r="H4" s="344" t="s">
        <v>79</v>
      </c>
      <c r="I4" s="344"/>
      <c r="J4" s="343" t="s">
        <v>80</v>
      </c>
      <c r="K4" s="344"/>
      <c r="L4" s="206"/>
    </row>
    <row r="5" spans="2:15" ht="24" customHeight="1">
      <c r="B5" s="342" t="s">
        <v>81</v>
      </c>
      <c r="C5" s="342"/>
      <c r="D5" s="343" t="s">
        <v>82</v>
      </c>
      <c r="E5" s="343"/>
      <c r="F5" s="343" t="s">
        <v>83</v>
      </c>
      <c r="G5" s="343"/>
      <c r="H5" s="369" t="s">
        <v>62</v>
      </c>
      <c r="I5" s="369"/>
      <c r="J5" s="341" t="s">
        <v>84</v>
      </c>
      <c r="K5" s="341"/>
      <c r="L5" s="207"/>
    </row>
    <row r="6" spans="2:15" ht="39.6" customHeight="1">
      <c r="B6" s="342"/>
      <c r="C6" s="342"/>
      <c r="D6" s="342" t="s">
        <v>85</v>
      </c>
      <c r="E6" s="342"/>
      <c r="F6" s="356">
        <f>AVERAGE(D13:J13)</f>
        <v>116.12217827751884</v>
      </c>
      <c r="G6" s="356"/>
      <c r="H6" s="349">
        <f>AVERAGE(D13:H13)</f>
        <v>114.64989574237252</v>
      </c>
      <c r="I6" s="349"/>
      <c r="J6" s="349">
        <f>AVERAGE(I13:J13)</f>
        <v>119.80288461538461</v>
      </c>
      <c r="K6" s="349"/>
      <c r="L6" s="207"/>
    </row>
    <row r="7" spans="2:15" s="208" customFormat="1" ht="39.6" customHeight="1">
      <c r="B7" s="342"/>
      <c r="C7" s="342"/>
      <c r="D7" s="350" t="s">
        <v>86</v>
      </c>
      <c r="E7" s="350"/>
      <c r="F7" s="351">
        <f>AVERAGE(D14:J14)</f>
        <v>104.39822821506512</v>
      </c>
      <c r="G7" s="351"/>
      <c r="H7" s="352">
        <f>AVERAGE(D14:H14)</f>
        <v>104.10570018467054</v>
      </c>
      <c r="I7" s="352"/>
      <c r="J7" s="352">
        <f>AVERAGE(I14:J14)</f>
        <v>105.12954829105152</v>
      </c>
      <c r="K7" s="352"/>
    </row>
    <row r="8" spans="2:15" s="208" customFormat="1" ht="39.6" customHeight="1">
      <c r="B8" s="342"/>
      <c r="C8" s="342"/>
      <c r="D8" s="350" t="s">
        <v>87</v>
      </c>
      <c r="E8" s="350"/>
      <c r="F8" s="353">
        <f>AVERAGE(D15:J15)</f>
        <v>0.89804388044839423</v>
      </c>
      <c r="G8" s="353"/>
      <c r="H8" s="353">
        <f>AVERAGE(D15:H15)</f>
        <v>0.90611106201263036</v>
      </c>
      <c r="I8" s="353"/>
      <c r="J8" s="353">
        <f>AVERAGE(I15:J15)</f>
        <v>0.877875926537804</v>
      </c>
      <c r="K8" s="353"/>
      <c r="L8" s="209" t="s">
        <v>88</v>
      </c>
    </row>
    <row r="9" spans="2:15" ht="25.5" customHeight="1">
      <c r="B9" s="207"/>
      <c r="C9" s="207"/>
      <c r="D9" s="207"/>
      <c r="E9" s="207"/>
      <c r="F9" s="207"/>
      <c r="G9" s="207"/>
      <c r="H9" s="210"/>
      <c r="I9" s="211"/>
      <c r="J9" s="211"/>
      <c r="K9" s="211"/>
      <c r="L9" s="211"/>
      <c r="M9" s="211"/>
      <c r="N9" s="211"/>
      <c r="O9" s="207"/>
    </row>
    <row r="10" spans="2:15" ht="30" customHeight="1">
      <c r="B10" s="354" t="s">
        <v>0</v>
      </c>
      <c r="C10" s="355"/>
      <c r="D10" s="357" t="s">
        <v>89</v>
      </c>
      <c r="E10" s="358"/>
      <c r="F10" s="358"/>
      <c r="G10" s="358"/>
      <c r="H10" s="358"/>
      <c r="I10" s="358"/>
      <c r="J10" s="359"/>
    </row>
    <row r="11" spans="2:15" ht="17.25" customHeight="1">
      <c r="B11" s="360" t="s">
        <v>90</v>
      </c>
      <c r="C11" s="361"/>
      <c r="D11" s="212">
        <v>1</v>
      </c>
      <c r="E11" s="212">
        <v>2</v>
      </c>
      <c r="F11" s="212">
        <v>3</v>
      </c>
      <c r="G11" s="212">
        <v>4</v>
      </c>
      <c r="H11" s="212">
        <v>5</v>
      </c>
      <c r="I11" s="212">
        <v>6</v>
      </c>
      <c r="J11" s="212">
        <v>7</v>
      </c>
    </row>
    <row r="12" spans="2:15" ht="33.950000000000003" customHeight="1">
      <c r="B12" s="362"/>
      <c r="C12" s="363"/>
      <c r="D12" s="213" t="s">
        <v>91</v>
      </c>
      <c r="E12" s="213" t="s">
        <v>92</v>
      </c>
      <c r="F12" s="213" t="s">
        <v>93</v>
      </c>
      <c r="G12" s="213" t="s">
        <v>94</v>
      </c>
      <c r="H12" s="213" t="s">
        <v>95</v>
      </c>
      <c r="I12" s="213" t="s">
        <v>96</v>
      </c>
      <c r="J12" s="213" t="s">
        <v>97</v>
      </c>
    </row>
    <row r="13" spans="2:15" ht="39.950000000000003" customHeight="1">
      <c r="B13" s="364" t="s">
        <v>1</v>
      </c>
      <c r="C13" s="214" t="s">
        <v>98</v>
      </c>
      <c r="D13" s="215">
        <f>VALUE('1105'!L15)</f>
        <v>149.47586726998489</v>
      </c>
      <c r="E13" s="215">
        <f>VALUE('1105'!L26)</f>
        <v>162.27564102564102</v>
      </c>
      <c r="F13" s="215">
        <f>VALUE('1105'!L37)</f>
        <v>81.982570806100227</v>
      </c>
      <c r="G13" s="215">
        <f>VALUE('1105'!L48)</f>
        <v>92.8</v>
      </c>
      <c r="H13" s="215">
        <f>VALUE('1105'!L58)</f>
        <v>86.715399610136458</v>
      </c>
      <c r="I13" s="215">
        <f>VALUE('1105'!L69)</f>
        <v>126.40384615384615</v>
      </c>
      <c r="J13" s="215">
        <f>VALUE('1105'!L79)</f>
        <v>113.20192307692307</v>
      </c>
    </row>
    <row r="14" spans="2:15" ht="39.950000000000003" customHeight="1">
      <c r="B14" s="365"/>
      <c r="C14" s="214" t="s">
        <v>99</v>
      </c>
      <c r="D14" s="215">
        <f>VALUE('1105'!O15)</f>
        <v>139.48260817236721</v>
      </c>
      <c r="E14" s="215">
        <f>VALUE('1105'!O26)</f>
        <v>147.29257753171626</v>
      </c>
      <c r="F14" s="215">
        <f>VALUE('1105'!O37)</f>
        <v>76.846923954767092</v>
      </c>
      <c r="G14" s="215">
        <f>VALUE('1105'!O48)</f>
        <v>75.459633634017791</v>
      </c>
      <c r="H14" s="215">
        <f>VALUE('1105'!O58)</f>
        <v>81.446757630484385</v>
      </c>
      <c r="I14" s="215">
        <f>VALUE('1105'!O69)</f>
        <v>110.15266416510326</v>
      </c>
      <c r="J14" s="215">
        <f>VALUE('1105'!O79)</f>
        <v>100.10643241699978</v>
      </c>
    </row>
    <row r="15" spans="2:15" ht="39.950000000000003" customHeight="1">
      <c r="B15" s="366"/>
      <c r="C15" s="212" t="s">
        <v>100</v>
      </c>
      <c r="D15" s="233">
        <f>D14/D13</f>
        <v>0.93314466555616127</v>
      </c>
      <c r="E15" s="233">
        <f t="shared" ref="E15:J15" si="0">E14/E13</f>
        <v>0.90766905372102458</v>
      </c>
      <c r="F15" s="233">
        <f t="shared" si="0"/>
        <v>0.93735684547536779</v>
      </c>
      <c r="G15" s="233">
        <f t="shared" si="0"/>
        <v>0.81314260381484693</v>
      </c>
      <c r="H15" s="233">
        <f t="shared" si="0"/>
        <v>0.93924214149575103</v>
      </c>
      <c r="I15" s="233">
        <f t="shared" si="0"/>
        <v>0.87143443428957401</v>
      </c>
      <c r="J15" s="233">
        <f t="shared" si="0"/>
        <v>0.88431741878603398</v>
      </c>
    </row>
    <row r="16" spans="2:15" ht="17.25" customHeight="1">
      <c r="B16" s="367" t="s">
        <v>101</v>
      </c>
      <c r="C16" s="212" t="s">
        <v>102</v>
      </c>
      <c r="D16" s="95">
        <f>'1105'!T5</f>
        <v>0.2902777777777778</v>
      </c>
      <c r="E16" s="95">
        <f>'1105'!T16</f>
        <v>0.28958333333333336</v>
      </c>
      <c r="F16" s="95">
        <f>'1105'!T27</f>
        <v>0.28888888888888886</v>
      </c>
      <c r="G16" s="95">
        <f>'1105'!T38</f>
        <v>0.33333333333333331</v>
      </c>
      <c r="H16" s="95">
        <f>'1105'!T49</f>
        <v>0.28888888888888886</v>
      </c>
      <c r="I16" s="95">
        <f>'1105'!T59</f>
        <v>0.29097222222222224</v>
      </c>
      <c r="J16" s="272">
        <f>'1105'!T70</f>
        <v>0.33333333333333331</v>
      </c>
    </row>
    <row r="17" spans="2:10" ht="17.25" customHeight="1">
      <c r="B17" s="368"/>
      <c r="C17" s="212" t="s">
        <v>103</v>
      </c>
      <c r="D17" s="20">
        <v>0.63194444444444442</v>
      </c>
      <c r="E17" s="41">
        <v>0.6</v>
      </c>
      <c r="F17" s="41">
        <v>0.56805555555555554</v>
      </c>
      <c r="G17" s="59">
        <v>0.58680555555555558</v>
      </c>
      <c r="H17" s="44">
        <v>0.61319444444444449</v>
      </c>
      <c r="I17" s="20">
        <v>0.61527777777777781</v>
      </c>
      <c r="J17" s="20">
        <v>0.49305555555555558</v>
      </c>
    </row>
    <row r="18" spans="2:10" ht="17.25" customHeight="1">
      <c r="B18" s="354" t="s">
        <v>104</v>
      </c>
      <c r="C18" s="355"/>
      <c r="D18" s="216">
        <f>VALUE('1105'!M15)</f>
        <v>13.666666666666666</v>
      </c>
      <c r="E18" s="216">
        <f>VALUE('1105'!M26)</f>
        <v>12.5</v>
      </c>
      <c r="F18" s="216">
        <f>VALUE('1105'!M37)</f>
        <v>14.666666666666666</v>
      </c>
      <c r="G18" s="216">
        <f>VALUE('1105'!M48)</f>
        <v>14.666666666666666</v>
      </c>
      <c r="H18" s="216">
        <f>VALUE('1105'!M58)</f>
        <v>18.333333333333332</v>
      </c>
      <c r="I18" s="216">
        <f>VALUE('1105'!M69)</f>
        <v>12.4</v>
      </c>
      <c r="J18" s="216">
        <f>VALUE('1105'!M79)</f>
        <v>12.7</v>
      </c>
    </row>
    <row r="19" spans="2:10" ht="17.25" customHeight="1">
      <c r="B19" s="354" t="s">
        <v>105</v>
      </c>
      <c r="C19" s="355"/>
      <c r="D19" s="213" t="s">
        <v>106</v>
      </c>
      <c r="E19" s="213" t="s">
        <v>106</v>
      </c>
      <c r="F19" s="213" t="s">
        <v>107</v>
      </c>
      <c r="G19" s="213" t="s">
        <v>107</v>
      </c>
      <c r="H19" s="213" t="s">
        <v>107</v>
      </c>
      <c r="I19" s="213" t="s">
        <v>108</v>
      </c>
      <c r="J19" s="213" t="s">
        <v>107</v>
      </c>
    </row>
    <row r="20" spans="2:10" ht="17.25" customHeight="1">
      <c r="B20" s="354" t="s">
        <v>110</v>
      </c>
      <c r="C20" s="355"/>
      <c r="D20" s="213"/>
      <c r="E20" s="213"/>
      <c r="F20" s="213"/>
      <c r="G20" s="217"/>
      <c r="H20" s="213" t="s">
        <v>109</v>
      </c>
      <c r="I20" s="213"/>
      <c r="J20" s="213"/>
    </row>
    <row r="21" spans="2:10" ht="17.25" customHeight="1">
      <c r="B21" s="354" t="s">
        <v>111</v>
      </c>
      <c r="C21" s="355"/>
      <c r="D21" s="273"/>
      <c r="E21" s="273"/>
      <c r="F21" s="273"/>
      <c r="G21" s="273"/>
      <c r="H21" s="273"/>
      <c r="I21" s="273"/>
      <c r="J21" s="273"/>
    </row>
    <row r="22" spans="2:10">
      <c r="B22" s="370"/>
      <c r="C22" s="370"/>
    </row>
  </sheetData>
  <mergeCells count="37">
    <mergeCell ref="B20:C20"/>
    <mergeCell ref="B21:C21"/>
    <mergeCell ref="B22:C22"/>
    <mergeCell ref="D8:E8"/>
    <mergeCell ref="F8:G8"/>
    <mergeCell ref="H8:I8"/>
    <mergeCell ref="B18:C18"/>
    <mergeCell ref="B19:C19"/>
    <mergeCell ref="D6:E6"/>
    <mergeCell ref="F6:G6"/>
    <mergeCell ref="H6:I6"/>
    <mergeCell ref="D10:J10"/>
    <mergeCell ref="B11:C12"/>
    <mergeCell ref="B13:B15"/>
    <mergeCell ref="B16:B17"/>
    <mergeCell ref="B10:C10"/>
    <mergeCell ref="J8:K8"/>
    <mergeCell ref="B5:C8"/>
    <mergeCell ref="D5:E5"/>
    <mergeCell ref="F5:G5"/>
    <mergeCell ref="H5:I5"/>
    <mergeCell ref="J6:K6"/>
    <mergeCell ref="D7:E7"/>
    <mergeCell ref="F7:G7"/>
    <mergeCell ref="H7:I7"/>
    <mergeCell ref="J7:K7"/>
    <mergeCell ref="B1:K2"/>
    <mergeCell ref="B3:C3"/>
    <mergeCell ref="D3:E3"/>
    <mergeCell ref="G3:H3"/>
    <mergeCell ref="J3:K3"/>
    <mergeCell ref="J5:K5"/>
    <mergeCell ref="B4:C4"/>
    <mergeCell ref="D4:E4"/>
    <mergeCell ref="F4:G4"/>
    <mergeCell ref="H4:I4"/>
    <mergeCell ref="J4:K4"/>
  </mergeCells>
  <phoneticPr fontId="2" type="noConversion"/>
  <conditionalFormatting sqref="D15:J15">
    <cfRule type="cellIs" dxfId="259" priority="1" operator="lessThan">
      <formula>0.8</formula>
    </cfRule>
  </conditionalFormatting>
  <pageMargins left="0.7" right="0.7" top="0.75" bottom="0.75" header="0.3" footer="0.3"/>
  <pageSetup paperSize="8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15CC1-366B-46A7-AD8C-435109AFE028}">
  <sheetPr>
    <tabColor theme="9" tint="0.79998168889431442"/>
    <pageSetUpPr fitToPage="1"/>
  </sheetPr>
  <dimension ref="A1:AF92"/>
  <sheetViews>
    <sheetView zoomScale="69" zoomScaleNormal="69" workbookViewId="0">
      <pane xSplit="5" ySplit="4" topLeftCell="F17" activePane="bottomRight" state="frozen"/>
      <selection activeCell="U51" sqref="U51"/>
      <selection pane="topRight" activeCell="U51" sqref="U51"/>
      <selection pane="bottomLeft" activeCell="U51" sqref="U51"/>
      <selection pane="bottomRight" activeCell="M41" sqref="M41"/>
    </sheetView>
  </sheetViews>
  <sheetFormatPr defaultColWidth="7.875" defaultRowHeight="15.75"/>
  <cols>
    <col min="1" max="1" width="15" style="6" customWidth="1"/>
    <col min="2" max="2" width="12.875" style="6" customWidth="1"/>
    <col min="3" max="3" width="12.875" style="6" hidden="1" customWidth="1"/>
    <col min="4" max="4" width="26.125" style="6" bestFit="1" customWidth="1"/>
    <col min="5" max="5" width="15" style="6" customWidth="1"/>
    <col min="6" max="6" width="8.875" style="6" bestFit="1" customWidth="1"/>
    <col min="7" max="7" width="20.125" style="6" bestFit="1" customWidth="1"/>
    <col min="8" max="8" width="16.375" style="6" bestFit="1" customWidth="1"/>
    <col min="9" max="9" width="10.875" style="6" bestFit="1" customWidth="1"/>
    <col min="10" max="10" width="10.125" style="6" bestFit="1" customWidth="1"/>
    <col min="11" max="11" width="10.625" style="6" customWidth="1"/>
    <col min="12" max="12" width="14.5" style="6" customWidth="1"/>
    <col min="13" max="13" width="10.125" style="6" bestFit="1" customWidth="1"/>
    <col min="14" max="14" width="10.25" style="6" bestFit="1" customWidth="1"/>
    <col min="15" max="15" width="11.875" style="6" customWidth="1"/>
    <col min="16" max="17" width="9.125" style="6" bestFit="1" customWidth="1"/>
    <col min="18" max="18" width="9.125" style="6" customWidth="1"/>
    <col min="19" max="19" width="8.375" style="6" customWidth="1"/>
    <col min="20" max="21" width="9.375" style="6" bestFit="1" customWidth="1"/>
    <col min="22" max="22" width="10.625" style="6" customWidth="1"/>
    <col min="23" max="23" width="8.625" style="92" customWidth="1"/>
    <col min="24" max="24" width="7.5" style="6" bestFit="1" customWidth="1"/>
    <col min="25" max="25" width="6.875" style="6" customWidth="1"/>
    <col min="26" max="26" width="12.625" style="6" customWidth="1"/>
    <col min="27" max="27" width="33.375" style="6" customWidth="1"/>
    <col min="28" max="28" width="13.125" style="6" bestFit="1" customWidth="1"/>
    <col min="29" max="29" width="10.375" style="6" customWidth="1"/>
    <col min="30" max="30" width="9.125" style="6" customWidth="1"/>
    <col min="31" max="31" width="7.875" style="6"/>
    <col min="32" max="32" width="24.5" style="6" bestFit="1" customWidth="1"/>
    <col min="33" max="16384" width="7.875" style="6"/>
  </cols>
  <sheetData>
    <row r="1" spans="1:30" ht="21">
      <c r="A1" s="2" t="s">
        <v>72</v>
      </c>
      <c r="B1" s="2"/>
      <c r="C1" s="2"/>
      <c r="D1" s="176" t="s">
        <v>8</v>
      </c>
      <c r="E1" s="3">
        <f>SUM(G5:G79)</f>
        <v>53267</v>
      </c>
      <c r="F1" s="177" t="s">
        <v>9</v>
      </c>
      <c r="G1" s="4">
        <f>SUM(H5:H79)</f>
        <v>2583087.8100000005</v>
      </c>
      <c r="H1" s="175" t="s">
        <v>10</v>
      </c>
      <c r="I1" s="5">
        <f>M15+M26+M48+M58+M69+M79+M37</f>
        <v>98.933333333333337</v>
      </c>
      <c r="J1" s="371" t="s">
        <v>11</v>
      </c>
      <c r="K1" s="371"/>
      <c r="L1" s="371"/>
      <c r="M1" s="371" t="s">
        <v>12</v>
      </c>
      <c r="N1" s="371"/>
      <c r="O1" s="371"/>
      <c r="P1" s="371" t="s">
        <v>13</v>
      </c>
      <c r="Q1" s="371"/>
      <c r="R1" s="371"/>
      <c r="S1" s="371"/>
      <c r="T1" s="371" t="s">
        <v>14</v>
      </c>
      <c r="U1" s="371"/>
      <c r="V1" s="371"/>
      <c r="W1" s="371"/>
      <c r="X1" s="371"/>
      <c r="Y1" s="371"/>
      <c r="Z1" s="371" t="s">
        <v>15</v>
      </c>
      <c r="AA1" s="371"/>
      <c r="AB1" s="371" t="s">
        <v>16</v>
      </c>
      <c r="AC1" s="372"/>
      <c r="AD1" s="372"/>
    </row>
    <row r="2" spans="1:30" ht="18.75">
      <c r="A2" s="409" t="s">
        <v>176</v>
      </c>
      <c r="B2" s="409"/>
      <c r="C2" s="176"/>
      <c r="D2" s="176" t="s">
        <v>1</v>
      </c>
      <c r="E2" s="7">
        <f>AVERAGE(O15,O26,O37,O48,O58,O69,O79)</f>
        <v>104.39822821506512</v>
      </c>
      <c r="F2" s="8" t="s">
        <v>2</v>
      </c>
      <c r="G2" s="9">
        <f>G1/E1</f>
        <v>48.493209867272427</v>
      </c>
      <c r="H2" s="175" t="s">
        <v>17</v>
      </c>
      <c r="I2" s="175">
        <f>COUNT(I5:I79)</f>
        <v>0</v>
      </c>
      <c r="J2" s="371"/>
      <c r="K2" s="371"/>
      <c r="L2" s="371"/>
      <c r="M2" s="371"/>
      <c r="N2" s="371"/>
      <c r="O2" s="371"/>
      <c r="P2" s="371"/>
      <c r="Q2" s="371"/>
      <c r="R2" s="371"/>
      <c r="S2" s="371"/>
      <c r="T2" s="371"/>
      <c r="U2" s="371"/>
      <c r="V2" s="371"/>
      <c r="W2" s="371"/>
      <c r="X2" s="371"/>
      <c r="Y2" s="371"/>
      <c r="Z2" s="371"/>
      <c r="AA2" s="371"/>
      <c r="AB2" s="372"/>
      <c r="AC2" s="372"/>
      <c r="AD2" s="372"/>
    </row>
    <row r="3" spans="1:30">
      <c r="A3" s="405" t="s">
        <v>18</v>
      </c>
      <c r="B3" s="405" t="s">
        <v>19</v>
      </c>
      <c r="C3" s="177"/>
      <c r="D3" s="405" t="s">
        <v>20</v>
      </c>
      <c r="E3" s="405"/>
      <c r="F3" s="379" t="s">
        <v>21</v>
      </c>
      <c r="G3" s="389" t="s">
        <v>22</v>
      </c>
      <c r="H3" s="379" t="s">
        <v>23</v>
      </c>
      <c r="I3" s="381" t="s">
        <v>24</v>
      </c>
      <c r="J3" s="383" t="s">
        <v>25</v>
      </c>
      <c r="K3" s="385" t="s">
        <v>26</v>
      </c>
      <c r="L3" s="387" t="s">
        <v>1</v>
      </c>
      <c r="M3" s="389" t="s">
        <v>25</v>
      </c>
      <c r="N3" s="385" t="s">
        <v>26</v>
      </c>
      <c r="O3" s="387" t="s">
        <v>1</v>
      </c>
      <c r="P3" s="383" t="s">
        <v>25</v>
      </c>
      <c r="Q3" s="387" t="s">
        <v>1</v>
      </c>
      <c r="R3" s="392" t="s">
        <v>27</v>
      </c>
      <c r="S3" s="394" t="s">
        <v>28</v>
      </c>
      <c r="T3" s="389" t="s">
        <v>4</v>
      </c>
      <c r="U3" s="389"/>
      <c r="V3" s="408" t="s">
        <v>29</v>
      </c>
      <c r="W3" s="381" t="s">
        <v>30</v>
      </c>
      <c r="X3" s="389" t="s">
        <v>31</v>
      </c>
      <c r="Y3" s="389"/>
      <c r="Z3" s="415" t="s">
        <v>71</v>
      </c>
      <c r="AA3" s="416"/>
      <c r="AB3" s="385" t="s">
        <v>26</v>
      </c>
      <c r="AC3" s="392" t="s">
        <v>27</v>
      </c>
      <c r="AD3" s="394" t="s">
        <v>28</v>
      </c>
    </row>
    <row r="4" spans="1:30" ht="16.5" thickBot="1">
      <c r="A4" s="379"/>
      <c r="B4" s="379"/>
      <c r="C4" s="178"/>
      <c r="D4" s="379"/>
      <c r="E4" s="379"/>
      <c r="F4" s="380"/>
      <c r="G4" s="390"/>
      <c r="H4" s="380"/>
      <c r="I4" s="382"/>
      <c r="J4" s="384"/>
      <c r="K4" s="386"/>
      <c r="L4" s="388"/>
      <c r="M4" s="390"/>
      <c r="N4" s="386"/>
      <c r="O4" s="388"/>
      <c r="P4" s="384"/>
      <c r="Q4" s="388"/>
      <c r="R4" s="393"/>
      <c r="S4" s="395"/>
      <c r="T4" s="179" t="s">
        <v>5</v>
      </c>
      <c r="U4" s="179" t="s">
        <v>6</v>
      </c>
      <c r="V4" s="390"/>
      <c r="W4" s="382"/>
      <c r="X4" s="178" t="s">
        <v>32</v>
      </c>
      <c r="Y4" s="178" t="s">
        <v>33</v>
      </c>
      <c r="Z4" s="417"/>
      <c r="AA4" s="417"/>
      <c r="AB4" s="386"/>
      <c r="AC4" s="393"/>
      <c r="AD4" s="395"/>
    </row>
    <row r="5" spans="1:30" ht="15" customHeight="1">
      <c r="A5" s="411" t="s">
        <v>66</v>
      </c>
      <c r="B5" s="199" t="str">
        <f>VLOOKUP(D5,廠價表!$C$1:$E$39,2,0)</f>
        <v>義大利麵</v>
      </c>
      <c r="C5" s="102"/>
      <c r="D5" s="103" t="s">
        <v>127</v>
      </c>
      <c r="E5" s="104"/>
      <c r="F5" s="199">
        <f>VLOOKUP(D5,廠價表!$C$1:$E$39,3,0)</f>
        <v>57.21</v>
      </c>
      <c r="G5" s="105">
        <v>1224</v>
      </c>
      <c r="H5" s="106">
        <f>F5*G5</f>
        <v>70025.040000000008</v>
      </c>
      <c r="I5" s="107"/>
      <c r="J5" s="108">
        <f>VLOOKUP(D5,產線配置圖!$A$2:$C$38,2,0)</f>
        <v>13</v>
      </c>
      <c r="K5" s="105">
        <f>VLOOKUP(D5,產線配置圖!$A$2:$C$38,3,0)</f>
        <v>2105</v>
      </c>
      <c r="L5" s="109">
        <f>K5/J5</f>
        <v>161.92307692307693</v>
      </c>
      <c r="M5" s="110">
        <v>13</v>
      </c>
      <c r="N5" s="105">
        <f t="shared" ref="N5:N10" si="0">G5/W5*60</f>
        <v>1836.000000000003</v>
      </c>
      <c r="O5" s="109">
        <f t="shared" ref="O5:O10" si="1">N5/M5</f>
        <v>141.23076923076945</v>
      </c>
      <c r="P5" s="111">
        <f t="shared" ref="P5:P10" si="2">M5-J5</f>
        <v>0</v>
      </c>
      <c r="Q5" s="112">
        <f t="shared" ref="Q5:Q10" si="3">O5-L5</f>
        <v>-20.69230769230748</v>
      </c>
      <c r="R5" s="184">
        <f t="shared" ref="R5:R10" si="4">O5/L5</f>
        <v>0.87220902612826734</v>
      </c>
      <c r="S5" s="396">
        <f>R15</f>
        <v>0.93314466555616127</v>
      </c>
      <c r="T5" s="94">
        <v>0.2902777777777778</v>
      </c>
      <c r="U5" s="94">
        <v>0.31805555555555554</v>
      </c>
      <c r="V5" s="194"/>
      <c r="W5" s="107">
        <f t="shared" ref="W5:W14" si="5">(U5-T5)*24*60</f>
        <v>39.999999999999936</v>
      </c>
      <c r="X5" s="188"/>
      <c r="Y5" s="188"/>
      <c r="Z5" s="400"/>
      <c r="AA5" s="400"/>
      <c r="AB5" s="111">
        <f>N5-K5</f>
        <v>-268.99999999999704</v>
      </c>
      <c r="AC5" s="184">
        <f>N5/K5</f>
        <v>0.87220902612826745</v>
      </c>
      <c r="AD5" s="401">
        <f>AC15</f>
        <v>0.93186548308457295</v>
      </c>
    </row>
    <row r="6" spans="1:30" ht="15" customHeight="1">
      <c r="A6" s="412"/>
      <c r="B6" s="56" t="str">
        <f>VLOOKUP(D6,廠價表!$C$1:$E$39,2,0)</f>
        <v>義大利麵</v>
      </c>
      <c r="C6" s="10"/>
      <c r="D6" s="11" t="s">
        <v>153</v>
      </c>
      <c r="E6" s="86"/>
      <c r="F6" s="56">
        <f>VLOOKUP(D6,廠價表!$C$1:$E$39,3,0)</f>
        <v>50.67</v>
      </c>
      <c r="G6" s="25">
        <v>1076</v>
      </c>
      <c r="H6" s="15">
        <f t="shared" ref="H6:H14" si="6">F6*G6</f>
        <v>54520.92</v>
      </c>
      <c r="I6" s="182"/>
      <c r="J6" s="16">
        <f>VLOOKUP(D6,產線配置圖!$A$2:$C$38,2,0)</f>
        <v>13</v>
      </c>
      <c r="K6" s="14">
        <f>VLOOKUP(D6,產線配置圖!$A$2:$C$38,3,0)</f>
        <v>2000</v>
      </c>
      <c r="L6" s="17">
        <f>K6/J6</f>
        <v>153.84615384615384</v>
      </c>
      <c r="M6" s="180">
        <v>13</v>
      </c>
      <c r="N6" s="14">
        <f t="shared" si="0"/>
        <v>1844.5714285714266</v>
      </c>
      <c r="O6" s="17">
        <f t="shared" si="1"/>
        <v>141.89010989010973</v>
      </c>
      <c r="P6" s="18">
        <f t="shared" si="2"/>
        <v>0</v>
      </c>
      <c r="Q6" s="19">
        <f t="shared" si="3"/>
        <v>-11.956043956044113</v>
      </c>
      <c r="R6" s="185">
        <f t="shared" si="4"/>
        <v>0.92228571428571327</v>
      </c>
      <c r="S6" s="397"/>
      <c r="T6" s="95">
        <v>0.3298611111111111</v>
      </c>
      <c r="U6" s="95">
        <v>0.35416666666666669</v>
      </c>
      <c r="V6" s="177">
        <f>(T6-U5)*24*60</f>
        <v>17.000000000000021</v>
      </c>
      <c r="W6" s="182">
        <f t="shared" si="5"/>
        <v>35.000000000000036</v>
      </c>
      <c r="X6" s="22"/>
      <c r="Y6" s="22"/>
      <c r="Z6" s="381" t="s">
        <v>179</v>
      </c>
      <c r="AA6" s="381"/>
      <c r="AB6" s="18">
        <f>N6-K6</f>
        <v>-155.42857142857338</v>
      </c>
      <c r="AC6" s="185">
        <f>N6/K6</f>
        <v>0.92228571428571327</v>
      </c>
      <c r="AD6" s="402"/>
    </row>
    <row r="7" spans="1:30" ht="15" customHeight="1">
      <c r="A7" s="412"/>
      <c r="B7" s="56" t="str">
        <f>VLOOKUP(D7,廠價表!$C$1:$E$39,2,0)</f>
        <v>義大利麵</v>
      </c>
      <c r="C7" s="10"/>
      <c r="D7" s="11" t="s">
        <v>139</v>
      </c>
      <c r="E7" s="86"/>
      <c r="F7" s="56">
        <f>VLOOKUP(D7,廠價表!$C$1:$E$39,3,0)</f>
        <v>57.21</v>
      </c>
      <c r="G7" s="25">
        <v>2270</v>
      </c>
      <c r="H7" s="15">
        <f t="shared" si="6"/>
        <v>129866.7</v>
      </c>
      <c r="I7" s="182"/>
      <c r="J7" s="16">
        <f>VLOOKUP(D7,產線配置圖!$A$2:$C$38,2,0)</f>
        <v>17</v>
      </c>
      <c r="K7" s="14">
        <f>VLOOKUP(D7,產線配置圖!$A$2:$C$38,3,0)</f>
        <v>1895</v>
      </c>
      <c r="L7" s="17">
        <f>K7/J7</f>
        <v>111.47058823529412</v>
      </c>
      <c r="M7" s="180">
        <v>17</v>
      </c>
      <c r="N7" s="14">
        <f t="shared" si="0"/>
        <v>1702.4999999999993</v>
      </c>
      <c r="O7" s="17">
        <f t="shared" si="1"/>
        <v>100.14705882352938</v>
      </c>
      <c r="P7" s="18">
        <f t="shared" si="2"/>
        <v>0</v>
      </c>
      <c r="Q7" s="19">
        <f t="shared" si="3"/>
        <v>-11.323529411764738</v>
      </c>
      <c r="R7" s="185">
        <f t="shared" si="4"/>
        <v>0.89841688654353535</v>
      </c>
      <c r="S7" s="397"/>
      <c r="T7" s="95">
        <v>0.35972222222222222</v>
      </c>
      <c r="U7" s="95">
        <v>0.4152777777777778</v>
      </c>
      <c r="V7" s="177">
        <f>(T7-U6)*24*60</f>
        <v>7.9999999999999716</v>
      </c>
      <c r="W7" s="182">
        <f t="shared" si="5"/>
        <v>80.000000000000028</v>
      </c>
      <c r="X7" s="22"/>
      <c r="Y7" s="22"/>
      <c r="Z7" s="405"/>
      <c r="AA7" s="405"/>
      <c r="AB7" s="18">
        <f>N7-K7</f>
        <v>-192.50000000000068</v>
      </c>
      <c r="AC7" s="185">
        <f>N7/K7</f>
        <v>0.89841688654353524</v>
      </c>
      <c r="AD7" s="402"/>
    </row>
    <row r="8" spans="1:30" ht="15" customHeight="1">
      <c r="A8" s="412"/>
      <c r="B8" s="56" t="str">
        <f>VLOOKUP(D8,廠價表!$C$1:$E$39,2,0)</f>
        <v>義大利麵</v>
      </c>
      <c r="C8" s="10"/>
      <c r="D8" s="11" t="s">
        <v>141</v>
      </c>
      <c r="E8" s="86"/>
      <c r="F8" s="56">
        <f>VLOOKUP(D8,廠價表!$C$1:$E$39,3,0)</f>
        <v>49.14</v>
      </c>
      <c r="G8" s="25">
        <v>2608</v>
      </c>
      <c r="H8" s="15">
        <f t="shared" si="6"/>
        <v>128157.12</v>
      </c>
      <c r="I8" s="182"/>
      <c r="J8" s="16">
        <f>VLOOKUP(D8,產線配置圖!$A$2:$C$38,2,0)</f>
        <v>13</v>
      </c>
      <c r="K8" s="14">
        <f>VLOOKUP(D8,產線配置圖!$A$2:$C$38,3,0)</f>
        <v>2000</v>
      </c>
      <c r="L8" s="17">
        <f>K8/J8</f>
        <v>153.84615384615384</v>
      </c>
      <c r="M8" s="180">
        <v>13</v>
      </c>
      <c r="N8" s="14">
        <f t="shared" si="0"/>
        <v>1931.8518518518511</v>
      </c>
      <c r="O8" s="17">
        <f t="shared" si="1"/>
        <v>148.60398860398854</v>
      </c>
      <c r="P8" s="18">
        <f t="shared" si="2"/>
        <v>0</v>
      </c>
      <c r="Q8" s="19">
        <f t="shared" si="3"/>
        <v>-5.2421652421652993</v>
      </c>
      <c r="R8" s="185">
        <f t="shared" si="4"/>
        <v>0.96592592592592552</v>
      </c>
      <c r="S8" s="397"/>
      <c r="T8" s="79">
        <v>0.42222222222222222</v>
      </c>
      <c r="U8" s="79">
        <v>0.47847222222222224</v>
      </c>
      <c r="V8" s="177">
        <f>(T8-U7)*24*60</f>
        <v>9.9999999999999645</v>
      </c>
      <c r="W8" s="182">
        <f t="shared" si="5"/>
        <v>81.000000000000028</v>
      </c>
      <c r="X8" s="22"/>
      <c r="Y8" s="22"/>
      <c r="Z8" s="406"/>
      <c r="AA8" s="406"/>
      <c r="AB8" s="18">
        <f>N8-K8</f>
        <v>-68.148148148148948</v>
      </c>
      <c r="AC8" s="185">
        <f>N8/K8</f>
        <v>0.96592592592592552</v>
      </c>
      <c r="AD8" s="402"/>
    </row>
    <row r="9" spans="1:30" ht="15" customHeight="1">
      <c r="A9" s="413"/>
      <c r="B9" s="56" t="str">
        <f>VLOOKUP(D9,廠價表!$C$1:$E$39,2,0)</f>
        <v>義大利麵</v>
      </c>
      <c r="C9" s="10"/>
      <c r="D9" s="11" t="s">
        <v>141</v>
      </c>
      <c r="E9" s="86"/>
      <c r="F9" s="56">
        <f>VLOOKUP(D9,廠價表!$C$1:$E$39,3,0)</f>
        <v>49.14</v>
      </c>
      <c r="G9" s="25">
        <v>2797</v>
      </c>
      <c r="H9" s="15">
        <f t="shared" si="6"/>
        <v>137444.57999999999</v>
      </c>
      <c r="I9" s="182"/>
      <c r="J9" s="16">
        <f>VLOOKUP(D9,產線配置圖!$A$2:$C$38,2,0)</f>
        <v>13</v>
      </c>
      <c r="K9" s="14">
        <f>VLOOKUP(D9,產線配置圖!$A$2:$C$38,3,0)</f>
        <v>2000</v>
      </c>
      <c r="L9" s="17">
        <f>K9/J9</f>
        <v>153.84615384615384</v>
      </c>
      <c r="M9" s="180">
        <v>13</v>
      </c>
      <c r="N9" s="14">
        <f t="shared" si="0"/>
        <v>1951.395348837209</v>
      </c>
      <c r="O9" s="17">
        <f t="shared" si="1"/>
        <v>150.10733452593917</v>
      </c>
      <c r="P9" s="18">
        <f t="shared" si="2"/>
        <v>0</v>
      </c>
      <c r="Q9" s="19">
        <f t="shared" si="3"/>
        <v>-3.7388193202146738</v>
      </c>
      <c r="R9" s="185">
        <f t="shared" si="4"/>
        <v>0.97569767441860467</v>
      </c>
      <c r="S9" s="398"/>
      <c r="T9" s="20">
        <v>0.54027777777777775</v>
      </c>
      <c r="U9" s="20">
        <v>0.6</v>
      </c>
      <c r="V9" s="177">
        <f>(T9-U8)*24*60</f>
        <v>88.999999999999929</v>
      </c>
      <c r="W9" s="24">
        <f t="shared" si="5"/>
        <v>86.000000000000014</v>
      </c>
      <c r="X9" s="22">
        <v>0.4861111111111111</v>
      </c>
      <c r="Y9" s="263">
        <v>0.52777777777777779</v>
      </c>
      <c r="Z9" s="407"/>
      <c r="AA9" s="407"/>
      <c r="AB9" s="18">
        <f>N9-K9</f>
        <v>-48.604651162791015</v>
      </c>
      <c r="AC9" s="185">
        <f>N9/K9</f>
        <v>0.97569767441860444</v>
      </c>
      <c r="AD9" s="403"/>
    </row>
    <row r="10" spans="1:30" ht="15" customHeight="1">
      <c r="A10" s="413"/>
      <c r="B10" s="56" t="str">
        <f>VLOOKUP(D10,廠價表!$C$1:$E$39,2,0)</f>
        <v>義大利麵</v>
      </c>
      <c r="C10" s="23"/>
      <c r="D10" s="11" t="s">
        <v>127</v>
      </c>
      <c r="E10" s="12"/>
      <c r="F10" s="56">
        <f>VLOOKUP(D10,廠價表!$C$1:$E$39,3,0)</f>
        <v>57.21</v>
      </c>
      <c r="G10" s="25">
        <v>772</v>
      </c>
      <c r="H10" s="15">
        <f t="shared" ref="H10" si="7">F10*G10</f>
        <v>44166.12</v>
      </c>
      <c r="I10" s="182"/>
      <c r="J10" s="16">
        <f>VLOOKUP(D10,產線配置圖!$A$2:$C$38,2,0)</f>
        <v>13</v>
      </c>
      <c r="K10" s="14">
        <f>VLOOKUP(D10,產線配置圖!$A$2:$C$38,3,0)</f>
        <v>2105</v>
      </c>
      <c r="L10" s="17">
        <f t="shared" ref="L10" si="8">K10/J10</f>
        <v>161.92307692307693</v>
      </c>
      <c r="M10" s="180">
        <v>13</v>
      </c>
      <c r="N10" s="14">
        <f t="shared" si="0"/>
        <v>2013.9130434782678</v>
      </c>
      <c r="O10" s="17">
        <f t="shared" si="1"/>
        <v>154.91638795986677</v>
      </c>
      <c r="P10" s="18">
        <f t="shared" si="2"/>
        <v>0</v>
      </c>
      <c r="Q10" s="19">
        <f t="shared" si="3"/>
        <v>-7.0066889632101663</v>
      </c>
      <c r="R10" s="185">
        <f t="shared" si="4"/>
        <v>0.95672828668801324</v>
      </c>
      <c r="S10" s="398"/>
      <c r="T10" s="20">
        <v>0.61597222222222225</v>
      </c>
      <c r="U10" s="20">
        <v>0.63194444444444442</v>
      </c>
      <c r="V10" s="177">
        <f>(T10-U9)*24*60</f>
        <v>23.000000000000078</v>
      </c>
      <c r="W10" s="182">
        <f t="shared" si="5"/>
        <v>22.999999999999918</v>
      </c>
      <c r="X10" s="22"/>
      <c r="Y10" s="263"/>
      <c r="Z10" s="419"/>
      <c r="AA10" s="418"/>
      <c r="AB10" s="264"/>
      <c r="AC10" s="185"/>
      <c r="AD10" s="403"/>
    </row>
    <row r="11" spans="1:30" ht="15" customHeight="1">
      <c r="A11" s="413"/>
      <c r="B11" s="177"/>
      <c r="C11" s="183"/>
      <c r="D11" s="11"/>
      <c r="E11" s="12"/>
      <c r="F11" s="56"/>
      <c r="G11" s="25"/>
      <c r="H11" s="15"/>
      <c r="I11" s="182"/>
      <c r="J11" s="16"/>
      <c r="K11" s="14"/>
      <c r="L11" s="17"/>
      <c r="M11" s="180"/>
      <c r="N11" s="25"/>
      <c r="O11" s="17"/>
      <c r="P11" s="18"/>
      <c r="Q11" s="19"/>
      <c r="R11" s="185"/>
      <c r="S11" s="398"/>
      <c r="T11" s="20"/>
      <c r="U11" s="20"/>
      <c r="V11" s="177"/>
      <c r="W11" s="24">
        <f t="shared" si="5"/>
        <v>0</v>
      </c>
      <c r="X11" s="22"/>
      <c r="Y11" s="263"/>
      <c r="Z11" s="419"/>
      <c r="AA11" s="418"/>
      <c r="AB11" s="264"/>
      <c r="AC11" s="185"/>
      <c r="AD11" s="403"/>
    </row>
    <row r="12" spans="1:30" ht="15" customHeight="1">
      <c r="A12" s="413"/>
      <c r="B12" s="26"/>
      <c r="C12" s="27"/>
      <c r="D12" s="28"/>
      <c r="E12" s="29"/>
      <c r="F12" s="13"/>
      <c r="G12" s="30"/>
      <c r="H12" s="15">
        <f t="shared" si="6"/>
        <v>0</v>
      </c>
      <c r="I12" s="178"/>
      <c r="J12" s="31"/>
      <c r="K12" s="30"/>
      <c r="L12" s="17"/>
      <c r="M12" s="181"/>
      <c r="N12" s="25"/>
      <c r="O12" s="17"/>
      <c r="P12" s="18"/>
      <c r="Q12" s="19"/>
      <c r="R12" s="185"/>
      <c r="S12" s="398"/>
      <c r="T12" s="32"/>
      <c r="U12" s="32"/>
      <c r="V12" s="178"/>
      <c r="W12" s="24">
        <f t="shared" si="5"/>
        <v>0</v>
      </c>
      <c r="X12" s="33"/>
      <c r="Y12" s="33"/>
      <c r="Z12" s="407"/>
      <c r="AA12" s="407"/>
      <c r="AB12" s="34"/>
      <c r="AC12" s="186"/>
      <c r="AD12" s="403"/>
    </row>
    <row r="13" spans="1:30" ht="15" customHeight="1">
      <c r="A13" s="413"/>
      <c r="B13" s="26"/>
      <c r="C13" s="27"/>
      <c r="D13" s="28"/>
      <c r="E13" s="29"/>
      <c r="F13" s="13"/>
      <c r="G13" s="30"/>
      <c r="H13" s="15">
        <f t="shared" si="6"/>
        <v>0</v>
      </c>
      <c r="I13" s="178"/>
      <c r="J13" s="31"/>
      <c r="K13" s="30"/>
      <c r="L13" s="17"/>
      <c r="M13" s="181"/>
      <c r="N13" s="25"/>
      <c r="O13" s="17"/>
      <c r="P13" s="18"/>
      <c r="Q13" s="19"/>
      <c r="R13" s="185"/>
      <c r="S13" s="398"/>
      <c r="T13" s="32"/>
      <c r="U13" s="32"/>
      <c r="V13" s="178"/>
      <c r="W13" s="24">
        <f t="shared" si="5"/>
        <v>0</v>
      </c>
      <c r="X13" s="33"/>
      <c r="Y13" s="33"/>
      <c r="Z13" s="419"/>
      <c r="AA13" s="418"/>
      <c r="AB13" s="34"/>
      <c r="AC13" s="186"/>
      <c r="AD13" s="403"/>
    </row>
    <row r="14" spans="1:30" ht="15" customHeight="1">
      <c r="A14" s="413"/>
      <c r="B14" s="26"/>
      <c r="C14" s="27"/>
      <c r="D14" s="28"/>
      <c r="E14" s="29"/>
      <c r="F14" s="13"/>
      <c r="G14" s="30"/>
      <c r="H14" s="15">
        <f t="shared" si="6"/>
        <v>0</v>
      </c>
      <c r="I14" s="178"/>
      <c r="J14" s="31"/>
      <c r="K14" s="30"/>
      <c r="L14" s="17"/>
      <c r="M14" s="181"/>
      <c r="N14" s="25"/>
      <c r="O14" s="17"/>
      <c r="P14" s="18"/>
      <c r="Q14" s="19"/>
      <c r="R14" s="185"/>
      <c r="S14" s="398"/>
      <c r="T14" s="32"/>
      <c r="U14" s="32"/>
      <c r="V14" s="178"/>
      <c r="W14" s="24">
        <f t="shared" si="5"/>
        <v>0</v>
      </c>
      <c r="X14" s="33"/>
      <c r="Y14" s="33"/>
      <c r="Z14" s="419"/>
      <c r="AA14" s="418"/>
      <c r="AB14" s="34"/>
      <c r="AC14" s="186"/>
      <c r="AD14" s="403"/>
    </row>
    <row r="15" spans="1:30" ht="15" customHeight="1" thickBot="1">
      <c r="A15" s="414"/>
      <c r="B15" s="113"/>
      <c r="C15" s="113" t="s">
        <v>34</v>
      </c>
      <c r="D15" s="410" t="s">
        <v>7</v>
      </c>
      <c r="E15" s="410"/>
      <c r="F15" s="114"/>
      <c r="G15" s="115"/>
      <c r="H15" s="116"/>
      <c r="I15" s="117"/>
      <c r="J15" s="118">
        <f t="shared" ref="J15:O15" si="9">AVERAGE(J5:J14)</f>
        <v>13.666666666666666</v>
      </c>
      <c r="K15" s="118">
        <f t="shared" si="9"/>
        <v>2017.5</v>
      </c>
      <c r="L15" s="115">
        <f t="shared" si="9"/>
        <v>149.47586726998489</v>
      </c>
      <c r="M15" s="118">
        <f t="shared" si="9"/>
        <v>13.666666666666666</v>
      </c>
      <c r="N15" s="118">
        <f t="shared" si="9"/>
        <v>1880.0386121231259</v>
      </c>
      <c r="O15" s="115">
        <f t="shared" si="9"/>
        <v>139.48260817236721</v>
      </c>
      <c r="P15" s="119">
        <f t="shared" ref="P15:P16" si="10">M15-J15</f>
        <v>0</v>
      </c>
      <c r="Q15" s="120">
        <f t="shared" ref="Q15:Q16" si="11">O15-L15</f>
        <v>-9.9932590976176812</v>
      </c>
      <c r="R15" s="121">
        <f t="shared" ref="R15:R16" si="12">O15/L15</f>
        <v>0.93314466555616127</v>
      </c>
      <c r="S15" s="399"/>
      <c r="T15" s="122"/>
      <c r="U15" s="122"/>
      <c r="V15" s="195"/>
      <c r="W15" s="123"/>
      <c r="X15" s="124"/>
      <c r="Y15" s="124"/>
      <c r="Z15" s="391"/>
      <c r="AA15" s="391"/>
      <c r="AB15" s="119">
        <f>N15-K15</f>
        <v>-137.46138787687414</v>
      </c>
      <c r="AC15" s="187">
        <f>N15/K15</f>
        <v>0.93186548308457295</v>
      </c>
      <c r="AD15" s="404"/>
    </row>
    <row r="16" spans="1:30" ht="15" customHeight="1">
      <c r="A16" s="431" t="s">
        <v>67</v>
      </c>
      <c r="B16" s="199" t="s">
        <v>134</v>
      </c>
      <c r="C16" s="102"/>
      <c r="D16" s="103" t="s">
        <v>127</v>
      </c>
      <c r="E16" s="104"/>
      <c r="F16" s="199">
        <f>VLOOKUP(D16,廠價表!$C$1:$E$39,3,0)</f>
        <v>57.21</v>
      </c>
      <c r="G16" s="265">
        <v>1232</v>
      </c>
      <c r="H16" s="125">
        <f t="shared" ref="H16:H25" si="13">F16*G16</f>
        <v>70482.720000000001</v>
      </c>
      <c r="I16" s="126"/>
      <c r="J16" s="108">
        <f>VLOOKUP(D16,產線配置圖!$A$2:$C$38,2,0)</f>
        <v>13</v>
      </c>
      <c r="K16" s="105">
        <f>VLOOKUP(D16,產線配置圖!$A$2:$C$38,3,0)</f>
        <v>2105</v>
      </c>
      <c r="L16" s="109">
        <f>K16/J16</f>
        <v>161.92307692307693</v>
      </c>
      <c r="M16" s="267">
        <v>13</v>
      </c>
      <c r="N16" s="127">
        <f>G16/W16*60</f>
        <v>1802.9268292682955</v>
      </c>
      <c r="O16" s="128">
        <f>N16/M16</f>
        <v>138.68667917448425</v>
      </c>
      <c r="P16" s="129">
        <f t="shared" si="10"/>
        <v>0</v>
      </c>
      <c r="Q16" s="130">
        <f t="shared" si="11"/>
        <v>-23.23639774859268</v>
      </c>
      <c r="R16" s="189">
        <f t="shared" si="12"/>
        <v>0.8564973060656984</v>
      </c>
      <c r="S16" s="424">
        <f>R26</f>
        <v>0.90766905372102458</v>
      </c>
      <c r="T16" s="268">
        <v>0.28958333333333336</v>
      </c>
      <c r="U16" s="268">
        <v>0.31805555555555554</v>
      </c>
      <c r="V16" s="126"/>
      <c r="W16" s="131">
        <f t="shared" ref="W16:W68" si="14">(U16-T16)*24*60</f>
        <v>40.999999999999936</v>
      </c>
      <c r="X16" s="128"/>
      <c r="Y16" s="128"/>
      <c r="Z16" s="400"/>
      <c r="AA16" s="400"/>
      <c r="AB16" s="111">
        <f>N16-K16</f>
        <v>-302.07317073170452</v>
      </c>
      <c r="AC16" s="184">
        <f>N16/K16</f>
        <v>0.85649730606569852</v>
      </c>
      <c r="AD16" s="401">
        <f>AC26</f>
        <v>0.90615860541032833</v>
      </c>
    </row>
    <row r="17" spans="1:30" ht="15" customHeight="1">
      <c r="A17" s="432"/>
      <c r="B17" s="56" t="s">
        <v>62</v>
      </c>
      <c r="C17" s="10"/>
      <c r="D17" s="11" t="s">
        <v>153</v>
      </c>
      <c r="E17" s="86"/>
      <c r="F17" s="56">
        <f>VLOOKUP(D17,廠價表!$C$1:$E$39,3,0)</f>
        <v>50.67</v>
      </c>
      <c r="G17" s="96">
        <v>3763</v>
      </c>
      <c r="H17" s="15">
        <f>F17*G17</f>
        <v>190671.21000000002</v>
      </c>
      <c r="I17" s="177"/>
      <c r="J17" s="16">
        <f>VLOOKUP(D17,產線配置圖!$A$2:$C$38,2,0)</f>
        <v>13</v>
      </c>
      <c r="K17" s="14">
        <f>VLOOKUP(D17,產線配置圖!$A$2:$C$38,3,0)</f>
        <v>2000</v>
      </c>
      <c r="L17" s="17">
        <f>K17/J17</f>
        <v>153.84615384615384</v>
      </c>
      <c r="M17" s="37">
        <v>13</v>
      </c>
      <c r="N17" s="36">
        <f>G17/W17*60</f>
        <v>1763.9062499999995</v>
      </c>
      <c r="O17" s="38">
        <f>N17/M17</f>
        <v>135.68509615384613</v>
      </c>
      <c r="P17" s="39">
        <f>M17-J17</f>
        <v>0</v>
      </c>
      <c r="Q17" s="40">
        <f>O17-L17</f>
        <v>-18.161057692307708</v>
      </c>
      <c r="R17" s="190">
        <f>O17/L17</f>
        <v>0.88195312499999989</v>
      </c>
      <c r="S17" s="425"/>
      <c r="T17" s="41">
        <v>0.3298611111111111</v>
      </c>
      <c r="U17" s="41">
        <v>0.41875000000000001</v>
      </c>
      <c r="V17" s="177">
        <f>(T17-U16)*24*60</f>
        <v>17.000000000000021</v>
      </c>
      <c r="W17" s="43">
        <f t="shared" si="14"/>
        <v>128.00000000000003</v>
      </c>
      <c r="X17" s="44"/>
      <c r="Y17" s="44"/>
      <c r="Z17" s="381" t="s">
        <v>179</v>
      </c>
      <c r="AA17" s="381"/>
      <c r="AB17" s="18">
        <f>N17-K17</f>
        <v>-236.09375000000045</v>
      </c>
      <c r="AC17" s="185">
        <f>N17/K17</f>
        <v>0.88195312499999978</v>
      </c>
      <c r="AD17" s="402"/>
    </row>
    <row r="18" spans="1:30" ht="15" customHeight="1">
      <c r="A18" s="432"/>
      <c r="B18" s="56" t="s">
        <v>62</v>
      </c>
      <c r="C18" s="10"/>
      <c r="D18" s="11" t="s">
        <v>131</v>
      </c>
      <c r="E18" s="86"/>
      <c r="F18" s="56">
        <f>VLOOKUP(D18,廠價表!$C$1:$E$39,3,0)</f>
        <v>50.39</v>
      </c>
      <c r="G18" s="96">
        <v>2400</v>
      </c>
      <c r="H18" s="15">
        <f>F18*G18</f>
        <v>120936</v>
      </c>
      <c r="I18" s="177"/>
      <c r="J18" s="16">
        <f>VLOOKUP(D18,產線配置圖!$A$2:$C$38,2,0)</f>
        <v>12</v>
      </c>
      <c r="K18" s="14">
        <f>VLOOKUP(D18,產線配置圖!$A$2:$C$38,3,0)</f>
        <v>2000</v>
      </c>
      <c r="L18" s="17">
        <f>K18/J18</f>
        <v>166.66666666666666</v>
      </c>
      <c r="M18" s="37">
        <v>12</v>
      </c>
      <c r="N18" s="36">
        <f>G18/W18*60</f>
        <v>1846.1538461538451</v>
      </c>
      <c r="O18" s="38">
        <f>N18/M18</f>
        <v>153.84615384615375</v>
      </c>
      <c r="P18" s="39">
        <f>M18-J18</f>
        <v>0</v>
      </c>
      <c r="Q18" s="40">
        <f>O18-L18</f>
        <v>-12.820512820512903</v>
      </c>
      <c r="R18" s="190">
        <f>O18/L18</f>
        <v>0.92307692307692257</v>
      </c>
      <c r="S18" s="425"/>
      <c r="T18" s="41">
        <v>0.42499999999999999</v>
      </c>
      <c r="U18" s="41">
        <v>0.47916666666666669</v>
      </c>
      <c r="V18" s="177">
        <f>(T18-U17)*24*60</f>
        <v>8.999999999999968</v>
      </c>
      <c r="W18" s="43">
        <f t="shared" si="14"/>
        <v>78.000000000000043</v>
      </c>
      <c r="X18" s="22"/>
      <c r="Y18" s="22"/>
      <c r="Z18" s="418"/>
      <c r="AA18" s="405"/>
      <c r="AB18" s="18">
        <f>N18-K18</f>
        <v>-153.84615384615495</v>
      </c>
      <c r="AC18" s="185">
        <f>N18/K18</f>
        <v>0.92307692307692257</v>
      </c>
      <c r="AD18" s="402"/>
    </row>
    <row r="19" spans="1:30" ht="15" customHeight="1">
      <c r="A19" s="432"/>
      <c r="B19" s="56" t="s">
        <v>62</v>
      </c>
      <c r="C19" s="23"/>
      <c r="D19" s="11" t="s">
        <v>131</v>
      </c>
      <c r="E19" s="12"/>
      <c r="F19" s="56">
        <f>VLOOKUP(D19,廠價表!$C$1:$E$39,3,0)</f>
        <v>50.39</v>
      </c>
      <c r="G19" s="96">
        <v>2704</v>
      </c>
      <c r="H19" s="15">
        <f t="shared" ref="H19" si="15">F19*G19</f>
        <v>136254.56</v>
      </c>
      <c r="I19" s="177"/>
      <c r="J19" s="16">
        <f>VLOOKUP(D19,產線配置圖!$A$2:$C$38,2,0)</f>
        <v>12</v>
      </c>
      <c r="K19" s="14">
        <f>VLOOKUP(D19,產線配置圖!$A$2:$C$38,3,0)</f>
        <v>2000</v>
      </c>
      <c r="L19" s="17">
        <f t="shared" ref="L19" si="16">K19/J19</f>
        <v>166.66666666666666</v>
      </c>
      <c r="M19" s="37">
        <v>12</v>
      </c>
      <c r="N19" s="36">
        <f>G19/W19*60</f>
        <v>1931.4285714285709</v>
      </c>
      <c r="O19" s="38">
        <f>N19/M19</f>
        <v>160.95238095238091</v>
      </c>
      <c r="P19" s="39">
        <f>M19-J19</f>
        <v>0</v>
      </c>
      <c r="Q19" s="40">
        <f>O19-L19</f>
        <v>-5.7142857142857508</v>
      </c>
      <c r="R19" s="190">
        <f>O19/L19</f>
        <v>0.96571428571428553</v>
      </c>
      <c r="S19" s="425"/>
      <c r="T19" s="41">
        <v>0.54166666666666663</v>
      </c>
      <c r="U19" s="41">
        <v>0.6</v>
      </c>
      <c r="V19" s="177">
        <f>(T19-U18)*24*60</f>
        <v>89.999999999999915</v>
      </c>
      <c r="W19" s="43">
        <f t="shared" si="14"/>
        <v>84.000000000000028</v>
      </c>
      <c r="X19" s="22">
        <v>0.4861111111111111</v>
      </c>
      <c r="Y19" s="263">
        <v>0.52777777777777779</v>
      </c>
      <c r="Z19" s="407"/>
      <c r="AA19" s="407"/>
      <c r="AB19" s="18">
        <f>N19-K19</f>
        <v>-68.571428571429124</v>
      </c>
      <c r="AC19" s="185">
        <f>N19/K19</f>
        <v>0.96571428571428541</v>
      </c>
      <c r="AD19" s="403"/>
    </row>
    <row r="20" spans="1:30" ht="15" customHeight="1">
      <c r="A20" s="432"/>
      <c r="B20" s="56"/>
      <c r="C20" s="23"/>
      <c r="D20" s="11"/>
      <c r="E20" s="12"/>
      <c r="F20" s="56"/>
      <c r="G20" s="96"/>
      <c r="H20" s="15"/>
      <c r="I20" s="177"/>
      <c r="J20" s="16"/>
      <c r="K20" s="14"/>
      <c r="L20" s="17"/>
      <c r="M20" s="37"/>
      <c r="N20" s="36"/>
      <c r="O20" s="38"/>
      <c r="P20" s="39"/>
      <c r="Q20" s="40"/>
      <c r="R20" s="190"/>
      <c r="S20" s="425"/>
      <c r="T20" s="41"/>
      <c r="U20" s="41"/>
      <c r="V20" s="177"/>
      <c r="W20" s="43">
        <f t="shared" si="14"/>
        <v>0</v>
      </c>
      <c r="X20" s="44"/>
      <c r="Y20" s="44"/>
      <c r="Z20" s="418"/>
      <c r="AA20" s="405"/>
      <c r="AB20" s="34"/>
      <c r="AC20" s="186"/>
      <c r="AD20" s="403"/>
    </row>
    <row r="21" spans="1:30" ht="15" customHeight="1">
      <c r="A21" s="433"/>
      <c r="B21" s="177"/>
      <c r="C21" s="23"/>
      <c r="D21" s="11"/>
      <c r="E21" s="12"/>
      <c r="F21" s="13"/>
      <c r="G21" s="36"/>
      <c r="H21" s="15">
        <f t="shared" si="13"/>
        <v>0</v>
      </c>
      <c r="I21" s="43"/>
      <c r="J21" s="37"/>
      <c r="K21" s="36"/>
      <c r="L21" s="38"/>
      <c r="M21" s="37"/>
      <c r="N21" s="36"/>
      <c r="O21" s="38"/>
      <c r="P21" s="39"/>
      <c r="Q21" s="40"/>
      <c r="R21" s="190"/>
      <c r="S21" s="425"/>
      <c r="T21" s="41"/>
      <c r="U21" s="41"/>
      <c r="V21" s="42"/>
      <c r="W21" s="43">
        <v>0</v>
      </c>
      <c r="X21" s="42"/>
      <c r="Y21" s="42"/>
      <c r="Z21" s="418"/>
      <c r="AA21" s="405"/>
      <c r="AB21" s="34"/>
      <c r="AC21" s="186"/>
      <c r="AD21" s="403"/>
    </row>
    <row r="22" spans="1:30" ht="15" customHeight="1">
      <c r="A22" s="433"/>
      <c r="B22" s="177"/>
      <c r="C22" s="183"/>
      <c r="D22" s="11"/>
      <c r="E22" s="12"/>
      <c r="F22" s="13"/>
      <c r="G22" s="36"/>
      <c r="H22" s="15">
        <f t="shared" si="13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90"/>
      <c r="S22" s="425"/>
      <c r="T22" s="41"/>
      <c r="U22" s="41"/>
      <c r="V22" s="42"/>
      <c r="W22" s="43">
        <v>0</v>
      </c>
      <c r="X22" s="42"/>
      <c r="Y22" s="42"/>
      <c r="Z22" s="418"/>
      <c r="AA22" s="405"/>
      <c r="AB22" s="34"/>
      <c r="AC22" s="186"/>
      <c r="AD22" s="403"/>
    </row>
    <row r="23" spans="1:30" ht="15" customHeight="1">
      <c r="A23" s="433"/>
      <c r="B23" s="26"/>
      <c r="C23" s="27"/>
      <c r="D23" s="28"/>
      <c r="E23" s="29"/>
      <c r="F23" s="13"/>
      <c r="G23" s="36"/>
      <c r="H23" s="15">
        <f t="shared" si="13"/>
        <v>0</v>
      </c>
      <c r="I23" s="43"/>
      <c r="J23" s="37"/>
      <c r="K23" s="36"/>
      <c r="L23" s="38"/>
      <c r="M23" s="37"/>
      <c r="N23" s="36"/>
      <c r="O23" s="38"/>
      <c r="P23" s="39"/>
      <c r="Q23" s="40"/>
      <c r="R23" s="190"/>
      <c r="S23" s="425"/>
      <c r="T23" s="41"/>
      <c r="U23" s="41"/>
      <c r="W23" s="43">
        <f t="shared" si="14"/>
        <v>0</v>
      </c>
      <c r="X23" s="42"/>
      <c r="Y23" s="42"/>
      <c r="Z23" s="418"/>
      <c r="AA23" s="405"/>
      <c r="AB23" s="34"/>
      <c r="AC23" s="186"/>
      <c r="AD23" s="403"/>
    </row>
    <row r="24" spans="1:30" ht="15" customHeight="1">
      <c r="A24" s="433"/>
      <c r="B24" s="26"/>
      <c r="C24" s="27"/>
      <c r="D24" s="28"/>
      <c r="E24" s="29"/>
      <c r="F24" s="13"/>
      <c r="G24" s="36"/>
      <c r="H24" s="15">
        <f t="shared" si="13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90"/>
      <c r="S24" s="425"/>
      <c r="T24" s="41"/>
      <c r="U24" s="41"/>
      <c r="V24" s="42"/>
      <c r="W24" s="43">
        <f t="shared" si="14"/>
        <v>0</v>
      </c>
      <c r="X24" s="42"/>
      <c r="Y24" s="42"/>
      <c r="Z24" s="418"/>
      <c r="AA24" s="405"/>
      <c r="AB24" s="34"/>
      <c r="AC24" s="186"/>
      <c r="AD24" s="403"/>
    </row>
    <row r="25" spans="1:30" ht="15" customHeight="1">
      <c r="A25" s="433"/>
      <c r="B25" s="26"/>
      <c r="C25" s="27"/>
      <c r="D25" s="28"/>
      <c r="E25" s="29"/>
      <c r="F25" s="13"/>
      <c r="G25" s="36"/>
      <c r="H25" s="50">
        <f t="shared" si="13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90"/>
      <c r="S25" s="425"/>
      <c r="T25" s="41"/>
      <c r="U25" s="41"/>
      <c r="V25" s="42"/>
      <c r="W25" s="43">
        <f t="shared" si="14"/>
        <v>0</v>
      </c>
      <c r="X25" s="42"/>
      <c r="Y25" s="42"/>
      <c r="Z25" s="418"/>
      <c r="AA25" s="405"/>
      <c r="AB25" s="34"/>
      <c r="AC25" s="186"/>
      <c r="AD25" s="403"/>
    </row>
    <row r="26" spans="1:30" ht="15" customHeight="1" thickBot="1">
      <c r="A26" s="434"/>
      <c r="B26" s="132"/>
      <c r="C26" s="1" t="s">
        <v>35</v>
      </c>
      <c r="D26" s="410" t="s">
        <v>7</v>
      </c>
      <c r="E26" s="410"/>
      <c r="F26" s="133"/>
      <c r="G26" s="134"/>
      <c r="H26" s="135"/>
      <c r="I26" s="136"/>
      <c r="J26" s="134">
        <f t="shared" ref="J26:O26" si="17">AVERAGE(J16:J25)</f>
        <v>12.5</v>
      </c>
      <c r="K26" s="134">
        <f t="shared" si="17"/>
        <v>2026.25</v>
      </c>
      <c r="L26" s="137">
        <f t="shared" si="17"/>
        <v>162.27564102564102</v>
      </c>
      <c r="M26" s="134">
        <f t="shared" si="17"/>
        <v>12.5</v>
      </c>
      <c r="N26" s="134">
        <f t="shared" si="17"/>
        <v>1836.1038742126777</v>
      </c>
      <c r="O26" s="137">
        <f t="shared" si="17"/>
        <v>147.29257753171626</v>
      </c>
      <c r="P26" s="138">
        <f t="shared" ref="P26:P29" si="18">M26-J26</f>
        <v>0</v>
      </c>
      <c r="Q26" s="139">
        <f t="shared" ref="Q26:Q29" si="19">O26-L26</f>
        <v>-14.98306349392476</v>
      </c>
      <c r="R26" s="140">
        <f t="shared" ref="R26:R29" si="20">O26/L26</f>
        <v>0.90766905372102458</v>
      </c>
      <c r="S26" s="435"/>
      <c r="T26" s="141"/>
      <c r="U26" s="141"/>
      <c r="V26" s="146"/>
      <c r="W26" s="142"/>
      <c r="X26" s="143"/>
      <c r="Y26" s="143"/>
      <c r="Z26" s="420"/>
      <c r="AA26" s="391"/>
      <c r="AB26" s="119">
        <f>N26-K26</f>
        <v>-190.14612578732226</v>
      </c>
      <c r="AC26" s="187">
        <f>N26/K26</f>
        <v>0.90615860541032833</v>
      </c>
      <c r="AD26" s="404"/>
    </row>
    <row r="27" spans="1:30" ht="15" customHeight="1">
      <c r="A27" s="421" t="s">
        <v>54</v>
      </c>
      <c r="B27" s="229" t="s">
        <v>62</v>
      </c>
      <c r="C27" s="102"/>
      <c r="D27" s="103" t="s">
        <v>144</v>
      </c>
      <c r="E27" s="104"/>
      <c r="F27" s="199">
        <f>VLOOKUP(D27,廠價表!$C$1:$E$39,3,0)</f>
        <v>49.91</v>
      </c>
      <c r="G27" s="269">
        <v>3428</v>
      </c>
      <c r="H27" s="125">
        <f t="shared" ref="H27:H40" si="21">F27*G27</f>
        <v>171091.47999999998</v>
      </c>
      <c r="I27" s="126"/>
      <c r="J27" s="108">
        <f>VLOOKUP(D27,產線配置圖!$A$2:$C$38,2,0)</f>
        <v>17</v>
      </c>
      <c r="K27" s="236">
        <f>VLOOKUP(D27,產線配置圖!$A$2:$C$38,3,0)</f>
        <v>1565</v>
      </c>
      <c r="L27" s="109">
        <f>K27/J27</f>
        <v>92.058823529411768</v>
      </c>
      <c r="M27" s="144">
        <v>14</v>
      </c>
      <c r="N27" s="127">
        <f>G27/W27*60</f>
        <v>1269.6296296296291</v>
      </c>
      <c r="O27" s="128">
        <f>N27/M27</f>
        <v>90.687830687830655</v>
      </c>
      <c r="P27" s="129">
        <f t="shared" si="18"/>
        <v>-3</v>
      </c>
      <c r="Q27" s="130">
        <f t="shared" si="19"/>
        <v>-1.3709928415811135</v>
      </c>
      <c r="R27" s="189">
        <f>O27/L27</f>
        <v>0.9851074260019943</v>
      </c>
      <c r="S27" s="424">
        <f>R37</f>
        <v>0.93735684547536779</v>
      </c>
      <c r="T27" s="94">
        <v>0.28888888888888886</v>
      </c>
      <c r="U27" s="94">
        <v>0.40138888888888891</v>
      </c>
      <c r="V27" s="126"/>
      <c r="W27" s="131">
        <f t="shared" si="14"/>
        <v>162.00000000000006</v>
      </c>
      <c r="X27" s="126"/>
      <c r="Y27" s="126" t="s">
        <v>147</v>
      </c>
      <c r="Z27" s="427"/>
      <c r="AA27" s="400"/>
      <c r="AB27" s="225">
        <f>N27-K27</f>
        <v>-295.37037037037089</v>
      </c>
      <c r="AC27" s="291">
        <f>N27/K27</f>
        <v>0.81126493906046593</v>
      </c>
      <c r="AD27" s="401">
        <f>AC37</f>
        <v>0.77679901897962811</v>
      </c>
    </row>
    <row r="28" spans="1:30" ht="15" customHeight="1">
      <c r="A28" s="422"/>
      <c r="B28" s="56" t="str">
        <f>VLOOKUP(D28,廠價表!$C$1:$E$39,2,0)</f>
        <v>義大利麵</v>
      </c>
      <c r="C28" s="10"/>
      <c r="D28" s="11" t="s">
        <v>137</v>
      </c>
      <c r="E28" s="86"/>
      <c r="F28" s="56">
        <f>VLOOKUP(D28,廠價表!$C$1:$E$39,3,0)</f>
        <v>55.13</v>
      </c>
      <c r="G28" s="53">
        <v>1529</v>
      </c>
      <c r="H28" s="50">
        <f t="shared" si="21"/>
        <v>84293.77</v>
      </c>
      <c r="I28" s="42"/>
      <c r="J28" s="16">
        <f>VLOOKUP(D28,產線配置圖!$A$2:$C$38,2,0)</f>
        <v>18</v>
      </c>
      <c r="K28" s="14">
        <f>VLOOKUP(D28,產線配置圖!$A$2:$C$38,3,0)</f>
        <v>1385</v>
      </c>
      <c r="L28" s="235">
        <f>K28/J28</f>
        <v>76.944444444444443</v>
      </c>
      <c r="M28" s="21">
        <v>15</v>
      </c>
      <c r="N28" s="36">
        <f>G28/W28*60</f>
        <v>1042.5</v>
      </c>
      <c r="O28" s="38">
        <f>N28/M28</f>
        <v>69.5</v>
      </c>
      <c r="P28" s="39">
        <f t="shared" si="18"/>
        <v>-3</v>
      </c>
      <c r="Q28" s="40">
        <f t="shared" si="19"/>
        <v>-7.4444444444444429</v>
      </c>
      <c r="R28" s="190">
        <f t="shared" si="20"/>
        <v>0.90324909747292426</v>
      </c>
      <c r="S28" s="425"/>
      <c r="T28" s="270">
        <v>0.40763888888888888</v>
      </c>
      <c r="U28" s="270">
        <v>0.46875</v>
      </c>
      <c r="V28" s="42">
        <f>(T28-U27)*24*60</f>
        <v>8.999999999999968</v>
      </c>
      <c r="W28" s="43">
        <f t="shared" si="14"/>
        <v>88</v>
      </c>
      <c r="X28" s="54"/>
      <c r="Y28" s="54"/>
      <c r="Z28" s="418"/>
      <c r="AA28" s="419"/>
      <c r="AB28" s="39">
        <f>N28-K28</f>
        <v>-342.5</v>
      </c>
      <c r="AC28" s="190">
        <f>N28/K28</f>
        <v>0.75270758122743686</v>
      </c>
      <c r="AD28" s="447"/>
    </row>
    <row r="29" spans="1:30" ht="15" customHeight="1">
      <c r="A29" s="422"/>
      <c r="B29" s="56" t="s">
        <v>134</v>
      </c>
      <c r="C29" s="10"/>
      <c r="D29" s="11" t="s">
        <v>137</v>
      </c>
      <c r="E29" s="86"/>
      <c r="F29" s="56">
        <f>VLOOKUP(D29,廠價表!$C$1:$E$39,3,0)</f>
        <v>55.13</v>
      </c>
      <c r="G29" s="238">
        <v>897</v>
      </c>
      <c r="H29" s="50">
        <f t="shared" si="21"/>
        <v>49451.61</v>
      </c>
      <c r="I29" s="42"/>
      <c r="J29" s="16">
        <f>VLOOKUP(D29,產線配置圖!$A$2:$C$38,2,0)</f>
        <v>18</v>
      </c>
      <c r="K29" s="14">
        <f>VLOOKUP(D29,產線配置圖!$A$2:$C$38,3,0)</f>
        <v>1385</v>
      </c>
      <c r="L29" s="235">
        <f t="shared" ref="L29" si="22">K29/J29</f>
        <v>76.944444444444443</v>
      </c>
      <c r="M29" s="21">
        <v>15</v>
      </c>
      <c r="N29" s="36">
        <f>G29/W29*60</f>
        <v>1055.2941176470592</v>
      </c>
      <c r="O29" s="38">
        <f t="shared" ref="O29" si="23">N29/M29</f>
        <v>70.352941176470623</v>
      </c>
      <c r="P29" s="39">
        <f t="shared" si="18"/>
        <v>-3</v>
      </c>
      <c r="Q29" s="40">
        <f t="shared" si="19"/>
        <v>-6.5915032679738204</v>
      </c>
      <c r="R29" s="190">
        <f t="shared" si="20"/>
        <v>0.91433425355701892</v>
      </c>
      <c r="S29" s="425"/>
      <c r="T29" s="41">
        <v>0.53263888888888888</v>
      </c>
      <c r="U29" s="41">
        <v>0.56805555555555554</v>
      </c>
      <c r="V29" s="42">
        <f t="shared" ref="V29" si="24">(T29-U28)*24*60</f>
        <v>92</v>
      </c>
      <c r="W29" s="43">
        <f t="shared" si="14"/>
        <v>50.999999999999979</v>
      </c>
      <c r="X29" s="54">
        <v>0.47916666666666669</v>
      </c>
      <c r="Y29" s="54">
        <v>0.52083333333333337</v>
      </c>
      <c r="Z29" s="418"/>
      <c r="AA29" s="419"/>
      <c r="AB29" s="292">
        <f>N29-K29</f>
        <v>-329.70588235294076</v>
      </c>
      <c r="AC29" s="190">
        <f>N29/K29</f>
        <v>0.76194521129751569</v>
      </c>
      <c r="AD29" s="447"/>
    </row>
    <row r="30" spans="1:30" ht="15" customHeight="1">
      <c r="A30" s="422"/>
      <c r="B30" s="56"/>
      <c r="C30" s="237"/>
      <c r="D30" s="11"/>
      <c r="E30" s="29"/>
      <c r="F30" s="56"/>
      <c r="G30" s="238"/>
      <c r="H30" s="50"/>
      <c r="I30" s="42"/>
      <c r="J30" s="16"/>
      <c r="K30" s="14"/>
      <c r="L30" s="235"/>
      <c r="M30" s="21"/>
      <c r="N30" s="36"/>
      <c r="O30" s="38"/>
      <c r="P30" s="39"/>
      <c r="Q30" s="40"/>
      <c r="R30" s="190"/>
      <c r="S30" s="425"/>
      <c r="T30" s="41"/>
      <c r="U30" s="41"/>
      <c r="V30" s="42"/>
      <c r="W30" s="43">
        <f t="shared" si="14"/>
        <v>0</v>
      </c>
      <c r="X30" s="54"/>
      <c r="Y30" s="54"/>
      <c r="Z30" s="449"/>
      <c r="AA30" s="450"/>
      <c r="AB30" s="34"/>
      <c r="AC30" s="293"/>
      <c r="AD30" s="448"/>
    </row>
    <row r="31" spans="1:30" ht="15" customHeight="1">
      <c r="A31" s="422"/>
      <c r="B31" s="56"/>
      <c r="C31" s="10"/>
      <c r="D31" s="28"/>
      <c r="E31" s="86"/>
      <c r="F31" s="56"/>
      <c r="G31" s="238"/>
      <c r="H31" s="239"/>
      <c r="I31" s="81"/>
      <c r="J31" s="16"/>
      <c r="K31" s="14"/>
      <c r="L31" s="235"/>
      <c r="M31" s="21"/>
      <c r="N31" s="36"/>
      <c r="O31" s="38"/>
      <c r="P31" s="39"/>
      <c r="Q31" s="40"/>
      <c r="R31" s="190"/>
      <c r="S31" s="425"/>
      <c r="T31" s="41"/>
      <c r="U31" s="41"/>
      <c r="V31" s="42"/>
      <c r="W31" s="43">
        <f t="shared" si="14"/>
        <v>0</v>
      </c>
      <c r="X31" s="54"/>
      <c r="Y31" s="54"/>
      <c r="Z31" s="449"/>
      <c r="AA31" s="450"/>
      <c r="AB31" s="257"/>
      <c r="AC31" s="258"/>
      <c r="AD31" s="403"/>
    </row>
    <row r="32" spans="1:30" ht="15" customHeight="1">
      <c r="A32" s="422"/>
      <c r="B32" s="56"/>
      <c r="C32" s="252"/>
      <c r="D32" s="253"/>
      <c r="E32" s="254"/>
      <c r="F32" s="56"/>
      <c r="G32" s="53"/>
      <c r="H32" s="50">
        <f t="shared" si="21"/>
        <v>0</v>
      </c>
      <c r="I32" s="42"/>
      <c r="J32" s="255"/>
      <c r="K32" s="36"/>
      <c r="L32" s="256"/>
      <c r="M32" s="21"/>
      <c r="N32" s="36"/>
      <c r="O32" s="38"/>
      <c r="P32" s="39"/>
      <c r="Q32" s="40"/>
      <c r="R32" s="190"/>
      <c r="S32" s="425"/>
      <c r="T32" s="41"/>
      <c r="U32" s="41"/>
      <c r="V32" s="42"/>
      <c r="W32" s="43">
        <f t="shared" si="14"/>
        <v>0</v>
      </c>
      <c r="X32" s="54"/>
      <c r="Y32" s="54"/>
      <c r="Z32" s="418"/>
      <c r="AA32" s="405"/>
      <c r="AB32" s="18"/>
      <c r="AC32" s="185"/>
      <c r="AD32" s="403"/>
    </row>
    <row r="33" spans="1:30" ht="15" customHeight="1">
      <c r="A33" s="422"/>
      <c r="B33" s="240"/>
      <c r="C33" s="241"/>
      <c r="D33" s="242"/>
      <c r="E33" s="243"/>
      <c r="F33" s="223"/>
      <c r="G33" s="244"/>
      <c r="H33" s="245">
        <f t="shared" si="21"/>
        <v>0</v>
      </c>
      <c r="I33" s="246"/>
      <c r="J33" s="247"/>
      <c r="K33" s="45"/>
      <c r="M33" s="248"/>
      <c r="N33" s="45"/>
      <c r="O33" s="46"/>
      <c r="P33" s="47"/>
      <c r="Q33" s="48"/>
      <c r="R33" s="49"/>
      <c r="S33" s="425"/>
      <c r="T33" s="41"/>
      <c r="U33" s="41"/>
      <c r="V33" s="42"/>
      <c r="W33" s="43">
        <f t="shared" si="14"/>
        <v>0</v>
      </c>
      <c r="X33" s="54"/>
      <c r="Y33" s="54"/>
      <c r="Z33" s="418"/>
      <c r="AA33" s="405"/>
      <c r="AB33" s="18"/>
      <c r="AC33" s="57"/>
      <c r="AD33" s="403"/>
    </row>
    <row r="34" spans="1:30" ht="15" customHeight="1">
      <c r="A34" s="422"/>
      <c r="B34" s="231"/>
      <c r="C34" s="27"/>
      <c r="D34" s="28"/>
      <c r="E34" s="29"/>
      <c r="F34" s="13"/>
      <c r="G34" s="53"/>
      <c r="H34" s="50">
        <f t="shared" si="21"/>
        <v>0</v>
      </c>
      <c r="I34" s="42"/>
      <c r="J34" s="37"/>
      <c r="K34" s="36"/>
      <c r="L34" s="38"/>
      <c r="M34" s="21"/>
      <c r="N34" s="36"/>
      <c r="O34" s="38"/>
      <c r="P34" s="39"/>
      <c r="Q34" s="40"/>
      <c r="R34" s="190"/>
      <c r="S34" s="425"/>
      <c r="T34" s="41"/>
      <c r="U34" s="41"/>
      <c r="V34" s="42"/>
      <c r="W34" s="43">
        <f t="shared" si="14"/>
        <v>0</v>
      </c>
      <c r="X34" s="54"/>
      <c r="Y34" s="54"/>
      <c r="Z34" s="418"/>
      <c r="AA34" s="405"/>
      <c r="AB34" s="18"/>
      <c r="AC34" s="57"/>
      <c r="AD34" s="403"/>
    </row>
    <row r="35" spans="1:30" ht="15" customHeight="1">
      <c r="A35" s="422"/>
      <c r="B35" s="231"/>
      <c r="C35" s="27"/>
      <c r="D35" s="28"/>
      <c r="E35" s="29"/>
      <c r="F35" s="13"/>
      <c r="G35" s="53"/>
      <c r="H35" s="50">
        <f t="shared" si="21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90"/>
      <c r="S35" s="425"/>
      <c r="T35" s="41"/>
      <c r="U35" s="41"/>
      <c r="V35" s="42"/>
      <c r="W35" s="43">
        <f t="shared" si="14"/>
        <v>0</v>
      </c>
      <c r="X35" s="54"/>
      <c r="Y35" s="54"/>
      <c r="Z35" s="418"/>
      <c r="AA35" s="405"/>
      <c r="AB35" s="18"/>
      <c r="AC35" s="57"/>
      <c r="AD35" s="403"/>
    </row>
    <row r="36" spans="1:30" ht="15" customHeight="1">
      <c r="A36" s="422"/>
      <c r="B36" s="232"/>
      <c r="C36" s="27"/>
      <c r="D36" s="28"/>
      <c r="E36" s="29"/>
      <c r="F36" s="13"/>
      <c r="G36" s="53"/>
      <c r="H36" s="50">
        <f t="shared" si="21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90"/>
      <c r="S36" s="425"/>
      <c r="T36" s="41"/>
      <c r="U36" s="41"/>
      <c r="V36" s="42"/>
      <c r="W36" s="43">
        <f t="shared" si="14"/>
        <v>0</v>
      </c>
      <c r="X36" s="54"/>
      <c r="Y36" s="54"/>
      <c r="Z36" s="418"/>
      <c r="AA36" s="405"/>
      <c r="AB36" s="18"/>
      <c r="AC36" s="57"/>
      <c r="AD36" s="403"/>
    </row>
    <row r="37" spans="1:30" ht="15" customHeight="1" thickBot="1">
      <c r="A37" s="423"/>
      <c r="B37" s="300"/>
      <c r="C37" s="301" t="s">
        <v>36</v>
      </c>
      <c r="D37" s="428" t="s">
        <v>7</v>
      </c>
      <c r="E37" s="429"/>
      <c r="F37" s="281"/>
      <c r="G37" s="282"/>
      <c r="H37" s="283"/>
      <c r="I37" s="284"/>
      <c r="J37" s="285">
        <f t="shared" ref="J37:O37" si="25">AVERAGE(J27:J36)</f>
        <v>17.666666666666668</v>
      </c>
      <c r="K37" s="285">
        <f t="shared" si="25"/>
        <v>1445</v>
      </c>
      <c r="L37" s="286">
        <f t="shared" si="25"/>
        <v>81.982570806100227</v>
      </c>
      <c r="M37" s="285">
        <f t="shared" si="25"/>
        <v>14.666666666666666</v>
      </c>
      <c r="N37" s="285">
        <f t="shared" si="25"/>
        <v>1122.4745824255626</v>
      </c>
      <c r="O37" s="286">
        <f t="shared" si="25"/>
        <v>76.846923954767092</v>
      </c>
      <c r="P37" s="73">
        <f>M37-J37</f>
        <v>-3.0000000000000018</v>
      </c>
      <c r="Q37" s="74">
        <f>N37-K37</f>
        <v>-322.52541757443737</v>
      </c>
      <c r="R37" s="287">
        <f t="shared" ref="R37:R39" si="26">O37/L37</f>
        <v>0.93735684547536779</v>
      </c>
      <c r="S37" s="426"/>
      <c r="T37" s="302"/>
      <c r="U37" s="302"/>
      <c r="V37" s="81"/>
      <c r="W37" s="81"/>
      <c r="X37" s="303"/>
      <c r="Y37" s="303"/>
      <c r="Z37" s="430"/>
      <c r="AA37" s="379"/>
      <c r="AB37" s="34">
        <f t="shared" ref="AB37:AB39" si="27">N37-K37</f>
        <v>-322.52541757443737</v>
      </c>
      <c r="AC37" s="186">
        <f t="shared" ref="AC37:AC39" si="28">N37/K37</f>
        <v>0.77679901897962811</v>
      </c>
      <c r="AD37" s="403"/>
    </row>
    <row r="38" spans="1:30" s="62" customFormat="1" ht="15" customHeight="1">
      <c r="A38" s="454" t="s">
        <v>55</v>
      </c>
      <c r="B38" s="229" t="s">
        <v>134</v>
      </c>
      <c r="C38" s="199"/>
      <c r="D38" s="304" t="s">
        <v>156</v>
      </c>
      <c r="E38" s="280"/>
      <c r="F38" s="305">
        <f>VLOOKUP(D38,廠價表!$C$1:$E$39,3,0)</f>
        <v>56.43</v>
      </c>
      <c r="G38" s="266">
        <v>2820</v>
      </c>
      <c r="H38" s="125">
        <f t="shared" si="21"/>
        <v>159132.6</v>
      </c>
      <c r="I38" s="126"/>
      <c r="J38" s="274">
        <f>VLOOKUP(D38,產線配置圖!$A$2:$C$38,2,0)</f>
        <v>15</v>
      </c>
      <c r="K38" s="236">
        <f>VLOOKUP(D38,產線配置圖!$A$2:$C$38,3,0)</f>
        <v>1406</v>
      </c>
      <c r="L38" s="288">
        <f t="shared" ref="L38:L39" si="29">K38/J38</f>
        <v>93.733333333333334</v>
      </c>
      <c r="M38" s="289">
        <v>14</v>
      </c>
      <c r="N38" s="127">
        <f>G38/W38*60</f>
        <v>1007.1428571428569</v>
      </c>
      <c r="O38" s="128">
        <f>N38/M38</f>
        <v>71.938775510204067</v>
      </c>
      <c r="P38" s="129">
        <f t="shared" ref="P38:P39" si="30">M38-J38</f>
        <v>-1</v>
      </c>
      <c r="Q38" s="130">
        <f t="shared" ref="Q38:Q39" si="31">O38-L38</f>
        <v>-21.794557823129267</v>
      </c>
      <c r="R38" s="189">
        <f t="shared" si="26"/>
        <v>0.76748338026533502</v>
      </c>
      <c r="S38" s="457">
        <f>R48</f>
        <v>0.81314260381484693</v>
      </c>
      <c r="T38" s="151">
        <v>0.33333333333333331</v>
      </c>
      <c r="U38" s="151">
        <v>0.45</v>
      </c>
      <c r="V38" s="148"/>
      <c r="W38" s="152">
        <f t="shared" si="14"/>
        <v>168.00000000000006</v>
      </c>
      <c r="X38" s="150"/>
      <c r="Y38" s="153"/>
      <c r="Z38" s="478" t="s">
        <v>177</v>
      </c>
      <c r="AA38" s="460"/>
      <c r="AB38" s="290">
        <f t="shared" si="27"/>
        <v>-398.85714285714312</v>
      </c>
      <c r="AC38" s="154">
        <f t="shared" si="28"/>
        <v>0.71631782158097934</v>
      </c>
      <c r="AD38" s="436">
        <f>AC48</f>
        <v>0.79591588554133064</v>
      </c>
    </row>
    <row r="39" spans="1:30" s="62" customFormat="1" ht="15" customHeight="1">
      <c r="A39" s="455"/>
      <c r="B39" s="56" t="s">
        <v>134</v>
      </c>
      <c r="C39" s="277"/>
      <c r="D39" s="279" t="s">
        <v>154</v>
      </c>
      <c r="E39" s="278"/>
      <c r="F39" s="56">
        <f>VLOOKUP(D39,廠價表!$C$1:$E$39,3,0)</f>
        <v>57.3</v>
      </c>
      <c r="G39" s="276">
        <v>1162</v>
      </c>
      <c r="H39" s="50">
        <f t="shared" si="21"/>
        <v>66582.599999999991</v>
      </c>
      <c r="I39" s="64"/>
      <c r="J39" s="37">
        <f>VLOOKUP(D39,產線配置圖!$A$2:$C$38,2,0)</f>
        <v>15</v>
      </c>
      <c r="K39" s="36">
        <f>VLOOKUP(D39,產線配置圖!$A$2:$C$38,3,0)</f>
        <v>1385</v>
      </c>
      <c r="L39" s="38">
        <f t="shared" si="29"/>
        <v>92.333333333333329</v>
      </c>
      <c r="M39" s="65">
        <v>15</v>
      </c>
      <c r="N39" s="66">
        <f>G39/W39*60</f>
        <v>1267.6363636363626</v>
      </c>
      <c r="O39" s="67">
        <f t="shared" ref="O39" si="32">N39/M39</f>
        <v>84.509090909090844</v>
      </c>
      <c r="P39" s="39">
        <f t="shared" si="30"/>
        <v>0</v>
      </c>
      <c r="Q39" s="40">
        <f t="shared" si="31"/>
        <v>-7.8242424242424846</v>
      </c>
      <c r="R39" s="190">
        <f t="shared" si="26"/>
        <v>0.91526091237282503</v>
      </c>
      <c r="S39" s="458"/>
      <c r="T39" s="59">
        <v>0.4548611111111111</v>
      </c>
      <c r="U39" s="59">
        <v>0.49305555555555558</v>
      </c>
      <c r="V39" s="42">
        <f>(T39-U38)*24*60</f>
        <v>6.9999999999999751</v>
      </c>
      <c r="W39" s="69">
        <f t="shared" si="14"/>
        <v>55.000000000000043</v>
      </c>
      <c r="X39" s="22"/>
      <c r="Y39" s="22"/>
      <c r="Z39" s="474"/>
      <c r="AA39" s="475"/>
      <c r="AB39" s="271">
        <f t="shared" si="27"/>
        <v>-117.3636363636374</v>
      </c>
      <c r="AC39" s="61">
        <f t="shared" si="28"/>
        <v>0.91526091237282503</v>
      </c>
      <c r="AD39" s="437"/>
    </row>
    <row r="40" spans="1:30" s="62" customFormat="1" ht="15" customHeight="1">
      <c r="A40" s="455"/>
      <c r="B40" s="56" t="s">
        <v>134</v>
      </c>
      <c r="C40" s="275"/>
      <c r="D40" s="279" t="s">
        <v>154</v>
      </c>
      <c r="E40" s="243"/>
      <c r="F40" s="56">
        <f>VLOOKUP(D40,廠價表!$C$1:$E$39,3,0)</f>
        <v>57.3</v>
      </c>
      <c r="G40" s="276">
        <v>1014</v>
      </c>
      <c r="H40" s="50">
        <f t="shared" si="21"/>
        <v>58102.2</v>
      </c>
      <c r="I40" s="64"/>
      <c r="J40" s="37">
        <f>VLOOKUP(D40,產線配置圖!$A$2:$C$38,2,0)</f>
        <v>15</v>
      </c>
      <c r="K40" s="36">
        <f>VLOOKUP(D40,產線配置圖!$A$2:$C$38,3,0)</f>
        <v>1385</v>
      </c>
      <c r="L40" s="38">
        <f t="shared" ref="L40" si="33">K40/J40</f>
        <v>92.333333333333329</v>
      </c>
      <c r="M40" s="65">
        <v>15</v>
      </c>
      <c r="N40" s="66">
        <f>G40/W40*60</f>
        <v>1048.9655172413773</v>
      </c>
      <c r="O40" s="67">
        <f t="shared" ref="O40" si="34">N40/M40</f>
        <v>69.931034482758477</v>
      </c>
      <c r="P40" s="39">
        <f t="shared" ref="P40" si="35">M40-J40</f>
        <v>0</v>
      </c>
      <c r="Q40" s="40">
        <f t="shared" ref="Q40" si="36">O40-L40</f>
        <v>-22.402298850574851</v>
      </c>
      <c r="R40" s="190">
        <f t="shared" ref="R40" si="37">O40/L40</f>
        <v>0.75737582472301601</v>
      </c>
      <c r="S40" s="397"/>
      <c r="T40" s="59">
        <v>0.54652777777777772</v>
      </c>
      <c r="U40" s="59">
        <v>0.58680555555555558</v>
      </c>
      <c r="V40" s="42">
        <f>(T40-U39)*24*60</f>
        <v>76.999999999999886</v>
      </c>
      <c r="W40" s="69">
        <f t="shared" si="14"/>
        <v>58.000000000000114</v>
      </c>
      <c r="X40" s="70">
        <v>0.5</v>
      </c>
      <c r="Y40" s="259">
        <v>0.54166666666666663</v>
      </c>
      <c r="Z40" s="441"/>
      <c r="AA40" s="442"/>
      <c r="AB40" s="271"/>
      <c r="AC40" s="61"/>
      <c r="AD40" s="437"/>
    </row>
    <row r="41" spans="1:30" s="62" customFormat="1" ht="15" customHeight="1">
      <c r="A41" s="455"/>
      <c r="B41" s="56"/>
      <c r="C41" s="275"/>
      <c r="D41" s="279"/>
      <c r="E41" s="243"/>
      <c r="F41" s="56"/>
      <c r="G41" s="276"/>
      <c r="H41" s="63"/>
      <c r="I41" s="64"/>
      <c r="J41" s="37"/>
      <c r="K41" s="36"/>
      <c r="L41" s="38"/>
      <c r="M41" s="65"/>
      <c r="N41" s="66"/>
      <c r="O41" s="67"/>
      <c r="P41" s="39"/>
      <c r="Q41" s="40"/>
      <c r="R41" s="190"/>
      <c r="S41" s="397"/>
      <c r="T41" s="59"/>
      <c r="U41" s="59"/>
      <c r="V41" s="42"/>
      <c r="W41" s="69">
        <f t="shared" si="14"/>
        <v>0</v>
      </c>
      <c r="X41" s="70"/>
      <c r="Y41" s="259"/>
      <c r="Z41" s="443"/>
      <c r="AA41" s="444"/>
      <c r="AB41" s="271"/>
      <c r="AC41" s="61"/>
      <c r="AD41" s="437"/>
    </row>
    <row r="42" spans="1:30" s="62" customFormat="1" ht="15" customHeight="1">
      <c r="A42" s="455"/>
      <c r="B42" s="56"/>
      <c r="C42" s="23"/>
      <c r="D42" s="11"/>
      <c r="E42" s="12"/>
      <c r="F42" s="56"/>
      <c r="G42" s="99"/>
      <c r="H42" s="63">
        <f t="shared" ref="H42:H47" si="38">F42*G42</f>
        <v>0</v>
      </c>
      <c r="I42" s="64"/>
      <c r="J42" s="16"/>
      <c r="K42" s="14"/>
      <c r="L42" s="17"/>
      <c r="M42" s="65"/>
      <c r="N42" s="66"/>
      <c r="O42" s="67"/>
      <c r="P42" s="39"/>
      <c r="Q42" s="40"/>
      <c r="R42" s="68"/>
      <c r="S42" s="397"/>
      <c r="T42" s="75"/>
      <c r="U42" s="75"/>
      <c r="V42" s="42"/>
      <c r="W42" s="69">
        <f t="shared" si="14"/>
        <v>0</v>
      </c>
      <c r="X42" s="70"/>
      <c r="Y42" s="60"/>
      <c r="Z42" s="445"/>
      <c r="AA42" s="446"/>
      <c r="AB42" s="271"/>
      <c r="AC42" s="61"/>
      <c r="AD42" s="437"/>
    </row>
    <row r="43" spans="1:30" s="62" customFormat="1" ht="15" customHeight="1">
      <c r="A43" s="455"/>
      <c r="B43" s="230"/>
      <c r="C43" s="23"/>
      <c r="D43" s="11"/>
      <c r="E43" s="12"/>
      <c r="F43" s="13"/>
      <c r="G43" s="100"/>
      <c r="H43" s="63">
        <f t="shared" si="38"/>
        <v>0</v>
      </c>
      <c r="I43" s="64"/>
      <c r="J43" s="65"/>
      <c r="K43" s="66"/>
      <c r="L43" s="67"/>
      <c r="M43" s="65"/>
      <c r="N43" s="66"/>
      <c r="O43" s="67"/>
      <c r="P43" s="39"/>
      <c r="Q43" s="40"/>
      <c r="R43" s="68"/>
      <c r="S43" s="397"/>
      <c r="T43" s="75"/>
      <c r="U43" s="75"/>
      <c r="V43" s="64"/>
      <c r="W43" s="69">
        <f>(U43-T43)*24*60</f>
        <v>0</v>
      </c>
      <c r="X43" s="70"/>
      <c r="Y43" s="67"/>
      <c r="Z43" s="405"/>
      <c r="AA43" s="405"/>
      <c r="AB43" s="71"/>
      <c r="AC43" s="61"/>
      <c r="AD43" s="437"/>
    </row>
    <row r="44" spans="1:30" s="62" customFormat="1" ht="15" customHeight="1">
      <c r="A44" s="455"/>
      <c r="B44" s="230"/>
      <c r="C44" s="183"/>
      <c r="D44" s="11"/>
      <c r="E44" s="12"/>
      <c r="F44" s="13"/>
      <c r="G44" s="100"/>
      <c r="H44" s="63">
        <f t="shared" si="38"/>
        <v>0</v>
      </c>
      <c r="I44" s="64"/>
      <c r="J44" s="65"/>
      <c r="K44" s="66"/>
      <c r="L44" s="58"/>
      <c r="M44" s="65"/>
      <c r="N44" s="66"/>
      <c r="O44" s="67"/>
      <c r="P44" s="39"/>
      <c r="Q44" s="40"/>
      <c r="R44" s="68"/>
      <c r="S44" s="397"/>
      <c r="T44" s="59"/>
      <c r="U44" s="59"/>
      <c r="V44" s="64"/>
      <c r="W44" s="69">
        <f t="shared" ref="W44:W48" si="39">(U44-T44)*24*60</f>
        <v>0</v>
      </c>
      <c r="X44" s="70"/>
      <c r="Y44" s="67"/>
      <c r="Z44" s="405"/>
      <c r="AA44" s="405"/>
      <c r="AB44" s="71"/>
      <c r="AC44" s="61"/>
      <c r="AD44" s="437"/>
    </row>
    <row r="45" spans="1:30" s="62" customFormat="1" ht="15" customHeight="1">
      <c r="A45" s="455"/>
      <c r="B45" s="231"/>
      <c r="C45" s="27"/>
      <c r="D45" s="28"/>
      <c r="E45" s="29"/>
      <c r="F45" s="13"/>
      <c r="G45" s="66"/>
      <c r="H45" s="63">
        <f t="shared" si="38"/>
        <v>0</v>
      </c>
      <c r="I45" s="64"/>
      <c r="J45" s="65"/>
      <c r="K45" s="66"/>
      <c r="L45" s="67"/>
      <c r="M45" s="65"/>
      <c r="N45" s="66"/>
      <c r="O45" s="67"/>
      <c r="P45" s="39"/>
      <c r="Q45" s="40"/>
      <c r="R45" s="68"/>
      <c r="S45" s="397"/>
      <c r="T45" s="75"/>
      <c r="U45" s="75"/>
      <c r="V45" s="64"/>
      <c r="W45" s="69">
        <f t="shared" si="39"/>
        <v>0</v>
      </c>
      <c r="X45" s="70"/>
      <c r="Y45" s="67"/>
      <c r="Z45" s="405"/>
      <c r="AA45" s="405"/>
      <c r="AB45" s="71"/>
      <c r="AC45" s="61"/>
      <c r="AD45" s="437"/>
    </row>
    <row r="46" spans="1:30" s="62" customFormat="1" ht="15" customHeight="1">
      <c r="A46" s="455"/>
      <c r="B46" s="231"/>
      <c r="C46" s="27"/>
      <c r="D46" s="28"/>
      <c r="E46" s="29"/>
      <c r="F46" s="13"/>
      <c r="G46" s="66"/>
      <c r="H46" s="63">
        <f t="shared" si="38"/>
        <v>0</v>
      </c>
      <c r="I46" s="64"/>
      <c r="J46" s="65"/>
      <c r="K46" s="66"/>
      <c r="L46" s="67"/>
      <c r="M46" s="65"/>
      <c r="N46" s="66"/>
      <c r="O46" s="67"/>
      <c r="P46" s="39"/>
      <c r="Q46" s="40"/>
      <c r="R46" s="68"/>
      <c r="S46" s="397"/>
      <c r="T46" s="59"/>
      <c r="U46" s="59"/>
      <c r="V46" s="64"/>
      <c r="W46" s="69">
        <f t="shared" si="39"/>
        <v>0</v>
      </c>
      <c r="X46" s="70"/>
      <c r="Y46" s="67"/>
      <c r="Z46" s="405"/>
      <c r="AA46" s="405"/>
      <c r="AB46" s="71"/>
      <c r="AC46" s="61"/>
      <c r="AD46" s="437"/>
    </row>
    <row r="47" spans="1:30" s="62" customFormat="1" ht="15" customHeight="1">
      <c r="A47" s="455"/>
      <c r="B47" s="230"/>
      <c r="C47" s="27"/>
      <c r="D47" s="28"/>
      <c r="E47" s="29"/>
      <c r="F47" s="13"/>
      <c r="G47" s="66"/>
      <c r="H47" s="63">
        <f t="shared" si="38"/>
        <v>0</v>
      </c>
      <c r="I47" s="64"/>
      <c r="J47" s="65"/>
      <c r="K47" s="66"/>
      <c r="L47" s="67"/>
      <c r="M47" s="65"/>
      <c r="N47" s="66"/>
      <c r="O47" s="67"/>
      <c r="P47" s="39"/>
      <c r="Q47" s="40"/>
      <c r="R47" s="68"/>
      <c r="S47" s="397"/>
      <c r="T47" s="75"/>
      <c r="U47" s="75"/>
      <c r="V47" s="64"/>
      <c r="W47" s="69">
        <f t="shared" si="39"/>
        <v>0</v>
      </c>
      <c r="X47" s="70"/>
      <c r="Y47" s="67"/>
      <c r="Z47" s="405"/>
      <c r="AA47" s="405"/>
      <c r="AB47" s="71"/>
      <c r="AC47" s="61"/>
      <c r="AD47" s="437"/>
    </row>
    <row r="48" spans="1:30" ht="15" customHeight="1" thickBot="1">
      <c r="A48" s="456"/>
      <c r="B48" s="156"/>
      <c r="C48" s="1" t="s">
        <v>37</v>
      </c>
      <c r="D48" s="410" t="s">
        <v>7</v>
      </c>
      <c r="E48" s="410"/>
      <c r="F48" s="133"/>
      <c r="G48" s="145"/>
      <c r="H48" s="135"/>
      <c r="I48" s="136"/>
      <c r="J48" s="134">
        <f t="shared" ref="J48:O48" si="40">AVERAGE(J38:J47)</f>
        <v>15</v>
      </c>
      <c r="K48" s="134">
        <f t="shared" si="40"/>
        <v>1392</v>
      </c>
      <c r="L48" s="137">
        <f t="shared" si="40"/>
        <v>92.8</v>
      </c>
      <c r="M48" s="134">
        <f t="shared" si="40"/>
        <v>14.666666666666666</v>
      </c>
      <c r="N48" s="134">
        <f t="shared" si="40"/>
        <v>1107.9149126735322</v>
      </c>
      <c r="O48" s="137">
        <f t="shared" si="40"/>
        <v>75.459633634017791</v>
      </c>
      <c r="P48" s="157">
        <f>M48-J48</f>
        <v>-0.33333333333333393</v>
      </c>
      <c r="Q48" s="158">
        <f>N48-K48</f>
        <v>-284.08508732646783</v>
      </c>
      <c r="R48" s="159">
        <f>O48/L48</f>
        <v>0.81314260381484693</v>
      </c>
      <c r="S48" s="399"/>
      <c r="T48" s="160"/>
      <c r="U48" s="160"/>
      <c r="V48" s="196"/>
      <c r="W48" s="161">
        <f t="shared" si="39"/>
        <v>0</v>
      </c>
      <c r="X48" s="162"/>
      <c r="Y48" s="162"/>
      <c r="Z48" s="391"/>
      <c r="AA48" s="391"/>
      <c r="AB48" s="163">
        <f>N48-K48</f>
        <v>-284.08508732646783</v>
      </c>
      <c r="AC48" s="191">
        <f>N48/K48</f>
        <v>0.79591588554133064</v>
      </c>
      <c r="AD48" s="438"/>
    </row>
    <row r="49" spans="1:30" ht="15" customHeight="1">
      <c r="A49" s="451" t="s">
        <v>56</v>
      </c>
      <c r="B49" s="199" t="str">
        <f>VLOOKUP(D49,廠價表!$C$1:$E$39,2,0)</f>
        <v>義大利麵</v>
      </c>
      <c r="C49" s="102"/>
      <c r="D49" s="103" t="s">
        <v>152</v>
      </c>
      <c r="E49" s="104"/>
      <c r="F49" s="199">
        <f>VLOOKUP(D49,廠價表!$C$1:$E$39,3,0)</f>
        <v>56.87</v>
      </c>
      <c r="G49" s="149">
        <v>3329</v>
      </c>
      <c r="H49" s="125">
        <f t="shared" ref="H49:H57" si="41">F49*G49</f>
        <v>189320.22999999998</v>
      </c>
      <c r="I49" s="126"/>
      <c r="J49" s="108">
        <f>VLOOKUP(D49,產線配置圖!$A$2:$C$38,2,0)</f>
        <v>19</v>
      </c>
      <c r="K49" s="105">
        <f>VLOOKUP(D49,產線配置圖!$A$2:$C$38,3,0)</f>
        <v>1565</v>
      </c>
      <c r="L49" s="109">
        <f>K49/J49</f>
        <v>82.368421052631575</v>
      </c>
      <c r="M49" s="144">
        <v>19</v>
      </c>
      <c r="N49" s="127">
        <f>G49/W49*60</f>
        <v>1560.4687499999995</v>
      </c>
      <c r="O49" s="128">
        <f>N49/M49</f>
        <v>82.129934210526287</v>
      </c>
      <c r="P49" s="164">
        <f>M49-J49</f>
        <v>0</v>
      </c>
      <c r="Q49" s="112">
        <f>O49-L49</f>
        <v>-0.23848684210528859</v>
      </c>
      <c r="R49" s="184">
        <f>O49/L49</f>
        <v>0.99710463258785909</v>
      </c>
      <c r="S49" s="396">
        <f>R58</f>
        <v>0.93924214149575103</v>
      </c>
      <c r="T49" s="151">
        <v>0.28888888888888886</v>
      </c>
      <c r="U49" s="151">
        <v>0.37777777777777777</v>
      </c>
      <c r="V49" s="188"/>
      <c r="W49" s="152">
        <f t="shared" si="14"/>
        <v>128.00000000000003</v>
      </c>
      <c r="X49" s="188"/>
      <c r="Y49" s="188"/>
      <c r="Z49" s="400"/>
      <c r="AA49" s="400"/>
      <c r="AB49" s="111">
        <f>N49-K49</f>
        <v>-4.5312500000004547</v>
      </c>
      <c r="AC49" s="184">
        <f>N49/K49</f>
        <v>0.99710463258785909</v>
      </c>
      <c r="AD49" s="401">
        <f>AC58</f>
        <v>0.94024236017978668</v>
      </c>
    </row>
    <row r="50" spans="1:30" ht="15" customHeight="1">
      <c r="A50" s="452"/>
      <c r="B50" s="56" t="str">
        <f>VLOOKUP(D50,廠價表!$C$1:$E$39,2,0)</f>
        <v>義大利麵</v>
      </c>
      <c r="C50" s="10"/>
      <c r="D50" s="11" t="s">
        <v>65</v>
      </c>
      <c r="E50" s="86"/>
      <c r="F50" s="56">
        <f>VLOOKUP(D50,廠價表!$C$1:$E$39,3,0)</f>
        <v>49.97</v>
      </c>
      <c r="G50" s="66">
        <v>3504</v>
      </c>
      <c r="H50" s="76">
        <f t="shared" si="41"/>
        <v>175094.88</v>
      </c>
      <c r="I50" s="193"/>
      <c r="J50" s="16">
        <f>VLOOKUP(D50,產線配置圖!$A$2:$C$38,2,0)</f>
        <v>18</v>
      </c>
      <c r="K50" s="14">
        <f>VLOOKUP(D50,產線配置圖!$A$2:$C$38,3,0)</f>
        <v>1600</v>
      </c>
      <c r="L50" s="17">
        <f>K50/J50</f>
        <v>88.888888888888886</v>
      </c>
      <c r="M50" s="174">
        <v>18</v>
      </c>
      <c r="N50" s="77">
        <f>G50/W50*60</f>
        <v>1592.7272727272734</v>
      </c>
      <c r="O50" s="78">
        <f>N50/M50</f>
        <v>88.484848484848527</v>
      </c>
      <c r="P50" s="18">
        <f>M50-J50</f>
        <v>0</v>
      </c>
      <c r="Q50" s="19">
        <f>O50-L50</f>
        <v>-0.40404040404035868</v>
      </c>
      <c r="R50" s="185">
        <f>O50/L50</f>
        <v>0.99545454545454592</v>
      </c>
      <c r="S50" s="397"/>
      <c r="T50" s="79">
        <v>0.38333333333333336</v>
      </c>
      <c r="U50" s="79">
        <v>0.47499999999999998</v>
      </c>
      <c r="V50" s="177">
        <f t="shared" ref="V50:V51" si="42">(T50-U49)*24*60</f>
        <v>8.0000000000000515</v>
      </c>
      <c r="W50" s="80">
        <f t="shared" si="14"/>
        <v>131.99999999999994</v>
      </c>
      <c r="X50" s="22"/>
      <c r="Y50" s="22"/>
      <c r="Z50" s="419"/>
      <c r="AA50" s="418"/>
      <c r="AB50" s="18">
        <f>N50-K50</f>
        <v>-7.2727272727265699</v>
      </c>
      <c r="AC50" s="185">
        <f>N50/K50</f>
        <v>0.99545454545454592</v>
      </c>
      <c r="AD50" s="402"/>
    </row>
    <row r="51" spans="1:30" ht="15" customHeight="1">
      <c r="A51" s="452"/>
      <c r="B51" s="56" t="str">
        <f>VLOOKUP(D51,廠價表!$C$1:$E$39,2,0)</f>
        <v>義大利麵</v>
      </c>
      <c r="C51" s="10"/>
      <c r="D51" s="11" t="s">
        <v>65</v>
      </c>
      <c r="E51" s="86"/>
      <c r="F51" s="56">
        <f>VLOOKUP(D51,廠價表!$C$1:$E$39,3,0)</f>
        <v>49.97</v>
      </c>
      <c r="G51" s="66">
        <v>2256</v>
      </c>
      <c r="H51" s="76">
        <f t="shared" si="41"/>
        <v>112732.31999999999</v>
      </c>
      <c r="I51" s="193"/>
      <c r="J51" s="16">
        <f>VLOOKUP(D51,產線配置圖!$A$2:$C$38,2,0)</f>
        <v>18</v>
      </c>
      <c r="K51" s="14">
        <f>VLOOKUP(D51,產線配置圖!$A$2:$C$38,3,0)</f>
        <v>1600</v>
      </c>
      <c r="L51" s="17">
        <f>K51/J51</f>
        <v>88.888888888888886</v>
      </c>
      <c r="M51" s="174">
        <v>18</v>
      </c>
      <c r="N51" s="77">
        <f>G51/W51*60</f>
        <v>1327.0588235294103</v>
      </c>
      <c r="O51" s="78">
        <f>N51/M51</f>
        <v>73.725490196078354</v>
      </c>
      <c r="P51" s="18">
        <f>M51-J51</f>
        <v>0</v>
      </c>
      <c r="Q51" s="19">
        <f>O51-L51</f>
        <v>-15.163398692810532</v>
      </c>
      <c r="R51" s="185">
        <f>O51/L51</f>
        <v>0.82941176470588152</v>
      </c>
      <c r="S51" s="397"/>
      <c r="T51" s="79">
        <v>0.54236111111111107</v>
      </c>
      <c r="U51" s="44">
        <v>0.61319444444444449</v>
      </c>
      <c r="V51" s="177">
        <f t="shared" si="42"/>
        <v>96.999999999999972</v>
      </c>
      <c r="W51" s="80">
        <f t="shared" si="14"/>
        <v>102.00000000000011</v>
      </c>
      <c r="X51" s="22">
        <v>0.48958333333333331</v>
      </c>
      <c r="Y51" s="22">
        <v>0.53125</v>
      </c>
      <c r="Z51" s="405"/>
      <c r="AA51" s="405"/>
      <c r="AB51" s="18">
        <f>N51-K51</f>
        <v>-272.94117647058965</v>
      </c>
      <c r="AC51" s="185">
        <f>N51/K51</f>
        <v>0.82941176470588152</v>
      </c>
      <c r="AD51" s="402"/>
    </row>
    <row r="52" spans="1:30" ht="15" customHeight="1">
      <c r="A52" s="452"/>
      <c r="B52" s="56"/>
      <c r="C52" s="23"/>
      <c r="D52" s="11"/>
      <c r="E52" s="12"/>
      <c r="F52" s="56"/>
      <c r="G52" s="66"/>
      <c r="H52" s="76"/>
      <c r="I52" s="193"/>
      <c r="J52" s="16"/>
      <c r="K52" s="14"/>
      <c r="L52" s="17"/>
      <c r="M52" s="174"/>
      <c r="N52" s="77"/>
      <c r="O52" s="78"/>
      <c r="P52" s="18"/>
      <c r="Q52" s="19"/>
      <c r="R52" s="185"/>
      <c r="S52" s="397"/>
      <c r="T52" s="79"/>
      <c r="U52" s="79"/>
      <c r="V52" s="177"/>
      <c r="W52" s="80">
        <f t="shared" si="14"/>
        <v>0</v>
      </c>
      <c r="X52" s="22"/>
      <c r="Y52" s="22"/>
      <c r="Z52" s="405"/>
      <c r="AA52" s="405"/>
      <c r="AB52" s="18"/>
      <c r="AC52" s="185"/>
      <c r="AD52" s="402"/>
    </row>
    <row r="53" spans="1:30" ht="15" customHeight="1">
      <c r="A53" s="452"/>
      <c r="B53" s="56"/>
      <c r="C53" s="23"/>
      <c r="D53" s="11"/>
      <c r="E53" s="12"/>
      <c r="F53" s="56"/>
      <c r="G53" s="66"/>
      <c r="H53" s="76"/>
      <c r="I53" s="193"/>
      <c r="J53" s="16"/>
      <c r="K53" s="14"/>
      <c r="L53" s="17"/>
      <c r="M53" s="174"/>
      <c r="N53" s="77"/>
      <c r="O53" s="78"/>
      <c r="P53" s="18"/>
      <c r="Q53" s="19"/>
      <c r="R53" s="185"/>
      <c r="S53" s="397"/>
      <c r="T53" s="79"/>
      <c r="U53" s="79"/>
      <c r="V53" s="177"/>
      <c r="W53" s="80">
        <f t="shared" si="14"/>
        <v>0</v>
      </c>
      <c r="X53" s="177"/>
      <c r="Y53" s="177"/>
      <c r="Z53" s="419"/>
      <c r="AA53" s="418"/>
      <c r="AB53" s="18"/>
      <c r="AC53" s="185"/>
      <c r="AD53" s="402"/>
    </row>
    <row r="54" spans="1:30" ht="15" customHeight="1">
      <c r="A54" s="452"/>
      <c r="B54" s="177"/>
      <c r="C54" s="183"/>
      <c r="D54" s="11"/>
      <c r="E54" s="12"/>
      <c r="F54" s="13"/>
      <c r="G54" s="66"/>
      <c r="H54" s="76">
        <f t="shared" si="41"/>
        <v>0</v>
      </c>
      <c r="I54" s="177"/>
      <c r="J54" s="31"/>
      <c r="K54" s="30"/>
      <c r="L54" s="38"/>
      <c r="M54" s="181"/>
      <c r="N54" s="30"/>
      <c r="O54" s="35"/>
      <c r="P54" s="18"/>
      <c r="Q54" s="19"/>
      <c r="R54" s="185"/>
      <c r="S54" s="397"/>
      <c r="T54" s="79"/>
      <c r="U54" s="79"/>
      <c r="V54" s="197"/>
      <c r="W54" s="80">
        <f t="shared" si="14"/>
        <v>0</v>
      </c>
      <c r="X54" s="177"/>
      <c r="Y54" s="177"/>
      <c r="Z54" s="419"/>
      <c r="AA54" s="418"/>
      <c r="AB54" s="18"/>
      <c r="AC54" s="185"/>
      <c r="AD54" s="402"/>
    </row>
    <row r="55" spans="1:30" ht="15" customHeight="1">
      <c r="A55" s="452"/>
      <c r="B55" s="26"/>
      <c r="C55" s="27"/>
      <c r="D55" s="28"/>
      <c r="E55" s="29"/>
      <c r="F55" s="13"/>
      <c r="G55" s="66"/>
      <c r="H55" s="15">
        <f t="shared" si="41"/>
        <v>0</v>
      </c>
      <c r="I55" s="177"/>
      <c r="J55" s="31"/>
      <c r="K55" s="30"/>
      <c r="L55" s="38"/>
      <c r="M55" s="181"/>
      <c r="N55" s="30"/>
      <c r="O55" s="35"/>
      <c r="P55" s="18"/>
      <c r="Q55" s="19"/>
      <c r="R55" s="185"/>
      <c r="S55" s="397"/>
      <c r="T55" s="79"/>
      <c r="U55" s="79"/>
      <c r="V55" s="197"/>
      <c r="W55" s="80">
        <f t="shared" si="14"/>
        <v>0</v>
      </c>
      <c r="X55" s="177"/>
      <c r="Y55" s="177"/>
      <c r="Z55" s="419"/>
      <c r="AA55" s="418"/>
      <c r="AB55" s="18"/>
      <c r="AC55" s="185"/>
      <c r="AD55" s="402"/>
    </row>
    <row r="56" spans="1:30" ht="15" customHeight="1">
      <c r="A56" s="452"/>
      <c r="B56" s="26"/>
      <c r="C56" s="27"/>
      <c r="D56" s="28"/>
      <c r="E56" s="29"/>
      <c r="F56" s="13"/>
      <c r="G56" s="66"/>
      <c r="H56" s="15">
        <f t="shared" si="41"/>
        <v>0</v>
      </c>
      <c r="I56" s="177"/>
      <c r="J56" s="31"/>
      <c r="K56" s="30"/>
      <c r="L56" s="38"/>
      <c r="M56" s="181"/>
      <c r="N56" s="30"/>
      <c r="O56" s="35"/>
      <c r="P56" s="18"/>
      <c r="Q56" s="19"/>
      <c r="R56" s="185"/>
      <c r="S56" s="397"/>
      <c r="T56" s="79"/>
      <c r="U56" s="79"/>
      <c r="V56" s="197"/>
      <c r="W56" s="80">
        <f t="shared" si="14"/>
        <v>0</v>
      </c>
      <c r="X56" s="177"/>
      <c r="Y56" s="177"/>
      <c r="Z56" s="405"/>
      <c r="AA56" s="405"/>
      <c r="AB56" s="18"/>
      <c r="AC56" s="185"/>
      <c r="AD56" s="402"/>
    </row>
    <row r="57" spans="1:30" ht="15" customHeight="1">
      <c r="A57" s="452"/>
      <c r="B57" s="26"/>
      <c r="C57" s="27"/>
      <c r="D57" s="28"/>
      <c r="E57" s="29"/>
      <c r="F57" s="13"/>
      <c r="G57" s="66"/>
      <c r="H57" s="15">
        <f t="shared" si="41"/>
        <v>0</v>
      </c>
      <c r="I57" s="177"/>
      <c r="J57" s="31"/>
      <c r="K57" s="30"/>
      <c r="L57" s="38"/>
      <c r="M57" s="181"/>
      <c r="N57" s="30"/>
      <c r="O57" s="35"/>
      <c r="P57" s="18"/>
      <c r="Q57" s="19"/>
      <c r="R57" s="185"/>
      <c r="S57" s="397"/>
      <c r="T57" s="79"/>
      <c r="U57" s="79"/>
      <c r="V57" s="197"/>
      <c r="W57" s="80">
        <f t="shared" si="14"/>
        <v>0</v>
      </c>
      <c r="X57" s="177"/>
      <c r="Y57" s="177"/>
      <c r="Z57" s="405"/>
      <c r="AA57" s="405"/>
      <c r="AB57" s="18"/>
      <c r="AC57" s="185"/>
      <c r="AD57" s="402"/>
    </row>
    <row r="58" spans="1:30" ht="15" customHeight="1" thickBot="1">
      <c r="A58" s="453"/>
      <c r="B58" s="165"/>
      <c r="C58" s="1" t="s">
        <v>38</v>
      </c>
      <c r="D58" s="410" t="s">
        <v>7</v>
      </c>
      <c r="E58" s="410"/>
      <c r="F58" s="114"/>
      <c r="G58" s="166"/>
      <c r="H58" s="116"/>
      <c r="I58" s="115"/>
      <c r="J58" s="118">
        <f t="shared" ref="J58:O58" si="43">AVERAGE(J49:J57)</f>
        <v>18.333333333333332</v>
      </c>
      <c r="K58" s="118">
        <f t="shared" si="43"/>
        <v>1588.3333333333333</v>
      </c>
      <c r="L58" s="115">
        <f t="shared" si="43"/>
        <v>86.715399610136458</v>
      </c>
      <c r="M58" s="118">
        <f t="shared" si="43"/>
        <v>18.333333333333332</v>
      </c>
      <c r="N58" s="118">
        <f t="shared" si="43"/>
        <v>1493.418282085561</v>
      </c>
      <c r="O58" s="115">
        <f t="shared" si="43"/>
        <v>81.446757630484385</v>
      </c>
      <c r="P58" s="119">
        <f>M58-J58</f>
        <v>0</v>
      </c>
      <c r="Q58" s="120">
        <f>N58-K58</f>
        <v>-94.915051247772226</v>
      </c>
      <c r="R58" s="121">
        <f t="shared" ref="R58:R60" si="44">O58/L58</f>
        <v>0.93924214149575103</v>
      </c>
      <c r="S58" s="399"/>
      <c r="T58" s="167"/>
      <c r="U58" s="167"/>
      <c r="V58" s="195"/>
      <c r="W58" s="168"/>
      <c r="X58" s="124"/>
      <c r="Y58" s="124"/>
      <c r="Z58" s="391"/>
      <c r="AA58" s="391"/>
      <c r="AB58" s="119">
        <f t="shared" ref="AB58:AB63" si="45">N58-K58</f>
        <v>-94.915051247772226</v>
      </c>
      <c r="AC58" s="187">
        <f t="shared" ref="AC58:AC63" si="46">N58/K58</f>
        <v>0.94024236017978668</v>
      </c>
      <c r="AD58" s="404"/>
    </row>
    <row r="59" spans="1:30" ht="15" customHeight="1">
      <c r="A59" s="466" t="s">
        <v>57</v>
      </c>
      <c r="B59" s="199" t="str">
        <f>VLOOKUP(D59,廠價表!$C$1:$E$39,2,0)</f>
        <v>小吃、微波</v>
      </c>
      <c r="C59" s="102"/>
      <c r="D59" s="103" t="s">
        <v>125</v>
      </c>
      <c r="E59" s="104"/>
      <c r="F59" s="199">
        <f>VLOOKUP(D59,廠價表!$C$1:$E$39,3,0)</f>
        <v>26.99</v>
      </c>
      <c r="G59" s="188">
        <v>3276</v>
      </c>
      <c r="H59" s="106">
        <f t="shared" ref="H59:H68" si="47">F59*G59</f>
        <v>88419.239999999991</v>
      </c>
      <c r="I59" s="188"/>
      <c r="J59" s="108">
        <f>VLOOKUP(D59,產線配置圖!$A$2:$C$38,2,0)</f>
        <v>13</v>
      </c>
      <c r="K59" s="105">
        <f>VLOOKUP(D59,產線配置圖!$A$2:$C$38,3,0)</f>
        <v>1565</v>
      </c>
      <c r="L59" s="109">
        <f>K59/J59</f>
        <v>120.38461538461539</v>
      </c>
      <c r="M59" s="110">
        <v>13</v>
      </c>
      <c r="N59" s="105">
        <f t="shared" ref="N59:N63" si="48">G59/W59*60</f>
        <v>1560.0000000000005</v>
      </c>
      <c r="O59" s="109">
        <f t="shared" ref="O59:O63" si="49">N59/M59</f>
        <v>120.00000000000003</v>
      </c>
      <c r="P59" s="111">
        <f t="shared" ref="P59:P63" si="50">M59-J59</f>
        <v>0</v>
      </c>
      <c r="Q59" s="112">
        <f t="shared" ref="Q59:Q63" si="51">O59-L59</f>
        <v>-0.38461538461535838</v>
      </c>
      <c r="R59" s="184">
        <f t="shared" si="44"/>
        <v>0.99680511182108644</v>
      </c>
      <c r="S59" s="396">
        <f>R69</f>
        <v>0.87143443428957401</v>
      </c>
      <c r="T59" s="169">
        <v>0.29097222222222224</v>
      </c>
      <c r="U59" s="169">
        <v>0.37847222222222221</v>
      </c>
      <c r="V59" s="188"/>
      <c r="W59" s="107">
        <f t="shared" si="14"/>
        <v>125.99999999999996</v>
      </c>
      <c r="X59" s="188"/>
      <c r="Y59" s="188"/>
      <c r="Z59" s="405"/>
      <c r="AA59" s="405"/>
      <c r="AB59" s="225">
        <f t="shared" si="45"/>
        <v>-4.9999999999995453</v>
      </c>
      <c r="AC59" s="226">
        <f t="shared" si="46"/>
        <v>0.99680511182108655</v>
      </c>
      <c r="AD59" s="401">
        <f>AC69</f>
        <v>0.87526322162214065</v>
      </c>
    </row>
    <row r="60" spans="1:30" ht="15" customHeight="1">
      <c r="A60" s="467"/>
      <c r="B60" s="56" t="str">
        <f>VLOOKUP(D60,廠價表!$C$1:$E$39,2,0)</f>
        <v>小吃、微波</v>
      </c>
      <c r="C60" s="10"/>
      <c r="D60" s="242" t="s">
        <v>146</v>
      </c>
      <c r="E60" s="86"/>
      <c r="F60" s="56">
        <f>VLOOKUP(D60,廠價表!$C$1:$E$39,3,0)</f>
        <v>28.47</v>
      </c>
      <c r="G60" s="177">
        <v>1143</v>
      </c>
      <c r="H60" s="15">
        <f t="shared" si="47"/>
        <v>32541.21</v>
      </c>
      <c r="I60" s="177"/>
      <c r="J60" s="16">
        <f>VLOOKUP(D60,產線配置圖!$A$2:$C$38,2,0)</f>
        <v>12</v>
      </c>
      <c r="K60" s="14">
        <f>VLOOKUP(D60,產線配置圖!$A$2:$C$38,3,0)</f>
        <v>1565</v>
      </c>
      <c r="L60" s="17">
        <f>K60/J60</f>
        <v>130.41666666666666</v>
      </c>
      <c r="M60" s="180">
        <v>12</v>
      </c>
      <c r="N60" s="14">
        <f t="shared" si="48"/>
        <v>914.40000000000032</v>
      </c>
      <c r="O60" s="17">
        <f t="shared" si="49"/>
        <v>76.200000000000031</v>
      </c>
      <c r="P60" s="18">
        <f t="shared" si="50"/>
        <v>0</v>
      </c>
      <c r="Q60" s="19">
        <f t="shared" si="51"/>
        <v>-54.216666666666626</v>
      </c>
      <c r="R60" s="185">
        <f t="shared" si="44"/>
        <v>0.58428115015974469</v>
      </c>
      <c r="S60" s="470"/>
      <c r="T60" s="198">
        <v>0.3888888888888889</v>
      </c>
      <c r="U60" s="198">
        <v>0.44097222222222221</v>
      </c>
      <c r="V60" s="177">
        <f t="shared" ref="V60:V63" si="52">(T60-U59)*24*60</f>
        <v>15.000000000000027</v>
      </c>
      <c r="W60" s="90">
        <f t="shared" si="14"/>
        <v>74.999999999999972</v>
      </c>
      <c r="X60" s="193"/>
      <c r="Y60" s="193"/>
      <c r="Z60" s="405" t="s">
        <v>178</v>
      </c>
      <c r="AA60" s="405"/>
      <c r="AB60" s="227">
        <f t="shared" si="45"/>
        <v>-650.59999999999968</v>
      </c>
      <c r="AC60" s="228">
        <f t="shared" si="46"/>
        <v>0.58428115015974458</v>
      </c>
      <c r="AD60" s="473"/>
    </row>
    <row r="61" spans="1:30" ht="15" customHeight="1">
      <c r="A61" s="468"/>
      <c r="B61" s="56" t="str">
        <f>VLOOKUP(D61,廠價表!$C$1:$E$39,2,0)</f>
        <v>小吃、微波</v>
      </c>
      <c r="C61" s="10"/>
      <c r="D61" s="242" t="s">
        <v>135</v>
      </c>
      <c r="E61" s="86"/>
      <c r="F61" s="56">
        <f>VLOOKUP(D61,廠價表!$C$1:$E$39,3,0)</f>
        <v>28.26</v>
      </c>
      <c r="G61" s="177">
        <v>1645</v>
      </c>
      <c r="H61" s="15">
        <f t="shared" si="47"/>
        <v>46487.700000000004</v>
      </c>
      <c r="I61" s="81"/>
      <c r="J61" s="16">
        <f>VLOOKUP(D61,產線配置圖!$A$2:$C$38,2,0)</f>
        <v>12</v>
      </c>
      <c r="K61" s="14">
        <f>VLOOKUP(D61,產線配置圖!$A$2:$C$38,3,0)</f>
        <v>1565</v>
      </c>
      <c r="L61" s="17">
        <f t="shared" ref="L61:L62" si="53">K61/J61</f>
        <v>130.41666666666666</v>
      </c>
      <c r="M61" s="180">
        <v>12</v>
      </c>
      <c r="N61" s="14">
        <f t="shared" si="48"/>
        <v>1518.4615384615381</v>
      </c>
      <c r="O61" s="17">
        <f t="shared" si="49"/>
        <v>126.5384615384615</v>
      </c>
      <c r="P61" s="18">
        <f t="shared" si="50"/>
        <v>0</v>
      </c>
      <c r="Q61" s="19">
        <f t="shared" si="51"/>
        <v>-3.8782051282051526</v>
      </c>
      <c r="R61" s="185">
        <f>O61/L61</f>
        <v>0.97026296387318733</v>
      </c>
      <c r="S61" s="397"/>
      <c r="T61" s="20">
        <v>0.4513888888888889</v>
      </c>
      <c r="U61" s="20">
        <v>0.49652777777777779</v>
      </c>
      <c r="V61" s="177">
        <f t="shared" si="52"/>
        <v>15.000000000000027</v>
      </c>
      <c r="W61" s="88">
        <f t="shared" si="14"/>
        <v>65.000000000000014</v>
      </c>
      <c r="X61" s="22"/>
      <c r="Y61" s="22"/>
      <c r="Z61" s="405"/>
      <c r="AA61" s="405"/>
      <c r="AB61" s="51">
        <f t="shared" si="45"/>
        <v>-46.538461538461888</v>
      </c>
      <c r="AC61" s="52">
        <f t="shared" si="46"/>
        <v>0.97026296387318733</v>
      </c>
      <c r="AD61" s="402"/>
    </row>
    <row r="62" spans="1:30" ht="15" customHeight="1">
      <c r="A62" s="468"/>
      <c r="B62" s="56" t="str">
        <f>VLOOKUP(D62,廠價表!$C$1:$E$39,2,0)</f>
        <v>小吃、微波</v>
      </c>
      <c r="C62" s="10"/>
      <c r="D62" s="11" t="s">
        <v>135</v>
      </c>
      <c r="E62" s="86"/>
      <c r="F62" s="56">
        <f>VLOOKUP(D62,廠價表!$C$1:$E$39,3,0)</f>
        <v>28.26</v>
      </c>
      <c r="G62" s="177">
        <v>866</v>
      </c>
      <c r="H62" s="15">
        <f t="shared" si="47"/>
        <v>24473.16</v>
      </c>
      <c r="I62" s="81"/>
      <c r="J62" s="16">
        <f>VLOOKUP(D62,產線配置圖!$A$2:$C$38,2,0)</f>
        <v>12</v>
      </c>
      <c r="K62" s="14">
        <f>VLOOKUP(D62,產線配置圖!$A$2:$C$38,3,0)</f>
        <v>1565</v>
      </c>
      <c r="L62" s="17">
        <f t="shared" si="53"/>
        <v>130.41666666666666</v>
      </c>
      <c r="M62" s="180">
        <v>12</v>
      </c>
      <c r="N62" s="14">
        <f t="shared" si="48"/>
        <v>1299.0000000000045</v>
      </c>
      <c r="O62" s="17">
        <f t="shared" si="49"/>
        <v>108.25000000000038</v>
      </c>
      <c r="P62" s="18">
        <f t="shared" si="50"/>
        <v>0</v>
      </c>
      <c r="Q62" s="19">
        <f t="shared" si="51"/>
        <v>-22.166666666666273</v>
      </c>
      <c r="R62" s="185">
        <f>O62/L62</f>
        <v>0.8300319488817921</v>
      </c>
      <c r="S62" s="397"/>
      <c r="T62" s="20">
        <v>0.54861111111111116</v>
      </c>
      <c r="U62" s="20">
        <v>0.57638888888888884</v>
      </c>
      <c r="V62" s="177">
        <f t="shared" si="52"/>
        <v>75.000000000000057</v>
      </c>
      <c r="W62" s="90">
        <f t="shared" si="14"/>
        <v>39.999999999999858</v>
      </c>
      <c r="X62" s="22">
        <v>0.5</v>
      </c>
      <c r="Y62" s="22">
        <v>0.54166666666666663</v>
      </c>
      <c r="Z62" s="405"/>
      <c r="AA62" s="405"/>
      <c r="AB62" s="51">
        <f t="shared" si="45"/>
        <v>-265.99999999999545</v>
      </c>
      <c r="AC62" s="52">
        <f t="shared" si="46"/>
        <v>0.83003194888179199</v>
      </c>
      <c r="AD62" s="402"/>
    </row>
    <row r="63" spans="1:30" ht="15" customHeight="1">
      <c r="A63" s="468"/>
      <c r="B63" s="56" t="s">
        <v>113</v>
      </c>
      <c r="C63" s="23"/>
      <c r="D63" s="11" t="s">
        <v>125</v>
      </c>
      <c r="E63" s="12"/>
      <c r="F63" s="56">
        <f>VLOOKUP(D63,廠價表!$C$1:$E$39,3,0)</f>
        <v>26.99</v>
      </c>
      <c r="G63" s="177">
        <v>1064</v>
      </c>
      <c r="H63" s="15">
        <f t="shared" si="47"/>
        <v>28717.359999999997</v>
      </c>
      <c r="I63" s="81"/>
      <c r="J63" s="16">
        <f>VLOOKUP(D63,產線配置圖!$A$2:$C$38,2,0)</f>
        <v>13</v>
      </c>
      <c r="K63" s="14">
        <f>VLOOKUP(D63,產線配置圖!$A$2:$C$38,3,0)</f>
        <v>1565</v>
      </c>
      <c r="L63" s="17">
        <f>K63/J63</f>
        <v>120.38461538461539</v>
      </c>
      <c r="M63" s="180">
        <v>13</v>
      </c>
      <c r="N63" s="14">
        <f t="shared" si="48"/>
        <v>1557.0731707317068</v>
      </c>
      <c r="O63" s="17">
        <f t="shared" si="49"/>
        <v>119.77485928705437</v>
      </c>
      <c r="P63" s="18">
        <f t="shared" si="50"/>
        <v>0</v>
      </c>
      <c r="Q63" s="19">
        <f t="shared" si="51"/>
        <v>-0.6097560975610179</v>
      </c>
      <c r="R63" s="185">
        <f t="shared" ref="R63" si="54">O63/L63</f>
        <v>0.99493493337489247</v>
      </c>
      <c r="S63" s="397"/>
      <c r="T63" s="20">
        <v>0.58680555555555558</v>
      </c>
      <c r="U63" s="20">
        <v>0.61527777777777781</v>
      </c>
      <c r="V63" s="177">
        <f t="shared" si="52"/>
        <v>15.000000000000107</v>
      </c>
      <c r="W63" s="90">
        <f t="shared" si="14"/>
        <v>41.000000000000014</v>
      </c>
      <c r="X63" s="84"/>
      <c r="Y63" s="84"/>
      <c r="Z63" s="405"/>
      <c r="AA63" s="405"/>
      <c r="AB63" s="51">
        <f t="shared" si="45"/>
        <v>-7.9268292682932042</v>
      </c>
      <c r="AC63" s="52">
        <f t="shared" si="46"/>
        <v>0.99493493337489247</v>
      </c>
      <c r="AD63" s="402"/>
    </row>
    <row r="64" spans="1:30" ht="15" customHeight="1">
      <c r="A64" s="468"/>
      <c r="B64" s="177"/>
      <c r="C64" s="23"/>
      <c r="D64" s="11"/>
      <c r="E64" s="12"/>
      <c r="F64" s="13"/>
      <c r="G64" s="177"/>
      <c r="H64" s="15">
        <f t="shared" si="47"/>
        <v>0</v>
      </c>
      <c r="I64" s="177"/>
      <c r="J64" s="16"/>
      <c r="K64" s="14"/>
      <c r="L64" s="17"/>
      <c r="M64" s="180"/>
      <c r="N64" s="14"/>
      <c r="O64" s="17"/>
      <c r="P64" s="18"/>
      <c r="Q64" s="19"/>
      <c r="R64" s="185"/>
      <c r="S64" s="397"/>
      <c r="T64" s="20"/>
      <c r="U64" s="20"/>
      <c r="V64" s="177"/>
      <c r="W64" s="182">
        <f t="shared" si="14"/>
        <v>0</v>
      </c>
      <c r="X64" s="84"/>
      <c r="Y64" s="84"/>
      <c r="Z64" s="419"/>
      <c r="AA64" s="418"/>
      <c r="AB64" s="18"/>
      <c r="AC64" s="55"/>
      <c r="AD64" s="402"/>
    </row>
    <row r="65" spans="1:32" ht="15" customHeight="1">
      <c r="A65" s="468"/>
      <c r="B65" s="177"/>
      <c r="C65" s="183"/>
      <c r="D65" s="11"/>
      <c r="E65" s="12"/>
      <c r="F65" s="13"/>
      <c r="G65" s="177"/>
      <c r="H65" s="15">
        <f t="shared" si="47"/>
        <v>0</v>
      </c>
      <c r="I65" s="177"/>
      <c r="J65" s="16"/>
      <c r="K65" s="82"/>
      <c r="L65" s="83"/>
      <c r="M65" s="180"/>
      <c r="N65" s="14"/>
      <c r="O65" s="17"/>
      <c r="P65" s="18"/>
      <c r="Q65" s="19"/>
      <c r="R65" s="185"/>
      <c r="S65" s="397"/>
      <c r="T65" s="20"/>
      <c r="U65" s="20"/>
      <c r="V65" s="177"/>
      <c r="W65" s="182">
        <f t="shared" si="14"/>
        <v>0</v>
      </c>
      <c r="X65" s="84"/>
      <c r="Y65" s="84"/>
      <c r="Z65" s="419"/>
      <c r="AA65" s="418"/>
      <c r="AB65" s="18"/>
      <c r="AC65" s="55"/>
      <c r="AD65" s="402"/>
    </row>
    <row r="66" spans="1:32" ht="15" customHeight="1">
      <c r="A66" s="468"/>
      <c r="B66" s="26"/>
      <c r="C66" s="27"/>
      <c r="D66" s="28"/>
      <c r="E66" s="29"/>
      <c r="F66" s="13"/>
      <c r="G66" s="183"/>
      <c r="H66" s="15">
        <f t="shared" si="47"/>
        <v>0</v>
      </c>
      <c r="I66" s="85"/>
      <c r="J66" s="16"/>
      <c r="K66" s="14"/>
      <c r="L66" s="17"/>
      <c r="M66" s="21"/>
      <c r="N66" s="36"/>
      <c r="O66" s="38"/>
      <c r="P66" s="39"/>
      <c r="Q66" s="40"/>
      <c r="R66" s="68"/>
      <c r="S66" s="397"/>
      <c r="T66" s="20"/>
      <c r="U66" s="20"/>
      <c r="V66" s="177"/>
      <c r="W66" s="182">
        <f t="shared" si="14"/>
        <v>0</v>
      </c>
      <c r="X66" s="84"/>
      <c r="Y66" s="84"/>
      <c r="Z66" s="405"/>
      <c r="AA66" s="405"/>
      <c r="AB66" s="18"/>
      <c r="AC66" s="55"/>
      <c r="AD66" s="402"/>
    </row>
    <row r="67" spans="1:32" ht="15" customHeight="1">
      <c r="A67" s="468"/>
      <c r="B67" s="26"/>
      <c r="C67" s="27"/>
      <c r="D67" s="28"/>
      <c r="E67" s="29"/>
      <c r="F67" s="13"/>
      <c r="G67" s="177"/>
      <c r="H67" s="15">
        <f t="shared" si="47"/>
        <v>0</v>
      </c>
      <c r="I67" s="177"/>
      <c r="J67" s="16"/>
      <c r="K67" s="14"/>
      <c r="L67" s="17"/>
      <c r="M67" s="21"/>
      <c r="N67" s="36"/>
      <c r="O67" s="38"/>
      <c r="P67" s="39"/>
      <c r="Q67" s="40"/>
      <c r="R67" s="68"/>
      <c r="S67" s="397"/>
      <c r="T67" s="20"/>
      <c r="U67" s="20"/>
      <c r="V67" s="177"/>
      <c r="W67" s="182">
        <f t="shared" si="14"/>
        <v>0</v>
      </c>
      <c r="X67" s="84"/>
      <c r="Y67" s="84"/>
      <c r="Z67" s="419"/>
      <c r="AA67" s="418"/>
      <c r="AB67" s="18"/>
      <c r="AC67" s="55"/>
      <c r="AD67" s="402"/>
    </row>
    <row r="68" spans="1:32" ht="15" customHeight="1">
      <c r="A68" s="468"/>
      <c r="B68" s="26"/>
      <c r="C68" s="27"/>
      <c r="D68" s="28"/>
      <c r="E68" s="29"/>
      <c r="F68" s="13"/>
      <c r="G68" s="183"/>
      <c r="H68" s="15">
        <f t="shared" si="47"/>
        <v>0</v>
      </c>
      <c r="I68" s="85"/>
      <c r="J68" s="16"/>
      <c r="K68" s="260"/>
      <c r="L68" s="261"/>
      <c r="M68" s="21"/>
      <c r="N68" s="36"/>
      <c r="O68" s="38"/>
      <c r="P68" s="39"/>
      <c r="Q68" s="40"/>
      <c r="R68" s="68"/>
      <c r="S68" s="397"/>
      <c r="T68" s="20"/>
      <c r="U68" s="20"/>
      <c r="V68" s="177"/>
      <c r="W68" s="182">
        <f t="shared" si="14"/>
        <v>0</v>
      </c>
      <c r="X68" s="84"/>
      <c r="Y68" s="84"/>
      <c r="Z68" s="419"/>
      <c r="AA68" s="418"/>
      <c r="AB68" s="18"/>
      <c r="AC68" s="55"/>
      <c r="AD68" s="402"/>
    </row>
    <row r="69" spans="1:32" ht="15" customHeight="1" thickBot="1">
      <c r="A69" s="469"/>
      <c r="B69" s="165"/>
      <c r="C69" s="1" t="s">
        <v>39</v>
      </c>
      <c r="D69" s="410" t="s">
        <v>7</v>
      </c>
      <c r="E69" s="410"/>
      <c r="F69" s="114"/>
      <c r="G69" s="115"/>
      <c r="H69" s="116"/>
      <c r="I69" s="170"/>
      <c r="J69" s="166">
        <f t="shared" ref="J69:O69" si="55">AVERAGE(J59:J68)</f>
        <v>12.4</v>
      </c>
      <c r="K69" s="166">
        <f t="shared" si="55"/>
        <v>1565</v>
      </c>
      <c r="L69" s="171">
        <f t="shared" si="55"/>
        <v>126.40384615384615</v>
      </c>
      <c r="M69" s="166">
        <f t="shared" si="55"/>
        <v>12.4</v>
      </c>
      <c r="N69" s="166">
        <f t="shared" si="55"/>
        <v>1369.7869418386501</v>
      </c>
      <c r="O69" s="171">
        <f t="shared" si="55"/>
        <v>110.15266416510326</v>
      </c>
      <c r="P69" s="172">
        <f>M69-J69</f>
        <v>0</v>
      </c>
      <c r="Q69" s="158">
        <f>N69-K69</f>
        <v>-195.21305816134986</v>
      </c>
      <c r="R69" s="121">
        <f>O69/L69</f>
        <v>0.87143443428957401</v>
      </c>
      <c r="S69" s="399"/>
      <c r="T69" s="122"/>
      <c r="U69" s="122"/>
      <c r="V69" s="195"/>
      <c r="W69" s="168"/>
      <c r="X69" s="124"/>
      <c r="Y69" s="124"/>
      <c r="Z69" s="405"/>
      <c r="AA69" s="405"/>
      <c r="AB69" s="119">
        <f>N69-K69</f>
        <v>-195.21305816134986</v>
      </c>
      <c r="AC69" s="187">
        <f>N69/K69</f>
        <v>0.87526322162214065</v>
      </c>
      <c r="AD69" s="404"/>
    </row>
    <row r="70" spans="1:32" ht="15" customHeight="1">
      <c r="A70" s="461" t="s">
        <v>58</v>
      </c>
      <c r="B70" s="199" t="s">
        <v>62</v>
      </c>
      <c r="C70" s="199"/>
      <c r="D70" s="103" t="s">
        <v>158</v>
      </c>
      <c r="E70" s="104"/>
      <c r="F70" s="199">
        <f>VLOOKUP(D70,廠價表!$C$1:$E$39,3,0)</f>
        <v>47.71</v>
      </c>
      <c r="G70" s="188">
        <v>4488</v>
      </c>
      <c r="H70" s="106">
        <f t="shared" ref="H70" si="56">F70*G70</f>
        <v>214122.48</v>
      </c>
      <c r="I70" s="188"/>
      <c r="J70" s="108">
        <f>VLOOKUP(D70,產線配置圖!$A$2:$C$38,2,0)</f>
        <v>15</v>
      </c>
      <c r="K70" s="105">
        <f>VLOOKUP(D70,產線配置圖!$A$2:$C$38,3,0)</f>
        <v>1500</v>
      </c>
      <c r="L70" s="109">
        <f>K70/J70</f>
        <v>100</v>
      </c>
      <c r="M70" s="110">
        <v>13</v>
      </c>
      <c r="N70" s="105">
        <f t="shared" ref="N70" si="57">G70/W70*60</f>
        <v>1170.782608695652</v>
      </c>
      <c r="O70" s="109">
        <f t="shared" ref="O70" si="58">N70/M70</f>
        <v>90.060200668896314</v>
      </c>
      <c r="P70" s="111">
        <f t="shared" ref="P70" si="59">M70-J70</f>
        <v>-2</v>
      </c>
      <c r="Q70" s="112">
        <f t="shared" ref="Q70" si="60">O70-L70</f>
        <v>-9.9397993311036856</v>
      </c>
      <c r="R70" s="184">
        <f t="shared" ref="R70" si="61">O70/L70</f>
        <v>0.90060200668896317</v>
      </c>
      <c r="S70" s="396">
        <f>R79</f>
        <v>0.88431741878603398</v>
      </c>
      <c r="T70" s="169">
        <v>0.33333333333333331</v>
      </c>
      <c r="U70" s="169">
        <v>0.49305555555555558</v>
      </c>
      <c r="V70" s="188"/>
      <c r="W70" s="107">
        <f t="shared" ref="W70:W78" si="62">(U70-T70)*24*60</f>
        <v>230.00000000000006</v>
      </c>
      <c r="X70" s="296"/>
      <c r="Y70" s="296"/>
      <c r="Z70" s="465"/>
      <c r="AA70" s="427"/>
      <c r="AB70" s="225">
        <f t="shared" ref="AB70:AB71" si="63">N70-K70</f>
        <v>-329.21739130434798</v>
      </c>
      <c r="AC70" s="226">
        <f t="shared" ref="AC70:AC71" si="64">N70/K70</f>
        <v>0.78052173913043466</v>
      </c>
      <c r="AD70" s="401">
        <f>AC79</f>
        <v>0.82889708010907082</v>
      </c>
    </row>
    <row r="71" spans="1:32" ht="15" customHeight="1">
      <c r="A71" s="462"/>
      <c r="B71" s="56"/>
      <c r="C71" s="10"/>
      <c r="D71" s="11"/>
      <c r="E71" s="86"/>
      <c r="F71" s="56"/>
      <c r="G71" s="66"/>
      <c r="H71" s="76"/>
      <c r="I71" s="193"/>
      <c r="J71" s="16"/>
      <c r="K71" s="14"/>
      <c r="L71" s="17"/>
      <c r="M71" s="180"/>
      <c r="N71" s="14"/>
      <c r="O71" s="17"/>
      <c r="P71" s="18"/>
      <c r="Q71" s="19"/>
      <c r="R71" s="185"/>
      <c r="S71" s="397"/>
      <c r="T71" s="20"/>
      <c r="U71" s="20"/>
      <c r="V71" s="177"/>
      <c r="W71" s="182">
        <f t="shared" si="62"/>
        <v>0</v>
      </c>
      <c r="X71" s="298"/>
      <c r="Y71" s="299"/>
      <c r="Z71" s="476"/>
      <c r="AA71" s="477"/>
      <c r="AB71" s="39">
        <f t="shared" si="63"/>
        <v>0</v>
      </c>
      <c r="AC71" s="190" t="e">
        <f t="shared" si="64"/>
        <v>#DIV/0!</v>
      </c>
      <c r="AD71" s="447"/>
    </row>
    <row r="72" spans="1:32" ht="15" customHeight="1">
      <c r="A72" s="462"/>
      <c r="B72" s="56"/>
      <c r="C72" s="10"/>
      <c r="D72" s="11"/>
      <c r="E72" s="86"/>
      <c r="F72" s="56"/>
      <c r="G72" s="66"/>
      <c r="H72" s="76"/>
      <c r="I72" s="193"/>
      <c r="J72" s="16"/>
      <c r="K72" s="14"/>
      <c r="L72" s="17"/>
      <c r="M72" s="180"/>
      <c r="N72" s="14"/>
      <c r="O72" s="17"/>
      <c r="P72" s="18"/>
      <c r="Q72" s="19"/>
      <c r="R72" s="185"/>
      <c r="S72" s="397"/>
      <c r="T72" s="20"/>
      <c r="U72" s="20"/>
      <c r="V72" s="177"/>
      <c r="W72" s="182">
        <f t="shared" si="62"/>
        <v>0</v>
      </c>
      <c r="X72" s="297"/>
      <c r="Y72" s="297"/>
      <c r="Z72" s="405"/>
      <c r="AA72" s="419"/>
      <c r="AB72" s="39"/>
      <c r="AC72" s="190"/>
      <c r="AD72" s="447"/>
    </row>
    <row r="73" spans="1:32" ht="15" customHeight="1">
      <c r="A73" s="462"/>
      <c r="B73" s="56"/>
      <c r="C73" s="23"/>
      <c r="D73" s="11"/>
      <c r="E73" s="12"/>
      <c r="F73" s="56"/>
      <c r="G73" s="66"/>
      <c r="H73" s="76"/>
      <c r="I73" s="193"/>
      <c r="J73" s="16"/>
      <c r="K73" s="14"/>
      <c r="L73" s="17"/>
      <c r="M73" s="180"/>
      <c r="N73" s="14"/>
      <c r="O73" s="17"/>
      <c r="P73" s="18"/>
      <c r="Q73" s="19"/>
      <c r="R73" s="185"/>
      <c r="S73" s="397"/>
      <c r="T73" s="20"/>
      <c r="U73" s="20"/>
      <c r="V73" s="177"/>
      <c r="W73" s="182">
        <f t="shared" si="62"/>
        <v>0</v>
      </c>
      <c r="X73" s="22"/>
      <c r="Y73" s="22"/>
      <c r="Z73" s="405"/>
      <c r="AA73" s="419"/>
      <c r="AB73" s="39"/>
      <c r="AC73" s="190"/>
      <c r="AD73" s="447"/>
    </row>
    <row r="74" spans="1:32" ht="15" customHeight="1">
      <c r="A74" s="462"/>
      <c r="B74" s="56"/>
      <c r="C74" s="249"/>
      <c r="D74" s="250"/>
      <c r="E74" s="251"/>
      <c r="F74" s="56"/>
      <c r="G74" s="238"/>
      <c r="H74" s="76">
        <f t="shared" ref="H74:H78" si="65">F74*G74</f>
        <v>0</v>
      </c>
      <c r="I74" s="81"/>
      <c r="J74" s="234"/>
      <c r="K74" s="36"/>
      <c r="L74" s="235"/>
      <c r="M74" s="21"/>
      <c r="N74" s="36"/>
      <c r="O74" s="38"/>
      <c r="P74" s="39"/>
      <c r="Q74" s="40"/>
      <c r="R74" s="190"/>
      <c r="S74" s="397"/>
      <c r="T74" s="20"/>
      <c r="U74" s="20"/>
      <c r="V74" s="177"/>
      <c r="W74" s="182">
        <f t="shared" si="62"/>
        <v>0</v>
      </c>
      <c r="X74" s="22"/>
      <c r="Y74" s="22"/>
      <c r="Z74" s="405"/>
      <c r="AA74" s="419"/>
      <c r="AB74" s="39"/>
      <c r="AC74" s="190"/>
      <c r="AD74" s="447"/>
    </row>
    <row r="75" spans="1:32" ht="15" customHeight="1">
      <c r="A75" s="462"/>
      <c r="B75" s="177"/>
      <c r="C75" s="183"/>
      <c r="D75" s="11"/>
      <c r="E75" s="12"/>
      <c r="F75" s="13"/>
      <c r="G75" s="177"/>
      <c r="H75" s="15">
        <f t="shared" si="65"/>
        <v>0</v>
      </c>
      <c r="I75" s="81"/>
      <c r="J75" s="87"/>
      <c r="K75" s="82"/>
      <c r="L75" s="83"/>
      <c r="M75" s="181"/>
      <c r="N75" s="82"/>
      <c r="O75" s="83"/>
      <c r="P75" s="73"/>
      <c r="Q75" s="74"/>
      <c r="R75" s="192"/>
      <c r="S75" s="397"/>
      <c r="T75" s="20"/>
      <c r="U75" s="20"/>
      <c r="V75" s="177"/>
      <c r="W75" s="88">
        <f t="shared" si="62"/>
        <v>0</v>
      </c>
      <c r="X75" s="89"/>
      <c r="Y75" s="89"/>
      <c r="Z75" s="406"/>
      <c r="AA75" s="406"/>
      <c r="AB75" s="306"/>
      <c r="AC75" s="307"/>
      <c r="AD75" s="402"/>
    </row>
    <row r="76" spans="1:32" ht="15" customHeight="1">
      <c r="A76" s="462"/>
      <c r="B76" s="26"/>
      <c r="C76" s="27"/>
      <c r="D76" s="28"/>
      <c r="E76" s="29"/>
      <c r="F76" s="13"/>
      <c r="G76" s="177"/>
      <c r="H76" s="15">
        <f t="shared" si="65"/>
        <v>0</v>
      </c>
      <c r="I76" s="81"/>
      <c r="J76" s="87"/>
      <c r="K76" s="82"/>
      <c r="L76" s="83"/>
      <c r="M76" s="181"/>
      <c r="N76" s="82"/>
      <c r="O76" s="83"/>
      <c r="P76" s="73"/>
      <c r="Q76" s="74"/>
      <c r="R76" s="192"/>
      <c r="S76" s="398"/>
      <c r="T76" s="20"/>
      <c r="U76" s="20"/>
      <c r="V76" s="177"/>
      <c r="W76" s="90">
        <f t="shared" si="62"/>
        <v>0</v>
      </c>
      <c r="X76" s="78"/>
      <c r="Y76" s="78"/>
      <c r="Z76" s="445"/>
      <c r="AA76" s="445"/>
      <c r="AB76" s="51"/>
      <c r="AC76" s="52"/>
      <c r="AD76" s="403"/>
    </row>
    <row r="77" spans="1:32" ht="15" customHeight="1">
      <c r="A77" s="462"/>
      <c r="B77" s="26"/>
      <c r="C77" s="27"/>
      <c r="D77" s="28"/>
      <c r="E77" s="29"/>
      <c r="F77" s="13"/>
      <c r="G77" s="177"/>
      <c r="H77" s="15">
        <f t="shared" si="65"/>
        <v>0</v>
      </c>
      <c r="I77" s="81"/>
      <c r="J77" s="87"/>
      <c r="K77" s="82"/>
      <c r="L77" s="83"/>
      <c r="M77" s="181"/>
      <c r="N77" s="82"/>
      <c r="O77" s="83"/>
      <c r="P77" s="73"/>
      <c r="Q77" s="74"/>
      <c r="R77" s="192"/>
      <c r="S77" s="398"/>
      <c r="T77" s="20"/>
      <c r="U77" s="20"/>
      <c r="V77" s="177"/>
      <c r="W77" s="182">
        <f t="shared" si="62"/>
        <v>0</v>
      </c>
      <c r="X77" s="84"/>
      <c r="Y77" s="84"/>
      <c r="Z77" s="405"/>
      <c r="AA77" s="405"/>
      <c r="AB77" s="18"/>
      <c r="AC77" s="55"/>
      <c r="AD77" s="403"/>
    </row>
    <row r="78" spans="1:32" ht="15" customHeight="1">
      <c r="A78" s="462"/>
      <c r="B78" s="26"/>
      <c r="C78" s="27"/>
      <c r="D78" s="28"/>
      <c r="E78" s="29"/>
      <c r="F78" s="13"/>
      <c r="G78" s="177"/>
      <c r="H78" s="15">
        <f t="shared" si="65"/>
        <v>0</v>
      </c>
      <c r="I78" s="85"/>
      <c r="J78" s="37"/>
      <c r="K78" s="36"/>
      <c r="L78" s="83"/>
      <c r="M78" s="21"/>
      <c r="N78" s="36"/>
      <c r="O78" s="38"/>
      <c r="P78" s="39"/>
      <c r="Q78" s="40"/>
      <c r="R78" s="190"/>
      <c r="S78" s="464"/>
      <c r="T78" s="32"/>
      <c r="U78" s="32"/>
      <c r="V78" s="178"/>
      <c r="W78" s="182">
        <f t="shared" si="62"/>
        <v>0</v>
      </c>
      <c r="X78" s="91"/>
      <c r="Y78" s="91"/>
      <c r="Z78" s="405"/>
      <c r="AA78" s="405"/>
      <c r="AB78" s="34"/>
      <c r="AC78" s="57"/>
      <c r="AD78" s="403"/>
    </row>
    <row r="79" spans="1:32" ht="15" customHeight="1" thickBot="1">
      <c r="A79" s="463"/>
      <c r="B79" s="165"/>
      <c r="C79" s="1" t="s">
        <v>40</v>
      </c>
      <c r="D79" s="410" t="s">
        <v>7</v>
      </c>
      <c r="E79" s="410"/>
      <c r="F79" s="114"/>
      <c r="G79" s="115"/>
      <c r="H79" s="173"/>
      <c r="I79" s="171"/>
      <c r="J79" s="166">
        <f t="shared" ref="J79:O79" si="66">AVERAGE(J69:J78)</f>
        <v>13.7</v>
      </c>
      <c r="K79" s="166">
        <f t="shared" si="66"/>
        <v>1532.5</v>
      </c>
      <c r="L79" s="171">
        <f t="shared" si="66"/>
        <v>113.20192307692307</v>
      </c>
      <c r="M79" s="166">
        <f t="shared" si="66"/>
        <v>12.7</v>
      </c>
      <c r="N79" s="166">
        <f t="shared" si="66"/>
        <v>1270.284775267151</v>
      </c>
      <c r="O79" s="171">
        <f t="shared" si="66"/>
        <v>100.10643241699978</v>
      </c>
      <c r="P79" s="172">
        <f>M79-J79</f>
        <v>-1</v>
      </c>
      <c r="Q79" s="158">
        <f>N79-K79</f>
        <v>-262.21522473284904</v>
      </c>
      <c r="R79" s="159">
        <f>O79/L79</f>
        <v>0.88431741878603398</v>
      </c>
      <c r="S79" s="399"/>
      <c r="T79" s="122"/>
      <c r="U79" s="122"/>
      <c r="V79" s="195"/>
      <c r="W79" s="168"/>
      <c r="X79" s="124"/>
      <c r="Y79" s="124"/>
      <c r="Z79" s="391"/>
      <c r="AA79" s="391"/>
      <c r="AB79" s="119">
        <f>N79-K79</f>
        <v>-262.21522473284904</v>
      </c>
      <c r="AC79" s="187">
        <f>N79/K79</f>
        <v>0.82889708010907082</v>
      </c>
      <c r="AD79" s="404"/>
    </row>
    <row r="80" spans="1:32">
      <c r="AF80" s="93" t="s">
        <v>41</v>
      </c>
    </row>
    <row r="81" spans="4:32">
      <c r="AF81" s="93" t="s">
        <v>42</v>
      </c>
    </row>
    <row r="82" spans="4:32">
      <c r="AF82" s="93" t="s">
        <v>43</v>
      </c>
    </row>
    <row r="83" spans="4:32">
      <c r="D83" s="220"/>
      <c r="W83" s="6"/>
      <c r="AF83" s="93" t="s">
        <v>44</v>
      </c>
    </row>
    <row r="84" spans="4:32">
      <c r="D84" s="224"/>
      <c r="W84" s="6"/>
      <c r="AF84" s="93" t="s">
        <v>45</v>
      </c>
    </row>
    <row r="85" spans="4:32">
      <c r="D85" s="224"/>
      <c r="W85" s="6"/>
      <c r="AF85" s="93" t="s">
        <v>46</v>
      </c>
    </row>
    <row r="86" spans="4:32">
      <c r="D86" s="155"/>
      <c r="W86" s="6"/>
      <c r="AF86" s="93" t="s">
        <v>47</v>
      </c>
    </row>
    <row r="87" spans="4:32">
      <c r="W87" s="6"/>
      <c r="AF87" s="93" t="s">
        <v>48</v>
      </c>
    </row>
    <row r="88" spans="4:32">
      <c r="W88" s="6"/>
      <c r="AF88" s="93" t="s">
        <v>49</v>
      </c>
    </row>
    <row r="89" spans="4:32">
      <c r="W89" s="6"/>
      <c r="AF89" s="93" t="s">
        <v>50</v>
      </c>
    </row>
    <row r="90" spans="4:32">
      <c r="W90" s="6"/>
      <c r="AF90" s="93" t="s">
        <v>51</v>
      </c>
    </row>
    <row r="91" spans="4:32">
      <c r="W91" s="6"/>
      <c r="AF91" s="93" t="s">
        <v>52</v>
      </c>
    </row>
    <row r="92" spans="4:32">
      <c r="W92" s="6"/>
      <c r="AF92" s="93" t="s">
        <v>53</v>
      </c>
    </row>
  </sheetData>
  <autoFilter ref="D1:D92" xr:uid="{EF5AD393-5A39-4C0E-A7B0-465235F2AB14}"/>
  <mergeCells count="135"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  <mergeCell ref="D69:E69"/>
    <mergeCell ref="Z69:AA69"/>
    <mergeCell ref="A70:A79"/>
    <mergeCell ref="S70:S79"/>
    <mergeCell ref="Z70:AA70"/>
    <mergeCell ref="D79:E79"/>
    <mergeCell ref="A59:A69"/>
    <mergeCell ref="S59:S69"/>
    <mergeCell ref="Z59:AA59"/>
    <mergeCell ref="AD59:AD69"/>
    <mergeCell ref="Z60:AA60"/>
    <mergeCell ref="Z61:AA61"/>
    <mergeCell ref="Z62:AA62"/>
    <mergeCell ref="Z63:AA63"/>
    <mergeCell ref="Z64:AA64"/>
    <mergeCell ref="Z65:AA65"/>
    <mergeCell ref="AD49:AD58"/>
    <mergeCell ref="Z50:AA50"/>
    <mergeCell ref="Z51:AA51"/>
    <mergeCell ref="Z52:AA52"/>
    <mergeCell ref="Z53:AA53"/>
    <mergeCell ref="Z54:AA54"/>
    <mergeCell ref="Z55:AA55"/>
    <mergeCell ref="Z56:AA56"/>
    <mergeCell ref="Z57:AA57"/>
    <mergeCell ref="Z58:AA58"/>
    <mergeCell ref="Z66:AA66"/>
    <mergeCell ref="Z67:AA67"/>
    <mergeCell ref="Z68:AA68"/>
    <mergeCell ref="D48:E48"/>
    <mergeCell ref="Z48:AA48"/>
    <mergeCell ref="A49:A58"/>
    <mergeCell ref="S49:S58"/>
    <mergeCell ref="Z49:AA49"/>
    <mergeCell ref="D58:E58"/>
    <mergeCell ref="A38:A48"/>
    <mergeCell ref="S38:S48"/>
    <mergeCell ref="Z38:AA38"/>
    <mergeCell ref="AD38:AD48"/>
    <mergeCell ref="Z39:AA39"/>
    <mergeCell ref="Z40:AA40"/>
    <mergeCell ref="Z41:AA41"/>
    <mergeCell ref="Z42:AA42"/>
    <mergeCell ref="Z43:AA43"/>
    <mergeCell ref="Z44:AA44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Z45:AA45"/>
    <mergeCell ref="Z46:AA46"/>
    <mergeCell ref="Z47:AA47"/>
    <mergeCell ref="D26:E26"/>
    <mergeCell ref="Z26:AA26"/>
    <mergeCell ref="A27:A37"/>
    <mergeCell ref="S27:S37"/>
    <mergeCell ref="Z27:AA27"/>
    <mergeCell ref="D37:E37"/>
    <mergeCell ref="Z37:AA37"/>
    <mergeCell ref="A16:A26"/>
    <mergeCell ref="S16:S26"/>
    <mergeCell ref="Z16:AA16"/>
    <mergeCell ref="AD16:AD26"/>
    <mergeCell ref="Z17:AA17"/>
    <mergeCell ref="Z18:AA18"/>
    <mergeCell ref="Z19:AA19"/>
    <mergeCell ref="Z20:AA20"/>
    <mergeCell ref="Z21:AA21"/>
    <mergeCell ref="Z22:AA22"/>
    <mergeCell ref="Z10:AA10"/>
    <mergeCell ref="Z11:AA11"/>
    <mergeCell ref="Z12:AA12"/>
    <mergeCell ref="Z13:AA13"/>
    <mergeCell ref="Z14:AA14"/>
    <mergeCell ref="Z23:AA23"/>
    <mergeCell ref="Z24:AA24"/>
    <mergeCell ref="Z25:AA25"/>
    <mergeCell ref="Z15:AA15"/>
    <mergeCell ref="S5:S15"/>
    <mergeCell ref="Z5:AA5"/>
    <mergeCell ref="AD5:AD15"/>
    <mergeCell ref="Z6:AA6"/>
    <mergeCell ref="Z7:AA7"/>
    <mergeCell ref="Z8:AA8"/>
    <mergeCell ref="Z9:AA9"/>
    <mergeCell ref="T3:U3"/>
    <mergeCell ref="V3:V4"/>
    <mergeCell ref="W3:W4"/>
    <mergeCell ref="X3:Y3"/>
    <mergeCell ref="Z3:AA4"/>
    <mergeCell ref="AB3:AB4"/>
    <mergeCell ref="S3:S4"/>
    <mergeCell ref="A2:B2"/>
    <mergeCell ref="A3:A4"/>
    <mergeCell ref="B3:B4"/>
    <mergeCell ref="D3:E4"/>
    <mergeCell ref="F3:F4"/>
    <mergeCell ref="G3:G4"/>
    <mergeCell ref="J1:L2"/>
    <mergeCell ref="M1:O2"/>
    <mergeCell ref="D15:E15"/>
    <mergeCell ref="A5:A15"/>
    <mergeCell ref="N3:N4"/>
    <mergeCell ref="O3:O4"/>
    <mergeCell ref="P1:S2"/>
    <mergeCell ref="T1:Y2"/>
    <mergeCell ref="Z1:AA2"/>
    <mergeCell ref="AB1:AD2"/>
    <mergeCell ref="H3:H4"/>
    <mergeCell ref="I3:I4"/>
    <mergeCell ref="J3:J4"/>
    <mergeCell ref="K3:K4"/>
    <mergeCell ref="L3:L4"/>
    <mergeCell ref="M3:M4"/>
    <mergeCell ref="AC3:AC4"/>
    <mergeCell ref="AD3:AD4"/>
    <mergeCell ref="P3:P4"/>
    <mergeCell ref="Q3:Q4"/>
    <mergeCell ref="R3:R4"/>
  </mergeCells>
  <phoneticPr fontId="2" type="noConversion"/>
  <conditionalFormatting sqref="P5:P79">
    <cfRule type="cellIs" dxfId="258" priority="1" operator="greaterThan">
      <formula>0</formula>
    </cfRule>
  </conditionalFormatting>
  <conditionalFormatting sqref="Q5:Q79 AB5:AB79">
    <cfRule type="cellIs" dxfId="257" priority="4" operator="lessThan">
      <formula>0</formula>
    </cfRule>
  </conditionalFormatting>
  <conditionalFormatting sqref="R5:R79 AC5:AC79">
    <cfRule type="cellIs" dxfId="256" priority="2" operator="greaterThan">
      <formula>1</formula>
    </cfRule>
    <cfRule type="cellIs" dxfId="255" priority="3" operator="lessThan">
      <formula>0.8</formula>
    </cfRule>
  </conditionalFormatting>
  <conditionalFormatting sqref="S5:S10 S37:S62 AD59:AD62 S69:S76 AD69:AD76">
    <cfRule type="cellIs" dxfId="254" priority="7" operator="lessThan">
      <formula>0.8</formula>
    </cfRule>
  </conditionalFormatting>
  <conditionalFormatting sqref="S19:S25 AD19:AD25">
    <cfRule type="cellIs" dxfId="253" priority="6" operator="lessThan">
      <formula>0.8</formula>
    </cfRule>
  </conditionalFormatting>
  <conditionalFormatting sqref="S79">
    <cfRule type="cellIs" dxfId="252" priority="5" operator="lessThan">
      <formula>0.8</formula>
    </cfRule>
  </conditionalFormatting>
  <conditionalFormatting sqref="AD5:AD8 S15:S16 AD15:AD16 AD49 AD79">
    <cfRule type="cellIs" dxfId="251" priority="9" operator="lessThan">
      <formula>0.8</formula>
    </cfRule>
  </conditionalFormatting>
  <conditionalFormatting sqref="AD27 S27:S28">
    <cfRule type="cellIs" dxfId="25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E71EA2B-371B-45CF-AE0A-EC01CC458020}">
          <x14:formula1>
            <xm:f>廠價表!$C$2:$C$37</xm:f>
          </x14:formula1>
          <xm:sqref>D1:D1048576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33BD4-BABC-44C0-B053-2C6C65555EFD}">
  <sheetPr>
    <pageSetUpPr fitToPage="1"/>
  </sheetPr>
  <dimension ref="B1:O22"/>
  <sheetViews>
    <sheetView zoomScale="70" zoomScaleNormal="70" workbookViewId="0">
      <selection activeCell="U72" sqref="U72"/>
    </sheetView>
  </sheetViews>
  <sheetFormatPr defaultColWidth="8.125" defaultRowHeight="15.75"/>
  <cols>
    <col min="1" max="1" width="8.125" style="203"/>
    <col min="2" max="2" width="7.125" style="203" customWidth="1"/>
    <col min="3" max="3" width="7.125" style="218" customWidth="1"/>
    <col min="4" max="17" width="14.125" style="203" customWidth="1"/>
    <col min="18" max="21" width="9.625" style="203" customWidth="1"/>
    <col min="22" max="22" width="11.125" style="203" customWidth="1"/>
    <col min="23" max="23" width="11.5" style="203" customWidth="1"/>
    <col min="24" max="16384" width="8.125" style="203"/>
  </cols>
  <sheetData>
    <row r="1" spans="2:15" ht="27.75" customHeight="1">
      <c r="B1" s="345" t="s">
        <v>73</v>
      </c>
      <c r="C1" s="345"/>
      <c r="D1" s="345"/>
      <c r="E1" s="345"/>
      <c r="F1" s="345"/>
      <c r="G1" s="345"/>
      <c r="H1" s="345"/>
      <c r="I1" s="345"/>
      <c r="J1" s="345"/>
      <c r="K1" s="345"/>
      <c r="L1" s="202"/>
      <c r="M1" s="202"/>
    </row>
    <row r="2" spans="2:15" ht="27.75" customHeight="1"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202"/>
      <c r="M2" s="202"/>
    </row>
    <row r="3" spans="2:15" ht="46.5" customHeight="1">
      <c r="B3" s="342" t="s">
        <v>74</v>
      </c>
      <c r="C3" s="342"/>
      <c r="D3" s="346">
        <v>45967</v>
      </c>
      <c r="E3" s="346"/>
      <c r="F3" s="204" t="s">
        <v>75</v>
      </c>
      <c r="G3" s="347">
        <f>'1106'!E1</f>
        <v>52136</v>
      </c>
      <c r="H3" s="347"/>
      <c r="I3" s="204" t="s">
        <v>76</v>
      </c>
      <c r="J3" s="348">
        <f>'1106'!G1</f>
        <v>2539591.7500000005</v>
      </c>
      <c r="K3" s="348"/>
      <c r="L3" s="205"/>
    </row>
    <row r="4" spans="2:15" ht="24" customHeight="1">
      <c r="B4" s="342" t="s">
        <v>77</v>
      </c>
      <c r="C4" s="342"/>
      <c r="D4" s="343">
        <v>3</v>
      </c>
      <c r="E4" s="343"/>
      <c r="F4" s="344" t="s">
        <v>78</v>
      </c>
      <c r="G4" s="344"/>
      <c r="H4" s="344" t="s">
        <v>79</v>
      </c>
      <c r="I4" s="344"/>
      <c r="J4" s="343" t="s">
        <v>80</v>
      </c>
      <c r="K4" s="344"/>
      <c r="L4" s="206"/>
    </row>
    <row r="5" spans="2:15" ht="24" customHeight="1">
      <c r="B5" s="342" t="s">
        <v>81</v>
      </c>
      <c r="C5" s="342"/>
      <c r="D5" s="343" t="s">
        <v>82</v>
      </c>
      <c r="E5" s="343"/>
      <c r="F5" s="343" t="s">
        <v>83</v>
      </c>
      <c r="G5" s="343"/>
      <c r="H5" s="369" t="s">
        <v>62</v>
      </c>
      <c r="I5" s="369"/>
      <c r="J5" s="341" t="s">
        <v>84</v>
      </c>
      <c r="K5" s="341"/>
      <c r="L5" s="207"/>
    </row>
    <row r="6" spans="2:15" ht="39.6" customHeight="1">
      <c r="B6" s="342"/>
      <c r="C6" s="342"/>
      <c r="D6" s="342" t="s">
        <v>85</v>
      </c>
      <c r="E6" s="342"/>
      <c r="F6" s="356">
        <f>AVERAGE(D13:J13)</f>
        <v>111.42771791240112</v>
      </c>
      <c r="G6" s="356"/>
      <c r="H6" s="349">
        <f>AVERAGE(D13:H13)</f>
        <v>110.03197815428464</v>
      </c>
      <c r="I6" s="349"/>
      <c r="J6" s="349">
        <f>AVERAGE(I13:J13)</f>
        <v>114.91706730769231</v>
      </c>
      <c r="K6" s="349"/>
      <c r="L6" s="207"/>
    </row>
    <row r="7" spans="2:15" s="208" customFormat="1" ht="39.6" customHeight="1">
      <c r="B7" s="342"/>
      <c r="C7" s="342"/>
      <c r="D7" s="350" t="s">
        <v>86</v>
      </c>
      <c r="E7" s="350"/>
      <c r="F7" s="351">
        <f>AVERAGE(D14:J14)</f>
        <v>98.925774442905464</v>
      </c>
      <c r="G7" s="351"/>
      <c r="H7" s="352">
        <f>AVERAGE(D14:H14)</f>
        <v>98.14887338203377</v>
      </c>
      <c r="I7" s="352"/>
      <c r="J7" s="352">
        <f>AVERAGE(I14:J14)</f>
        <v>100.86802709508468</v>
      </c>
      <c r="K7" s="352"/>
    </row>
    <row r="8" spans="2:15" s="208" customFormat="1" ht="39.6" customHeight="1">
      <c r="B8" s="342"/>
      <c r="C8" s="342"/>
      <c r="D8" s="350" t="s">
        <v>87</v>
      </c>
      <c r="E8" s="350"/>
      <c r="F8" s="353">
        <f>AVERAGE(D15:J15)</f>
        <v>0.88597854765597817</v>
      </c>
      <c r="G8" s="353"/>
      <c r="H8" s="353">
        <f>AVERAGE(D15:H15)</f>
        <v>0.88984393845989196</v>
      </c>
      <c r="I8" s="353"/>
      <c r="J8" s="353">
        <f>AVERAGE(I15:J15)</f>
        <v>0.87631507064619352</v>
      </c>
      <c r="K8" s="353"/>
      <c r="L8" s="209" t="s">
        <v>88</v>
      </c>
    </row>
    <row r="9" spans="2:15" ht="25.5" customHeight="1">
      <c r="B9" s="207"/>
      <c r="C9" s="207"/>
      <c r="D9" s="207"/>
      <c r="E9" s="207"/>
      <c r="F9" s="207"/>
      <c r="G9" s="207"/>
      <c r="H9" s="210"/>
      <c r="I9" s="211"/>
      <c r="J9" s="211"/>
      <c r="K9" s="211"/>
      <c r="L9" s="211"/>
      <c r="M9" s="211"/>
      <c r="N9" s="211"/>
      <c r="O9" s="207"/>
    </row>
    <row r="10" spans="2:15" ht="30" customHeight="1">
      <c r="B10" s="354" t="s">
        <v>0</v>
      </c>
      <c r="C10" s="355"/>
      <c r="D10" s="357" t="s">
        <v>89</v>
      </c>
      <c r="E10" s="358"/>
      <c r="F10" s="358"/>
      <c r="G10" s="358"/>
      <c r="H10" s="358"/>
      <c r="I10" s="358"/>
      <c r="J10" s="359"/>
    </row>
    <row r="11" spans="2:15" ht="17.25" customHeight="1">
      <c r="B11" s="360" t="s">
        <v>90</v>
      </c>
      <c r="C11" s="361"/>
      <c r="D11" s="212">
        <v>1</v>
      </c>
      <c r="E11" s="212">
        <v>2</v>
      </c>
      <c r="F11" s="212">
        <v>3</v>
      </c>
      <c r="G11" s="212">
        <v>4</v>
      </c>
      <c r="H11" s="212">
        <v>5</v>
      </c>
      <c r="I11" s="212">
        <v>6</v>
      </c>
      <c r="J11" s="212">
        <v>7</v>
      </c>
    </row>
    <row r="12" spans="2:15" ht="33.950000000000003" customHeight="1">
      <c r="B12" s="362"/>
      <c r="C12" s="363"/>
      <c r="D12" s="213" t="s">
        <v>91</v>
      </c>
      <c r="E12" s="213" t="s">
        <v>92</v>
      </c>
      <c r="F12" s="213" t="s">
        <v>93</v>
      </c>
      <c r="G12" s="213" t="s">
        <v>94</v>
      </c>
      <c r="H12" s="213" t="s">
        <v>95</v>
      </c>
      <c r="I12" s="213" t="s">
        <v>96</v>
      </c>
      <c r="J12" s="213" t="s">
        <v>97</v>
      </c>
    </row>
    <row r="13" spans="2:15" ht="39.950000000000003" customHeight="1">
      <c r="B13" s="364" t="s">
        <v>1</v>
      </c>
      <c r="C13" s="214" t="s">
        <v>98</v>
      </c>
      <c r="D13" s="215">
        <f>VALUE('1106'!L15)</f>
        <v>135.3373015873016</v>
      </c>
      <c r="E13" s="215">
        <f>VALUE('1106'!L26)</f>
        <v>150.22664835164835</v>
      </c>
      <c r="F13" s="215">
        <f>VALUE('1106'!L37)</f>
        <v>87.020697167755998</v>
      </c>
      <c r="G13" s="215">
        <f>VALUE('1106'!L48)</f>
        <v>93.033333333333331</v>
      </c>
      <c r="H13" s="215">
        <f>VALUE('1106'!L58)</f>
        <v>84.541910331384017</v>
      </c>
      <c r="I13" s="215">
        <f>VALUE('1106'!L69)</f>
        <v>125.40064102564102</v>
      </c>
      <c r="J13" s="215">
        <f>VALUE('1106'!L79)</f>
        <v>104.43349358974359</v>
      </c>
    </row>
    <row r="14" spans="2:15" ht="39.950000000000003" customHeight="1">
      <c r="B14" s="365"/>
      <c r="C14" s="214" t="s">
        <v>99</v>
      </c>
      <c r="D14" s="215">
        <f>VALUE('1106'!O15)</f>
        <v>124.48002429959973</v>
      </c>
      <c r="E14" s="215">
        <f>VALUE('1106'!O26)</f>
        <v>135.10743511807334</v>
      </c>
      <c r="F14" s="215">
        <f>VALUE('1106'!O37)</f>
        <v>81.352089360600004</v>
      </c>
      <c r="G14" s="215">
        <f>VALUE('1106'!O48)</f>
        <v>71.073426573426616</v>
      </c>
      <c r="H14" s="215">
        <f>VALUE('1106'!O58)</f>
        <v>78.73139155846917</v>
      </c>
      <c r="I14" s="215">
        <f>VALUE('1106'!O69)</f>
        <v>111.85779075996467</v>
      </c>
      <c r="J14" s="215">
        <f>VALUE('1106'!O79)</f>
        <v>89.878263430204697</v>
      </c>
    </row>
    <row r="15" spans="2:15" ht="39.950000000000003" customHeight="1">
      <c r="B15" s="366"/>
      <c r="C15" s="212" t="s">
        <v>100</v>
      </c>
      <c r="D15" s="233">
        <f>D14/D13</f>
        <v>0.91977616547424512</v>
      </c>
      <c r="E15" s="233">
        <f t="shared" ref="E15:J15" si="0">E14/E13</f>
        <v>0.89935731510041961</v>
      </c>
      <c r="F15" s="233">
        <f t="shared" si="0"/>
        <v>0.93485908534807283</v>
      </c>
      <c r="G15" s="233">
        <f t="shared" si="0"/>
        <v>0.76395657370218506</v>
      </c>
      <c r="H15" s="233">
        <f t="shared" si="0"/>
        <v>0.93127055267453729</v>
      </c>
      <c r="I15" s="233">
        <f t="shared" si="0"/>
        <v>0.89200334101237011</v>
      </c>
      <c r="J15" s="233">
        <f t="shared" si="0"/>
        <v>0.86062680028001703</v>
      </c>
    </row>
    <row r="16" spans="2:15" ht="17.25" customHeight="1">
      <c r="B16" s="367" t="s">
        <v>101</v>
      </c>
      <c r="C16" s="212" t="s">
        <v>102</v>
      </c>
      <c r="D16" s="95">
        <f>'1106'!T5</f>
        <v>0.2902777777777778</v>
      </c>
      <c r="E16" s="95">
        <f>'1106'!T16</f>
        <v>0.28958333333333336</v>
      </c>
      <c r="F16" s="95">
        <f>'1106'!T27</f>
        <v>0.2902777777777778</v>
      </c>
      <c r="G16" s="95">
        <f>'1106'!T38</f>
        <v>0.33333333333333331</v>
      </c>
      <c r="H16" s="95">
        <f>'1106'!T49</f>
        <v>0.28819444444444442</v>
      </c>
      <c r="I16" s="95">
        <f>'1106'!T59</f>
        <v>0.29166666666666669</v>
      </c>
      <c r="J16" s="272">
        <f>'1106'!T70</f>
        <v>0.33819444444444446</v>
      </c>
    </row>
    <row r="17" spans="2:10" ht="17.25" customHeight="1">
      <c r="B17" s="368"/>
      <c r="C17" s="212" t="s">
        <v>103</v>
      </c>
      <c r="D17" s="79">
        <v>0.58194444444444449</v>
      </c>
      <c r="E17" s="41">
        <v>0.61458333333333337</v>
      </c>
      <c r="F17" s="41">
        <v>0.55000000000000004</v>
      </c>
      <c r="G17" s="59">
        <v>0.60416666666666663</v>
      </c>
      <c r="H17" s="44">
        <v>0.58194444444444449</v>
      </c>
      <c r="I17" s="20">
        <v>0.58819444444444446</v>
      </c>
      <c r="J17" s="20">
        <v>0.62847222222222221</v>
      </c>
    </row>
    <row r="18" spans="2:10" ht="17.25" customHeight="1">
      <c r="B18" s="354" t="s">
        <v>104</v>
      </c>
      <c r="C18" s="355"/>
      <c r="D18" s="216">
        <f>VALUE('1106'!M15)</f>
        <v>15</v>
      </c>
      <c r="E18" s="216">
        <f>VALUE('1106'!M26)</f>
        <v>13.5</v>
      </c>
      <c r="F18" s="216">
        <f>VALUE('1106'!M37)</f>
        <v>15.333333333333334</v>
      </c>
      <c r="G18" s="216">
        <f>VALUE('1106'!M48)</f>
        <v>15</v>
      </c>
      <c r="H18" s="216">
        <f>VALUE('1106'!M58)</f>
        <v>18.333333333333332</v>
      </c>
      <c r="I18" s="216">
        <f>VALUE('1106'!M69)</f>
        <v>12.5</v>
      </c>
      <c r="J18" s="216">
        <f>VALUE('1106'!M79)</f>
        <v>14.375</v>
      </c>
    </row>
    <row r="19" spans="2:10" ht="17.25" customHeight="1">
      <c r="B19" s="354" t="s">
        <v>105</v>
      </c>
      <c r="C19" s="355"/>
      <c r="D19" s="213" t="s">
        <v>106</v>
      </c>
      <c r="E19" s="213" t="s">
        <v>106</v>
      </c>
      <c r="F19" s="213" t="s">
        <v>107</v>
      </c>
      <c r="G19" s="213" t="s">
        <v>107</v>
      </c>
      <c r="H19" s="213" t="s">
        <v>107</v>
      </c>
      <c r="I19" s="213" t="s">
        <v>108</v>
      </c>
      <c r="J19" s="213" t="s">
        <v>107</v>
      </c>
    </row>
    <row r="20" spans="2:10" ht="17.25" customHeight="1">
      <c r="B20" s="354" t="s">
        <v>110</v>
      </c>
      <c r="C20" s="355"/>
      <c r="D20" s="213"/>
      <c r="E20" s="213"/>
      <c r="F20" s="213"/>
      <c r="G20" s="217"/>
      <c r="H20" s="213" t="s">
        <v>109</v>
      </c>
      <c r="I20" s="213"/>
      <c r="J20" s="213"/>
    </row>
    <row r="21" spans="2:10" ht="17.25" customHeight="1">
      <c r="B21" s="354" t="s">
        <v>111</v>
      </c>
      <c r="C21" s="355"/>
      <c r="D21" s="273"/>
      <c r="E21" s="273"/>
      <c r="F21" s="273"/>
      <c r="G21" s="273"/>
      <c r="H21" s="273"/>
      <c r="I21" s="273"/>
      <c r="J21" s="273"/>
    </row>
    <row r="22" spans="2:10">
      <c r="B22" s="370"/>
      <c r="C22" s="370"/>
    </row>
  </sheetData>
  <mergeCells count="37">
    <mergeCell ref="J5:K5"/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J6:K6"/>
    <mergeCell ref="D7:E7"/>
    <mergeCell ref="F7:G7"/>
    <mergeCell ref="H7:I7"/>
    <mergeCell ref="J7:K7"/>
    <mergeCell ref="H8:I8"/>
    <mergeCell ref="B18:C18"/>
    <mergeCell ref="B19:C19"/>
    <mergeCell ref="D6:E6"/>
    <mergeCell ref="F6:G6"/>
    <mergeCell ref="H6:I6"/>
    <mergeCell ref="D10:J10"/>
    <mergeCell ref="B11:C12"/>
    <mergeCell ref="B13:B15"/>
    <mergeCell ref="B16:B17"/>
    <mergeCell ref="B10:C10"/>
    <mergeCell ref="J8:K8"/>
    <mergeCell ref="B5:C8"/>
    <mergeCell ref="D5:E5"/>
    <mergeCell ref="F5:G5"/>
    <mergeCell ref="H5:I5"/>
    <mergeCell ref="B20:C20"/>
    <mergeCell ref="B21:C21"/>
    <mergeCell ref="B22:C22"/>
    <mergeCell ref="D8:E8"/>
    <mergeCell ref="F8:G8"/>
  </mergeCells>
  <phoneticPr fontId="2" type="noConversion"/>
  <conditionalFormatting sqref="D15:J15">
    <cfRule type="cellIs" dxfId="249" priority="1" operator="lessThan">
      <formula>0.8</formula>
    </cfRule>
  </conditionalFormatting>
  <pageMargins left="0.7" right="0.7" top="0.75" bottom="0.75" header="0.3" footer="0.3"/>
  <pageSetup paperSize="8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DDDA2-4BE1-45F0-9BA3-757B22B39D75}">
  <sheetPr>
    <tabColor theme="9" tint="0.79998168889431442"/>
    <pageSetUpPr fitToPage="1"/>
  </sheetPr>
  <dimension ref="A1:AF92"/>
  <sheetViews>
    <sheetView zoomScale="69" zoomScaleNormal="69" workbookViewId="0">
      <pane xSplit="5" ySplit="4" topLeftCell="F20" activePane="bottomRight" state="frozen"/>
      <selection activeCell="U72" sqref="U72"/>
      <selection pane="topRight" activeCell="U72" sqref="U72"/>
      <selection pane="bottomLeft" activeCell="U72" sqref="U72"/>
      <selection pane="bottomRight" activeCell="H29" sqref="H29"/>
    </sheetView>
  </sheetViews>
  <sheetFormatPr defaultColWidth="7.875" defaultRowHeight="15.75"/>
  <cols>
    <col min="1" max="1" width="15" style="6" customWidth="1"/>
    <col min="2" max="2" width="12.875" style="6" customWidth="1"/>
    <col min="3" max="3" width="12.875" style="6" hidden="1" customWidth="1"/>
    <col min="4" max="4" width="26.125" style="6" bestFit="1" customWidth="1"/>
    <col min="5" max="5" width="15" style="6" customWidth="1"/>
    <col min="6" max="6" width="8.875" style="6" bestFit="1" customWidth="1"/>
    <col min="7" max="7" width="20.125" style="6" bestFit="1" customWidth="1"/>
    <col min="8" max="8" width="16.375" style="6" bestFit="1" customWidth="1"/>
    <col min="9" max="9" width="10.875" style="6" bestFit="1" customWidth="1"/>
    <col min="10" max="10" width="10.125" style="6" bestFit="1" customWidth="1"/>
    <col min="11" max="11" width="10.625" style="6" customWidth="1"/>
    <col min="12" max="12" width="14.5" style="6" customWidth="1"/>
    <col min="13" max="13" width="10.125" style="6" bestFit="1" customWidth="1"/>
    <col min="14" max="14" width="10.25" style="6" bestFit="1" customWidth="1"/>
    <col min="15" max="15" width="11.875" style="6" customWidth="1"/>
    <col min="16" max="17" width="9.125" style="6" bestFit="1" customWidth="1"/>
    <col min="18" max="18" width="9.125" style="6" customWidth="1"/>
    <col min="19" max="19" width="8.375" style="6" customWidth="1"/>
    <col min="20" max="21" width="9.375" style="6" bestFit="1" customWidth="1"/>
    <col min="22" max="22" width="10.625" style="6" customWidth="1"/>
    <col min="23" max="23" width="8.625" style="92" customWidth="1"/>
    <col min="24" max="24" width="7.5" style="6" bestFit="1" customWidth="1"/>
    <col min="25" max="25" width="6.875" style="6" customWidth="1"/>
    <col min="26" max="26" width="12.625" style="6" customWidth="1"/>
    <col min="27" max="27" width="33.375" style="6" customWidth="1"/>
    <col min="28" max="28" width="13.125" style="6" bestFit="1" customWidth="1"/>
    <col min="29" max="29" width="10.375" style="6" customWidth="1"/>
    <col min="30" max="30" width="9.125" style="6" customWidth="1"/>
    <col min="31" max="31" width="7.875" style="6"/>
    <col min="32" max="32" width="24.5" style="6" bestFit="1" customWidth="1"/>
    <col min="33" max="16384" width="7.875" style="6"/>
  </cols>
  <sheetData>
    <row r="1" spans="1:30" ht="21">
      <c r="A1" s="2" t="s">
        <v>72</v>
      </c>
      <c r="B1" s="2"/>
      <c r="C1" s="2"/>
      <c r="D1" s="176" t="s">
        <v>8</v>
      </c>
      <c r="E1" s="3">
        <f>SUM(G5:G79)</f>
        <v>52136</v>
      </c>
      <c r="F1" s="177" t="s">
        <v>9</v>
      </c>
      <c r="G1" s="4">
        <f>SUM(H5:H79)</f>
        <v>2539591.7500000005</v>
      </c>
      <c r="H1" s="175" t="s">
        <v>10</v>
      </c>
      <c r="I1" s="5">
        <f>M15+M26+M48+M58+M69+M79+M37</f>
        <v>104.04166666666666</v>
      </c>
      <c r="J1" s="371" t="s">
        <v>11</v>
      </c>
      <c r="K1" s="371"/>
      <c r="L1" s="371"/>
      <c r="M1" s="371" t="s">
        <v>12</v>
      </c>
      <c r="N1" s="371"/>
      <c r="O1" s="371"/>
      <c r="P1" s="371" t="s">
        <v>13</v>
      </c>
      <c r="Q1" s="371"/>
      <c r="R1" s="371"/>
      <c r="S1" s="371"/>
      <c r="T1" s="371" t="s">
        <v>14</v>
      </c>
      <c r="U1" s="371"/>
      <c r="V1" s="371"/>
      <c r="W1" s="371"/>
      <c r="X1" s="371"/>
      <c r="Y1" s="371"/>
      <c r="Z1" s="371" t="s">
        <v>15</v>
      </c>
      <c r="AA1" s="371"/>
      <c r="AB1" s="371" t="s">
        <v>16</v>
      </c>
      <c r="AC1" s="372"/>
      <c r="AD1" s="372"/>
    </row>
    <row r="2" spans="1:30" ht="18.75">
      <c r="A2" s="409" t="s">
        <v>180</v>
      </c>
      <c r="B2" s="409"/>
      <c r="C2" s="176"/>
      <c r="D2" s="176" t="s">
        <v>1</v>
      </c>
      <c r="E2" s="7">
        <f>AVERAGE(O15,O26,O37,O48,O58,O69,O79)</f>
        <v>98.925774442905464</v>
      </c>
      <c r="F2" s="8" t="s">
        <v>2</v>
      </c>
      <c r="G2" s="9">
        <f>G1/E1</f>
        <v>48.710905132729792</v>
      </c>
      <c r="H2" s="175" t="s">
        <v>17</v>
      </c>
      <c r="I2" s="175">
        <f>COUNT(I5:I79)</f>
        <v>0</v>
      </c>
      <c r="J2" s="371"/>
      <c r="K2" s="371"/>
      <c r="L2" s="371"/>
      <c r="M2" s="371"/>
      <c r="N2" s="371"/>
      <c r="O2" s="371"/>
      <c r="P2" s="371"/>
      <c r="Q2" s="371"/>
      <c r="R2" s="371"/>
      <c r="S2" s="371"/>
      <c r="T2" s="371"/>
      <c r="U2" s="371"/>
      <c r="V2" s="371"/>
      <c r="W2" s="371"/>
      <c r="X2" s="371"/>
      <c r="Y2" s="371"/>
      <c r="Z2" s="371"/>
      <c r="AA2" s="371"/>
      <c r="AB2" s="372"/>
      <c r="AC2" s="372"/>
      <c r="AD2" s="372"/>
    </row>
    <row r="3" spans="1:30">
      <c r="A3" s="405" t="s">
        <v>18</v>
      </c>
      <c r="B3" s="405" t="s">
        <v>19</v>
      </c>
      <c r="C3" s="177"/>
      <c r="D3" s="405" t="s">
        <v>20</v>
      </c>
      <c r="E3" s="405"/>
      <c r="F3" s="379" t="s">
        <v>21</v>
      </c>
      <c r="G3" s="389" t="s">
        <v>22</v>
      </c>
      <c r="H3" s="379" t="s">
        <v>23</v>
      </c>
      <c r="I3" s="381" t="s">
        <v>24</v>
      </c>
      <c r="J3" s="383" t="s">
        <v>25</v>
      </c>
      <c r="K3" s="385" t="s">
        <v>26</v>
      </c>
      <c r="L3" s="387" t="s">
        <v>1</v>
      </c>
      <c r="M3" s="389" t="s">
        <v>25</v>
      </c>
      <c r="N3" s="385" t="s">
        <v>26</v>
      </c>
      <c r="O3" s="387" t="s">
        <v>1</v>
      </c>
      <c r="P3" s="383" t="s">
        <v>25</v>
      </c>
      <c r="Q3" s="387" t="s">
        <v>1</v>
      </c>
      <c r="R3" s="392" t="s">
        <v>27</v>
      </c>
      <c r="S3" s="394" t="s">
        <v>28</v>
      </c>
      <c r="T3" s="389" t="s">
        <v>4</v>
      </c>
      <c r="U3" s="389"/>
      <c r="V3" s="408" t="s">
        <v>29</v>
      </c>
      <c r="W3" s="381" t="s">
        <v>30</v>
      </c>
      <c r="X3" s="389" t="s">
        <v>31</v>
      </c>
      <c r="Y3" s="389"/>
      <c r="Z3" s="415" t="s">
        <v>71</v>
      </c>
      <c r="AA3" s="416"/>
      <c r="AB3" s="385" t="s">
        <v>26</v>
      </c>
      <c r="AC3" s="392" t="s">
        <v>27</v>
      </c>
      <c r="AD3" s="394" t="s">
        <v>28</v>
      </c>
    </row>
    <row r="4" spans="1:30" ht="16.5" thickBot="1">
      <c r="A4" s="379"/>
      <c r="B4" s="379"/>
      <c r="C4" s="178"/>
      <c r="D4" s="379"/>
      <c r="E4" s="379"/>
      <c r="F4" s="380"/>
      <c r="G4" s="390"/>
      <c r="H4" s="380"/>
      <c r="I4" s="382"/>
      <c r="J4" s="384"/>
      <c r="K4" s="386"/>
      <c r="L4" s="388"/>
      <c r="M4" s="390"/>
      <c r="N4" s="386"/>
      <c r="O4" s="388"/>
      <c r="P4" s="384"/>
      <c r="Q4" s="388"/>
      <c r="R4" s="393"/>
      <c r="S4" s="395"/>
      <c r="T4" s="179" t="s">
        <v>5</v>
      </c>
      <c r="U4" s="179" t="s">
        <v>6</v>
      </c>
      <c r="V4" s="390"/>
      <c r="W4" s="382"/>
      <c r="X4" s="178" t="s">
        <v>32</v>
      </c>
      <c r="Y4" s="178" t="s">
        <v>33</v>
      </c>
      <c r="Z4" s="417"/>
      <c r="AA4" s="417"/>
      <c r="AB4" s="386"/>
      <c r="AC4" s="393"/>
      <c r="AD4" s="395"/>
    </row>
    <row r="5" spans="1:30" ht="15" customHeight="1">
      <c r="A5" s="411" t="s">
        <v>66</v>
      </c>
      <c r="B5" s="199" t="str">
        <f>VLOOKUP(D5,廠價表!$C$1:$E$39,2,0)</f>
        <v>義大利麵</v>
      </c>
      <c r="C5" s="102"/>
      <c r="D5" s="103" t="s">
        <v>127</v>
      </c>
      <c r="E5" s="104"/>
      <c r="F5" s="199">
        <f>VLOOKUP(D5,廠價表!$C$1:$E$39,3,0)</f>
        <v>57.21</v>
      </c>
      <c r="G5" s="105">
        <v>1659</v>
      </c>
      <c r="H5" s="106">
        <f>F5*G5</f>
        <v>94911.39</v>
      </c>
      <c r="I5" s="107"/>
      <c r="J5" s="108">
        <v>14</v>
      </c>
      <c r="K5" s="105">
        <f>VLOOKUP(D5,產線配置圖!$A$2:$C$38,3,0)</f>
        <v>2105</v>
      </c>
      <c r="L5" s="109">
        <f>K5/J5</f>
        <v>150.35714285714286</v>
      </c>
      <c r="M5" s="110">
        <v>14</v>
      </c>
      <c r="N5" s="105">
        <f t="shared" ref="N5:N8" si="0">G5/W5*60</f>
        <v>1777.5000000000014</v>
      </c>
      <c r="O5" s="109">
        <f t="shared" ref="O5:O8" si="1">N5/M5</f>
        <v>126.96428571428581</v>
      </c>
      <c r="P5" s="111">
        <f t="shared" ref="P5:P8" si="2">M5-J5</f>
        <v>0</v>
      </c>
      <c r="Q5" s="112">
        <f t="shared" ref="Q5:Q8" si="3">O5-L5</f>
        <v>-23.392857142857054</v>
      </c>
      <c r="R5" s="184">
        <f t="shared" ref="R5:R8" si="4">O5/L5</f>
        <v>0.84441805225653266</v>
      </c>
      <c r="S5" s="396">
        <f>R15</f>
        <v>0.91977616547424512</v>
      </c>
      <c r="T5" s="94">
        <v>0.2902777777777778</v>
      </c>
      <c r="U5" s="94">
        <v>0.32916666666666666</v>
      </c>
      <c r="V5" s="194"/>
      <c r="W5" s="107">
        <f t="shared" ref="W5:W14" si="5">(U5-T5)*24*60</f>
        <v>55.999999999999957</v>
      </c>
      <c r="X5" s="188"/>
      <c r="Y5" s="188"/>
      <c r="Z5" s="400"/>
      <c r="AA5" s="400"/>
      <c r="AB5" s="111">
        <f>N5-K5</f>
        <v>-327.49999999999864</v>
      </c>
      <c r="AC5" s="184">
        <f>N5/K5</f>
        <v>0.84441805225653277</v>
      </c>
      <c r="AD5" s="401">
        <f>AC15</f>
        <v>0.9211220748591028</v>
      </c>
    </row>
    <row r="6" spans="1:30" ht="15" customHeight="1">
      <c r="A6" s="412"/>
      <c r="B6" s="56" t="str">
        <f>VLOOKUP(D6,廠價表!$C$1:$E$39,2,0)</f>
        <v>義大利麵</v>
      </c>
      <c r="C6" s="10"/>
      <c r="D6" s="11" t="s">
        <v>139</v>
      </c>
      <c r="E6" s="86"/>
      <c r="F6" s="56">
        <f>VLOOKUP(D6,廠價表!$C$1:$E$39,3,0)</f>
        <v>57.21</v>
      </c>
      <c r="G6" s="25">
        <v>2299</v>
      </c>
      <c r="H6" s="15">
        <f t="shared" ref="H6:H14" si="6">F6*G6</f>
        <v>131525.79</v>
      </c>
      <c r="I6" s="182"/>
      <c r="J6" s="16">
        <v>18</v>
      </c>
      <c r="K6" s="14">
        <f>VLOOKUP(D6,產線配置圖!$A$2:$C$38,3,0)</f>
        <v>1895</v>
      </c>
      <c r="L6" s="17">
        <f>K6/J6</f>
        <v>105.27777777777777</v>
      </c>
      <c r="M6" s="180">
        <v>18</v>
      </c>
      <c r="N6" s="14">
        <f t="shared" si="0"/>
        <v>1791.428571428572</v>
      </c>
      <c r="O6" s="17">
        <f t="shared" si="1"/>
        <v>99.523809523809561</v>
      </c>
      <c r="P6" s="18">
        <f t="shared" si="2"/>
        <v>0</v>
      </c>
      <c r="Q6" s="19">
        <f t="shared" si="3"/>
        <v>-5.7539682539682104</v>
      </c>
      <c r="R6" s="185">
        <f t="shared" si="4"/>
        <v>0.94534489257444443</v>
      </c>
      <c r="S6" s="397"/>
      <c r="T6" s="95">
        <v>0.33819444444444446</v>
      </c>
      <c r="U6" s="95">
        <v>0.39166666666666666</v>
      </c>
      <c r="V6" s="177">
        <f>(T6-U5)*24*60</f>
        <v>13.000000000000034</v>
      </c>
      <c r="W6" s="182">
        <f t="shared" si="5"/>
        <v>76.999999999999972</v>
      </c>
      <c r="X6" s="22"/>
      <c r="Y6" s="22"/>
      <c r="Z6" s="381"/>
      <c r="AA6" s="381"/>
      <c r="AB6" s="18">
        <f>N6-K6</f>
        <v>-103.57142857142799</v>
      </c>
      <c r="AC6" s="185">
        <f>N6/K6</f>
        <v>0.94534489257444432</v>
      </c>
      <c r="AD6" s="402"/>
    </row>
    <row r="7" spans="1:30" ht="15" customHeight="1">
      <c r="A7" s="412"/>
      <c r="B7" s="56" t="str">
        <f>VLOOKUP(D7,廠價表!$C$1:$E$39,2,0)</f>
        <v>義大利麵</v>
      </c>
      <c r="C7" s="10"/>
      <c r="D7" s="11" t="s">
        <v>141</v>
      </c>
      <c r="E7" s="86"/>
      <c r="F7" s="56">
        <f>VLOOKUP(D7,廠價表!$C$1:$E$39,3,0)</f>
        <v>49.14</v>
      </c>
      <c r="G7" s="25">
        <v>3412</v>
      </c>
      <c r="H7" s="15">
        <f t="shared" si="6"/>
        <v>167665.68</v>
      </c>
      <c r="I7" s="182"/>
      <c r="J7" s="16">
        <v>14</v>
      </c>
      <c r="K7" s="14">
        <f>VLOOKUP(D7,產線配置圖!$A$2:$C$38,3,0)</f>
        <v>2000</v>
      </c>
      <c r="L7" s="17">
        <f>K7/J7</f>
        <v>142.85714285714286</v>
      </c>
      <c r="M7" s="180">
        <v>14</v>
      </c>
      <c r="N7" s="14">
        <f t="shared" si="0"/>
        <v>1931.3207547169807</v>
      </c>
      <c r="O7" s="17">
        <f t="shared" si="1"/>
        <v>137.95148247978435</v>
      </c>
      <c r="P7" s="18">
        <f t="shared" si="2"/>
        <v>0</v>
      </c>
      <c r="Q7" s="19">
        <f t="shared" si="3"/>
        <v>-4.9056603773585152</v>
      </c>
      <c r="R7" s="185">
        <f t="shared" si="4"/>
        <v>0.96566037735849042</v>
      </c>
      <c r="S7" s="397"/>
      <c r="T7" s="95">
        <v>0.3972222222222222</v>
      </c>
      <c r="U7" s="95">
        <v>0.47083333333333333</v>
      </c>
      <c r="V7" s="177">
        <f>(T7-U6)*24*60</f>
        <v>7.9999999999999716</v>
      </c>
      <c r="W7" s="182">
        <f t="shared" si="5"/>
        <v>106.00000000000003</v>
      </c>
      <c r="X7" s="22"/>
      <c r="Y7" s="22"/>
      <c r="Z7" s="405"/>
      <c r="AA7" s="405"/>
      <c r="AB7" s="18">
        <f>N7-K7</f>
        <v>-68.679245283019327</v>
      </c>
      <c r="AC7" s="185">
        <f>N7/K7</f>
        <v>0.96566037735849031</v>
      </c>
      <c r="AD7" s="402"/>
    </row>
    <row r="8" spans="1:30" ht="15" customHeight="1">
      <c r="A8" s="412"/>
      <c r="B8" s="56" t="str">
        <f>VLOOKUP(D8,廠價表!$C$1:$E$39,2,0)</f>
        <v>義大利麵</v>
      </c>
      <c r="C8" s="10"/>
      <c r="D8" s="11" t="s">
        <v>141</v>
      </c>
      <c r="E8" s="86"/>
      <c r="F8" s="56">
        <f>VLOOKUP(D8,廠價表!$C$1:$E$39,3,0)</f>
        <v>49.14</v>
      </c>
      <c r="G8" s="25">
        <v>1713</v>
      </c>
      <c r="H8" s="15">
        <f t="shared" si="6"/>
        <v>84176.82</v>
      </c>
      <c r="I8" s="182"/>
      <c r="J8" s="16">
        <v>14</v>
      </c>
      <c r="K8" s="14">
        <f>VLOOKUP(D8,產線配置圖!$A$2:$C$38,3,0)</f>
        <v>2000</v>
      </c>
      <c r="L8" s="17">
        <f>K8/J8</f>
        <v>142.85714285714286</v>
      </c>
      <c r="M8" s="180">
        <v>14</v>
      </c>
      <c r="N8" s="14">
        <f t="shared" si="0"/>
        <v>1868.7272727272684</v>
      </c>
      <c r="O8" s="17">
        <f t="shared" si="1"/>
        <v>133.48051948051918</v>
      </c>
      <c r="P8" s="18">
        <f t="shared" si="2"/>
        <v>0</v>
      </c>
      <c r="Q8" s="19">
        <f t="shared" si="3"/>
        <v>-9.3766233766236837</v>
      </c>
      <c r="R8" s="185">
        <f t="shared" si="4"/>
        <v>0.93436363636363418</v>
      </c>
      <c r="S8" s="397"/>
      <c r="T8" s="79">
        <v>0.54374999999999996</v>
      </c>
      <c r="U8" s="79">
        <v>0.58194444444444449</v>
      </c>
      <c r="V8" s="177">
        <f>(T8-U7)*24*60</f>
        <v>104.99999999999994</v>
      </c>
      <c r="W8" s="182">
        <f t="shared" si="5"/>
        <v>55.000000000000128</v>
      </c>
      <c r="X8" s="22"/>
      <c r="Y8" s="22"/>
      <c r="Z8" s="406"/>
      <c r="AA8" s="406"/>
      <c r="AB8" s="18">
        <f>N8-K8</f>
        <v>-131.27272727273157</v>
      </c>
      <c r="AC8" s="185">
        <f>N8/K8</f>
        <v>0.93436363636363418</v>
      </c>
      <c r="AD8" s="402"/>
    </row>
    <row r="9" spans="1:30" ht="15" customHeight="1">
      <c r="A9" s="413"/>
      <c r="B9" s="56"/>
      <c r="C9" s="10"/>
      <c r="D9" s="11"/>
      <c r="E9" s="86"/>
      <c r="F9" s="56"/>
      <c r="G9" s="25"/>
      <c r="H9" s="15"/>
      <c r="I9" s="182"/>
      <c r="J9" s="16"/>
      <c r="K9" s="14"/>
      <c r="L9" s="17"/>
      <c r="M9" s="180"/>
      <c r="N9" s="14"/>
      <c r="O9" s="17"/>
      <c r="P9" s="18"/>
      <c r="Q9" s="19"/>
      <c r="R9" s="185"/>
      <c r="S9" s="398"/>
      <c r="T9" s="20"/>
      <c r="U9" s="20"/>
      <c r="V9" s="177"/>
      <c r="W9" s="24">
        <f t="shared" si="5"/>
        <v>0</v>
      </c>
      <c r="X9" s="22">
        <v>0.4861111111111111</v>
      </c>
      <c r="Y9" s="263">
        <v>0.52777777777777779</v>
      </c>
      <c r="Z9" s="407"/>
      <c r="AA9" s="407"/>
      <c r="AB9" s="18">
        <f>N9-K9</f>
        <v>0</v>
      </c>
      <c r="AC9" s="185" t="e">
        <f>N9/K9</f>
        <v>#DIV/0!</v>
      </c>
      <c r="AD9" s="403"/>
    </row>
    <row r="10" spans="1:30" ht="15" customHeight="1">
      <c r="A10" s="413"/>
      <c r="B10" s="56"/>
      <c r="C10" s="23"/>
      <c r="D10" s="11"/>
      <c r="E10" s="12"/>
      <c r="F10" s="56"/>
      <c r="G10" s="25"/>
      <c r="H10" s="15"/>
      <c r="I10" s="182"/>
      <c r="J10" s="16"/>
      <c r="K10" s="14"/>
      <c r="L10" s="17"/>
      <c r="M10" s="180"/>
      <c r="N10" s="14"/>
      <c r="O10" s="17"/>
      <c r="P10" s="18"/>
      <c r="Q10" s="19"/>
      <c r="R10" s="185"/>
      <c r="S10" s="398"/>
      <c r="T10" s="20"/>
      <c r="U10" s="20"/>
      <c r="V10" s="177"/>
      <c r="W10" s="182">
        <f t="shared" si="5"/>
        <v>0</v>
      </c>
      <c r="X10" s="22"/>
      <c r="Y10" s="263"/>
      <c r="Z10" s="419"/>
      <c r="AA10" s="418"/>
      <c r="AB10" s="264"/>
      <c r="AC10" s="185"/>
      <c r="AD10" s="403"/>
    </row>
    <row r="11" spans="1:30" ht="15" customHeight="1">
      <c r="A11" s="413"/>
      <c r="B11" s="177"/>
      <c r="C11" s="183"/>
      <c r="D11" s="11"/>
      <c r="E11" s="12"/>
      <c r="F11" s="56"/>
      <c r="G11" s="25"/>
      <c r="H11" s="15"/>
      <c r="I11" s="182"/>
      <c r="J11" s="16"/>
      <c r="K11" s="14"/>
      <c r="L11" s="17"/>
      <c r="M11" s="180"/>
      <c r="N11" s="25"/>
      <c r="O11" s="17"/>
      <c r="P11" s="18"/>
      <c r="Q11" s="19"/>
      <c r="R11" s="185"/>
      <c r="S11" s="398"/>
      <c r="T11" s="20"/>
      <c r="U11" s="20"/>
      <c r="V11" s="177"/>
      <c r="W11" s="24">
        <f t="shared" si="5"/>
        <v>0</v>
      </c>
      <c r="X11" s="22"/>
      <c r="Y11" s="263"/>
      <c r="Z11" s="419"/>
      <c r="AA11" s="418"/>
      <c r="AB11" s="264"/>
      <c r="AC11" s="185"/>
      <c r="AD11" s="403"/>
    </row>
    <row r="12" spans="1:30" ht="15" customHeight="1">
      <c r="A12" s="413"/>
      <c r="B12" s="26"/>
      <c r="C12" s="27"/>
      <c r="D12" s="28"/>
      <c r="E12" s="29"/>
      <c r="F12" s="13"/>
      <c r="G12" s="30"/>
      <c r="H12" s="15">
        <f t="shared" si="6"/>
        <v>0</v>
      </c>
      <c r="I12" s="178"/>
      <c r="J12" s="31"/>
      <c r="K12" s="30"/>
      <c r="L12" s="17"/>
      <c r="M12" s="181"/>
      <c r="N12" s="25"/>
      <c r="O12" s="17"/>
      <c r="P12" s="18"/>
      <c r="Q12" s="19"/>
      <c r="R12" s="185"/>
      <c r="S12" s="398"/>
      <c r="T12" s="32"/>
      <c r="U12" s="32"/>
      <c r="V12" s="178"/>
      <c r="W12" s="24">
        <f t="shared" si="5"/>
        <v>0</v>
      </c>
      <c r="X12" s="33"/>
      <c r="Y12" s="33"/>
      <c r="Z12" s="407"/>
      <c r="AA12" s="407"/>
      <c r="AB12" s="34"/>
      <c r="AC12" s="186"/>
      <c r="AD12" s="403"/>
    </row>
    <row r="13" spans="1:30" ht="15" customHeight="1">
      <c r="A13" s="413"/>
      <c r="B13" s="26"/>
      <c r="C13" s="27"/>
      <c r="D13" s="28"/>
      <c r="E13" s="29"/>
      <c r="F13" s="13"/>
      <c r="G13" s="30"/>
      <c r="H13" s="15">
        <f t="shared" si="6"/>
        <v>0</v>
      </c>
      <c r="I13" s="178"/>
      <c r="J13" s="31"/>
      <c r="K13" s="30"/>
      <c r="L13" s="17"/>
      <c r="M13" s="181"/>
      <c r="N13" s="25"/>
      <c r="O13" s="17"/>
      <c r="P13" s="18"/>
      <c r="Q13" s="19"/>
      <c r="R13" s="185"/>
      <c r="S13" s="398"/>
      <c r="T13" s="32"/>
      <c r="U13" s="32"/>
      <c r="V13" s="178"/>
      <c r="W13" s="24">
        <f t="shared" si="5"/>
        <v>0</v>
      </c>
      <c r="X13" s="33"/>
      <c r="Y13" s="33"/>
      <c r="Z13" s="419"/>
      <c r="AA13" s="418"/>
      <c r="AB13" s="34"/>
      <c r="AC13" s="186"/>
      <c r="AD13" s="403"/>
    </row>
    <row r="14" spans="1:30" ht="15" customHeight="1">
      <c r="A14" s="413"/>
      <c r="B14" s="26"/>
      <c r="C14" s="27"/>
      <c r="D14" s="28"/>
      <c r="E14" s="29"/>
      <c r="F14" s="13"/>
      <c r="G14" s="30"/>
      <c r="H14" s="15">
        <f t="shared" si="6"/>
        <v>0</v>
      </c>
      <c r="I14" s="178"/>
      <c r="J14" s="31"/>
      <c r="K14" s="30"/>
      <c r="L14" s="17"/>
      <c r="M14" s="181"/>
      <c r="N14" s="25"/>
      <c r="O14" s="17"/>
      <c r="P14" s="18"/>
      <c r="Q14" s="19"/>
      <c r="R14" s="185"/>
      <c r="S14" s="398"/>
      <c r="T14" s="32"/>
      <c r="U14" s="32"/>
      <c r="V14" s="178"/>
      <c r="W14" s="24">
        <f t="shared" si="5"/>
        <v>0</v>
      </c>
      <c r="X14" s="33"/>
      <c r="Y14" s="33"/>
      <c r="Z14" s="419"/>
      <c r="AA14" s="418"/>
      <c r="AB14" s="34"/>
      <c r="AC14" s="186"/>
      <c r="AD14" s="403"/>
    </row>
    <row r="15" spans="1:30" ht="15" customHeight="1" thickBot="1">
      <c r="A15" s="414"/>
      <c r="B15" s="113"/>
      <c r="C15" s="113" t="s">
        <v>34</v>
      </c>
      <c r="D15" s="410" t="s">
        <v>7</v>
      </c>
      <c r="E15" s="410"/>
      <c r="F15" s="114"/>
      <c r="G15" s="115"/>
      <c r="H15" s="116"/>
      <c r="I15" s="117"/>
      <c r="J15" s="118">
        <f t="shared" ref="J15:O15" si="7">AVERAGE(J5:J14)</f>
        <v>15</v>
      </c>
      <c r="K15" s="118">
        <f t="shared" si="7"/>
        <v>2000</v>
      </c>
      <c r="L15" s="115">
        <f t="shared" si="7"/>
        <v>135.3373015873016</v>
      </c>
      <c r="M15" s="118">
        <f t="shared" si="7"/>
        <v>15</v>
      </c>
      <c r="N15" s="118">
        <f t="shared" si="7"/>
        <v>1842.2441497182056</v>
      </c>
      <c r="O15" s="115">
        <f t="shared" si="7"/>
        <v>124.48002429959973</v>
      </c>
      <c r="P15" s="119">
        <f t="shared" ref="P15:P16" si="8">M15-J15</f>
        <v>0</v>
      </c>
      <c r="Q15" s="120">
        <f t="shared" ref="Q15:Q16" si="9">O15-L15</f>
        <v>-10.857277287701862</v>
      </c>
      <c r="R15" s="121">
        <f t="shared" ref="R15:R16" si="10">O15/L15</f>
        <v>0.91977616547424512</v>
      </c>
      <c r="S15" s="399"/>
      <c r="T15" s="122"/>
      <c r="U15" s="122"/>
      <c r="V15" s="195"/>
      <c r="W15" s="123"/>
      <c r="X15" s="124"/>
      <c r="Y15" s="124"/>
      <c r="Z15" s="391"/>
      <c r="AA15" s="391"/>
      <c r="AB15" s="119">
        <f>N15-K15</f>
        <v>-157.75585028179444</v>
      </c>
      <c r="AC15" s="187">
        <f>N15/K15</f>
        <v>0.9211220748591028</v>
      </c>
      <c r="AD15" s="404"/>
    </row>
    <row r="16" spans="1:30" ht="15" customHeight="1">
      <c r="A16" s="431" t="s">
        <v>67</v>
      </c>
      <c r="B16" s="199" t="s">
        <v>134</v>
      </c>
      <c r="C16" s="102"/>
      <c r="D16" s="103" t="s">
        <v>127</v>
      </c>
      <c r="E16" s="104"/>
      <c r="F16" s="199">
        <f>VLOOKUP(D16,廠價表!$C$1:$E$39,3,0)</f>
        <v>57.21</v>
      </c>
      <c r="G16" s="265">
        <v>1407</v>
      </c>
      <c r="H16" s="125">
        <f t="shared" ref="H16:H25" si="11">F16*G16</f>
        <v>80494.47</v>
      </c>
      <c r="I16" s="126"/>
      <c r="J16" s="108">
        <v>14</v>
      </c>
      <c r="K16" s="105">
        <f>VLOOKUP(D16,產線配置圖!$A$2:$C$38,3,0)</f>
        <v>2105</v>
      </c>
      <c r="L16" s="109">
        <f>K16/J16</f>
        <v>150.35714285714286</v>
      </c>
      <c r="M16" s="267">
        <v>14</v>
      </c>
      <c r="N16" s="127">
        <f>G16/W16*60</f>
        <v>1796.1702127659578</v>
      </c>
      <c r="O16" s="128">
        <f>N16/M16</f>
        <v>128.29787234042556</v>
      </c>
      <c r="P16" s="129">
        <f t="shared" si="8"/>
        <v>0</v>
      </c>
      <c r="Q16" s="130">
        <f t="shared" si="9"/>
        <v>-22.059270516717305</v>
      </c>
      <c r="R16" s="189">
        <f t="shared" si="10"/>
        <v>0.85328751200283026</v>
      </c>
      <c r="S16" s="424">
        <f>R26</f>
        <v>0.89935731510041961</v>
      </c>
      <c r="T16" s="268">
        <v>0.28958333333333336</v>
      </c>
      <c r="U16" s="268">
        <v>0.32222222222222224</v>
      </c>
      <c r="V16" s="126"/>
      <c r="W16" s="131">
        <f t="shared" ref="W16:W68" si="12">(U16-T16)*24*60</f>
        <v>46.999999999999993</v>
      </c>
      <c r="X16" s="128"/>
      <c r="Y16" s="128"/>
      <c r="Z16" s="400"/>
      <c r="AA16" s="400"/>
      <c r="AB16" s="111">
        <f>N16-K16</f>
        <v>-308.82978723404221</v>
      </c>
      <c r="AC16" s="184">
        <f>N16/K16</f>
        <v>0.85328751200283026</v>
      </c>
      <c r="AD16" s="401">
        <f>AC26</f>
        <v>0.89852809534434974</v>
      </c>
    </row>
    <row r="17" spans="1:30" ht="15" customHeight="1">
      <c r="A17" s="432"/>
      <c r="B17" s="56" t="s">
        <v>62</v>
      </c>
      <c r="C17" s="10"/>
      <c r="D17" s="11" t="s">
        <v>153</v>
      </c>
      <c r="E17" s="86"/>
      <c r="F17" s="56">
        <f>VLOOKUP(D17,廠價表!$C$1:$E$39,3,0)</f>
        <v>50.67</v>
      </c>
      <c r="G17" s="96">
        <v>4504</v>
      </c>
      <c r="H17" s="15">
        <f>F17*G17</f>
        <v>228217.68000000002</v>
      </c>
      <c r="I17" s="177"/>
      <c r="J17" s="16">
        <v>14</v>
      </c>
      <c r="K17" s="14">
        <f>VLOOKUP(D17,產線配置圖!$A$2:$C$38,3,0)</f>
        <v>2000</v>
      </c>
      <c r="L17" s="17">
        <f>K17/J17</f>
        <v>142.85714285714286</v>
      </c>
      <c r="M17" s="37">
        <v>14</v>
      </c>
      <c r="N17" s="36">
        <f>G17/W17*60</f>
        <v>1801.5999999999997</v>
      </c>
      <c r="O17" s="38">
        <f>N17/M17</f>
        <v>128.68571428571425</v>
      </c>
      <c r="P17" s="39">
        <f>M17-J17</f>
        <v>0</v>
      </c>
      <c r="Q17" s="40">
        <f>O17-L17</f>
        <v>-14.171428571428606</v>
      </c>
      <c r="R17" s="190">
        <f>O17/L17</f>
        <v>0.90079999999999971</v>
      </c>
      <c r="S17" s="425"/>
      <c r="T17" s="41">
        <v>0.33055555555555555</v>
      </c>
      <c r="U17" s="41">
        <v>0.43472222222222223</v>
      </c>
      <c r="V17" s="177">
        <f>(T17-U16)*24*60</f>
        <v>11.999999999999957</v>
      </c>
      <c r="W17" s="43">
        <f t="shared" si="12"/>
        <v>150.00000000000003</v>
      </c>
      <c r="X17" s="44"/>
      <c r="Y17" s="44"/>
      <c r="Z17" s="381"/>
      <c r="AA17" s="381"/>
      <c r="AB17" s="18">
        <f>N17-K17</f>
        <v>-198.40000000000032</v>
      </c>
      <c r="AC17" s="185">
        <f>N17/K17</f>
        <v>0.90079999999999982</v>
      </c>
      <c r="AD17" s="402"/>
    </row>
    <row r="18" spans="1:30" ht="15" customHeight="1">
      <c r="A18" s="432"/>
      <c r="B18" s="56" t="s">
        <v>62</v>
      </c>
      <c r="C18" s="10"/>
      <c r="D18" s="11" t="s">
        <v>131</v>
      </c>
      <c r="E18" s="86"/>
      <c r="F18" s="56">
        <f>VLOOKUP(D18,廠價表!$C$1:$E$39,3,0)</f>
        <v>50.39</v>
      </c>
      <c r="G18" s="96">
        <v>1814</v>
      </c>
      <c r="H18" s="15">
        <f>F18*G18</f>
        <v>91407.46</v>
      </c>
      <c r="I18" s="177"/>
      <c r="J18" s="16">
        <v>13</v>
      </c>
      <c r="K18" s="14">
        <f>VLOOKUP(D18,產線配置圖!$A$2:$C$38,3,0)</f>
        <v>2000</v>
      </c>
      <c r="L18" s="17">
        <f>K18/J18</f>
        <v>153.84615384615384</v>
      </c>
      <c r="M18" s="37">
        <v>13</v>
      </c>
      <c r="N18" s="36">
        <f>G18/W18*60</f>
        <v>1813.9999999999991</v>
      </c>
      <c r="O18" s="38">
        <f>N18/M18</f>
        <v>139.53846153846146</v>
      </c>
      <c r="P18" s="39">
        <f>M18-J18</f>
        <v>0</v>
      </c>
      <c r="Q18" s="40">
        <f>O18-L18</f>
        <v>-14.307692307692378</v>
      </c>
      <c r="R18" s="190">
        <f>O18/L18</f>
        <v>0.90699999999999958</v>
      </c>
      <c r="S18" s="425"/>
      <c r="T18" s="41">
        <v>0.44097222222222221</v>
      </c>
      <c r="U18" s="41">
        <v>0.4826388888888889</v>
      </c>
      <c r="V18" s="177">
        <f>(T18-U17)*24*60</f>
        <v>8.999999999999968</v>
      </c>
      <c r="W18" s="43">
        <f t="shared" si="12"/>
        <v>60.000000000000028</v>
      </c>
      <c r="X18" s="22"/>
      <c r="Y18" s="22"/>
      <c r="Z18" s="418"/>
      <c r="AA18" s="405"/>
      <c r="AB18" s="18">
        <f>N18-K18</f>
        <v>-186.00000000000091</v>
      </c>
      <c r="AC18" s="185">
        <f>N18/K18</f>
        <v>0.90699999999999958</v>
      </c>
      <c r="AD18" s="402"/>
    </row>
    <row r="19" spans="1:30" ht="15" customHeight="1">
      <c r="A19" s="432"/>
      <c r="B19" s="56" t="s">
        <v>62</v>
      </c>
      <c r="C19" s="23"/>
      <c r="D19" s="11" t="s">
        <v>131</v>
      </c>
      <c r="E19" s="12"/>
      <c r="F19" s="56">
        <f>VLOOKUP(D19,廠價表!$C$1:$E$39,3,0)</f>
        <v>50.39</v>
      </c>
      <c r="G19" s="96">
        <v>3118</v>
      </c>
      <c r="H19" s="15">
        <f t="shared" ref="H19" si="13">F19*G19</f>
        <v>157116.01999999999</v>
      </c>
      <c r="I19" s="177"/>
      <c r="J19" s="16">
        <v>13</v>
      </c>
      <c r="K19" s="14">
        <f>VLOOKUP(D19,產線配置圖!$A$2:$C$38,3,0)</f>
        <v>2000</v>
      </c>
      <c r="L19" s="17">
        <f t="shared" ref="L19" si="14">K19/J19</f>
        <v>153.84615384615384</v>
      </c>
      <c r="M19" s="37">
        <v>13</v>
      </c>
      <c r="N19" s="36">
        <f>G19/W19*60</f>
        <v>1870.7999999999977</v>
      </c>
      <c r="O19" s="38">
        <f>N19/M19</f>
        <v>143.90769230769212</v>
      </c>
      <c r="P19" s="39">
        <f>M19-J19</f>
        <v>0</v>
      </c>
      <c r="Q19" s="40">
        <f>O19-L19</f>
        <v>-9.9384615384617234</v>
      </c>
      <c r="R19" s="190">
        <f>O19/L19</f>
        <v>0.93539999999999879</v>
      </c>
      <c r="S19" s="425"/>
      <c r="T19" s="41">
        <v>0.54513888888888884</v>
      </c>
      <c r="U19" s="41">
        <v>0.61458333333333337</v>
      </c>
      <c r="V19" s="177">
        <f>(T19-U18)*24*60</f>
        <v>89.999999999999915</v>
      </c>
      <c r="W19" s="43">
        <f t="shared" si="12"/>
        <v>100.00000000000013</v>
      </c>
      <c r="X19" s="22">
        <v>0.4861111111111111</v>
      </c>
      <c r="Y19" s="263">
        <v>0.52777777777777779</v>
      </c>
      <c r="Z19" s="407"/>
      <c r="AA19" s="407"/>
      <c r="AB19" s="18">
        <f>N19-K19</f>
        <v>-129.20000000000232</v>
      </c>
      <c r="AC19" s="185">
        <f>N19/K19</f>
        <v>0.93539999999999879</v>
      </c>
      <c r="AD19" s="403"/>
    </row>
    <row r="20" spans="1:30" ht="15" customHeight="1">
      <c r="A20" s="432"/>
      <c r="B20" s="56"/>
      <c r="C20" s="23"/>
      <c r="D20" s="11"/>
      <c r="E20" s="12"/>
      <c r="F20" s="56"/>
      <c r="G20" s="96"/>
      <c r="H20" s="15"/>
      <c r="I20" s="177"/>
      <c r="J20" s="16"/>
      <c r="K20" s="14"/>
      <c r="L20" s="17"/>
      <c r="M20" s="37"/>
      <c r="N20" s="36"/>
      <c r="O20" s="38"/>
      <c r="P20" s="39"/>
      <c r="Q20" s="40"/>
      <c r="R20" s="190"/>
      <c r="S20" s="425"/>
      <c r="T20" s="41"/>
      <c r="U20" s="41"/>
      <c r="V20" s="177"/>
      <c r="W20" s="43">
        <f t="shared" si="12"/>
        <v>0</v>
      </c>
      <c r="X20" s="44"/>
      <c r="Y20" s="44"/>
      <c r="Z20" s="418"/>
      <c r="AA20" s="405"/>
      <c r="AB20" s="34"/>
      <c r="AC20" s="186"/>
      <c r="AD20" s="403"/>
    </row>
    <row r="21" spans="1:30" ht="15" customHeight="1">
      <c r="A21" s="433"/>
      <c r="B21" s="177"/>
      <c r="C21" s="23"/>
      <c r="D21" s="11"/>
      <c r="E21" s="12"/>
      <c r="F21" s="13"/>
      <c r="G21" s="36"/>
      <c r="H21" s="15">
        <f t="shared" si="11"/>
        <v>0</v>
      </c>
      <c r="I21" s="43"/>
      <c r="J21" s="37"/>
      <c r="K21" s="36"/>
      <c r="L21" s="38"/>
      <c r="M21" s="37"/>
      <c r="N21" s="36"/>
      <c r="O21" s="38"/>
      <c r="P21" s="39"/>
      <c r="Q21" s="40"/>
      <c r="R21" s="190"/>
      <c r="S21" s="425"/>
      <c r="T21" s="41"/>
      <c r="U21" s="41"/>
      <c r="V21" s="42"/>
      <c r="W21" s="43">
        <v>0</v>
      </c>
      <c r="X21" s="42"/>
      <c r="Y21" s="42"/>
      <c r="Z21" s="418"/>
      <c r="AA21" s="405"/>
      <c r="AB21" s="34"/>
      <c r="AC21" s="186"/>
      <c r="AD21" s="403"/>
    </row>
    <row r="22" spans="1:30" ht="15" customHeight="1">
      <c r="A22" s="433"/>
      <c r="B22" s="177"/>
      <c r="C22" s="183"/>
      <c r="D22" s="11"/>
      <c r="E22" s="12"/>
      <c r="F22" s="13"/>
      <c r="G22" s="36"/>
      <c r="H22" s="15">
        <f t="shared" si="11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90"/>
      <c r="S22" s="425"/>
      <c r="T22" s="41"/>
      <c r="U22" s="41"/>
      <c r="V22" s="42"/>
      <c r="W22" s="43">
        <v>0</v>
      </c>
      <c r="X22" s="42"/>
      <c r="Y22" s="42"/>
      <c r="Z22" s="418"/>
      <c r="AA22" s="405"/>
      <c r="AB22" s="34"/>
      <c r="AC22" s="186"/>
      <c r="AD22" s="403"/>
    </row>
    <row r="23" spans="1:30" ht="15" customHeight="1">
      <c r="A23" s="433"/>
      <c r="B23" s="26"/>
      <c r="C23" s="27"/>
      <c r="D23" s="28"/>
      <c r="E23" s="29"/>
      <c r="F23" s="13"/>
      <c r="G23" s="36"/>
      <c r="H23" s="15">
        <f t="shared" si="11"/>
        <v>0</v>
      </c>
      <c r="I23" s="43"/>
      <c r="J23" s="37"/>
      <c r="K23" s="36"/>
      <c r="L23" s="38"/>
      <c r="M23" s="37"/>
      <c r="N23" s="36"/>
      <c r="O23" s="38"/>
      <c r="P23" s="39"/>
      <c r="Q23" s="40"/>
      <c r="R23" s="190"/>
      <c r="S23" s="425"/>
      <c r="T23" s="41"/>
      <c r="U23" s="41"/>
      <c r="W23" s="43">
        <f t="shared" si="12"/>
        <v>0</v>
      </c>
      <c r="X23" s="42"/>
      <c r="Y23" s="42"/>
      <c r="Z23" s="418"/>
      <c r="AA23" s="405"/>
      <c r="AB23" s="34"/>
      <c r="AC23" s="186"/>
      <c r="AD23" s="403"/>
    </row>
    <row r="24" spans="1:30" ht="15" customHeight="1">
      <c r="A24" s="433"/>
      <c r="B24" s="26"/>
      <c r="C24" s="27"/>
      <c r="D24" s="28"/>
      <c r="E24" s="29"/>
      <c r="F24" s="13"/>
      <c r="G24" s="36"/>
      <c r="H24" s="15">
        <f t="shared" si="11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90"/>
      <c r="S24" s="425"/>
      <c r="T24" s="41"/>
      <c r="U24" s="41"/>
      <c r="V24" s="42"/>
      <c r="W24" s="43">
        <f t="shared" si="12"/>
        <v>0</v>
      </c>
      <c r="X24" s="42"/>
      <c r="Y24" s="42"/>
      <c r="Z24" s="418"/>
      <c r="AA24" s="405"/>
      <c r="AB24" s="34"/>
      <c r="AC24" s="186"/>
      <c r="AD24" s="403"/>
    </row>
    <row r="25" spans="1:30" ht="15" customHeight="1">
      <c r="A25" s="433"/>
      <c r="B25" s="26"/>
      <c r="C25" s="27"/>
      <c r="D25" s="28"/>
      <c r="E25" s="29"/>
      <c r="F25" s="13"/>
      <c r="G25" s="36"/>
      <c r="H25" s="50">
        <f t="shared" si="11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90"/>
      <c r="S25" s="425"/>
      <c r="T25" s="41"/>
      <c r="U25" s="41"/>
      <c r="V25" s="42"/>
      <c r="W25" s="43">
        <f t="shared" si="12"/>
        <v>0</v>
      </c>
      <c r="X25" s="42"/>
      <c r="Y25" s="42"/>
      <c r="Z25" s="418"/>
      <c r="AA25" s="405"/>
      <c r="AB25" s="34"/>
      <c r="AC25" s="186"/>
      <c r="AD25" s="403"/>
    </row>
    <row r="26" spans="1:30" ht="15" customHeight="1" thickBot="1">
      <c r="A26" s="434"/>
      <c r="B26" s="132"/>
      <c r="C26" s="1" t="s">
        <v>35</v>
      </c>
      <c r="D26" s="410" t="s">
        <v>7</v>
      </c>
      <c r="E26" s="410"/>
      <c r="F26" s="133"/>
      <c r="G26" s="134"/>
      <c r="H26" s="135"/>
      <c r="I26" s="136"/>
      <c r="J26" s="134">
        <f t="shared" ref="J26:O26" si="15">AVERAGE(J16:J25)</f>
        <v>13.5</v>
      </c>
      <c r="K26" s="134">
        <f t="shared" si="15"/>
        <v>2026.25</v>
      </c>
      <c r="L26" s="137">
        <f t="shared" si="15"/>
        <v>150.22664835164835</v>
      </c>
      <c r="M26" s="134">
        <f t="shared" si="15"/>
        <v>13.5</v>
      </c>
      <c r="N26" s="134">
        <f t="shared" si="15"/>
        <v>1820.6425531914886</v>
      </c>
      <c r="O26" s="137">
        <f t="shared" si="15"/>
        <v>135.10743511807334</v>
      </c>
      <c r="P26" s="138">
        <f t="shared" ref="P26:P29" si="16">M26-J26</f>
        <v>0</v>
      </c>
      <c r="Q26" s="139">
        <f t="shared" ref="Q26:Q29" si="17">O26-L26</f>
        <v>-15.11921323357501</v>
      </c>
      <c r="R26" s="140">
        <f t="shared" ref="R26:R29" si="18">O26/L26</f>
        <v>0.89935731510041961</v>
      </c>
      <c r="S26" s="435"/>
      <c r="T26" s="141"/>
      <c r="U26" s="141"/>
      <c r="V26" s="146"/>
      <c r="W26" s="142"/>
      <c r="X26" s="143"/>
      <c r="Y26" s="143"/>
      <c r="Z26" s="420"/>
      <c r="AA26" s="391"/>
      <c r="AB26" s="119">
        <f>N26-K26</f>
        <v>-205.60744680851144</v>
      </c>
      <c r="AC26" s="187">
        <f>N26/K26</f>
        <v>0.89852809534434974</v>
      </c>
      <c r="AD26" s="404"/>
    </row>
    <row r="27" spans="1:30" ht="15" customHeight="1">
      <c r="A27" s="421" t="s">
        <v>54</v>
      </c>
      <c r="B27" s="229" t="s">
        <v>62</v>
      </c>
      <c r="C27" s="102"/>
      <c r="D27" s="103" t="s">
        <v>144</v>
      </c>
      <c r="E27" s="104"/>
      <c r="F27" s="199">
        <f>VLOOKUP(D27,廠價表!$C$1:$E$39,3,0)</f>
        <v>49.91</v>
      </c>
      <c r="G27" s="269">
        <v>2111</v>
      </c>
      <c r="H27" s="125">
        <f t="shared" ref="H27:H36" si="19">F27*G27</f>
        <v>105360.01</v>
      </c>
      <c r="I27" s="126"/>
      <c r="J27" s="108">
        <f>VLOOKUP(D27,產線配置圖!$A$2:$C$38,2,0)</f>
        <v>17</v>
      </c>
      <c r="K27" s="236">
        <f>VLOOKUP(D27,產線配置圖!$A$2:$C$38,3,0)</f>
        <v>1565</v>
      </c>
      <c r="L27" s="109">
        <f>K27/J27</f>
        <v>92.058823529411768</v>
      </c>
      <c r="M27" s="144">
        <v>15</v>
      </c>
      <c r="N27" s="127">
        <f>G27/W27*60</f>
        <v>1279.3939393939397</v>
      </c>
      <c r="O27" s="128">
        <f>N27/M27</f>
        <v>85.292929292929315</v>
      </c>
      <c r="P27" s="129">
        <f t="shared" si="16"/>
        <v>-2</v>
      </c>
      <c r="Q27" s="130">
        <f t="shared" si="17"/>
        <v>-6.7658942364824526</v>
      </c>
      <c r="R27" s="189">
        <f>O27/L27</f>
        <v>0.92650466324587755</v>
      </c>
      <c r="S27" s="424">
        <f>R37</f>
        <v>0.93485908534807283</v>
      </c>
      <c r="T27" s="94">
        <v>0.2902777777777778</v>
      </c>
      <c r="U27" s="94">
        <v>0.35902777777777778</v>
      </c>
      <c r="V27" s="126"/>
      <c r="W27" s="131">
        <f t="shared" si="12"/>
        <v>98.999999999999972</v>
      </c>
      <c r="X27" s="126"/>
      <c r="Y27" s="126" t="s">
        <v>147</v>
      </c>
      <c r="Z27" s="427"/>
      <c r="AA27" s="400"/>
      <c r="AB27" s="225">
        <f>N27-K27</f>
        <v>-285.60606060606028</v>
      </c>
      <c r="AC27" s="291">
        <f>N27/K27</f>
        <v>0.81750411462871553</v>
      </c>
      <c r="AD27" s="401">
        <f>AC37</f>
        <v>0.82919662118078763</v>
      </c>
    </row>
    <row r="28" spans="1:30" ht="15" customHeight="1">
      <c r="A28" s="422"/>
      <c r="B28" s="56" t="str">
        <f>VLOOKUP(D28,廠價表!$C$1:$E$39,2,0)</f>
        <v>義大利麵</v>
      </c>
      <c r="C28" s="10"/>
      <c r="D28" s="11" t="s">
        <v>137</v>
      </c>
      <c r="E28" s="86"/>
      <c r="F28" s="56">
        <f>VLOOKUP(D28,廠價表!$C$1:$E$39,3,0)</f>
        <v>55.13</v>
      </c>
      <c r="G28" s="53">
        <v>2463</v>
      </c>
      <c r="H28" s="50">
        <f t="shared" si="19"/>
        <v>135785.19</v>
      </c>
      <c r="I28" s="42"/>
      <c r="J28" s="16">
        <f>VLOOKUP(D28,產線配置圖!$A$2:$C$38,2,0)</f>
        <v>18</v>
      </c>
      <c r="K28" s="14">
        <f>VLOOKUP(D28,產線配置圖!$A$2:$C$38,3,0)</f>
        <v>1385</v>
      </c>
      <c r="L28" s="235">
        <f>K28/J28</f>
        <v>76.944444444444443</v>
      </c>
      <c r="M28" s="21">
        <v>15</v>
      </c>
      <c r="N28" s="36">
        <f>G28/W28*60</f>
        <v>1136.7692307692305</v>
      </c>
      <c r="O28" s="38">
        <f>N28/M28</f>
        <v>75.784615384615364</v>
      </c>
      <c r="P28" s="39">
        <f t="shared" si="16"/>
        <v>-3</v>
      </c>
      <c r="Q28" s="40">
        <f t="shared" si="17"/>
        <v>-1.1598290598290788</v>
      </c>
      <c r="R28" s="190">
        <f t="shared" si="18"/>
        <v>0.98492640933074116</v>
      </c>
      <c r="S28" s="425"/>
      <c r="T28" s="270">
        <v>0.36458333333333331</v>
      </c>
      <c r="U28" s="270">
        <v>0.4548611111111111</v>
      </c>
      <c r="V28" s="42">
        <f>(T28-U27)*24*60</f>
        <v>7.9999999999999716</v>
      </c>
      <c r="W28" s="43">
        <f t="shared" si="12"/>
        <v>130.00000000000003</v>
      </c>
      <c r="X28" s="54"/>
      <c r="Y28" s="54"/>
      <c r="Z28" s="418"/>
      <c r="AA28" s="419"/>
      <c r="AB28" s="39">
        <f>N28-K28</f>
        <v>-248.23076923076951</v>
      </c>
      <c r="AC28" s="190">
        <f>N28/K28</f>
        <v>0.82077200777561765</v>
      </c>
      <c r="AD28" s="447"/>
    </row>
    <row r="29" spans="1:30" ht="15" customHeight="1">
      <c r="A29" s="422"/>
      <c r="B29" s="56" t="s">
        <v>134</v>
      </c>
      <c r="C29" s="10"/>
      <c r="D29" s="11" t="s">
        <v>144</v>
      </c>
      <c r="E29" s="86"/>
      <c r="F29" s="56">
        <f>VLOOKUP(D29,廠價表!$C$1:$E$39,3,0)</f>
        <v>49.91</v>
      </c>
      <c r="G29" s="238">
        <v>1040</v>
      </c>
      <c r="H29" s="50">
        <f t="shared" si="19"/>
        <v>51906.399999999994</v>
      </c>
      <c r="I29" s="42"/>
      <c r="J29" s="16">
        <f>VLOOKUP(D29,產線配置圖!$A$2:$C$38,2,0)</f>
        <v>17</v>
      </c>
      <c r="K29" s="14">
        <f>VLOOKUP(D29,產線配置圖!$A$2:$C$38,3,0)</f>
        <v>1565</v>
      </c>
      <c r="L29" s="235">
        <f t="shared" ref="L29" si="20">K29/J29</f>
        <v>92.058823529411768</v>
      </c>
      <c r="M29" s="21">
        <v>16</v>
      </c>
      <c r="N29" s="36">
        <f>G29/W29*60</f>
        <v>1327.6595744680851</v>
      </c>
      <c r="O29" s="38">
        <f t="shared" ref="O29" si="21">N29/M29</f>
        <v>82.978723404255319</v>
      </c>
      <c r="P29" s="39">
        <f t="shared" si="16"/>
        <v>-1</v>
      </c>
      <c r="Q29" s="40">
        <f t="shared" si="17"/>
        <v>-9.0801001251564486</v>
      </c>
      <c r="R29" s="190">
        <f t="shared" si="18"/>
        <v>0.90136632451906729</v>
      </c>
      <c r="S29" s="425"/>
      <c r="T29" s="41">
        <v>0.51736111111111116</v>
      </c>
      <c r="U29" s="41">
        <v>0.55000000000000004</v>
      </c>
      <c r="V29" s="42">
        <f t="shared" ref="V29" si="22">(T29-U28)*24*60</f>
        <v>90.000000000000085</v>
      </c>
      <c r="W29" s="43">
        <f t="shared" si="12"/>
        <v>46.999999999999993</v>
      </c>
      <c r="X29" s="54">
        <v>0.47916666666666669</v>
      </c>
      <c r="Y29" s="54">
        <v>0.52083333333333337</v>
      </c>
      <c r="Z29" s="418"/>
      <c r="AA29" s="419"/>
      <c r="AB29" s="292">
        <f>N29-K29</f>
        <v>-237.34042553191489</v>
      </c>
      <c r="AC29" s="190">
        <f>N29/K29</f>
        <v>0.84834477601794578</v>
      </c>
      <c r="AD29" s="447"/>
    </row>
    <row r="30" spans="1:30" ht="15" customHeight="1">
      <c r="A30" s="422"/>
      <c r="B30" s="56"/>
      <c r="C30" s="237"/>
      <c r="D30" s="11"/>
      <c r="E30" s="29"/>
      <c r="F30" s="56"/>
      <c r="G30" s="238"/>
      <c r="H30" s="50"/>
      <c r="I30" s="42"/>
      <c r="J30" s="16"/>
      <c r="K30" s="14"/>
      <c r="L30" s="235"/>
      <c r="M30" s="21"/>
      <c r="N30" s="36"/>
      <c r="O30" s="38"/>
      <c r="P30" s="39"/>
      <c r="Q30" s="40"/>
      <c r="R30" s="190"/>
      <c r="S30" s="425"/>
      <c r="T30" s="41"/>
      <c r="U30" s="41"/>
      <c r="V30" s="42"/>
      <c r="W30" s="43">
        <f t="shared" si="12"/>
        <v>0</v>
      </c>
      <c r="X30" s="54"/>
      <c r="Y30" s="54"/>
      <c r="Z30" s="449"/>
      <c r="AA30" s="450"/>
      <c r="AB30" s="34"/>
      <c r="AC30" s="293"/>
      <c r="AD30" s="448"/>
    </row>
    <row r="31" spans="1:30" ht="15" customHeight="1">
      <c r="A31" s="422"/>
      <c r="B31" s="56"/>
      <c r="C31" s="10"/>
      <c r="D31" s="28"/>
      <c r="E31" s="86"/>
      <c r="F31" s="56"/>
      <c r="G31" s="238"/>
      <c r="H31" s="239"/>
      <c r="I31" s="81"/>
      <c r="J31" s="16"/>
      <c r="K31" s="14"/>
      <c r="L31" s="235"/>
      <c r="M31" s="21"/>
      <c r="N31" s="36"/>
      <c r="O31" s="38"/>
      <c r="P31" s="39"/>
      <c r="Q31" s="40"/>
      <c r="R31" s="190"/>
      <c r="S31" s="425"/>
      <c r="T31" s="41"/>
      <c r="U31" s="41"/>
      <c r="V31" s="42"/>
      <c r="W31" s="43">
        <f t="shared" si="12"/>
        <v>0</v>
      </c>
      <c r="X31" s="54"/>
      <c r="Y31" s="54"/>
      <c r="Z31" s="449"/>
      <c r="AA31" s="450"/>
      <c r="AB31" s="257"/>
      <c r="AC31" s="258"/>
      <c r="AD31" s="403"/>
    </row>
    <row r="32" spans="1:30" ht="15" customHeight="1">
      <c r="A32" s="422"/>
      <c r="B32" s="56"/>
      <c r="C32" s="252"/>
      <c r="D32" s="253"/>
      <c r="E32" s="254"/>
      <c r="F32" s="56"/>
      <c r="G32" s="53"/>
      <c r="H32" s="50"/>
      <c r="I32" s="42"/>
      <c r="J32" s="255"/>
      <c r="K32" s="36"/>
      <c r="L32" s="256"/>
      <c r="M32" s="21"/>
      <c r="N32" s="36"/>
      <c r="O32" s="38"/>
      <c r="P32" s="39"/>
      <c r="Q32" s="40"/>
      <c r="R32" s="190"/>
      <c r="S32" s="425"/>
      <c r="T32" s="41"/>
      <c r="U32" s="41"/>
      <c r="V32" s="42"/>
      <c r="W32" s="43">
        <f t="shared" si="12"/>
        <v>0</v>
      </c>
      <c r="X32" s="54"/>
      <c r="Y32" s="54"/>
      <c r="Z32" s="418"/>
      <c r="AA32" s="405"/>
      <c r="AB32" s="18"/>
      <c r="AC32" s="185"/>
      <c r="AD32" s="403"/>
    </row>
    <row r="33" spans="1:30" ht="15" customHeight="1">
      <c r="A33" s="422"/>
      <c r="B33" s="240"/>
      <c r="C33" s="241"/>
      <c r="D33" s="242"/>
      <c r="E33" s="243"/>
      <c r="F33" s="223"/>
      <c r="G33" s="244"/>
      <c r="H33" s="245">
        <f t="shared" si="19"/>
        <v>0</v>
      </c>
      <c r="I33" s="246"/>
      <c r="J33" s="247"/>
      <c r="K33" s="45"/>
      <c r="M33" s="248"/>
      <c r="N33" s="45"/>
      <c r="O33" s="46"/>
      <c r="P33" s="47"/>
      <c r="Q33" s="48"/>
      <c r="R33" s="49"/>
      <c r="S33" s="425"/>
      <c r="T33" s="41"/>
      <c r="U33" s="41"/>
      <c r="V33" s="42"/>
      <c r="W33" s="43">
        <f t="shared" si="12"/>
        <v>0</v>
      </c>
      <c r="X33" s="54"/>
      <c r="Y33" s="54"/>
      <c r="Z33" s="418"/>
      <c r="AA33" s="405"/>
      <c r="AB33" s="18"/>
      <c r="AC33" s="57"/>
      <c r="AD33" s="403"/>
    </row>
    <row r="34" spans="1:30" ht="15" customHeight="1">
      <c r="A34" s="422"/>
      <c r="B34" s="231"/>
      <c r="C34" s="27"/>
      <c r="D34" s="28"/>
      <c r="E34" s="29"/>
      <c r="F34" s="13"/>
      <c r="G34" s="53"/>
      <c r="H34" s="50">
        <f t="shared" si="19"/>
        <v>0</v>
      </c>
      <c r="I34" s="42"/>
      <c r="J34" s="37"/>
      <c r="K34" s="36"/>
      <c r="L34" s="38"/>
      <c r="M34" s="21"/>
      <c r="N34" s="36"/>
      <c r="O34" s="38"/>
      <c r="P34" s="39"/>
      <c r="Q34" s="40"/>
      <c r="R34" s="190"/>
      <c r="S34" s="425"/>
      <c r="T34" s="41"/>
      <c r="U34" s="41"/>
      <c r="V34" s="42"/>
      <c r="W34" s="43">
        <f t="shared" si="12"/>
        <v>0</v>
      </c>
      <c r="X34" s="54"/>
      <c r="Y34" s="54"/>
      <c r="Z34" s="418"/>
      <c r="AA34" s="405"/>
      <c r="AB34" s="18"/>
      <c r="AC34" s="57"/>
      <c r="AD34" s="403"/>
    </row>
    <row r="35" spans="1:30" ht="15" customHeight="1">
      <c r="A35" s="422"/>
      <c r="B35" s="231"/>
      <c r="C35" s="27"/>
      <c r="D35" s="28"/>
      <c r="E35" s="29"/>
      <c r="F35" s="13"/>
      <c r="G35" s="53"/>
      <c r="H35" s="50">
        <f t="shared" si="19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90"/>
      <c r="S35" s="425"/>
      <c r="T35" s="41"/>
      <c r="U35" s="41"/>
      <c r="V35" s="42"/>
      <c r="W35" s="43">
        <f t="shared" si="12"/>
        <v>0</v>
      </c>
      <c r="X35" s="54"/>
      <c r="Y35" s="54"/>
      <c r="Z35" s="418"/>
      <c r="AA35" s="405"/>
      <c r="AB35" s="18"/>
      <c r="AC35" s="57"/>
      <c r="AD35" s="403"/>
    </row>
    <row r="36" spans="1:30" ht="15" customHeight="1">
      <c r="A36" s="422"/>
      <c r="B36" s="232"/>
      <c r="C36" s="27"/>
      <c r="D36" s="28"/>
      <c r="E36" s="29"/>
      <c r="F36" s="13"/>
      <c r="G36" s="53"/>
      <c r="H36" s="50">
        <f t="shared" si="19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90"/>
      <c r="S36" s="425"/>
      <c r="T36" s="41"/>
      <c r="U36" s="41"/>
      <c r="V36" s="42"/>
      <c r="W36" s="43">
        <f t="shared" si="12"/>
        <v>0</v>
      </c>
      <c r="X36" s="54"/>
      <c r="Y36" s="54"/>
      <c r="Z36" s="418"/>
      <c r="AA36" s="405"/>
      <c r="AB36" s="18"/>
      <c r="AC36" s="57"/>
      <c r="AD36" s="403"/>
    </row>
    <row r="37" spans="1:30" ht="15" customHeight="1" thickBot="1">
      <c r="A37" s="423"/>
      <c r="B37" s="300"/>
      <c r="C37" s="301" t="s">
        <v>36</v>
      </c>
      <c r="D37" s="428" t="s">
        <v>7</v>
      </c>
      <c r="E37" s="429"/>
      <c r="F37" s="281"/>
      <c r="G37" s="282"/>
      <c r="H37" s="283"/>
      <c r="I37" s="284"/>
      <c r="J37" s="285">
        <f t="shared" ref="J37:O37" si="23">AVERAGE(J27:J36)</f>
        <v>17.333333333333332</v>
      </c>
      <c r="K37" s="285">
        <f t="shared" si="23"/>
        <v>1505</v>
      </c>
      <c r="L37" s="286">
        <f t="shared" si="23"/>
        <v>87.020697167755998</v>
      </c>
      <c r="M37" s="285">
        <f t="shared" si="23"/>
        <v>15.333333333333334</v>
      </c>
      <c r="N37" s="285">
        <f t="shared" si="23"/>
        <v>1247.9409148770853</v>
      </c>
      <c r="O37" s="286">
        <f t="shared" si="23"/>
        <v>81.352089360600004</v>
      </c>
      <c r="P37" s="73">
        <f>M37-J37</f>
        <v>-1.9999999999999982</v>
      </c>
      <c r="Q37" s="74">
        <f>N37-K37</f>
        <v>-257.05908512291467</v>
      </c>
      <c r="R37" s="287">
        <f t="shared" ref="R37:R39" si="24">O37/L37</f>
        <v>0.93485908534807283</v>
      </c>
      <c r="S37" s="426"/>
      <c r="T37" s="302"/>
      <c r="U37" s="302"/>
      <c r="V37" s="81"/>
      <c r="W37" s="81"/>
      <c r="X37" s="303"/>
      <c r="Y37" s="303"/>
      <c r="Z37" s="430"/>
      <c r="AA37" s="379"/>
      <c r="AB37" s="34">
        <f t="shared" ref="AB37:AB39" si="25">N37-K37</f>
        <v>-257.05908512291467</v>
      </c>
      <c r="AC37" s="186">
        <f t="shared" ref="AC37:AC39" si="26">N37/K37</f>
        <v>0.82919662118078763</v>
      </c>
      <c r="AD37" s="403"/>
    </row>
    <row r="38" spans="1:30" s="62" customFormat="1" ht="15" customHeight="1">
      <c r="A38" s="454" t="s">
        <v>55</v>
      </c>
      <c r="B38" s="229" t="s">
        <v>134</v>
      </c>
      <c r="C38" s="199"/>
      <c r="D38" s="304" t="s">
        <v>156</v>
      </c>
      <c r="E38" s="280"/>
      <c r="F38" s="305">
        <f>VLOOKUP(D38,廠價表!$C$1:$E$39,3,0)</f>
        <v>56.43</v>
      </c>
      <c r="G38" s="266">
        <v>3391</v>
      </c>
      <c r="H38" s="125">
        <f t="shared" ref="H38:H39" si="27">F38*G38</f>
        <v>191354.13</v>
      </c>
      <c r="I38" s="126"/>
      <c r="J38" s="274">
        <f>VLOOKUP(D38,產線配置圖!$A$2:$C$38,2,0)</f>
        <v>15</v>
      </c>
      <c r="K38" s="236">
        <f>VLOOKUP(D38,產線配置圖!$A$2:$C$38,3,0)</f>
        <v>1406</v>
      </c>
      <c r="L38" s="288">
        <f t="shared" ref="L38:L39" si="28">K38/J38</f>
        <v>93.733333333333334</v>
      </c>
      <c r="M38" s="289">
        <v>15</v>
      </c>
      <c r="N38" s="127">
        <f>G38/W38*60</f>
        <v>924.81818181818176</v>
      </c>
      <c r="O38" s="128">
        <f>N38/M38</f>
        <v>61.654545454545449</v>
      </c>
      <c r="P38" s="129">
        <f t="shared" ref="P38:P39" si="29">M38-J38</f>
        <v>0</v>
      </c>
      <c r="Q38" s="130">
        <f t="shared" ref="Q38:Q39" si="30">O38-L38</f>
        <v>-32.078787878787885</v>
      </c>
      <c r="R38" s="189">
        <f t="shared" si="24"/>
        <v>0.65776542092331558</v>
      </c>
      <c r="S38" s="457">
        <f>R48</f>
        <v>0.76395657370218506</v>
      </c>
      <c r="T38" s="151">
        <v>0.33333333333333331</v>
      </c>
      <c r="U38" s="151">
        <v>0.4861111111111111</v>
      </c>
      <c r="V38" s="148"/>
      <c r="W38" s="152">
        <f t="shared" si="12"/>
        <v>220.00000000000003</v>
      </c>
      <c r="X38" s="150"/>
      <c r="Y38" s="153"/>
      <c r="Z38" s="478" t="s">
        <v>181</v>
      </c>
      <c r="AA38" s="460"/>
      <c r="AB38" s="290">
        <f t="shared" si="25"/>
        <v>-481.18181818181824</v>
      </c>
      <c r="AC38" s="154">
        <f t="shared" si="26"/>
        <v>0.65776542092331558</v>
      </c>
      <c r="AD38" s="436">
        <f>AC48</f>
        <v>0.76395657370218495</v>
      </c>
    </row>
    <row r="39" spans="1:30" s="62" customFormat="1" ht="15" customHeight="1">
      <c r="A39" s="455"/>
      <c r="B39" s="56" t="s">
        <v>134</v>
      </c>
      <c r="C39" s="277"/>
      <c r="D39" s="279" t="s">
        <v>154</v>
      </c>
      <c r="E39" s="278"/>
      <c r="F39" s="56">
        <f>VLOOKUP(D39,廠價表!$C$1:$E$39,3,0)</f>
        <v>57.3</v>
      </c>
      <c r="G39" s="276">
        <v>1308</v>
      </c>
      <c r="H39" s="76">
        <f t="shared" si="27"/>
        <v>74948.399999999994</v>
      </c>
      <c r="I39" s="64"/>
      <c r="J39" s="37">
        <f>VLOOKUP(D39,產線配置圖!$A$2:$C$38,2,0)</f>
        <v>15</v>
      </c>
      <c r="K39" s="36">
        <f>VLOOKUP(D39,產線配置圖!$A$2:$C$38,3,0)</f>
        <v>1385</v>
      </c>
      <c r="L39" s="38">
        <f t="shared" si="28"/>
        <v>92.333333333333329</v>
      </c>
      <c r="M39" s="65">
        <v>15</v>
      </c>
      <c r="N39" s="66">
        <f>G39/W39*60</f>
        <v>1207.3846153846166</v>
      </c>
      <c r="O39" s="67">
        <f t="shared" ref="O39" si="31">N39/M39</f>
        <v>80.492307692307776</v>
      </c>
      <c r="P39" s="39">
        <f t="shared" si="29"/>
        <v>0</v>
      </c>
      <c r="Q39" s="40">
        <f t="shared" si="30"/>
        <v>-11.841025641025553</v>
      </c>
      <c r="R39" s="190">
        <f t="shared" si="24"/>
        <v>0.87175784504304454</v>
      </c>
      <c r="S39" s="458"/>
      <c r="T39" s="59">
        <v>0.55902777777777779</v>
      </c>
      <c r="U39" s="59">
        <v>0.60416666666666663</v>
      </c>
      <c r="V39" s="42">
        <f>(T39-U38)*24*60</f>
        <v>105.00000000000003</v>
      </c>
      <c r="W39" s="69">
        <f t="shared" si="12"/>
        <v>64.999999999999929</v>
      </c>
      <c r="X39" s="22"/>
      <c r="Y39" s="22"/>
      <c r="Z39" s="474"/>
      <c r="AA39" s="475"/>
      <c r="AB39" s="271">
        <f t="shared" si="25"/>
        <v>-177.61538461538339</v>
      </c>
      <c r="AC39" s="61">
        <f t="shared" si="26"/>
        <v>0.87175784504304443</v>
      </c>
      <c r="AD39" s="437"/>
    </row>
    <row r="40" spans="1:30" s="62" customFormat="1" ht="15" customHeight="1">
      <c r="A40" s="455"/>
      <c r="B40" s="56"/>
      <c r="C40" s="275"/>
      <c r="D40" s="279"/>
      <c r="E40" s="243"/>
      <c r="F40" s="56"/>
      <c r="G40" s="276"/>
      <c r="H40" s="63"/>
      <c r="I40" s="64"/>
      <c r="J40" s="37"/>
      <c r="K40" s="36"/>
      <c r="L40" s="38"/>
      <c r="M40" s="65"/>
      <c r="N40" s="66"/>
      <c r="O40" s="67"/>
      <c r="P40" s="39"/>
      <c r="Q40" s="40"/>
      <c r="R40" s="190"/>
      <c r="S40" s="397"/>
      <c r="T40" s="59"/>
      <c r="U40" s="59"/>
      <c r="V40" s="42"/>
      <c r="W40" s="69">
        <f t="shared" si="12"/>
        <v>0</v>
      </c>
      <c r="X40" s="70">
        <v>0.5</v>
      </c>
      <c r="Y40" s="259">
        <v>0.54166666666666663</v>
      </c>
      <c r="Z40" s="441"/>
      <c r="AA40" s="442"/>
      <c r="AB40" s="271"/>
      <c r="AC40" s="61"/>
      <c r="AD40" s="437"/>
    </row>
    <row r="41" spans="1:30" s="62" customFormat="1" ht="15" customHeight="1">
      <c r="A41" s="455"/>
      <c r="B41" s="56"/>
      <c r="C41" s="275"/>
      <c r="D41" s="279"/>
      <c r="E41" s="243"/>
      <c r="F41" s="56"/>
      <c r="G41" s="276"/>
      <c r="H41" s="63"/>
      <c r="I41" s="64"/>
      <c r="J41" s="37"/>
      <c r="K41" s="36"/>
      <c r="L41" s="38"/>
      <c r="M41" s="65"/>
      <c r="N41" s="66"/>
      <c r="O41" s="67"/>
      <c r="P41" s="39"/>
      <c r="Q41" s="40"/>
      <c r="R41" s="190"/>
      <c r="S41" s="397"/>
      <c r="T41" s="59"/>
      <c r="U41" s="59"/>
      <c r="V41" s="42"/>
      <c r="W41" s="69">
        <f t="shared" si="12"/>
        <v>0</v>
      </c>
      <c r="X41" s="70"/>
      <c r="Y41" s="259"/>
      <c r="Z41" s="443"/>
      <c r="AA41" s="444"/>
      <c r="AB41" s="271"/>
      <c r="AC41" s="61"/>
      <c r="AD41" s="437"/>
    </row>
    <row r="42" spans="1:30" s="62" customFormat="1" ht="15" customHeight="1">
      <c r="A42" s="455"/>
      <c r="B42" s="56"/>
      <c r="C42" s="23"/>
      <c r="D42" s="11"/>
      <c r="E42" s="12"/>
      <c r="F42" s="56"/>
      <c r="G42" s="99"/>
      <c r="H42" s="63">
        <f t="shared" ref="H42:H47" si="32">F42*G42</f>
        <v>0</v>
      </c>
      <c r="I42" s="64"/>
      <c r="J42" s="16"/>
      <c r="K42" s="14"/>
      <c r="L42" s="17"/>
      <c r="M42" s="65"/>
      <c r="N42" s="66"/>
      <c r="O42" s="67"/>
      <c r="P42" s="39"/>
      <c r="Q42" s="40"/>
      <c r="R42" s="68"/>
      <c r="S42" s="397"/>
      <c r="T42" s="75"/>
      <c r="U42" s="75"/>
      <c r="V42" s="42"/>
      <c r="W42" s="69">
        <f t="shared" si="12"/>
        <v>0</v>
      </c>
      <c r="X42" s="70"/>
      <c r="Y42" s="60"/>
      <c r="Z42" s="445"/>
      <c r="AA42" s="446"/>
      <c r="AB42" s="271"/>
      <c r="AC42" s="61"/>
      <c r="AD42" s="437"/>
    </row>
    <row r="43" spans="1:30" s="62" customFormat="1" ht="15" customHeight="1">
      <c r="A43" s="455"/>
      <c r="B43" s="230"/>
      <c r="C43" s="23"/>
      <c r="D43" s="11"/>
      <c r="E43" s="12"/>
      <c r="F43" s="13"/>
      <c r="G43" s="100"/>
      <c r="H43" s="63">
        <f t="shared" si="32"/>
        <v>0</v>
      </c>
      <c r="I43" s="64"/>
      <c r="J43" s="65"/>
      <c r="K43" s="66"/>
      <c r="L43" s="67"/>
      <c r="M43" s="65"/>
      <c r="N43" s="66"/>
      <c r="O43" s="67"/>
      <c r="P43" s="39"/>
      <c r="Q43" s="40"/>
      <c r="R43" s="68"/>
      <c r="S43" s="397"/>
      <c r="T43" s="75"/>
      <c r="U43" s="75"/>
      <c r="V43" s="64"/>
      <c r="W43" s="69">
        <f>(U43-T43)*24*60</f>
        <v>0</v>
      </c>
      <c r="X43" s="70"/>
      <c r="Y43" s="67"/>
      <c r="Z43" s="405"/>
      <c r="AA43" s="405"/>
      <c r="AB43" s="71"/>
      <c r="AC43" s="61"/>
      <c r="AD43" s="437"/>
    </row>
    <row r="44" spans="1:30" s="62" customFormat="1" ht="15" customHeight="1">
      <c r="A44" s="455"/>
      <c r="B44" s="230"/>
      <c r="C44" s="183"/>
      <c r="D44" s="11"/>
      <c r="E44" s="12"/>
      <c r="F44" s="13"/>
      <c r="G44" s="100"/>
      <c r="H44" s="63">
        <f t="shared" si="32"/>
        <v>0</v>
      </c>
      <c r="I44" s="64"/>
      <c r="J44" s="65"/>
      <c r="K44" s="66"/>
      <c r="L44" s="58"/>
      <c r="M44" s="65"/>
      <c r="N44" s="66"/>
      <c r="O44" s="67"/>
      <c r="P44" s="39"/>
      <c r="Q44" s="40"/>
      <c r="R44" s="68"/>
      <c r="S44" s="397"/>
      <c r="T44" s="59"/>
      <c r="U44" s="59"/>
      <c r="V44" s="64"/>
      <c r="W44" s="69">
        <f t="shared" ref="W44:W48" si="33">(U44-T44)*24*60</f>
        <v>0</v>
      </c>
      <c r="X44" s="70"/>
      <c r="Y44" s="67"/>
      <c r="Z44" s="405"/>
      <c r="AA44" s="405"/>
      <c r="AB44" s="71"/>
      <c r="AC44" s="61"/>
      <c r="AD44" s="437"/>
    </row>
    <row r="45" spans="1:30" s="62" customFormat="1" ht="15" customHeight="1">
      <c r="A45" s="455"/>
      <c r="B45" s="231"/>
      <c r="C45" s="27"/>
      <c r="D45" s="28"/>
      <c r="E45" s="29"/>
      <c r="F45" s="13"/>
      <c r="G45" s="66"/>
      <c r="H45" s="63">
        <f t="shared" si="32"/>
        <v>0</v>
      </c>
      <c r="I45" s="64"/>
      <c r="J45" s="65"/>
      <c r="K45" s="66"/>
      <c r="L45" s="67"/>
      <c r="M45" s="65"/>
      <c r="N45" s="66"/>
      <c r="O45" s="67"/>
      <c r="P45" s="39"/>
      <c r="Q45" s="40"/>
      <c r="R45" s="68"/>
      <c r="S45" s="397"/>
      <c r="T45" s="75"/>
      <c r="U45" s="75"/>
      <c r="V45" s="64"/>
      <c r="W45" s="69">
        <f t="shared" si="33"/>
        <v>0</v>
      </c>
      <c r="X45" s="70"/>
      <c r="Y45" s="67"/>
      <c r="Z45" s="405"/>
      <c r="AA45" s="405"/>
      <c r="AB45" s="71"/>
      <c r="AC45" s="61"/>
      <c r="AD45" s="437"/>
    </row>
    <row r="46" spans="1:30" s="62" customFormat="1" ht="15" customHeight="1">
      <c r="A46" s="455"/>
      <c r="B46" s="231"/>
      <c r="C46" s="27"/>
      <c r="D46" s="28"/>
      <c r="E46" s="29"/>
      <c r="F46" s="13"/>
      <c r="G46" s="66"/>
      <c r="H46" s="63">
        <f t="shared" si="32"/>
        <v>0</v>
      </c>
      <c r="I46" s="64"/>
      <c r="J46" s="65"/>
      <c r="K46" s="66"/>
      <c r="L46" s="67"/>
      <c r="M46" s="65"/>
      <c r="N46" s="66"/>
      <c r="O46" s="67"/>
      <c r="P46" s="39"/>
      <c r="Q46" s="40"/>
      <c r="R46" s="68"/>
      <c r="S46" s="397"/>
      <c r="T46" s="59"/>
      <c r="U46" s="59"/>
      <c r="V46" s="64"/>
      <c r="W46" s="69">
        <f t="shared" si="33"/>
        <v>0</v>
      </c>
      <c r="X46" s="70"/>
      <c r="Y46" s="67"/>
      <c r="Z46" s="405"/>
      <c r="AA46" s="405"/>
      <c r="AB46" s="71"/>
      <c r="AC46" s="61"/>
      <c r="AD46" s="437"/>
    </row>
    <row r="47" spans="1:30" s="62" customFormat="1" ht="15" customHeight="1">
      <c r="A47" s="455"/>
      <c r="B47" s="230"/>
      <c r="C47" s="27"/>
      <c r="D47" s="28"/>
      <c r="E47" s="29"/>
      <c r="F47" s="13"/>
      <c r="G47" s="66"/>
      <c r="H47" s="63">
        <f t="shared" si="32"/>
        <v>0</v>
      </c>
      <c r="I47" s="64"/>
      <c r="J47" s="65"/>
      <c r="K47" s="66"/>
      <c r="L47" s="67"/>
      <c r="M47" s="65"/>
      <c r="N47" s="66"/>
      <c r="O47" s="67"/>
      <c r="P47" s="39"/>
      <c r="Q47" s="40"/>
      <c r="R47" s="68"/>
      <c r="S47" s="397"/>
      <c r="T47" s="75"/>
      <c r="U47" s="75"/>
      <c r="V47" s="64"/>
      <c r="W47" s="69">
        <f t="shared" si="33"/>
        <v>0</v>
      </c>
      <c r="X47" s="70"/>
      <c r="Y47" s="67"/>
      <c r="Z47" s="405"/>
      <c r="AA47" s="405"/>
      <c r="AB47" s="71"/>
      <c r="AC47" s="61"/>
      <c r="AD47" s="437"/>
    </row>
    <row r="48" spans="1:30" ht="15" customHeight="1" thickBot="1">
      <c r="A48" s="456"/>
      <c r="B48" s="156"/>
      <c r="C48" s="1" t="s">
        <v>37</v>
      </c>
      <c r="D48" s="410" t="s">
        <v>7</v>
      </c>
      <c r="E48" s="410"/>
      <c r="F48" s="133"/>
      <c r="G48" s="145"/>
      <c r="H48" s="135"/>
      <c r="I48" s="136"/>
      <c r="J48" s="134">
        <f t="shared" ref="J48:O48" si="34">AVERAGE(J38:J47)</f>
        <v>15</v>
      </c>
      <c r="K48" s="134">
        <f t="shared" si="34"/>
        <v>1395.5</v>
      </c>
      <c r="L48" s="137">
        <f t="shared" si="34"/>
        <v>93.033333333333331</v>
      </c>
      <c r="M48" s="134">
        <f t="shared" si="34"/>
        <v>15</v>
      </c>
      <c r="N48" s="134">
        <f t="shared" si="34"/>
        <v>1066.1013986013991</v>
      </c>
      <c r="O48" s="137">
        <f t="shared" si="34"/>
        <v>71.073426573426616</v>
      </c>
      <c r="P48" s="157">
        <f>M48-J48</f>
        <v>0</v>
      </c>
      <c r="Q48" s="158">
        <f>N48-K48</f>
        <v>-329.39860139860093</v>
      </c>
      <c r="R48" s="159">
        <f>O48/L48</f>
        <v>0.76395657370218506</v>
      </c>
      <c r="S48" s="399"/>
      <c r="T48" s="160"/>
      <c r="U48" s="160"/>
      <c r="V48" s="196"/>
      <c r="W48" s="161">
        <f t="shared" si="33"/>
        <v>0</v>
      </c>
      <c r="X48" s="162"/>
      <c r="Y48" s="162"/>
      <c r="Z48" s="391"/>
      <c r="AA48" s="391"/>
      <c r="AB48" s="163">
        <f>N48-K48</f>
        <v>-329.39860139860093</v>
      </c>
      <c r="AC48" s="191">
        <f>N48/K48</f>
        <v>0.76395657370218495</v>
      </c>
      <c r="AD48" s="438"/>
    </row>
    <row r="49" spans="1:30" ht="15" customHeight="1">
      <c r="A49" s="451" t="s">
        <v>56</v>
      </c>
      <c r="B49" s="199" t="str">
        <f>VLOOKUP(D49,廠價表!$C$1:$E$39,2,0)</f>
        <v>義大利麵</v>
      </c>
      <c r="C49" s="102"/>
      <c r="D49" s="103" t="s">
        <v>152</v>
      </c>
      <c r="E49" s="104"/>
      <c r="F49" s="199">
        <f>VLOOKUP(D49,廠價表!$C$1:$E$39,3,0)</f>
        <v>56.87</v>
      </c>
      <c r="G49" s="149">
        <v>2273</v>
      </c>
      <c r="H49" s="125">
        <f t="shared" ref="H49:H57" si="35">F49*G49</f>
        <v>129265.51</v>
      </c>
      <c r="I49" s="126"/>
      <c r="J49" s="108">
        <f>VLOOKUP(D49,產線配置圖!$A$2:$C$38,2,0)</f>
        <v>19</v>
      </c>
      <c r="K49" s="105">
        <f>VLOOKUP(D49,產線配置圖!$A$2:$C$38,3,0)</f>
        <v>1565</v>
      </c>
      <c r="L49" s="109">
        <f>K49/J49</f>
        <v>82.368421052631575</v>
      </c>
      <c r="M49" s="144">
        <v>19</v>
      </c>
      <c r="N49" s="127">
        <f>G49/W49*60</f>
        <v>1532.3595505617977</v>
      </c>
      <c r="O49" s="128">
        <f>N49/M49</f>
        <v>80.650502661147243</v>
      </c>
      <c r="P49" s="164">
        <f>M49-J49</f>
        <v>0</v>
      </c>
      <c r="Q49" s="112">
        <f>O49-L49</f>
        <v>-1.7179183914843321</v>
      </c>
      <c r="R49" s="184">
        <f>O49/L49</f>
        <v>0.97914348278709118</v>
      </c>
      <c r="S49" s="396">
        <f>R58</f>
        <v>0.93127055267453729</v>
      </c>
      <c r="T49" s="151">
        <v>0.28819444444444442</v>
      </c>
      <c r="U49" s="151">
        <v>0.35</v>
      </c>
      <c r="V49" s="188"/>
      <c r="W49" s="152">
        <f t="shared" si="12"/>
        <v>89</v>
      </c>
      <c r="X49" s="188"/>
      <c r="Y49" s="188"/>
      <c r="Z49" s="400"/>
      <c r="AA49" s="400"/>
      <c r="AB49" s="111">
        <f>N49-K49</f>
        <v>-32.640449438202268</v>
      </c>
      <c r="AC49" s="184">
        <f>N49/K49</f>
        <v>0.97914348278709118</v>
      </c>
      <c r="AD49" s="401">
        <f>AC58</f>
        <v>0.9158870289256833</v>
      </c>
    </row>
    <row r="50" spans="1:30" ht="15" customHeight="1">
      <c r="A50" s="452"/>
      <c r="B50" s="56" t="str">
        <f>VLOOKUP(D50,廠價表!$C$1:$E$39,2,0)</f>
        <v>義大利麵</v>
      </c>
      <c r="C50" s="10"/>
      <c r="D50" s="11" t="s">
        <v>65</v>
      </c>
      <c r="E50" s="86"/>
      <c r="F50" s="56">
        <f>VLOOKUP(D50,廠價表!$C$1:$E$39,3,0)</f>
        <v>49.97</v>
      </c>
      <c r="G50" s="66">
        <v>4986</v>
      </c>
      <c r="H50" s="76">
        <f t="shared" si="35"/>
        <v>249150.41999999998</v>
      </c>
      <c r="I50" s="193"/>
      <c r="J50" s="16">
        <f>VLOOKUP(D50,產線配置圖!$A$2:$C$38,2,0)</f>
        <v>18</v>
      </c>
      <c r="K50" s="14">
        <f>VLOOKUP(D50,產線配置圖!$A$2:$C$38,3,0)</f>
        <v>1600</v>
      </c>
      <c r="L50" s="17">
        <f>K50/J50</f>
        <v>88.888888888888886</v>
      </c>
      <c r="M50" s="174">
        <v>18</v>
      </c>
      <c r="N50" s="77">
        <f>G50/W50*60</f>
        <v>1599.7860962566847</v>
      </c>
      <c r="O50" s="78">
        <f>N50/M50</f>
        <v>88.877005347593595</v>
      </c>
      <c r="P50" s="18">
        <f>M50-J50</f>
        <v>0</v>
      </c>
      <c r="Q50" s="19">
        <f>O50-L50</f>
        <v>-1.1883541295290456E-2</v>
      </c>
      <c r="R50" s="185">
        <f>O50/L50</f>
        <v>0.99986631016042793</v>
      </c>
      <c r="S50" s="397"/>
      <c r="T50" s="79">
        <v>0.35625000000000001</v>
      </c>
      <c r="U50" s="79">
        <v>0.4861111111111111</v>
      </c>
      <c r="V50" s="177">
        <f t="shared" ref="V50:V51" si="36">(T50-U49)*24*60</f>
        <v>9.000000000000048</v>
      </c>
      <c r="W50" s="80">
        <f t="shared" si="12"/>
        <v>186.99999999999997</v>
      </c>
      <c r="X50" s="22"/>
      <c r="Y50" s="22"/>
      <c r="Z50" s="419"/>
      <c r="AA50" s="418"/>
      <c r="AB50" s="18">
        <f>N50-K50</f>
        <v>-0.21390374331531348</v>
      </c>
      <c r="AC50" s="185">
        <f>N50/K50</f>
        <v>0.99986631016042793</v>
      </c>
      <c r="AD50" s="402"/>
    </row>
    <row r="51" spans="1:30" ht="15" customHeight="1">
      <c r="A51" s="452"/>
      <c r="B51" s="56" t="str">
        <f>VLOOKUP(D51,廠價表!$C$1:$E$39,2,0)</f>
        <v>義大利麵</v>
      </c>
      <c r="C51" s="10"/>
      <c r="D51" s="11" t="s">
        <v>152</v>
      </c>
      <c r="E51" s="86"/>
      <c r="F51" s="56">
        <f>VLOOKUP(D51,廠價表!$C$1:$E$39,3,0)</f>
        <v>56.87</v>
      </c>
      <c r="G51" s="66">
        <v>900</v>
      </c>
      <c r="H51" s="76">
        <f t="shared" si="35"/>
        <v>51183</v>
      </c>
      <c r="I51" s="193"/>
      <c r="J51" s="16">
        <f>VLOOKUP(D51,產線配置圖!$A$2:$C$38,2,0)</f>
        <v>19</v>
      </c>
      <c r="K51" s="14">
        <f>VLOOKUP(D51,產線配置圖!$A$2:$C$38,3,0)</f>
        <v>1565</v>
      </c>
      <c r="L51" s="17">
        <f>K51/J51</f>
        <v>82.368421052631575</v>
      </c>
      <c r="M51" s="174">
        <v>18</v>
      </c>
      <c r="N51" s="77">
        <f>G51/W51*60</f>
        <v>1200</v>
      </c>
      <c r="O51" s="78">
        <f>N51/M51</f>
        <v>66.666666666666671</v>
      </c>
      <c r="P51" s="18">
        <f>M51-J51</f>
        <v>-1</v>
      </c>
      <c r="Q51" s="19">
        <f>O51-L51</f>
        <v>-15.701754385964904</v>
      </c>
      <c r="R51" s="185">
        <f>O51/L51</f>
        <v>0.80937167199148041</v>
      </c>
      <c r="S51" s="397"/>
      <c r="T51" s="79">
        <v>0.55069444444444449</v>
      </c>
      <c r="U51" s="44">
        <v>0.58194444444444449</v>
      </c>
      <c r="V51" s="177">
        <f t="shared" si="36"/>
        <v>93.000000000000071</v>
      </c>
      <c r="W51" s="80">
        <f t="shared" si="12"/>
        <v>45</v>
      </c>
      <c r="X51" s="22">
        <v>0.48958333333333331</v>
      </c>
      <c r="Y51" s="22">
        <v>0.53125</v>
      </c>
      <c r="Z51" s="405"/>
      <c r="AA51" s="405"/>
      <c r="AB51" s="18">
        <f>N51-K51</f>
        <v>-365</v>
      </c>
      <c r="AC51" s="185">
        <f>N51/K51</f>
        <v>0.76677316293929709</v>
      </c>
      <c r="AD51" s="402"/>
    </row>
    <row r="52" spans="1:30" ht="15" customHeight="1">
      <c r="A52" s="452"/>
      <c r="B52" s="56"/>
      <c r="C52" s="23"/>
      <c r="D52" s="11"/>
      <c r="E52" s="12"/>
      <c r="F52" s="56"/>
      <c r="G52" s="66"/>
      <c r="H52" s="76"/>
      <c r="I52" s="193"/>
      <c r="J52" s="16"/>
      <c r="K52" s="14"/>
      <c r="L52" s="17"/>
      <c r="M52" s="174"/>
      <c r="N52" s="77"/>
      <c r="O52" s="78"/>
      <c r="P52" s="18"/>
      <c r="Q52" s="19"/>
      <c r="R52" s="185"/>
      <c r="S52" s="397"/>
      <c r="T52" s="79"/>
      <c r="U52" s="79"/>
      <c r="V52" s="177"/>
      <c r="W52" s="80">
        <f t="shared" si="12"/>
        <v>0</v>
      </c>
      <c r="X52" s="22"/>
      <c r="Y52" s="22"/>
      <c r="Z52" s="405"/>
      <c r="AA52" s="405"/>
      <c r="AB52" s="18"/>
      <c r="AC52" s="185"/>
      <c r="AD52" s="402"/>
    </row>
    <row r="53" spans="1:30" ht="15" customHeight="1">
      <c r="A53" s="452"/>
      <c r="B53" s="56"/>
      <c r="C53" s="23"/>
      <c r="D53" s="11"/>
      <c r="E53" s="12"/>
      <c r="F53" s="56"/>
      <c r="G53" s="66"/>
      <c r="H53" s="76"/>
      <c r="I53" s="193"/>
      <c r="J53" s="16"/>
      <c r="K53" s="14"/>
      <c r="L53" s="17"/>
      <c r="M53" s="174"/>
      <c r="N53" s="77"/>
      <c r="O53" s="78"/>
      <c r="P53" s="18"/>
      <c r="Q53" s="19"/>
      <c r="R53" s="185"/>
      <c r="S53" s="397"/>
      <c r="T53" s="79"/>
      <c r="U53" s="79"/>
      <c r="V53" s="177"/>
      <c r="W53" s="80">
        <f t="shared" si="12"/>
        <v>0</v>
      </c>
      <c r="X53" s="177"/>
      <c r="Y53" s="177"/>
      <c r="Z53" s="419"/>
      <c r="AA53" s="418"/>
      <c r="AB53" s="18"/>
      <c r="AC53" s="185"/>
      <c r="AD53" s="402"/>
    </row>
    <row r="54" spans="1:30" ht="15" customHeight="1">
      <c r="A54" s="452"/>
      <c r="B54" s="177"/>
      <c r="C54" s="183"/>
      <c r="D54" s="11"/>
      <c r="E54" s="12"/>
      <c r="F54" s="13"/>
      <c r="G54" s="66"/>
      <c r="H54" s="76">
        <f t="shared" si="35"/>
        <v>0</v>
      </c>
      <c r="I54" s="177"/>
      <c r="J54" s="31"/>
      <c r="K54" s="30"/>
      <c r="L54" s="38"/>
      <c r="M54" s="181"/>
      <c r="N54" s="30"/>
      <c r="O54" s="35"/>
      <c r="P54" s="18"/>
      <c r="Q54" s="19"/>
      <c r="R54" s="185"/>
      <c r="S54" s="397"/>
      <c r="T54" s="79"/>
      <c r="U54" s="79"/>
      <c r="V54" s="197"/>
      <c r="W54" s="80">
        <f t="shared" si="12"/>
        <v>0</v>
      </c>
      <c r="X54" s="177"/>
      <c r="Y54" s="177"/>
      <c r="Z54" s="419"/>
      <c r="AA54" s="418"/>
      <c r="AB54" s="18"/>
      <c r="AC54" s="185"/>
      <c r="AD54" s="402"/>
    </row>
    <row r="55" spans="1:30" ht="15" customHeight="1">
      <c r="A55" s="452"/>
      <c r="B55" s="26"/>
      <c r="C55" s="27"/>
      <c r="D55" s="28"/>
      <c r="E55" s="29"/>
      <c r="F55" s="13"/>
      <c r="G55" s="66"/>
      <c r="H55" s="15">
        <f t="shared" si="35"/>
        <v>0</v>
      </c>
      <c r="I55" s="177"/>
      <c r="J55" s="31"/>
      <c r="K55" s="30"/>
      <c r="L55" s="38"/>
      <c r="M55" s="181"/>
      <c r="N55" s="30"/>
      <c r="O55" s="35"/>
      <c r="P55" s="18"/>
      <c r="Q55" s="19"/>
      <c r="R55" s="185"/>
      <c r="S55" s="397"/>
      <c r="T55" s="79"/>
      <c r="U55" s="79"/>
      <c r="V55" s="197"/>
      <c r="W55" s="80">
        <f t="shared" si="12"/>
        <v>0</v>
      </c>
      <c r="X55" s="177"/>
      <c r="Y55" s="177"/>
      <c r="Z55" s="419"/>
      <c r="AA55" s="418"/>
      <c r="AB55" s="18"/>
      <c r="AC55" s="185"/>
      <c r="AD55" s="402"/>
    </row>
    <row r="56" spans="1:30" ht="15" customHeight="1">
      <c r="A56" s="452"/>
      <c r="B56" s="26"/>
      <c r="C56" s="27"/>
      <c r="D56" s="28"/>
      <c r="E56" s="29"/>
      <c r="F56" s="13"/>
      <c r="G56" s="66"/>
      <c r="H56" s="15">
        <f t="shared" si="35"/>
        <v>0</v>
      </c>
      <c r="I56" s="177"/>
      <c r="J56" s="31"/>
      <c r="K56" s="30"/>
      <c r="L56" s="38"/>
      <c r="M56" s="181"/>
      <c r="N56" s="30"/>
      <c r="O56" s="35"/>
      <c r="P56" s="18"/>
      <c r="Q56" s="19"/>
      <c r="R56" s="185"/>
      <c r="S56" s="397"/>
      <c r="T56" s="79"/>
      <c r="U56" s="79"/>
      <c r="V56" s="197"/>
      <c r="W56" s="80">
        <f t="shared" si="12"/>
        <v>0</v>
      </c>
      <c r="X56" s="177"/>
      <c r="Y56" s="177"/>
      <c r="Z56" s="405"/>
      <c r="AA56" s="405"/>
      <c r="AB56" s="18"/>
      <c r="AC56" s="185"/>
      <c r="AD56" s="402"/>
    </row>
    <row r="57" spans="1:30" ht="15" customHeight="1">
      <c r="A57" s="452"/>
      <c r="B57" s="26"/>
      <c r="C57" s="27"/>
      <c r="D57" s="28"/>
      <c r="E57" s="29"/>
      <c r="F57" s="13"/>
      <c r="G57" s="66"/>
      <c r="H57" s="15">
        <f t="shared" si="35"/>
        <v>0</v>
      </c>
      <c r="I57" s="177"/>
      <c r="J57" s="31"/>
      <c r="K57" s="30"/>
      <c r="L57" s="38"/>
      <c r="M57" s="181"/>
      <c r="N57" s="30"/>
      <c r="O57" s="35"/>
      <c r="P57" s="18"/>
      <c r="Q57" s="19"/>
      <c r="R57" s="185"/>
      <c r="S57" s="397"/>
      <c r="T57" s="79"/>
      <c r="U57" s="79"/>
      <c r="V57" s="197"/>
      <c r="W57" s="80">
        <f t="shared" si="12"/>
        <v>0</v>
      </c>
      <c r="X57" s="177"/>
      <c r="Y57" s="177"/>
      <c r="Z57" s="405"/>
      <c r="AA57" s="405"/>
      <c r="AB57" s="18"/>
      <c r="AC57" s="185"/>
      <c r="AD57" s="402"/>
    </row>
    <row r="58" spans="1:30" ht="15" customHeight="1" thickBot="1">
      <c r="A58" s="453"/>
      <c r="B58" s="165"/>
      <c r="C58" s="1" t="s">
        <v>38</v>
      </c>
      <c r="D58" s="410" t="s">
        <v>7</v>
      </c>
      <c r="E58" s="410"/>
      <c r="F58" s="114"/>
      <c r="G58" s="166"/>
      <c r="H58" s="116"/>
      <c r="I58" s="115"/>
      <c r="J58" s="118">
        <f t="shared" ref="J58:O58" si="37">AVERAGE(J49:J57)</f>
        <v>18.666666666666668</v>
      </c>
      <c r="K58" s="118">
        <f t="shared" si="37"/>
        <v>1576.6666666666667</v>
      </c>
      <c r="L58" s="115">
        <f t="shared" si="37"/>
        <v>84.541910331384017</v>
      </c>
      <c r="M58" s="118">
        <f t="shared" si="37"/>
        <v>18.333333333333332</v>
      </c>
      <c r="N58" s="118">
        <f t="shared" si="37"/>
        <v>1444.0485489394941</v>
      </c>
      <c r="O58" s="115">
        <f t="shared" si="37"/>
        <v>78.73139155846917</v>
      </c>
      <c r="P58" s="119">
        <f>M58-J58</f>
        <v>-0.3333333333333357</v>
      </c>
      <c r="Q58" s="120">
        <f>N58-K58</f>
        <v>-132.6181177271726</v>
      </c>
      <c r="R58" s="121">
        <f t="shared" ref="R58:R60" si="38">O58/L58</f>
        <v>0.93127055267453729</v>
      </c>
      <c r="S58" s="399"/>
      <c r="T58" s="167"/>
      <c r="U58" s="167"/>
      <c r="V58" s="195"/>
      <c r="W58" s="168"/>
      <c r="X58" s="124"/>
      <c r="Y58" s="124"/>
      <c r="Z58" s="391"/>
      <c r="AA58" s="391"/>
      <c r="AB58" s="119">
        <f t="shared" ref="AB58:AB63" si="39">N58-K58</f>
        <v>-132.6181177271726</v>
      </c>
      <c r="AC58" s="187">
        <f t="shared" ref="AC58:AC63" si="40">N58/K58</f>
        <v>0.9158870289256833</v>
      </c>
      <c r="AD58" s="404"/>
    </row>
    <row r="59" spans="1:30" ht="15" customHeight="1">
      <c r="A59" s="466" t="s">
        <v>57</v>
      </c>
      <c r="B59" s="199" t="str">
        <f>VLOOKUP(D59,廠價表!$C$1:$E$39,2,0)</f>
        <v>小吃、微波</v>
      </c>
      <c r="C59" s="102"/>
      <c r="D59" s="103" t="s">
        <v>125</v>
      </c>
      <c r="E59" s="104"/>
      <c r="F59" s="199">
        <f>VLOOKUP(D59,廠價表!$C$1:$E$39,3,0)</f>
        <v>26.99</v>
      </c>
      <c r="G59" s="188">
        <v>2980</v>
      </c>
      <c r="H59" s="106">
        <f t="shared" ref="H59:H68" si="41">F59*G59</f>
        <v>80430.2</v>
      </c>
      <c r="I59" s="188"/>
      <c r="J59" s="108">
        <f>VLOOKUP(D59,產線配置圖!$A$2:$C$38,2,0)</f>
        <v>13</v>
      </c>
      <c r="K59" s="105">
        <f>VLOOKUP(D59,產線配置圖!$A$2:$C$38,3,0)</f>
        <v>1565</v>
      </c>
      <c r="L59" s="109">
        <f>K59/J59</f>
        <v>120.38461538461539</v>
      </c>
      <c r="M59" s="110">
        <v>13</v>
      </c>
      <c r="N59" s="105">
        <f t="shared" ref="N59:N62" si="42">G59/W59*60</f>
        <v>1554.7826086956525</v>
      </c>
      <c r="O59" s="109">
        <f t="shared" ref="O59:O62" si="43">N59/M59</f>
        <v>119.59866220735788</v>
      </c>
      <c r="P59" s="111">
        <f t="shared" ref="P59:P62" si="44">M59-J59</f>
        <v>0</v>
      </c>
      <c r="Q59" s="112">
        <f t="shared" ref="Q59:Q62" si="45">O59-L59</f>
        <v>-0.78595317725751102</v>
      </c>
      <c r="R59" s="184">
        <f t="shared" si="38"/>
        <v>0.99347131546048073</v>
      </c>
      <c r="S59" s="396">
        <f>R69</f>
        <v>0.89200334101237011</v>
      </c>
      <c r="T59" s="169">
        <v>0.29166666666666669</v>
      </c>
      <c r="U59" s="169">
        <v>0.37152777777777779</v>
      </c>
      <c r="V59" s="188"/>
      <c r="W59" s="107">
        <f t="shared" si="12"/>
        <v>114.99999999999999</v>
      </c>
      <c r="X59" s="188"/>
      <c r="Y59" s="188"/>
      <c r="Z59" s="405"/>
      <c r="AA59" s="405"/>
      <c r="AB59" s="225">
        <f t="shared" si="39"/>
        <v>-10.21739130434753</v>
      </c>
      <c r="AC59" s="226">
        <f t="shared" si="40"/>
        <v>0.99347131546048084</v>
      </c>
      <c r="AD59" s="401">
        <f>AC69</f>
        <v>0.89287013167413232</v>
      </c>
    </row>
    <row r="60" spans="1:30" ht="15" customHeight="1">
      <c r="A60" s="467"/>
      <c r="B60" s="56" t="str">
        <f>VLOOKUP(D60,廠價表!$C$1:$E$39,2,0)</f>
        <v>小吃、微波</v>
      </c>
      <c r="C60" s="10"/>
      <c r="D60" s="242" t="s">
        <v>146</v>
      </c>
      <c r="E60" s="86"/>
      <c r="F60" s="56">
        <f>VLOOKUP(D60,廠價表!$C$1:$E$39,3,0)</f>
        <v>28.47</v>
      </c>
      <c r="G60" s="177">
        <v>1032</v>
      </c>
      <c r="H60" s="15">
        <f t="shared" si="41"/>
        <v>29381.039999999997</v>
      </c>
      <c r="I60" s="177"/>
      <c r="J60" s="16">
        <f>VLOOKUP(D60,產線配置圖!$A$2:$C$38,2,0)</f>
        <v>12</v>
      </c>
      <c r="K60" s="14">
        <f>VLOOKUP(D60,產線配置圖!$A$2:$C$38,3,0)</f>
        <v>1565</v>
      </c>
      <c r="L60" s="17">
        <f>K60/J60</f>
        <v>130.41666666666666</v>
      </c>
      <c r="M60" s="180">
        <v>12</v>
      </c>
      <c r="N60" s="14">
        <f t="shared" si="42"/>
        <v>1376</v>
      </c>
      <c r="O60" s="17">
        <f t="shared" si="43"/>
        <v>114.66666666666667</v>
      </c>
      <c r="P60" s="18">
        <f t="shared" si="44"/>
        <v>0</v>
      </c>
      <c r="Q60" s="19">
        <f t="shared" si="45"/>
        <v>-15.749999999999986</v>
      </c>
      <c r="R60" s="185">
        <f t="shared" si="38"/>
        <v>0.87923322683706084</v>
      </c>
      <c r="S60" s="470"/>
      <c r="T60" s="198">
        <v>0.38194444444444442</v>
      </c>
      <c r="U60" s="198">
        <v>0.41319444444444442</v>
      </c>
      <c r="V60" s="177">
        <f t="shared" ref="V60:V62" si="46">(T60-U59)*24*60</f>
        <v>14.999999999999947</v>
      </c>
      <c r="W60" s="90">
        <f t="shared" si="12"/>
        <v>45</v>
      </c>
      <c r="X60" s="193"/>
      <c r="Y60" s="193"/>
      <c r="Z60" s="405"/>
      <c r="AA60" s="405"/>
      <c r="AB60" s="227">
        <f t="shared" si="39"/>
        <v>-189</v>
      </c>
      <c r="AC60" s="228">
        <f t="shared" si="40"/>
        <v>0.87923322683706073</v>
      </c>
      <c r="AD60" s="473"/>
    </row>
    <row r="61" spans="1:30" ht="15" customHeight="1">
      <c r="A61" s="468"/>
      <c r="B61" s="56" t="str">
        <f>VLOOKUP(D61,廠價表!$C$1:$E$39,2,0)</f>
        <v>小吃、微波</v>
      </c>
      <c r="C61" s="10"/>
      <c r="D61" s="242" t="s">
        <v>135</v>
      </c>
      <c r="E61" s="86"/>
      <c r="F61" s="56">
        <f>VLOOKUP(D61,廠價表!$C$1:$E$39,3,0)</f>
        <v>28.26</v>
      </c>
      <c r="G61" s="177">
        <v>2364</v>
      </c>
      <c r="H61" s="15">
        <f t="shared" si="41"/>
        <v>66806.64</v>
      </c>
      <c r="I61" s="81"/>
      <c r="J61" s="16">
        <f>VLOOKUP(D61,產線配置圖!$A$2:$C$38,2,0)</f>
        <v>12</v>
      </c>
      <c r="K61" s="14">
        <f>VLOOKUP(D61,產線配置圖!$A$2:$C$38,3,0)</f>
        <v>1565</v>
      </c>
      <c r="L61" s="17">
        <f t="shared" ref="L61:L62" si="47">K61/J61</f>
        <v>130.41666666666666</v>
      </c>
      <c r="M61" s="180">
        <v>12</v>
      </c>
      <c r="N61" s="14">
        <f t="shared" si="42"/>
        <v>1350.8571428571424</v>
      </c>
      <c r="O61" s="17">
        <f t="shared" si="43"/>
        <v>112.57142857142854</v>
      </c>
      <c r="P61" s="18">
        <f t="shared" si="44"/>
        <v>0</v>
      </c>
      <c r="Q61" s="19">
        <f t="shared" si="45"/>
        <v>-17.845238095238116</v>
      </c>
      <c r="R61" s="185">
        <f>O61/L61</f>
        <v>0.86316750342309434</v>
      </c>
      <c r="S61" s="397"/>
      <c r="T61" s="20">
        <v>0.42708333333333331</v>
      </c>
      <c r="U61" s="20">
        <v>0.5</v>
      </c>
      <c r="V61" s="177">
        <f t="shared" si="46"/>
        <v>20.000000000000007</v>
      </c>
      <c r="W61" s="88">
        <f t="shared" si="12"/>
        <v>105.00000000000003</v>
      </c>
      <c r="X61" s="22"/>
      <c r="Y61" s="22"/>
      <c r="Z61" s="405"/>
      <c r="AA61" s="405"/>
      <c r="AB61" s="51">
        <f t="shared" si="39"/>
        <v>-214.14285714285757</v>
      </c>
      <c r="AC61" s="52">
        <f t="shared" si="40"/>
        <v>0.86316750342309423</v>
      </c>
      <c r="AD61" s="402"/>
    </row>
    <row r="62" spans="1:30" ht="15" customHeight="1">
      <c r="A62" s="468"/>
      <c r="B62" s="56" t="str">
        <f>VLOOKUP(D62,廠價表!$C$1:$E$39,2,0)</f>
        <v>小吃、微波</v>
      </c>
      <c r="C62" s="10"/>
      <c r="D62" s="11" t="s">
        <v>125</v>
      </c>
      <c r="E62" s="86"/>
      <c r="F62" s="56">
        <f>VLOOKUP(D62,廠價表!$C$1:$E$39,3,0)</f>
        <v>26.99</v>
      </c>
      <c r="G62" s="177">
        <v>959</v>
      </c>
      <c r="H62" s="15">
        <f t="shared" si="41"/>
        <v>25883.41</v>
      </c>
      <c r="I62" s="81"/>
      <c r="J62" s="16">
        <f>VLOOKUP(D62,產線配置圖!$A$2:$C$38,2,0)</f>
        <v>13</v>
      </c>
      <c r="K62" s="14">
        <f>VLOOKUP(D62,產線配置圖!$A$2:$C$38,3,0)</f>
        <v>1565</v>
      </c>
      <c r="L62" s="17">
        <f t="shared" si="47"/>
        <v>120.38461538461539</v>
      </c>
      <c r="M62" s="180">
        <v>13</v>
      </c>
      <c r="N62" s="14">
        <f t="shared" si="42"/>
        <v>1307.7272727272727</v>
      </c>
      <c r="O62" s="17">
        <f t="shared" si="43"/>
        <v>100.5944055944056</v>
      </c>
      <c r="P62" s="18">
        <f t="shared" si="44"/>
        <v>0</v>
      </c>
      <c r="Q62" s="19">
        <f t="shared" si="45"/>
        <v>-19.790209790209786</v>
      </c>
      <c r="R62" s="185">
        <f>O62/L62</f>
        <v>0.83560848097589313</v>
      </c>
      <c r="S62" s="397"/>
      <c r="T62" s="20">
        <v>0.55763888888888891</v>
      </c>
      <c r="U62" s="20">
        <v>0.58819444444444446</v>
      </c>
      <c r="V62" s="177">
        <f t="shared" si="46"/>
        <v>83.000000000000028</v>
      </c>
      <c r="W62" s="90">
        <f t="shared" si="12"/>
        <v>44</v>
      </c>
      <c r="X62" s="22">
        <v>0.5</v>
      </c>
      <c r="Y62" s="22">
        <v>0.54166666666666663</v>
      </c>
      <c r="Z62" s="405"/>
      <c r="AA62" s="405"/>
      <c r="AB62" s="51">
        <f t="shared" si="39"/>
        <v>-257.27272727272725</v>
      </c>
      <c r="AC62" s="52">
        <f t="shared" si="40"/>
        <v>0.83560848097589313</v>
      </c>
      <c r="AD62" s="402"/>
    </row>
    <row r="63" spans="1:30" ht="15" customHeight="1">
      <c r="A63" s="468"/>
      <c r="B63" s="56"/>
      <c r="C63" s="23"/>
      <c r="D63" s="11"/>
      <c r="E63" s="12"/>
      <c r="F63" s="56"/>
      <c r="G63" s="177"/>
      <c r="H63" s="15"/>
      <c r="I63" s="81"/>
      <c r="J63" s="16"/>
      <c r="K63" s="14"/>
      <c r="L63" s="17"/>
      <c r="M63" s="180"/>
      <c r="N63" s="14"/>
      <c r="O63" s="17"/>
      <c r="P63" s="18"/>
      <c r="Q63" s="19"/>
      <c r="R63" s="185"/>
      <c r="S63" s="397"/>
      <c r="T63" s="20"/>
      <c r="U63" s="20"/>
      <c r="V63" s="177"/>
      <c r="W63" s="90">
        <f t="shared" si="12"/>
        <v>0</v>
      </c>
      <c r="X63" s="84"/>
      <c r="Y63" s="84"/>
      <c r="Z63" s="405"/>
      <c r="AA63" s="405"/>
      <c r="AB63" s="51">
        <f t="shared" si="39"/>
        <v>0</v>
      </c>
      <c r="AC63" s="52" t="e">
        <f t="shared" si="40"/>
        <v>#DIV/0!</v>
      </c>
      <c r="AD63" s="402"/>
    </row>
    <row r="64" spans="1:30" ht="15" customHeight="1">
      <c r="A64" s="468"/>
      <c r="B64" s="177"/>
      <c r="C64" s="23"/>
      <c r="D64" s="11"/>
      <c r="E64" s="12"/>
      <c r="F64" s="13"/>
      <c r="G64" s="177"/>
      <c r="H64" s="15">
        <f t="shared" si="41"/>
        <v>0</v>
      </c>
      <c r="I64" s="177"/>
      <c r="J64" s="16"/>
      <c r="K64" s="14"/>
      <c r="L64" s="17"/>
      <c r="M64" s="180"/>
      <c r="N64" s="14"/>
      <c r="O64" s="17"/>
      <c r="P64" s="18"/>
      <c r="Q64" s="19"/>
      <c r="R64" s="185"/>
      <c r="S64" s="397"/>
      <c r="T64" s="20"/>
      <c r="U64" s="20"/>
      <c r="V64" s="177"/>
      <c r="W64" s="182">
        <f t="shared" si="12"/>
        <v>0</v>
      </c>
      <c r="X64" s="84"/>
      <c r="Y64" s="84"/>
      <c r="Z64" s="419"/>
      <c r="AA64" s="418"/>
      <c r="AB64" s="18"/>
      <c r="AC64" s="55"/>
      <c r="AD64" s="402"/>
    </row>
    <row r="65" spans="1:32" ht="15" customHeight="1">
      <c r="A65" s="468"/>
      <c r="B65" s="177"/>
      <c r="C65" s="183"/>
      <c r="D65" s="11"/>
      <c r="E65" s="12"/>
      <c r="F65" s="13"/>
      <c r="G65" s="177"/>
      <c r="H65" s="15">
        <f t="shared" si="41"/>
        <v>0</v>
      </c>
      <c r="I65" s="177"/>
      <c r="J65" s="16"/>
      <c r="K65" s="82"/>
      <c r="L65" s="83"/>
      <c r="M65" s="180"/>
      <c r="N65" s="14"/>
      <c r="O65" s="17"/>
      <c r="P65" s="18"/>
      <c r="Q65" s="19"/>
      <c r="R65" s="185"/>
      <c r="S65" s="397"/>
      <c r="T65" s="20"/>
      <c r="U65" s="20"/>
      <c r="V65" s="177"/>
      <c r="W65" s="182">
        <f t="shared" si="12"/>
        <v>0</v>
      </c>
      <c r="X65" s="84"/>
      <c r="Y65" s="84"/>
      <c r="Z65" s="419"/>
      <c r="AA65" s="418"/>
      <c r="AB65" s="18"/>
      <c r="AC65" s="55"/>
      <c r="AD65" s="402"/>
    </row>
    <row r="66" spans="1:32" ht="15" customHeight="1">
      <c r="A66" s="468"/>
      <c r="B66" s="26"/>
      <c r="C66" s="27"/>
      <c r="D66" s="28"/>
      <c r="E66" s="29"/>
      <c r="F66" s="13"/>
      <c r="G66" s="183"/>
      <c r="H66" s="15">
        <f t="shared" si="41"/>
        <v>0</v>
      </c>
      <c r="I66" s="85"/>
      <c r="J66" s="16"/>
      <c r="K66" s="14"/>
      <c r="L66" s="17"/>
      <c r="M66" s="21"/>
      <c r="N66" s="36"/>
      <c r="O66" s="38"/>
      <c r="P66" s="39"/>
      <c r="Q66" s="40"/>
      <c r="R66" s="68"/>
      <c r="S66" s="397"/>
      <c r="T66" s="20"/>
      <c r="U66" s="20"/>
      <c r="V66" s="177"/>
      <c r="W66" s="182">
        <f t="shared" si="12"/>
        <v>0</v>
      </c>
      <c r="X66" s="84"/>
      <c r="Y66" s="84"/>
      <c r="Z66" s="405"/>
      <c r="AA66" s="405"/>
      <c r="AB66" s="18"/>
      <c r="AC66" s="55"/>
      <c r="AD66" s="402"/>
    </row>
    <row r="67" spans="1:32" ht="15" customHeight="1">
      <c r="A67" s="468"/>
      <c r="B67" s="26"/>
      <c r="C67" s="27"/>
      <c r="D67" s="28"/>
      <c r="E67" s="29"/>
      <c r="F67" s="13"/>
      <c r="G67" s="177"/>
      <c r="H67" s="15">
        <f t="shared" si="41"/>
        <v>0</v>
      </c>
      <c r="I67" s="177"/>
      <c r="J67" s="16"/>
      <c r="K67" s="14"/>
      <c r="L67" s="17"/>
      <c r="M67" s="21"/>
      <c r="N67" s="36"/>
      <c r="O67" s="38"/>
      <c r="P67" s="39"/>
      <c r="Q67" s="40"/>
      <c r="R67" s="68"/>
      <c r="S67" s="397"/>
      <c r="T67" s="20"/>
      <c r="U67" s="20"/>
      <c r="V67" s="177"/>
      <c r="W67" s="182">
        <f t="shared" si="12"/>
        <v>0</v>
      </c>
      <c r="X67" s="84"/>
      <c r="Y67" s="84"/>
      <c r="Z67" s="419"/>
      <c r="AA67" s="418"/>
      <c r="AB67" s="18"/>
      <c r="AC67" s="55"/>
      <c r="AD67" s="402"/>
    </row>
    <row r="68" spans="1:32" ht="15" customHeight="1">
      <c r="A68" s="468"/>
      <c r="B68" s="26"/>
      <c r="C68" s="27"/>
      <c r="D68" s="28"/>
      <c r="E68" s="29"/>
      <c r="F68" s="13"/>
      <c r="G68" s="183"/>
      <c r="H68" s="15">
        <f t="shared" si="41"/>
        <v>0</v>
      </c>
      <c r="I68" s="85"/>
      <c r="J68" s="16"/>
      <c r="K68" s="260"/>
      <c r="L68" s="261"/>
      <c r="M68" s="21"/>
      <c r="N68" s="36"/>
      <c r="O68" s="38"/>
      <c r="P68" s="39"/>
      <c r="Q68" s="40"/>
      <c r="R68" s="68"/>
      <c r="S68" s="397"/>
      <c r="T68" s="20"/>
      <c r="U68" s="20"/>
      <c r="V68" s="177"/>
      <c r="W68" s="182">
        <f t="shared" si="12"/>
        <v>0</v>
      </c>
      <c r="X68" s="84"/>
      <c r="Y68" s="84"/>
      <c r="Z68" s="419"/>
      <c r="AA68" s="418"/>
      <c r="AB68" s="18"/>
      <c r="AC68" s="55"/>
      <c r="AD68" s="402"/>
    </row>
    <row r="69" spans="1:32" ht="15" customHeight="1" thickBot="1">
      <c r="A69" s="469"/>
      <c r="B69" s="165"/>
      <c r="C69" s="1" t="s">
        <v>39</v>
      </c>
      <c r="D69" s="410" t="s">
        <v>7</v>
      </c>
      <c r="E69" s="410"/>
      <c r="F69" s="114"/>
      <c r="G69" s="115"/>
      <c r="H69" s="116"/>
      <c r="I69" s="170"/>
      <c r="J69" s="166">
        <f t="shared" ref="J69:O69" si="48">AVERAGE(J59:J68)</f>
        <v>12.5</v>
      </c>
      <c r="K69" s="166">
        <f t="shared" si="48"/>
        <v>1565</v>
      </c>
      <c r="L69" s="171">
        <f t="shared" si="48"/>
        <v>125.40064102564102</v>
      </c>
      <c r="M69" s="166">
        <f t="shared" si="48"/>
        <v>12.5</v>
      </c>
      <c r="N69" s="166">
        <f t="shared" si="48"/>
        <v>1397.341756070017</v>
      </c>
      <c r="O69" s="171">
        <f t="shared" si="48"/>
        <v>111.85779075996467</v>
      </c>
      <c r="P69" s="172">
        <f>M69-J69</f>
        <v>0</v>
      </c>
      <c r="Q69" s="158">
        <f>N69-K69</f>
        <v>-167.65824392998297</v>
      </c>
      <c r="R69" s="121">
        <f>O69/L69</f>
        <v>0.89200334101237011</v>
      </c>
      <c r="S69" s="399"/>
      <c r="T69" s="122"/>
      <c r="U69" s="122"/>
      <c r="V69" s="195"/>
      <c r="W69" s="168"/>
      <c r="X69" s="124"/>
      <c r="Y69" s="124"/>
      <c r="Z69" s="405"/>
      <c r="AA69" s="405"/>
      <c r="AB69" s="119">
        <f>N69-K69</f>
        <v>-167.65824392998297</v>
      </c>
      <c r="AC69" s="187">
        <f>N69/K69</f>
        <v>0.89287013167413232</v>
      </c>
      <c r="AD69" s="404"/>
    </row>
    <row r="70" spans="1:32" ht="15" customHeight="1">
      <c r="A70" s="461" t="s">
        <v>58</v>
      </c>
      <c r="B70" s="199" t="s">
        <v>62</v>
      </c>
      <c r="C70" s="199"/>
      <c r="D70" s="103" t="s">
        <v>158</v>
      </c>
      <c r="E70" s="104"/>
      <c r="F70" s="199">
        <f>VLOOKUP(D70,廠價表!$C$1:$E$39,3,0)</f>
        <v>47.71</v>
      </c>
      <c r="G70" s="188">
        <v>3552</v>
      </c>
      <c r="H70" s="106">
        <f t="shared" ref="H70:H72" si="49">F70*G70</f>
        <v>169465.92</v>
      </c>
      <c r="I70" s="188"/>
      <c r="J70" s="108">
        <f>VLOOKUP(D70,產線配置圖!$A$2:$C$38,2,0)</f>
        <v>15</v>
      </c>
      <c r="K70" s="105">
        <f>VLOOKUP(D70,產線配置圖!$A$2:$C$38,3,0)</f>
        <v>1500</v>
      </c>
      <c r="L70" s="109">
        <f>K70/J70</f>
        <v>100</v>
      </c>
      <c r="M70" s="110">
        <v>14</v>
      </c>
      <c r="N70" s="105">
        <f t="shared" ref="N70:N72" si="50">G70/W70*60</f>
        <v>1158.2608695652175</v>
      </c>
      <c r="O70" s="109">
        <f t="shared" ref="O70:O72" si="51">N70/M70</f>
        <v>82.732919254658398</v>
      </c>
      <c r="P70" s="111">
        <f t="shared" ref="P70:P72" si="52">M70-J70</f>
        <v>-1</v>
      </c>
      <c r="Q70" s="112">
        <f t="shared" ref="Q70:Q72" si="53">O70-L70</f>
        <v>-17.267080745341602</v>
      </c>
      <c r="R70" s="184">
        <f t="shared" ref="R70" si="54">O70/L70</f>
        <v>0.82732919254658399</v>
      </c>
      <c r="S70" s="396">
        <f>R79</f>
        <v>0.86062680028001703</v>
      </c>
      <c r="T70" s="169">
        <v>0.33819444444444446</v>
      </c>
      <c r="U70" s="169">
        <v>0.46597222222222223</v>
      </c>
      <c r="V70" s="188"/>
      <c r="W70" s="107">
        <f t="shared" ref="W70:W78" si="55">(U70-T70)*24*60</f>
        <v>184</v>
      </c>
      <c r="X70" s="296"/>
      <c r="Y70" s="296"/>
      <c r="Z70" s="465"/>
      <c r="AA70" s="427"/>
      <c r="AB70" s="225">
        <f t="shared" ref="AB70:AB71" si="56">N70-K70</f>
        <v>-341.73913043478251</v>
      </c>
      <c r="AC70" s="226">
        <f t="shared" ref="AC70:AC71" si="57">N70/K70</f>
        <v>0.77217391304347838</v>
      </c>
      <c r="AD70" s="401">
        <f>AC79</f>
        <v>0.85672043054049984</v>
      </c>
    </row>
    <row r="71" spans="1:32" ht="15" customHeight="1">
      <c r="A71" s="462"/>
      <c r="B71" s="56" t="str">
        <f>VLOOKUP(D71,廠價表!$C$1:$E$39,2,0)</f>
        <v>義大利麵</v>
      </c>
      <c r="C71" s="10"/>
      <c r="D71" s="11" t="s">
        <v>154</v>
      </c>
      <c r="E71" s="86"/>
      <c r="F71" s="56">
        <f>VLOOKUP(D71,廠價表!$C$1:$E$39,3,0)</f>
        <v>57.3</v>
      </c>
      <c r="G71" s="66">
        <v>744</v>
      </c>
      <c r="H71" s="76">
        <f t="shared" si="49"/>
        <v>42631.199999999997</v>
      </c>
      <c r="I71" s="193"/>
      <c r="J71" s="16">
        <f>VLOOKUP(D71,產線配置圖!$A$2:$C$38,2,0)</f>
        <v>15</v>
      </c>
      <c r="K71" s="14">
        <f>VLOOKUP(D71,產線配置圖!$A$2:$C$38,3,0)</f>
        <v>1385</v>
      </c>
      <c r="L71" s="17">
        <f t="shared" ref="L71:L72" si="58">K71/J71</f>
        <v>92.333333333333329</v>
      </c>
      <c r="M71" s="180">
        <v>16</v>
      </c>
      <c r="N71" s="14">
        <f t="shared" si="50"/>
        <v>1088.7804878048778</v>
      </c>
      <c r="O71" s="17">
        <f t="shared" si="51"/>
        <v>68.048780487804862</v>
      </c>
      <c r="P71" s="18">
        <f t="shared" si="52"/>
        <v>1</v>
      </c>
      <c r="Q71" s="19">
        <f t="shared" si="53"/>
        <v>-24.284552845528466</v>
      </c>
      <c r="R71" s="185">
        <f>O71/L71</f>
        <v>0.73699040239499858</v>
      </c>
      <c r="S71" s="397"/>
      <c r="T71" s="20">
        <v>0.47361111111111109</v>
      </c>
      <c r="U71" s="20">
        <v>0.50208333333333333</v>
      </c>
      <c r="V71" s="177">
        <f t="shared" ref="V71:V72" si="59">(T71-U70)*24*60</f>
        <v>10.999999999999961</v>
      </c>
      <c r="W71" s="182">
        <f t="shared" si="55"/>
        <v>41.000000000000014</v>
      </c>
      <c r="X71" s="298"/>
      <c r="Y71" s="299"/>
      <c r="Z71" s="476"/>
      <c r="AA71" s="477"/>
      <c r="AB71" s="39">
        <f t="shared" si="56"/>
        <v>-296.21951219512221</v>
      </c>
      <c r="AC71" s="190">
        <f t="shared" si="57"/>
        <v>0.78612309588799845</v>
      </c>
      <c r="AD71" s="447"/>
    </row>
    <row r="72" spans="1:32" ht="15" customHeight="1">
      <c r="A72" s="462"/>
      <c r="B72" s="56" t="str">
        <f>VLOOKUP(D72,廠價表!$C$1:$E$39,2,0)</f>
        <v>義大利麵</v>
      </c>
      <c r="C72" s="10"/>
      <c r="D72" s="11" t="s">
        <v>158</v>
      </c>
      <c r="E72" s="86"/>
      <c r="F72" s="56">
        <f>VLOOKUP(D72,廠價表!$C$1:$E$39,3,0)</f>
        <v>47.71</v>
      </c>
      <c r="G72" s="66">
        <v>2107</v>
      </c>
      <c r="H72" s="76">
        <f t="shared" si="49"/>
        <v>100524.97</v>
      </c>
      <c r="I72" s="193"/>
      <c r="J72" s="16">
        <f>VLOOKUP(D72,產線配置圖!$A$2:$C$38,2,0)</f>
        <v>15</v>
      </c>
      <c r="K72" s="14">
        <f>VLOOKUP(D72,產線配置圖!$A$2:$C$38,3,0)</f>
        <v>1500</v>
      </c>
      <c r="L72" s="17">
        <f t="shared" si="58"/>
        <v>100</v>
      </c>
      <c r="M72" s="180">
        <v>15</v>
      </c>
      <c r="N72" s="14">
        <f t="shared" si="50"/>
        <v>1453.1034482758619</v>
      </c>
      <c r="O72" s="17">
        <f t="shared" si="51"/>
        <v>96.873563218390785</v>
      </c>
      <c r="P72" s="18">
        <f t="shared" si="52"/>
        <v>0</v>
      </c>
      <c r="Q72" s="19">
        <f t="shared" si="53"/>
        <v>-3.1264367816092147</v>
      </c>
      <c r="R72" s="185">
        <f t="shared" ref="R72" si="60">O72/L72</f>
        <v>0.9687356321839079</v>
      </c>
      <c r="S72" s="397"/>
      <c r="T72" s="20">
        <v>0.56805555555555554</v>
      </c>
      <c r="U72" s="20">
        <v>0.62847222222222221</v>
      </c>
      <c r="V72" s="177">
        <f t="shared" si="59"/>
        <v>94.999999999999986</v>
      </c>
      <c r="W72" s="182">
        <f t="shared" si="55"/>
        <v>87.000000000000014</v>
      </c>
      <c r="X72" s="297"/>
      <c r="Y72" s="297"/>
      <c r="Z72" s="405"/>
      <c r="AA72" s="419"/>
      <c r="AB72" s="39"/>
      <c r="AC72" s="190"/>
      <c r="AD72" s="447"/>
    </row>
    <row r="73" spans="1:32" ht="15" customHeight="1">
      <c r="A73" s="462"/>
      <c r="B73" s="56"/>
      <c r="C73" s="23"/>
      <c r="D73" s="11"/>
      <c r="E73" s="12"/>
      <c r="F73" s="56"/>
      <c r="G73" s="66"/>
      <c r="H73" s="76"/>
      <c r="I73" s="193"/>
      <c r="J73" s="16"/>
      <c r="K73" s="14"/>
      <c r="L73" s="17"/>
      <c r="M73" s="180"/>
      <c r="N73" s="14"/>
      <c r="O73" s="17"/>
      <c r="P73" s="18"/>
      <c r="Q73" s="19"/>
      <c r="R73" s="185"/>
      <c r="S73" s="397"/>
      <c r="T73" s="20"/>
      <c r="U73" s="20"/>
      <c r="V73" s="177"/>
      <c r="W73" s="182">
        <f t="shared" si="55"/>
        <v>0</v>
      </c>
      <c r="X73" s="22"/>
      <c r="Y73" s="22"/>
      <c r="Z73" s="405"/>
      <c r="AA73" s="419"/>
      <c r="AB73" s="39"/>
      <c r="AC73" s="190"/>
      <c r="AD73" s="447"/>
    </row>
    <row r="74" spans="1:32" ht="15" customHeight="1">
      <c r="A74" s="462"/>
      <c r="B74" s="56"/>
      <c r="C74" s="249"/>
      <c r="D74" s="250"/>
      <c r="E74" s="251"/>
      <c r="F74" s="56"/>
      <c r="G74" s="238"/>
      <c r="H74" s="76">
        <f t="shared" ref="H74:H78" si="61">F74*G74</f>
        <v>0</v>
      </c>
      <c r="I74" s="81"/>
      <c r="J74" s="234"/>
      <c r="K74" s="36"/>
      <c r="L74" s="235"/>
      <c r="M74" s="21"/>
      <c r="N74" s="36"/>
      <c r="O74" s="38"/>
      <c r="P74" s="39"/>
      <c r="Q74" s="40"/>
      <c r="R74" s="190"/>
      <c r="S74" s="397"/>
      <c r="T74" s="20"/>
      <c r="U74" s="20"/>
      <c r="V74" s="177"/>
      <c r="W74" s="182">
        <f t="shared" si="55"/>
        <v>0</v>
      </c>
      <c r="X74" s="22"/>
      <c r="Y74" s="22"/>
      <c r="Z74" s="405"/>
      <c r="AA74" s="419"/>
      <c r="AB74" s="39"/>
      <c r="AC74" s="190"/>
      <c r="AD74" s="447"/>
    </row>
    <row r="75" spans="1:32" ht="15" customHeight="1">
      <c r="A75" s="462"/>
      <c r="B75" s="177"/>
      <c r="C75" s="183"/>
      <c r="D75" s="11"/>
      <c r="E75" s="12"/>
      <c r="F75" s="13"/>
      <c r="G75" s="177"/>
      <c r="H75" s="15">
        <f t="shared" si="61"/>
        <v>0</v>
      </c>
      <c r="I75" s="81"/>
      <c r="J75" s="87"/>
      <c r="K75" s="82"/>
      <c r="L75" s="83"/>
      <c r="M75" s="181"/>
      <c r="N75" s="82"/>
      <c r="O75" s="83"/>
      <c r="P75" s="73"/>
      <c r="Q75" s="74"/>
      <c r="R75" s="192"/>
      <c r="S75" s="397"/>
      <c r="T75" s="20"/>
      <c r="U75" s="20"/>
      <c r="V75" s="177"/>
      <c r="W75" s="88">
        <f t="shared" si="55"/>
        <v>0</v>
      </c>
      <c r="X75" s="89"/>
      <c r="Y75" s="89"/>
      <c r="Z75" s="406"/>
      <c r="AA75" s="406"/>
      <c r="AB75" s="306"/>
      <c r="AC75" s="307"/>
      <c r="AD75" s="402"/>
    </row>
    <row r="76" spans="1:32" ht="15" customHeight="1">
      <c r="A76" s="462"/>
      <c r="B76" s="26"/>
      <c r="C76" s="27"/>
      <c r="D76" s="28"/>
      <c r="E76" s="29"/>
      <c r="F76" s="13"/>
      <c r="G76" s="177"/>
      <c r="H76" s="15">
        <f t="shared" si="61"/>
        <v>0</v>
      </c>
      <c r="I76" s="81"/>
      <c r="J76" s="87"/>
      <c r="K76" s="82"/>
      <c r="L76" s="83"/>
      <c r="M76" s="181"/>
      <c r="N76" s="82"/>
      <c r="O76" s="83"/>
      <c r="P76" s="73"/>
      <c r="Q76" s="74"/>
      <c r="R76" s="192"/>
      <c r="S76" s="398"/>
      <c r="T76" s="20"/>
      <c r="U76" s="20"/>
      <c r="V76" s="177"/>
      <c r="W76" s="90">
        <f t="shared" si="55"/>
        <v>0</v>
      </c>
      <c r="X76" s="78"/>
      <c r="Y76" s="78"/>
      <c r="Z76" s="445"/>
      <c r="AA76" s="445"/>
      <c r="AB76" s="51"/>
      <c r="AC76" s="52"/>
      <c r="AD76" s="403"/>
    </row>
    <row r="77" spans="1:32" ht="15" customHeight="1">
      <c r="A77" s="462"/>
      <c r="B77" s="26"/>
      <c r="C77" s="27"/>
      <c r="D77" s="28"/>
      <c r="E77" s="29"/>
      <c r="F77" s="13"/>
      <c r="G77" s="177"/>
      <c r="H77" s="15">
        <f t="shared" si="61"/>
        <v>0</v>
      </c>
      <c r="I77" s="81"/>
      <c r="J77" s="87"/>
      <c r="K77" s="82"/>
      <c r="L77" s="83"/>
      <c r="M77" s="181"/>
      <c r="N77" s="82"/>
      <c r="O77" s="83"/>
      <c r="P77" s="73"/>
      <c r="Q77" s="74"/>
      <c r="R77" s="192"/>
      <c r="S77" s="398"/>
      <c r="T77" s="20"/>
      <c r="U77" s="20"/>
      <c r="V77" s="177"/>
      <c r="W77" s="182">
        <f t="shared" si="55"/>
        <v>0</v>
      </c>
      <c r="X77" s="84"/>
      <c r="Y77" s="84"/>
      <c r="Z77" s="405"/>
      <c r="AA77" s="405"/>
      <c r="AB77" s="18"/>
      <c r="AC77" s="55"/>
      <c r="AD77" s="403"/>
    </row>
    <row r="78" spans="1:32" ht="15" customHeight="1">
      <c r="A78" s="462"/>
      <c r="B78" s="26"/>
      <c r="C78" s="27"/>
      <c r="D78" s="28"/>
      <c r="E78" s="29"/>
      <c r="F78" s="13"/>
      <c r="G78" s="177"/>
      <c r="H78" s="15">
        <f t="shared" si="61"/>
        <v>0</v>
      </c>
      <c r="I78" s="85"/>
      <c r="J78" s="37"/>
      <c r="K78" s="36"/>
      <c r="L78" s="83"/>
      <c r="M78" s="21"/>
      <c r="N78" s="36"/>
      <c r="O78" s="38"/>
      <c r="P78" s="39"/>
      <c r="Q78" s="40"/>
      <c r="R78" s="190"/>
      <c r="S78" s="464"/>
      <c r="T78" s="32"/>
      <c r="U78" s="32"/>
      <c r="V78" s="178"/>
      <c r="W78" s="182">
        <f t="shared" si="55"/>
        <v>0</v>
      </c>
      <c r="X78" s="91"/>
      <c r="Y78" s="91"/>
      <c r="Z78" s="405"/>
      <c r="AA78" s="405"/>
      <c r="AB78" s="34"/>
      <c r="AC78" s="57"/>
      <c r="AD78" s="403"/>
    </row>
    <row r="79" spans="1:32" ht="15" customHeight="1" thickBot="1">
      <c r="A79" s="463"/>
      <c r="B79" s="165"/>
      <c r="C79" s="1" t="s">
        <v>40</v>
      </c>
      <c r="D79" s="410" t="s">
        <v>7</v>
      </c>
      <c r="E79" s="410"/>
      <c r="F79" s="114"/>
      <c r="G79" s="115"/>
      <c r="H79" s="173"/>
      <c r="I79" s="171"/>
      <c r="J79" s="166">
        <f t="shared" ref="J79:O79" si="62">AVERAGE(J69:J78)</f>
        <v>14.375</v>
      </c>
      <c r="K79" s="166">
        <f t="shared" si="62"/>
        <v>1487.5</v>
      </c>
      <c r="L79" s="171">
        <f t="shared" si="62"/>
        <v>104.43349358974359</v>
      </c>
      <c r="M79" s="166">
        <f t="shared" si="62"/>
        <v>14.375</v>
      </c>
      <c r="N79" s="166">
        <f t="shared" si="62"/>
        <v>1274.3716404289935</v>
      </c>
      <c r="O79" s="171">
        <f t="shared" si="62"/>
        <v>89.878263430204697</v>
      </c>
      <c r="P79" s="172">
        <f>M79-J79</f>
        <v>0</v>
      </c>
      <c r="Q79" s="158">
        <f>N79-K79</f>
        <v>-213.12835957100651</v>
      </c>
      <c r="R79" s="159">
        <f>O79/L79</f>
        <v>0.86062680028001703</v>
      </c>
      <c r="S79" s="399"/>
      <c r="T79" s="122"/>
      <c r="U79" s="122"/>
      <c r="V79" s="195"/>
      <c r="W79" s="168"/>
      <c r="X79" s="124"/>
      <c r="Y79" s="124"/>
      <c r="Z79" s="391"/>
      <c r="AA79" s="391"/>
      <c r="AB79" s="119">
        <f>N79-K79</f>
        <v>-213.12835957100651</v>
      </c>
      <c r="AC79" s="187">
        <f>N79/K79</f>
        <v>0.85672043054049984</v>
      </c>
      <c r="AD79" s="404"/>
    </row>
    <row r="80" spans="1:32">
      <c r="AF80" s="93" t="s">
        <v>41</v>
      </c>
    </row>
    <row r="81" spans="4:32">
      <c r="AF81" s="93" t="s">
        <v>42</v>
      </c>
    </row>
    <row r="82" spans="4:32">
      <c r="AF82" s="93" t="s">
        <v>43</v>
      </c>
    </row>
    <row r="83" spans="4:32">
      <c r="D83" s="220"/>
      <c r="W83" s="6"/>
      <c r="AF83" s="93" t="s">
        <v>44</v>
      </c>
    </row>
    <row r="84" spans="4:32">
      <c r="D84" s="224"/>
      <c r="W84" s="6"/>
      <c r="AF84" s="93" t="s">
        <v>45</v>
      </c>
    </row>
    <row r="85" spans="4:32">
      <c r="D85" s="224"/>
      <c r="W85" s="6"/>
      <c r="AF85" s="93" t="s">
        <v>46</v>
      </c>
    </row>
    <row r="86" spans="4:32">
      <c r="D86" s="155"/>
      <c r="W86" s="6"/>
      <c r="AF86" s="93" t="s">
        <v>47</v>
      </c>
    </row>
    <row r="87" spans="4:32">
      <c r="W87" s="6"/>
      <c r="AF87" s="93" t="s">
        <v>48</v>
      </c>
    </row>
    <row r="88" spans="4:32">
      <c r="W88" s="6"/>
      <c r="AF88" s="93" t="s">
        <v>49</v>
      </c>
    </row>
    <row r="89" spans="4:32">
      <c r="W89" s="6"/>
      <c r="AF89" s="93" t="s">
        <v>50</v>
      </c>
    </row>
    <row r="90" spans="4:32">
      <c r="W90" s="6"/>
      <c r="AF90" s="93" t="s">
        <v>51</v>
      </c>
    </row>
    <row r="91" spans="4:32">
      <c r="W91" s="6"/>
      <c r="AF91" s="93" t="s">
        <v>52</v>
      </c>
    </row>
    <row r="92" spans="4:32">
      <c r="W92" s="6"/>
      <c r="AF92" s="93" t="s">
        <v>53</v>
      </c>
    </row>
  </sheetData>
  <autoFilter ref="D1:D92" xr:uid="{EF5AD393-5A39-4C0E-A7B0-465235F2AB14}"/>
  <mergeCells count="135">
    <mergeCell ref="P1:S2"/>
    <mergeCell ref="T1:Y2"/>
    <mergeCell ref="Z1:AA2"/>
    <mergeCell ref="AB1:AD2"/>
    <mergeCell ref="H3:H4"/>
    <mergeCell ref="I3:I4"/>
    <mergeCell ref="J3:J4"/>
    <mergeCell ref="K3:K4"/>
    <mergeCell ref="L3:L4"/>
    <mergeCell ref="M3:M4"/>
    <mergeCell ref="AC3:AC4"/>
    <mergeCell ref="AD3:AD4"/>
    <mergeCell ref="P3:P4"/>
    <mergeCell ref="Q3:Q4"/>
    <mergeCell ref="R3:R4"/>
    <mergeCell ref="A2:B2"/>
    <mergeCell ref="A3:A4"/>
    <mergeCell ref="B3:B4"/>
    <mergeCell ref="D3:E4"/>
    <mergeCell ref="F3:F4"/>
    <mergeCell ref="G3:G4"/>
    <mergeCell ref="J1:L2"/>
    <mergeCell ref="M1:O2"/>
    <mergeCell ref="D15:E15"/>
    <mergeCell ref="A5:A15"/>
    <mergeCell ref="N3:N4"/>
    <mergeCell ref="O3:O4"/>
    <mergeCell ref="S5:S15"/>
    <mergeCell ref="Z5:AA5"/>
    <mergeCell ref="AD5:AD15"/>
    <mergeCell ref="Z6:AA6"/>
    <mergeCell ref="Z7:AA7"/>
    <mergeCell ref="Z8:AA8"/>
    <mergeCell ref="Z9:AA9"/>
    <mergeCell ref="T3:U3"/>
    <mergeCell ref="V3:V4"/>
    <mergeCell ref="W3:W4"/>
    <mergeCell ref="X3:Y3"/>
    <mergeCell ref="Z3:AA4"/>
    <mergeCell ref="AB3:AB4"/>
    <mergeCell ref="S3:S4"/>
    <mergeCell ref="AD16:AD26"/>
    <mergeCell ref="Z17:AA17"/>
    <mergeCell ref="Z18:AA18"/>
    <mergeCell ref="Z19:AA19"/>
    <mergeCell ref="Z20:AA20"/>
    <mergeCell ref="Z21:AA21"/>
    <mergeCell ref="Z22:AA22"/>
    <mergeCell ref="Z10:AA10"/>
    <mergeCell ref="Z11:AA11"/>
    <mergeCell ref="Z12:AA12"/>
    <mergeCell ref="Z13:AA13"/>
    <mergeCell ref="Z14:AA14"/>
    <mergeCell ref="Z23:AA23"/>
    <mergeCell ref="Z24:AA24"/>
    <mergeCell ref="Z25:AA25"/>
    <mergeCell ref="Z15:AA15"/>
    <mergeCell ref="D26:E26"/>
    <mergeCell ref="Z26:AA26"/>
    <mergeCell ref="A27:A37"/>
    <mergeCell ref="S27:S37"/>
    <mergeCell ref="Z27:AA27"/>
    <mergeCell ref="D37:E37"/>
    <mergeCell ref="Z37:AA37"/>
    <mergeCell ref="A16:A26"/>
    <mergeCell ref="S16:S26"/>
    <mergeCell ref="Z16:AA16"/>
    <mergeCell ref="AD38:AD48"/>
    <mergeCell ref="Z39:AA39"/>
    <mergeCell ref="Z40:AA40"/>
    <mergeCell ref="Z41:AA41"/>
    <mergeCell ref="Z42:AA42"/>
    <mergeCell ref="Z43:AA43"/>
    <mergeCell ref="Z44:AA44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Z45:AA45"/>
    <mergeCell ref="Z46:AA46"/>
    <mergeCell ref="Z47:AA47"/>
    <mergeCell ref="D48:E48"/>
    <mergeCell ref="Z48:AA48"/>
    <mergeCell ref="A49:A58"/>
    <mergeCell ref="S49:S58"/>
    <mergeCell ref="Z49:AA49"/>
    <mergeCell ref="D58:E58"/>
    <mergeCell ref="A38:A48"/>
    <mergeCell ref="S38:S48"/>
    <mergeCell ref="Z38:AA38"/>
    <mergeCell ref="AD59:AD69"/>
    <mergeCell ref="Z60:AA60"/>
    <mergeCell ref="Z61:AA61"/>
    <mergeCell ref="Z62:AA62"/>
    <mergeCell ref="Z63:AA63"/>
    <mergeCell ref="Z64:AA64"/>
    <mergeCell ref="Z65:AA65"/>
    <mergeCell ref="AD49:AD58"/>
    <mergeCell ref="Z50:AA50"/>
    <mergeCell ref="Z51:AA51"/>
    <mergeCell ref="Z52:AA52"/>
    <mergeCell ref="Z53:AA53"/>
    <mergeCell ref="Z54:AA54"/>
    <mergeCell ref="Z55:AA55"/>
    <mergeCell ref="Z56:AA56"/>
    <mergeCell ref="Z57:AA57"/>
    <mergeCell ref="Z58:AA58"/>
    <mergeCell ref="Z66:AA66"/>
    <mergeCell ref="Z67:AA67"/>
    <mergeCell ref="Z68:AA68"/>
    <mergeCell ref="D69:E69"/>
    <mergeCell ref="Z69:AA69"/>
    <mergeCell ref="A70:A79"/>
    <mergeCell ref="S70:S79"/>
    <mergeCell ref="Z70:AA70"/>
    <mergeCell ref="D79:E79"/>
    <mergeCell ref="A59:A69"/>
    <mergeCell ref="S59:S69"/>
    <mergeCell ref="Z59:AA59"/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</mergeCells>
  <phoneticPr fontId="2" type="noConversion"/>
  <conditionalFormatting sqref="P5:P79">
    <cfRule type="cellIs" dxfId="248" priority="1" operator="greaterThan">
      <formula>0</formula>
    </cfRule>
  </conditionalFormatting>
  <conditionalFormatting sqref="Q5:Q79 AB5:AB79">
    <cfRule type="cellIs" dxfId="247" priority="4" operator="lessThan">
      <formula>0</formula>
    </cfRule>
  </conditionalFormatting>
  <conditionalFormatting sqref="R5:R79 AC5:AC79">
    <cfRule type="cellIs" dxfId="246" priority="2" operator="greaterThan">
      <formula>1</formula>
    </cfRule>
    <cfRule type="cellIs" dxfId="245" priority="3" operator="lessThan">
      <formula>0.8</formula>
    </cfRule>
  </conditionalFormatting>
  <conditionalFormatting sqref="S5:S10 S37:S62 AD59:AD62 S69:S76 AD69:AD76">
    <cfRule type="cellIs" dxfId="244" priority="7" operator="lessThan">
      <formula>0.8</formula>
    </cfRule>
  </conditionalFormatting>
  <conditionalFormatting sqref="S19:S25 AD19:AD25">
    <cfRule type="cellIs" dxfId="243" priority="6" operator="lessThan">
      <formula>0.8</formula>
    </cfRule>
  </conditionalFormatting>
  <conditionalFormatting sqref="S79">
    <cfRule type="cellIs" dxfId="242" priority="5" operator="lessThan">
      <formula>0.8</formula>
    </cfRule>
  </conditionalFormatting>
  <conditionalFormatting sqref="AD5:AD8 S15:S16 AD15:AD16 AD49 AD79">
    <cfRule type="cellIs" dxfId="241" priority="9" operator="lessThan">
      <formula>0.8</formula>
    </cfRule>
  </conditionalFormatting>
  <conditionalFormatting sqref="AD27 S27:S28">
    <cfRule type="cellIs" dxfId="24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7619D6-9A5E-4FB4-B99A-77B454CECD80}">
          <x14:formula1>
            <xm:f>廠價表!$C$2:$C$37</xm:f>
          </x14:formula1>
          <xm:sqref>D1:D1048576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FC3BC-A2BA-4133-8943-0A7799DB738B}">
  <sheetPr>
    <pageSetUpPr fitToPage="1"/>
  </sheetPr>
  <dimension ref="B1:O22"/>
  <sheetViews>
    <sheetView zoomScale="70" zoomScaleNormal="70" workbookViewId="0">
      <selection activeCell="U63" sqref="U63"/>
    </sheetView>
  </sheetViews>
  <sheetFormatPr defaultColWidth="8.125" defaultRowHeight="15.75"/>
  <cols>
    <col min="1" max="1" width="8.125" style="203"/>
    <col min="2" max="2" width="7.125" style="203" customWidth="1"/>
    <col min="3" max="3" width="7.125" style="218" customWidth="1"/>
    <col min="4" max="17" width="14.125" style="203" customWidth="1"/>
    <col min="18" max="21" width="9.625" style="203" customWidth="1"/>
    <col min="22" max="22" width="11.125" style="203" customWidth="1"/>
    <col min="23" max="23" width="11.5" style="203" customWidth="1"/>
    <col min="24" max="16384" width="8.125" style="203"/>
  </cols>
  <sheetData>
    <row r="1" spans="2:15" ht="27.75" customHeight="1">
      <c r="B1" s="345" t="s">
        <v>73</v>
      </c>
      <c r="C1" s="345"/>
      <c r="D1" s="345"/>
      <c r="E1" s="345"/>
      <c r="F1" s="345"/>
      <c r="G1" s="345"/>
      <c r="H1" s="345"/>
      <c r="I1" s="345"/>
      <c r="J1" s="345"/>
      <c r="K1" s="345"/>
      <c r="L1" s="202"/>
      <c r="M1" s="202"/>
    </row>
    <row r="2" spans="2:15" ht="27.75" customHeight="1"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202"/>
      <c r="M2" s="202"/>
    </row>
    <row r="3" spans="2:15" ht="46.5" customHeight="1">
      <c r="B3" s="342" t="s">
        <v>74</v>
      </c>
      <c r="C3" s="342"/>
      <c r="D3" s="346">
        <v>45968</v>
      </c>
      <c r="E3" s="346"/>
      <c r="F3" s="204" t="s">
        <v>75</v>
      </c>
      <c r="G3" s="347">
        <f>'1107'!E1</f>
        <v>45764</v>
      </c>
      <c r="H3" s="347"/>
      <c r="I3" s="204" t="s">
        <v>76</v>
      </c>
      <c r="J3" s="348">
        <f>'1107'!G1</f>
        <v>2223272.6800000002</v>
      </c>
      <c r="K3" s="348"/>
      <c r="L3" s="205"/>
    </row>
    <row r="4" spans="2:15" ht="24" customHeight="1">
      <c r="B4" s="342" t="s">
        <v>77</v>
      </c>
      <c r="C4" s="342"/>
      <c r="D4" s="343">
        <v>3</v>
      </c>
      <c r="E4" s="343"/>
      <c r="F4" s="344" t="s">
        <v>78</v>
      </c>
      <c r="G4" s="344"/>
      <c r="H4" s="344" t="s">
        <v>79</v>
      </c>
      <c r="I4" s="344"/>
      <c r="J4" s="343" t="s">
        <v>80</v>
      </c>
      <c r="K4" s="344"/>
      <c r="L4" s="206"/>
    </row>
    <row r="5" spans="2:15" ht="24" customHeight="1">
      <c r="B5" s="342" t="s">
        <v>81</v>
      </c>
      <c r="C5" s="342"/>
      <c r="D5" s="343" t="s">
        <v>82</v>
      </c>
      <c r="E5" s="343"/>
      <c r="F5" s="343" t="s">
        <v>83</v>
      </c>
      <c r="G5" s="343"/>
      <c r="H5" s="369" t="s">
        <v>62</v>
      </c>
      <c r="I5" s="369"/>
      <c r="J5" s="341" t="s">
        <v>84</v>
      </c>
      <c r="K5" s="341"/>
      <c r="L5" s="207"/>
    </row>
    <row r="6" spans="2:15" ht="39.6" customHeight="1">
      <c r="B6" s="342"/>
      <c r="C6" s="342"/>
      <c r="D6" s="342" t="s">
        <v>85</v>
      </c>
      <c r="E6" s="342"/>
      <c r="F6" s="356">
        <f>AVERAGE(D13:J13)</f>
        <v>110.71242194133616</v>
      </c>
      <c r="G6" s="356"/>
      <c r="H6" s="349">
        <f>AVERAGE(D13:H13)</f>
        <v>108.49140781188771</v>
      </c>
      <c r="I6" s="349"/>
      <c r="J6" s="349">
        <f>AVERAGE(I13:J13)</f>
        <v>116.26495726495726</v>
      </c>
      <c r="K6" s="349"/>
      <c r="L6" s="207"/>
    </row>
    <row r="7" spans="2:15" s="208" customFormat="1" ht="39.6" customHeight="1">
      <c r="B7" s="342"/>
      <c r="C7" s="342"/>
      <c r="D7" s="350" t="s">
        <v>86</v>
      </c>
      <c r="E7" s="350"/>
      <c r="F7" s="351">
        <f>AVERAGE(D14:J14)</f>
        <v>99.341351546085733</v>
      </c>
      <c r="G7" s="351"/>
      <c r="H7" s="352">
        <f>AVERAGE(D14:H14)</f>
        <v>96.677898074195056</v>
      </c>
      <c r="I7" s="352"/>
      <c r="J7" s="352">
        <f>AVERAGE(I14:J14)</f>
        <v>105.9999852258124</v>
      </c>
      <c r="K7" s="352"/>
    </row>
    <row r="8" spans="2:15" s="208" customFormat="1" ht="39.6" customHeight="1">
      <c r="B8" s="342"/>
      <c r="C8" s="342"/>
      <c r="D8" s="350" t="s">
        <v>87</v>
      </c>
      <c r="E8" s="350"/>
      <c r="F8" s="353">
        <f>AVERAGE(D15:J15)</f>
        <v>0.8907540227219497</v>
      </c>
      <c r="G8" s="353"/>
      <c r="H8" s="353">
        <f>AVERAGE(D15:H15)</f>
        <v>0.88162348221100362</v>
      </c>
      <c r="I8" s="353"/>
      <c r="J8" s="353">
        <f>AVERAGE(I15:J15)</f>
        <v>0.91358037399931469</v>
      </c>
      <c r="K8" s="353"/>
      <c r="L8" s="209" t="s">
        <v>88</v>
      </c>
    </row>
    <row r="9" spans="2:15" ht="25.5" customHeight="1">
      <c r="B9" s="207"/>
      <c r="C9" s="207"/>
      <c r="D9" s="207"/>
      <c r="E9" s="207"/>
      <c r="F9" s="207"/>
      <c r="G9" s="207"/>
      <c r="H9" s="210"/>
      <c r="I9" s="211"/>
      <c r="J9" s="211"/>
      <c r="K9" s="211"/>
      <c r="L9" s="211"/>
      <c r="M9" s="211"/>
      <c r="N9" s="211"/>
      <c r="O9" s="207"/>
    </row>
    <row r="10" spans="2:15" ht="30" customHeight="1">
      <c r="B10" s="354" t="s">
        <v>0</v>
      </c>
      <c r="C10" s="355"/>
      <c r="D10" s="357" t="s">
        <v>89</v>
      </c>
      <c r="E10" s="358"/>
      <c r="F10" s="358"/>
      <c r="G10" s="358"/>
      <c r="H10" s="358"/>
      <c r="I10" s="358"/>
      <c r="J10" s="359"/>
    </row>
    <row r="11" spans="2:15" ht="17.25" customHeight="1">
      <c r="B11" s="360" t="s">
        <v>90</v>
      </c>
      <c r="C11" s="361"/>
      <c r="D11" s="212">
        <v>1</v>
      </c>
      <c r="E11" s="212">
        <v>2</v>
      </c>
      <c r="F11" s="212">
        <v>3</v>
      </c>
      <c r="G11" s="212">
        <v>4</v>
      </c>
      <c r="H11" s="212">
        <v>5</v>
      </c>
      <c r="I11" s="212">
        <v>6</v>
      </c>
      <c r="J11" s="212">
        <v>7</v>
      </c>
    </row>
    <row r="12" spans="2:15" ht="33.950000000000003" customHeight="1">
      <c r="B12" s="362"/>
      <c r="C12" s="363"/>
      <c r="D12" s="213" t="s">
        <v>91</v>
      </c>
      <c r="E12" s="213" t="s">
        <v>92</v>
      </c>
      <c r="F12" s="213" t="s">
        <v>93</v>
      </c>
      <c r="G12" s="213" t="s">
        <v>94</v>
      </c>
      <c r="H12" s="213" t="s">
        <v>95</v>
      </c>
      <c r="I12" s="213" t="s">
        <v>96</v>
      </c>
      <c r="J12" s="213" t="s">
        <v>97</v>
      </c>
    </row>
    <row r="13" spans="2:15" ht="39.950000000000003" customHeight="1">
      <c r="B13" s="364" t="s">
        <v>1</v>
      </c>
      <c r="C13" s="214" t="s">
        <v>98</v>
      </c>
      <c r="D13" s="215">
        <f>VALUE('1107'!L15)</f>
        <v>131.58068783068782</v>
      </c>
      <c r="E13" s="215">
        <f>VALUE('1107'!L26)</f>
        <v>147.47939560439562</v>
      </c>
      <c r="F13" s="215">
        <f>VALUE('1107'!L37)</f>
        <v>84.501633986928113</v>
      </c>
      <c r="G13" s="215">
        <f>VALUE('1107'!L48)</f>
        <v>93.266666666666666</v>
      </c>
      <c r="H13" s="215">
        <f>VALUE('1107'!L58)</f>
        <v>85.628654970760238</v>
      </c>
      <c r="I13" s="215">
        <f>VALUE('1107'!L69)</f>
        <v>124.39743589743588</v>
      </c>
      <c r="J13" s="215">
        <f>VALUE('1107'!L79)</f>
        <v>108.13247863247864</v>
      </c>
    </row>
    <row r="14" spans="2:15" ht="39.950000000000003" customHeight="1">
      <c r="B14" s="365"/>
      <c r="C14" s="214" t="s">
        <v>99</v>
      </c>
      <c r="D14" s="215">
        <f>VALUE('1107'!O15)</f>
        <v>118.68747092995397</v>
      </c>
      <c r="E14" s="215">
        <f>VALUE('1107'!O26)</f>
        <v>143.36981619080564</v>
      </c>
      <c r="F14" s="215">
        <f>VALUE('1107'!O37)</f>
        <v>74.344205821608369</v>
      </c>
      <c r="G14" s="215">
        <f>VALUE('1107'!O48)</f>
        <v>65.246369603388146</v>
      </c>
      <c r="H14" s="215">
        <f>VALUE('1107'!O58)</f>
        <v>81.741627825219155</v>
      </c>
      <c r="I14" s="215">
        <f>VALUE('1107'!O69)</f>
        <v>110.32165616039694</v>
      </c>
      <c r="J14" s="215">
        <f>VALUE('1107'!O79)</f>
        <v>101.67831429122784</v>
      </c>
    </row>
    <row r="15" spans="2:15" ht="39.950000000000003" customHeight="1">
      <c r="B15" s="366"/>
      <c r="C15" s="212" t="s">
        <v>100</v>
      </c>
      <c r="D15" s="233">
        <f>D14/D13</f>
        <v>0.90201284768077616</v>
      </c>
      <c r="E15" s="233">
        <f t="shared" ref="E15:J15" si="0">E14/E13</f>
        <v>0.97213455210642663</v>
      </c>
      <c r="F15" s="233">
        <f t="shared" si="0"/>
        <v>0.87979607392099624</v>
      </c>
      <c r="G15" s="233">
        <f t="shared" si="0"/>
        <v>0.69956793713425458</v>
      </c>
      <c r="H15" s="233">
        <f t="shared" si="0"/>
        <v>0.95460600021256448</v>
      </c>
      <c r="I15" s="233">
        <f t="shared" si="0"/>
        <v>0.88684831294557998</v>
      </c>
      <c r="J15" s="233">
        <f t="shared" si="0"/>
        <v>0.94031243505304951</v>
      </c>
    </row>
    <row r="16" spans="2:15" ht="17.25" customHeight="1">
      <c r="B16" s="367" t="s">
        <v>101</v>
      </c>
      <c r="C16" s="212" t="s">
        <v>102</v>
      </c>
      <c r="D16" s="95">
        <f>'1107'!T5</f>
        <v>0.2902777777777778</v>
      </c>
      <c r="E16" s="95">
        <f>'1107'!T16</f>
        <v>0.2902777777777778</v>
      </c>
      <c r="F16" s="95">
        <f>'1107'!T27</f>
        <v>0.28888888888888886</v>
      </c>
      <c r="G16" s="95">
        <f>'1107'!T38</f>
        <v>0.3125</v>
      </c>
      <c r="H16" s="95">
        <f>'1107'!T49</f>
        <v>0.2902777777777778</v>
      </c>
      <c r="I16" s="95">
        <f>'1107'!T59</f>
        <v>0.29166666666666669</v>
      </c>
      <c r="J16" s="272">
        <f>'1107'!T70</f>
        <v>0.31597222222222221</v>
      </c>
    </row>
    <row r="17" spans="2:10" ht="17.25" customHeight="1">
      <c r="B17" s="368"/>
      <c r="C17" s="212" t="s">
        <v>103</v>
      </c>
      <c r="D17" s="20">
        <v>0.56458333333333333</v>
      </c>
      <c r="E17" s="41">
        <v>0.57986111111111116</v>
      </c>
      <c r="F17" s="41">
        <v>0.46875</v>
      </c>
      <c r="G17" s="59">
        <v>0.57708333333333328</v>
      </c>
      <c r="H17" s="44">
        <v>0.49305555555555558</v>
      </c>
      <c r="I17" s="20">
        <v>0.57291666666666663</v>
      </c>
      <c r="J17" s="20">
        <v>0.58680555555555558</v>
      </c>
    </row>
    <row r="18" spans="2:10" ht="17.25" customHeight="1">
      <c r="B18" s="354" t="s">
        <v>104</v>
      </c>
      <c r="C18" s="355"/>
      <c r="D18" s="216">
        <f>VALUE('1107'!M15)</f>
        <v>15.333333333333334</v>
      </c>
      <c r="E18" s="216">
        <f>VALUE('1107'!M26)</f>
        <v>13.25</v>
      </c>
      <c r="F18" s="216">
        <f>VALUE('1107'!M37)</f>
        <v>15.5</v>
      </c>
      <c r="G18" s="216">
        <f>VALUE('1107'!M48)</f>
        <v>15</v>
      </c>
      <c r="H18" s="216">
        <f>VALUE('1107'!M58)</f>
        <v>18.5</v>
      </c>
      <c r="I18" s="216">
        <f>VALUE('1107'!M69)</f>
        <v>12.6</v>
      </c>
      <c r="J18" s="216">
        <f>VALUE('1107'!M79)</f>
        <v>12.866666666666667</v>
      </c>
    </row>
    <row r="19" spans="2:10" ht="17.25" customHeight="1">
      <c r="B19" s="354" t="s">
        <v>105</v>
      </c>
      <c r="C19" s="355"/>
      <c r="D19" s="213" t="s">
        <v>106</v>
      </c>
      <c r="E19" s="213" t="s">
        <v>106</v>
      </c>
      <c r="F19" s="213" t="s">
        <v>107</v>
      </c>
      <c r="G19" s="213" t="s">
        <v>107</v>
      </c>
      <c r="H19" s="213" t="s">
        <v>107</v>
      </c>
      <c r="I19" s="213" t="s">
        <v>108</v>
      </c>
      <c r="J19" s="213" t="s">
        <v>107</v>
      </c>
    </row>
    <row r="20" spans="2:10" ht="17.25" customHeight="1">
      <c r="B20" s="354" t="s">
        <v>110</v>
      </c>
      <c r="C20" s="355"/>
      <c r="D20" s="213"/>
      <c r="E20" s="213"/>
      <c r="F20" s="213"/>
      <c r="G20" s="217"/>
      <c r="H20" s="213" t="s">
        <v>109</v>
      </c>
      <c r="I20" s="213"/>
      <c r="J20" s="213"/>
    </row>
    <row r="21" spans="2:10" ht="17.25" customHeight="1">
      <c r="B21" s="354" t="s">
        <v>111</v>
      </c>
      <c r="C21" s="355"/>
      <c r="D21" s="273"/>
      <c r="E21" s="273"/>
      <c r="F21" s="273"/>
      <c r="G21" s="273"/>
      <c r="H21" s="273"/>
      <c r="I21" s="273"/>
      <c r="J21" s="273"/>
    </row>
    <row r="22" spans="2:10">
      <c r="B22" s="370"/>
      <c r="C22" s="370"/>
    </row>
  </sheetData>
  <mergeCells count="37">
    <mergeCell ref="J5:K5"/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J6:K6"/>
    <mergeCell ref="D7:E7"/>
    <mergeCell ref="F7:G7"/>
    <mergeCell ref="H7:I7"/>
    <mergeCell ref="J7:K7"/>
    <mergeCell ref="H8:I8"/>
    <mergeCell ref="B18:C18"/>
    <mergeCell ref="B19:C19"/>
    <mergeCell ref="D6:E6"/>
    <mergeCell ref="F6:G6"/>
    <mergeCell ref="H6:I6"/>
    <mergeCell ref="D10:J10"/>
    <mergeCell ref="B11:C12"/>
    <mergeCell ref="B13:B15"/>
    <mergeCell ref="B16:B17"/>
    <mergeCell ref="B10:C10"/>
    <mergeCell ref="J8:K8"/>
    <mergeCell ref="B5:C8"/>
    <mergeCell ref="D5:E5"/>
    <mergeCell ref="F5:G5"/>
    <mergeCell ref="H5:I5"/>
    <mergeCell ref="B20:C20"/>
    <mergeCell ref="B21:C21"/>
    <mergeCell ref="B22:C22"/>
    <mergeCell ref="D8:E8"/>
    <mergeCell ref="F8:G8"/>
  </mergeCells>
  <phoneticPr fontId="2" type="noConversion"/>
  <conditionalFormatting sqref="D15:J15">
    <cfRule type="cellIs" dxfId="239" priority="1" operator="lessThan">
      <formula>0.8</formula>
    </cfRule>
  </conditionalFormatting>
  <pageMargins left="0.7" right="0.7" top="0.75" bottom="0.75" header="0.3" footer="0.3"/>
  <pageSetup paperSize="8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C9A05-7792-4EB3-810A-5816F2559CAF}">
  <sheetPr>
    <tabColor theme="9" tint="0.79998168889431442"/>
    <pageSetUpPr fitToPage="1"/>
  </sheetPr>
  <dimension ref="A1:AF92"/>
  <sheetViews>
    <sheetView zoomScale="69" zoomScaleNormal="69" workbookViewId="0">
      <pane xSplit="5" ySplit="4" topLeftCell="F11" activePane="bottomRight" state="frozen"/>
      <selection activeCell="U63" sqref="U63"/>
      <selection pane="topRight" activeCell="U63" sqref="U63"/>
      <selection pane="bottomLeft" activeCell="U63" sqref="U63"/>
      <selection pane="bottomRight" activeCell="H38" sqref="H38:H40"/>
    </sheetView>
  </sheetViews>
  <sheetFormatPr defaultColWidth="7.875" defaultRowHeight="15.75"/>
  <cols>
    <col min="1" max="1" width="15" style="6" customWidth="1"/>
    <col min="2" max="2" width="12.875" style="6" customWidth="1"/>
    <col min="3" max="3" width="12.875" style="6" hidden="1" customWidth="1"/>
    <col min="4" max="4" width="26.125" style="6" bestFit="1" customWidth="1"/>
    <col min="5" max="5" width="15" style="6" customWidth="1"/>
    <col min="6" max="6" width="8.875" style="6" bestFit="1" customWidth="1"/>
    <col min="7" max="7" width="20.125" style="6" bestFit="1" customWidth="1"/>
    <col min="8" max="8" width="16.375" style="6" bestFit="1" customWidth="1"/>
    <col min="9" max="9" width="10.875" style="6" bestFit="1" customWidth="1"/>
    <col min="10" max="10" width="10.125" style="6" bestFit="1" customWidth="1"/>
    <col min="11" max="11" width="10.625" style="6" customWidth="1"/>
    <col min="12" max="12" width="14.5" style="6" customWidth="1"/>
    <col min="13" max="13" width="10.125" style="6" bestFit="1" customWidth="1"/>
    <col min="14" max="14" width="10.25" style="6" bestFit="1" customWidth="1"/>
    <col min="15" max="15" width="11.875" style="6" customWidth="1"/>
    <col min="16" max="17" width="9.125" style="6" bestFit="1" customWidth="1"/>
    <col min="18" max="18" width="9.125" style="6" customWidth="1"/>
    <col min="19" max="19" width="8.375" style="6" customWidth="1"/>
    <col min="20" max="21" width="9.375" style="6" bestFit="1" customWidth="1"/>
    <col min="22" max="22" width="10.625" style="6" customWidth="1"/>
    <col min="23" max="23" width="8.625" style="92" customWidth="1"/>
    <col min="24" max="24" width="7.5" style="6" bestFit="1" customWidth="1"/>
    <col min="25" max="25" width="6.875" style="6" customWidth="1"/>
    <col min="26" max="26" width="12.625" style="6" customWidth="1"/>
    <col min="27" max="27" width="33.375" style="6" customWidth="1"/>
    <col min="28" max="28" width="13.125" style="6" bestFit="1" customWidth="1"/>
    <col min="29" max="29" width="10.375" style="6" customWidth="1"/>
    <col min="30" max="30" width="9.125" style="6" customWidth="1"/>
    <col min="31" max="31" width="7.875" style="6"/>
    <col min="32" max="32" width="24.5" style="6" bestFit="1" customWidth="1"/>
    <col min="33" max="16384" width="7.875" style="6"/>
  </cols>
  <sheetData>
    <row r="1" spans="1:30" ht="21">
      <c r="A1" s="2" t="s">
        <v>72</v>
      </c>
      <c r="B1" s="2"/>
      <c r="C1" s="2"/>
      <c r="D1" s="176" t="s">
        <v>8</v>
      </c>
      <c r="E1" s="3">
        <f>SUM(G5:G79)</f>
        <v>45764</v>
      </c>
      <c r="F1" s="177" t="s">
        <v>9</v>
      </c>
      <c r="G1" s="4">
        <f>SUM(H5:H79)</f>
        <v>2223272.6800000002</v>
      </c>
      <c r="H1" s="175" t="s">
        <v>10</v>
      </c>
      <c r="I1" s="5">
        <f>M15+M26+M48+M58+M69+M79+M37</f>
        <v>103.05000000000001</v>
      </c>
      <c r="J1" s="371" t="s">
        <v>11</v>
      </c>
      <c r="K1" s="371"/>
      <c r="L1" s="371"/>
      <c r="M1" s="371" t="s">
        <v>12</v>
      </c>
      <c r="N1" s="371"/>
      <c r="O1" s="371"/>
      <c r="P1" s="371" t="s">
        <v>13</v>
      </c>
      <c r="Q1" s="371"/>
      <c r="R1" s="371"/>
      <c r="S1" s="371"/>
      <c r="T1" s="371" t="s">
        <v>14</v>
      </c>
      <c r="U1" s="371"/>
      <c r="V1" s="371"/>
      <c r="W1" s="371"/>
      <c r="X1" s="371"/>
      <c r="Y1" s="371"/>
      <c r="Z1" s="371" t="s">
        <v>15</v>
      </c>
      <c r="AA1" s="371"/>
      <c r="AB1" s="371" t="s">
        <v>16</v>
      </c>
      <c r="AC1" s="372"/>
      <c r="AD1" s="372"/>
    </row>
    <row r="2" spans="1:30" ht="18.75">
      <c r="A2" s="409" t="s">
        <v>182</v>
      </c>
      <c r="B2" s="409"/>
      <c r="C2" s="176"/>
      <c r="D2" s="176" t="s">
        <v>1</v>
      </c>
      <c r="E2" s="7">
        <f>AVERAGE(O15,O26,O37,O48,O58,O69,O79)</f>
        <v>99.341351546085733</v>
      </c>
      <c r="F2" s="8" t="s">
        <v>2</v>
      </c>
      <c r="G2" s="9">
        <f>G1/E1</f>
        <v>48.581257757189057</v>
      </c>
      <c r="H2" s="175" t="s">
        <v>17</v>
      </c>
      <c r="I2" s="175">
        <f>COUNT(I5:I79)</f>
        <v>0</v>
      </c>
      <c r="J2" s="371"/>
      <c r="K2" s="371"/>
      <c r="L2" s="371"/>
      <c r="M2" s="371"/>
      <c r="N2" s="371"/>
      <c r="O2" s="371"/>
      <c r="P2" s="371"/>
      <c r="Q2" s="371"/>
      <c r="R2" s="371"/>
      <c r="S2" s="371"/>
      <c r="T2" s="371"/>
      <c r="U2" s="371"/>
      <c r="V2" s="371"/>
      <c r="W2" s="371"/>
      <c r="X2" s="371"/>
      <c r="Y2" s="371"/>
      <c r="Z2" s="371"/>
      <c r="AA2" s="371"/>
      <c r="AB2" s="372"/>
      <c r="AC2" s="372"/>
      <c r="AD2" s="372"/>
    </row>
    <row r="3" spans="1:30">
      <c r="A3" s="405" t="s">
        <v>18</v>
      </c>
      <c r="B3" s="405" t="s">
        <v>19</v>
      </c>
      <c r="C3" s="177"/>
      <c r="D3" s="405" t="s">
        <v>20</v>
      </c>
      <c r="E3" s="405"/>
      <c r="F3" s="379" t="s">
        <v>21</v>
      </c>
      <c r="G3" s="389" t="s">
        <v>22</v>
      </c>
      <c r="H3" s="379" t="s">
        <v>23</v>
      </c>
      <c r="I3" s="381" t="s">
        <v>24</v>
      </c>
      <c r="J3" s="383" t="s">
        <v>25</v>
      </c>
      <c r="K3" s="385" t="s">
        <v>26</v>
      </c>
      <c r="L3" s="387" t="s">
        <v>1</v>
      </c>
      <c r="M3" s="389" t="s">
        <v>25</v>
      </c>
      <c r="N3" s="385" t="s">
        <v>26</v>
      </c>
      <c r="O3" s="387" t="s">
        <v>1</v>
      </c>
      <c r="P3" s="383" t="s">
        <v>25</v>
      </c>
      <c r="Q3" s="387" t="s">
        <v>1</v>
      </c>
      <c r="R3" s="392" t="s">
        <v>27</v>
      </c>
      <c r="S3" s="394" t="s">
        <v>28</v>
      </c>
      <c r="T3" s="389" t="s">
        <v>4</v>
      </c>
      <c r="U3" s="389"/>
      <c r="V3" s="408" t="s">
        <v>29</v>
      </c>
      <c r="W3" s="381" t="s">
        <v>30</v>
      </c>
      <c r="X3" s="389" t="s">
        <v>31</v>
      </c>
      <c r="Y3" s="389"/>
      <c r="Z3" s="415" t="s">
        <v>71</v>
      </c>
      <c r="AA3" s="416"/>
      <c r="AB3" s="385" t="s">
        <v>26</v>
      </c>
      <c r="AC3" s="392" t="s">
        <v>27</v>
      </c>
      <c r="AD3" s="394" t="s">
        <v>28</v>
      </c>
    </row>
    <row r="4" spans="1:30" ht="16.5" thickBot="1">
      <c r="A4" s="379"/>
      <c r="B4" s="379"/>
      <c r="C4" s="178"/>
      <c r="D4" s="379"/>
      <c r="E4" s="379"/>
      <c r="F4" s="380"/>
      <c r="G4" s="390"/>
      <c r="H4" s="380"/>
      <c r="I4" s="382"/>
      <c r="J4" s="384"/>
      <c r="K4" s="386"/>
      <c r="L4" s="388"/>
      <c r="M4" s="390"/>
      <c r="N4" s="386"/>
      <c r="O4" s="388"/>
      <c r="P4" s="384"/>
      <c r="Q4" s="388"/>
      <c r="R4" s="393"/>
      <c r="S4" s="395"/>
      <c r="T4" s="179" t="s">
        <v>5</v>
      </c>
      <c r="U4" s="179" t="s">
        <v>6</v>
      </c>
      <c r="V4" s="390"/>
      <c r="W4" s="382"/>
      <c r="X4" s="178" t="s">
        <v>32</v>
      </c>
      <c r="Y4" s="178" t="s">
        <v>33</v>
      </c>
      <c r="Z4" s="417"/>
      <c r="AA4" s="417"/>
      <c r="AB4" s="386"/>
      <c r="AC4" s="393"/>
      <c r="AD4" s="395"/>
    </row>
    <row r="5" spans="1:30" ht="15" customHeight="1">
      <c r="A5" s="411" t="s">
        <v>66</v>
      </c>
      <c r="B5" s="199" t="str">
        <f>VLOOKUP(D5,廠價表!$C$1:$E$39,2,0)</f>
        <v>義大利麵</v>
      </c>
      <c r="C5" s="102"/>
      <c r="D5" s="103" t="s">
        <v>127</v>
      </c>
      <c r="E5" s="104"/>
      <c r="F5" s="199">
        <f>VLOOKUP(D5,廠價表!$C$1:$E$39,3,0)</f>
        <v>57.21</v>
      </c>
      <c r="G5" s="105">
        <v>1448</v>
      </c>
      <c r="H5" s="106">
        <f>F5*G5</f>
        <v>82840.08</v>
      </c>
      <c r="I5" s="107"/>
      <c r="J5" s="108">
        <v>14</v>
      </c>
      <c r="K5" s="105">
        <f>VLOOKUP(D5,產線配置圖!$A$2:$C$38,3,0)</f>
        <v>2105</v>
      </c>
      <c r="L5" s="109">
        <f>K5/J5</f>
        <v>150.35714285714286</v>
      </c>
      <c r="M5" s="110">
        <v>14</v>
      </c>
      <c r="N5" s="105">
        <f t="shared" ref="N5:N9" si="0">G5/W5*60</f>
        <v>1974.5454545454545</v>
      </c>
      <c r="O5" s="109">
        <f t="shared" ref="O5:O9" si="1">N5/M5</f>
        <v>141.03896103896105</v>
      </c>
      <c r="P5" s="111">
        <f t="shared" ref="P5:P9" si="2">M5-J5</f>
        <v>0</v>
      </c>
      <c r="Q5" s="112">
        <f t="shared" ref="Q5:Q9" si="3">O5-L5</f>
        <v>-9.318181818181813</v>
      </c>
      <c r="R5" s="184">
        <f t="shared" ref="R5:R9" si="4">O5/L5</f>
        <v>0.93802634420211617</v>
      </c>
      <c r="S5" s="396">
        <f>R15</f>
        <v>0.90201284768077616</v>
      </c>
      <c r="T5" s="94">
        <v>0.2902777777777778</v>
      </c>
      <c r="U5" s="94">
        <v>0.32083333333333336</v>
      </c>
      <c r="V5" s="194"/>
      <c r="W5" s="107">
        <f t="shared" ref="W5:W14" si="5">(U5-T5)*24*60</f>
        <v>44</v>
      </c>
      <c r="X5" s="188"/>
      <c r="Y5" s="188"/>
      <c r="Z5" s="400"/>
      <c r="AA5" s="400"/>
      <c r="AB5" s="111">
        <f t="shared" ref="AB5:AB10" si="6">N5-K5</f>
        <v>-130.4545454545455</v>
      </c>
      <c r="AC5" s="184">
        <f t="shared" ref="AC5:AC10" si="7">N5/K5</f>
        <v>0.93802634420211617</v>
      </c>
      <c r="AD5" s="401">
        <f>AC15</f>
        <v>0.90160689302183805</v>
      </c>
    </row>
    <row r="6" spans="1:30" ht="15" customHeight="1">
      <c r="A6" s="412"/>
      <c r="B6" s="56" t="str">
        <f>VLOOKUP(D6,廠價表!$C$1:$E$39,2,0)</f>
        <v>義大利麵</v>
      </c>
      <c r="C6" s="10"/>
      <c r="D6" s="11" t="s">
        <v>139</v>
      </c>
      <c r="E6" s="86"/>
      <c r="F6" s="56">
        <f>VLOOKUP(D6,廠價表!$C$1:$E$39,3,0)</f>
        <v>57.21</v>
      </c>
      <c r="G6" s="25">
        <v>1223</v>
      </c>
      <c r="H6" s="15">
        <f t="shared" ref="H6:H14" si="8">F6*G6</f>
        <v>69967.83</v>
      </c>
      <c r="I6" s="182"/>
      <c r="J6" s="16">
        <v>18</v>
      </c>
      <c r="K6" s="14">
        <f>VLOOKUP(D6,產線配置圖!$A$2:$C$38,3,0)</f>
        <v>1895</v>
      </c>
      <c r="L6" s="17">
        <f>K6/J6</f>
        <v>105.27777777777777</v>
      </c>
      <c r="M6" s="180">
        <v>18</v>
      </c>
      <c r="N6" s="14">
        <f t="shared" si="0"/>
        <v>1789.7560975609749</v>
      </c>
      <c r="O6" s="17">
        <f t="shared" si="1"/>
        <v>99.430894308943053</v>
      </c>
      <c r="P6" s="18">
        <f t="shared" si="2"/>
        <v>0</v>
      </c>
      <c r="Q6" s="19">
        <f t="shared" si="3"/>
        <v>-5.8468834688347187</v>
      </c>
      <c r="R6" s="185">
        <f t="shared" si="4"/>
        <v>0.94446232061265178</v>
      </c>
      <c r="S6" s="397"/>
      <c r="T6" s="95">
        <v>0.32847222222222222</v>
      </c>
      <c r="U6" s="95">
        <v>0.35694444444444445</v>
      </c>
      <c r="V6" s="177">
        <f>(T6-U5)*24*60</f>
        <v>10.999999999999961</v>
      </c>
      <c r="W6" s="182">
        <f t="shared" si="5"/>
        <v>41.000000000000014</v>
      </c>
      <c r="X6" s="22"/>
      <c r="Y6" s="22"/>
      <c r="Z6" s="381"/>
      <c r="AA6" s="381"/>
      <c r="AB6" s="18">
        <f t="shared" si="6"/>
        <v>-105.24390243902508</v>
      </c>
      <c r="AC6" s="185">
        <f t="shared" si="7"/>
        <v>0.94446232061265167</v>
      </c>
      <c r="AD6" s="402"/>
    </row>
    <row r="7" spans="1:30" ht="15" customHeight="1">
      <c r="A7" s="412"/>
      <c r="B7" s="56" t="str">
        <f>VLOOKUP(D7,廠價表!$C$1:$E$39,2,0)</f>
        <v>義大利麵</v>
      </c>
      <c r="C7" s="10"/>
      <c r="D7" s="11" t="s">
        <v>141</v>
      </c>
      <c r="E7" s="86"/>
      <c r="F7" s="56">
        <f>VLOOKUP(D7,廠價表!$C$1:$E$39,3,0)</f>
        <v>49.14</v>
      </c>
      <c r="G7" s="25">
        <v>2620</v>
      </c>
      <c r="H7" s="15">
        <f t="shared" si="8"/>
        <v>128746.8</v>
      </c>
      <c r="I7" s="182"/>
      <c r="J7" s="16">
        <v>14</v>
      </c>
      <c r="K7" s="14">
        <f>VLOOKUP(D7,產線配置圖!$A$2:$C$38,3,0)</f>
        <v>2000</v>
      </c>
      <c r="L7" s="17">
        <f>K7/J7</f>
        <v>142.85714285714286</v>
      </c>
      <c r="M7" s="180">
        <v>14</v>
      </c>
      <c r="N7" s="14">
        <f t="shared" si="0"/>
        <v>1940.7407407407402</v>
      </c>
      <c r="O7" s="17">
        <f t="shared" si="1"/>
        <v>138.62433862433858</v>
      </c>
      <c r="P7" s="18">
        <f t="shared" si="2"/>
        <v>0</v>
      </c>
      <c r="Q7" s="19">
        <f t="shared" si="3"/>
        <v>-4.2328042328042841</v>
      </c>
      <c r="R7" s="185">
        <f t="shared" si="4"/>
        <v>0.97037037037036999</v>
      </c>
      <c r="S7" s="397"/>
      <c r="T7" s="95">
        <v>0.36388888888888887</v>
      </c>
      <c r="U7" s="95">
        <v>0.4201388888888889</v>
      </c>
      <c r="V7" s="177">
        <f>(T7-U6)*24*60</f>
        <v>9.9999999999999645</v>
      </c>
      <c r="W7" s="182">
        <f t="shared" si="5"/>
        <v>81.000000000000028</v>
      </c>
      <c r="X7" s="22"/>
      <c r="Y7" s="22"/>
      <c r="Z7" s="405"/>
      <c r="AA7" s="405"/>
      <c r="AB7" s="18">
        <f t="shared" si="6"/>
        <v>-59.259259259259807</v>
      </c>
      <c r="AC7" s="185">
        <f t="shared" si="7"/>
        <v>0.97037037037037011</v>
      </c>
      <c r="AD7" s="402"/>
    </row>
    <row r="8" spans="1:30" ht="15" customHeight="1">
      <c r="A8" s="412"/>
      <c r="B8" s="56" t="str">
        <f>VLOOKUP(D8,廠價表!$C$1:$E$39,2,0)</f>
        <v>義大利麵</v>
      </c>
      <c r="C8" s="10"/>
      <c r="D8" s="11" t="s">
        <v>139</v>
      </c>
      <c r="E8" s="86"/>
      <c r="F8" s="56">
        <f>VLOOKUP(D8,廠價表!$C$1:$E$39,3,0)</f>
        <v>57.21</v>
      </c>
      <c r="G8" s="25">
        <v>750</v>
      </c>
      <c r="H8" s="15">
        <f t="shared" si="8"/>
        <v>42907.5</v>
      </c>
      <c r="I8" s="182"/>
      <c r="J8" s="16">
        <v>18</v>
      </c>
      <c r="K8" s="14">
        <f>VLOOKUP(D8,產線配置圖!$A$2:$C$38,3,0)</f>
        <v>1895</v>
      </c>
      <c r="L8" s="17">
        <f t="shared" ref="L8" si="9">K8/J8</f>
        <v>105.27777777777777</v>
      </c>
      <c r="M8" s="180">
        <v>18</v>
      </c>
      <c r="N8" s="14">
        <f t="shared" si="0"/>
        <v>1607.1428571428537</v>
      </c>
      <c r="O8" s="17">
        <f t="shared" si="1"/>
        <v>89.285714285714093</v>
      </c>
      <c r="P8" s="18">
        <f t="shared" si="2"/>
        <v>0</v>
      </c>
      <c r="Q8" s="19">
        <f t="shared" si="3"/>
        <v>-15.992063492063679</v>
      </c>
      <c r="R8" s="185">
        <f t="shared" si="4"/>
        <v>0.84809649453448743</v>
      </c>
      <c r="S8" s="397"/>
      <c r="T8" s="20">
        <v>0.42638888888888887</v>
      </c>
      <c r="U8" s="20">
        <v>0.44583333333333336</v>
      </c>
      <c r="V8" s="177">
        <f>(T8-U7)*24*60</f>
        <v>8.999999999999968</v>
      </c>
      <c r="W8" s="182">
        <f t="shared" si="5"/>
        <v>28.00000000000006</v>
      </c>
      <c r="X8" s="22"/>
      <c r="Y8" s="22"/>
      <c r="Z8" s="406"/>
      <c r="AA8" s="406"/>
      <c r="AB8" s="18">
        <f t="shared" si="6"/>
        <v>-287.8571428571463</v>
      </c>
      <c r="AC8" s="185">
        <f t="shared" si="7"/>
        <v>0.84809649453448743</v>
      </c>
      <c r="AD8" s="402"/>
    </row>
    <row r="9" spans="1:30" ht="15" customHeight="1">
      <c r="A9" s="413"/>
      <c r="B9" s="56" t="str">
        <f>VLOOKUP(D9,廠價表!$C$1:$E$39,2,0)</f>
        <v>義大利麵</v>
      </c>
      <c r="C9" s="10"/>
      <c r="D9" s="11" t="s">
        <v>141</v>
      </c>
      <c r="E9" s="86"/>
      <c r="F9" s="56">
        <f>VLOOKUP(D9,廠價表!$C$1:$E$39,3,0)</f>
        <v>49.14</v>
      </c>
      <c r="G9" s="25">
        <v>985</v>
      </c>
      <c r="H9" s="15">
        <f t="shared" si="8"/>
        <v>48402.9</v>
      </c>
      <c r="I9" s="182"/>
      <c r="J9" s="16">
        <v>14</v>
      </c>
      <c r="K9" s="14">
        <f>VLOOKUP(D9,產線配置圖!$A$2:$C$38,3,0)</f>
        <v>2000</v>
      </c>
      <c r="L9" s="17">
        <f>K9/J9</f>
        <v>142.85714285714286</v>
      </c>
      <c r="M9" s="180">
        <v>14</v>
      </c>
      <c r="N9" s="14">
        <f t="shared" si="0"/>
        <v>1738.2352941176448</v>
      </c>
      <c r="O9" s="17">
        <f t="shared" si="1"/>
        <v>124.15966386554605</v>
      </c>
      <c r="P9" s="18">
        <f t="shared" si="2"/>
        <v>0</v>
      </c>
      <c r="Q9" s="19">
        <f t="shared" si="3"/>
        <v>-18.69747899159681</v>
      </c>
      <c r="R9" s="185">
        <f t="shared" si="4"/>
        <v>0.86911764705882233</v>
      </c>
      <c r="S9" s="398"/>
      <c r="T9" s="79">
        <v>0.45555555555555555</v>
      </c>
      <c r="U9" s="79">
        <v>0.47916666666666669</v>
      </c>
      <c r="V9" s="177">
        <f t="shared" ref="V9:V10" si="10">(T9-U8)*24*60</f>
        <v>13.99999999999995</v>
      </c>
      <c r="W9" s="24">
        <f t="shared" si="5"/>
        <v>34.000000000000043</v>
      </c>
      <c r="X9" s="22"/>
      <c r="Y9" s="263"/>
      <c r="Z9" s="407"/>
      <c r="AA9" s="407"/>
      <c r="AB9" s="18">
        <f t="shared" si="6"/>
        <v>-261.7647058823552</v>
      </c>
      <c r="AC9" s="185">
        <f t="shared" si="7"/>
        <v>0.86911764705882244</v>
      </c>
      <c r="AD9" s="403"/>
    </row>
    <row r="10" spans="1:30" ht="15" customHeight="1">
      <c r="A10" s="413"/>
      <c r="B10" s="56" t="str">
        <f>VLOOKUP(D10,廠價表!$C$1:$E$39,2,0)</f>
        <v>義大利麵</v>
      </c>
      <c r="C10" s="23"/>
      <c r="D10" s="11" t="s">
        <v>141</v>
      </c>
      <c r="E10" s="12"/>
      <c r="F10" s="56">
        <f>VLOOKUP(D10,廠價表!$C$1:$E$39,3,0)</f>
        <v>49.14</v>
      </c>
      <c r="G10" s="25">
        <v>865</v>
      </c>
      <c r="H10" s="15">
        <f t="shared" ref="H10" si="11">F10*G10</f>
        <v>42506.1</v>
      </c>
      <c r="I10" s="182"/>
      <c r="J10" s="16">
        <v>14</v>
      </c>
      <c r="K10" s="14">
        <f>VLOOKUP(D10,產線配置圖!$A$2:$C$38,3,0)</f>
        <v>2000</v>
      </c>
      <c r="L10" s="17">
        <f t="shared" ref="L10" si="12">K10/J10</f>
        <v>142.85714285714286</v>
      </c>
      <c r="M10" s="180">
        <v>14</v>
      </c>
      <c r="N10" s="14">
        <f t="shared" ref="N10" si="13">G10/W10*60</f>
        <v>1674.1935483870941</v>
      </c>
      <c r="O10" s="17">
        <f t="shared" ref="O10" si="14">N10/M10</f>
        <v>119.58525345622101</v>
      </c>
      <c r="P10" s="18">
        <f t="shared" ref="P10" si="15">M10-J10</f>
        <v>0</v>
      </c>
      <c r="Q10" s="19">
        <f t="shared" ref="Q10" si="16">O10-L10</f>
        <v>-23.27188940092185</v>
      </c>
      <c r="R10" s="185">
        <f t="shared" ref="R10" si="17">O10/L10</f>
        <v>0.837096774193547</v>
      </c>
      <c r="S10" s="398"/>
      <c r="T10" s="20">
        <v>0.54305555555555551</v>
      </c>
      <c r="U10" s="20">
        <v>0.56458333333333333</v>
      </c>
      <c r="V10" s="177">
        <f t="shared" si="10"/>
        <v>91.999999999999915</v>
      </c>
      <c r="W10" s="182">
        <f t="shared" si="5"/>
        <v>31.00000000000005</v>
      </c>
      <c r="X10" s="22">
        <v>0.5</v>
      </c>
      <c r="Y10" s="263">
        <v>0.54166666666666663</v>
      </c>
      <c r="Z10" s="419"/>
      <c r="AA10" s="418"/>
      <c r="AB10" s="18">
        <f t="shared" si="6"/>
        <v>-325.8064516129059</v>
      </c>
      <c r="AC10" s="185">
        <f t="shared" si="7"/>
        <v>0.837096774193547</v>
      </c>
      <c r="AD10" s="403"/>
    </row>
    <row r="11" spans="1:30" ht="15" customHeight="1">
      <c r="A11" s="413"/>
      <c r="B11" s="56"/>
      <c r="C11" s="183"/>
      <c r="D11" s="11"/>
      <c r="E11" s="12"/>
      <c r="F11" s="56"/>
      <c r="G11" s="25"/>
      <c r="H11" s="15">
        <f t="shared" si="8"/>
        <v>0</v>
      </c>
      <c r="I11" s="182"/>
      <c r="J11" s="16"/>
      <c r="K11" s="14"/>
      <c r="L11" s="17"/>
      <c r="M11" s="180"/>
      <c r="N11" s="14"/>
      <c r="O11" s="17"/>
      <c r="P11" s="18"/>
      <c r="Q11" s="19"/>
      <c r="R11" s="185"/>
      <c r="S11" s="398"/>
      <c r="T11" s="20"/>
      <c r="U11" s="20"/>
      <c r="V11" s="177"/>
      <c r="W11" s="24">
        <f t="shared" si="5"/>
        <v>0</v>
      </c>
      <c r="X11" s="22"/>
      <c r="Y11" s="263"/>
      <c r="Z11" s="419"/>
      <c r="AA11" s="418"/>
      <c r="AB11" s="264"/>
      <c r="AC11" s="185"/>
      <c r="AD11" s="403"/>
    </row>
    <row r="12" spans="1:30" ht="15" customHeight="1">
      <c r="A12" s="413"/>
      <c r="B12" s="26"/>
      <c r="C12" s="27"/>
      <c r="D12" s="28"/>
      <c r="E12" s="29"/>
      <c r="F12" s="13"/>
      <c r="G12" s="30"/>
      <c r="H12" s="15">
        <f t="shared" si="8"/>
        <v>0</v>
      </c>
      <c r="I12" s="178"/>
      <c r="J12" s="31"/>
      <c r="K12" s="30"/>
      <c r="L12" s="17"/>
      <c r="M12" s="181"/>
      <c r="N12" s="25"/>
      <c r="O12" s="17"/>
      <c r="P12" s="18"/>
      <c r="Q12" s="19"/>
      <c r="R12" s="185"/>
      <c r="S12" s="398"/>
      <c r="T12" s="32"/>
      <c r="U12" s="32"/>
      <c r="V12" s="178"/>
      <c r="W12" s="24">
        <f t="shared" si="5"/>
        <v>0</v>
      </c>
      <c r="X12" s="33"/>
      <c r="Y12" s="33"/>
      <c r="Z12" s="407"/>
      <c r="AA12" s="407"/>
      <c r="AB12" s="34"/>
      <c r="AC12" s="186"/>
      <c r="AD12" s="403"/>
    </row>
    <row r="13" spans="1:30" ht="15" customHeight="1">
      <c r="A13" s="413"/>
      <c r="B13" s="56"/>
      <c r="C13" s="10"/>
      <c r="D13" s="11"/>
      <c r="E13" s="86"/>
      <c r="F13" s="56"/>
      <c r="G13" s="25"/>
      <c r="H13" s="15"/>
      <c r="I13" s="182"/>
      <c r="J13" s="16"/>
      <c r="K13" s="14"/>
      <c r="L13" s="17"/>
      <c r="M13" s="180"/>
      <c r="N13" s="14"/>
      <c r="O13" s="17"/>
      <c r="P13" s="18"/>
      <c r="Q13" s="19"/>
      <c r="R13" s="185"/>
      <c r="S13" s="479"/>
      <c r="T13" s="309"/>
      <c r="U13" s="309"/>
      <c r="V13" s="26"/>
      <c r="W13" s="24">
        <f t="shared" si="5"/>
        <v>0</v>
      </c>
      <c r="X13" s="33"/>
      <c r="Y13" s="33"/>
      <c r="Z13" s="419"/>
      <c r="AA13" s="418"/>
      <c r="AB13" s="34"/>
      <c r="AC13" s="186"/>
      <c r="AD13" s="403"/>
    </row>
    <row r="14" spans="1:30" ht="15" customHeight="1">
      <c r="A14" s="413"/>
      <c r="B14" s="26"/>
      <c r="C14" s="27"/>
      <c r="D14" s="28"/>
      <c r="E14" s="29"/>
      <c r="F14" s="13"/>
      <c r="G14" s="30"/>
      <c r="H14" s="15">
        <f t="shared" si="8"/>
        <v>0</v>
      </c>
      <c r="I14" s="178"/>
      <c r="J14" s="31"/>
      <c r="K14" s="30"/>
      <c r="L14" s="17"/>
      <c r="M14" s="181"/>
      <c r="N14" s="25"/>
      <c r="O14" s="17"/>
      <c r="P14" s="18"/>
      <c r="Q14" s="19"/>
      <c r="R14" s="185"/>
      <c r="S14" s="398"/>
      <c r="T14" s="308"/>
      <c r="U14" s="308"/>
      <c r="V14" s="178"/>
      <c r="W14" s="24">
        <f t="shared" si="5"/>
        <v>0</v>
      </c>
      <c r="X14" s="33"/>
      <c r="Y14" s="33"/>
      <c r="Z14" s="419"/>
      <c r="AA14" s="418"/>
      <c r="AB14" s="34"/>
      <c r="AC14" s="186"/>
      <c r="AD14" s="403"/>
    </row>
    <row r="15" spans="1:30" ht="15" customHeight="1" thickBot="1">
      <c r="A15" s="414"/>
      <c r="B15" s="113"/>
      <c r="C15" s="113" t="s">
        <v>34</v>
      </c>
      <c r="D15" s="410" t="s">
        <v>7</v>
      </c>
      <c r="E15" s="410"/>
      <c r="F15" s="114"/>
      <c r="G15" s="115"/>
      <c r="H15" s="116"/>
      <c r="I15" s="117"/>
      <c r="J15" s="118">
        <f t="shared" ref="J15:O15" si="18">AVERAGE(J5:J14)</f>
        <v>15.333333333333334</v>
      </c>
      <c r="K15" s="118">
        <f t="shared" si="18"/>
        <v>1982.5</v>
      </c>
      <c r="L15" s="115">
        <f t="shared" si="18"/>
        <v>131.58068783068782</v>
      </c>
      <c r="M15" s="118">
        <f t="shared" si="18"/>
        <v>15.333333333333334</v>
      </c>
      <c r="N15" s="118">
        <f t="shared" si="18"/>
        <v>1787.4356654157939</v>
      </c>
      <c r="O15" s="115">
        <f t="shared" si="18"/>
        <v>118.68747092995397</v>
      </c>
      <c r="P15" s="119">
        <f t="shared" ref="P15:P16" si="19">M15-J15</f>
        <v>0</v>
      </c>
      <c r="Q15" s="120">
        <f t="shared" ref="Q15:Q16" si="20">O15-L15</f>
        <v>-12.893216900733847</v>
      </c>
      <c r="R15" s="121">
        <f t="shared" ref="R15:R16" si="21">O15/L15</f>
        <v>0.90201284768077616</v>
      </c>
      <c r="S15" s="399"/>
      <c r="T15" s="122"/>
      <c r="U15" s="122"/>
      <c r="V15" s="195"/>
      <c r="W15" s="123"/>
      <c r="X15" s="124"/>
      <c r="Y15" s="124"/>
      <c r="Z15" s="391"/>
      <c r="AA15" s="391"/>
      <c r="AB15" s="119">
        <f>N15-K15</f>
        <v>-195.06433458420611</v>
      </c>
      <c r="AC15" s="187">
        <f>N15/K15</f>
        <v>0.90160689302183805</v>
      </c>
      <c r="AD15" s="404"/>
    </row>
    <row r="16" spans="1:30" ht="15" customHeight="1">
      <c r="A16" s="431" t="s">
        <v>67</v>
      </c>
      <c r="B16" s="199" t="s">
        <v>134</v>
      </c>
      <c r="C16" s="102"/>
      <c r="D16" s="103" t="s">
        <v>127</v>
      </c>
      <c r="E16" s="104"/>
      <c r="F16" s="199">
        <f>VLOOKUP(D16,廠價表!$C$1:$E$39,3,0)</f>
        <v>57.21</v>
      </c>
      <c r="G16" s="265">
        <v>1142</v>
      </c>
      <c r="H16" s="125">
        <f t="shared" ref="H16:H25" si="22">F16*G16</f>
        <v>65333.82</v>
      </c>
      <c r="I16" s="126"/>
      <c r="J16" s="108">
        <v>14</v>
      </c>
      <c r="K16" s="105">
        <f>VLOOKUP(D16,產線配置圖!$A$2:$C$38,3,0)</f>
        <v>2105</v>
      </c>
      <c r="L16" s="109">
        <f>K16/J16</f>
        <v>150.35714285714286</v>
      </c>
      <c r="M16" s="267">
        <v>13</v>
      </c>
      <c r="N16" s="127">
        <f>G16/W16*60</f>
        <v>1903.333333333336</v>
      </c>
      <c r="O16" s="128">
        <f>N16/M16</f>
        <v>146.41025641025661</v>
      </c>
      <c r="P16" s="129">
        <f t="shared" si="19"/>
        <v>-1</v>
      </c>
      <c r="Q16" s="130">
        <f t="shared" si="20"/>
        <v>-3.9468864468862535</v>
      </c>
      <c r="R16" s="189">
        <f t="shared" si="21"/>
        <v>0.97374992386868997</v>
      </c>
      <c r="S16" s="424">
        <f>R26</f>
        <v>0.97213455210642663</v>
      </c>
      <c r="T16" s="268">
        <v>0.2902777777777778</v>
      </c>
      <c r="U16" s="268">
        <v>0.31527777777777777</v>
      </c>
      <c r="V16" s="126"/>
      <c r="W16" s="131">
        <f t="shared" ref="W16:W68" si="23">(U16-T16)*24*60</f>
        <v>35.99999999999995</v>
      </c>
      <c r="X16" s="128"/>
      <c r="Y16" s="128"/>
      <c r="Z16" s="400"/>
      <c r="AA16" s="400"/>
      <c r="AB16" s="111">
        <f>N16-K16</f>
        <v>-201.66666666666401</v>
      </c>
      <c r="AC16" s="184">
        <f>N16/K16</f>
        <v>0.9041963578780694</v>
      </c>
      <c r="AD16" s="401">
        <f>AC26</f>
        <v>0.93619810699215433</v>
      </c>
    </row>
    <row r="17" spans="1:30" ht="15" customHeight="1">
      <c r="A17" s="432"/>
      <c r="B17" s="56" t="s">
        <v>62</v>
      </c>
      <c r="C17" s="10"/>
      <c r="D17" s="11" t="s">
        <v>153</v>
      </c>
      <c r="E17" s="86"/>
      <c r="F17" s="56">
        <f>VLOOKUP(D17,廠價表!$C$1:$E$39,3,0)</f>
        <v>50.67</v>
      </c>
      <c r="G17" s="96">
        <v>2255</v>
      </c>
      <c r="H17" s="15">
        <f>F17*G17</f>
        <v>114260.85</v>
      </c>
      <c r="I17" s="177"/>
      <c r="J17" s="16">
        <v>14</v>
      </c>
      <c r="K17" s="14">
        <f>VLOOKUP(D17,產線配置圖!$A$2:$C$38,3,0)</f>
        <v>2000</v>
      </c>
      <c r="L17" s="17">
        <f>K17/J17</f>
        <v>142.85714285714286</v>
      </c>
      <c r="M17" s="37">
        <v>14</v>
      </c>
      <c r="N17" s="36">
        <f>G17/W17*60</f>
        <v>1960.869565217391</v>
      </c>
      <c r="O17" s="38">
        <f>N17/M17</f>
        <v>140.06211180124222</v>
      </c>
      <c r="P17" s="39">
        <f>M17-J17</f>
        <v>0</v>
      </c>
      <c r="Q17" s="40">
        <f>O17-L17</f>
        <v>-2.7950310559006368</v>
      </c>
      <c r="R17" s="190">
        <f>O17/L17</f>
        <v>0.98043478260869554</v>
      </c>
      <c r="S17" s="425"/>
      <c r="T17" s="41">
        <v>0.32708333333333334</v>
      </c>
      <c r="U17" s="41">
        <v>0.375</v>
      </c>
      <c r="V17" s="177">
        <f>(T17-U16)*24*60</f>
        <v>17.000000000000021</v>
      </c>
      <c r="W17" s="43">
        <f t="shared" si="23"/>
        <v>69</v>
      </c>
      <c r="X17" s="44"/>
      <c r="Y17" s="44"/>
      <c r="Z17" s="381"/>
      <c r="AA17" s="381"/>
      <c r="AB17" s="18">
        <f>N17-K17</f>
        <v>-39.130434782608972</v>
      </c>
      <c r="AC17" s="185">
        <f>N17/K17</f>
        <v>0.98043478260869554</v>
      </c>
      <c r="AD17" s="402"/>
    </row>
    <row r="18" spans="1:30" ht="15" customHeight="1">
      <c r="A18" s="432"/>
      <c r="B18" s="56" t="s">
        <v>62</v>
      </c>
      <c r="C18" s="10"/>
      <c r="D18" s="11" t="s">
        <v>131</v>
      </c>
      <c r="E18" s="86"/>
      <c r="F18" s="56">
        <f>VLOOKUP(D18,廠價表!$C$1:$E$39,3,0)</f>
        <v>50.39</v>
      </c>
      <c r="G18" s="96">
        <v>4269</v>
      </c>
      <c r="H18" s="15">
        <f>F18*G18</f>
        <v>215114.91</v>
      </c>
      <c r="I18" s="177"/>
      <c r="J18" s="16">
        <v>13</v>
      </c>
      <c r="K18" s="14">
        <f>VLOOKUP(D18,產線配置圖!$A$2:$C$38,3,0)</f>
        <v>2000</v>
      </c>
      <c r="L18" s="17">
        <f>K18/J18</f>
        <v>153.84615384615384</v>
      </c>
      <c r="M18" s="37">
        <v>12</v>
      </c>
      <c r="N18" s="36">
        <f>G18/W18*60</f>
        <v>1766.4827586206891</v>
      </c>
      <c r="O18" s="38">
        <f>N18/M18</f>
        <v>147.2068965517241</v>
      </c>
      <c r="P18" s="39">
        <f>M18-J18</f>
        <v>-1</v>
      </c>
      <c r="Q18" s="40">
        <f>O18-L18</f>
        <v>-6.6392572944297399</v>
      </c>
      <c r="R18" s="190">
        <f>O18/L18</f>
        <v>0.9568448275862067</v>
      </c>
      <c r="S18" s="425"/>
      <c r="T18" s="41">
        <v>0.38194444444444442</v>
      </c>
      <c r="U18" s="41">
        <v>0.4826388888888889</v>
      </c>
      <c r="V18" s="177">
        <f>(T18-U17)*24*60</f>
        <v>9.9999999999999645</v>
      </c>
      <c r="W18" s="43">
        <f t="shared" si="23"/>
        <v>145.00000000000006</v>
      </c>
      <c r="X18" s="22"/>
      <c r="Y18" s="22"/>
      <c r="Z18" s="418"/>
      <c r="AA18" s="405"/>
      <c r="AB18" s="18">
        <f>N18-K18</f>
        <v>-233.51724137931092</v>
      </c>
      <c r="AC18" s="185">
        <f>N18/K18</f>
        <v>0.88324137931034452</v>
      </c>
      <c r="AD18" s="402"/>
    </row>
    <row r="19" spans="1:30" ht="15" customHeight="1">
      <c r="A19" s="432"/>
      <c r="B19" s="56" t="s">
        <v>62</v>
      </c>
      <c r="C19" s="23"/>
      <c r="D19" s="11" t="s">
        <v>153</v>
      </c>
      <c r="E19" s="12"/>
      <c r="F19" s="56">
        <f>VLOOKUP(D19,廠價表!$C$1:$E$39,3,0)</f>
        <v>50.67</v>
      </c>
      <c r="G19" s="96">
        <v>1631</v>
      </c>
      <c r="H19" s="15">
        <f t="shared" ref="H19" si="24">F19*G19</f>
        <v>82642.77</v>
      </c>
      <c r="I19" s="177"/>
      <c r="J19" s="16">
        <v>14</v>
      </c>
      <c r="K19" s="14">
        <f>VLOOKUP(D19,產線配置圖!$A$2:$C$38,3,0)</f>
        <v>2000</v>
      </c>
      <c r="L19" s="17">
        <f t="shared" ref="L19" si="25">K19/J19</f>
        <v>142.85714285714286</v>
      </c>
      <c r="M19" s="37">
        <v>14</v>
      </c>
      <c r="N19" s="36">
        <f>G19/W19*60</f>
        <v>1957.1999999999944</v>
      </c>
      <c r="O19" s="38">
        <f>N19/M19</f>
        <v>139.79999999999959</v>
      </c>
      <c r="P19" s="39">
        <f>M19-J19</f>
        <v>0</v>
      </c>
      <c r="Q19" s="40">
        <f>O19-L19</f>
        <v>-3.0571428571432762</v>
      </c>
      <c r="R19" s="190">
        <f>O19/L19</f>
        <v>0.97859999999999703</v>
      </c>
      <c r="S19" s="425"/>
      <c r="T19" s="41">
        <v>0.54513888888888884</v>
      </c>
      <c r="U19" s="41">
        <v>0.57986111111111116</v>
      </c>
      <c r="V19" s="177">
        <f>(T19-U18)*24*60</f>
        <v>89.999999999999915</v>
      </c>
      <c r="W19" s="43">
        <f t="shared" si="23"/>
        <v>50.000000000000142</v>
      </c>
      <c r="X19" s="22">
        <v>0.5</v>
      </c>
      <c r="Y19" s="263">
        <v>0.54166666666666663</v>
      </c>
      <c r="Z19" s="407"/>
      <c r="AA19" s="407"/>
      <c r="AB19" s="18">
        <f>N19-K19</f>
        <v>-42.800000000005639</v>
      </c>
      <c r="AC19" s="185">
        <f>N19/K19</f>
        <v>0.97859999999999714</v>
      </c>
      <c r="AD19" s="403"/>
    </row>
    <row r="20" spans="1:30" ht="15" customHeight="1">
      <c r="A20" s="432"/>
      <c r="B20" s="56"/>
      <c r="C20" s="23"/>
      <c r="D20" s="11"/>
      <c r="E20" s="12"/>
      <c r="F20" s="56"/>
      <c r="G20" s="96"/>
      <c r="H20" s="15"/>
      <c r="I20" s="177"/>
      <c r="J20" s="16"/>
      <c r="K20" s="14"/>
      <c r="L20" s="17"/>
      <c r="M20" s="37"/>
      <c r="N20" s="36"/>
      <c r="O20" s="38"/>
      <c r="P20" s="39"/>
      <c r="Q20" s="40"/>
      <c r="R20" s="190"/>
      <c r="S20" s="425"/>
      <c r="T20" s="41"/>
      <c r="U20" s="41"/>
      <c r="V20" s="177"/>
      <c r="W20" s="43">
        <f t="shared" si="23"/>
        <v>0</v>
      </c>
      <c r="X20" s="44"/>
      <c r="Y20" s="44"/>
      <c r="Z20" s="418"/>
      <c r="AA20" s="405"/>
      <c r="AB20" s="34"/>
      <c r="AC20" s="186"/>
      <c r="AD20" s="403"/>
    </row>
    <row r="21" spans="1:30" ht="15" customHeight="1">
      <c r="A21" s="433"/>
      <c r="B21" s="177"/>
      <c r="C21" s="23"/>
      <c r="D21" s="11"/>
      <c r="E21" s="12"/>
      <c r="F21" s="13"/>
      <c r="G21" s="36"/>
      <c r="H21" s="15">
        <f t="shared" si="22"/>
        <v>0</v>
      </c>
      <c r="I21" s="43"/>
      <c r="J21" s="37"/>
      <c r="K21" s="36"/>
      <c r="L21" s="38"/>
      <c r="M21" s="37"/>
      <c r="N21" s="36"/>
      <c r="O21" s="38"/>
      <c r="P21" s="39"/>
      <c r="Q21" s="40"/>
      <c r="R21" s="190"/>
      <c r="S21" s="425"/>
      <c r="T21" s="41"/>
      <c r="U21" s="41"/>
      <c r="V21" s="42"/>
      <c r="W21" s="43">
        <v>0</v>
      </c>
      <c r="X21" s="42"/>
      <c r="Y21" s="42"/>
      <c r="Z21" s="418"/>
      <c r="AA21" s="405"/>
      <c r="AB21" s="34"/>
      <c r="AC21" s="186"/>
      <c r="AD21" s="403"/>
    </row>
    <row r="22" spans="1:30" ht="15" customHeight="1">
      <c r="A22" s="433"/>
      <c r="B22" s="177"/>
      <c r="C22" s="183"/>
      <c r="D22" s="11"/>
      <c r="E22" s="12"/>
      <c r="F22" s="13"/>
      <c r="G22" s="36"/>
      <c r="H22" s="15">
        <f t="shared" si="22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90"/>
      <c r="S22" s="425"/>
      <c r="T22" s="41"/>
      <c r="U22" s="41"/>
      <c r="V22" s="42"/>
      <c r="W22" s="43">
        <v>0</v>
      </c>
      <c r="X22" s="42"/>
      <c r="Y22" s="42"/>
      <c r="Z22" s="418"/>
      <c r="AA22" s="405"/>
      <c r="AB22" s="34"/>
      <c r="AC22" s="186"/>
      <c r="AD22" s="403"/>
    </row>
    <row r="23" spans="1:30" ht="15" customHeight="1">
      <c r="A23" s="433"/>
      <c r="B23" s="26"/>
      <c r="C23" s="27"/>
      <c r="D23" s="28"/>
      <c r="E23" s="29"/>
      <c r="F23" s="13"/>
      <c r="G23" s="36"/>
      <c r="H23" s="15">
        <f t="shared" si="22"/>
        <v>0</v>
      </c>
      <c r="I23" s="43"/>
      <c r="J23" s="37"/>
      <c r="K23" s="36"/>
      <c r="L23" s="38"/>
      <c r="M23" s="37"/>
      <c r="N23" s="36"/>
      <c r="O23" s="38"/>
      <c r="P23" s="39"/>
      <c r="Q23" s="40"/>
      <c r="R23" s="190"/>
      <c r="S23" s="425"/>
      <c r="T23" s="41"/>
      <c r="U23" s="41"/>
      <c r="W23" s="43">
        <f t="shared" si="23"/>
        <v>0</v>
      </c>
      <c r="X23" s="42"/>
      <c r="Y23" s="42"/>
      <c r="Z23" s="418"/>
      <c r="AA23" s="405"/>
      <c r="AB23" s="34"/>
      <c r="AC23" s="186"/>
      <c r="AD23" s="403"/>
    </row>
    <row r="24" spans="1:30" ht="15" customHeight="1">
      <c r="A24" s="433"/>
      <c r="B24" s="26"/>
      <c r="C24" s="27"/>
      <c r="D24" s="28"/>
      <c r="E24" s="29"/>
      <c r="F24" s="13"/>
      <c r="G24" s="36"/>
      <c r="H24" s="15">
        <f t="shared" si="22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90"/>
      <c r="S24" s="425"/>
      <c r="T24" s="41"/>
      <c r="U24" s="41"/>
      <c r="V24" s="42"/>
      <c r="W24" s="43">
        <f t="shared" si="23"/>
        <v>0</v>
      </c>
      <c r="X24" s="42"/>
      <c r="Y24" s="42"/>
      <c r="Z24" s="418"/>
      <c r="AA24" s="405"/>
      <c r="AB24" s="34"/>
      <c r="AC24" s="186"/>
      <c r="AD24" s="403"/>
    </row>
    <row r="25" spans="1:30" ht="15" customHeight="1">
      <c r="A25" s="433"/>
      <c r="B25" s="26"/>
      <c r="C25" s="27"/>
      <c r="D25" s="28"/>
      <c r="E25" s="29"/>
      <c r="F25" s="13"/>
      <c r="G25" s="36"/>
      <c r="H25" s="50">
        <f t="shared" si="22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90"/>
      <c r="S25" s="425"/>
      <c r="T25" s="41"/>
      <c r="U25" s="41"/>
      <c r="V25" s="42"/>
      <c r="W25" s="43">
        <f t="shared" si="23"/>
        <v>0</v>
      </c>
      <c r="X25" s="42"/>
      <c r="Y25" s="42"/>
      <c r="Z25" s="418"/>
      <c r="AA25" s="405"/>
      <c r="AB25" s="34"/>
      <c r="AC25" s="186"/>
      <c r="AD25" s="403"/>
    </row>
    <row r="26" spans="1:30" ht="15" customHeight="1" thickBot="1">
      <c r="A26" s="434"/>
      <c r="B26" s="132"/>
      <c r="C26" s="1" t="s">
        <v>35</v>
      </c>
      <c r="D26" s="410" t="s">
        <v>7</v>
      </c>
      <c r="E26" s="410"/>
      <c r="F26" s="133"/>
      <c r="G26" s="134"/>
      <c r="H26" s="135"/>
      <c r="I26" s="136"/>
      <c r="J26" s="134">
        <f t="shared" ref="J26:O26" si="26">AVERAGE(J16:J25)</f>
        <v>13.75</v>
      </c>
      <c r="K26" s="134">
        <f t="shared" si="26"/>
        <v>2026.25</v>
      </c>
      <c r="L26" s="137">
        <f t="shared" si="26"/>
        <v>147.47939560439562</v>
      </c>
      <c r="M26" s="134">
        <f t="shared" si="26"/>
        <v>13.25</v>
      </c>
      <c r="N26" s="134">
        <f t="shared" si="26"/>
        <v>1896.9714142928526</v>
      </c>
      <c r="O26" s="137">
        <f t="shared" si="26"/>
        <v>143.36981619080564</v>
      </c>
      <c r="P26" s="138">
        <f t="shared" ref="P26:P28" si="27">M26-J26</f>
        <v>-0.5</v>
      </c>
      <c r="Q26" s="139">
        <f t="shared" ref="Q26:Q28" si="28">O26-L26</f>
        <v>-4.1095794135899837</v>
      </c>
      <c r="R26" s="140">
        <f t="shared" ref="R26:R28" si="29">O26/L26</f>
        <v>0.97213455210642663</v>
      </c>
      <c r="S26" s="435"/>
      <c r="T26" s="141"/>
      <c r="U26" s="141"/>
      <c r="V26" s="146"/>
      <c r="W26" s="142"/>
      <c r="X26" s="143"/>
      <c r="Y26" s="143"/>
      <c r="Z26" s="420"/>
      <c r="AA26" s="391"/>
      <c r="AB26" s="119">
        <f>N26-K26</f>
        <v>-129.27858570714739</v>
      </c>
      <c r="AC26" s="187">
        <f>N26/K26</f>
        <v>0.93619810699215433</v>
      </c>
      <c r="AD26" s="404"/>
    </row>
    <row r="27" spans="1:30" ht="15" customHeight="1">
      <c r="A27" s="421" t="s">
        <v>54</v>
      </c>
      <c r="B27" s="229" t="s">
        <v>62</v>
      </c>
      <c r="C27" s="102"/>
      <c r="D27" s="103" t="s">
        <v>144</v>
      </c>
      <c r="E27" s="104"/>
      <c r="F27" s="199">
        <f>VLOOKUP(D27,廠價表!$C$1:$E$39,3,0)</f>
        <v>49.91</v>
      </c>
      <c r="G27" s="269">
        <v>2729</v>
      </c>
      <c r="H27" s="125">
        <f t="shared" ref="H27:H36" si="30">F27*G27</f>
        <v>136204.38999999998</v>
      </c>
      <c r="I27" s="126"/>
      <c r="J27" s="108">
        <f>VLOOKUP(D27,產線配置圖!$A$2:$C$38,2,0)</f>
        <v>17</v>
      </c>
      <c r="K27" s="236">
        <f>VLOOKUP(D27,產線配置圖!$A$2:$C$38,3,0)</f>
        <v>1565</v>
      </c>
      <c r="L27" s="109">
        <f>K27/J27</f>
        <v>92.058823529411768</v>
      </c>
      <c r="M27" s="144">
        <v>15</v>
      </c>
      <c r="N27" s="127">
        <f>G27/W27*60</f>
        <v>1289.2913385826769</v>
      </c>
      <c r="O27" s="128">
        <f>N27/M27</f>
        <v>85.952755905511793</v>
      </c>
      <c r="P27" s="129">
        <f t="shared" si="27"/>
        <v>-2</v>
      </c>
      <c r="Q27" s="130">
        <f t="shared" si="28"/>
        <v>-6.1060676238999747</v>
      </c>
      <c r="R27" s="189">
        <f>O27/L27</f>
        <v>0.93367210887776386</v>
      </c>
      <c r="S27" s="424">
        <f>R37</f>
        <v>0.87979607392099624</v>
      </c>
      <c r="T27" s="94">
        <v>0.28888888888888886</v>
      </c>
      <c r="U27" s="94">
        <v>0.37708333333333333</v>
      </c>
      <c r="V27" s="126"/>
      <c r="W27" s="131">
        <f t="shared" si="23"/>
        <v>127.00000000000003</v>
      </c>
      <c r="X27" s="126"/>
      <c r="Y27" s="126" t="s">
        <v>147</v>
      </c>
      <c r="Z27" s="427"/>
      <c r="AA27" s="400"/>
      <c r="AB27" s="225">
        <f>N27-K27</f>
        <v>-275.70866141732313</v>
      </c>
      <c r="AC27" s="291">
        <f>N27/K27</f>
        <v>0.82382833136273281</v>
      </c>
      <c r="AD27" s="401">
        <f>AC37</f>
        <v>0.77730909504608658</v>
      </c>
    </row>
    <row r="28" spans="1:30" ht="15" customHeight="1">
      <c r="A28" s="422"/>
      <c r="B28" s="56" t="str">
        <f>VLOOKUP(D28,廠價表!$C$1:$E$39,2,0)</f>
        <v>義大利麵</v>
      </c>
      <c r="C28" s="10"/>
      <c r="D28" s="11" t="s">
        <v>137</v>
      </c>
      <c r="E28" s="86"/>
      <c r="F28" s="56">
        <f>VLOOKUP(D28,廠價表!$C$1:$E$39,3,0)</f>
        <v>55.13</v>
      </c>
      <c r="G28" s="53">
        <v>2041</v>
      </c>
      <c r="H28" s="50">
        <f t="shared" si="30"/>
        <v>112520.33</v>
      </c>
      <c r="I28" s="42"/>
      <c r="J28" s="16">
        <f>VLOOKUP(D28,產線配置圖!$A$2:$C$38,2,0)</f>
        <v>18</v>
      </c>
      <c r="K28" s="14">
        <f>VLOOKUP(D28,產線配置圖!$A$2:$C$38,3,0)</f>
        <v>1385</v>
      </c>
      <c r="L28" s="235">
        <f>K28/J28</f>
        <v>76.944444444444443</v>
      </c>
      <c r="M28" s="21">
        <v>16</v>
      </c>
      <c r="N28" s="36">
        <f>G28/W28*60</f>
        <v>1003.7704918032789</v>
      </c>
      <c r="O28" s="38">
        <f>N28/M28</f>
        <v>62.735655737704931</v>
      </c>
      <c r="P28" s="39">
        <f t="shared" si="27"/>
        <v>-2</v>
      </c>
      <c r="Q28" s="40">
        <f t="shared" si="28"/>
        <v>-14.208788706739512</v>
      </c>
      <c r="R28" s="190">
        <f t="shared" si="29"/>
        <v>0.81533704207847568</v>
      </c>
      <c r="S28" s="425"/>
      <c r="T28" s="270">
        <v>0.3840277777777778</v>
      </c>
      <c r="U28" s="270">
        <v>0.46875</v>
      </c>
      <c r="V28" s="42">
        <f>(T28-U27)*24*60</f>
        <v>10.000000000000044</v>
      </c>
      <c r="W28" s="43">
        <f t="shared" si="23"/>
        <v>121.99999999999997</v>
      </c>
      <c r="X28" s="54"/>
      <c r="Y28" s="54"/>
      <c r="Z28" s="418"/>
      <c r="AA28" s="419"/>
      <c r="AB28" s="39">
        <f>N28-K28</f>
        <v>-381.2295081967211</v>
      </c>
      <c r="AC28" s="190">
        <f>N28/K28</f>
        <v>0.72474403740308946</v>
      </c>
      <c r="AD28" s="447"/>
    </row>
    <row r="29" spans="1:30" ht="15" customHeight="1">
      <c r="A29" s="422"/>
      <c r="B29" s="56"/>
      <c r="C29" s="10"/>
      <c r="D29" s="11"/>
      <c r="E29" s="86"/>
      <c r="F29" s="56"/>
      <c r="G29" s="238"/>
      <c r="H29" s="50"/>
      <c r="I29" s="42"/>
      <c r="J29" s="16"/>
      <c r="K29" s="14"/>
      <c r="L29" s="235"/>
      <c r="M29" s="21"/>
      <c r="N29" s="36"/>
      <c r="O29" s="38"/>
      <c r="P29" s="39"/>
      <c r="Q29" s="40"/>
      <c r="R29" s="190"/>
      <c r="S29" s="425"/>
      <c r="T29" s="41"/>
      <c r="U29" s="41"/>
      <c r="V29" s="42"/>
      <c r="W29" s="43">
        <f t="shared" si="23"/>
        <v>0</v>
      </c>
      <c r="X29" s="54"/>
      <c r="Y29" s="54"/>
      <c r="Z29" s="418"/>
      <c r="AA29" s="419"/>
      <c r="AB29" s="292"/>
      <c r="AC29" s="190"/>
      <c r="AD29" s="447"/>
    </row>
    <row r="30" spans="1:30" ht="15" customHeight="1">
      <c r="A30" s="422"/>
      <c r="B30" s="56"/>
      <c r="C30" s="237"/>
      <c r="D30" s="11"/>
      <c r="E30" s="29"/>
      <c r="F30" s="56"/>
      <c r="G30" s="238"/>
      <c r="H30" s="50"/>
      <c r="I30" s="42"/>
      <c r="J30" s="16"/>
      <c r="K30" s="14"/>
      <c r="L30" s="235"/>
      <c r="M30" s="21"/>
      <c r="N30" s="36"/>
      <c r="O30" s="38"/>
      <c r="P30" s="39"/>
      <c r="Q30" s="40"/>
      <c r="R30" s="190"/>
      <c r="S30" s="425"/>
      <c r="T30" s="41"/>
      <c r="U30" s="41"/>
      <c r="V30" s="42"/>
      <c r="W30" s="43">
        <f t="shared" si="23"/>
        <v>0</v>
      </c>
      <c r="X30" s="54"/>
      <c r="Y30" s="54"/>
      <c r="Z30" s="449"/>
      <c r="AA30" s="450"/>
      <c r="AB30" s="34"/>
      <c r="AC30" s="293"/>
      <c r="AD30" s="448"/>
    </row>
    <row r="31" spans="1:30" ht="15" customHeight="1">
      <c r="A31" s="422"/>
      <c r="B31" s="56"/>
      <c r="C31" s="10"/>
      <c r="D31" s="28"/>
      <c r="E31" s="86"/>
      <c r="F31" s="56"/>
      <c r="G31" s="238"/>
      <c r="H31" s="239"/>
      <c r="I31" s="81"/>
      <c r="J31" s="16"/>
      <c r="K31" s="14"/>
      <c r="L31" s="235"/>
      <c r="M31" s="21"/>
      <c r="N31" s="36"/>
      <c r="O31" s="38"/>
      <c r="P31" s="39"/>
      <c r="Q31" s="40"/>
      <c r="R31" s="190"/>
      <c r="S31" s="425"/>
      <c r="T31" s="41"/>
      <c r="U31" s="41"/>
      <c r="V31" s="42"/>
      <c r="W31" s="43">
        <f t="shared" si="23"/>
        <v>0</v>
      </c>
      <c r="X31" s="54"/>
      <c r="Y31" s="54"/>
      <c r="Z31" s="449"/>
      <c r="AA31" s="450"/>
      <c r="AB31" s="257"/>
      <c r="AC31" s="258"/>
      <c r="AD31" s="403"/>
    </row>
    <row r="32" spans="1:30" ht="15" customHeight="1">
      <c r="A32" s="422"/>
      <c r="B32" s="56"/>
      <c r="C32" s="252"/>
      <c r="D32" s="253"/>
      <c r="E32" s="254"/>
      <c r="F32" s="56"/>
      <c r="G32" s="53"/>
      <c r="H32" s="50"/>
      <c r="I32" s="42"/>
      <c r="J32" s="255"/>
      <c r="K32" s="36"/>
      <c r="L32" s="256"/>
      <c r="M32" s="21"/>
      <c r="N32" s="36"/>
      <c r="O32" s="38"/>
      <c r="P32" s="39"/>
      <c r="Q32" s="40"/>
      <c r="R32" s="190"/>
      <c r="S32" s="425"/>
      <c r="T32" s="41"/>
      <c r="U32" s="41"/>
      <c r="V32" s="42"/>
      <c r="W32" s="43">
        <f t="shared" si="23"/>
        <v>0</v>
      </c>
      <c r="X32" s="54"/>
      <c r="Y32" s="54"/>
      <c r="Z32" s="418"/>
      <c r="AA32" s="405"/>
      <c r="AB32" s="18"/>
      <c r="AC32" s="185"/>
      <c r="AD32" s="403"/>
    </row>
    <row r="33" spans="1:30" ht="15" customHeight="1">
      <c r="A33" s="422"/>
      <c r="B33" s="240"/>
      <c r="C33" s="241"/>
      <c r="D33" s="242"/>
      <c r="E33" s="243"/>
      <c r="F33" s="223"/>
      <c r="G33" s="244"/>
      <c r="H33" s="245">
        <f t="shared" si="30"/>
        <v>0</v>
      </c>
      <c r="I33" s="246"/>
      <c r="J33" s="247"/>
      <c r="K33" s="45"/>
      <c r="M33" s="248"/>
      <c r="N33" s="45"/>
      <c r="O33" s="46"/>
      <c r="P33" s="47"/>
      <c r="Q33" s="48"/>
      <c r="R33" s="49"/>
      <c r="S33" s="425"/>
      <c r="T33" s="41"/>
      <c r="U33" s="41"/>
      <c r="V33" s="42"/>
      <c r="W33" s="43">
        <f t="shared" si="23"/>
        <v>0</v>
      </c>
      <c r="X33" s="54"/>
      <c r="Y33" s="54"/>
      <c r="Z33" s="418"/>
      <c r="AA33" s="405"/>
      <c r="AB33" s="18"/>
      <c r="AC33" s="57"/>
      <c r="AD33" s="403"/>
    </row>
    <row r="34" spans="1:30" ht="15" customHeight="1">
      <c r="A34" s="422"/>
      <c r="B34" s="231"/>
      <c r="C34" s="27"/>
      <c r="D34" s="28"/>
      <c r="E34" s="29"/>
      <c r="F34" s="13"/>
      <c r="G34" s="53"/>
      <c r="H34" s="50">
        <f t="shared" si="30"/>
        <v>0</v>
      </c>
      <c r="I34" s="42"/>
      <c r="J34" s="37"/>
      <c r="K34" s="36"/>
      <c r="L34" s="38"/>
      <c r="M34" s="21"/>
      <c r="N34" s="36"/>
      <c r="O34" s="38"/>
      <c r="P34" s="39"/>
      <c r="Q34" s="40"/>
      <c r="R34" s="190"/>
      <c r="S34" s="425"/>
      <c r="T34" s="41"/>
      <c r="U34" s="41"/>
      <c r="V34" s="42"/>
      <c r="W34" s="43">
        <f t="shared" si="23"/>
        <v>0</v>
      </c>
      <c r="X34" s="54"/>
      <c r="Y34" s="54"/>
      <c r="Z34" s="418"/>
      <c r="AA34" s="405"/>
      <c r="AB34" s="18"/>
      <c r="AC34" s="57"/>
      <c r="AD34" s="403"/>
    </row>
    <row r="35" spans="1:30" ht="15" customHeight="1">
      <c r="A35" s="422"/>
      <c r="B35" s="231"/>
      <c r="C35" s="27"/>
      <c r="D35" s="28"/>
      <c r="E35" s="29"/>
      <c r="F35" s="13"/>
      <c r="G35" s="53"/>
      <c r="H35" s="50">
        <f t="shared" si="30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90"/>
      <c r="S35" s="425"/>
      <c r="T35" s="41"/>
      <c r="U35" s="41"/>
      <c r="V35" s="42"/>
      <c r="W35" s="43">
        <f t="shared" si="23"/>
        <v>0</v>
      </c>
      <c r="X35" s="54"/>
      <c r="Y35" s="54"/>
      <c r="Z35" s="418"/>
      <c r="AA35" s="405"/>
      <c r="AB35" s="18"/>
      <c r="AC35" s="57"/>
      <c r="AD35" s="403"/>
    </row>
    <row r="36" spans="1:30" ht="15" customHeight="1">
      <c r="A36" s="422"/>
      <c r="B36" s="232"/>
      <c r="C36" s="27"/>
      <c r="D36" s="28"/>
      <c r="E36" s="29"/>
      <c r="F36" s="13"/>
      <c r="G36" s="53"/>
      <c r="H36" s="50">
        <f t="shared" si="30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90"/>
      <c r="S36" s="425"/>
      <c r="T36" s="41"/>
      <c r="U36" s="41"/>
      <c r="V36" s="42"/>
      <c r="W36" s="43">
        <f t="shared" si="23"/>
        <v>0</v>
      </c>
      <c r="X36" s="54"/>
      <c r="Y36" s="54"/>
      <c r="Z36" s="418"/>
      <c r="AA36" s="405"/>
      <c r="AB36" s="18"/>
      <c r="AC36" s="57"/>
      <c r="AD36" s="403"/>
    </row>
    <row r="37" spans="1:30" ht="15" customHeight="1" thickBot="1">
      <c r="A37" s="423"/>
      <c r="B37" s="300"/>
      <c r="C37" s="301" t="s">
        <v>36</v>
      </c>
      <c r="D37" s="428" t="s">
        <v>7</v>
      </c>
      <c r="E37" s="429"/>
      <c r="F37" s="281"/>
      <c r="G37" s="282"/>
      <c r="H37" s="283"/>
      <c r="I37" s="284"/>
      <c r="J37" s="285">
        <f t="shared" ref="J37:O37" si="31">AVERAGE(J27:J36)</f>
        <v>17.5</v>
      </c>
      <c r="K37" s="285">
        <f t="shared" si="31"/>
        <v>1475</v>
      </c>
      <c r="L37" s="286">
        <f t="shared" si="31"/>
        <v>84.501633986928113</v>
      </c>
      <c r="M37" s="285">
        <f t="shared" si="31"/>
        <v>15.5</v>
      </c>
      <c r="N37" s="285">
        <f t="shared" si="31"/>
        <v>1146.5309151929778</v>
      </c>
      <c r="O37" s="286">
        <f t="shared" si="31"/>
        <v>74.344205821608369</v>
      </c>
      <c r="P37" s="73">
        <f>M37-J37</f>
        <v>-2</v>
      </c>
      <c r="Q37" s="74">
        <f>N37-K37</f>
        <v>-328.46908480702223</v>
      </c>
      <c r="R37" s="287">
        <f t="shared" ref="R37:R39" si="32">O37/L37</f>
        <v>0.87979607392099624</v>
      </c>
      <c r="S37" s="426"/>
      <c r="T37" s="302"/>
      <c r="U37" s="302"/>
      <c r="V37" s="81"/>
      <c r="W37" s="81"/>
      <c r="X37" s="303"/>
      <c r="Y37" s="303"/>
      <c r="Z37" s="430"/>
      <c r="AA37" s="379"/>
      <c r="AB37" s="34">
        <f t="shared" ref="AB37:AB39" si="33">N37-K37</f>
        <v>-328.46908480702223</v>
      </c>
      <c r="AC37" s="186">
        <f t="shared" ref="AC37:AC39" si="34">N37/K37</f>
        <v>0.77730909504608658</v>
      </c>
      <c r="AD37" s="403"/>
    </row>
    <row r="38" spans="1:30" s="62" customFormat="1" ht="15" customHeight="1">
      <c r="A38" s="454" t="s">
        <v>55</v>
      </c>
      <c r="B38" s="229" t="s">
        <v>134</v>
      </c>
      <c r="C38" s="199"/>
      <c r="D38" s="304" t="s">
        <v>156</v>
      </c>
      <c r="E38" s="280"/>
      <c r="F38" s="305">
        <f>VLOOKUP(D38,廠價表!$C$1:$E$39,3,0)</f>
        <v>56.43</v>
      </c>
      <c r="G38" s="266">
        <v>1603</v>
      </c>
      <c r="H38" s="125">
        <f t="shared" ref="H38" si="35">F38*G38</f>
        <v>90457.29</v>
      </c>
      <c r="I38" s="126"/>
      <c r="J38" s="274">
        <f>VLOOKUP(D38,產線配置圖!$A$2:$C$38,2,0)</f>
        <v>15</v>
      </c>
      <c r="K38" s="236">
        <f>VLOOKUP(D38,產線配置圖!$A$2:$C$38,3,0)</f>
        <v>1406</v>
      </c>
      <c r="L38" s="288">
        <f t="shared" ref="L38:L39" si="36">K38/J38</f>
        <v>93.733333333333334</v>
      </c>
      <c r="M38" s="289">
        <v>15</v>
      </c>
      <c r="N38" s="127">
        <f>G38/W38*60</f>
        <v>1080.6741573033707</v>
      </c>
      <c r="O38" s="128">
        <f>N38/M38</f>
        <v>72.044943820224717</v>
      </c>
      <c r="P38" s="129">
        <f t="shared" ref="P38:P39" si="37">M38-J38</f>
        <v>0</v>
      </c>
      <c r="Q38" s="130">
        <f t="shared" ref="Q38:Q39" si="38">O38-L38</f>
        <v>-21.688389513108618</v>
      </c>
      <c r="R38" s="189">
        <f t="shared" si="32"/>
        <v>0.76861604360125946</v>
      </c>
      <c r="S38" s="457">
        <f>R48</f>
        <v>0.69956793713425458</v>
      </c>
      <c r="T38" s="151">
        <v>0.3125</v>
      </c>
      <c r="U38" s="151">
        <v>0.37430555555555556</v>
      </c>
      <c r="V38" s="148"/>
      <c r="W38" s="152">
        <f t="shared" si="23"/>
        <v>89</v>
      </c>
      <c r="X38" s="150"/>
      <c r="Y38" s="153"/>
      <c r="Z38" s="478" t="s">
        <v>160</v>
      </c>
      <c r="AA38" s="460"/>
      <c r="AB38" s="290">
        <f t="shared" si="33"/>
        <v>-325.32584269662925</v>
      </c>
      <c r="AC38" s="154">
        <f t="shared" si="34"/>
        <v>0.76861604360125946</v>
      </c>
      <c r="AD38" s="436">
        <f>AC48</f>
        <v>0.69956793713425458</v>
      </c>
    </row>
    <row r="39" spans="1:30" s="62" customFormat="1" ht="15" customHeight="1">
      <c r="A39" s="455"/>
      <c r="B39" s="56" t="s">
        <v>134</v>
      </c>
      <c r="C39" s="277"/>
      <c r="D39" s="279" t="s">
        <v>154</v>
      </c>
      <c r="E39" s="278"/>
      <c r="F39" s="56">
        <f>VLOOKUP(D39,廠價表!$C$1:$E$39,3,0)</f>
        <v>57.3</v>
      </c>
      <c r="G39" s="276">
        <v>1710</v>
      </c>
      <c r="H39" s="15">
        <f>F39*G39</f>
        <v>97983</v>
      </c>
      <c r="I39" s="64"/>
      <c r="J39" s="37">
        <f>VLOOKUP(D39,產線配置圖!$A$2:$C$38,2,0)</f>
        <v>15</v>
      </c>
      <c r="K39" s="36">
        <f>VLOOKUP(D39,產線配置圖!$A$2:$C$38,3,0)</f>
        <v>1385</v>
      </c>
      <c r="L39" s="38">
        <f t="shared" si="36"/>
        <v>92.333333333333329</v>
      </c>
      <c r="M39" s="65">
        <v>15</v>
      </c>
      <c r="N39" s="66">
        <f>G39/W39*60</f>
        <v>814.28571428571411</v>
      </c>
      <c r="O39" s="67">
        <f t="shared" ref="O39" si="39">N39/M39</f>
        <v>54.28571428571427</v>
      </c>
      <c r="P39" s="39">
        <f t="shared" si="37"/>
        <v>0</v>
      </c>
      <c r="Q39" s="40">
        <f t="shared" si="38"/>
        <v>-38.047619047619058</v>
      </c>
      <c r="R39" s="190">
        <f t="shared" si="32"/>
        <v>0.58793192367199576</v>
      </c>
      <c r="S39" s="458"/>
      <c r="T39" s="59">
        <v>0.38263888888888886</v>
      </c>
      <c r="U39" s="59">
        <v>0.47013888888888888</v>
      </c>
      <c r="V39" s="42">
        <f>(T39-U38)*24*60</f>
        <v>11.999999999999957</v>
      </c>
      <c r="W39" s="69">
        <f t="shared" si="23"/>
        <v>126.00000000000003</v>
      </c>
      <c r="X39" s="22"/>
      <c r="Y39" s="22"/>
      <c r="Z39" s="439" t="s">
        <v>160</v>
      </c>
      <c r="AA39" s="440"/>
      <c r="AB39" s="271">
        <f t="shared" si="33"/>
        <v>-570.71428571428589</v>
      </c>
      <c r="AC39" s="61">
        <f t="shared" si="34"/>
        <v>0.58793192367199576</v>
      </c>
      <c r="AD39" s="437"/>
    </row>
    <row r="40" spans="1:30" s="62" customFormat="1" ht="15" customHeight="1">
      <c r="A40" s="455"/>
      <c r="B40" s="56" t="s">
        <v>134</v>
      </c>
      <c r="C40" s="275"/>
      <c r="D40" s="279" t="s">
        <v>156</v>
      </c>
      <c r="E40" s="243"/>
      <c r="F40" s="56">
        <f>VLOOKUP(D40,廠價表!$C$1:$E$39,3,0)</f>
        <v>56.43</v>
      </c>
      <c r="G40" s="276">
        <v>1232</v>
      </c>
      <c r="H40" s="15">
        <f>F40*G40</f>
        <v>69521.759999999995</v>
      </c>
      <c r="I40" s="64"/>
      <c r="J40" s="37">
        <f>VLOOKUP(D40,產線配置圖!$A$2:$C$38,2,0)</f>
        <v>15</v>
      </c>
      <c r="K40" s="36">
        <f>VLOOKUP(D40,產線配置圖!$A$2:$C$38,3,0)</f>
        <v>1406</v>
      </c>
      <c r="L40" s="38">
        <f t="shared" ref="L40" si="40">K40/J40</f>
        <v>93.733333333333334</v>
      </c>
      <c r="M40" s="65">
        <v>15</v>
      </c>
      <c r="N40" s="66">
        <f t="shared" ref="N40" si="41">G40/W40*60</f>
        <v>1041.1267605633814</v>
      </c>
      <c r="O40" s="67">
        <f t="shared" ref="O40" si="42">N40/M40</f>
        <v>69.40845070422543</v>
      </c>
      <c r="P40" s="39">
        <f t="shared" ref="P40" si="43">M40-J40</f>
        <v>0</v>
      </c>
      <c r="Q40" s="40">
        <f t="shared" ref="Q40" si="44">O40-L40</f>
        <v>-24.324882629107904</v>
      </c>
      <c r="R40" s="190">
        <f t="shared" ref="R40" si="45">O40/L40</f>
        <v>0.7404884499028318</v>
      </c>
      <c r="S40" s="397"/>
      <c r="T40" s="59">
        <v>0.52777777777777779</v>
      </c>
      <c r="U40" s="59">
        <v>0.57708333333333328</v>
      </c>
      <c r="V40" s="42">
        <f t="shared" ref="V40" si="46">(T40-U39)*24*60</f>
        <v>83.000000000000028</v>
      </c>
      <c r="W40" s="69">
        <f t="shared" si="23"/>
        <v>70.999999999999915</v>
      </c>
      <c r="X40" s="70">
        <v>0.47916666666666669</v>
      </c>
      <c r="Y40" s="259">
        <v>0.52083333333333337</v>
      </c>
      <c r="Z40" s="439" t="s">
        <v>160</v>
      </c>
      <c r="AA40" s="440"/>
      <c r="AB40" s="271"/>
      <c r="AC40" s="61"/>
      <c r="AD40" s="437"/>
    </row>
    <row r="41" spans="1:30" s="62" customFormat="1" ht="15" customHeight="1">
      <c r="A41" s="455"/>
      <c r="B41" s="56"/>
      <c r="C41" s="275"/>
      <c r="D41" s="279"/>
      <c r="E41" s="243"/>
      <c r="F41" s="56"/>
      <c r="G41" s="276"/>
      <c r="H41" s="63"/>
      <c r="I41" s="64"/>
      <c r="J41" s="37"/>
      <c r="K41" s="36"/>
      <c r="L41" s="38"/>
      <c r="M41" s="65"/>
      <c r="N41" s="66"/>
      <c r="O41" s="67"/>
      <c r="P41" s="39"/>
      <c r="Q41" s="40"/>
      <c r="R41" s="190"/>
      <c r="S41" s="397"/>
      <c r="T41" s="59"/>
      <c r="U41" s="59"/>
      <c r="V41" s="42"/>
      <c r="W41" s="69">
        <f t="shared" si="23"/>
        <v>0</v>
      </c>
      <c r="X41" s="70"/>
      <c r="Y41" s="259"/>
      <c r="Z41" s="439"/>
      <c r="AA41" s="440"/>
      <c r="AB41" s="271"/>
      <c r="AC41" s="61"/>
      <c r="AD41" s="437"/>
    </row>
    <row r="42" spans="1:30" s="62" customFormat="1" ht="15" customHeight="1">
      <c r="A42" s="455"/>
      <c r="B42" s="56"/>
      <c r="C42" s="23"/>
      <c r="D42" s="11"/>
      <c r="E42" s="12"/>
      <c r="F42" s="56"/>
      <c r="G42" s="99"/>
      <c r="H42" s="63"/>
      <c r="I42" s="64"/>
      <c r="J42" s="16"/>
      <c r="K42" s="14"/>
      <c r="L42" s="17"/>
      <c r="M42" s="65"/>
      <c r="N42" s="66"/>
      <c r="O42" s="67"/>
      <c r="P42" s="39"/>
      <c r="Q42" s="40"/>
      <c r="R42" s="68"/>
      <c r="S42" s="397"/>
      <c r="T42" s="75"/>
      <c r="U42" s="75"/>
      <c r="V42" s="42"/>
      <c r="W42" s="69">
        <f t="shared" si="23"/>
        <v>0</v>
      </c>
      <c r="X42" s="70"/>
      <c r="Y42" s="60"/>
      <c r="Z42" s="445"/>
      <c r="AA42" s="446"/>
      <c r="AB42" s="271"/>
      <c r="AC42" s="61"/>
      <c r="AD42" s="437"/>
    </row>
    <row r="43" spans="1:30" s="62" customFormat="1" ht="15" customHeight="1">
      <c r="A43" s="455"/>
      <c r="B43" s="230"/>
      <c r="C43" s="23"/>
      <c r="D43" s="11"/>
      <c r="E43" s="12"/>
      <c r="F43" s="13"/>
      <c r="G43" s="100"/>
      <c r="H43" s="63">
        <f t="shared" ref="H43:H47" si="47">F43*G43</f>
        <v>0</v>
      </c>
      <c r="I43" s="64"/>
      <c r="J43" s="65"/>
      <c r="K43" s="66"/>
      <c r="L43" s="67"/>
      <c r="M43" s="65"/>
      <c r="N43" s="66"/>
      <c r="O43" s="67"/>
      <c r="P43" s="39"/>
      <c r="Q43" s="40"/>
      <c r="R43" s="68"/>
      <c r="S43" s="397"/>
      <c r="T43" s="75"/>
      <c r="U43" s="75"/>
      <c r="V43" s="64"/>
      <c r="W43" s="69">
        <f>(U43-T43)*24*60</f>
        <v>0</v>
      </c>
      <c r="X43" s="70"/>
      <c r="Y43" s="67"/>
      <c r="Z43" s="405"/>
      <c r="AA43" s="405"/>
      <c r="AB43" s="71"/>
      <c r="AC43" s="61"/>
      <c r="AD43" s="437"/>
    </row>
    <row r="44" spans="1:30" s="62" customFormat="1" ht="15" customHeight="1">
      <c r="A44" s="455"/>
      <c r="B44" s="230"/>
      <c r="C44" s="183"/>
      <c r="D44" s="11"/>
      <c r="E44" s="12"/>
      <c r="F44" s="13"/>
      <c r="G44" s="100"/>
      <c r="H44" s="63">
        <f t="shared" si="47"/>
        <v>0</v>
      </c>
      <c r="I44" s="64"/>
      <c r="J44" s="65"/>
      <c r="K44" s="66"/>
      <c r="L44" s="58"/>
      <c r="M44" s="65"/>
      <c r="N44" s="66"/>
      <c r="O44" s="67"/>
      <c r="P44" s="39"/>
      <c r="Q44" s="40"/>
      <c r="R44" s="68"/>
      <c r="S44" s="397"/>
      <c r="T44" s="59"/>
      <c r="U44" s="59"/>
      <c r="V44" s="64"/>
      <c r="W44" s="69">
        <f t="shared" ref="W44:W48" si="48">(U44-T44)*24*60</f>
        <v>0</v>
      </c>
      <c r="X44" s="70"/>
      <c r="Y44" s="67"/>
      <c r="Z44" s="405"/>
      <c r="AA44" s="405"/>
      <c r="AB44" s="71"/>
      <c r="AC44" s="61"/>
      <c r="AD44" s="437"/>
    </row>
    <row r="45" spans="1:30" s="62" customFormat="1" ht="15" customHeight="1">
      <c r="A45" s="455"/>
      <c r="B45" s="231"/>
      <c r="C45" s="27"/>
      <c r="D45" s="28"/>
      <c r="E45" s="29"/>
      <c r="F45" s="13"/>
      <c r="G45" s="66"/>
      <c r="H45" s="63">
        <f t="shared" si="47"/>
        <v>0</v>
      </c>
      <c r="I45" s="64"/>
      <c r="J45" s="65"/>
      <c r="K45" s="66"/>
      <c r="L45" s="67"/>
      <c r="M45" s="65"/>
      <c r="N45" s="66"/>
      <c r="O45" s="67"/>
      <c r="P45" s="39"/>
      <c r="Q45" s="40"/>
      <c r="R45" s="68"/>
      <c r="S45" s="397"/>
      <c r="T45" s="75"/>
      <c r="U45" s="75"/>
      <c r="V45" s="64"/>
      <c r="W45" s="69">
        <f t="shared" si="48"/>
        <v>0</v>
      </c>
      <c r="X45" s="70"/>
      <c r="Y45" s="67"/>
      <c r="Z45" s="405"/>
      <c r="AA45" s="405"/>
      <c r="AB45" s="71"/>
      <c r="AC45" s="61"/>
      <c r="AD45" s="437"/>
    </row>
    <row r="46" spans="1:30" s="62" customFormat="1" ht="15" customHeight="1">
      <c r="A46" s="455"/>
      <c r="B46" s="231"/>
      <c r="C46" s="27"/>
      <c r="D46" s="28"/>
      <c r="E46" s="29"/>
      <c r="F46" s="13"/>
      <c r="G46" s="66"/>
      <c r="H46" s="63">
        <f t="shared" si="47"/>
        <v>0</v>
      </c>
      <c r="I46" s="64"/>
      <c r="J46" s="65"/>
      <c r="K46" s="66"/>
      <c r="L46" s="67"/>
      <c r="M46" s="65"/>
      <c r="N46" s="66"/>
      <c r="O46" s="67"/>
      <c r="P46" s="39"/>
      <c r="Q46" s="40"/>
      <c r="R46" s="68"/>
      <c r="S46" s="397"/>
      <c r="T46" s="59"/>
      <c r="U46" s="59"/>
      <c r="V46" s="64"/>
      <c r="W46" s="69">
        <f t="shared" si="48"/>
        <v>0</v>
      </c>
      <c r="X46" s="70"/>
      <c r="Y46" s="67"/>
      <c r="Z46" s="405"/>
      <c r="AA46" s="405"/>
      <c r="AB46" s="71"/>
      <c r="AC46" s="61"/>
      <c r="AD46" s="437"/>
    </row>
    <row r="47" spans="1:30" s="62" customFormat="1" ht="15" customHeight="1">
      <c r="A47" s="455"/>
      <c r="B47" s="230"/>
      <c r="C47" s="27"/>
      <c r="D47" s="28"/>
      <c r="E47" s="29"/>
      <c r="F47" s="13"/>
      <c r="G47" s="66"/>
      <c r="H47" s="63">
        <f t="shared" si="47"/>
        <v>0</v>
      </c>
      <c r="I47" s="64"/>
      <c r="J47" s="65"/>
      <c r="K47" s="66"/>
      <c r="L47" s="67"/>
      <c r="M47" s="65"/>
      <c r="N47" s="66"/>
      <c r="O47" s="67"/>
      <c r="P47" s="39"/>
      <c r="Q47" s="40"/>
      <c r="R47" s="68"/>
      <c r="S47" s="397"/>
      <c r="T47" s="75"/>
      <c r="U47" s="75"/>
      <c r="V47" s="64"/>
      <c r="W47" s="69">
        <f t="shared" si="48"/>
        <v>0</v>
      </c>
      <c r="X47" s="70"/>
      <c r="Y47" s="67"/>
      <c r="Z47" s="405"/>
      <c r="AA47" s="405"/>
      <c r="AB47" s="71"/>
      <c r="AC47" s="61"/>
      <c r="AD47" s="437"/>
    </row>
    <row r="48" spans="1:30" ht="15" customHeight="1" thickBot="1">
      <c r="A48" s="456"/>
      <c r="B48" s="156"/>
      <c r="C48" s="1" t="s">
        <v>37</v>
      </c>
      <c r="D48" s="410" t="s">
        <v>7</v>
      </c>
      <c r="E48" s="410"/>
      <c r="F48" s="133"/>
      <c r="G48" s="145"/>
      <c r="H48" s="135"/>
      <c r="I48" s="136"/>
      <c r="J48" s="134">
        <f t="shared" ref="J48:O48" si="49">AVERAGE(J38:J47)</f>
        <v>15</v>
      </c>
      <c r="K48" s="134">
        <f t="shared" si="49"/>
        <v>1399</v>
      </c>
      <c r="L48" s="137">
        <f t="shared" si="49"/>
        <v>93.266666666666666</v>
      </c>
      <c r="M48" s="134">
        <f t="shared" si="49"/>
        <v>15</v>
      </c>
      <c r="N48" s="134">
        <f t="shared" si="49"/>
        <v>978.69554405082215</v>
      </c>
      <c r="O48" s="137">
        <f t="shared" si="49"/>
        <v>65.246369603388146</v>
      </c>
      <c r="P48" s="157">
        <f>M48-J48</f>
        <v>0</v>
      </c>
      <c r="Q48" s="158">
        <f>N48-K48</f>
        <v>-420.30445594917785</v>
      </c>
      <c r="R48" s="159">
        <f>O48/L48</f>
        <v>0.69956793713425458</v>
      </c>
      <c r="S48" s="399"/>
      <c r="T48" s="160"/>
      <c r="U48" s="160"/>
      <c r="V48" s="196"/>
      <c r="W48" s="161">
        <f t="shared" si="48"/>
        <v>0</v>
      </c>
      <c r="X48" s="162"/>
      <c r="Y48" s="162"/>
      <c r="Z48" s="391"/>
      <c r="AA48" s="391"/>
      <c r="AB48" s="163">
        <f>N48-K48</f>
        <v>-420.30445594917785</v>
      </c>
      <c r="AC48" s="191">
        <f>N48/K48</f>
        <v>0.69956793713425458</v>
      </c>
      <c r="AD48" s="438"/>
    </row>
    <row r="49" spans="1:30" ht="15" customHeight="1">
      <c r="A49" s="451" t="s">
        <v>56</v>
      </c>
      <c r="B49" s="199" t="str">
        <f>VLOOKUP(D49,廠價表!$C$1:$E$39,2,0)</f>
        <v>義大利麵</v>
      </c>
      <c r="C49" s="102"/>
      <c r="D49" s="103" t="s">
        <v>152</v>
      </c>
      <c r="E49" s="104"/>
      <c r="F49" s="199">
        <f>VLOOKUP(D49,廠價表!$C$1:$E$39,3,0)</f>
        <v>56.87</v>
      </c>
      <c r="G49" s="149">
        <v>2648</v>
      </c>
      <c r="H49" s="125">
        <f t="shared" ref="H49:H57" si="50">F49*G49</f>
        <v>150591.75999999998</v>
      </c>
      <c r="I49" s="126"/>
      <c r="J49" s="108">
        <f>VLOOKUP(D49,產線配置圖!$A$2:$C$38,2,0)</f>
        <v>19</v>
      </c>
      <c r="K49" s="105">
        <f>VLOOKUP(D49,產線配置圖!$A$2:$C$38,3,0)</f>
        <v>1565</v>
      </c>
      <c r="L49" s="109">
        <f>K49/J49</f>
        <v>82.368421052631575</v>
      </c>
      <c r="M49" s="144">
        <v>19</v>
      </c>
      <c r="N49" s="127">
        <f>G49/W49*60</f>
        <v>1557.64705882353</v>
      </c>
      <c r="O49" s="128">
        <f>N49/M49</f>
        <v>81.981424148606834</v>
      </c>
      <c r="P49" s="164">
        <f>M49-J49</f>
        <v>0</v>
      </c>
      <c r="Q49" s="112">
        <f>O49-L49</f>
        <v>-0.38699690402474118</v>
      </c>
      <c r="R49" s="184">
        <f>O49/L49</f>
        <v>0.99530163503100955</v>
      </c>
      <c r="S49" s="396">
        <f>R58</f>
        <v>0.95460600021256448</v>
      </c>
      <c r="T49" s="151">
        <v>0.2902777777777778</v>
      </c>
      <c r="U49" s="151">
        <v>0.3611111111111111</v>
      </c>
      <c r="V49" s="188"/>
      <c r="W49" s="152">
        <f t="shared" si="23"/>
        <v>101.99999999999996</v>
      </c>
      <c r="X49" s="188"/>
      <c r="Y49" s="188"/>
      <c r="Z49" s="400"/>
      <c r="AA49" s="400"/>
      <c r="AB49" s="111">
        <f>N49-K49</f>
        <v>-7.3529411764700399</v>
      </c>
      <c r="AC49" s="184">
        <f>N49/K49</f>
        <v>0.99530163503100955</v>
      </c>
      <c r="AD49" s="401">
        <f>AC58</f>
        <v>0.95566509505734476</v>
      </c>
    </row>
    <row r="50" spans="1:30" ht="15" customHeight="1">
      <c r="A50" s="452"/>
      <c r="B50" s="56" t="str">
        <f>VLOOKUP(D50,廠價表!$C$1:$E$39,2,0)</f>
        <v>義大利麵</v>
      </c>
      <c r="C50" s="10"/>
      <c r="D50" s="11" t="s">
        <v>65</v>
      </c>
      <c r="E50" s="86"/>
      <c r="F50" s="56">
        <f>VLOOKUP(D50,廠價表!$C$1:$E$39,3,0)</f>
        <v>49.97</v>
      </c>
      <c r="G50" s="66">
        <v>4450</v>
      </c>
      <c r="H50" s="76">
        <f t="shared" si="50"/>
        <v>222366.5</v>
      </c>
      <c r="I50" s="193"/>
      <c r="J50" s="16">
        <f>VLOOKUP(D50,產線配置圖!$A$2:$C$38,2,0)</f>
        <v>18</v>
      </c>
      <c r="K50" s="14">
        <f>VLOOKUP(D50,產線配置圖!$A$2:$C$38,3,0)</f>
        <v>1600</v>
      </c>
      <c r="L50" s="17">
        <f>K50/J50</f>
        <v>88.888888888888886</v>
      </c>
      <c r="M50" s="174">
        <v>18</v>
      </c>
      <c r="N50" s="77">
        <f>G50/W50*60</f>
        <v>1467.0329670329663</v>
      </c>
      <c r="O50" s="78">
        <f>N50/M50</f>
        <v>81.501831501831461</v>
      </c>
      <c r="P50" s="18">
        <f>M50-J50</f>
        <v>0</v>
      </c>
      <c r="Q50" s="19">
        <f>O50-L50</f>
        <v>-7.3870573870574248</v>
      </c>
      <c r="R50" s="185">
        <f>O50/L50</f>
        <v>0.91689560439560391</v>
      </c>
      <c r="S50" s="397"/>
      <c r="T50" s="79">
        <v>0.36666666666666664</v>
      </c>
      <c r="U50" s="79">
        <v>0.49305555555555558</v>
      </c>
      <c r="V50" s="177">
        <f t="shared" ref="V50" si="51">(T50-U49)*24*60</f>
        <v>7.9999999999999716</v>
      </c>
      <c r="W50" s="80">
        <f t="shared" si="23"/>
        <v>182.00000000000009</v>
      </c>
      <c r="X50" s="22"/>
      <c r="Y50" s="22"/>
      <c r="Z50" s="419"/>
      <c r="AA50" s="418"/>
      <c r="AB50" s="18">
        <f>N50-K50</f>
        <v>-132.96703296703367</v>
      </c>
      <c r="AC50" s="185">
        <f>N50/K50</f>
        <v>0.91689560439560391</v>
      </c>
      <c r="AD50" s="402"/>
    </row>
    <row r="51" spans="1:30" ht="15" customHeight="1">
      <c r="A51" s="452"/>
      <c r="B51" s="56"/>
      <c r="C51" s="10"/>
      <c r="D51" s="11"/>
      <c r="E51" s="86"/>
      <c r="F51" s="56"/>
      <c r="G51" s="66"/>
      <c r="H51" s="76"/>
      <c r="I51" s="193"/>
      <c r="J51" s="16"/>
      <c r="K51" s="14"/>
      <c r="L51" s="17"/>
      <c r="M51" s="174"/>
      <c r="N51" s="77"/>
      <c r="O51" s="78"/>
      <c r="P51" s="18"/>
      <c r="Q51" s="19"/>
      <c r="R51" s="185"/>
      <c r="S51" s="397"/>
      <c r="T51" s="79"/>
      <c r="U51" s="44"/>
      <c r="V51" s="177"/>
      <c r="W51" s="80">
        <f t="shared" si="23"/>
        <v>0</v>
      </c>
      <c r="X51" s="22"/>
      <c r="Y51" s="22"/>
      <c r="Z51" s="405"/>
      <c r="AA51" s="405"/>
      <c r="AB51" s="18"/>
      <c r="AC51" s="185"/>
      <c r="AD51" s="402"/>
    </row>
    <row r="52" spans="1:30" ht="15" customHeight="1">
      <c r="A52" s="452"/>
      <c r="B52" s="56"/>
      <c r="C52" s="23"/>
      <c r="D52" s="11"/>
      <c r="E52" s="12"/>
      <c r="F52" s="56"/>
      <c r="G52" s="66"/>
      <c r="H52" s="76"/>
      <c r="I52" s="193"/>
      <c r="J52" s="16"/>
      <c r="K52" s="14"/>
      <c r="L52" s="17"/>
      <c r="M52" s="174"/>
      <c r="N52" s="77"/>
      <c r="O52" s="78"/>
      <c r="P52" s="18"/>
      <c r="Q52" s="19"/>
      <c r="R52" s="185"/>
      <c r="S52" s="397"/>
      <c r="T52" s="79"/>
      <c r="U52" s="79"/>
      <c r="V52" s="177"/>
      <c r="W52" s="80">
        <f t="shared" si="23"/>
        <v>0</v>
      </c>
      <c r="X52" s="22"/>
      <c r="Y52" s="22"/>
      <c r="Z52" s="405"/>
      <c r="AA52" s="405"/>
      <c r="AB52" s="18"/>
      <c r="AC52" s="185"/>
      <c r="AD52" s="402"/>
    </row>
    <row r="53" spans="1:30" ht="15" customHeight="1">
      <c r="A53" s="452"/>
      <c r="B53" s="56"/>
      <c r="C53" s="23"/>
      <c r="D53" s="11"/>
      <c r="E53" s="12"/>
      <c r="F53" s="56"/>
      <c r="G53" s="66"/>
      <c r="H53" s="76"/>
      <c r="I53" s="193"/>
      <c r="J53" s="16"/>
      <c r="K53" s="14"/>
      <c r="L53" s="17"/>
      <c r="M53" s="174"/>
      <c r="N53" s="77"/>
      <c r="O53" s="78"/>
      <c r="P53" s="18"/>
      <c r="Q53" s="19"/>
      <c r="R53" s="185"/>
      <c r="S53" s="397"/>
      <c r="T53" s="79"/>
      <c r="U53" s="79"/>
      <c r="V53" s="177"/>
      <c r="W53" s="80">
        <f t="shared" si="23"/>
        <v>0</v>
      </c>
      <c r="X53" s="177"/>
      <c r="Y53" s="177"/>
      <c r="Z53" s="419"/>
      <c r="AA53" s="418"/>
      <c r="AB53" s="18"/>
      <c r="AC53" s="185"/>
      <c r="AD53" s="402"/>
    </row>
    <row r="54" spans="1:30" ht="15" customHeight="1">
      <c r="A54" s="452"/>
      <c r="B54" s="177"/>
      <c r="C54" s="183"/>
      <c r="D54" s="11"/>
      <c r="E54" s="12"/>
      <c r="F54" s="13"/>
      <c r="G54" s="66"/>
      <c r="H54" s="76">
        <f t="shared" si="50"/>
        <v>0</v>
      </c>
      <c r="I54" s="177"/>
      <c r="J54" s="31"/>
      <c r="K54" s="30"/>
      <c r="L54" s="38"/>
      <c r="M54" s="181"/>
      <c r="N54" s="30"/>
      <c r="O54" s="35"/>
      <c r="P54" s="18"/>
      <c r="Q54" s="19"/>
      <c r="R54" s="185"/>
      <c r="S54" s="397"/>
      <c r="T54" s="79"/>
      <c r="U54" s="79"/>
      <c r="V54" s="197"/>
      <c r="W54" s="80">
        <f t="shared" si="23"/>
        <v>0</v>
      </c>
      <c r="X54" s="177"/>
      <c r="Y54" s="177"/>
      <c r="Z54" s="419"/>
      <c r="AA54" s="418"/>
      <c r="AB54" s="18"/>
      <c r="AC54" s="185"/>
      <c r="AD54" s="402"/>
    </row>
    <row r="55" spans="1:30" ht="15" customHeight="1">
      <c r="A55" s="452"/>
      <c r="B55" s="26"/>
      <c r="C55" s="27"/>
      <c r="D55" s="28"/>
      <c r="E55" s="29"/>
      <c r="F55" s="13"/>
      <c r="G55" s="66"/>
      <c r="H55" s="15">
        <f t="shared" si="50"/>
        <v>0</v>
      </c>
      <c r="I55" s="177"/>
      <c r="J55" s="31"/>
      <c r="K55" s="30"/>
      <c r="L55" s="38"/>
      <c r="M55" s="181"/>
      <c r="N55" s="30"/>
      <c r="O55" s="35"/>
      <c r="P55" s="18"/>
      <c r="Q55" s="19"/>
      <c r="R55" s="185"/>
      <c r="S55" s="397"/>
      <c r="T55" s="79"/>
      <c r="U55" s="79"/>
      <c r="V55" s="197"/>
      <c r="W55" s="80">
        <f t="shared" si="23"/>
        <v>0</v>
      </c>
      <c r="X55" s="177"/>
      <c r="Y55" s="177"/>
      <c r="Z55" s="419"/>
      <c r="AA55" s="418"/>
      <c r="AB55" s="18"/>
      <c r="AC55" s="185"/>
      <c r="AD55" s="402"/>
    </row>
    <row r="56" spans="1:30" ht="15" customHeight="1">
      <c r="A56" s="452"/>
      <c r="B56" s="26"/>
      <c r="C56" s="27"/>
      <c r="D56" s="28"/>
      <c r="E56" s="29"/>
      <c r="F56" s="13"/>
      <c r="G56" s="66"/>
      <c r="H56" s="15">
        <f t="shared" si="50"/>
        <v>0</v>
      </c>
      <c r="I56" s="177"/>
      <c r="J56" s="31"/>
      <c r="K56" s="30"/>
      <c r="L56" s="38"/>
      <c r="M56" s="181"/>
      <c r="N56" s="30"/>
      <c r="O56" s="35"/>
      <c r="P56" s="18"/>
      <c r="Q56" s="19"/>
      <c r="R56" s="185"/>
      <c r="S56" s="397"/>
      <c r="T56" s="79"/>
      <c r="U56" s="79"/>
      <c r="V56" s="197"/>
      <c r="W56" s="80">
        <f t="shared" si="23"/>
        <v>0</v>
      </c>
      <c r="X56" s="177"/>
      <c r="Y56" s="177"/>
      <c r="Z56" s="405"/>
      <c r="AA56" s="405"/>
      <c r="AB56" s="18"/>
      <c r="AC56" s="185"/>
      <c r="AD56" s="402"/>
    </row>
    <row r="57" spans="1:30" ht="15" customHeight="1">
      <c r="A57" s="452"/>
      <c r="B57" s="26"/>
      <c r="C57" s="27"/>
      <c r="D57" s="28"/>
      <c r="E57" s="29"/>
      <c r="F57" s="13"/>
      <c r="G57" s="66"/>
      <c r="H57" s="15">
        <f t="shared" si="50"/>
        <v>0</v>
      </c>
      <c r="I57" s="177"/>
      <c r="J57" s="31"/>
      <c r="K57" s="30"/>
      <c r="L57" s="38"/>
      <c r="M57" s="181"/>
      <c r="N57" s="30"/>
      <c r="O57" s="35"/>
      <c r="P57" s="18"/>
      <c r="Q57" s="19"/>
      <c r="R57" s="185"/>
      <c r="S57" s="397"/>
      <c r="T57" s="79"/>
      <c r="U57" s="79"/>
      <c r="V57" s="197"/>
      <c r="W57" s="80">
        <f t="shared" si="23"/>
        <v>0</v>
      </c>
      <c r="X57" s="177"/>
      <c r="Y57" s="177"/>
      <c r="Z57" s="405"/>
      <c r="AA57" s="405"/>
      <c r="AB57" s="18"/>
      <c r="AC57" s="185"/>
      <c r="AD57" s="402"/>
    </row>
    <row r="58" spans="1:30" ht="15" customHeight="1" thickBot="1">
      <c r="A58" s="453"/>
      <c r="B58" s="165"/>
      <c r="C58" s="1" t="s">
        <v>38</v>
      </c>
      <c r="D58" s="410" t="s">
        <v>7</v>
      </c>
      <c r="E58" s="410"/>
      <c r="F58" s="114"/>
      <c r="G58" s="166"/>
      <c r="H58" s="116"/>
      <c r="I58" s="115"/>
      <c r="J58" s="118">
        <f t="shared" ref="J58:O58" si="52">AVERAGE(J49:J57)</f>
        <v>18.5</v>
      </c>
      <c r="K58" s="118">
        <f t="shared" si="52"/>
        <v>1582.5</v>
      </c>
      <c r="L58" s="115">
        <f t="shared" si="52"/>
        <v>85.628654970760238</v>
      </c>
      <c r="M58" s="118">
        <f t="shared" si="52"/>
        <v>18.5</v>
      </c>
      <c r="N58" s="118">
        <f t="shared" si="52"/>
        <v>1512.3400129282481</v>
      </c>
      <c r="O58" s="115">
        <f t="shared" si="52"/>
        <v>81.741627825219155</v>
      </c>
      <c r="P58" s="119">
        <f>M58-J58</f>
        <v>0</v>
      </c>
      <c r="Q58" s="120">
        <f>N58-K58</f>
        <v>-70.159987071751857</v>
      </c>
      <c r="R58" s="121">
        <f t="shared" ref="R58:R60" si="53">O58/L58</f>
        <v>0.95460600021256448</v>
      </c>
      <c r="S58" s="399"/>
      <c r="T58" s="167"/>
      <c r="U58" s="167"/>
      <c r="V58" s="195"/>
      <c r="W58" s="168"/>
      <c r="X58" s="124"/>
      <c r="Y58" s="124"/>
      <c r="Z58" s="391"/>
      <c r="AA58" s="391"/>
      <c r="AB58" s="119">
        <f t="shared" ref="AB58:AB63" si="54">N58-K58</f>
        <v>-70.159987071751857</v>
      </c>
      <c r="AC58" s="187">
        <f t="shared" ref="AC58:AC63" si="55">N58/K58</f>
        <v>0.95566509505734476</v>
      </c>
      <c r="AD58" s="404"/>
    </row>
    <row r="59" spans="1:30" ht="15" customHeight="1">
      <c r="A59" s="466" t="s">
        <v>57</v>
      </c>
      <c r="B59" s="199" t="str">
        <f>VLOOKUP(D59,廠價表!$C$1:$E$39,2,0)</f>
        <v>小吃、微波</v>
      </c>
      <c r="C59" s="102"/>
      <c r="D59" s="103" t="s">
        <v>125</v>
      </c>
      <c r="E59" s="104"/>
      <c r="F59" s="199">
        <f>VLOOKUP(D59,廠價表!$C$1:$E$39,3,0)</f>
        <v>26.99</v>
      </c>
      <c r="G59" s="188">
        <v>900</v>
      </c>
      <c r="H59" s="106">
        <f t="shared" ref="H59:H68" si="56">F59*G59</f>
        <v>24291</v>
      </c>
      <c r="I59" s="188"/>
      <c r="J59" s="108">
        <f>VLOOKUP(D59,產線配置圖!$A$2:$C$38,2,0)</f>
        <v>13</v>
      </c>
      <c r="K59" s="105">
        <f>VLOOKUP(D59,產線配置圖!$A$2:$C$38,3,0)</f>
        <v>1565</v>
      </c>
      <c r="L59" s="109">
        <f>K59/J59</f>
        <v>120.38461538461539</v>
      </c>
      <c r="M59" s="110">
        <v>13</v>
      </c>
      <c r="N59" s="105">
        <f t="shared" ref="N59:N62" si="57">G59/W59*60</f>
        <v>1350.000000000002</v>
      </c>
      <c r="O59" s="109">
        <f t="shared" ref="O59:O62" si="58">N59/M59</f>
        <v>103.84615384615401</v>
      </c>
      <c r="P59" s="111">
        <f t="shared" ref="P59:P62" si="59">M59-J59</f>
        <v>0</v>
      </c>
      <c r="Q59" s="112">
        <f t="shared" ref="Q59:Q62" si="60">O59-L59</f>
        <v>-16.538461538461377</v>
      </c>
      <c r="R59" s="184">
        <f t="shared" si="53"/>
        <v>0.86261980830671059</v>
      </c>
      <c r="S59" s="396">
        <f>R69</f>
        <v>0.88684831294557998</v>
      </c>
      <c r="T59" s="169">
        <v>0.29166666666666669</v>
      </c>
      <c r="U59" s="169">
        <v>0.31944444444444442</v>
      </c>
      <c r="V59" s="188"/>
      <c r="W59" s="107">
        <f t="shared" si="23"/>
        <v>39.999999999999936</v>
      </c>
      <c r="X59" s="188"/>
      <c r="Y59" s="188"/>
      <c r="Z59" s="405"/>
      <c r="AA59" s="405"/>
      <c r="AB59" s="225">
        <f t="shared" si="54"/>
        <v>-214.99999999999795</v>
      </c>
      <c r="AC59" s="226">
        <f t="shared" si="55"/>
        <v>0.86261980830671059</v>
      </c>
      <c r="AD59" s="401">
        <f>AC69</f>
        <v>0.8864338318869438</v>
      </c>
    </row>
    <row r="60" spans="1:30" ht="15" customHeight="1">
      <c r="A60" s="467"/>
      <c r="B60" s="56" t="str">
        <f>VLOOKUP(D60,廠價表!$C$1:$E$39,2,0)</f>
        <v>小吃、微波</v>
      </c>
      <c r="C60" s="10"/>
      <c r="D60" s="242" t="s">
        <v>146</v>
      </c>
      <c r="E60" s="86"/>
      <c r="F60" s="56">
        <f>VLOOKUP(D60,廠價表!$C$1:$E$39,3,0)</f>
        <v>28.47</v>
      </c>
      <c r="G60" s="177">
        <v>827</v>
      </c>
      <c r="H60" s="15">
        <f t="shared" si="56"/>
        <v>23544.69</v>
      </c>
      <c r="I60" s="177"/>
      <c r="J60" s="16">
        <f>VLOOKUP(D60,產線配置圖!$A$2:$C$38,2,0)</f>
        <v>12</v>
      </c>
      <c r="K60" s="14">
        <f>VLOOKUP(D60,產線配置圖!$A$2:$C$38,3,0)</f>
        <v>1565</v>
      </c>
      <c r="L60" s="17">
        <f>K60/J60</f>
        <v>130.41666666666666</v>
      </c>
      <c r="M60" s="180">
        <v>12</v>
      </c>
      <c r="N60" s="14">
        <f t="shared" si="57"/>
        <v>1305.7894736842095</v>
      </c>
      <c r="O60" s="17">
        <f t="shared" si="58"/>
        <v>108.81578947368412</v>
      </c>
      <c r="P60" s="18">
        <f t="shared" si="59"/>
        <v>0</v>
      </c>
      <c r="Q60" s="19">
        <f t="shared" si="60"/>
        <v>-21.600877192982537</v>
      </c>
      <c r="R60" s="185">
        <f t="shared" si="53"/>
        <v>0.83437027072473458</v>
      </c>
      <c r="S60" s="470"/>
      <c r="T60" s="198">
        <v>0.33333333333333331</v>
      </c>
      <c r="U60" s="198">
        <v>0.35972222222222222</v>
      </c>
      <c r="V60" s="177">
        <f t="shared" ref="V60:V63" si="61">(T60-U59)*24*60</f>
        <v>20.000000000000007</v>
      </c>
      <c r="W60" s="90">
        <f t="shared" si="23"/>
        <v>38.000000000000028</v>
      </c>
      <c r="X60" s="193"/>
      <c r="Y60" s="193"/>
      <c r="Z60" s="405"/>
      <c r="AA60" s="405"/>
      <c r="AB60" s="227">
        <f t="shared" si="54"/>
        <v>-259.2105263157905</v>
      </c>
      <c r="AC60" s="228">
        <f t="shared" si="55"/>
        <v>0.83437027072473446</v>
      </c>
      <c r="AD60" s="473"/>
    </row>
    <row r="61" spans="1:30" ht="15" customHeight="1">
      <c r="A61" s="468"/>
      <c r="B61" s="56" t="str">
        <f>VLOOKUP(D61,廠價表!$C$1:$E$39,2,0)</f>
        <v>小吃、微波</v>
      </c>
      <c r="C61" s="10"/>
      <c r="D61" s="242" t="s">
        <v>135</v>
      </c>
      <c r="E61" s="86"/>
      <c r="F61" s="56">
        <f>VLOOKUP(D61,廠價表!$C$1:$E$39,3,0)</f>
        <v>28.26</v>
      </c>
      <c r="G61" s="177">
        <v>2188</v>
      </c>
      <c r="H61" s="15">
        <f t="shared" si="56"/>
        <v>61832.880000000005</v>
      </c>
      <c r="I61" s="81"/>
      <c r="J61" s="16">
        <f>VLOOKUP(D61,產線配置圖!$A$2:$C$38,2,0)</f>
        <v>12</v>
      </c>
      <c r="K61" s="14">
        <f>VLOOKUP(D61,產線配置圖!$A$2:$C$38,3,0)</f>
        <v>1565</v>
      </c>
      <c r="L61" s="17">
        <f t="shared" ref="L61:L62" si="62">K61/J61</f>
        <v>130.41666666666666</v>
      </c>
      <c r="M61" s="180">
        <v>12</v>
      </c>
      <c r="N61" s="14">
        <f t="shared" si="57"/>
        <v>1508.9655172413791</v>
      </c>
      <c r="O61" s="17">
        <f t="shared" si="58"/>
        <v>125.74712643678158</v>
      </c>
      <c r="P61" s="18">
        <f t="shared" si="59"/>
        <v>0</v>
      </c>
      <c r="Q61" s="19">
        <f t="shared" si="60"/>
        <v>-4.6695402298850723</v>
      </c>
      <c r="R61" s="185">
        <f>O61/L61</f>
        <v>0.96419521868458735</v>
      </c>
      <c r="S61" s="397"/>
      <c r="T61" s="20">
        <v>0.37361111111111112</v>
      </c>
      <c r="U61" s="20">
        <v>0.43402777777777779</v>
      </c>
      <c r="V61" s="177">
        <f t="shared" si="61"/>
        <v>20.000000000000007</v>
      </c>
      <c r="W61" s="88">
        <f t="shared" si="23"/>
        <v>87.000000000000014</v>
      </c>
      <c r="X61" s="22"/>
      <c r="Y61" s="22"/>
      <c r="Z61" s="405"/>
      <c r="AA61" s="405"/>
      <c r="AB61" s="51">
        <f t="shared" si="54"/>
        <v>-56.034482758620925</v>
      </c>
      <c r="AC61" s="52">
        <f t="shared" si="55"/>
        <v>0.96419521868458724</v>
      </c>
      <c r="AD61" s="402"/>
    </row>
    <row r="62" spans="1:30" ht="15" customHeight="1">
      <c r="A62" s="468"/>
      <c r="B62" s="56" t="str">
        <f>VLOOKUP(D62,廠價表!$C$1:$E$39,2,0)</f>
        <v>小吃、微波</v>
      </c>
      <c r="C62" s="10"/>
      <c r="D62" s="11" t="s">
        <v>125</v>
      </c>
      <c r="E62" s="86"/>
      <c r="F62" s="56">
        <f>VLOOKUP(D62,廠價表!$C$1:$E$39,3,0)</f>
        <v>26.99</v>
      </c>
      <c r="G62" s="177">
        <v>1079</v>
      </c>
      <c r="H62" s="15">
        <f t="shared" si="56"/>
        <v>29122.21</v>
      </c>
      <c r="I62" s="81"/>
      <c r="J62" s="16">
        <f>VLOOKUP(D62,產線配置圖!$A$2:$C$38,2,0)</f>
        <v>13</v>
      </c>
      <c r="K62" s="14">
        <f>VLOOKUP(D62,產線配置圖!$A$2:$C$38,3,0)</f>
        <v>1565</v>
      </c>
      <c r="L62" s="17">
        <f t="shared" si="62"/>
        <v>120.38461538461539</v>
      </c>
      <c r="M62" s="180">
        <v>13</v>
      </c>
      <c r="N62" s="14">
        <f t="shared" si="57"/>
        <v>1438.6666666666667</v>
      </c>
      <c r="O62" s="17">
        <f t="shared" si="58"/>
        <v>110.66666666666667</v>
      </c>
      <c r="P62" s="18">
        <f t="shared" si="59"/>
        <v>0</v>
      </c>
      <c r="Q62" s="19">
        <f t="shared" si="60"/>
        <v>-9.7179487179487154</v>
      </c>
      <c r="R62" s="185">
        <f>O62/L62</f>
        <v>0.91927582534611296</v>
      </c>
      <c r="S62" s="397"/>
      <c r="T62" s="20">
        <v>0.44444444444444442</v>
      </c>
      <c r="U62" s="20">
        <v>0.47569444444444442</v>
      </c>
      <c r="V62" s="177">
        <f t="shared" si="61"/>
        <v>14.999999999999947</v>
      </c>
      <c r="W62" s="90">
        <f t="shared" si="23"/>
        <v>45</v>
      </c>
      <c r="X62" s="22"/>
      <c r="Y62" s="22"/>
      <c r="Z62" s="405"/>
      <c r="AA62" s="405"/>
      <c r="AB62" s="51">
        <f t="shared" si="54"/>
        <v>-126.33333333333326</v>
      </c>
      <c r="AC62" s="52">
        <f t="shared" si="55"/>
        <v>0.91927582534611296</v>
      </c>
      <c r="AD62" s="402"/>
    </row>
    <row r="63" spans="1:30" ht="15" customHeight="1">
      <c r="A63" s="468"/>
      <c r="B63" s="56" t="str">
        <f>VLOOKUP(D63,廠價表!$C$1:$E$39,2,0)</f>
        <v>小吃、微波</v>
      </c>
      <c r="C63" s="23"/>
      <c r="D63" s="11" t="s">
        <v>125</v>
      </c>
      <c r="E63" s="12"/>
      <c r="F63" s="56">
        <f>VLOOKUP(D63,廠價表!$C$1:$E$39,3,0)</f>
        <v>26.99</v>
      </c>
      <c r="G63" s="177">
        <v>1444</v>
      </c>
      <c r="H63" s="15">
        <f t="shared" ref="H63" si="63">F63*G63</f>
        <v>38973.56</v>
      </c>
      <c r="I63" s="81"/>
      <c r="J63" s="16">
        <f>VLOOKUP(D63,產線配置圖!$A$2:$C$38,2,0)</f>
        <v>13</v>
      </c>
      <c r="K63" s="14">
        <f>VLOOKUP(D63,產線配置圖!$A$2:$C$38,3,0)</f>
        <v>1565</v>
      </c>
      <c r="L63" s="17">
        <f t="shared" ref="L63" si="64">K63/J63</f>
        <v>120.38461538461539</v>
      </c>
      <c r="M63" s="180">
        <v>13</v>
      </c>
      <c r="N63" s="14">
        <f t="shared" ref="N63" si="65">G63/W63*60</f>
        <v>1332.9230769230783</v>
      </c>
      <c r="O63" s="17">
        <f t="shared" ref="O63" si="66">N63/M63</f>
        <v>102.53254437869833</v>
      </c>
      <c r="P63" s="18">
        <f t="shared" ref="P63" si="67">M63-J63</f>
        <v>0</v>
      </c>
      <c r="Q63" s="19">
        <f t="shared" ref="Q63" si="68">O63-L63</f>
        <v>-17.852071005917054</v>
      </c>
      <c r="R63" s="185">
        <f>O63/L63</f>
        <v>0.85170803637257397</v>
      </c>
      <c r="S63" s="397"/>
      <c r="T63" s="20">
        <v>0.52777777777777779</v>
      </c>
      <c r="U63" s="20">
        <v>0.57291666666666663</v>
      </c>
      <c r="V63" s="177">
        <f t="shared" si="61"/>
        <v>75.000000000000057</v>
      </c>
      <c r="W63" s="90">
        <f t="shared" si="23"/>
        <v>64.999999999999929</v>
      </c>
      <c r="X63" s="84">
        <v>0.47916666666666669</v>
      </c>
      <c r="Y63" s="84">
        <v>0.52083333333333337</v>
      </c>
      <c r="Z63" s="405"/>
      <c r="AA63" s="405"/>
      <c r="AB63" s="51">
        <f t="shared" si="54"/>
        <v>-232.07692307692173</v>
      </c>
      <c r="AC63" s="52">
        <f t="shared" si="55"/>
        <v>0.85170803637257397</v>
      </c>
      <c r="AD63" s="402"/>
    </row>
    <row r="64" spans="1:30" ht="15" customHeight="1">
      <c r="A64" s="468"/>
      <c r="B64" s="177"/>
      <c r="C64" s="23"/>
      <c r="D64" s="11"/>
      <c r="E64" s="12"/>
      <c r="F64" s="13"/>
      <c r="G64" s="177"/>
      <c r="H64" s="15"/>
      <c r="I64" s="177"/>
      <c r="J64" s="16"/>
      <c r="K64" s="14"/>
      <c r="L64" s="17"/>
      <c r="M64" s="180"/>
      <c r="N64" s="14"/>
      <c r="O64" s="17"/>
      <c r="P64" s="18"/>
      <c r="Q64" s="19"/>
      <c r="R64" s="185"/>
      <c r="S64" s="397"/>
      <c r="T64" s="20"/>
      <c r="U64" s="20"/>
      <c r="V64" s="177"/>
      <c r="W64" s="182">
        <f t="shared" si="23"/>
        <v>0</v>
      </c>
      <c r="X64" s="84"/>
      <c r="Y64" s="84"/>
      <c r="Z64" s="419"/>
      <c r="AA64" s="418"/>
      <c r="AB64" s="18"/>
      <c r="AC64" s="55"/>
      <c r="AD64" s="402"/>
    </row>
    <row r="65" spans="1:32" ht="15" customHeight="1">
      <c r="A65" s="468"/>
      <c r="B65" s="177"/>
      <c r="C65" s="183"/>
      <c r="D65" s="11"/>
      <c r="E65" s="12"/>
      <c r="F65" s="13"/>
      <c r="G65" s="177"/>
      <c r="H65" s="15"/>
      <c r="I65" s="177"/>
      <c r="J65" s="16"/>
      <c r="K65" s="82"/>
      <c r="L65" s="83"/>
      <c r="M65" s="180"/>
      <c r="N65" s="14"/>
      <c r="O65" s="17"/>
      <c r="P65" s="18"/>
      <c r="Q65" s="19"/>
      <c r="R65" s="185"/>
      <c r="S65" s="397"/>
      <c r="T65" s="20"/>
      <c r="U65" s="20"/>
      <c r="V65" s="177"/>
      <c r="W65" s="182">
        <f t="shared" si="23"/>
        <v>0</v>
      </c>
      <c r="X65" s="84"/>
      <c r="Y65" s="84"/>
      <c r="Z65" s="419"/>
      <c r="AA65" s="418"/>
      <c r="AB65" s="18"/>
      <c r="AC65" s="55"/>
      <c r="AD65" s="402"/>
    </row>
    <row r="66" spans="1:32" ht="15" customHeight="1">
      <c r="A66" s="468"/>
      <c r="B66" s="26"/>
      <c r="C66" s="27"/>
      <c r="D66" s="28"/>
      <c r="E66" s="29"/>
      <c r="F66" s="13"/>
      <c r="G66" s="183"/>
      <c r="H66" s="15">
        <f t="shared" si="56"/>
        <v>0</v>
      </c>
      <c r="I66" s="85"/>
      <c r="J66" s="16"/>
      <c r="K66" s="14"/>
      <c r="L66" s="17"/>
      <c r="M66" s="21"/>
      <c r="N66" s="36"/>
      <c r="O66" s="38"/>
      <c r="P66" s="39"/>
      <c r="Q66" s="40"/>
      <c r="R66" s="68"/>
      <c r="S66" s="397"/>
      <c r="T66" s="20"/>
      <c r="U66" s="20"/>
      <c r="V66" s="177"/>
      <c r="W66" s="182">
        <f t="shared" si="23"/>
        <v>0</v>
      </c>
      <c r="X66" s="84"/>
      <c r="Y66" s="84"/>
      <c r="Z66" s="405"/>
      <c r="AA66" s="405"/>
      <c r="AB66" s="18"/>
      <c r="AC66" s="55"/>
      <c r="AD66" s="402"/>
    </row>
    <row r="67" spans="1:32" ht="15" customHeight="1">
      <c r="A67" s="468"/>
      <c r="B67" s="26"/>
      <c r="C67" s="27"/>
      <c r="D67" s="28"/>
      <c r="E67" s="29"/>
      <c r="F67" s="13"/>
      <c r="G67" s="177"/>
      <c r="H67" s="15">
        <f t="shared" si="56"/>
        <v>0</v>
      </c>
      <c r="I67" s="177"/>
      <c r="J67" s="16"/>
      <c r="K67" s="14"/>
      <c r="L67" s="17"/>
      <c r="M67" s="21"/>
      <c r="N67" s="36"/>
      <c r="O67" s="38"/>
      <c r="P67" s="39"/>
      <c r="Q67" s="40"/>
      <c r="R67" s="68"/>
      <c r="S67" s="397"/>
      <c r="T67" s="20"/>
      <c r="U67" s="20"/>
      <c r="V67" s="177"/>
      <c r="W67" s="182">
        <f t="shared" si="23"/>
        <v>0</v>
      </c>
      <c r="X67" s="84"/>
      <c r="Y67" s="84"/>
      <c r="Z67" s="419"/>
      <c r="AA67" s="418"/>
      <c r="AB67" s="18"/>
      <c r="AC67" s="55"/>
      <c r="AD67" s="402"/>
    </row>
    <row r="68" spans="1:32" ht="15" customHeight="1">
      <c r="A68" s="468"/>
      <c r="B68" s="26"/>
      <c r="C68" s="27"/>
      <c r="D68" s="28"/>
      <c r="E68" s="29"/>
      <c r="F68" s="13"/>
      <c r="G68" s="183"/>
      <c r="H68" s="15">
        <f t="shared" si="56"/>
        <v>0</v>
      </c>
      <c r="I68" s="85"/>
      <c r="J68" s="16"/>
      <c r="K68" s="260"/>
      <c r="L68" s="261"/>
      <c r="M68" s="21"/>
      <c r="N68" s="36"/>
      <c r="O68" s="38"/>
      <c r="P68" s="39"/>
      <c r="Q68" s="40"/>
      <c r="R68" s="68"/>
      <c r="S68" s="397"/>
      <c r="T68" s="20"/>
      <c r="U68" s="20"/>
      <c r="V68" s="177"/>
      <c r="W68" s="182">
        <f t="shared" si="23"/>
        <v>0</v>
      </c>
      <c r="X68" s="84"/>
      <c r="Y68" s="84"/>
      <c r="Z68" s="419"/>
      <c r="AA68" s="418"/>
      <c r="AB68" s="18"/>
      <c r="AC68" s="55"/>
      <c r="AD68" s="402"/>
    </row>
    <row r="69" spans="1:32" ht="15" customHeight="1" thickBot="1">
      <c r="A69" s="469"/>
      <c r="B69" s="165"/>
      <c r="C69" s="1" t="s">
        <v>39</v>
      </c>
      <c r="D69" s="410" t="s">
        <v>7</v>
      </c>
      <c r="E69" s="410"/>
      <c r="F69" s="114"/>
      <c r="G69" s="115"/>
      <c r="H69" s="116"/>
      <c r="I69" s="170"/>
      <c r="J69" s="166">
        <f t="shared" ref="J69:O69" si="69">AVERAGE(J59:J68)</f>
        <v>12.6</v>
      </c>
      <c r="K69" s="166">
        <f t="shared" si="69"/>
        <v>1565</v>
      </c>
      <c r="L69" s="171">
        <f t="shared" si="69"/>
        <v>124.39743589743588</v>
      </c>
      <c r="M69" s="166">
        <f t="shared" si="69"/>
        <v>12.6</v>
      </c>
      <c r="N69" s="166">
        <f t="shared" si="69"/>
        <v>1387.268946903067</v>
      </c>
      <c r="O69" s="171">
        <f t="shared" si="69"/>
        <v>110.32165616039694</v>
      </c>
      <c r="P69" s="172">
        <f>M69-J69</f>
        <v>0</v>
      </c>
      <c r="Q69" s="158">
        <f>N69-K69</f>
        <v>-177.73105309693301</v>
      </c>
      <c r="R69" s="121">
        <f>O69/L69</f>
        <v>0.88684831294557998</v>
      </c>
      <c r="S69" s="399"/>
      <c r="T69" s="122"/>
      <c r="U69" s="122"/>
      <c r="V69" s="195"/>
      <c r="W69" s="168"/>
      <c r="X69" s="124"/>
      <c r="Y69" s="124"/>
      <c r="Z69" s="405"/>
      <c r="AA69" s="405"/>
      <c r="AB69" s="119">
        <f>N69-K69</f>
        <v>-177.73105309693301</v>
      </c>
      <c r="AC69" s="187">
        <f>N69/K69</f>
        <v>0.8864338318869438</v>
      </c>
      <c r="AD69" s="404"/>
    </row>
    <row r="70" spans="1:32" ht="15" customHeight="1">
      <c r="A70" s="461" t="s">
        <v>58</v>
      </c>
      <c r="B70" s="199" t="s">
        <v>62</v>
      </c>
      <c r="C70" s="199"/>
      <c r="D70" s="103" t="s">
        <v>158</v>
      </c>
      <c r="E70" s="104"/>
      <c r="F70" s="199">
        <f>VLOOKUP(D70,廠價表!$C$1:$E$39,3,0)</f>
        <v>47.71</v>
      </c>
      <c r="G70" s="188">
        <v>3562</v>
      </c>
      <c r="H70" s="106">
        <f t="shared" ref="H70:H71" si="70">F70*G70</f>
        <v>169943.02</v>
      </c>
      <c r="I70" s="188"/>
      <c r="J70" s="108">
        <f>VLOOKUP(D70,產線配置圖!$A$2:$C$38,2,0)</f>
        <v>15</v>
      </c>
      <c r="K70" s="105">
        <f>VLOOKUP(D70,產線配置圖!$A$2:$C$38,3,0)</f>
        <v>1500</v>
      </c>
      <c r="L70" s="109">
        <f>K70/J70</f>
        <v>100</v>
      </c>
      <c r="M70" s="110">
        <v>13</v>
      </c>
      <c r="N70" s="105">
        <f t="shared" ref="N70:N71" si="71">G70/W70*60</f>
        <v>1295.2727272727268</v>
      </c>
      <c r="O70" s="109">
        <f t="shared" ref="O70:O71" si="72">N70/M70</f>
        <v>99.636363636363598</v>
      </c>
      <c r="P70" s="111">
        <f t="shared" ref="P70:P71" si="73">M70-J70</f>
        <v>-2</v>
      </c>
      <c r="Q70" s="112">
        <f t="shared" ref="Q70:Q71" si="74">O70-L70</f>
        <v>-0.36363636363640239</v>
      </c>
      <c r="R70" s="184">
        <f t="shared" ref="R70" si="75">O70/L70</f>
        <v>0.99636363636363601</v>
      </c>
      <c r="S70" s="396">
        <f>R79</f>
        <v>0.94031243505304951</v>
      </c>
      <c r="T70" s="169">
        <v>0.31597222222222221</v>
      </c>
      <c r="U70" s="169">
        <v>0.43055555555555558</v>
      </c>
      <c r="V70" s="188"/>
      <c r="W70" s="107">
        <f t="shared" ref="W70:W78" si="76">(U70-T70)*24*60</f>
        <v>165.00000000000006</v>
      </c>
      <c r="X70" s="296"/>
      <c r="Y70" s="296"/>
      <c r="Z70" s="465"/>
      <c r="AA70" s="427"/>
      <c r="AB70" s="225">
        <f t="shared" ref="AB70:AB71" si="77">N70-K70</f>
        <v>-204.7272727272732</v>
      </c>
      <c r="AC70" s="226">
        <f t="shared" ref="AC70:AC71" si="78">N70/K70</f>
        <v>0.86351515151515124</v>
      </c>
      <c r="AD70" s="401">
        <f>AC79</f>
        <v>0.85838809949086348</v>
      </c>
    </row>
    <row r="71" spans="1:32" ht="15" customHeight="1">
      <c r="A71" s="462"/>
      <c r="B71" s="56" t="str">
        <f>VLOOKUP(D71,廠價表!$C$1:$E$39,2,0)</f>
        <v>義大利麵</v>
      </c>
      <c r="C71" s="10"/>
      <c r="D71" s="11" t="s">
        <v>158</v>
      </c>
      <c r="E71" s="86"/>
      <c r="F71" s="56">
        <f>VLOOKUP(D71,廠價表!$C$1:$E$39,3,0)</f>
        <v>47.71</v>
      </c>
      <c r="G71" s="66">
        <v>2163</v>
      </c>
      <c r="H71" s="76">
        <f t="shared" si="70"/>
        <v>103196.73</v>
      </c>
      <c r="I71" s="193"/>
      <c r="J71" s="16">
        <f>VLOOKUP(D71,產線配置圖!$A$2:$C$38,2,0)</f>
        <v>15</v>
      </c>
      <c r="K71" s="14">
        <f>VLOOKUP(D71,產線配置圖!$A$2:$C$38,3,0)</f>
        <v>1500</v>
      </c>
      <c r="L71" s="17">
        <f t="shared" ref="L71" si="79">K71/J71</f>
        <v>100</v>
      </c>
      <c r="M71" s="180">
        <v>13</v>
      </c>
      <c r="N71" s="14">
        <f t="shared" si="71"/>
        <v>1235.9999999999986</v>
      </c>
      <c r="O71" s="17">
        <f t="shared" si="72"/>
        <v>95.076923076922967</v>
      </c>
      <c r="P71" s="18">
        <f t="shared" si="73"/>
        <v>-2</v>
      </c>
      <c r="Q71" s="19">
        <f t="shared" si="74"/>
        <v>-4.9230769230770335</v>
      </c>
      <c r="R71" s="185">
        <f>O71/L71</f>
        <v>0.9507692307692297</v>
      </c>
      <c r="S71" s="397"/>
      <c r="T71" s="20">
        <v>0.51388888888888884</v>
      </c>
      <c r="U71" s="20">
        <v>0.58680555555555558</v>
      </c>
      <c r="V71" s="177">
        <f t="shared" ref="V71" si="80">(T71-U70)*24*60</f>
        <v>119.99999999999989</v>
      </c>
      <c r="W71" s="182">
        <f t="shared" si="76"/>
        <v>105.00000000000011</v>
      </c>
      <c r="X71" s="298">
        <v>0.45833333333333331</v>
      </c>
      <c r="Y71" s="299">
        <v>0.5</v>
      </c>
      <c r="Z71" s="476"/>
      <c r="AA71" s="477"/>
      <c r="AB71" s="39">
        <f t="shared" si="77"/>
        <v>-264.00000000000136</v>
      </c>
      <c r="AC71" s="190">
        <f t="shared" si="78"/>
        <v>0.82399999999999907</v>
      </c>
      <c r="AD71" s="447"/>
    </row>
    <row r="72" spans="1:32" ht="15" customHeight="1">
      <c r="A72" s="462"/>
      <c r="B72" s="56"/>
      <c r="C72" s="10"/>
      <c r="D72" s="11"/>
      <c r="E72" s="86"/>
      <c r="F72" s="56"/>
      <c r="G72" s="66"/>
      <c r="H72" s="76"/>
      <c r="I72" s="193"/>
      <c r="J72" s="16"/>
      <c r="K72" s="14"/>
      <c r="L72" s="17"/>
      <c r="M72" s="180"/>
      <c r="N72" s="14"/>
      <c r="O72" s="17"/>
      <c r="P72" s="18"/>
      <c r="Q72" s="19"/>
      <c r="R72" s="185"/>
      <c r="S72" s="397"/>
      <c r="T72" s="20"/>
      <c r="U72" s="20"/>
      <c r="V72" s="177"/>
      <c r="W72" s="182">
        <f t="shared" si="76"/>
        <v>0</v>
      </c>
      <c r="X72" s="297"/>
      <c r="Y72" s="297"/>
      <c r="Z72" s="405"/>
      <c r="AA72" s="419"/>
      <c r="AB72" s="39"/>
      <c r="AC72" s="190"/>
      <c r="AD72" s="447"/>
    </row>
    <row r="73" spans="1:32" ht="15" customHeight="1">
      <c r="A73" s="462"/>
      <c r="B73" s="56"/>
      <c r="C73" s="23"/>
      <c r="D73" s="11"/>
      <c r="E73" s="12"/>
      <c r="F73" s="56"/>
      <c r="G73" s="66"/>
      <c r="H73" s="76"/>
      <c r="I73" s="193"/>
      <c r="J73" s="16"/>
      <c r="K73" s="14"/>
      <c r="L73" s="17"/>
      <c r="M73" s="180"/>
      <c r="N73" s="14"/>
      <c r="O73" s="17"/>
      <c r="P73" s="18"/>
      <c r="Q73" s="19"/>
      <c r="R73" s="185"/>
      <c r="S73" s="397"/>
      <c r="T73" s="20"/>
      <c r="U73" s="20"/>
      <c r="V73" s="177"/>
      <c r="W73" s="182">
        <f t="shared" si="76"/>
        <v>0</v>
      </c>
      <c r="X73" s="22"/>
      <c r="Y73" s="22"/>
      <c r="Z73" s="405"/>
      <c r="AA73" s="419"/>
      <c r="AB73" s="39"/>
      <c r="AC73" s="190"/>
      <c r="AD73" s="447"/>
    </row>
    <row r="74" spans="1:32" ht="15" customHeight="1">
      <c r="A74" s="462"/>
      <c r="B74" s="56"/>
      <c r="C74" s="249"/>
      <c r="D74" s="250"/>
      <c r="E74" s="251"/>
      <c r="F74" s="56"/>
      <c r="G74" s="238"/>
      <c r="H74" s="76">
        <f t="shared" ref="H74:H78" si="81">F74*G74</f>
        <v>0</v>
      </c>
      <c r="I74" s="81"/>
      <c r="J74" s="234"/>
      <c r="K74" s="36"/>
      <c r="L74" s="235"/>
      <c r="M74" s="21"/>
      <c r="N74" s="36"/>
      <c r="O74" s="38"/>
      <c r="P74" s="39"/>
      <c r="Q74" s="40"/>
      <c r="R74" s="190"/>
      <c r="S74" s="397"/>
      <c r="T74" s="20"/>
      <c r="U74" s="20"/>
      <c r="V74" s="177"/>
      <c r="W74" s="182">
        <f t="shared" si="76"/>
        <v>0</v>
      </c>
      <c r="X74" s="22"/>
      <c r="Y74" s="22"/>
      <c r="Z74" s="405"/>
      <c r="AA74" s="419"/>
      <c r="AB74" s="39"/>
      <c r="AC74" s="190"/>
      <c r="AD74" s="447"/>
    </row>
    <row r="75" spans="1:32" ht="15" customHeight="1">
      <c r="A75" s="462"/>
      <c r="B75" s="177"/>
      <c r="C75" s="183"/>
      <c r="D75" s="11"/>
      <c r="E75" s="12"/>
      <c r="F75" s="13"/>
      <c r="G75" s="177"/>
      <c r="H75" s="15">
        <f t="shared" si="81"/>
        <v>0</v>
      </c>
      <c r="I75" s="81"/>
      <c r="J75" s="87"/>
      <c r="K75" s="82"/>
      <c r="L75" s="83"/>
      <c r="M75" s="181"/>
      <c r="N75" s="82"/>
      <c r="O75" s="83"/>
      <c r="P75" s="73"/>
      <c r="Q75" s="74"/>
      <c r="R75" s="192"/>
      <c r="S75" s="397"/>
      <c r="T75" s="20"/>
      <c r="U75" s="20"/>
      <c r="V75" s="177"/>
      <c r="W75" s="88">
        <f t="shared" si="76"/>
        <v>0</v>
      </c>
      <c r="X75" s="89"/>
      <c r="Y75" s="89"/>
      <c r="Z75" s="406"/>
      <c r="AA75" s="406"/>
      <c r="AB75" s="306"/>
      <c r="AC75" s="307"/>
      <c r="AD75" s="402"/>
    </row>
    <row r="76" spans="1:32" ht="15" customHeight="1">
      <c r="A76" s="462"/>
      <c r="B76" s="26"/>
      <c r="C76" s="27"/>
      <c r="D76" s="28"/>
      <c r="E76" s="29"/>
      <c r="F76" s="13"/>
      <c r="G76" s="177"/>
      <c r="H76" s="15">
        <f t="shared" si="81"/>
        <v>0</v>
      </c>
      <c r="I76" s="81"/>
      <c r="J76" s="87"/>
      <c r="K76" s="82"/>
      <c r="L76" s="83"/>
      <c r="M76" s="181"/>
      <c r="N76" s="82"/>
      <c r="O76" s="83"/>
      <c r="P76" s="73"/>
      <c r="Q76" s="74"/>
      <c r="R76" s="192"/>
      <c r="S76" s="398"/>
      <c r="T76" s="20"/>
      <c r="U76" s="20"/>
      <c r="V76" s="177"/>
      <c r="W76" s="90">
        <f t="shared" si="76"/>
        <v>0</v>
      </c>
      <c r="X76" s="78"/>
      <c r="Y76" s="78"/>
      <c r="Z76" s="445"/>
      <c r="AA76" s="445"/>
      <c r="AB76" s="51"/>
      <c r="AC76" s="52"/>
      <c r="AD76" s="403"/>
    </row>
    <row r="77" spans="1:32" ht="15" customHeight="1">
      <c r="A77" s="462"/>
      <c r="B77" s="26"/>
      <c r="C77" s="27"/>
      <c r="D77" s="28"/>
      <c r="E77" s="29"/>
      <c r="F77" s="13"/>
      <c r="G77" s="177"/>
      <c r="H77" s="15">
        <f t="shared" si="81"/>
        <v>0</v>
      </c>
      <c r="I77" s="81"/>
      <c r="J77" s="87"/>
      <c r="K77" s="82"/>
      <c r="L77" s="83"/>
      <c r="M77" s="181"/>
      <c r="N77" s="82"/>
      <c r="O77" s="83"/>
      <c r="P77" s="73"/>
      <c r="Q77" s="74"/>
      <c r="R77" s="192"/>
      <c r="S77" s="398"/>
      <c r="T77" s="20"/>
      <c r="U77" s="20"/>
      <c r="V77" s="177"/>
      <c r="W77" s="182">
        <f t="shared" si="76"/>
        <v>0</v>
      </c>
      <c r="X77" s="84"/>
      <c r="Y77" s="84"/>
      <c r="Z77" s="405"/>
      <c r="AA77" s="405"/>
      <c r="AB77" s="18"/>
      <c r="AC77" s="55"/>
      <c r="AD77" s="403"/>
    </row>
    <row r="78" spans="1:32" ht="15" customHeight="1">
      <c r="A78" s="462"/>
      <c r="B78" s="26"/>
      <c r="C78" s="27"/>
      <c r="D78" s="28"/>
      <c r="E78" s="29"/>
      <c r="F78" s="13"/>
      <c r="G78" s="177"/>
      <c r="H78" s="15">
        <f t="shared" si="81"/>
        <v>0</v>
      </c>
      <c r="I78" s="85"/>
      <c r="J78" s="37"/>
      <c r="K78" s="36"/>
      <c r="L78" s="83"/>
      <c r="M78" s="21"/>
      <c r="N78" s="36"/>
      <c r="O78" s="38"/>
      <c r="P78" s="39"/>
      <c r="Q78" s="40"/>
      <c r="R78" s="190"/>
      <c r="S78" s="464"/>
      <c r="T78" s="32"/>
      <c r="U78" s="32"/>
      <c r="V78" s="178"/>
      <c r="W78" s="182">
        <f t="shared" si="76"/>
        <v>0</v>
      </c>
      <c r="X78" s="91"/>
      <c r="Y78" s="91"/>
      <c r="Z78" s="405"/>
      <c r="AA78" s="405"/>
      <c r="AB78" s="34"/>
      <c r="AC78" s="57"/>
      <c r="AD78" s="403"/>
    </row>
    <row r="79" spans="1:32" ht="15" customHeight="1" thickBot="1">
      <c r="A79" s="463"/>
      <c r="B79" s="165"/>
      <c r="C79" s="1" t="s">
        <v>40</v>
      </c>
      <c r="D79" s="410" t="s">
        <v>7</v>
      </c>
      <c r="E79" s="410"/>
      <c r="F79" s="114"/>
      <c r="G79" s="115"/>
      <c r="H79" s="173"/>
      <c r="I79" s="171"/>
      <c r="J79" s="166">
        <f t="shared" ref="J79:O79" si="82">AVERAGE(J69:J78)</f>
        <v>14.200000000000001</v>
      </c>
      <c r="K79" s="166">
        <f t="shared" si="82"/>
        <v>1521.6666666666667</v>
      </c>
      <c r="L79" s="171">
        <f t="shared" si="82"/>
        <v>108.13247863247864</v>
      </c>
      <c r="M79" s="166">
        <f t="shared" si="82"/>
        <v>12.866666666666667</v>
      </c>
      <c r="N79" s="166">
        <f t="shared" si="82"/>
        <v>1306.1805580585974</v>
      </c>
      <c r="O79" s="171">
        <f t="shared" si="82"/>
        <v>101.67831429122784</v>
      </c>
      <c r="P79" s="172">
        <f>M79-J79</f>
        <v>-1.3333333333333339</v>
      </c>
      <c r="Q79" s="158">
        <f>N79-K79</f>
        <v>-215.48610860806934</v>
      </c>
      <c r="R79" s="159">
        <f>O79/L79</f>
        <v>0.94031243505304951</v>
      </c>
      <c r="S79" s="399"/>
      <c r="T79" s="122"/>
      <c r="U79" s="122"/>
      <c r="V79" s="195"/>
      <c r="W79" s="168"/>
      <c r="X79" s="124"/>
      <c r="Y79" s="124"/>
      <c r="Z79" s="391"/>
      <c r="AA79" s="391"/>
      <c r="AB79" s="119">
        <f>N79-K79</f>
        <v>-215.48610860806934</v>
      </c>
      <c r="AC79" s="187">
        <f>N79/K79</f>
        <v>0.85838809949086348</v>
      </c>
      <c r="AD79" s="404"/>
    </row>
    <row r="80" spans="1:32">
      <c r="AF80" s="93" t="s">
        <v>41</v>
      </c>
    </row>
    <row r="81" spans="4:32">
      <c r="AF81" s="93" t="s">
        <v>42</v>
      </c>
    </row>
    <row r="82" spans="4:32">
      <c r="AF82" s="93" t="s">
        <v>43</v>
      </c>
    </row>
    <row r="83" spans="4:32">
      <c r="D83" s="220"/>
      <c r="W83" s="6"/>
      <c r="AF83" s="93" t="s">
        <v>44</v>
      </c>
    </row>
    <row r="84" spans="4:32">
      <c r="D84" s="224"/>
      <c r="W84" s="6"/>
      <c r="AF84" s="93" t="s">
        <v>45</v>
      </c>
    </row>
    <row r="85" spans="4:32">
      <c r="D85" s="224"/>
      <c r="W85" s="6"/>
      <c r="AF85" s="93" t="s">
        <v>46</v>
      </c>
    </row>
    <row r="86" spans="4:32">
      <c r="D86" s="155"/>
      <c r="W86" s="6"/>
      <c r="AF86" s="93" t="s">
        <v>47</v>
      </c>
    </row>
    <row r="87" spans="4:32">
      <c r="W87" s="6"/>
      <c r="AF87" s="93" t="s">
        <v>48</v>
      </c>
    </row>
    <row r="88" spans="4:32">
      <c r="W88" s="6"/>
      <c r="AF88" s="93" t="s">
        <v>49</v>
      </c>
    </row>
    <row r="89" spans="4:32">
      <c r="W89" s="6"/>
      <c r="AF89" s="93" t="s">
        <v>50</v>
      </c>
    </row>
    <row r="90" spans="4:32">
      <c r="W90" s="6"/>
      <c r="AF90" s="93" t="s">
        <v>51</v>
      </c>
    </row>
    <row r="91" spans="4:32">
      <c r="W91" s="6"/>
      <c r="AF91" s="93" t="s">
        <v>52</v>
      </c>
    </row>
    <row r="92" spans="4:32">
      <c r="W92" s="6"/>
      <c r="AF92" s="93" t="s">
        <v>53</v>
      </c>
    </row>
  </sheetData>
  <autoFilter ref="D1:D92" xr:uid="{EF5AD393-5A39-4C0E-A7B0-465235F2AB14}"/>
  <mergeCells count="135">
    <mergeCell ref="P1:S2"/>
    <mergeCell ref="T1:Y2"/>
    <mergeCell ref="Z1:AA2"/>
    <mergeCell ref="AB1:AD2"/>
    <mergeCell ref="H3:H4"/>
    <mergeCell ref="I3:I4"/>
    <mergeCell ref="J3:J4"/>
    <mergeCell ref="K3:K4"/>
    <mergeCell ref="L3:L4"/>
    <mergeCell ref="M3:M4"/>
    <mergeCell ref="AC3:AC4"/>
    <mergeCell ref="AD3:AD4"/>
    <mergeCell ref="P3:P4"/>
    <mergeCell ref="Q3:Q4"/>
    <mergeCell ref="R3:R4"/>
    <mergeCell ref="A2:B2"/>
    <mergeCell ref="A3:A4"/>
    <mergeCell ref="B3:B4"/>
    <mergeCell ref="D3:E4"/>
    <mergeCell ref="F3:F4"/>
    <mergeCell ref="G3:G4"/>
    <mergeCell ref="J1:L2"/>
    <mergeCell ref="M1:O2"/>
    <mergeCell ref="D15:E15"/>
    <mergeCell ref="A5:A15"/>
    <mergeCell ref="N3:N4"/>
    <mergeCell ref="O3:O4"/>
    <mergeCell ref="S5:S15"/>
    <mergeCell ref="Z5:AA5"/>
    <mergeCell ref="AD5:AD15"/>
    <mergeCell ref="Z6:AA6"/>
    <mergeCell ref="Z7:AA7"/>
    <mergeCell ref="Z8:AA8"/>
    <mergeCell ref="Z9:AA9"/>
    <mergeCell ref="T3:U3"/>
    <mergeCell ref="V3:V4"/>
    <mergeCell ref="W3:W4"/>
    <mergeCell ref="X3:Y3"/>
    <mergeCell ref="Z3:AA4"/>
    <mergeCell ref="AB3:AB4"/>
    <mergeCell ref="S3:S4"/>
    <mergeCell ref="AD16:AD26"/>
    <mergeCell ref="Z17:AA17"/>
    <mergeCell ref="Z18:AA18"/>
    <mergeCell ref="Z19:AA19"/>
    <mergeCell ref="Z20:AA20"/>
    <mergeCell ref="Z21:AA21"/>
    <mergeCell ref="Z22:AA22"/>
    <mergeCell ref="Z10:AA10"/>
    <mergeCell ref="Z11:AA11"/>
    <mergeCell ref="Z12:AA12"/>
    <mergeCell ref="Z13:AA13"/>
    <mergeCell ref="Z14:AA14"/>
    <mergeCell ref="Z23:AA23"/>
    <mergeCell ref="Z24:AA24"/>
    <mergeCell ref="Z25:AA25"/>
    <mergeCell ref="Z15:AA15"/>
    <mergeCell ref="D26:E26"/>
    <mergeCell ref="Z26:AA26"/>
    <mergeCell ref="A27:A37"/>
    <mergeCell ref="S27:S37"/>
    <mergeCell ref="Z27:AA27"/>
    <mergeCell ref="D37:E37"/>
    <mergeCell ref="Z37:AA37"/>
    <mergeCell ref="A16:A26"/>
    <mergeCell ref="S16:S26"/>
    <mergeCell ref="Z16:AA16"/>
    <mergeCell ref="AD38:AD48"/>
    <mergeCell ref="Z39:AA39"/>
    <mergeCell ref="Z40:AA40"/>
    <mergeCell ref="Z41:AA41"/>
    <mergeCell ref="Z42:AA42"/>
    <mergeCell ref="Z43:AA43"/>
    <mergeCell ref="Z44:AA44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Z45:AA45"/>
    <mergeCell ref="Z46:AA46"/>
    <mergeCell ref="Z47:AA47"/>
    <mergeCell ref="D48:E48"/>
    <mergeCell ref="Z48:AA48"/>
    <mergeCell ref="A49:A58"/>
    <mergeCell ref="S49:S58"/>
    <mergeCell ref="Z49:AA49"/>
    <mergeCell ref="D58:E58"/>
    <mergeCell ref="A38:A48"/>
    <mergeCell ref="S38:S48"/>
    <mergeCell ref="Z38:AA38"/>
    <mergeCell ref="AD59:AD69"/>
    <mergeCell ref="Z60:AA60"/>
    <mergeCell ref="Z61:AA61"/>
    <mergeCell ref="Z62:AA62"/>
    <mergeCell ref="Z63:AA63"/>
    <mergeCell ref="Z64:AA64"/>
    <mergeCell ref="Z65:AA65"/>
    <mergeCell ref="AD49:AD58"/>
    <mergeCell ref="Z50:AA50"/>
    <mergeCell ref="Z51:AA51"/>
    <mergeCell ref="Z52:AA52"/>
    <mergeCell ref="Z53:AA53"/>
    <mergeCell ref="Z54:AA54"/>
    <mergeCell ref="Z55:AA55"/>
    <mergeCell ref="Z56:AA56"/>
    <mergeCell ref="Z57:AA57"/>
    <mergeCell ref="Z58:AA58"/>
    <mergeCell ref="Z66:AA66"/>
    <mergeCell ref="Z67:AA67"/>
    <mergeCell ref="Z68:AA68"/>
    <mergeCell ref="D69:E69"/>
    <mergeCell ref="Z69:AA69"/>
    <mergeCell ref="A70:A79"/>
    <mergeCell ref="S70:S79"/>
    <mergeCell ref="Z70:AA70"/>
    <mergeCell ref="D79:E79"/>
    <mergeCell ref="A59:A69"/>
    <mergeCell ref="S59:S69"/>
    <mergeCell ref="Z59:AA59"/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</mergeCells>
  <phoneticPr fontId="2" type="noConversion"/>
  <conditionalFormatting sqref="P5:P79">
    <cfRule type="cellIs" dxfId="238" priority="1" operator="greaterThan">
      <formula>0</formula>
    </cfRule>
  </conditionalFormatting>
  <conditionalFormatting sqref="Q5:Q79 AB5:AB79">
    <cfRule type="cellIs" dxfId="237" priority="4" operator="lessThan">
      <formula>0</formula>
    </cfRule>
  </conditionalFormatting>
  <conditionalFormatting sqref="R5:R79 AC5:AC79">
    <cfRule type="cellIs" dxfId="236" priority="2" operator="greaterThan">
      <formula>1</formula>
    </cfRule>
    <cfRule type="cellIs" dxfId="235" priority="3" operator="lessThan">
      <formula>0.8</formula>
    </cfRule>
  </conditionalFormatting>
  <conditionalFormatting sqref="S5:S10 S37:S62 AD59:AD62 S69:S76 AD69:AD76">
    <cfRule type="cellIs" dxfId="234" priority="7" operator="lessThan">
      <formula>0.8</formula>
    </cfRule>
  </conditionalFormatting>
  <conditionalFormatting sqref="S19:S25 AD19:AD25">
    <cfRule type="cellIs" dxfId="233" priority="6" operator="lessThan">
      <formula>0.8</formula>
    </cfRule>
  </conditionalFormatting>
  <conditionalFormatting sqref="S79">
    <cfRule type="cellIs" dxfId="232" priority="5" operator="lessThan">
      <formula>0.8</formula>
    </cfRule>
  </conditionalFormatting>
  <conditionalFormatting sqref="AD5:AD8 S15:S16 AD15:AD16 AD49 AD79">
    <cfRule type="cellIs" dxfId="231" priority="9" operator="lessThan">
      <formula>0.8</formula>
    </cfRule>
  </conditionalFormatting>
  <conditionalFormatting sqref="AD27 S27:S28">
    <cfRule type="cellIs" dxfId="23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475BF65-49A7-4E31-95B4-2D627060D580}">
          <x14:formula1>
            <xm:f>廠價表!$C$2:$C$37</xm:f>
          </x14:formula1>
          <xm:sqref>D1:D1048576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58506-AA11-4DF5-9534-5FEF037870BF}">
  <sheetPr>
    <pageSetUpPr fitToPage="1"/>
  </sheetPr>
  <dimension ref="B1:O22"/>
  <sheetViews>
    <sheetView zoomScale="70" zoomScaleNormal="70" workbookViewId="0">
      <selection activeCell="U71" sqref="U71"/>
    </sheetView>
  </sheetViews>
  <sheetFormatPr defaultColWidth="8.125" defaultRowHeight="15.75"/>
  <cols>
    <col min="1" max="1" width="8.125" style="203"/>
    <col min="2" max="2" width="7.125" style="203" customWidth="1"/>
    <col min="3" max="3" width="7.125" style="218" customWidth="1"/>
    <col min="4" max="17" width="14.125" style="203" customWidth="1"/>
    <col min="18" max="21" width="9.625" style="203" customWidth="1"/>
    <col min="22" max="22" width="11.125" style="203" customWidth="1"/>
    <col min="23" max="23" width="11.5" style="203" customWidth="1"/>
    <col min="24" max="16384" width="8.125" style="203"/>
  </cols>
  <sheetData>
    <row r="1" spans="2:15" ht="27.75" customHeight="1">
      <c r="B1" s="345" t="s">
        <v>73</v>
      </c>
      <c r="C1" s="345"/>
      <c r="D1" s="345"/>
      <c r="E1" s="345"/>
      <c r="F1" s="345"/>
      <c r="G1" s="345"/>
      <c r="H1" s="345"/>
      <c r="I1" s="345"/>
      <c r="J1" s="345"/>
      <c r="K1" s="345"/>
      <c r="L1" s="202"/>
      <c r="M1" s="202"/>
    </row>
    <row r="2" spans="2:15" ht="27.75" customHeight="1"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202"/>
      <c r="M2" s="202"/>
    </row>
    <row r="3" spans="2:15" ht="46.5" customHeight="1">
      <c r="B3" s="342" t="s">
        <v>74</v>
      </c>
      <c r="C3" s="342"/>
      <c r="D3" s="346">
        <v>45969</v>
      </c>
      <c r="E3" s="346"/>
      <c r="F3" s="204" t="s">
        <v>75</v>
      </c>
      <c r="G3" s="347">
        <f>'1108'!E1</f>
        <v>47070</v>
      </c>
      <c r="H3" s="347"/>
      <c r="I3" s="204" t="s">
        <v>76</v>
      </c>
      <c r="J3" s="348">
        <f>'1108'!G1</f>
        <v>2286171.65</v>
      </c>
      <c r="K3" s="348"/>
      <c r="L3" s="205"/>
    </row>
    <row r="4" spans="2:15" ht="24" customHeight="1">
      <c r="B4" s="342" t="s">
        <v>77</v>
      </c>
      <c r="C4" s="342"/>
      <c r="D4" s="343">
        <v>3</v>
      </c>
      <c r="E4" s="343"/>
      <c r="F4" s="344" t="s">
        <v>78</v>
      </c>
      <c r="G4" s="344"/>
      <c r="H4" s="344" t="s">
        <v>79</v>
      </c>
      <c r="I4" s="344"/>
      <c r="J4" s="343" t="s">
        <v>80</v>
      </c>
      <c r="K4" s="344"/>
      <c r="L4" s="206"/>
    </row>
    <row r="5" spans="2:15" ht="24" customHeight="1">
      <c r="B5" s="342" t="s">
        <v>81</v>
      </c>
      <c r="C5" s="342"/>
      <c r="D5" s="343" t="s">
        <v>82</v>
      </c>
      <c r="E5" s="343"/>
      <c r="F5" s="343" t="s">
        <v>83</v>
      </c>
      <c r="G5" s="343"/>
      <c r="H5" s="369" t="s">
        <v>62</v>
      </c>
      <c r="I5" s="369"/>
      <c r="J5" s="341" t="s">
        <v>84</v>
      </c>
      <c r="K5" s="341"/>
      <c r="L5" s="207"/>
    </row>
    <row r="6" spans="2:15" ht="39.6" customHeight="1">
      <c r="B6" s="342"/>
      <c r="C6" s="342"/>
      <c r="D6" s="342" t="s">
        <v>85</v>
      </c>
      <c r="E6" s="342"/>
      <c r="F6" s="356">
        <f>AVERAGE(D13:J13)</f>
        <v>112.805203111384</v>
      </c>
      <c r="G6" s="356"/>
      <c r="H6" s="349">
        <f>AVERAGE(D13:H13)</f>
        <v>110.99608777474103</v>
      </c>
      <c r="I6" s="349"/>
      <c r="J6" s="349">
        <f>AVERAGE(I13:J13)</f>
        <v>117.32799145299145</v>
      </c>
      <c r="K6" s="349"/>
      <c r="L6" s="207"/>
    </row>
    <row r="7" spans="2:15" s="208" customFormat="1" ht="39.6" customHeight="1">
      <c r="B7" s="342"/>
      <c r="C7" s="342"/>
      <c r="D7" s="350" t="s">
        <v>86</v>
      </c>
      <c r="E7" s="350"/>
      <c r="F7" s="351">
        <f>AVERAGE(D14:J14)</f>
        <v>101.04301590060062</v>
      </c>
      <c r="G7" s="351"/>
      <c r="H7" s="352">
        <f>AVERAGE(D14:H14)</f>
        <v>101.03577591092042</v>
      </c>
      <c r="I7" s="352"/>
      <c r="J7" s="352">
        <f>AVERAGE(I14:J14)</f>
        <v>101.0611158748011</v>
      </c>
      <c r="K7" s="352"/>
    </row>
    <row r="8" spans="2:15" s="208" customFormat="1" ht="39.6" customHeight="1">
      <c r="B8" s="342"/>
      <c r="C8" s="342"/>
      <c r="D8" s="350" t="s">
        <v>87</v>
      </c>
      <c r="E8" s="350"/>
      <c r="F8" s="353">
        <f>AVERAGE(D15:J15)</f>
        <v>0.89361020533756264</v>
      </c>
      <c r="G8" s="353"/>
      <c r="H8" s="353">
        <f>AVERAGE(D15:H15)</f>
        <v>0.90684675459679942</v>
      </c>
      <c r="I8" s="353"/>
      <c r="J8" s="353">
        <f>AVERAGE(I15:J15)</f>
        <v>0.86051883218947078</v>
      </c>
      <c r="K8" s="353"/>
      <c r="L8" s="209" t="s">
        <v>88</v>
      </c>
    </row>
    <row r="9" spans="2:15" ht="25.5" customHeight="1">
      <c r="B9" s="207"/>
      <c r="C9" s="207"/>
      <c r="D9" s="207"/>
      <c r="E9" s="207"/>
      <c r="F9" s="207"/>
      <c r="G9" s="207"/>
      <c r="H9" s="210"/>
      <c r="I9" s="211"/>
      <c r="J9" s="211"/>
      <c r="K9" s="211"/>
      <c r="L9" s="211"/>
      <c r="M9" s="211"/>
      <c r="N9" s="211"/>
      <c r="O9" s="207"/>
    </row>
    <row r="10" spans="2:15" ht="30" customHeight="1">
      <c r="B10" s="354" t="s">
        <v>0</v>
      </c>
      <c r="C10" s="355"/>
      <c r="D10" s="357" t="s">
        <v>89</v>
      </c>
      <c r="E10" s="358"/>
      <c r="F10" s="358"/>
      <c r="G10" s="358"/>
      <c r="H10" s="358"/>
      <c r="I10" s="358"/>
      <c r="J10" s="359"/>
    </row>
    <row r="11" spans="2:15" ht="17.25" customHeight="1">
      <c r="B11" s="360" t="s">
        <v>90</v>
      </c>
      <c r="C11" s="361"/>
      <c r="D11" s="212">
        <v>1</v>
      </c>
      <c r="E11" s="212">
        <v>2</v>
      </c>
      <c r="F11" s="212">
        <v>3</v>
      </c>
      <c r="G11" s="212">
        <v>4</v>
      </c>
      <c r="H11" s="212">
        <v>5</v>
      </c>
      <c r="I11" s="212">
        <v>6</v>
      </c>
      <c r="J11" s="212">
        <v>7</v>
      </c>
    </row>
    <row r="12" spans="2:15" ht="33.950000000000003" customHeight="1">
      <c r="B12" s="362"/>
      <c r="C12" s="363"/>
      <c r="D12" s="213" t="s">
        <v>91</v>
      </c>
      <c r="E12" s="213" t="s">
        <v>92</v>
      </c>
      <c r="F12" s="213" t="s">
        <v>93</v>
      </c>
      <c r="G12" s="213" t="s">
        <v>94</v>
      </c>
      <c r="H12" s="213" t="s">
        <v>95</v>
      </c>
      <c r="I12" s="213" t="s">
        <v>96</v>
      </c>
      <c r="J12" s="213" t="s">
        <v>97</v>
      </c>
    </row>
    <row r="13" spans="2:15" ht="39.950000000000003" customHeight="1">
      <c r="B13" s="364" t="s">
        <v>1</v>
      </c>
      <c r="C13" s="214" t="s">
        <v>98</v>
      </c>
      <c r="D13" s="215">
        <f>VALUE('1108'!L15)</f>
        <v>135.3373015873016</v>
      </c>
      <c r="E13" s="215">
        <f>VALUE('1108'!L26)</f>
        <v>150.22664835164835</v>
      </c>
      <c r="F13" s="215">
        <f>VALUE('1108'!L37)</f>
        <v>89.667755991285404</v>
      </c>
      <c r="G13" s="215">
        <f>VALUE('1108'!L48)</f>
        <v>93.033333333333331</v>
      </c>
      <c r="H13" s="215">
        <f>VALUE('1108'!L58)</f>
        <v>86.715399610136458</v>
      </c>
      <c r="I13" s="215">
        <f>VALUE('1108'!L69)</f>
        <v>127.90865384615384</v>
      </c>
      <c r="J13" s="215">
        <f>VALUE('1108'!L79)</f>
        <v>106.74732905982906</v>
      </c>
    </row>
    <row r="14" spans="2:15" ht="39.950000000000003" customHeight="1">
      <c r="B14" s="365"/>
      <c r="C14" s="214" t="s">
        <v>99</v>
      </c>
      <c r="D14" s="215">
        <f>VALUE('1108'!O15)</f>
        <v>121.41044726301732</v>
      </c>
      <c r="E14" s="215">
        <f>VALUE('1108'!O26)</f>
        <v>142.86484947763768</v>
      </c>
      <c r="F14" s="215">
        <f>VALUE('1108'!O37)</f>
        <v>81.357822286258511</v>
      </c>
      <c r="G14" s="215">
        <f>VALUE('1108'!O48)</f>
        <v>77.968253968253919</v>
      </c>
      <c r="H14" s="215">
        <f>VALUE('1108'!O58)</f>
        <v>81.577506559434667</v>
      </c>
      <c r="I14" s="215">
        <f>VALUE('1108'!O69)</f>
        <v>111.25456973980349</v>
      </c>
      <c r="J14" s="215">
        <f>VALUE('1108'!O79)</f>
        <v>90.867662009798721</v>
      </c>
    </row>
    <row r="15" spans="2:15" ht="39.950000000000003" customHeight="1">
      <c r="B15" s="366"/>
      <c r="C15" s="212" t="s">
        <v>100</v>
      </c>
      <c r="D15" s="233">
        <f>D14/D13</f>
        <v>0.89709522680781006</v>
      </c>
      <c r="E15" s="233">
        <f t="shared" ref="E15:J15" si="0">E14/E13</f>
        <v>0.95099538627275848</v>
      </c>
      <c r="F15" s="233">
        <f t="shared" si="0"/>
        <v>0.90732528529168821</v>
      </c>
      <c r="G15" s="233">
        <f t="shared" si="0"/>
        <v>0.83806793946528757</v>
      </c>
      <c r="H15" s="233">
        <f t="shared" si="0"/>
        <v>0.94074993514645344</v>
      </c>
      <c r="I15" s="233">
        <f t="shared" si="0"/>
        <v>0.86979704964777771</v>
      </c>
      <c r="J15" s="233">
        <f t="shared" si="0"/>
        <v>0.85124061473116386</v>
      </c>
    </row>
    <row r="16" spans="2:15" ht="17.25" customHeight="1">
      <c r="B16" s="367" t="s">
        <v>101</v>
      </c>
      <c r="C16" s="212" t="s">
        <v>102</v>
      </c>
      <c r="D16" s="95">
        <f>'1108'!T5</f>
        <v>0.2902777777777778</v>
      </c>
      <c r="E16" s="95">
        <f>'1108'!T16</f>
        <v>0.28958333333333336</v>
      </c>
      <c r="F16" s="95">
        <f>'1108'!T27</f>
        <v>0.28958333333333336</v>
      </c>
      <c r="G16" s="95">
        <f>'1108'!T38</f>
        <v>0.33124999999999999</v>
      </c>
      <c r="H16" s="95">
        <f>'1108'!T49</f>
        <v>0.2902777777777778</v>
      </c>
      <c r="I16" s="95">
        <f>'1108'!T59</f>
        <v>0.29305555555555557</v>
      </c>
      <c r="J16" s="272">
        <f>'1108'!T70</f>
        <v>0.33333333333333331</v>
      </c>
    </row>
    <row r="17" spans="2:10" ht="17.25" customHeight="1">
      <c r="B17" s="368"/>
      <c r="C17" s="212" t="s">
        <v>103</v>
      </c>
      <c r="D17" s="20">
        <v>0.5625</v>
      </c>
      <c r="E17" s="41">
        <v>0.59652777777777777</v>
      </c>
      <c r="F17" s="41">
        <v>0.60763888888888884</v>
      </c>
      <c r="G17" s="59">
        <v>0.47986111111111113</v>
      </c>
      <c r="H17" s="44">
        <v>0.57986111111111116</v>
      </c>
      <c r="I17" s="20">
        <v>0.57847222222222228</v>
      </c>
      <c r="J17" s="20">
        <v>0.5625</v>
      </c>
    </row>
    <row r="18" spans="2:10" ht="17.25" customHeight="1">
      <c r="B18" s="354" t="s">
        <v>104</v>
      </c>
      <c r="C18" s="355"/>
      <c r="D18" s="216">
        <f>VALUE('1108'!M15)</f>
        <v>15</v>
      </c>
      <c r="E18" s="216">
        <f>VALUE('1108'!M26)</f>
        <v>12.75</v>
      </c>
      <c r="F18" s="216">
        <f>VALUE('1108'!M37)</f>
        <v>14</v>
      </c>
      <c r="G18" s="216">
        <f>VALUE('1108'!M48)</f>
        <v>15</v>
      </c>
      <c r="H18" s="216">
        <f>VALUE('1108'!M58)</f>
        <v>18.333333333333332</v>
      </c>
      <c r="I18" s="216">
        <f>VALUE('1108'!M69)</f>
        <v>12.25</v>
      </c>
      <c r="J18" s="216">
        <f>VALUE('1108'!M79)</f>
        <v>12.75</v>
      </c>
    </row>
    <row r="19" spans="2:10" ht="17.25" customHeight="1">
      <c r="B19" s="354" t="s">
        <v>105</v>
      </c>
      <c r="C19" s="355"/>
      <c r="D19" s="213" t="s">
        <v>106</v>
      </c>
      <c r="E19" s="213" t="s">
        <v>106</v>
      </c>
      <c r="F19" s="213" t="s">
        <v>107</v>
      </c>
      <c r="G19" s="213" t="s">
        <v>107</v>
      </c>
      <c r="H19" s="213" t="s">
        <v>107</v>
      </c>
      <c r="I19" s="213" t="s">
        <v>108</v>
      </c>
      <c r="J19" s="213" t="s">
        <v>107</v>
      </c>
    </row>
    <row r="20" spans="2:10" ht="17.25" customHeight="1">
      <c r="B20" s="354" t="s">
        <v>110</v>
      </c>
      <c r="C20" s="355"/>
      <c r="D20" s="213"/>
      <c r="E20" s="213"/>
      <c r="F20" s="213"/>
      <c r="G20" s="217"/>
      <c r="H20" s="213" t="s">
        <v>109</v>
      </c>
      <c r="I20" s="213"/>
      <c r="J20" s="213"/>
    </row>
    <row r="21" spans="2:10" ht="17.25" customHeight="1">
      <c r="B21" s="354" t="s">
        <v>111</v>
      </c>
      <c r="C21" s="355"/>
      <c r="D21" s="273"/>
      <c r="E21" s="273"/>
      <c r="F21" s="273"/>
      <c r="G21" s="273"/>
      <c r="H21" s="273"/>
      <c r="I21" s="273"/>
      <c r="J21" s="273"/>
    </row>
    <row r="22" spans="2:10">
      <c r="B22" s="370"/>
      <c r="C22" s="370"/>
    </row>
  </sheetData>
  <mergeCells count="37">
    <mergeCell ref="J5:K5"/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J6:K6"/>
    <mergeCell ref="D7:E7"/>
    <mergeCell ref="F7:G7"/>
    <mergeCell ref="H7:I7"/>
    <mergeCell ref="J7:K7"/>
    <mergeCell ref="H8:I8"/>
    <mergeCell ref="B18:C18"/>
    <mergeCell ref="B19:C19"/>
    <mergeCell ref="D6:E6"/>
    <mergeCell ref="F6:G6"/>
    <mergeCell ref="H6:I6"/>
    <mergeCell ref="D10:J10"/>
    <mergeCell ref="B11:C12"/>
    <mergeCell ref="B13:B15"/>
    <mergeCell ref="B16:B17"/>
    <mergeCell ref="B10:C10"/>
    <mergeCell ref="J8:K8"/>
    <mergeCell ref="B5:C8"/>
    <mergeCell ref="D5:E5"/>
    <mergeCell ref="F5:G5"/>
    <mergeCell ref="H5:I5"/>
    <mergeCell ref="B20:C20"/>
    <mergeCell ref="B21:C21"/>
    <mergeCell ref="B22:C22"/>
    <mergeCell ref="D8:E8"/>
    <mergeCell ref="F8:G8"/>
  </mergeCells>
  <phoneticPr fontId="2" type="noConversion"/>
  <conditionalFormatting sqref="D15:J15">
    <cfRule type="cellIs" dxfId="229" priority="1" operator="lessThan">
      <formula>0.8</formula>
    </cfRule>
  </conditionalFormatting>
  <pageMargins left="0.7" right="0.7" top="0.75" bottom="0.75" header="0.3" footer="0.3"/>
  <pageSetup paperSize="8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1FFC3-C9CA-4D33-A6CD-8FE087DB6107}">
  <sheetPr>
    <tabColor theme="9" tint="0.79998168889431442"/>
    <pageSetUpPr fitToPage="1"/>
  </sheetPr>
  <dimension ref="A1:AF92"/>
  <sheetViews>
    <sheetView zoomScale="69" zoomScaleNormal="69" workbookViewId="0">
      <pane xSplit="5" ySplit="4" topLeftCell="H11" activePane="bottomRight" state="frozen"/>
      <selection activeCell="U71" sqref="U71"/>
      <selection pane="topRight" activeCell="U71" sqref="U71"/>
      <selection pane="bottomLeft" activeCell="U71" sqref="U71"/>
      <selection pane="bottomRight" activeCell="M39" sqref="M39"/>
    </sheetView>
  </sheetViews>
  <sheetFormatPr defaultColWidth="7.875" defaultRowHeight="15.75"/>
  <cols>
    <col min="1" max="1" width="15" style="6" customWidth="1"/>
    <col min="2" max="2" width="12.875" style="6" customWidth="1"/>
    <col min="3" max="3" width="12.875" style="6" hidden="1" customWidth="1"/>
    <col min="4" max="4" width="26.125" style="6" bestFit="1" customWidth="1"/>
    <col min="5" max="5" width="15" style="6" customWidth="1"/>
    <col min="6" max="6" width="8.875" style="6" bestFit="1" customWidth="1"/>
    <col min="7" max="7" width="20.125" style="6" bestFit="1" customWidth="1"/>
    <col min="8" max="8" width="16.375" style="6" bestFit="1" customWidth="1"/>
    <col min="9" max="9" width="10.875" style="6" bestFit="1" customWidth="1"/>
    <col min="10" max="10" width="10.125" style="6" bestFit="1" customWidth="1"/>
    <col min="11" max="11" width="10.625" style="6" customWidth="1"/>
    <col min="12" max="12" width="14.5" style="6" customWidth="1"/>
    <col min="13" max="13" width="10.125" style="6" bestFit="1" customWidth="1"/>
    <col min="14" max="14" width="10.25" style="6" bestFit="1" customWidth="1"/>
    <col min="15" max="15" width="11.875" style="6" customWidth="1"/>
    <col min="16" max="17" width="9.125" style="6" bestFit="1" customWidth="1"/>
    <col min="18" max="18" width="9.125" style="6" customWidth="1"/>
    <col min="19" max="19" width="8.375" style="6" customWidth="1"/>
    <col min="20" max="21" width="9.375" style="6" bestFit="1" customWidth="1"/>
    <col min="22" max="22" width="10.625" style="6" customWidth="1"/>
    <col min="23" max="23" width="8.625" style="92" customWidth="1"/>
    <col min="24" max="24" width="7.5" style="6" bestFit="1" customWidth="1"/>
    <col min="25" max="25" width="6.875" style="6" customWidth="1"/>
    <col min="26" max="26" width="12.625" style="6" customWidth="1"/>
    <col min="27" max="27" width="33.375" style="6" customWidth="1"/>
    <col min="28" max="28" width="13.125" style="6" bestFit="1" customWidth="1"/>
    <col min="29" max="29" width="10.375" style="6" customWidth="1"/>
    <col min="30" max="30" width="9.125" style="6" customWidth="1"/>
    <col min="31" max="31" width="7.875" style="6"/>
    <col min="32" max="32" width="24.5" style="6" bestFit="1" customWidth="1"/>
    <col min="33" max="16384" width="7.875" style="6"/>
  </cols>
  <sheetData>
    <row r="1" spans="1:30" ht="21">
      <c r="A1" s="2" t="s">
        <v>72</v>
      </c>
      <c r="B1" s="2"/>
      <c r="C1" s="2"/>
      <c r="D1" s="176" t="s">
        <v>8</v>
      </c>
      <c r="E1" s="3">
        <f>SUM(G5:G79)</f>
        <v>47070</v>
      </c>
      <c r="F1" s="177" t="s">
        <v>9</v>
      </c>
      <c r="G1" s="4">
        <f>SUM(H5:H79)</f>
        <v>2286171.65</v>
      </c>
      <c r="H1" s="175" t="s">
        <v>10</v>
      </c>
      <c r="I1" s="5">
        <f>M15+M26+M48+M58+M69+M79+M37</f>
        <v>100.08333333333333</v>
      </c>
      <c r="J1" s="371" t="s">
        <v>11</v>
      </c>
      <c r="K1" s="371"/>
      <c r="L1" s="371"/>
      <c r="M1" s="371" t="s">
        <v>12</v>
      </c>
      <c r="N1" s="371"/>
      <c r="O1" s="371"/>
      <c r="P1" s="371" t="s">
        <v>13</v>
      </c>
      <c r="Q1" s="371"/>
      <c r="R1" s="371"/>
      <c r="S1" s="371"/>
      <c r="T1" s="371" t="s">
        <v>14</v>
      </c>
      <c r="U1" s="371"/>
      <c r="V1" s="371"/>
      <c r="W1" s="371"/>
      <c r="X1" s="371"/>
      <c r="Y1" s="371"/>
      <c r="Z1" s="371" t="s">
        <v>15</v>
      </c>
      <c r="AA1" s="371"/>
      <c r="AB1" s="371" t="s">
        <v>16</v>
      </c>
      <c r="AC1" s="372"/>
      <c r="AD1" s="372"/>
    </row>
    <row r="2" spans="1:30" ht="18.75">
      <c r="A2" s="409" t="s">
        <v>183</v>
      </c>
      <c r="B2" s="409"/>
      <c r="C2" s="176"/>
      <c r="D2" s="176" t="s">
        <v>1</v>
      </c>
      <c r="E2" s="7">
        <f>AVERAGE(O15,O26,O37,O48,O58,O69,O79)</f>
        <v>101.04301590060062</v>
      </c>
      <c r="F2" s="8" t="s">
        <v>2</v>
      </c>
      <c r="G2" s="9">
        <f>G1/E1</f>
        <v>48.569612279583595</v>
      </c>
      <c r="H2" s="175" t="s">
        <v>17</v>
      </c>
      <c r="I2" s="175">
        <f>COUNT(I5:I79)</f>
        <v>0</v>
      </c>
      <c r="J2" s="371"/>
      <c r="K2" s="371"/>
      <c r="L2" s="371"/>
      <c r="M2" s="371"/>
      <c r="N2" s="371"/>
      <c r="O2" s="371"/>
      <c r="P2" s="371"/>
      <c r="Q2" s="371"/>
      <c r="R2" s="371"/>
      <c r="S2" s="371"/>
      <c r="T2" s="371"/>
      <c r="U2" s="371"/>
      <c r="V2" s="371"/>
      <c r="W2" s="371"/>
      <c r="X2" s="371"/>
      <c r="Y2" s="371"/>
      <c r="Z2" s="371"/>
      <c r="AA2" s="371"/>
      <c r="AB2" s="372"/>
      <c r="AC2" s="372"/>
      <c r="AD2" s="372"/>
    </row>
    <row r="3" spans="1:30">
      <c r="A3" s="405" t="s">
        <v>18</v>
      </c>
      <c r="B3" s="405" t="s">
        <v>19</v>
      </c>
      <c r="C3" s="177"/>
      <c r="D3" s="405" t="s">
        <v>20</v>
      </c>
      <c r="E3" s="405"/>
      <c r="F3" s="379" t="s">
        <v>21</v>
      </c>
      <c r="G3" s="389" t="s">
        <v>22</v>
      </c>
      <c r="H3" s="379" t="s">
        <v>23</v>
      </c>
      <c r="I3" s="381" t="s">
        <v>24</v>
      </c>
      <c r="J3" s="383" t="s">
        <v>25</v>
      </c>
      <c r="K3" s="385" t="s">
        <v>26</v>
      </c>
      <c r="L3" s="387" t="s">
        <v>1</v>
      </c>
      <c r="M3" s="389" t="s">
        <v>25</v>
      </c>
      <c r="N3" s="385" t="s">
        <v>26</v>
      </c>
      <c r="O3" s="387" t="s">
        <v>1</v>
      </c>
      <c r="P3" s="383" t="s">
        <v>25</v>
      </c>
      <c r="Q3" s="387" t="s">
        <v>1</v>
      </c>
      <c r="R3" s="392" t="s">
        <v>27</v>
      </c>
      <c r="S3" s="394" t="s">
        <v>28</v>
      </c>
      <c r="T3" s="389" t="s">
        <v>4</v>
      </c>
      <c r="U3" s="389"/>
      <c r="V3" s="408" t="s">
        <v>29</v>
      </c>
      <c r="W3" s="381" t="s">
        <v>30</v>
      </c>
      <c r="X3" s="389" t="s">
        <v>31</v>
      </c>
      <c r="Y3" s="389"/>
      <c r="Z3" s="415" t="s">
        <v>71</v>
      </c>
      <c r="AA3" s="416"/>
      <c r="AB3" s="385" t="s">
        <v>26</v>
      </c>
      <c r="AC3" s="392" t="s">
        <v>27</v>
      </c>
      <c r="AD3" s="394" t="s">
        <v>28</v>
      </c>
    </row>
    <row r="4" spans="1:30" ht="16.5" thickBot="1">
      <c r="A4" s="379"/>
      <c r="B4" s="379"/>
      <c r="C4" s="178"/>
      <c r="D4" s="379"/>
      <c r="E4" s="379"/>
      <c r="F4" s="380"/>
      <c r="G4" s="390"/>
      <c r="H4" s="380"/>
      <c r="I4" s="382"/>
      <c r="J4" s="384"/>
      <c r="K4" s="386"/>
      <c r="L4" s="388"/>
      <c r="M4" s="390"/>
      <c r="N4" s="386"/>
      <c r="O4" s="388"/>
      <c r="P4" s="384"/>
      <c r="Q4" s="388"/>
      <c r="R4" s="393"/>
      <c r="S4" s="395"/>
      <c r="T4" s="179" t="s">
        <v>5</v>
      </c>
      <c r="U4" s="179" t="s">
        <v>6</v>
      </c>
      <c r="V4" s="390"/>
      <c r="W4" s="382"/>
      <c r="X4" s="178" t="s">
        <v>32</v>
      </c>
      <c r="Y4" s="178" t="s">
        <v>33</v>
      </c>
      <c r="Z4" s="417"/>
      <c r="AA4" s="417"/>
      <c r="AB4" s="386"/>
      <c r="AC4" s="393"/>
      <c r="AD4" s="395"/>
    </row>
    <row r="5" spans="1:30" ht="15" customHeight="1">
      <c r="A5" s="411" t="s">
        <v>66</v>
      </c>
      <c r="B5" s="199" t="str">
        <f>VLOOKUP(D5,廠價表!$C$1:$E$39,2,0)</f>
        <v>義大利麵</v>
      </c>
      <c r="C5" s="102"/>
      <c r="D5" s="103" t="s">
        <v>127</v>
      </c>
      <c r="E5" s="104"/>
      <c r="F5" s="199">
        <f>VLOOKUP(D5,廠價表!$C$1:$E$39,3,0)</f>
        <v>57.21</v>
      </c>
      <c r="G5" s="105">
        <v>1446</v>
      </c>
      <c r="H5" s="106">
        <f>F5*G5</f>
        <v>82725.66</v>
      </c>
      <c r="I5" s="107"/>
      <c r="J5" s="108">
        <v>14</v>
      </c>
      <c r="K5" s="105">
        <f>VLOOKUP(D5,產線配置圖!$A$2:$C$38,3,0)</f>
        <v>2105</v>
      </c>
      <c r="L5" s="109">
        <f>K5/J5</f>
        <v>150.35714285714286</v>
      </c>
      <c r="M5" s="110">
        <v>14</v>
      </c>
      <c r="N5" s="105">
        <f t="shared" ref="N5:N8" si="0">G5/W5*60</f>
        <v>1735.2000000000005</v>
      </c>
      <c r="O5" s="109">
        <f t="shared" ref="O5:O8" si="1">N5/M5</f>
        <v>123.94285714285718</v>
      </c>
      <c r="P5" s="111">
        <f t="shared" ref="P5:P8" si="2">M5-J5</f>
        <v>0</v>
      </c>
      <c r="Q5" s="112">
        <f t="shared" ref="Q5:Q8" si="3">O5-L5</f>
        <v>-26.414285714285683</v>
      </c>
      <c r="R5" s="184">
        <f t="shared" ref="R5:R8" si="4">O5/L5</f>
        <v>0.82432304038004767</v>
      </c>
      <c r="S5" s="396">
        <f>R15</f>
        <v>0.89709522680781006</v>
      </c>
      <c r="T5" s="94">
        <v>0.2902777777777778</v>
      </c>
      <c r="U5" s="94">
        <v>0.32500000000000001</v>
      </c>
      <c r="V5" s="194"/>
      <c r="W5" s="107">
        <f t="shared" ref="W5:W14" si="5">(U5-T5)*24*60</f>
        <v>49.999999999999986</v>
      </c>
      <c r="X5" s="188"/>
      <c r="Y5" s="188"/>
      <c r="Z5" s="400"/>
      <c r="AA5" s="400"/>
      <c r="AB5" s="111">
        <f>N5-K5</f>
        <v>-369.7999999999995</v>
      </c>
      <c r="AC5" s="184">
        <f>N5/K5</f>
        <v>0.82432304038004778</v>
      </c>
      <c r="AD5" s="401">
        <f>AC15</f>
        <v>0.89799813084112134</v>
      </c>
    </row>
    <row r="6" spans="1:30" ht="15" customHeight="1">
      <c r="A6" s="412"/>
      <c r="B6" s="56" t="str">
        <f>VLOOKUP(D6,廠價表!$C$1:$E$39,2,0)</f>
        <v>義大利麵</v>
      </c>
      <c r="C6" s="10"/>
      <c r="D6" s="11" t="s">
        <v>139</v>
      </c>
      <c r="E6" s="86"/>
      <c r="F6" s="56">
        <f>VLOOKUP(D6,廠價表!$C$1:$E$39,3,0)</f>
        <v>57.21</v>
      </c>
      <c r="G6" s="25">
        <v>2079</v>
      </c>
      <c r="H6" s="15">
        <f t="shared" ref="H6:H14" si="6">F6*G6</f>
        <v>118939.59</v>
      </c>
      <c r="I6" s="182"/>
      <c r="J6" s="16">
        <v>18</v>
      </c>
      <c r="K6" s="14">
        <f>VLOOKUP(D6,產線配置圖!$A$2:$C$38,3,0)</f>
        <v>1895</v>
      </c>
      <c r="L6" s="17">
        <f>K6/J6</f>
        <v>105.27777777777777</v>
      </c>
      <c r="M6" s="180">
        <v>18</v>
      </c>
      <c r="N6" s="14">
        <f t="shared" si="0"/>
        <v>1732.5000000000005</v>
      </c>
      <c r="O6" s="17">
        <f t="shared" si="1"/>
        <v>96.250000000000028</v>
      </c>
      <c r="P6" s="18">
        <f t="shared" si="2"/>
        <v>0</v>
      </c>
      <c r="Q6" s="19">
        <f t="shared" si="3"/>
        <v>-9.027777777777743</v>
      </c>
      <c r="R6" s="185">
        <f t="shared" si="4"/>
        <v>0.91424802110817971</v>
      </c>
      <c r="S6" s="397"/>
      <c r="T6" s="95">
        <v>0.33888888888888891</v>
      </c>
      <c r="U6" s="95">
        <v>0.3888888888888889</v>
      </c>
      <c r="V6" s="177">
        <f>(T6-U5)*24*60</f>
        <v>20.000000000000007</v>
      </c>
      <c r="W6" s="182">
        <f t="shared" si="5"/>
        <v>71.999999999999986</v>
      </c>
      <c r="X6" s="22"/>
      <c r="Y6" s="22"/>
      <c r="Z6" s="381"/>
      <c r="AA6" s="381"/>
      <c r="AB6" s="18">
        <f>N6-K6</f>
        <v>-162.49999999999955</v>
      </c>
      <c r="AC6" s="185">
        <f>N6/K6</f>
        <v>0.91424802110817971</v>
      </c>
      <c r="AD6" s="402"/>
    </row>
    <row r="7" spans="1:30" ht="15" customHeight="1">
      <c r="A7" s="412"/>
      <c r="B7" s="56" t="str">
        <f>VLOOKUP(D7,廠價表!$C$1:$E$39,2,0)</f>
        <v>義大利麵</v>
      </c>
      <c r="C7" s="10"/>
      <c r="D7" s="11" t="s">
        <v>141</v>
      </c>
      <c r="E7" s="86"/>
      <c r="F7" s="56">
        <f>VLOOKUP(D7,廠價表!$C$1:$E$39,3,0)</f>
        <v>49.14</v>
      </c>
      <c r="G7" s="25">
        <v>3511</v>
      </c>
      <c r="H7" s="15">
        <f t="shared" si="6"/>
        <v>172530.54</v>
      </c>
      <c r="I7" s="182"/>
      <c r="J7" s="16">
        <v>14</v>
      </c>
      <c r="K7" s="14">
        <f>VLOOKUP(D7,產線配置圖!$A$2:$C$38,3,0)</f>
        <v>2000</v>
      </c>
      <c r="L7" s="17">
        <f>K7/J7</f>
        <v>142.85714285714286</v>
      </c>
      <c r="M7" s="180">
        <v>14</v>
      </c>
      <c r="N7" s="14">
        <f t="shared" si="0"/>
        <v>1968.7850467289716</v>
      </c>
      <c r="O7" s="17">
        <f t="shared" si="1"/>
        <v>140.62750333778368</v>
      </c>
      <c r="P7" s="18">
        <f t="shared" si="2"/>
        <v>0</v>
      </c>
      <c r="Q7" s="19">
        <f t="shared" si="3"/>
        <v>-2.229639519359182</v>
      </c>
      <c r="R7" s="185">
        <f t="shared" si="4"/>
        <v>0.98439252336448568</v>
      </c>
      <c r="S7" s="397"/>
      <c r="T7" s="95">
        <v>0.39791666666666664</v>
      </c>
      <c r="U7" s="95">
        <v>0.47222222222222221</v>
      </c>
      <c r="V7" s="177">
        <f>(T7-U6)*24*60</f>
        <v>12.999999999999954</v>
      </c>
      <c r="W7" s="182">
        <f t="shared" si="5"/>
        <v>107.00000000000001</v>
      </c>
      <c r="X7" s="22"/>
      <c r="Y7" s="22"/>
      <c r="Z7" s="405"/>
      <c r="AA7" s="405"/>
      <c r="AB7" s="18">
        <f>N7-K7</f>
        <v>-31.214953271028435</v>
      </c>
      <c r="AC7" s="185">
        <f>N7/K7</f>
        <v>0.98439252336448579</v>
      </c>
      <c r="AD7" s="402"/>
    </row>
    <row r="8" spans="1:30" ht="15" customHeight="1">
      <c r="A8" s="412"/>
      <c r="B8" s="56" t="str">
        <f>VLOOKUP(D8,廠價表!$C$1:$E$39,2,0)</f>
        <v>義大利麵</v>
      </c>
      <c r="C8" s="10"/>
      <c r="D8" s="11" t="s">
        <v>141</v>
      </c>
      <c r="E8" s="86"/>
      <c r="F8" s="56">
        <f>VLOOKUP(D8,廠價表!$C$1:$E$39,3,0)</f>
        <v>49.14</v>
      </c>
      <c r="G8" s="25">
        <v>932</v>
      </c>
      <c r="H8" s="15">
        <f t="shared" si="6"/>
        <v>45798.48</v>
      </c>
      <c r="I8" s="182"/>
      <c r="J8" s="16">
        <v>14</v>
      </c>
      <c r="K8" s="14">
        <f>VLOOKUP(D8,產線配置圖!$A$2:$C$38,3,0)</f>
        <v>2000</v>
      </c>
      <c r="L8" s="17">
        <f t="shared" ref="L8" si="7">K8/J8</f>
        <v>142.85714285714286</v>
      </c>
      <c r="M8" s="180">
        <v>14</v>
      </c>
      <c r="N8" s="14">
        <f t="shared" si="0"/>
        <v>1747.4999999999977</v>
      </c>
      <c r="O8" s="17">
        <f t="shared" si="1"/>
        <v>124.82142857142841</v>
      </c>
      <c r="P8" s="18">
        <f t="shared" si="2"/>
        <v>0</v>
      </c>
      <c r="Q8" s="19">
        <f t="shared" si="3"/>
        <v>-18.035714285714448</v>
      </c>
      <c r="R8" s="185">
        <f t="shared" si="4"/>
        <v>0.87374999999999892</v>
      </c>
      <c r="S8" s="397"/>
      <c r="T8" s="20">
        <v>0.54027777777777775</v>
      </c>
      <c r="U8" s="20">
        <v>0.5625</v>
      </c>
      <c r="V8" s="177">
        <f>(T8-U7)*24*60</f>
        <v>97.999999999999972</v>
      </c>
      <c r="W8" s="182">
        <f t="shared" si="5"/>
        <v>32.000000000000043</v>
      </c>
      <c r="X8" s="22">
        <v>0.47916666666666669</v>
      </c>
      <c r="Y8" s="22">
        <v>0.52083333333333337</v>
      </c>
      <c r="Z8" s="406"/>
      <c r="AA8" s="406"/>
      <c r="AB8" s="18">
        <f>N8-K8</f>
        <v>-252.50000000000227</v>
      </c>
      <c r="AC8" s="185">
        <f>N8/K8</f>
        <v>0.87374999999999892</v>
      </c>
      <c r="AD8" s="402"/>
    </row>
    <row r="9" spans="1:30" ht="15" customHeight="1">
      <c r="A9" s="413"/>
      <c r="B9" s="56"/>
      <c r="C9" s="10"/>
      <c r="D9" s="11"/>
      <c r="E9" s="86"/>
      <c r="F9" s="56"/>
      <c r="G9" s="25"/>
      <c r="H9" s="15"/>
      <c r="I9" s="182"/>
      <c r="J9" s="16"/>
      <c r="K9" s="14"/>
      <c r="L9" s="17"/>
      <c r="M9" s="180"/>
      <c r="N9" s="14"/>
      <c r="O9" s="17"/>
      <c r="P9" s="18"/>
      <c r="Q9" s="19"/>
      <c r="R9" s="185"/>
      <c r="S9" s="398"/>
      <c r="T9" s="79"/>
      <c r="U9" s="79"/>
      <c r="V9" s="177"/>
      <c r="W9" s="24">
        <f t="shared" si="5"/>
        <v>0</v>
      </c>
      <c r="X9" s="22"/>
      <c r="Y9" s="263"/>
      <c r="Z9" s="407"/>
      <c r="AA9" s="407"/>
      <c r="AB9" s="18"/>
      <c r="AC9" s="185"/>
      <c r="AD9" s="403"/>
    </row>
    <row r="10" spans="1:30" ht="15" customHeight="1">
      <c r="A10" s="413"/>
      <c r="B10" s="56"/>
      <c r="C10" s="23"/>
      <c r="D10" s="11"/>
      <c r="E10" s="12"/>
      <c r="F10" s="56"/>
      <c r="G10" s="25"/>
      <c r="H10" s="15"/>
      <c r="I10" s="182"/>
      <c r="J10" s="16"/>
      <c r="K10" s="14"/>
      <c r="L10" s="17"/>
      <c r="M10" s="180"/>
      <c r="N10" s="14"/>
      <c r="O10" s="17"/>
      <c r="P10" s="18"/>
      <c r="Q10" s="19"/>
      <c r="R10" s="185"/>
      <c r="S10" s="398"/>
      <c r="T10" s="20"/>
      <c r="U10" s="20"/>
      <c r="V10" s="177"/>
      <c r="W10" s="182">
        <f t="shared" si="5"/>
        <v>0</v>
      </c>
      <c r="X10" s="22"/>
      <c r="Y10" s="263"/>
      <c r="Z10" s="419"/>
      <c r="AA10" s="418"/>
      <c r="AB10" s="264"/>
      <c r="AC10" s="185"/>
      <c r="AD10" s="403"/>
    </row>
    <row r="11" spans="1:30" ht="15" customHeight="1">
      <c r="A11" s="413"/>
      <c r="B11" s="56"/>
      <c r="C11" s="183"/>
      <c r="D11" s="11"/>
      <c r="E11" s="12"/>
      <c r="F11" s="56"/>
      <c r="G11" s="25"/>
      <c r="H11" s="15">
        <f t="shared" si="6"/>
        <v>0</v>
      </c>
      <c r="I11" s="182"/>
      <c r="J11" s="16"/>
      <c r="K11" s="14"/>
      <c r="L11" s="17"/>
      <c r="M11" s="180"/>
      <c r="N11" s="14"/>
      <c r="O11" s="17"/>
      <c r="P11" s="18"/>
      <c r="Q11" s="19"/>
      <c r="R11" s="185"/>
      <c r="S11" s="398"/>
      <c r="T11" s="20"/>
      <c r="U11" s="20"/>
      <c r="V11" s="177"/>
      <c r="W11" s="24">
        <f t="shared" si="5"/>
        <v>0</v>
      </c>
      <c r="X11" s="22"/>
      <c r="Y11" s="263"/>
      <c r="Z11" s="419"/>
      <c r="AA11" s="418"/>
      <c r="AB11" s="264"/>
      <c r="AC11" s="185"/>
      <c r="AD11" s="403"/>
    </row>
    <row r="12" spans="1:30" ht="15" customHeight="1">
      <c r="A12" s="413"/>
      <c r="B12" s="26"/>
      <c r="C12" s="27"/>
      <c r="D12" s="28"/>
      <c r="E12" s="29"/>
      <c r="F12" s="13"/>
      <c r="G12" s="30"/>
      <c r="H12" s="15">
        <f t="shared" si="6"/>
        <v>0</v>
      </c>
      <c r="I12" s="178"/>
      <c r="J12" s="31"/>
      <c r="K12" s="30"/>
      <c r="L12" s="17"/>
      <c r="M12" s="181"/>
      <c r="N12" s="25"/>
      <c r="O12" s="17"/>
      <c r="P12" s="18"/>
      <c r="Q12" s="19"/>
      <c r="R12" s="185"/>
      <c r="S12" s="398"/>
      <c r="T12" s="32"/>
      <c r="U12" s="32"/>
      <c r="V12" s="178"/>
      <c r="W12" s="24">
        <f t="shared" si="5"/>
        <v>0</v>
      </c>
      <c r="X12" s="33"/>
      <c r="Y12" s="33"/>
      <c r="Z12" s="407"/>
      <c r="AA12" s="407"/>
      <c r="AB12" s="34"/>
      <c r="AC12" s="186"/>
      <c r="AD12" s="403"/>
    </row>
    <row r="13" spans="1:30" ht="15" customHeight="1">
      <c r="A13" s="413"/>
      <c r="B13" s="56"/>
      <c r="C13" s="10"/>
      <c r="D13" s="11"/>
      <c r="E13" s="86"/>
      <c r="F13" s="56"/>
      <c r="G13" s="25"/>
      <c r="H13" s="15"/>
      <c r="I13" s="182"/>
      <c r="J13" s="16"/>
      <c r="K13" s="14"/>
      <c r="L13" s="17"/>
      <c r="M13" s="180"/>
      <c r="N13" s="14"/>
      <c r="O13" s="17"/>
      <c r="P13" s="18"/>
      <c r="Q13" s="19"/>
      <c r="R13" s="185"/>
      <c r="S13" s="479"/>
      <c r="T13" s="309"/>
      <c r="U13" s="309"/>
      <c r="V13" s="26"/>
      <c r="W13" s="24">
        <f t="shared" si="5"/>
        <v>0</v>
      </c>
      <c r="X13" s="33"/>
      <c r="Y13" s="33"/>
      <c r="Z13" s="419"/>
      <c r="AA13" s="418"/>
      <c r="AB13" s="34"/>
      <c r="AC13" s="186"/>
      <c r="AD13" s="403"/>
    </row>
    <row r="14" spans="1:30" ht="15" customHeight="1">
      <c r="A14" s="413"/>
      <c r="B14" s="26"/>
      <c r="C14" s="27"/>
      <c r="D14" s="28"/>
      <c r="E14" s="29"/>
      <c r="F14" s="13"/>
      <c r="G14" s="30"/>
      <c r="H14" s="15">
        <f t="shared" si="6"/>
        <v>0</v>
      </c>
      <c r="I14" s="178"/>
      <c r="J14" s="31"/>
      <c r="K14" s="30"/>
      <c r="L14" s="17"/>
      <c r="M14" s="181"/>
      <c r="N14" s="25"/>
      <c r="O14" s="17"/>
      <c r="P14" s="18"/>
      <c r="Q14" s="19"/>
      <c r="R14" s="185"/>
      <c r="S14" s="398"/>
      <c r="T14" s="308"/>
      <c r="U14" s="308"/>
      <c r="V14" s="178"/>
      <c r="W14" s="24">
        <f t="shared" si="5"/>
        <v>0</v>
      </c>
      <c r="X14" s="33"/>
      <c r="Y14" s="33"/>
      <c r="Z14" s="419"/>
      <c r="AA14" s="418"/>
      <c r="AB14" s="34"/>
      <c r="AC14" s="186"/>
      <c r="AD14" s="403"/>
    </row>
    <row r="15" spans="1:30" ht="15" customHeight="1" thickBot="1">
      <c r="A15" s="414"/>
      <c r="B15" s="113"/>
      <c r="C15" s="113" t="s">
        <v>34</v>
      </c>
      <c r="D15" s="410" t="s">
        <v>7</v>
      </c>
      <c r="E15" s="410"/>
      <c r="F15" s="114"/>
      <c r="G15" s="115"/>
      <c r="H15" s="116"/>
      <c r="I15" s="117"/>
      <c r="J15" s="118">
        <f t="shared" ref="J15:O15" si="8">AVERAGE(J5:J14)</f>
        <v>15</v>
      </c>
      <c r="K15" s="118">
        <f t="shared" si="8"/>
        <v>2000</v>
      </c>
      <c r="L15" s="115">
        <f t="shared" si="8"/>
        <v>135.3373015873016</v>
      </c>
      <c r="M15" s="118">
        <f t="shared" si="8"/>
        <v>15</v>
      </c>
      <c r="N15" s="118">
        <f t="shared" si="8"/>
        <v>1795.9962616822427</v>
      </c>
      <c r="O15" s="115">
        <f t="shared" si="8"/>
        <v>121.41044726301732</v>
      </c>
      <c r="P15" s="119">
        <f t="shared" ref="P15:P16" si="9">M15-J15</f>
        <v>0</v>
      </c>
      <c r="Q15" s="120">
        <f t="shared" ref="Q15:Q16" si="10">O15-L15</f>
        <v>-13.926854324284278</v>
      </c>
      <c r="R15" s="121">
        <f t="shared" ref="R15:R16" si="11">O15/L15</f>
        <v>0.89709522680781006</v>
      </c>
      <c r="S15" s="399"/>
      <c r="T15" s="122"/>
      <c r="U15" s="122"/>
      <c r="V15" s="195"/>
      <c r="W15" s="123"/>
      <c r="X15" s="124"/>
      <c r="Y15" s="124"/>
      <c r="Z15" s="391"/>
      <c r="AA15" s="391"/>
      <c r="AB15" s="119">
        <f>N15-K15</f>
        <v>-204.00373831775732</v>
      </c>
      <c r="AC15" s="187">
        <f>N15/K15</f>
        <v>0.89799813084112134</v>
      </c>
      <c r="AD15" s="404"/>
    </row>
    <row r="16" spans="1:30" ht="15" customHeight="1">
      <c r="A16" s="431" t="s">
        <v>67</v>
      </c>
      <c r="B16" s="199" t="s">
        <v>134</v>
      </c>
      <c r="C16" s="102"/>
      <c r="D16" s="103" t="s">
        <v>127</v>
      </c>
      <c r="E16" s="104"/>
      <c r="F16" s="199">
        <f>VLOOKUP(D16,廠價表!$C$1:$E$39,3,0)</f>
        <v>57.21</v>
      </c>
      <c r="G16" s="265">
        <v>1260</v>
      </c>
      <c r="H16" s="125">
        <f t="shared" ref="H16:H25" si="12">F16*G16</f>
        <v>72084.600000000006</v>
      </c>
      <c r="I16" s="126"/>
      <c r="J16" s="108">
        <v>14</v>
      </c>
      <c r="K16" s="105">
        <f>VLOOKUP(D16,產線配置圖!$A$2:$C$38,3,0)</f>
        <v>2105</v>
      </c>
      <c r="L16" s="109">
        <f>K16/J16</f>
        <v>150.35714285714286</v>
      </c>
      <c r="M16" s="267">
        <v>13</v>
      </c>
      <c r="N16" s="127">
        <f>G16/W16*60</f>
        <v>1890.000000000003</v>
      </c>
      <c r="O16" s="128">
        <f>N16/M16</f>
        <v>145.38461538461561</v>
      </c>
      <c r="P16" s="129">
        <f t="shared" si="9"/>
        <v>-1</v>
      </c>
      <c r="Q16" s="130">
        <f t="shared" si="10"/>
        <v>-4.972527472527247</v>
      </c>
      <c r="R16" s="189">
        <f t="shared" si="11"/>
        <v>0.96692855837749103</v>
      </c>
      <c r="S16" s="424">
        <f>R26</f>
        <v>0.95099538627275848</v>
      </c>
      <c r="T16" s="268">
        <v>0.28958333333333336</v>
      </c>
      <c r="U16" s="268">
        <v>0.31736111111111109</v>
      </c>
      <c r="V16" s="126"/>
      <c r="W16" s="131">
        <f t="shared" ref="W16:W68" si="13">(U16-T16)*24*60</f>
        <v>39.999999999999936</v>
      </c>
      <c r="X16" s="128"/>
      <c r="Y16" s="128"/>
      <c r="Z16" s="400"/>
      <c r="AA16" s="400"/>
      <c r="AB16" s="111">
        <f>N16-K16</f>
        <v>-214.99999999999704</v>
      </c>
      <c r="AC16" s="184">
        <f>N16/K16</f>
        <v>0.89786223277909882</v>
      </c>
      <c r="AD16" s="401">
        <f>AC26</f>
        <v>0.89892943918530999</v>
      </c>
    </row>
    <row r="17" spans="1:30" ht="15" customHeight="1">
      <c r="A17" s="432"/>
      <c r="B17" s="56" t="s">
        <v>62</v>
      </c>
      <c r="C17" s="10"/>
      <c r="D17" s="11" t="s">
        <v>153</v>
      </c>
      <c r="E17" s="86"/>
      <c r="F17" s="56">
        <f>VLOOKUP(D17,廠價表!$C$1:$E$39,3,0)</f>
        <v>50.67</v>
      </c>
      <c r="G17" s="96">
        <v>4126</v>
      </c>
      <c r="H17" s="15">
        <f>F17*G17</f>
        <v>209064.42</v>
      </c>
      <c r="I17" s="177"/>
      <c r="J17" s="16">
        <v>14</v>
      </c>
      <c r="K17" s="14">
        <f>VLOOKUP(D17,產線配置圖!$A$2:$C$38,3,0)</f>
        <v>2000</v>
      </c>
      <c r="L17" s="17">
        <f>K17/J17</f>
        <v>142.85714285714286</v>
      </c>
      <c r="M17" s="37">
        <v>14</v>
      </c>
      <c r="N17" s="36">
        <f>G17/W17*60</f>
        <v>1980.4799999999998</v>
      </c>
      <c r="O17" s="38">
        <f>N17/M17</f>
        <v>141.46285714285713</v>
      </c>
      <c r="P17" s="39">
        <f>M17-J17</f>
        <v>0</v>
      </c>
      <c r="Q17" s="40">
        <f>O17-L17</f>
        <v>-1.3942857142857292</v>
      </c>
      <c r="R17" s="190">
        <f>O17/L17</f>
        <v>0.9902399999999999</v>
      </c>
      <c r="S17" s="425"/>
      <c r="T17" s="41">
        <v>0.32847222222222222</v>
      </c>
      <c r="U17" s="41">
        <v>0.4152777777777778</v>
      </c>
      <c r="V17" s="177">
        <f>(T17-U16)*24*60</f>
        <v>16.000000000000021</v>
      </c>
      <c r="W17" s="43">
        <f t="shared" si="13"/>
        <v>125.00000000000003</v>
      </c>
      <c r="X17" s="44"/>
      <c r="Y17" s="44"/>
      <c r="Z17" s="381"/>
      <c r="AA17" s="381"/>
      <c r="AB17" s="18">
        <f>N17-K17</f>
        <v>-19.520000000000209</v>
      </c>
      <c r="AC17" s="185">
        <f>N17/K17</f>
        <v>0.9902399999999999</v>
      </c>
      <c r="AD17" s="402"/>
    </row>
    <row r="18" spans="1:30" ht="15" customHeight="1">
      <c r="A18" s="432"/>
      <c r="B18" s="56" t="s">
        <v>62</v>
      </c>
      <c r="C18" s="10"/>
      <c r="D18" s="11" t="s">
        <v>131</v>
      </c>
      <c r="E18" s="86"/>
      <c r="F18" s="56">
        <f>VLOOKUP(D18,廠價表!$C$1:$E$39,3,0)</f>
        <v>50.39</v>
      </c>
      <c r="G18" s="96">
        <v>2302</v>
      </c>
      <c r="H18" s="15">
        <f>F18*G18</f>
        <v>115997.78</v>
      </c>
      <c r="I18" s="177"/>
      <c r="J18" s="16">
        <v>13</v>
      </c>
      <c r="K18" s="14">
        <f>VLOOKUP(D18,產線配置圖!$A$2:$C$38,3,0)</f>
        <v>2000</v>
      </c>
      <c r="L18" s="17">
        <f>K18/J18</f>
        <v>153.84615384615384</v>
      </c>
      <c r="M18" s="37">
        <v>12</v>
      </c>
      <c r="N18" s="36">
        <f>G18/W18*60</f>
        <v>1817.3684210526324</v>
      </c>
      <c r="O18" s="38">
        <f>N18/M18</f>
        <v>151.44736842105269</v>
      </c>
      <c r="P18" s="39">
        <f>M18-J18</f>
        <v>-1</v>
      </c>
      <c r="Q18" s="40">
        <f>O18-L18</f>
        <v>-2.3987854251011527</v>
      </c>
      <c r="R18" s="190">
        <f>O18/L18</f>
        <v>0.98440789473684254</v>
      </c>
      <c r="S18" s="425"/>
      <c r="T18" s="41">
        <v>0.4236111111111111</v>
      </c>
      <c r="U18" s="41">
        <v>0.47638888888888886</v>
      </c>
      <c r="V18" s="177">
        <f>(T18-U17)*24*60</f>
        <v>11.999999999999957</v>
      </c>
      <c r="W18" s="43">
        <f t="shared" si="13"/>
        <v>75.999999999999972</v>
      </c>
      <c r="X18" s="22"/>
      <c r="Y18" s="22"/>
      <c r="Z18" s="418"/>
      <c r="AA18" s="405"/>
      <c r="AB18" s="18">
        <f>N18-K18</f>
        <v>-182.63157894736764</v>
      </c>
      <c r="AC18" s="185">
        <f>N18/K18</f>
        <v>0.90868421052631621</v>
      </c>
      <c r="AD18" s="402"/>
    </row>
    <row r="19" spans="1:30" ht="15" customHeight="1">
      <c r="A19" s="432"/>
      <c r="B19" s="56" t="s">
        <v>62</v>
      </c>
      <c r="C19" s="23"/>
      <c r="D19" s="11" t="s">
        <v>131</v>
      </c>
      <c r="E19" s="12"/>
      <c r="F19" s="56">
        <f>VLOOKUP(D19,廠價表!$C$1:$E$39,3,0)</f>
        <v>50.39</v>
      </c>
      <c r="G19" s="96">
        <v>2104</v>
      </c>
      <c r="H19" s="15">
        <f t="shared" ref="H19" si="14">F19*G19</f>
        <v>106020.56</v>
      </c>
      <c r="I19" s="177"/>
      <c r="J19" s="16">
        <v>13</v>
      </c>
      <c r="K19" s="14">
        <f>VLOOKUP(D19,產線配置圖!$A$2:$C$38,3,0)</f>
        <v>2000</v>
      </c>
      <c r="L19" s="17">
        <f t="shared" ref="L19" si="15">K19/J19</f>
        <v>153.84615384615384</v>
      </c>
      <c r="M19" s="37">
        <v>12</v>
      </c>
      <c r="N19" s="36">
        <f>G19/W19*60</f>
        <v>1597.9746835443029</v>
      </c>
      <c r="O19" s="38">
        <f>N19/M19</f>
        <v>133.16455696202524</v>
      </c>
      <c r="P19" s="39">
        <f>M19-J19</f>
        <v>-1</v>
      </c>
      <c r="Q19" s="40">
        <f>O19-L19</f>
        <v>-20.681596884128595</v>
      </c>
      <c r="R19" s="190">
        <f>O19/L19</f>
        <v>0.86556962025316408</v>
      </c>
      <c r="S19" s="425"/>
      <c r="T19" s="41">
        <v>0.54166666666666663</v>
      </c>
      <c r="U19" s="41">
        <v>0.59652777777777777</v>
      </c>
      <c r="V19" s="177">
        <f>(T19-U18)*24*60</f>
        <v>93.999999999999986</v>
      </c>
      <c r="W19" s="43">
        <f t="shared" si="13"/>
        <v>79.000000000000043</v>
      </c>
      <c r="X19" s="22">
        <v>0.47916666666666669</v>
      </c>
      <c r="Y19" s="263">
        <v>0.52083333333333337</v>
      </c>
      <c r="Z19" s="407"/>
      <c r="AA19" s="407"/>
      <c r="AB19" s="18">
        <f>N19-K19</f>
        <v>-402.02531645569707</v>
      </c>
      <c r="AC19" s="185">
        <f>N19/K19</f>
        <v>0.79898734177215147</v>
      </c>
      <c r="AD19" s="403"/>
    </row>
    <row r="20" spans="1:30" ht="15" customHeight="1">
      <c r="A20" s="432"/>
      <c r="B20" s="56"/>
      <c r="C20" s="23"/>
      <c r="D20" s="11"/>
      <c r="E20" s="12"/>
      <c r="F20" s="56"/>
      <c r="G20" s="96"/>
      <c r="H20" s="15"/>
      <c r="I20" s="177"/>
      <c r="J20" s="16"/>
      <c r="K20" s="14"/>
      <c r="L20" s="17"/>
      <c r="M20" s="37"/>
      <c r="N20" s="36"/>
      <c r="O20" s="38"/>
      <c r="P20" s="39"/>
      <c r="Q20" s="40"/>
      <c r="R20" s="190"/>
      <c r="S20" s="425"/>
      <c r="T20" s="41"/>
      <c r="U20" s="41"/>
      <c r="V20" s="177"/>
      <c r="W20" s="43">
        <f t="shared" si="13"/>
        <v>0</v>
      </c>
      <c r="X20" s="44"/>
      <c r="Y20" s="44"/>
      <c r="Z20" s="418"/>
      <c r="AA20" s="405"/>
      <c r="AB20" s="34"/>
      <c r="AC20" s="186"/>
      <c r="AD20" s="403"/>
    </row>
    <row r="21" spans="1:30" ht="15" customHeight="1">
      <c r="A21" s="433"/>
      <c r="B21" s="177"/>
      <c r="C21" s="23"/>
      <c r="D21" s="11"/>
      <c r="E21" s="12"/>
      <c r="F21" s="13"/>
      <c r="G21" s="36"/>
      <c r="H21" s="15">
        <f t="shared" si="12"/>
        <v>0</v>
      </c>
      <c r="I21" s="43"/>
      <c r="J21" s="37"/>
      <c r="K21" s="36"/>
      <c r="L21" s="38"/>
      <c r="M21" s="37"/>
      <c r="N21" s="36"/>
      <c r="O21" s="38"/>
      <c r="P21" s="39"/>
      <c r="Q21" s="40"/>
      <c r="R21" s="190"/>
      <c r="S21" s="425"/>
      <c r="T21" s="41"/>
      <c r="U21" s="41"/>
      <c r="V21" s="42"/>
      <c r="W21" s="43">
        <v>0</v>
      </c>
      <c r="X21" s="42"/>
      <c r="Y21" s="42"/>
      <c r="Z21" s="418"/>
      <c r="AA21" s="405"/>
      <c r="AB21" s="34"/>
      <c r="AC21" s="186"/>
      <c r="AD21" s="403"/>
    </row>
    <row r="22" spans="1:30" ht="15" customHeight="1">
      <c r="A22" s="433"/>
      <c r="B22" s="177"/>
      <c r="C22" s="183"/>
      <c r="D22" s="11"/>
      <c r="E22" s="12"/>
      <c r="F22" s="13"/>
      <c r="G22" s="36"/>
      <c r="H22" s="15">
        <f t="shared" si="12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90"/>
      <c r="S22" s="425"/>
      <c r="T22" s="41"/>
      <c r="U22" s="41"/>
      <c r="V22" s="42"/>
      <c r="W22" s="43">
        <v>0</v>
      </c>
      <c r="X22" s="42"/>
      <c r="Y22" s="42"/>
      <c r="Z22" s="418"/>
      <c r="AA22" s="405"/>
      <c r="AB22" s="34"/>
      <c r="AC22" s="186"/>
      <c r="AD22" s="403"/>
    </row>
    <row r="23" spans="1:30" ht="15" customHeight="1">
      <c r="A23" s="433"/>
      <c r="B23" s="26"/>
      <c r="C23" s="27"/>
      <c r="D23" s="28"/>
      <c r="E23" s="29"/>
      <c r="F23" s="13"/>
      <c r="G23" s="36"/>
      <c r="H23" s="15">
        <f t="shared" si="12"/>
        <v>0</v>
      </c>
      <c r="I23" s="43"/>
      <c r="J23" s="37"/>
      <c r="K23" s="36"/>
      <c r="L23" s="38"/>
      <c r="M23" s="37"/>
      <c r="N23" s="36"/>
      <c r="O23" s="38"/>
      <c r="P23" s="39"/>
      <c r="Q23" s="40"/>
      <c r="R23" s="190"/>
      <c r="S23" s="425"/>
      <c r="T23" s="41"/>
      <c r="U23" s="41"/>
      <c r="W23" s="43">
        <f t="shared" si="13"/>
        <v>0</v>
      </c>
      <c r="X23" s="42"/>
      <c r="Y23" s="42"/>
      <c r="Z23" s="418"/>
      <c r="AA23" s="405"/>
      <c r="AB23" s="34"/>
      <c r="AC23" s="186"/>
      <c r="AD23" s="403"/>
    </row>
    <row r="24" spans="1:30" ht="15" customHeight="1">
      <c r="A24" s="433"/>
      <c r="B24" s="26"/>
      <c r="C24" s="27"/>
      <c r="D24" s="28"/>
      <c r="E24" s="29"/>
      <c r="F24" s="13"/>
      <c r="G24" s="36"/>
      <c r="H24" s="15">
        <f t="shared" si="12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90"/>
      <c r="S24" s="425"/>
      <c r="T24" s="41"/>
      <c r="U24" s="41"/>
      <c r="V24" s="42"/>
      <c r="W24" s="43">
        <f t="shared" si="13"/>
        <v>0</v>
      </c>
      <c r="X24" s="42"/>
      <c r="Y24" s="42"/>
      <c r="Z24" s="418"/>
      <c r="AA24" s="405"/>
      <c r="AB24" s="34"/>
      <c r="AC24" s="186"/>
      <c r="AD24" s="403"/>
    </row>
    <row r="25" spans="1:30" ht="15" customHeight="1">
      <c r="A25" s="433"/>
      <c r="B25" s="26"/>
      <c r="C25" s="27"/>
      <c r="D25" s="28"/>
      <c r="E25" s="29"/>
      <c r="F25" s="13"/>
      <c r="G25" s="36"/>
      <c r="H25" s="50">
        <f t="shared" si="12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90"/>
      <c r="S25" s="425"/>
      <c r="T25" s="41"/>
      <c r="U25" s="41"/>
      <c r="V25" s="42"/>
      <c r="W25" s="43">
        <f t="shared" si="13"/>
        <v>0</v>
      </c>
      <c r="X25" s="42"/>
      <c r="Y25" s="42"/>
      <c r="Z25" s="418"/>
      <c r="AA25" s="405"/>
      <c r="AB25" s="34"/>
      <c r="AC25" s="186"/>
      <c r="AD25" s="403"/>
    </row>
    <row r="26" spans="1:30" ht="15" customHeight="1" thickBot="1">
      <c r="A26" s="434"/>
      <c r="B26" s="132"/>
      <c r="C26" s="1" t="s">
        <v>35</v>
      </c>
      <c r="D26" s="410" t="s">
        <v>7</v>
      </c>
      <c r="E26" s="410"/>
      <c r="F26" s="133"/>
      <c r="G26" s="134"/>
      <c r="H26" s="135"/>
      <c r="I26" s="136"/>
      <c r="J26" s="134">
        <f t="shared" ref="J26:O26" si="16">AVERAGE(J16:J25)</f>
        <v>13.5</v>
      </c>
      <c r="K26" s="134">
        <f t="shared" si="16"/>
        <v>2026.25</v>
      </c>
      <c r="L26" s="137">
        <f t="shared" si="16"/>
        <v>150.22664835164835</v>
      </c>
      <c r="M26" s="134">
        <f t="shared" si="16"/>
        <v>12.75</v>
      </c>
      <c r="N26" s="134">
        <f t="shared" si="16"/>
        <v>1821.4557761492345</v>
      </c>
      <c r="O26" s="137">
        <f t="shared" si="16"/>
        <v>142.86484947763768</v>
      </c>
      <c r="P26" s="138">
        <f t="shared" ref="P26:P28" si="17">M26-J26</f>
        <v>-0.75</v>
      </c>
      <c r="Q26" s="139">
        <f t="shared" ref="Q26:Q28" si="18">O26-L26</f>
        <v>-7.3617988740106739</v>
      </c>
      <c r="R26" s="140">
        <f t="shared" ref="R26:R28" si="19">O26/L26</f>
        <v>0.95099538627275848</v>
      </c>
      <c r="S26" s="435"/>
      <c r="T26" s="141"/>
      <c r="U26" s="141"/>
      <c r="V26" s="146"/>
      <c r="W26" s="142"/>
      <c r="X26" s="143"/>
      <c r="Y26" s="143"/>
      <c r="Z26" s="420"/>
      <c r="AA26" s="391"/>
      <c r="AB26" s="119">
        <f>N26-K26</f>
        <v>-204.79422385076555</v>
      </c>
      <c r="AC26" s="187">
        <f>N26/K26</f>
        <v>0.89892943918530999</v>
      </c>
      <c r="AD26" s="404"/>
    </row>
    <row r="27" spans="1:30" ht="15" customHeight="1">
      <c r="A27" s="421" t="s">
        <v>54</v>
      </c>
      <c r="B27" s="229" t="s">
        <v>62</v>
      </c>
      <c r="C27" s="102"/>
      <c r="D27" s="103" t="s">
        <v>144</v>
      </c>
      <c r="E27" s="104"/>
      <c r="F27" s="199">
        <f>VLOOKUP(D27,廠價表!$C$1:$E$39,3,0)</f>
        <v>49.91</v>
      </c>
      <c r="G27" s="269">
        <v>2803</v>
      </c>
      <c r="H27" s="125">
        <f t="shared" ref="H27:H39" si="20">F27*G27</f>
        <v>139897.72999999998</v>
      </c>
      <c r="I27" s="126"/>
      <c r="J27" s="108">
        <f>VLOOKUP(D27,產線配置圖!$A$2:$C$38,2,0)</f>
        <v>17</v>
      </c>
      <c r="K27" s="236">
        <f>VLOOKUP(D27,產線配置圖!$A$2:$C$38,3,0)</f>
        <v>1565</v>
      </c>
      <c r="L27" s="109">
        <f>K27/J27</f>
        <v>92.058823529411768</v>
      </c>
      <c r="M27" s="144">
        <v>14</v>
      </c>
      <c r="N27" s="127">
        <f>G27/W27*60</f>
        <v>1209.9280575539569</v>
      </c>
      <c r="O27" s="128">
        <f>N27/M27</f>
        <v>86.423432682425499</v>
      </c>
      <c r="P27" s="129">
        <f t="shared" si="17"/>
        <v>-3</v>
      </c>
      <c r="Q27" s="130">
        <f t="shared" si="18"/>
        <v>-5.6353908469862688</v>
      </c>
      <c r="R27" s="189">
        <f>O27/L27</f>
        <v>0.93878489175797664</v>
      </c>
      <c r="S27" s="424">
        <f>R37</f>
        <v>0.90732528529168821</v>
      </c>
      <c r="T27" s="94">
        <v>0.28958333333333336</v>
      </c>
      <c r="U27" s="94">
        <v>0.38611111111111113</v>
      </c>
      <c r="V27" s="126"/>
      <c r="W27" s="131">
        <f t="shared" si="13"/>
        <v>139</v>
      </c>
      <c r="X27" s="126"/>
      <c r="Y27" s="126" t="s">
        <v>147</v>
      </c>
      <c r="Z27" s="427"/>
      <c r="AA27" s="400"/>
      <c r="AB27" s="225">
        <f>N27-K27</f>
        <v>-355.07194244604307</v>
      </c>
      <c r="AC27" s="291">
        <f>N27/K27</f>
        <v>0.77311696968303956</v>
      </c>
      <c r="AD27" s="401">
        <f>AC37</f>
        <v>0.76787158112873211</v>
      </c>
    </row>
    <row r="28" spans="1:30" ht="15" customHeight="1">
      <c r="A28" s="422"/>
      <c r="B28" s="56" t="str">
        <f>VLOOKUP(D28,廠價表!$C$1:$E$39,2,0)</f>
        <v>義大利麵</v>
      </c>
      <c r="C28" s="10"/>
      <c r="D28" s="11" t="s">
        <v>137</v>
      </c>
      <c r="E28" s="86"/>
      <c r="F28" s="56">
        <f>VLOOKUP(D28,廠價表!$C$1:$E$39,3,0)</f>
        <v>55.13</v>
      </c>
      <c r="G28" s="53">
        <v>2042</v>
      </c>
      <c r="H28" s="50">
        <f t="shared" si="20"/>
        <v>112575.46</v>
      </c>
      <c r="I28" s="42"/>
      <c r="J28" s="16">
        <f>VLOOKUP(D28,產線配置圖!$A$2:$C$38,2,0)</f>
        <v>18</v>
      </c>
      <c r="K28" s="14">
        <f>VLOOKUP(D28,產線配置圖!$A$2:$C$38,3,0)</f>
        <v>1385</v>
      </c>
      <c r="L28" s="235">
        <f>K28/J28</f>
        <v>76.944444444444443</v>
      </c>
      <c r="M28" s="21">
        <v>14</v>
      </c>
      <c r="N28" s="36">
        <f>G28/W28*60</f>
        <v>1074.7368421052631</v>
      </c>
      <c r="O28" s="38">
        <f>N28/M28</f>
        <v>76.766917293233078</v>
      </c>
      <c r="P28" s="39">
        <f t="shared" si="17"/>
        <v>-4</v>
      </c>
      <c r="Q28" s="40">
        <f t="shared" si="18"/>
        <v>-0.17752715121136475</v>
      </c>
      <c r="R28" s="190">
        <f t="shared" si="19"/>
        <v>0.99769278792649485</v>
      </c>
      <c r="S28" s="425"/>
      <c r="T28" s="270">
        <v>0.39097222222222222</v>
      </c>
      <c r="U28" s="270">
        <v>0.47013888888888888</v>
      </c>
      <c r="V28" s="42">
        <f>(T28-U27)*24*60</f>
        <v>6.9999999999999751</v>
      </c>
      <c r="W28" s="43">
        <f t="shared" si="13"/>
        <v>114</v>
      </c>
      <c r="X28" s="54"/>
      <c r="Y28" s="54"/>
      <c r="Z28" s="418"/>
      <c r="AA28" s="419"/>
      <c r="AB28" s="39">
        <f>N28-K28</f>
        <v>-310.26315789473688</v>
      </c>
      <c r="AC28" s="190">
        <f>N28/K28</f>
        <v>0.77598327949838497</v>
      </c>
      <c r="AD28" s="447"/>
    </row>
    <row r="29" spans="1:30" ht="15" customHeight="1">
      <c r="A29" s="422"/>
      <c r="B29" s="56" t="str">
        <f>VLOOKUP(D29,廠價表!$C$1:$E$39,2,0)</f>
        <v>義大利麵</v>
      </c>
      <c r="C29" s="10"/>
      <c r="D29" s="11" t="s">
        <v>158</v>
      </c>
      <c r="E29" s="86"/>
      <c r="F29" s="56">
        <f>VLOOKUP(D29,廠價表!$C$1:$E$39,3,0)</f>
        <v>47.71</v>
      </c>
      <c r="G29" s="53">
        <v>2076</v>
      </c>
      <c r="H29" s="50">
        <f t="shared" ref="H29" si="21">F29*G29</f>
        <v>99045.96</v>
      </c>
      <c r="I29" s="42"/>
      <c r="J29" s="16">
        <f>VLOOKUP(D29,產線配置圖!$A$2:$C$38,2,0)</f>
        <v>15</v>
      </c>
      <c r="K29" s="14">
        <f>VLOOKUP(D29,產線配置圖!$A$2:$C$38,3,0)</f>
        <v>1500</v>
      </c>
      <c r="L29" s="235">
        <f>K29/J29</f>
        <v>100</v>
      </c>
      <c r="M29" s="21">
        <v>14</v>
      </c>
      <c r="N29" s="36">
        <f>G29/W29*60</f>
        <v>1132.3636363636372</v>
      </c>
      <c r="O29" s="38">
        <f>N29/M29</f>
        <v>80.883116883116941</v>
      </c>
      <c r="P29" s="39">
        <f t="shared" ref="P29" si="22">M29-J29</f>
        <v>-1</v>
      </c>
      <c r="Q29" s="40">
        <f t="shared" ref="Q29" si="23">O29-L29</f>
        <v>-19.116883116883059</v>
      </c>
      <c r="R29" s="190">
        <f t="shared" ref="R29" si="24">O29/L29</f>
        <v>0.80883116883116946</v>
      </c>
      <c r="S29" s="425"/>
      <c r="T29" s="41">
        <v>0.53125</v>
      </c>
      <c r="U29" s="41">
        <v>0.60763888888888884</v>
      </c>
      <c r="V29" s="42">
        <f>(T29-U28)*24*60</f>
        <v>88</v>
      </c>
      <c r="W29" s="43">
        <f t="shared" si="13"/>
        <v>109.99999999999993</v>
      </c>
      <c r="X29" s="54">
        <v>0.47916666666666669</v>
      </c>
      <c r="Y29" s="54">
        <v>0.52083333333333337</v>
      </c>
      <c r="Z29" s="418"/>
      <c r="AA29" s="419"/>
      <c r="AB29" s="292">
        <f>N29-K29</f>
        <v>-367.63636363636283</v>
      </c>
      <c r="AC29" s="190">
        <f>N29/K29</f>
        <v>0.75490909090909142</v>
      </c>
      <c r="AD29" s="447"/>
    </row>
    <row r="30" spans="1:30" ht="15" customHeight="1">
      <c r="A30" s="422"/>
      <c r="B30" s="56"/>
      <c r="C30" s="237"/>
      <c r="D30" s="11"/>
      <c r="E30" s="29"/>
      <c r="F30" s="56"/>
      <c r="G30" s="238"/>
      <c r="H30" s="50"/>
      <c r="I30" s="42"/>
      <c r="J30" s="16"/>
      <c r="K30" s="14"/>
      <c r="L30" s="235"/>
      <c r="M30" s="21"/>
      <c r="N30" s="36"/>
      <c r="O30" s="38"/>
      <c r="P30" s="39"/>
      <c r="Q30" s="40"/>
      <c r="R30" s="190"/>
      <c r="S30" s="425"/>
      <c r="T30" s="41"/>
      <c r="U30" s="41"/>
      <c r="V30" s="42"/>
      <c r="W30" s="43">
        <f t="shared" si="13"/>
        <v>0</v>
      </c>
      <c r="X30" s="54"/>
      <c r="Y30" s="54"/>
      <c r="Z30" s="449"/>
      <c r="AA30" s="450"/>
      <c r="AB30" s="34"/>
      <c r="AC30" s="293"/>
      <c r="AD30" s="448"/>
    </row>
    <row r="31" spans="1:30" ht="15" customHeight="1">
      <c r="A31" s="422"/>
      <c r="B31" s="56"/>
      <c r="C31" s="10"/>
      <c r="D31" s="28"/>
      <c r="E31" s="86"/>
      <c r="F31" s="56"/>
      <c r="G31" s="238"/>
      <c r="H31" s="239"/>
      <c r="I31" s="81"/>
      <c r="J31" s="16"/>
      <c r="K31" s="14"/>
      <c r="L31" s="235"/>
      <c r="M31" s="21"/>
      <c r="N31" s="36"/>
      <c r="O31" s="38"/>
      <c r="P31" s="39"/>
      <c r="Q31" s="40"/>
      <c r="R31" s="190"/>
      <c r="S31" s="425"/>
      <c r="T31" s="41"/>
      <c r="U31" s="41"/>
      <c r="V31" s="42"/>
      <c r="W31" s="43">
        <f t="shared" si="13"/>
        <v>0</v>
      </c>
      <c r="X31" s="54"/>
      <c r="Y31" s="54"/>
      <c r="Z31" s="449"/>
      <c r="AA31" s="450"/>
      <c r="AB31" s="257"/>
      <c r="AC31" s="258"/>
      <c r="AD31" s="403"/>
    </row>
    <row r="32" spans="1:30" ht="15" customHeight="1">
      <c r="A32" s="422"/>
      <c r="B32" s="56"/>
      <c r="C32" s="252"/>
      <c r="D32" s="253"/>
      <c r="E32" s="254"/>
      <c r="F32" s="56"/>
      <c r="G32" s="53"/>
      <c r="H32" s="50"/>
      <c r="I32" s="42"/>
      <c r="J32" s="255"/>
      <c r="K32" s="36"/>
      <c r="L32" s="256"/>
      <c r="M32" s="21"/>
      <c r="N32" s="36"/>
      <c r="O32" s="38"/>
      <c r="P32" s="39"/>
      <c r="Q32" s="40"/>
      <c r="R32" s="190"/>
      <c r="S32" s="425"/>
      <c r="T32" s="41"/>
      <c r="U32" s="41"/>
      <c r="V32" s="42"/>
      <c r="W32" s="43">
        <f t="shared" si="13"/>
        <v>0</v>
      </c>
      <c r="X32" s="54"/>
      <c r="Y32" s="54"/>
      <c r="Z32" s="418"/>
      <c r="AA32" s="405"/>
      <c r="AB32" s="18"/>
      <c r="AC32" s="185"/>
      <c r="AD32" s="403"/>
    </row>
    <row r="33" spans="1:30" ht="15" customHeight="1">
      <c r="A33" s="422"/>
      <c r="B33" s="240"/>
      <c r="C33" s="241"/>
      <c r="D33" s="242"/>
      <c r="E33" s="243"/>
      <c r="F33" s="223"/>
      <c r="G33" s="244"/>
      <c r="H33" s="245">
        <f t="shared" si="20"/>
        <v>0</v>
      </c>
      <c r="I33" s="246"/>
      <c r="J33" s="247"/>
      <c r="K33" s="45"/>
      <c r="M33" s="248"/>
      <c r="N33" s="45"/>
      <c r="O33" s="46"/>
      <c r="P33" s="47"/>
      <c r="Q33" s="48"/>
      <c r="R33" s="49"/>
      <c r="S33" s="425"/>
      <c r="T33" s="41"/>
      <c r="U33" s="41"/>
      <c r="V33" s="42"/>
      <c r="W33" s="43">
        <f t="shared" si="13"/>
        <v>0</v>
      </c>
      <c r="X33" s="54"/>
      <c r="Y33" s="54"/>
      <c r="Z33" s="418"/>
      <c r="AA33" s="405"/>
      <c r="AB33" s="18"/>
      <c r="AC33" s="57"/>
      <c r="AD33" s="403"/>
    </row>
    <row r="34" spans="1:30" ht="15" customHeight="1">
      <c r="A34" s="422"/>
      <c r="B34" s="231"/>
      <c r="C34" s="27"/>
      <c r="D34" s="28"/>
      <c r="E34" s="29"/>
      <c r="F34" s="13"/>
      <c r="G34" s="53"/>
      <c r="H34" s="50">
        <f t="shared" si="20"/>
        <v>0</v>
      </c>
      <c r="I34" s="42"/>
      <c r="J34" s="37"/>
      <c r="K34" s="36"/>
      <c r="L34" s="38"/>
      <c r="M34" s="21"/>
      <c r="N34" s="36"/>
      <c r="O34" s="38"/>
      <c r="P34" s="39"/>
      <c r="Q34" s="40"/>
      <c r="R34" s="190"/>
      <c r="S34" s="425"/>
      <c r="T34" s="41"/>
      <c r="U34" s="41"/>
      <c r="V34" s="42"/>
      <c r="W34" s="43">
        <f t="shared" si="13"/>
        <v>0</v>
      </c>
      <c r="X34" s="54"/>
      <c r="Y34" s="54"/>
      <c r="Z34" s="418"/>
      <c r="AA34" s="405"/>
      <c r="AB34" s="18"/>
      <c r="AC34" s="57"/>
      <c r="AD34" s="403"/>
    </row>
    <row r="35" spans="1:30" ht="15" customHeight="1">
      <c r="A35" s="422"/>
      <c r="B35" s="231"/>
      <c r="C35" s="27"/>
      <c r="D35" s="28"/>
      <c r="E35" s="29"/>
      <c r="F35" s="13"/>
      <c r="G35" s="53"/>
      <c r="H35" s="50">
        <f t="shared" si="20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90"/>
      <c r="S35" s="425"/>
      <c r="T35" s="41"/>
      <c r="U35" s="41"/>
      <c r="V35" s="42"/>
      <c r="W35" s="43">
        <f t="shared" si="13"/>
        <v>0</v>
      </c>
      <c r="X35" s="54"/>
      <c r="Y35" s="54"/>
      <c r="Z35" s="418"/>
      <c r="AA35" s="405"/>
      <c r="AB35" s="18"/>
      <c r="AC35" s="57"/>
      <c r="AD35" s="403"/>
    </row>
    <row r="36" spans="1:30" ht="15" customHeight="1">
      <c r="A36" s="422"/>
      <c r="B36" s="232"/>
      <c r="C36" s="27"/>
      <c r="D36" s="28"/>
      <c r="E36" s="29"/>
      <c r="F36" s="13"/>
      <c r="G36" s="53"/>
      <c r="H36" s="50">
        <f t="shared" si="20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90"/>
      <c r="S36" s="425"/>
      <c r="T36" s="41"/>
      <c r="U36" s="41"/>
      <c r="V36" s="42"/>
      <c r="W36" s="43">
        <f t="shared" si="13"/>
        <v>0</v>
      </c>
      <c r="X36" s="54"/>
      <c r="Y36" s="54"/>
      <c r="Z36" s="418"/>
      <c r="AA36" s="405"/>
      <c r="AB36" s="18"/>
      <c r="AC36" s="57"/>
      <c r="AD36" s="403"/>
    </row>
    <row r="37" spans="1:30" ht="15" customHeight="1" thickBot="1">
      <c r="A37" s="423"/>
      <c r="B37" s="300"/>
      <c r="C37" s="301" t="s">
        <v>36</v>
      </c>
      <c r="D37" s="428" t="s">
        <v>7</v>
      </c>
      <c r="E37" s="429"/>
      <c r="F37" s="281"/>
      <c r="G37" s="282"/>
      <c r="H37" s="283"/>
      <c r="I37" s="284"/>
      <c r="J37" s="285">
        <f t="shared" ref="J37:O37" si="25">AVERAGE(J27:J36)</f>
        <v>16.666666666666668</v>
      </c>
      <c r="K37" s="285">
        <f t="shared" si="25"/>
        <v>1483.3333333333333</v>
      </c>
      <c r="L37" s="286">
        <f t="shared" si="25"/>
        <v>89.667755991285404</v>
      </c>
      <c r="M37" s="285">
        <f t="shared" si="25"/>
        <v>14</v>
      </c>
      <c r="N37" s="285">
        <f t="shared" si="25"/>
        <v>1139.0095120076192</v>
      </c>
      <c r="O37" s="286">
        <f t="shared" si="25"/>
        <v>81.357822286258511</v>
      </c>
      <c r="P37" s="73">
        <f>M37-J37</f>
        <v>-2.6666666666666679</v>
      </c>
      <c r="Q37" s="74">
        <f>N37-K37</f>
        <v>-344.32382132571411</v>
      </c>
      <c r="R37" s="287">
        <f t="shared" ref="R37:R39" si="26">O37/L37</f>
        <v>0.90732528529168821</v>
      </c>
      <c r="S37" s="426"/>
      <c r="T37" s="302"/>
      <c r="U37" s="302"/>
      <c r="V37" s="81"/>
      <c r="W37" s="81"/>
      <c r="X37" s="303"/>
      <c r="Y37" s="303"/>
      <c r="Z37" s="430"/>
      <c r="AA37" s="379"/>
      <c r="AB37" s="34">
        <f t="shared" ref="AB37:AB39" si="27">N37-K37</f>
        <v>-344.32382132571411</v>
      </c>
      <c r="AC37" s="186">
        <f t="shared" ref="AC37:AC39" si="28">N37/K37</f>
        <v>0.76787158112873211</v>
      </c>
      <c r="AD37" s="403"/>
    </row>
    <row r="38" spans="1:30" s="62" customFormat="1" ht="15" customHeight="1">
      <c r="A38" s="454" t="s">
        <v>55</v>
      </c>
      <c r="B38" s="229" t="s">
        <v>134</v>
      </c>
      <c r="C38" s="199"/>
      <c r="D38" s="304" t="s">
        <v>156</v>
      </c>
      <c r="E38" s="280"/>
      <c r="F38" s="305">
        <f>VLOOKUP(D38,廠價表!$C$1:$E$39,3,0)</f>
        <v>56.43</v>
      </c>
      <c r="G38" s="266">
        <v>3166</v>
      </c>
      <c r="H38" s="50">
        <f t="shared" si="20"/>
        <v>178657.38</v>
      </c>
      <c r="I38" s="126"/>
      <c r="J38" s="274">
        <f>VLOOKUP(D38,產線配置圖!$A$2:$C$38,2,0)</f>
        <v>15</v>
      </c>
      <c r="K38" s="236">
        <f>VLOOKUP(D38,產線配置圖!$A$2:$C$38,3,0)</f>
        <v>1406</v>
      </c>
      <c r="L38" s="288">
        <f t="shared" ref="L38:L39" si="29">K38/J38</f>
        <v>93.733333333333334</v>
      </c>
      <c r="M38" s="289">
        <v>15</v>
      </c>
      <c r="N38" s="127">
        <f>G38/W38*60</f>
        <v>1130.7142857142853</v>
      </c>
      <c r="O38" s="128">
        <f>N38/M38</f>
        <v>75.380952380952351</v>
      </c>
      <c r="P38" s="129">
        <f t="shared" ref="P38:P39" si="30">M38-J38</f>
        <v>0</v>
      </c>
      <c r="Q38" s="130">
        <f t="shared" ref="Q38:Q39" si="31">O38-L38</f>
        <v>-18.352380952380983</v>
      </c>
      <c r="R38" s="189">
        <f t="shared" si="26"/>
        <v>0.80420646210119862</v>
      </c>
      <c r="S38" s="457">
        <f>R48</f>
        <v>0.83806793946528757</v>
      </c>
      <c r="T38" s="151">
        <v>0.33124999999999999</v>
      </c>
      <c r="U38" s="151">
        <v>0.44791666666666669</v>
      </c>
      <c r="V38" s="148"/>
      <c r="W38" s="152">
        <f t="shared" si="13"/>
        <v>168.00000000000006</v>
      </c>
      <c r="X38" s="150"/>
      <c r="Y38" s="153"/>
      <c r="Z38" s="478"/>
      <c r="AA38" s="460"/>
      <c r="AB38" s="290">
        <f t="shared" si="27"/>
        <v>-275.28571428571468</v>
      </c>
      <c r="AC38" s="154">
        <f t="shared" si="28"/>
        <v>0.80420646210119862</v>
      </c>
      <c r="AD38" s="436">
        <f>AC48</f>
        <v>0.83806793946528746</v>
      </c>
    </row>
    <row r="39" spans="1:30" s="62" customFormat="1" ht="15" customHeight="1">
      <c r="A39" s="455"/>
      <c r="B39" s="56" t="s">
        <v>134</v>
      </c>
      <c r="C39" s="277"/>
      <c r="D39" s="279" t="s">
        <v>154</v>
      </c>
      <c r="E39" s="278"/>
      <c r="F39" s="56">
        <f>VLOOKUP(D39,廠價表!$C$1:$E$39,3,0)</f>
        <v>57.3</v>
      </c>
      <c r="G39" s="276">
        <v>725</v>
      </c>
      <c r="H39" s="50">
        <f t="shared" si="20"/>
        <v>41542.5</v>
      </c>
      <c r="I39" s="64"/>
      <c r="J39" s="37">
        <f>VLOOKUP(D39,產線配置圖!$A$2:$C$38,2,0)</f>
        <v>15</v>
      </c>
      <c r="K39" s="36">
        <f>VLOOKUP(D39,產線配置圖!$A$2:$C$38,3,0)</f>
        <v>1385</v>
      </c>
      <c r="L39" s="38">
        <f t="shared" si="29"/>
        <v>92.333333333333329</v>
      </c>
      <c r="M39" s="65">
        <v>15</v>
      </c>
      <c r="N39" s="66">
        <f>G39/W39*60</f>
        <v>1208.3333333333323</v>
      </c>
      <c r="O39" s="67">
        <f t="shared" ref="O39" si="32">N39/M39</f>
        <v>80.555555555555486</v>
      </c>
      <c r="P39" s="39">
        <f t="shared" si="30"/>
        <v>0</v>
      </c>
      <c r="Q39" s="40">
        <f t="shared" si="31"/>
        <v>-11.777777777777843</v>
      </c>
      <c r="R39" s="190">
        <f t="shared" si="26"/>
        <v>0.87244283995186456</v>
      </c>
      <c r="S39" s="458"/>
      <c r="T39" s="59">
        <v>0.4548611111111111</v>
      </c>
      <c r="U39" s="59">
        <v>0.47986111111111113</v>
      </c>
      <c r="V39" s="42">
        <f>(T39-U38)*24*60</f>
        <v>9.9999999999999645</v>
      </c>
      <c r="W39" s="69">
        <f t="shared" si="13"/>
        <v>36.000000000000028</v>
      </c>
      <c r="X39" s="22"/>
      <c r="Y39" s="22"/>
      <c r="Z39" s="439"/>
      <c r="AA39" s="440"/>
      <c r="AB39" s="271">
        <f t="shared" si="27"/>
        <v>-176.66666666666765</v>
      </c>
      <c r="AC39" s="61">
        <f t="shared" si="28"/>
        <v>0.87244283995186456</v>
      </c>
      <c r="AD39" s="437"/>
    </row>
    <row r="40" spans="1:30" s="62" customFormat="1" ht="15" customHeight="1">
      <c r="A40" s="455"/>
      <c r="B40" s="56"/>
      <c r="C40" s="275"/>
      <c r="D40" s="279"/>
      <c r="E40" s="243"/>
      <c r="F40" s="56"/>
      <c r="G40" s="276"/>
      <c r="H40" s="63"/>
      <c r="I40" s="64"/>
      <c r="J40" s="37"/>
      <c r="K40" s="36"/>
      <c r="L40" s="38"/>
      <c r="M40" s="65"/>
      <c r="N40" s="66"/>
      <c r="O40" s="67"/>
      <c r="P40" s="39"/>
      <c r="Q40" s="40"/>
      <c r="R40" s="190"/>
      <c r="S40" s="397"/>
      <c r="T40" s="59"/>
      <c r="U40" s="59"/>
      <c r="V40" s="42"/>
      <c r="W40" s="69">
        <f t="shared" si="13"/>
        <v>0</v>
      </c>
      <c r="X40" s="70"/>
      <c r="Y40" s="259"/>
      <c r="Z40" s="439"/>
      <c r="AA40" s="440"/>
      <c r="AB40" s="271"/>
      <c r="AC40" s="61"/>
      <c r="AD40" s="437"/>
    </row>
    <row r="41" spans="1:30" s="62" customFormat="1" ht="15" customHeight="1">
      <c r="A41" s="455"/>
      <c r="B41" s="56"/>
      <c r="C41" s="275"/>
      <c r="D41" s="279"/>
      <c r="E41" s="243"/>
      <c r="F41" s="56"/>
      <c r="G41" s="276"/>
      <c r="H41" s="63"/>
      <c r="I41" s="64"/>
      <c r="J41" s="37"/>
      <c r="K41" s="36"/>
      <c r="L41" s="38"/>
      <c r="M41" s="65"/>
      <c r="N41" s="66"/>
      <c r="O41" s="67"/>
      <c r="P41" s="39"/>
      <c r="Q41" s="40"/>
      <c r="R41" s="190"/>
      <c r="S41" s="397"/>
      <c r="T41" s="59"/>
      <c r="U41" s="59"/>
      <c r="V41" s="42"/>
      <c r="W41" s="69">
        <f t="shared" si="13"/>
        <v>0</v>
      </c>
      <c r="X41" s="70"/>
      <c r="Y41" s="259"/>
      <c r="Z41" s="439"/>
      <c r="AA41" s="440"/>
      <c r="AB41" s="271"/>
      <c r="AC41" s="61"/>
      <c r="AD41" s="437"/>
    </row>
    <row r="42" spans="1:30" s="62" customFormat="1" ht="15" customHeight="1">
      <c r="A42" s="455"/>
      <c r="B42" s="56"/>
      <c r="C42" s="23"/>
      <c r="D42" s="11"/>
      <c r="E42" s="12"/>
      <c r="F42" s="56"/>
      <c r="G42" s="99"/>
      <c r="H42" s="63"/>
      <c r="I42" s="64"/>
      <c r="J42" s="16"/>
      <c r="K42" s="14"/>
      <c r="L42" s="17"/>
      <c r="M42" s="65"/>
      <c r="N42" s="66"/>
      <c r="O42" s="67"/>
      <c r="P42" s="39"/>
      <c r="Q42" s="40"/>
      <c r="R42" s="68"/>
      <c r="S42" s="397"/>
      <c r="T42" s="75"/>
      <c r="U42" s="75"/>
      <c r="V42" s="42"/>
      <c r="W42" s="69">
        <f t="shared" si="13"/>
        <v>0</v>
      </c>
      <c r="X42" s="70"/>
      <c r="Y42" s="60"/>
      <c r="Z42" s="445"/>
      <c r="AA42" s="446"/>
      <c r="AB42" s="271"/>
      <c r="AC42" s="61"/>
      <c r="AD42" s="437"/>
    </row>
    <row r="43" spans="1:30" s="62" customFormat="1" ht="15" customHeight="1">
      <c r="A43" s="455"/>
      <c r="B43" s="230"/>
      <c r="C43" s="23"/>
      <c r="D43" s="11"/>
      <c r="E43" s="12"/>
      <c r="F43" s="13"/>
      <c r="G43" s="100"/>
      <c r="H43" s="63">
        <f t="shared" ref="H43:H47" si="33">F43*G43</f>
        <v>0</v>
      </c>
      <c r="I43" s="64"/>
      <c r="J43" s="65"/>
      <c r="K43" s="66"/>
      <c r="L43" s="67"/>
      <c r="M43" s="65"/>
      <c r="N43" s="66"/>
      <c r="O43" s="67"/>
      <c r="P43" s="39"/>
      <c r="Q43" s="40"/>
      <c r="R43" s="68"/>
      <c r="S43" s="397"/>
      <c r="T43" s="75"/>
      <c r="U43" s="75"/>
      <c r="V43" s="64"/>
      <c r="W43" s="69">
        <f>(U43-T43)*24*60</f>
        <v>0</v>
      </c>
      <c r="X43" s="70"/>
      <c r="Y43" s="67"/>
      <c r="Z43" s="405"/>
      <c r="AA43" s="405"/>
      <c r="AB43" s="71"/>
      <c r="AC43" s="61"/>
      <c r="AD43" s="437"/>
    </row>
    <row r="44" spans="1:30" s="62" customFormat="1" ht="15" customHeight="1">
      <c r="A44" s="455"/>
      <c r="B44" s="230"/>
      <c r="C44" s="183"/>
      <c r="D44" s="11"/>
      <c r="E44" s="12"/>
      <c r="F44" s="13"/>
      <c r="G44" s="100"/>
      <c r="H44" s="63">
        <f t="shared" si="33"/>
        <v>0</v>
      </c>
      <c r="I44" s="64"/>
      <c r="J44" s="65"/>
      <c r="K44" s="66"/>
      <c r="L44" s="58"/>
      <c r="M44" s="65"/>
      <c r="N44" s="66"/>
      <c r="O44" s="67"/>
      <c r="P44" s="39"/>
      <c r="Q44" s="40"/>
      <c r="R44" s="68"/>
      <c r="S44" s="397"/>
      <c r="T44" s="59"/>
      <c r="U44" s="59"/>
      <c r="V44" s="64"/>
      <c r="W44" s="69">
        <f t="shared" ref="W44:W48" si="34">(U44-T44)*24*60</f>
        <v>0</v>
      </c>
      <c r="X44" s="70"/>
      <c r="Y44" s="67"/>
      <c r="Z44" s="405"/>
      <c r="AA44" s="405"/>
      <c r="AB44" s="71"/>
      <c r="AC44" s="61"/>
      <c r="AD44" s="437"/>
    </row>
    <row r="45" spans="1:30" s="62" customFormat="1" ht="15" customHeight="1">
      <c r="A45" s="455"/>
      <c r="B45" s="231"/>
      <c r="C45" s="27"/>
      <c r="D45" s="28"/>
      <c r="E45" s="29"/>
      <c r="F45" s="13"/>
      <c r="G45" s="66"/>
      <c r="H45" s="63">
        <f t="shared" si="33"/>
        <v>0</v>
      </c>
      <c r="I45" s="64"/>
      <c r="J45" s="65"/>
      <c r="K45" s="66"/>
      <c r="L45" s="67"/>
      <c r="M45" s="65"/>
      <c r="N45" s="66"/>
      <c r="O45" s="67"/>
      <c r="P45" s="39"/>
      <c r="Q45" s="40"/>
      <c r="R45" s="68"/>
      <c r="S45" s="397"/>
      <c r="T45" s="75"/>
      <c r="U45" s="75"/>
      <c r="V45" s="64"/>
      <c r="W45" s="69">
        <f t="shared" si="34"/>
        <v>0</v>
      </c>
      <c r="X45" s="70"/>
      <c r="Y45" s="67"/>
      <c r="Z45" s="405"/>
      <c r="AA45" s="405"/>
      <c r="AB45" s="71"/>
      <c r="AC45" s="61"/>
      <c r="AD45" s="437"/>
    </row>
    <row r="46" spans="1:30" s="62" customFormat="1" ht="15" customHeight="1">
      <c r="A46" s="455"/>
      <c r="B46" s="231"/>
      <c r="C46" s="27"/>
      <c r="D46" s="28"/>
      <c r="E46" s="29"/>
      <c r="F46" s="13"/>
      <c r="G46" s="66"/>
      <c r="H46" s="63">
        <f t="shared" si="33"/>
        <v>0</v>
      </c>
      <c r="I46" s="64"/>
      <c r="J46" s="65"/>
      <c r="K46" s="66"/>
      <c r="L46" s="67"/>
      <c r="M46" s="65"/>
      <c r="N46" s="66"/>
      <c r="O46" s="67"/>
      <c r="P46" s="39"/>
      <c r="Q46" s="40"/>
      <c r="R46" s="68"/>
      <c r="S46" s="397"/>
      <c r="T46" s="59"/>
      <c r="U46" s="59"/>
      <c r="V46" s="64"/>
      <c r="W46" s="69">
        <f t="shared" si="34"/>
        <v>0</v>
      </c>
      <c r="X46" s="70"/>
      <c r="Y46" s="67"/>
      <c r="Z46" s="405"/>
      <c r="AA46" s="405"/>
      <c r="AB46" s="71"/>
      <c r="AC46" s="61"/>
      <c r="AD46" s="437"/>
    </row>
    <row r="47" spans="1:30" s="62" customFormat="1" ht="15" customHeight="1">
      <c r="A47" s="455"/>
      <c r="B47" s="230"/>
      <c r="C47" s="27"/>
      <c r="D47" s="28"/>
      <c r="E47" s="29"/>
      <c r="F47" s="13"/>
      <c r="G47" s="66"/>
      <c r="H47" s="63">
        <f t="shared" si="33"/>
        <v>0</v>
      </c>
      <c r="I47" s="64"/>
      <c r="J47" s="65"/>
      <c r="K47" s="66"/>
      <c r="L47" s="67"/>
      <c r="M47" s="65"/>
      <c r="N47" s="66"/>
      <c r="O47" s="67"/>
      <c r="P47" s="39"/>
      <c r="Q47" s="40"/>
      <c r="R47" s="68"/>
      <c r="S47" s="397"/>
      <c r="T47" s="75"/>
      <c r="U47" s="75"/>
      <c r="V47" s="64"/>
      <c r="W47" s="69">
        <f t="shared" si="34"/>
        <v>0</v>
      </c>
      <c r="X47" s="70"/>
      <c r="Y47" s="67"/>
      <c r="Z47" s="405"/>
      <c r="AA47" s="405"/>
      <c r="AB47" s="71"/>
      <c r="AC47" s="61"/>
      <c r="AD47" s="437"/>
    </row>
    <row r="48" spans="1:30" ht="15" customHeight="1" thickBot="1">
      <c r="A48" s="456"/>
      <c r="B48" s="156"/>
      <c r="C48" s="1" t="s">
        <v>37</v>
      </c>
      <c r="D48" s="410" t="s">
        <v>7</v>
      </c>
      <c r="E48" s="410"/>
      <c r="F48" s="133"/>
      <c r="G48" s="145"/>
      <c r="H48" s="135"/>
      <c r="I48" s="136"/>
      <c r="J48" s="134">
        <f t="shared" ref="J48:O48" si="35">AVERAGE(J38:J47)</f>
        <v>15</v>
      </c>
      <c r="K48" s="134">
        <f t="shared" si="35"/>
        <v>1395.5</v>
      </c>
      <c r="L48" s="137">
        <f t="shared" si="35"/>
        <v>93.033333333333331</v>
      </c>
      <c r="M48" s="134">
        <f t="shared" si="35"/>
        <v>15</v>
      </c>
      <c r="N48" s="134">
        <f t="shared" si="35"/>
        <v>1169.5238095238087</v>
      </c>
      <c r="O48" s="137">
        <f t="shared" si="35"/>
        <v>77.968253968253919</v>
      </c>
      <c r="P48" s="157">
        <f>M48-J48</f>
        <v>0</v>
      </c>
      <c r="Q48" s="158">
        <f>N48-K48</f>
        <v>-225.97619047619128</v>
      </c>
      <c r="R48" s="159">
        <f>O48/L48</f>
        <v>0.83806793946528757</v>
      </c>
      <c r="S48" s="399"/>
      <c r="T48" s="160"/>
      <c r="U48" s="160"/>
      <c r="V48" s="196"/>
      <c r="W48" s="161">
        <f t="shared" si="34"/>
        <v>0</v>
      </c>
      <c r="X48" s="162"/>
      <c r="Y48" s="162"/>
      <c r="Z48" s="391"/>
      <c r="AA48" s="391"/>
      <c r="AB48" s="163">
        <f>N48-K48</f>
        <v>-225.97619047619128</v>
      </c>
      <c r="AC48" s="191">
        <f>N48/K48</f>
        <v>0.83806793946528746</v>
      </c>
      <c r="AD48" s="438"/>
    </row>
    <row r="49" spans="1:30" ht="15" customHeight="1">
      <c r="A49" s="451" t="s">
        <v>56</v>
      </c>
      <c r="B49" s="199" t="str">
        <f>VLOOKUP(D49,廠價表!$C$1:$E$39,2,0)</f>
        <v>義大利麵</v>
      </c>
      <c r="C49" s="102"/>
      <c r="D49" s="103" t="s">
        <v>152</v>
      </c>
      <c r="E49" s="104"/>
      <c r="F49" s="199">
        <f>VLOOKUP(D49,廠價表!$C$1:$E$39,3,0)</f>
        <v>56.87</v>
      </c>
      <c r="G49" s="149">
        <v>2620</v>
      </c>
      <c r="H49" s="125">
        <f t="shared" ref="H49:H57" si="36">F49*G49</f>
        <v>148999.4</v>
      </c>
      <c r="I49" s="126"/>
      <c r="J49" s="108">
        <f>VLOOKUP(D49,產線配置圖!$A$2:$C$38,2,0)</f>
        <v>19</v>
      </c>
      <c r="K49" s="105">
        <f>VLOOKUP(D49,產線配置圖!$A$2:$C$38,3,0)</f>
        <v>1565</v>
      </c>
      <c r="L49" s="109">
        <f>K49/J49</f>
        <v>82.368421052631575</v>
      </c>
      <c r="M49" s="144">
        <v>19</v>
      </c>
      <c r="N49" s="127">
        <f>G49/W49*60</f>
        <v>1541.176470588236</v>
      </c>
      <c r="O49" s="128">
        <f>N49/M49</f>
        <v>81.114551083591365</v>
      </c>
      <c r="P49" s="164">
        <f>M49-J49</f>
        <v>0</v>
      </c>
      <c r="Q49" s="112">
        <f>O49-L49</f>
        <v>-1.2538699690402098</v>
      </c>
      <c r="R49" s="184">
        <f>O49/L49</f>
        <v>0.98477729750047027</v>
      </c>
      <c r="S49" s="396">
        <f>R58</f>
        <v>0.94074993514645344</v>
      </c>
      <c r="T49" s="151">
        <v>0.2902777777777778</v>
      </c>
      <c r="U49" s="151">
        <v>0.3611111111111111</v>
      </c>
      <c r="V49" s="188"/>
      <c r="W49" s="152">
        <f t="shared" si="13"/>
        <v>101.99999999999996</v>
      </c>
      <c r="X49" s="188"/>
      <c r="Y49" s="188"/>
      <c r="Z49" s="400"/>
      <c r="AA49" s="400"/>
      <c r="AB49" s="111">
        <f>N49-K49</f>
        <v>-23.823529411763957</v>
      </c>
      <c r="AC49" s="184">
        <f>N49/K49</f>
        <v>0.98477729750047027</v>
      </c>
      <c r="AD49" s="401">
        <f>AC58</f>
        <v>0.94151099796286764</v>
      </c>
    </row>
    <row r="50" spans="1:30" ht="15" customHeight="1">
      <c r="A50" s="452"/>
      <c r="B50" s="56" t="str">
        <f>VLOOKUP(D50,廠價表!$C$1:$E$39,2,0)</f>
        <v>義大利麵</v>
      </c>
      <c r="C50" s="10"/>
      <c r="D50" s="11" t="s">
        <v>65</v>
      </c>
      <c r="E50" s="86"/>
      <c r="F50" s="56">
        <f>VLOOKUP(D50,廠價表!$C$1:$E$39,3,0)</f>
        <v>49.97</v>
      </c>
      <c r="G50" s="66">
        <v>2980</v>
      </c>
      <c r="H50" s="76">
        <f t="shared" si="36"/>
        <v>148910.6</v>
      </c>
      <c r="I50" s="193"/>
      <c r="J50" s="16">
        <f>VLOOKUP(D50,產線配置圖!$A$2:$C$38,2,0)</f>
        <v>18</v>
      </c>
      <c r="K50" s="14">
        <f>VLOOKUP(D50,產線配置圖!$A$2:$C$38,3,0)</f>
        <v>1600</v>
      </c>
      <c r="L50" s="17">
        <f>K50/J50</f>
        <v>88.888888888888886</v>
      </c>
      <c r="M50" s="174">
        <v>18</v>
      </c>
      <c r="N50" s="77">
        <f>G50/W50*60</f>
        <v>1386.0465116279067</v>
      </c>
      <c r="O50" s="78">
        <f>N50/M50</f>
        <v>77.002583979328151</v>
      </c>
      <c r="P50" s="18">
        <f>M50-J50</f>
        <v>0</v>
      </c>
      <c r="Q50" s="19">
        <f>O50-L50</f>
        <v>-11.886304909560735</v>
      </c>
      <c r="R50" s="185">
        <f>O50/L50</f>
        <v>0.86627906976744173</v>
      </c>
      <c r="S50" s="397"/>
      <c r="T50" s="79">
        <v>0.37222222222222223</v>
      </c>
      <c r="U50" s="79">
        <v>0.46180555555555558</v>
      </c>
      <c r="V50" s="177">
        <f t="shared" ref="V50:V51" si="37">(T50-U49)*24*60</f>
        <v>16.000000000000021</v>
      </c>
      <c r="W50" s="80">
        <f t="shared" si="13"/>
        <v>129.00000000000003</v>
      </c>
      <c r="X50" s="22"/>
      <c r="Y50" s="22"/>
      <c r="Z50" s="419"/>
      <c r="AA50" s="418"/>
      <c r="AB50" s="18">
        <f>N50-K50</f>
        <v>-213.95348837209326</v>
      </c>
      <c r="AC50" s="185">
        <f>N50/K50</f>
        <v>0.86627906976744173</v>
      </c>
      <c r="AD50" s="402"/>
    </row>
    <row r="51" spans="1:30" ht="15" customHeight="1">
      <c r="A51" s="452"/>
      <c r="B51" s="56" t="str">
        <f>VLOOKUP(D51,廠價表!$C$1:$E$39,2,0)</f>
        <v>義大利麵</v>
      </c>
      <c r="C51" s="10"/>
      <c r="D51" s="11" t="s">
        <v>65</v>
      </c>
      <c r="E51" s="86"/>
      <c r="F51" s="56">
        <f>VLOOKUP(D51,廠價表!$C$1:$E$39,3,0)</f>
        <v>49.97</v>
      </c>
      <c r="G51" s="66">
        <v>1689</v>
      </c>
      <c r="H51" s="76">
        <f t="shared" ref="H51" si="38">F51*G51</f>
        <v>84399.33</v>
      </c>
      <c r="I51" s="193"/>
      <c r="J51" s="16">
        <f>VLOOKUP(D51,產線配置圖!$A$2:$C$38,2,0)</f>
        <v>18</v>
      </c>
      <c r="K51" s="14">
        <f>VLOOKUP(D51,產線配置圖!$A$2:$C$38,3,0)</f>
        <v>1600</v>
      </c>
      <c r="L51" s="17">
        <f>K51/J51</f>
        <v>88.888888888888886</v>
      </c>
      <c r="M51" s="174">
        <v>18</v>
      </c>
      <c r="N51" s="77">
        <f>G51/W51*60</f>
        <v>1559.076923076921</v>
      </c>
      <c r="O51" s="78">
        <f>N51/M51</f>
        <v>86.6153846153845</v>
      </c>
      <c r="P51" s="18">
        <f>M51-J51</f>
        <v>0</v>
      </c>
      <c r="Q51" s="19">
        <f>O51-L51</f>
        <v>-2.2735042735043862</v>
      </c>
      <c r="R51" s="185">
        <f>O51/L51</f>
        <v>0.97442307692307562</v>
      </c>
      <c r="S51" s="397"/>
      <c r="T51" s="79">
        <v>0.53472222222222221</v>
      </c>
      <c r="U51" s="44">
        <v>0.57986111111111116</v>
      </c>
      <c r="V51" s="177">
        <f t="shared" si="37"/>
        <v>104.99999999999994</v>
      </c>
      <c r="W51" s="80">
        <f t="shared" si="13"/>
        <v>65.000000000000085</v>
      </c>
      <c r="X51" s="22">
        <v>0.47916666666666669</v>
      </c>
      <c r="Y51" s="22">
        <v>0.52083333333333337</v>
      </c>
      <c r="Z51" s="405"/>
      <c r="AA51" s="405"/>
      <c r="AB51" s="18">
        <f>N51-K51</f>
        <v>-40.923076923078952</v>
      </c>
      <c r="AC51" s="185">
        <f>N51/K51</f>
        <v>0.97442307692307562</v>
      </c>
      <c r="AD51" s="402"/>
    </row>
    <row r="52" spans="1:30" ht="15" customHeight="1">
      <c r="A52" s="452"/>
      <c r="B52" s="56"/>
      <c r="C52" s="23"/>
      <c r="D52" s="11"/>
      <c r="E52" s="12"/>
      <c r="F52" s="56"/>
      <c r="G52" s="66"/>
      <c r="H52" s="76"/>
      <c r="I52" s="193"/>
      <c r="J52" s="16"/>
      <c r="K52" s="14"/>
      <c r="L52" s="17"/>
      <c r="M52" s="174"/>
      <c r="N52" s="77"/>
      <c r="O52" s="78"/>
      <c r="P52" s="18"/>
      <c r="Q52" s="19"/>
      <c r="R52" s="185"/>
      <c r="S52" s="397"/>
      <c r="T52" s="79"/>
      <c r="U52" s="79"/>
      <c r="V52" s="177"/>
      <c r="W52" s="80">
        <f t="shared" si="13"/>
        <v>0</v>
      </c>
      <c r="X52" s="22"/>
      <c r="Y52" s="22"/>
      <c r="Z52" s="405"/>
      <c r="AA52" s="405"/>
      <c r="AB52" s="18"/>
      <c r="AC52" s="185"/>
      <c r="AD52" s="402"/>
    </row>
    <row r="53" spans="1:30" ht="15" customHeight="1">
      <c r="A53" s="452"/>
      <c r="B53" s="56"/>
      <c r="C53" s="23"/>
      <c r="D53" s="11"/>
      <c r="E53" s="12"/>
      <c r="F53" s="56"/>
      <c r="G53" s="66"/>
      <c r="H53" s="76"/>
      <c r="I53" s="193"/>
      <c r="J53" s="16"/>
      <c r="K53" s="14"/>
      <c r="L53" s="17"/>
      <c r="M53" s="174"/>
      <c r="N53" s="77"/>
      <c r="O53" s="78"/>
      <c r="P53" s="18"/>
      <c r="Q53" s="19"/>
      <c r="R53" s="185"/>
      <c r="S53" s="397"/>
      <c r="T53" s="79"/>
      <c r="U53" s="79"/>
      <c r="V53" s="177"/>
      <c r="W53" s="80">
        <f t="shared" si="13"/>
        <v>0</v>
      </c>
      <c r="X53" s="177"/>
      <c r="Y53" s="177"/>
      <c r="Z53" s="419"/>
      <c r="AA53" s="418"/>
      <c r="AB53" s="18"/>
      <c r="AC53" s="185"/>
      <c r="AD53" s="402"/>
    </row>
    <row r="54" spans="1:30" ht="15" customHeight="1">
      <c r="A54" s="452"/>
      <c r="B54" s="177"/>
      <c r="C54" s="183"/>
      <c r="D54" s="11"/>
      <c r="E54" s="12"/>
      <c r="F54" s="13"/>
      <c r="G54" s="66"/>
      <c r="H54" s="76">
        <f t="shared" si="36"/>
        <v>0</v>
      </c>
      <c r="I54" s="177"/>
      <c r="J54" s="31"/>
      <c r="K54" s="30"/>
      <c r="L54" s="38"/>
      <c r="M54" s="181"/>
      <c r="N54" s="30"/>
      <c r="O54" s="35"/>
      <c r="P54" s="18"/>
      <c r="Q54" s="19"/>
      <c r="R54" s="185"/>
      <c r="S54" s="397"/>
      <c r="T54" s="79"/>
      <c r="U54" s="79"/>
      <c r="V54" s="197"/>
      <c r="W54" s="80">
        <f t="shared" si="13"/>
        <v>0</v>
      </c>
      <c r="X54" s="177"/>
      <c r="Y54" s="177"/>
      <c r="Z54" s="419"/>
      <c r="AA54" s="418"/>
      <c r="AB54" s="18"/>
      <c r="AC54" s="185"/>
      <c r="AD54" s="402"/>
    </row>
    <row r="55" spans="1:30" ht="15" customHeight="1">
      <c r="A55" s="452"/>
      <c r="B55" s="26"/>
      <c r="C55" s="27"/>
      <c r="D55" s="28"/>
      <c r="E55" s="29"/>
      <c r="F55" s="13"/>
      <c r="G55" s="66"/>
      <c r="H55" s="15">
        <f t="shared" si="36"/>
        <v>0</v>
      </c>
      <c r="I55" s="177"/>
      <c r="J55" s="31"/>
      <c r="K55" s="30"/>
      <c r="L55" s="38"/>
      <c r="M55" s="181"/>
      <c r="N55" s="30"/>
      <c r="O55" s="35"/>
      <c r="P55" s="18"/>
      <c r="Q55" s="19"/>
      <c r="R55" s="185"/>
      <c r="S55" s="397"/>
      <c r="T55" s="79"/>
      <c r="U55" s="79"/>
      <c r="V55" s="197"/>
      <c r="W55" s="80">
        <f t="shared" si="13"/>
        <v>0</v>
      </c>
      <c r="X55" s="177"/>
      <c r="Y55" s="177"/>
      <c r="Z55" s="419"/>
      <c r="AA55" s="418"/>
      <c r="AB55" s="18"/>
      <c r="AC55" s="185"/>
      <c r="AD55" s="402"/>
    </row>
    <row r="56" spans="1:30" ht="15" customHeight="1">
      <c r="A56" s="452"/>
      <c r="B56" s="26"/>
      <c r="C56" s="27"/>
      <c r="D56" s="28"/>
      <c r="E56" s="29"/>
      <c r="F56" s="13"/>
      <c r="G56" s="66"/>
      <c r="H56" s="15">
        <f t="shared" si="36"/>
        <v>0</v>
      </c>
      <c r="I56" s="177"/>
      <c r="J56" s="31"/>
      <c r="K56" s="30"/>
      <c r="L56" s="38"/>
      <c r="M56" s="181"/>
      <c r="N56" s="30"/>
      <c r="O56" s="35"/>
      <c r="P56" s="18"/>
      <c r="Q56" s="19"/>
      <c r="R56" s="185"/>
      <c r="S56" s="397"/>
      <c r="T56" s="79"/>
      <c r="U56" s="79"/>
      <c r="V56" s="197"/>
      <c r="W56" s="80">
        <f t="shared" si="13"/>
        <v>0</v>
      </c>
      <c r="X56" s="177"/>
      <c r="Y56" s="177"/>
      <c r="Z56" s="405"/>
      <c r="AA56" s="405"/>
      <c r="AB56" s="18"/>
      <c r="AC56" s="185"/>
      <c r="AD56" s="402"/>
    </row>
    <row r="57" spans="1:30" ht="15" customHeight="1">
      <c r="A57" s="452"/>
      <c r="B57" s="26"/>
      <c r="C57" s="27"/>
      <c r="D57" s="28"/>
      <c r="E57" s="29"/>
      <c r="F57" s="13"/>
      <c r="G57" s="66"/>
      <c r="H57" s="15">
        <f t="shared" si="36"/>
        <v>0</v>
      </c>
      <c r="I57" s="177"/>
      <c r="J57" s="31"/>
      <c r="K57" s="30"/>
      <c r="L57" s="38"/>
      <c r="M57" s="181"/>
      <c r="N57" s="30"/>
      <c r="O57" s="35"/>
      <c r="P57" s="18"/>
      <c r="Q57" s="19"/>
      <c r="R57" s="185"/>
      <c r="S57" s="397"/>
      <c r="T57" s="79"/>
      <c r="U57" s="79"/>
      <c r="V57" s="197"/>
      <c r="W57" s="80">
        <f t="shared" si="13"/>
        <v>0</v>
      </c>
      <c r="X57" s="177"/>
      <c r="Y57" s="177"/>
      <c r="Z57" s="405"/>
      <c r="AA57" s="405"/>
      <c r="AB57" s="18"/>
      <c r="AC57" s="185"/>
      <c r="AD57" s="402"/>
    </row>
    <row r="58" spans="1:30" ht="15" customHeight="1" thickBot="1">
      <c r="A58" s="453"/>
      <c r="B58" s="165"/>
      <c r="C58" s="1" t="s">
        <v>38</v>
      </c>
      <c r="D58" s="410" t="s">
        <v>7</v>
      </c>
      <c r="E58" s="410"/>
      <c r="F58" s="114"/>
      <c r="G58" s="166"/>
      <c r="H58" s="116"/>
      <c r="I58" s="115"/>
      <c r="J58" s="118">
        <f t="shared" ref="J58:O58" si="39">AVERAGE(J49:J57)</f>
        <v>18.333333333333332</v>
      </c>
      <c r="K58" s="118">
        <f t="shared" si="39"/>
        <v>1588.3333333333333</v>
      </c>
      <c r="L58" s="115">
        <f t="shared" si="39"/>
        <v>86.715399610136458</v>
      </c>
      <c r="M58" s="118">
        <f t="shared" si="39"/>
        <v>18.333333333333332</v>
      </c>
      <c r="N58" s="118">
        <f t="shared" si="39"/>
        <v>1495.4333017643546</v>
      </c>
      <c r="O58" s="115">
        <f t="shared" si="39"/>
        <v>81.577506559434667</v>
      </c>
      <c r="P58" s="119">
        <f>M58-J58</f>
        <v>0</v>
      </c>
      <c r="Q58" s="120">
        <f>N58-K58</f>
        <v>-92.900031568978648</v>
      </c>
      <c r="R58" s="121">
        <f t="shared" ref="R58:R60" si="40">O58/L58</f>
        <v>0.94074993514645344</v>
      </c>
      <c r="S58" s="399"/>
      <c r="T58" s="167"/>
      <c r="U58" s="167"/>
      <c r="V58" s="195"/>
      <c r="W58" s="168"/>
      <c r="X58" s="124"/>
      <c r="Y58" s="124"/>
      <c r="Z58" s="391"/>
      <c r="AA58" s="391"/>
      <c r="AB58" s="119">
        <f t="shared" ref="AB58:AB62" si="41">N58-K58</f>
        <v>-92.900031568978648</v>
      </c>
      <c r="AC58" s="187">
        <f t="shared" ref="AC58:AC62" si="42">N58/K58</f>
        <v>0.94151099796286764</v>
      </c>
      <c r="AD58" s="404"/>
    </row>
    <row r="59" spans="1:30" ht="15" customHeight="1">
      <c r="A59" s="466" t="s">
        <v>57</v>
      </c>
      <c r="B59" s="199" t="str">
        <f>VLOOKUP(D59,廠價表!$C$1:$E$39,2,0)</f>
        <v>小吃、微波</v>
      </c>
      <c r="C59" s="102"/>
      <c r="D59" s="103" t="s">
        <v>146</v>
      </c>
      <c r="E59" s="104"/>
      <c r="F59" s="199">
        <f>VLOOKUP(D59,廠價表!$C$1:$E$39,3,0)</f>
        <v>28.47</v>
      </c>
      <c r="G59" s="188">
        <v>982</v>
      </c>
      <c r="H59" s="106">
        <f t="shared" ref="H59:H68" si="43">F59*G59</f>
        <v>27957.539999999997</v>
      </c>
      <c r="I59" s="188"/>
      <c r="J59" s="108">
        <f>VLOOKUP(D59,產線配置圖!$A$2:$C$38,2,0)</f>
        <v>12</v>
      </c>
      <c r="K59" s="105">
        <f>VLOOKUP(D59,產線配置圖!$A$2:$C$38,3,0)</f>
        <v>1565</v>
      </c>
      <c r="L59" s="109">
        <f>K59/J59</f>
        <v>130.41666666666666</v>
      </c>
      <c r="M59" s="110">
        <v>12</v>
      </c>
      <c r="N59" s="105">
        <f t="shared" ref="N59:N62" si="44">G59/W59*60</f>
        <v>1280.8695652173915</v>
      </c>
      <c r="O59" s="109">
        <f t="shared" ref="O59:O62" si="45">N59/M59</f>
        <v>106.73913043478262</v>
      </c>
      <c r="P59" s="111">
        <f t="shared" ref="P59:P62" si="46">M59-J59</f>
        <v>0</v>
      </c>
      <c r="Q59" s="112">
        <f t="shared" ref="Q59:Q62" si="47">O59-L59</f>
        <v>-23.677536231884034</v>
      </c>
      <c r="R59" s="184">
        <f t="shared" si="40"/>
        <v>0.81844700652868474</v>
      </c>
      <c r="S59" s="396">
        <f>R69</f>
        <v>0.86979704964777771</v>
      </c>
      <c r="T59" s="169">
        <v>0.29305555555555557</v>
      </c>
      <c r="U59" s="169">
        <v>0.32500000000000001</v>
      </c>
      <c r="V59" s="188"/>
      <c r="W59" s="107">
        <f t="shared" si="13"/>
        <v>46</v>
      </c>
      <c r="X59" s="188"/>
      <c r="Y59" s="188"/>
      <c r="Z59" s="405"/>
      <c r="AA59" s="405"/>
      <c r="AB59" s="225">
        <f t="shared" si="41"/>
        <v>-284.13043478260852</v>
      </c>
      <c r="AC59" s="226">
        <f t="shared" si="42"/>
        <v>0.81844700652868463</v>
      </c>
      <c r="AD59" s="401">
        <f>AC69</f>
        <v>0.87039630766327569</v>
      </c>
    </row>
    <row r="60" spans="1:30" ht="15" customHeight="1">
      <c r="A60" s="467"/>
      <c r="B60" s="56" t="str">
        <f>VLOOKUP(D60,廠價表!$C$1:$E$39,2,0)</f>
        <v>小吃、微波</v>
      </c>
      <c r="C60" s="10"/>
      <c r="D60" s="11" t="s">
        <v>125</v>
      </c>
      <c r="E60" s="86"/>
      <c r="F60" s="56">
        <f>VLOOKUP(D60,廠價表!$C$1:$E$39,3,0)</f>
        <v>26.99</v>
      </c>
      <c r="G60" s="177">
        <v>3525</v>
      </c>
      <c r="H60" s="15">
        <f t="shared" si="43"/>
        <v>95139.75</v>
      </c>
      <c r="I60" s="177"/>
      <c r="J60" s="16">
        <f>VLOOKUP(D60,產線配置圖!$A$2:$C$38,2,0)</f>
        <v>13</v>
      </c>
      <c r="K60" s="14">
        <f>VLOOKUP(D60,產線配置圖!$A$2:$C$38,3,0)</f>
        <v>1565</v>
      </c>
      <c r="L60" s="17">
        <f>K60/J60</f>
        <v>120.38461538461539</v>
      </c>
      <c r="M60" s="180">
        <v>13</v>
      </c>
      <c r="N60" s="14">
        <f t="shared" si="44"/>
        <v>1410.0000000000007</v>
      </c>
      <c r="O60" s="17">
        <f t="shared" si="45"/>
        <v>108.46153846153851</v>
      </c>
      <c r="P60" s="18">
        <f t="shared" si="46"/>
        <v>0</v>
      </c>
      <c r="Q60" s="19">
        <f t="shared" si="47"/>
        <v>-11.923076923076877</v>
      </c>
      <c r="R60" s="185">
        <f t="shared" si="40"/>
        <v>0.9009584664536745</v>
      </c>
      <c r="S60" s="470"/>
      <c r="T60" s="198">
        <v>0.34027777777777779</v>
      </c>
      <c r="U60" s="198">
        <v>0.44444444444444442</v>
      </c>
      <c r="V60" s="177">
        <f t="shared" ref="V60:V62" si="48">(T60-U59)*24*60</f>
        <v>22</v>
      </c>
      <c r="W60" s="90">
        <f t="shared" si="13"/>
        <v>149.99999999999994</v>
      </c>
      <c r="X60" s="193"/>
      <c r="Y60" s="193"/>
      <c r="Z60" s="405"/>
      <c r="AA60" s="405"/>
      <c r="AB60" s="227">
        <f t="shared" si="41"/>
        <v>-154.99999999999932</v>
      </c>
      <c r="AC60" s="228">
        <f t="shared" si="42"/>
        <v>0.90095846645367461</v>
      </c>
      <c r="AD60" s="473"/>
    </row>
    <row r="61" spans="1:30" ht="15" customHeight="1">
      <c r="A61" s="468"/>
      <c r="B61" s="56" t="str">
        <f>VLOOKUP(D61,廠價表!$C$1:$E$39,2,0)</f>
        <v>小吃、微波</v>
      </c>
      <c r="C61" s="10"/>
      <c r="D61" s="242" t="s">
        <v>135</v>
      </c>
      <c r="E61" s="86"/>
      <c r="F61" s="56">
        <f>VLOOKUP(D61,廠價表!$C$1:$E$39,3,0)</f>
        <v>28.26</v>
      </c>
      <c r="G61" s="177">
        <v>996</v>
      </c>
      <c r="H61" s="15">
        <f t="shared" si="43"/>
        <v>28146.960000000003</v>
      </c>
      <c r="I61" s="81"/>
      <c r="J61" s="16">
        <f>VLOOKUP(D61,產線配置圖!$A$2:$C$38,2,0)</f>
        <v>12</v>
      </c>
      <c r="K61" s="14">
        <f>VLOOKUP(D61,產線配置圖!$A$2:$C$38,3,0)</f>
        <v>1565</v>
      </c>
      <c r="L61" s="17">
        <f t="shared" ref="L61:L62" si="49">K61/J61</f>
        <v>130.41666666666666</v>
      </c>
      <c r="M61" s="180">
        <v>12</v>
      </c>
      <c r="N61" s="14">
        <f t="shared" si="44"/>
        <v>1328</v>
      </c>
      <c r="O61" s="17">
        <f t="shared" si="45"/>
        <v>110.66666666666667</v>
      </c>
      <c r="P61" s="18">
        <f t="shared" si="46"/>
        <v>0</v>
      </c>
      <c r="Q61" s="19">
        <f t="shared" si="47"/>
        <v>-19.749999999999986</v>
      </c>
      <c r="R61" s="185">
        <f>O61/L61</f>
        <v>0.84856230031948887</v>
      </c>
      <c r="S61" s="397"/>
      <c r="T61" s="20">
        <v>0.4548611111111111</v>
      </c>
      <c r="U61" s="20">
        <v>0.4861111111111111</v>
      </c>
      <c r="V61" s="177">
        <f t="shared" si="48"/>
        <v>15.000000000000027</v>
      </c>
      <c r="W61" s="88">
        <f t="shared" si="13"/>
        <v>45</v>
      </c>
      <c r="X61" s="22"/>
      <c r="Y61" s="22"/>
      <c r="Z61" s="405"/>
      <c r="AA61" s="405"/>
      <c r="AB61" s="51">
        <f t="shared" si="41"/>
        <v>-237</v>
      </c>
      <c r="AC61" s="52">
        <f t="shared" si="42"/>
        <v>0.84856230031948887</v>
      </c>
      <c r="AD61" s="402"/>
    </row>
    <row r="62" spans="1:30" ht="15" customHeight="1">
      <c r="A62" s="468"/>
      <c r="B62" s="56" t="str">
        <f>VLOOKUP(D62,廠價表!$C$1:$E$39,2,0)</f>
        <v>小吃、微波</v>
      </c>
      <c r="C62" s="10"/>
      <c r="D62" s="242" t="s">
        <v>135</v>
      </c>
      <c r="E62" s="86"/>
      <c r="F62" s="56">
        <f>VLOOKUP(D62,廠價表!$C$1:$E$39,3,0)</f>
        <v>28.26</v>
      </c>
      <c r="G62" s="177">
        <v>1263</v>
      </c>
      <c r="H62" s="15">
        <f t="shared" si="43"/>
        <v>35692.380000000005</v>
      </c>
      <c r="I62" s="81"/>
      <c r="J62" s="16">
        <f>VLOOKUP(D62,產線配置圖!$A$2:$C$38,2,0)</f>
        <v>12</v>
      </c>
      <c r="K62" s="14">
        <f>VLOOKUP(D62,產線配置圖!$A$2:$C$38,3,0)</f>
        <v>1565</v>
      </c>
      <c r="L62" s="17">
        <f t="shared" si="49"/>
        <v>130.41666666666666</v>
      </c>
      <c r="M62" s="180">
        <v>12</v>
      </c>
      <c r="N62" s="14">
        <f t="shared" si="44"/>
        <v>1429.8113207547135</v>
      </c>
      <c r="O62" s="17">
        <f t="shared" si="45"/>
        <v>119.15094339622613</v>
      </c>
      <c r="P62" s="18">
        <f t="shared" si="46"/>
        <v>0</v>
      </c>
      <c r="Q62" s="19">
        <f t="shared" si="47"/>
        <v>-11.265723270440532</v>
      </c>
      <c r="R62" s="185">
        <f>O62/L62</f>
        <v>0.91361745735125466</v>
      </c>
      <c r="S62" s="397"/>
      <c r="T62" s="20">
        <v>0.54166666666666663</v>
      </c>
      <c r="U62" s="20">
        <v>0.57847222222222228</v>
      </c>
      <c r="V62" s="177">
        <f t="shared" si="48"/>
        <v>79.999999999999957</v>
      </c>
      <c r="W62" s="90">
        <f t="shared" si="13"/>
        <v>53.000000000000128</v>
      </c>
      <c r="X62" s="22">
        <v>0.49305555555555558</v>
      </c>
      <c r="Y62" s="22">
        <v>0.53472222222222221</v>
      </c>
      <c r="Z62" s="405"/>
      <c r="AA62" s="405"/>
      <c r="AB62" s="51">
        <f t="shared" si="41"/>
        <v>-135.18867924528649</v>
      </c>
      <c r="AC62" s="52">
        <f t="shared" si="42"/>
        <v>0.91361745735125466</v>
      </c>
      <c r="AD62" s="402"/>
    </row>
    <row r="63" spans="1:30" ht="15" customHeight="1">
      <c r="A63" s="468"/>
      <c r="B63" s="56"/>
      <c r="C63" s="23"/>
      <c r="D63" s="11"/>
      <c r="E63" s="12"/>
      <c r="F63" s="56"/>
      <c r="G63" s="177"/>
      <c r="H63" s="15"/>
      <c r="I63" s="81"/>
      <c r="J63" s="16"/>
      <c r="K63" s="14"/>
      <c r="L63" s="17"/>
      <c r="M63" s="180"/>
      <c r="N63" s="14"/>
      <c r="O63" s="17"/>
      <c r="P63" s="18"/>
      <c r="Q63" s="19"/>
      <c r="R63" s="185"/>
      <c r="S63" s="397"/>
      <c r="T63" s="20"/>
      <c r="U63" s="20"/>
      <c r="V63" s="177"/>
      <c r="W63" s="90">
        <f t="shared" si="13"/>
        <v>0</v>
      </c>
      <c r="X63" s="84"/>
      <c r="Y63" s="84"/>
      <c r="Z63" s="405"/>
      <c r="AA63" s="405"/>
      <c r="AB63" s="51"/>
      <c r="AC63" s="52"/>
      <c r="AD63" s="402"/>
    </row>
    <row r="64" spans="1:30" ht="15" customHeight="1">
      <c r="A64" s="468"/>
      <c r="B64" s="177"/>
      <c r="C64" s="23"/>
      <c r="D64" s="11"/>
      <c r="E64" s="12"/>
      <c r="F64" s="13"/>
      <c r="G64" s="177"/>
      <c r="H64" s="15"/>
      <c r="I64" s="177"/>
      <c r="J64" s="16"/>
      <c r="K64" s="14"/>
      <c r="L64" s="17"/>
      <c r="M64" s="180"/>
      <c r="N64" s="14"/>
      <c r="O64" s="17"/>
      <c r="P64" s="18"/>
      <c r="Q64" s="19"/>
      <c r="R64" s="185"/>
      <c r="S64" s="397"/>
      <c r="T64" s="20"/>
      <c r="U64" s="20"/>
      <c r="V64" s="177"/>
      <c r="W64" s="182">
        <f t="shared" si="13"/>
        <v>0</v>
      </c>
      <c r="X64" s="84"/>
      <c r="Y64" s="84"/>
      <c r="Z64" s="419"/>
      <c r="AA64" s="418"/>
      <c r="AB64" s="18"/>
      <c r="AC64" s="55"/>
      <c r="AD64" s="402"/>
    </row>
    <row r="65" spans="1:32" ht="15" customHeight="1">
      <c r="A65" s="468"/>
      <c r="B65" s="177"/>
      <c r="C65" s="183"/>
      <c r="D65" s="11"/>
      <c r="E65" s="12"/>
      <c r="F65" s="13"/>
      <c r="G65" s="177"/>
      <c r="H65" s="15"/>
      <c r="I65" s="177"/>
      <c r="J65" s="16"/>
      <c r="K65" s="82"/>
      <c r="L65" s="83"/>
      <c r="M65" s="180"/>
      <c r="N65" s="14"/>
      <c r="O65" s="17"/>
      <c r="P65" s="18"/>
      <c r="Q65" s="19"/>
      <c r="R65" s="185"/>
      <c r="S65" s="397"/>
      <c r="T65" s="20"/>
      <c r="U65" s="20"/>
      <c r="V65" s="177"/>
      <c r="W65" s="182">
        <f t="shared" si="13"/>
        <v>0</v>
      </c>
      <c r="X65" s="84"/>
      <c r="Y65" s="84"/>
      <c r="Z65" s="419"/>
      <c r="AA65" s="418"/>
      <c r="AB65" s="18"/>
      <c r="AC65" s="55"/>
      <c r="AD65" s="402"/>
    </row>
    <row r="66" spans="1:32" ht="15" customHeight="1">
      <c r="A66" s="468"/>
      <c r="B66" s="26"/>
      <c r="C66" s="27"/>
      <c r="D66" s="28"/>
      <c r="E66" s="29"/>
      <c r="F66" s="13"/>
      <c r="G66" s="183"/>
      <c r="H66" s="15">
        <f t="shared" si="43"/>
        <v>0</v>
      </c>
      <c r="I66" s="85"/>
      <c r="J66" s="16"/>
      <c r="K66" s="14"/>
      <c r="L66" s="17"/>
      <c r="M66" s="21"/>
      <c r="N66" s="36"/>
      <c r="O66" s="38"/>
      <c r="P66" s="39"/>
      <c r="Q66" s="40"/>
      <c r="R66" s="68"/>
      <c r="S66" s="397"/>
      <c r="T66" s="20"/>
      <c r="U66" s="20"/>
      <c r="V66" s="177"/>
      <c r="W66" s="182">
        <f t="shared" si="13"/>
        <v>0</v>
      </c>
      <c r="X66" s="84"/>
      <c r="Y66" s="84"/>
      <c r="Z66" s="405"/>
      <c r="AA66" s="405"/>
      <c r="AB66" s="18"/>
      <c r="AC66" s="55"/>
      <c r="AD66" s="402"/>
    </row>
    <row r="67" spans="1:32" ht="15" customHeight="1">
      <c r="A67" s="468"/>
      <c r="B67" s="26"/>
      <c r="C67" s="27"/>
      <c r="D67" s="28"/>
      <c r="E67" s="29"/>
      <c r="F67" s="13"/>
      <c r="G67" s="177"/>
      <c r="H67" s="15">
        <f t="shared" si="43"/>
        <v>0</v>
      </c>
      <c r="I67" s="177"/>
      <c r="J67" s="16"/>
      <c r="K67" s="14"/>
      <c r="L67" s="17"/>
      <c r="M67" s="21"/>
      <c r="N67" s="36"/>
      <c r="O67" s="38"/>
      <c r="P67" s="39"/>
      <c r="Q67" s="40"/>
      <c r="R67" s="68"/>
      <c r="S67" s="397"/>
      <c r="T67" s="20"/>
      <c r="U67" s="20"/>
      <c r="V67" s="177"/>
      <c r="W67" s="182">
        <f t="shared" si="13"/>
        <v>0</v>
      </c>
      <c r="X67" s="84"/>
      <c r="Y67" s="84"/>
      <c r="Z67" s="419"/>
      <c r="AA67" s="418"/>
      <c r="AB67" s="18"/>
      <c r="AC67" s="55"/>
      <c r="AD67" s="402"/>
    </row>
    <row r="68" spans="1:32" ht="15" customHeight="1">
      <c r="A68" s="468"/>
      <c r="B68" s="26"/>
      <c r="C68" s="27"/>
      <c r="D68" s="28"/>
      <c r="E68" s="29"/>
      <c r="F68" s="13"/>
      <c r="G68" s="183"/>
      <c r="H68" s="15">
        <f t="shared" si="43"/>
        <v>0</v>
      </c>
      <c r="I68" s="85"/>
      <c r="J68" s="16"/>
      <c r="K68" s="260"/>
      <c r="L68" s="261"/>
      <c r="M68" s="21"/>
      <c r="N68" s="36"/>
      <c r="O68" s="38"/>
      <c r="P68" s="39"/>
      <c r="Q68" s="40"/>
      <c r="R68" s="68"/>
      <c r="S68" s="397"/>
      <c r="T68" s="20"/>
      <c r="U68" s="20"/>
      <c r="V68" s="177"/>
      <c r="W68" s="182">
        <f t="shared" si="13"/>
        <v>0</v>
      </c>
      <c r="X68" s="84"/>
      <c r="Y68" s="84"/>
      <c r="Z68" s="419"/>
      <c r="AA68" s="418"/>
      <c r="AB68" s="18"/>
      <c r="AC68" s="55"/>
      <c r="AD68" s="402"/>
    </row>
    <row r="69" spans="1:32" ht="15" customHeight="1" thickBot="1">
      <c r="A69" s="469"/>
      <c r="B69" s="165"/>
      <c r="C69" s="1" t="s">
        <v>39</v>
      </c>
      <c r="D69" s="410" t="s">
        <v>7</v>
      </c>
      <c r="E69" s="410"/>
      <c r="F69" s="114"/>
      <c r="G69" s="115"/>
      <c r="H69" s="116"/>
      <c r="I69" s="170"/>
      <c r="J69" s="166">
        <f t="shared" ref="J69:O69" si="50">AVERAGE(J59:J68)</f>
        <v>12.25</v>
      </c>
      <c r="K69" s="166">
        <f t="shared" si="50"/>
        <v>1565</v>
      </c>
      <c r="L69" s="171">
        <f t="shared" si="50"/>
        <v>127.90865384615384</v>
      </c>
      <c r="M69" s="166">
        <f t="shared" si="50"/>
        <v>12.25</v>
      </c>
      <c r="N69" s="166">
        <f t="shared" si="50"/>
        <v>1362.1702214930265</v>
      </c>
      <c r="O69" s="171">
        <f t="shared" si="50"/>
        <v>111.25456973980349</v>
      </c>
      <c r="P69" s="172">
        <f>M69-J69</f>
        <v>0</v>
      </c>
      <c r="Q69" s="158">
        <f>N69-K69</f>
        <v>-202.82977850697353</v>
      </c>
      <c r="R69" s="121">
        <f>O69/L69</f>
        <v>0.86979704964777771</v>
      </c>
      <c r="S69" s="399"/>
      <c r="T69" s="122"/>
      <c r="U69" s="122"/>
      <c r="V69" s="195"/>
      <c r="W69" s="168"/>
      <c r="X69" s="124"/>
      <c r="Y69" s="124"/>
      <c r="Z69" s="405"/>
      <c r="AA69" s="405"/>
      <c r="AB69" s="119">
        <f>N69-K69</f>
        <v>-202.82977850697353</v>
      </c>
      <c r="AC69" s="187">
        <f>N69/K69</f>
        <v>0.87039630766327569</v>
      </c>
      <c r="AD69" s="404"/>
    </row>
    <row r="70" spans="1:32" ht="15" customHeight="1">
      <c r="A70" s="461" t="s">
        <v>58</v>
      </c>
      <c r="B70" s="199" t="s">
        <v>62</v>
      </c>
      <c r="C70" s="199"/>
      <c r="D70" s="103" t="s">
        <v>158</v>
      </c>
      <c r="E70" s="104"/>
      <c r="F70" s="199">
        <f>VLOOKUP(D70,廠價表!$C$1:$E$39,3,0)</f>
        <v>47.71</v>
      </c>
      <c r="G70" s="188">
        <v>3393</v>
      </c>
      <c r="H70" s="106">
        <f t="shared" ref="H70:H71" si="51">F70*G70</f>
        <v>161880.03</v>
      </c>
      <c r="I70" s="188"/>
      <c r="J70" s="108">
        <f>VLOOKUP(D70,產線配置圖!$A$2:$C$38,2,0)</f>
        <v>15</v>
      </c>
      <c r="K70" s="105">
        <f>VLOOKUP(D70,產線配置圖!$A$2:$C$38,3,0)</f>
        <v>1500</v>
      </c>
      <c r="L70" s="109">
        <f>K70/J70</f>
        <v>100</v>
      </c>
      <c r="M70" s="110">
        <v>13</v>
      </c>
      <c r="N70" s="105">
        <f t="shared" ref="N70:N71" si="52">G70/W70*60</f>
        <v>1197.5294117647059</v>
      </c>
      <c r="O70" s="109">
        <f t="shared" ref="O70:O71" si="53">N70/M70</f>
        <v>92.117647058823522</v>
      </c>
      <c r="P70" s="111">
        <f t="shared" ref="P70:P71" si="54">M70-J70</f>
        <v>-2</v>
      </c>
      <c r="Q70" s="112">
        <f t="shared" ref="Q70:Q71" si="55">O70-L70</f>
        <v>-7.8823529411764781</v>
      </c>
      <c r="R70" s="184">
        <f t="shared" ref="R70" si="56">O70/L70</f>
        <v>0.92117647058823526</v>
      </c>
      <c r="S70" s="396">
        <f>R79</f>
        <v>0.85124061473116386</v>
      </c>
      <c r="T70" s="169">
        <v>0.33333333333333331</v>
      </c>
      <c r="U70" s="169">
        <v>0.4513888888888889</v>
      </c>
      <c r="V70" s="188"/>
      <c r="W70" s="107">
        <f t="shared" ref="W70:W78" si="57">(U70-T70)*24*60</f>
        <v>170.00000000000003</v>
      </c>
      <c r="X70" s="296"/>
      <c r="Y70" s="296"/>
      <c r="Z70" s="465"/>
      <c r="AA70" s="427"/>
      <c r="AB70" s="225">
        <f t="shared" ref="AB70:AB71" si="58">N70-K70</f>
        <v>-302.47058823529414</v>
      </c>
      <c r="AC70" s="226">
        <f t="shared" ref="AC70:AC71" si="59">N70/K70</f>
        <v>0.7983529411764706</v>
      </c>
      <c r="AD70" s="401">
        <f>AC79</f>
        <v>0.77746059174331039</v>
      </c>
    </row>
    <row r="71" spans="1:32" ht="15" customHeight="1">
      <c r="A71" s="462"/>
      <c r="B71" s="56" t="str">
        <f>VLOOKUP(D71,廠價表!$C$1:$E$39,2,0)</f>
        <v>義大利麵</v>
      </c>
      <c r="C71" s="10"/>
      <c r="D71" s="11" t="s">
        <v>154</v>
      </c>
      <c r="E71" s="86"/>
      <c r="F71" s="56">
        <f>VLOOKUP(D71,廠價表!$C$1:$E$39,3,0)</f>
        <v>57.3</v>
      </c>
      <c r="G71" s="66">
        <v>1050</v>
      </c>
      <c r="H71" s="76">
        <f t="shared" si="51"/>
        <v>60165</v>
      </c>
      <c r="I71" s="193"/>
      <c r="J71" s="16">
        <f>VLOOKUP(D71,產線配置圖!$A$2:$C$38,2,0)</f>
        <v>15</v>
      </c>
      <c r="K71" s="14">
        <f>VLOOKUP(D71,產線配置圖!$A$2:$C$38,3,0)</f>
        <v>1385</v>
      </c>
      <c r="L71" s="17">
        <f t="shared" ref="L71" si="60">K71/J71</f>
        <v>92.333333333333329</v>
      </c>
      <c r="M71" s="180">
        <v>13</v>
      </c>
      <c r="N71" s="14">
        <f t="shared" si="52"/>
        <v>899.99999999999909</v>
      </c>
      <c r="O71" s="17">
        <f t="shared" si="53"/>
        <v>69.230769230769155</v>
      </c>
      <c r="P71" s="18">
        <f t="shared" si="54"/>
        <v>-2</v>
      </c>
      <c r="Q71" s="19">
        <f t="shared" si="55"/>
        <v>-23.102564102564173</v>
      </c>
      <c r="R71" s="185">
        <f>O71/L71</f>
        <v>0.74979172452096565</v>
      </c>
      <c r="S71" s="397"/>
      <c r="T71" s="20">
        <v>0.51388888888888884</v>
      </c>
      <c r="U71" s="20">
        <v>0.5625</v>
      </c>
      <c r="V71" s="177">
        <f t="shared" ref="V71" si="61">(T71-U70)*24*60</f>
        <v>89.999999999999915</v>
      </c>
      <c r="W71" s="182">
        <f t="shared" si="57"/>
        <v>70.000000000000071</v>
      </c>
      <c r="X71" s="298">
        <v>0.45833333333333331</v>
      </c>
      <c r="Y71" s="299">
        <v>0.5</v>
      </c>
      <c r="Z71" s="476"/>
      <c r="AA71" s="477"/>
      <c r="AB71" s="39">
        <f t="shared" si="58"/>
        <v>-485.00000000000091</v>
      </c>
      <c r="AC71" s="190">
        <f t="shared" si="59"/>
        <v>0.6498194945848369</v>
      </c>
      <c r="AD71" s="447"/>
    </row>
    <row r="72" spans="1:32" ht="15" customHeight="1">
      <c r="A72" s="462"/>
      <c r="B72" s="56"/>
      <c r="C72" s="10"/>
      <c r="D72" s="11"/>
      <c r="E72" s="86"/>
      <c r="F72" s="56"/>
      <c r="G72" s="66"/>
      <c r="H72" s="76"/>
      <c r="I72" s="193"/>
      <c r="J72" s="16"/>
      <c r="K72" s="14"/>
      <c r="L72" s="17"/>
      <c r="M72" s="180"/>
      <c r="N72" s="14"/>
      <c r="O72" s="17"/>
      <c r="P72" s="18"/>
      <c r="Q72" s="19"/>
      <c r="R72" s="185"/>
      <c r="S72" s="397"/>
      <c r="T72" s="20"/>
      <c r="U72" s="20"/>
      <c r="V72" s="177"/>
      <c r="W72" s="182">
        <f t="shared" si="57"/>
        <v>0</v>
      </c>
      <c r="X72" s="297"/>
      <c r="Y72" s="297"/>
      <c r="Z72" s="405"/>
      <c r="AA72" s="419"/>
      <c r="AB72" s="39"/>
      <c r="AC72" s="190"/>
      <c r="AD72" s="447"/>
    </row>
    <row r="73" spans="1:32" ht="15" customHeight="1">
      <c r="A73" s="462"/>
      <c r="B73" s="56"/>
      <c r="C73" s="23"/>
      <c r="D73" s="11"/>
      <c r="E73" s="12"/>
      <c r="F73" s="56"/>
      <c r="G73" s="66"/>
      <c r="H73" s="76"/>
      <c r="I73" s="193"/>
      <c r="J73" s="16"/>
      <c r="K73" s="14"/>
      <c r="L73" s="17"/>
      <c r="M73" s="180"/>
      <c r="N73" s="14"/>
      <c r="O73" s="17"/>
      <c r="P73" s="18"/>
      <c r="Q73" s="19"/>
      <c r="R73" s="185"/>
      <c r="S73" s="397"/>
      <c r="T73" s="20"/>
      <c r="U73" s="20"/>
      <c r="V73" s="177"/>
      <c r="W73" s="182">
        <f t="shared" si="57"/>
        <v>0</v>
      </c>
      <c r="X73" s="22"/>
      <c r="Y73" s="22"/>
      <c r="Z73" s="405"/>
      <c r="AA73" s="419"/>
      <c r="AB73" s="39"/>
      <c r="AC73" s="190"/>
      <c r="AD73" s="447"/>
    </row>
    <row r="74" spans="1:32" ht="15" customHeight="1">
      <c r="A74" s="462"/>
      <c r="B74" s="56"/>
      <c r="C74" s="249"/>
      <c r="D74" s="250"/>
      <c r="E74" s="251"/>
      <c r="F74" s="56"/>
      <c r="G74" s="238"/>
      <c r="H74" s="76">
        <f t="shared" ref="H74:H78" si="62">F74*G74</f>
        <v>0</v>
      </c>
      <c r="I74" s="81"/>
      <c r="J74" s="234"/>
      <c r="K74" s="36"/>
      <c r="L74" s="235"/>
      <c r="M74" s="21"/>
      <c r="N74" s="36"/>
      <c r="O74" s="38"/>
      <c r="P74" s="39"/>
      <c r="Q74" s="40"/>
      <c r="R74" s="190"/>
      <c r="S74" s="397"/>
      <c r="T74" s="20"/>
      <c r="U74" s="20"/>
      <c r="V74" s="177"/>
      <c r="W74" s="182">
        <f t="shared" si="57"/>
        <v>0</v>
      </c>
      <c r="X74" s="22"/>
      <c r="Y74" s="22"/>
      <c r="Z74" s="405"/>
      <c r="AA74" s="419"/>
      <c r="AB74" s="39"/>
      <c r="AC74" s="190"/>
      <c r="AD74" s="447"/>
    </row>
    <row r="75" spans="1:32" ht="15" customHeight="1">
      <c r="A75" s="462"/>
      <c r="B75" s="177"/>
      <c r="C75" s="183"/>
      <c r="D75" s="11"/>
      <c r="E75" s="12"/>
      <c r="F75" s="13"/>
      <c r="G75" s="177"/>
      <c r="H75" s="15">
        <f t="shared" si="62"/>
        <v>0</v>
      </c>
      <c r="I75" s="81"/>
      <c r="J75" s="87"/>
      <c r="K75" s="82"/>
      <c r="L75" s="83"/>
      <c r="M75" s="181"/>
      <c r="N75" s="82"/>
      <c r="O75" s="83"/>
      <c r="P75" s="73"/>
      <c r="Q75" s="74"/>
      <c r="R75" s="192"/>
      <c r="S75" s="397"/>
      <c r="T75" s="20"/>
      <c r="U75" s="20"/>
      <c r="V75" s="177"/>
      <c r="W75" s="88">
        <f t="shared" si="57"/>
        <v>0</v>
      </c>
      <c r="X75" s="89"/>
      <c r="Y75" s="89"/>
      <c r="Z75" s="406"/>
      <c r="AA75" s="406"/>
      <c r="AB75" s="306"/>
      <c r="AC75" s="307"/>
      <c r="AD75" s="402"/>
    </row>
    <row r="76" spans="1:32" ht="15" customHeight="1">
      <c r="A76" s="462"/>
      <c r="B76" s="26"/>
      <c r="C76" s="27"/>
      <c r="D76" s="28"/>
      <c r="E76" s="29"/>
      <c r="F76" s="13"/>
      <c r="G76" s="177"/>
      <c r="H76" s="15">
        <f t="shared" si="62"/>
        <v>0</v>
      </c>
      <c r="I76" s="81"/>
      <c r="J76" s="87"/>
      <c r="K76" s="82"/>
      <c r="L76" s="83"/>
      <c r="M76" s="181"/>
      <c r="N76" s="82"/>
      <c r="O76" s="83"/>
      <c r="P76" s="73"/>
      <c r="Q76" s="74"/>
      <c r="R76" s="192"/>
      <c r="S76" s="398"/>
      <c r="T76" s="20"/>
      <c r="U76" s="20"/>
      <c r="V76" s="177"/>
      <c r="W76" s="90">
        <f t="shared" si="57"/>
        <v>0</v>
      </c>
      <c r="X76" s="78"/>
      <c r="Y76" s="78"/>
      <c r="Z76" s="445"/>
      <c r="AA76" s="445"/>
      <c r="AB76" s="51"/>
      <c r="AC76" s="52"/>
      <c r="AD76" s="403"/>
    </row>
    <row r="77" spans="1:32" ht="15" customHeight="1">
      <c r="A77" s="462"/>
      <c r="B77" s="26"/>
      <c r="C77" s="27"/>
      <c r="D77" s="28"/>
      <c r="E77" s="29"/>
      <c r="F77" s="13"/>
      <c r="G77" s="177"/>
      <c r="H77" s="15">
        <f t="shared" si="62"/>
        <v>0</v>
      </c>
      <c r="I77" s="81"/>
      <c r="J77" s="87"/>
      <c r="K77" s="82"/>
      <c r="L77" s="83"/>
      <c r="M77" s="181"/>
      <c r="N77" s="82"/>
      <c r="O77" s="83"/>
      <c r="P77" s="73"/>
      <c r="Q77" s="74"/>
      <c r="R77" s="192"/>
      <c r="S77" s="398"/>
      <c r="T77" s="20"/>
      <c r="U77" s="20"/>
      <c r="V77" s="177"/>
      <c r="W77" s="182">
        <f t="shared" si="57"/>
        <v>0</v>
      </c>
      <c r="X77" s="84"/>
      <c r="Y77" s="84"/>
      <c r="Z77" s="405"/>
      <c r="AA77" s="405"/>
      <c r="AB77" s="18"/>
      <c r="AC77" s="55"/>
      <c r="AD77" s="403"/>
    </row>
    <row r="78" spans="1:32" ht="15" customHeight="1">
      <c r="A78" s="462"/>
      <c r="B78" s="26"/>
      <c r="C78" s="27"/>
      <c r="D78" s="28"/>
      <c r="E78" s="29"/>
      <c r="F78" s="13"/>
      <c r="G78" s="177"/>
      <c r="H78" s="15">
        <f t="shared" si="62"/>
        <v>0</v>
      </c>
      <c r="I78" s="85"/>
      <c r="J78" s="37"/>
      <c r="K78" s="36"/>
      <c r="L78" s="83"/>
      <c r="M78" s="21"/>
      <c r="N78" s="36"/>
      <c r="O78" s="38"/>
      <c r="P78" s="39"/>
      <c r="Q78" s="40"/>
      <c r="R78" s="190"/>
      <c r="S78" s="464"/>
      <c r="T78" s="32"/>
      <c r="U78" s="32"/>
      <c r="V78" s="178"/>
      <c r="W78" s="182">
        <f t="shared" si="57"/>
        <v>0</v>
      </c>
      <c r="X78" s="91"/>
      <c r="Y78" s="91"/>
      <c r="Z78" s="405"/>
      <c r="AA78" s="405"/>
      <c r="AB78" s="34"/>
      <c r="AC78" s="57"/>
      <c r="AD78" s="403"/>
    </row>
    <row r="79" spans="1:32" ht="15" customHeight="1" thickBot="1">
      <c r="A79" s="463"/>
      <c r="B79" s="165"/>
      <c r="C79" s="1" t="s">
        <v>40</v>
      </c>
      <c r="D79" s="410" t="s">
        <v>7</v>
      </c>
      <c r="E79" s="410"/>
      <c r="F79" s="114"/>
      <c r="G79" s="115"/>
      <c r="H79" s="173"/>
      <c r="I79" s="171"/>
      <c r="J79" s="166">
        <f t="shared" ref="J79:O79" si="63">AVERAGE(J69:J78)</f>
        <v>14.083333333333334</v>
      </c>
      <c r="K79" s="166">
        <f t="shared" si="63"/>
        <v>1483.3333333333333</v>
      </c>
      <c r="L79" s="171">
        <f t="shared" si="63"/>
        <v>106.74732905982906</v>
      </c>
      <c r="M79" s="166">
        <f t="shared" si="63"/>
        <v>12.75</v>
      </c>
      <c r="N79" s="166">
        <f t="shared" si="63"/>
        <v>1153.2332110859104</v>
      </c>
      <c r="O79" s="171">
        <f t="shared" si="63"/>
        <v>90.867662009798721</v>
      </c>
      <c r="P79" s="172">
        <f>M79-J79</f>
        <v>-1.3333333333333339</v>
      </c>
      <c r="Q79" s="158">
        <f>N79-K79</f>
        <v>-330.10012224742286</v>
      </c>
      <c r="R79" s="159">
        <f>O79/L79</f>
        <v>0.85124061473116386</v>
      </c>
      <c r="S79" s="399"/>
      <c r="T79" s="122"/>
      <c r="U79" s="122"/>
      <c r="V79" s="195"/>
      <c r="W79" s="168"/>
      <c r="X79" s="124"/>
      <c r="Y79" s="124"/>
      <c r="Z79" s="391"/>
      <c r="AA79" s="391"/>
      <c r="AB79" s="119">
        <f>N79-K79</f>
        <v>-330.10012224742286</v>
      </c>
      <c r="AC79" s="187">
        <f>N79/K79</f>
        <v>0.77746059174331039</v>
      </c>
      <c r="AD79" s="404"/>
    </row>
    <row r="80" spans="1:32">
      <c r="AF80" s="93" t="s">
        <v>41</v>
      </c>
    </row>
    <row r="81" spans="4:32">
      <c r="AF81" s="93" t="s">
        <v>42</v>
      </c>
    </row>
    <row r="82" spans="4:32">
      <c r="AF82" s="93" t="s">
        <v>43</v>
      </c>
    </row>
    <row r="83" spans="4:32">
      <c r="D83" s="220"/>
      <c r="W83" s="6"/>
      <c r="AF83" s="93" t="s">
        <v>44</v>
      </c>
    </row>
    <row r="84" spans="4:32">
      <c r="D84" s="224"/>
      <c r="W84" s="6"/>
      <c r="AF84" s="93" t="s">
        <v>45</v>
      </c>
    </row>
    <row r="85" spans="4:32">
      <c r="D85" s="224"/>
      <c r="W85" s="6"/>
      <c r="AF85" s="93" t="s">
        <v>46</v>
      </c>
    </row>
    <row r="86" spans="4:32">
      <c r="D86" s="155"/>
      <c r="W86" s="6"/>
      <c r="AF86" s="93" t="s">
        <v>47</v>
      </c>
    </row>
    <row r="87" spans="4:32">
      <c r="W87" s="6"/>
      <c r="AF87" s="93" t="s">
        <v>48</v>
      </c>
    </row>
    <row r="88" spans="4:32">
      <c r="W88" s="6"/>
      <c r="AF88" s="93" t="s">
        <v>49</v>
      </c>
    </row>
    <row r="89" spans="4:32">
      <c r="W89" s="6"/>
      <c r="AF89" s="93" t="s">
        <v>50</v>
      </c>
    </row>
    <row r="90" spans="4:32">
      <c r="W90" s="6"/>
      <c r="AF90" s="93" t="s">
        <v>51</v>
      </c>
    </row>
    <row r="91" spans="4:32">
      <c r="W91" s="6"/>
      <c r="AF91" s="93" t="s">
        <v>52</v>
      </c>
    </row>
    <row r="92" spans="4:32">
      <c r="W92" s="6"/>
      <c r="AF92" s="93" t="s">
        <v>53</v>
      </c>
    </row>
  </sheetData>
  <autoFilter ref="D1:D92" xr:uid="{EF5AD393-5A39-4C0E-A7B0-465235F2AB14}"/>
  <mergeCells count="135">
    <mergeCell ref="P1:S2"/>
    <mergeCell ref="T1:Y2"/>
    <mergeCell ref="Z1:AA2"/>
    <mergeCell ref="AB1:AD2"/>
    <mergeCell ref="H3:H4"/>
    <mergeCell ref="I3:I4"/>
    <mergeCell ref="J3:J4"/>
    <mergeCell ref="K3:K4"/>
    <mergeCell ref="L3:L4"/>
    <mergeCell ref="M3:M4"/>
    <mergeCell ref="AC3:AC4"/>
    <mergeCell ref="AD3:AD4"/>
    <mergeCell ref="P3:P4"/>
    <mergeCell ref="Q3:Q4"/>
    <mergeCell ref="R3:R4"/>
    <mergeCell ref="A2:B2"/>
    <mergeCell ref="A3:A4"/>
    <mergeCell ref="B3:B4"/>
    <mergeCell ref="D3:E4"/>
    <mergeCell ref="F3:F4"/>
    <mergeCell ref="G3:G4"/>
    <mergeCell ref="J1:L2"/>
    <mergeCell ref="M1:O2"/>
    <mergeCell ref="D15:E15"/>
    <mergeCell ref="A5:A15"/>
    <mergeCell ref="N3:N4"/>
    <mergeCell ref="O3:O4"/>
    <mergeCell ref="S5:S15"/>
    <mergeCell ref="Z5:AA5"/>
    <mergeCell ref="AD5:AD15"/>
    <mergeCell ref="Z6:AA6"/>
    <mergeCell ref="Z7:AA7"/>
    <mergeCell ref="Z8:AA8"/>
    <mergeCell ref="Z9:AA9"/>
    <mergeCell ref="T3:U3"/>
    <mergeCell ref="V3:V4"/>
    <mergeCell ref="W3:W4"/>
    <mergeCell ref="X3:Y3"/>
    <mergeCell ref="Z3:AA4"/>
    <mergeCell ref="AB3:AB4"/>
    <mergeCell ref="S3:S4"/>
    <mergeCell ref="AD16:AD26"/>
    <mergeCell ref="Z17:AA17"/>
    <mergeCell ref="Z18:AA18"/>
    <mergeCell ref="Z19:AA19"/>
    <mergeCell ref="Z20:AA20"/>
    <mergeCell ref="Z21:AA21"/>
    <mergeCell ref="Z22:AA22"/>
    <mergeCell ref="Z10:AA10"/>
    <mergeCell ref="Z11:AA11"/>
    <mergeCell ref="Z12:AA12"/>
    <mergeCell ref="Z13:AA13"/>
    <mergeCell ref="Z14:AA14"/>
    <mergeCell ref="Z23:AA23"/>
    <mergeCell ref="Z24:AA24"/>
    <mergeCell ref="Z25:AA25"/>
    <mergeCell ref="Z15:AA15"/>
    <mergeCell ref="D26:E26"/>
    <mergeCell ref="Z26:AA26"/>
    <mergeCell ref="A27:A37"/>
    <mergeCell ref="S27:S37"/>
    <mergeCell ref="Z27:AA27"/>
    <mergeCell ref="D37:E37"/>
    <mergeCell ref="Z37:AA37"/>
    <mergeCell ref="A16:A26"/>
    <mergeCell ref="S16:S26"/>
    <mergeCell ref="Z16:AA16"/>
    <mergeCell ref="AD38:AD48"/>
    <mergeCell ref="Z39:AA39"/>
    <mergeCell ref="Z40:AA40"/>
    <mergeCell ref="Z41:AA41"/>
    <mergeCell ref="Z42:AA42"/>
    <mergeCell ref="Z43:AA43"/>
    <mergeCell ref="Z44:AA44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Z45:AA45"/>
    <mergeCell ref="Z46:AA46"/>
    <mergeCell ref="Z47:AA47"/>
    <mergeCell ref="D48:E48"/>
    <mergeCell ref="Z48:AA48"/>
    <mergeCell ref="A49:A58"/>
    <mergeCell ref="S49:S58"/>
    <mergeCell ref="Z49:AA49"/>
    <mergeCell ref="D58:E58"/>
    <mergeCell ref="A38:A48"/>
    <mergeCell ref="S38:S48"/>
    <mergeCell ref="Z38:AA38"/>
    <mergeCell ref="AD59:AD69"/>
    <mergeCell ref="Z60:AA60"/>
    <mergeCell ref="Z61:AA61"/>
    <mergeCell ref="Z62:AA62"/>
    <mergeCell ref="Z63:AA63"/>
    <mergeCell ref="Z64:AA64"/>
    <mergeCell ref="Z65:AA65"/>
    <mergeCell ref="AD49:AD58"/>
    <mergeCell ref="Z50:AA50"/>
    <mergeCell ref="Z51:AA51"/>
    <mergeCell ref="Z52:AA52"/>
    <mergeCell ref="Z53:AA53"/>
    <mergeCell ref="Z54:AA54"/>
    <mergeCell ref="Z55:AA55"/>
    <mergeCell ref="Z56:AA56"/>
    <mergeCell ref="Z57:AA57"/>
    <mergeCell ref="Z58:AA58"/>
    <mergeCell ref="Z66:AA66"/>
    <mergeCell ref="Z67:AA67"/>
    <mergeCell ref="Z68:AA68"/>
    <mergeCell ref="D69:E69"/>
    <mergeCell ref="Z69:AA69"/>
    <mergeCell ref="A70:A79"/>
    <mergeCell ref="S70:S79"/>
    <mergeCell ref="Z70:AA70"/>
    <mergeCell ref="D79:E79"/>
    <mergeCell ref="A59:A69"/>
    <mergeCell ref="S59:S69"/>
    <mergeCell ref="Z59:AA59"/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</mergeCells>
  <phoneticPr fontId="2" type="noConversion"/>
  <conditionalFormatting sqref="P5:P79">
    <cfRule type="cellIs" dxfId="228" priority="1" operator="greaterThan">
      <formula>0</formula>
    </cfRule>
  </conditionalFormatting>
  <conditionalFormatting sqref="Q5:Q79 AB5:AB79">
    <cfRule type="cellIs" dxfId="227" priority="4" operator="lessThan">
      <formula>0</formula>
    </cfRule>
  </conditionalFormatting>
  <conditionalFormatting sqref="R5:R79 AC5:AC79">
    <cfRule type="cellIs" dxfId="226" priority="2" operator="greaterThan">
      <formula>1</formula>
    </cfRule>
    <cfRule type="cellIs" dxfId="225" priority="3" operator="lessThan">
      <formula>0.8</formula>
    </cfRule>
  </conditionalFormatting>
  <conditionalFormatting sqref="S5:S10 S37:S62 AD59:AD62 S69:S76 AD69:AD76">
    <cfRule type="cellIs" dxfId="224" priority="7" operator="lessThan">
      <formula>0.8</formula>
    </cfRule>
  </conditionalFormatting>
  <conditionalFormatting sqref="S19:S25 AD19:AD25">
    <cfRule type="cellIs" dxfId="223" priority="6" operator="lessThan">
      <formula>0.8</formula>
    </cfRule>
  </conditionalFormatting>
  <conditionalFormatting sqref="S79">
    <cfRule type="cellIs" dxfId="222" priority="5" operator="lessThan">
      <formula>0.8</formula>
    </cfRule>
  </conditionalFormatting>
  <conditionalFormatting sqref="AD5:AD8 S15:S16 AD15:AD16 AD49 AD79">
    <cfRule type="cellIs" dxfId="221" priority="9" operator="lessThan">
      <formula>0.8</formula>
    </cfRule>
  </conditionalFormatting>
  <conditionalFormatting sqref="AD27 S27:S28">
    <cfRule type="cellIs" dxfId="22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264C3FD-800D-4D28-B825-332512A55AB8}">
          <x14:formula1>
            <xm:f>廠價表!$C$2:$C$37</xm:f>
          </x14:formula1>
          <xm:sqref>D1:D1048576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9CAC3-FE69-462C-AE06-B78CA9D48150}">
  <sheetPr>
    <pageSetUpPr fitToPage="1"/>
  </sheetPr>
  <dimension ref="B1:O22"/>
  <sheetViews>
    <sheetView zoomScale="70" zoomScaleNormal="70" workbookViewId="0">
      <selection activeCell="D3" sqref="D3:E4"/>
    </sheetView>
  </sheetViews>
  <sheetFormatPr defaultColWidth="8.125" defaultRowHeight="15.75"/>
  <cols>
    <col min="1" max="1" width="8.125" style="203"/>
    <col min="2" max="2" width="7.125" style="203" customWidth="1"/>
    <col min="3" max="3" width="7.125" style="218" customWidth="1"/>
    <col min="4" max="17" width="14.125" style="203" customWidth="1"/>
    <col min="18" max="21" width="9.625" style="203" customWidth="1"/>
    <col min="22" max="22" width="11.125" style="203" customWidth="1"/>
    <col min="23" max="23" width="11.5" style="203" customWidth="1"/>
    <col min="24" max="16384" width="8.125" style="203"/>
  </cols>
  <sheetData>
    <row r="1" spans="2:15" ht="27.75" customHeight="1">
      <c r="B1" s="345" t="s">
        <v>73</v>
      </c>
      <c r="C1" s="345"/>
      <c r="D1" s="345"/>
      <c r="E1" s="345"/>
      <c r="F1" s="345"/>
      <c r="G1" s="345"/>
      <c r="H1" s="345"/>
      <c r="I1" s="345"/>
      <c r="J1" s="345"/>
      <c r="K1" s="345"/>
      <c r="L1" s="202"/>
      <c r="M1" s="202"/>
    </row>
    <row r="2" spans="2:15" ht="27.75" customHeight="1"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202"/>
      <c r="M2" s="202"/>
    </row>
    <row r="3" spans="2:15" ht="46.5" customHeight="1">
      <c r="B3" s="342" t="s">
        <v>74</v>
      </c>
      <c r="C3" s="342"/>
      <c r="D3" s="346">
        <v>45970</v>
      </c>
      <c r="E3" s="346"/>
      <c r="F3" s="204" t="s">
        <v>75</v>
      </c>
      <c r="G3" s="347">
        <f>'1109'!E1</f>
        <v>60100</v>
      </c>
      <c r="H3" s="347"/>
      <c r="I3" s="204" t="s">
        <v>76</v>
      </c>
      <c r="J3" s="348">
        <f>'1109'!G1</f>
        <v>2922408.4600000004</v>
      </c>
      <c r="K3" s="348"/>
      <c r="L3" s="205"/>
    </row>
    <row r="4" spans="2:15" ht="24" customHeight="1">
      <c r="B4" s="342" t="s">
        <v>77</v>
      </c>
      <c r="C4" s="342"/>
      <c r="D4" s="343">
        <v>3</v>
      </c>
      <c r="E4" s="343"/>
      <c r="F4" s="344" t="s">
        <v>78</v>
      </c>
      <c r="G4" s="344"/>
      <c r="H4" s="344" t="s">
        <v>79</v>
      </c>
      <c r="I4" s="344"/>
      <c r="J4" s="343" t="s">
        <v>80</v>
      </c>
      <c r="K4" s="344"/>
      <c r="L4" s="206"/>
    </row>
    <row r="5" spans="2:15" ht="24" customHeight="1">
      <c r="B5" s="342" t="s">
        <v>81</v>
      </c>
      <c r="C5" s="342"/>
      <c r="D5" s="343" t="s">
        <v>82</v>
      </c>
      <c r="E5" s="343"/>
      <c r="F5" s="343" t="s">
        <v>83</v>
      </c>
      <c r="G5" s="343"/>
      <c r="H5" s="369" t="s">
        <v>62</v>
      </c>
      <c r="I5" s="369"/>
      <c r="J5" s="341" t="s">
        <v>84</v>
      </c>
      <c r="K5" s="341"/>
      <c r="L5" s="207"/>
    </row>
    <row r="6" spans="2:15" ht="39.6" customHeight="1">
      <c r="B6" s="342"/>
      <c r="C6" s="342"/>
      <c r="D6" s="342" t="s">
        <v>85</v>
      </c>
      <c r="E6" s="342"/>
      <c r="F6" s="356">
        <f>AVERAGE(D13:J13)</f>
        <v>111.7285126061221</v>
      </c>
      <c r="G6" s="356"/>
      <c r="H6" s="349">
        <f>AVERAGE(D13:H13)</f>
        <v>109.37889200754528</v>
      </c>
      <c r="I6" s="349"/>
      <c r="J6" s="349">
        <f>AVERAGE(I13:J13)</f>
        <v>117.60256410256409</v>
      </c>
      <c r="K6" s="349"/>
      <c r="L6" s="207"/>
    </row>
    <row r="7" spans="2:15" s="208" customFormat="1" ht="39.6" customHeight="1">
      <c r="B7" s="342"/>
      <c r="C7" s="342"/>
      <c r="D7" s="350" t="s">
        <v>86</v>
      </c>
      <c r="E7" s="350"/>
      <c r="F7" s="351">
        <f>AVERAGE(D14:J14)</f>
        <v>102.16635907364616</v>
      </c>
      <c r="G7" s="351"/>
      <c r="H7" s="352">
        <f>AVERAGE(D14:H14)</f>
        <v>99.33430579261227</v>
      </c>
      <c r="I7" s="352"/>
      <c r="J7" s="352">
        <f>AVERAGE(I14:J14)</f>
        <v>109.2464922762309</v>
      </c>
      <c r="K7" s="352"/>
    </row>
    <row r="8" spans="2:15" s="208" customFormat="1" ht="39.6" customHeight="1">
      <c r="B8" s="342"/>
      <c r="C8" s="342"/>
      <c r="D8" s="350" t="s">
        <v>87</v>
      </c>
      <c r="E8" s="350"/>
      <c r="F8" s="353">
        <f>AVERAGE(D15:J15)</f>
        <v>0.90992979289066767</v>
      </c>
      <c r="G8" s="353"/>
      <c r="H8" s="353">
        <f>AVERAGE(D15:H15)</f>
        <v>0.90282583280554873</v>
      </c>
      <c r="I8" s="353"/>
      <c r="J8" s="353">
        <f>AVERAGE(I15:J15)</f>
        <v>0.92768969310346483</v>
      </c>
      <c r="K8" s="353"/>
      <c r="L8" s="209" t="s">
        <v>88</v>
      </c>
    </row>
    <row r="9" spans="2:15" ht="25.5" customHeight="1">
      <c r="B9" s="207"/>
      <c r="C9" s="207"/>
      <c r="D9" s="207"/>
      <c r="E9" s="207"/>
      <c r="F9" s="207"/>
      <c r="G9" s="207"/>
      <c r="H9" s="210"/>
      <c r="I9" s="211"/>
      <c r="J9" s="211"/>
      <c r="K9" s="211"/>
      <c r="L9" s="211"/>
      <c r="M9" s="211"/>
      <c r="N9" s="211"/>
      <c r="O9" s="207"/>
    </row>
    <row r="10" spans="2:15" ht="30" customHeight="1">
      <c r="B10" s="354" t="s">
        <v>0</v>
      </c>
      <c r="C10" s="355"/>
      <c r="D10" s="357" t="s">
        <v>89</v>
      </c>
      <c r="E10" s="358"/>
      <c r="F10" s="358"/>
      <c r="G10" s="358"/>
      <c r="H10" s="358"/>
      <c r="I10" s="358"/>
      <c r="J10" s="359"/>
    </row>
    <row r="11" spans="2:15" ht="17.25" customHeight="1">
      <c r="B11" s="360" t="s">
        <v>90</v>
      </c>
      <c r="C11" s="361"/>
      <c r="D11" s="212">
        <v>1</v>
      </c>
      <c r="E11" s="212">
        <v>2</v>
      </c>
      <c r="F11" s="212">
        <v>3</v>
      </c>
      <c r="G11" s="212">
        <v>4</v>
      </c>
      <c r="H11" s="212">
        <v>5</v>
      </c>
      <c r="I11" s="212">
        <v>6</v>
      </c>
      <c r="J11" s="212">
        <v>7</v>
      </c>
    </row>
    <row r="12" spans="2:15" ht="33.950000000000003" customHeight="1">
      <c r="B12" s="362"/>
      <c r="C12" s="363"/>
      <c r="D12" s="213" t="s">
        <v>91</v>
      </c>
      <c r="E12" s="213" t="s">
        <v>92</v>
      </c>
      <c r="F12" s="213" t="s">
        <v>93</v>
      </c>
      <c r="G12" s="213" t="s">
        <v>94</v>
      </c>
      <c r="H12" s="213" t="s">
        <v>95</v>
      </c>
      <c r="I12" s="213" t="s">
        <v>96</v>
      </c>
      <c r="J12" s="213" t="s">
        <v>97</v>
      </c>
    </row>
    <row r="13" spans="2:15" ht="39.950000000000003" customHeight="1">
      <c r="B13" s="364" t="s">
        <v>1</v>
      </c>
      <c r="C13" s="214" t="s">
        <v>98</v>
      </c>
      <c r="D13" s="215">
        <f>VALUE('1109'!L15)</f>
        <v>134.93650793650795</v>
      </c>
      <c r="E13" s="215">
        <f>VALUE('1109'!L26)</f>
        <v>150.22664835164835</v>
      </c>
      <c r="F13" s="215">
        <f>VALUE('1109'!L37)</f>
        <v>81.982570806100227</v>
      </c>
      <c r="G13" s="215">
        <f>VALUE('1109'!L48)</f>
        <v>93.033333333333331</v>
      </c>
      <c r="H13" s="215">
        <f>VALUE('1109'!L58)</f>
        <v>86.715399610136458</v>
      </c>
      <c r="I13" s="215">
        <f>VALUE('1109'!L69)</f>
        <v>126.40384615384615</v>
      </c>
      <c r="J13" s="215">
        <f>VALUE('1109'!L79)</f>
        <v>108.80128205128204</v>
      </c>
    </row>
    <row r="14" spans="2:15" ht="39.950000000000003" customHeight="1">
      <c r="B14" s="365"/>
      <c r="C14" s="214" t="s">
        <v>99</v>
      </c>
      <c r="D14" s="215">
        <f>VALUE('1109'!O15)</f>
        <v>122.35493046776233</v>
      </c>
      <c r="E14" s="215">
        <f>VALUE('1109'!O26)</f>
        <v>144.04379203486647</v>
      </c>
      <c r="F14" s="215">
        <f>VALUE('1109'!O37)</f>
        <v>73.208282361036822</v>
      </c>
      <c r="G14" s="215">
        <f>VALUE('1109'!O48)</f>
        <v>71.138461538461499</v>
      </c>
      <c r="H14" s="215">
        <f>VALUE('1109'!O58)</f>
        <v>85.926062560934227</v>
      </c>
      <c r="I14" s="215">
        <f>VALUE('1109'!O69)</f>
        <v>119.38632756163315</v>
      </c>
      <c r="J14" s="215">
        <f>VALUE('1109'!O79)</f>
        <v>99.106656990828654</v>
      </c>
    </row>
    <row r="15" spans="2:15" ht="39.950000000000003" customHeight="1">
      <c r="B15" s="366"/>
      <c r="C15" s="212" t="s">
        <v>100</v>
      </c>
      <c r="D15" s="233">
        <f>D14/D13</f>
        <v>0.90675927766957132</v>
      </c>
      <c r="E15" s="233">
        <f t="shared" ref="E15:J15" si="0">E14/E13</f>
        <v>0.95884314544308313</v>
      </c>
      <c r="F15" s="233">
        <f t="shared" si="0"/>
        <v>0.89297373382184153</v>
      </c>
      <c r="G15" s="233">
        <f t="shared" si="0"/>
        <v>0.76465562384587782</v>
      </c>
      <c r="H15" s="233">
        <f t="shared" si="0"/>
        <v>0.99089738324736998</v>
      </c>
      <c r="I15" s="233">
        <f t="shared" si="0"/>
        <v>0.94448334599192518</v>
      </c>
      <c r="J15" s="233">
        <f t="shared" si="0"/>
        <v>0.91089604021500448</v>
      </c>
    </row>
    <row r="16" spans="2:15" ht="17.25" customHeight="1">
      <c r="B16" s="367" t="s">
        <v>101</v>
      </c>
      <c r="C16" s="212" t="s">
        <v>102</v>
      </c>
      <c r="D16" s="95">
        <f>'1109'!T5</f>
        <v>0.2902777777777778</v>
      </c>
      <c r="E16" s="95">
        <f>'1109'!T16</f>
        <v>0.29097222222222224</v>
      </c>
      <c r="F16" s="95">
        <f>'1109'!T27</f>
        <v>0.29097222222222224</v>
      </c>
      <c r="G16" s="95">
        <f>'1109'!T38</f>
        <v>0.34375</v>
      </c>
      <c r="H16" s="95">
        <f>'1109'!T49</f>
        <v>0.2902777777777778</v>
      </c>
      <c r="I16" s="95">
        <f>'1109'!T59</f>
        <v>0.2902777777777778</v>
      </c>
      <c r="J16" s="272">
        <f>'1109'!T70</f>
        <v>0.33333333333333331</v>
      </c>
    </row>
    <row r="17" spans="2:10" ht="17.25" customHeight="1">
      <c r="B17" s="368"/>
      <c r="C17" s="212" t="s">
        <v>103</v>
      </c>
      <c r="D17" s="79">
        <v>0.63263888888888886</v>
      </c>
      <c r="E17" s="41">
        <v>0.63611111111111107</v>
      </c>
      <c r="F17" s="41">
        <v>0.5756944444444444</v>
      </c>
      <c r="G17" s="59">
        <v>0.64583333333333337</v>
      </c>
      <c r="H17" s="44">
        <v>0.61319444444444449</v>
      </c>
      <c r="I17" s="20">
        <v>0.60763888888888884</v>
      </c>
      <c r="J17" s="20">
        <v>0.60069444444444442</v>
      </c>
    </row>
    <row r="18" spans="2:10" ht="17.25" customHeight="1">
      <c r="B18" s="354" t="s">
        <v>104</v>
      </c>
      <c r="C18" s="355"/>
      <c r="D18" s="216">
        <f>VALUE('1109'!M15)</f>
        <v>15</v>
      </c>
      <c r="E18" s="216">
        <f>VALUE('1109'!M26)</f>
        <v>13.5</v>
      </c>
      <c r="F18" s="216">
        <f>VALUE('1109'!M37)</f>
        <v>16</v>
      </c>
      <c r="G18" s="216">
        <f>VALUE('1109'!M48)</f>
        <v>15</v>
      </c>
      <c r="H18" s="216">
        <f>VALUE('1109'!M58)</f>
        <v>18.333333333333332</v>
      </c>
      <c r="I18" s="216">
        <f>VALUE('1109'!M69)</f>
        <v>12.4</v>
      </c>
      <c r="J18" s="216">
        <f>VALUE('1109'!M79)</f>
        <v>14.133333333333333</v>
      </c>
    </row>
    <row r="19" spans="2:10" ht="17.25" customHeight="1">
      <c r="B19" s="354" t="s">
        <v>105</v>
      </c>
      <c r="C19" s="355"/>
      <c r="D19" s="213" t="s">
        <v>106</v>
      </c>
      <c r="E19" s="213" t="s">
        <v>106</v>
      </c>
      <c r="F19" s="213" t="s">
        <v>107</v>
      </c>
      <c r="G19" s="213" t="s">
        <v>107</v>
      </c>
      <c r="H19" s="213" t="s">
        <v>107</v>
      </c>
      <c r="I19" s="213" t="s">
        <v>108</v>
      </c>
      <c r="J19" s="213" t="s">
        <v>107</v>
      </c>
    </row>
    <row r="20" spans="2:10" ht="17.25" customHeight="1">
      <c r="B20" s="354" t="s">
        <v>110</v>
      </c>
      <c r="C20" s="355"/>
      <c r="D20" s="213"/>
      <c r="E20" s="213"/>
      <c r="F20" s="213"/>
      <c r="G20" s="217"/>
      <c r="H20" s="213" t="s">
        <v>109</v>
      </c>
      <c r="I20" s="213"/>
      <c r="J20" s="213"/>
    </row>
    <row r="21" spans="2:10" ht="17.25" customHeight="1">
      <c r="B21" s="354" t="s">
        <v>111</v>
      </c>
      <c r="C21" s="355"/>
      <c r="D21" s="273"/>
      <c r="E21" s="273"/>
      <c r="F21" s="273"/>
      <c r="G21" s="273"/>
      <c r="H21" s="273"/>
      <c r="I21" s="273"/>
      <c r="J21" s="273"/>
    </row>
    <row r="22" spans="2:10">
      <c r="B22" s="370"/>
      <c r="C22" s="370"/>
    </row>
  </sheetData>
  <mergeCells count="37">
    <mergeCell ref="B20:C20"/>
    <mergeCell ref="B21:C21"/>
    <mergeCell ref="B22:C22"/>
    <mergeCell ref="D8:E8"/>
    <mergeCell ref="F8:G8"/>
    <mergeCell ref="H8:I8"/>
    <mergeCell ref="B18:C18"/>
    <mergeCell ref="B19:C19"/>
    <mergeCell ref="D6:E6"/>
    <mergeCell ref="F6:G6"/>
    <mergeCell ref="H6:I6"/>
    <mergeCell ref="D10:J10"/>
    <mergeCell ref="B11:C12"/>
    <mergeCell ref="B13:B15"/>
    <mergeCell ref="B16:B17"/>
    <mergeCell ref="B10:C10"/>
    <mergeCell ref="J8:K8"/>
    <mergeCell ref="B5:C8"/>
    <mergeCell ref="D5:E5"/>
    <mergeCell ref="F5:G5"/>
    <mergeCell ref="H5:I5"/>
    <mergeCell ref="J6:K6"/>
    <mergeCell ref="D7:E7"/>
    <mergeCell ref="F7:G7"/>
    <mergeCell ref="H7:I7"/>
    <mergeCell ref="J7:K7"/>
    <mergeCell ref="B1:K2"/>
    <mergeCell ref="B3:C3"/>
    <mergeCell ref="D3:E3"/>
    <mergeCell ref="G3:H3"/>
    <mergeCell ref="J3:K3"/>
    <mergeCell ref="J5:K5"/>
    <mergeCell ref="B4:C4"/>
    <mergeCell ref="D4:E4"/>
    <mergeCell ref="F4:G4"/>
    <mergeCell ref="H4:I4"/>
    <mergeCell ref="J4:K4"/>
  </mergeCells>
  <phoneticPr fontId="2" type="noConversion"/>
  <conditionalFormatting sqref="D15:J15">
    <cfRule type="cellIs" dxfId="219" priority="1" operator="lessThan">
      <formula>0.8</formula>
    </cfRule>
  </conditionalFormatting>
  <pageMargins left="0.7" right="0.7" top="0.75" bottom="0.75" header="0.3" footer="0.3"/>
  <pageSetup paperSize="8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CCC2E-6C42-4A4B-B6D2-9BF6EE28A098}">
  <sheetPr>
    <tabColor theme="9" tint="0.79998168889431442"/>
    <pageSetUpPr fitToPage="1"/>
  </sheetPr>
  <dimension ref="A1:AF92"/>
  <sheetViews>
    <sheetView zoomScale="69" zoomScaleNormal="69" workbookViewId="0">
      <pane xSplit="5" ySplit="4" topLeftCell="F11" activePane="bottomRight" state="frozen"/>
      <selection activeCell="D4" sqref="D4:E4"/>
      <selection pane="topRight" activeCell="D4" sqref="D4:E4"/>
      <selection pane="bottomLeft" activeCell="D4" sqref="D4:E4"/>
      <selection pane="bottomRight" activeCell="M40" sqref="M40"/>
    </sheetView>
  </sheetViews>
  <sheetFormatPr defaultColWidth="7.875" defaultRowHeight="15.75"/>
  <cols>
    <col min="1" max="1" width="15" style="6" customWidth="1"/>
    <col min="2" max="2" width="12.875" style="6" customWidth="1"/>
    <col min="3" max="3" width="12.875" style="6" hidden="1" customWidth="1"/>
    <col min="4" max="4" width="26.125" style="6" bestFit="1" customWidth="1"/>
    <col min="5" max="5" width="15" style="6" customWidth="1"/>
    <col min="6" max="6" width="8.875" style="6" bestFit="1" customWidth="1"/>
    <col min="7" max="7" width="20.125" style="6" bestFit="1" customWidth="1"/>
    <col min="8" max="8" width="16.375" style="6" bestFit="1" customWidth="1"/>
    <col min="9" max="9" width="10.875" style="6" bestFit="1" customWidth="1"/>
    <col min="10" max="10" width="10.125" style="6" bestFit="1" customWidth="1"/>
    <col min="11" max="11" width="10.625" style="6" customWidth="1"/>
    <col min="12" max="12" width="14.5" style="6" customWidth="1"/>
    <col min="13" max="13" width="10.125" style="6" bestFit="1" customWidth="1"/>
    <col min="14" max="14" width="10.25" style="6" bestFit="1" customWidth="1"/>
    <col min="15" max="15" width="11.875" style="6" customWidth="1"/>
    <col min="16" max="17" width="9.125" style="6" bestFit="1" customWidth="1"/>
    <col min="18" max="18" width="9.125" style="6" customWidth="1"/>
    <col min="19" max="19" width="8.375" style="6" customWidth="1"/>
    <col min="20" max="21" width="9.375" style="6" bestFit="1" customWidth="1"/>
    <col min="22" max="22" width="10.625" style="6" customWidth="1"/>
    <col min="23" max="23" width="8.625" style="92" customWidth="1"/>
    <col min="24" max="24" width="7.5" style="6" bestFit="1" customWidth="1"/>
    <col min="25" max="25" width="6.875" style="6" customWidth="1"/>
    <col min="26" max="26" width="12.625" style="6" customWidth="1"/>
    <col min="27" max="27" width="33.375" style="6" customWidth="1"/>
    <col min="28" max="28" width="13.125" style="6" bestFit="1" customWidth="1"/>
    <col min="29" max="29" width="10.375" style="6" customWidth="1"/>
    <col min="30" max="30" width="9.125" style="6" customWidth="1"/>
    <col min="31" max="31" width="7.875" style="6"/>
    <col min="32" max="32" width="24.5" style="6" bestFit="1" customWidth="1"/>
    <col min="33" max="16384" width="7.875" style="6"/>
  </cols>
  <sheetData>
    <row r="1" spans="1:30" ht="21">
      <c r="A1" s="2" t="s">
        <v>72</v>
      </c>
      <c r="B1" s="2"/>
      <c r="C1" s="2"/>
      <c r="D1" s="176" t="s">
        <v>8</v>
      </c>
      <c r="E1" s="3">
        <f>SUM(G5:G79)</f>
        <v>60100</v>
      </c>
      <c r="F1" s="177" t="s">
        <v>9</v>
      </c>
      <c r="G1" s="4">
        <f>SUM(H5:H79)</f>
        <v>2922408.4600000004</v>
      </c>
      <c r="H1" s="175" t="s">
        <v>10</v>
      </c>
      <c r="I1" s="5">
        <f>M15+M26+M48+M58+M69+M79+M37</f>
        <v>104.36666666666667</v>
      </c>
      <c r="J1" s="371" t="s">
        <v>11</v>
      </c>
      <c r="K1" s="371"/>
      <c r="L1" s="371"/>
      <c r="M1" s="371" t="s">
        <v>12</v>
      </c>
      <c r="N1" s="371"/>
      <c r="O1" s="371"/>
      <c r="P1" s="371" t="s">
        <v>13</v>
      </c>
      <c r="Q1" s="371"/>
      <c r="R1" s="371"/>
      <c r="S1" s="371"/>
      <c r="T1" s="371" t="s">
        <v>14</v>
      </c>
      <c r="U1" s="371"/>
      <c r="V1" s="371"/>
      <c r="W1" s="371"/>
      <c r="X1" s="371"/>
      <c r="Y1" s="371"/>
      <c r="Z1" s="371" t="s">
        <v>15</v>
      </c>
      <c r="AA1" s="371"/>
      <c r="AB1" s="371" t="s">
        <v>16</v>
      </c>
      <c r="AC1" s="372"/>
      <c r="AD1" s="372"/>
    </row>
    <row r="2" spans="1:30" ht="18.75">
      <c r="A2" s="409" t="s">
        <v>184</v>
      </c>
      <c r="B2" s="409"/>
      <c r="C2" s="176"/>
      <c r="D2" s="176" t="s">
        <v>1</v>
      </c>
      <c r="E2" s="7">
        <f>AVERAGE(O15,O26,O37,O48,O58,O69,O79)</f>
        <v>102.16635907364616</v>
      </c>
      <c r="F2" s="8" t="s">
        <v>2</v>
      </c>
      <c r="G2" s="9">
        <f>G1/E1</f>
        <v>48.625764725457579</v>
      </c>
      <c r="H2" s="175" t="s">
        <v>17</v>
      </c>
      <c r="I2" s="175">
        <f>COUNT(I5:I79)</f>
        <v>0</v>
      </c>
      <c r="J2" s="371"/>
      <c r="K2" s="371"/>
      <c r="L2" s="371"/>
      <c r="M2" s="371"/>
      <c r="N2" s="371"/>
      <c r="O2" s="371"/>
      <c r="P2" s="371"/>
      <c r="Q2" s="371"/>
      <c r="R2" s="371"/>
      <c r="S2" s="371"/>
      <c r="T2" s="371"/>
      <c r="U2" s="371"/>
      <c r="V2" s="371"/>
      <c r="W2" s="371"/>
      <c r="X2" s="371"/>
      <c r="Y2" s="371"/>
      <c r="Z2" s="371"/>
      <c r="AA2" s="371"/>
      <c r="AB2" s="372"/>
      <c r="AC2" s="372"/>
      <c r="AD2" s="372"/>
    </row>
    <row r="3" spans="1:30">
      <c r="A3" s="405" t="s">
        <v>18</v>
      </c>
      <c r="B3" s="405" t="s">
        <v>19</v>
      </c>
      <c r="C3" s="177"/>
      <c r="D3" s="405" t="s">
        <v>20</v>
      </c>
      <c r="E3" s="405"/>
      <c r="F3" s="379" t="s">
        <v>21</v>
      </c>
      <c r="G3" s="389" t="s">
        <v>22</v>
      </c>
      <c r="H3" s="379" t="s">
        <v>23</v>
      </c>
      <c r="I3" s="381" t="s">
        <v>24</v>
      </c>
      <c r="J3" s="383" t="s">
        <v>25</v>
      </c>
      <c r="K3" s="385" t="s">
        <v>26</v>
      </c>
      <c r="L3" s="387" t="s">
        <v>1</v>
      </c>
      <c r="M3" s="389" t="s">
        <v>25</v>
      </c>
      <c r="N3" s="385" t="s">
        <v>26</v>
      </c>
      <c r="O3" s="387" t="s">
        <v>1</v>
      </c>
      <c r="P3" s="383" t="s">
        <v>25</v>
      </c>
      <c r="Q3" s="387" t="s">
        <v>1</v>
      </c>
      <c r="R3" s="392" t="s">
        <v>27</v>
      </c>
      <c r="S3" s="394" t="s">
        <v>28</v>
      </c>
      <c r="T3" s="389" t="s">
        <v>4</v>
      </c>
      <c r="U3" s="389"/>
      <c r="V3" s="408" t="s">
        <v>29</v>
      </c>
      <c r="W3" s="381" t="s">
        <v>30</v>
      </c>
      <c r="X3" s="389" t="s">
        <v>31</v>
      </c>
      <c r="Y3" s="389"/>
      <c r="Z3" s="415" t="s">
        <v>71</v>
      </c>
      <c r="AA3" s="416"/>
      <c r="AB3" s="385" t="s">
        <v>26</v>
      </c>
      <c r="AC3" s="392" t="s">
        <v>27</v>
      </c>
      <c r="AD3" s="394" t="s">
        <v>28</v>
      </c>
    </row>
    <row r="4" spans="1:30" ht="16.5" thickBot="1">
      <c r="A4" s="379"/>
      <c r="B4" s="379"/>
      <c r="C4" s="178"/>
      <c r="D4" s="379"/>
      <c r="E4" s="379"/>
      <c r="F4" s="380"/>
      <c r="G4" s="390"/>
      <c r="H4" s="380"/>
      <c r="I4" s="382"/>
      <c r="J4" s="384"/>
      <c r="K4" s="386"/>
      <c r="L4" s="388"/>
      <c r="M4" s="390"/>
      <c r="N4" s="386"/>
      <c r="O4" s="388"/>
      <c r="P4" s="384"/>
      <c r="Q4" s="388"/>
      <c r="R4" s="393"/>
      <c r="S4" s="395"/>
      <c r="T4" s="179" t="s">
        <v>5</v>
      </c>
      <c r="U4" s="179" t="s">
        <v>6</v>
      </c>
      <c r="V4" s="390"/>
      <c r="W4" s="382"/>
      <c r="X4" s="178" t="s">
        <v>32</v>
      </c>
      <c r="Y4" s="178" t="s">
        <v>33</v>
      </c>
      <c r="Z4" s="417"/>
      <c r="AA4" s="417"/>
      <c r="AB4" s="386"/>
      <c r="AC4" s="393"/>
      <c r="AD4" s="395"/>
    </row>
    <row r="5" spans="1:30" ht="15" customHeight="1">
      <c r="A5" s="411" t="s">
        <v>66</v>
      </c>
      <c r="B5" s="199" t="str">
        <f>VLOOKUP(D5,廠價表!$C$1:$E$39,2,0)</f>
        <v>義大利麵</v>
      </c>
      <c r="C5" s="102"/>
      <c r="D5" s="103" t="s">
        <v>127</v>
      </c>
      <c r="E5" s="104"/>
      <c r="F5" s="199">
        <f>VLOOKUP(D5,廠價表!$C$1:$E$39,3,0)</f>
        <v>57.21</v>
      </c>
      <c r="G5" s="105">
        <v>1800</v>
      </c>
      <c r="H5" s="106">
        <f>F5*G5</f>
        <v>102978</v>
      </c>
      <c r="I5" s="107"/>
      <c r="J5" s="108">
        <v>14</v>
      </c>
      <c r="K5" s="105">
        <f>VLOOKUP(D5,產線配置圖!$A$2:$C$38,3,0)</f>
        <v>2105</v>
      </c>
      <c r="L5" s="109">
        <f>K5/J5</f>
        <v>150.35714285714286</v>
      </c>
      <c r="M5" s="110">
        <v>14</v>
      </c>
      <c r="N5" s="105">
        <f t="shared" ref="N5:N8" si="0">G5/W5*60</f>
        <v>1542.8571428571431</v>
      </c>
      <c r="O5" s="109">
        <f t="shared" ref="O5:O8" si="1">N5/M5</f>
        <v>110.20408163265309</v>
      </c>
      <c r="P5" s="111">
        <f t="shared" ref="P5:P8" si="2">M5-J5</f>
        <v>0</v>
      </c>
      <c r="Q5" s="112">
        <f t="shared" ref="Q5:Q8" si="3">O5-L5</f>
        <v>-40.153061224489775</v>
      </c>
      <c r="R5" s="184">
        <f t="shared" ref="R5:R8" si="4">O5/L5</f>
        <v>0.73294876145232457</v>
      </c>
      <c r="S5" s="396">
        <f>R15</f>
        <v>0.90675927766957132</v>
      </c>
      <c r="T5" s="94">
        <v>0.2902777777777778</v>
      </c>
      <c r="U5" s="94">
        <v>0.33888888888888891</v>
      </c>
      <c r="V5" s="194"/>
      <c r="W5" s="107">
        <f t="shared" ref="W5:W14" si="5">(U5-T5)*24*60</f>
        <v>69.999999999999986</v>
      </c>
      <c r="X5" s="188"/>
      <c r="Y5" s="188"/>
      <c r="Z5" s="400" t="s">
        <v>185</v>
      </c>
      <c r="AA5" s="400"/>
      <c r="AB5" s="111">
        <f>N5-K5</f>
        <v>-562.14285714285688</v>
      </c>
      <c r="AC5" s="184">
        <f>N5/K5</f>
        <v>0.73294876145232457</v>
      </c>
      <c r="AD5" s="401">
        <f>AC15</f>
        <v>0.91127507374631278</v>
      </c>
    </row>
    <row r="6" spans="1:30" ht="15" customHeight="1">
      <c r="A6" s="412"/>
      <c r="B6" s="56" t="str">
        <f>VLOOKUP(D6,廠價表!$C$1:$E$39,2,0)</f>
        <v>義大利麵</v>
      </c>
      <c r="C6" s="10"/>
      <c r="D6" s="11" t="s">
        <v>153</v>
      </c>
      <c r="E6" s="86"/>
      <c r="F6" s="56">
        <f>VLOOKUP(D6,廠價表!$C$1:$E$39,3,0)</f>
        <v>50.67</v>
      </c>
      <c r="G6" s="25">
        <v>1046</v>
      </c>
      <c r="H6" s="15">
        <f t="shared" ref="H6:H14" si="6">F6*G6</f>
        <v>53000.82</v>
      </c>
      <c r="I6" s="182"/>
      <c r="J6" s="16">
        <v>14</v>
      </c>
      <c r="K6" s="14">
        <f>VLOOKUP(D6,產線配置圖!$A$2:$C$38,3,0)</f>
        <v>2000</v>
      </c>
      <c r="L6" s="17">
        <f>K6/J6</f>
        <v>142.85714285714286</v>
      </c>
      <c r="M6" s="180">
        <v>14</v>
      </c>
      <c r="N6" s="14">
        <f t="shared" si="0"/>
        <v>1793.1428571428553</v>
      </c>
      <c r="O6" s="17">
        <f t="shared" si="1"/>
        <v>128.08163265306109</v>
      </c>
      <c r="P6" s="18">
        <f t="shared" si="2"/>
        <v>0</v>
      </c>
      <c r="Q6" s="19">
        <f t="shared" si="3"/>
        <v>-14.775510204081769</v>
      </c>
      <c r="R6" s="185">
        <f t="shared" si="4"/>
        <v>0.89657142857142758</v>
      </c>
      <c r="S6" s="397"/>
      <c r="T6" s="95">
        <v>0.34513888888888888</v>
      </c>
      <c r="U6" s="95">
        <v>0.36944444444444446</v>
      </c>
      <c r="V6" s="177">
        <f>(T6-U5)*24*60</f>
        <v>8.999999999999968</v>
      </c>
      <c r="W6" s="182">
        <f t="shared" si="5"/>
        <v>35.000000000000036</v>
      </c>
      <c r="X6" s="22"/>
      <c r="Y6" s="22"/>
      <c r="Z6" s="381"/>
      <c r="AA6" s="381"/>
      <c r="AB6" s="18">
        <f>N6-K6</f>
        <v>-206.85714285714471</v>
      </c>
      <c r="AC6" s="185">
        <f>N6/K6</f>
        <v>0.89657142857142769</v>
      </c>
      <c r="AD6" s="402"/>
    </row>
    <row r="7" spans="1:30" ht="15" customHeight="1">
      <c r="A7" s="412"/>
      <c r="B7" s="56" t="str">
        <f>VLOOKUP(D7,廠價表!$C$1:$E$39,2,0)</f>
        <v>義大利麵</v>
      </c>
      <c r="C7" s="10"/>
      <c r="D7" s="11" t="s">
        <v>139</v>
      </c>
      <c r="E7" s="86"/>
      <c r="F7" s="56">
        <f>VLOOKUP(D7,廠價表!$C$1:$E$39,3,0)</f>
        <v>57.21</v>
      </c>
      <c r="G7" s="25">
        <v>2355</v>
      </c>
      <c r="H7" s="15">
        <f t="shared" si="6"/>
        <v>134729.54999999999</v>
      </c>
      <c r="I7" s="182"/>
      <c r="J7" s="16">
        <v>18</v>
      </c>
      <c r="K7" s="14">
        <f>VLOOKUP(D7,產線配置圖!$A$2:$C$38,3,0)</f>
        <v>1895</v>
      </c>
      <c r="L7" s="17">
        <f>K7/J7</f>
        <v>105.27777777777777</v>
      </c>
      <c r="M7" s="180">
        <v>18</v>
      </c>
      <c r="N7" s="14">
        <f t="shared" si="0"/>
        <v>1884.0000000000007</v>
      </c>
      <c r="O7" s="17">
        <f t="shared" si="1"/>
        <v>104.6666666666667</v>
      </c>
      <c r="P7" s="18">
        <f t="shared" si="2"/>
        <v>0</v>
      </c>
      <c r="Q7" s="19">
        <f t="shared" si="3"/>
        <v>-0.61111111111107164</v>
      </c>
      <c r="R7" s="185">
        <f t="shared" si="4"/>
        <v>0.99419525065963099</v>
      </c>
      <c r="S7" s="397"/>
      <c r="T7" s="95">
        <v>0.38541666666666669</v>
      </c>
      <c r="U7" s="95">
        <v>0.4375</v>
      </c>
      <c r="V7" s="177">
        <f>(T7-U6)*24*60</f>
        <v>23</v>
      </c>
      <c r="W7" s="182">
        <f t="shared" si="5"/>
        <v>74.999999999999972</v>
      </c>
      <c r="X7" s="22"/>
      <c r="Y7" s="22"/>
      <c r="Z7" s="405"/>
      <c r="AA7" s="405"/>
      <c r="AB7" s="18">
        <f>N7-K7</f>
        <v>-10.999999999999318</v>
      </c>
      <c r="AC7" s="185">
        <f>N7/K7</f>
        <v>0.99419525065963099</v>
      </c>
      <c r="AD7" s="402"/>
    </row>
    <row r="8" spans="1:30" ht="15" customHeight="1">
      <c r="A8" s="412"/>
      <c r="B8" s="56" t="str">
        <f>VLOOKUP(D8,廠價表!$C$1:$E$39,2,0)</f>
        <v>義大利麵</v>
      </c>
      <c r="C8" s="10"/>
      <c r="D8" s="11" t="s">
        <v>141</v>
      </c>
      <c r="E8" s="86"/>
      <c r="F8" s="56">
        <f>VLOOKUP(D8,廠價表!$C$1:$E$39,3,0)</f>
        <v>49.14</v>
      </c>
      <c r="G8" s="25">
        <v>2345</v>
      </c>
      <c r="H8" s="15">
        <f t="shared" si="6"/>
        <v>115233.3</v>
      </c>
      <c r="I8" s="182"/>
      <c r="J8" s="16">
        <v>14</v>
      </c>
      <c r="K8" s="14">
        <f>VLOOKUP(D8,產線配置圖!$A$2:$C$38,3,0)</f>
        <v>2000</v>
      </c>
      <c r="L8" s="17">
        <f t="shared" ref="L8" si="7">K8/J8</f>
        <v>142.85714285714286</v>
      </c>
      <c r="M8" s="180">
        <v>14</v>
      </c>
      <c r="N8" s="14">
        <f t="shared" si="0"/>
        <v>1954.166666666667</v>
      </c>
      <c r="O8" s="17">
        <f t="shared" si="1"/>
        <v>139.58333333333334</v>
      </c>
      <c r="P8" s="18">
        <f t="shared" si="2"/>
        <v>0</v>
      </c>
      <c r="Q8" s="19">
        <f t="shared" si="3"/>
        <v>-3.2738095238095184</v>
      </c>
      <c r="R8" s="185">
        <f t="shared" si="4"/>
        <v>0.97708333333333341</v>
      </c>
      <c r="S8" s="397"/>
      <c r="T8" s="20">
        <v>0.4465277777777778</v>
      </c>
      <c r="U8" s="20">
        <v>0.49652777777777779</v>
      </c>
      <c r="V8" s="177">
        <f>(T8-U7)*24*60</f>
        <v>13.000000000000034</v>
      </c>
      <c r="W8" s="182">
        <f t="shared" si="5"/>
        <v>71.999999999999986</v>
      </c>
      <c r="X8" s="22"/>
      <c r="Y8" s="22"/>
      <c r="Z8" s="406"/>
      <c r="AA8" s="406"/>
      <c r="AB8" s="18">
        <f>N8-K8</f>
        <v>-45.83333333333303</v>
      </c>
      <c r="AC8" s="185">
        <f>N8/K8</f>
        <v>0.97708333333333353</v>
      </c>
      <c r="AD8" s="402"/>
    </row>
    <row r="9" spans="1:30" ht="15" customHeight="1">
      <c r="A9" s="413"/>
      <c r="B9" s="56" t="str">
        <f>VLOOKUP(D9,廠價表!$C$1:$E$39,2,0)</f>
        <v>義大利麵</v>
      </c>
      <c r="C9" s="10"/>
      <c r="D9" s="11" t="s">
        <v>141</v>
      </c>
      <c r="E9" s="86"/>
      <c r="F9" s="56">
        <f>VLOOKUP(D9,廠價表!$C$1:$E$39,3,0)</f>
        <v>49.14</v>
      </c>
      <c r="G9" s="25">
        <v>3651</v>
      </c>
      <c r="H9" s="15">
        <f t="shared" ref="H9" si="8">F9*G9</f>
        <v>179410.14</v>
      </c>
      <c r="I9" s="182"/>
      <c r="J9" s="16">
        <v>15</v>
      </c>
      <c r="K9" s="14">
        <f>VLOOKUP(D9,產線配置圖!$A$2:$C$38,3,0)</f>
        <v>2000</v>
      </c>
      <c r="L9" s="17">
        <f t="shared" ref="L9" si="9">K9/J9</f>
        <v>133.33333333333334</v>
      </c>
      <c r="M9" s="180">
        <v>15</v>
      </c>
      <c r="N9" s="14">
        <f t="shared" ref="N9" si="10">G9/W9*60</f>
        <v>1938.5840707964619</v>
      </c>
      <c r="O9" s="17">
        <f t="shared" ref="O9" si="11">N9/M9</f>
        <v>129.23893805309746</v>
      </c>
      <c r="P9" s="18">
        <f t="shared" ref="P9" si="12">M9-J9</f>
        <v>0</v>
      </c>
      <c r="Q9" s="19">
        <f t="shared" ref="Q9" si="13">O9-L9</f>
        <v>-4.0943952802358865</v>
      </c>
      <c r="R9" s="185">
        <f t="shared" ref="R9" si="14">O9/L9</f>
        <v>0.96929203539823083</v>
      </c>
      <c r="S9" s="398"/>
      <c r="T9" s="79">
        <v>0.5541666666666667</v>
      </c>
      <c r="U9" s="79">
        <v>0.63263888888888886</v>
      </c>
      <c r="V9" s="177">
        <f>(T9-U8)*24*60</f>
        <v>83.000000000000028</v>
      </c>
      <c r="W9" s="24">
        <f t="shared" si="5"/>
        <v>112.99999999999991</v>
      </c>
      <c r="X9" s="22">
        <v>0.5</v>
      </c>
      <c r="Y9" s="263">
        <v>0.54166666666666663</v>
      </c>
      <c r="Z9" s="407"/>
      <c r="AA9" s="407"/>
      <c r="AB9" s="18"/>
      <c r="AC9" s="185"/>
      <c r="AD9" s="403"/>
    </row>
    <row r="10" spans="1:30" ht="15" customHeight="1">
      <c r="A10" s="413"/>
      <c r="B10" s="56"/>
      <c r="C10" s="23"/>
      <c r="D10" s="11"/>
      <c r="E10" s="12"/>
      <c r="F10" s="56"/>
      <c r="G10" s="25"/>
      <c r="H10" s="15"/>
      <c r="I10" s="182"/>
      <c r="J10" s="16"/>
      <c r="K10" s="14"/>
      <c r="L10" s="17"/>
      <c r="M10" s="180"/>
      <c r="N10" s="14"/>
      <c r="O10" s="17"/>
      <c r="P10" s="18"/>
      <c r="Q10" s="19"/>
      <c r="R10" s="185"/>
      <c r="S10" s="398"/>
      <c r="T10" s="20"/>
      <c r="U10" s="20"/>
      <c r="V10" s="177"/>
      <c r="W10" s="182">
        <f t="shared" si="5"/>
        <v>0</v>
      </c>
      <c r="X10" s="22"/>
      <c r="Y10" s="263"/>
      <c r="Z10" s="419"/>
      <c r="AA10" s="418"/>
      <c r="AB10" s="264"/>
      <c r="AC10" s="185"/>
      <c r="AD10" s="403"/>
    </row>
    <row r="11" spans="1:30" ht="15" customHeight="1">
      <c r="A11" s="413"/>
      <c r="B11" s="56"/>
      <c r="C11" s="183"/>
      <c r="D11" s="11"/>
      <c r="E11" s="12"/>
      <c r="F11" s="56"/>
      <c r="G11" s="25"/>
      <c r="H11" s="15">
        <f t="shared" si="6"/>
        <v>0</v>
      </c>
      <c r="I11" s="182"/>
      <c r="J11" s="16"/>
      <c r="K11" s="14"/>
      <c r="L11" s="17"/>
      <c r="M11" s="180"/>
      <c r="N11" s="14"/>
      <c r="O11" s="17"/>
      <c r="P11" s="18"/>
      <c r="Q11" s="19"/>
      <c r="R11" s="185"/>
      <c r="S11" s="398"/>
      <c r="T11" s="20"/>
      <c r="U11" s="20"/>
      <c r="V11" s="177"/>
      <c r="W11" s="24">
        <f t="shared" si="5"/>
        <v>0</v>
      </c>
      <c r="X11" s="22"/>
      <c r="Y11" s="263"/>
      <c r="Z11" s="419"/>
      <c r="AA11" s="418"/>
      <c r="AB11" s="264"/>
      <c r="AC11" s="185"/>
      <c r="AD11" s="403"/>
    </row>
    <row r="12" spans="1:30" ht="15" customHeight="1">
      <c r="A12" s="413"/>
      <c r="B12" s="26"/>
      <c r="C12" s="27"/>
      <c r="D12" s="28"/>
      <c r="E12" s="29"/>
      <c r="F12" s="13"/>
      <c r="G12" s="30"/>
      <c r="H12" s="15">
        <f t="shared" si="6"/>
        <v>0</v>
      </c>
      <c r="I12" s="178"/>
      <c r="J12" s="31"/>
      <c r="K12" s="30"/>
      <c r="L12" s="17"/>
      <c r="M12" s="181"/>
      <c r="N12" s="25"/>
      <c r="O12" s="17"/>
      <c r="P12" s="18"/>
      <c r="Q12" s="19"/>
      <c r="R12" s="185"/>
      <c r="S12" s="398"/>
      <c r="T12" s="32"/>
      <c r="U12" s="32"/>
      <c r="V12" s="178"/>
      <c r="W12" s="24">
        <f t="shared" si="5"/>
        <v>0</v>
      </c>
      <c r="X12" s="33"/>
      <c r="Y12" s="33"/>
      <c r="Z12" s="407"/>
      <c r="AA12" s="407"/>
      <c r="AB12" s="34"/>
      <c r="AC12" s="186"/>
      <c r="AD12" s="403"/>
    </row>
    <row r="13" spans="1:30" ht="15" customHeight="1">
      <c r="A13" s="413"/>
      <c r="B13" s="56"/>
      <c r="C13" s="10"/>
      <c r="D13" s="11"/>
      <c r="E13" s="86"/>
      <c r="F13" s="56"/>
      <c r="G13" s="25"/>
      <c r="H13" s="15"/>
      <c r="I13" s="182"/>
      <c r="J13" s="16"/>
      <c r="K13" s="14"/>
      <c r="L13" s="17"/>
      <c r="M13" s="180"/>
      <c r="N13" s="14"/>
      <c r="O13" s="17"/>
      <c r="P13" s="18"/>
      <c r="Q13" s="19"/>
      <c r="R13" s="185"/>
      <c r="S13" s="479"/>
      <c r="T13" s="309"/>
      <c r="U13" s="309"/>
      <c r="V13" s="26"/>
      <c r="W13" s="24">
        <f t="shared" si="5"/>
        <v>0</v>
      </c>
      <c r="X13" s="33"/>
      <c r="Y13" s="33"/>
      <c r="Z13" s="419"/>
      <c r="AA13" s="418"/>
      <c r="AB13" s="34"/>
      <c r="AC13" s="186"/>
      <c r="AD13" s="403"/>
    </row>
    <row r="14" spans="1:30" ht="15" customHeight="1">
      <c r="A14" s="413"/>
      <c r="B14" s="26"/>
      <c r="C14" s="27"/>
      <c r="D14" s="28"/>
      <c r="E14" s="29"/>
      <c r="F14" s="13"/>
      <c r="G14" s="30"/>
      <c r="H14" s="15">
        <f t="shared" si="6"/>
        <v>0</v>
      </c>
      <c r="I14" s="178"/>
      <c r="J14" s="31"/>
      <c r="K14" s="30"/>
      <c r="L14" s="17"/>
      <c r="M14" s="181"/>
      <c r="N14" s="25"/>
      <c r="O14" s="17"/>
      <c r="P14" s="18"/>
      <c r="Q14" s="19"/>
      <c r="R14" s="185"/>
      <c r="S14" s="398"/>
      <c r="T14" s="308"/>
      <c r="U14" s="308"/>
      <c r="V14" s="178"/>
      <c r="W14" s="24">
        <f t="shared" si="5"/>
        <v>0</v>
      </c>
      <c r="X14" s="33"/>
      <c r="Y14" s="33"/>
      <c r="Z14" s="419"/>
      <c r="AA14" s="418"/>
      <c r="AB14" s="34"/>
      <c r="AC14" s="186"/>
      <c r="AD14" s="403"/>
    </row>
    <row r="15" spans="1:30" ht="15" customHeight="1" thickBot="1">
      <c r="A15" s="414"/>
      <c r="B15" s="113"/>
      <c r="C15" s="113" t="s">
        <v>34</v>
      </c>
      <c r="D15" s="410" t="s">
        <v>7</v>
      </c>
      <c r="E15" s="410"/>
      <c r="F15" s="114"/>
      <c r="G15" s="115"/>
      <c r="H15" s="116"/>
      <c r="I15" s="117"/>
      <c r="J15" s="118">
        <f t="shared" ref="J15:O15" si="15">AVERAGE(J5:J14)</f>
        <v>15</v>
      </c>
      <c r="K15" s="118">
        <f t="shared" si="15"/>
        <v>2000</v>
      </c>
      <c r="L15" s="115">
        <f t="shared" si="15"/>
        <v>134.93650793650795</v>
      </c>
      <c r="M15" s="118">
        <f t="shared" si="15"/>
        <v>15</v>
      </c>
      <c r="N15" s="118">
        <f t="shared" si="15"/>
        <v>1822.5501474926255</v>
      </c>
      <c r="O15" s="115">
        <f t="shared" si="15"/>
        <v>122.35493046776233</v>
      </c>
      <c r="P15" s="119">
        <f t="shared" ref="P15:P16" si="16">M15-J15</f>
        <v>0</v>
      </c>
      <c r="Q15" s="120">
        <f t="shared" ref="Q15:Q16" si="17">O15-L15</f>
        <v>-12.581577468745621</v>
      </c>
      <c r="R15" s="121">
        <f t="shared" ref="R15:R16" si="18">O15/L15</f>
        <v>0.90675927766957132</v>
      </c>
      <c r="S15" s="399"/>
      <c r="T15" s="122"/>
      <c r="U15" s="122"/>
      <c r="V15" s="195"/>
      <c r="W15" s="123"/>
      <c r="X15" s="124"/>
      <c r="Y15" s="124"/>
      <c r="Z15" s="391"/>
      <c r="AA15" s="391"/>
      <c r="AB15" s="119">
        <f>N15-K15</f>
        <v>-177.44985250737454</v>
      </c>
      <c r="AC15" s="187">
        <f>N15/K15</f>
        <v>0.91127507374631278</v>
      </c>
      <c r="AD15" s="404"/>
    </row>
    <row r="16" spans="1:30" ht="15" customHeight="1">
      <c r="A16" s="431" t="s">
        <v>67</v>
      </c>
      <c r="B16" s="199" t="s">
        <v>134</v>
      </c>
      <c r="C16" s="102"/>
      <c r="D16" s="103" t="s">
        <v>127</v>
      </c>
      <c r="E16" s="104"/>
      <c r="F16" s="199">
        <f>VLOOKUP(D16,廠價表!$C$1:$E$39,3,0)</f>
        <v>57.21</v>
      </c>
      <c r="G16" s="265">
        <v>1722</v>
      </c>
      <c r="H16" s="125">
        <f t="shared" ref="H16:H25" si="19">F16*G16</f>
        <v>98515.62</v>
      </c>
      <c r="I16" s="126"/>
      <c r="J16" s="108">
        <v>14</v>
      </c>
      <c r="K16" s="105">
        <f>VLOOKUP(D16,產線配置圖!$A$2:$C$38,3,0)</f>
        <v>2105</v>
      </c>
      <c r="L16" s="109">
        <f>K16/J16</f>
        <v>150.35714285714286</v>
      </c>
      <c r="M16" s="267">
        <v>14</v>
      </c>
      <c r="N16" s="127">
        <f>G16/W16*60</f>
        <v>1949.4339622641521</v>
      </c>
      <c r="O16" s="128">
        <f>N16/M16</f>
        <v>139.24528301886801</v>
      </c>
      <c r="P16" s="129">
        <f t="shared" si="16"/>
        <v>0</v>
      </c>
      <c r="Q16" s="130">
        <f t="shared" si="17"/>
        <v>-11.111859838274853</v>
      </c>
      <c r="R16" s="189">
        <f t="shared" si="18"/>
        <v>0.92609689418724561</v>
      </c>
      <c r="S16" s="424">
        <f>R26</f>
        <v>0.95884314544308313</v>
      </c>
      <c r="T16" s="268">
        <v>0.29097222222222224</v>
      </c>
      <c r="U16" s="268">
        <v>0.32777777777777778</v>
      </c>
      <c r="V16" s="126"/>
      <c r="W16" s="131">
        <f t="shared" ref="W16:W68" si="20">(U16-T16)*24*60</f>
        <v>52.999999999999972</v>
      </c>
      <c r="X16" s="128"/>
      <c r="Y16" s="128"/>
      <c r="Z16" s="400"/>
      <c r="AA16" s="400"/>
      <c r="AB16" s="111">
        <f>N16-K16</f>
        <v>-155.56603773584789</v>
      </c>
      <c r="AC16" s="184">
        <f>N16/K16</f>
        <v>0.92609689418724561</v>
      </c>
      <c r="AD16" s="401">
        <f>AC26</f>
        <v>0.95790229768728752</v>
      </c>
    </row>
    <row r="17" spans="1:30" ht="15" customHeight="1">
      <c r="A17" s="432"/>
      <c r="B17" s="56" t="s">
        <v>62</v>
      </c>
      <c r="C17" s="10"/>
      <c r="D17" s="11" t="s">
        <v>153</v>
      </c>
      <c r="E17" s="86"/>
      <c r="F17" s="56">
        <f>VLOOKUP(D17,廠價表!$C$1:$E$39,3,0)</f>
        <v>50.67</v>
      </c>
      <c r="G17" s="96">
        <v>4449</v>
      </c>
      <c r="H17" s="15">
        <f>F17*G17</f>
        <v>225430.83000000002</v>
      </c>
      <c r="I17" s="177"/>
      <c r="J17" s="16">
        <v>14</v>
      </c>
      <c r="K17" s="14">
        <f>VLOOKUP(D17,產線配置圖!$A$2:$C$38,3,0)</f>
        <v>2000</v>
      </c>
      <c r="L17" s="17">
        <f>K17/J17</f>
        <v>142.85714285714286</v>
      </c>
      <c r="M17" s="37">
        <v>14</v>
      </c>
      <c r="N17" s="36">
        <f>G17/W17*60</f>
        <v>1879.8591549295777</v>
      </c>
      <c r="O17" s="38">
        <f>N17/M17</f>
        <v>134.27565392354126</v>
      </c>
      <c r="P17" s="39">
        <f>M17-J17</f>
        <v>0</v>
      </c>
      <c r="Q17" s="40">
        <f>O17-L17</f>
        <v>-8.5814889336016051</v>
      </c>
      <c r="R17" s="190">
        <f>O17/L17</f>
        <v>0.93992957746478878</v>
      </c>
      <c r="S17" s="425"/>
      <c r="T17" s="41">
        <v>0.34375</v>
      </c>
      <c r="U17" s="41">
        <v>0.44236111111111109</v>
      </c>
      <c r="V17" s="177">
        <f>(T17-U16)*24*60</f>
        <v>23</v>
      </c>
      <c r="W17" s="43">
        <f t="shared" si="20"/>
        <v>141.99999999999997</v>
      </c>
      <c r="X17" s="44"/>
      <c r="Y17" s="44"/>
      <c r="Z17" s="381"/>
      <c r="AA17" s="381"/>
      <c r="AB17" s="18">
        <f>N17-K17</f>
        <v>-120.1408450704223</v>
      </c>
      <c r="AC17" s="185">
        <f>N17/K17</f>
        <v>0.93992957746478889</v>
      </c>
      <c r="AD17" s="402"/>
    </row>
    <row r="18" spans="1:30" ht="15" customHeight="1">
      <c r="A18" s="432"/>
      <c r="B18" s="56" t="s">
        <v>62</v>
      </c>
      <c r="C18" s="10"/>
      <c r="D18" s="11" t="s">
        <v>131</v>
      </c>
      <c r="E18" s="86"/>
      <c r="F18" s="56">
        <f>VLOOKUP(D18,廠價表!$C$1:$E$39,3,0)</f>
        <v>50.39</v>
      </c>
      <c r="G18" s="96">
        <v>2056</v>
      </c>
      <c r="H18" s="15">
        <f>F18*G18</f>
        <v>103601.84</v>
      </c>
      <c r="I18" s="177"/>
      <c r="J18" s="16">
        <v>13</v>
      </c>
      <c r="K18" s="14">
        <f>VLOOKUP(D18,產線配置圖!$A$2:$C$38,3,0)</f>
        <v>2000</v>
      </c>
      <c r="L18" s="17">
        <f>K18/J18</f>
        <v>153.84615384615384</v>
      </c>
      <c r="M18" s="37">
        <v>13</v>
      </c>
      <c r="N18" s="36">
        <f>G18/W18*60</f>
        <v>1989.6774193548381</v>
      </c>
      <c r="O18" s="38">
        <f>N18/M18</f>
        <v>153.05210918114139</v>
      </c>
      <c r="P18" s="39">
        <f>M18-J18</f>
        <v>0</v>
      </c>
      <c r="Q18" s="40">
        <f>O18-L18</f>
        <v>-0.79404466501244997</v>
      </c>
      <c r="R18" s="190">
        <f>O18/L18</f>
        <v>0.99483870967741905</v>
      </c>
      <c r="S18" s="425"/>
      <c r="T18" s="41">
        <v>0.45</v>
      </c>
      <c r="U18" s="41">
        <v>0.49305555555555558</v>
      </c>
      <c r="V18" s="177">
        <f>(T18-U17)*24*60</f>
        <v>11.000000000000041</v>
      </c>
      <c r="W18" s="43">
        <f t="shared" si="20"/>
        <v>62.000000000000021</v>
      </c>
      <c r="X18" s="22"/>
      <c r="Y18" s="22"/>
      <c r="Z18" s="418"/>
      <c r="AA18" s="405"/>
      <c r="AB18" s="18">
        <f>N18-K18</f>
        <v>-10.322580645161906</v>
      </c>
      <c r="AC18" s="185">
        <f>N18/K18</f>
        <v>0.99483870967741905</v>
      </c>
      <c r="AD18" s="402"/>
    </row>
    <row r="19" spans="1:30" ht="15" customHeight="1">
      <c r="A19" s="432"/>
      <c r="B19" s="56" t="s">
        <v>62</v>
      </c>
      <c r="C19" s="23"/>
      <c r="D19" s="11" t="s">
        <v>131</v>
      </c>
      <c r="E19" s="12"/>
      <c r="F19" s="56">
        <f>VLOOKUP(D19,廠價表!$C$1:$E$39,3,0)</f>
        <v>50.39</v>
      </c>
      <c r="G19" s="96">
        <v>3760</v>
      </c>
      <c r="H19" s="15">
        <f t="shared" ref="H19" si="21">F19*G19</f>
        <v>189466.4</v>
      </c>
      <c r="I19" s="177"/>
      <c r="J19" s="16">
        <v>13</v>
      </c>
      <c r="K19" s="14">
        <f>VLOOKUP(D19,產線配置圖!$A$2:$C$38,3,0)</f>
        <v>2000</v>
      </c>
      <c r="L19" s="17">
        <f t="shared" ref="L19" si="22">K19/J19</f>
        <v>153.84615384615384</v>
      </c>
      <c r="M19" s="37">
        <v>13</v>
      </c>
      <c r="N19" s="36">
        <f>G19/W19*60</f>
        <v>1944.8275862068979</v>
      </c>
      <c r="O19" s="38">
        <f>N19/M19</f>
        <v>149.60212201591523</v>
      </c>
      <c r="P19" s="39">
        <f>M19-J19</f>
        <v>0</v>
      </c>
      <c r="Q19" s="40">
        <f>O19-L19</f>
        <v>-4.2440318302386117</v>
      </c>
      <c r="R19" s="190">
        <f>O19/L19</f>
        <v>0.972413793103449</v>
      </c>
      <c r="S19" s="425"/>
      <c r="T19" s="41">
        <v>0.55555555555555558</v>
      </c>
      <c r="U19" s="41">
        <v>0.63611111111111107</v>
      </c>
      <c r="V19" s="177">
        <f>(T19-U18)*24*60</f>
        <v>90</v>
      </c>
      <c r="W19" s="43">
        <f t="shared" si="20"/>
        <v>115.99999999999991</v>
      </c>
      <c r="X19" s="22">
        <v>0.5</v>
      </c>
      <c r="Y19" s="263">
        <v>0.54166666666666663</v>
      </c>
      <c r="Z19" s="407"/>
      <c r="AA19" s="407"/>
      <c r="AB19" s="18">
        <f>N19-K19</f>
        <v>-55.172413793102123</v>
      </c>
      <c r="AC19" s="185">
        <f>N19/K19</f>
        <v>0.97241379310344889</v>
      </c>
      <c r="AD19" s="403"/>
    </row>
    <row r="20" spans="1:30" ht="15" customHeight="1">
      <c r="A20" s="432"/>
      <c r="B20" s="56"/>
      <c r="C20" s="23"/>
      <c r="D20" s="11"/>
      <c r="E20" s="12"/>
      <c r="F20" s="56"/>
      <c r="G20" s="96"/>
      <c r="H20" s="15"/>
      <c r="I20" s="177"/>
      <c r="J20" s="16"/>
      <c r="K20" s="14"/>
      <c r="L20" s="17"/>
      <c r="M20" s="37"/>
      <c r="N20" s="36"/>
      <c r="O20" s="38"/>
      <c r="P20" s="39"/>
      <c r="Q20" s="40"/>
      <c r="R20" s="190"/>
      <c r="S20" s="425"/>
      <c r="T20" s="41"/>
      <c r="U20" s="41"/>
      <c r="V20" s="177"/>
      <c r="W20" s="43">
        <f t="shared" si="20"/>
        <v>0</v>
      </c>
      <c r="X20" s="44"/>
      <c r="Y20" s="44"/>
      <c r="Z20" s="418"/>
      <c r="AA20" s="405"/>
      <c r="AB20" s="34"/>
      <c r="AC20" s="186"/>
      <c r="AD20" s="403"/>
    </row>
    <row r="21" spans="1:30" ht="15" customHeight="1">
      <c r="A21" s="433"/>
      <c r="B21" s="177"/>
      <c r="C21" s="23"/>
      <c r="D21" s="11"/>
      <c r="E21" s="12"/>
      <c r="F21" s="13"/>
      <c r="G21" s="36"/>
      <c r="H21" s="15">
        <f t="shared" si="19"/>
        <v>0</v>
      </c>
      <c r="I21" s="43"/>
      <c r="J21" s="37"/>
      <c r="K21" s="36"/>
      <c r="L21" s="38"/>
      <c r="M21" s="37"/>
      <c r="N21" s="36"/>
      <c r="O21" s="38"/>
      <c r="P21" s="39"/>
      <c r="Q21" s="40"/>
      <c r="R21" s="190"/>
      <c r="S21" s="425"/>
      <c r="T21" s="41"/>
      <c r="U21" s="41"/>
      <c r="V21" s="42"/>
      <c r="W21" s="43">
        <v>0</v>
      </c>
      <c r="X21" s="42"/>
      <c r="Y21" s="42"/>
      <c r="Z21" s="418"/>
      <c r="AA21" s="405"/>
      <c r="AB21" s="34"/>
      <c r="AC21" s="186"/>
      <c r="AD21" s="403"/>
    </row>
    <row r="22" spans="1:30" ht="15" customHeight="1">
      <c r="A22" s="433"/>
      <c r="B22" s="177"/>
      <c r="C22" s="183"/>
      <c r="D22" s="11"/>
      <c r="E22" s="12"/>
      <c r="F22" s="13"/>
      <c r="G22" s="36"/>
      <c r="H22" s="15">
        <f t="shared" si="19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90"/>
      <c r="S22" s="425"/>
      <c r="T22" s="41"/>
      <c r="U22" s="41"/>
      <c r="V22" s="42"/>
      <c r="W22" s="43">
        <v>0</v>
      </c>
      <c r="X22" s="42"/>
      <c r="Y22" s="42"/>
      <c r="Z22" s="418"/>
      <c r="AA22" s="405"/>
      <c r="AB22" s="34"/>
      <c r="AC22" s="186"/>
      <c r="AD22" s="403"/>
    </row>
    <row r="23" spans="1:30" ht="15" customHeight="1">
      <c r="A23" s="433"/>
      <c r="B23" s="26"/>
      <c r="C23" s="27"/>
      <c r="D23" s="28"/>
      <c r="E23" s="29"/>
      <c r="F23" s="13"/>
      <c r="G23" s="36"/>
      <c r="H23" s="15">
        <f t="shared" si="19"/>
        <v>0</v>
      </c>
      <c r="I23" s="43"/>
      <c r="J23" s="37"/>
      <c r="K23" s="36"/>
      <c r="L23" s="38"/>
      <c r="M23" s="37"/>
      <c r="N23" s="36"/>
      <c r="O23" s="38"/>
      <c r="P23" s="39"/>
      <c r="Q23" s="40"/>
      <c r="R23" s="190"/>
      <c r="S23" s="425"/>
      <c r="T23" s="41"/>
      <c r="U23" s="41"/>
      <c r="W23" s="43">
        <f t="shared" si="20"/>
        <v>0</v>
      </c>
      <c r="X23" s="42"/>
      <c r="Y23" s="42"/>
      <c r="Z23" s="418"/>
      <c r="AA23" s="405"/>
      <c r="AB23" s="34"/>
      <c r="AC23" s="186"/>
      <c r="AD23" s="403"/>
    </row>
    <row r="24" spans="1:30" ht="15" customHeight="1">
      <c r="A24" s="433"/>
      <c r="B24" s="26"/>
      <c r="C24" s="27"/>
      <c r="D24" s="28"/>
      <c r="E24" s="29"/>
      <c r="F24" s="13"/>
      <c r="G24" s="36"/>
      <c r="H24" s="15">
        <f t="shared" si="19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90"/>
      <c r="S24" s="425"/>
      <c r="T24" s="41"/>
      <c r="U24" s="41"/>
      <c r="V24" s="42"/>
      <c r="W24" s="43">
        <f t="shared" si="20"/>
        <v>0</v>
      </c>
      <c r="X24" s="42"/>
      <c r="Y24" s="42"/>
      <c r="Z24" s="418"/>
      <c r="AA24" s="405"/>
      <c r="AB24" s="34"/>
      <c r="AC24" s="186"/>
      <c r="AD24" s="403"/>
    </row>
    <row r="25" spans="1:30" ht="15" customHeight="1">
      <c r="A25" s="433"/>
      <c r="B25" s="26"/>
      <c r="C25" s="27"/>
      <c r="D25" s="28"/>
      <c r="E25" s="29"/>
      <c r="F25" s="13"/>
      <c r="G25" s="36"/>
      <c r="H25" s="50">
        <f t="shared" si="19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90"/>
      <c r="S25" s="425"/>
      <c r="T25" s="41"/>
      <c r="U25" s="41"/>
      <c r="V25" s="42"/>
      <c r="W25" s="43">
        <f t="shared" si="20"/>
        <v>0</v>
      </c>
      <c r="X25" s="42"/>
      <c r="Y25" s="42"/>
      <c r="Z25" s="418"/>
      <c r="AA25" s="405"/>
      <c r="AB25" s="34"/>
      <c r="AC25" s="186"/>
      <c r="AD25" s="403"/>
    </row>
    <row r="26" spans="1:30" ht="15" customHeight="1" thickBot="1">
      <c r="A26" s="434"/>
      <c r="B26" s="132"/>
      <c r="C26" s="1" t="s">
        <v>35</v>
      </c>
      <c r="D26" s="410" t="s">
        <v>7</v>
      </c>
      <c r="E26" s="410"/>
      <c r="F26" s="133"/>
      <c r="G26" s="134"/>
      <c r="H26" s="135"/>
      <c r="I26" s="136"/>
      <c r="J26" s="134">
        <f t="shared" ref="J26:O26" si="23">AVERAGE(J16:J25)</f>
        <v>13.5</v>
      </c>
      <c r="K26" s="134">
        <f t="shared" si="23"/>
        <v>2026.25</v>
      </c>
      <c r="L26" s="137">
        <f t="shared" si="23"/>
        <v>150.22664835164835</v>
      </c>
      <c r="M26" s="134">
        <f t="shared" si="23"/>
        <v>13.5</v>
      </c>
      <c r="N26" s="134">
        <f t="shared" si="23"/>
        <v>1940.9495306888664</v>
      </c>
      <c r="O26" s="137">
        <f t="shared" si="23"/>
        <v>144.04379203486647</v>
      </c>
      <c r="P26" s="138">
        <f t="shared" ref="P26:P29" si="24">M26-J26</f>
        <v>0</v>
      </c>
      <c r="Q26" s="139">
        <f t="shared" ref="Q26:Q29" si="25">O26-L26</f>
        <v>-6.18285631678188</v>
      </c>
      <c r="R26" s="140">
        <f t="shared" ref="R26:R29" si="26">O26/L26</f>
        <v>0.95884314544308313</v>
      </c>
      <c r="S26" s="435"/>
      <c r="T26" s="141"/>
      <c r="U26" s="141"/>
      <c r="V26" s="146"/>
      <c r="W26" s="142"/>
      <c r="X26" s="143"/>
      <c r="Y26" s="143"/>
      <c r="Z26" s="420"/>
      <c r="AA26" s="391"/>
      <c r="AB26" s="119">
        <f>N26-K26</f>
        <v>-85.300469311133611</v>
      </c>
      <c r="AC26" s="187">
        <f>N26/K26</f>
        <v>0.95790229768728752</v>
      </c>
      <c r="AD26" s="404"/>
    </row>
    <row r="27" spans="1:30" ht="15" customHeight="1">
      <c r="A27" s="421" t="s">
        <v>54</v>
      </c>
      <c r="B27" s="229" t="s">
        <v>62</v>
      </c>
      <c r="C27" s="102"/>
      <c r="D27" s="103" t="s">
        <v>144</v>
      </c>
      <c r="E27" s="104"/>
      <c r="F27" s="199">
        <f>VLOOKUP(D27,廠價表!$C$1:$E$39,3,0)</f>
        <v>49.91</v>
      </c>
      <c r="G27" s="269">
        <v>3648</v>
      </c>
      <c r="H27" s="125">
        <f t="shared" ref="H27:H39" si="27">F27*G27</f>
        <v>182071.67999999999</v>
      </c>
      <c r="I27" s="126"/>
      <c r="J27" s="108">
        <f>VLOOKUP(D27,產線配置圖!$A$2:$C$38,2,0)</f>
        <v>17</v>
      </c>
      <c r="K27" s="236">
        <f>VLOOKUP(D27,產線配置圖!$A$2:$C$38,3,0)</f>
        <v>1565</v>
      </c>
      <c r="L27" s="109">
        <f>K27/J27</f>
        <v>92.058823529411768</v>
      </c>
      <c r="M27" s="144">
        <v>16</v>
      </c>
      <c r="N27" s="127">
        <f>G27/W27*60</f>
        <v>1257.9310344827591</v>
      </c>
      <c r="O27" s="128">
        <f>N27/M27</f>
        <v>78.620689655172441</v>
      </c>
      <c r="P27" s="129">
        <f t="shared" si="24"/>
        <v>-1</v>
      </c>
      <c r="Q27" s="130">
        <f t="shared" si="25"/>
        <v>-13.438133874239327</v>
      </c>
      <c r="R27" s="189">
        <f>O27/L27</f>
        <v>0.85402666079101053</v>
      </c>
      <c r="S27" s="424">
        <f>R37</f>
        <v>0.89297373382184153</v>
      </c>
      <c r="T27" s="94">
        <v>0.29097222222222224</v>
      </c>
      <c r="U27" s="94">
        <v>0.41180555555555554</v>
      </c>
      <c r="V27" s="126"/>
      <c r="W27" s="131">
        <f t="shared" si="20"/>
        <v>173.99999999999994</v>
      </c>
      <c r="X27" s="126"/>
      <c r="Y27" s="126" t="s">
        <v>147</v>
      </c>
      <c r="Z27" s="427"/>
      <c r="AA27" s="400"/>
      <c r="AB27" s="225">
        <f>N27-K27</f>
        <v>-307.06896551724094</v>
      </c>
      <c r="AC27" s="291">
        <f>N27/K27</f>
        <v>0.8037897983915393</v>
      </c>
      <c r="AD27" s="401">
        <f>AC37</f>
        <v>0.81061073894573643</v>
      </c>
    </row>
    <row r="28" spans="1:30" ht="15" customHeight="1">
      <c r="A28" s="422"/>
      <c r="B28" s="56" t="str">
        <f>VLOOKUP(D28,廠價表!$C$1:$E$39,2,0)</f>
        <v>義大利麵</v>
      </c>
      <c r="C28" s="10"/>
      <c r="D28" s="11" t="s">
        <v>137</v>
      </c>
      <c r="E28" s="86"/>
      <c r="F28" s="56">
        <f>VLOOKUP(D28,廠價表!$C$1:$E$39,3,0)</f>
        <v>55.13</v>
      </c>
      <c r="G28" s="53">
        <v>1491</v>
      </c>
      <c r="H28" s="50">
        <f t="shared" si="27"/>
        <v>82198.83</v>
      </c>
      <c r="I28" s="42"/>
      <c r="J28" s="16">
        <f>VLOOKUP(D28,產線配置圖!$A$2:$C$38,2,0)</f>
        <v>18</v>
      </c>
      <c r="K28" s="14">
        <f>VLOOKUP(D28,產線配置圖!$A$2:$C$38,3,0)</f>
        <v>1385</v>
      </c>
      <c r="L28" s="235">
        <f>K28/J28</f>
        <v>76.944444444444443</v>
      </c>
      <c r="M28" s="21">
        <v>16</v>
      </c>
      <c r="N28" s="36">
        <f>G28/W28*60</f>
        <v>1090.9756097560983</v>
      </c>
      <c r="O28" s="38">
        <f>N28/M28</f>
        <v>68.185975609756142</v>
      </c>
      <c r="P28" s="39">
        <f t="shared" si="24"/>
        <v>-2</v>
      </c>
      <c r="Q28" s="40">
        <f t="shared" si="25"/>
        <v>-8.7584688346883013</v>
      </c>
      <c r="R28" s="190">
        <f t="shared" si="26"/>
        <v>0.88617152417011591</v>
      </c>
      <c r="S28" s="425"/>
      <c r="T28" s="270">
        <v>0.41875000000000001</v>
      </c>
      <c r="U28" s="270">
        <v>0.47569444444444442</v>
      </c>
      <c r="V28" s="42">
        <f>(T28-U27)*24*60</f>
        <v>10.000000000000044</v>
      </c>
      <c r="W28" s="43">
        <f t="shared" si="20"/>
        <v>81.999999999999943</v>
      </c>
      <c r="X28" s="54"/>
      <c r="Y28" s="54"/>
      <c r="Z28" s="418"/>
      <c r="AA28" s="419"/>
      <c r="AB28" s="39">
        <f>N28-K28</f>
        <v>-294.02439024390173</v>
      </c>
      <c r="AC28" s="190">
        <f>N28/K28</f>
        <v>0.78770802148454744</v>
      </c>
      <c r="AD28" s="447"/>
    </row>
    <row r="29" spans="1:30" ht="15" customHeight="1">
      <c r="A29" s="422"/>
      <c r="B29" s="56" t="str">
        <f>VLOOKUP(D29,廠價表!$C$1:$E$39,2,0)</f>
        <v>義大利麵</v>
      </c>
      <c r="C29" s="10"/>
      <c r="D29" s="11" t="s">
        <v>137</v>
      </c>
      <c r="E29" s="86"/>
      <c r="F29" s="56">
        <f>VLOOKUP(D29,廠價表!$C$1:$E$39,3,0)</f>
        <v>55.13</v>
      </c>
      <c r="G29" s="53">
        <v>1068</v>
      </c>
      <c r="H29" s="50">
        <f t="shared" si="27"/>
        <v>58878.840000000004</v>
      </c>
      <c r="I29" s="42"/>
      <c r="J29" s="16">
        <f>VLOOKUP(D29,產線配置圖!$A$2:$C$38,2,0)</f>
        <v>18</v>
      </c>
      <c r="K29" s="14">
        <f>VLOOKUP(D29,產線配置圖!$A$2:$C$38,3,0)</f>
        <v>1385</v>
      </c>
      <c r="L29" s="235">
        <f>K29/J29</f>
        <v>76.944444444444443</v>
      </c>
      <c r="M29" s="21">
        <v>16</v>
      </c>
      <c r="N29" s="36">
        <f>G29/W29*60</f>
        <v>1165.0909090909099</v>
      </c>
      <c r="O29" s="38">
        <f>N29/M29</f>
        <v>72.81818181818187</v>
      </c>
      <c r="P29" s="39">
        <f t="shared" si="24"/>
        <v>-2</v>
      </c>
      <c r="Q29" s="40">
        <f t="shared" si="25"/>
        <v>-4.126262626262573</v>
      </c>
      <c r="R29" s="190">
        <f t="shared" si="26"/>
        <v>0.94637348211355499</v>
      </c>
      <c r="S29" s="425"/>
      <c r="T29" s="41">
        <v>0.53749999999999998</v>
      </c>
      <c r="U29" s="41">
        <v>0.5756944444444444</v>
      </c>
      <c r="V29" s="42">
        <f>(T29-U28)*24*60</f>
        <v>89</v>
      </c>
      <c r="W29" s="43">
        <f t="shared" si="20"/>
        <v>54.999999999999964</v>
      </c>
      <c r="X29" s="54">
        <v>0.47916666666666669</v>
      </c>
      <c r="Y29" s="54">
        <v>0.52083333333333337</v>
      </c>
      <c r="Z29" s="418"/>
      <c r="AA29" s="419"/>
      <c r="AB29" s="292">
        <f>N29-K29</f>
        <v>-219.90909090909008</v>
      </c>
      <c r="AC29" s="190">
        <f>N29/K29</f>
        <v>0.84122087298982662</v>
      </c>
      <c r="AD29" s="447"/>
    </row>
    <row r="30" spans="1:30" ht="15" customHeight="1">
      <c r="A30" s="422"/>
      <c r="B30" s="56"/>
      <c r="C30" s="237"/>
      <c r="D30" s="11"/>
      <c r="E30" s="29"/>
      <c r="F30" s="56"/>
      <c r="G30" s="238"/>
      <c r="H30" s="50"/>
      <c r="I30" s="42"/>
      <c r="J30" s="16"/>
      <c r="K30" s="14"/>
      <c r="L30" s="235"/>
      <c r="M30" s="21"/>
      <c r="N30" s="36"/>
      <c r="O30" s="38"/>
      <c r="P30" s="39"/>
      <c r="Q30" s="40"/>
      <c r="R30" s="190"/>
      <c r="S30" s="425"/>
      <c r="T30" s="41"/>
      <c r="U30" s="41"/>
      <c r="V30" s="42"/>
      <c r="W30" s="43">
        <f t="shared" si="20"/>
        <v>0</v>
      </c>
      <c r="X30" s="54"/>
      <c r="Y30" s="54"/>
      <c r="Z30" s="449"/>
      <c r="AA30" s="450"/>
      <c r="AB30" s="34"/>
      <c r="AC30" s="293"/>
      <c r="AD30" s="448"/>
    </row>
    <row r="31" spans="1:30" ht="15" customHeight="1">
      <c r="A31" s="422"/>
      <c r="B31" s="56"/>
      <c r="C31" s="10"/>
      <c r="D31" s="28"/>
      <c r="E31" s="86"/>
      <c r="F31" s="56"/>
      <c r="G31" s="238"/>
      <c r="H31" s="239"/>
      <c r="I31" s="81"/>
      <c r="J31" s="16"/>
      <c r="K31" s="14"/>
      <c r="L31" s="235"/>
      <c r="M31" s="21"/>
      <c r="N31" s="36"/>
      <c r="O31" s="38"/>
      <c r="P31" s="39"/>
      <c r="Q31" s="40"/>
      <c r="R31" s="190"/>
      <c r="S31" s="425"/>
      <c r="T31" s="41"/>
      <c r="U31" s="41"/>
      <c r="V31" s="42"/>
      <c r="W31" s="43">
        <f t="shared" si="20"/>
        <v>0</v>
      </c>
      <c r="X31" s="54"/>
      <c r="Y31" s="54"/>
      <c r="Z31" s="449"/>
      <c r="AA31" s="450"/>
      <c r="AB31" s="257"/>
      <c r="AC31" s="258"/>
      <c r="AD31" s="403"/>
    </row>
    <row r="32" spans="1:30" ht="15" customHeight="1">
      <c r="A32" s="422"/>
      <c r="B32" s="56"/>
      <c r="C32" s="252"/>
      <c r="D32" s="253"/>
      <c r="E32" s="254"/>
      <c r="F32" s="56"/>
      <c r="G32" s="53"/>
      <c r="H32" s="50"/>
      <c r="I32" s="42"/>
      <c r="J32" s="255"/>
      <c r="K32" s="36"/>
      <c r="L32" s="256"/>
      <c r="M32" s="21"/>
      <c r="N32" s="36"/>
      <c r="O32" s="38"/>
      <c r="P32" s="39"/>
      <c r="Q32" s="40"/>
      <c r="R32" s="190"/>
      <c r="S32" s="425"/>
      <c r="T32" s="41"/>
      <c r="U32" s="41"/>
      <c r="V32" s="42"/>
      <c r="W32" s="43">
        <f t="shared" si="20"/>
        <v>0</v>
      </c>
      <c r="X32" s="54"/>
      <c r="Y32" s="54"/>
      <c r="Z32" s="418"/>
      <c r="AA32" s="405"/>
      <c r="AB32" s="18"/>
      <c r="AC32" s="185"/>
      <c r="AD32" s="403"/>
    </row>
    <row r="33" spans="1:30" ht="15" customHeight="1">
      <c r="A33" s="422"/>
      <c r="B33" s="240"/>
      <c r="C33" s="241"/>
      <c r="D33" s="242"/>
      <c r="E33" s="243"/>
      <c r="F33" s="223"/>
      <c r="G33" s="244"/>
      <c r="H33" s="245">
        <f t="shared" si="27"/>
        <v>0</v>
      </c>
      <c r="I33" s="246"/>
      <c r="J33" s="247"/>
      <c r="K33" s="45"/>
      <c r="M33" s="248"/>
      <c r="N33" s="45"/>
      <c r="O33" s="46"/>
      <c r="P33" s="47"/>
      <c r="Q33" s="48"/>
      <c r="R33" s="49"/>
      <c r="S33" s="425"/>
      <c r="T33" s="41"/>
      <c r="U33" s="41"/>
      <c r="V33" s="42"/>
      <c r="W33" s="43">
        <f t="shared" si="20"/>
        <v>0</v>
      </c>
      <c r="X33" s="54"/>
      <c r="Y33" s="54"/>
      <c r="Z33" s="418"/>
      <c r="AA33" s="405"/>
      <c r="AB33" s="18"/>
      <c r="AC33" s="57"/>
      <c r="AD33" s="403"/>
    </row>
    <row r="34" spans="1:30" ht="15" customHeight="1">
      <c r="A34" s="422"/>
      <c r="B34" s="231"/>
      <c r="C34" s="27"/>
      <c r="D34" s="28"/>
      <c r="E34" s="29"/>
      <c r="F34" s="13"/>
      <c r="G34" s="53"/>
      <c r="H34" s="50">
        <f t="shared" si="27"/>
        <v>0</v>
      </c>
      <c r="I34" s="42"/>
      <c r="J34" s="37"/>
      <c r="K34" s="36"/>
      <c r="L34" s="38"/>
      <c r="M34" s="21"/>
      <c r="N34" s="36"/>
      <c r="O34" s="38"/>
      <c r="P34" s="39"/>
      <c r="Q34" s="40"/>
      <c r="R34" s="190"/>
      <c r="S34" s="425"/>
      <c r="T34" s="41"/>
      <c r="U34" s="41"/>
      <c r="V34" s="42"/>
      <c r="W34" s="43">
        <f t="shared" si="20"/>
        <v>0</v>
      </c>
      <c r="X34" s="54"/>
      <c r="Y34" s="54"/>
      <c r="Z34" s="418"/>
      <c r="AA34" s="405"/>
      <c r="AB34" s="18"/>
      <c r="AC34" s="57"/>
      <c r="AD34" s="403"/>
    </row>
    <row r="35" spans="1:30" ht="15" customHeight="1">
      <c r="A35" s="422"/>
      <c r="B35" s="231"/>
      <c r="C35" s="27"/>
      <c r="D35" s="28"/>
      <c r="E35" s="29"/>
      <c r="F35" s="13"/>
      <c r="G35" s="53"/>
      <c r="H35" s="50">
        <f t="shared" si="27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90"/>
      <c r="S35" s="425"/>
      <c r="T35" s="41"/>
      <c r="U35" s="41"/>
      <c r="V35" s="42"/>
      <c r="W35" s="43">
        <f t="shared" si="20"/>
        <v>0</v>
      </c>
      <c r="X35" s="54"/>
      <c r="Y35" s="54"/>
      <c r="Z35" s="418"/>
      <c r="AA35" s="405"/>
      <c r="AB35" s="18"/>
      <c r="AC35" s="57"/>
      <c r="AD35" s="403"/>
    </row>
    <row r="36" spans="1:30" ht="15" customHeight="1">
      <c r="A36" s="422"/>
      <c r="B36" s="232"/>
      <c r="C36" s="27"/>
      <c r="D36" s="28"/>
      <c r="E36" s="29"/>
      <c r="F36" s="13"/>
      <c r="G36" s="53"/>
      <c r="H36" s="50">
        <f t="shared" si="27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90"/>
      <c r="S36" s="425"/>
      <c r="T36" s="41"/>
      <c r="U36" s="41"/>
      <c r="V36" s="42"/>
      <c r="W36" s="43">
        <f t="shared" si="20"/>
        <v>0</v>
      </c>
      <c r="X36" s="54"/>
      <c r="Y36" s="54"/>
      <c r="Z36" s="418"/>
      <c r="AA36" s="405"/>
      <c r="AB36" s="18"/>
      <c r="AC36" s="57"/>
      <c r="AD36" s="403"/>
    </row>
    <row r="37" spans="1:30" ht="15" customHeight="1" thickBot="1">
      <c r="A37" s="423"/>
      <c r="B37" s="300"/>
      <c r="C37" s="301" t="s">
        <v>36</v>
      </c>
      <c r="D37" s="428" t="s">
        <v>7</v>
      </c>
      <c r="E37" s="429"/>
      <c r="F37" s="281"/>
      <c r="G37" s="282"/>
      <c r="H37" s="283"/>
      <c r="I37" s="284"/>
      <c r="J37" s="285">
        <f t="shared" ref="J37:O37" si="28">AVERAGE(J27:J36)</f>
        <v>17.666666666666668</v>
      </c>
      <c r="K37" s="285">
        <f t="shared" si="28"/>
        <v>1445</v>
      </c>
      <c r="L37" s="286">
        <f t="shared" si="28"/>
        <v>81.982570806100227</v>
      </c>
      <c r="M37" s="285">
        <f t="shared" si="28"/>
        <v>16</v>
      </c>
      <c r="N37" s="285">
        <f t="shared" si="28"/>
        <v>1171.3325177765892</v>
      </c>
      <c r="O37" s="286">
        <f t="shared" si="28"/>
        <v>73.208282361036822</v>
      </c>
      <c r="P37" s="73">
        <f>M37-J37</f>
        <v>-1.6666666666666679</v>
      </c>
      <c r="Q37" s="74">
        <f>N37-K37</f>
        <v>-273.66748222341084</v>
      </c>
      <c r="R37" s="287">
        <f t="shared" ref="R37:R39" si="29">O37/L37</f>
        <v>0.89297373382184153</v>
      </c>
      <c r="S37" s="426"/>
      <c r="T37" s="302"/>
      <c r="U37" s="302"/>
      <c r="V37" s="81"/>
      <c r="W37" s="81"/>
      <c r="X37" s="303"/>
      <c r="Y37" s="303"/>
      <c r="Z37" s="430"/>
      <c r="AA37" s="379"/>
      <c r="AB37" s="34">
        <f t="shared" ref="AB37:AB39" si="30">N37-K37</f>
        <v>-273.66748222341084</v>
      </c>
      <c r="AC37" s="186">
        <f t="shared" ref="AC37:AC39" si="31">N37/K37</f>
        <v>0.81061073894573643</v>
      </c>
      <c r="AD37" s="403"/>
    </row>
    <row r="38" spans="1:30" s="62" customFormat="1" ht="15" customHeight="1">
      <c r="A38" s="454" t="s">
        <v>55</v>
      </c>
      <c r="B38" s="229" t="s">
        <v>134</v>
      </c>
      <c r="C38" s="199"/>
      <c r="D38" s="304" t="s">
        <v>156</v>
      </c>
      <c r="E38" s="280"/>
      <c r="F38" s="305">
        <f>VLOOKUP(D38,廠價表!$C$1:$E$39,3,0)</f>
        <v>56.43</v>
      </c>
      <c r="G38" s="266">
        <v>3621</v>
      </c>
      <c r="H38" s="50">
        <f t="shared" si="27"/>
        <v>204333.03</v>
      </c>
      <c r="I38" s="126"/>
      <c r="J38" s="274">
        <f>VLOOKUP(D38,產線配置圖!$A$2:$C$38,2,0)</f>
        <v>15</v>
      </c>
      <c r="K38" s="236">
        <f>VLOOKUP(D38,產線配置圖!$A$2:$C$38,3,0)</f>
        <v>1406</v>
      </c>
      <c r="L38" s="288">
        <f t="shared" ref="L38:L39" si="32">K38/J38</f>
        <v>93.733333333333334</v>
      </c>
      <c r="M38" s="289">
        <v>15</v>
      </c>
      <c r="N38" s="127">
        <f>G38/W38*60</f>
        <v>1114.153846153846</v>
      </c>
      <c r="O38" s="128">
        <f>N38/M38</f>
        <v>74.276923076923069</v>
      </c>
      <c r="P38" s="129">
        <f t="shared" ref="P38:P39" si="33">M38-J38</f>
        <v>0</v>
      </c>
      <c r="Q38" s="130">
        <f t="shared" ref="Q38:Q39" si="34">O38-L38</f>
        <v>-19.456410256410265</v>
      </c>
      <c r="R38" s="189">
        <f t="shared" si="29"/>
        <v>0.7924280555859502</v>
      </c>
      <c r="S38" s="457">
        <f>R48</f>
        <v>0.76465562384587782</v>
      </c>
      <c r="T38" s="151">
        <v>0.34375</v>
      </c>
      <c r="U38" s="151">
        <v>0.47916666666666669</v>
      </c>
      <c r="V38" s="148"/>
      <c r="W38" s="152">
        <f t="shared" si="20"/>
        <v>195.00000000000003</v>
      </c>
      <c r="X38" s="150"/>
      <c r="Y38" s="153"/>
      <c r="Z38" s="478" t="s">
        <v>186</v>
      </c>
      <c r="AA38" s="460"/>
      <c r="AB38" s="290">
        <f t="shared" si="30"/>
        <v>-291.84615384615404</v>
      </c>
      <c r="AC38" s="154">
        <f t="shared" si="31"/>
        <v>0.7924280555859502</v>
      </c>
      <c r="AD38" s="436">
        <f>AC48</f>
        <v>0.76465562384587771</v>
      </c>
    </row>
    <row r="39" spans="1:30" s="62" customFormat="1" ht="15" customHeight="1">
      <c r="A39" s="455"/>
      <c r="B39" s="56" t="s">
        <v>134</v>
      </c>
      <c r="C39" s="277"/>
      <c r="D39" s="279" t="s">
        <v>154</v>
      </c>
      <c r="E39" s="278"/>
      <c r="F39" s="56">
        <f>VLOOKUP(D39,廠價表!$C$1:$E$39,3,0)</f>
        <v>57.3</v>
      </c>
      <c r="G39" s="276">
        <v>2431</v>
      </c>
      <c r="H39" s="50">
        <f t="shared" si="27"/>
        <v>139296.29999999999</v>
      </c>
      <c r="I39" s="64"/>
      <c r="J39" s="37">
        <f>VLOOKUP(D39,產線配置圖!$A$2:$C$38,2,0)</f>
        <v>15</v>
      </c>
      <c r="K39" s="36">
        <f>VLOOKUP(D39,產線配置圖!$A$2:$C$38,3,0)</f>
        <v>1385</v>
      </c>
      <c r="L39" s="38">
        <f t="shared" si="32"/>
        <v>92.333333333333329</v>
      </c>
      <c r="M39" s="65">
        <v>15</v>
      </c>
      <c r="N39" s="66">
        <f>G39/W39*60</f>
        <v>1019.999999999999</v>
      </c>
      <c r="O39" s="67">
        <f t="shared" ref="O39" si="35">N39/M39</f>
        <v>67.999999999999929</v>
      </c>
      <c r="P39" s="39">
        <f t="shared" si="33"/>
        <v>0</v>
      </c>
      <c r="Q39" s="40">
        <f t="shared" si="34"/>
        <v>-24.3333333333334</v>
      </c>
      <c r="R39" s="190">
        <f t="shared" si="29"/>
        <v>0.73646209386281514</v>
      </c>
      <c r="S39" s="458"/>
      <c r="T39" s="59">
        <v>0.54652777777777772</v>
      </c>
      <c r="U39" s="59">
        <v>0.64583333333333337</v>
      </c>
      <c r="V39" s="42">
        <f>(T39-U38)*24*60</f>
        <v>96.999999999999901</v>
      </c>
      <c r="W39" s="69">
        <f t="shared" si="20"/>
        <v>143.00000000000014</v>
      </c>
      <c r="X39" s="22">
        <v>0.5</v>
      </c>
      <c r="Y39" s="22">
        <v>0.54166666666666663</v>
      </c>
      <c r="Z39" s="439" t="s">
        <v>186</v>
      </c>
      <c r="AA39" s="440"/>
      <c r="AB39" s="271">
        <f t="shared" si="30"/>
        <v>-365.00000000000102</v>
      </c>
      <c r="AC39" s="61">
        <f t="shared" si="31"/>
        <v>0.73646209386281514</v>
      </c>
      <c r="AD39" s="437"/>
    </row>
    <row r="40" spans="1:30" s="62" customFormat="1" ht="15" customHeight="1">
      <c r="A40" s="455"/>
      <c r="B40" s="56"/>
      <c r="C40" s="275"/>
      <c r="D40" s="279"/>
      <c r="E40" s="243"/>
      <c r="F40" s="56"/>
      <c r="G40" s="276"/>
      <c r="H40" s="63"/>
      <c r="I40" s="64"/>
      <c r="J40" s="37"/>
      <c r="K40" s="36"/>
      <c r="L40" s="38"/>
      <c r="M40" s="65"/>
      <c r="N40" s="66"/>
      <c r="O40" s="67"/>
      <c r="P40" s="39"/>
      <c r="Q40" s="40"/>
      <c r="R40" s="190"/>
      <c r="S40" s="397"/>
      <c r="T40" s="59"/>
      <c r="U40" s="59"/>
      <c r="V40" s="42"/>
      <c r="W40" s="69">
        <f t="shared" si="20"/>
        <v>0</v>
      </c>
      <c r="X40" s="70"/>
      <c r="Y40" s="259"/>
      <c r="Z40" s="439"/>
      <c r="AA40" s="440"/>
      <c r="AB40" s="271"/>
      <c r="AC40" s="61"/>
      <c r="AD40" s="437"/>
    </row>
    <row r="41" spans="1:30" s="62" customFormat="1" ht="15" customHeight="1">
      <c r="A41" s="455"/>
      <c r="B41" s="56"/>
      <c r="C41" s="275"/>
      <c r="D41" s="279"/>
      <c r="E41" s="243"/>
      <c r="F41" s="56"/>
      <c r="G41" s="276"/>
      <c r="H41" s="63"/>
      <c r="I41" s="64"/>
      <c r="J41" s="37"/>
      <c r="K41" s="36"/>
      <c r="L41" s="38"/>
      <c r="M41" s="65"/>
      <c r="N41" s="66"/>
      <c r="O41" s="67"/>
      <c r="P41" s="39"/>
      <c r="Q41" s="40"/>
      <c r="R41" s="190"/>
      <c r="S41" s="397"/>
      <c r="T41" s="59"/>
      <c r="U41" s="59"/>
      <c r="V41" s="42"/>
      <c r="W41" s="69">
        <f t="shared" si="20"/>
        <v>0</v>
      </c>
      <c r="X41" s="70"/>
      <c r="Y41" s="259"/>
      <c r="Z41" s="439"/>
      <c r="AA41" s="440"/>
      <c r="AB41" s="271"/>
      <c r="AC41" s="61"/>
      <c r="AD41" s="437"/>
    </row>
    <row r="42" spans="1:30" s="62" customFormat="1" ht="15" customHeight="1">
      <c r="A42" s="455"/>
      <c r="B42" s="56"/>
      <c r="C42" s="23"/>
      <c r="D42" s="11"/>
      <c r="E42" s="12"/>
      <c r="F42" s="56"/>
      <c r="G42" s="99"/>
      <c r="H42" s="63"/>
      <c r="I42" s="64"/>
      <c r="J42" s="16"/>
      <c r="K42" s="14"/>
      <c r="L42" s="17"/>
      <c r="M42" s="65"/>
      <c r="N42" s="66"/>
      <c r="O42" s="67"/>
      <c r="P42" s="39"/>
      <c r="Q42" s="40"/>
      <c r="R42" s="68"/>
      <c r="S42" s="397"/>
      <c r="T42" s="75"/>
      <c r="U42" s="75"/>
      <c r="V42" s="42"/>
      <c r="W42" s="69">
        <f t="shared" si="20"/>
        <v>0</v>
      </c>
      <c r="X42" s="70"/>
      <c r="Y42" s="60"/>
      <c r="Z42" s="445"/>
      <c r="AA42" s="446"/>
      <c r="AB42" s="271"/>
      <c r="AC42" s="61"/>
      <c r="AD42" s="437"/>
    </row>
    <row r="43" spans="1:30" s="62" customFormat="1" ht="15" customHeight="1">
      <c r="A43" s="455"/>
      <c r="B43" s="230"/>
      <c r="C43" s="23"/>
      <c r="D43" s="11"/>
      <c r="E43" s="12"/>
      <c r="F43" s="13"/>
      <c r="G43" s="100"/>
      <c r="H43" s="63">
        <f t="shared" ref="H43:H47" si="36">F43*G43</f>
        <v>0</v>
      </c>
      <c r="I43" s="64"/>
      <c r="J43" s="65"/>
      <c r="K43" s="66"/>
      <c r="L43" s="67"/>
      <c r="M43" s="65"/>
      <c r="N43" s="66"/>
      <c r="O43" s="67"/>
      <c r="P43" s="39"/>
      <c r="Q43" s="40"/>
      <c r="R43" s="68"/>
      <c r="S43" s="397"/>
      <c r="T43" s="75"/>
      <c r="U43" s="75"/>
      <c r="V43" s="64"/>
      <c r="W43" s="69">
        <f>(U43-T43)*24*60</f>
        <v>0</v>
      </c>
      <c r="X43" s="70"/>
      <c r="Y43" s="67"/>
      <c r="Z43" s="405"/>
      <c r="AA43" s="405"/>
      <c r="AB43" s="71"/>
      <c r="AC43" s="61"/>
      <c r="AD43" s="437"/>
    </row>
    <row r="44" spans="1:30" s="62" customFormat="1" ht="15" customHeight="1">
      <c r="A44" s="455"/>
      <c r="B44" s="230"/>
      <c r="C44" s="183"/>
      <c r="D44" s="11"/>
      <c r="E44" s="12"/>
      <c r="F44" s="13"/>
      <c r="G44" s="100"/>
      <c r="H44" s="63">
        <f t="shared" si="36"/>
        <v>0</v>
      </c>
      <c r="I44" s="64"/>
      <c r="J44" s="65"/>
      <c r="K44" s="66"/>
      <c r="L44" s="58"/>
      <c r="M44" s="65"/>
      <c r="N44" s="66"/>
      <c r="O44" s="67"/>
      <c r="P44" s="39"/>
      <c r="Q44" s="40"/>
      <c r="R44" s="68"/>
      <c r="S44" s="397"/>
      <c r="T44" s="59"/>
      <c r="U44" s="59"/>
      <c r="V44" s="64"/>
      <c r="W44" s="69">
        <f t="shared" ref="W44:W48" si="37">(U44-T44)*24*60</f>
        <v>0</v>
      </c>
      <c r="X44" s="70"/>
      <c r="Y44" s="67"/>
      <c r="Z44" s="405"/>
      <c r="AA44" s="405"/>
      <c r="AB44" s="71"/>
      <c r="AC44" s="61"/>
      <c r="AD44" s="437"/>
    </row>
    <row r="45" spans="1:30" s="62" customFormat="1" ht="15" customHeight="1">
      <c r="A45" s="455"/>
      <c r="B45" s="231"/>
      <c r="C45" s="27"/>
      <c r="D45" s="28"/>
      <c r="E45" s="29"/>
      <c r="F45" s="13"/>
      <c r="G45" s="66"/>
      <c r="H45" s="63">
        <f t="shared" si="36"/>
        <v>0</v>
      </c>
      <c r="I45" s="64"/>
      <c r="J45" s="65"/>
      <c r="K45" s="66"/>
      <c r="L45" s="67"/>
      <c r="M45" s="65"/>
      <c r="N45" s="66"/>
      <c r="O45" s="67"/>
      <c r="P45" s="39"/>
      <c r="Q45" s="40"/>
      <c r="R45" s="68"/>
      <c r="S45" s="397"/>
      <c r="T45" s="75"/>
      <c r="U45" s="75"/>
      <c r="V45" s="64"/>
      <c r="W45" s="69">
        <f t="shared" si="37"/>
        <v>0</v>
      </c>
      <c r="X45" s="70"/>
      <c r="Y45" s="67"/>
      <c r="Z45" s="405"/>
      <c r="AA45" s="405"/>
      <c r="AB45" s="71"/>
      <c r="AC45" s="61"/>
      <c r="AD45" s="437"/>
    </row>
    <row r="46" spans="1:30" s="62" customFormat="1" ht="15" customHeight="1">
      <c r="A46" s="455"/>
      <c r="B46" s="231"/>
      <c r="C46" s="27"/>
      <c r="D46" s="28"/>
      <c r="E46" s="29"/>
      <c r="F46" s="13"/>
      <c r="G46" s="66"/>
      <c r="H46" s="63">
        <f t="shared" si="36"/>
        <v>0</v>
      </c>
      <c r="I46" s="64"/>
      <c r="J46" s="65"/>
      <c r="K46" s="66"/>
      <c r="L46" s="67"/>
      <c r="M46" s="65"/>
      <c r="N46" s="66"/>
      <c r="O46" s="67"/>
      <c r="P46" s="39"/>
      <c r="Q46" s="40"/>
      <c r="R46" s="68"/>
      <c r="S46" s="397"/>
      <c r="T46" s="59"/>
      <c r="U46" s="59"/>
      <c r="V46" s="64"/>
      <c r="W46" s="69">
        <f t="shared" si="37"/>
        <v>0</v>
      </c>
      <c r="X46" s="70"/>
      <c r="Y46" s="67"/>
      <c r="Z46" s="405"/>
      <c r="AA46" s="405"/>
      <c r="AB46" s="71"/>
      <c r="AC46" s="61"/>
      <c r="AD46" s="437"/>
    </row>
    <row r="47" spans="1:30" s="62" customFormat="1" ht="15" customHeight="1">
      <c r="A47" s="455"/>
      <c r="B47" s="230"/>
      <c r="C47" s="27"/>
      <c r="D47" s="28"/>
      <c r="E47" s="29"/>
      <c r="F47" s="13"/>
      <c r="G47" s="66"/>
      <c r="H47" s="63">
        <f t="shared" si="36"/>
        <v>0</v>
      </c>
      <c r="I47" s="64"/>
      <c r="J47" s="65"/>
      <c r="K47" s="66"/>
      <c r="L47" s="67"/>
      <c r="M47" s="65"/>
      <c r="N47" s="66"/>
      <c r="O47" s="67"/>
      <c r="P47" s="39"/>
      <c r="Q47" s="40"/>
      <c r="R47" s="68"/>
      <c r="S47" s="397"/>
      <c r="T47" s="75"/>
      <c r="U47" s="75"/>
      <c r="V47" s="64"/>
      <c r="W47" s="69">
        <f t="shared" si="37"/>
        <v>0</v>
      </c>
      <c r="X47" s="70"/>
      <c r="Y47" s="67"/>
      <c r="Z47" s="405"/>
      <c r="AA47" s="405"/>
      <c r="AB47" s="71"/>
      <c r="AC47" s="61"/>
      <c r="AD47" s="437"/>
    </row>
    <row r="48" spans="1:30" ht="15" customHeight="1" thickBot="1">
      <c r="A48" s="456"/>
      <c r="B48" s="156"/>
      <c r="C48" s="1" t="s">
        <v>37</v>
      </c>
      <c r="D48" s="410" t="s">
        <v>7</v>
      </c>
      <c r="E48" s="410"/>
      <c r="F48" s="133"/>
      <c r="G48" s="145"/>
      <c r="H48" s="135"/>
      <c r="I48" s="136"/>
      <c r="J48" s="134">
        <f t="shared" ref="J48:O48" si="38">AVERAGE(J38:J47)</f>
        <v>15</v>
      </c>
      <c r="K48" s="134">
        <f t="shared" si="38"/>
        <v>1395.5</v>
      </c>
      <c r="L48" s="137">
        <f t="shared" si="38"/>
        <v>93.033333333333331</v>
      </c>
      <c r="M48" s="134">
        <f t="shared" si="38"/>
        <v>15</v>
      </c>
      <c r="N48" s="134">
        <f t="shared" si="38"/>
        <v>1067.0769230769224</v>
      </c>
      <c r="O48" s="137">
        <f t="shared" si="38"/>
        <v>71.138461538461499</v>
      </c>
      <c r="P48" s="157">
        <f>M48-J48</f>
        <v>0</v>
      </c>
      <c r="Q48" s="158">
        <f>N48-K48</f>
        <v>-328.42307692307759</v>
      </c>
      <c r="R48" s="159">
        <f>O48/L48</f>
        <v>0.76465562384587782</v>
      </c>
      <c r="S48" s="399"/>
      <c r="T48" s="160"/>
      <c r="U48" s="160"/>
      <c r="V48" s="196"/>
      <c r="W48" s="161">
        <f t="shared" si="37"/>
        <v>0</v>
      </c>
      <c r="X48" s="162"/>
      <c r="Y48" s="162"/>
      <c r="Z48" s="391"/>
      <c r="AA48" s="391"/>
      <c r="AB48" s="163">
        <f>N48-K48</f>
        <v>-328.42307692307759</v>
      </c>
      <c r="AC48" s="191">
        <f>N48/K48</f>
        <v>0.76465562384587771</v>
      </c>
      <c r="AD48" s="438"/>
    </row>
    <row r="49" spans="1:30" ht="15" customHeight="1">
      <c r="A49" s="451" t="s">
        <v>56</v>
      </c>
      <c r="B49" s="199" t="str">
        <f>VLOOKUP(D49,廠價表!$C$1:$E$39,2,0)</f>
        <v>義大利麵</v>
      </c>
      <c r="C49" s="102"/>
      <c r="D49" s="103" t="s">
        <v>152</v>
      </c>
      <c r="E49" s="104"/>
      <c r="F49" s="199">
        <f>VLOOKUP(D49,廠價表!$C$1:$E$39,3,0)</f>
        <v>56.87</v>
      </c>
      <c r="G49" s="149">
        <v>3456</v>
      </c>
      <c r="H49" s="125">
        <f t="shared" ref="H49:H57" si="39">F49*G49</f>
        <v>196542.72</v>
      </c>
      <c r="I49" s="126"/>
      <c r="J49" s="108">
        <f>VLOOKUP(D49,產線配置圖!$A$2:$C$38,2,0)</f>
        <v>19</v>
      </c>
      <c r="K49" s="105">
        <f>VLOOKUP(D49,產線配置圖!$A$2:$C$38,3,0)</f>
        <v>1565</v>
      </c>
      <c r="L49" s="109">
        <f>K49/J49</f>
        <v>82.368421052631575</v>
      </c>
      <c r="M49" s="144">
        <v>19</v>
      </c>
      <c r="N49" s="127">
        <f>G49/W49*60</f>
        <v>1559.0977443609033</v>
      </c>
      <c r="O49" s="128">
        <f>N49/M49</f>
        <v>82.057776018994915</v>
      </c>
      <c r="P49" s="164">
        <f>M49-J49</f>
        <v>0</v>
      </c>
      <c r="Q49" s="112">
        <f>O49-L49</f>
        <v>-0.31064503363666063</v>
      </c>
      <c r="R49" s="184">
        <f>O49/L49</f>
        <v>0.99622859064594471</v>
      </c>
      <c r="S49" s="396">
        <f>R58</f>
        <v>0.99089738324736998</v>
      </c>
      <c r="T49" s="151">
        <v>0.2902777777777778</v>
      </c>
      <c r="U49" s="151">
        <v>0.38263888888888886</v>
      </c>
      <c r="V49" s="188"/>
      <c r="W49" s="152">
        <f t="shared" si="20"/>
        <v>132.99999999999991</v>
      </c>
      <c r="X49" s="188"/>
      <c r="Y49" s="188"/>
      <c r="Z49" s="400"/>
      <c r="AA49" s="400"/>
      <c r="AB49" s="111">
        <f>N49-K49</f>
        <v>-5.9022556390966656</v>
      </c>
      <c r="AC49" s="184">
        <f>N49/K49</f>
        <v>0.9962285906459446</v>
      </c>
      <c r="AD49" s="401">
        <f>AC58</f>
        <v>0.99098953920450028</v>
      </c>
    </row>
    <row r="50" spans="1:30" ht="15" customHeight="1">
      <c r="A50" s="452"/>
      <c r="B50" s="56" t="str">
        <f>VLOOKUP(D50,廠價表!$C$1:$E$39,2,0)</f>
        <v>義大利麵</v>
      </c>
      <c r="C50" s="10"/>
      <c r="D50" s="11" t="s">
        <v>65</v>
      </c>
      <c r="E50" s="86"/>
      <c r="F50" s="56">
        <f>VLOOKUP(D50,廠價表!$C$1:$E$39,3,0)</f>
        <v>49.97</v>
      </c>
      <c r="G50" s="66">
        <v>3468</v>
      </c>
      <c r="H50" s="76">
        <f t="shared" si="39"/>
        <v>173295.96</v>
      </c>
      <c r="I50" s="193"/>
      <c r="J50" s="16">
        <f>VLOOKUP(D50,產線配置圖!$A$2:$C$38,2,0)</f>
        <v>18</v>
      </c>
      <c r="K50" s="14">
        <f>VLOOKUP(D50,產線配置圖!$A$2:$C$38,3,0)</f>
        <v>1600</v>
      </c>
      <c r="L50" s="17">
        <f>K50/J50</f>
        <v>88.888888888888886</v>
      </c>
      <c r="M50" s="174">
        <v>18</v>
      </c>
      <c r="N50" s="77">
        <f>G50/W50*60</f>
        <v>1576.3636363636365</v>
      </c>
      <c r="O50" s="78">
        <f>N50/M50</f>
        <v>87.575757575757578</v>
      </c>
      <c r="P50" s="18">
        <f>M50-J50</f>
        <v>0</v>
      </c>
      <c r="Q50" s="19">
        <f>O50-L50</f>
        <v>-1.3131313131313078</v>
      </c>
      <c r="R50" s="185">
        <f>O50/L50</f>
        <v>0.98522727272727284</v>
      </c>
      <c r="S50" s="397"/>
      <c r="T50" s="79">
        <v>0.38819444444444445</v>
      </c>
      <c r="U50" s="79">
        <v>0.47986111111111113</v>
      </c>
      <c r="V50" s="177">
        <f t="shared" ref="V50:V51" si="40">(T50-U49)*24*60</f>
        <v>8.0000000000000515</v>
      </c>
      <c r="W50" s="80">
        <f t="shared" si="20"/>
        <v>132</v>
      </c>
      <c r="X50" s="22"/>
      <c r="Y50" s="22"/>
      <c r="Z50" s="419"/>
      <c r="AA50" s="418"/>
      <c r="AB50" s="18">
        <f>N50-K50</f>
        <v>-23.636363636363512</v>
      </c>
      <c r="AC50" s="185">
        <f>N50/K50</f>
        <v>0.98522727272727284</v>
      </c>
      <c r="AD50" s="402"/>
    </row>
    <row r="51" spans="1:30" ht="15" customHeight="1">
      <c r="A51" s="452"/>
      <c r="B51" s="56" t="str">
        <f>VLOOKUP(D51,廠價表!$C$1:$E$39,2,0)</f>
        <v>義大利麵</v>
      </c>
      <c r="C51" s="10"/>
      <c r="D51" s="11" t="s">
        <v>65</v>
      </c>
      <c r="E51" s="86"/>
      <c r="F51" s="56">
        <f>VLOOKUP(D51,廠價表!$C$1:$E$39,3,0)</f>
        <v>49.97</v>
      </c>
      <c r="G51" s="66">
        <v>2803</v>
      </c>
      <c r="H51" s="76">
        <f t="shared" si="39"/>
        <v>140065.91</v>
      </c>
      <c r="I51" s="193"/>
      <c r="J51" s="16">
        <f>VLOOKUP(D51,產線配置圖!$A$2:$C$38,2,0)</f>
        <v>18</v>
      </c>
      <c r="K51" s="14">
        <f>VLOOKUP(D51,產線配置圖!$A$2:$C$38,3,0)</f>
        <v>1600</v>
      </c>
      <c r="L51" s="17">
        <f>K51/J51</f>
        <v>88.888888888888886</v>
      </c>
      <c r="M51" s="174">
        <v>18</v>
      </c>
      <c r="N51" s="77">
        <f>G51/W51*60</f>
        <v>1586.603773584904</v>
      </c>
      <c r="O51" s="78">
        <f>N51/M51</f>
        <v>88.144654088050231</v>
      </c>
      <c r="P51" s="18">
        <f>M51-J51</f>
        <v>0</v>
      </c>
      <c r="Q51" s="19">
        <f>O51-L51</f>
        <v>-0.74423480083865456</v>
      </c>
      <c r="R51" s="185">
        <f>O51/L51</f>
        <v>0.99162735849056516</v>
      </c>
      <c r="S51" s="397"/>
      <c r="T51" s="79">
        <v>0.5395833333333333</v>
      </c>
      <c r="U51" s="44">
        <v>0.61319444444444449</v>
      </c>
      <c r="V51" s="177">
        <f t="shared" si="40"/>
        <v>85.999999999999929</v>
      </c>
      <c r="W51" s="80">
        <f t="shared" si="20"/>
        <v>106.0000000000001</v>
      </c>
      <c r="X51" s="22">
        <v>0.4861111111111111</v>
      </c>
      <c r="Y51" s="22">
        <v>0.52777777777777779</v>
      </c>
      <c r="Z51" s="405"/>
      <c r="AA51" s="405"/>
      <c r="AB51" s="18">
        <f>N51-K51</f>
        <v>-13.396226415095953</v>
      </c>
      <c r="AC51" s="185">
        <f>N51/K51</f>
        <v>0.99162735849056505</v>
      </c>
      <c r="AD51" s="402"/>
    </row>
    <row r="52" spans="1:30" ht="15" customHeight="1">
      <c r="A52" s="452"/>
      <c r="B52" s="56"/>
      <c r="C52" s="23"/>
      <c r="D52" s="11"/>
      <c r="E52" s="12"/>
      <c r="F52" s="56"/>
      <c r="G52" s="66"/>
      <c r="H52" s="76"/>
      <c r="I52" s="193"/>
      <c r="J52" s="16"/>
      <c r="K52" s="14"/>
      <c r="L52" s="17"/>
      <c r="M52" s="174"/>
      <c r="N52" s="77"/>
      <c r="O52" s="78"/>
      <c r="P52" s="18"/>
      <c r="Q52" s="19"/>
      <c r="R52" s="185"/>
      <c r="S52" s="397"/>
      <c r="T52" s="79"/>
      <c r="U52" s="79"/>
      <c r="V52" s="177"/>
      <c r="W52" s="80">
        <f t="shared" si="20"/>
        <v>0</v>
      </c>
      <c r="X52" s="22"/>
      <c r="Y52" s="22"/>
      <c r="Z52" s="405"/>
      <c r="AA52" s="405"/>
      <c r="AB52" s="18"/>
      <c r="AC52" s="185"/>
      <c r="AD52" s="402"/>
    </row>
    <row r="53" spans="1:30" ht="15" customHeight="1">
      <c r="A53" s="452"/>
      <c r="B53" s="56"/>
      <c r="C53" s="23"/>
      <c r="D53" s="11"/>
      <c r="E53" s="12"/>
      <c r="F53" s="56"/>
      <c r="G53" s="66"/>
      <c r="H53" s="76"/>
      <c r="I53" s="193"/>
      <c r="J53" s="16"/>
      <c r="K53" s="14"/>
      <c r="L53" s="17"/>
      <c r="M53" s="174"/>
      <c r="N53" s="77"/>
      <c r="O53" s="78"/>
      <c r="P53" s="18"/>
      <c r="Q53" s="19"/>
      <c r="R53" s="185"/>
      <c r="S53" s="397"/>
      <c r="T53" s="79"/>
      <c r="U53" s="79"/>
      <c r="V53" s="177"/>
      <c r="W53" s="80">
        <f t="shared" si="20"/>
        <v>0</v>
      </c>
      <c r="X53" s="177"/>
      <c r="Y53" s="177"/>
      <c r="Z53" s="419"/>
      <c r="AA53" s="418"/>
      <c r="AB53" s="18"/>
      <c r="AC53" s="185"/>
      <c r="AD53" s="402"/>
    </row>
    <row r="54" spans="1:30" ht="15" customHeight="1">
      <c r="A54" s="452"/>
      <c r="B54" s="177"/>
      <c r="C54" s="183"/>
      <c r="D54" s="11"/>
      <c r="E54" s="12"/>
      <c r="F54" s="13"/>
      <c r="G54" s="66"/>
      <c r="H54" s="76">
        <f t="shared" si="39"/>
        <v>0</v>
      </c>
      <c r="I54" s="177"/>
      <c r="J54" s="31"/>
      <c r="K54" s="30"/>
      <c r="L54" s="38"/>
      <c r="M54" s="181"/>
      <c r="N54" s="30"/>
      <c r="O54" s="35"/>
      <c r="P54" s="18"/>
      <c r="Q54" s="19"/>
      <c r="R54" s="185"/>
      <c r="S54" s="397"/>
      <c r="T54" s="79"/>
      <c r="U54" s="79"/>
      <c r="V54" s="197"/>
      <c r="W54" s="80">
        <f t="shared" si="20"/>
        <v>0</v>
      </c>
      <c r="X54" s="177"/>
      <c r="Y54" s="177"/>
      <c r="Z54" s="419"/>
      <c r="AA54" s="418"/>
      <c r="AB54" s="18"/>
      <c r="AC54" s="185"/>
      <c r="AD54" s="402"/>
    </row>
    <row r="55" spans="1:30" ht="15" customHeight="1">
      <c r="A55" s="452"/>
      <c r="B55" s="26"/>
      <c r="C55" s="27"/>
      <c r="D55" s="28"/>
      <c r="E55" s="29"/>
      <c r="F55" s="13"/>
      <c r="G55" s="66"/>
      <c r="H55" s="15">
        <f t="shared" si="39"/>
        <v>0</v>
      </c>
      <c r="I55" s="177"/>
      <c r="J55" s="31"/>
      <c r="K55" s="30"/>
      <c r="L55" s="38"/>
      <c r="M55" s="181"/>
      <c r="N55" s="30"/>
      <c r="O55" s="35"/>
      <c r="P55" s="18"/>
      <c r="Q55" s="19"/>
      <c r="R55" s="185"/>
      <c r="S55" s="397"/>
      <c r="T55" s="79"/>
      <c r="U55" s="79"/>
      <c r="V55" s="197"/>
      <c r="W55" s="80">
        <f t="shared" si="20"/>
        <v>0</v>
      </c>
      <c r="X55" s="177"/>
      <c r="Y55" s="177"/>
      <c r="Z55" s="419"/>
      <c r="AA55" s="418"/>
      <c r="AB55" s="18"/>
      <c r="AC55" s="185"/>
      <c r="AD55" s="402"/>
    </row>
    <row r="56" spans="1:30" ht="15" customHeight="1">
      <c r="A56" s="452"/>
      <c r="B56" s="26"/>
      <c r="C56" s="27"/>
      <c r="D56" s="28"/>
      <c r="E56" s="29"/>
      <c r="F56" s="13"/>
      <c r="G56" s="66"/>
      <c r="H56" s="15">
        <f t="shared" si="39"/>
        <v>0</v>
      </c>
      <c r="I56" s="177"/>
      <c r="J56" s="31"/>
      <c r="K56" s="30"/>
      <c r="L56" s="38"/>
      <c r="M56" s="181"/>
      <c r="N56" s="30"/>
      <c r="O56" s="35"/>
      <c r="P56" s="18"/>
      <c r="Q56" s="19"/>
      <c r="R56" s="185"/>
      <c r="S56" s="397"/>
      <c r="T56" s="79"/>
      <c r="U56" s="79"/>
      <c r="V56" s="197"/>
      <c r="W56" s="80">
        <f t="shared" si="20"/>
        <v>0</v>
      </c>
      <c r="X56" s="177"/>
      <c r="Y56" s="177"/>
      <c r="Z56" s="405"/>
      <c r="AA56" s="405"/>
      <c r="AB56" s="18"/>
      <c r="AC56" s="185"/>
      <c r="AD56" s="402"/>
    </row>
    <row r="57" spans="1:30" ht="15" customHeight="1">
      <c r="A57" s="452"/>
      <c r="B57" s="26"/>
      <c r="C57" s="27"/>
      <c r="D57" s="28"/>
      <c r="E57" s="29"/>
      <c r="F57" s="13"/>
      <c r="G57" s="66"/>
      <c r="H57" s="15">
        <f t="shared" si="39"/>
        <v>0</v>
      </c>
      <c r="I57" s="177"/>
      <c r="J57" s="31"/>
      <c r="K57" s="30"/>
      <c r="L57" s="38"/>
      <c r="M57" s="181"/>
      <c r="N57" s="30"/>
      <c r="O57" s="35"/>
      <c r="P57" s="18"/>
      <c r="Q57" s="19"/>
      <c r="R57" s="185"/>
      <c r="S57" s="397"/>
      <c r="T57" s="79"/>
      <c r="U57" s="79"/>
      <c r="V57" s="197"/>
      <c r="W57" s="80">
        <f t="shared" si="20"/>
        <v>0</v>
      </c>
      <c r="X57" s="177"/>
      <c r="Y57" s="177"/>
      <c r="Z57" s="405"/>
      <c r="AA57" s="405"/>
      <c r="AB57" s="18"/>
      <c r="AC57" s="185"/>
      <c r="AD57" s="402"/>
    </row>
    <row r="58" spans="1:30" ht="15" customHeight="1" thickBot="1">
      <c r="A58" s="453"/>
      <c r="B58" s="165"/>
      <c r="C58" s="1" t="s">
        <v>38</v>
      </c>
      <c r="D58" s="410" t="s">
        <v>7</v>
      </c>
      <c r="E58" s="410"/>
      <c r="F58" s="114"/>
      <c r="G58" s="166"/>
      <c r="H58" s="116"/>
      <c r="I58" s="115"/>
      <c r="J58" s="118">
        <f t="shared" ref="J58:O58" si="41">AVERAGE(J49:J57)</f>
        <v>18.333333333333332</v>
      </c>
      <c r="K58" s="118">
        <f t="shared" si="41"/>
        <v>1588.3333333333333</v>
      </c>
      <c r="L58" s="115">
        <f t="shared" si="41"/>
        <v>86.715399610136458</v>
      </c>
      <c r="M58" s="118">
        <f t="shared" si="41"/>
        <v>18.333333333333332</v>
      </c>
      <c r="N58" s="118">
        <f t="shared" si="41"/>
        <v>1574.0217181031478</v>
      </c>
      <c r="O58" s="115">
        <f t="shared" si="41"/>
        <v>85.926062560934227</v>
      </c>
      <c r="P58" s="119">
        <f>M58-J58</f>
        <v>0</v>
      </c>
      <c r="Q58" s="120">
        <f>N58-K58</f>
        <v>-14.311615230185453</v>
      </c>
      <c r="R58" s="121">
        <f t="shared" ref="R58:R60" si="42">O58/L58</f>
        <v>0.99089738324736998</v>
      </c>
      <c r="S58" s="399"/>
      <c r="T58" s="167"/>
      <c r="U58" s="167"/>
      <c r="V58" s="195"/>
      <c r="W58" s="168"/>
      <c r="X58" s="124"/>
      <c r="Y58" s="124"/>
      <c r="Z58" s="391"/>
      <c r="AA58" s="391"/>
      <c r="AB58" s="119">
        <f t="shared" ref="AB58:AB62" si="43">N58-K58</f>
        <v>-14.311615230185453</v>
      </c>
      <c r="AC58" s="187">
        <f t="shared" ref="AC58:AC62" si="44">N58/K58</f>
        <v>0.99098953920450028</v>
      </c>
      <c r="AD58" s="404"/>
    </row>
    <row r="59" spans="1:30" ht="15" customHeight="1">
      <c r="A59" s="466" t="s">
        <v>57</v>
      </c>
      <c r="B59" s="199" t="str">
        <f>VLOOKUP(D59,廠價表!$C$1:$E$39,2,0)</f>
        <v>小吃、微波</v>
      </c>
      <c r="C59" s="102"/>
      <c r="D59" s="103" t="s">
        <v>125</v>
      </c>
      <c r="E59" s="104"/>
      <c r="F59" s="199">
        <f>VLOOKUP(D59,廠價表!$C$1:$E$39,3,0)</f>
        <v>26.99</v>
      </c>
      <c r="G59" s="188">
        <v>3645</v>
      </c>
      <c r="H59" s="106">
        <f t="shared" ref="H59:H68" si="45">F59*G59</f>
        <v>98378.549999999988</v>
      </c>
      <c r="I59" s="188"/>
      <c r="J59" s="108">
        <f>VLOOKUP(D59,產線配置圖!$A$2:$C$38,2,0)</f>
        <v>13</v>
      </c>
      <c r="K59" s="105">
        <f>VLOOKUP(D59,產線配置圖!$A$2:$C$38,3,0)</f>
        <v>1565</v>
      </c>
      <c r="L59" s="109">
        <f>K59/J59</f>
        <v>120.38461538461539</v>
      </c>
      <c r="M59" s="110">
        <v>13</v>
      </c>
      <c r="N59" s="105">
        <f t="shared" ref="N59:N63" si="46">G59/W59*60</f>
        <v>1518.7500000000002</v>
      </c>
      <c r="O59" s="109">
        <f t="shared" ref="O59:O63" si="47">N59/M59</f>
        <v>116.82692307692309</v>
      </c>
      <c r="P59" s="111">
        <f t="shared" ref="P59:P63" si="48">M59-J59</f>
        <v>0</v>
      </c>
      <c r="Q59" s="112">
        <f t="shared" ref="Q59:Q63" si="49">O59-L59</f>
        <v>-3.5576923076922924</v>
      </c>
      <c r="R59" s="184">
        <f t="shared" si="42"/>
        <v>0.97044728434504801</v>
      </c>
      <c r="S59" s="396">
        <f>R69</f>
        <v>0.94448334599192518</v>
      </c>
      <c r="T59" s="169">
        <v>0.2902777777777778</v>
      </c>
      <c r="U59" s="169">
        <v>0.39027777777777778</v>
      </c>
      <c r="V59" s="188"/>
      <c r="W59" s="107">
        <f t="shared" si="20"/>
        <v>143.99999999999997</v>
      </c>
      <c r="X59" s="188"/>
      <c r="Y59" s="188"/>
      <c r="Z59" s="405"/>
      <c r="AA59" s="405"/>
      <c r="AB59" s="225">
        <f t="shared" si="43"/>
        <v>-46.249999999999773</v>
      </c>
      <c r="AC59" s="226">
        <f t="shared" si="44"/>
        <v>0.97044728434504812</v>
      </c>
      <c r="AD59" s="401">
        <f>AC69</f>
        <v>0.9450035438493376</v>
      </c>
    </row>
    <row r="60" spans="1:30" ht="15" customHeight="1">
      <c r="A60" s="467"/>
      <c r="B60" s="56" t="str">
        <f>VLOOKUP(D60,廠價表!$C$1:$E$39,2,0)</f>
        <v>小吃、微波</v>
      </c>
      <c r="C60" s="10"/>
      <c r="D60" s="11" t="s">
        <v>146</v>
      </c>
      <c r="E60" s="86"/>
      <c r="F60" s="56">
        <f>VLOOKUP(D60,廠價表!$C$1:$E$39,3,0)</f>
        <v>28.47</v>
      </c>
      <c r="G60" s="177">
        <v>893</v>
      </c>
      <c r="H60" s="15">
        <f t="shared" si="45"/>
        <v>25423.71</v>
      </c>
      <c r="I60" s="177"/>
      <c r="J60" s="16">
        <f>VLOOKUP(D60,產線配置圖!$A$2:$C$38,2,0)</f>
        <v>12</v>
      </c>
      <c r="K60" s="14">
        <f>VLOOKUP(D60,產線配置圖!$A$2:$C$38,3,0)</f>
        <v>1565</v>
      </c>
      <c r="L60" s="17">
        <f>K60/J60</f>
        <v>130.41666666666666</v>
      </c>
      <c r="M60" s="180">
        <v>12</v>
      </c>
      <c r="N60" s="14">
        <f t="shared" si="46"/>
        <v>1373.8461538461559</v>
      </c>
      <c r="O60" s="17">
        <f t="shared" si="47"/>
        <v>114.48717948717966</v>
      </c>
      <c r="P60" s="18">
        <f t="shared" si="48"/>
        <v>0</v>
      </c>
      <c r="Q60" s="19">
        <f t="shared" si="49"/>
        <v>-15.929487179486998</v>
      </c>
      <c r="R60" s="185">
        <f t="shared" si="42"/>
        <v>0.87785696731383767</v>
      </c>
      <c r="S60" s="470"/>
      <c r="T60" s="198">
        <v>0.39861111111111114</v>
      </c>
      <c r="U60" s="198">
        <v>0.42569444444444443</v>
      </c>
      <c r="V60" s="177">
        <f t="shared" ref="V60:V63" si="50">(T60-U59)*24*60</f>
        <v>12.000000000000037</v>
      </c>
      <c r="W60" s="90">
        <f t="shared" si="20"/>
        <v>38.999999999999943</v>
      </c>
      <c r="X60" s="193"/>
      <c r="Y60" s="193"/>
      <c r="Z60" s="405"/>
      <c r="AA60" s="405"/>
      <c r="AB60" s="227">
        <f t="shared" si="43"/>
        <v>-191.15384615384414</v>
      </c>
      <c r="AC60" s="228">
        <f t="shared" si="44"/>
        <v>0.87785696731383756</v>
      </c>
      <c r="AD60" s="473"/>
    </row>
    <row r="61" spans="1:30" ht="15" customHeight="1">
      <c r="A61" s="468"/>
      <c r="B61" s="56" t="str">
        <f>VLOOKUP(D61,廠價表!$C$1:$E$39,2,0)</f>
        <v>小吃、微波</v>
      </c>
      <c r="C61" s="10"/>
      <c r="D61" s="242" t="s">
        <v>135</v>
      </c>
      <c r="E61" s="86"/>
      <c r="F61" s="56">
        <f>VLOOKUP(D61,廠價表!$C$1:$E$39,3,0)</f>
        <v>28.26</v>
      </c>
      <c r="G61" s="177">
        <v>2035</v>
      </c>
      <c r="H61" s="15">
        <f t="shared" si="45"/>
        <v>57509.100000000006</v>
      </c>
      <c r="I61" s="81"/>
      <c r="J61" s="16">
        <f>VLOOKUP(D61,產線配置圖!$A$2:$C$38,2,0)</f>
        <v>12</v>
      </c>
      <c r="K61" s="14">
        <f>VLOOKUP(D61,產線配置圖!$A$2:$C$38,3,0)</f>
        <v>1565</v>
      </c>
      <c r="L61" s="17">
        <f t="shared" ref="L61:L63" si="51">K61/J61</f>
        <v>130.41666666666666</v>
      </c>
      <c r="M61" s="180">
        <v>12</v>
      </c>
      <c r="N61" s="14">
        <f t="shared" si="46"/>
        <v>1545.5696202531653</v>
      </c>
      <c r="O61" s="17">
        <f t="shared" si="47"/>
        <v>128.79746835443044</v>
      </c>
      <c r="P61" s="18">
        <f t="shared" si="48"/>
        <v>0</v>
      </c>
      <c r="Q61" s="19">
        <f t="shared" si="49"/>
        <v>-1.6191983122362217</v>
      </c>
      <c r="R61" s="185">
        <f>O61/L61</f>
        <v>0.98758442188700657</v>
      </c>
      <c r="S61" s="397"/>
      <c r="T61" s="20">
        <v>0.43541666666666667</v>
      </c>
      <c r="U61" s="20">
        <v>0.49027777777777776</v>
      </c>
      <c r="V61" s="177">
        <f t="shared" si="50"/>
        <v>14.00000000000003</v>
      </c>
      <c r="W61" s="88">
        <f t="shared" si="20"/>
        <v>78.999999999999957</v>
      </c>
      <c r="X61" s="22"/>
      <c r="Y61" s="22"/>
      <c r="Z61" s="405"/>
      <c r="AA61" s="405"/>
      <c r="AB61" s="51">
        <f t="shared" si="43"/>
        <v>-19.43037974683466</v>
      </c>
      <c r="AC61" s="52">
        <f t="shared" si="44"/>
        <v>0.98758442188700657</v>
      </c>
      <c r="AD61" s="402"/>
    </row>
    <row r="62" spans="1:30" ht="15" customHeight="1">
      <c r="A62" s="468"/>
      <c r="B62" s="56" t="str">
        <f>VLOOKUP(D62,廠價表!$C$1:$E$39,2,0)</f>
        <v>小吃、微波</v>
      </c>
      <c r="C62" s="23"/>
      <c r="D62" s="11" t="s">
        <v>135</v>
      </c>
      <c r="E62" s="12"/>
      <c r="F62" s="56">
        <f>VLOOKUP(D62,廠價表!$C$1:$E$39,3,0)</f>
        <v>28.26</v>
      </c>
      <c r="G62" s="177">
        <v>562</v>
      </c>
      <c r="H62" s="15">
        <f t="shared" si="45"/>
        <v>15882.12</v>
      </c>
      <c r="I62" s="81"/>
      <c r="J62" s="16">
        <f>VLOOKUP(D62,產線配置圖!$A$2:$C$38,2,0)</f>
        <v>12</v>
      </c>
      <c r="K62" s="14">
        <f>VLOOKUP(D62,產線配置圖!$A$2:$C$38,3,0)</f>
        <v>1565</v>
      </c>
      <c r="L62" s="17">
        <f t="shared" si="51"/>
        <v>130.41666666666666</v>
      </c>
      <c r="M62" s="180">
        <v>12</v>
      </c>
      <c r="N62" s="14">
        <f t="shared" si="46"/>
        <v>1466.0869565217442</v>
      </c>
      <c r="O62" s="17">
        <f t="shared" si="47"/>
        <v>122.17391304347869</v>
      </c>
      <c r="P62" s="18">
        <f t="shared" si="48"/>
        <v>0</v>
      </c>
      <c r="Q62" s="19">
        <f t="shared" si="49"/>
        <v>-8.2427536231879657</v>
      </c>
      <c r="R62" s="185">
        <f>O62/L62</f>
        <v>0.93679677733018807</v>
      </c>
      <c r="S62" s="397"/>
      <c r="T62" s="20">
        <v>0.54861111111111116</v>
      </c>
      <c r="U62" s="20">
        <v>0.56458333333333333</v>
      </c>
      <c r="V62" s="177">
        <f t="shared" si="50"/>
        <v>84.000000000000099</v>
      </c>
      <c r="W62" s="90">
        <f t="shared" si="20"/>
        <v>22.999999999999918</v>
      </c>
      <c r="X62" s="22">
        <v>0.5</v>
      </c>
      <c r="Y62" s="22">
        <v>0.54166666666666663</v>
      </c>
      <c r="Z62" s="405"/>
      <c r="AA62" s="405"/>
      <c r="AB62" s="51">
        <f t="shared" si="43"/>
        <v>-98.913043478255759</v>
      </c>
      <c r="AC62" s="52">
        <f t="shared" si="44"/>
        <v>0.93679677733018807</v>
      </c>
      <c r="AD62" s="402"/>
    </row>
    <row r="63" spans="1:30" ht="15" customHeight="1">
      <c r="A63" s="468"/>
      <c r="B63" s="56" t="str">
        <f>VLOOKUP(D63,廠價表!$C$1:$E$39,2,0)</f>
        <v>小吃、微波</v>
      </c>
      <c r="C63" s="10"/>
      <c r="D63" s="242" t="s">
        <v>125</v>
      </c>
      <c r="E63" s="86"/>
      <c r="F63" s="56">
        <f>VLOOKUP(D63,廠價表!$C$1:$E$39,3,0)</f>
        <v>26.99</v>
      </c>
      <c r="G63" s="177">
        <v>1242</v>
      </c>
      <c r="H63" s="15">
        <f t="shared" si="45"/>
        <v>33521.579999999994</v>
      </c>
      <c r="I63" s="81"/>
      <c r="J63" s="16">
        <f>VLOOKUP(D63,產線配置圖!$A$2:$C$38,2,0)</f>
        <v>13</v>
      </c>
      <c r="K63" s="14">
        <f>VLOOKUP(D63,產線配置圖!$A$2:$C$38,3,0)</f>
        <v>1565</v>
      </c>
      <c r="L63" s="17">
        <f t="shared" si="51"/>
        <v>120.38461538461539</v>
      </c>
      <c r="M63" s="180">
        <v>13</v>
      </c>
      <c r="N63" s="14">
        <f t="shared" si="46"/>
        <v>1490.4000000000003</v>
      </c>
      <c r="O63" s="17">
        <f t="shared" si="47"/>
        <v>114.64615384615387</v>
      </c>
      <c r="P63" s="18">
        <f t="shared" si="48"/>
        <v>0</v>
      </c>
      <c r="Q63" s="19">
        <f t="shared" si="49"/>
        <v>-5.7384615384615216</v>
      </c>
      <c r="R63" s="185">
        <f>O63/L63</f>
        <v>0.95233226837060714</v>
      </c>
      <c r="S63" s="397"/>
      <c r="T63" s="20">
        <v>0.57291666666666663</v>
      </c>
      <c r="U63" s="20">
        <v>0.60763888888888884</v>
      </c>
      <c r="V63" s="177">
        <f t="shared" si="50"/>
        <v>11.999999999999957</v>
      </c>
      <c r="W63" s="90">
        <f t="shared" si="20"/>
        <v>49.999999999999986</v>
      </c>
      <c r="X63" s="84"/>
      <c r="Y63" s="84"/>
      <c r="Z63" s="405"/>
      <c r="AA63" s="405"/>
      <c r="AB63" s="51"/>
      <c r="AC63" s="52"/>
      <c r="AD63" s="402"/>
    </row>
    <row r="64" spans="1:30" ht="15" customHeight="1">
      <c r="A64" s="468"/>
      <c r="B64" s="56"/>
      <c r="C64" s="10"/>
      <c r="D64" s="242"/>
      <c r="E64" s="86"/>
      <c r="F64" s="56"/>
      <c r="G64" s="177"/>
      <c r="H64" s="15"/>
      <c r="I64" s="81"/>
      <c r="J64" s="16"/>
      <c r="K64" s="14"/>
      <c r="L64" s="17"/>
      <c r="M64" s="180"/>
      <c r="N64" s="14"/>
      <c r="O64" s="17"/>
      <c r="P64" s="18"/>
      <c r="Q64" s="19"/>
      <c r="R64" s="185"/>
      <c r="S64" s="397"/>
      <c r="T64" s="20"/>
      <c r="U64" s="20"/>
      <c r="V64" s="177"/>
      <c r="W64" s="182">
        <f t="shared" si="20"/>
        <v>0</v>
      </c>
      <c r="X64" s="84"/>
      <c r="Y64" s="84"/>
      <c r="Z64" s="419"/>
      <c r="AA64" s="418"/>
      <c r="AB64" s="18"/>
      <c r="AC64" s="55"/>
      <c r="AD64" s="402"/>
    </row>
    <row r="65" spans="1:32" ht="15" customHeight="1">
      <c r="A65" s="468"/>
      <c r="B65" s="177"/>
      <c r="C65" s="183"/>
      <c r="D65" s="11"/>
      <c r="E65" s="12"/>
      <c r="F65" s="13"/>
      <c r="G65" s="177"/>
      <c r="H65" s="15"/>
      <c r="I65" s="177"/>
      <c r="J65" s="16"/>
      <c r="K65" s="82"/>
      <c r="L65" s="83"/>
      <c r="M65" s="180"/>
      <c r="N65" s="14"/>
      <c r="O65" s="17"/>
      <c r="P65" s="18"/>
      <c r="Q65" s="19"/>
      <c r="R65" s="185"/>
      <c r="S65" s="397"/>
      <c r="T65" s="20"/>
      <c r="U65" s="20"/>
      <c r="V65" s="177"/>
      <c r="W65" s="182">
        <f t="shared" si="20"/>
        <v>0</v>
      </c>
      <c r="X65" s="84"/>
      <c r="Y65" s="84"/>
      <c r="Z65" s="419"/>
      <c r="AA65" s="418"/>
      <c r="AB65" s="18"/>
      <c r="AC65" s="55"/>
      <c r="AD65" s="402"/>
    </row>
    <row r="66" spans="1:32" ht="15" customHeight="1">
      <c r="A66" s="468"/>
      <c r="B66" s="26"/>
      <c r="C66" s="27"/>
      <c r="D66" s="28"/>
      <c r="E66" s="29"/>
      <c r="F66" s="13"/>
      <c r="G66" s="183"/>
      <c r="H66" s="15">
        <f t="shared" si="45"/>
        <v>0</v>
      </c>
      <c r="I66" s="85"/>
      <c r="J66" s="16"/>
      <c r="K66" s="14"/>
      <c r="L66" s="17"/>
      <c r="M66" s="21"/>
      <c r="N66" s="36"/>
      <c r="O66" s="38"/>
      <c r="P66" s="39"/>
      <c r="Q66" s="40"/>
      <c r="R66" s="68"/>
      <c r="S66" s="397"/>
      <c r="T66" s="20"/>
      <c r="U66" s="20"/>
      <c r="V66" s="177"/>
      <c r="W66" s="182">
        <f t="shared" si="20"/>
        <v>0</v>
      </c>
      <c r="X66" s="84"/>
      <c r="Y66" s="84"/>
      <c r="Z66" s="405"/>
      <c r="AA66" s="405"/>
      <c r="AB66" s="18"/>
      <c r="AC66" s="55"/>
      <c r="AD66" s="402"/>
    </row>
    <row r="67" spans="1:32" ht="15" customHeight="1">
      <c r="A67" s="468"/>
      <c r="B67" s="26"/>
      <c r="C67" s="27"/>
      <c r="D67" s="28"/>
      <c r="E67" s="29"/>
      <c r="F67" s="13"/>
      <c r="G67" s="177"/>
      <c r="H67" s="15">
        <f t="shared" si="45"/>
        <v>0</v>
      </c>
      <c r="I67" s="177"/>
      <c r="J67" s="16"/>
      <c r="K67" s="14"/>
      <c r="L67" s="17"/>
      <c r="M67" s="21"/>
      <c r="N67" s="36"/>
      <c r="O67" s="38"/>
      <c r="P67" s="39"/>
      <c r="Q67" s="40"/>
      <c r="R67" s="68"/>
      <c r="S67" s="397"/>
      <c r="T67" s="20"/>
      <c r="U67" s="20"/>
      <c r="V67" s="177"/>
      <c r="W67" s="182">
        <f t="shared" si="20"/>
        <v>0</v>
      </c>
      <c r="X67" s="84"/>
      <c r="Y67" s="84"/>
      <c r="Z67" s="419"/>
      <c r="AA67" s="418"/>
      <c r="AB67" s="18"/>
      <c r="AC67" s="55"/>
      <c r="AD67" s="402"/>
    </row>
    <row r="68" spans="1:32" ht="15" customHeight="1">
      <c r="A68" s="468"/>
      <c r="B68" s="26"/>
      <c r="C68" s="27"/>
      <c r="D68" s="28"/>
      <c r="E68" s="29"/>
      <c r="F68" s="13"/>
      <c r="G68" s="183"/>
      <c r="H68" s="15">
        <f t="shared" si="45"/>
        <v>0</v>
      </c>
      <c r="I68" s="85"/>
      <c r="J68" s="16"/>
      <c r="K68" s="260"/>
      <c r="L68" s="261"/>
      <c r="M68" s="21"/>
      <c r="N68" s="36"/>
      <c r="O68" s="38"/>
      <c r="P68" s="39"/>
      <c r="Q68" s="40"/>
      <c r="R68" s="68"/>
      <c r="S68" s="397"/>
      <c r="T68" s="20"/>
      <c r="U68" s="20"/>
      <c r="V68" s="177"/>
      <c r="W68" s="182">
        <f t="shared" si="20"/>
        <v>0</v>
      </c>
      <c r="X68" s="84"/>
      <c r="Y68" s="84"/>
      <c r="Z68" s="419"/>
      <c r="AA68" s="418"/>
      <c r="AB68" s="18"/>
      <c r="AC68" s="55"/>
      <c r="AD68" s="402"/>
    </row>
    <row r="69" spans="1:32" ht="15" customHeight="1" thickBot="1">
      <c r="A69" s="469"/>
      <c r="B69" s="165"/>
      <c r="C69" s="1" t="s">
        <v>39</v>
      </c>
      <c r="D69" s="410" t="s">
        <v>7</v>
      </c>
      <c r="E69" s="410"/>
      <c r="F69" s="114"/>
      <c r="G69" s="115"/>
      <c r="H69" s="116"/>
      <c r="I69" s="170"/>
      <c r="J69" s="166">
        <f t="shared" ref="J69:O69" si="52">AVERAGE(J59:J68)</f>
        <v>12.4</v>
      </c>
      <c r="K69" s="166">
        <f t="shared" si="52"/>
        <v>1565</v>
      </c>
      <c r="L69" s="171">
        <f t="shared" si="52"/>
        <v>126.40384615384615</v>
      </c>
      <c r="M69" s="166">
        <f t="shared" si="52"/>
        <v>12.4</v>
      </c>
      <c r="N69" s="166">
        <f t="shared" si="52"/>
        <v>1478.9305461242134</v>
      </c>
      <c r="O69" s="171">
        <f t="shared" si="52"/>
        <v>119.38632756163315</v>
      </c>
      <c r="P69" s="172">
        <f>M69-J69</f>
        <v>0</v>
      </c>
      <c r="Q69" s="158">
        <f>N69-K69</f>
        <v>-86.069453875786621</v>
      </c>
      <c r="R69" s="121">
        <f>O69/L69</f>
        <v>0.94448334599192518</v>
      </c>
      <c r="S69" s="399"/>
      <c r="T69" s="122"/>
      <c r="U69" s="122"/>
      <c r="V69" s="195"/>
      <c r="W69" s="168"/>
      <c r="X69" s="124"/>
      <c r="Y69" s="124"/>
      <c r="Z69" s="405"/>
      <c r="AA69" s="405"/>
      <c r="AB69" s="119">
        <f>N69-K69</f>
        <v>-86.069453875786621</v>
      </c>
      <c r="AC69" s="187">
        <f>N69/K69</f>
        <v>0.9450035438493376</v>
      </c>
      <c r="AD69" s="404"/>
    </row>
    <row r="70" spans="1:32" ht="15" customHeight="1">
      <c r="A70" s="461" t="s">
        <v>58</v>
      </c>
      <c r="B70" s="199" t="s">
        <v>62</v>
      </c>
      <c r="C70" s="199"/>
      <c r="D70" s="103" t="s">
        <v>158</v>
      </c>
      <c r="E70" s="104"/>
      <c r="F70" s="199">
        <f>VLOOKUP(D70,廠價表!$C$1:$E$39,3,0)</f>
        <v>47.71</v>
      </c>
      <c r="G70" s="188">
        <v>4940</v>
      </c>
      <c r="H70" s="106">
        <f t="shared" ref="H70:H71" si="53">F70*G70</f>
        <v>235687.4</v>
      </c>
      <c r="I70" s="188"/>
      <c r="J70" s="108">
        <f>VLOOKUP(D70,產線配置圖!$A$2:$C$38,2,0)</f>
        <v>15</v>
      </c>
      <c r="K70" s="105">
        <f>VLOOKUP(D70,產線配置圖!$A$2:$C$38,3,0)</f>
        <v>1500</v>
      </c>
      <c r="L70" s="109">
        <f>K70/J70</f>
        <v>100</v>
      </c>
      <c r="M70" s="110">
        <v>15</v>
      </c>
      <c r="N70" s="105">
        <f t="shared" ref="N70:N71" si="54">G70/W70*60</f>
        <v>1378.6046511627906</v>
      </c>
      <c r="O70" s="109">
        <f t="shared" ref="O70:O71" si="55">N70/M70</f>
        <v>91.906976744186039</v>
      </c>
      <c r="P70" s="111">
        <f t="shared" ref="P70:P71" si="56">M70-J70</f>
        <v>0</v>
      </c>
      <c r="Q70" s="112">
        <f t="shared" ref="Q70:Q71" si="57">O70-L70</f>
        <v>-8.0930232558139608</v>
      </c>
      <c r="R70" s="184">
        <f t="shared" ref="R70" si="58">O70/L70</f>
        <v>0.91906976744186042</v>
      </c>
      <c r="S70" s="396">
        <f>R79</f>
        <v>0.91089604021500448</v>
      </c>
      <c r="T70" s="169">
        <v>0.33333333333333331</v>
      </c>
      <c r="U70" s="169">
        <v>0.4826388888888889</v>
      </c>
      <c r="V70" s="188"/>
      <c r="W70" s="107">
        <f t="shared" ref="W70:W78" si="59">(U70-T70)*24*60</f>
        <v>215.00000000000003</v>
      </c>
      <c r="X70" s="296"/>
      <c r="Y70" s="296"/>
      <c r="Z70" s="465"/>
      <c r="AA70" s="427"/>
      <c r="AB70" s="225">
        <f t="shared" ref="AB70:AB71" si="60">N70-K70</f>
        <v>-121.39534883720944</v>
      </c>
      <c r="AC70" s="226">
        <f t="shared" ref="AC70:AC71" si="61">N70/K70</f>
        <v>0.91906976744186042</v>
      </c>
      <c r="AD70" s="401">
        <f>AC79</f>
        <v>0.90863859743417441</v>
      </c>
    </row>
    <row r="71" spans="1:32" ht="15" customHeight="1">
      <c r="A71" s="462"/>
      <c r="B71" s="56" t="str">
        <f>VLOOKUP(D71,廠價表!$C$1:$E$39,2,0)</f>
        <v>義大利麵</v>
      </c>
      <c r="C71" s="10"/>
      <c r="D71" s="11" t="s">
        <v>158</v>
      </c>
      <c r="E71" s="86"/>
      <c r="F71" s="56">
        <f>VLOOKUP(D71,廠價表!$C$1:$E$39,3,0)</f>
        <v>47.71</v>
      </c>
      <c r="G71" s="66">
        <v>1613</v>
      </c>
      <c r="H71" s="76">
        <f t="shared" si="53"/>
        <v>76956.23</v>
      </c>
      <c r="I71" s="193"/>
      <c r="J71" s="16">
        <f>VLOOKUP(D71,產線配置圖!$A$2:$C$38,2,0)</f>
        <v>15</v>
      </c>
      <c r="K71" s="14">
        <f>VLOOKUP(D71,產線配置圖!$A$2:$C$38,3,0)</f>
        <v>1500</v>
      </c>
      <c r="L71" s="17">
        <f t="shared" ref="L71" si="62">K71/J71</f>
        <v>100</v>
      </c>
      <c r="M71" s="180">
        <v>15</v>
      </c>
      <c r="N71" s="14">
        <f t="shared" si="54"/>
        <v>1290.4000000000019</v>
      </c>
      <c r="O71" s="17">
        <f t="shared" si="55"/>
        <v>86.026666666666799</v>
      </c>
      <c r="P71" s="18">
        <f t="shared" si="56"/>
        <v>0</v>
      </c>
      <c r="Q71" s="19">
        <f t="shared" si="57"/>
        <v>-13.973333333333201</v>
      </c>
      <c r="R71" s="185">
        <f>O71/L71</f>
        <v>0.86026666666666796</v>
      </c>
      <c r="S71" s="397"/>
      <c r="T71" s="20">
        <v>0.54861111111111116</v>
      </c>
      <c r="U71" s="20">
        <v>0.60069444444444442</v>
      </c>
      <c r="V71" s="177">
        <f t="shared" ref="V71" si="63">(T71-U70)*24*60</f>
        <v>95.000000000000057</v>
      </c>
      <c r="W71" s="182">
        <f t="shared" si="59"/>
        <v>74.999999999999886</v>
      </c>
      <c r="X71" s="298">
        <v>0.5</v>
      </c>
      <c r="Y71" s="299">
        <v>0.54166666666666663</v>
      </c>
      <c r="Z71" s="476"/>
      <c r="AA71" s="477"/>
      <c r="AB71" s="39">
        <f t="shared" si="60"/>
        <v>-209.59999999999809</v>
      </c>
      <c r="AC71" s="190">
        <f t="shared" si="61"/>
        <v>0.86026666666666796</v>
      </c>
      <c r="AD71" s="447"/>
    </row>
    <row r="72" spans="1:32" ht="15" customHeight="1">
      <c r="A72" s="462"/>
      <c r="B72" s="56"/>
      <c r="C72" s="10"/>
      <c r="D72" s="11"/>
      <c r="E72" s="86"/>
      <c r="F72" s="56"/>
      <c r="G72" s="66"/>
      <c r="H72" s="76"/>
      <c r="I72" s="193"/>
      <c r="J72" s="16"/>
      <c r="K72" s="14"/>
      <c r="L72" s="17"/>
      <c r="M72" s="180"/>
      <c r="N72" s="14"/>
      <c r="O72" s="17"/>
      <c r="P72" s="18"/>
      <c r="Q72" s="19"/>
      <c r="R72" s="185"/>
      <c r="S72" s="397"/>
      <c r="T72" s="20"/>
      <c r="U72" s="20"/>
      <c r="V72" s="177"/>
      <c r="W72" s="182">
        <f t="shared" si="59"/>
        <v>0</v>
      </c>
      <c r="X72" s="297"/>
      <c r="Y72" s="297"/>
      <c r="Z72" s="405"/>
      <c r="AA72" s="419"/>
      <c r="AB72" s="39"/>
      <c r="AC72" s="190"/>
      <c r="AD72" s="447"/>
    </row>
    <row r="73" spans="1:32" ht="15" customHeight="1">
      <c r="A73" s="462"/>
      <c r="B73" s="56"/>
      <c r="C73" s="23"/>
      <c r="D73" s="11"/>
      <c r="E73" s="12"/>
      <c r="F73" s="56"/>
      <c r="G73" s="66"/>
      <c r="H73" s="76"/>
      <c r="I73" s="193"/>
      <c r="J73" s="16"/>
      <c r="K73" s="14"/>
      <c r="L73" s="17"/>
      <c r="M73" s="180"/>
      <c r="N73" s="14"/>
      <c r="O73" s="17"/>
      <c r="P73" s="18"/>
      <c r="Q73" s="19"/>
      <c r="R73" s="185"/>
      <c r="S73" s="397"/>
      <c r="T73" s="20"/>
      <c r="U73" s="20"/>
      <c r="V73" s="177"/>
      <c r="W73" s="182">
        <f t="shared" si="59"/>
        <v>0</v>
      </c>
      <c r="X73" s="22"/>
      <c r="Y73" s="22"/>
      <c r="Z73" s="405"/>
      <c r="AA73" s="419"/>
      <c r="AB73" s="39"/>
      <c r="AC73" s="190"/>
      <c r="AD73" s="447"/>
    </row>
    <row r="74" spans="1:32" ht="15" customHeight="1">
      <c r="A74" s="462"/>
      <c r="B74" s="56"/>
      <c r="C74" s="249"/>
      <c r="D74" s="250"/>
      <c r="E74" s="251"/>
      <c r="F74" s="56"/>
      <c r="G74" s="238"/>
      <c r="H74" s="76">
        <f t="shared" ref="H74:H78" si="64">F74*G74</f>
        <v>0</v>
      </c>
      <c r="I74" s="81"/>
      <c r="J74" s="234"/>
      <c r="K74" s="36"/>
      <c r="L74" s="235"/>
      <c r="M74" s="21"/>
      <c r="N74" s="36"/>
      <c r="O74" s="38"/>
      <c r="P74" s="39"/>
      <c r="Q74" s="40"/>
      <c r="R74" s="190"/>
      <c r="S74" s="397"/>
      <c r="T74" s="20"/>
      <c r="U74" s="20"/>
      <c r="V74" s="177"/>
      <c r="W74" s="182">
        <f t="shared" si="59"/>
        <v>0</v>
      </c>
      <c r="X74" s="22"/>
      <c r="Y74" s="22"/>
      <c r="Z74" s="405"/>
      <c r="AA74" s="419"/>
      <c r="AB74" s="39"/>
      <c r="AC74" s="190"/>
      <c r="AD74" s="447"/>
    </row>
    <row r="75" spans="1:32" ht="15" customHeight="1">
      <c r="A75" s="462"/>
      <c r="B75" s="177"/>
      <c r="C75" s="183"/>
      <c r="D75" s="11"/>
      <c r="E75" s="12"/>
      <c r="F75" s="13"/>
      <c r="G75" s="177"/>
      <c r="H75" s="15">
        <f t="shared" si="64"/>
        <v>0</v>
      </c>
      <c r="I75" s="81"/>
      <c r="J75" s="87"/>
      <c r="K75" s="82"/>
      <c r="L75" s="83"/>
      <c r="M75" s="181"/>
      <c r="N75" s="82"/>
      <c r="O75" s="83"/>
      <c r="P75" s="73"/>
      <c r="Q75" s="74"/>
      <c r="R75" s="192"/>
      <c r="S75" s="397"/>
      <c r="T75" s="20"/>
      <c r="U75" s="20"/>
      <c r="V75" s="177"/>
      <c r="W75" s="88">
        <f t="shared" si="59"/>
        <v>0</v>
      </c>
      <c r="X75" s="89"/>
      <c r="Y75" s="89"/>
      <c r="Z75" s="406"/>
      <c r="AA75" s="406"/>
      <c r="AB75" s="306"/>
      <c r="AC75" s="307"/>
      <c r="AD75" s="402"/>
    </row>
    <row r="76" spans="1:32" ht="15" customHeight="1">
      <c r="A76" s="462"/>
      <c r="B76" s="26"/>
      <c r="C76" s="27"/>
      <c r="D76" s="28"/>
      <c r="E76" s="29"/>
      <c r="F76" s="13"/>
      <c r="G76" s="177"/>
      <c r="H76" s="15">
        <f t="shared" si="64"/>
        <v>0</v>
      </c>
      <c r="I76" s="81"/>
      <c r="J76" s="87"/>
      <c r="K76" s="82"/>
      <c r="L76" s="83"/>
      <c r="M76" s="181"/>
      <c r="N76" s="82"/>
      <c r="O76" s="83"/>
      <c r="P76" s="73"/>
      <c r="Q76" s="74"/>
      <c r="R76" s="192"/>
      <c r="S76" s="398"/>
      <c r="T76" s="20"/>
      <c r="U76" s="20"/>
      <c r="V76" s="177"/>
      <c r="W76" s="90">
        <f t="shared" si="59"/>
        <v>0</v>
      </c>
      <c r="X76" s="78"/>
      <c r="Y76" s="78"/>
      <c r="Z76" s="445"/>
      <c r="AA76" s="445"/>
      <c r="AB76" s="51"/>
      <c r="AC76" s="52"/>
      <c r="AD76" s="403"/>
    </row>
    <row r="77" spans="1:32" ht="15" customHeight="1">
      <c r="A77" s="462"/>
      <c r="B77" s="26"/>
      <c r="C77" s="27"/>
      <c r="D77" s="28"/>
      <c r="E77" s="29"/>
      <c r="F77" s="13"/>
      <c r="G77" s="177"/>
      <c r="H77" s="15">
        <f t="shared" si="64"/>
        <v>0</v>
      </c>
      <c r="I77" s="81"/>
      <c r="J77" s="87"/>
      <c r="K77" s="82"/>
      <c r="L77" s="83"/>
      <c r="M77" s="181"/>
      <c r="N77" s="82"/>
      <c r="O77" s="83"/>
      <c r="P77" s="73"/>
      <c r="Q77" s="74"/>
      <c r="R77" s="192"/>
      <c r="S77" s="398"/>
      <c r="T77" s="20"/>
      <c r="U77" s="20"/>
      <c r="V77" s="177"/>
      <c r="W77" s="182">
        <f t="shared" si="59"/>
        <v>0</v>
      </c>
      <c r="X77" s="84"/>
      <c r="Y77" s="84"/>
      <c r="Z77" s="405"/>
      <c r="AA77" s="405"/>
      <c r="AB77" s="18"/>
      <c r="AC77" s="55"/>
      <c r="AD77" s="403"/>
    </row>
    <row r="78" spans="1:32" ht="15" customHeight="1">
      <c r="A78" s="462"/>
      <c r="B78" s="26"/>
      <c r="C78" s="27"/>
      <c r="D78" s="28"/>
      <c r="E78" s="29"/>
      <c r="F78" s="13"/>
      <c r="G78" s="177"/>
      <c r="H78" s="15">
        <f t="shared" si="64"/>
        <v>0</v>
      </c>
      <c r="I78" s="85"/>
      <c r="J78" s="37"/>
      <c r="K78" s="36"/>
      <c r="L78" s="83"/>
      <c r="M78" s="21"/>
      <c r="N78" s="36"/>
      <c r="O78" s="38"/>
      <c r="P78" s="39"/>
      <c r="Q78" s="40"/>
      <c r="R78" s="190"/>
      <c r="S78" s="464"/>
      <c r="T78" s="32"/>
      <c r="U78" s="32"/>
      <c r="V78" s="178"/>
      <c r="W78" s="182">
        <f t="shared" si="59"/>
        <v>0</v>
      </c>
      <c r="X78" s="91"/>
      <c r="Y78" s="91"/>
      <c r="Z78" s="405"/>
      <c r="AA78" s="405"/>
      <c r="AB78" s="34"/>
      <c r="AC78" s="57"/>
      <c r="AD78" s="403"/>
    </row>
    <row r="79" spans="1:32" ht="15" customHeight="1" thickBot="1">
      <c r="A79" s="463"/>
      <c r="B79" s="165"/>
      <c r="C79" s="1" t="s">
        <v>40</v>
      </c>
      <c r="D79" s="410" t="s">
        <v>7</v>
      </c>
      <c r="E79" s="410"/>
      <c r="F79" s="114"/>
      <c r="G79" s="115"/>
      <c r="H79" s="173"/>
      <c r="I79" s="171"/>
      <c r="J79" s="166">
        <f t="shared" ref="J79:O79" si="65">AVERAGE(J69:J78)</f>
        <v>14.133333333333333</v>
      </c>
      <c r="K79" s="166">
        <f t="shared" si="65"/>
        <v>1521.6666666666667</v>
      </c>
      <c r="L79" s="171">
        <f t="shared" si="65"/>
        <v>108.80128205128204</v>
      </c>
      <c r="M79" s="166">
        <f t="shared" si="65"/>
        <v>14.133333333333333</v>
      </c>
      <c r="N79" s="166">
        <f t="shared" si="65"/>
        <v>1382.6450657623354</v>
      </c>
      <c r="O79" s="171">
        <f t="shared" si="65"/>
        <v>99.106656990828654</v>
      </c>
      <c r="P79" s="172">
        <f>M79-J79</f>
        <v>0</v>
      </c>
      <c r="Q79" s="158">
        <f>N79-K79</f>
        <v>-139.02160090433131</v>
      </c>
      <c r="R79" s="159">
        <f>O79/L79</f>
        <v>0.91089604021500448</v>
      </c>
      <c r="S79" s="399"/>
      <c r="T79" s="122"/>
      <c r="U79" s="122"/>
      <c r="V79" s="195"/>
      <c r="W79" s="168"/>
      <c r="X79" s="124"/>
      <c r="Y79" s="124"/>
      <c r="Z79" s="391"/>
      <c r="AA79" s="391"/>
      <c r="AB79" s="119">
        <f>N79-K79</f>
        <v>-139.02160090433131</v>
      </c>
      <c r="AC79" s="187">
        <f>N79/K79</f>
        <v>0.90863859743417441</v>
      </c>
      <c r="AD79" s="404"/>
    </row>
    <row r="80" spans="1:32">
      <c r="AF80" s="93" t="s">
        <v>41</v>
      </c>
    </row>
    <row r="81" spans="4:32">
      <c r="AF81" s="93" t="s">
        <v>42</v>
      </c>
    </row>
    <row r="82" spans="4:32">
      <c r="AF82" s="93" t="s">
        <v>43</v>
      </c>
    </row>
    <row r="83" spans="4:32">
      <c r="D83" s="220"/>
      <c r="W83" s="6"/>
      <c r="AF83" s="93" t="s">
        <v>44</v>
      </c>
    </row>
    <row r="84" spans="4:32">
      <c r="D84" s="224"/>
      <c r="W84" s="6"/>
      <c r="AF84" s="93" t="s">
        <v>45</v>
      </c>
    </row>
    <row r="85" spans="4:32">
      <c r="D85" s="224"/>
      <c r="W85" s="6"/>
      <c r="AF85" s="93" t="s">
        <v>46</v>
      </c>
    </row>
    <row r="86" spans="4:32">
      <c r="D86" s="155"/>
      <c r="W86" s="6"/>
      <c r="AF86" s="93" t="s">
        <v>47</v>
      </c>
    </row>
    <row r="87" spans="4:32">
      <c r="W87" s="6"/>
      <c r="AF87" s="93" t="s">
        <v>48</v>
      </c>
    </row>
    <row r="88" spans="4:32">
      <c r="W88" s="6"/>
      <c r="AF88" s="93" t="s">
        <v>49</v>
      </c>
    </row>
    <row r="89" spans="4:32">
      <c r="W89" s="6"/>
      <c r="AF89" s="93" t="s">
        <v>50</v>
      </c>
    </row>
    <row r="90" spans="4:32">
      <c r="W90" s="6"/>
      <c r="AF90" s="93" t="s">
        <v>51</v>
      </c>
    </row>
    <row r="91" spans="4:32">
      <c r="W91" s="6"/>
      <c r="AF91" s="93" t="s">
        <v>52</v>
      </c>
    </row>
    <row r="92" spans="4:32">
      <c r="W92" s="6"/>
      <c r="AF92" s="93" t="s">
        <v>53</v>
      </c>
    </row>
  </sheetData>
  <autoFilter ref="D1:D92" xr:uid="{EF5AD393-5A39-4C0E-A7B0-465235F2AB14}"/>
  <mergeCells count="135"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  <mergeCell ref="D69:E69"/>
    <mergeCell ref="Z69:AA69"/>
    <mergeCell ref="A70:A79"/>
    <mergeCell ref="S70:S79"/>
    <mergeCell ref="Z70:AA70"/>
    <mergeCell ref="D79:E79"/>
    <mergeCell ref="A59:A69"/>
    <mergeCell ref="S59:S69"/>
    <mergeCell ref="Z59:AA59"/>
    <mergeCell ref="AD59:AD69"/>
    <mergeCell ref="Z60:AA60"/>
    <mergeCell ref="Z61:AA61"/>
    <mergeCell ref="Z62:AA62"/>
    <mergeCell ref="Z63:AA63"/>
    <mergeCell ref="Z64:AA64"/>
    <mergeCell ref="Z65:AA65"/>
    <mergeCell ref="AD49:AD58"/>
    <mergeCell ref="Z50:AA50"/>
    <mergeCell ref="Z51:AA51"/>
    <mergeCell ref="Z52:AA52"/>
    <mergeCell ref="Z53:AA53"/>
    <mergeCell ref="Z54:AA54"/>
    <mergeCell ref="Z55:AA55"/>
    <mergeCell ref="Z56:AA56"/>
    <mergeCell ref="Z57:AA57"/>
    <mergeCell ref="Z58:AA58"/>
    <mergeCell ref="Z66:AA66"/>
    <mergeCell ref="Z67:AA67"/>
    <mergeCell ref="Z68:AA68"/>
    <mergeCell ref="D48:E48"/>
    <mergeCell ref="Z48:AA48"/>
    <mergeCell ref="A49:A58"/>
    <mergeCell ref="S49:S58"/>
    <mergeCell ref="Z49:AA49"/>
    <mergeCell ref="D58:E58"/>
    <mergeCell ref="A38:A48"/>
    <mergeCell ref="S38:S48"/>
    <mergeCell ref="Z38:AA38"/>
    <mergeCell ref="AD38:AD48"/>
    <mergeCell ref="Z39:AA39"/>
    <mergeCell ref="Z40:AA40"/>
    <mergeCell ref="Z41:AA41"/>
    <mergeCell ref="Z42:AA42"/>
    <mergeCell ref="Z43:AA43"/>
    <mergeCell ref="Z44:AA44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Z45:AA45"/>
    <mergeCell ref="Z46:AA46"/>
    <mergeCell ref="Z47:AA47"/>
    <mergeCell ref="D26:E26"/>
    <mergeCell ref="Z26:AA26"/>
    <mergeCell ref="A27:A37"/>
    <mergeCell ref="S27:S37"/>
    <mergeCell ref="Z27:AA27"/>
    <mergeCell ref="D37:E37"/>
    <mergeCell ref="Z37:AA37"/>
    <mergeCell ref="A16:A26"/>
    <mergeCell ref="S16:S26"/>
    <mergeCell ref="Z16:AA16"/>
    <mergeCell ref="AD16:AD26"/>
    <mergeCell ref="Z17:AA17"/>
    <mergeCell ref="Z18:AA18"/>
    <mergeCell ref="Z19:AA19"/>
    <mergeCell ref="Z20:AA20"/>
    <mergeCell ref="Z21:AA21"/>
    <mergeCell ref="Z22:AA22"/>
    <mergeCell ref="Z10:AA10"/>
    <mergeCell ref="Z11:AA11"/>
    <mergeCell ref="Z12:AA12"/>
    <mergeCell ref="Z13:AA13"/>
    <mergeCell ref="Z14:AA14"/>
    <mergeCell ref="Z23:AA23"/>
    <mergeCell ref="Z24:AA24"/>
    <mergeCell ref="Z25:AA25"/>
    <mergeCell ref="Z15:AA15"/>
    <mergeCell ref="S5:S15"/>
    <mergeCell ref="Z5:AA5"/>
    <mergeCell ref="AD5:AD15"/>
    <mergeCell ref="Z6:AA6"/>
    <mergeCell ref="Z7:AA7"/>
    <mergeCell ref="Z8:AA8"/>
    <mergeCell ref="Z9:AA9"/>
    <mergeCell ref="T3:U3"/>
    <mergeCell ref="V3:V4"/>
    <mergeCell ref="W3:W4"/>
    <mergeCell ref="X3:Y3"/>
    <mergeCell ref="Z3:AA4"/>
    <mergeCell ref="AB3:AB4"/>
    <mergeCell ref="S3:S4"/>
    <mergeCell ref="A2:B2"/>
    <mergeCell ref="A3:A4"/>
    <mergeCell ref="B3:B4"/>
    <mergeCell ref="D3:E4"/>
    <mergeCell ref="F3:F4"/>
    <mergeCell ref="G3:G4"/>
    <mergeCell ref="J1:L2"/>
    <mergeCell ref="M1:O2"/>
    <mergeCell ref="D15:E15"/>
    <mergeCell ref="A5:A15"/>
    <mergeCell ref="N3:N4"/>
    <mergeCell ref="O3:O4"/>
    <mergeCell ref="P1:S2"/>
    <mergeCell ref="T1:Y2"/>
    <mergeCell ref="Z1:AA2"/>
    <mergeCell ref="AB1:AD2"/>
    <mergeCell ref="H3:H4"/>
    <mergeCell ref="I3:I4"/>
    <mergeCell ref="J3:J4"/>
    <mergeCell ref="K3:K4"/>
    <mergeCell ref="L3:L4"/>
    <mergeCell ref="M3:M4"/>
    <mergeCell ref="AC3:AC4"/>
    <mergeCell ref="AD3:AD4"/>
    <mergeCell ref="P3:P4"/>
    <mergeCell ref="Q3:Q4"/>
    <mergeCell ref="R3:R4"/>
  </mergeCells>
  <phoneticPr fontId="2" type="noConversion"/>
  <conditionalFormatting sqref="P5:P79">
    <cfRule type="cellIs" dxfId="218" priority="1" operator="greaterThan">
      <formula>0</formula>
    </cfRule>
  </conditionalFormatting>
  <conditionalFormatting sqref="Q5:Q79 AB5:AB79">
    <cfRule type="cellIs" dxfId="217" priority="4" operator="lessThan">
      <formula>0</formula>
    </cfRule>
  </conditionalFormatting>
  <conditionalFormatting sqref="R5:R79 AC5:AC79">
    <cfRule type="cellIs" dxfId="216" priority="2" operator="greaterThan">
      <formula>1</formula>
    </cfRule>
    <cfRule type="cellIs" dxfId="215" priority="3" operator="lessThan">
      <formula>0.8</formula>
    </cfRule>
  </conditionalFormatting>
  <conditionalFormatting sqref="S5:S10 S37:S62 AD59:AD62 S69:S76 AD69:AD76">
    <cfRule type="cellIs" dxfId="214" priority="7" operator="lessThan">
      <formula>0.8</formula>
    </cfRule>
  </conditionalFormatting>
  <conditionalFormatting sqref="S19:S25 AD19:AD25">
    <cfRule type="cellIs" dxfId="213" priority="6" operator="lessThan">
      <formula>0.8</formula>
    </cfRule>
  </conditionalFormatting>
  <conditionalFormatting sqref="S79">
    <cfRule type="cellIs" dxfId="212" priority="5" operator="lessThan">
      <formula>0.8</formula>
    </cfRule>
  </conditionalFormatting>
  <conditionalFormatting sqref="AD5:AD8 S15:S16 AD15:AD16 AD49 AD79">
    <cfRule type="cellIs" dxfId="211" priority="9" operator="lessThan">
      <formula>0.8</formula>
    </cfRule>
  </conditionalFormatting>
  <conditionalFormatting sqref="AD27 S27:S28">
    <cfRule type="cellIs" dxfId="21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CFFC0CA-13F0-4A2F-83B8-EE270AC55182}">
          <x14:formula1>
            <xm:f>廠價表!$C$2:$C$37</xm:f>
          </x14:formula1>
          <xm:sqref>D1:D1048576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738EA-0172-4146-95A6-28E6AB111CFA}">
  <sheetPr>
    <pageSetUpPr fitToPage="1"/>
  </sheetPr>
  <dimension ref="B1:O22"/>
  <sheetViews>
    <sheetView zoomScale="70" zoomScaleNormal="70" workbookViewId="0">
      <selection activeCell="K19" sqref="K19"/>
    </sheetView>
  </sheetViews>
  <sheetFormatPr defaultColWidth="8.125" defaultRowHeight="15.75"/>
  <cols>
    <col min="1" max="1" width="8.125" style="203"/>
    <col min="2" max="2" width="7.125" style="203" customWidth="1"/>
    <col min="3" max="3" width="7.125" style="218" customWidth="1"/>
    <col min="4" max="17" width="14.125" style="203" customWidth="1"/>
    <col min="18" max="21" width="9.625" style="203" customWidth="1"/>
    <col min="22" max="22" width="11.125" style="203" customWidth="1"/>
    <col min="23" max="23" width="11.5" style="203" customWidth="1"/>
    <col min="24" max="16384" width="8.125" style="203"/>
  </cols>
  <sheetData>
    <row r="1" spans="2:15" ht="27.75" customHeight="1">
      <c r="B1" s="345" t="s">
        <v>73</v>
      </c>
      <c r="C1" s="345"/>
      <c r="D1" s="345"/>
      <c r="E1" s="345"/>
      <c r="F1" s="345"/>
      <c r="G1" s="345"/>
      <c r="H1" s="345"/>
      <c r="I1" s="345"/>
      <c r="J1" s="345"/>
      <c r="K1" s="345"/>
      <c r="L1" s="202"/>
      <c r="M1" s="202"/>
    </row>
    <row r="2" spans="2:15" ht="27.75" customHeight="1"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202"/>
      <c r="M2" s="202"/>
    </row>
    <row r="3" spans="2:15" ht="46.5" customHeight="1">
      <c r="B3" s="342" t="s">
        <v>74</v>
      </c>
      <c r="C3" s="342"/>
      <c r="D3" s="346">
        <v>45971</v>
      </c>
      <c r="E3" s="346"/>
      <c r="F3" s="204" t="s">
        <v>75</v>
      </c>
      <c r="G3" s="347">
        <f>'1110'!E1</f>
        <v>58992</v>
      </c>
      <c r="H3" s="347"/>
      <c r="I3" s="204" t="s">
        <v>76</v>
      </c>
      <c r="J3" s="348">
        <f>'1110'!G1</f>
        <v>2865586.2699999991</v>
      </c>
      <c r="K3" s="348"/>
      <c r="L3" s="205"/>
    </row>
    <row r="4" spans="2:15" ht="24" customHeight="1">
      <c r="B4" s="342" t="s">
        <v>77</v>
      </c>
      <c r="C4" s="342"/>
      <c r="D4" s="343">
        <v>3</v>
      </c>
      <c r="E4" s="343"/>
      <c r="F4" s="344" t="s">
        <v>78</v>
      </c>
      <c r="G4" s="344"/>
      <c r="H4" s="344" t="s">
        <v>79</v>
      </c>
      <c r="I4" s="344"/>
      <c r="J4" s="343" t="s">
        <v>80</v>
      </c>
      <c r="K4" s="344"/>
      <c r="L4" s="206"/>
    </row>
    <row r="5" spans="2:15" ht="24" customHeight="1">
      <c r="B5" s="342" t="s">
        <v>81</v>
      </c>
      <c r="C5" s="342"/>
      <c r="D5" s="343" t="s">
        <v>82</v>
      </c>
      <c r="E5" s="343"/>
      <c r="F5" s="343" t="s">
        <v>83</v>
      </c>
      <c r="G5" s="343"/>
      <c r="H5" s="369" t="s">
        <v>62</v>
      </c>
      <c r="I5" s="369"/>
      <c r="J5" s="341" t="s">
        <v>84</v>
      </c>
      <c r="K5" s="341"/>
      <c r="L5" s="207"/>
    </row>
    <row r="6" spans="2:15" ht="39.6" customHeight="1">
      <c r="B6" s="342"/>
      <c r="C6" s="342"/>
      <c r="D6" s="342" t="s">
        <v>85</v>
      </c>
      <c r="E6" s="342"/>
      <c r="F6" s="356">
        <f>AVERAGE(D13:J13)</f>
        <v>112.84723424007481</v>
      </c>
      <c r="G6" s="356"/>
      <c r="H6" s="349">
        <f>AVERAGE(D13:H13)</f>
        <v>110.36593562841242</v>
      </c>
      <c r="I6" s="349"/>
      <c r="J6" s="349">
        <f>AVERAGE(I13:J13)</f>
        <v>119.05048076923077</v>
      </c>
      <c r="K6" s="349"/>
      <c r="L6" s="207"/>
    </row>
    <row r="7" spans="2:15" s="208" customFormat="1" ht="39.6" customHeight="1">
      <c r="B7" s="342"/>
      <c r="C7" s="342"/>
      <c r="D7" s="350" t="s">
        <v>86</v>
      </c>
      <c r="E7" s="350"/>
      <c r="F7" s="351">
        <f>AVERAGE(D14:J14)</f>
        <v>101.80123643199036</v>
      </c>
      <c r="G7" s="351"/>
      <c r="H7" s="352">
        <f>AVERAGE(D14:H14)</f>
        <v>99.949764439711629</v>
      </c>
      <c r="I7" s="352"/>
      <c r="J7" s="352">
        <f>AVERAGE(I14:J14)</f>
        <v>106.42991641268715</v>
      </c>
      <c r="K7" s="352"/>
    </row>
    <row r="8" spans="2:15" s="208" customFormat="1" ht="39.6" customHeight="1">
      <c r="B8" s="342"/>
      <c r="C8" s="342"/>
      <c r="D8" s="350" t="s">
        <v>87</v>
      </c>
      <c r="E8" s="350"/>
      <c r="F8" s="353">
        <f>AVERAGE(D15:J15)</f>
        <v>0.89904158286782709</v>
      </c>
      <c r="G8" s="353"/>
      <c r="H8" s="353">
        <f>AVERAGE(D15:H15)</f>
        <v>0.90111556341056664</v>
      </c>
      <c r="I8" s="353"/>
      <c r="J8" s="353">
        <f>AVERAGE(I15:J15)</f>
        <v>0.89385663151097838</v>
      </c>
      <c r="K8" s="353"/>
      <c r="L8" s="209" t="s">
        <v>88</v>
      </c>
    </row>
    <row r="9" spans="2:15" ht="25.5" customHeight="1">
      <c r="B9" s="207"/>
      <c r="C9" s="207"/>
      <c r="D9" s="207"/>
      <c r="E9" s="207"/>
      <c r="F9" s="207"/>
      <c r="G9" s="207"/>
      <c r="H9" s="210"/>
      <c r="I9" s="211"/>
      <c r="J9" s="211"/>
      <c r="K9" s="211"/>
      <c r="L9" s="211"/>
      <c r="M9" s="211"/>
      <c r="N9" s="211"/>
      <c r="O9" s="207"/>
    </row>
    <row r="10" spans="2:15" ht="30" customHeight="1">
      <c r="B10" s="354" t="s">
        <v>0</v>
      </c>
      <c r="C10" s="355"/>
      <c r="D10" s="357" t="s">
        <v>89</v>
      </c>
      <c r="E10" s="358"/>
      <c r="F10" s="358"/>
      <c r="G10" s="358"/>
      <c r="H10" s="358"/>
      <c r="I10" s="358"/>
      <c r="J10" s="359"/>
    </row>
    <row r="11" spans="2:15" ht="17.25" customHeight="1">
      <c r="B11" s="360" t="s">
        <v>90</v>
      </c>
      <c r="C11" s="361"/>
      <c r="D11" s="212">
        <v>1</v>
      </c>
      <c r="E11" s="212">
        <v>2</v>
      </c>
      <c r="F11" s="212">
        <v>3</v>
      </c>
      <c r="G11" s="212">
        <v>4</v>
      </c>
      <c r="H11" s="212">
        <v>5</v>
      </c>
      <c r="I11" s="212">
        <v>6</v>
      </c>
      <c r="J11" s="212">
        <v>7</v>
      </c>
    </row>
    <row r="12" spans="2:15" ht="33.950000000000003" customHeight="1">
      <c r="B12" s="362"/>
      <c r="C12" s="363"/>
      <c r="D12" s="213" t="s">
        <v>91</v>
      </c>
      <c r="E12" s="213" t="s">
        <v>92</v>
      </c>
      <c r="F12" s="213" t="s">
        <v>93</v>
      </c>
      <c r="G12" s="213" t="s">
        <v>94</v>
      </c>
      <c r="H12" s="213" t="s">
        <v>95</v>
      </c>
      <c r="I12" s="213" t="s">
        <v>96</v>
      </c>
      <c r="J12" s="213" t="s">
        <v>97</v>
      </c>
    </row>
    <row r="13" spans="2:15" ht="39.950000000000003" customHeight="1">
      <c r="B13" s="364" t="s">
        <v>1</v>
      </c>
      <c r="C13" s="214" t="s">
        <v>98</v>
      </c>
      <c r="D13" s="215">
        <f>VALUE('1110'!L15)</f>
        <v>136.84126984126985</v>
      </c>
      <c r="E13" s="215">
        <f>VALUE('1110'!L26)</f>
        <v>148.75274725274727</v>
      </c>
      <c r="F13" s="215">
        <f>VALUE('1110'!L37)</f>
        <v>86.486928104575171</v>
      </c>
      <c r="G13" s="215">
        <f>VALUE('1110'!L48)</f>
        <v>93.033333333333331</v>
      </c>
      <c r="H13" s="215">
        <f>VALUE('1110'!L58)</f>
        <v>86.715399610136458</v>
      </c>
      <c r="I13" s="215">
        <f>VALUE('1110'!L69)</f>
        <v>125.40064102564102</v>
      </c>
      <c r="J13" s="215">
        <f>VALUE('1110'!L79)</f>
        <v>112.70032051282051</v>
      </c>
    </row>
    <row r="14" spans="2:15" ht="39.950000000000003" customHeight="1">
      <c r="B14" s="365"/>
      <c r="C14" s="214" t="s">
        <v>99</v>
      </c>
      <c r="D14" s="215">
        <f>VALUE('1110'!O15)</f>
        <v>125.91725172175434</v>
      </c>
      <c r="E14" s="215">
        <f>VALUE('1110'!O26)</f>
        <v>138.23227908599335</v>
      </c>
      <c r="F14" s="215">
        <f>VALUE('1110'!O37)</f>
        <v>72.035723670996532</v>
      </c>
      <c r="G14" s="215">
        <f>VALUE('1110'!O48)</f>
        <v>80.429800307219679</v>
      </c>
      <c r="H14" s="215">
        <f>VALUE('1110'!O58)</f>
        <v>83.133767412594253</v>
      </c>
      <c r="I14" s="215">
        <f>VALUE('1110'!O69)</f>
        <v>112.40328724305999</v>
      </c>
      <c r="J14" s="215">
        <f>VALUE('1110'!O79)</f>
        <v>100.45654558231431</v>
      </c>
    </row>
    <row r="15" spans="2:15" ht="39.950000000000003" customHeight="1">
      <c r="B15" s="366"/>
      <c r="C15" s="212" t="s">
        <v>100</v>
      </c>
      <c r="D15" s="233">
        <f>D14/D13</f>
        <v>0.92017014945720021</v>
      </c>
      <c r="E15" s="233">
        <f t="shared" ref="E15:J15" si="0">E14/E13</f>
        <v>0.92927546979096476</v>
      </c>
      <c r="F15" s="233">
        <f t="shared" si="0"/>
        <v>0.83290880193935146</v>
      </c>
      <c r="G15" s="233">
        <f t="shared" si="0"/>
        <v>0.86452669624385181</v>
      </c>
      <c r="H15" s="233">
        <f t="shared" si="0"/>
        <v>0.95869669962146453</v>
      </c>
      <c r="I15" s="233">
        <f t="shared" si="0"/>
        <v>0.89635337047500874</v>
      </c>
      <c r="J15" s="233">
        <f t="shared" si="0"/>
        <v>0.89135989254694814</v>
      </c>
    </row>
    <row r="16" spans="2:15" ht="17.25" customHeight="1">
      <c r="B16" s="367" t="s">
        <v>101</v>
      </c>
      <c r="C16" s="212" t="s">
        <v>102</v>
      </c>
      <c r="D16" s="95">
        <f>'1110'!T5</f>
        <v>0.2902777777777778</v>
      </c>
      <c r="E16" s="95">
        <f>'1110'!T16</f>
        <v>0.29097222222222224</v>
      </c>
      <c r="F16" s="95">
        <f>'1110'!T27</f>
        <v>0.2902777777777778</v>
      </c>
      <c r="G16" s="95">
        <f>'1110'!T38</f>
        <v>0.33263888888888887</v>
      </c>
      <c r="H16" s="95">
        <f>'1110'!T49</f>
        <v>0.29097222222222224</v>
      </c>
      <c r="I16" s="95">
        <f>'1110'!T59</f>
        <v>0.2902777777777778</v>
      </c>
      <c r="J16" s="272">
        <f>'1110'!T70</f>
        <v>0.33750000000000002</v>
      </c>
    </row>
    <row r="17" spans="2:10" ht="17.25" customHeight="1">
      <c r="B17" s="368"/>
      <c r="C17" s="212" t="s">
        <v>103</v>
      </c>
      <c r="D17" s="79">
        <v>0.62152777777777779</v>
      </c>
      <c r="E17" s="41">
        <v>0.63888888888888884</v>
      </c>
      <c r="F17" s="41">
        <v>0.64930555555555558</v>
      </c>
      <c r="G17" s="59">
        <v>0.59722222222222221</v>
      </c>
      <c r="H17" s="44">
        <v>0.625</v>
      </c>
      <c r="I17" s="20">
        <v>0.62152777777777779</v>
      </c>
      <c r="J17" s="20">
        <v>0.47916666666666669</v>
      </c>
    </row>
    <row r="18" spans="2:10" ht="17.25" customHeight="1">
      <c r="B18" s="354" t="s">
        <v>104</v>
      </c>
      <c r="C18" s="355"/>
      <c r="D18" s="216">
        <f>VALUE('1110'!M15)</f>
        <v>14.8</v>
      </c>
      <c r="E18" s="216">
        <f>VALUE('1110'!M26)</f>
        <v>13.6</v>
      </c>
      <c r="F18" s="216">
        <f>VALUE('1110'!M37)</f>
        <v>15.75</v>
      </c>
      <c r="G18" s="216">
        <f>VALUE('1110'!M48)</f>
        <v>15</v>
      </c>
      <c r="H18" s="216">
        <f>VALUE('1110'!M58)</f>
        <v>18.333333333333332</v>
      </c>
      <c r="I18" s="216">
        <f>VALUE('1110'!M69)</f>
        <v>12.5</v>
      </c>
      <c r="J18" s="216">
        <f>VALUE('1110'!M79)</f>
        <v>13.75</v>
      </c>
    </row>
    <row r="19" spans="2:10" ht="17.25" customHeight="1">
      <c r="B19" s="354" t="s">
        <v>105</v>
      </c>
      <c r="C19" s="355"/>
      <c r="D19" s="213" t="s">
        <v>106</v>
      </c>
      <c r="E19" s="213" t="s">
        <v>106</v>
      </c>
      <c r="F19" s="213" t="s">
        <v>107</v>
      </c>
      <c r="G19" s="213" t="s">
        <v>107</v>
      </c>
      <c r="H19" s="213" t="s">
        <v>107</v>
      </c>
      <c r="I19" s="213" t="s">
        <v>108</v>
      </c>
      <c r="J19" s="213" t="s">
        <v>107</v>
      </c>
    </row>
    <row r="20" spans="2:10" ht="17.25" customHeight="1">
      <c r="B20" s="354" t="s">
        <v>110</v>
      </c>
      <c r="C20" s="355"/>
      <c r="D20" s="213"/>
      <c r="E20" s="213"/>
      <c r="F20" s="213"/>
      <c r="G20" s="217"/>
      <c r="H20" s="213" t="s">
        <v>109</v>
      </c>
      <c r="I20" s="213"/>
      <c r="J20" s="213"/>
    </row>
    <row r="21" spans="2:10" ht="17.25" customHeight="1">
      <c r="B21" s="354" t="s">
        <v>111</v>
      </c>
      <c r="C21" s="355"/>
      <c r="D21" s="273"/>
      <c r="E21" s="273"/>
      <c r="F21" s="273"/>
      <c r="G21" s="273"/>
      <c r="H21" s="273"/>
      <c r="I21" s="273"/>
      <c r="J21" s="273"/>
    </row>
    <row r="22" spans="2:10">
      <c r="B22" s="370"/>
      <c r="C22" s="370"/>
    </row>
  </sheetData>
  <mergeCells count="37">
    <mergeCell ref="B20:C20"/>
    <mergeCell ref="B21:C21"/>
    <mergeCell ref="B22:C22"/>
    <mergeCell ref="D8:E8"/>
    <mergeCell ref="F8:G8"/>
    <mergeCell ref="H8:I8"/>
    <mergeCell ref="B18:C18"/>
    <mergeCell ref="B19:C19"/>
    <mergeCell ref="D6:E6"/>
    <mergeCell ref="F6:G6"/>
    <mergeCell ref="H6:I6"/>
    <mergeCell ref="D10:J10"/>
    <mergeCell ref="B11:C12"/>
    <mergeCell ref="B13:B15"/>
    <mergeCell ref="B16:B17"/>
    <mergeCell ref="B10:C10"/>
    <mergeCell ref="J8:K8"/>
    <mergeCell ref="B5:C8"/>
    <mergeCell ref="D5:E5"/>
    <mergeCell ref="F5:G5"/>
    <mergeCell ref="H5:I5"/>
    <mergeCell ref="J6:K6"/>
    <mergeCell ref="D7:E7"/>
    <mergeCell ref="F7:G7"/>
    <mergeCell ref="H7:I7"/>
    <mergeCell ref="J7:K7"/>
    <mergeCell ref="B1:K2"/>
    <mergeCell ref="B3:C3"/>
    <mergeCell ref="D3:E3"/>
    <mergeCell ref="G3:H3"/>
    <mergeCell ref="J3:K3"/>
    <mergeCell ref="J5:K5"/>
    <mergeCell ref="B4:C4"/>
    <mergeCell ref="D4:E4"/>
    <mergeCell ref="F4:G4"/>
    <mergeCell ref="H4:I4"/>
    <mergeCell ref="J4:K4"/>
  </mergeCells>
  <phoneticPr fontId="2" type="noConversion"/>
  <conditionalFormatting sqref="D15:J15">
    <cfRule type="cellIs" dxfId="209" priority="1" operator="lessThan">
      <formula>0.8</formula>
    </cfRule>
  </conditionalFormatting>
  <pageMargins left="0.7" right="0.7" top="0.75" bottom="0.75" header="0.3" footer="0.3"/>
  <pageSetup paperSize="8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663AC-D55C-4CDA-AD9D-412ED3EAD1E8}">
  <sheetPr>
    <tabColor theme="9" tint="0.79998168889431442"/>
    <pageSetUpPr fitToPage="1"/>
  </sheetPr>
  <dimension ref="A1:AF92"/>
  <sheetViews>
    <sheetView zoomScale="69" zoomScaleNormal="69" workbookViewId="0">
      <pane xSplit="5" ySplit="4" topLeftCell="G5" activePane="bottomRight" state="frozen"/>
      <selection activeCell="K19" sqref="K19"/>
      <selection pane="topRight" activeCell="K19" sqref="K19"/>
      <selection pane="bottomLeft" activeCell="K19" sqref="K19"/>
      <selection pane="bottomRight" activeCell="M40" sqref="M40"/>
    </sheetView>
  </sheetViews>
  <sheetFormatPr defaultColWidth="7.875" defaultRowHeight="15.75"/>
  <cols>
    <col min="1" max="1" width="15" style="6" customWidth="1"/>
    <col min="2" max="2" width="12.875" style="6" customWidth="1"/>
    <col min="3" max="3" width="12.875" style="6" hidden="1" customWidth="1"/>
    <col min="4" max="4" width="26.125" style="6" bestFit="1" customWidth="1"/>
    <col min="5" max="5" width="15" style="6" customWidth="1"/>
    <col min="6" max="6" width="8.875" style="6" bestFit="1" customWidth="1"/>
    <col min="7" max="7" width="20.125" style="6" bestFit="1" customWidth="1"/>
    <col min="8" max="8" width="16.375" style="6" bestFit="1" customWidth="1"/>
    <col min="9" max="9" width="10.875" style="6" bestFit="1" customWidth="1"/>
    <col min="10" max="10" width="10.125" style="6" bestFit="1" customWidth="1"/>
    <col min="11" max="11" width="10.625" style="6" customWidth="1"/>
    <col min="12" max="12" width="14.5" style="6" customWidth="1"/>
    <col min="13" max="13" width="10.125" style="6" bestFit="1" customWidth="1"/>
    <col min="14" max="14" width="10.25" style="6" bestFit="1" customWidth="1"/>
    <col min="15" max="15" width="11.875" style="6" customWidth="1"/>
    <col min="16" max="17" width="9.125" style="6" bestFit="1" customWidth="1"/>
    <col min="18" max="18" width="9.125" style="6" customWidth="1"/>
    <col min="19" max="19" width="8.375" style="6" customWidth="1"/>
    <col min="20" max="21" width="9.375" style="6" bestFit="1" customWidth="1"/>
    <col min="22" max="22" width="10.625" style="6" customWidth="1"/>
    <col min="23" max="23" width="8.625" style="92" customWidth="1"/>
    <col min="24" max="24" width="7.5" style="6" bestFit="1" customWidth="1"/>
    <col min="25" max="25" width="6.875" style="6" customWidth="1"/>
    <col min="26" max="26" width="12.625" style="6" customWidth="1"/>
    <col min="27" max="27" width="33.375" style="6" customWidth="1"/>
    <col min="28" max="28" width="13.125" style="6" bestFit="1" customWidth="1"/>
    <col min="29" max="29" width="10.375" style="6" customWidth="1"/>
    <col min="30" max="30" width="9.125" style="6" customWidth="1"/>
    <col min="31" max="31" width="7.875" style="6"/>
    <col min="32" max="32" width="24.5" style="6" bestFit="1" customWidth="1"/>
    <col min="33" max="16384" width="7.875" style="6"/>
  </cols>
  <sheetData>
    <row r="1" spans="1:30" ht="21">
      <c r="A1" s="2" t="s">
        <v>72</v>
      </c>
      <c r="B1" s="2"/>
      <c r="C1" s="2"/>
      <c r="D1" s="176" t="s">
        <v>8</v>
      </c>
      <c r="E1" s="3">
        <f>SUM(G5:G79)</f>
        <v>58992</v>
      </c>
      <c r="F1" s="177" t="s">
        <v>9</v>
      </c>
      <c r="G1" s="4">
        <f>SUM(H5:H79)</f>
        <v>2865586.2699999991</v>
      </c>
      <c r="H1" s="175" t="s">
        <v>10</v>
      </c>
      <c r="I1" s="5">
        <f>M15+M26+M48+M58+M69+M79+M37</f>
        <v>103.73333333333333</v>
      </c>
      <c r="J1" s="371" t="s">
        <v>11</v>
      </c>
      <c r="K1" s="371"/>
      <c r="L1" s="371"/>
      <c r="M1" s="371" t="s">
        <v>12</v>
      </c>
      <c r="N1" s="371"/>
      <c r="O1" s="371"/>
      <c r="P1" s="371" t="s">
        <v>13</v>
      </c>
      <c r="Q1" s="371"/>
      <c r="R1" s="371"/>
      <c r="S1" s="371"/>
      <c r="T1" s="371" t="s">
        <v>14</v>
      </c>
      <c r="U1" s="371"/>
      <c r="V1" s="371"/>
      <c r="W1" s="371"/>
      <c r="X1" s="371"/>
      <c r="Y1" s="371"/>
      <c r="Z1" s="371" t="s">
        <v>15</v>
      </c>
      <c r="AA1" s="371"/>
      <c r="AB1" s="371" t="s">
        <v>16</v>
      </c>
      <c r="AC1" s="372"/>
      <c r="AD1" s="372"/>
    </row>
    <row r="2" spans="1:30" ht="18.75">
      <c r="A2" s="409" t="s">
        <v>187</v>
      </c>
      <c r="B2" s="409"/>
      <c r="C2" s="176"/>
      <c r="D2" s="176" t="s">
        <v>1</v>
      </c>
      <c r="E2" s="7">
        <f>AVERAGE(O15,O26,O37,O48,O58,O69,O79)</f>
        <v>101.80123643199036</v>
      </c>
      <c r="F2" s="8" t="s">
        <v>2</v>
      </c>
      <c r="G2" s="9">
        <f>G1/E1</f>
        <v>48.575845368863561</v>
      </c>
      <c r="H2" s="175" t="s">
        <v>17</v>
      </c>
      <c r="I2" s="175">
        <f>COUNT(I5:I79)</f>
        <v>0</v>
      </c>
      <c r="J2" s="371"/>
      <c r="K2" s="371"/>
      <c r="L2" s="371"/>
      <c r="M2" s="371"/>
      <c r="N2" s="371"/>
      <c r="O2" s="371"/>
      <c r="P2" s="371"/>
      <c r="Q2" s="371"/>
      <c r="R2" s="371"/>
      <c r="S2" s="371"/>
      <c r="T2" s="371"/>
      <c r="U2" s="371"/>
      <c r="V2" s="371"/>
      <c r="W2" s="371"/>
      <c r="X2" s="371"/>
      <c r="Y2" s="371"/>
      <c r="Z2" s="371"/>
      <c r="AA2" s="371"/>
      <c r="AB2" s="372"/>
      <c r="AC2" s="372"/>
      <c r="AD2" s="372"/>
    </row>
    <row r="3" spans="1:30">
      <c r="A3" s="405" t="s">
        <v>18</v>
      </c>
      <c r="B3" s="405" t="s">
        <v>19</v>
      </c>
      <c r="C3" s="177"/>
      <c r="D3" s="405" t="s">
        <v>20</v>
      </c>
      <c r="E3" s="405"/>
      <c r="F3" s="379" t="s">
        <v>21</v>
      </c>
      <c r="G3" s="389" t="s">
        <v>22</v>
      </c>
      <c r="H3" s="379" t="s">
        <v>23</v>
      </c>
      <c r="I3" s="381" t="s">
        <v>24</v>
      </c>
      <c r="J3" s="383" t="s">
        <v>25</v>
      </c>
      <c r="K3" s="385" t="s">
        <v>26</v>
      </c>
      <c r="L3" s="387" t="s">
        <v>1</v>
      </c>
      <c r="M3" s="389" t="s">
        <v>25</v>
      </c>
      <c r="N3" s="385" t="s">
        <v>26</v>
      </c>
      <c r="O3" s="387" t="s">
        <v>1</v>
      </c>
      <c r="P3" s="383" t="s">
        <v>25</v>
      </c>
      <c r="Q3" s="387" t="s">
        <v>1</v>
      </c>
      <c r="R3" s="392" t="s">
        <v>27</v>
      </c>
      <c r="S3" s="394" t="s">
        <v>28</v>
      </c>
      <c r="T3" s="389" t="s">
        <v>4</v>
      </c>
      <c r="U3" s="389"/>
      <c r="V3" s="408" t="s">
        <v>29</v>
      </c>
      <c r="W3" s="381" t="s">
        <v>30</v>
      </c>
      <c r="X3" s="389" t="s">
        <v>31</v>
      </c>
      <c r="Y3" s="389"/>
      <c r="Z3" s="415" t="s">
        <v>71</v>
      </c>
      <c r="AA3" s="416"/>
      <c r="AB3" s="385" t="s">
        <v>26</v>
      </c>
      <c r="AC3" s="392" t="s">
        <v>27</v>
      </c>
      <c r="AD3" s="394" t="s">
        <v>28</v>
      </c>
    </row>
    <row r="4" spans="1:30" ht="16.5" thickBot="1">
      <c r="A4" s="379"/>
      <c r="B4" s="379"/>
      <c r="C4" s="178"/>
      <c r="D4" s="379"/>
      <c r="E4" s="379"/>
      <c r="F4" s="380"/>
      <c r="G4" s="390"/>
      <c r="H4" s="380"/>
      <c r="I4" s="382"/>
      <c r="J4" s="384"/>
      <c r="K4" s="386"/>
      <c r="L4" s="388"/>
      <c r="M4" s="390"/>
      <c r="N4" s="386"/>
      <c r="O4" s="388"/>
      <c r="P4" s="384"/>
      <c r="Q4" s="388"/>
      <c r="R4" s="393"/>
      <c r="S4" s="395"/>
      <c r="T4" s="179" t="s">
        <v>5</v>
      </c>
      <c r="U4" s="179" t="s">
        <v>6</v>
      </c>
      <c r="V4" s="390"/>
      <c r="W4" s="382"/>
      <c r="X4" s="178" t="s">
        <v>32</v>
      </c>
      <c r="Y4" s="178" t="s">
        <v>33</v>
      </c>
      <c r="Z4" s="417"/>
      <c r="AA4" s="417"/>
      <c r="AB4" s="386"/>
      <c r="AC4" s="393"/>
      <c r="AD4" s="395"/>
    </row>
    <row r="5" spans="1:30" ht="15" customHeight="1">
      <c r="A5" s="411" t="s">
        <v>66</v>
      </c>
      <c r="B5" s="199" t="str">
        <f>VLOOKUP(D5,廠價表!$C$1:$E$39,2,0)</f>
        <v>義大利麵</v>
      </c>
      <c r="C5" s="102"/>
      <c r="D5" s="103" t="s">
        <v>127</v>
      </c>
      <c r="E5" s="104"/>
      <c r="F5" s="199">
        <f>VLOOKUP(D5,廠價表!$C$1:$E$39,3,0)</f>
        <v>57.21</v>
      </c>
      <c r="G5" s="105">
        <v>1843</v>
      </c>
      <c r="H5" s="106">
        <f>F5*G5</f>
        <v>105438.03</v>
      </c>
      <c r="I5" s="107"/>
      <c r="J5" s="108">
        <v>14</v>
      </c>
      <c r="K5" s="105">
        <f>VLOOKUP(D5,產線配置圖!$A$2:$C$38,3,0)</f>
        <v>2105</v>
      </c>
      <c r="L5" s="109">
        <f>K5/J5</f>
        <v>150.35714285714286</v>
      </c>
      <c r="M5" s="110">
        <v>14</v>
      </c>
      <c r="N5" s="105">
        <f t="shared" ref="N5:N9" si="0">G5/W5*60</f>
        <v>1812.7868852459032</v>
      </c>
      <c r="O5" s="109">
        <f t="shared" ref="O5:O9" si="1">N5/M5</f>
        <v>129.48477751756451</v>
      </c>
      <c r="P5" s="111">
        <f t="shared" ref="P5:P9" si="2">M5-J5</f>
        <v>0</v>
      </c>
      <c r="Q5" s="112">
        <f t="shared" ref="Q5:Q9" si="3">O5-L5</f>
        <v>-20.872365339578351</v>
      </c>
      <c r="R5" s="184">
        <f t="shared" ref="R5:R9" si="4">O5/L5</f>
        <v>0.86118141816907512</v>
      </c>
      <c r="S5" s="396">
        <f>R15</f>
        <v>0.92017014945720021</v>
      </c>
      <c r="T5" s="94">
        <v>0.2902777777777778</v>
      </c>
      <c r="U5" s="94">
        <v>0.33263888888888887</v>
      </c>
      <c r="V5" s="194"/>
      <c r="W5" s="107">
        <f t="shared" ref="W5:W14" si="5">(U5-T5)*24*60</f>
        <v>60.999999999999943</v>
      </c>
      <c r="X5" s="188"/>
      <c r="Y5" s="188"/>
      <c r="Z5" s="400" t="s">
        <v>185</v>
      </c>
      <c r="AA5" s="400"/>
      <c r="AB5" s="111">
        <f>N5-K5</f>
        <v>-292.21311475409675</v>
      </c>
      <c r="AC5" s="184">
        <f>N5/K5</f>
        <v>0.86118141816907523</v>
      </c>
      <c r="AD5" s="401">
        <f>AC15</f>
        <v>0.92251477914629754</v>
      </c>
    </row>
    <row r="6" spans="1:30" ht="15" customHeight="1">
      <c r="A6" s="412"/>
      <c r="B6" s="56" t="str">
        <f>VLOOKUP(D6,廠價表!$C$1:$E$39,2,0)</f>
        <v>義大利麵</v>
      </c>
      <c r="C6" s="10"/>
      <c r="D6" s="11" t="s">
        <v>153</v>
      </c>
      <c r="E6" s="86"/>
      <c r="F6" s="56">
        <f>VLOOKUP(D6,廠價表!$C$1:$E$39,3,0)</f>
        <v>50.67</v>
      </c>
      <c r="G6" s="25">
        <v>972</v>
      </c>
      <c r="H6" s="15">
        <f t="shared" ref="H6:H14" si="6">F6*G6</f>
        <v>49251.240000000005</v>
      </c>
      <c r="I6" s="182"/>
      <c r="J6" s="16">
        <v>14</v>
      </c>
      <c r="K6" s="14">
        <f>VLOOKUP(D6,產線配置圖!$A$2:$C$38,3,0)</f>
        <v>2000</v>
      </c>
      <c r="L6" s="17">
        <f>K6/J6</f>
        <v>142.85714285714286</v>
      </c>
      <c r="M6" s="180">
        <v>14</v>
      </c>
      <c r="N6" s="14">
        <f t="shared" si="0"/>
        <v>1666.2857142857163</v>
      </c>
      <c r="O6" s="17">
        <f t="shared" si="1"/>
        <v>119.02040816326544</v>
      </c>
      <c r="P6" s="18">
        <f t="shared" si="2"/>
        <v>0</v>
      </c>
      <c r="Q6" s="19">
        <f t="shared" si="3"/>
        <v>-23.836734693877418</v>
      </c>
      <c r="R6" s="185">
        <f t="shared" si="4"/>
        <v>0.83314285714285807</v>
      </c>
      <c r="S6" s="397"/>
      <c r="T6" s="95">
        <v>0.33888888888888891</v>
      </c>
      <c r="U6" s="95">
        <v>0.36319444444444443</v>
      </c>
      <c r="V6" s="177">
        <f>(T6-U5)*24*60</f>
        <v>9.000000000000048</v>
      </c>
      <c r="W6" s="182">
        <f t="shared" si="5"/>
        <v>34.999999999999957</v>
      </c>
      <c r="X6" s="22"/>
      <c r="Y6" s="22"/>
      <c r="Z6" s="381"/>
      <c r="AA6" s="381"/>
      <c r="AB6" s="18">
        <f>N6-K6</f>
        <v>-333.71428571428373</v>
      </c>
      <c r="AC6" s="185">
        <f>N6/K6</f>
        <v>0.83314285714285818</v>
      </c>
      <c r="AD6" s="402"/>
    </row>
    <row r="7" spans="1:30" ht="15" customHeight="1">
      <c r="A7" s="412"/>
      <c r="B7" s="56" t="str">
        <f>VLOOKUP(D7,廠價表!$C$1:$E$39,2,0)</f>
        <v>義大利麵</v>
      </c>
      <c r="C7" s="10"/>
      <c r="D7" s="11" t="s">
        <v>139</v>
      </c>
      <c r="E7" s="86"/>
      <c r="F7" s="56">
        <f>VLOOKUP(D7,廠價表!$C$1:$E$39,3,0)</f>
        <v>57.21</v>
      </c>
      <c r="G7" s="25">
        <v>2404</v>
      </c>
      <c r="H7" s="15">
        <f t="shared" si="6"/>
        <v>137532.84</v>
      </c>
      <c r="I7" s="182"/>
      <c r="J7" s="16">
        <v>18</v>
      </c>
      <c r="K7" s="14">
        <f>VLOOKUP(D7,產線配置圖!$A$2:$C$38,3,0)</f>
        <v>1895</v>
      </c>
      <c r="L7" s="17">
        <f>K7/J7</f>
        <v>105.27777777777777</v>
      </c>
      <c r="M7" s="180">
        <v>18</v>
      </c>
      <c r="N7" s="14">
        <f t="shared" si="0"/>
        <v>1849.2307692307704</v>
      </c>
      <c r="O7" s="17">
        <f t="shared" si="1"/>
        <v>102.7350427350428</v>
      </c>
      <c r="P7" s="18">
        <f t="shared" si="2"/>
        <v>0</v>
      </c>
      <c r="Q7" s="19">
        <f t="shared" si="3"/>
        <v>-2.5427350427349751</v>
      </c>
      <c r="R7" s="185">
        <f t="shared" si="4"/>
        <v>0.97584737162573643</v>
      </c>
      <c r="S7" s="397"/>
      <c r="T7" s="95">
        <v>0.37013888888888891</v>
      </c>
      <c r="U7" s="95">
        <v>0.42430555555555555</v>
      </c>
      <c r="V7" s="177">
        <f>(T7-U6)*24*60</f>
        <v>10.000000000000044</v>
      </c>
      <c r="W7" s="182">
        <f t="shared" si="5"/>
        <v>77.999999999999957</v>
      </c>
      <c r="X7" s="22"/>
      <c r="Y7" s="22"/>
      <c r="Z7" s="405"/>
      <c r="AA7" s="405"/>
      <c r="AB7" s="18">
        <f>N7-K7</f>
        <v>-45.76923076922958</v>
      </c>
      <c r="AC7" s="185">
        <f>N7/K7</f>
        <v>0.97584737162573632</v>
      </c>
      <c r="AD7" s="402"/>
    </row>
    <row r="8" spans="1:30" ht="15" customHeight="1">
      <c r="A8" s="412"/>
      <c r="B8" s="56" t="str">
        <f>VLOOKUP(D8,廠價表!$C$1:$E$39,2,0)</f>
        <v>義大利麵</v>
      </c>
      <c r="C8" s="10"/>
      <c r="D8" s="11" t="s">
        <v>141</v>
      </c>
      <c r="E8" s="86"/>
      <c r="F8" s="56">
        <f>VLOOKUP(D8,廠價表!$C$1:$E$39,3,0)</f>
        <v>49.14</v>
      </c>
      <c r="G8" s="25">
        <v>2383</v>
      </c>
      <c r="H8" s="15">
        <f t="shared" si="6"/>
        <v>117100.62</v>
      </c>
      <c r="I8" s="182"/>
      <c r="J8" s="16">
        <v>14</v>
      </c>
      <c r="K8" s="14">
        <f>VLOOKUP(D8,產線配置圖!$A$2:$C$38,3,0)</f>
        <v>2000</v>
      </c>
      <c r="L8" s="17">
        <f t="shared" ref="L8:L9" si="7">K8/J8</f>
        <v>142.85714285714286</v>
      </c>
      <c r="M8" s="180">
        <v>14</v>
      </c>
      <c r="N8" s="14">
        <f t="shared" si="0"/>
        <v>1958.6301369863015</v>
      </c>
      <c r="O8" s="17">
        <f t="shared" si="1"/>
        <v>139.90215264187867</v>
      </c>
      <c r="P8" s="18">
        <f t="shared" si="2"/>
        <v>0</v>
      </c>
      <c r="Q8" s="19">
        <f t="shared" si="3"/>
        <v>-2.9549902152641891</v>
      </c>
      <c r="R8" s="185">
        <f t="shared" si="4"/>
        <v>0.97931506849315064</v>
      </c>
      <c r="S8" s="397"/>
      <c r="T8" s="20">
        <v>0.43125000000000002</v>
      </c>
      <c r="U8" s="20">
        <v>0.48194444444444445</v>
      </c>
      <c r="V8" s="177">
        <f>(T8-U7)*24*60</f>
        <v>10.000000000000044</v>
      </c>
      <c r="W8" s="182">
        <f t="shared" si="5"/>
        <v>72.999999999999986</v>
      </c>
      <c r="X8" s="22"/>
      <c r="Y8" s="22"/>
      <c r="Z8" s="406"/>
      <c r="AA8" s="406"/>
      <c r="AB8" s="18">
        <f>N8-K8</f>
        <v>-41.369863013698478</v>
      </c>
      <c r="AC8" s="185">
        <f>N8/K8</f>
        <v>0.97931506849315075</v>
      </c>
      <c r="AD8" s="402"/>
    </row>
    <row r="9" spans="1:30" ht="15" customHeight="1">
      <c r="A9" s="413"/>
      <c r="B9" s="56" t="str">
        <f>VLOOKUP(D9,廠價表!$C$1:$E$39,2,0)</f>
        <v>義大利麵</v>
      </c>
      <c r="C9" s="10"/>
      <c r="D9" s="11" t="s">
        <v>141</v>
      </c>
      <c r="E9" s="86"/>
      <c r="F9" s="56">
        <f>VLOOKUP(D9,廠價表!$C$1:$E$39,3,0)</f>
        <v>49.14</v>
      </c>
      <c r="G9" s="25">
        <v>3618</v>
      </c>
      <c r="H9" s="15">
        <f t="shared" si="6"/>
        <v>177788.52</v>
      </c>
      <c r="I9" s="182"/>
      <c r="J9" s="16">
        <v>14</v>
      </c>
      <c r="K9" s="14">
        <f>VLOOKUP(D9,產線配置圖!$A$2:$C$38,3,0)</f>
        <v>2000</v>
      </c>
      <c r="L9" s="17">
        <f t="shared" si="7"/>
        <v>142.85714285714286</v>
      </c>
      <c r="M9" s="180">
        <v>14</v>
      </c>
      <c r="N9" s="14">
        <f t="shared" si="0"/>
        <v>1938.2142857142842</v>
      </c>
      <c r="O9" s="17">
        <f t="shared" si="1"/>
        <v>138.44387755102031</v>
      </c>
      <c r="P9" s="18">
        <f t="shared" si="2"/>
        <v>0</v>
      </c>
      <c r="Q9" s="19">
        <f t="shared" si="3"/>
        <v>-4.413265306122554</v>
      </c>
      <c r="R9" s="185">
        <f t="shared" si="4"/>
        <v>0.96910714285714217</v>
      </c>
      <c r="S9" s="398"/>
      <c r="T9" s="79">
        <v>0.54374999999999996</v>
      </c>
      <c r="U9" s="79">
        <v>0.62152777777777779</v>
      </c>
      <c r="V9" s="177">
        <f>(T9-U8)*24*60</f>
        <v>88.999999999999929</v>
      </c>
      <c r="W9" s="24">
        <f t="shared" si="5"/>
        <v>112.00000000000009</v>
      </c>
      <c r="X9" s="22">
        <v>0.5</v>
      </c>
      <c r="Y9" s="263">
        <v>0.54166666666666663</v>
      </c>
      <c r="Z9" s="407"/>
      <c r="AA9" s="407"/>
      <c r="AB9" s="18"/>
      <c r="AC9" s="185"/>
      <c r="AD9" s="403"/>
    </row>
    <row r="10" spans="1:30" ht="15" customHeight="1">
      <c r="A10" s="413"/>
      <c r="B10" s="56"/>
      <c r="C10" s="23"/>
      <c r="D10" s="11"/>
      <c r="E10" s="12"/>
      <c r="F10" s="56"/>
      <c r="G10" s="25"/>
      <c r="H10" s="15"/>
      <c r="I10" s="182"/>
      <c r="J10" s="16"/>
      <c r="K10" s="14"/>
      <c r="L10" s="17"/>
      <c r="M10" s="180"/>
      <c r="N10" s="14"/>
      <c r="O10" s="17"/>
      <c r="P10" s="18"/>
      <c r="Q10" s="19"/>
      <c r="R10" s="185"/>
      <c r="S10" s="398"/>
      <c r="T10" s="20"/>
      <c r="U10" s="20"/>
      <c r="V10" s="177"/>
      <c r="W10" s="182">
        <f t="shared" si="5"/>
        <v>0</v>
      </c>
      <c r="X10" s="22"/>
      <c r="Y10" s="263"/>
      <c r="Z10" s="419"/>
      <c r="AA10" s="418"/>
      <c r="AB10" s="264"/>
      <c r="AC10" s="185"/>
      <c r="AD10" s="403"/>
    </row>
    <row r="11" spans="1:30" ht="15" customHeight="1">
      <c r="A11" s="413"/>
      <c r="B11" s="56"/>
      <c r="C11" s="183"/>
      <c r="D11" s="11"/>
      <c r="E11" s="12"/>
      <c r="F11" s="56"/>
      <c r="G11" s="25"/>
      <c r="H11" s="15">
        <f t="shared" si="6"/>
        <v>0</v>
      </c>
      <c r="I11" s="182"/>
      <c r="J11" s="16"/>
      <c r="K11" s="14"/>
      <c r="L11" s="17"/>
      <c r="M11" s="180"/>
      <c r="N11" s="14"/>
      <c r="O11" s="17"/>
      <c r="P11" s="18"/>
      <c r="Q11" s="19"/>
      <c r="R11" s="185"/>
      <c r="S11" s="398"/>
      <c r="T11" s="20"/>
      <c r="U11" s="20"/>
      <c r="V11" s="177"/>
      <c r="W11" s="24">
        <f t="shared" si="5"/>
        <v>0</v>
      </c>
      <c r="X11" s="22"/>
      <c r="Y11" s="263"/>
      <c r="Z11" s="419"/>
      <c r="AA11" s="418"/>
      <c r="AB11" s="264"/>
      <c r="AC11" s="185"/>
      <c r="AD11" s="403"/>
    </row>
    <row r="12" spans="1:30" ht="15" customHeight="1">
      <c r="A12" s="413"/>
      <c r="B12" s="26"/>
      <c r="C12" s="27"/>
      <c r="D12" s="28"/>
      <c r="E12" s="29"/>
      <c r="F12" s="13"/>
      <c r="G12" s="30"/>
      <c r="H12" s="15">
        <f t="shared" si="6"/>
        <v>0</v>
      </c>
      <c r="I12" s="178"/>
      <c r="J12" s="31"/>
      <c r="K12" s="30"/>
      <c r="L12" s="17"/>
      <c r="M12" s="181"/>
      <c r="N12" s="25"/>
      <c r="O12" s="17"/>
      <c r="P12" s="18"/>
      <c r="Q12" s="19"/>
      <c r="R12" s="185"/>
      <c r="S12" s="398"/>
      <c r="T12" s="32"/>
      <c r="U12" s="32"/>
      <c r="V12" s="178"/>
      <c r="W12" s="24">
        <f t="shared" si="5"/>
        <v>0</v>
      </c>
      <c r="X12" s="33"/>
      <c r="Y12" s="33"/>
      <c r="Z12" s="407"/>
      <c r="AA12" s="407"/>
      <c r="AB12" s="34"/>
      <c r="AC12" s="186"/>
      <c r="AD12" s="403"/>
    </row>
    <row r="13" spans="1:30" ht="15" customHeight="1">
      <c r="A13" s="413"/>
      <c r="B13" s="56"/>
      <c r="C13" s="10"/>
      <c r="D13" s="11"/>
      <c r="E13" s="86"/>
      <c r="F13" s="56"/>
      <c r="G13" s="25"/>
      <c r="H13" s="15"/>
      <c r="I13" s="182"/>
      <c r="J13" s="16"/>
      <c r="K13" s="14"/>
      <c r="L13" s="17"/>
      <c r="M13" s="180"/>
      <c r="N13" s="14"/>
      <c r="O13" s="17"/>
      <c r="P13" s="18"/>
      <c r="Q13" s="19"/>
      <c r="R13" s="185"/>
      <c r="S13" s="479"/>
      <c r="T13" s="309"/>
      <c r="U13" s="309"/>
      <c r="V13" s="26"/>
      <c r="W13" s="24">
        <f t="shared" si="5"/>
        <v>0</v>
      </c>
      <c r="X13" s="33"/>
      <c r="Y13" s="33"/>
      <c r="Z13" s="419"/>
      <c r="AA13" s="418"/>
      <c r="AB13" s="34"/>
      <c r="AC13" s="186"/>
      <c r="AD13" s="403"/>
    </row>
    <row r="14" spans="1:30" ht="15" customHeight="1">
      <c r="A14" s="413"/>
      <c r="B14" s="26"/>
      <c r="C14" s="27"/>
      <c r="D14" s="28"/>
      <c r="E14" s="29"/>
      <c r="F14" s="13"/>
      <c r="G14" s="30"/>
      <c r="H14" s="15">
        <f t="shared" si="6"/>
        <v>0</v>
      </c>
      <c r="I14" s="178"/>
      <c r="J14" s="31"/>
      <c r="K14" s="30"/>
      <c r="L14" s="17"/>
      <c r="M14" s="181"/>
      <c r="N14" s="25"/>
      <c r="O14" s="17"/>
      <c r="P14" s="18"/>
      <c r="Q14" s="19"/>
      <c r="R14" s="185"/>
      <c r="S14" s="398"/>
      <c r="T14" s="308"/>
      <c r="U14" s="308"/>
      <c r="V14" s="178"/>
      <c r="W14" s="24">
        <f t="shared" si="5"/>
        <v>0</v>
      </c>
      <c r="X14" s="33"/>
      <c r="Y14" s="33"/>
      <c r="Z14" s="419"/>
      <c r="AA14" s="418"/>
      <c r="AB14" s="34"/>
      <c r="AC14" s="186"/>
      <c r="AD14" s="403"/>
    </row>
    <row r="15" spans="1:30" ht="15" customHeight="1" thickBot="1">
      <c r="A15" s="414"/>
      <c r="B15" s="113"/>
      <c r="C15" s="113" t="s">
        <v>34</v>
      </c>
      <c r="D15" s="410" t="s">
        <v>7</v>
      </c>
      <c r="E15" s="410"/>
      <c r="F15" s="114"/>
      <c r="G15" s="115"/>
      <c r="H15" s="116"/>
      <c r="I15" s="117"/>
      <c r="J15" s="118">
        <f t="shared" ref="J15:O15" si="8">AVERAGE(J5:J14)</f>
        <v>14.8</v>
      </c>
      <c r="K15" s="118">
        <f t="shared" si="8"/>
        <v>2000</v>
      </c>
      <c r="L15" s="115">
        <f t="shared" si="8"/>
        <v>136.84126984126985</v>
      </c>
      <c r="M15" s="118">
        <f t="shared" si="8"/>
        <v>14.8</v>
      </c>
      <c r="N15" s="118">
        <f t="shared" si="8"/>
        <v>1845.0295582925951</v>
      </c>
      <c r="O15" s="115">
        <f t="shared" si="8"/>
        <v>125.91725172175434</v>
      </c>
      <c r="P15" s="119">
        <f t="shared" ref="P15:P16" si="9">M15-J15</f>
        <v>0</v>
      </c>
      <c r="Q15" s="120">
        <f t="shared" ref="Q15:Q16" si="10">O15-L15</f>
        <v>-10.924018119515509</v>
      </c>
      <c r="R15" s="121">
        <f t="shared" ref="R15:R16" si="11">O15/L15</f>
        <v>0.92017014945720021</v>
      </c>
      <c r="S15" s="399"/>
      <c r="T15" s="122"/>
      <c r="U15" s="122"/>
      <c r="V15" s="195"/>
      <c r="W15" s="123"/>
      <c r="X15" s="124"/>
      <c r="Y15" s="124"/>
      <c r="Z15" s="391"/>
      <c r="AA15" s="391"/>
      <c r="AB15" s="119">
        <f>N15-K15</f>
        <v>-154.97044170740492</v>
      </c>
      <c r="AC15" s="187">
        <f>N15/K15</f>
        <v>0.92251477914629754</v>
      </c>
      <c r="AD15" s="404"/>
    </row>
    <row r="16" spans="1:30" ht="15" customHeight="1">
      <c r="A16" s="431" t="s">
        <v>67</v>
      </c>
      <c r="B16" s="199" t="s">
        <v>134</v>
      </c>
      <c r="C16" s="102"/>
      <c r="D16" s="103" t="s">
        <v>127</v>
      </c>
      <c r="E16" s="104"/>
      <c r="F16" s="199">
        <f>VLOOKUP(D16,廠價表!$C$1:$E$39,3,0)</f>
        <v>57.21</v>
      </c>
      <c r="G16" s="265">
        <v>1679</v>
      </c>
      <c r="H16" s="125">
        <f t="shared" ref="H16:H25" si="12">F16*G16</f>
        <v>96055.59</v>
      </c>
      <c r="I16" s="126"/>
      <c r="J16" s="108">
        <v>14</v>
      </c>
      <c r="K16" s="105">
        <f>VLOOKUP(D16,產線配置圖!$A$2:$C$38,3,0)</f>
        <v>2105</v>
      </c>
      <c r="L16" s="109">
        <f>K16/J16</f>
        <v>150.35714285714286</v>
      </c>
      <c r="M16" s="267">
        <v>14</v>
      </c>
      <c r="N16" s="127">
        <f>G16/W16*60</f>
        <v>1865.5555555555566</v>
      </c>
      <c r="O16" s="128">
        <f>N16/M16</f>
        <v>133.25396825396834</v>
      </c>
      <c r="P16" s="129">
        <f t="shared" si="9"/>
        <v>0</v>
      </c>
      <c r="Q16" s="130">
        <f t="shared" si="10"/>
        <v>-17.103174603174523</v>
      </c>
      <c r="R16" s="189">
        <f t="shared" si="11"/>
        <v>0.88624967009765165</v>
      </c>
      <c r="S16" s="424">
        <f>R26</f>
        <v>0.92927546979096476</v>
      </c>
      <c r="T16" s="268">
        <v>0.29097222222222224</v>
      </c>
      <c r="U16" s="268">
        <v>0.32847222222222222</v>
      </c>
      <c r="V16" s="126"/>
      <c r="W16" s="131">
        <f t="shared" ref="W16:W68" si="13">(U16-T16)*24*60</f>
        <v>53.999999999999972</v>
      </c>
      <c r="X16" s="128"/>
      <c r="Y16" s="128"/>
      <c r="Z16" s="400"/>
      <c r="AA16" s="400"/>
      <c r="AB16" s="111">
        <f>N16-K16</f>
        <v>-239.44444444444343</v>
      </c>
      <c r="AC16" s="184">
        <f>N16/K16</f>
        <v>0.88624967009765154</v>
      </c>
      <c r="AD16" s="401">
        <f>AC26</f>
        <v>0.92828010650078918</v>
      </c>
    </row>
    <row r="17" spans="1:30" ht="15" customHeight="1">
      <c r="A17" s="432"/>
      <c r="B17" s="56" t="s">
        <v>62</v>
      </c>
      <c r="C17" s="10"/>
      <c r="D17" s="11" t="s">
        <v>153</v>
      </c>
      <c r="E17" s="86"/>
      <c r="F17" s="56">
        <f>VLOOKUP(D17,廠價表!$C$1:$E$39,3,0)</f>
        <v>50.67</v>
      </c>
      <c r="G17" s="96">
        <v>2227</v>
      </c>
      <c r="H17" s="15">
        <f>F17*G17</f>
        <v>112842.09000000001</v>
      </c>
      <c r="I17" s="177"/>
      <c r="J17" s="16">
        <v>14</v>
      </c>
      <c r="K17" s="14">
        <f>VLOOKUP(D17,產線配置圖!$A$2:$C$38,3,0)</f>
        <v>2000</v>
      </c>
      <c r="L17" s="17">
        <f>K17/J17</f>
        <v>142.85714285714286</v>
      </c>
      <c r="M17" s="37">
        <v>14</v>
      </c>
      <c r="N17" s="36">
        <f>G17/W17*60</f>
        <v>1908.8571428571431</v>
      </c>
      <c r="O17" s="38">
        <f>N17/M17</f>
        <v>136.34693877551021</v>
      </c>
      <c r="P17" s="39">
        <f>M17-J17</f>
        <v>0</v>
      </c>
      <c r="Q17" s="40">
        <f>O17-L17</f>
        <v>-6.5102040816326507</v>
      </c>
      <c r="R17" s="190">
        <f>O17/L17</f>
        <v>0.9544285714285714</v>
      </c>
      <c r="S17" s="425"/>
      <c r="T17" s="41">
        <v>0.33680555555555558</v>
      </c>
      <c r="U17" s="41">
        <v>0.38541666666666669</v>
      </c>
      <c r="V17" s="177">
        <f>(T17-U16)*24*60</f>
        <v>12.000000000000037</v>
      </c>
      <c r="W17" s="43">
        <f t="shared" si="13"/>
        <v>69.999999999999986</v>
      </c>
      <c r="X17" s="44"/>
      <c r="Y17" s="44"/>
      <c r="Z17" s="381"/>
      <c r="AA17" s="381"/>
      <c r="AB17" s="18">
        <f>N17-K17</f>
        <v>-91.142857142856883</v>
      </c>
      <c r="AC17" s="185">
        <f>N17/K17</f>
        <v>0.95442857142857151</v>
      </c>
      <c r="AD17" s="402"/>
    </row>
    <row r="18" spans="1:30" ht="15" customHeight="1">
      <c r="A18" s="432"/>
      <c r="B18" s="56" t="s">
        <v>62</v>
      </c>
      <c r="C18" s="10"/>
      <c r="D18" s="11" t="s">
        <v>131</v>
      </c>
      <c r="E18" s="86"/>
      <c r="F18" s="56">
        <f>VLOOKUP(D18,廠價表!$C$1:$E$39,3,0)</f>
        <v>50.39</v>
      </c>
      <c r="G18" s="96">
        <v>4021</v>
      </c>
      <c r="H18" s="15">
        <f>F18*G18</f>
        <v>202618.19</v>
      </c>
      <c r="I18" s="177"/>
      <c r="J18" s="16">
        <v>13</v>
      </c>
      <c r="K18" s="14">
        <f>VLOOKUP(D18,產線配置圖!$A$2:$C$38,3,0)</f>
        <v>2000</v>
      </c>
      <c r="L18" s="17">
        <f>K18/J18</f>
        <v>153.84615384615384</v>
      </c>
      <c r="M18" s="37">
        <v>13</v>
      </c>
      <c r="N18" s="36">
        <f>G18/W18*60</f>
        <v>1930.0799999999995</v>
      </c>
      <c r="O18" s="38">
        <f>N18/M18</f>
        <v>148.46769230769226</v>
      </c>
      <c r="P18" s="39">
        <f>M18-J18</f>
        <v>0</v>
      </c>
      <c r="Q18" s="40">
        <f>O18-L18</f>
        <v>-5.378461538461579</v>
      </c>
      <c r="R18" s="190">
        <f>O18/L18</f>
        <v>0.96503999999999979</v>
      </c>
      <c r="S18" s="425"/>
      <c r="T18" s="41">
        <v>0.3923611111111111</v>
      </c>
      <c r="U18" s="41">
        <v>0.47916666666666669</v>
      </c>
      <c r="V18" s="177">
        <f>(T18-U17)*24*60</f>
        <v>9.9999999999999645</v>
      </c>
      <c r="W18" s="43">
        <f t="shared" si="13"/>
        <v>125.00000000000003</v>
      </c>
      <c r="X18" s="22"/>
      <c r="Y18" s="22"/>
      <c r="Z18" s="418"/>
      <c r="AA18" s="405"/>
      <c r="AB18" s="18">
        <f>N18-K18</f>
        <v>-69.920000000000528</v>
      </c>
      <c r="AC18" s="185">
        <f>N18/K18</f>
        <v>0.96503999999999979</v>
      </c>
      <c r="AD18" s="402"/>
    </row>
    <row r="19" spans="1:30" ht="15" customHeight="1">
      <c r="A19" s="432"/>
      <c r="B19" s="56" t="s">
        <v>62</v>
      </c>
      <c r="C19" s="23"/>
      <c r="D19" s="11" t="s">
        <v>131</v>
      </c>
      <c r="E19" s="12"/>
      <c r="F19" s="56">
        <f>VLOOKUP(D19,廠價表!$C$1:$E$39,3,0)</f>
        <v>50.39</v>
      </c>
      <c r="G19" s="96">
        <v>1726</v>
      </c>
      <c r="H19" s="15">
        <f t="shared" ref="H19" si="14">F19*G19</f>
        <v>86973.14</v>
      </c>
      <c r="I19" s="177"/>
      <c r="J19" s="16">
        <v>13</v>
      </c>
      <c r="K19" s="14">
        <f>VLOOKUP(D19,產線配置圖!$A$2:$C$38,3,0)</f>
        <v>2000</v>
      </c>
      <c r="L19" s="17">
        <f t="shared" ref="L19" si="15">K19/J19</f>
        <v>153.84615384615384</v>
      </c>
      <c r="M19" s="37">
        <v>13</v>
      </c>
      <c r="N19" s="36">
        <f>G19/W19*60</f>
        <v>1917.7777777777733</v>
      </c>
      <c r="O19" s="38">
        <f>N19/M19</f>
        <v>147.52136752136718</v>
      </c>
      <c r="P19" s="39">
        <f>M19-J19</f>
        <v>0</v>
      </c>
      <c r="Q19" s="40">
        <f>O19-L19</f>
        <v>-6.3247863247866576</v>
      </c>
      <c r="R19" s="190">
        <f>O19/L19</f>
        <v>0.95888888888888668</v>
      </c>
      <c r="S19" s="425"/>
      <c r="T19" s="41">
        <v>0.54513888888888884</v>
      </c>
      <c r="U19" s="41">
        <v>0.58263888888888893</v>
      </c>
      <c r="V19" s="177">
        <f>(T19-U18)*24*60</f>
        <v>94.999999999999901</v>
      </c>
      <c r="W19" s="43">
        <f t="shared" si="13"/>
        <v>54.000000000000128</v>
      </c>
      <c r="X19" s="22">
        <v>0.5</v>
      </c>
      <c r="Y19" s="263">
        <v>0.54166666666666663</v>
      </c>
      <c r="Z19" s="407"/>
      <c r="AA19" s="407"/>
      <c r="AB19" s="18">
        <f>N19-K19</f>
        <v>-82.222222222226719</v>
      </c>
      <c r="AC19" s="185">
        <f>N19/K19</f>
        <v>0.95888888888888668</v>
      </c>
      <c r="AD19" s="403"/>
    </row>
    <row r="20" spans="1:30" ht="15" customHeight="1">
      <c r="A20" s="432"/>
      <c r="B20" s="56" t="s">
        <v>62</v>
      </c>
      <c r="C20" s="23"/>
      <c r="D20" s="11" t="s">
        <v>153</v>
      </c>
      <c r="E20" s="12"/>
      <c r="F20" s="56">
        <f>VLOOKUP(D20,廠價表!$C$1:$E$39,3,0)</f>
        <v>50.67</v>
      </c>
      <c r="G20" s="96">
        <v>2051</v>
      </c>
      <c r="H20" s="15">
        <f t="shared" ref="H20" si="16">F20*G20</f>
        <v>103924.17</v>
      </c>
      <c r="I20" s="177"/>
      <c r="J20" s="16">
        <v>14</v>
      </c>
      <c r="K20" s="14">
        <f>VLOOKUP(D20,產線配置圖!$A$2:$C$38,3,0)</f>
        <v>2000</v>
      </c>
      <c r="L20" s="17">
        <f t="shared" ref="L20" si="17">K20/J20</f>
        <v>142.85714285714286</v>
      </c>
      <c r="M20" s="37">
        <v>14</v>
      </c>
      <c r="N20" s="36">
        <f>G20/W20*60</f>
        <v>1758.0000000000023</v>
      </c>
      <c r="O20" s="38">
        <f>N20/M20</f>
        <v>125.57142857142874</v>
      </c>
      <c r="P20" s="39">
        <f>M20-J20</f>
        <v>0</v>
      </c>
      <c r="Q20" s="40">
        <f>O20-L20</f>
        <v>-17.285714285714121</v>
      </c>
      <c r="R20" s="190">
        <f>O20/L20</f>
        <v>0.87900000000000111</v>
      </c>
      <c r="S20" s="425"/>
      <c r="T20" s="41">
        <v>0.59027777777777779</v>
      </c>
      <c r="U20" s="41">
        <v>0.63888888888888884</v>
      </c>
      <c r="V20" s="177">
        <f>(T20-U19)*24*60</f>
        <v>10.999999999999961</v>
      </c>
      <c r="W20" s="43">
        <f t="shared" si="13"/>
        <v>69.999999999999915</v>
      </c>
      <c r="X20" s="44"/>
      <c r="Y20" s="44"/>
      <c r="Z20" s="418"/>
      <c r="AA20" s="405"/>
      <c r="AB20" s="34"/>
      <c r="AC20" s="186"/>
      <c r="AD20" s="403"/>
    </row>
    <row r="21" spans="1:30" ht="15" customHeight="1">
      <c r="A21" s="433"/>
      <c r="B21" s="177"/>
      <c r="C21" s="23"/>
      <c r="D21" s="11"/>
      <c r="E21" s="12"/>
      <c r="F21" s="13"/>
      <c r="G21" s="36"/>
      <c r="H21" s="15">
        <f t="shared" si="12"/>
        <v>0</v>
      </c>
      <c r="I21" s="43"/>
      <c r="J21" s="37"/>
      <c r="K21" s="36"/>
      <c r="L21" s="38"/>
      <c r="M21" s="37"/>
      <c r="N21" s="36"/>
      <c r="O21" s="38"/>
      <c r="P21" s="39"/>
      <c r="Q21" s="40"/>
      <c r="R21" s="190"/>
      <c r="S21" s="425"/>
      <c r="T21" s="41"/>
      <c r="U21" s="41"/>
      <c r="V21" s="42"/>
      <c r="W21" s="43">
        <v>0</v>
      </c>
      <c r="X21" s="42"/>
      <c r="Y21" s="42"/>
      <c r="Z21" s="418"/>
      <c r="AA21" s="405"/>
      <c r="AB21" s="34"/>
      <c r="AC21" s="186"/>
      <c r="AD21" s="403"/>
    </row>
    <row r="22" spans="1:30" ht="15" customHeight="1">
      <c r="A22" s="433"/>
      <c r="B22" s="177"/>
      <c r="C22" s="183"/>
      <c r="D22" s="11"/>
      <c r="E22" s="12"/>
      <c r="F22" s="13"/>
      <c r="G22" s="36"/>
      <c r="H22" s="15">
        <f t="shared" si="12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90"/>
      <c r="S22" s="425"/>
      <c r="T22" s="41"/>
      <c r="U22" s="41"/>
      <c r="V22" s="42"/>
      <c r="W22" s="43">
        <v>0</v>
      </c>
      <c r="X22" s="42"/>
      <c r="Y22" s="42"/>
      <c r="Z22" s="418"/>
      <c r="AA22" s="405"/>
      <c r="AB22" s="34"/>
      <c r="AC22" s="186"/>
      <c r="AD22" s="403"/>
    </row>
    <row r="23" spans="1:30" ht="15" customHeight="1">
      <c r="A23" s="433"/>
      <c r="B23" s="26"/>
      <c r="C23" s="27"/>
      <c r="D23" s="28"/>
      <c r="E23" s="29"/>
      <c r="F23" s="13"/>
      <c r="G23" s="36"/>
      <c r="H23" s="15">
        <f t="shared" si="12"/>
        <v>0</v>
      </c>
      <c r="I23" s="43"/>
      <c r="J23" s="37"/>
      <c r="K23" s="36"/>
      <c r="L23" s="38"/>
      <c r="M23" s="37"/>
      <c r="N23" s="36"/>
      <c r="O23" s="38"/>
      <c r="P23" s="39"/>
      <c r="Q23" s="40"/>
      <c r="R23" s="190"/>
      <c r="S23" s="425"/>
      <c r="T23" s="41"/>
      <c r="U23" s="41"/>
      <c r="W23" s="43">
        <f t="shared" si="13"/>
        <v>0</v>
      </c>
      <c r="X23" s="42"/>
      <c r="Y23" s="42"/>
      <c r="Z23" s="418"/>
      <c r="AA23" s="405"/>
      <c r="AB23" s="34"/>
      <c r="AC23" s="186"/>
      <c r="AD23" s="403"/>
    </row>
    <row r="24" spans="1:30" ht="15" customHeight="1">
      <c r="A24" s="433"/>
      <c r="B24" s="26"/>
      <c r="C24" s="27"/>
      <c r="D24" s="28"/>
      <c r="E24" s="29"/>
      <c r="F24" s="13"/>
      <c r="G24" s="36"/>
      <c r="H24" s="15">
        <f t="shared" si="12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90"/>
      <c r="S24" s="425"/>
      <c r="T24" s="41"/>
      <c r="U24" s="41"/>
      <c r="V24" s="42"/>
      <c r="W24" s="43">
        <f t="shared" si="13"/>
        <v>0</v>
      </c>
      <c r="X24" s="42"/>
      <c r="Y24" s="42"/>
      <c r="Z24" s="418"/>
      <c r="AA24" s="405"/>
      <c r="AB24" s="34"/>
      <c r="AC24" s="186"/>
      <c r="AD24" s="403"/>
    </row>
    <row r="25" spans="1:30" ht="15" customHeight="1">
      <c r="A25" s="433"/>
      <c r="B25" s="26"/>
      <c r="C25" s="27"/>
      <c r="D25" s="28"/>
      <c r="E25" s="29"/>
      <c r="F25" s="13"/>
      <c r="G25" s="36"/>
      <c r="H25" s="50">
        <f t="shared" si="12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90"/>
      <c r="S25" s="425"/>
      <c r="T25" s="41"/>
      <c r="U25" s="41"/>
      <c r="V25" s="42"/>
      <c r="W25" s="43">
        <f t="shared" si="13"/>
        <v>0</v>
      </c>
      <c r="X25" s="42"/>
      <c r="Y25" s="42"/>
      <c r="Z25" s="418"/>
      <c r="AA25" s="405"/>
      <c r="AB25" s="34"/>
      <c r="AC25" s="186"/>
      <c r="AD25" s="403"/>
    </row>
    <row r="26" spans="1:30" ht="15" customHeight="1" thickBot="1">
      <c r="A26" s="434"/>
      <c r="B26" s="132"/>
      <c r="C26" s="1" t="s">
        <v>35</v>
      </c>
      <c r="D26" s="410" t="s">
        <v>7</v>
      </c>
      <c r="E26" s="410"/>
      <c r="F26" s="133"/>
      <c r="G26" s="134"/>
      <c r="H26" s="135"/>
      <c r="I26" s="136"/>
      <c r="J26" s="134">
        <f t="shared" ref="J26:O26" si="18">AVERAGE(J16:J25)</f>
        <v>13.6</v>
      </c>
      <c r="K26" s="134">
        <f t="shared" si="18"/>
        <v>2021</v>
      </c>
      <c r="L26" s="137">
        <f t="shared" si="18"/>
        <v>148.75274725274727</v>
      </c>
      <c r="M26" s="134">
        <f t="shared" si="18"/>
        <v>13.6</v>
      </c>
      <c r="N26" s="134">
        <f t="shared" si="18"/>
        <v>1876.054095238095</v>
      </c>
      <c r="O26" s="137">
        <f t="shared" si="18"/>
        <v>138.23227908599335</v>
      </c>
      <c r="P26" s="138">
        <f t="shared" ref="P26:P29" si="19">M26-J26</f>
        <v>0</v>
      </c>
      <c r="Q26" s="139">
        <f t="shared" ref="Q26:Q29" si="20">O26-L26</f>
        <v>-10.520468166753915</v>
      </c>
      <c r="R26" s="140">
        <f t="shared" ref="R26:R29" si="21">O26/L26</f>
        <v>0.92927546979096476</v>
      </c>
      <c r="S26" s="435"/>
      <c r="T26" s="141"/>
      <c r="U26" s="141"/>
      <c r="V26" s="146"/>
      <c r="W26" s="142"/>
      <c r="X26" s="143"/>
      <c r="Y26" s="143"/>
      <c r="Z26" s="420"/>
      <c r="AA26" s="391"/>
      <c r="AB26" s="119">
        <f>N26-K26</f>
        <v>-144.94590476190501</v>
      </c>
      <c r="AC26" s="187">
        <f>N26/K26</f>
        <v>0.92828010650078918</v>
      </c>
      <c r="AD26" s="404"/>
    </row>
    <row r="27" spans="1:30" ht="15" customHeight="1">
      <c r="A27" s="421" t="s">
        <v>54</v>
      </c>
      <c r="B27" s="229" t="s">
        <v>62</v>
      </c>
      <c r="C27" s="102"/>
      <c r="D27" s="103" t="s">
        <v>144</v>
      </c>
      <c r="E27" s="104"/>
      <c r="F27" s="199">
        <f>VLOOKUP(D27,廠價表!$C$1:$E$39,3,0)</f>
        <v>49.91</v>
      </c>
      <c r="G27" s="269">
        <v>3624</v>
      </c>
      <c r="H27" s="125">
        <f t="shared" ref="H27:H39" si="22">F27*G27</f>
        <v>180873.84</v>
      </c>
      <c r="I27" s="126"/>
      <c r="J27" s="108">
        <f>VLOOKUP(D27,產線配置圖!$A$2:$C$38,2,0)</f>
        <v>17</v>
      </c>
      <c r="K27" s="236">
        <f>VLOOKUP(D27,產線配置圖!$A$2:$C$38,3,0)</f>
        <v>1565</v>
      </c>
      <c r="L27" s="109">
        <f>K27/J27</f>
        <v>92.058823529411768</v>
      </c>
      <c r="M27" s="144">
        <v>16</v>
      </c>
      <c r="N27" s="127">
        <f>G27/W27*60</f>
        <v>1092.6633165829151</v>
      </c>
      <c r="O27" s="128">
        <f>N27/M27</f>
        <v>68.291457286432191</v>
      </c>
      <c r="P27" s="129">
        <f t="shared" si="19"/>
        <v>-1</v>
      </c>
      <c r="Q27" s="130">
        <f t="shared" si="20"/>
        <v>-23.767366242979577</v>
      </c>
      <c r="R27" s="189">
        <f>O27/L27</f>
        <v>0.74182413665772984</v>
      </c>
      <c r="S27" s="424">
        <f>R37</f>
        <v>0.83290880193935146</v>
      </c>
      <c r="T27" s="94">
        <v>0.2902777777777778</v>
      </c>
      <c r="U27" s="94">
        <v>0.4284722222222222</v>
      </c>
      <c r="V27" s="126"/>
      <c r="W27" s="131">
        <f t="shared" si="13"/>
        <v>198.99999999999994</v>
      </c>
      <c r="X27" s="126"/>
      <c r="Y27" s="126" t="s">
        <v>147</v>
      </c>
      <c r="Z27" s="427" t="s">
        <v>188</v>
      </c>
      <c r="AA27" s="400"/>
      <c r="AB27" s="225">
        <f>N27-K27</f>
        <v>-472.33668341708494</v>
      </c>
      <c r="AC27" s="291">
        <f>N27/K27</f>
        <v>0.69818742273668699</v>
      </c>
      <c r="AD27" s="401">
        <f>AC37</f>
        <v>0.77468043546149168</v>
      </c>
    </row>
    <row r="28" spans="1:30" ht="15" customHeight="1">
      <c r="A28" s="422"/>
      <c r="B28" s="56" t="str">
        <f>VLOOKUP(D28,廠價表!$C$1:$E$39,2,0)</f>
        <v>義大利麵</v>
      </c>
      <c r="C28" s="10"/>
      <c r="D28" s="11" t="s">
        <v>137</v>
      </c>
      <c r="E28" s="86"/>
      <c r="F28" s="56">
        <f>VLOOKUP(D28,廠價表!$C$1:$E$39,3,0)</f>
        <v>55.13</v>
      </c>
      <c r="G28" s="53">
        <v>1504</v>
      </c>
      <c r="H28" s="50">
        <f t="shared" si="22"/>
        <v>82915.520000000004</v>
      </c>
      <c r="I28" s="42"/>
      <c r="J28" s="16">
        <f>VLOOKUP(D28,產線配置圖!$A$2:$C$38,2,0)</f>
        <v>18</v>
      </c>
      <c r="K28" s="14">
        <f>VLOOKUP(D28,產線配置圖!$A$2:$C$38,3,0)</f>
        <v>1385</v>
      </c>
      <c r="L28" s="235">
        <f>K28/J28</f>
        <v>76.944444444444443</v>
      </c>
      <c r="M28" s="21">
        <v>16</v>
      </c>
      <c r="N28" s="36">
        <f>G28/W28*60</f>
        <v>876.11650485436928</v>
      </c>
      <c r="O28" s="38">
        <f>N28/M28</f>
        <v>54.75728155339808</v>
      </c>
      <c r="P28" s="39">
        <f t="shared" si="19"/>
        <v>-2</v>
      </c>
      <c r="Q28" s="40">
        <f t="shared" si="20"/>
        <v>-22.187162891046363</v>
      </c>
      <c r="R28" s="190">
        <f t="shared" si="21"/>
        <v>0.71164698047737573</v>
      </c>
      <c r="S28" s="425"/>
      <c r="T28" s="270">
        <v>0.43194444444444446</v>
      </c>
      <c r="U28" s="270">
        <v>0.50347222222222221</v>
      </c>
      <c r="V28" s="42">
        <f>(T28-U27)*24*60</f>
        <v>5.0000000000000622</v>
      </c>
      <c r="W28" s="43">
        <f t="shared" si="13"/>
        <v>102.99999999999996</v>
      </c>
      <c r="X28" s="54"/>
      <c r="Y28" s="54"/>
      <c r="Z28" s="418" t="s">
        <v>189</v>
      </c>
      <c r="AA28" s="419"/>
      <c r="AB28" s="39">
        <f>N28-K28</f>
        <v>-508.88349514563072</v>
      </c>
      <c r="AC28" s="190">
        <f>N28/K28</f>
        <v>0.63257509375766741</v>
      </c>
      <c r="AD28" s="447"/>
    </row>
    <row r="29" spans="1:30" ht="15" customHeight="1">
      <c r="A29" s="422"/>
      <c r="B29" s="56" t="str">
        <f>VLOOKUP(D29,廠價表!$C$1:$E$39,2,0)</f>
        <v>義大利麵</v>
      </c>
      <c r="C29" s="10"/>
      <c r="D29" s="11" t="s">
        <v>137</v>
      </c>
      <c r="E29" s="86"/>
      <c r="F29" s="56">
        <f>VLOOKUP(D29,廠價表!$C$1:$E$39,3,0)</f>
        <v>55.13</v>
      </c>
      <c r="G29" s="53">
        <v>1101</v>
      </c>
      <c r="H29" s="50">
        <f t="shared" si="22"/>
        <v>60698.130000000005</v>
      </c>
      <c r="I29" s="42"/>
      <c r="J29" s="16">
        <f>VLOOKUP(D29,產線配置圖!$A$2:$C$38,2,0)</f>
        <v>18</v>
      </c>
      <c r="K29" s="14">
        <f>VLOOKUP(D29,產線配置圖!$A$2:$C$38,3,0)</f>
        <v>1385</v>
      </c>
      <c r="L29" s="235">
        <f>K29/J29</f>
        <v>76.944444444444443</v>
      </c>
      <c r="M29" s="21">
        <v>16</v>
      </c>
      <c r="N29" s="36">
        <f>G29/W29*60</f>
        <v>1201.0909090909099</v>
      </c>
      <c r="O29" s="38">
        <f>N29/M29</f>
        <v>75.06818181818187</v>
      </c>
      <c r="P29" s="39">
        <f t="shared" si="19"/>
        <v>-2</v>
      </c>
      <c r="Q29" s="40">
        <f t="shared" si="20"/>
        <v>-1.876262626262573</v>
      </c>
      <c r="R29" s="190">
        <f t="shared" si="21"/>
        <v>0.97561535936987265</v>
      </c>
      <c r="S29" s="425"/>
      <c r="T29" s="41">
        <v>0.55208333333333337</v>
      </c>
      <c r="U29" s="41">
        <v>0.59027777777777779</v>
      </c>
      <c r="V29" s="42">
        <f>(T29-U28)*24*60</f>
        <v>70.000000000000071</v>
      </c>
      <c r="W29" s="43">
        <f t="shared" si="13"/>
        <v>54.999999999999964</v>
      </c>
      <c r="X29" s="54">
        <v>0.50694444444444442</v>
      </c>
      <c r="Y29" s="54">
        <v>0.54861111111111116</v>
      </c>
      <c r="Z29" s="418"/>
      <c r="AA29" s="419"/>
      <c r="AB29" s="292">
        <f>N29-K29</f>
        <v>-183.90909090909008</v>
      </c>
      <c r="AC29" s="190">
        <f>N29/K29</f>
        <v>0.86721365277322016</v>
      </c>
      <c r="AD29" s="447"/>
    </row>
    <row r="30" spans="1:30" ht="15" customHeight="1">
      <c r="A30" s="422"/>
      <c r="B30" s="56" t="str">
        <f>VLOOKUP(D30,廠價表!$C$1:$E$39,2,0)</f>
        <v>義大利麵</v>
      </c>
      <c r="C30" s="237"/>
      <c r="D30" s="11" t="s">
        <v>158</v>
      </c>
      <c r="E30" s="29"/>
      <c r="F30" s="56">
        <f>VLOOKUP(D30,廠價表!$C$1:$E$39,3,0)</f>
        <v>47.71</v>
      </c>
      <c r="G30" s="53">
        <v>1733</v>
      </c>
      <c r="H30" s="50">
        <f t="shared" ref="H30" si="23">F30*G30</f>
        <v>82681.430000000008</v>
      </c>
      <c r="I30" s="42"/>
      <c r="J30" s="16">
        <f>VLOOKUP(D30,產線配置圖!$A$2:$C$38,2,0)</f>
        <v>15</v>
      </c>
      <c r="K30" s="14">
        <f>VLOOKUP(D30,產線配置圖!$A$2:$C$38,3,0)</f>
        <v>1500</v>
      </c>
      <c r="L30" s="235">
        <f>K30/J30</f>
        <v>100</v>
      </c>
      <c r="M30" s="21">
        <v>15</v>
      </c>
      <c r="N30" s="36">
        <f>G30/W30*60</f>
        <v>1350.3896103896097</v>
      </c>
      <c r="O30" s="38">
        <f>N30/M30</f>
        <v>90.02597402597398</v>
      </c>
      <c r="P30" s="39">
        <f t="shared" ref="P30" si="24">M30-J30</f>
        <v>0</v>
      </c>
      <c r="Q30" s="40">
        <f t="shared" ref="Q30" si="25">O30-L30</f>
        <v>-9.97402597402602</v>
      </c>
      <c r="R30" s="190">
        <f t="shared" ref="R30" si="26">O30/L30</f>
        <v>0.90025974025973976</v>
      </c>
      <c r="S30" s="425"/>
      <c r="T30" s="41">
        <v>0.59583333333333333</v>
      </c>
      <c r="U30" s="41">
        <v>0.64930555555555558</v>
      </c>
      <c r="V30" s="42">
        <f>(T30-U29)*24*60</f>
        <v>7.9999999999999716</v>
      </c>
      <c r="W30" s="43">
        <f t="shared" si="13"/>
        <v>77.000000000000043</v>
      </c>
      <c r="X30" s="54"/>
      <c r="Y30" s="54"/>
      <c r="Z30" s="449"/>
      <c r="AA30" s="450"/>
      <c r="AB30" s="34"/>
      <c r="AC30" s="293"/>
      <c r="AD30" s="448"/>
    </row>
    <row r="31" spans="1:30" ht="15" customHeight="1">
      <c r="A31" s="422"/>
      <c r="B31" s="56"/>
      <c r="C31" s="10"/>
      <c r="D31" s="28"/>
      <c r="E31" s="86"/>
      <c r="F31" s="56"/>
      <c r="G31" s="238"/>
      <c r="H31" s="239"/>
      <c r="I31" s="81"/>
      <c r="J31" s="16"/>
      <c r="K31" s="14"/>
      <c r="L31" s="235"/>
      <c r="M31" s="21"/>
      <c r="N31" s="36"/>
      <c r="O31" s="38"/>
      <c r="P31" s="39"/>
      <c r="Q31" s="40"/>
      <c r="R31" s="190"/>
      <c r="S31" s="425"/>
      <c r="T31" s="41"/>
      <c r="U31" s="41"/>
      <c r="V31" s="42"/>
      <c r="W31" s="43">
        <f t="shared" si="13"/>
        <v>0</v>
      </c>
      <c r="X31" s="54"/>
      <c r="Y31" s="54"/>
      <c r="Z31" s="449"/>
      <c r="AA31" s="450"/>
      <c r="AB31" s="257"/>
      <c r="AC31" s="258"/>
      <c r="AD31" s="403"/>
    </row>
    <row r="32" spans="1:30" ht="15" customHeight="1">
      <c r="A32" s="422"/>
      <c r="B32" s="56"/>
      <c r="C32" s="252"/>
      <c r="D32" s="253"/>
      <c r="E32" s="254"/>
      <c r="F32" s="56"/>
      <c r="G32" s="53"/>
      <c r="H32" s="50"/>
      <c r="I32" s="42"/>
      <c r="J32" s="255"/>
      <c r="K32" s="36"/>
      <c r="L32" s="256"/>
      <c r="M32" s="21"/>
      <c r="N32" s="36"/>
      <c r="O32" s="38"/>
      <c r="P32" s="39"/>
      <c r="Q32" s="40"/>
      <c r="R32" s="190"/>
      <c r="S32" s="425"/>
      <c r="T32" s="41"/>
      <c r="U32" s="41"/>
      <c r="V32" s="42"/>
      <c r="W32" s="43">
        <f t="shared" si="13"/>
        <v>0</v>
      </c>
      <c r="X32" s="54"/>
      <c r="Y32" s="54"/>
      <c r="Z32" s="418"/>
      <c r="AA32" s="405"/>
      <c r="AB32" s="18"/>
      <c r="AC32" s="185"/>
      <c r="AD32" s="403"/>
    </row>
    <row r="33" spans="1:30" ht="15" customHeight="1">
      <c r="A33" s="422"/>
      <c r="B33" s="240"/>
      <c r="C33" s="241"/>
      <c r="D33" s="242"/>
      <c r="E33" s="243"/>
      <c r="F33" s="223"/>
      <c r="G33" s="244"/>
      <c r="H33" s="245">
        <f t="shared" si="22"/>
        <v>0</v>
      </c>
      <c r="I33" s="246"/>
      <c r="J33" s="247"/>
      <c r="K33" s="45"/>
      <c r="M33" s="248"/>
      <c r="N33" s="45"/>
      <c r="O33" s="46"/>
      <c r="P33" s="47"/>
      <c r="Q33" s="48"/>
      <c r="R33" s="49"/>
      <c r="S33" s="425"/>
      <c r="T33" s="41"/>
      <c r="U33" s="41"/>
      <c r="V33" s="42"/>
      <c r="W33" s="43">
        <f t="shared" si="13"/>
        <v>0</v>
      </c>
      <c r="X33" s="54"/>
      <c r="Y33" s="54"/>
      <c r="Z33" s="418"/>
      <c r="AA33" s="405"/>
      <c r="AB33" s="18"/>
      <c r="AC33" s="57"/>
      <c r="AD33" s="403"/>
    </row>
    <row r="34" spans="1:30" ht="15" customHeight="1">
      <c r="A34" s="422"/>
      <c r="B34" s="231"/>
      <c r="C34" s="27"/>
      <c r="D34" s="28"/>
      <c r="E34" s="29"/>
      <c r="F34" s="13"/>
      <c r="G34" s="53"/>
      <c r="H34" s="50">
        <f t="shared" si="22"/>
        <v>0</v>
      </c>
      <c r="I34" s="42"/>
      <c r="J34" s="37"/>
      <c r="K34" s="36"/>
      <c r="L34" s="38"/>
      <c r="M34" s="21"/>
      <c r="N34" s="36"/>
      <c r="O34" s="38"/>
      <c r="P34" s="39"/>
      <c r="Q34" s="40"/>
      <c r="R34" s="190"/>
      <c r="S34" s="425"/>
      <c r="T34" s="41"/>
      <c r="U34" s="41"/>
      <c r="V34" s="42"/>
      <c r="W34" s="43">
        <f t="shared" si="13"/>
        <v>0</v>
      </c>
      <c r="X34" s="54"/>
      <c r="Y34" s="54"/>
      <c r="Z34" s="418"/>
      <c r="AA34" s="405"/>
      <c r="AB34" s="18"/>
      <c r="AC34" s="57"/>
      <c r="AD34" s="403"/>
    </row>
    <row r="35" spans="1:30" ht="15" customHeight="1">
      <c r="A35" s="422"/>
      <c r="B35" s="231"/>
      <c r="C35" s="27"/>
      <c r="D35" s="28"/>
      <c r="E35" s="29"/>
      <c r="F35" s="13"/>
      <c r="G35" s="53"/>
      <c r="H35" s="50">
        <f t="shared" si="22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90"/>
      <c r="S35" s="425"/>
      <c r="T35" s="41"/>
      <c r="U35" s="41"/>
      <c r="V35" s="42"/>
      <c r="W35" s="43">
        <f t="shared" si="13"/>
        <v>0</v>
      </c>
      <c r="X35" s="54"/>
      <c r="Y35" s="54"/>
      <c r="Z35" s="418"/>
      <c r="AA35" s="405"/>
      <c r="AB35" s="18"/>
      <c r="AC35" s="57"/>
      <c r="AD35" s="403"/>
    </row>
    <row r="36" spans="1:30" ht="15" customHeight="1">
      <c r="A36" s="422"/>
      <c r="B36" s="232"/>
      <c r="C36" s="27"/>
      <c r="D36" s="28"/>
      <c r="E36" s="29"/>
      <c r="F36" s="13"/>
      <c r="G36" s="53"/>
      <c r="H36" s="50">
        <f t="shared" si="22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90"/>
      <c r="S36" s="425"/>
      <c r="T36" s="41"/>
      <c r="U36" s="41"/>
      <c r="V36" s="42"/>
      <c r="W36" s="43">
        <f t="shared" si="13"/>
        <v>0</v>
      </c>
      <c r="X36" s="54"/>
      <c r="Y36" s="54"/>
      <c r="Z36" s="418"/>
      <c r="AA36" s="405"/>
      <c r="AB36" s="18"/>
      <c r="AC36" s="57"/>
      <c r="AD36" s="403"/>
    </row>
    <row r="37" spans="1:30" ht="15" customHeight="1" thickBot="1">
      <c r="A37" s="423"/>
      <c r="B37" s="300"/>
      <c r="C37" s="301" t="s">
        <v>36</v>
      </c>
      <c r="D37" s="428" t="s">
        <v>7</v>
      </c>
      <c r="E37" s="429"/>
      <c r="F37" s="281"/>
      <c r="G37" s="282"/>
      <c r="H37" s="283"/>
      <c r="I37" s="284"/>
      <c r="J37" s="285">
        <f t="shared" ref="J37:O37" si="27">AVERAGE(J27:J36)</f>
        <v>17</v>
      </c>
      <c r="K37" s="285">
        <f t="shared" si="27"/>
        <v>1458.75</v>
      </c>
      <c r="L37" s="286">
        <f t="shared" si="27"/>
        <v>86.486928104575171</v>
      </c>
      <c r="M37" s="285">
        <f t="shared" si="27"/>
        <v>15.75</v>
      </c>
      <c r="N37" s="285">
        <f t="shared" si="27"/>
        <v>1130.0650852294509</v>
      </c>
      <c r="O37" s="286">
        <f t="shared" si="27"/>
        <v>72.035723670996532</v>
      </c>
      <c r="P37" s="73">
        <f>M37-J37</f>
        <v>-1.25</v>
      </c>
      <c r="Q37" s="74">
        <f>N37-K37</f>
        <v>-328.68491477054909</v>
      </c>
      <c r="R37" s="287">
        <f t="shared" ref="R37:R39" si="28">O37/L37</f>
        <v>0.83290880193935146</v>
      </c>
      <c r="S37" s="426"/>
      <c r="T37" s="302"/>
      <c r="U37" s="302"/>
      <c r="V37" s="81"/>
      <c r="W37" s="81"/>
      <c r="X37" s="303"/>
      <c r="Y37" s="303"/>
      <c r="Z37" s="430"/>
      <c r="AA37" s="379"/>
      <c r="AB37" s="34">
        <f t="shared" ref="AB37:AB39" si="29">N37-K37</f>
        <v>-328.68491477054909</v>
      </c>
      <c r="AC37" s="186">
        <f t="shared" ref="AC37:AC39" si="30">N37/K37</f>
        <v>0.77468043546149168</v>
      </c>
      <c r="AD37" s="403"/>
    </row>
    <row r="38" spans="1:30" s="62" customFormat="1" ht="15" customHeight="1">
      <c r="A38" s="454" t="s">
        <v>55</v>
      </c>
      <c r="B38" s="229" t="s">
        <v>134</v>
      </c>
      <c r="C38" s="199"/>
      <c r="D38" s="304" t="s">
        <v>156</v>
      </c>
      <c r="E38" s="280"/>
      <c r="F38" s="305">
        <f>VLOOKUP(D38,廠價表!$C$1:$E$39,3,0)</f>
        <v>56.43</v>
      </c>
      <c r="G38" s="266">
        <v>3349</v>
      </c>
      <c r="H38" s="50">
        <f t="shared" si="22"/>
        <v>188984.07</v>
      </c>
      <c r="I38" s="126"/>
      <c r="J38" s="274">
        <f>VLOOKUP(D38,產線配置圖!$A$2:$C$38,2,0)</f>
        <v>15</v>
      </c>
      <c r="K38" s="236">
        <f>VLOOKUP(D38,產線配置圖!$A$2:$C$38,3,0)</f>
        <v>1406</v>
      </c>
      <c r="L38" s="288">
        <f t="shared" ref="L38:L39" si="31">K38/J38</f>
        <v>93.733333333333334</v>
      </c>
      <c r="M38" s="289">
        <v>15</v>
      </c>
      <c r="N38" s="127">
        <f>G38/W38*60</f>
        <v>1080.322580645161</v>
      </c>
      <c r="O38" s="128">
        <f>N38/M38</f>
        <v>72.021505376344066</v>
      </c>
      <c r="P38" s="129">
        <f t="shared" ref="P38:P39" si="32">M38-J38</f>
        <v>0</v>
      </c>
      <c r="Q38" s="130">
        <f t="shared" ref="Q38:Q39" si="33">O38-L38</f>
        <v>-21.711827956989268</v>
      </c>
      <c r="R38" s="189">
        <f t="shared" si="28"/>
        <v>0.76836598907906184</v>
      </c>
      <c r="S38" s="457">
        <f>R48</f>
        <v>0.86452669624385181</v>
      </c>
      <c r="T38" s="151">
        <v>0.33263888888888887</v>
      </c>
      <c r="U38" s="151">
        <v>0.46180555555555558</v>
      </c>
      <c r="V38" s="148"/>
      <c r="W38" s="152">
        <f t="shared" si="13"/>
        <v>186.00000000000006</v>
      </c>
      <c r="X38" s="150"/>
      <c r="Y38" s="153"/>
      <c r="Z38" s="478" t="s">
        <v>186</v>
      </c>
      <c r="AA38" s="460"/>
      <c r="AB38" s="290">
        <f t="shared" si="29"/>
        <v>-325.677419354839</v>
      </c>
      <c r="AC38" s="154">
        <f t="shared" si="30"/>
        <v>0.76836598907906184</v>
      </c>
      <c r="AD38" s="436">
        <f>AC48</f>
        <v>0.86452669624385181</v>
      </c>
    </row>
    <row r="39" spans="1:30" s="62" customFormat="1" ht="15" customHeight="1">
      <c r="A39" s="455"/>
      <c r="B39" s="56" t="s">
        <v>134</v>
      </c>
      <c r="C39" s="277"/>
      <c r="D39" s="279" t="s">
        <v>154</v>
      </c>
      <c r="E39" s="278"/>
      <c r="F39" s="56">
        <f>VLOOKUP(D39,廠價表!$C$1:$E$39,3,0)</f>
        <v>57.3</v>
      </c>
      <c r="G39" s="276">
        <v>2332</v>
      </c>
      <c r="H39" s="50">
        <f t="shared" si="22"/>
        <v>133623.6</v>
      </c>
      <c r="I39" s="64"/>
      <c r="J39" s="37">
        <f>VLOOKUP(D39,產線配置圖!$A$2:$C$38,2,0)</f>
        <v>15</v>
      </c>
      <c r="K39" s="36">
        <f>VLOOKUP(D39,產線配置圖!$A$2:$C$38,3,0)</f>
        <v>1385</v>
      </c>
      <c r="L39" s="38">
        <f t="shared" si="31"/>
        <v>92.333333333333329</v>
      </c>
      <c r="M39" s="65">
        <v>15</v>
      </c>
      <c r="N39" s="66">
        <f>G39/W39*60</f>
        <v>1332.5714285714294</v>
      </c>
      <c r="O39" s="67">
        <f t="shared" ref="O39" si="34">N39/M39</f>
        <v>88.838095238095292</v>
      </c>
      <c r="P39" s="39">
        <f t="shared" si="32"/>
        <v>0</v>
      </c>
      <c r="Q39" s="40">
        <f t="shared" si="33"/>
        <v>-3.4952380952380366</v>
      </c>
      <c r="R39" s="190">
        <f t="shared" si="28"/>
        <v>0.9621454357916458</v>
      </c>
      <c r="S39" s="458"/>
      <c r="T39" s="59">
        <v>0.52430555555555558</v>
      </c>
      <c r="U39" s="59">
        <v>0.59722222222222221</v>
      </c>
      <c r="V39" s="42">
        <f>(T39-U38)*24*60</f>
        <v>90</v>
      </c>
      <c r="W39" s="69">
        <f t="shared" si="13"/>
        <v>104.99999999999994</v>
      </c>
      <c r="X39" s="22">
        <v>0.46527777777777779</v>
      </c>
      <c r="Y39" s="22">
        <v>0.50694444444444442</v>
      </c>
      <c r="Z39" s="439"/>
      <c r="AA39" s="440"/>
      <c r="AB39" s="271">
        <f t="shared" si="29"/>
        <v>-52.428571428570649</v>
      </c>
      <c r="AC39" s="61">
        <f t="shared" si="30"/>
        <v>0.96214543579164569</v>
      </c>
      <c r="AD39" s="437"/>
    </row>
    <row r="40" spans="1:30" s="62" customFormat="1" ht="15" customHeight="1">
      <c r="A40" s="455"/>
      <c r="B40" s="56"/>
      <c r="C40" s="275"/>
      <c r="D40" s="279"/>
      <c r="E40" s="243"/>
      <c r="F40" s="56"/>
      <c r="G40" s="276"/>
      <c r="H40" s="63"/>
      <c r="I40" s="64"/>
      <c r="J40" s="37"/>
      <c r="K40" s="36"/>
      <c r="L40" s="38"/>
      <c r="M40" s="65"/>
      <c r="N40" s="66"/>
      <c r="O40" s="67"/>
      <c r="P40" s="39"/>
      <c r="Q40" s="40"/>
      <c r="R40" s="190"/>
      <c r="S40" s="397"/>
      <c r="T40" s="59"/>
      <c r="U40" s="59"/>
      <c r="V40" s="42"/>
      <c r="W40" s="69">
        <f t="shared" si="13"/>
        <v>0</v>
      </c>
      <c r="X40" s="70"/>
      <c r="Y40" s="259"/>
      <c r="Z40" s="439"/>
      <c r="AA40" s="440"/>
      <c r="AB40" s="271"/>
      <c r="AC40" s="61"/>
      <c r="AD40" s="437"/>
    </row>
    <row r="41" spans="1:30" s="62" customFormat="1" ht="15" customHeight="1">
      <c r="A41" s="455"/>
      <c r="B41" s="56"/>
      <c r="C41" s="275"/>
      <c r="D41" s="279"/>
      <c r="E41" s="243"/>
      <c r="F41" s="56"/>
      <c r="G41" s="276"/>
      <c r="H41" s="63"/>
      <c r="I41" s="64"/>
      <c r="J41" s="37"/>
      <c r="K41" s="36"/>
      <c r="L41" s="38"/>
      <c r="M41" s="65"/>
      <c r="N41" s="66"/>
      <c r="O41" s="67"/>
      <c r="P41" s="39"/>
      <c r="Q41" s="40"/>
      <c r="R41" s="190"/>
      <c r="S41" s="397"/>
      <c r="T41" s="59"/>
      <c r="U41" s="59"/>
      <c r="V41" s="42"/>
      <c r="W41" s="69">
        <f t="shared" si="13"/>
        <v>0</v>
      </c>
      <c r="X41" s="70"/>
      <c r="Y41" s="259"/>
      <c r="Z41" s="439"/>
      <c r="AA41" s="440"/>
      <c r="AB41" s="271"/>
      <c r="AC41" s="61"/>
      <c r="AD41" s="437"/>
    </row>
    <row r="42" spans="1:30" s="62" customFormat="1" ht="15" customHeight="1">
      <c r="A42" s="455"/>
      <c r="B42" s="56"/>
      <c r="C42" s="23"/>
      <c r="D42" s="11"/>
      <c r="E42" s="12"/>
      <c r="F42" s="56"/>
      <c r="G42" s="99"/>
      <c r="H42" s="63"/>
      <c r="I42" s="64"/>
      <c r="J42" s="16"/>
      <c r="K42" s="14"/>
      <c r="L42" s="17"/>
      <c r="M42" s="65"/>
      <c r="N42" s="66"/>
      <c r="O42" s="67"/>
      <c r="P42" s="39"/>
      <c r="Q42" s="40"/>
      <c r="R42" s="68"/>
      <c r="S42" s="397"/>
      <c r="T42" s="75"/>
      <c r="U42" s="75"/>
      <c r="V42" s="42"/>
      <c r="W42" s="69">
        <f t="shared" si="13"/>
        <v>0</v>
      </c>
      <c r="X42" s="70"/>
      <c r="Y42" s="60"/>
      <c r="Z42" s="445"/>
      <c r="AA42" s="446"/>
      <c r="AB42" s="271"/>
      <c r="AC42" s="61"/>
      <c r="AD42" s="437"/>
    </row>
    <row r="43" spans="1:30" s="62" customFormat="1" ht="15" customHeight="1">
      <c r="A43" s="455"/>
      <c r="B43" s="230"/>
      <c r="C43" s="23"/>
      <c r="D43" s="11"/>
      <c r="E43" s="12"/>
      <c r="F43" s="13"/>
      <c r="G43" s="100"/>
      <c r="H43" s="63">
        <f t="shared" ref="H43:H47" si="35">F43*G43</f>
        <v>0</v>
      </c>
      <c r="I43" s="64"/>
      <c r="J43" s="65"/>
      <c r="K43" s="66"/>
      <c r="L43" s="67"/>
      <c r="M43" s="65"/>
      <c r="N43" s="66"/>
      <c r="O43" s="67"/>
      <c r="P43" s="39"/>
      <c r="Q43" s="40"/>
      <c r="R43" s="68"/>
      <c r="S43" s="397"/>
      <c r="T43" s="75"/>
      <c r="U43" s="75"/>
      <c r="V43" s="64"/>
      <c r="W43" s="69">
        <f>(U43-T43)*24*60</f>
        <v>0</v>
      </c>
      <c r="X43" s="70"/>
      <c r="Y43" s="67"/>
      <c r="Z43" s="405"/>
      <c r="AA43" s="405"/>
      <c r="AB43" s="71"/>
      <c r="AC43" s="61"/>
      <c r="AD43" s="437"/>
    </row>
    <row r="44" spans="1:30" s="62" customFormat="1" ht="15" customHeight="1">
      <c r="A44" s="455"/>
      <c r="B44" s="230"/>
      <c r="C44" s="183"/>
      <c r="D44" s="11"/>
      <c r="E44" s="12"/>
      <c r="F44" s="13"/>
      <c r="G44" s="100"/>
      <c r="H44" s="63">
        <f t="shared" si="35"/>
        <v>0</v>
      </c>
      <c r="I44" s="64"/>
      <c r="J44" s="65"/>
      <c r="K44" s="66"/>
      <c r="L44" s="58"/>
      <c r="M44" s="65"/>
      <c r="N44" s="66"/>
      <c r="O44" s="67"/>
      <c r="P44" s="39"/>
      <c r="Q44" s="40"/>
      <c r="R44" s="68"/>
      <c r="S44" s="397"/>
      <c r="T44" s="59"/>
      <c r="U44" s="59"/>
      <c r="V44" s="64"/>
      <c r="W44" s="69">
        <f t="shared" ref="W44:W48" si="36">(U44-T44)*24*60</f>
        <v>0</v>
      </c>
      <c r="X44" s="70"/>
      <c r="Y44" s="67"/>
      <c r="Z44" s="405"/>
      <c r="AA44" s="405"/>
      <c r="AB44" s="71"/>
      <c r="AC44" s="61"/>
      <c r="AD44" s="437"/>
    </row>
    <row r="45" spans="1:30" s="62" customFormat="1" ht="15" customHeight="1">
      <c r="A45" s="455"/>
      <c r="B45" s="231"/>
      <c r="C45" s="27"/>
      <c r="D45" s="28"/>
      <c r="E45" s="29"/>
      <c r="F45" s="13"/>
      <c r="G45" s="66"/>
      <c r="H45" s="63">
        <f t="shared" si="35"/>
        <v>0</v>
      </c>
      <c r="I45" s="64"/>
      <c r="J45" s="65"/>
      <c r="K45" s="66"/>
      <c r="L45" s="67"/>
      <c r="M45" s="65"/>
      <c r="N45" s="66"/>
      <c r="O45" s="67"/>
      <c r="P45" s="39"/>
      <c r="Q45" s="40"/>
      <c r="R45" s="68"/>
      <c r="S45" s="397"/>
      <c r="T45" s="75"/>
      <c r="U45" s="75"/>
      <c r="V45" s="64"/>
      <c r="W45" s="69">
        <f t="shared" si="36"/>
        <v>0</v>
      </c>
      <c r="X45" s="70"/>
      <c r="Y45" s="67"/>
      <c r="Z45" s="405"/>
      <c r="AA45" s="405"/>
      <c r="AB45" s="71"/>
      <c r="AC45" s="61"/>
      <c r="AD45" s="437"/>
    </row>
    <row r="46" spans="1:30" s="62" customFormat="1" ht="15" customHeight="1">
      <c r="A46" s="455"/>
      <c r="B46" s="231"/>
      <c r="C46" s="27"/>
      <c r="D46" s="28"/>
      <c r="E46" s="29"/>
      <c r="F46" s="13"/>
      <c r="G46" s="66"/>
      <c r="H46" s="63">
        <f t="shared" si="35"/>
        <v>0</v>
      </c>
      <c r="I46" s="64"/>
      <c r="J46" s="65"/>
      <c r="K46" s="66"/>
      <c r="L46" s="67"/>
      <c r="M46" s="65"/>
      <c r="N46" s="66"/>
      <c r="O46" s="67"/>
      <c r="P46" s="39"/>
      <c r="Q46" s="40"/>
      <c r="R46" s="68"/>
      <c r="S46" s="397"/>
      <c r="T46" s="59"/>
      <c r="U46" s="59"/>
      <c r="V46" s="64"/>
      <c r="W46" s="69">
        <f t="shared" si="36"/>
        <v>0</v>
      </c>
      <c r="X46" s="70"/>
      <c r="Y46" s="67"/>
      <c r="Z46" s="405"/>
      <c r="AA46" s="405"/>
      <c r="AB46" s="71"/>
      <c r="AC46" s="61"/>
      <c r="AD46" s="437"/>
    </row>
    <row r="47" spans="1:30" s="62" customFormat="1" ht="15" customHeight="1">
      <c r="A47" s="455"/>
      <c r="B47" s="230"/>
      <c r="C47" s="27"/>
      <c r="D47" s="28"/>
      <c r="E47" s="29"/>
      <c r="F47" s="13"/>
      <c r="G47" s="66"/>
      <c r="H47" s="63">
        <f t="shared" si="35"/>
        <v>0</v>
      </c>
      <c r="I47" s="64"/>
      <c r="J47" s="65"/>
      <c r="K47" s="66"/>
      <c r="L47" s="67"/>
      <c r="M47" s="65"/>
      <c r="N47" s="66"/>
      <c r="O47" s="67"/>
      <c r="P47" s="39"/>
      <c r="Q47" s="40"/>
      <c r="R47" s="68"/>
      <c r="S47" s="397"/>
      <c r="T47" s="75"/>
      <c r="U47" s="75"/>
      <c r="V47" s="64"/>
      <c r="W47" s="69">
        <f t="shared" si="36"/>
        <v>0</v>
      </c>
      <c r="X47" s="70"/>
      <c r="Y47" s="67"/>
      <c r="Z47" s="405"/>
      <c r="AA47" s="405"/>
      <c r="AB47" s="71"/>
      <c r="AC47" s="61"/>
      <c r="AD47" s="437"/>
    </row>
    <row r="48" spans="1:30" ht="15" customHeight="1" thickBot="1">
      <c r="A48" s="456"/>
      <c r="B48" s="156"/>
      <c r="C48" s="1" t="s">
        <v>37</v>
      </c>
      <c r="D48" s="410" t="s">
        <v>7</v>
      </c>
      <c r="E48" s="410"/>
      <c r="F48" s="133"/>
      <c r="G48" s="145"/>
      <c r="H48" s="135"/>
      <c r="I48" s="136"/>
      <c r="J48" s="134">
        <f t="shared" ref="J48:O48" si="37">AVERAGE(J38:J47)</f>
        <v>15</v>
      </c>
      <c r="K48" s="134">
        <f t="shared" si="37"/>
        <v>1395.5</v>
      </c>
      <c r="L48" s="137">
        <f t="shared" si="37"/>
        <v>93.033333333333331</v>
      </c>
      <c r="M48" s="134">
        <f t="shared" si="37"/>
        <v>15</v>
      </c>
      <c r="N48" s="134">
        <f t="shared" si="37"/>
        <v>1206.4470046082952</v>
      </c>
      <c r="O48" s="137">
        <f t="shared" si="37"/>
        <v>80.429800307219679</v>
      </c>
      <c r="P48" s="157">
        <f>M48-J48</f>
        <v>0</v>
      </c>
      <c r="Q48" s="158">
        <f>N48-K48</f>
        <v>-189.05299539170483</v>
      </c>
      <c r="R48" s="159">
        <f>O48/L48</f>
        <v>0.86452669624385181</v>
      </c>
      <c r="S48" s="399"/>
      <c r="T48" s="160"/>
      <c r="U48" s="160"/>
      <c r="V48" s="196"/>
      <c r="W48" s="161">
        <f t="shared" si="36"/>
        <v>0</v>
      </c>
      <c r="X48" s="162"/>
      <c r="Y48" s="162"/>
      <c r="Z48" s="391"/>
      <c r="AA48" s="391"/>
      <c r="AB48" s="163">
        <f>N48-K48</f>
        <v>-189.05299539170483</v>
      </c>
      <c r="AC48" s="191">
        <f>N48/K48</f>
        <v>0.86452669624385181</v>
      </c>
      <c r="AD48" s="438"/>
    </row>
    <row r="49" spans="1:30" ht="15" customHeight="1">
      <c r="A49" s="451" t="s">
        <v>56</v>
      </c>
      <c r="B49" s="199" t="str">
        <f>VLOOKUP(D49,廠價表!$C$1:$E$39,2,0)</f>
        <v>義大利麵</v>
      </c>
      <c r="C49" s="102"/>
      <c r="D49" s="103" t="s">
        <v>152</v>
      </c>
      <c r="E49" s="104"/>
      <c r="F49" s="199">
        <f>VLOOKUP(D49,廠價表!$C$1:$E$39,3,0)</f>
        <v>56.87</v>
      </c>
      <c r="G49" s="149">
        <v>3307</v>
      </c>
      <c r="H49" s="125">
        <f t="shared" ref="H49:H57" si="38">F49*G49</f>
        <v>188069.09</v>
      </c>
      <c r="I49" s="126"/>
      <c r="J49" s="108">
        <f>VLOOKUP(D49,產線配置圖!$A$2:$C$38,2,0)</f>
        <v>19</v>
      </c>
      <c r="K49" s="105">
        <f>VLOOKUP(D49,產線配置圖!$A$2:$C$38,3,0)</f>
        <v>1565</v>
      </c>
      <c r="L49" s="109">
        <f>K49/J49</f>
        <v>82.368421052631575</v>
      </c>
      <c r="M49" s="144">
        <v>19</v>
      </c>
      <c r="N49" s="127">
        <f>G49/W49*60</f>
        <v>1514.6564885496191</v>
      </c>
      <c r="O49" s="128">
        <f>N49/M49</f>
        <v>79.718762555243117</v>
      </c>
      <c r="P49" s="164">
        <f>M49-J49</f>
        <v>0</v>
      </c>
      <c r="Q49" s="112">
        <f>O49-L49</f>
        <v>-2.649658497388458</v>
      </c>
      <c r="R49" s="184">
        <f>O49/L49</f>
        <v>0.96783162207643403</v>
      </c>
      <c r="S49" s="396">
        <f>R58</f>
        <v>0.95869669962146453</v>
      </c>
      <c r="T49" s="151">
        <v>0.29097222222222224</v>
      </c>
      <c r="U49" s="151">
        <v>0.38194444444444442</v>
      </c>
      <c r="V49" s="188"/>
      <c r="W49" s="152">
        <f t="shared" si="13"/>
        <v>130.99999999999994</v>
      </c>
      <c r="X49" s="188"/>
      <c r="Y49" s="188"/>
      <c r="Z49" s="400"/>
      <c r="AA49" s="400"/>
      <c r="AB49" s="111">
        <f>N49-K49</f>
        <v>-50.343511450380902</v>
      </c>
      <c r="AC49" s="184">
        <f>N49/K49</f>
        <v>0.96783162207643392</v>
      </c>
      <c r="AD49" s="401">
        <f>AC58</f>
        <v>0.95885460710080428</v>
      </c>
    </row>
    <row r="50" spans="1:30" ht="15" customHeight="1">
      <c r="A50" s="452"/>
      <c r="B50" s="56" t="str">
        <f>VLOOKUP(D50,廠價表!$C$1:$E$39,2,0)</f>
        <v>義大利麵</v>
      </c>
      <c r="C50" s="10"/>
      <c r="D50" s="11" t="s">
        <v>65</v>
      </c>
      <c r="E50" s="86"/>
      <c r="F50" s="56">
        <f>VLOOKUP(D50,廠價表!$C$1:$E$39,3,0)</f>
        <v>49.97</v>
      </c>
      <c r="G50" s="66">
        <v>3222</v>
      </c>
      <c r="H50" s="76">
        <f t="shared" si="38"/>
        <v>161003.34</v>
      </c>
      <c r="I50" s="193"/>
      <c r="J50" s="16">
        <f>VLOOKUP(D50,產線配置圖!$A$2:$C$38,2,0)</f>
        <v>18</v>
      </c>
      <c r="K50" s="14">
        <f>VLOOKUP(D50,產線配置圖!$A$2:$C$38,3,0)</f>
        <v>1600</v>
      </c>
      <c r="L50" s="17">
        <f>K50/J50</f>
        <v>88.888888888888886</v>
      </c>
      <c r="M50" s="174">
        <v>18</v>
      </c>
      <c r="N50" s="77">
        <f>G50/W50*60</f>
        <v>1534.285714285714</v>
      </c>
      <c r="O50" s="78">
        <f>N50/M50</f>
        <v>85.238095238095227</v>
      </c>
      <c r="P50" s="18">
        <f>M50-J50</f>
        <v>0</v>
      </c>
      <c r="Q50" s="19">
        <f>O50-L50</f>
        <v>-3.6507936507936591</v>
      </c>
      <c r="R50" s="185">
        <f>O50/L50</f>
        <v>0.95892857142857135</v>
      </c>
      <c r="S50" s="397"/>
      <c r="T50" s="79">
        <v>0.39166666666666666</v>
      </c>
      <c r="U50" s="79">
        <v>0.47916666666666669</v>
      </c>
      <c r="V50" s="177">
        <f t="shared" ref="V50:V51" si="39">(T50-U49)*24*60</f>
        <v>14.00000000000003</v>
      </c>
      <c r="W50" s="80">
        <f t="shared" si="13"/>
        <v>126.00000000000003</v>
      </c>
      <c r="X50" s="22"/>
      <c r="Y50" s="22"/>
      <c r="Z50" s="419"/>
      <c r="AA50" s="418"/>
      <c r="AB50" s="18">
        <f>N50-K50</f>
        <v>-65.714285714286007</v>
      </c>
      <c r="AC50" s="185">
        <f>N50/K50</f>
        <v>0.95892857142857124</v>
      </c>
      <c r="AD50" s="402"/>
    </row>
    <row r="51" spans="1:30" ht="15" customHeight="1">
      <c r="A51" s="452"/>
      <c r="B51" s="56" t="str">
        <f>VLOOKUP(D51,廠價表!$C$1:$E$39,2,0)</f>
        <v>義大利麵</v>
      </c>
      <c r="C51" s="10"/>
      <c r="D51" s="11" t="s">
        <v>65</v>
      </c>
      <c r="E51" s="86"/>
      <c r="F51" s="56">
        <f>VLOOKUP(D51,廠價表!$C$1:$E$39,3,0)</f>
        <v>49.97</v>
      </c>
      <c r="G51" s="66">
        <v>3040</v>
      </c>
      <c r="H51" s="76">
        <f t="shared" si="38"/>
        <v>151908.79999999999</v>
      </c>
      <c r="I51" s="193"/>
      <c r="J51" s="16">
        <f>VLOOKUP(D51,產線配置圖!$A$2:$C$38,2,0)</f>
        <v>18</v>
      </c>
      <c r="K51" s="14">
        <f>VLOOKUP(D51,產線配置圖!$A$2:$C$38,3,0)</f>
        <v>1600</v>
      </c>
      <c r="L51" s="17">
        <f>K51/J51</f>
        <v>88.888888888888886</v>
      </c>
      <c r="M51" s="174">
        <v>18</v>
      </c>
      <c r="N51" s="77">
        <f>G51/W51*60</f>
        <v>1519.9999999999993</v>
      </c>
      <c r="O51" s="78">
        <f>N51/M51</f>
        <v>84.4444444444444</v>
      </c>
      <c r="P51" s="18">
        <f>M51-J51</f>
        <v>0</v>
      </c>
      <c r="Q51" s="19">
        <f>O51-L51</f>
        <v>-4.4444444444444855</v>
      </c>
      <c r="R51" s="185">
        <f>O51/L51</f>
        <v>0.94999999999999951</v>
      </c>
      <c r="S51" s="397"/>
      <c r="T51" s="79">
        <v>0.54166666666666663</v>
      </c>
      <c r="U51" s="44">
        <v>0.625</v>
      </c>
      <c r="V51" s="177">
        <f t="shared" si="39"/>
        <v>89.999999999999915</v>
      </c>
      <c r="W51" s="80">
        <f t="shared" si="13"/>
        <v>120.00000000000006</v>
      </c>
      <c r="X51" s="22">
        <v>0.47916666666666669</v>
      </c>
      <c r="Y51" s="22">
        <v>0.52083333333333337</v>
      </c>
      <c r="Z51" s="405"/>
      <c r="AA51" s="405"/>
      <c r="AB51" s="18">
        <f>N51-K51</f>
        <v>-80.000000000000682</v>
      </c>
      <c r="AC51" s="185">
        <f>N51/K51</f>
        <v>0.94999999999999962</v>
      </c>
      <c r="AD51" s="402"/>
    </row>
    <row r="52" spans="1:30" ht="15" customHeight="1">
      <c r="A52" s="452"/>
      <c r="B52" s="56"/>
      <c r="C52" s="23"/>
      <c r="D52" s="11"/>
      <c r="E52" s="12"/>
      <c r="F52" s="56"/>
      <c r="G52" s="66"/>
      <c r="H52" s="76"/>
      <c r="I52" s="193"/>
      <c r="J52" s="16"/>
      <c r="K52" s="14"/>
      <c r="L52" s="17"/>
      <c r="M52" s="174"/>
      <c r="N52" s="77"/>
      <c r="O52" s="78"/>
      <c r="P52" s="18"/>
      <c r="Q52" s="19"/>
      <c r="R52" s="185"/>
      <c r="S52" s="397"/>
      <c r="T52" s="79"/>
      <c r="U52" s="79"/>
      <c r="V52" s="177"/>
      <c r="W52" s="80">
        <f t="shared" si="13"/>
        <v>0</v>
      </c>
      <c r="X52" s="22"/>
      <c r="Y52" s="22"/>
      <c r="Z52" s="405"/>
      <c r="AA52" s="405"/>
      <c r="AB52" s="18"/>
      <c r="AC52" s="185"/>
      <c r="AD52" s="402"/>
    </row>
    <row r="53" spans="1:30" ht="15" customHeight="1">
      <c r="A53" s="452"/>
      <c r="B53" s="56"/>
      <c r="C53" s="23"/>
      <c r="D53" s="11"/>
      <c r="E53" s="12"/>
      <c r="F53" s="56"/>
      <c r="G53" s="66"/>
      <c r="H53" s="76"/>
      <c r="I53" s="193"/>
      <c r="J53" s="16"/>
      <c r="K53" s="14"/>
      <c r="L53" s="17"/>
      <c r="M53" s="174"/>
      <c r="N53" s="77"/>
      <c r="O53" s="78"/>
      <c r="P53" s="18"/>
      <c r="Q53" s="19"/>
      <c r="R53" s="185"/>
      <c r="S53" s="397"/>
      <c r="T53" s="79"/>
      <c r="U53" s="79"/>
      <c r="V53" s="177"/>
      <c r="W53" s="80">
        <f t="shared" si="13"/>
        <v>0</v>
      </c>
      <c r="X53" s="177"/>
      <c r="Y53" s="177"/>
      <c r="Z53" s="419"/>
      <c r="AA53" s="418"/>
      <c r="AB53" s="18"/>
      <c r="AC53" s="185"/>
      <c r="AD53" s="402"/>
    </row>
    <row r="54" spans="1:30" ht="15" customHeight="1">
      <c r="A54" s="452"/>
      <c r="B54" s="177"/>
      <c r="C54" s="183"/>
      <c r="D54" s="11"/>
      <c r="E54" s="12"/>
      <c r="F54" s="13"/>
      <c r="G54" s="66"/>
      <c r="H54" s="76">
        <f t="shared" si="38"/>
        <v>0</v>
      </c>
      <c r="I54" s="177"/>
      <c r="J54" s="31"/>
      <c r="K54" s="30"/>
      <c r="L54" s="38"/>
      <c r="M54" s="181"/>
      <c r="N54" s="30"/>
      <c r="O54" s="35"/>
      <c r="P54" s="18"/>
      <c r="Q54" s="19"/>
      <c r="R54" s="185"/>
      <c r="S54" s="397"/>
      <c r="T54" s="79"/>
      <c r="U54" s="79"/>
      <c r="V54" s="197"/>
      <c r="W54" s="80">
        <f t="shared" si="13"/>
        <v>0</v>
      </c>
      <c r="X54" s="177"/>
      <c r="Y54" s="177"/>
      <c r="Z54" s="419"/>
      <c r="AA54" s="418"/>
      <c r="AB54" s="18"/>
      <c r="AC54" s="185"/>
      <c r="AD54" s="402"/>
    </row>
    <row r="55" spans="1:30" ht="15" customHeight="1">
      <c r="A55" s="452"/>
      <c r="B55" s="26"/>
      <c r="C55" s="27"/>
      <c r="D55" s="28"/>
      <c r="E55" s="29"/>
      <c r="F55" s="13"/>
      <c r="G55" s="66"/>
      <c r="H55" s="15">
        <f t="shared" si="38"/>
        <v>0</v>
      </c>
      <c r="I55" s="177"/>
      <c r="J55" s="31"/>
      <c r="K55" s="30"/>
      <c r="L55" s="38"/>
      <c r="M55" s="181"/>
      <c r="N55" s="30"/>
      <c r="O55" s="35"/>
      <c r="P55" s="18"/>
      <c r="Q55" s="19"/>
      <c r="R55" s="185"/>
      <c r="S55" s="397"/>
      <c r="T55" s="79"/>
      <c r="U55" s="79"/>
      <c r="V55" s="197"/>
      <c r="W55" s="80">
        <f t="shared" si="13"/>
        <v>0</v>
      </c>
      <c r="X55" s="177"/>
      <c r="Y55" s="177"/>
      <c r="Z55" s="419"/>
      <c r="AA55" s="418"/>
      <c r="AB55" s="18"/>
      <c r="AC55" s="185"/>
      <c r="AD55" s="402"/>
    </row>
    <row r="56" spans="1:30" ht="15" customHeight="1">
      <c r="A56" s="452"/>
      <c r="B56" s="26"/>
      <c r="C56" s="27"/>
      <c r="D56" s="28"/>
      <c r="E56" s="29"/>
      <c r="F56" s="13"/>
      <c r="G56" s="66"/>
      <c r="H56" s="15">
        <f t="shared" si="38"/>
        <v>0</v>
      </c>
      <c r="I56" s="177"/>
      <c r="J56" s="31"/>
      <c r="K56" s="30"/>
      <c r="L56" s="38"/>
      <c r="M56" s="181"/>
      <c r="N56" s="30"/>
      <c r="O56" s="35"/>
      <c r="P56" s="18"/>
      <c r="Q56" s="19"/>
      <c r="R56" s="185"/>
      <c r="S56" s="397"/>
      <c r="T56" s="79"/>
      <c r="U56" s="79"/>
      <c r="V56" s="197"/>
      <c r="W56" s="80">
        <f t="shared" si="13"/>
        <v>0</v>
      </c>
      <c r="X56" s="177"/>
      <c r="Y56" s="177"/>
      <c r="Z56" s="405"/>
      <c r="AA56" s="405"/>
      <c r="AB56" s="18"/>
      <c r="AC56" s="185"/>
      <c r="AD56" s="402"/>
    </row>
    <row r="57" spans="1:30" ht="15" customHeight="1">
      <c r="A57" s="452"/>
      <c r="B57" s="26"/>
      <c r="C57" s="27"/>
      <c r="D57" s="28"/>
      <c r="E57" s="29"/>
      <c r="F57" s="13"/>
      <c r="G57" s="66"/>
      <c r="H57" s="15">
        <f t="shared" si="38"/>
        <v>0</v>
      </c>
      <c r="I57" s="177"/>
      <c r="J57" s="31"/>
      <c r="K57" s="30"/>
      <c r="L57" s="38"/>
      <c r="M57" s="181"/>
      <c r="N57" s="30"/>
      <c r="O57" s="35"/>
      <c r="P57" s="18"/>
      <c r="Q57" s="19"/>
      <c r="R57" s="185"/>
      <c r="S57" s="397"/>
      <c r="T57" s="79"/>
      <c r="U57" s="79"/>
      <c r="V57" s="197"/>
      <c r="W57" s="80">
        <f t="shared" si="13"/>
        <v>0</v>
      </c>
      <c r="X57" s="177"/>
      <c r="Y57" s="177"/>
      <c r="Z57" s="405"/>
      <c r="AA57" s="405"/>
      <c r="AB57" s="18"/>
      <c r="AC57" s="185"/>
      <c r="AD57" s="402"/>
    </row>
    <row r="58" spans="1:30" ht="15" customHeight="1" thickBot="1">
      <c r="A58" s="453"/>
      <c r="B58" s="165"/>
      <c r="C58" s="1" t="s">
        <v>38</v>
      </c>
      <c r="D58" s="410" t="s">
        <v>7</v>
      </c>
      <c r="E58" s="410"/>
      <c r="F58" s="114"/>
      <c r="G58" s="166"/>
      <c r="H58" s="116"/>
      <c r="I58" s="115"/>
      <c r="J58" s="118">
        <f t="shared" ref="J58:O58" si="40">AVERAGE(J49:J57)</f>
        <v>18.333333333333332</v>
      </c>
      <c r="K58" s="118">
        <f t="shared" si="40"/>
        <v>1588.3333333333333</v>
      </c>
      <c r="L58" s="115">
        <f t="shared" si="40"/>
        <v>86.715399610136458</v>
      </c>
      <c r="M58" s="118">
        <f t="shared" si="40"/>
        <v>18.333333333333332</v>
      </c>
      <c r="N58" s="118">
        <f t="shared" si="40"/>
        <v>1522.9807342784441</v>
      </c>
      <c r="O58" s="115">
        <f t="shared" si="40"/>
        <v>83.133767412594253</v>
      </c>
      <c r="P58" s="119">
        <f>M58-J58</f>
        <v>0</v>
      </c>
      <c r="Q58" s="120">
        <f>N58-K58</f>
        <v>-65.352599054889197</v>
      </c>
      <c r="R58" s="121">
        <f t="shared" ref="R58:R60" si="41">O58/L58</f>
        <v>0.95869669962146453</v>
      </c>
      <c r="S58" s="399"/>
      <c r="T58" s="167"/>
      <c r="U58" s="167"/>
      <c r="V58" s="195"/>
      <c r="W58" s="168"/>
      <c r="X58" s="124"/>
      <c r="Y58" s="124"/>
      <c r="Z58" s="391"/>
      <c r="AA58" s="391"/>
      <c r="AB58" s="119">
        <f t="shared" ref="AB58:AB62" si="42">N58-K58</f>
        <v>-65.352599054889197</v>
      </c>
      <c r="AC58" s="187">
        <f t="shared" ref="AC58:AC62" si="43">N58/K58</f>
        <v>0.95885460710080428</v>
      </c>
      <c r="AD58" s="404"/>
    </row>
    <row r="59" spans="1:30" ht="15" customHeight="1">
      <c r="A59" s="466" t="s">
        <v>57</v>
      </c>
      <c r="B59" s="199" t="str">
        <f>VLOOKUP(D59,廠價表!$C$1:$E$39,2,0)</f>
        <v>小吃、微波</v>
      </c>
      <c r="C59" s="102"/>
      <c r="D59" s="103" t="s">
        <v>125</v>
      </c>
      <c r="E59" s="104"/>
      <c r="F59" s="199">
        <f>VLOOKUP(D59,廠價表!$C$1:$E$39,3,0)</f>
        <v>26.99</v>
      </c>
      <c r="G59" s="188">
        <v>3149</v>
      </c>
      <c r="H59" s="106">
        <f t="shared" ref="H59:H68" si="44">F59*G59</f>
        <v>84991.51</v>
      </c>
      <c r="I59" s="188"/>
      <c r="J59" s="108">
        <f>VLOOKUP(D59,產線配置圖!$A$2:$C$38,2,0)</f>
        <v>13</v>
      </c>
      <c r="K59" s="105">
        <f>VLOOKUP(D59,產線配置圖!$A$2:$C$38,3,0)</f>
        <v>1565</v>
      </c>
      <c r="L59" s="109">
        <f>K59/J59</f>
        <v>120.38461538461539</v>
      </c>
      <c r="M59" s="110">
        <v>13</v>
      </c>
      <c r="N59" s="105">
        <f t="shared" ref="N59:N62" si="45">G59/W59*60</f>
        <v>1561.4876033057853</v>
      </c>
      <c r="O59" s="109">
        <f t="shared" ref="O59:O62" si="46">N59/M59</f>
        <v>120.11443102352195</v>
      </c>
      <c r="P59" s="111">
        <f t="shared" ref="P59:P62" si="47">M59-J59</f>
        <v>0</v>
      </c>
      <c r="Q59" s="112">
        <f t="shared" ref="Q59:Q62" si="48">O59-L59</f>
        <v>-0.27018436109344179</v>
      </c>
      <c r="R59" s="184">
        <f t="shared" si="41"/>
        <v>0.9977556570643995</v>
      </c>
      <c r="S59" s="396">
        <f>R69</f>
        <v>0.89635337047500874</v>
      </c>
      <c r="T59" s="169">
        <v>0.2902777777777778</v>
      </c>
      <c r="U59" s="169">
        <v>0.37430555555555556</v>
      </c>
      <c r="V59" s="188"/>
      <c r="W59" s="107">
        <f t="shared" si="13"/>
        <v>120.99999999999997</v>
      </c>
      <c r="X59" s="188"/>
      <c r="Y59" s="188"/>
      <c r="Z59" s="405"/>
      <c r="AA59" s="405"/>
      <c r="AB59" s="225">
        <f t="shared" si="42"/>
        <v>-3.5123966942146581</v>
      </c>
      <c r="AC59" s="226">
        <f t="shared" si="43"/>
        <v>0.99775565706439961</v>
      </c>
      <c r="AD59" s="401">
        <f>AC69</f>
        <v>0.89662741266865587</v>
      </c>
    </row>
    <row r="60" spans="1:30" ht="15" customHeight="1">
      <c r="A60" s="467"/>
      <c r="B60" s="56" t="str">
        <f>VLOOKUP(D60,廠價表!$C$1:$E$39,2,0)</f>
        <v>小吃、微波</v>
      </c>
      <c r="C60" s="10"/>
      <c r="D60" s="11" t="s">
        <v>146</v>
      </c>
      <c r="E60" s="86"/>
      <c r="F60" s="56">
        <f>VLOOKUP(D60,廠價表!$C$1:$E$39,3,0)</f>
        <v>28.47</v>
      </c>
      <c r="G60" s="177">
        <v>980</v>
      </c>
      <c r="H60" s="15">
        <f t="shared" si="44"/>
        <v>27900.6</v>
      </c>
      <c r="I60" s="177"/>
      <c r="J60" s="16">
        <f>VLOOKUP(D60,產線配置圖!$A$2:$C$38,2,0)</f>
        <v>12</v>
      </c>
      <c r="K60" s="14">
        <f>VLOOKUP(D60,產線配置圖!$A$2:$C$38,3,0)</f>
        <v>1565</v>
      </c>
      <c r="L60" s="17">
        <f>K60/J60</f>
        <v>130.41666666666666</v>
      </c>
      <c r="M60" s="180">
        <v>12</v>
      </c>
      <c r="N60" s="14">
        <f t="shared" si="45"/>
        <v>1470.0000000000023</v>
      </c>
      <c r="O60" s="17">
        <f t="shared" si="46"/>
        <v>122.50000000000018</v>
      </c>
      <c r="P60" s="18">
        <f t="shared" si="47"/>
        <v>0</v>
      </c>
      <c r="Q60" s="19">
        <f t="shared" si="48"/>
        <v>-7.9166666666664725</v>
      </c>
      <c r="R60" s="185">
        <f t="shared" si="41"/>
        <v>0.93929712460064041</v>
      </c>
      <c r="S60" s="470"/>
      <c r="T60" s="198">
        <v>0.38472222222222224</v>
      </c>
      <c r="U60" s="198">
        <v>0.41249999999999998</v>
      </c>
      <c r="V60" s="177">
        <f t="shared" ref="V60:V62" si="49">(T60-U59)*24*60</f>
        <v>15.000000000000027</v>
      </c>
      <c r="W60" s="90">
        <f t="shared" si="13"/>
        <v>39.999999999999936</v>
      </c>
      <c r="X60" s="193"/>
      <c r="Y60" s="193"/>
      <c r="Z60" s="405"/>
      <c r="AA60" s="405"/>
      <c r="AB60" s="227">
        <f t="shared" si="42"/>
        <v>-94.999999999997726</v>
      </c>
      <c r="AC60" s="228">
        <f t="shared" si="43"/>
        <v>0.93929712460064041</v>
      </c>
      <c r="AD60" s="473"/>
    </row>
    <row r="61" spans="1:30" ht="15" customHeight="1">
      <c r="A61" s="468"/>
      <c r="B61" s="56" t="str">
        <f>VLOOKUP(D61,廠價表!$C$1:$E$39,2,0)</f>
        <v>小吃、微波</v>
      </c>
      <c r="C61" s="10"/>
      <c r="D61" s="242" t="s">
        <v>135</v>
      </c>
      <c r="E61" s="86"/>
      <c r="F61" s="56">
        <f>VLOOKUP(D61,廠價表!$C$1:$E$39,3,0)</f>
        <v>28.26</v>
      </c>
      <c r="G61" s="177">
        <v>2630</v>
      </c>
      <c r="H61" s="15">
        <f t="shared" si="44"/>
        <v>74323.8</v>
      </c>
      <c r="I61" s="81"/>
      <c r="J61" s="16">
        <f>VLOOKUP(D61,產線配置圖!$A$2:$C$38,2,0)</f>
        <v>12</v>
      </c>
      <c r="K61" s="14">
        <f>VLOOKUP(D61,產線配置圖!$A$2:$C$38,3,0)</f>
        <v>1565</v>
      </c>
      <c r="L61" s="17">
        <f t="shared" ref="L61:L62" si="50">K61/J61</f>
        <v>130.41666666666666</v>
      </c>
      <c r="M61" s="180">
        <v>12</v>
      </c>
      <c r="N61" s="14">
        <f t="shared" si="45"/>
        <v>1314.9999999999995</v>
      </c>
      <c r="O61" s="17">
        <f t="shared" si="46"/>
        <v>109.5833333333333</v>
      </c>
      <c r="P61" s="18">
        <f t="shared" si="47"/>
        <v>0</v>
      </c>
      <c r="Q61" s="19">
        <f t="shared" si="48"/>
        <v>-20.833333333333357</v>
      </c>
      <c r="R61" s="185">
        <f>O61/L61</f>
        <v>0.84025559105431291</v>
      </c>
      <c r="S61" s="397"/>
      <c r="T61" s="20">
        <v>0.43402777777777779</v>
      </c>
      <c r="U61" s="20">
        <v>0.51736111111111116</v>
      </c>
      <c r="V61" s="177">
        <f t="shared" si="49"/>
        <v>31.00000000000005</v>
      </c>
      <c r="W61" s="88">
        <f t="shared" si="13"/>
        <v>120.00000000000006</v>
      </c>
      <c r="X61" s="22"/>
      <c r="Y61" s="22"/>
      <c r="Z61" s="405"/>
      <c r="AA61" s="405"/>
      <c r="AB61" s="51">
        <f t="shared" si="42"/>
        <v>-250.00000000000045</v>
      </c>
      <c r="AC61" s="52">
        <f t="shared" si="43"/>
        <v>0.8402555910543128</v>
      </c>
      <c r="AD61" s="402"/>
    </row>
    <row r="62" spans="1:30" ht="15" customHeight="1">
      <c r="A62" s="468"/>
      <c r="B62" s="56" t="str">
        <f>VLOOKUP(D62,廠價表!$C$1:$E$39,2,0)</f>
        <v>小吃、微波</v>
      </c>
      <c r="C62" s="23"/>
      <c r="D62" s="242" t="s">
        <v>125</v>
      </c>
      <c r="E62" s="12"/>
      <c r="F62" s="56">
        <f>VLOOKUP(D62,廠價表!$C$1:$E$39,3,0)</f>
        <v>26.99</v>
      </c>
      <c r="G62" s="177">
        <v>1583</v>
      </c>
      <c r="H62" s="15">
        <f t="shared" si="44"/>
        <v>42725.17</v>
      </c>
      <c r="I62" s="81"/>
      <c r="J62" s="16">
        <f>VLOOKUP(D62,產線配置圖!$A$2:$C$38,2,0)</f>
        <v>13</v>
      </c>
      <c r="K62" s="14">
        <f>VLOOKUP(D62,產線配置圖!$A$2:$C$38,3,0)</f>
        <v>1565</v>
      </c>
      <c r="L62" s="17">
        <f t="shared" si="50"/>
        <v>120.38461538461539</v>
      </c>
      <c r="M62" s="180">
        <v>13</v>
      </c>
      <c r="N62" s="14">
        <f t="shared" si="45"/>
        <v>1266.3999999999992</v>
      </c>
      <c r="O62" s="17">
        <f t="shared" si="46"/>
        <v>97.415384615384554</v>
      </c>
      <c r="P62" s="18">
        <f t="shared" si="47"/>
        <v>0</v>
      </c>
      <c r="Q62" s="19">
        <f t="shared" si="48"/>
        <v>-22.969230769230833</v>
      </c>
      <c r="R62" s="185">
        <f>O62/L62</f>
        <v>0.80920127795527108</v>
      </c>
      <c r="S62" s="397"/>
      <c r="T62" s="20">
        <v>0.56944444444444442</v>
      </c>
      <c r="U62" s="20">
        <v>0.62152777777777779</v>
      </c>
      <c r="V62" s="177">
        <f t="shared" si="49"/>
        <v>74.999999999999886</v>
      </c>
      <c r="W62" s="90">
        <f t="shared" si="13"/>
        <v>75.000000000000057</v>
      </c>
      <c r="X62" s="22">
        <v>0.52083333333333337</v>
      </c>
      <c r="Y62" s="22">
        <v>0.5625</v>
      </c>
      <c r="Z62" s="405"/>
      <c r="AA62" s="405"/>
      <c r="AB62" s="51">
        <f t="shared" si="42"/>
        <v>-298.60000000000082</v>
      </c>
      <c r="AC62" s="52">
        <f t="shared" si="43"/>
        <v>0.80920127795527108</v>
      </c>
      <c r="AD62" s="402"/>
    </row>
    <row r="63" spans="1:30" ht="15" customHeight="1">
      <c r="A63" s="468"/>
      <c r="B63" s="56"/>
      <c r="C63" s="10"/>
      <c r="D63" s="242"/>
      <c r="E63" s="86"/>
      <c r="F63" s="56"/>
      <c r="G63" s="177"/>
      <c r="H63" s="15"/>
      <c r="I63" s="81"/>
      <c r="J63" s="16"/>
      <c r="K63" s="14"/>
      <c r="L63" s="17"/>
      <c r="M63" s="180"/>
      <c r="N63" s="14"/>
      <c r="O63" s="17"/>
      <c r="P63" s="18"/>
      <c r="Q63" s="19"/>
      <c r="R63" s="185"/>
      <c r="S63" s="397"/>
      <c r="T63" s="20"/>
      <c r="U63" s="20"/>
      <c r="V63" s="177"/>
      <c r="W63" s="90">
        <f t="shared" si="13"/>
        <v>0</v>
      </c>
      <c r="X63" s="84"/>
      <c r="Y63" s="84"/>
      <c r="Z63" s="405"/>
      <c r="AA63" s="405"/>
      <c r="AB63" s="51"/>
      <c r="AC63" s="52"/>
      <c r="AD63" s="402"/>
    </row>
    <row r="64" spans="1:30" ht="15" customHeight="1">
      <c r="A64" s="468"/>
      <c r="B64" s="56"/>
      <c r="C64" s="10"/>
      <c r="D64" s="242"/>
      <c r="E64" s="86"/>
      <c r="F64" s="56"/>
      <c r="G64" s="177"/>
      <c r="H64" s="15"/>
      <c r="I64" s="81"/>
      <c r="J64" s="16"/>
      <c r="K64" s="14"/>
      <c r="L64" s="17"/>
      <c r="M64" s="180"/>
      <c r="N64" s="14"/>
      <c r="O64" s="17"/>
      <c r="P64" s="18"/>
      <c r="Q64" s="19"/>
      <c r="R64" s="185"/>
      <c r="S64" s="397"/>
      <c r="T64" s="20"/>
      <c r="U64" s="20"/>
      <c r="V64" s="177"/>
      <c r="W64" s="182">
        <f t="shared" si="13"/>
        <v>0</v>
      </c>
      <c r="X64" s="84"/>
      <c r="Y64" s="84"/>
      <c r="Z64" s="419"/>
      <c r="AA64" s="418"/>
      <c r="AB64" s="18"/>
      <c r="AC64" s="55"/>
      <c r="AD64" s="402"/>
    </row>
    <row r="65" spans="1:32" ht="15" customHeight="1">
      <c r="A65" s="468"/>
      <c r="B65" s="177"/>
      <c r="C65" s="183"/>
      <c r="D65" s="11"/>
      <c r="E65" s="12"/>
      <c r="F65" s="13"/>
      <c r="G65" s="177"/>
      <c r="H65" s="15"/>
      <c r="I65" s="177"/>
      <c r="J65" s="16"/>
      <c r="K65" s="82"/>
      <c r="L65" s="83"/>
      <c r="M65" s="180"/>
      <c r="N65" s="14"/>
      <c r="O65" s="17"/>
      <c r="P65" s="18"/>
      <c r="Q65" s="19"/>
      <c r="R65" s="185"/>
      <c r="S65" s="397"/>
      <c r="T65" s="20"/>
      <c r="U65" s="20"/>
      <c r="V65" s="177"/>
      <c r="W65" s="182">
        <f t="shared" si="13"/>
        <v>0</v>
      </c>
      <c r="X65" s="84"/>
      <c r="Y65" s="84"/>
      <c r="Z65" s="419"/>
      <c r="AA65" s="418"/>
      <c r="AB65" s="18"/>
      <c r="AC65" s="55"/>
      <c r="AD65" s="402"/>
    </row>
    <row r="66" spans="1:32" ht="15" customHeight="1">
      <c r="A66" s="468"/>
      <c r="B66" s="26"/>
      <c r="C66" s="27"/>
      <c r="D66" s="28"/>
      <c r="E66" s="29"/>
      <c r="F66" s="13"/>
      <c r="G66" s="183"/>
      <c r="H66" s="15">
        <f t="shared" si="44"/>
        <v>0</v>
      </c>
      <c r="I66" s="85"/>
      <c r="J66" s="16"/>
      <c r="K66" s="14"/>
      <c r="L66" s="17"/>
      <c r="M66" s="21"/>
      <c r="N66" s="36"/>
      <c r="O66" s="38"/>
      <c r="P66" s="39"/>
      <c r="Q66" s="40"/>
      <c r="R66" s="68"/>
      <c r="S66" s="397"/>
      <c r="T66" s="20"/>
      <c r="U66" s="20"/>
      <c r="V66" s="177"/>
      <c r="W66" s="182">
        <f t="shared" si="13"/>
        <v>0</v>
      </c>
      <c r="X66" s="84"/>
      <c r="Y66" s="84"/>
      <c r="Z66" s="405"/>
      <c r="AA66" s="405"/>
      <c r="AB66" s="18"/>
      <c r="AC66" s="55"/>
      <c r="AD66" s="402"/>
    </row>
    <row r="67" spans="1:32" ht="15" customHeight="1">
      <c r="A67" s="468"/>
      <c r="B67" s="26"/>
      <c r="C67" s="27"/>
      <c r="D67" s="28"/>
      <c r="E67" s="29"/>
      <c r="F67" s="13"/>
      <c r="G67" s="177"/>
      <c r="H67" s="15">
        <f t="shared" si="44"/>
        <v>0</v>
      </c>
      <c r="I67" s="177"/>
      <c r="J67" s="16"/>
      <c r="K67" s="14"/>
      <c r="L67" s="17"/>
      <c r="M67" s="21"/>
      <c r="N67" s="36"/>
      <c r="O67" s="38"/>
      <c r="P67" s="39"/>
      <c r="Q67" s="40"/>
      <c r="R67" s="68"/>
      <c r="S67" s="397"/>
      <c r="T67" s="20"/>
      <c r="U67" s="20"/>
      <c r="V67" s="177"/>
      <c r="W67" s="182">
        <f t="shared" si="13"/>
        <v>0</v>
      </c>
      <c r="X67" s="84"/>
      <c r="Y67" s="84"/>
      <c r="Z67" s="419"/>
      <c r="AA67" s="418"/>
      <c r="AB67" s="18"/>
      <c r="AC67" s="55"/>
      <c r="AD67" s="402"/>
    </row>
    <row r="68" spans="1:32" ht="15" customHeight="1">
      <c r="A68" s="468"/>
      <c r="B68" s="26"/>
      <c r="C68" s="27"/>
      <c r="D68" s="28"/>
      <c r="E68" s="29"/>
      <c r="F68" s="13"/>
      <c r="G68" s="183"/>
      <c r="H68" s="15">
        <f t="shared" si="44"/>
        <v>0</v>
      </c>
      <c r="I68" s="85"/>
      <c r="J68" s="16"/>
      <c r="K68" s="260"/>
      <c r="L68" s="261"/>
      <c r="M68" s="21"/>
      <c r="N68" s="36"/>
      <c r="O68" s="38"/>
      <c r="P68" s="39"/>
      <c r="Q68" s="40"/>
      <c r="R68" s="68"/>
      <c r="S68" s="397"/>
      <c r="T68" s="20"/>
      <c r="U68" s="20"/>
      <c r="V68" s="177"/>
      <c r="W68" s="182">
        <f t="shared" si="13"/>
        <v>0</v>
      </c>
      <c r="X68" s="84"/>
      <c r="Y68" s="84"/>
      <c r="Z68" s="419"/>
      <c r="AA68" s="418"/>
      <c r="AB68" s="18"/>
      <c r="AC68" s="55"/>
      <c r="AD68" s="402"/>
    </row>
    <row r="69" spans="1:32" ht="15" customHeight="1" thickBot="1">
      <c r="A69" s="469"/>
      <c r="B69" s="165"/>
      <c r="C69" s="1" t="s">
        <v>39</v>
      </c>
      <c r="D69" s="410" t="s">
        <v>7</v>
      </c>
      <c r="E69" s="410"/>
      <c r="F69" s="114"/>
      <c r="G69" s="115"/>
      <c r="H69" s="116"/>
      <c r="I69" s="170"/>
      <c r="J69" s="166">
        <f t="shared" ref="J69:O69" si="51">AVERAGE(J59:J68)</f>
        <v>12.5</v>
      </c>
      <c r="K69" s="166">
        <f t="shared" si="51"/>
        <v>1565</v>
      </c>
      <c r="L69" s="171">
        <f t="shared" si="51"/>
        <v>125.40064102564102</v>
      </c>
      <c r="M69" s="166">
        <f t="shared" si="51"/>
        <v>12.5</v>
      </c>
      <c r="N69" s="166">
        <f t="shared" si="51"/>
        <v>1403.2219008264465</v>
      </c>
      <c r="O69" s="171">
        <f t="shared" si="51"/>
        <v>112.40328724305999</v>
      </c>
      <c r="P69" s="172">
        <f>M69-J69</f>
        <v>0</v>
      </c>
      <c r="Q69" s="158">
        <f>N69-K69</f>
        <v>-161.77809917355353</v>
      </c>
      <c r="R69" s="121">
        <f>O69/L69</f>
        <v>0.89635337047500874</v>
      </c>
      <c r="S69" s="399"/>
      <c r="T69" s="122"/>
      <c r="U69" s="122"/>
      <c r="V69" s="195"/>
      <c r="W69" s="168"/>
      <c r="X69" s="124"/>
      <c r="Y69" s="124"/>
      <c r="Z69" s="405"/>
      <c r="AA69" s="405"/>
      <c r="AB69" s="119">
        <f>N69-K69</f>
        <v>-161.77809917355353</v>
      </c>
      <c r="AC69" s="187">
        <f>N69/K69</f>
        <v>0.89662741266865587</v>
      </c>
      <c r="AD69" s="404"/>
    </row>
    <row r="70" spans="1:32" ht="15" customHeight="1">
      <c r="A70" s="461" t="s">
        <v>58</v>
      </c>
      <c r="B70" s="199" t="s">
        <v>62</v>
      </c>
      <c r="C70" s="199"/>
      <c r="D70" s="103" t="s">
        <v>158</v>
      </c>
      <c r="E70" s="104"/>
      <c r="F70" s="199">
        <f>VLOOKUP(D70,廠價表!$C$1:$E$39,3,0)</f>
        <v>47.71</v>
      </c>
      <c r="G70" s="188">
        <v>4514</v>
      </c>
      <c r="H70" s="106">
        <f t="shared" ref="H70" si="52">F70*G70</f>
        <v>215362.94</v>
      </c>
      <c r="I70" s="188"/>
      <c r="J70" s="108">
        <f>VLOOKUP(D70,產線配置圖!$A$2:$C$38,2,0)</f>
        <v>15</v>
      </c>
      <c r="K70" s="105">
        <f>VLOOKUP(D70,產線配置圖!$A$2:$C$38,3,0)</f>
        <v>1500</v>
      </c>
      <c r="L70" s="109">
        <f>K70/J70</f>
        <v>100</v>
      </c>
      <c r="M70" s="110">
        <v>15</v>
      </c>
      <c r="N70" s="105">
        <f t="shared" ref="N70" si="53">G70/W70*60</f>
        <v>1327.6470588235295</v>
      </c>
      <c r="O70" s="109">
        <f t="shared" ref="O70" si="54">N70/M70</f>
        <v>88.509803921568633</v>
      </c>
      <c r="P70" s="111">
        <f t="shared" ref="P70" si="55">M70-J70</f>
        <v>0</v>
      </c>
      <c r="Q70" s="112">
        <f t="shared" ref="Q70" si="56">O70-L70</f>
        <v>-11.490196078431367</v>
      </c>
      <c r="R70" s="184">
        <f t="shared" ref="R70" si="57">O70/L70</f>
        <v>0.88509803921568631</v>
      </c>
      <c r="S70" s="396">
        <f>R79</f>
        <v>0.89135989254694814</v>
      </c>
      <c r="T70" s="169">
        <v>0.33750000000000002</v>
      </c>
      <c r="U70" s="169">
        <v>0.47916666666666669</v>
      </c>
      <c r="V70" s="188"/>
      <c r="W70" s="107">
        <f t="shared" ref="W70:W78" si="58">(U70-T70)*24*60</f>
        <v>204</v>
      </c>
      <c r="X70" s="296"/>
      <c r="Y70" s="296"/>
      <c r="Z70" s="465"/>
      <c r="AA70" s="427"/>
      <c r="AB70" s="225">
        <f t="shared" ref="AB70:AB71" si="59">N70-K70</f>
        <v>-172.35294117647049</v>
      </c>
      <c r="AC70" s="226">
        <f t="shared" ref="AC70:AC71" si="60">N70/K70</f>
        <v>0.88509803921568631</v>
      </c>
      <c r="AD70" s="401">
        <f>AC79</f>
        <v>0.89098497867862192</v>
      </c>
    </row>
    <row r="71" spans="1:32" ht="15" customHeight="1">
      <c r="A71" s="462"/>
      <c r="B71" s="56"/>
      <c r="C71" s="10"/>
      <c r="D71" s="11"/>
      <c r="E71" s="86"/>
      <c r="F71" s="56"/>
      <c r="G71" s="66"/>
      <c r="H71" s="76"/>
      <c r="I71" s="193"/>
      <c r="J71" s="16"/>
      <c r="K71" s="14"/>
      <c r="L71" s="17"/>
      <c r="M71" s="180"/>
      <c r="N71" s="14"/>
      <c r="O71" s="17"/>
      <c r="P71" s="18"/>
      <c r="Q71" s="19"/>
      <c r="R71" s="185"/>
      <c r="S71" s="397"/>
      <c r="T71" s="20"/>
      <c r="U71" s="20"/>
      <c r="V71" s="177"/>
      <c r="W71" s="182">
        <f t="shared" si="58"/>
        <v>0</v>
      </c>
      <c r="X71" s="298"/>
      <c r="Y71" s="299"/>
      <c r="Z71" s="476"/>
      <c r="AA71" s="477"/>
      <c r="AB71" s="39">
        <f t="shared" si="59"/>
        <v>0</v>
      </c>
      <c r="AC71" s="190" t="e">
        <f t="shared" si="60"/>
        <v>#DIV/0!</v>
      </c>
      <c r="AD71" s="447"/>
    </row>
    <row r="72" spans="1:32" ht="15" customHeight="1">
      <c r="A72" s="462"/>
      <c r="B72" s="56"/>
      <c r="C72" s="10"/>
      <c r="D72" s="11"/>
      <c r="E72" s="86"/>
      <c r="F72" s="56"/>
      <c r="G72" s="66"/>
      <c r="H72" s="76"/>
      <c r="I72" s="193"/>
      <c r="J72" s="16"/>
      <c r="K72" s="14"/>
      <c r="L72" s="17"/>
      <c r="M72" s="180"/>
      <c r="N72" s="14"/>
      <c r="O72" s="17"/>
      <c r="P72" s="18"/>
      <c r="Q72" s="19"/>
      <c r="R72" s="185"/>
      <c r="S72" s="397"/>
      <c r="T72" s="20"/>
      <c r="U72" s="20"/>
      <c r="V72" s="177"/>
      <c r="W72" s="182">
        <f t="shared" si="58"/>
        <v>0</v>
      </c>
      <c r="X72" s="297"/>
      <c r="Y72" s="297"/>
      <c r="Z72" s="405"/>
      <c r="AA72" s="419"/>
      <c r="AB72" s="39"/>
      <c r="AC72" s="190"/>
      <c r="AD72" s="447"/>
    </row>
    <row r="73" spans="1:32" ht="15" customHeight="1">
      <c r="A73" s="462"/>
      <c r="B73" s="56"/>
      <c r="C73" s="23"/>
      <c r="D73" s="11"/>
      <c r="E73" s="12"/>
      <c r="F73" s="56"/>
      <c r="G73" s="66"/>
      <c r="H73" s="76"/>
      <c r="I73" s="193"/>
      <c r="J73" s="16"/>
      <c r="K73" s="14"/>
      <c r="L73" s="17"/>
      <c r="M73" s="180"/>
      <c r="N73" s="14"/>
      <c r="O73" s="17"/>
      <c r="P73" s="18"/>
      <c r="Q73" s="19"/>
      <c r="R73" s="185"/>
      <c r="S73" s="397"/>
      <c r="T73" s="20"/>
      <c r="U73" s="20"/>
      <c r="V73" s="177"/>
      <c r="W73" s="182">
        <f t="shared" si="58"/>
        <v>0</v>
      </c>
      <c r="X73" s="22"/>
      <c r="Y73" s="22"/>
      <c r="Z73" s="405"/>
      <c r="AA73" s="419"/>
      <c r="AB73" s="39"/>
      <c r="AC73" s="190"/>
      <c r="AD73" s="447"/>
    </row>
    <row r="74" spans="1:32" ht="15" customHeight="1">
      <c r="A74" s="462"/>
      <c r="B74" s="56"/>
      <c r="C74" s="249"/>
      <c r="D74" s="250"/>
      <c r="E74" s="251"/>
      <c r="F74" s="56"/>
      <c r="G74" s="238"/>
      <c r="H74" s="76">
        <f t="shared" ref="H74:H78" si="61">F74*G74</f>
        <v>0</v>
      </c>
      <c r="I74" s="81"/>
      <c r="J74" s="234"/>
      <c r="K74" s="36"/>
      <c r="L74" s="235"/>
      <c r="M74" s="21"/>
      <c r="N74" s="36"/>
      <c r="O74" s="38"/>
      <c r="P74" s="39"/>
      <c r="Q74" s="40"/>
      <c r="R74" s="190"/>
      <c r="S74" s="397"/>
      <c r="T74" s="20"/>
      <c r="U74" s="20"/>
      <c r="V74" s="177"/>
      <c r="W74" s="182">
        <f t="shared" si="58"/>
        <v>0</v>
      </c>
      <c r="X74" s="22"/>
      <c r="Y74" s="22"/>
      <c r="Z74" s="405"/>
      <c r="AA74" s="419"/>
      <c r="AB74" s="39"/>
      <c r="AC74" s="190"/>
      <c r="AD74" s="447"/>
    </row>
    <row r="75" spans="1:32" ht="15" customHeight="1">
      <c r="A75" s="462"/>
      <c r="B75" s="177"/>
      <c r="C75" s="183"/>
      <c r="D75" s="11"/>
      <c r="E75" s="12"/>
      <c r="F75" s="13"/>
      <c r="G75" s="177"/>
      <c r="H75" s="15">
        <f t="shared" si="61"/>
        <v>0</v>
      </c>
      <c r="I75" s="81"/>
      <c r="J75" s="87"/>
      <c r="K75" s="82"/>
      <c r="L75" s="83"/>
      <c r="M75" s="181"/>
      <c r="N75" s="82"/>
      <c r="O75" s="83"/>
      <c r="P75" s="73"/>
      <c r="Q75" s="74"/>
      <c r="R75" s="192"/>
      <c r="S75" s="397"/>
      <c r="T75" s="20"/>
      <c r="U75" s="20"/>
      <c r="V75" s="177"/>
      <c r="W75" s="88">
        <f t="shared" si="58"/>
        <v>0</v>
      </c>
      <c r="X75" s="89"/>
      <c r="Y75" s="89"/>
      <c r="Z75" s="406"/>
      <c r="AA75" s="406"/>
      <c r="AB75" s="306"/>
      <c r="AC75" s="307"/>
      <c r="AD75" s="402"/>
    </row>
    <row r="76" spans="1:32" ht="15" customHeight="1">
      <c r="A76" s="462"/>
      <c r="B76" s="26"/>
      <c r="C76" s="27"/>
      <c r="D76" s="28"/>
      <c r="E76" s="29"/>
      <c r="F76" s="13"/>
      <c r="G76" s="177"/>
      <c r="H76" s="15">
        <f t="shared" si="61"/>
        <v>0</v>
      </c>
      <c r="I76" s="81"/>
      <c r="J76" s="87"/>
      <c r="K76" s="82"/>
      <c r="L76" s="83"/>
      <c r="M76" s="181"/>
      <c r="N76" s="82"/>
      <c r="O76" s="83"/>
      <c r="P76" s="73"/>
      <c r="Q76" s="74"/>
      <c r="R76" s="192"/>
      <c r="S76" s="398"/>
      <c r="T76" s="20"/>
      <c r="U76" s="20"/>
      <c r="V76" s="177"/>
      <c r="W76" s="90">
        <f t="shared" si="58"/>
        <v>0</v>
      </c>
      <c r="X76" s="78"/>
      <c r="Y76" s="78"/>
      <c r="Z76" s="445"/>
      <c r="AA76" s="445"/>
      <c r="AB76" s="51"/>
      <c r="AC76" s="52"/>
      <c r="AD76" s="403"/>
    </row>
    <row r="77" spans="1:32" ht="15" customHeight="1">
      <c r="A77" s="462"/>
      <c r="B77" s="26"/>
      <c r="C77" s="27"/>
      <c r="D77" s="28"/>
      <c r="E77" s="29"/>
      <c r="F77" s="13"/>
      <c r="G77" s="177"/>
      <c r="H77" s="15">
        <f t="shared" si="61"/>
        <v>0</v>
      </c>
      <c r="I77" s="81"/>
      <c r="J77" s="87"/>
      <c r="K77" s="82"/>
      <c r="L77" s="83"/>
      <c r="M77" s="181"/>
      <c r="N77" s="82"/>
      <c r="O77" s="83"/>
      <c r="P77" s="73"/>
      <c r="Q77" s="74"/>
      <c r="R77" s="192"/>
      <c r="S77" s="398"/>
      <c r="T77" s="20"/>
      <c r="U77" s="20"/>
      <c r="V77" s="177"/>
      <c r="W77" s="182">
        <f t="shared" si="58"/>
        <v>0</v>
      </c>
      <c r="X77" s="84"/>
      <c r="Y77" s="84"/>
      <c r="Z77" s="405"/>
      <c r="AA77" s="405"/>
      <c r="AB77" s="18"/>
      <c r="AC77" s="55"/>
      <c r="AD77" s="403"/>
    </row>
    <row r="78" spans="1:32" ht="15" customHeight="1">
      <c r="A78" s="462"/>
      <c r="B78" s="26"/>
      <c r="C78" s="27"/>
      <c r="D78" s="28"/>
      <c r="E78" s="29"/>
      <c r="F78" s="13"/>
      <c r="G78" s="177"/>
      <c r="H78" s="15">
        <f t="shared" si="61"/>
        <v>0</v>
      </c>
      <c r="I78" s="85"/>
      <c r="J78" s="37"/>
      <c r="K78" s="36"/>
      <c r="L78" s="83"/>
      <c r="M78" s="21"/>
      <c r="N78" s="36"/>
      <c r="O78" s="38"/>
      <c r="P78" s="39"/>
      <c r="Q78" s="40"/>
      <c r="R78" s="190"/>
      <c r="S78" s="464"/>
      <c r="T78" s="32"/>
      <c r="U78" s="32"/>
      <c r="V78" s="178"/>
      <c r="W78" s="182">
        <f t="shared" si="58"/>
        <v>0</v>
      </c>
      <c r="X78" s="91"/>
      <c r="Y78" s="91"/>
      <c r="Z78" s="405"/>
      <c r="AA78" s="405"/>
      <c r="AB78" s="34"/>
      <c r="AC78" s="57"/>
      <c r="AD78" s="403"/>
    </row>
    <row r="79" spans="1:32" ht="15" customHeight="1" thickBot="1">
      <c r="A79" s="463"/>
      <c r="B79" s="165"/>
      <c r="C79" s="1" t="s">
        <v>40</v>
      </c>
      <c r="D79" s="410" t="s">
        <v>7</v>
      </c>
      <c r="E79" s="410"/>
      <c r="F79" s="114"/>
      <c r="G79" s="115"/>
      <c r="H79" s="173"/>
      <c r="I79" s="171"/>
      <c r="J79" s="166">
        <f t="shared" ref="J79:O79" si="62">AVERAGE(J69:J78)</f>
        <v>13.75</v>
      </c>
      <c r="K79" s="166">
        <f t="shared" si="62"/>
        <v>1532.5</v>
      </c>
      <c r="L79" s="171">
        <f t="shared" si="62"/>
        <v>112.70032051282051</v>
      </c>
      <c r="M79" s="166">
        <f t="shared" si="62"/>
        <v>13.75</v>
      </c>
      <c r="N79" s="166">
        <f t="shared" si="62"/>
        <v>1365.4344798249881</v>
      </c>
      <c r="O79" s="171">
        <f t="shared" si="62"/>
        <v>100.45654558231431</v>
      </c>
      <c r="P79" s="172">
        <f>M79-J79</f>
        <v>0</v>
      </c>
      <c r="Q79" s="158">
        <f>N79-K79</f>
        <v>-167.0655201750119</v>
      </c>
      <c r="R79" s="159">
        <f>O79/L79</f>
        <v>0.89135989254694814</v>
      </c>
      <c r="S79" s="399"/>
      <c r="T79" s="122"/>
      <c r="U79" s="122"/>
      <c r="V79" s="195"/>
      <c r="W79" s="168"/>
      <c r="X79" s="124"/>
      <c r="Y79" s="124"/>
      <c r="Z79" s="391"/>
      <c r="AA79" s="391"/>
      <c r="AB79" s="119">
        <f>N79-K79</f>
        <v>-167.0655201750119</v>
      </c>
      <c r="AC79" s="187">
        <f>N79/K79</f>
        <v>0.89098497867862192</v>
      </c>
      <c r="AD79" s="404"/>
    </row>
    <row r="80" spans="1:32">
      <c r="AF80" s="93" t="s">
        <v>41</v>
      </c>
    </row>
    <row r="81" spans="4:32">
      <c r="AF81" s="93" t="s">
        <v>42</v>
      </c>
    </row>
    <row r="82" spans="4:32">
      <c r="AF82" s="93" t="s">
        <v>43</v>
      </c>
    </row>
    <row r="83" spans="4:32">
      <c r="D83" s="220"/>
      <c r="W83" s="6"/>
      <c r="AF83" s="93" t="s">
        <v>44</v>
      </c>
    </row>
    <row r="84" spans="4:32">
      <c r="D84" s="224"/>
      <c r="W84" s="6"/>
      <c r="AF84" s="93" t="s">
        <v>45</v>
      </c>
    </row>
    <row r="85" spans="4:32">
      <c r="D85" s="224"/>
      <c r="W85" s="6"/>
      <c r="AF85" s="93" t="s">
        <v>46</v>
      </c>
    </row>
    <row r="86" spans="4:32">
      <c r="D86" s="155"/>
      <c r="W86" s="6"/>
      <c r="AF86" s="93" t="s">
        <v>47</v>
      </c>
    </row>
    <row r="87" spans="4:32">
      <c r="W87" s="6"/>
      <c r="AF87" s="93" t="s">
        <v>48</v>
      </c>
    </row>
    <row r="88" spans="4:32">
      <c r="W88" s="6"/>
      <c r="AF88" s="93" t="s">
        <v>49</v>
      </c>
    </row>
    <row r="89" spans="4:32">
      <c r="W89" s="6"/>
      <c r="AF89" s="93" t="s">
        <v>50</v>
      </c>
    </row>
    <row r="90" spans="4:32">
      <c r="W90" s="6"/>
      <c r="AF90" s="93" t="s">
        <v>51</v>
      </c>
    </row>
    <row r="91" spans="4:32">
      <c r="W91" s="6"/>
      <c r="AF91" s="93" t="s">
        <v>52</v>
      </c>
    </row>
    <row r="92" spans="4:32">
      <c r="W92" s="6"/>
      <c r="AF92" s="93" t="s">
        <v>53</v>
      </c>
    </row>
  </sheetData>
  <autoFilter ref="D1:D92" xr:uid="{EF5AD393-5A39-4C0E-A7B0-465235F2AB14}"/>
  <mergeCells count="135"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  <mergeCell ref="D69:E69"/>
    <mergeCell ref="Z69:AA69"/>
    <mergeCell ref="A70:A79"/>
    <mergeCell ref="S70:S79"/>
    <mergeCell ref="Z70:AA70"/>
    <mergeCell ref="D79:E79"/>
    <mergeCell ref="A59:A69"/>
    <mergeCell ref="S59:S69"/>
    <mergeCell ref="Z59:AA59"/>
    <mergeCell ref="AD59:AD69"/>
    <mergeCell ref="Z60:AA60"/>
    <mergeCell ref="Z61:AA61"/>
    <mergeCell ref="Z62:AA62"/>
    <mergeCell ref="Z63:AA63"/>
    <mergeCell ref="Z64:AA64"/>
    <mergeCell ref="Z65:AA65"/>
    <mergeCell ref="AD49:AD58"/>
    <mergeCell ref="Z50:AA50"/>
    <mergeCell ref="Z51:AA51"/>
    <mergeCell ref="Z52:AA52"/>
    <mergeCell ref="Z53:AA53"/>
    <mergeCell ref="Z54:AA54"/>
    <mergeCell ref="Z55:AA55"/>
    <mergeCell ref="Z56:AA56"/>
    <mergeCell ref="Z57:AA57"/>
    <mergeCell ref="Z58:AA58"/>
    <mergeCell ref="Z66:AA66"/>
    <mergeCell ref="Z67:AA67"/>
    <mergeCell ref="Z68:AA68"/>
    <mergeCell ref="D48:E48"/>
    <mergeCell ref="Z48:AA48"/>
    <mergeCell ref="A49:A58"/>
    <mergeCell ref="S49:S58"/>
    <mergeCell ref="Z49:AA49"/>
    <mergeCell ref="D58:E58"/>
    <mergeCell ref="A38:A48"/>
    <mergeCell ref="S38:S48"/>
    <mergeCell ref="Z38:AA38"/>
    <mergeCell ref="AD38:AD48"/>
    <mergeCell ref="Z39:AA39"/>
    <mergeCell ref="Z40:AA40"/>
    <mergeCell ref="Z41:AA41"/>
    <mergeCell ref="Z42:AA42"/>
    <mergeCell ref="Z43:AA43"/>
    <mergeCell ref="Z44:AA44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Z45:AA45"/>
    <mergeCell ref="Z46:AA46"/>
    <mergeCell ref="Z47:AA47"/>
    <mergeCell ref="D26:E26"/>
    <mergeCell ref="Z26:AA26"/>
    <mergeCell ref="A27:A37"/>
    <mergeCell ref="S27:S37"/>
    <mergeCell ref="Z27:AA27"/>
    <mergeCell ref="D37:E37"/>
    <mergeCell ref="Z37:AA37"/>
    <mergeCell ref="A16:A26"/>
    <mergeCell ref="S16:S26"/>
    <mergeCell ref="Z16:AA16"/>
    <mergeCell ref="AD16:AD26"/>
    <mergeCell ref="Z17:AA17"/>
    <mergeCell ref="Z18:AA18"/>
    <mergeCell ref="Z19:AA19"/>
    <mergeCell ref="Z20:AA20"/>
    <mergeCell ref="Z21:AA21"/>
    <mergeCell ref="Z22:AA22"/>
    <mergeCell ref="Z10:AA10"/>
    <mergeCell ref="Z11:AA11"/>
    <mergeCell ref="Z12:AA12"/>
    <mergeCell ref="Z13:AA13"/>
    <mergeCell ref="Z14:AA14"/>
    <mergeCell ref="Z23:AA23"/>
    <mergeCell ref="Z24:AA24"/>
    <mergeCell ref="Z25:AA25"/>
    <mergeCell ref="Z15:AA15"/>
    <mergeCell ref="S5:S15"/>
    <mergeCell ref="Z5:AA5"/>
    <mergeCell ref="AD5:AD15"/>
    <mergeCell ref="Z6:AA6"/>
    <mergeCell ref="Z7:AA7"/>
    <mergeCell ref="Z8:AA8"/>
    <mergeCell ref="Z9:AA9"/>
    <mergeCell ref="T3:U3"/>
    <mergeCell ref="V3:V4"/>
    <mergeCell ref="W3:W4"/>
    <mergeCell ref="X3:Y3"/>
    <mergeCell ref="Z3:AA4"/>
    <mergeCell ref="AB3:AB4"/>
    <mergeCell ref="S3:S4"/>
    <mergeCell ref="A2:B2"/>
    <mergeCell ref="A3:A4"/>
    <mergeCell ref="B3:B4"/>
    <mergeCell ref="D3:E4"/>
    <mergeCell ref="F3:F4"/>
    <mergeCell ref="G3:G4"/>
    <mergeCell ref="J1:L2"/>
    <mergeCell ref="M1:O2"/>
    <mergeCell ref="D15:E15"/>
    <mergeCell ref="A5:A15"/>
    <mergeCell ref="N3:N4"/>
    <mergeCell ref="O3:O4"/>
    <mergeCell ref="P1:S2"/>
    <mergeCell ref="T1:Y2"/>
    <mergeCell ref="Z1:AA2"/>
    <mergeCell ref="AB1:AD2"/>
    <mergeCell ref="H3:H4"/>
    <mergeCell ref="I3:I4"/>
    <mergeCell ref="J3:J4"/>
    <mergeCell ref="K3:K4"/>
    <mergeCell ref="L3:L4"/>
    <mergeCell ref="M3:M4"/>
    <mergeCell ref="AC3:AC4"/>
    <mergeCell ref="AD3:AD4"/>
    <mergeCell ref="P3:P4"/>
    <mergeCell ref="Q3:Q4"/>
    <mergeCell ref="R3:R4"/>
  </mergeCells>
  <phoneticPr fontId="2" type="noConversion"/>
  <conditionalFormatting sqref="P5:P79">
    <cfRule type="cellIs" dxfId="208" priority="1" operator="greaterThan">
      <formula>0</formula>
    </cfRule>
  </conditionalFormatting>
  <conditionalFormatting sqref="Q5:Q79 AB5:AB79">
    <cfRule type="cellIs" dxfId="207" priority="4" operator="lessThan">
      <formula>0</formula>
    </cfRule>
  </conditionalFormatting>
  <conditionalFormatting sqref="R5:R79 AC5:AC79">
    <cfRule type="cellIs" dxfId="206" priority="2" operator="greaterThan">
      <formula>1</formula>
    </cfRule>
    <cfRule type="cellIs" dxfId="205" priority="3" operator="lessThan">
      <formula>0.8</formula>
    </cfRule>
  </conditionalFormatting>
  <conditionalFormatting sqref="S5:S10 S37:S62 AD59:AD62 S69:S76 AD69:AD76">
    <cfRule type="cellIs" dxfId="204" priority="7" operator="lessThan">
      <formula>0.8</formula>
    </cfRule>
  </conditionalFormatting>
  <conditionalFormatting sqref="S19:S25 AD19:AD25">
    <cfRule type="cellIs" dxfId="203" priority="6" operator="lessThan">
      <formula>0.8</formula>
    </cfRule>
  </conditionalFormatting>
  <conditionalFormatting sqref="S79">
    <cfRule type="cellIs" dxfId="202" priority="5" operator="lessThan">
      <formula>0.8</formula>
    </cfRule>
  </conditionalFormatting>
  <conditionalFormatting sqref="AD5:AD8 S15:S16 AD15:AD16 AD49 AD79">
    <cfRule type="cellIs" dxfId="201" priority="9" operator="lessThan">
      <formula>0.8</formula>
    </cfRule>
  </conditionalFormatting>
  <conditionalFormatting sqref="AD27 S27:S28">
    <cfRule type="cellIs" dxfId="20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A98AC97-EB12-4739-87B9-661FB2859059}">
          <x14:formula1>
            <xm:f>廠價表!$C$2:$C$37</xm:f>
          </x14:formula1>
          <xm:sqref>D1:D1048576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1F34F-FDE4-4A27-AA81-9209FD3ACBED}">
  <sheetPr>
    <pageSetUpPr fitToPage="1"/>
  </sheetPr>
  <dimension ref="B1:O22"/>
  <sheetViews>
    <sheetView zoomScale="70" zoomScaleNormal="70" workbookViewId="0">
      <selection activeCell="Q65" sqref="Q65"/>
    </sheetView>
  </sheetViews>
  <sheetFormatPr defaultColWidth="8.125" defaultRowHeight="15.75"/>
  <cols>
    <col min="1" max="1" width="8.125" style="203"/>
    <col min="2" max="2" width="7.125" style="203" customWidth="1"/>
    <col min="3" max="3" width="7.125" style="218" customWidth="1"/>
    <col min="4" max="17" width="14.125" style="203" customWidth="1"/>
    <col min="18" max="21" width="9.625" style="203" customWidth="1"/>
    <col min="22" max="22" width="11.125" style="203" customWidth="1"/>
    <col min="23" max="23" width="11.5" style="203" customWidth="1"/>
    <col min="24" max="16384" width="8.125" style="203"/>
  </cols>
  <sheetData>
    <row r="1" spans="2:15" ht="27.75" customHeight="1">
      <c r="B1" s="345" t="s">
        <v>73</v>
      </c>
      <c r="C1" s="345"/>
      <c r="D1" s="345"/>
      <c r="E1" s="345"/>
      <c r="F1" s="345"/>
      <c r="G1" s="345"/>
      <c r="H1" s="345"/>
      <c r="I1" s="345"/>
      <c r="J1" s="345"/>
      <c r="K1" s="345"/>
      <c r="L1" s="202"/>
      <c r="M1" s="202"/>
    </row>
    <row r="2" spans="2:15" ht="27.75" customHeight="1"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202"/>
      <c r="M2" s="202"/>
    </row>
    <row r="3" spans="2:15" ht="46.5" customHeight="1">
      <c r="B3" s="342" t="s">
        <v>74</v>
      </c>
      <c r="C3" s="342"/>
      <c r="D3" s="346">
        <v>45972</v>
      </c>
      <c r="E3" s="346"/>
      <c r="F3" s="204" t="s">
        <v>75</v>
      </c>
      <c r="G3" s="347">
        <f>'1111'!E1</f>
        <v>56087</v>
      </c>
      <c r="H3" s="347"/>
      <c r="I3" s="204" t="s">
        <v>76</v>
      </c>
      <c r="J3" s="348">
        <f>'1111'!G1</f>
        <v>2718513.6799999997</v>
      </c>
      <c r="K3" s="348"/>
      <c r="L3" s="205"/>
    </row>
    <row r="4" spans="2:15" ht="24" customHeight="1">
      <c r="B4" s="342" t="s">
        <v>77</v>
      </c>
      <c r="C4" s="342"/>
      <c r="D4" s="343">
        <v>3</v>
      </c>
      <c r="E4" s="343"/>
      <c r="F4" s="344" t="s">
        <v>78</v>
      </c>
      <c r="G4" s="344"/>
      <c r="H4" s="344" t="s">
        <v>79</v>
      </c>
      <c r="I4" s="344"/>
      <c r="J4" s="343" t="s">
        <v>80</v>
      </c>
      <c r="K4" s="344"/>
      <c r="L4" s="206"/>
    </row>
    <row r="5" spans="2:15" ht="24" customHeight="1">
      <c r="B5" s="342" t="s">
        <v>81</v>
      </c>
      <c r="C5" s="342"/>
      <c r="D5" s="343" t="s">
        <v>82</v>
      </c>
      <c r="E5" s="343"/>
      <c r="F5" s="343" t="s">
        <v>83</v>
      </c>
      <c r="G5" s="343"/>
      <c r="H5" s="369" t="s">
        <v>62</v>
      </c>
      <c r="I5" s="369"/>
      <c r="J5" s="341" t="s">
        <v>84</v>
      </c>
      <c r="K5" s="341"/>
      <c r="L5" s="207"/>
    </row>
    <row r="6" spans="2:15" ht="39.6" customHeight="1">
      <c r="B6" s="342"/>
      <c r="C6" s="342"/>
      <c r="D6" s="342" t="s">
        <v>85</v>
      </c>
      <c r="E6" s="342"/>
      <c r="F6" s="356">
        <f>AVERAGE(D13:J13)</f>
        <v>112.66187817457168</v>
      </c>
      <c r="G6" s="356"/>
      <c r="H6" s="349">
        <f>AVERAGE(D13:H13)</f>
        <v>110.95312517089607</v>
      </c>
      <c r="I6" s="349"/>
      <c r="J6" s="349">
        <f>AVERAGE(I13:J13)</f>
        <v>116.93376068376068</v>
      </c>
      <c r="K6" s="349"/>
      <c r="L6" s="207"/>
    </row>
    <row r="7" spans="2:15" s="208" customFormat="1" ht="39.6" customHeight="1">
      <c r="B7" s="342"/>
      <c r="C7" s="342"/>
      <c r="D7" s="350" t="s">
        <v>86</v>
      </c>
      <c r="E7" s="350"/>
      <c r="F7" s="351">
        <f>AVERAGE(D14:J14)</f>
        <v>100.68372963896563</v>
      </c>
      <c r="G7" s="351"/>
      <c r="H7" s="352">
        <f>AVERAGE(D14:H14)</f>
        <v>99.747949626069527</v>
      </c>
      <c r="I7" s="352"/>
      <c r="J7" s="352">
        <f>AVERAGE(I14:J14)</f>
        <v>103.02317967120592</v>
      </c>
      <c r="K7" s="352"/>
    </row>
    <row r="8" spans="2:15" s="208" customFormat="1" ht="39.6" customHeight="1">
      <c r="B8" s="342"/>
      <c r="C8" s="342"/>
      <c r="D8" s="350" t="s">
        <v>87</v>
      </c>
      <c r="E8" s="350"/>
      <c r="F8" s="353">
        <f>AVERAGE(D15:J15)</f>
        <v>0.88819495498573764</v>
      </c>
      <c r="G8" s="353"/>
      <c r="H8" s="353">
        <f>AVERAGE(D15:H15)</f>
        <v>0.89219081825854085</v>
      </c>
      <c r="I8" s="353"/>
      <c r="J8" s="353">
        <f>AVERAGE(I15:J15)</f>
        <v>0.8782052968037295</v>
      </c>
      <c r="K8" s="353"/>
      <c r="L8" s="209" t="s">
        <v>88</v>
      </c>
    </row>
    <row r="9" spans="2:15" ht="25.5" customHeight="1">
      <c r="B9" s="207"/>
      <c r="C9" s="207"/>
      <c r="D9" s="207"/>
      <c r="E9" s="207"/>
      <c r="F9" s="207"/>
      <c r="G9" s="207"/>
      <c r="H9" s="210"/>
      <c r="I9" s="211"/>
      <c r="J9" s="211"/>
      <c r="K9" s="211"/>
      <c r="L9" s="211"/>
      <c r="M9" s="211"/>
      <c r="N9" s="211"/>
      <c r="O9" s="207"/>
    </row>
    <row r="10" spans="2:15" ht="30" customHeight="1">
      <c r="B10" s="354" t="s">
        <v>0</v>
      </c>
      <c r="C10" s="355"/>
      <c r="D10" s="357" t="s">
        <v>89</v>
      </c>
      <c r="E10" s="358"/>
      <c r="F10" s="358"/>
      <c r="G10" s="358"/>
      <c r="H10" s="358"/>
      <c r="I10" s="358"/>
      <c r="J10" s="359"/>
    </row>
    <row r="11" spans="2:15" ht="17.25" customHeight="1">
      <c r="B11" s="360" t="s">
        <v>90</v>
      </c>
      <c r="C11" s="361"/>
      <c r="D11" s="212">
        <v>1</v>
      </c>
      <c r="E11" s="212">
        <v>2</v>
      </c>
      <c r="F11" s="212">
        <v>3</v>
      </c>
      <c r="G11" s="212">
        <v>4</v>
      </c>
      <c r="H11" s="212">
        <v>5</v>
      </c>
      <c r="I11" s="212">
        <v>6</v>
      </c>
      <c r="J11" s="212">
        <v>7</v>
      </c>
    </row>
    <row r="12" spans="2:15" ht="33.950000000000003" customHeight="1">
      <c r="B12" s="362"/>
      <c r="C12" s="363"/>
      <c r="D12" s="213" t="s">
        <v>91</v>
      </c>
      <c r="E12" s="213" t="s">
        <v>92</v>
      </c>
      <c r="F12" s="213" t="s">
        <v>93</v>
      </c>
      <c r="G12" s="213" t="s">
        <v>94</v>
      </c>
      <c r="H12" s="213" t="s">
        <v>95</v>
      </c>
      <c r="I12" s="213" t="s">
        <v>96</v>
      </c>
      <c r="J12" s="213" t="s">
        <v>97</v>
      </c>
    </row>
    <row r="13" spans="2:15" ht="39.950000000000003" customHeight="1">
      <c r="B13" s="364" t="s">
        <v>1</v>
      </c>
      <c r="C13" s="214" t="s">
        <v>98</v>
      </c>
      <c r="D13" s="215">
        <f>VALUE('1111'!L15)</f>
        <v>136.84126984126985</v>
      </c>
      <c r="E13" s="215">
        <f>VALUE('1111'!L26)</f>
        <v>148.75274725274727</v>
      </c>
      <c r="F13" s="215">
        <f>VALUE('1111'!L37)</f>
        <v>89.189542483660134</v>
      </c>
      <c r="G13" s="215">
        <f>VALUE('1111'!L48)</f>
        <v>93.266666666666666</v>
      </c>
      <c r="H13" s="215">
        <f>VALUE('1111'!L58)</f>
        <v>86.715399610136458</v>
      </c>
      <c r="I13" s="215">
        <f>VALUE('1111'!L69)</f>
        <v>125.40064102564102</v>
      </c>
      <c r="J13" s="215">
        <f>VALUE('1111'!L79)</f>
        <v>108.46688034188033</v>
      </c>
    </row>
    <row r="14" spans="2:15" ht="39.950000000000003" customHeight="1">
      <c r="B14" s="365"/>
      <c r="C14" s="214" t="s">
        <v>99</v>
      </c>
      <c r="D14" s="215">
        <f>VALUE('1111'!O15)</f>
        <v>126.51269950939124</v>
      </c>
      <c r="E14" s="215">
        <f>VALUE('1111'!O26)</f>
        <v>139.75782959943075</v>
      </c>
      <c r="F14" s="215">
        <f>VALUE('1111'!O37)</f>
        <v>76.655803050115395</v>
      </c>
      <c r="G14" s="215">
        <f>VALUE('1111'!O48)</f>
        <v>73.337777777777717</v>
      </c>
      <c r="H14" s="215">
        <f>VALUE('1111'!O58)</f>
        <v>82.475638193632506</v>
      </c>
      <c r="I14" s="215">
        <f>VALUE('1111'!O69)</f>
        <v>115.03476950680894</v>
      </c>
      <c r="J14" s="215">
        <f>VALUE('1111'!O79)</f>
        <v>91.011589835602891</v>
      </c>
    </row>
    <row r="15" spans="2:15" ht="39.950000000000003" customHeight="1">
      <c r="B15" s="366"/>
      <c r="C15" s="212" t="s">
        <v>100</v>
      </c>
      <c r="D15" s="233">
        <f>D14/D13</f>
        <v>0.92452152523972253</v>
      </c>
      <c r="E15" s="233">
        <f t="shared" ref="E15:J15" si="0">E14/E13</f>
        <v>0.93953108215182635</v>
      </c>
      <c r="F15" s="233">
        <f t="shared" si="0"/>
        <v>0.85947075089166458</v>
      </c>
      <c r="G15" s="233">
        <f t="shared" si="0"/>
        <v>0.78632356445079754</v>
      </c>
      <c r="H15" s="233">
        <f t="shared" si="0"/>
        <v>0.95110716855869337</v>
      </c>
      <c r="I15" s="233">
        <f t="shared" si="0"/>
        <v>0.91733797025238062</v>
      </c>
      <c r="J15" s="233">
        <f t="shared" si="0"/>
        <v>0.83907262335507826</v>
      </c>
    </row>
    <row r="16" spans="2:15" ht="17.25" customHeight="1">
      <c r="B16" s="367" t="s">
        <v>101</v>
      </c>
      <c r="C16" s="212" t="s">
        <v>102</v>
      </c>
      <c r="D16" s="95">
        <f>'1111'!T5</f>
        <v>0.2902777777777778</v>
      </c>
      <c r="E16" s="95">
        <f>'1111'!T16</f>
        <v>0.2902777777777778</v>
      </c>
      <c r="F16" s="95">
        <f>'1111'!T27</f>
        <v>0.28819444444444442</v>
      </c>
      <c r="G16" s="95">
        <f>'1111'!T38</f>
        <v>0.33333333333333331</v>
      </c>
      <c r="H16" s="95">
        <f>'1111'!T49</f>
        <v>0.29166666666666669</v>
      </c>
      <c r="I16" s="95">
        <f>'1111'!T59</f>
        <v>0.29166666666666669</v>
      </c>
      <c r="J16" s="272">
        <f>'1111'!T70</f>
        <v>0.33680555555555558</v>
      </c>
    </row>
    <row r="17" spans="2:10" ht="17.25" customHeight="1">
      <c r="B17" s="368"/>
      <c r="C17" s="212" t="s">
        <v>103</v>
      </c>
      <c r="D17" s="79">
        <v>0.61319444444444449</v>
      </c>
      <c r="E17" s="41">
        <v>0.63958333333333328</v>
      </c>
      <c r="F17" s="41">
        <v>0.64583333333333337</v>
      </c>
      <c r="G17" s="59">
        <v>0.64930555555555558</v>
      </c>
      <c r="H17" s="44">
        <v>0.60972222222222228</v>
      </c>
      <c r="I17" s="20">
        <v>0.59722222222222221</v>
      </c>
      <c r="J17" s="20">
        <v>0.68402777777777779</v>
      </c>
    </row>
    <row r="18" spans="2:10" ht="17.25" customHeight="1">
      <c r="B18" s="354" t="s">
        <v>104</v>
      </c>
      <c r="C18" s="355"/>
      <c r="D18" s="216">
        <f>VALUE('1111'!M15)</f>
        <v>14.8</v>
      </c>
      <c r="E18" s="216">
        <f>VALUE('1111'!M26)</f>
        <v>13.6</v>
      </c>
      <c r="F18" s="216">
        <f>VALUE('1111'!M37)</f>
        <v>15.8</v>
      </c>
      <c r="G18" s="216">
        <f>VALUE('1111'!M48)</f>
        <v>15</v>
      </c>
      <c r="H18" s="216">
        <f>VALUE('1111'!M58)</f>
        <v>18.333333333333332</v>
      </c>
      <c r="I18" s="216">
        <f>VALUE('1111'!M69)</f>
        <v>12.5</v>
      </c>
      <c r="J18" s="216">
        <f>VALUE('1111'!M79)</f>
        <v>14.166666666666666</v>
      </c>
    </row>
    <row r="19" spans="2:10" ht="17.25" customHeight="1">
      <c r="B19" s="354" t="s">
        <v>105</v>
      </c>
      <c r="C19" s="355"/>
      <c r="D19" s="213" t="s">
        <v>106</v>
      </c>
      <c r="E19" s="213" t="s">
        <v>106</v>
      </c>
      <c r="F19" s="213" t="s">
        <v>107</v>
      </c>
      <c r="G19" s="213" t="s">
        <v>107</v>
      </c>
      <c r="H19" s="213" t="s">
        <v>107</v>
      </c>
      <c r="I19" s="213" t="s">
        <v>108</v>
      </c>
      <c r="J19" s="213" t="s">
        <v>107</v>
      </c>
    </row>
    <row r="20" spans="2:10" ht="17.25" customHeight="1">
      <c r="B20" s="354" t="s">
        <v>110</v>
      </c>
      <c r="C20" s="355"/>
      <c r="D20" s="213"/>
      <c r="E20" s="213"/>
      <c r="F20" s="213"/>
      <c r="G20" s="217"/>
      <c r="H20" s="213" t="s">
        <v>109</v>
      </c>
      <c r="I20" s="213"/>
      <c r="J20" s="213"/>
    </row>
    <row r="21" spans="2:10" ht="17.25" customHeight="1">
      <c r="B21" s="354" t="s">
        <v>111</v>
      </c>
      <c r="C21" s="355"/>
      <c r="D21" s="273"/>
      <c r="E21" s="273"/>
      <c r="F21" s="273"/>
      <c r="G21" s="273"/>
      <c r="H21" s="273"/>
      <c r="I21" s="273"/>
      <c r="J21" s="273"/>
    </row>
    <row r="22" spans="2:10">
      <c r="B22" s="370"/>
      <c r="C22" s="370"/>
    </row>
  </sheetData>
  <mergeCells count="37">
    <mergeCell ref="B20:C20"/>
    <mergeCell ref="B21:C21"/>
    <mergeCell ref="B22:C22"/>
    <mergeCell ref="D8:E8"/>
    <mergeCell ref="F8:G8"/>
    <mergeCell ref="H8:I8"/>
    <mergeCell ref="B18:C18"/>
    <mergeCell ref="B19:C19"/>
    <mergeCell ref="D6:E6"/>
    <mergeCell ref="F6:G6"/>
    <mergeCell ref="H6:I6"/>
    <mergeCell ref="D10:J10"/>
    <mergeCell ref="B11:C12"/>
    <mergeCell ref="B13:B15"/>
    <mergeCell ref="B16:B17"/>
    <mergeCell ref="B10:C10"/>
    <mergeCell ref="J8:K8"/>
    <mergeCell ref="B5:C8"/>
    <mergeCell ref="D5:E5"/>
    <mergeCell ref="F5:G5"/>
    <mergeCell ref="H5:I5"/>
    <mergeCell ref="J6:K6"/>
    <mergeCell ref="D7:E7"/>
    <mergeCell ref="F7:G7"/>
    <mergeCell ref="H7:I7"/>
    <mergeCell ref="J7:K7"/>
    <mergeCell ref="B1:K2"/>
    <mergeCell ref="B3:C3"/>
    <mergeCell ref="D3:E3"/>
    <mergeCell ref="G3:H3"/>
    <mergeCell ref="J3:K3"/>
    <mergeCell ref="J5:K5"/>
    <mergeCell ref="B4:C4"/>
    <mergeCell ref="D4:E4"/>
    <mergeCell ref="F4:G4"/>
    <mergeCell ref="H4:I4"/>
    <mergeCell ref="J4:K4"/>
  </mergeCells>
  <phoneticPr fontId="2" type="noConversion"/>
  <conditionalFormatting sqref="D15:J15">
    <cfRule type="cellIs" dxfId="199" priority="1" operator="lessThan">
      <formula>0.8</formula>
    </cfRule>
  </conditionalFormatting>
  <pageMargins left="0.7" right="0.7" top="0.75" bottom="0.75" header="0.3" footer="0.3"/>
  <pageSetup paperSize="8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C07F1-42BB-4E50-9946-8EEA422BD8BB}">
  <sheetPr>
    <tabColor theme="9" tint="0.79998168889431442"/>
    <pageSetUpPr fitToPage="1"/>
  </sheetPr>
  <dimension ref="A1:AF92"/>
  <sheetViews>
    <sheetView zoomScale="69" zoomScaleNormal="69" workbookViewId="0">
      <pane xSplit="5" ySplit="4" topLeftCell="F11" activePane="bottomRight" state="frozen"/>
      <selection activeCell="Q65" sqref="Q65"/>
      <selection pane="topRight" activeCell="Q65" sqref="Q65"/>
      <selection pane="bottomLeft" activeCell="Q65" sqref="Q65"/>
      <selection pane="bottomRight" activeCell="M40" sqref="M40"/>
    </sheetView>
  </sheetViews>
  <sheetFormatPr defaultColWidth="7.875" defaultRowHeight="15.75"/>
  <cols>
    <col min="1" max="1" width="15" style="6" customWidth="1"/>
    <col min="2" max="2" width="12.875" style="6" customWidth="1"/>
    <col min="3" max="3" width="12.875" style="6" hidden="1" customWidth="1"/>
    <col min="4" max="4" width="26.125" style="6" bestFit="1" customWidth="1"/>
    <col min="5" max="5" width="15" style="6" customWidth="1"/>
    <col min="6" max="6" width="8.875" style="6" bestFit="1" customWidth="1"/>
    <col min="7" max="7" width="20.125" style="6" bestFit="1" customWidth="1"/>
    <col min="8" max="8" width="16.375" style="6" bestFit="1" customWidth="1"/>
    <col min="9" max="9" width="10.875" style="6" bestFit="1" customWidth="1"/>
    <col min="10" max="10" width="10.125" style="6" bestFit="1" customWidth="1"/>
    <col min="11" max="11" width="10.625" style="6" customWidth="1"/>
    <col min="12" max="12" width="14.5" style="6" customWidth="1"/>
    <col min="13" max="13" width="10.125" style="6" bestFit="1" customWidth="1"/>
    <col min="14" max="14" width="10.25" style="6" bestFit="1" customWidth="1"/>
    <col min="15" max="15" width="11.875" style="6" customWidth="1"/>
    <col min="16" max="17" width="9.125" style="6" bestFit="1" customWidth="1"/>
    <col min="18" max="18" width="9.125" style="6" customWidth="1"/>
    <col min="19" max="19" width="8.375" style="6" customWidth="1"/>
    <col min="20" max="21" width="9.375" style="6" bestFit="1" customWidth="1"/>
    <col min="22" max="22" width="10.625" style="6" customWidth="1"/>
    <col min="23" max="23" width="8.625" style="92" customWidth="1"/>
    <col min="24" max="24" width="7.5" style="6" bestFit="1" customWidth="1"/>
    <col min="25" max="25" width="6.875" style="6" customWidth="1"/>
    <col min="26" max="26" width="12.625" style="6" customWidth="1"/>
    <col min="27" max="27" width="33.375" style="6" customWidth="1"/>
    <col min="28" max="28" width="13.125" style="6" bestFit="1" customWidth="1"/>
    <col min="29" max="29" width="10.375" style="6" customWidth="1"/>
    <col min="30" max="30" width="9.125" style="6" customWidth="1"/>
    <col min="31" max="31" width="7.875" style="6"/>
    <col min="32" max="32" width="24.5" style="6" bestFit="1" customWidth="1"/>
    <col min="33" max="16384" width="7.875" style="6"/>
  </cols>
  <sheetData>
    <row r="1" spans="1:30" ht="21">
      <c r="A1" s="2" t="s">
        <v>72</v>
      </c>
      <c r="B1" s="2"/>
      <c r="C1" s="2"/>
      <c r="D1" s="176" t="s">
        <v>8</v>
      </c>
      <c r="E1" s="3">
        <f>SUM(G5:G79)</f>
        <v>56087</v>
      </c>
      <c r="F1" s="177" t="s">
        <v>9</v>
      </c>
      <c r="G1" s="4">
        <f>SUM(H5:H79)</f>
        <v>2718513.6799999997</v>
      </c>
      <c r="H1" s="175" t="s">
        <v>10</v>
      </c>
      <c r="I1" s="5">
        <f>M15+M26+M48+M58+M69+M79+M37</f>
        <v>104.2</v>
      </c>
      <c r="J1" s="371" t="s">
        <v>11</v>
      </c>
      <c r="K1" s="371"/>
      <c r="L1" s="371"/>
      <c r="M1" s="371" t="s">
        <v>12</v>
      </c>
      <c r="N1" s="371"/>
      <c r="O1" s="371"/>
      <c r="P1" s="371" t="s">
        <v>13</v>
      </c>
      <c r="Q1" s="371"/>
      <c r="R1" s="371"/>
      <c r="S1" s="371"/>
      <c r="T1" s="371" t="s">
        <v>14</v>
      </c>
      <c r="U1" s="371"/>
      <c r="V1" s="371"/>
      <c r="W1" s="371"/>
      <c r="X1" s="371"/>
      <c r="Y1" s="371"/>
      <c r="Z1" s="371" t="s">
        <v>15</v>
      </c>
      <c r="AA1" s="371"/>
      <c r="AB1" s="371" t="s">
        <v>16</v>
      </c>
      <c r="AC1" s="372"/>
      <c r="AD1" s="372"/>
    </row>
    <row r="2" spans="1:30" ht="18.75">
      <c r="A2" s="409" t="s">
        <v>192</v>
      </c>
      <c r="B2" s="409"/>
      <c r="C2" s="176"/>
      <c r="D2" s="176" t="s">
        <v>1</v>
      </c>
      <c r="E2" s="7">
        <f>AVERAGE(O15,O26,O37,O48,O58,O69,O79)</f>
        <v>100.68372963896563</v>
      </c>
      <c r="F2" s="8" t="s">
        <v>2</v>
      </c>
      <c r="G2" s="9">
        <f>G1/E1</f>
        <v>48.469586178615359</v>
      </c>
      <c r="H2" s="175" t="s">
        <v>17</v>
      </c>
      <c r="I2" s="175">
        <f>COUNT(I5:I79)</f>
        <v>0</v>
      </c>
      <c r="J2" s="371"/>
      <c r="K2" s="371"/>
      <c r="L2" s="371"/>
      <c r="M2" s="371"/>
      <c r="N2" s="371"/>
      <c r="O2" s="371"/>
      <c r="P2" s="371"/>
      <c r="Q2" s="371"/>
      <c r="R2" s="371"/>
      <c r="S2" s="371"/>
      <c r="T2" s="371"/>
      <c r="U2" s="371"/>
      <c r="V2" s="371"/>
      <c r="W2" s="371"/>
      <c r="X2" s="371"/>
      <c r="Y2" s="371"/>
      <c r="Z2" s="371"/>
      <c r="AA2" s="371"/>
      <c r="AB2" s="372"/>
      <c r="AC2" s="372"/>
      <c r="AD2" s="372"/>
    </row>
    <row r="3" spans="1:30">
      <c r="A3" s="405" t="s">
        <v>18</v>
      </c>
      <c r="B3" s="405" t="s">
        <v>19</v>
      </c>
      <c r="C3" s="177"/>
      <c r="D3" s="405" t="s">
        <v>20</v>
      </c>
      <c r="E3" s="405"/>
      <c r="F3" s="379" t="s">
        <v>21</v>
      </c>
      <c r="G3" s="389" t="s">
        <v>22</v>
      </c>
      <c r="H3" s="379" t="s">
        <v>23</v>
      </c>
      <c r="I3" s="381" t="s">
        <v>24</v>
      </c>
      <c r="J3" s="383" t="s">
        <v>25</v>
      </c>
      <c r="K3" s="385" t="s">
        <v>26</v>
      </c>
      <c r="L3" s="387" t="s">
        <v>1</v>
      </c>
      <c r="M3" s="389" t="s">
        <v>25</v>
      </c>
      <c r="N3" s="385" t="s">
        <v>26</v>
      </c>
      <c r="O3" s="387" t="s">
        <v>1</v>
      </c>
      <c r="P3" s="383" t="s">
        <v>25</v>
      </c>
      <c r="Q3" s="387" t="s">
        <v>1</v>
      </c>
      <c r="R3" s="392" t="s">
        <v>27</v>
      </c>
      <c r="S3" s="394" t="s">
        <v>28</v>
      </c>
      <c r="T3" s="389" t="s">
        <v>4</v>
      </c>
      <c r="U3" s="389"/>
      <c r="V3" s="408" t="s">
        <v>29</v>
      </c>
      <c r="W3" s="381" t="s">
        <v>30</v>
      </c>
      <c r="X3" s="389" t="s">
        <v>31</v>
      </c>
      <c r="Y3" s="389"/>
      <c r="Z3" s="415" t="s">
        <v>71</v>
      </c>
      <c r="AA3" s="416"/>
      <c r="AB3" s="385" t="s">
        <v>26</v>
      </c>
      <c r="AC3" s="392" t="s">
        <v>27</v>
      </c>
      <c r="AD3" s="394" t="s">
        <v>28</v>
      </c>
    </row>
    <row r="4" spans="1:30" ht="16.5" thickBot="1">
      <c r="A4" s="379"/>
      <c r="B4" s="379"/>
      <c r="C4" s="178"/>
      <c r="D4" s="379"/>
      <c r="E4" s="379"/>
      <c r="F4" s="380"/>
      <c r="G4" s="390"/>
      <c r="H4" s="380"/>
      <c r="I4" s="382"/>
      <c r="J4" s="384"/>
      <c r="K4" s="386"/>
      <c r="L4" s="388"/>
      <c r="M4" s="390"/>
      <c r="N4" s="386"/>
      <c r="O4" s="388"/>
      <c r="P4" s="384"/>
      <c r="Q4" s="388"/>
      <c r="R4" s="393"/>
      <c r="S4" s="395"/>
      <c r="T4" s="179" t="s">
        <v>5</v>
      </c>
      <c r="U4" s="179" t="s">
        <v>6</v>
      </c>
      <c r="V4" s="390"/>
      <c r="W4" s="382"/>
      <c r="X4" s="178" t="s">
        <v>32</v>
      </c>
      <c r="Y4" s="178" t="s">
        <v>33</v>
      </c>
      <c r="Z4" s="417"/>
      <c r="AA4" s="417"/>
      <c r="AB4" s="386"/>
      <c r="AC4" s="393"/>
      <c r="AD4" s="395"/>
    </row>
    <row r="5" spans="1:30" ht="15" customHeight="1">
      <c r="A5" s="411" t="s">
        <v>66</v>
      </c>
      <c r="B5" s="199" t="str">
        <f>VLOOKUP(D5,廠價表!$C$1:$E$39,2,0)</f>
        <v>義大利麵</v>
      </c>
      <c r="C5" s="102"/>
      <c r="D5" s="103" t="s">
        <v>127</v>
      </c>
      <c r="E5" s="104"/>
      <c r="F5" s="199">
        <f>VLOOKUP(D5,廠價表!$C$1:$E$39,3,0)</f>
        <v>57.21</v>
      </c>
      <c r="G5" s="105">
        <v>1762</v>
      </c>
      <c r="H5" s="106">
        <f>F5*G5</f>
        <v>100804.02</v>
      </c>
      <c r="I5" s="107"/>
      <c r="J5" s="108">
        <v>14</v>
      </c>
      <c r="K5" s="105">
        <f>VLOOKUP(D5,產線配置圖!$A$2:$C$38,3,0)</f>
        <v>2105</v>
      </c>
      <c r="L5" s="109">
        <f>K5/J5</f>
        <v>150.35714285714286</v>
      </c>
      <c r="M5" s="110">
        <v>14</v>
      </c>
      <c r="N5" s="105">
        <f t="shared" ref="N5:N9" si="0">G5/W5*60</f>
        <v>1854.7368421052645</v>
      </c>
      <c r="O5" s="109">
        <f t="shared" ref="O5:O9" si="1">N5/M5</f>
        <v>132.4812030075189</v>
      </c>
      <c r="P5" s="111">
        <f t="shared" ref="P5:P9" si="2">M5-J5</f>
        <v>0</v>
      </c>
      <c r="Q5" s="112">
        <f t="shared" ref="Q5:Q9" si="3">O5-L5</f>
        <v>-17.875939849623961</v>
      </c>
      <c r="R5" s="184">
        <f t="shared" ref="R5:R9" si="4">O5/L5</f>
        <v>0.88111013876734656</v>
      </c>
      <c r="S5" s="396">
        <f>R15</f>
        <v>0.92452152523972253</v>
      </c>
      <c r="T5" s="94">
        <v>0.2902777777777778</v>
      </c>
      <c r="U5" s="94">
        <v>0.3298611111111111</v>
      </c>
      <c r="V5" s="194"/>
      <c r="W5" s="107">
        <f t="shared" ref="W5:W14" si="5">(U5-T5)*24*60</f>
        <v>56.999999999999957</v>
      </c>
      <c r="X5" s="188"/>
      <c r="Y5" s="188"/>
      <c r="Z5" s="400"/>
      <c r="AA5" s="400"/>
      <c r="AB5" s="111">
        <f>N5-K5</f>
        <v>-250.26315789473551</v>
      </c>
      <c r="AC5" s="184">
        <f>N5/K5</f>
        <v>0.88111013876734656</v>
      </c>
      <c r="AD5" s="401">
        <f>AC15</f>
        <v>0.92702889656573884</v>
      </c>
    </row>
    <row r="6" spans="1:30" ht="15" customHeight="1">
      <c r="A6" s="412"/>
      <c r="B6" s="56" t="str">
        <f>VLOOKUP(D6,廠價表!$C$1:$E$39,2,0)</f>
        <v>義大利麵</v>
      </c>
      <c r="C6" s="10"/>
      <c r="D6" s="11" t="s">
        <v>153</v>
      </c>
      <c r="E6" s="86"/>
      <c r="F6" s="56">
        <f>VLOOKUP(D6,廠價表!$C$1:$E$39,3,0)</f>
        <v>50.67</v>
      </c>
      <c r="G6" s="25">
        <v>1084</v>
      </c>
      <c r="H6" s="15">
        <f t="shared" ref="H6:H14" si="6">F6*G6</f>
        <v>54926.28</v>
      </c>
      <c r="I6" s="182"/>
      <c r="J6" s="16">
        <v>14</v>
      </c>
      <c r="K6" s="14">
        <f>VLOOKUP(D6,產線配置圖!$A$2:$C$38,3,0)</f>
        <v>2000</v>
      </c>
      <c r="L6" s="17">
        <f>K6/J6</f>
        <v>142.85714285714286</v>
      </c>
      <c r="M6" s="180">
        <v>14</v>
      </c>
      <c r="N6" s="14">
        <f t="shared" si="0"/>
        <v>1757.8378378378402</v>
      </c>
      <c r="O6" s="17">
        <f t="shared" si="1"/>
        <v>125.55984555984573</v>
      </c>
      <c r="P6" s="18">
        <f t="shared" si="2"/>
        <v>0</v>
      </c>
      <c r="Q6" s="19">
        <f t="shared" si="3"/>
        <v>-17.297297297297135</v>
      </c>
      <c r="R6" s="185">
        <f t="shared" si="4"/>
        <v>0.87891891891892004</v>
      </c>
      <c r="S6" s="397"/>
      <c r="T6" s="95">
        <v>0.33680555555555558</v>
      </c>
      <c r="U6" s="95">
        <v>0.36249999999999999</v>
      </c>
      <c r="V6" s="177">
        <f>(T6-U5)*24*60</f>
        <v>10.000000000000044</v>
      </c>
      <c r="W6" s="182">
        <f t="shared" si="5"/>
        <v>36.99999999999995</v>
      </c>
      <c r="X6" s="22"/>
      <c r="Y6" s="22"/>
      <c r="Z6" s="381"/>
      <c r="AA6" s="381"/>
      <c r="AB6" s="18">
        <f>N6-K6</f>
        <v>-242.1621621621598</v>
      </c>
      <c r="AC6" s="185">
        <f>N6/K6</f>
        <v>0.87891891891892004</v>
      </c>
      <c r="AD6" s="402"/>
    </row>
    <row r="7" spans="1:30" ht="15" customHeight="1">
      <c r="A7" s="412"/>
      <c r="B7" s="56" t="str">
        <f>VLOOKUP(D7,廠價表!$C$1:$E$39,2,0)</f>
        <v>義大利麵</v>
      </c>
      <c r="C7" s="10"/>
      <c r="D7" s="11" t="s">
        <v>139</v>
      </c>
      <c r="E7" s="86"/>
      <c r="F7" s="56">
        <f>VLOOKUP(D7,廠價表!$C$1:$E$39,3,0)</f>
        <v>57.21</v>
      </c>
      <c r="G7" s="25">
        <v>2331</v>
      </c>
      <c r="H7" s="15">
        <f t="shared" si="6"/>
        <v>133356.51</v>
      </c>
      <c r="I7" s="182"/>
      <c r="J7" s="16">
        <v>18</v>
      </c>
      <c r="K7" s="14">
        <f>VLOOKUP(D7,產線配置圖!$A$2:$C$38,3,0)</f>
        <v>1895</v>
      </c>
      <c r="L7" s="17">
        <f>K7/J7</f>
        <v>105.27777777777777</v>
      </c>
      <c r="M7" s="180">
        <v>18</v>
      </c>
      <c r="N7" s="14">
        <f t="shared" si="0"/>
        <v>1864.8000000000006</v>
      </c>
      <c r="O7" s="17">
        <f t="shared" si="1"/>
        <v>103.60000000000004</v>
      </c>
      <c r="P7" s="18">
        <f t="shared" si="2"/>
        <v>0</v>
      </c>
      <c r="Q7" s="19">
        <f t="shared" si="3"/>
        <v>-1.6777777777777345</v>
      </c>
      <c r="R7" s="185">
        <f t="shared" si="4"/>
        <v>0.98406332453825895</v>
      </c>
      <c r="S7" s="397"/>
      <c r="T7" s="95">
        <v>0.37013888888888891</v>
      </c>
      <c r="U7" s="95">
        <v>0.42222222222222222</v>
      </c>
      <c r="V7" s="177">
        <f>(T7-U6)*24*60</f>
        <v>11.000000000000041</v>
      </c>
      <c r="W7" s="182">
        <f t="shared" si="5"/>
        <v>74.999999999999972</v>
      </c>
      <c r="X7" s="22"/>
      <c r="Y7" s="22"/>
      <c r="Z7" s="405"/>
      <c r="AA7" s="405"/>
      <c r="AB7" s="18">
        <f>N7-K7</f>
        <v>-30.199999999999363</v>
      </c>
      <c r="AC7" s="185">
        <f>N7/K7</f>
        <v>0.98406332453825895</v>
      </c>
      <c r="AD7" s="402"/>
    </row>
    <row r="8" spans="1:30" ht="15" customHeight="1">
      <c r="A8" s="412"/>
      <c r="B8" s="56" t="str">
        <f>VLOOKUP(D8,廠價表!$C$1:$E$39,2,0)</f>
        <v>義大利麵</v>
      </c>
      <c r="C8" s="10"/>
      <c r="D8" s="11" t="s">
        <v>141</v>
      </c>
      <c r="E8" s="86"/>
      <c r="F8" s="56">
        <f>VLOOKUP(D8,廠價表!$C$1:$E$39,3,0)</f>
        <v>49.14</v>
      </c>
      <c r="G8" s="25">
        <v>2254</v>
      </c>
      <c r="H8" s="15">
        <f t="shared" si="6"/>
        <v>110761.56</v>
      </c>
      <c r="I8" s="182"/>
      <c r="J8" s="16">
        <v>14</v>
      </c>
      <c r="K8" s="14">
        <f>VLOOKUP(D8,產線配置圖!$A$2:$C$38,3,0)</f>
        <v>2000</v>
      </c>
      <c r="L8" s="17">
        <f t="shared" ref="L8:L9" si="7">K8/J8</f>
        <v>142.85714285714286</v>
      </c>
      <c r="M8" s="180">
        <v>14</v>
      </c>
      <c r="N8" s="14">
        <f t="shared" si="0"/>
        <v>1803.1999999999987</v>
      </c>
      <c r="O8" s="17">
        <f t="shared" si="1"/>
        <v>128.7999999999999</v>
      </c>
      <c r="P8" s="18">
        <f t="shared" si="2"/>
        <v>0</v>
      </c>
      <c r="Q8" s="19">
        <f t="shared" si="3"/>
        <v>-14.057142857142964</v>
      </c>
      <c r="R8" s="185">
        <f t="shared" si="4"/>
        <v>0.90159999999999929</v>
      </c>
      <c r="S8" s="397"/>
      <c r="T8" s="20">
        <v>0.42708333333333331</v>
      </c>
      <c r="U8" s="20">
        <v>0.47916666666666669</v>
      </c>
      <c r="V8" s="177">
        <f>(T8-U7)*24*60</f>
        <v>6.9999999999999751</v>
      </c>
      <c r="W8" s="182">
        <f t="shared" si="5"/>
        <v>75.000000000000057</v>
      </c>
      <c r="X8" s="22"/>
      <c r="Y8" s="22"/>
      <c r="Z8" s="406"/>
      <c r="AA8" s="406"/>
      <c r="AB8" s="18">
        <f>N8-K8</f>
        <v>-196.80000000000132</v>
      </c>
      <c r="AC8" s="185">
        <f>N8/K8</f>
        <v>0.90159999999999929</v>
      </c>
      <c r="AD8" s="402"/>
    </row>
    <row r="9" spans="1:30" ht="15" customHeight="1">
      <c r="A9" s="413"/>
      <c r="B9" s="56" t="str">
        <f>VLOOKUP(D9,廠價表!$C$1:$E$39,2,0)</f>
        <v>義大利麵</v>
      </c>
      <c r="C9" s="10"/>
      <c r="D9" s="11" t="s">
        <v>141</v>
      </c>
      <c r="E9" s="86"/>
      <c r="F9" s="56">
        <f>VLOOKUP(D9,廠價表!$C$1:$E$39,3,0)</f>
        <v>49.14</v>
      </c>
      <c r="G9" s="25">
        <v>3482</v>
      </c>
      <c r="H9" s="15">
        <f t="shared" si="6"/>
        <v>171105.48</v>
      </c>
      <c r="I9" s="182"/>
      <c r="J9" s="16">
        <v>14</v>
      </c>
      <c r="K9" s="14">
        <f>VLOOKUP(D9,產線配置圖!$A$2:$C$38,3,0)</f>
        <v>2000</v>
      </c>
      <c r="L9" s="17">
        <f t="shared" si="7"/>
        <v>142.85714285714286</v>
      </c>
      <c r="M9" s="180">
        <v>14</v>
      </c>
      <c r="N9" s="14">
        <f t="shared" si="0"/>
        <v>1989.7142857142837</v>
      </c>
      <c r="O9" s="17">
        <f t="shared" si="1"/>
        <v>142.1224489795917</v>
      </c>
      <c r="P9" s="18">
        <f t="shared" si="2"/>
        <v>0</v>
      </c>
      <c r="Q9" s="19">
        <f t="shared" si="3"/>
        <v>-0.734693877551166</v>
      </c>
      <c r="R9" s="185">
        <f t="shared" si="4"/>
        <v>0.99485714285714189</v>
      </c>
      <c r="S9" s="398"/>
      <c r="T9" s="79">
        <v>0.54027777777777775</v>
      </c>
      <c r="U9" s="79">
        <v>0.61319444444444449</v>
      </c>
      <c r="V9" s="177">
        <f>(T9-U8)*24*60</f>
        <v>87.999999999999929</v>
      </c>
      <c r="W9" s="24">
        <f t="shared" si="5"/>
        <v>105.00000000000011</v>
      </c>
      <c r="X9" s="22">
        <v>0.47916666666666669</v>
      </c>
      <c r="Y9" s="263">
        <v>0.52083333333333337</v>
      </c>
      <c r="Z9" s="407"/>
      <c r="AA9" s="407"/>
      <c r="AB9" s="18"/>
      <c r="AC9" s="185"/>
      <c r="AD9" s="403"/>
    </row>
    <row r="10" spans="1:30" ht="15" customHeight="1">
      <c r="A10" s="413"/>
      <c r="B10" s="56"/>
      <c r="C10" s="23"/>
      <c r="D10" s="11"/>
      <c r="E10" s="12"/>
      <c r="F10" s="56"/>
      <c r="G10" s="25"/>
      <c r="H10" s="15"/>
      <c r="I10" s="182"/>
      <c r="J10" s="16"/>
      <c r="K10" s="14"/>
      <c r="L10" s="17"/>
      <c r="M10" s="180"/>
      <c r="N10" s="14"/>
      <c r="O10" s="17"/>
      <c r="P10" s="18"/>
      <c r="Q10" s="19"/>
      <c r="R10" s="185"/>
      <c r="S10" s="398"/>
      <c r="T10" s="20"/>
      <c r="U10" s="20"/>
      <c r="V10" s="177"/>
      <c r="W10" s="182">
        <f t="shared" si="5"/>
        <v>0</v>
      </c>
      <c r="X10" s="22"/>
      <c r="Y10" s="263"/>
      <c r="Z10" s="419"/>
      <c r="AA10" s="418"/>
      <c r="AB10" s="264"/>
      <c r="AC10" s="185"/>
      <c r="AD10" s="403"/>
    </row>
    <row r="11" spans="1:30" ht="15" customHeight="1">
      <c r="A11" s="413"/>
      <c r="B11" s="56"/>
      <c r="C11" s="183"/>
      <c r="D11" s="11"/>
      <c r="E11" s="12"/>
      <c r="F11" s="56"/>
      <c r="G11" s="25"/>
      <c r="H11" s="15">
        <f t="shared" si="6"/>
        <v>0</v>
      </c>
      <c r="I11" s="182"/>
      <c r="J11" s="16"/>
      <c r="K11" s="14"/>
      <c r="L11" s="17"/>
      <c r="M11" s="180"/>
      <c r="N11" s="14"/>
      <c r="O11" s="17"/>
      <c r="P11" s="18"/>
      <c r="Q11" s="19"/>
      <c r="R11" s="185"/>
      <c r="S11" s="398"/>
      <c r="T11" s="20"/>
      <c r="U11" s="20"/>
      <c r="V11" s="177"/>
      <c r="W11" s="24">
        <f t="shared" si="5"/>
        <v>0</v>
      </c>
      <c r="X11" s="22"/>
      <c r="Y11" s="263"/>
      <c r="Z11" s="419"/>
      <c r="AA11" s="418"/>
      <c r="AB11" s="264"/>
      <c r="AC11" s="185"/>
      <c r="AD11" s="403"/>
    </row>
    <row r="12" spans="1:30" ht="15" customHeight="1">
      <c r="A12" s="413"/>
      <c r="B12" s="26"/>
      <c r="C12" s="27"/>
      <c r="D12" s="28"/>
      <c r="E12" s="29"/>
      <c r="F12" s="13"/>
      <c r="G12" s="30"/>
      <c r="H12" s="15">
        <f t="shared" si="6"/>
        <v>0</v>
      </c>
      <c r="I12" s="178"/>
      <c r="J12" s="31"/>
      <c r="K12" s="30"/>
      <c r="L12" s="17"/>
      <c r="M12" s="181"/>
      <c r="N12" s="25"/>
      <c r="O12" s="17"/>
      <c r="P12" s="18"/>
      <c r="Q12" s="19"/>
      <c r="R12" s="185"/>
      <c r="S12" s="398"/>
      <c r="T12" s="32"/>
      <c r="U12" s="32"/>
      <c r="V12" s="178"/>
      <c r="W12" s="24">
        <f t="shared" si="5"/>
        <v>0</v>
      </c>
      <c r="X12" s="33"/>
      <c r="Y12" s="33"/>
      <c r="Z12" s="407"/>
      <c r="AA12" s="407"/>
      <c r="AB12" s="34"/>
      <c r="AC12" s="186"/>
      <c r="AD12" s="403"/>
    </row>
    <row r="13" spans="1:30" ht="15" customHeight="1">
      <c r="A13" s="413"/>
      <c r="B13" s="56"/>
      <c r="C13" s="10"/>
      <c r="D13" s="11"/>
      <c r="E13" s="86"/>
      <c r="F13" s="56"/>
      <c r="G13" s="25"/>
      <c r="H13" s="15"/>
      <c r="I13" s="182"/>
      <c r="J13" s="16"/>
      <c r="K13" s="14"/>
      <c r="L13" s="17"/>
      <c r="M13" s="180"/>
      <c r="N13" s="14"/>
      <c r="O13" s="17"/>
      <c r="P13" s="18"/>
      <c r="Q13" s="19"/>
      <c r="R13" s="185"/>
      <c r="S13" s="479"/>
      <c r="T13" s="309"/>
      <c r="U13" s="309"/>
      <c r="V13" s="26"/>
      <c r="W13" s="24">
        <f t="shared" si="5"/>
        <v>0</v>
      </c>
      <c r="X13" s="33"/>
      <c r="Y13" s="33"/>
      <c r="Z13" s="419"/>
      <c r="AA13" s="418"/>
      <c r="AB13" s="34"/>
      <c r="AC13" s="186"/>
      <c r="AD13" s="403"/>
    </row>
    <row r="14" spans="1:30" ht="15" customHeight="1">
      <c r="A14" s="413"/>
      <c r="B14" s="26"/>
      <c r="C14" s="27"/>
      <c r="D14" s="28"/>
      <c r="E14" s="29"/>
      <c r="F14" s="13"/>
      <c r="G14" s="30"/>
      <c r="H14" s="15">
        <f t="shared" si="6"/>
        <v>0</v>
      </c>
      <c r="I14" s="178"/>
      <c r="J14" s="31"/>
      <c r="K14" s="30"/>
      <c r="L14" s="17"/>
      <c r="M14" s="181"/>
      <c r="N14" s="25"/>
      <c r="O14" s="17"/>
      <c r="P14" s="18"/>
      <c r="Q14" s="19"/>
      <c r="R14" s="185"/>
      <c r="S14" s="398"/>
      <c r="T14" s="308"/>
      <c r="U14" s="308"/>
      <c r="V14" s="178"/>
      <c r="W14" s="24">
        <f t="shared" si="5"/>
        <v>0</v>
      </c>
      <c r="X14" s="33"/>
      <c r="Y14" s="33"/>
      <c r="Z14" s="419"/>
      <c r="AA14" s="418"/>
      <c r="AB14" s="34"/>
      <c r="AC14" s="186"/>
      <c r="AD14" s="403"/>
    </row>
    <row r="15" spans="1:30" ht="15" customHeight="1" thickBot="1">
      <c r="A15" s="414"/>
      <c r="B15" s="113"/>
      <c r="C15" s="113" t="s">
        <v>34</v>
      </c>
      <c r="D15" s="410" t="s">
        <v>7</v>
      </c>
      <c r="E15" s="410"/>
      <c r="F15" s="114"/>
      <c r="G15" s="115"/>
      <c r="H15" s="116"/>
      <c r="I15" s="117"/>
      <c r="J15" s="118">
        <f t="shared" ref="J15:O15" si="8">AVERAGE(J5:J14)</f>
        <v>14.8</v>
      </c>
      <c r="K15" s="118">
        <f t="shared" si="8"/>
        <v>2000</v>
      </c>
      <c r="L15" s="115">
        <f t="shared" si="8"/>
        <v>136.84126984126985</v>
      </c>
      <c r="M15" s="118">
        <f t="shared" si="8"/>
        <v>14.8</v>
      </c>
      <c r="N15" s="118">
        <f t="shared" si="8"/>
        <v>1854.0577931314776</v>
      </c>
      <c r="O15" s="115">
        <f t="shared" si="8"/>
        <v>126.51269950939124</v>
      </c>
      <c r="P15" s="119">
        <f t="shared" ref="P15:P16" si="9">M15-J15</f>
        <v>0</v>
      </c>
      <c r="Q15" s="120">
        <f t="shared" ref="Q15:Q16" si="10">O15-L15</f>
        <v>-10.328570331878609</v>
      </c>
      <c r="R15" s="121">
        <f t="shared" ref="R15:R16" si="11">O15/L15</f>
        <v>0.92452152523972253</v>
      </c>
      <c r="S15" s="399"/>
      <c r="T15" s="122"/>
      <c r="U15" s="122"/>
      <c r="V15" s="195"/>
      <c r="W15" s="123"/>
      <c r="X15" s="124"/>
      <c r="Y15" s="124"/>
      <c r="Z15" s="391"/>
      <c r="AA15" s="391"/>
      <c r="AB15" s="119">
        <f>N15-K15</f>
        <v>-145.94220686852236</v>
      </c>
      <c r="AC15" s="187">
        <f>N15/K15</f>
        <v>0.92702889656573884</v>
      </c>
      <c r="AD15" s="404"/>
    </row>
    <row r="16" spans="1:30" ht="15" customHeight="1">
      <c r="A16" s="431" t="s">
        <v>67</v>
      </c>
      <c r="B16" s="199" t="s">
        <v>134</v>
      </c>
      <c r="C16" s="102"/>
      <c r="D16" s="103" t="s">
        <v>127</v>
      </c>
      <c r="E16" s="104"/>
      <c r="F16" s="199">
        <f>VLOOKUP(D16,廠價表!$C$1:$E$39,3,0)</f>
        <v>57.21</v>
      </c>
      <c r="G16" s="265">
        <v>1578</v>
      </c>
      <c r="H16" s="125">
        <f t="shared" ref="H16:H25" si="12">F16*G16</f>
        <v>90277.38</v>
      </c>
      <c r="I16" s="126"/>
      <c r="J16" s="108">
        <v>14</v>
      </c>
      <c r="K16" s="105">
        <f>VLOOKUP(D16,產線配置圖!$A$2:$C$38,3,0)</f>
        <v>2105</v>
      </c>
      <c r="L16" s="109">
        <f>K16/J16</f>
        <v>150.35714285714286</v>
      </c>
      <c r="M16" s="267">
        <v>14</v>
      </c>
      <c r="N16" s="127">
        <f>G16/W16*60</f>
        <v>1856.4705882352951</v>
      </c>
      <c r="O16" s="128">
        <f>N16/M16</f>
        <v>132.60504201680678</v>
      </c>
      <c r="P16" s="129">
        <f t="shared" si="9"/>
        <v>0</v>
      </c>
      <c r="Q16" s="130">
        <f t="shared" si="10"/>
        <v>-17.752100840336084</v>
      </c>
      <c r="R16" s="189">
        <f t="shared" si="11"/>
        <v>0.88193377113315674</v>
      </c>
      <c r="S16" s="424">
        <f>R26</f>
        <v>0.93953108215182635</v>
      </c>
      <c r="T16" s="268">
        <v>0.2902777777777778</v>
      </c>
      <c r="U16" s="268">
        <v>0.32569444444444445</v>
      </c>
      <c r="V16" s="126"/>
      <c r="W16" s="131">
        <f t="shared" ref="W16:W68" si="13">(U16-T16)*24*60</f>
        <v>50.999999999999979</v>
      </c>
      <c r="X16" s="128"/>
      <c r="Y16" s="128"/>
      <c r="Z16" s="400"/>
      <c r="AA16" s="400"/>
      <c r="AB16" s="111">
        <f>N16-K16</f>
        <v>-248.52941176470495</v>
      </c>
      <c r="AC16" s="184">
        <f>N16/K16</f>
        <v>0.88193377113315674</v>
      </c>
      <c r="AD16" s="401">
        <f>AC26</f>
        <v>0.9380175151668626</v>
      </c>
    </row>
    <row r="17" spans="1:30" ht="15" customHeight="1">
      <c r="A17" s="432"/>
      <c r="B17" s="56" t="s">
        <v>62</v>
      </c>
      <c r="C17" s="10"/>
      <c r="D17" s="11" t="s">
        <v>153</v>
      </c>
      <c r="E17" s="86"/>
      <c r="F17" s="56">
        <f>VLOOKUP(D17,廠價表!$C$1:$E$39,3,0)</f>
        <v>50.67</v>
      </c>
      <c r="G17" s="96">
        <v>2970</v>
      </c>
      <c r="H17" s="15">
        <f>F17*G17</f>
        <v>150489.9</v>
      </c>
      <c r="I17" s="177"/>
      <c r="J17" s="16">
        <v>14</v>
      </c>
      <c r="K17" s="14">
        <f>VLOOKUP(D17,產線配置圖!$A$2:$C$38,3,0)</f>
        <v>2000</v>
      </c>
      <c r="L17" s="17">
        <f>K17/J17</f>
        <v>142.85714285714286</v>
      </c>
      <c r="M17" s="37">
        <v>14</v>
      </c>
      <c r="N17" s="36">
        <f>G17/W17*60</f>
        <v>1818.3673469387745</v>
      </c>
      <c r="O17" s="38">
        <f>N17/M17</f>
        <v>129.88338192419818</v>
      </c>
      <c r="P17" s="39">
        <f>M17-J17</f>
        <v>0</v>
      </c>
      <c r="Q17" s="40">
        <f>O17-L17</f>
        <v>-12.973760932944685</v>
      </c>
      <c r="R17" s="190">
        <f>O17/L17</f>
        <v>0.90918367346938722</v>
      </c>
      <c r="S17" s="425"/>
      <c r="T17" s="41">
        <v>0.33333333333333331</v>
      </c>
      <c r="U17" s="41">
        <v>0.40138888888888891</v>
      </c>
      <c r="V17" s="177">
        <f>(T17-U16)*24*60</f>
        <v>10.999999999999961</v>
      </c>
      <c r="W17" s="43">
        <f t="shared" si="13"/>
        <v>98.000000000000057</v>
      </c>
      <c r="X17" s="44"/>
      <c r="Y17" s="44"/>
      <c r="Z17" s="381"/>
      <c r="AA17" s="381"/>
      <c r="AB17" s="18">
        <f>N17-K17</f>
        <v>-181.63265306122548</v>
      </c>
      <c r="AC17" s="185">
        <f>N17/K17</f>
        <v>0.90918367346938722</v>
      </c>
      <c r="AD17" s="402"/>
    </row>
    <row r="18" spans="1:30" ht="15" customHeight="1">
      <c r="A18" s="432"/>
      <c r="B18" s="56" t="s">
        <v>62</v>
      </c>
      <c r="C18" s="10"/>
      <c r="D18" s="11" t="s">
        <v>131</v>
      </c>
      <c r="E18" s="86"/>
      <c r="F18" s="56">
        <f>VLOOKUP(D18,廠價表!$C$1:$E$39,3,0)</f>
        <v>50.39</v>
      </c>
      <c r="G18" s="96">
        <v>2863</v>
      </c>
      <c r="H18" s="15">
        <f>F18*G18</f>
        <v>144266.57</v>
      </c>
      <c r="I18" s="177"/>
      <c r="J18" s="16">
        <v>13</v>
      </c>
      <c r="K18" s="14">
        <f>VLOOKUP(D18,產線配置圖!$A$2:$C$38,3,0)</f>
        <v>2000</v>
      </c>
      <c r="L18" s="17">
        <f>K18/J18</f>
        <v>153.84615384615384</v>
      </c>
      <c r="M18" s="37">
        <v>13</v>
      </c>
      <c r="N18" s="36">
        <f>G18/W18*60</f>
        <v>1997.4418604651162</v>
      </c>
      <c r="O18" s="38">
        <f>N18/M18</f>
        <v>153.64937388193201</v>
      </c>
      <c r="P18" s="39">
        <f>M18-J18</f>
        <v>0</v>
      </c>
      <c r="Q18" s="40">
        <f>O18-L18</f>
        <v>-0.19677996422183242</v>
      </c>
      <c r="R18" s="190">
        <f>O18/L18</f>
        <v>0.99872093023255804</v>
      </c>
      <c r="S18" s="425"/>
      <c r="T18" s="41">
        <v>0.40972222222222221</v>
      </c>
      <c r="U18" s="41">
        <v>0.46944444444444444</v>
      </c>
      <c r="V18" s="177">
        <f>(T18-U17)*24*60</f>
        <v>11.999999999999957</v>
      </c>
      <c r="W18" s="43">
        <f t="shared" si="13"/>
        <v>86.000000000000014</v>
      </c>
      <c r="X18" s="22"/>
      <c r="Y18" s="22"/>
      <c r="Z18" s="418" t="s">
        <v>196</v>
      </c>
      <c r="AA18" s="405"/>
      <c r="AB18" s="18">
        <f>N18-K18</f>
        <v>-2.5581395348838214</v>
      </c>
      <c r="AC18" s="185">
        <f>N18/K18</f>
        <v>0.99872093023255804</v>
      </c>
      <c r="AD18" s="402"/>
    </row>
    <row r="19" spans="1:30" ht="15" customHeight="1">
      <c r="A19" s="432"/>
      <c r="B19" s="56" t="s">
        <v>62</v>
      </c>
      <c r="C19" s="23"/>
      <c r="D19" s="11" t="s">
        <v>131</v>
      </c>
      <c r="E19" s="12"/>
      <c r="F19" s="56">
        <f>VLOOKUP(D19,廠價表!$C$1:$E$39,3,0)</f>
        <v>50.39</v>
      </c>
      <c r="G19" s="96">
        <v>2678</v>
      </c>
      <c r="H19" s="15">
        <f t="shared" ref="H19:H20" si="14">F19*G19</f>
        <v>134944.42000000001</v>
      </c>
      <c r="I19" s="177"/>
      <c r="J19" s="16">
        <v>13</v>
      </c>
      <c r="K19" s="14">
        <f>VLOOKUP(D19,產線配置圖!$A$2:$C$38,3,0)</f>
        <v>2000</v>
      </c>
      <c r="L19" s="17">
        <f t="shared" ref="L19:L20" si="15">K19/J19</f>
        <v>153.84615384615384</v>
      </c>
      <c r="M19" s="37">
        <v>13</v>
      </c>
      <c r="N19" s="36">
        <f>G19/W19*60</f>
        <v>1959.5121951219542</v>
      </c>
      <c r="O19" s="38">
        <f>N19/M19</f>
        <v>150.73170731707339</v>
      </c>
      <c r="P19" s="39">
        <f>M19-J19</f>
        <v>0</v>
      </c>
      <c r="Q19" s="40">
        <f>O19-L19</f>
        <v>-3.1144465290804533</v>
      </c>
      <c r="R19" s="190">
        <f>O19/L19</f>
        <v>0.97975609756097704</v>
      </c>
      <c r="S19" s="425"/>
      <c r="T19" s="41">
        <v>0.55208333333333337</v>
      </c>
      <c r="U19" s="41">
        <v>0.60902777777777772</v>
      </c>
      <c r="V19" s="177">
        <f>(T19-U18)*24*60</f>
        <v>119.00000000000006</v>
      </c>
      <c r="W19" s="43">
        <f t="shared" si="13"/>
        <v>81.999999999999872</v>
      </c>
      <c r="X19" s="22">
        <v>0.5</v>
      </c>
      <c r="Y19" s="263">
        <v>0.54166666666666663</v>
      </c>
      <c r="Z19" s="407"/>
      <c r="AA19" s="407"/>
      <c r="AB19" s="18">
        <f>N19-K19</f>
        <v>-40.487804878045836</v>
      </c>
      <c r="AC19" s="185">
        <f>N19/K19</f>
        <v>0.97975609756097704</v>
      </c>
      <c r="AD19" s="403"/>
    </row>
    <row r="20" spans="1:30" ht="15" customHeight="1">
      <c r="A20" s="432"/>
      <c r="B20" s="56" t="s">
        <v>62</v>
      </c>
      <c r="C20" s="23"/>
      <c r="D20" s="11" t="s">
        <v>153</v>
      </c>
      <c r="E20" s="12"/>
      <c r="F20" s="56">
        <f>VLOOKUP(D20,廠價表!$C$1:$E$39,3,0)</f>
        <v>50.67</v>
      </c>
      <c r="G20" s="96">
        <v>985</v>
      </c>
      <c r="H20" s="15">
        <f t="shared" si="14"/>
        <v>49909.950000000004</v>
      </c>
      <c r="I20" s="177"/>
      <c r="J20" s="16">
        <v>14</v>
      </c>
      <c r="K20" s="14">
        <f>VLOOKUP(D20,產線配置圖!$A$2:$C$38,3,0)</f>
        <v>2000</v>
      </c>
      <c r="L20" s="17">
        <f t="shared" si="15"/>
        <v>142.85714285714286</v>
      </c>
      <c r="M20" s="37">
        <v>14</v>
      </c>
      <c r="N20" s="36">
        <f>G20/W20*60</f>
        <v>1846.8750000000066</v>
      </c>
      <c r="O20" s="38">
        <f>N20/M20</f>
        <v>131.91964285714332</v>
      </c>
      <c r="P20" s="39">
        <f>M20-J20</f>
        <v>0</v>
      </c>
      <c r="Q20" s="40">
        <f>O20-L20</f>
        <v>-10.937499999999545</v>
      </c>
      <c r="R20" s="190">
        <f>O20/L20</f>
        <v>0.92343750000000313</v>
      </c>
      <c r="S20" s="425"/>
      <c r="T20" s="41">
        <v>0.61736111111111114</v>
      </c>
      <c r="U20" s="41">
        <v>0.63958333333333328</v>
      </c>
      <c r="V20" s="177">
        <f>(T20-U19)*24*60</f>
        <v>12.000000000000117</v>
      </c>
      <c r="W20" s="43">
        <f t="shared" si="13"/>
        <v>31.999999999999886</v>
      </c>
      <c r="X20" s="44"/>
      <c r="Y20" s="44"/>
      <c r="Z20" s="418"/>
      <c r="AA20" s="405"/>
      <c r="AB20" s="34"/>
      <c r="AC20" s="186"/>
      <c r="AD20" s="403"/>
    </row>
    <row r="21" spans="1:30" ht="15" customHeight="1">
      <c r="A21" s="433"/>
      <c r="B21" s="177"/>
      <c r="C21" s="23"/>
      <c r="D21" s="11"/>
      <c r="E21" s="12"/>
      <c r="F21" s="13"/>
      <c r="G21" s="36"/>
      <c r="H21" s="15">
        <f t="shared" si="12"/>
        <v>0</v>
      </c>
      <c r="I21" s="43"/>
      <c r="J21" s="37"/>
      <c r="K21" s="36"/>
      <c r="L21" s="38"/>
      <c r="M21" s="37"/>
      <c r="N21" s="36"/>
      <c r="O21" s="38"/>
      <c r="P21" s="39"/>
      <c r="Q21" s="40"/>
      <c r="R21" s="190"/>
      <c r="S21" s="425"/>
      <c r="T21" s="41"/>
      <c r="U21" s="41"/>
      <c r="V21" s="42"/>
      <c r="W21" s="43">
        <v>0</v>
      </c>
      <c r="X21" s="42"/>
      <c r="Y21" s="42"/>
      <c r="Z21" s="418"/>
      <c r="AA21" s="405"/>
      <c r="AB21" s="34"/>
      <c r="AC21" s="186"/>
      <c r="AD21" s="403"/>
    </row>
    <row r="22" spans="1:30" ht="15" customHeight="1">
      <c r="A22" s="433"/>
      <c r="B22" s="177"/>
      <c r="C22" s="183"/>
      <c r="D22" s="11"/>
      <c r="E22" s="12"/>
      <c r="F22" s="13"/>
      <c r="G22" s="36"/>
      <c r="H22" s="15">
        <f t="shared" si="12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90"/>
      <c r="S22" s="425"/>
      <c r="T22" s="41"/>
      <c r="U22" s="41"/>
      <c r="V22" s="42"/>
      <c r="W22" s="43">
        <v>0</v>
      </c>
      <c r="X22" s="42"/>
      <c r="Y22" s="42"/>
      <c r="Z22" s="418"/>
      <c r="AA22" s="405"/>
      <c r="AB22" s="34"/>
      <c r="AC22" s="186"/>
      <c r="AD22" s="403"/>
    </row>
    <row r="23" spans="1:30" ht="15" customHeight="1">
      <c r="A23" s="433"/>
      <c r="B23" s="26"/>
      <c r="C23" s="27"/>
      <c r="D23" s="28"/>
      <c r="E23" s="29"/>
      <c r="F23" s="13"/>
      <c r="G23" s="36"/>
      <c r="H23" s="15">
        <f t="shared" si="12"/>
        <v>0</v>
      </c>
      <c r="I23" s="43"/>
      <c r="J23" s="37"/>
      <c r="K23" s="36"/>
      <c r="L23" s="38"/>
      <c r="M23" s="37"/>
      <c r="N23" s="36"/>
      <c r="O23" s="38"/>
      <c r="P23" s="39"/>
      <c r="Q23" s="40"/>
      <c r="R23" s="190"/>
      <c r="S23" s="425"/>
      <c r="T23" s="41"/>
      <c r="U23" s="41"/>
      <c r="W23" s="43">
        <f t="shared" si="13"/>
        <v>0</v>
      </c>
      <c r="X23" s="42"/>
      <c r="Y23" s="42"/>
      <c r="Z23" s="418"/>
      <c r="AA23" s="405"/>
      <c r="AB23" s="34"/>
      <c r="AC23" s="186"/>
      <c r="AD23" s="403"/>
    </row>
    <row r="24" spans="1:30" ht="15" customHeight="1">
      <c r="A24" s="433"/>
      <c r="B24" s="26"/>
      <c r="C24" s="27"/>
      <c r="D24" s="28"/>
      <c r="E24" s="29"/>
      <c r="F24" s="13"/>
      <c r="G24" s="36"/>
      <c r="H24" s="15">
        <f t="shared" si="12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90"/>
      <c r="S24" s="425"/>
      <c r="T24" s="41"/>
      <c r="U24" s="41"/>
      <c r="V24" s="42"/>
      <c r="W24" s="43">
        <f t="shared" si="13"/>
        <v>0</v>
      </c>
      <c r="X24" s="42"/>
      <c r="Y24" s="42"/>
      <c r="Z24" s="418"/>
      <c r="AA24" s="405"/>
      <c r="AB24" s="34"/>
      <c r="AC24" s="186"/>
      <c r="AD24" s="403"/>
    </row>
    <row r="25" spans="1:30" ht="15" customHeight="1">
      <c r="A25" s="433"/>
      <c r="B25" s="26"/>
      <c r="C25" s="27"/>
      <c r="D25" s="28"/>
      <c r="E25" s="29"/>
      <c r="F25" s="13"/>
      <c r="G25" s="36"/>
      <c r="H25" s="50">
        <f t="shared" si="12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90"/>
      <c r="S25" s="425"/>
      <c r="T25" s="41"/>
      <c r="U25" s="41"/>
      <c r="V25" s="42"/>
      <c r="W25" s="43">
        <f t="shared" si="13"/>
        <v>0</v>
      </c>
      <c r="X25" s="42"/>
      <c r="Y25" s="42"/>
      <c r="Z25" s="418"/>
      <c r="AA25" s="405"/>
      <c r="AB25" s="34"/>
      <c r="AC25" s="186"/>
      <c r="AD25" s="403"/>
    </row>
    <row r="26" spans="1:30" ht="15" customHeight="1" thickBot="1">
      <c r="A26" s="434"/>
      <c r="B26" s="132"/>
      <c r="C26" s="1" t="s">
        <v>35</v>
      </c>
      <c r="D26" s="410" t="s">
        <v>7</v>
      </c>
      <c r="E26" s="410"/>
      <c r="F26" s="133"/>
      <c r="G26" s="134"/>
      <c r="H26" s="135"/>
      <c r="I26" s="136"/>
      <c r="J26" s="134">
        <f t="shared" ref="J26:O26" si="16">AVERAGE(J16:J25)</f>
        <v>13.6</v>
      </c>
      <c r="K26" s="134">
        <f t="shared" si="16"/>
        <v>2021</v>
      </c>
      <c r="L26" s="137">
        <f t="shared" si="16"/>
        <v>148.75274725274727</v>
      </c>
      <c r="M26" s="134">
        <f t="shared" si="16"/>
        <v>13.6</v>
      </c>
      <c r="N26" s="134">
        <f t="shared" si="16"/>
        <v>1895.7333981522293</v>
      </c>
      <c r="O26" s="137">
        <f t="shared" si="16"/>
        <v>139.75782959943075</v>
      </c>
      <c r="P26" s="138">
        <f t="shared" ref="P26:P30" si="17">M26-J26</f>
        <v>0</v>
      </c>
      <c r="Q26" s="139">
        <f t="shared" ref="Q26:Q30" si="18">O26-L26</f>
        <v>-8.99491765331652</v>
      </c>
      <c r="R26" s="140">
        <f t="shared" ref="R26:R30" si="19">O26/L26</f>
        <v>0.93953108215182635</v>
      </c>
      <c r="S26" s="435"/>
      <c r="T26" s="141"/>
      <c r="U26" s="141"/>
      <c r="V26" s="146"/>
      <c r="W26" s="142"/>
      <c r="X26" s="143"/>
      <c r="Y26" s="143"/>
      <c r="Z26" s="420"/>
      <c r="AA26" s="391"/>
      <c r="AB26" s="119">
        <f>N26-K26</f>
        <v>-125.26660184777074</v>
      </c>
      <c r="AC26" s="187">
        <f>N26/K26</f>
        <v>0.9380175151668626</v>
      </c>
      <c r="AD26" s="404"/>
    </row>
    <row r="27" spans="1:30" ht="15" customHeight="1">
      <c r="A27" s="421" t="s">
        <v>54</v>
      </c>
      <c r="B27" s="229" t="s">
        <v>62</v>
      </c>
      <c r="C27" s="102"/>
      <c r="D27" s="103" t="s">
        <v>144</v>
      </c>
      <c r="E27" s="104"/>
      <c r="F27" s="199">
        <f>VLOOKUP(D27,廠價表!$C$1:$E$39,3,0)</f>
        <v>49.91</v>
      </c>
      <c r="G27" s="269">
        <v>3371</v>
      </c>
      <c r="H27" s="125">
        <f t="shared" ref="H27:H40" si="20">F27*G27</f>
        <v>168246.61</v>
      </c>
      <c r="I27" s="126"/>
      <c r="J27" s="108">
        <f>VLOOKUP(D27,產線配置圖!$A$2:$C$38,2,0)</f>
        <v>17</v>
      </c>
      <c r="K27" s="236">
        <f>VLOOKUP(D27,產線配置圖!$A$2:$C$38,3,0)</f>
        <v>1565</v>
      </c>
      <c r="L27" s="109">
        <f>K27/J27</f>
        <v>92.058823529411768</v>
      </c>
      <c r="M27" s="144">
        <v>16</v>
      </c>
      <c r="N27" s="127">
        <f>G27/W27*60</f>
        <v>1264.1249999999995</v>
      </c>
      <c r="O27" s="128">
        <f>N27/M27</f>
        <v>79.007812499999972</v>
      </c>
      <c r="P27" s="129">
        <f t="shared" si="17"/>
        <v>-1</v>
      </c>
      <c r="Q27" s="130">
        <f t="shared" si="18"/>
        <v>-13.051011029411796</v>
      </c>
      <c r="R27" s="189">
        <f>O27/L27</f>
        <v>0.85823182907348206</v>
      </c>
      <c r="S27" s="424">
        <f>R37</f>
        <v>0.85947075089166458</v>
      </c>
      <c r="T27" s="94">
        <v>0.28819444444444442</v>
      </c>
      <c r="U27" s="94">
        <v>0.39930555555555558</v>
      </c>
      <c r="V27" s="126"/>
      <c r="W27" s="131">
        <f t="shared" si="13"/>
        <v>160.00000000000006</v>
      </c>
      <c r="X27" s="126"/>
      <c r="Y27" s="126" t="s">
        <v>147</v>
      </c>
      <c r="Z27" s="427"/>
      <c r="AA27" s="400"/>
      <c r="AB27" s="225">
        <f>N27-K27</f>
        <v>-300.87500000000045</v>
      </c>
      <c r="AC27" s="291">
        <f>N27/K27</f>
        <v>0.80774760383386557</v>
      </c>
      <c r="AD27" s="401">
        <f>AC37</f>
        <v>0.82282300971604916</v>
      </c>
    </row>
    <row r="28" spans="1:30" ht="15" customHeight="1">
      <c r="A28" s="422"/>
      <c r="B28" s="56" t="str">
        <f>VLOOKUP(D28,廠價表!$C$1:$E$39,2,0)</f>
        <v>義大利麵</v>
      </c>
      <c r="C28" s="10"/>
      <c r="D28" s="11" t="s">
        <v>137</v>
      </c>
      <c r="E28" s="86"/>
      <c r="F28" s="56">
        <f>VLOOKUP(D28,廠價表!$C$1:$E$39,3,0)</f>
        <v>55.13</v>
      </c>
      <c r="G28" s="53">
        <v>2235</v>
      </c>
      <c r="H28" s="50">
        <f t="shared" si="20"/>
        <v>123215.55</v>
      </c>
      <c r="I28" s="42"/>
      <c r="J28" s="16">
        <f>VLOOKUP(D28,產線配置圖!$A$2:$C$38,2,0)</f>
        <v>18</v>
      </c>
      <c r="K28" s="14">
        <f>VLOOKUP(D28,產線配置圖!$A$2:$C$38,3,0)</f>
        <v>1385</v>
      </c>
      <c r="L28" s="235">
        <f>K28/J28</f>
        <v>76.944444444444443</v>
      </c>
      <c r="M28" s="21">
        <v>17</v>
      </c>
      <c r="N28" s="36">
        <f>G28/W28*60</f>
        <v>1301.9417475728162</v>
      </c>
      <c r="O28" s="38">
        <f>N28/M28</f>
        <v>76.584808680753895</v>
      </c>
      <c r="P28" s="39">
        <f t="shared" si="17"/>
        <v>-1</v>
      </c>
      <c r="Q28" s="40">
        <f t="shared" si="18"/>
        <v>-0.35963576369054806</v>
      </c>
      <c r="R28" s="190">
        <f t="shared" si="19"/>
        <v>0.9953260333960795</v>
      </c>
      <c r="S28" s="425"/>
      <c r="T28" s="270">
        <v>0.40347222222222223</v>
      </c>
      <c r="U28" s="270">
        <v>0.47499999999999998</v>
      </c>
      <c r="V28" s="42">
        <f>(T28-U27)*24*60</f>
        <v>5.9999999999999787</v>
      </c>
      <c r="W28" s="43">
        <f t="shared" si="13"/>
        <v>102.99999999999996</v>
      </c>
      <c r="X28" s="54"/>
      <c r="Y28" s="54"/>
      <c r="Z28" s="418"/>
      <c r="AA28" s="419"/>
      <c r="AB28" s="39">
        <f>N28-K28</f>
        <v>-83.058252427183788</v>
      </c>
      <c r="AC28" s="190">
        <f>N28/K28</f>
        <v>0.94003014265185281</v>
      </c>
      <c r="AD28" s="447"/>
    </row>
    <row r="29" spans="1:30" ht="15" customHeight="1">
      <c r="A29" s="422"/>
      <c r="B29" s="56" t="str">
        <f>VLOOKUP(D29,廠價表!$C$1:$E$39,2,0)</f>
        <v>義大利麵</v>
      </c>
      <c r="C29" s="10"/>
      <c r="D29" s="11" t="s">
        <v>158</v>
      </c>
      <c r="E29" s="86"/>
      <c r="F29" s="56">
        <f>VLOOKUP(D29,廠價表!$C$1:$E$39,3,0)</f>
        <v>47.71</v>
      </c>
      <c r="G29" s="53">
        <v>1210</v>
      </c>
      <c r="H29" s="50">
        <f t="shared" si="20"/>
        <v>57729.1</v>
      </c>
      <c r="I29" s="42"/>
      <c r="J29" s="16">
        <f>VLOOKUP(D29,產線配置圖!$A$2:$C$38,2,0)</f>
        <v>15</v>
      </c>
      <c r="K29" s="14">
        <f>VLOOKUP(D29,產線配置圖!$A$2:$C$38,3,0)</f>
        <v>1500</v>
      </c>
      <c r="L29" s="235">
        <f>K29/J29</f>
        <v>100</v>
      </c>
      <c r="M29" s="21">
        <v>15</v>
      </c>
      <c r="N29" s="36">
        <f>G29/W29*60</f>
        <v>1209.999999999998</v>
      </c>
      <c r="O29" s="38">
        <f>N29/M29</f>
        <v>80.666666666666529</v>
      </c>
      <c r="P29" s="39">
        <f t="shared" si="17"/>
        <v>0</v>
      </c>
      <c r="Q29" s="40">
        <f t="shared" si="18"/>
        <v>-19.333333333333471</v>
      </c>
      <c r="R29" s="190">
        <f t="shared" si="19"/>
        <v>0.80666666666666531</v>
      </c>
      <c r="S29" s="425"/>
      <c r="T29" s="41">
        <v>0.53749999999999998</v>
      </c>
      <c r="U29" s="41">
        <v>0.57916666666666672</v>
      </c>
      <c r="V29" s="42">
        <f>(T29-U28)*24*60</f>
        <v>90</v>
      </c>
      <c r="W29" s="43">
        <f t="shared" si="13"/>
        <v>60.000000000000107</v>
      </c>
      <c r="X29" s="54">
        <v>0.47916666666666669</v>
      </c>
      <c r="Y29" s="54">
        <v>0.52083333333333337</v>
      </c>
      <c r="Z29" s="418"/>
      <c r="AA29" s="419"/>
      <c r="AB29" s="292">
        <f>N29-K29</f>
        <v>-290.00000000000205</v>
      </c>
      <c r="AC29" s="190">
        <f>N29/K29</f>
        <v>0.80666666666666531</v>
      </c>
      <c r="AD29" s="447"/>
    </row>
    <row r="30" spans="1:30" ht="15" customHeight="1">
      <c r="A30" s="422"/>
      <c r="B30" s="56" t="str">
        <f>VLOOKUP(D30,廠價表!$C$1:$E$39,2,0)</f>
        <v>義大利麵</v>
      </c>
      <c r="C30" s="237"/>
      <c r="D30" s="11" t="s">
        <v>137</v>
      </c>
      <c r="E30" s="29"/>
      <c r="F30" s="56">
        <f>VLOOKUP(D30,廠價表!$C$1:$E$39,3,0)</f>
        <v>55.13</v>
      </c>
      <c r="G30" s="53">
        <v>245</v>
      </c>
      <c r="H30" s="50">
        <f t="shared" si="20"/>
        <v>13506.85</v>
      </c>
      <c r="I30" s="42"/>
      <c r="J30" s="16">
        <f>VLOOKUP(D30,產線配置圖!$A$2:$C$38,2,0)</f>
        <v>18</v>
      </c>
      <c r="K30" s="14">
        <f>VLOOKUP(D30,產線配置圖!$A$2:$C$38,3,0)</f>
        <v>1385</v>
      </c>
      <c r="L30" s="235">
        <f>K30/J30</f>
        <v>76.944444444444443</v>
      </c>
      <c r="M30" s="21">
        <v>16</v>
      </c>
      <c r="N30" s="36">
        <f>G30/W30*60</f>
        <v>864.70588235294429</v>
      </c>
      <c r="O30" s="38">
        <f>N30/M30</f>
        <v>54.044117647059018</v>
      </c>
      <c r="P30" s="39">
        <f t="shared" si="17"/>
        <v>-2</v>
      </c>
      <c r="Q30" s="40">
        <f t="shared" si="18"/>
        <v>-22.900326797385425</v>
      </c>
      <c r="R30" s="190">
        <f t="shared" si="19"/>
        <v>0.70237842429390784</v>
      </c>
      <c r="S30" s="425"/>
      <c r="T30" s="41">
        <v>0.58333333333333337</v>
      </c>
      <c r="U30" s="41">
        <v>0.59513888888888888</v>
      </c>
      <c r="V30" s="42">
        <f>(T30-U29)*24*60</f>
        <v>5.9999999999999787</v>
      </c>
      <c r="W30" s="43">
        <f t="shared" si="13"/>
        <v>16.99999999999994</v>
      </c>
      <c r="X30" s="54"/>
      <c r="Y30" s="54"/>
      <c r="Z30" s="449" t="s">
        <v>190</v>
      </c>
      <c r="AA30" s="450"/>
      <c r="AB30" s="34"/>
      <c r="AC30" s="293"/>
      <c r="AD30" s="448"/>
    </row>
    <row r="31" spans="1:30" ht="15" customHeight="1">
      <c r="A31" s="422"/>
      <c r="B31" s="56" t="str">
        <f>VLOOKUP(D31,廠價表!$C$1:$E$39,2,0)</f>
        <v>義大利麵</v>
      </c>
      <c r="C31" s="237"/>
      <c r="D31" s="11" t="s">
        <v>158</v>
      </c>
      <c r="E31" s="29"/>
      <c r="F31" s="56">
        <f>VLOOKUP(D31,廠價表!$C$1:$E$39,3,0)</f>
        <v>47.71</v>
      </c>
      <c r="G31" s="53">
        <v>953</v>
      </c>
      <c r="H31" s="50">
        <f t="shared" ref="H31" si="21">F31*G31</f>
        <v>45467.63</v>
      </c>
      <c r="I31" s="42"/>
      <c r="J31" s="16">
        <f>VLOOKUP(D31,產線配置圖!$A$2:$C$38,2,0)</f>
        <v>15</v>
      </c>
      <c r="K31" s="14">
        <f>VLOOKUP(D31,產線配置圖!$A$2:$C$38,3,0)</f>
        <v>1500</v>
      </c>
      <c r="L31" s="235">
        <f>K31/J31</f>
        <v>100</v>
      </c>
      <c r="M31" s="21">
        <v>15</v>
      </c>
      <c r="N31" s="36">
        <f>G31/W31*60</f>
        <v>1394.6341463414628</v>
      </c>
      <c r="O31" s="38">
        <f>N31/M31</f>
        <v>92.975609756097526</v>
      </c>
      <c r="P31" s="39">
        <f t="shared" ref="P31" si="22">M31-J31</f>
        <v>0</v>
      </c>
      <c r="Q31" s="40">
        <f t="shared" ref="Q31" si="23">O31-L31</f>
        <v>-7.0243902439024737</v>
      </c>
      <c r="R31" s="190">
        <f t="shared" ref="R31" si="24">O31/L31</f>
        <v>0.92975609756097521</v>
      </c>
      <c r="S31" s="425"/>
      <c r="T31" s="41">
        <v>0.61736111111111114</v>
      </c>
      <c r="U31" s="41">
        <v>0.64583333333333337</v>
      </c>
      <c r="V31" s="42">
        <f>(T31-U30)*24*60</f>
        <v>32.000000000000043</v>
      </c>
      <c r="W31" s="43">
        <f t="shared" si="13"/>
        <v>41.000000000000014</v>
      </c>
      <c r="X31" s="54"/>
      <c r="Y31" s="54"/>
      <c r="Z31" s="449"/>
      <c r="AA31" s="450"/>
      <c r="AB31" s="257"/>
      <c r="AC31" s="258"/>
      <c r="AD31" s="403"/>
    </row>
    <row r="32" spans="1:30" ht="15" customHeight="1">
      <c r="A32" s="422"/>
      <c r="B32" s="56"/>
      <c r="C32" s="252"/>
      <c r="D32" s="253"/>
      <c r="E32" s="254"/>
      <c r="F32" s="56"/>
      <c r="G32" s="53"/>
      <c r="H32" s="50"/>
      <c r="I32" s="42"/>
      <c r="J32" s="255"/>
      <c r="K32" s="36"/>
      <c r="L32" s="256"/>
      <c r="M32" s="21"/>
      <c r="N32" s="36"/>
      <c r="O32" s="38"/>
      <c r="P32" s="39"/>
      <c r="Q32" s="40"/>
      <c r="R32" s="190"/>
      <c r="S32" s="425"/>
      <c r="T32" s="41"/>
      <c r="U32" s="41"/>
      <c r="V32" s="42"/>
      <c r="W32" s="43">
        <f t="shared" si="13"/>
        <v>0</v>
      </c>
      <c r="X32" s="54"/>
      <c r="Y32" s="54"/>
      <c r="Z32" s="418"/>
      <c r="AA32" s="405"/>
      <c r="AB32" s="18"/>
      <c r="AC32" s="185"/>
      <c r="AD32" s="403"/>
    </row>
    <row r="33" spans="1:30" ht="15" customHeight="1">
      <c r="A33" s="422"/>
      <c r="B33" s="240"/>
      <c r="C33" s="241"/>
      <c r="D33" s="242"/>
      <c r="E33" s="243"/>
      <c r="F33" s="223"/>
      <c r="G33" s="244"/>
      <c r="H33" s="245">
        <f t="shared" si="20"/>
        <v>0</v>
      </c>
      <c r="I33" s="246"/>
      <c r="J33" s="247"/>
      <c r="K33" s="45"/>
      <c r="M33" s="248"/>
      <c r="N33" s="45"/>
      <c r="O33" s="46"/>
      <c r="P33" s="47"/>
      <c r="Q33" s="48"/>
      <c r="R33" s="49"/>
      <c r="S33" s="425"/>
      <c r="T33" s="41"/>
      <c r="U33" s="41"/>
      <c r="V33" s="42"/>
      <c r="W33" s="43">
        <f t="shared" si="13"/>
        <v>0</v>
      </c>
      <c r="X33" s="54"/>
      <c r="Y33" s="54"/>
      <c r="Z33" s="418"/>
      <c r="AA33" s="405"/>
      <c r="AB33" s="18"/>
      <c r="AC33" s="57"/>
      <c r="AD33" s="403"/>
    </row>
    <row r="34" spans="1:30" ht="15" customHeight="1">
      <c r="A34" s="422"/>
      <c r="B34" s="231"/>
      <c r="C34" s="27"/>
      <c r="D34" s="28"/>
      <c r="E34" s="29"/>
      <c r="F34" s="13"/>
      <c r="G34" s="53"/>
      <c r="H34" s="50">
        <f t="shared" si="20"/>
        <v>0</v>
      </c>
      <c r="I34" s="42"/>
      <c r="J34" s="37"/>
      <c r="K34" s="36"/>
      <c r="L34" s="38"/>
      <c r="M34" s="21"/>
      <c r="N34" s="36"/>
      <c r="O34" s="38"/>
      <c r="P34" s="39"/>
      <c r="Q34" s="40"/>
      <c r="R34" s="190"/>
      <c r="S34" s="425"/>
      <c r="T34" s="41"/>
      <c r="U34" s="41"/>
      <c r="V34" s="42"/>
      <c r="W34" s="43">
        <f t="shared" si="13"/>
        <v>0</v>
      </c>
      <c r="X34" s="54"/>
      <c r="Y34" s="54"/>
      <c r="Z34" s="418"/>
      <c r="AA34" s="405"/>
      <c r="AB34" s="18"/>
      <c r="AC34" s="57"/>
      <c r="AD34" s="403"/>
    </row>
    <row r="35" spans="1:30" ht="15" customHeight="1">
      <c r="A35" s="422"/>
      <c r="B35" s="231"/>
      <c r="C35" s="27"/>
      <c r="D35" s="28"/>
      <c r="E35" s="29"/>
      <c r="F35" s="13"/>
      <c r="G35" s="53"/>
      <c r="H35" s="50">
        <f t="shared" si="20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90"/>
      <c r="S35" s="425"/>
      <c r="T35" s="41"/>
      <c r="U35" s="41"/>
      <c r="V35" s="42"/>
      <c r="W35" s="43">
        <f t="shared" si="13"/>
        <v>0</v>
      </c>
      <c r="X35" s="54"/>
      <c r="Y35" s="54"/>
      <c r="Z35" s="418"/>
      <c r="AA35" s="405"/>
      <c r="AB35" s="18"/>
      <c r="AC35" s="57"/>
      <c r="AD35" s="403"/>
    </row>
    <row r="36" spans="1:30" ht="15" customHeight="1">
      <c r="A36" s="422"/>
      <c r="B36" s="232"/>
      <c r="C36" s="27"/>
      <c r="D36" s="28"/>
      <c r="E36" s="29"/>
      <c r="F36" s="13"/>
      <c r="G36" s="53"/>
      <c r="H36" s="50">
        <f t="shared" si="20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90"/>
      <c r="S36" s="425"/>
      <c r="T36" s="41"/>
      <c r="U36" s="41"/>
      <c r="V36" s="42"/>
      <c r="W36" s="43">
        <f t="shared" si="13"/>
        <v>0</v>
      </c>
      <c r="X36" s="54"/>
      <c r="Y36" s="54"/>
      <c r="Z36" s="418"/>
      <c r="AA36" s="405"/>
      <c r="AB36" s="18"/>
      <c r="AC36" s="57"/>
      <c r="AD36" s="403"/>
    </row>
    <row r="37" spans="1:30" ht="15" customHeight="1" thickBot="1">
      <c r="A37" s="423"/>
      <c r="B37" s="300"/>
      <c r="C37" s="301" t="s">
        <v>36</v>
      </c>
      <c r="D37" s="428" t="s">
        <v>7</v>
      </c>
      <c r="E37" s="429"/>
      <c r="F37" s="281"/>
      <c r="G37" s="282"/>
      <c r="H37" s="283"/>
      <c r="I37" s="284"/>
      <c r="J37" s="285">
        <f t="shared" ref="J37:O37" si="25">AVERAGE(J27:J36)</f>
        <v>16.600000000000001</v>
      </c>
      <c r="K37" s="285">
        <f t="shared" si="25"/>
        <v>1467</v>
      </c>
      <c r="L37" s="286">
        <f t="shared" si="25"/>
        <v>89.189542483660134</v>
      </c>
      <c r="M37" s="285">
        <f t="shared" si="25"/>
        <v>15.8</v>
      </c>
      <c r="N37" s="285">
        <f t="shared" si="25"/>
        <v>1207.0813552534441</v>
      </c>
      <c r="O37" s="286">
        <f t="shared" si="25"/>
        <v>76.655803050115395</v>
      </c>
      <c r="P37" s="73">
        <f>M37-J37</f>
        <v>-0.80000000000000071</v>
      </c>
      <c r="Q37" s="74">
        <f>N37-K37</f>
        <v>-259.91864474655586</v>
      </c>
      <c r="R37" s="287">
        <f t="shared" ref="R37:R39" si="26">O37/L37</f>
        <v>0.85947075089166458</v>
      </c>
      <c r="S37" s="426"/>
      <c r="T37" s="302"/>
      <c r="U37" s="302"/>
      <c r="V37" s="81"/>
      <c r="W37" s="81"/>
      <c r="X37" s="303"/>
      <c r="Y37" s="303"/>
      <c r="Z37" s="430"/>
      <c r="AA37" s="379"/>
      <c r="AB37" s="34">
        <f t="shared" ref="AB37:AB39" si="27">N37-K37</f>
        <v>-259.91864474655586</v>
      </c>
      <c r="AC37" s="186">
        <f t="shared" ref="AC37:AC39" si="28">N37/K37</f>
        <v>0.82282300971604916</v>
      </c>
      <c r="AD37" s="403"/>
    </row>
    <row r="38" spans="1:30" s="62" customFormat="1" ht="15" customHeight="1">
      <c r="A38" s="454" t="s">
        <v>55</v>
      </c>
      <c r="B38" s="229" t="s">
        <v>134</v>
      </c>
      <c r="C38" s="199"/>
      <c r="D38" s="304" t="s">
        <v>156</v>
      </c>
      <c r="E38" s="280"/>
      <c r="F38" s="305">
        <f>VLOOKUP(D38,廠價表!$C$1:$E$39,3,0)</f>
        <v>56.43</v>
      </c>
      <c r="G38" s="266">
        <v>2620</v>
      </c>
      <c r="H38" s="125">
        <f t="shared" si="20"/>
        <v>147846.6</v>
      </c>
      <c r="I38" s="126"/>
      <c r="J38" s="274">
        <f>VLOOKUP(D38,產線配置圖!$A$2:$C$38,2,0)</f>
        <v>15</v>
      </c>
      <c r="K38" s="236">
        <f>VLOOKUP(D38,產線配置圖!$A$2:$C$38,3,0)</f>
        <v>1406</v>
      </c>
      <c r="L38" s="288">
        <f t="shared" ref="L38:L39" si="29">K38/J38</f>
        <v>93.733333333333334</v>
      </c>
      <c r="M38" s="289">
        <v>15</v>
      </c>
      <c r="N38" s="127">
        <f>G38/W38*60</f>
        <v>1309.9999999999993</v>
      </c>
      <c r="O38" s="128">
        <f>N38/M38</f>
        <v>87.333333333333286</v>
      </c>
      <c r="P38" s="129">
        <f t="shared" ref="P38:P39" si="30">M38-J38</f>
        <v>0</v>
      </c>
      <c r="Q38" s="130">
        <f t="shared" ref="Q38:Q39" si="31">O38-L38</f>
        <v>-6.4000000000000483</v>
      </c>
      <c r="R38" s="189">
        <f t="shared" si="26"/>
        <v>0.93172119487908911</v>
      </c>
      <c r="S38" s="457">
        <f>R48</f>
        <v>0.78632356445079754</v>
      </c>
      <c r="T38" s="151">
        <v>0.33333333333333331</v>
      </c>
      <c r="U38" s="151">
        <v>0.41666666666666669</v>
      </c>
      <c r="V38" s="148"/>
      <c r="W38" s="152">
        <f t="shared" si="13"/>
        <v>120.00000000000006</v>
      </c>
      <c r="X38" s="150"/>
      <c r="Y38" s="153"/>
      <c r="Z38" s="478"/>
      <c r="AA38" s="460"/>
      <c r="AB38" s="290">
        <f t="shared" si="27"/>
        <v>-96.000000000000682</v>
      </c>
      <c r="AC38" s="154">
        <f t="shared" si="28"/>
        <v>0.93172119487908911</v>
      </c>
      <c r="AD38" s="436">
        <f>AC48</f>
        <v>0.78632356445079765</v>
      </c>
    </row>
    <row r="39" spans="1:30" s="62" customFormat="1" ht="15" customHeight="1">
      <c r="A39" s="455"/>
      <c r="B39" s="56" t="s">
        <v>134</v>
      </c>
      <c r="C39" s="277"/>
      <c r="D39" s="279" t="s">
        <v>154</v>
      </c>
      <c r="E39" s="278"/>
      <c r="F39" s="56">
        <f>VLOOKUP(D39,廠價表!$C$1:$E$39,3,0)</f>
        <v>57.3</v>
      </c>
      <c r="G39" s="276">
        <v>2137</v>
      </c>
      <c r="H39" s="50">
        <f t="shared" si="20"/>
        <v>122450.09999999999</v>
      </c>
      <c r="I39" s="64"/>
      <c r="J39" s="37">
        <f>VLOOKUP(D39,產線配置圖!$A$2:$C$38,2,0)</f>
        <v>15</v>
      </c>
      <c r="K39" s="36">
        <f>VLOOKUP(D39,產線配置圖!$A$2:$C$38,3,0)</f>
        <v>1385</v>
      </c>
      <c r="L39" s="38">
        <f t="shared" si="29"/>
        <v>92.333333333333329</v>
      </c>
      <c r="M39" s="65">
        <v>15</v>
      </c>
      <c r="N39" s="66">
        <f>G39/W39*60</f>
        <v>1282.1999999999985</v>
      </c>
      <c r="O39" s="67">
        <f t="shared" ref="O39" si="32">N39/M39</f>
        <v>85.47999999999989</v>
      </c>
      <c r="P39" s="39">
        <f t="shared" si="30"/>
        <v>0</v>
      </c>
      <c r="Q39" s="40">
        <f t="shared" si="31"/>
        <v>-6.8533333333334383</v>
      </c>
      <c r="R39" s="190">
        <f t="shared" si="26"/>
        <v>0.92577617328519746</v>
      </c>
      <c r="S39" s="458"/>
      <c r="T39" s="59">
        <v>0.54513888888888884</v>
      </c>
      <c r="U39" s="59">
        <v>0.61458333333333337</v>
      </c>
      <c r="V39" s="42">
        <f>(T39-U38)*24*60</f>
        <v>184.99999999999991</v>
      </c>
      <c r="W39" s="69">
        <f t="shared" si="13"/>
        <v>100.00000000000013</v>
      </c>
      <c r="X39" s="22">
        <v>0.46527777777777779</v>
      </c>
      <c r="Y39" s="22">
        <v>0.50694444444444442</v>
      </c>
      <c r="Z39" s="439"/>
      <c r="AA39" s="440"/>
      <c r="AB39" s="271">
        <f t="shared" si="27"/>
        <v>-102.80000000000155</v>
      </c>
      <c r="AC39" s="61">
        <f t="shared" si="28"/>
        <v>0.92577617328519746</v>
      </c>
      <c r="AD39" s="437"/>
    </row>
    <row r="40" spans="1:30" s="62" customFormat="1" ht="15" customHeight="1">
      <c r="A40" s="455"/>
      <c r="B40" s="56" t="s">
        <v>134</v>
      </c>
      <c r="C40" s="275"/>
      <c r="D40" s="279" t="s">
        <v>156</v>
      </c>
      <c r="E40" s="243"/>
      <c r="F40" s="56">
        <f>VLOOKUP(D40,廠價表!$C$1:$E$39,3,0)</f>
        <v>56.43</v>
      </c>
      <c r="G40" s="276">
        <v>472</v>
      </c>
      <c r="H40" s="50">
        <f t="shared" si="20"/>
        <v>26634.959999999999</v>
      </c>
      <c r="I40" s="64"/>
      <c r="J40" s="37">
        <f>VLOOKUP(D40,產線配置圖!$A$2:$C$38,2,0)</f>
        <v>15</v>
      </c>
      <c r="K40" s="36">
        <f>VLOOKUP(D40,產線配置圖!$A$2:$C$38,3,0)</f>
        <v>1406</v>
      </c>
      <c r="L40" s="38">
        <f t="shared" ref="L40" si="33">K40/J40</f>
        <v>93.733333333333334</v>
      </c>
      <c r="M40" s="65">
        <v>15</v>
      </c>
      <c r="N40" s="66">
        <f>G40/W40*60</f>
        <v>707.99999999999977</v>
      </c>
      <c r="O40" s="67">
        <f t="shared" ref="O40" si="34">N40/M40</f>
        <v>47.199999999999982</v>
      </c>
      <c r="P40" s="39">
        <f t="shared" ref="P40" si="35">M40-J40</f>
        <v>0</v>
      </c>
      <c r="Q40" s="40">
        <f t="shared" ref="Q40" si="36">O40-L40</f>
        <v>-46.533333333333353</v>
      </c>
      <c r="R40" s="190">
        <f t="shared" ref="R40" si="37">O40/L40</f>
        <v>0.50355618776671385</v>
      </c>
      <c r="S40" s="397"/>
      <c r="T40" s="59">
        <v>0.62152777777777779</v>
      </c>
      <c r="U40" s="59">
        <v>0.64930555555555558</v>
      </c>
      <c r="V40" s="42">
        <f>(T40-U39)*24*60</f>
        <v>9.9999999999999645</v>
      </c>
      <c r="W40" s="69">
        <f t="shared" si="13"/>
        <v>40.000000000000014</v>
      </c>
      <c r="X40" s="70"/>
      <c r="Y40" s="259"/>
      <c r="Z40" s="439" t="s">
        <v>191</v>
      </c>
      <c r="AA40" s="440"/>
      <c r="AB40" s="271"/>
      <c r="AC40" s="61"/>
      <c r="AD40" s="437"/>
    </row>
    <row r="41" spans="1:30" s="62" customFormat="1" ht="15" customHeight="1">
      <c r="A41" s="455"/>
      <c r="B41" s="56"/>
      <c r="C41" s="275"/>
      <c r="D41" s="279"/>
      <c r="E41" s="243"/>
      <c r="F41" s="56"/>
      <c r="G41" s="276"/>
      <c r="H41" s="63"/>
      <c r="I41" s="64"/>
      <c r="J41" s="37"/>
      <c r="K41" s="36"/>
      <c r="L41" s="38"/>
      <c r="M41" s="65"/>
      <c r="N41" s="66"/>
      <c r="O41" s="67"/>
      <c r="P41" s="39"/>
      <c r="Q41" s="40"/>
      <c r="R41" s="190"/>
      <c r="S41" s="397"/>
      <c r="T41" s="59"/>
      <c r="U41" s="59"/>
      <c r="V41" s="42"/>
      <c r="W41" s="69">
        <f t="shared" si="13"/>
        <v>0</v>
      </c>
      <c r="X41" s="70"/>
      <c r="Y41" s="259"/>
      <c r="Z41" s="439"/>
      <c r="AA41" s="440"/>
      <c r="AB41" s="271"/>
      <c r="AC41" s="61"/>
      <c r="AD41" s="437"/>
    </row>
    <row r="42" spans="1:30" s="62" customFormat="1" ht="15" customHeight="1">
      <c r="A42" s="455"/>
      <c r="B42" s="56"/>
      <c r="C42" s="23"/>
      <c r="D42" s="11"/>
      <c r="E42" s="12"/>
      <c r="F42" s="56"/>
      <c r="G42" s="99"/>
      <c r="H42" s="63"/>
      <c r="I42" s="64"/>
      <c r="J42" s="16"/>
      <c r="K42" s="14"/>
      <c r="L42" s="17"/>
      <c r="M42" s="65"/>
      <c r="N42" s="66"/>
      <c r="O42" s="67"/>
      <c r="P42" s="39"/>
      <c r="Q42" s="40"/>
      <c r="R42" s="68"/>
      <c r="S42" s="397"/>
      <c r="T42" s="75"/>
      <c r="U42" s="75"/>
      <c r="V42" s="42"/>
      <c r="W42" s="69">
        <f t="shared" si="13"/>
        <v>0</v>
      </c>
      <c r="X42" s="70"/>
      <c r="Y42" s="60"/>
      <c r="Z42" s="445"/>
      <c r="AA42" s="446"/>
      <c r="AB42" s="271"/>
      <c r="AC42" s="61"/>
      <c r="AD42" s="437"/>
    </row>
    <row r="43" spans="1:30" s="62" customFormat="1" ht="15" customHeight="1">
      <c r="A43" s="455"/>
      <c r="B43" s="230"/>
      <c r="C43" s="23"/>
      <c r="D43" s="11"/>
      <c r="E43" s="12"/>
      <c r="F43" s="13"/>
      <c r="G43" s="100"/>
      <c r="H43" s="63">
        <f t="shared" ref="H43:H47" si="38">F43*G43</f>
        <v>0</v>
      </c>
      <c r="I43" s="64"/>
      <c r="J43" s="65"/>
      <c r="K43" s="66"/>
      <c r="L43" s="67"/>
      <c r="M43" s="65"/>
      <c r="N43" s="66"/>
      <c r="O43" s="67"/>
      <c r="P43" s="39"/>
      <c r="Q43" s="40"/>
      <c r="R43" s="68"/>
      <c r="S43" s="397"/>
      <c r="T43" s="75"/>
      <c r="U43" s="75"/>
      <c r="V43" s="64"/>
      <c r="W43" s="69">
        <f>(U43-T43)*24*60</f>
        <v>0</v>
      </c>
      <c r="X43" s="70"/>
      <c r="Y43" s="67"/>
      <c r="Z43" s="405"/>
      <c r="AA43" s="405"/>
      <c r="AB43" s="71"/>
      <c r="AC43" s="61"/>
      <c r="AD43" s="437"/>
    </row>
    <row r="44" spans="1:30" s="62" customFormat="1" ht="15" customHeight="1">
      <c r="A44" s="455"/>
      <c r="B44" s="230"/>
      <c r="C44" s="183"/>
      <c r="D44" s="11"/>
      <c r="E44" s="12"/>
      <c r="F44" s="13"/>
      <c r="G44" s="100"/>
      <c r="H44" s="63">
        <f t="shared" si="38"/>
        <v>0</v>
      </c>
      <c r="I44" s="64"/>
      <c r="J44" s="65"/>
      <c r="K44" s="66"/>
      <c r="L44" s="58"/>
      <c r="M44" s="65"/>
      <c r="N44" s="66"/>
      <c r="O44" s="67"/>
      <c r="P44" s="39"/>
      <c r="Q44" s="40"/>
      <c r="R44" s="68"/>
      <c r="S44" s="397"/>
      <c r="T44" s="59"/>
      <c r="U44" s="59"/>
      <c r="V44" s="64"/>
      <c r="W44" s="69">
        <f t="shared" ref="W44:W48" si="39">(U44-T44)*24*60</f>
        <v>0</v>
      </c>
      <c r="X44" s="70"/>
      <c r="Y44" s="67"/>
      <c r="Z44" s="405"/>
      <c r="AA44" s="405"/>
      <c r="AB44" s="71"/>
      <c r="AC44" s="61"/>
      <c r="AD44" s="437"/>
    </row>
    <row r="45" spans="1:30" s="62" customFormat="1" ht="15" customHeight="1">
      <c r="A45" s="455"/>
      <c r="B45" s="231"/>
      <c r="C45" s="27"/>
      <c r="D45" s="28"/>
      <c r="E45" s="29"/>
      <c r="F45" s="13"/>
      <c r="G45" s="66"/>
      <c r="H45" s="63">
        <f t="shared" si="38"/>
        <v>0</v>
      </c>
      <c r="I45" s="64"/>
      <c r="J45" s="65"/>
      <c r="K45" s="66"/>
      <c r="L45" s="67"/>
      <c r="M45" s="65"/>
      <c r="N45" s="66"/>
      <c r="O45" s="67"/>
      <c r="P45" s="39"/>
      <c r="Q45" s="40"/>
      <c r="R45" s="68"/>
      <c r="S45" s="397"/>
      <c r="T45" s="75"/>
      <c r="U45" s="75"/>
      <c r="V45" s="64"/>
      <c r="W45" s="69">
        <f t="shared" si="39"/>
        <v>0</v>
      </c>
      <c r="X45" s="70"/>
      <c r="Y45" s="67"/>
      <c r="Z45" s="405"/>
      <c r="AA45" s="405"/>
      <c r="AB45" s="71"/>
      <c r="AC45" s="61"/>
      <c r="AD45" s="437"/>
    </row>
    <row r="46" spans="1:30" s="62" customFormat="1" ht="15" customHeight="1">
      <c r="A46" s="455"/>
      <c r="B46" s="231"/>
      <c r="C46" s="27"/>
      <c r="D46" s="28"/>
      <c r="E46" s="29"/>
      <c r="F46" s="13"/>
      <c r="G46" s="66"/>
      <c r="H46" s="63">
        <f t="shared" si="38"/>
        <v>0</v>
      </c>
      <c r="I46" s="64"/>
      <c r="J46" s="65"/>
      <c r="K46" s="66"/>
      <c r="L46" s="67"/>
      <c r="M46" s="65"/>
      <c r="N46" s="66"/>
      <c r="O46" s="67"/>
      <c r="P46" s="39"/>
      <c r="Q46" s="40"/>
      <c r="R46" s="68"/>
      <c r="S46" s="397"/>
      <c r="T46" s="59"/>
      <c r="U46" s="59"/>
      <c r="V46" s="64"/>
      <c r="W46" s="69">
        <f t="shared" si="39"/>
        <v>0</v>
      </c>
      <c r="X46" s="70"/>
      <c r="Y46" s="67"/>
      <c r="Z46" s="405"/>
      <c r="AA46" s="405"/>
      <c r="AB46" s="71"/>
      <c r="AC46" s="61"/>
      <c r="AD46" s="437"/>
    </row>
    <row r="47" spans="1:30" s="62" customFormat="1" ht="15" customHeight="1">
      <c r="A47" s="455"/>
      <c r="B47" s="230"/>
      <c r="C47" s="27"/>
      <c r="D47" s="28"/>
      <c r="E47" s="29"/>
      <c r="F47" s="13"/>
      <c r="G47" s="66"/>
      <c r="H47" s="63">
        <f t="shared" si="38"/>
        <v>0</v>
      </c>
      <c r="I47" s="64"/>
      <c r="J47" s="65"/>
      <c r="K47" s="66"/>
      <c r="L47" s="67"/>
      <c r="M47" s="65"/>
      <c r="N47" s="66"/>
      <c r="O47" s="67"/>
      <c r="P47" s="39"/>
      <c r="Q47" s="40"/>
      <c r="R47" s="68"/>
      <c r="S47" s="397"/>
      <c r="T47" s="75"/>
      <c r="U47" s="75"/>
      <c r="V47" s="64"/>
      <c r="W47" s="69">
        <f t="shared" si="39"/>
        <v>0</v>
      </c>
      <c r="X47" s="70"/>
      <c r="Y47" s="67"/>
      <c r="Z47" s="405"/>
      <c r="AA47" s="405"/>
      <c r="AB47" s="71"/>
      <c r="AC47" s="61"/>
      <c r="AD47" s="437"/>
    </row>
    <row r="48" spans="1:30" ht="15" customHeight="1" thickBot="1">
      <c r="A48" s="456"/>
      <c r="B48" s="156"/>
      <c r="C48" s="1" t="s">
        <v>37</v>
      </c>
      <c r="D48" s="410" t="s">
        <v>7</v>
      </c>
      <c r="E48" s="410"/>
      <c r="F48" s="133"/>
      <c r="G48" s="145"/>
      <c r="H48" s="135"/>
      <c r="I48" s="136"/>
      <c r="J48" s="134">
        <f t="shared" ref="J48:O48" si="40">AVERAGE(J38:J47)</f>
        <v>15</v>
      </c>
      <c r="K48" s="134">
        <f t="shared" si="40"/>
        <v>1399</v>
      </c>
      <c r="L48" s="137">
        <f t="shared" si="40"/>
        <v>93.266666666666666</v>
      </c>
      <c r="M48" s="134">
        <f t="shared" si="40"/>
        <v>15</v>
      </c>
      <c r="N48" s="134">
        <f t="shared" si="40"/>
        <v>1100.0666666666659</v>
      </c>
      <c r="O48" s="137">
        <f t="shared" si="40"/>
        <v>73.337777777777717</v>
      </c>
      <c r="P48" s="157">
        <f>M48-J48</f>
        <v>0</v>
      </c>
      <c r="Q48" s="158">
        <f>N48-K48</f>
        <v>-298.93333333333408</v>
      </c>
      <c r="R48" s="159">
        <f>O48/L48</f>
        <v>0.78632356445079754</v>
      </c>
      <c r="S48" s="399"/>
      <c r="T48" s="160"/>
      <c r="U48" s="160"/>
      <c r="V48" s="196"/>
      <c r="W48" s="161">
        <f t="shared" si="39"/>
        <v>0</v>
      </c>
      <c r="X48" s="162"/>
      <c r="Y48" s="162"/>
      <c r="Z48" s="391"/>
      <c r="AA48" s="391"/>
      <c r="AB48" s="163">
        <f>N48-K48</f>
        <v>-298.93333333333408</v>
      </c>
      <c r="AC48" s="191">
        <f>N48/K48</f>
        <v>0.78632356445079765</v>
      </c>
      <c r="AD48" s="438"/>
    </row>
    <row r="49" spans="1:30" ht="15" customHeight="1">
      <c r="A49" s="451" t="s">
        <v>56</v>
      </c>
      <c r="B49" s="199" t="str">
        <f>VLOOKUP(D49,廠價表!$C$1:$E$39,2,0)</f>
        <v>義大利麵</v>
      </c>
      <c r="C49" s="102"/>
      <c r="D49" s="103" t="s">
        <v>152</v>
      </c>
      <c r="E49" s="104"/>
      <c r="F49" s="199">
        <f>VLOOKUP(D49,廠價表!$C$1:$E$39,3,0)</f>
        <v>56.87</v>
      </c>
      <c r="G49" s="149">
        <v>2973</v>
      </c>
      <c r="H49" s="125">
        <f t="shared" ref="H49:H57" si="41">F49*G49</f>
        <v>169074.50999999998</v>
      </c>
      <c r="I49" s="126"/>
      <c r="J49" s="108">
        <f>VLOOKUP(D49,產線配置圖!$A$2:$C$38,2,0)</f>
        <v>19</v>
      </c>
      <c r="K49" s="105">
        <f>VLOOKUP(D49,產線配置圖!$A$2:$C$38,3,0)</f>
        <v>1565</v>
      </c>
      <c r="L49" s="109">
        <f>K49/J49</f>
        <v>82.368421052631575</v>
      </c>
      <c r="M49" s="144">
        <v>19</v>
      </c>
      <c r="N49" s="127">
        <f>G49/W49*60</f>
        <v>1564.7368421052631</v>
      </c>
      <c r="O49" s="128">
        <f>N49/M49</f>
        <v>82.35457063711911</v>
      </c>
      <c r="P49" s="164">
        <f>M49-J49</f>
        <v>0</v>
      </c>
      <c r="Q49" s="112">
        <f>O49-L49</f>
        <v>-1.385041551246502E-2</v>
      </c>
      <c r="R49" s="184">
        <f>O49/L49</f>
        <v>0.99983184799058344</v>
      </c>
      <c r="S49" s="396">
        <f>R58</f>
        <v>0.95110716855869337</v>
      </c>
      <c r="T49" s="151">
        <v>0.29166666666666669</v>
      </c>
      <c r="U49" s="151">
        <v>0.37083333333333335</v>
      </c>
      <c r="V49" s="188"/>
      <c r="W49" s="152">
        <f t="shared" si="13"/>
        <v>114</v>
      </c>
      <c r="X49" s="188"/>
      <c r="Y49" s="188"/>
      <c r="Z49" s="400"/>
      <c r="AA49" s="400"/>
      <c r="AB49" s="111">
        <f>N49-K49</f>
        <v>-0.26315789473687801</v>
      </c>
      <c r="AC49" s="184">
        <f>N49/K49</f>
        <v>0.99983184799058344</v>
      </c>
      <c r="AD49" s="401">
        <f>AC58</f>
        <v>0.95194942982020447</v>
      </c>
    </row>
    <row r="50" spans="1:30" ht="15" customHeight="1">
      <c r="A50" s="452"/>
      <c r="B50" s="56" t="str">
        <f>VLOOKUP(D50,廠價表!$C$1:$E$39,2,0)</f>
        <v>義大利麵</v>
      </c>
      <c r="C50" s="10"/>
      <c r="D50" s="11" t="s">
        <v>65</v>
      </c>
      <c r="E50" s="86"/>
      <c r="F50" s="56">
        <f>VLOOKUP(D50,廠價表!$C$1:$E$39,3,0)</f>
        <v>49.97</v>
      </c>
      <c r="G50" s="66">
        <v>2954</v>
      </c>
      <c r="H50" s="76">
        <f t="shared" si="41"/>
        <v>147611.38</v>
      </c>
      <c r="I50" s="193"/>
      <c r="J50" s="16">
        <f>VLOOKUP(D50,產線配置圖!$A$2:$C$38,2,0)</f>
        <v>18</v>
      </c>
      <c r="K50" s="14">
        <f>VLOOKUP(D50,產線配置圖!$A$2:$C$38,3,0)</f>
        <v>1600</v>
      </c>
      <c r="L50" s="17">
        <f>K50/J50</f>
        <v>88.888888888888886</v>
      </c>
      <c r="M50" s="174">
        <v>18</v>
      </c>
      <c r="N50" s="77">
        <f>G50/W50*60</f>
        <v>1502.0338983050849</v>
      </c>
      <c r="O50" s="78">
        <f>N50/M50</f>
        <v>83.446327683615834</v>
      </c>
      <c r="P50" s="18">
        <f>M50-J50</f>
        <v>0</v>
      </c>
      <c r="Q50" s="19">
        <f>O50-L50</f>
        <v>-5.4425612052730514</v>
      </c>
      <c r="R50" s="185">
        <f>O50/L50</f>
        <v>0.93877118644067814</v>
      </c>
      <c r="S50" s="397"/>
      <c r="T50" s="79">
        <v>0.37638888888888888</v>
      </c>
      <c r="U50" s="79">
        <v>0.45833333333333331</v>
      </c>
      <c r="V50" s="177">
        <f t="shared" ref="V50:V51" si="42">(T50-U49)*24*60</f>
        <v>7.9999999999999716</v>
      </c>
      <c r="W50" s="80">
        <f t="shared" si="13"/>
        <v>117.99999999999999</v>
      </c>
      <c r="X50" s="22"/>
      <c r="Y50" s="22"/>
      <c r="Z50" s="419"/>
      <c r="AA50" s="418"/>
      <c r="AB50" s="18">
        <f>N50-K50</f>
        <v>-97.966101694915096</v>
      </c>
      <c r="AC50" s="185">
        <f>N50/K50</f>
        <v>0.93877118644067803</v>
      </c>
      <c r="AD50" s="402"/>
    </row>
    <row r="51" spans="1:30" ht="15" customHeight="1">
      <c r="A51" s="452"/>
      <c r="B51" s="56" t="str">
        <f>VLOOKUP(D51,廠價表!$C$1:$E$39,2,0)</f>
        <v>義大利麵</v>
      </c>
      <c r="C51" s="10"/>
      <c r="D51" s="11" t="s">
        <v>65</v>
      </c>
      <c r="E51" s="86"/>
      <c r="F51" s="56">
        <f>VLOOKUP(D51,廠價表!$C$1:$E$39,3,0)</f>
        <v>49.97</v>
      </c>
      <c r="G51" s="66">
        <v>3012</v>
      </c>
      <c r="H51" s="76">
        <f t="shared" si="41"/>
        <v>150509.63999999998</v>
      </c>
      <c r="I51" s="193"/>
      <c r="J51" s="16">
        <f>VLOOKUP(D51,產線配置圖!$A$2:$C$38,2,0)</f>
        <v>18</v>
      </c>
      <c r="K51" s="14">
        <f>VLOOKUP(D51,產線配置圖!$A$2:$C$38,3,0)</f>
        <v>1600</v>
      </c>
      <c r="L51" s="17">
        <f>K51/J51</f>
        <v>88.888888888888886</v>
      </c>
      <c r="M51" s="174">
        <v>18</v>
      </c>
      <c r="N51" s="77">
        <f>G51/W51*60</f>
        <v>1469.2682926829261</v>
      </c>
      <c r="O51" s="78">
        <f>N51/M51</f>
        <v>81.626016260162558</v>
      </c>
      <c r="P51" s="18">
        <f>M51-J51</f>
        <v>0</v>
      </c>
      <c r="Q51" s="19">
        <f>O51-L51</f>
        <v>-7.2628726287263277</v>
      </c>
      <c r="R51" s="185">
        <f>O51/L51</f>
        <v>0.91829268292682886</v>
      </c>
      <c r="S51" s="397"/>
      <c r="T51" s="79">
        <v>0.52430555555555558</v>
      </c>
      <c r="U51" s="44">
        <v>0.60972222222222228</v>
      </c>
      <c r="V51" s="177">
        <f t="shared" si="42"/>
        <v>95.000000000000057</v>
      </c>
      <c r="W51" s="80">
        <f t="shared" si="13"/>
        <v>123.00000000000004</v>
      </c>
      <c r="X51" s="22">
        <v>0.47916666666666669</v>
      </c>
      <c r="Y51" s="22">
        <v>0.52083333333333337</v>
      </c>
      <c r="Z51" s="405"/>
      <c r="AA51" s="405"/>
      <c r="AB51" s="18">
        <f>N51-K51</f>
        <v>-130.73170731707387</v>
      </c>
      <c r="AC51" s="185">
        <f>N51/K51</f>
        <v>0.91829268292682886</v>
      </c>
      <c r="AD51" s="402"/>
    </row>
    <row r="52" spans="1:30" ht="15" customHeight="1">
      <c r="A52" s="452"/>
      <c r="B52" s="56"/>
      <c r="C52" s="23"/>
      <c r="D52" s="11"/>
      <c r="E52" s="12"/>
      <c r="F52" s="56"/>
      <c r="G52" s="66"/>
      <c r="H52" s="76"/>
      <c r="I52" s="193"/>
      <c r="J52" s="16"/>
      <c r="K52" s="14"/>
      <c r="L52" s="17"/>
      <c r="M52" s="174"/>
      <c r="N52" s="77"/>
      <c r="O52" s="78"/>
      <c r="P52" s="18"/>
      <c r="Q52" s="19"/>
      <c r="R52" s="185"/>
      <c r="S52" s="397"/>
      <c r="T52" s="79"/>
      <c r="U52" s="79"/>
      <c r="V52" s="177"/>
      <c r="W52" s="80">
        <f t="shared" si="13"/>
        <v>0</v>
      </c>
      <c r="X52" s="22"/>
      <c r="Y52" s="22"/>
      <c r="Z52" s="405"/>
      <c r="AA52" s="405"/>
      <c r="AB52" s="18"/>
      <c r="AC52" s="185"/>
      <c r="AD52" s="402"/>
    </row>
    <row r="53" spans="1:30" ht="15" customHeight="1">
      <c r="A53" s="452"/>
      <c r="B53" s="56"/>
      <c r="C53" s="23"/>
      <c r="D53" s="11"/>
      <c r="E53" s="12"/>
      <c r="F53" s="56"/>
      <c r="G53" s="66"/>
      <c r="H53" s="76"/>
      <c r="I53" s="193"/>
      <c r="J53" s="16"/>
      <c r="K53" s="14"/>
      <c r="L53" s="17"/>
      <c r="M53" s="174"/>
      <c r="N53" s="77"/>
      <c r="O53" s="78"/>
      <c r="P53" s="18"/>
      <c r="Q53" s="19"/>
      <c r="R53" s="185"/>
      <c r="S53" s="397"/>
      <c r="T53" s="79"/>
      <c r="U53" s="79"/>
      <c r="V53" s="177"/>
      <c r="W53" s="80">
        <f t="shared" si="13"/>
        <v>0</v>
      </c>
      <c r="X53" s="177"/>
      <c r="Y53" s="177"/>
      <c r="Z53" s="419"/>
      <c r="AA53" s="418"/>
      <c r="AB53" s="18"/>
      <c r="AC53" s="185"/>
      <c r="AD53" s="402"/>
    </row>
    <row r="54" spans="1:30" ht="15" customHeight="1">
      <c r="A54" s="452"/>
      <c r="B54" s="177"/>
      <c r="C54" s="183"/>
      <c r="D54" s="11"/>
      <c r="E54" s="12"/>
      <c r="F54" s="13"/>
      <c r="G54" s="66"/>
      <c r="H54" s="76">
        <f t="shared" si="41"/>
        <v>0</v>
      </c>
      <c r="I54" s="177"/>
      <c r="J54" s="31"/>
      <c r="K54" s="30"/>
      <c r="L54" s="38"/>
      <c r="M54" s="181"/>
      <c r="N54" s="30"/>
      <c r="O54" s="35"/>
      <c r="P54" s="18"/>
      <c r="Q54" s="19"/>
      <c r="R54" s="185"/>
      <c r="S54" s="397"/>
      <c r="T54" s="79"/>
      <c r="U54" s="79"/>
      <c r="V54" s="197"/>
      <c r="W54" s="80">
        <f t="shared" si="13"/>
        <v>0</v>
      </c>
      <c r="X54" s="177"/>
      <c r="Y54" s="177"/>
      <c r="Z54" s="419"/>
      <c r="AA54" s="418"/>
      <c r="AB54" s="18"/>
      <c r="AC54" s="185"/>
      <c r="AD54" s="402"/>
    </row>
    <row r="55" spans="1:30" ht="15" customHeight="1">
      <c r="A55" s="452"/>
      <c r="B55" s="26"/>
      <c r="C55" s="27"/>
      <c r="D55" s="28"/>
      <c r="E55" s="29"/>
      <c r="F55" s="13"/>
      <c r="G55" s="66"/>
      <c r="H55" s="15">
        <f t="shared" si="41"/>
        <v>0</v>
      </c>
      <c r="I55" s="177"/>
      <c r="J55" s="31"/>
      <c r="K55" s="30"/>
      <c r="L55" s="38"/>
      <c r="M55" s="181"/>
      <c r="N55" s="30"/>
      <c r="O55" s="35"/>
      <c r="P55" s="18"/>
      <c r="Q55" s="19"/>
      <c r="R55" s="185"/>
      <c r="S55" s="397"/>
      <c r="T55" s="79"/>
      <c r="U55" s="79"/>
      <c r="V55" s="197"/>
      <c r="W55" s="80">
        <f t="shared" si="13"/>
        <v>0</v>
      </c>
      <c r="X55" s="177"/>
      <c r="Y55" s="177"/>
      <c r="Z55" s="419"/>
      <c r="AA55" s="418"/>
      <c r="AB55" s="18"/>
      <c r="AC55" s="185"/>
      <c r="AD55" s="402"/>
    </row>
    <row r="56" spans="1:30" ht="15" customHeight="1">
      <c r="A56" s="452"/>
      <c r="B56" s="26"/>
      <c r="C56" s="27"/>
      <c r="D56" s="28"/>
      <c r="E56" s="29"/>
      <c r="F56" s="13"/>
      <c r="G56" s="66"/>
      <c r="H56" s="15">
        <f t="shared" si="41"/>
        <v>0</v>
      </c>
      <c r="I56" s="177"/>
      <c r="J56" s="31"/>
      <c r="K56" s="30"/>
      <c r="L56" s="38"/>
      <c r="M56" s="181"/>
      <c r="N56" s="30"/>
      <c r="O56" s="35"/>
      <c r="P56" s="18"/>
      <c r="Q56" s="19"/>
      <c r="R56" s="185"/>
      <c r="S56" s="397"/>
      <c r="T56" s="79"/>
      <c r="U56" s="79"/>
      <c r="V56" s="197"/>
      <c r="W56" s="80">
        <f t="shared" si="13"/>
        <v>0</v>
      </c>
      <c r="X56" s="177"/>
      <c r="Y56" s="177"/>
      <c r="Z56" s="405"/>
      <c r="AA56" s="405"/>
      <c r="AB56" s="18"/>
      <c r="AC56" s="185"/>
      <c r="AD56" s="402"/>
    </row>
    <row r="57" spans="1:30" ht="15" customHeight="1">
      <c r="A57" s="452"/>
      <c r="B57" s="26"/>
      <c r="C57" s="27"/>
      <c r="D57" s="28"/>
      <c r="E57" s="29"/>
      <c r="F57" s="13"/>
      <c r="G57" s="66"/>
      <c r="H57" s="15">
        <f t="shared" si="41"/>
        <v>0</v>
      </c>
      <c r="I57" s="177"/>
      <c r="J57" s="31"/>
      <c r="K57" s="30"/>
      <c r="L57" s="38"/>
      <c r="M57" s="181"/>
      <c r="N57" s="30"/>
      <c r="O57" s="35"/>
      <c r="P57" s="18"/>
      <c r="Q57" s="19"/>
      <c r="R57" s="185"/>
      <c r="S57" s="397"/>
      <c r="T57" s="79"/>
      <c r="U57" s="79"/>
      <c r="V57" s="197"/>
      <c r="W57" s="80">
        <f t="shared" si="13"/>
        <v>0</v>
      </c>
      <c r="X57" s="177"/>
      <c r="Y57" s="177"/>
      <c r="Z57" s="405"/>
      <c r="AA57" s="405"/>
      <c r="AB57" s="18"/>
      <c r="AC57" s="185"/>
      <c r="AD57" s="402"/>
    </row>
    <row r="58" spans="1:30" ht="15" customHeight="1" thickBot="1">
      <c r="A58" s="453"/>
      <c r="B58" s="165"/>
      <c r="C58" s="1" t="s">
        <v>38</v>
      </c>
      <c r="D58" s="410" t="s">
        <v>7</v>
      </c>
      <c r="E58" s="410"/>
      <c r="F58" s="114"/>
      <c r="G58" s="166"/>
      <c r="H58" s="116"/>
      <c r="I58" s="115"/>
      <c r="J58" s="118">
        <f t="shared" ref="J58:O58" si="43">AVERAGE(J49:J57)</f>
        <v>18.333333333333332</v>
      </c>
      <c r="K58" s="118">
        <f t="shared" si="43"/>
        <v>1588.3333333333333</v>
      </c>
      <c r="L58" s="115">
        <f t="shared" si="43"/>
        <v>86.715399610136458</v>
      </c>
      <c r="M58" s="118">
        <f t="shared" si="43"/>
        <v>18.333333333333332</v>
      </c>
      <c r="N58" s="118">
        <f t="shared" si="43"/>
        <v>1512.0130110310913</v>
      </c>
      <c r="O58" s="115">
        <f t="shared" si="43"/>
        <v>82.475638193632506</v>
      </c>
      <c r="P58" s="119">
        <f>M58-J58</f>
        <v>0</v>
      </c>
      <c r="Q58" s="120">
        <f>N58-K58</f>
        <v>-76.320322302241948</v>
      </c>
      <c r="R58" s="121">
        <f t="shared" ref="R58:R60" si="44">O58/L58</f>
        <v>0.95110716855869337</v>
      </c>
      <c r="S58" s="399"/>
      <c r="T58" s="167"/>
      <c r="U58" s="167"/>
      <c r="V58" s="195"/>
      <c r="W58" s="168"/>
      <c r="X58" s="124"/>
      <c r="Y58" s="124"/>
      <c r="Z58" s="391"/>
      <c r="AA58" s="391"/>
      <c r="AB58" s="119">
        <f t="shared" ref="AB58:AB62" si="45">N58-K58</f>
        <v>-76.320322302241948</v>
      </c>
      <c r="AC58" s="187">
        <f t="shared" ref="AC58:AC62" si="46">N58/K58</f>
        <v>0.95194942982020447</v>
      </c>
      <c r="AD58" s="404"/>
    </row>
    <row r="59" spans="1:30" ht="15" customHeight="1">
      <c r="A59" s="466" t="s">
        <v>57</v>
      </c>
      <c r="B59" s="199" t="str">
        <f>VLOOKUP(D59,廠價表!$C$1:$E$39,2,0)</f>
        <v>小吃、微波</v>
      </c>
      <c r="C59" s="102"/>
      <c r="D59" s="103" t="s">
        <v>125</v>
      </c>
      <c r="E59" s="104"/>
      <c r="F59" s="199">
        <f>VLOOKUP(D59,廠價表!$C$1:$E$39,3,0)</f>
        <v>26.99</v>
      </c>
      <c r="G59" s="188">
        <v>2711</v>
      </c>
      <c r="H59" s="106">
        <f t="shared" ref="H59:H68" si="47">F59*G59</f>
        <v>73169.89</v>
      </c>
      <c r="I59" s="188"/>
      <c r="J59" s="108">
        <f>VLOOKUP(D59,產線配置圖!$A$2:$C$38,2,0)</f>
        <v>13</v>
      </c>
      <c r="K59" s="105">
        <f>VLOOKUP(D59,產線配置圖!$A$2:$C$38,3,0)</f>
        <v>1565</v>
      </c>
      <c r="L59" s="109">
        <f>K59/J59</f>
        <v>120.38461538461539</v>
      </c>
      <c r="M59" s="110">
        <v>13</v>
      </c>
      <c r="N59" s="105">
        <f t="shared" ref="N59:N62" si="48">G59/W59*60</f>
        <v>1426.8421052631579</v>
      </c>
      <c r="O59" s="109">
        <f t="shared" ref="O59:O62" si="49">N59/M59</f>
        <v>109.75708502024291</v>
      </c>
      <c r="P59" s="111">
        <f t="shared" ref="P59:P62" si="50">M59-J59</f>
        <v>0</v>
      </c>
      <c r="Q59" s="112">
        <f t="shared" ref="Q59:Q62" si="51">O59-L59</f>
        <v>-10.627530364372475</v>
      </c>
      <c r="R59" s="184">
        <f t="shared" si="44"/>
        <v>0.91172019505633084</v>
      </c>
      <c r="S59" s="396">
        <f>R69</f>
        <v>0.91733797025238062</v>
      </c>
      <c r="T59" s="169">
        <v>0.29166666666666669</v>
      </c>
      <c r="U59" s="169">
        <v>0.37083333333333335</v>
      </c>
      <c r="V59" s="188"/>
      <c r="W59" s="107">
        <f t="shared" si="13"/>
        <v>114</v>
      </c>
      <c r="X59" s="188"/>
      <c r="Y59" s="188"/>
      <c r="Z59" s="405"/>
      <c r="AA59" s="405"/>
      <c r="AB59" s="225">
        <f t="shared" si="45"/>
        <v>-138.15789473684208</v>
      </c>
      <c r="AC59" s="226">
        <f t="shared" si="46"/>
        <v>0.91172019505633095</v>
      </c>
      <c r="AD59" s="401">
        <f>AC69</f>
        <v>0.91787341211000173</v>
      </c>
    </row>
    <row r="60" spans="1:30" ht="15" customHeight="1">
      <c r="A60" s="467"/>
      <c r="B60" s="56" t="str">
        <f>VLOOKUP(D60,廠價表!$C$1:$E$39,2,0)</f>
        <v>小吃、微波</v>
      </c>
      <c r="C60" s="10"/>
      <c r="D60" s="11" t="s">
        <v>146</v>
      </c>
      <c r="E60" s="86"/>
      <c r="F60" s="56">
        <f>VLOOKUP(D60,廠價表!$C$1:$E$39,3,0)</f>
        <v>28.47</v>
      </c>
      <c r="G60" s="177">
        <v>947</v>
      </c>
      <c r="H60" s="15">
        <f t="shared" si="47"/>
        <v>26961.09</v>
      </c>
      <c r="I60" s="177"/>
      <c r="J60" s="16">
        <f>VLOOKUP(D60,產線配置圖!$A$2:$C$38,2,0)</f>
        <v>12</v>
      </c>
      <c r="K60" s="14">
        <f>VLOOKUP(D60,產線配置圖!$A$2:$C$38,3,0)</f>
        <v>1565</v>
      </c>
      <c r="L60" s="17">
        <f>K60/J60</f>
        <v>130.41666666666666</v>
      </c>
      <c r="M60" s="180">
        <v>12</v>
      </c>
      <c r="N60" s="14">
        <f t="shared" si="48"/>
        <v>1420.4999999999993</v>
      </c>
      <c r="O60" s="17">
        <f t="shared" si="49"/>
        <v>118.37499999999994</v>
      </c>
      <c r="P60" s="18">
        <f t="shared" si="50"/>
        <v>0</v>
      </c>
      <c r="Q60" s="19">
        <f t="shared" si="51"/>
        <v>-12.041666666666714</v>
      </c>
      <c r="R60" s="185">
        <f t="shared" si="44"/>
        <v>0.90766773162939263</v>
      </c>
      <c r="S60" s="470"/>
      <c r="T60" s="198">
        <v>0.375</v>
      </c>
      <c r="U60" s="198">
        <v>0.40277777777777779</v>
      </c>
      <c r="V60" s="177">
        <f t="shared" ref="V60:V62" si="52">(T60-U59)*24*60</f>
        <v>5.9999999999999787</v>
      </c>
      <c r="W60" s="90">
        <f t="shared" si="13"/>
        <v>40.000000000000014</v>
      </c>
      <c r="X60" s="193"/>
      <c r="Y60" s="193"/>
      <c r="Z60" s="405"/>
      <c r="AA60" s="405"/>
      <c r="AB60" s="227">
        <f t="shared" si="45"/>
        <v>-144.50000000000068</v>
      </c>
      <c r="AC60" s="228">
        <f t="shared" si="46"/>
        <v>0.90766773162939252</v>
      </c>
      <c r="AD60" s="473"/>
    </row>
    <row r="61" spans="1:30" ht="15" customHeight="1">
      <c r="A61" s="468"/>
      <c r="B61" s="56" t="str">
        <f>VLOOKUP(D61,廠價表!$C$1:$E$39,2,0)</f>
        <v>小吃、微波</v>
      </c>
      <c r="C61" s="10"/>
      <c r="D61" s="242" t="s">
        <v>135</v>
      </c>
      <c r="E61" s="86"/>
      <c r="F61" s="56">
        <f>VLOOKUP(D61,廠價表!$C$1:$E$39,3,0)</f>
        <v>28.26</v>
      </c>
      <c r="G61" s="177">
        <v>2586</v>
      </c>
      <c r="H61" s="15">
        <f t="shared" si="47"/>
        <v>73080.36</v>
      </c>
      <c r="I61" s="81"/>
      <c r="J61" s="16">
        <f>VLOOKUP(D61,產線配置圖!$A$2:$C$38,2,0)</f>
        <v>12</v>
      </c>
      <c r="K61" s="14">
        <f>VLOOKUP(D61,產線配置圖!$A$2:$C$38,3,0)</f>
        <v>1565</v>
      </c>
      <c r="L61" s="17">
        <f t="shared" ref="L61:L62" si="53">K61/J61</f>
        <v>130.41666666666666</v>
      </c>
      <c r="M61" s="180">
        <v>12</v>
      </c>
      <c r="N61" s="14">
        <f t="shared" si="48"/>
        <v>1410.5454545454543</v>
      </c>
      <c r="O61" s="17">
        <f t="shared" si="49"/>
        <v>117.54545454545452</v>
      </c>
      <c r="P61" s="18">
        <f t="shared" si="50"/>
        <v>0</v>
      </c>
      <c r="Q61" s="19">
        <f t="shared" si="51"/>
        <v>-12.871212121212139</v>
      </c>
      <c r="R61" s="185">
        <f>O61/L61</f>
        <v>0.90130699970955552</v>
      </c>
      <c r="S61" s="397"/>
      <c r="T61" s="20">
        <v>0.41319444444444442</v>
      </c>
      <c r="U61" s="20">
        <v>0.48958333333333331</v>
      </c>
      <c r="V61" s="177">
        <f t="shared" si="52"/>
        <v>14.999999999999947</v>
      </c>
      <c r="W61" s="88">
        <f t="shared" si="13"/>
        <v>110.00000000000001</v>
      </c>
      <c r="X61" s="22"/>
      <c r="Y61" s="22"/>
      <c r="Z61" s="405"/>
      <c r="AA61" s="405"/>
      <c r="AB61" s="51">
        <f t="shared" si="45"/>
        <v>-154.45454545454572</v>
      </c>
      <c r="AC61" s="52">
        <f t="shared" si="46"/>
        <v>0.90130699970955541</v>
      </c>
      <c r="AD61" s="402"/>
    </row>
    <row r="62" spans="1:30" ht="15" customHeight="1">
      <c r="A62" s="468"/>
      <c r="B62" s="56" t="str">
        <f>VLOOKUP(D62,廠價表!$C$1:$E$39,2,0)</f>
        <v>小吃、微波</v>
      </c>
      <c r="C62" s="23"/>
      <c r="D62" s="242" t="s">
        <v>125</v>
      </c>
      <c r="E62" s="12"/>
      <c r="F62" s="56">
        <f>VLOOKUP(D62,廠價表!$C$1:$E$39,3,0)</f>
        <v>26.99</v>
      </c>
      <c r="G62" s="177">
        <v>1860</v>
      </c>
      <c r="H62" s="15">
        <f t="shared" si="47"/>
        <v>50201.399999999994</v>
      </c>
      <c r="I62" s="81"/>
      <c r="J62" s="16">
        <f>VLOOKUP(D62,產線配置圖!$A$2:$C$38,2,0)</f>
        <v>13</v>
      </c>
      <c r="K62" s="14">
        <f>VLOOKUP(D62,產線配置圖!$A$2:$C$38,3,0)</f>
        <v>1565</v>
      </c>
      <c r="L62" s="17">
        <f t="shared" si="53"/>
        <v>120.38461538461539</v>
      </c>
      <c r="M62" s="180">
        <v>13</v>
      </c>
      <c r="N62" s="14">
        <f t="shared" si="48"/>
        <v>1487.9999999999991</v>
      </c>
      <c r="O62" s="17">
        <f t="shared" si="49"/>
        <v>114.4615384615384</v>
      </c>
      <c r="P62" s="18">
        <f t="shared" si="50"/>
        <v>0</v>
      </c>
      <c r="Q62" s="19">
        <f t="shared" si="51"/>
        <v>-5.9230769230769909</v>
      </c>
      <c r="R62" s="185">
        <f>O62/L62</f>
        <v>0.95079872204472782</v>
      </c>
      <c r="S62" s="397"/>
      <c r="T62" s="20">
        <v>0.54513888888888884</v>
      </c>
      <c r="U62" s="20">
        <v>0.59722222222222221</v>
      </c>
      <c r="V62" s="177">
        <f t="shared" si="52"/>
        <v>79.999999999999957</v>
      </c>
      <c r="W62" s="90">
        <f t="shared" si="13"/>
        <v>75.000000000000057</v>
      </c>
      <c r="X62" s="22">
        <v>0.49305555555555558</v>
      </c>
      <c r="Y62" s="22">
        <v>0.53472222222222221</v>
      </c>
      <c r="Z62" s="405"/>
      <c r="AA62" s="405"/>
      <c r="AB62" s="51">
        <f t="shared" si="45"/>
        <v>-77.000000000000909</v>
      </c>
      <c r="AC62" s="52">
        <f t="shared" si="46"/>
        <v>0.95079872204472782</v>
      </c>
      <c r="AD62" s="402"/>
    </row>
    <row r="63" spans="1:30" ht="15" customHeight="1">
      <c r="A63" s="468"/>
      <c r="B63" s="56"/>
      <c r="C63" s="10"/>
      <c r="D63" s="242"/>
      <c r="E63" s="86"/>
      <c r="F63" s="56"/>
      <c r="G63" s="177"/>
      <c r="H63" s="15"/>
      <c r="I63" s="81"/>
      <c r="J63" s="16"/>
      <c r="K63" s="14"/>
      <c r="L63" s="17"/>
      <c r="M63" s="180"/>
      <c r="N63" s="14"/>
      <c r="O63" s="17"/>
      <c r="P63" s="18"/>
      <c r="Q63" s="19"/>
      <c r="R63" s="185"/>
      <c r="S63" s="397"/>
      <c r="T63" s="20"/>
      <c r="U63" s="20"/>
      <c r="V63" s="177"/>
      <c r="W63" s="90">
        <f t="shared" si="13"/>
        <v>0</v>
      </c>
      <c r="X63" s="84"/>
      <c r="Y63" s="84"/>
      <c r="Z63" s="405"/>
      <c r="AA63" s="405"/>
      <c r="AB63" s="51"/>
      <c r="AC63" s="52"/>
      <c r="AD63" s="402"/>
    </row>
    <row r="64" spans="1:30" ht="15" customHeight="1">
      <c r="A64" s="468"/>
      <c r="B64" s="56"/>
      <c r="C64" s="10"/>
      <c r="D64" s="242"/>
      <c r="E64" s="86"/>
      <c r="F64" s="56"/>
      <c r="G64" s="177"/>
      <c r="H64" s="15"/>
      <c r="I64" s="81"/>
      <c r="J64" s="16"/>
      <c r="K64" s="14"/>
      <c r="L64" s="17"/>
      <c r="M64" s="180"/>
      <c r="N64" s="14"/>
      <c r="O64" s="17"/>
      <c r="P64" s="18"/>
      <c r="Q64" s="19"/>
      <c r="R64" s="185"/>
      <c r="S64" s="397"/>
      <c r="T64" s="20"/>
      <c r="U64" s="20"/>
      <c r="V64" s="177"/>
      <c r="W64" s="182">
        <f t="shared" si="13"/>
        <v>0</v>
      </c>
      <c r="X64" s="84"/>
      <c r="Y64" s="84"/>
      <c r="Z64" s="419"/>
      <c r="AA64" s="418"/>
      <c r="AB64" s="18"/>
      <c r="AC64" s="55"/>
      <c r="AD64" s="402"/>
    </row>
    <row r="65" spans="1:32" ht="15" customHeight="1">
      <c r="A65" s="468"/>
      <c r="B65" s="177"/>
      <c r="C65" s="183"/>
      <c r="D65" s="11"/>
      <c r="E65" s="12"/>
      <c r="F65" s="13"/>
      <c r="G65" s="177"/>
      <c r="H65" s="15"/>
      <c r="I65" s="177"/>
      <c r="J65" s="16"/>
      <c r="K65" s="82"/>
      <c r="L65" s="83"/>
      <c r="M65" s="180"/>
      <c r="N65" s="14"/>
      <c r="O65" s="17"/>
      <c r="P65" s="18"/>
      <c r="Q65" s="19"/>
      <c r="R65" s="185"/>
      <c r="S65" s="397"/>
      <c r="T65" s="20"/>
      <c r="U65" s="20"/>
      <c r="V65" s="177"/>
      <c r="W65" s="182">
        <f t="shared" si="13"/>
        <v>0</v>
      </c>
      <c r="X65" s="84"/>
      <c r="Y65" s="84"/>
      <c r="Z65" s="419"/>
      <c r="AA65" s="418"/>
      <c r="AB65" s="18"/>
      <c r="AC65" s="55"/>
      <c r="AD65" s="402"/>
    </row>
    <row r="66" spans="1:32" ht="15" customHeight="1">
      <c r="A66" s="468"/>
      <c r="B66" s="26"/>
      <c r="C66" s="27"/>
      <c r="D66" s="28"/>
      <c r="E66" s="29"/>
      <c r="F66" s="13"/>
      <c r="G66" s="183"/>
      <c r="H66" s="15">
        <f t="shared" si="47"/>
        <v>0</v>
      </c>
      <c r="I66" s="85"/>
      <c r="J66" s="16"/>
      <c r="K66" s="14"/>
      <c r="L66" s="17"/>
      <c r="M66" s="21"/>
      <c r="N66" s="36"/>
      <c r="O66" s="38"/>
      <c r="P66" s="39"/>
      <c r="Q66" s="40"/>
      <c r="R66" s="68"/>
      <c r="S66" s="397"/>
      <c r="T66" s="20"/>
      <c r="U66" s="20"/>
      <c r="V66" s="177"/>
      <c r="W66" s="182">
        <f t="shared" si="13"/>
        <v>0</v>
      </c>
      <c r="X66" s="84"/>
      <c r="Y66" s="84"/>
      <c r="Z66" s="405"/>
      <c r="AA66" s="405"/>
      <c r="AB66" s="18"/>
      <c r="AC66" s="55"/>
      <c r="AD66" s="402"/>
    </row>
    <row r="67" spans="1:32" ht="15" customHeight="1">
      <c r="A67" s="468"/>
      <c r="B67" s="26"/>
      <c r="C67" s="27"/>
      <c r="D67" s="28"/>
      <c r="E67" s="29"/>
      <c r="F67" s="13"/>
      <c r="G67" s="177"/>
      <c r="H67" s="15">
        <f t="shared" si="47"/>
        <v>0</v>
      </c>
      <c r="I67" s="177"/>
      <c r="J67" s="16"/>
      <c r="K67" s="14"/>
      <c r="L67" s="17"/>
      <c r="M67" s="21"/>
      <c r="N67" s="36"/>
      <c r="O67" s="38"/>
      <c r="P67" s="39"/>
      <c r="Q67" s="40"/>
      <c r="R67" s="68"/>
      <c r="S67" s="397"/>
      <c r="T67" s="20"/>
      <c r="U67" s="20"/>
      <c r="V67" s="177"/>
      <c r="W67" s="182">
        <f t="shared" si="13"/>
        <v>0</v>
      </c>
      <c r="X67" s="84"/>
      <c r="Y67" s="84"/>
      <c r="Z67" s="419"/>
      <c r="AA67" s="418"/>
      <c r="AB67" s="18"/>
      <c r="AC67" s="55"/>
      <c r="AD67" s="402"/>
    </row>
    <row r="68" spans="1:32" ht="15" customHeight="1">
      <c r="A68" s="468"/>
      <c r="B68" s="26"/>
      <c r="C68" s="27"/>
      <c r="D68" s="28"/>
      <c r="E68" s="29"/>
      <c r="F68" s="13"/>
      <c r="G68" s="183"/>
      <c r="H68" s="15">
        <f t="shared" si="47"/>
        <v>0</v>
      </c>
      <c r="I68" s="85"/>
      <c r="J68" s="16"/>
      <c r="K68" s="260"/>
      <c r="L68" s="261"/>
      <c r="M68" s="21"/>
      <c r="N68" s="36"/>
      <c r="O68" s="38"/>
      <c r="P68" s="39"/>
      <c r="Q68" s="40"/>
      <c r="R68" s="68"/>
      <c r="S68" s="397"/>
      <c r="T68" s="20"/>
      <c r="U68" s="20"/>
      <c r="V68" s="177"/>
      <c r="W68" s="182">
        <f t="shared" si="13"/>
        <v>0</v>
      </c>
      <c r="X68" s="84"/>
      <c r="Y68" s="84"/>
      <c r="Z68" s="419"/>
      <c r="AA68" s="418"/>
      <c r="AB68" s="18"/>
      <c r="AC68" s="55"/>
      <c r="AD68" s="402"/>
    </row>
    <row r="69" spans="1:32" ht="15" customHeight="1" thickBot="1">
      <c r="A69" s="469"/>
      <c r="B69" s="165"/>
      <c r="C69" s="1" t="s">
        <v>39</v>
      </c>
      <c r="D69" s="410" t="s">
        <v>7</v>
      </c>
      <c r="E69" s="410"/>
      <c r="F69" s="114"/>
      <c r="G69" s="115"/>
      <c r="H69" s="116"/>
      <c r="I69" s="170"/>
      <c r="J69" s="166">
        <f t="shared" ref="J69:O69" si="54">AVERAGE(J59:J68)</f>
        <v>12.5</v>
      </c>
      <c r="K69" s="166">
        <f t="shared" si="54"/>
        <v>1565</v>
      </c>
      <c r="L69" s="171">
        <f t="shared" si="54"/>
        <v>125.40064102564102</v>
      </c>
      <c r="M69" s="166">
        <f t="shared" si="54"/>
        <v>12.5</v>
      </c>
      <c r="N69" s="166">
        <f t="shared" si="54"/>
        <v>1436.4718899521527</v>
      </c>
      <c r="O69" s="171">
        <f t="shared" si="54"/>
        <v>115.03476950680894</v>
      </c>
      <c r="P69" s="172">
        <f>M69-J69</f>
        <v>0</v>
      </c>
      <c r="Q69" s="158">
        <f>N69-K69</f>
        <v>-128.52811004784735</v>
      </c>
      <c r="R69" s="121">
        <f>O69/L69</f>
        <v>0.91733797025238062</v>
      </c>
      <c r="S69" s="399"/>
      <c r="T69" s="122"/>
      <c r="U69" s="122"/>
      <c r="V69" s="195"/>
      <c r="W69" s="168"/>
      <c r="X69" s="124"/>
      <c r="Y69" s="124"/>
      <c r="Z69" s="405"/>
      <c r="AA69" s="405"/>
      <c r="AB69" s="119">
        <f>N69-K69</f>
        <v>-128.52811004784735</v>
      </c>
      <c r="AC69" s="187">
        <f>N69/K69</f>
        <v>0.91787341211000173</v>
      </c>
      <c r="AD69" s="404"/>
    </row>
    <row r="70" spans="1:32" ht="15" customHeight="1">
      <c r="A70" s="461" t="s">
        <v>58</v>
      </c>
      <c r="B70" s="199" t="s">
        <v>62</v>
      </c>
      <c r="C70" s="199"/>
      <c r="D70" s="103" t="s">
        <v>158</v>
      </c>
      <c r="E70" s="104"/>
      <c r="F70" s="199">
        <f>VLOOKUP(D70,廠價表!$C$1:$E$39,3,0)</f>
        <v>47.71</v>
      </c>
      <c r="G70" s="188">
        <v>3472</v>
      </c>
      <c r="H70" s="106">
        <f t="shared" ref="H70:H71" si="55">F70*G70</f>
        <v>165649.12</v>
      </c>
      <c r="I70" s="188"/>
      <c r="J70" s="108">
        <f>VLOOKUP(D70,產線配置圖!$A$2:$C$38,2,0)</f>
        <v>15</v>
      </c>
      <c r="K70" s="105">
        <f>VLOOKUP(D70,產線配置圖!$A$2:$C$38,3,0)</f>
        <v>1500</v>
      </c>
      <c r="L70" s="109">
        <f>K70/J70</f>
        <v>100</v>
      </c>
      <c r="M70" s="110">
        <v>15</v>
      </c>
      <c r="N70" s="105">
        <f t="shared" ref="N70:N71" si="56">G70/W70*60</f>
        <v>1344.0000000000005</v>
      </c>
      <c r="O70" s="109">
        <f t="shared" ref="O70:O71" si="57">N70/M70</f>
        <v>89.600000000000037</v>
      </c>
      <c r="P70" s="111">
        <f t="shared" ref="P70:P71" si="58">M70-J70</f>
        <v>0</v>
      </c>
      <c r="Q70" s="112">
        <f t="shared" ref="Q70:Q71" si="59">O70-L70</f>
        <v>-10.399999999999963</v>
      </c>
      <c r="R70" s="184">
        <f t="shared" ref="R70" si="60">O70/L70</f>
        <v>0.89600000000000035</v>
      </c>
      <c r="S70" s="396">
        <f>R79</f>
        <v>0.83907262335507826</v>
      </c>
      <c r="T70" s="169">
        <v>0.33680555555555558</v>
      </c>
      <c r="U70" s="169">
        <v>0.44444444444444442</v>
      </c>
      <c r="V70" s="188"/>
      <c r="W70" s="107">
        <f t="shared" ref="W70:W78" si="61">(U70-T70)*24*60</f>
        <v>154.99999999999994</v>
      </c>
      <c r="X70" s="296"/>
      <c r="Y70" s="296"/>
      <c r="Z70" s="465"/>
      <c r="AA70" s="427"/>
      <c r="AB70" s="225">
        <f t="shared" ref="AB70:AB71" si="62">N70-K70</f>
        <v>-155.99999999999955</v>
      </c>
      <c r="AC70" s="226">
        <f t="shared" ref="AC70:AC71" si="63">N70/K70</f>
        <v>0.89600000000000035</v>
      </c>
      <c r="AD70" s="401">
        <f>AC79</f>
        <v>0.83383831105194917</v>
      </c>
    </row>
    <row r="71" spans="1:32" ht="15" customHeight="1">
      <c r="A71" s="462"/>
      <c r="B71" s="56" t="s">
        <v>134</v>
      </c>
      <c r="C71" s="10"/>
      <c r="D71" s="11" t="s">
        <v>158</v>
      </c>
      <c r="E71" s="86"/>
      <c r="F71" s="56">
        <f>VLOOKUP(D71,廠價表!$C$1:$E$39,3,0)</f>
        <v>47.71</v>
      </c>
      <c r="G71" s="66">
        <v>342</v>
      </c>
      <c r="H71" s="76">
        <f t="shared" si="55"/>
        <v>16316.82</v>
      </c>
      <c r="I71" s="193"/>
      <c r="J71" s="16">
        <f>VLOOKUP(D71,產線配置圖!$A$2:$C$38,2,0)</f>
        <v>15</v>
      </c>
      <c r="K71" s="14">
        <f>VLOOKUP(D71,產線配置圖!$A$2:$C$38,3,0)</f>
        <v>1500</v>
      </c>
      <c r="L71" s="17">
        <f t="shared" ref="L71" si="64">K71/J71</f>
        <v>100</v>
      </c>
      <c r="M71" s="180">
        <v>15</v>
      </c>
      <c r="N71" s="14">
        <f t="shared" si="56"/>
        <v>1025.9999999999955</v>
      </c>
      <c r="O71" s="17">
        <f t="shared" si="57"/>
        <v>68.399999999999693</v>
      </c>
      <c r="P71" s="18">
        <f t="shared" si="58"/>
        <v>0</v>
      </c>
      <c r="Q71" s="19">
        <f t="shared" si="59"/>
        <v>-31.600000000000307</v>
      </c>
      <c r="R71" s="185">
        <f>O71/L71</f>
        <v>0.68399999999999694</v>
      </c>
      <c r="S71" s="397"/>
      <c r="T71" s="20">
        <v>0.67013888888888884</v>
      </c>
      <c r="U71" s="20">
        <v>0.68402777777777779</v>
      </c>
      <c r="V71" s="177">
        <f t="shared" ref="V71" si="65">(T71-U70)*24*60</f>
        <v>324.99999999999994</v>
      </c>
      <c r="W71" s="182">
        <f t="shared" si="61"/>
        <v>20.000000000000089</v>
      </c>
      <c r="X71" s="298">
        <v>0.45833333333333331</v>
      </c>
      <c r="Y71" s="299">
        <v>0.5</v>
      </c>
      <c r="Z71" s="439" t="s">
        <v>190</v>
      </c>
      <c r="AA71" s="440"/>
      <c r="AB71" s="39">
        <f t="shared" si="62"/>
        <v>-474.00000000000455</v>
      </c>
      <c r="AC71" s="190">
        <f t="shared" si="63"/>
        <v>0.68399999999999694</v>
      </c>
      <c r="AD71" s="447"/>
    </row>
    <row r="72" spans="1:32" ht="15" customHeight="1">
      <c r="A72" s="462"/>
      <c r="B72" s="56"/>
      <c r="C72" s="10"/>
      <c r="D72" s="11"/>
      <c r="E72" s="86"/>
      <c r="F72" s="56"/>
      <c r="G72" s="66"/>
      <c r="H72" s="76"/>
      <c r="I72" s="193"/>
      <c r="J72" s="16"/>
      <c r="K72" s="14"/>
      <c r="L72" s="17"/>
      <c r="M72" s="180"/>
      <c r="N72" s="14"/>
      <c r="O72" s="17"/>
      <c r="P72" s="18"/>
      <c r="Q72" s="19"/>
      <c r="R72" s="185"/>
      <c r="S72" s="397"/>
      <c r="T72" s="20"/>
      <c r="U72" s="20"/>
      <c r="V72" s="177"/>
      <c r="W72" s="182">
        <f t="shared" si="61"/>
        <v>0</v>
      </c>
      <c r="X72" s="297"/>
      <c r="Y72" s="297"/>
      <c r="Z72" s="405"/>
      <c r="AA72" s="419"/>
      <c r="AB72" s="39"/>
      <c r="AC72" s="190"/>
      <c r="AD72" s="447"/>
    </row>
    <row r="73" spans="1:32" ht="15" customHeight="1">
      <c r="A73" s="462"/>
      <c r="B73" s="56"/>
      <c r="C73" s="23"/>
      <c r="D73" s="11"/>
      <c r="E73" s="12"/>
      <c r="F73" s="56"/>
      <c r="G73" s="66"/>
      <c r="H73" s="76"/>
      <c r="I73" s="193"/>
      <c r="J73" s="16"/>
      <c r="K73" s="14"/>
      <c r="L73" s="17"/>
      <c r="M73" s="180"/>
      <c r="N73" s="14"/>
      <c r="O73" s="17"/>
      <c r="P73" s="18"/>
      <c r="Q73" s="19"/>
      <c r="R73" s="185"/>
      <c r="S73" s="397"/>
      <c r="T73" s="20"/>
      <c r="U73" s="20"/>
      <c r="V73" s="177"/>
      <c r="W73" s="182">
        <f t="shared" si="61"/>
        <v>0</v>
      </c>
      <c r="X73" s="22"/>
      <c r="Y73" s="22"/>
      <c r="Z73" s="405"/>
      <c r="AA73" s="419"/>
      <c r="AB73" s="39"/>
      <c r="AC73" s="190"/>
      <c r="AD73" s="447"/>
    </row>
    <row r="74" spans="1:32" ht="15" customHeight="1">
      <c r="A74" s="462"/>
      <c r="B74" s="56"/>
      <c r="C74" s="249"/>
      <c r="D74" s="250"/>
      <c r="E74" s="251"/>
      <c r="F74" s="56"/>
      <c r="G74" s="238"/>
      <c r="H74" s="76">
        <f t="shared" ref="H74:H78" si="66">F74*G74</f>
        <v>0</v>
      </c>
      <c r="I74" s="81"/>
      <c r="J74" s="234"/>
      <c r="K74" s="36"/>
      <c r="L74" s="235"/>
      <c r="M74" s="21"/>
      <c r="N74" s="36"/>
      <c r="O74" s="38"/>
      <c r="P74" s="39"/>
      <c r="Q74" s="40"/>
      <c r="R74" s="190"/>
      <c r="S74" s="397"/>
      <c r="T74" s="20"/>
      <c r="U74" s="20"/>
      <c r="V74" s="177"/>
      <c r="W74" s="182">
        <f t="shared" si="61"/>
        <v>0</v>
      </c>
      <c r="X74" s="22"/>
      <c r="Y74" s="22"/>
      <c r="Z74" s="405"/>
      <c r="AA74" s="419"/>
      <c r="AB74" s="39"/>
      <c r="AC74" s="190"/>
      <c r="AD74" s="447"/>
    </row>
    <row r="75" spans="1:32" ht="15" customHeight="1">
      <c r="A75" s="462"/>
      <c r="B75" s="177"/>
      <c r="C75" s="183"/>
      <c r="D75" s="11"/>
      <c r="E75" s="12"/>
      <c r="F75" s="13"/>
      <c r="G75" s="177"/>
      <c r="H75" s="15">
        <f t="shared" si="66"/>
        <v>0</v>
      </c>
      <c r="I75" s="81"/>
      <c r="J75" s="87"/>
      <c r="K75" s="82"/>
      <c r="L75" s="83"/>
      <c r="M75" s="181"/>
      <c r="N75" s="82"/>
      <c r="O75" s="83"/>
      <c r="P75" s="73"/>
      <c r="Q75" s="74"/>
      <c r="R75" s="192"/>
      <c r="S75" s="397"/>
      <c r="T75" s="20"/>
      <c r="U75" s="20"/>
      <c r="V75" s="177"/>
      <c r="W75" s="88">
        <f t="shared" si="61"/>
        <v>0</v>
      </c>
      <c r="X75" s="89"/>
      <c r="Y75" s="89"/>
      <c r="Z75" s="406"/>
      <c r="AA75" s="406"/>
      <c r="AB75" s="306"/>
      <c r="AC75" s="307"/>
      <c r="AD75" s="402"/>
    </row>
    <row r="76" spans="1:32" ht="15" customHeight="1">
      <c r="A76" s="462"/>
      <c r="B76" s="26"/>
      <c r="C76" s="27"/>
      <c r="D76" s="28"/>
      <c r="E76" s="29"/>
      <c r="F76" s="13"/>
      <c r="G76" s="177"/>
      <c r="H76" s="15">
        <f t="shared" si="66"/>
        <v>0</v>
      </c>
      <c r="I76" s="81"/>
      <c r="J76" s="87"/>
      <c r="K76" s="82"/>
      <c r="L76" s="83"/>
      <c r="M76" s="181"/>
      <c r="N76" s="82"/>
      <c r="O76" s="83"/>
      <c r="P76" s="73"/>
      <c r="Q76" s="74"/>
      <c r="R76" s="192"/>
      <c r="S76" s="398"/>
      <c r="T76" s="20"/>
      <c r="U76" s="20"/>
      <c r="V76" s="177"/>
      <c r="W76" s="90">
        <f t="shared" si="61"/>
        <v>0</v>
      </c>
      <c r="X76" s="78"/>
      <c r="Y76" s="78"/>
      <c r="Z76" s="445"/>
      <c r="AA76" s="445"/>
      <c r="AB76" s="51"/>
      <c r="AC76" s="52"/>
      <c r="AD76" s="403"/>
    </row>
    <row r="77" spans="1:32" ht="15" customHeight="1">
      <c r="A77" s="462"/>
      <c r="B77" s="26"/>
      <c r="C77" s="27"/>
      <c r="D77" s="28"/>
      <c r="E77" s="29"/>
      <c r="F77" s="13"/>
      <c r="G77" s="177"/>
      <c r="H77" s="15">
        <f t="shared" si="66"/>
        <v>0</v>
      </c>
      <c r="I77" s="81"/>
      <c r="J77" s="87"/>
      <c r="K77" s="82"/>
      <c r="L77" s="83"/>
      <c r="M77" s="181"/>
      <c r="N77" s="82"/>
      <c r="O77" s="83"/>
      <c r="P77" s="73"/>
      <c r="Q77" s="74"/>
      <c r="R77" s="192"/>
      <c r="S77" s="398"/>
      <c r="T77" s="20"/>
      <c r="U77" s="20"/>
      <c r="V77" s="177"/>
      <c r="W77" s="182">
        <f t="shared" si="61"/>
        <v>0</v>
      </c>
      <c r="X77" s="84"/>
      <c r="Y77" s="84"/>
      <c r="Z77" s="405"/>
      <c r="AA77" s="405"/>
      <c r="AB77" s="18"/>
      <c r="AC77" s="55"/>
      <c r="AD77" s="403"/>
    </row>
    <row r="78" spans="1:32" ht="15" customHeight="1">
      <c r="A78" s="462"/>
      <c r="B78" s="26"/>
      <c r="C78" s="27"/>
      <c r="D78" s="28"/>
      <c r="E78" s="29"/>
      <c r="F78" s="13"/>
      <c r="G78" s="177"/>
      <c r="H78" s="15">
        <f t="shared" si="66"/>
        <v>0</v>
      </c>
      <c r="I78" s="85"/>
      <c r="J78" s="37"/>
      <c r="K78" s="36"/>
      <c r="L78" s="83"/>
      <c r="M78" s="21"/>
      <c r="N78" s="36"/>
      <c r="O78" s="38"/>
      <c r="P78" s="39"/>
      <c r="Q78" s="40"/>
      <c r="R78" s="190"/>
      <c r="S78" s="464"/>
      <c r="T78" s="32"/>
      <c r="U78" s="32"/>
      <c r="V78" s="178"/>
      <c r="W78" s="182">
        <f t="shared" si="61"/>
        <v>0</v>
      </c>
      <c r="X78" s="91"/>
      <c r="Y78" s="91"/>
      <c r="Z78" s="405"/>
      <c r="AA78" s="405"/>
      <c r="AB78" s="34"/>
      <c r="AC78" s="57"/>
      <c r="AD78" s="403"/>
    </row>
    <row r="79" spans="1:32" ht="15" customHeight="1" thickBot="1">
      <c r="A79" s="463"/>
      <c r="B79" s="165"/>
      <c r="C79" s="1" t="s">
        <v>40</v>
      </c>
      <c r="D79" s="410" t="s">
        <v>7</v>
      </c>
      <c r="E79" s="410"/>
      <c r="F79" s="114"/>
      <c r="G79" s="115"/>
      <c r="H79" s="173"/>
      <c r="I79" s="171"/>
      <c r="J79" s="166">
        <f t="shared" ref="J79:O79" si="67">AVERAGE(J69:J78)</f>
        <v>14.166666666666666</v>
      </c>
      <c r="K79" s="166">
        <f t="shared" si="67"/>
        <v>1521.6666666666667</v>
      </c>
      <c r="L79" s="171">
        <f t="shared" si="67"/>
        <v>108.46688034188033</v>
      </c>
      <c r="M79" s="166">
        <f t="shared" si="67"/>
        <v>14.166666666666666</v>
      </c>
      <c r="N79" s="166">
        <f t="shared" si="67"/>
        <v>1268.8239633173828</v>
      </c>
      <c r="O79" s="171">
        <f t="shared" si="67"/>
        <v>91.011589835602891</v>
      </c>
      <c r="P79" s="172">
        <f>M79-J79</f>
        <v>0</v>
      </c>
      <c r="Q79" s="158">
        <f>N79-K79</f>
        <v>-252.84270334928397</v>
      </c>
      <c r="R79" s="159">
        <f>O79/L79</f>
        <v>0.83907262335507826</v>
      </c>
      <c r="S79" s="399"/>
      <c r="T79" s="122"/>
      <c r="U79" s="122"/>
      <c r="V79" s="195"/>
      <c r="W79" s="168"/>
      <c r="X79" s="124"/>
      <c r="Y79" s="124"/>
      <c r="Z79" s="391"/>
      <c r="AA79" s="391"/>
      <c r="AB79" s="119">
        <f>N79-K79</f>
        <v>-252.84270334928397</v>
      </c>
      <c r="AC79" s="187">
        <f>N79/K79</f>
        <v>0.83383831105194917</v>
      </c>
      <c r="AD79" s="404"/>
    </row>
    <row r="80" spans="1:32">
      <c r="AF80" s="93" t="s">
        <v>41</v>
      </c>
    </row>
    <row r="81" spans="4:32">
      <c r="AF81" s="93" t="s">
        <v>42</v>
      </c>
    </row>
    <row r="82" spans="4:32">
      <c r="AF82" s="93" t="s">
        <v>43</v>
      </c>
    </row>
    <row r="83" spans="4:32">
      <c r="D83" s="220"/>
      <c r="W83" s="6"/>
      <c r="AF83" s="93" t="s">
        <v>44</v>
      </c>
    </row>
    <row r="84" spans="4:32">
      <c r="D84" s="224"/>
      <c r="W84" s="6"/>
      <c r="AF84" s="93" t="s">
        <v>45</v>
      </c>
    </row>
    <row r="85" spans="4:32">
      <c r="D85" s="224"/>
      <c r="W85" s="6"/>
      <c r="AF85" s="93" t="s">
        <v>46</v>
      </c>
    </row>
    <row r="86" spans="4:32">
      <c r="D86" s="155"/>
      <c r="W86" s="6"/>
      <c r="AF86" s="93" t="s">
        <v>47</v>
      </c>
    </row>
    <row r="87" spans="4:32">
      <c r="W87" s="6"/>
      <c r="AF87" s="93" t="s">
        <v>48</v>
      </c>
    </row>
    <row r="88" spans="4:32">
      <c r="W88" s="6"/>
      <c r="AF88" s="93" t="s">
        <v>49</v>
      </c>
    </row>
    <row r="89" spans="4:32">
      <c r="W89" s="6"/>
      <c r="AF89" s="93" t="s">
        <v>50</v>
      </c>
    </row>
    <row r="90" spans="4:32">
      <c r="W90" s="6"/>
      <c r="AF90" s="93" t="s">
        <v>51</v>
      </c>
    </row>
    <row r="91" spans="4:32">
      <c r="W91" s="6"/>
      <c r="AF91" s="93" t="s">
        <v>52</v>
      </c>
    </row>
    <row r="92" spans="4:32">
      <c r="W92" s="6"/>
      <c r="AF92" s="93" t="s">
        <v>53</v>
      </c>
    </row>
  </sheetData>
  <autoFilter ref="D1:D92" xr:uid="{EF5AD393-5A39-4C0E-A7B0-465235F2AB14}"/>
  <mergeCells count="135"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  <mergeCell ref="D69:E69"/>
    <mergeCell ref="Z69:AA69"/>
    <mergeCell ref="A70:A79"/>
    <mergeCell ref="S70:S79"/>
    <mergeCell ref="Z70:AA70"/>
    <mergeCell ref="D79:E79"/>
    <mergeCell ref="A59:A69"/>
    <mergeCell ref="S59:S69"/>
    <mergeCell ref="Z59:AA59"/>
    <mergeCell ref="AD59:AD69"/>
    <mergeCell ref="Z60:AA60"/>
    <mergeCell ref="Z61:AA61"/>
    <mergeCell ref="Z62:AA62"/>
    <mergeCell ref="Z63:AA63"/>
    <mergeCell ref="Z64:AA64"/>
    <mergeCell ref="Z65:AA65"/>
    <mergeCell ref="AD49:AD58"/>
    <mergeCell ref="Z50:AA50"/>
    <mergeCell ref="Z51:AA51"/>
    <mergeCell ref="Z52:AA52"/>
    <mergeCell ref="Z53:AA53"/>
    <mergeCell ref="Z54:AA54"/>
    <mergeCell ref="Z55:AA55"/>
    <mergeCell ref="Z56:AA56"/>
    <mergeCell ref="Z57:AA57"/>
    <mergeCell ref="Z58:AA58"/>
    <mergeCell ref="Z66:AA66"/>
    <mergeCell ref="Z67:AA67"/>
    <mergeCell ref="Z68:AA68"/>
    <mergeCell ref="D48:E48"/>
    <mergeCell ref="Z48:AA48"/>
    <mergeCell ref="A49:A58"/>
    <mergeCell ref="S49:S58"/>
    <mergeCell ref="Z49:AA49"/>
    <mergeCell ref="D58:E58"/>
    <mergeCell ref="A38:A48"/>
    <mergeCell ref="S38:S48"/>
    <mergeCell ref="Z38:AA38"/>
    <mergeCell ref="AD38:AD48"/>
    <mergeCell ref="Z39:AA39"/>
    <mergeCell ref="Z40:AA40"/>
    <mergeCell ref="Z41:AA41"/>
    <mergeCell ref="Z42:AA42"/>
    <mergeCell ref="Z43:AA43"/>
    <mergeCell ref="Z44:AA44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Z45:AA45"/>
    <mergeCell ref="Z46:AA46"/>
    <mergeCell ref="Z47:AA47"/>
    <mergeCell ref="D26:E26"/>
    <mergeCell ref="Z26:AA26"/>
    <mergeCell ref="A27:A37"/>
    <mergeCell ref="S27:S37"/>
    <mergeCell ref="Z27:AA27"/>
    <mergeCell ref="D37:E37"/>
    <mergeCell ref="Z37:AA37"/>
    <mergeCell ref="A16:A26"/>
    <mergeCell ref="S16:S26"/>
    <mergeCell ref="Z16:AA16"/>
    <mergeCell ref="AD16:AD26"/>
    <mergeCell ref="Z17:AA17"/>
    <mergeCell ref="Z18:AA18"/>
    <mergeCell ref="Z19:AA19"/>
    <mergeCell ref="Z20:AA20"/>
    <mergeCell ref="Z21:AA21"/>
    <mergeCell ref="Z22:AA22"/>
    <mergeCell ref="Z10:AA10"/>
    <mergeCell ref="Z11:AA11"/>
    <mergeCell ref="Z12:AA12"/>
    <mergeCell ref="Z13:AA13"/>
    <mergeCell ref="Z14:AA14"/>
    <mergeCell ref="Z23:AA23"/>
    <mergeCell ref="Z24:AA24"/>
    <mergeCell ref="Z25:AA25"/>
    <mergeCell ref="Z15:AA15"/>
    <mergeCell ref="S5:S15"/>
    <mergeCell ref="Z5:AA5"/>
    <mergeCell ref="AD5:AD15"/>
    <mergeCell ref="Z6:AA6"/>
    <mergeCell ref="Z7:AA7"/>
    <mergeCell ref="Z8:AA8"/>
    <mergeCell ref="Z9:AA9"/>
    <mergeCell ref="T3:U3"/>
    <mergeCell ref="V3:V4"/>
    <mergeCell ref="W3:W4"/>
    <mergeCell ref="X3:Y3"/>
    <mergeCell ref="Z3:AA4"/>
    <mergeCell ref="AB3:AB4"/>
    <mergeCell ref="S3:S4"/>
    <mergeCell ref="A2:B2"/>
    <mergeCell ref="A3:A4"/>
    <mergeCell ref="B3:B4"/>
    <mergeCell ref="D3:E4"/>
    <mergeCell ref="F3:F4"/>
    <mergeCell ref="G3:G4"/>
    <mergeCell ref="J1:L2"/>
    <mergeCell ref="M1:O2"/>
    <mergeCell ref="D15:E15"/>
    <mergeCell ref="A5:A15"/>
    <mergeCell ref="N3:N4"/>
    <mergeCell ref="O3:O4"/>
    <mergeCell ref="P1:S2"/>
    <mergeCell ref="T1:Y2"/>
    <mergeCell ref="Z1:AA2"/>
    <mergeCell ref="AB1:AD2"/>
    <mergeCell ref="H3:H4"/>
    <mergeCell ref="I3:I4"/>
    <mergeCell ref="J3:J4"/>
    <mergeCell ref="K3:K4"/>
    <mergeCell ref="L3:L4"/>
    <mergeCell ref="M3:M4"/>
    <mergeCell ref="AC3:AC4"/>
    <mergeCell ref="AD3:AD4"/>
    <mergeCell ref="P3:P4"/>
    <mergeCell ref="Q3:Q4"/>
    <mergeCell ref="R3:R4"/>
  </mergeCells>
  <phoneticPr fontId="2" type="noConversion"/>
  <conditionalFormatting sqref="P5:P79">
    <cfRule type="cellIs" dxfId="198" priority="1" operator="greaterThan">
      <formula>0</formula>
    </cfRule>
  </conditionalFormatting>
  <conditionalFormatting sqref="Q5:Q79 AB5:AB79">
    <cfRule type="cellIs" dxfId="197" priority="4" operator="lessThan">
      <formula>0</formula>
    </cfRule>
  </conditionalFormatting>
  <conditionalFormatting sqref="R5:R79 AC5:AC79">
    <cfRule type="cellIs" dxfId="196" priority="2" operator="greaterThan">
      <formula>1</formula>
    </cfRule>
    <cfRule type="cellIs" dxfId="195" priority="3" operator="lessThan">
      <formula>0.8</formula>
    </cfRule>
  </conditionalFormatting>
  <conditionalFormatting sqref="S5:S10 S37:S62 AD59:AD62 S69:S76 AD69:AD76">
    <cfRule type="cellIs" dxfId="194" priority="7" operator="lessThan">
      <formula>0.8</formula>
    </cfRule>
  </conditionalFormatting>
  <conditionalFormatting sqref="S19:S25 AD19:AD25">
    <cfRule type="cellIs" dxfId="193" priority="6" operator="lessThan">
      <formula>0.8</formula>
    </cfRule>
  </conditionalFormatting>
  <conditionalFormatting sqref="S79">
    <cfRule type="cellIs" dxfId="192" priority="5" operator="lessThan">
      <formula>0.8</formula>
    </cfRule>
  </conditionalFormatting>
  <conditionalFormatting sqref="AD5:AD8 S15:S16 AD15:AD16 AD49 AD79">
    <cfRule type="cellIs" dxfId="191" priority="9" operator="lessThan">
      <formula>0.8</formula>
    </cfRule>
  </conditionalFormatting>
  <conditionalFormatting sqref="AD27 S27:S28">
    <cfRule type="cellIs" dxfId="19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A90EEBB-3503-43DD-AA26-22513FAB6165}">
          <x14:formula1>
            <xm:f>廠價表!$C$2:$C$37</xm:f>
          </x14:formula1>
          <xm:sqref>D1:D1048576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13015-B223-4229-8EF7-9EA3D5D991B8}">
  <sheetPr>
    <pageSetUpPr fitToPage="1"/>
  </sheetPr>
  <dimension ref="B1:O22"/>
  <sheetViews>
    <sheetView zoomScale="70" zoomScaleNormal="70" workbookViewId="0">
      <selection activeCell="T67" sqref="T67"/>
    </sheetView>
  </sheetViews>
  <sheetFormatPr defaultColWidth="8.125" defaultRowHeight="15.75"/>
  <cols>
    <col min="1" max="1" width="8.125" style="203"/>
    <col min="2" max="2" width="7.125" style="203" customWidth="1"/>
    <col min="3" max="3" width="7.125" style="218" customWidth="1"/>
    <col min="4" max="17" width="14.125" style="203" customWidth="1"/>
    <col min="18" max="21" width="9.625" style="203" customWidth="1"/>
    <col min="22" max="22" width="11.125" style="203" customWidth="1"/>
    <col min="23" max="23" width="11.5" style="203" customWidth="1"/>
    <col min="24" max="16384" width="8.125" style="203"/>
  </cols>
  <sheetData>
    <row r="1" spans="2:15" ht="27.75" customHeight="1">
      <c r="B1" s="345" t="s">
        <v>73</v>
      </c>
      <c r="C1" s="345"/>
      <c r="D1" s="345"/>
      <c r="E1" s="345"/>
      <c r="F1" s="345"/>
      <c r="G1" s="345"/>
      <c r="H1" s="345"/>
      <c r="I1" s="345"/>
      <c r="J1" s="345"/>
      <c r="K1" s="345"/>
      <c r="L1" s="202"/>
      <c r="M1" s="202"/>
    </row>
    <row r="2" spans="2:15" ht="27.75" customHeight="1"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202"/>
      <c r="M2" s="202"/>
    </row>
    <row r="3" spans="2:15" ht="46.5" customHeight="1">
      <c r="B3" s="342" t="s">
        <v>74</v>
      </c>
      <c r="C3" s="342"/>
      <c r="D3" s="346">
        <v>45973</v>
      </c>
      <c r="E3" s="346"/>
      <c r="F3" s="204" t="s">
        <v>75</v>
      </c>
      <c r="G3" s="347">
        <f>'1112'!E1</f>
        <v>58816</v>
      </c>
      <c r="H3" s="347"/>
      <c r="I3" s="204" t="s">
        <v>76</v>
      </c>
      <c r="J3" s="348">
        <f>'1112'!G1</f>
        <v>2850967.2500000005</v>
      </c>
      <c r="K3" s="348"/>
      <c r="L3" s="205"/>
    </row>
    <row r="4" spans="2:15" ht="24" customHeight="1">
      <c r="B4" s="342" t="s">
        <v>77</v>
      </c>
      <c r="C4" s="342"/>
      <c r="D4" s="343">
        <v>3</v>
      </c>
      <c r="E4" s="343"/>
      <c r="F4" s="344" t="s">
        <v>78</v>
      </c>
      <c r="G4" s="344"/>
      <c r="H4" s="344" t="s">
        <v>79</v>
      </c>
      <c r="I4" s="344"/>
      <c r="J4" s="343" t="s">
        <v>80</v>
      </c>
      <c r="K4" s="344"/>
      <c r="L4" s="206"/>
    </row>
    <row r="5" spans="2:15" ht="24" customHeight="1">
      <c r="B5" s="342" t="s">
        <v>81</v>
      </c>
      <c r="C5" s="342"/>
      <c r="D5" s="343" t="s">
        <v>82</v>
      </c>
      <c r="E5" s="343"/>
      <c r="F5" s="343" t="s">
        <v>83</v>
      </c>
      <c r="G5" s="343"/>
      <c r="H5" s="369" t="s">
        <v>62</v>
      </c>
      <c r="I5" s="369"/>
      <c r="J5" s="341" t="s">
        <v>84</v>
      </c>
      <c r="K5" s="341"/>
      <c r="L5" s="207"/>
    </row>
    <row r="6" spans="2:15" ht="39.6" customHeight="1">
      <c r="B6" s="342"/>
      <c r="C6" s="342"/>
      <c r="D6" s="342" t="s">
        <v>85</v>
      </c>
      <c r="E6" s="342"/>
      <c r="F6" s="356">
        <f>AVERAGE(D13:J13)</f>
        <v>113.5455288570669</v>
      </c>
      <c r="G6" s="356"/>
      <c r="H6" s="349">
        <f>AVERAGE(D13:H13)</f>
        <v>111.34354809220136</v>
      </c>
      <c r="I6" s="349"/>
      <c r="J6" s="349">
        <f>AVERAGE(I13:J13)</f>
        <v>119.05048076923077</v>
      </c>
      <c r="K6" s="349"/>
      <c r="L6" s="207"/>
    </row>
    <row r="7" spans="2:15" s="208" customFormat="1" ht="39.6" customHeight="1">
      <c r="B7" s="342"/>
      <c r="C7" s="342"/>
      <c r="D7" s="350" t="s">
        <v>86</v>
      </c>
      <c r="E7" s="350"/>
      <c r="F7" s="351">
        <f>AVERAGE(D14:J14)</f>
        <v>105.01742959643528</v>
      </c>
      <c r="G7" s="351"/>
      <c r="H7" s="352">
        <f>AVERAGE(D14:H14)</f>
        <v>103.2584246516432</v>
      </c>
      <c r="I7" s="352"/>
      <c r="J7" s="352">
        <f>AVERAGE(I14:J14)</f>
        <v>109.41494195841551</v>
      </c>
      <c r="K7" s="352"/>
    </row>
    <row r="8" spans="2:15" s="208" customFormat="1" ht="39.6" customHeight="1">
      <c r="B8" s="342"/>
      <c r="C8" s="342"/>
      <c r="D8" s="350" t="s">
        <v>87</v>
      </c>
      <c r="E8" s="350"/>
      <c r="F8" s="353">
        <f>AVERAGE(D15:J15)</f>
        <v>0.92367878561322025</v>
      </c>
      <c r="G8" s="353"/>
      <c r="H8" s="353">
        <f>AVERAGE(D15:H15)</f>
        <v>0.92576002560403248</v>
      </c>
      <c r="I8" s="353"/>
      <c r="J8" s="353">
        <f>AVERAGE(I15:J15)</f>
        <v>0.91847568563618964</v>
      </c>
      <c r="K8" s="353"/>
      <c r="L8" s="209" t="s">
        <v>88</v>
      </c>
    </row>
    <row r="9" spans="2:15" ht="25.5" customHeight="1">
      <c r="B9" s="207"/>
      <c r="C9" s="207"/>
      <c r="D9" s="207"/>
      <c r="E9" s="207"/>
      <c r="F9" s="207"/>
      <c r="G9" s="207"/>
      <c r="H9" s="210"/>
      <c r="I9" s="211"/>
      <c r="J9" s="211"/>
      <c r="K9" s="211"/>
      <c r="L9" s="211"/>
      <c r="M9" s="211"/>
      <c r="N9" s="211"/>
      <c r="O9" s="207"/>
    </row>
    <row r="10" spans="2:15" ht="30" customHeight="1">
      <c r="B10" s="354" t="s">
        <v>0</v>
      </c>
      <c r="C10" s="355"/>
      <c r="D10" s="357" t="s">
        <v>89</v>
      </c>
      <c r="E10" s="358"/>
      <c r="F10" s="358"/>
      <c r="G10" s="358"/>
      <c r="H10" s="358"/>
      <c r="I10" s="358"/>
      <c r="J10" s="359"/>
    </row>
    <row r="11" spans="2:15" ht="17.25" customHeight="1">
      <c r="B11" s="360" t="s">
        <v>90</v>
      </c>
      <c r="C11" s="361"/>
      <c r="D11" s="212">
        <v>1</v>
      </c>
      <c r="E11" s="212">
        <v>2</v>
      </c>
      <c r="F11" s="212">
        <v>3</v>
      </c>
      <c r="G11" s="212">
        <v>4</v>
      </c>
      <c r="H11" s="212">
        <v>5</v>
      </c>
      <c r="I11" s="212">
        <v>6</v>
      </c>
      <c r="J11" s="212">
        <v>7</v>
      </c>
    </row>
    <row r="12" spans="2:15" ht="33.950000000000003" customHeight="1">
      <c r="B12" s="362"/>
      <c r="C12" s="363"/>
      <c r="D12" s="213" t="s">
        <v>91</v>
      </c>
      <c r="E12" s="213" t="s">
        <v>92</v>
      </c>
      <c r="F12" s="213" t="s">
        <v>93</v>
      </c>
      <c r="G12" s="213" t="s">
        <v>94</v>
      </c>
      <c r="H12" s="213" t="s">
        <v>95</v>
      </c>
      <c r="I12" s="213" t="s">
        <v>96</v>
      </c>
      <c r="J12" s="213" t="s">
        <v>97</v>
      </c>
    </row>
    <row r="13" spans="2:15" ht="39.950000000000003" customHeight="1">
      <c r="B13" s="364" t="s">
        <v>1</v>
      </c>
      <c r="C13" s="214" t="s">
        <v>98</v>
      </c>
      <c r="D13" s="215">
        <f>VALUE('1112'!L15)</f>
        <v>136.84126984126985</v>
      </c>
      <c r="E13" s="215">
        <f>VALUE('1112'!L26)</f>
        <v>150.22664835164835</v>
      </c>
      <c r="F13" s="215">
        <f>VALUE('1112'!L37)</f>
        <v>89.667755991285404</v>
      </c>
      <c r="G13" s="215">
        <f>VALUE('1112'!L48)</f>
        <v>93.266666666666666</v>
      </c>
      <c r="H13" s="215">
        <f>VALUE('1112'!L58)</f>
        <v>86.715399610136458</v>
      </c>
      <c r="I13" s="215">
        <f>VALUE('1112'!L69)</f>
        <v>125.40064102564102</v>
      </c>
      <c r="J13" s="215">
        <f>VALUE('1112'!L79)</f>
        <v>112.70032051282051</v>
      </c>
    </row>
    <row r="14" spans="2:15" ht="39.950000000000003" customHeight="1">
      <c r="B14" s="365"/>
      <c r="C14" s="214" t="s">
        <v>99</v>
      </c>
      <c r="D14" s="215">
        <f>VALUE('1112'!O15)</f>
        <v>127.20284307684236</v>
      </c>
      <c r="E14" s="215">
        <f>VALUE('1112'!O26)</f>
        <v>141.13742113641513</v>
      </c>
      <c r="F14" s="215">
        <f>VALUE('1112'!O37)</f>
        <v>77.8079953966228</v>
      </c>
      <c r="G14" s="215">
        <f>VALUE('1112'!O48)</f>
        <v>86.531196906122943</v>
      </c>
      <c r="H14" s="215">
        <f>VALUE('1112'!O58)</f>
        <v>83.612666742212753</v>
      </c>
      <c r="I14" s="215">
        <f>VALUE('1112'!O69)</f>
        <v>116.55918187047995</v>
      </c>
      <c r="J14" s="215">
        <f>VALUE('1112'!O79)</f>
        <v>102.27070204635109</v>
      </c>
    </row>
    <row r="15" spans="2:15" ht="39.950000000000003" customHeight="1">
      <c r="B15" s="366"/>
      <c r="C15" s="212" t="s">
        <v>100</v>
      </c>
      <c r="D15" s="233">
        <f>D14/D13</f>
        <v>0.92956491286870058</v>
      </c>
      <c r="E15" s="233">
        <f t="shared" ref="E15:J15" si="0">E14/E13</f>
        <v>0.93949657191341118</v>
      </c>
      <c r="F15" s="233">
        <f t="shared" si="0"/>
        <v>0.86773661877057318</v>
      </c>
      <c r="G15" s="233">
        <f t="shared" si="0"/>
        <v>0.92778266875757265</v>
      </c>
      <c r="H15" s="233">
        <f t="shared" si="0"/>
        <v>0.96421935570990536</v>
      </c>
      <c r="I15" s="233">
        <f t="shared" si="0"/>
        <v>0.92949430654542475</v>
      </c>
      <c r="J15" s="233">
        <f t="shared" si="0"/>
        <v>0.90745706472695453</v>
      </c>
    </row>
    <row r="16" spans="2:15" ht="17.25" customHeight="1">
      <c r="B16" s="367" t="s">
        <v>101</v>
      </c>
      <c r="C16" s="212" t="s">
        <v>102</v>
      </c>
      <c r="D16" s="95">
        <f>'1112'!T5</f>
        <v>0.2902777777777778</v>
      </c>
      <c r="E16" s="95">
        <f>'1112'!T16</f>
        <v>0.2902777777777778</v>
      </c>
      <c r="F16" s="95">
        <f>'1112'!T27</f>
        <v>0.28888888888888886</v>
      </c>
      <c r="G16" s="95">
        <f>'1112'!T38</f>
        <v>0.34375</v>
      </c>
      <c r="H16" s="95">
        <f>'1112'!T49</f>
        <v>0.2902777777777778</v>
      </c>
      <c r="I16" s="95">
        <f>'1112'!T59</f>
        <v>0.29166666666666669</v>
      </c>
      <c r="J16" s="272">
        <f>'1112'!T70</f>
        <v>0.33333333333333331</v>
      </c>
    </row>
    <row r="17" spans="2:10" ht="17.25" customHeight="1">
      <c r="B17" s="368"/>
      <c r="C17" s="212" t="s">
        <v>103</v>
      </c>
      <c r="D17" s="79">
        <v>0.62847222222222221</v>
      </c>
      <c r="E17" s="41">
        <v>0.62430555555555556</v>
      </c>
      <c r="F17" s="41">
        <v>0.63194444444444442</v>
      </c>
      <c r="G17" s="59">
        <v>0.62847222222222221</v>
      </c>
      <c r="H17" s="59">
        <v>0.62847222222222221</v>
      </c>
      <c r="I17" s="20">
        <v>0.59722222222222221</v>
      </c>
      <c r="J17" s="20">
        <v>0.48958333333333331</v>
      </c>
    </row>
    <row r="18" spans="2:10" ht="17.25" customHeight="1">
      <c r="B18" s="354" t="s">
        <v>104</v>
      </c>
      <c r="C18" s="355"/>
      <c r="D18" s="216">
        <f>VALUE('1112'!M15)</f>
        <v>14.8</v>
      </c>
      <c r="E18" s="216">
        <f>VALUE('1112'!M26)</f>
        <v>13.5</v>
      </c>
      <c r="F18" s="216">
        <f>VALUE('1112'!M37)</f>
        <v>16</v>
      </c>
      <c r="G18" s="216">
        <f>VALUE('1112'!M48)</f>
        <v>15</v>
      </c>
      <c r="H18" s="216">
        <f>VALUE('1112'!M58)</f>
        <v>18.333333333333332</v>
      </c>
      <c r="I18" s="216">
        <f>VALUE('1112'!M69)</f>
        <v>12.5</v>
      </c>
      <c r="J18" s="216">
        <f>VALUE('1112'!M79)</f>
        <v>13.75</v>
      </c>
    </row>
    <row r="19" spans="2:10" ht="17.25" customHeight="1">
      <c r="B19" s="354" t="s">
        <v>105</v>
      </c>
      <c r="C19" s="355"/>
      <c r="D19" s="213" t="s">
        <v>106</v>
      </c>
      <c r="E19" s="213" t="s">
        <v>106</v>
      </c>
      <c r="F19" s="213" t="s">
        <v>107</v>
      </c>
      <c r="G19" s="213" t="s">
        <v>107</v>
      </c>
      <c r="H19" s="213" t="s">
        <v>107</v>
      </c>
      <c r="I19" s="213" t="s">
        <v>108</v>
      </c>
      <c r="J19" s="213" t="s">
        <v>107</v>
      </c>
    </row>
    <row r="20" spans="2:10" ht="17.25" customHeight="1">
      <c r="B20" s="354" t="s">
        <v>110</v>
      </c>
      <c r="C20" s="355"/>
      <c r="D20" s="213"/>
      <c r="E20" s="213"/>
      <c r="F20" s="213"/>
      <c r="G20" s="217"/>
      <c r="H20" s="213" t="s">
        <v>109</v>
      </c>
      <c r="I20" s="213"/>
      <c r="J20" s="213"/>
    </row>
    <row r="21" spans="2:10" ht="17.25" customHeight="1">
      <c r="B21" s="354" t="s">
        <v>111</v>
      </c>
      <c r="C21" s="355"/>
      <c r="D21" s="273"/>
      <c r="E21" s="273"/>
      <c r="F21" s="273"/>
      <c r="G21" s="273"/>
      <c r="H21" s="273"/>
      <c r="I21" s="273"/>
      <c r="J21" s="273"/>
    </row>
    <row r="22" spans="2:10">
      <c r="B22" s="370"/>
      <c r="C22" s="370"/>
    </row>
  </sheetData>
  <mergeCells count="37">
    <mergeCell ref="B20:C20"/>
    <mergeCell ref="B21:C21"/>
    <mergeCell ref="B22:C22"/>
    <mergeCell ref="D8:E8"/>
    <mergeCell ref="F8:G8"/>
    <mergeCell ref="H8:I8"/>
    <mergeCell ref="B18:C18"/>
    <mergeCell ref="B19:C19"/>
    <mergeCell ref="D6:E6"/>
    <mergeCell ref="F6:G6"/>
    <mergeCell ref="H6:I6"/>
    <mergeCell ref="D10:J10"/>
    <mergeCell ref="B11:C12"/>
    <mergeCell ref="B13:B15"/>
    <mergeCell ref="B16:B17"/>
    <mergeCell ref="B10:C10"/>
    <mergeCell ref="J8:K8"/>
    <mergeCell ref="B5:C8"/>
    <mergeCell ref="D5:E5"/>
    <mergeCell ref="F5:G5"/>
    <mergeCell ref="H5:I5"/>
    <mergeCell ref="J6:K6"/>
    <mergeCell ref="D7:E7"/>
    <mergeCell ref="F7:G7"/>
    <mergeCell ref="H7:I7"/>
    <mergeCell ref="J7:K7"/>
    <mergeCell ref="B1:K2"/>
    <mergeCell ref="B3:C3"/>
    <mergeCell ref="D3:E3"/>
    <mergeCell ref="G3:H3"/>
    <mergeCell ref="J3:K3"/>
    <mergeCell ref="J5:K5"/>
    <mergeCell ref="B4:C4"/>
    <mergeCell ref="D4:E4"/>
    <mergeCell ref="F4:G4"/>
    <mergeCell ref="H4:I4"/>
    <mergeCell ref="J4:K4"/>
  </mergeCells>
  <phoneticPr fontId="2" type="noConversion"/>
  <conditionalFormatting sqref="D15:J15">
    <cfRule type="cellIs" dxfId="189" priority="1" operator="lessThan">
      <formula>0.8</formula>
    </cfRule>
  </conditionalFormatting>
  <pageMargins left="0.7" right="0.7" top="0.75" bottom="0.75" header="0.3" footer="0.3"/>
  <pageSetup paperSize="8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C4053-F9D8-481F-A4DC-B28289F98950}">
  <sheetPr>
    <tabColor theme="9" tint="0.79998168889431442"/>
    <pageSetUpPr fitToPage="1"/>
  </sheetPr>
  <dimension ref="A1:AF92"/>
  <sheetViews>
    <sheetView zoomScale="69" zoomScaleNormal="69" workbookViewId="0">
      <pane xSplit="5" ySplit="4" topLeftCell="F11" activePane="bottomRight" state="frozen"/>
      <selection activeCell="T67" sqref="T67"/>
      <selection pane="topRight" activeCell="T67" sqref="T67"/>
      <selection pane="bottomLeft" activeCell="T67" sqref="T67"/>
      <selection pane="bottomRight" activeCell="M40" sqref="M40"/>
    </sheetView>
  </sheetViews>
  <sheetFormatPr defaultColWidth="7.875" defaultRowHeight="15.75"/>
  <cols>
    <col min="1" max="1" width="15" style="6" customWidth="1"/>
    <col min="2" max="2" width="12.875" style="6" customWidth="1"/>
    <col min="3" max="3" width="12.875" style="6" hidden="1" customWidth="1"/>
    <col min="4" max="4" width="26.125" style="6" bestFit="1" customWidth="1"/>
    <col min="5" max="5" width="15" style="6" customWidth="1"/>
    <col min="6" max="6" width="8.875" style="6" bestFit="1" customWidth="1"/>
    <col min="7" max="7" width="20.125" style="6" bestFit="1" customWidth="1"/>
    <col min="8" max="8" width="16.375" style="6" bestFit="1" customWidth="1"/>
    <col min="9" max="9" width="10.875" style="6" bestFit="1" customWidth="1"/>
    <col min="10" max="10" width="10.125" style="6" bestFit="1" customWidth="1"/>
    <col min="11" max="11" width="10.625" style="6" customWidth="1"/>
    <col min="12" max="12" width="14.5" style="6" customWidth="1"/>
    <col min="13" max="13" width="10.125" style="6" bestFit="1" customWidth="1"/>
    <col min="14" max="14" width="10.25" style="6" bestFit="1" customWidth="1"/>
    <col min="15" max="15" width="11.875" style="6" customWidth="1"/>
    <col min="16" max="17" width="9.125" style="6" bestFit="1" customWidth="1"/>
    <col min="18" max="18" width="9.125" style="6" customWidth="1"/>
    <col min="19" max="19" width="8.375" style="6" customWidth="1"/>
    <col min="20" max="21" width="9.375" style="6" bestFit="1" customWidth="1"/>
    <col min="22" max="22" width="10.625" style="6" customWidth="1"/>
    <col min="23" max="23" width="8.625" style="92" customWidth="1"/>
    <col min="24" max="24" width="7.5" style="6" bestFit="1" customWidth="1"/>
    <col min="25" max="25" width="6.875" style="6" customWidth="1"/>
    <col min="26" max="26" width="12.625" style="6" customWidth="1"/>
    <col min="27" max="27" width="33.375" style="6" customWidth="1"/>
    <col min="28" max="28" width="13.125" style="6" bestFit="1" customWidth="1"/>
    <col min="29" max="29" width="10.375" style="6" customWidth="1"/>
    <col min="30" max="30" width="9.125" style="6" customWidth="1"/>
    <col min="31" max="31" width="7.875" style="6"/>
    <col min="32" max="32" width="24.5" style="6" bestFit="1" customWidth="1"/>
    <col min="33" max="16384" width="7.875" style="6"/>
  </cols>
  <sheetData>
    <row r="1" spans="1:30" ht="21">
      <c r="A1" s="2" t="s">
        <v>72</v>
      </c>
      <c r="B1" s="2"/>
      <c r="C1" s="2"/>
      <c r="D1" s="176" t="s">
        <v>8</v>
      </c>
      <c r="E1" s="3">
        <f>SUM(G5:G79)</f>
        <v>58816</v>
      </c>
      <c r="F1" s="177" t="s">
        <v>9</v>
      </c>
      <c r="G1" s="4">
        <f>SUM(H5:H79)</f>
        <v>2850967.2500000005</v>
      </c>
      <c r="H1" s="175" t="s">
        <v>10</v>
      </c>
      <c r="I1" s="5">
        <f>M15+M26+M48+M58+M69+M79+M37</f>
        <v>103.88333333333333</v>
      </c>
      <c r="J1" s="371" t="s">
        <v>11</v>
      </c>
      <c r="K1" s="371"/>
      <c r="L1" s="371"/>
      <c r="M1" s="371" t="s">
        <v>12</v>
      </c>
      <c r="N1" s="371"/>
      <c r="O1" s="371"/>
      <c r="P1" s="371" t="s">
        <v>13</v>
      </c>
      <c r="Q1" s="371"/>
      <c r="R1" s="371"/>
      <c r="S1" s="371"/>
      <c r="T1" s="371" t="s">
        <v>14</v>
      </c>
      <c r="U1" s="371"/>
      <c r="V1" s="371"/>
      <c r="W1" s="371"/>
      <c r="X1" s="371"/>
      <c r="Y1" s="371"/>
      <c r="Z1" s="371" t="s">
        <v>15</v>
      </c>
      <c r="AA1" s="371"/>
      <c r="AB1" s="371" t="s">
        <v>16</v>
      </c>
      <c r="AC1" s="372"/>
      <c r="AD1" s="372"/>
    </row>
    <row r="2" spans="1:30" ht="18.75">
      <c r="A2" s="409" t="s">
        <v>193</v>
      </c>
      <c r="B2" s="409"/>
      <c r="C2" s="176"/>
      <c r="D2" s="176" t="s">
        <v>1</v>
      </c>
      <c r="E2" s="7">
        <f>AVERAGE(O15,O26,O37,O48,O58,O69,O79)</f>
        <v>105.01742959643528</v>
      </c>
      <c r="F2" s="8" t="s">
        <v>2</v>
      </c>
      <c r="G2" s="9">
        <f>G1/E1</f>
        <v>48.472647748911868</v>
      </c>
      <c r="H2" s="175" t="s">
        <v>17</v>
      </c>
      <c r="I2" s="175">
        <f>COUNT(I5:I79)</f>
        <v>0</v>
      </c>
      <c r="J2" s="371"/>
      <c r="K2" s="371"/>
      <c r="L2" s="371"/>
      <c r="M2" s="371"/>
      <c r="N2" s="371"/>
      <c r="O2" s="371"/>
      <c r="P2" s="371"/>
      <c r="Q2" s="371"/>
      <c r="R2" s="371"/>
      <c r="S2" s="371"/>
      <c r="T2" s="371"/>
      <c r="U2" s="371"/>
      <c r="V2" s="371"/>
      <c r="W2" s="371"/>
      <c r="X2" s="371"/>
      <c r="Y2" s="371"/>
      <c r="Z2" s="371"/>
      <c r="AA2" s="371"/>
      <c r="AB2" s="372"/>
      <c r="AC2" s="372"/>
      <c r="AD2" s="372"/>
    </row>
    <row r="3" spans="1:30">
      <c r="A3" s="405" t="s">
        <v>18</v>
      </c>
      <c r="B3" s="405" t="s">
        <v>19</v>
      </c>
      <c r="C3" s="177"/>
      <c r="D3" s="405" t="s">
        <v>20</v>
      </c>
      <c r="E3" s="405"/>
      <c r="F3" s="379" t="s">
        <v>21</v>
      </c>
      <c r="G3" s="389" t="s">
        <v>22</v>
      </c>
      <c r="H3" s="379" t="s">
        <v>23</v>
      </c>
      <c r="I3" s="381" t="s">
        <v>24</v>
      </c>
      <c r="J3" s="383" t="s">
        <v>25</v>
      </c>
      <c r="K3" s="385" t="s">
        <v>26</v>
      </c>
      <c r="L3" s="387" t="s">
        <v>1</v>
      </c>
      <c r="M3" s="389" t="s">
        <v>25</v>
      </c>
      <c r="N3" s="385" t="s">
        <v>26</v>
      </c>
      <c r="O3" s="387" t="s">
        <v>1</v>
      </c>
      <c r="P3" s="383" t="s">
        <v>25</v>
      </c>
      <c r="Q3" s="387" t="s">
        <v>1</v>
      </c>
      <c r="R3" s="392" t="s">
        <v>27</v>
      </c>
      <c r="S3" s="394" t="s">
        <v>28</v>
      </c>
      <c r="T3" s="389" t="s">
        <v>4</v>
      </c>
      <c r="U3" s="389"/>
      <c r="V3" s="408" t="s">
        <v>29</v>
      </c>
      <c r="W3" s="381" t="s">
        <v>30</v>
      </c>
      <c r="X3" s="389" t="s">
        <v>31</v>
      </c>
      <c r="Y3" s="389"/>
      <c r="Z3" s="415" t="s">
        <v>71</v>
      </c>
      <c r="AA3" s="416"/>
      <c r="AB3" s="385" t="s">
        <v>26</v>
      </c>
      <c r="AC3" s="392" t="s">
        <v>27</v>
      </c>
      <c r="AD3" s="394" t="s">
        <v>28</v>
      </c>
    </row>
    <row r="4" spans="1:30" ht="16.5" thickBot="1">
      <c r="A4" s="379"/>
      <c r="B4" s="379"/>
      <c r="C4" s="178"/>
      <c r="D4" s="379"/>
      <c r="E4" s="379"/>
      <c r="F4" s="380"/>
      <c r="G4" s="390"/>
      <c r="H4" s="380"/>
      <c r="I4" s="382"/>
      <c r="J4" s="384"/>
      <c r="K4" s="386"/>
      <c r="L4" s="388"/>
      <c r="M4" s="390"/>
      <c r="N4" s="386"/>
      <c r="O4" s="388"/>
      <c r="P4" s="384"/>
      <c r="Q4" s="388"/>
      <c r="R4" s="393"/>
      <c r="S4" s="395"/>
      <c r="T4" s="179" t="s">
        <v>5</v>
      </c>
      <c r="U4" s="179" t="s">
        <v>6</v>
      </c>
      <c r="V4" s="390"/>
      <c r="W4" s="382"/>
      <c r="X4" s="178" t="s">
        <v>32</v>
      </c>
      <c r="Y4" s="178" t="s">
        <v>33</v>
      </c>
      <c r="Z4" s="417"/>
      <c r="AA4" s="417"/>
      <c r="AB4" s="386"/>
      <c r="AC4" s="393"/>
      <c r="AD4" s="395"/>
    </row>
    <row r="5" spans="1:30" ht="15" customHeight="1">
      <c r="A5" s="411" t="s">
        <v>66</v>
      </c>
      <c r="B5" s="199" t="str">
        <f>VLOOKUP(D5,廠價表!$C$1:$E$39,2,0)</f>
        <v>義大利麵</v>
      </c>
      <c r="C5" s="102"/>
      <c r="D5" s="103" t="s">
        <v>127</v>
      </c>
      <c r="E5" s="104"/>
      <c r="F5" s="199">
        <f>VLOOKUP(D5,廠價表!$C$1:$E$39,3,0)</f>
        <v>57.21</v>
      </c>
      <c r="G5" s="105">
        <v>1642</v>
      </c>
      <c r="H5" s="106">
        <f>F5*G5</f>
        <v>93938.82</v>
      </c>
      <c r="I5" s="107"/>
      <c r="J5" s="108">
        <v>14</v>
      </c>
      <c r="K5" s="105">
        <f>VLOOKUP(D5,產線配置圖!$A$2:$C$38,3,0)</f>
        <v>2105</v>
      </c>
      <c r="L5" s="109">
        <f>K5/J5</f>
        <v>150.35714285714286</v>
      </c>
      <c r="M5" s="110">
        <v>14</v>
      </c>
      <c r="N5" s="105">
        <f t="shared" ref="N5:N9" si="0">G5/W5*60</f>
        <v>1894.6153846153857</v>
      </c>
      <c r="O5" s="109">
        <f t="shared" ref="O5:O9" si="1">N5/M5</f>
        <v>135.32967032967039</v>
      </c>
      <c r="P5" s="111">
        <f t="shared" ref="P5:P9" si="2">M5-J5</f>
        <v>0</v>
      </c>
      <c r="Q5" s="112">
        <f t="shared" ref="Q5:Q9" si="3">O5-L5</f>
        <v>-15.027472527472469</v>
      </c>
      <c r="R5" s="184">
        <f t="shared" ref="R5:R9" si="4">O5/L5</f>
        <v>0.90005481454412606</v>
      </c>
      <c r="S5" s="396">
        <f>R15</f>
        <v>0.92956491286870058</v>
      </c>
      <c r="T5" s="94">
        <v>0.2902777777777778</v>
      </c>
      <c r="U5" s="94">
        <v>0.3263888888888889</v>
      </c>
      <c r="V5" s="194"/>
      <c r="W5" s="107">
        <f t="shared" ref="W5:W14" si="5">(U5-T5)*24*60</f>
        <v>51.999999999999972</v>
      </c>
      <c r="X5" s="188"/>
      <c r="Y5" s="188"/>
      <c r="Z5" s="400"/>
      <c r="AA5" s="400"/>
      <c r="AB5" s="111">
        <f>N5-K5</f>
        <v>-210.38461538461434</v>
      </c>
      <c r="AC5" s="184">
        <f>N5/K5</f>
        <v>0.90005481454412617</v>
      </c>
      <c r="AD5" s="401">
        <f>AC15</f>
        <v>0.92831290565312286</v>
      </c>
    </row>
    <row r="6" spans="1:30" ht="15" customHeight="1">
      <c r="A6" s="412"/>
      <c r="B6" s="56" t="str">
        <f>VLOOKUP(D6,廠價表!$C$1:$E$39,2,0)</f>
        <v>義大利麵</v>
      </c>
      <c r="C6" s="10"/>
      <c r="D6" s="11" t="s">
        <v>153</v>
      </c>
      <c r="E6" s="86"/>
      <c r="F6" s="56">
        <f>VLOOKUP(D6,廠價表!$C$1:$E$39,3,0)</f>
        <v>50.67</v>
      </c>
      <c r="G6" s="25">
        <v>958</v>
      </c>
      <c r="H6" s="15">
        <f t="shared" ref="H6:H14" si="6">F6*G6</f>
        <v>48541.86</v>
      </c>
      <c r="I6" s="182"/>
      <c r="J6" s="16">
        <v>14</v>
      </c>
      <c r="K6" s="14">
        <f>VLOOKUP(D6,產線配置圖!$A$2:$C$38,3,0)</f>
        <v>2000</v>
      </c>
      <c r="L6" s="17">
        <f>K6/J6</f>
        <v>142.85714285714286</v>
      </c>
      <c r="M6" s="180">
        <v>14</v>
      </c>
      <c r="N6" s="14">
        <f t="shared" si="0"/>
        <v>1796.2499999999977</v>
      </c>
      <c r="O6" s="17">
        <f t="shared" si="1"/>
        <v>128.30357142857127</v>
      </c>
      <c r="P6" s="18">
        <f t="shared" si="2"/>
        <v>0</v>
      </c>
      <c r="Q6" s="19">
        <f t="shared" si="3"/>
        <v>-14.553571428571587</v>
      </c>
      <c r="R6" s="185">
        <f t="shared" si="4"/>
        <v>0.89812499999999884</v>
      </c>
      <c r="S6" s="397"/>
      <c r="T6" s="95">
        <v>0.3347222222222222</v>
      </c>
      <c r="U6" s="95">
        <v>0.35694444444444445</v>
      </c>
      <c r="V6" s="177">
        <f>(T6-U5)*24*60</f>
        <v>11.999999999999957</v>
      </c>
      <c r="W6" s="182">
        <f t="shared" si="5"/>
        <v>32.000000000000043</v>
      </c>
      <c r="X6" s="22"/>
      <c r="Y6" s="22"/>
      <c r="Z6" s="381"/>
      <c r="AA6" s="381"/>
      <c r="AB6" s="18">
        <f>N6-K6</f>
        <v>-203.75000000000227</v>
      </c>
      <c r="AC6" s="185">
        <f>N6/K6</f>
        <v>0.89812499999999884</v>
      </c>
      <c r="AD6" s="402"/>
    </row>
    <row r="7" spans="1:30" ht="15" customHeight="1">
      <c r="A7" s="412"/>
      <c r="B7" s="56" t="str">
        <f>VLOOKUP(D7,廠價表!$C$1:$E$39,2,0)</f>
        <v>義大利麵</v>
      </c>
      <c r="C7" s="10"/>
      <c r="D7" s="11" t="s">
        <v>139</v>
      </c>
      <c r="E7" s="86"/>
      <c r="F7" s="56">
        <f>VLOOKUP(D7,廠價表!$C$1:$E$39,3,0)</f>
        <v>57.21</v>
      </c>
      <c r="G7" s="25">
        <v>2302</v>
      </c>
      <c r="H7" s="15">
        <f t="shared" si="6"/>
        <v>131697.42000000001</v>
      </c>
      <c r="I7" s="182"/>
      <c r="J7" s="16">
        <v>18</v>
      </c>
      <c r="K7" s="14">
        <f>VLOOKUP(D7,產線配置圖!$A$2:$C$38,3,0)</f>
        <v>1895</v>
      </c>
      <c r="L7" s="17">
        <f>K7/J7</f>
        <v>105.27777777777777</v>
      </c>
      <c r="M7" s="180">
        <v>18</v>
      </c>
      <c r="N7" s="14">
        <f t="shared" si="0"/>
        <v>1705.1851851851845</v>
      </c>
      <c r="O7" s="17">
        <f t="shared" si="1"/>
        <v>94.732510288065811</v>
      </c>
      <c r="P7" s="18">
        <f t="shared" si="2"/>
        <v>0</v>
      </c>
      <c r="Q7" s="19">
        <f t="shared" si="3"/>
        <v>-10.545267489711961</v>
      </c>
      <c r="R7" s="185">
        <f t="shared" si="4"/>
        <v>0.89983387081012389</v>
      </c>
      <c r="S7" s="397"/>
      <c r="T7" s="95">
        <v>0.36388888888888887</v>
      </c>
      <c r="U7" s="95">
        <v>0.4201388888888889</v>
      </c>
      <c r="V7" s="177">
        <f>(T7-U6)*24*60</f>
        <v>9.9999999999999645</v>
      </c>
      <c r="W7" s="182">
        <f t="shared" si="5"/>
        <v>81.000000000000028</v>
      </c>
      <c r="X7" s="22"/>
      <c r="Y7" s="22"/>
      <c r="Z7" s="405"/>
      <c r="AA7" s="405"/>
      <c r="AB7" s="18">
        <f>N7-K7</f>
        <v>-189.81481481481546</v>
      </c>
      <c r="AC7" s="185">
        <f>N7/K7</f>
        <v>0.89983387081012378</v>
      </c>
      <c r="AD7" s="402"/>
    </row>
    <row r="8" spans="1:30" ht="15" customHeight="1">
      <c r="A8" s="412"/>
      <c r="B8" s="56" t="str">
        <f>VLOOKUP(D8,廠價表!$C$1:$E$39,2,0)</f>
        <v>義大利麵</v>
      </c>
      <c r="C8" s="10"/>
      <c r="D8" s="11" t="s">
        <v>141</v>
      </c>
      <c r="E8" s="86"/>
      <c r="F8" s="56">
        <f>VLOOKUP(D8,廠價表!$C$1:$E$39,3,0)</f>
        <v>49.14</v>
      </c>
      <c r="G8" s="25">
        <v>2428</v>
      </c>
      <c r="H8" s="15">
        <f t="shared" si="6"/>
        <v>119311.92</v>
      </c>
      <c r="I8" s="182"/>
      <c r="J8" s="16">
        <v>14</v>
      </c>
      <c r="K8" s="14">
        <f>VLOOKUP(D8,產線配置圖!$A$2:$C$38,3,0)</f>
        <v>2000</v>
      </c>
      <c r="L8" s="17">
        <f t="shared" ref="L8:L9" si="7">K8/J8</f>
        <v>142.85714285714286</v>
      </c>
      <c r="M8" s="180">
        <v>14</v>
      </c>
      <c r="N8" s="14">
        <f t="shared" si="0"/>
        <v>1891.9480519480508</v>
      </c>
      <c r="O8" s="17">
        <f t="shared" si="1"/>
        <v>135.13914656771792</v>
      </c>
      <c r="P8" s="18">
        <f t="shared" si="2"/>
        <v>0</v>
      </c>
      <c r="Q8" s="19">
        <f t="shared" si="3"/>
        <v>-7.7179962894249456</v>
      </c>
      <c r="R8" s="185">
        <f t="shared" si="4"/>
        <v>0.94597402597402536</v>
      </c>
      <c r="S8" s="397"/>
      <c r="T8" s="20">
        <v>0.42569444444444443</v>
      </c>
      <c r="U8" s="20">
        <v>0.47916666666666669</v>
      </c>
      <c r="V8" s="177">
        <f>(T8-U7)*24*60</f>
        <v>7.9999999999999716</v>
      </c>
      <c r="W8" s="182">
        <f t="shared" si="5"/>
        <v>77.000000000000043</v>
      </c>
      <c r="X8" s="22"/>
      <c r="Y8" s="22"/>
      <c r="Z8" s="406"/>
      <c r="AA8" s="406"/>
      <c r="AB8" s="18">
        <f>N8-K8</f>
        <v>-108.05194805194924</v>
      </c>
      <c r="AC8" s="185">
        <f>N8/K8</f>
        <v>0.94597402597402536</v>
      </c>
      <c r="AD8" s="402"/>
    </row>
    <row r="9" spans="1:30" ht="15" customHeight="1">
      <c r="A9" s="413"/>
      <c r="B9" s="56" t="str">
        <f>VLOOKUP(D9,廠價表!$C$1:$E$39,2,0)</f>
        <v>義大利麵</v>
      </c>
      <c r="C9" s="10"/>
      <c r="D9" s="11" t="s">
        <v>141</v>
      </c>
      <c r="E9" s="86"/>
      <c r="F9" s="56">
        <f>VLOOKUP(D9,廠價表!$C$1:$E$39,3,0)</f>
        <v>49.14</v>
      </c>
      <c r="G9" s="25">
        <v>3824</v>
      </c>
      <c r="H9" s="15">
        <f t="shared" si="6"/>
        <v>187911.36000000002</v>
      </c>
      <c r="I9" s="182"/>
      <c r="J9" s="16">
        <v>14</v>
      </c>
      <c r="K9" s="14">
        <f>VLOOKUP(D9,產線配置圖!$A$2:$C$38,3,0)</f>
        <v>2000</v>
      </c>
      <c r="L9" s="17">
        <f t="shared" si="7"/>
        <v>142.85714285714286</v>
      </c>
      <c r="M9" s="180">
        <v>14</v>
      </c>
      <c r="N9" s="14">
        <f t="shared" si="0"/>
        <v>1995.1304347826099</v>
      </c>
      <c r="O9" s="17">
        <f t="shared" si="1"/>
        <v>142.50931677018642</v>
      </c>
      <c r="P9" s="18">
        <f t="shared" si="2"/>
        <v>0</v>
      </c>
      <c r="Q9" s="19">
        <f t="shared" si="3"/>
        <v>-0.34782608695644512</v>
      </c>
      <c r="R9" s="185">
        <f t="shared" si="4"/>
        <v>0.99756521739130488</v>
      </c>
      <c r="S9" s="398"/>
      <c r="T9" s="79">
        <v>0.54861111111111116</v>
      </c>
      <c r="U9" s="79">
        <v>0.62847222222222221</v>
      </c>
      <c r="V9" s="177">
        <f>(T9-U8)*24*60</f>
        <v>100.00000000000004</v>
      </c>
      <c r="W9" s="24">
        <f t="shared" si="5"/>
        <v>114.99999999999991</v>
      </c>
      <c r="X9" s="22">
        <v>0.5</v>
      </c>
      <c r="Y9" s="263">
        <v>0.54166666666666663</v>
      </c>
      <c r="Z9" s="407"/>
      <c r="AA9" s="407"/>
      <c r="AB9" s="18"/>
      <c r="AC9" s="185"/>
      <c r="AD9" s="403"/>
    </row>
    <row r="10" spans="1:30" ht="15" customHeight="1">
      <c r="A10" s="413"/>
      <c r="B10" s="56"/>
      <c r="C10" s="23"/>
      <c r="D10" s="11"/>
      <c r="E10" s="12"/>
      <c r="F10" s="56"/>
      <c r="G10" s="25"/>
      <c r="H10" s="15"/>
      <c r="I10" s="182"/>
      <c r="J10" s="16"/>
      <c r="K10" s="14"/>
      <c r="L10" s="17"/>
      <c r="M10" s="180"/>
      <c r="N10" s="14"/>
      <c r="O10" s="17"/>
      <c r="P10" s="18"/>
      <c r="Q10" s="19"/>
      <c r="R10" s="185"/>
      <c r="S10" s="398"/>
      <c r="T10" s="20"/>
      <c r="U10" s="20"/>
      <c r="V10" s="177"/>
      <c r="W10" s="182">
        <f t="shared" si="5"/>
        <v>0</v>
      </c>
      <c r="X10" s="22"/>
      <c r="Y10" s="263"/>
      <c r="Z10" s="419"/>
      <c r="AA10" s="418"/>
      <c r="AB10" s="264"/>
      <c r="AC10" s="185"/>
      <c r="AD10" s="403"/>
    </row>
    <row r="11" spans="1:30" ht="15" customHeight="1">
      <c r="A11" s="413"/>
      <c r="B11" s="56"/>
      <c r="C11" s="183"/>
      <c r="D11" s="11"/>
      <c r="E11" s="12"/>
      <c r="F11" s="56"/>
      <c r="G11" s="25"/>
      <c r="H11" s="15">
        <f t="shared" si="6"/>
        <v>0</v>
      </c>
      <c r="I11" s="182"/>
      <c r="J11" s="16"/>
      <c r="K11" s="14"/>
      <c r="L11" s="17"/>
      <c r="M11" s="180"/>
      <c r="N11" s="14"/>
      <c r="O11" s="17"/>
      <c r="P11" s="18"/>
      <c r="Q11" s="19"/>
      <c r="R11" s="185"/>
      <c r="S11" s="398"/>
      <c r="T11" s="20"/>
      <c r="U11" s="20"/>
      <c r="V11" s="177"/>
      <c r="W11" s="24">
        <f t="shared" si="5"/>
        <v>0</v>
      </c>
      <c r="X11" s="22"/>
      <c r="Y11" s="263"/>
      <c r="Z11" s="419"/>
      <c r="AA11" s="418"/>
      <c r="AB11" s="264"/>
      <c r="AC11" s="185"/>
      <c r="AD11" s="403"/>
    </row>
    <row r="12" spans="1:30" ht="15" customHeight="1">
      <c r="A12" s="413"/>
      <c r="B12" s="26"/>
      <c r="C12" s="27"/>
      <c r="D12" s="28"/>
      <c r="E12" s="29"/>
      <c r="F12" s="13"/>
      <c r="G12" s="30"/>
      <c r="H12" s="15">
        <f t="shared" si="6"/>
        <v>0</v>
      </c>
      <c r="I12" s="178"/>
      <c r="J12" s="31"/>
      <c r="K12" s="30"/>
      <c r="L12" s="17"/>
      <c r="M12" s="181"/>
      <c r="N12" s="25"/>
      <c r="O12" s="17"/>
      <c r="P12" s="18"/>
      <c r="Q12" s="19"/>
      <c r="R12" s="185"/>
      <c r="S12" s="398"/>
      <c r="T12" s="32"/>
      <c r="U12" s="32"/>
      <c r="V12" s="178"/>
      <c r="W12" s="24">
        <f t="shared" si="5"/>
        <v>0</v>
      </c>
      <c r="X12" s="33"/>
      <c r="Y12" s="33"/>
      <c r="Z12" s="407"/>
      <c r="AA12" s="407"/>
      <c r="AB12" s="34"/>
      <c r="AC12" s="186"/>
      <c r="AD12" s="403"/>
    </row>
    <row r="13" spans="1:30" ht="15" customHeight="1">
      <c r="A13" s="413"/>
      <c r="B13" s="56"/>
      <c r="C13" s="10"/>
      <c r="D13" s="11"/>
      <c r="E13" s="86"/>
      <c r="F13" s="56"/>
      <c r="G13" s="25"/>
      <c r="H13" s="15"/>
      <c r="I13" s="182"/>
      <c r="J13" s="16"/>
      <c r="K13" s="14"/>
      <c r="L13" s="17"/>
      <c r="M13" s="180"/>
      <c r="N13" s="14"/>
      <c r="O13" s="17"/>
      <c r="P13" s="18"/>
      <c r="Q13" s="19"/>
      <c r="R13" s="185"/>
      <c r="S13" s="479"/>
      <c r="T13" s="309"/>
      <c r="U13" s="309"/>
      <c r="V13" s="26"/>
      <c r="W13" s="24">
        <f t="shared" si="5"/>
        <v>0</v>
      </c>
      <c r="X13" s="33"/>
      <c r="Y13" s="33"/>
      <c r="Z13" s="419"/>
      <c r="AA13" s="418"/>
      <c r="AB13" s="34"/>
      <c r="AC13" s="186"/>
      <c r="AD13" s="403"/>
    </row>
    <row r="14" spans="1:30" ht="15" customHeight="1">
      <c r="A14" s="413"/>
      <c r="B14" s="26"/>
      <c r="C14" s="27"/>
      <c r="D14" s="28"/>
      <c r="E14" s="29"/>
      <c r="F14" s="13"/>
      <c r="G14" s="30"/>
      <c r="H14" s="15">
        <f t="shared" si="6"/>
        <v>0</v>
      </c>
      <c r="I14" s="178"/>
      <c r="J14" s="31"/>
      <c r="K14" s="30"/>
      <c r="L14" s="17"/>
      <c r="M14" s="181"/>
      <c r="N14" s="25"/>
      <c r="O14" s="17"/>
      <c r="P14" s="18"/>
      <c r="Q14" s="19"/>
      <c r="R14" s="185"/>
      <c r="S14" s="398"/>
      <c r="T14" s="308"/>
      <c r="U14" s="308"/>
      <c r="V14" s="178"/>
      <c r="W14" s="24">
        <f t="shared" si="5"/>
        <v>0</v>
      </c>
      <c r="X14" s="33"/>
      <c r="Y14" s="33"/>
      <c r="Z14" s="419"/>
      <c r="AA14" s="418"/>
      <c r="AB14" s="34"/>
      <c r="AC14" s="186"/>
      <c r="AD14" s="403"/>
    </row>
    <row r="15" spans="1:30" ht="15" customHeight="1" thickBot="1">
      <c r="A15" s="414"/>
      <c r="B15" s="113"/>
      <c r="C15" s="113" t="s">
        <v>34</v>
      </c>
      <c r="D15" s="410" t="s">
        <v>7</v>
      </c>
      <c r="E15" s="410"/>
      <c r="F15" s="114"/>
      <c r="G15" s="115"/>
      <c r="H15" s="116"/>
      <c r="I15" s="117"/>
      <c r="J15" s="118">
        <f t="shared" ref="J15:O15" si="8">AVERAGE(J5:J14)</f>
        <v>14.8</v>
      </c>
      <c r="K15" s="118">
        <f t="shared" si="8"/>
        <v>2000</v>
      </c>
      <c r="L15" s="115">
        <f t="shared" si="8"/>
        <v>136.84126984126985</v>
      </c>
      <c r="M15" s="118">
        <f t="shared" si="8"/>
        <v>14.8</v>
      </c>
      <c r="N15" s="118">
        <f t="shared" si="8"/>
        <v>1856.6258113062456</v>
      </c>
      <c r="O15" s="115">
        <f t="shared" si="8"/>
        <v>127.20284307684236</v>
      </c>
      <c r="P15" s="119">
        <f t="shared" ref="P15:P16" si="9">M15-J15</f>
        <v>0</v>
      </c>
      <c r="Q15" s="120">
        <f t="shared" ref="Q15:Q16" si="10">O15-L15</f>
        <v>-9.6384267644274928</v>
      </c>
      <c r="R15" s="121">
        <f t="shared" ref="R15:R16" si="11">O15/L15</f>
        <v>0.92956491286870058</v>
      </c>
      <c r="S15" s="399"/>
      <c r="T15" s="122"/>
      <c r="U15" s="122"/>
      <c r="V15" s="195"/>
      <c r="W15" s="123"/>
      <c r="X15" s="124"/>
      <c r="Y15" s="124"/>
      <c r="Z15" s="391"/>
      <c r="AA15" s="391"/>
      <c r="AB15" s="119">
        <f>N15-K15</f>
        <v>-143.37418869375438</v>
      </c>
      <c r="AC15" s="187">
        <f>N15/K15</f>
        <v>0.92831290565312286</v>
      </c>
      <c r="AD15" s="404"/>
    </row>
    <row r="16" spans="1:30" ht="15" customHeight="1">
      <c r="A16" s="431" t="s">
        <v>67</v>
      </c>
      <c r="B16" s="199" t="s">
        <v>134</v>
      </c>
      <c r="C16" s="102"/>
      <c r="D16" s="103" t="s">
        <v>127</v>
      </c>
      <c r="E16" s="104"/>
      <c r="F16" s="199">
        <f>VLOOKUP(D16,廠價表!$C$1:$E$39,3,0)</f>
        <v>57.21</v>
      </c>
      <c r="G16" s="265">
        <v>1720</v>
      </c>
      <c r="H16" s="125">
        <f t="shared" ref="H16:H25" si="12">F16*G16</f>
        <v>98401.2</v>
      </c>
      <c r="I16" s="126"/>
      <c r="J16" s="108">
        <v>14</v>
      </c>
      <c r="K16" s="105">
        <f>VLOOKUP(D16,產線配置圖!$A$2:$C$38,3,0)</f>
        <v>2105</v>
      </c>
      <c r="L16" s="109">
        <f>K16/J16</f>
        <v>150.35714285714286</v>
      </c>
      <c r="M16" s="267">
        <v>14</v>
      </c>
      <c r="N16" s="127">
        <f>G16/W16*60</f>
        <v>1842.8571428571443</v>
      </c>
      <c r="O16" s="128">
        <f>N16/M16</f>
        <v>131.6326530612246</v>
      </c>
      <c r="P16" s="129">
        <f t="shared" si="9"/>
        <v>0</v>
      </c>
      <c r="Q16" s="130">
        <f t="shared" si="10"/>
        <v>-18.724489795918259</v>
      </c>
      <c r="R16" s="189">
        <f t="shared" si="11"/>
        <v>0.87546657617916601</v>
      </c>
      <c r="S16" s="424">
        <f>R26</f>
        <v>0.93949657191341118</v>
      </c>
      <c r="T16" s="268">
        <v>0.2902777777777778</v>
      </c>
      <c r="U16" s="268">
        <v>0.32916666666666666</v>
      </c>
      <c r="V16" s="126"/>
      <c r="W16" s="131">
        <f t="shared" ref="W16:W68" si="13">(U16-T16)*24*60</f>
        <v>55.999999999999957</v>
      </c>
      <c r="X16" s="128"/>
      <c r="Y16" s="128"/>
      <c r="Z16" s="400"/>
      <c r="AA16" s="400"/>
      <c r="AB16" s="111">
        <f>N16-K16</f>
        <v>-262.14285714285575</v>
      </c>
      <c r="AC16" s="184">
        <f>N16/K16</f>
        <v>0.8754665761791659</v>
      </c>
      <c r="AD16" s="401">
        <f>AC26</f>
        <v>0.93871243262683834</v>
      </c>
    </row>
    <row r="17" spans="1:30" ht="15" customHeight="1">
      <c r="A17" s="432"/>
      <c r="B17" s="56" t="s">
        <v>62</v>
      </c>
      <c r="C17" s="10"/>
      <c r="D17" s="11" t="s">
        <v>153</v>
      </c>
      <c r="E17" s="86"/>
      <c r="F17" s="56">
        <f>VLOOKUP(D17,廠價表!$C$1:$E$39,3,0)</f>
        <v>50.67</v>
      </c>
      <c r="G17" s="96">
        <v>4010</v>
      </c>
      <c r="H17" s="15">
        <f>F17*G17</f>
        <v>203186.7</v>
      </c>
      <c r="I17" s="177"/>
      <c r="J17" s="16">
        <v>14</v>
      </c>
      <c r="K17" s="14">
        <f>VLOOKUP(D17,產線配置圖!$A$2:$C$38,3,0)</f>
        <v>2000</v>
      </c>
      <c r="L17" s="17">
        <f>K17/J17</f>
        <v>142.85714285714286</v>
      </c>
      <c r="M17" s="37">
        <v>14</v>
      </c>
      <c r="N17" s="36">
        <f>G17/W17*60</f>
        <v>1924.8000000000006</v>
      </c>
      <c r="O17" s="38">
        <f>N17/M17</f>
        <v>137.48571428571432</v>
      </c>
      <c r="P17" s="39">
        <f>M17-J17</f>
        <v>0</v>
      </c>
      <c r="Q17" s="40">
        <f>O17-L17</f>
        <v>-5.3714285714285381</v>
      </c>
      <c r="R17" s="190">
        <f>O17/L17</f>
        <v>0.96240000000000026</v>
      </c>
      <c r="S17" s="425"/>
      <c r="T17" s="41">
        <v>0.33680555555555558</v>
      </c>
      <c r="U17" s="41">
        <v>0.4236111111111111</v>
      </c>
      <c r="V17" s="177">
        <f>(T17-U16)*24*60</f>
        <v>11.000000000000041</v>
      </c>
      <c r="W17" s="43">
        <f t="shared" si="13"/>
        <v>124.99999999999996</v>
      </c>
      <c r="X17" s="44"/>
      <c r="Y17" s="44"/>
      <c r="Z17" s="381"/>
      <c r="AA17" s="381"/>
      <c r="AB17" s="18">
        <f>N17-K17</f>
        <v>-75.199999999999363</v>
      </c>
      <c r="AC17" s="185">
        <f>N17/K17</f>
        <v>0.96240000000000037</v>
      </c>
      <c r="AD17" s="402"/>
    </row>
    <row r="18" spans="1:30" ht="15" customHeight="1">
      <c r="A18" s="432"/>
      <c r="B18" s="56" t="s">
        <v>62</v>
      </c>
      <c r="C18" s="10"/>
      <c r="D18" s="11" t="s">
        <v>131</v>
      </c>
      <c r="E18" s="86"/>
      <c r="F18" s="56">
        <f>VLOOKUP(D18,廠價表!$C$1:$E$39,3,0)</f>
        <v>50.39</v>
      </c>
      <c r="G18" s="96">
        <v>2143</v>
      </c>
      <c r="H18" s="15">
        <f>F18*G18</f>
        <v>107985.77</v>
      </c>
      <c r="I18" s="177"/>
      <c r="J18" s="16">
        <v>13</v>
      </c>
      <c r="K18" s="14">
        <f>VLOOKUP(D18,產線配置圖!$A$2:$C$38,3,0)</f>
        <v>2000</v>
      </c>
      <c r="L18" s="17">
        <f>K18/J18</f>
        <v>153.84615384615384</v>
      </c>
      <c r="M18" s="37">
        <v>13</v>
      </c>
      <c r="N18" s="36">
        <f>G18/W18*60</f>
        <v>1890.8823529411766</v>
      </c>
      <c r="O18" s="38">
        <f>N18/M18</f>
        <v>145.45248868778282</v>
      </c>
      <c r="P18" s="39">
        <f>M18-J18</f>
        <v>0</v>
      </c>
      <c r="Q18" s="40">
        <f>O18-L18</f>
        <v>-8.3936651583710216</v>
      </c>
      <c r="R18" s="190">
        <f>O18/L18</f>
        <v>0.94544117647058834</v>
      </c>
      <c r="S18" s="425"/>
      <c r="T18" s="41">
        <v>0.43194444444444446</v>
      </c>
      <c r="U18" s="41">
        <v>0.47916666666666669</v>
      </c>
      <c r="V18" s="177">
        <f>(T18-U17)*24*60</f>
        <v>12.000000000000037</v>
      </c>
      <c r="W18" s="43">
        <f t="shared" si="13"/>
        <v>68</v>
      </c>
      <c r="X18" s="22"/>
      <c r="Y18" s="22"/>
      <c r="Z18" s="418"/>
      <c r="AA18" s="405"/>
      <c r="AB18" s="18">
        <f>N18-K18</f>
        <v>-109.11764705882342</v>
      </c>
      <c r="AC18" s="185">
        <f>N18/K18</f>
        <v>0.94544117647058834</v>
      </c>
      <c r="AD18" s="402"/>
    </row>
    <row r="19" spans="1:30" ht="15" customHeight="1">
      <c r="A19" s="432"/>
      <c r="B19" s="56" t="s">
        <v>62</v>
      </c>
      <c r="C19" s="23"/>
      <c r="D19" s="11" t="s">
        <v>131</v>
      </c>
      <c r="E19" s="12"/>
      <c r="F19" s="56">
        <f>VLOOKUP(D19,廠價表!$C$1:$E$39,3,0)</f>
        <v>50.39</v>
      </c>
      <c r="G19" s="96">
        <v>3542</v>
      </c>
      <c r="H19" s="15">
        <f t="shared" ref="H19" si="14">F19*G19</f>
        <v>178481.38</v>
      </c>
      <c r="I19" s="177"/>
      <c r="J19" s="16">
        <v>13</v>
      </c>
      <c r="K19" s="14">
        <f>VLOOKUP(D19,產線配置圖!$A$2:$C$38,3,0)</f>
        <v>2000</v>
      </c>
      <c r="L19" s="17">
        <f t="shared" ref="L19" si="15">K19/J19</f>
        <v>153.84615384615384</v>
      </c>
      <c r="M19" s="37">
        <v>13</v>
      </c>
      <c r="N19" s="36">
        <f>G19/W19*60</f>
        <v>1949.7247706422033</v>
      </c>
      <c r="O19" s="38">
        <f>N19/M19</f>
        <v>149.97882851093871</v>
      </c>
      <c r="P19" s="39">
        <f>M19-J19</f>
        <v>0</v>
      </c>
      <c r="Q19" s="40">
        <f>O19-L19</f>
        <v>-3.8673253352151278</v>
      </c>
      <c r="R19" s="190">
        <f>O19/L19</f>
        <v>0.9748623853211017</v>
      </c>
      <c r="S19" s="425"/>
      <c r="T19" s="41">
        <v>0.54861111111111116</v>
      </c>
      <c r="U19" s="41">
        <v>0.62430555555555556</v>
      </c>
      <c r="V19" s="177">
        <f>(T19-U18)*24*60</f>
        <v>100.00000000000004</v>
      </c>
      <c r="W19" s="43">
        <f t="shared" si="13"/>
        <v>108.99999999999993</v>
      </c>
      <c r="X19" s="22">
        <v>0.5</v>
      </c>
      <c r="Y19" s="263">
        <v>0.54166666666666663</v>
      </c>
      <c r="Z19" s="407"/>
      <c r="AA19" s="407"/>
      <c r="AB19" s="18">
        <f>N19-K19</f>
        <v>-50.275229357796661</v>
      </c>
      <c r="AC19" s="185">
        <f>N19/K19</f>
        <v>0.9748623853211017</v>
      </c>
      <c r="AD19" s="403"/>
    </row>
    <row r="20" spans="1:30" ht="15" customHeight="1">
      <c r="A20" s="432"/>
      <c r="B20" s="56"/>
      <c r="C20" s="23"/>
      <c r="D20" s="11"/>
      <c r="E20" s="12"/>
      <c r="F20" s="56"/>
      <c r="G20" s="96"/>
      <c r="H20" s="15"/>
      <c r="I20" s="177"/>
      <c r="J20" s="16"/>
      <c r="K20" s="14"/>
      <c r="L20" s="17"/>
      <c r="M20" s="37"/>
      <c r="N20" s="36"/>
      <c r="O20" s="38"/>
      <c r="P20" s="39"/>
      <c r="Q20" s="40"/>
      <c r="R20" s="190"/>
      <c r="S20" s="425"/>
      <c r="T20" s="41"/>
      <c r="U20" s="41"/>
      <c r="V20" s="177"/>
      <c r="W20" s="43">
        <f t="shared" si="13"/>
        <v>0</v>
      </c>
      <c r="X20" s="44"/>
      <c r="Y20" s="44"/>
      <c r="Z20" s="418"/>
      <c r="AA20" s="405"/>
      <c r="AB20" s="34"/>
      <c r="AC20" s="186"/>
      <c r="AD20" s="403"/>
    </row>
    <row r="21" spans="1:30" ht="15" customHeight="1">
      <c r="A21" s="433"/>
      <c r="B21" s="177"/>
      <c r="C21" s="23"/>
      <c r="D21" s="11"/>
      <c r="E21" s="12"/>
      <c r="F21" s="13"/>
      <c r="G21" s="36"/>
      <c r="H21" s="15">
        <f t="shared" si="12"/>
        <v>0</v>
      </c>
      <c r="I21" s="43"/>
      <c r="J21" s="37"/>
      <c r="K21" s="36"/>
      <c r="L21" s="38"/>
      <c r="M21" s="37"/>
      <c r="N21" s="36"/>
      <c r="O21" s="38"/>
      <c r="P21" s="39"/>
      <c r="Q21" s="40"/>
      <c r="R21" s="190"/>
      <c r="S21" s="425"/>
      <c r="T21" s="41"/>
      <c r="U21" s="41"/>
      <c r="V21" s="42"/>
      <c r="W21" s="43">
        <v>0</v>
      </c>
      <c r="X21" s="42"/>
      <c r="Y21" s="42"/>
      <c r="Z21" s="418"/>
      <c r="AA21" s="405"/>
      <c r="AB21" s="34"/>
      <c r="AC21" s="186"/>
      <c r="AD21" s="403"/>
    </row>
    <row r="22" spans="1:30" ht="15" customHeight="1">
      <c r="A22" s="433"/>
      <c r="B22" s="177"/>
      <c r="C22" s="183"/>
      <c r="D22" s="11"/>
      <c r="E22" s="12"/>
      <c r="F22" s="13"/>
      <c r="G22" s="36"/>
      <c r="H22" s="15">
        <f t="shared" si="12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90"/>
      <c r="S22" s="425"/>
      <c r="T22" s="41"/>
      <c r="U22" s="41"/>
      <c r="V22" s="42"/>
      <c r="W22" s="43">
        <v>0</v>
      </c>
      <c r="X22" s="42"/>
      <c r="Y22" s="42"/>
      <c r="Z22" s="418"/>
      <c r="AA22" s="405"/>
      <c r="AB22" s="34"/>
      <c r="AC22" s="186"/>
      <c r="AD22" s="403"/>
    </row>
    <row r="23" spans="1:30" ht="15" customHeight="1">
      <c r="A23" s="433"/>
      <c r="B23" s="26"/>
      <c r="C23" s="27"/>
      <c r="D23" s="28"/>
      <c r="E23" s="29"/>
      <c r="F23" s="13"/>
      <c r="G23" s="36"/>
      <c r="H23" s="15">
        <f t="shared" si="12"/>
        <v>0</v>
      </c>
      <c r="I23" s="43"/>
      <c r="J23" s="37"/>
      <c r="K23" s="36"/>
      <c r="L23" s="38"/>
      <c r="M23" s="37"/>
      <c r="N23" s="36"/>
      <c r="O23" s="38"/>
      <c r="P23" s="39"/>
      <c r="Q23" s="40"/>
      <c r="R23" s="190"/>
      <c r="S23" s="425"/>
      <c r="T23" s="41"/>
      <c r="U23" s="41"/>
      <c r="W23" s="43">
        <f t="shared" si="13"/>
        <v>0</v>
      </c>
      <c r="X23" s="42"/>
      <c r="Y23" s="42"/>
      <c r="Z23" s="418"/>
      <c r="AA23" s="405"/>
      <c r="AB23" s="34"/>
      <c r="AC23" s="186"/>
      <c r="AD23" s="403"/>
    </row>
    <row r="24" spans="1:30" ht="15" customHeight="1">
      <c r="A24" s="433"/>
      <c r="B24" s="26"/>
      <c r="C24" s="27"/>
      <c r="D24" s="28"/>
      <c r="E24" s="29"/>
      <c r="F24" s="13"/>
      <c r="G24" s="36"/>
      <c r="H24" s="15">
        <f t="shared" si="12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90"/>
      <c r="S24" s="425"/>
      <c r="T24" s="41"/>
      <c r="U24" s="41"/>
      <c r="V24" s="42"/>
      <c r="W24" s="43">
        <f t="shared" si="13"/>
        <v>0</v>
      </c>
      <c r="X24" s="42"/>
      <c r="Y24" s="42"/>
      <c r="Z24" s="418"/>
      <c r="AA24" s="405"/>
      <c r="AB24" s="34"/>
      <c r="AC24" s="186"/>
      <c r="AD24" s="403"/>
    </row>
    <row r="25" spans="1:30" ht="15" customHeight="1">
      <c r="A25" s="433"/>
      <c r="B25" s="26"/>
      <c r="C25" s="27"/>
      <c r="D25" s="28"/>
      <c r="E25" s="29"/>
      <c r="F25" s="13"/>
      <c r="G25" s="36"/>
      <c r="H25" s="50">
        <f t="shared" si="12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90"/>
      <c r="S25" s="425"/>
      <c r="T25" s="41"/>
      <c r="U25" s="41"/>
      <c r="V25" s="42"/>
      <c r="W25" s="43">
        <f t="shared" si="13"/>
        <v>0</v>
      </c>
      <c r="X25" s="42"/>
      <c r="Y25" s="42"/>
      <c r="Z25" s="418"/>
      <c r="AA25" s="405"/>
      <c r="AB25" s="34"/>
      <c r="AC25" s="186"/>
      <c r="AD25" s="403"/>
    </row>
    <row r="26" spans="1:30" ht="15" customHeight="1" thickBot="1">
      <c r="A26" s="434"/>
      <c r="B26" s="132"/>
      <c r="C26" s="1" t="s">
        <v>35</v>
      </c>
      <c r="D26" s="410" t="s">
        <v>7</v>
      </c>
      <c r="E26" s="410"/>
      <c r="F26" s="133"/>
      <c r="G26" s="134"/>
      <c r="H26" s="135"/>
      <c r="I26" s="136"/>
      <c r="J26" s="134">
        <f t="shared" ref="J26:O26" si="16">AVERAGE(J16:J25)</f>
        <v>13.5</v>
      </c>
      <c r="K26" s="134">
        <f t="shared" si="16"/>
        <v>2026.25</v>
      </c>
      <c r="L26" s="137">
        <f t="shared" si="16"/>
        <v>150.22664835164835</v>
      </c>
      <c r="M26" s="134">
        <f t="shared" si="16"/>
        <v>13.5</v>
      </c>
      <c r="N26" s="134">
        <f t="shared" si="16"/>
        <v>1902.0660666101312</v>
      </c>
      <c r="O26" s="137">
        <f t="shared" si="16"/>
        <v>141.13742113641513</v>
      </c>
      <c r="P26" s="138">
        <f t="shared" ref="P26:P29" si="17">M26-J26</f>
        <v>0</v>
      </c>
      <c r="Q26" s="139">
        <f t="shared" ref="Q26:Q29" si="18">O26-L26</f>
        <v>-9.0892272152332225</v>
      </c>
      <c r="R26" s="140">
        <f t="shared" ref="R26:R29" si="19">O26/L26</f>
        <v>0.93949657191341118</v>
      </c>
      <c r="S26" s="435"/>
      <c r="T26" s="141"/>
      <c r="U26" s="141"/>
      <c r="V26" s="146"/>
      <c r="W26" s="142"/>
      <c r="X26" s="143"/>
      <c r="Y26" s="143"/>
      <c r="Z26" s="420"/>
      <c r="AA26" s="391"/>
      <c r="AB26" s="119">
        <f>N26-K26</f>
        <v>-124.1839333898688</v>
      </c>
      <c r="AC26" s="187">
        <f>N26/K26</f>
        <v>0.93871243262683834</v>
      </c>
      <c r="AD26" s="404"/>
    </row>
    <row r="27" spans="1:30" ht="15" customHeight="1">
      <c r="A27" s="421" t="s">
        <v>54</v>
      </c>
      <c r="B27" s="229" t="s">
        <v>62</v>
      </c>
      <c r="C27" s="102"/>
      <c r="D27" s="103" t="s">
        <v>144</v>
      </c>
      <c r="E27" s="104"/>
      <c r="F27" s="199">
        <f>VLOOKUP(D27,廠價表!$C$1:$E$39,3,0)</f>
        <v>49.91</v>
      </c>
      <c r="G27" s="269">
        <v>3422</v>
      </c>
      <c r="H27" s="125">
        <f t="shared" ref="H27:H40" si="20">F27*G27</f>
        <v>170792.02</v>
      </c>
      <c r="I27" s="126"/>
      <c r="J27" s="108">
        <f>VLOOKUP(D27,產線配置圖!$A$2:$C$38,2,0)</f>
        <v>17</v>
      </c>
      <c r="K27" s="236">
        <f>VLOOKUP(D27,產線配置圖!$A$2:$C$38,3,0)</f>
        <v>1565</v>
      </c>
      <c r="L27" s="109">
        <f>K27/J27</f>
        <v>92.058823529411768</v>
      </c>
      <c r="M27" s="144">
        <v>16</v>
      </c>
      <c r="N27" s="127">
        <f>G27/W27*60</f>
        <v>1214.9112426035501</v>
      </c>
      <c r="O27" s="128">
        <f>N27/M27</f>
        <v>75.931952662721883</v>
      </c>
      <c r="P27" s="129">
        <f t="shared" si="17"/>
        <v>-1</v>
      </c>
      <c r="Q27" s="130">
        <f t="shared" si="18"/>
        <v>-16.126870866689885</v>
      </c>
      <c r="R27" s="189">
        <f>O27/L27</f>
        <v>0.82481993307749013</v>
      </c>
      <c r="S27" s="424">
        <f>R37</f>
        <v>0.86773661877057318</v>
      </c>
      <c r="T27" s="94">
        <v>0.28888888888888886</v>
      </c>
      <c r="U27" s="94">
        <v>0.40625</v>
      </c>
      <c r="V27" s="126"/>
      <c r="W27" s="131">
        <f t="shared" si="13"/>
        <v>169.00000000000003</v>
      </c>
      <c r="X27" s="126"/>
      <c r="Y27" s="126" t="s">
        <v>147</v>
      </c>
      <c r="Z27" s="427"/>
      <c r="AA27" s="400"/>
      <c r="AB27" s="225">
        <f>N27-K27</f>
        <v>-350.08875739644986</v>
      </c>
      <c r="AC27" s="291">
        <f>N27/K27</f>
        <v>0.77630111348469655</v>
      </c>
      <c r="AD27" s="401">
        <f>AC37</f>
        <v>0.83608800045814047</v>
      </c>
    </row>
    <row r="28" spans="1:30" ht="15" customHeight="1">
      <c r="A28" s="422"/>
      <c r="B28" s="56" t="str">
        <f>VLOOKUP(D28,廠價表!$C$1:$E$39,2,0)</f>
        <v>義大利麵</v>
      </c>
      <c r="C28" s="10"/>
      <c r="D28" s="11" t="s">
        <v>137</v>
      </c>
      <c r="E28" s="86"/>
      <c r="F28" s="56">
        <f>VLOOKUP(D28,廠價表!$C$1:$E$39,3,0)</f>
        <v>55.13</v>
      </c>
      <c r="G28" s="53">
        <v>2497</v>
      </c>
      <c r="H28" s="50">
        <f t="shared" si="20"/>
        <v>137659.61000000002</v>
      </c>
      <c r="I28" s="42"/>
      <c r="J28" s="16">
        <f>VLOOKUP(D28,產線配置圖!$A$2:$C$38,2,0)</f>
        <v>18</v>
      </c>
      <c r="K28" s="14">
        <f>VLOOKUP(D28,產線配置圖!$A$2:$C$38,3,0)</f>
        <v>1385</v>
      </c>
      <c r="L28" s="235">
        <f>K28/J28</f>
        <v>76.944444444444443</v>
      </c>
      <c r="M28" s="21">
        <v>17</v>
      </c>
      <c r="N28" s="36">
        <f>G28/W28*60</f>
        <v>1218.0487804878044</v>
      </c>
      <c r="O28" s="38">
        <f>N28/M28</f>
        <v>71.6499282639885</v>
      </c>
      <c r="P28" s="39">
        <f t="shared" si="17"/>
        <v>-1</v>
      </c>
      <c r="Q28" s="40">
        <f t="shared" si="18"/>
        <v>-5.2945161804559433</v>
      </c>
      <c r="R28" s="190">
        <f t="shared" si="19"/>
        <v>0.93119040343089754</v>
      </c>
      <c r="S28" s="425"/>
      <c r="T28" s="270">
        <v>0.41111111111111109</v>
      </c>
      <c r="U28" s="270">
        <v>0.49652777777777779</v>
      </c>
      <c r="V28" s="42">
        <f>(T28-U27)*24*60</f>
        <v>6.9999999999999751</v>
      </c>
      <c r="W28" s="43">
        <f t="shared" si="13"/>
        <v>123.00000000000004</v>
      </c>
      <c r="X28" s="54"/>
      <c r="Y28" s="54"/>
      <c r="Z28" s="418"/>
      <c r="AA28" s="419"/>
      <c r="AB28" s="39">
        <f>N28-K28</f>
        <v>-166.95121951219562</v>
      </c>
      <c r="AC28" s="190">
        <f>N28/K28</f>
        <v>0.87945760324029199</v>
      </c>
      <c r="AD28" s="447"/>
    </row>
    <row r="29" spans="1:30" ht="15" customHeight="1">
      <c r="A29" s="422"/>
      <c r="B29" s="56" t="str">
        <f>VLOOKUP(D29,廠價表!$C$1:$E$39,2,0)</f>
        <v>義大利麵</v>
      </c>
      <c r="C29" s="10"/>
      <c r="D29" s="11" t="s">
        <v>158</v>
      </c>
      <c r="E29" s="86"/>
      <c r="F29" s="56">
        <f>VLOOKUP(D29,廠價表!$C$1:$E$39,3,0)</f>
        <v>47.71</v>
      </c>
      <c r="G29" s="53">
        <v>1631</v>
      </c>
      <c r="H29" s="50">
        <f t="shared" si="20"/>
        <v>77815.009999999995</v>
      </c>
      <c r="I29" s="42"/>
      <c r="J29" s="16">
        <f>VLOOKUP(D29,產線配置圖!$A$2:$C$38,2,0)</f>
        <v>15</v>
      </c>
      <c r="K29" s="14">
        <f>VLOOKUP(D29,產線配置圖!$A$2:$C$38,3,0)</f>
        <v>1500</v>
      </c>
      <c r="L29" s="235">
        <f>K29/J29</f>
        <v>100</v>
      </c>
      <c r="M29" s="21">
        <v>15</v>
      </c>
      <c r="N29" s="36">
        <f>G29/W29*60</f>
        <v>1287.6315789473704</v>
      </c>
      <c r="O29" s="38">
        <f>N29/M29</f>
        <v>85.842105263158018</v>
      </c>
      <c r="P29" s="39">
        <f t="shared" si="17"/>
        <v>0</v>
      </c>
      <c r="Q29" s="40">
        <f t="shared" si="18"/>
        <v>-14.157894736841982</v>
      </c>
      <c r="R29" s="190">
        <f t="shared" si="19"/>
        <v>0.85842105263158019</v>
      </c>
      <c r="S29" s="425"/>
      <c r="T29" s="41">
        <v>0.57916666666666672</v>
      </c>
      <c r="U29" s="41">
        <v>0.63194444444444442</v>
      </c>
      <c r="V29" s="42">
        <f>(T29-U28)*24*60</f>
        <v>119.00000000000006</v>
      </c>
      <c r="W29" s="43">
        <f t="shared" si="13"/>
        <v>75.999999999999886</v>
      </c>
      <c r="X29" s="54">
        <v>0.50694444444444442</v>
      </c>
      <c r="Y29" s="54">
        <v>0.54861111111111116</v>
      </c>
      <c r="Z29" s="418"/>
      <c r="AA29" s="419"/>
      <c r="AB29" s="292">
        <f>N29-K29</f>
        <v>-212.36842105262963</v>
      </c>
      <c r="AC29" s="190">
        <f>N29/K29</f>
        <v>0.85842105263158019</v>
      </c>
      <c r="AD29" s="447"/>
    </row>
    <row r="30" spans="1:30" ht="15" customHeight="1">
      <c r="A30" s="422"/>
      <c r="B30" s="56"/>
      <c r="C30" s="237"/>
      <c r="D30" s="11"/>
      <c r="E30" s="29"/>
      <c r="F30" s="56"/>
      <c r="G30" s="53"/>
      <c r="H30" s="50"/>
      <c r="I30" s="42"/>
      <c r="J30" s="16"/>
      <c r="K30" s="14"/>
      <c r="L30" s="235"/>
      <c r="M30" s="21"/>
      <c r="N30" s="36"/>
      <c r="O30" s="38"/>
      <c r="P30" s="39"/>
      <c r="Q30" s="40"/>
      <c r="R30" s="190"/>
      <c r="S30" s="425"/>
      <c r="T30" s="41"/>
      <c r="U30" s="41"/>
      <c r="V30" s="42"/>
      <c r="W30" s="43">
        <f t="shared" si="13"/>
        <v>0</v>
      </c>
      <c r="X30" s="54"/>
      <c r="Y30" s="54"/>
      <c r="Z30" s="449"/>
      <c r="AA30" s="450"/>
      <c r="AB30" s="34"/>
      <c r="AC30" s="293"/>
      <c r="AD30" s="448"/>
    </row>
    <row r="31" spans="1:30" ht="15" customHeight="1">
      <c r="A31" s="422"/>
      <c r="B31" s="56"/>
      <c r="C31" s="237"/>
      <c r="D31" s="11"/>
      <c r="E31" s="29"/>
      <c r="F31" s="56"/>
      <c r="G31" s="53"/>
      <c r="H31" s="50"/>
      <c r="I31" s="42"/>
      <c r="J31" s="16"/>
      <c r="K31" s="14"/>
      <c r="L31" s="235"/>
      <c r="M31" s="21"/>
      <c r="N31" s="36"/>
      <c r="O31" s="38"/>
      <c r="P31" s="39"/>
      <c r="Q31" s="40"/>
      <c r="R31" s="190"/>
      <c r="S31" s="425"/>
      <c r="T31" s="41"/>
      <c r="U31" s="41"/>
      <c r="V31" s="42"/>
      <c r="W31" s="43">
        <f t="shared" si="13"/>
        <v>0</v>
      </c>
      <c r="X31" s="54"/>
      <c r="Y31" s="54"/>
      <c r="Z31" s="449"/>
      <c r="AA31" s="450"/>
      <c r="AB31" s="257"/>
      <c r="AC31" s="258"/>
      <c r="AD31" s="403"/>
    </row>
    <row r="32" spans="1:30" ht="15" customHeight="1">
      <c r="A32" s="422"/>
      <c r="B32" s="56"/>
      <c r="C32" s="252"/>
      <c r="D32" s="253"/>
      <c r="E32" s="254"/>
      <c r="F32" s="56"/>
      <c r="G32" s="53"/>
      <c r="H32" s="50"/>
      <c r="I32" s="42"/>
      <c r="J32" s="255"/>
      <c r="K32" s="36"/>
      <c r="L32" s="256"/>
      <c r="M32" s="21"/>
      <c r="N32" s="36"/>
      <c r="O32" s="38"/>
      <c r="P32" s="39"/>
      <c r="Q32" s="40"/>
      <c r="R32" s="190"/>
      <c r="S32" s="425"/>
      <c r="T32" s="41"/>
      <c r="U32" s="41"/>
      <c r="V32" s="42"/>
      <c r="W32" s="43">
        <f t="shared" si="13"/>
        <v>0</v>
      </c>
      <c r="X32" s="54"/>
      <c r="Y32" s="54"/>
      <c r="Z32" s="418"/>
      <c r="AA32" s="405"/>
      <c r="AB32" s="18"/>
      <c r="AC32" s="185"/>
      <c r="AD32" s="403"/>
    </row>
    <row r="33" spans="1:30" ht="15" customHeight="1">
      <c r="A33" s="422"/>
      <c r="B33" s="240"/>
      <c r="C33" s="241"/>
      <c r="D33" s="242"/>
      <c r="E33" s="243"/>
      <c r="F33" s="223"/>
      <c r="G33" s="244"/>
      <c r="H33" s="245">
        <f t="shared" si="20"/>
        <v>0</v>
      </c>
      <c r="I33" s="246"/>
      <c r="J33" s="247"/>
      <c r="K33" s="45"/>
      <c r="M33" s="248"/>
      <c r="N33" s="45"/>
      <c r="O33" s="46"/>
      <c r="P33" s="47"/>
      <c r="Q33" s="48"/>
      <c r="R33" s="49"/>
      <c r="S33" s="425"/>
      <c r="T33" s="41"/>
      <c r="U33" s="41"/>
      <c r="V33" s="42"/>
      <c r="W33" s="43">
        <f t="shared" si="13"/>
        <v>0</v>
      </c>
      <c r="X33" s="54"/>
      <c r="Y33" s="54"/>
      <c r="Z33" s="418"/>
      <c r="AA33" s="405"/>
      <c r="AB33" s="18"/>
      <c r="AC33" s="57"/>
      <c r="AD33" s="403"/>
    </row>
    <row r="34" spans="1:30" ht="15" customHeight="1">
      <c r="A34" s="422"/>
      <c r="B34" s="231"/>
      <c r="C34" s="27"/>
      <c r="D34" s="28"/>
      <c r="E34" s="29"/>
      <c r="F34" s="13"/>
      <c r="G34" s="53"/>
      <c r="H34" s="50">
        <f t="shared" si="20"/>
        <v>0</v>
      </c>
      <c r="I34" s="42"/>
      <c r="J34" s="37"/>
      <c r="K34" s="36"/>
      <c r="L34" s="38"/>
      <c r="M34" s="21"/>
      <c r="N34" s="36"/>
      <c r="O34" s="38"/>
      <c r="P34" s="39"/>
      <c r="Q34" s="40"/>
      <c r="R34" s="190"/>
      <c r="S34" s="425"/>
      <c r="T34" s="41"/>
      <c r="U34" s="41"/>
      <c r="V34" s="42"/>
      <c r="W34" s="43">
        <f t="shared" si="13"/>
        <v>0</v>
      </c>
      <c r="X34" s="54"/>
      <c r="Y34" s="54"/>
      <c r="Z34" s="418"/>
      <c r="AA34" s="405"/>
      <c r="AB34" s="18"/>
      <c r="AC34" s="57"/>
      <c r="AD34" s="403"/>
    </row>
    <row r="35" spans="1:30" ht="15" customHeight="1">
      <c r="A35" s="422"/>
      <c r="B35" s="231"/>
      <c r="C35" s="27"/>
      <c r="D35" s="28"/>
      <c r="E35" s="29"/>
      <c r="F35" s="13"/>
      <c r="G35" s="53"/>
      <c r="H35" s="50">
        <f t="shared" si="20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90"/>
      <c r="S35" s="425"/>
      <c r="T35" s="41"/>
      <c r="U35" s="41"/>
      <c r="V35" s="42"/>
      <c r="W35" s="43">
        <f t="shared" si="13"/>
        <v>0</v>
      </c>
      <c r="X35" s="54"/>
      <c r="Y35" s="54"/>
      <c r="Z35" s="418"/>
      <c r="AA35" s="405"/>
      <c r="AB35" s="18"/>
      <c r="AC35" s="57"/>
      <c r="AD35" s="403"/>
    </row>
    <row r="36" spans="1:30" ht="15" customHeight="1">
      <c r="A36" s="422"/>
      <c r="B36" s="232"/>
      <c r="C36" s="27"/>
      <c r="D36" s="28"/>
      <c r="E36" s="29"/>
      <c r="F36" s="13"/>
      <c r="G36" s="53"/>
      <c r="H36" s="50">
        <f t="shared" si="20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90"/>
      <c r="S36" s="425"/>
      <c r="T36" s="41"/>
      <c r="U36" s="41"/>
      <c r="V36" s="42"/>
      <c r="W36" s="43">
        <f t="shared" si="13"/>
        <v>0</v>
      </c>
      <c r="X36" s="54"/>
      <c r="Y36" s="54"/>
      <c r="Z36" s="418"/>
      <c r="AA36" s="405"/>
      <c r="AB36" s="18"/>
      <c r="AC36" s="57"/>
      <c r="AD36" s="403"/>
    </row>
    <row r="37" spans="1:30" ht="15" customHeight="1" thickBot="1">
      <c r="A37" s="423"/>
      <c r="B37" s="300"/>
      <c r="C37" s="301" t="s">
        <v>36</v>
      </c>
      <c r="D37" s="428" t="s">
        <v>7</v>
      </c>
      <c r="E37" s="429"/>
      <c r="F37" s="281"/>
      <c r="G37" s="282"/>
      <c r="H37" s="283"/>
      <c r="I37" s="284"/>
      <c r="J37" s="285">
        <f t="shared" ref="J37:O37" si="21">AVERAGE(J27:J36)</f>
        <v>16.666666666666668</v>
      </c>
      <c r="K37" s="285">
        <f t="shared" si="21"/>
        <v>1483.3333333333333</v>
      </c>
      <c r="L37" s="286">
        <f t="shared" si="21"/>
        <v>89.667755991285404</v>
      </c>
      <c r="M37" s="285">
        <f t="shared" si="21"/>
        <v>16</v>
      </c>
      <c r="N37" s="285">
        <f t="shared" si="21"/>
        <v>1240.197200679575</v>
      </c>
      <c r="O37" s="286">
        <f t="shared" si="21"/>
        <v>77.8079953966228</v>
      </c>
      <c r="P37" s="73">
        <f>M37-J37</f>
        <v>-0.66666666666666785</v>
      </c>
      <c r="Q37" s="74">
        <f>N37-K37</f>
        <v>-243.1361326537583</v>
      </c>
      <c r="R37" s="287">
        <f t="shared" ref="R37:R40" si="22">O37/L37</f>
        <v>0.86773661877057318</v>
      </c>
      <c r="S37" s="426"/>
      <c r="T37" s="302"/>
      <c r="U37" s="302"/>
      <c r="V37" s="81"/>
      <c r="W37" s="81"/>
      <c r="X37" s="303"/>
      <c r="Y37" s="303"/>
      <c r="Z37" s="430"/>
      <c r="AA37" s="379"/>
      <c r="AB37" s="34">
        <f t="shared" ref="AB37:AB39" si="23">N37-K37</f>
        <v>-243.1361326537583</v>
      </c>
      <c r="AC37" s="186">
        <f t="shared" ref="AC37:AC39" si="24">N37/K37</f>
        <v>0.83608800045814047</v>
      </c>
      <c r="AD37" s="403"/>
    </row>
    <row r="38" spans="1:30" s="62" customFormat="1" ht="15" customHeight="1">
      <c r="A38" s="454" t="s">
        <v>55</v>
      </c>
      <c r="B38" s="229" t="s">
        <v>134</v>
      </c>
      <c r="C38" s="199"/>
      <c r="D38" s="304" t="s">
        <v>156</v>
      </c>
      <c r="E38" s="280"/>
      <c r="F38" s="305">
        <f>VLOOKUP(D38,廠價表!$C$1:$E$39,3,0)</f>
        <v>56.43</v>
      </c>
      <c r="G38" s="266">
        <v>2776</v>
      </c>
      <c r="H38" s="125">
        <f t="shared" si="20"/>
        <v>156649.68</v>
      </c>
      <c r="I38" s="126"/>
      <c r="J38" s="274">
        <f>VLOOKUP(D38,產線配置圖!$A$2:$C$38,2,0)</f>
        <v>15</v>
      </c>
      <c r="K38" s="236">
        <f>VLOOKUP(D38,產線配置圖!$A$2:$C$38,3,0)</f>
        <v>1406</v>
      </c>
      <c r="L38" s="288">
        <f t="shared" ref="L38:L40" si="25">K38/J38</f>
        <v>93.733333333333334</v>
      </c>
      <c r="M38" s="289">
        <v>15</v>
      </c>
      <c r="N38" s="127">
        <f>G38/W38*60</f>
        <v>1252.3308270676691</v>
      </c>
      <c r="O38" s="128">
        <f>N38/M38</f>
        <v>83.488721804511272</v>
      </c>
      <c r="P38" s="129">
        <f t="shared" ref="P38:P40" si="26">M38-J38</f>
        <v>0</v>
      </c>
      <c r="Q38" s="130">
        <f t="shared" ref="Q38:Q40" si="27">O38-L38</f>
        <v>-10.244611528822062</v>
      </c>
      <c r="R38" s="189">
        <f t="shared" si="22"/>
        <v>0.89070471341939483</v>
      </c>
      <c r="S38" s="457">
        <f>R48</f>
        <v>0.92778266875757265</v>
      </c>
      <c r="T38" s="151">
        <v>0.34375</v>
      </c>
      <c r="U38" s="151">
        <v>0.43611111111111112</v>
      </c>
      <c r="V38" s="148"/>
      <c r="W38" s="152">
        <f t="shared" si="13"/>
        <v>133</v>
      </c>
      <c r="X38" s="150"/>
      <c r="Y38" s="153"/>
      <c r="Z38" s="478"/>
      <c r="AA38" s="460"/>
      <c r="AB38" s="290">
        <f t="shared" si="23"/>
        <v>-153.66917293233087</v>
      </c>
      <c r="AC38" s="154">
        <f t="shared" si="24"/>
        <v>0.89070471341939483</v>
      </c>
      <c r="AD38" s="436">
        <f>AC48</f>
        <v>0.92778266875757265</v>
      </c>
    </row>
    <row r="39" spans="1:30" s="62" customFormat="1" ht="15" customHeight="1">
      <c r="A39" s="455"/>
      <c r="B39" s="56" t="s">
        <v>134</v>
      </c>
      <c r="C39" s="277"/>
      <c r="D39" s="279" t="s">
        <v>154</v>
      </c>
      <c r="E39" s="278"/>
      <c r="F39" s="56">
        <f>VLOOKUP(D39,廠價表!$C$1:$E$39,3,0)</f>
        <v>57.3</v>
      </c>
      <c r="G39" s="276">
        <v>2168</v>
      </c>
      <c r="H39" s="50">
        <f t="shared" si="20"/>
        <v>124226.4</v>
      </c>
      <c r="I39" s="64"/>
      <c r="J39" s="37">
        <f>VLOOKUP(D39,產線配置圖!$A$2:$C$38,2,0)</f>
        <v>15</v>
      </c>
      <c r="K39" s="36">
        <f>VLOOKUP(D39,產線配置圖!$A$2:$C$38,3,0)</f>
        <v>1385</v>
      </c>
      <c r="L39" s="38">
        <f t="shared" si="25"/>
        <v>92.333333333333329</v>
      </c>
      <c r="M39" s="65">
        <v>15</v>
      </c>
      <c r="N39" s="66">
        <f>G39/W39*60</f>
        <v>1461.5730337078653</v>
      </c>
      <c r="O39" s="67">
        <f t="shared" ref="O39:O40" si="28">N39/M39</f>
        <v>97.438202247191015</v>
      </c>
      <c r="P39" s="39">
        <f t="shared" si="26"/>
        <v>0</v>
      </c>
      <c r="Q39" s="40">
        <f t="shared" si="27"/>
        <v>5.1048689138576862</v>
      </c>
      <c r="R39" s="190">
        <f t="shared" si="22"/>
        <v>1.0552873889587475</v>
      </c>
      <c r="S39" s="458"/>
      <c r="T39" s="59">
        <v>0.53888888888888886</v>
      </c>
      <c r="U39" s="59">
        <v>0.60069444444444442</v>
      </c>
      <c r="V39" s="42">
        <f>(T39-U38)*24*60</f>
        <v>147.99999999999994</v>
      </c>
      <c r="W39" s="69">
        <f t="shared" si="13"/>
        <v>89</v>
      </c>
      <c r="X39" s="22">
        <v>0.46527777777777779</v>
      </c>
      <c r="Y39" s="22">
        <v>0.50694444444444442</v>
      </c>
      <c r="Z39" s="439" t="s">
        <v>194</v>
      </c>
      <c r="AA39" s="440"/>
      <c r="AB39" s="271">
        <f t="shared" si="23"/>
        <v>76.573033707865306</v>
      </c>
      <c r="AC39" s="61">
        <f t="shared" si="24"/>
        <v>1.0552873889587475</v>
      </c>
      <c r="AD39" s="437"/>
    </row>
    <row r="40" spans="1:30" s="62" customFormat="1" ht="15" customHeight="1">
      <c r="A40" s="455"/>
      <c r="B40" s="56" t="s">
        <v>134</v>
      </c>
      <c r="C40" s="275"/>
      <c r="D40" s="279" t="s">
        <v>156</v>
      </c>
      <c r="E40" s="243"/>
      <c r="F40" s="56">
        <f>VLOOKUP(D40,廠價表!$C$1:$E$39,3,0)</f>
        <v>56.43</v>
      </c>
      <c r="G40" s="276">
        <v>590</v>
      </c>
      <c r="H40" s="50">
        <f t="shared" si="20"/>
        <v>33293.699999999997</v>
      </c>
      <c r="I40" s="64"/>
      <c r="J40" s="37">
        <f>VLOOKUP(D40,產線配置圖!$A$2:$C$38,2,0)</f>
        <v>15</v>
      </c>
      <c r="K40" s="36">
        <f>VLOOKUP(D40,產線配置圖!$A$2:$C$38,3,0)</f>
        <v>1406</v>
      </c>
      <c r="L40" s="38">
        <f t="shared" si="25"/>
        <v>93.733333333333334</v>
      </c>
      <c r="M40" s="65">
        <v>15</v>
      </c>
      <c r="N40" s="66">
        <f>G40/W40*60</f>
        <v>1179.999999999998</v>
      </c>
      <c r="O40" s="67">
        <f t="shared" si="28"/>
        <v>78.666666666666529</v>
      </c>
      <c r="P40" s="39">
        <f t="shared" si="26"/>
        <v>0</v>
      </c>
      <c r="Q40" s="40">
        <f t="shared" si="27"/>
        <v>-15.066666666666805</v>
      </c>
      <c r="R40" s="190">
        <f t="shared" si="22"/>
        <v>0.83926031294452197</v>
      </c>
      <c r="S40" s="397"/>
      <c r="T40" s="59">
        <v>0.60763888888888884</v>
      </c>
      <c r="U40" s="59">
        <v>0.62847222222222221</v>
      </c>
      <c r="V40" s="42">
        <f>(T40-U39)*24*60</f>
        <v>9.9999999999999645</v>
      </c>
      <c r="W40" s="69">
        <f t="shared" si="13"/>
        <v>30.000000000000053</v>
      </c>
      <c r="X40" s="70"/>
      <c r="Y40" s="259"/>
      <c r="Z40" s="439" t="s">
        <v>195</v>
      </c>
      <c r="AA40" s="440"/>
      <c r="AB40" s="271"/>
      <c r="AC40" s="61"/>
      <c r="AD40" s="437"/>
    </row>
    <row r="41" spans="1:30" s="62" customFormat="1" ht="15" customHeight="1">
      <c r="A41" s="455"/>
      <c r="B41" s="56"/>
      <c r="C41" s="275"/>
      <c r="D41" s="279"/>
      <c r="E41" s="243"/>
      <c r="F41" s="56"/>
      <c r="G41" s="276"/>
      <c r="H41" s="63"/>
      <c r="I41" s="64"/>
      <c r="J41" s="37"/>
      <c r="K41" s="36"/>
      <c r="L41" s="38"/>
      <c r="M41" s="65"/>
      <c r="N41" s="66"/>
      <c r="O41" s="67"/>
      <c r="P41" s="39"/>
      <c r="Q41" s="40"/>
      <c r="R41" s="190"/>
      <c r="S41" s="397"/>
      <c r="T41" s="59"/>
      <c r="U41" s="59"/>
      <c r="V41" s="42"/>
      <c r="W41" s="69">
        <f t="shared" si="13"/>
        <v>0</v>
      </c>
      <c r="X41" s="70"/>
      <c r="Y41" s="259"/>
      <c r="Z41" s="439"/>
      <c r="AA41" s="440"/>
      <c r="AB41" s="271"/>
      <c r="AC41" s="61"/>
      <c r="AD41" s="437"/>
    </row>
    <row r="42" spans="1:30" s="62" customFormat="1" ht="15" customHeight="1">
      <c r="A42" s="455"/>
      <c r="B42" s="56"/>
      <c r="C42" s="23"/>
      <c r="D42" s="11"/>
      <c r="E42" s="12"/>
      <c r="F42" s="56"/>
      <c r="G42" s="99"/>
      <c r="H42" s="63"/>
      <c r="I42" s="64"/>
      <c r="J42" s="16"/>
      <c r="K42" s="14"/>
      <c r="L42" s="17"/>
      <c r="M42" s="65"/>
      <c r="N42" s="66"/>
      <c r="O42" s="67"/>
      <c r="P42" s="39"/>
      <c r="Q42" s="40"/>
      <c r="R42" s="68"/>
      <c r="S42" s="397"/>
      <c r="T42" s="75"/>
      <c r="U42" s="75"/>
      <c r="V42" s="42"/>
      <c r="W42" s="69">
        <f t="shared" si="13"/>
        <v>0</v>
      </c>
      <c r="X42" s="70"/>
      <c r="Y42" s="60"/>
      <c r="Z42" s="445"/>
      <c r="AA42" s="446"/>
      <c r="AB42" s="271"/>
      <c r="AC42" s="61"/>
      <c r="AD42" s="437"/>
    </row>
    <row r="43" spans="1:30" s="62" customFormat="1" ht="15" customHeight="1">
      <c r="A43" s="455"/>
      <c r="B43" s="230"/>
      <c r="C43" s="23"/>
      <c r="D43" s="11"/>
      <c r="E43" s="12"/>
      <c r="F43" s="13"/>
      <c r="G43" s="100"/>
      <c r="H43" s="63">
        <f t="shared" ref="H43:H47" si="29">F43*G43</f>
        <v>0</v>
      </c>
      <c r="I43" s="64"/>
      <c r="J43" s="65"/>
      <c r="K43" s="66"/>
      <c r="L43" s="67"/>
      <c r="M43" s="65"/>
      <c r="N43" s="66"/>
      <c r="O43" s="67"/>
      <c r="P43" s="39"/>
      <c r="Q43" s="40"/>
      <c r="R43" s="68"/>
      <c r="S43" s="397"/>
      <c r="T43" s="75"/>
      <c r="U43" s="75"/>
      <c r="V43" s="64"/>
      <c r="W43" s="69">
        <f>(U43-T43)*24*60</f>
        <v>0</v>
      </c>
      <c r="X43" s="70"/>
      <c r="Y43" s="67"/>
      <c r="Z43" s="405"/>
      <c r="AA43" s="405"/>
      <c r="AB43" s="71"/>
      <c r="AC43" s="61"/>
      <c r="AD43" s="437"/>
    </row>
    <row r="44" spans="1:30" s="62" customFormat="1" ht="15" customHeight="1">
      <c r="A44" s="455"/>
      <c r="B44" s="230"/>
      <c r="C44" s="183"/>
      <c r="D44" s="11"/>
      <c r="E44" s="12"/>
      <c r="F44" s="13"/>
      <c r="G44" s="100"/>
      <c r="H44" s="63">
        <f t="shared" si="29"/>
        <v>0</v>
      </c>
      <c r="I44" s="64"/>
      <c r="J44" s="65"/>
      <c r="K44" s="66"/>
      <c r="L44" s="58"/>
      <c r="M44" s="65"/>
      <c r="N44" s="66"/>
      <c r="O44" s="67"/>
      <c r="P44" s="39"/>
      <c r="Q44" s="40"/>
      <c r="R44" s="68"/>
      <c r="S44" s="397"/>
      <c r="T44" s="59"/>
      <c r="U44" s="59"/>
      <c r="V44" s="64"/>
      <c r="W44" s="69">
        <f t="shared" ref="W44:W48" si="30">(U44-T44)*24*60</f>
        <v>0</v>
      </c>
      <c r="X44" s="70"/>
      <c r="Y44" s="67"/>
      <c r="Z44" s="405"/>
      <c r="AA44" s="405"/>
      <c r="AB44" s="71"/>
      <c r="AC44" s="61"/>
      <c r="AD44" s="437"/>
    </row>
    <row r="45" spans="1:30" s="62" customFormat="1" ht="15" customHeight="1">
      <c r="A45" s="455"/>
      <c r="B45" s="231"/>
      <c r="C45" s="27"/>
      <c r="D45" s="28"/>
      <c r="E45" s="29"/>
      <c r="F45" s="13"/>
      <c r="G45" s="66"/>
      <c r="H45" s="63">
        <f t="shared" si="29"/>
        <v>0</v>
      </c>
      <c r="I45" s="64"/>
      <c r="J45" s="65"/>
      <c r="K45" s="66"/>
      <c r="L45" s="67"/>
      <c r="M45" s="65"/>
      <c r="N45" s="66"/>
      <c r="O45" s="67"/>
      <c r="P45" s="39"/>
      <c r="Q45" s="40"/>
      <c r="R45" s="68"/>
      <c r="S45" s="397"/>
      <c r="T45" s="75"/>
      <c r="U45" s="75"/>
      <c r="V45" s="64"/>
      <c r="W45" s="69">
        <f t="shared" si="30"/>
        <v>0</v>
      </c>
      <c r="X45" s="70"/>
      <c r="Y45" s="67"/>
      <c r="Z45" s="405"/>
      <c r="AA45" s="405"/>
      <c r="AB45" s="71"/>
      <c r="AC45" s="61"/>
      <c r="AD45" s="437"/>
    </row>
    <row r="46" spans="1:30" s="62" customFormat="1" ht="15" customHeight="1">
      <c r="A46" s="455"/>
      <c r="B46" s="231"/>
      <c r="C46" s="27"/>
      <c r="D46" s="28"/>
      <c r="E46" s="29"/>
      <c r="F46" s="13"/>
      <c r="G46" s="66"/>
      <c r="H46" s="63">
        <f t="shared" si="29"/>
        <v>0</v>
      </c>
      <c r="I46" s="64"/>
      <c r="J46" s="65"/>
      <c r="K46" s="66"/>
      <c r="L46" s="67"/>
      <c r="M46" s="65"/>
      <c r="N46" s="66"/>
      <c r="O46" s="67"/>
      <c r="P46" s="39"/>
      <c r="Q46" s="40"/>
      <c r="R46" s="68"/>
      <c r="S46" s="397"/>
      <c r="T46" s="59"/>
      <c r="U46" s="59"/>
      <c r="V46" s="64"/>
      <c r="W46" s="69">
        <f t="shared" si="30"/>
        <v>0</v>
      </c>
      <c r="X46" s="70"/>
      <c r="Y46" s="67"/>
      <c r="Z46" s="405"/>
      <c r="AA46" s="405"/>
      <c r="AB46" s="71"/>
      <c r="AC46" s="61"/>
      <c r="AD46" s="437"/>
    </row>
    <row r="47" spans="1:30" s="62" customFormat="1" ht="15" customHeight="1">
      <c r="A47" s="455"/>
      <c r="B47" s="230"/>
      <c r="C47" s="27"/>
      <c r="D47" s="28"/>
      <c r="E47" s="29"/>
      <c r="F47" s="13"/>
      <c r="G47" s="66"/>
      <c r="H47" s="63">
        <f t="shared" si="29"/>
        <v>0</v>
      </c>
      <c r="I47" s="64"/>
      <c r="J47" s="65"/>
      <c r="K47" s="66"/>
      <c r="L47" s="67"/>
      <c r="M47" s="65"/>
      <c r="N47" s="66"/>
      <c r="O47" s="67"/>
      <c r="P47" s="39"/>
      <c r="Q47" s="40"/>
      <c r="R47" s="68"/>
      <c r="S47" s="397"/>
      <c r="T47" s="75"/>
      <c r="U47" s="75"/>
      <c r="V47" s="64"/>
      <c r="W47" s="69">
        <f t="shared" si="30"/>
        <v>0</v>
      </c>
      <c r="X47" s="70"/>
      <c r="Y47" s="67"/>
      <c r="Z47" s="405"/>
      <c r="AA47" s="405"/>
      <c r="AB47" s="71"/>
      <c r="AC47" s="61"/>
      <c r="AD47" s="437"/>
    </row>
    <row r="48" spans="1:30" ht="15" customHeight="1" thickBot="1">
      <c r="A48" s="456"/>
      <c r="B48" s="156"/>
      <c r="C48" s="1" t="s">
        <v>37</v>
      </c>
      <c r="D48" s="410" t="s">
        <v>7</v>
      </c>
      <c r="E48" s="410"/>
      <c r="F48" s="133"/>
      <c r="G48" s="145"/>
      <c r="H48" s="135"/>
      <c r="I48" s="136"/>
      <c r="J48" s="134">
        <f t="shared" ref="J48:O48" si="31">AVERAGE(J38:J47)</f>
        <v>15</v>
      </c>
      <c r="K48" s="134">
        <f t="shared" si="31"/>
        <v>1399</v>
      </c>
      <c r="L48" s="137">
        <f t="shared" si="31"/>
        <v>93.266666666666666</v>
      </c>
      <c r="M48" s="134">
        <f t="shared" si="31"/>
        <v>15</v>
      </c>
      <c r="N48" s="134">
        <f t="shared" si="31"/>
        <v>1297.9679535918442</v>
      </c>
      <c r="O48" s="137">
        <f t="shared" si="31"/>
        <v>86.531196906122943</v>
      </c>
      <c r="P48" s="157">
        <f>M48-J48</f>
        <v>0</v>
      </c>
      <c r="Q48" s="158">
        <f>N48-K48</f>
        <v>-101.03204640815579</v>
      </c>
      <c r="R48" s="159">
        <f>O48/L48</f>
        <v>0.92778266875757265</v>
      </c>
      <c r="S48" s="399"/>
      <c r="T48" s="160"/>
      <c r="U48" s="160"/>
      <c r="V48" s="196"/>
      <c r="W48" s="161">
        <f t="shared" si="30"/>
        <v>0</v>
      </c>
      <c r="X48" s="162"/>
      <c r="Y48" s="162"/>
      <c r="Z48" s="391"/>
      <c r="AA48" s="391"/>
      <c r="AB48" s="163">
        <f>N48-K48</f>
        <v>-101.03204640815579</v>
      </c>
      <c r="AC48" s="191">
        <f>N48/K48</f>
        <v>0.92778266875757265</v>
      </c>
      <c r="AD48" s="438"/>
    </row>
    <row r="49" spans="1:30" ht="15" customHeight="1">
      <c r="A49" s="451" t="s">
        <v>56</v>
      </c>
      <c r="B49" s="199" t="str">
        <f>VLOOKUP(D49,廠價表!$C$1:$E$39,2,0)</f>
        <v>義大利麵</v>
      </c>
      <c r="C49" s="102"/>
      <c r="D49" s="103" t="s">
        <v>152</v>
      </c>
      <c r="E49" s="104"/>
      <c r="F49" s="199">
        <f>VLOOKUP(D49,廠價表!$C$1:$E$39,3,0)</f>
        <v>56.87</v>
      </c>
      <c r="G49" s="149">
        <v>3186</v>
      </c>
      <c r="H49" s="125">
        <f t="shared" ref="H49:H57" si="32">F49*G49</f>
        <v>181187.81999999998</v>
      </c>
      <c r="I49" s="126"/>
      <c r="J49" s="108">
        <f>VLOOKUP(D49,產線配置圖!$A$2:$C$38,2,0)</f>
        <v>19</v>
      </c>
      <c r="K49" s="105">
        <f>VLOOKUP(D49,產線配置圖!$A$2:$C$38,3,0)</f>
        <v>1565</v>
      </c>
      <c r="L49" s="109">
        <f>K49/J49</f>
        <v>82.368421052631575</v>
      </c>
      <c r="M49" s="144">
        <v>19</v>
      </c>
      <c r="N49" s="127">
        <f>G49/W49*60</f>
        <v>1529.2800000000007</v>
      </c>
      <c r="O49" s="128">
        <f>N49/M49</f>
        <v>80.488421052631608</v>
      </c>
      <c r="P49" s="164">
        <f>M49-J49</f>
        <v>0</v>
      </c>
      <c r="Q49" s="112">
        <f>O49-L49</f>
        <v>-1.879999999999967</v>
      </c>
      <c r="R49" s="184">
        <f>O49/L49</f>
        <v>0.97717571884984067</v>
      </c>
      <c r="S49" s="396">
        <f>R58</f>
        <v>0.96421935570990536</v>
      </c>
      <c r="T49" s="151">
        <v>0.2902777777777778</v>
      </c>
      <c r="U49" s="151">
        <v>0.37708333333333333</v>
      </c>
      <c r="V49" s="188"/>
      <c r="W49" s="152">
        <f t="shared" si="13"/>
        <v>124.99999999999996</v>
      </c>
      <c r="X49" s="188"/>
      <c r="Y49" s="188"/>
      <c r="Z49" s="400"/>
      <c r="AA49" s="400"/>
      <c r="AB49" s="111">
        <f>N49-K49</f>
        <v>-35.719999999999345</v>
      </c>
      <c r="AC49" s="184">
        <f>N49/K49</f>
        <v>0.97717571884984067</v>
      </c>
      <c r="AD49" s="401">
        <f>AC58</f>
        <v>0.96444332111901809</v>
      </c>
    </row>
    <row r="50" spans="1:30" ht="15" customHeight="1">
      <c r="A50" s="452"/>
      <c r="B50" s="56" t="str">
        <f>VLOOKUP(D50,廠價表!$C$1:$E$39,2,0)</f>
        <v>義大利麵</v>
      </c>
      <c r="C50" s="10"/>
      <c r="D50" s="11" t="s">
        <v>65</v>
      </c>
      <c r="E50" s="86"/>
      <c r="F50" s="56">
        <f>VLOOKUP(D50,廠價表!$C$1:$E$39,3,0)</f>
        <v>49.97</v>
      </c>
      <c r="G50" s="66">
        <v>3323</v>
      </c>
      <c r="H50" s="76">
        <f t="shared" si="32"/>
        <v>166050.31</v>
      </c>
      <c r="I50" s="193"/>
      <c r="J50" s="16">
        <f>VLOOKUP(D50,產線配置圖!$A$2:$C$38,2,0)</f>
        <v>18</v>
      </c>
      <c r="K50" s="14">
        <f>VLOOKUP(D50,產線配置圖!$A$2:$C$38,3,0)</f>
        <v>1600</v>
      </c>
      <c r="L50" s="17">
        <f>K50/J50</f>
        <v>88.888888888888886</v>
      </c>
      <c r="M50" s="174">
        <v>18</v>
      </c>
      <c r="N50" s="77">
        <f>G50/W50*60</f>
        <v>1521.9847328244275</v>
      </c>
      <c r="O50" s="78">
        <f>N50/M50</f>
        <v>84.554707379134868</v>
      </c>
      <c r="P50" s="18">
        <f>M50-J50</f>
        <v>0</v>
      </c>
      <c r="Q50" s="19">
        <f>O50-L50</f>
        <v>-4.3341815097540177</v>
      </c>
      <c r="R50" s="185">
        <f>O50/L50</f>
        <v>0.95124045801526735</v>
      </c>
      <c r="S50" s="397"/>
      <c r="T50" s="79">
        <v>0.38263888888888886</v>
      </c>
      <c r="U50" s="79">
        <v>0.47361111111111109</v>
      </c>
      <c r="V50" s="177">
        <f t="shared" ref="V50:V51" si="33">(T50-U49)*24*60</f>
        <v>7.9999999999999716</v>
      </c>
      <c r="W50" s="80">
        <f t="shared" si="13"/>
        <v>131</v>
      </c>
      <c r="X50" s="22"/>
      <c r="Y50" s="22"/>
      <c r="Z50" s="419"/>
      <c r="AA50" s="418"/>
      <c r="AB50" s="18">
        <f>N50-K50</f>
        <v>-78.01526717557249</v>
      </c>
      <c r="AC50" s="185">
        <f>N50/K50</f>
        <v>0.95124045801526724</v>
      </c>
      <c r="AD50" s="402"/>
    </row>
    <row r="51" spans="1:30" ht="15" customHeight="1">
      <c r="A51" s="452"/>
      <c r="B51" s="56" t="str">
        <f>VLOOKUP(D51,廠價表!$C$1:$E$39,2,0)</f>
        <v>義大利麵</v>
      </c>
      <c r="C51" s="10"/>
      <c r="D51" s="11" t="s">
        <v>65</v>
      </c>
      <c r="E51" s="86"/>
      <c r="F51" s="56">
        <f>VLOOKUP(D51,廠價表!$C$1:$E$39,3,0)</f>
        <v>49.97</v>
      </c>
      <c r="G51" s="66">
        <v>3346</v>
      </c>
      <c r="H51" s="76">
        <f t="shared" si="32"/>
        <v>167199.62</v>
      </c>
      <c r="I51" s="193"/>
      <c r="J51" s="16">
        <f>VLOOKUP(D51,產線配置圖!$A$2:$C$38,2,0)</f>
        <v>18</v>
      </c>
      <c r="K51" s="14">
        <f>VLOOKUP(D51,產線配置圖!$A$2:$C$38,3,0)</f>
        <v>1600</v>
      </c>
      <c r="L51" s="17">
        <f>K51/J51</f>
        <v>88.888888888888886</v>
      </c>
      <c r="M51" s="174">
        <v>18</v>
      </c>
      <c r="N51" s="77">
        <f>G51/W51*60</f>
        <v>1544.3076923076919</v>
      </c>
      <c r="O51" s="78">
        <f>N51/M51</f>
        <v>85.794871794871767</v>
      </c>
      <c r="P51" s="18">
        <f>M51-J51</f>
        <v>0</v>
      </c>
      <c r="Q51" s="19">
        <f>O51-L51</f>
        <v>-3.0940170940171186</v>
      </c>
      <c r="R51" s="185">
        <f>O51/L51</f>
        <v>0.96519230769230746</v>
      </c>
      <c r="S51" s="397"/>
      <c r="T51" s="79">
        <v>0.53819444444444442</v>
      </c>
      <c r="U51" s="44">
        <v>0.62847222222222221</v>
      </c>
      <c r="V51" s="177">
        <f t="shared" si="33"/>
        <v>92.999999999999986</v>
      </c>
      <c r="W51" s="80">
        <f t="shared" si="13"/>
        <v>130.00000000000003</v>
      </c>
      <c r="X51" s="22">
        <v>0.47916666666666669</v>
      </c>
      <c r="Y51" s="22">
        <v>0.52083333333333337</v>
      </c>
      <c r="Z51" s="405"/>
      <c r="AA51" s="405"/>
      <c r="AB51" s="18">
        <f>N51-K51</f>
        <v>-55.692307692308077</v>
      </c>
      <c r="AC51" s="185">
        <f>N51/K51</f>
        <v>0.96519230769230746</v>
      </c>
      <c r="AD51" s="402"/>
    </row>
    <row r="52" spans="1:30" ht="15" customHeight="1">
      <c r="A52" s="452"/>
      <c r="B52" s="56"/>
      <c r="C52" s="23"/>
      <c r="D52" s="11"/>
      <c r="E52" s="12"/>
      <c r="F52" s="56"/>
      <c r="G52" s="310"/>
      <c r="H52" s="76"/>
      <c r="I52" s="193"/>
      <c r="J52" s="16"/>
      <c r="K52" s="14"/>
      <c r="L52" s="17"/>
      <c r="M52" s="174"/>
      <c r="N52" s="77"/>
      <c r="O52" s="78"/>
      <c r="P52" s="18"/>
      <c r="Q52" s="19"/>
      <c r="R52" s="185"/>
      <c r="S52" s="397"/>
      <c r="T52" s="79"/>
      <c r="U52" s="79"/>
      <c r="V52" s="177"/>
      <c r="W52" s="80">
        <f t="shared" si="13"/>
        <v>0</v>
      </c>
      <c r="X52" s="22"/>
      <c r="Y52" s="22"/>
      <c r="Z52" s="405"/>
      <c r="AA52" s="405"/>
      <c r="AB52" s="18"/>
      <c r="AC52" s="185"/>
      <c r="AD52" s="402"/>
    </row>
    <row r="53" spans="1:30" ht="15" customHeight="1">
      <c r="A53" s="452"/>
      <c r="B53" s="56"/>
      <c r="C53" s="23"/>
      <c r="D53" s="11"/>
      <c r="E53" s="12"/>
      <c r="F53" s="56"/>
      <c r="G53" s="66"/>
      <c r="H53" s="76"/>
      <c r="I53" s="193"/>
      <c r="J53" s="16"/>
      <c r="K53" s="14"/>
      <c r="L53" s="17"/>
      <c r="M53" s="174"/>
      <c r="N53" s="77"/>
      <c r="O53" s="78"/>
      <c r="P53" s="18"/>
      <c r="Q53" s="19"/>
      <c r="R53" s="185"/>
      <c r="S53" s="397"/>
      <c r="T53" s="79"/>
      <c r="U53" s="79"/>
      <c r="V53" s="177"/>
      <c r="W53" s="80">
        <f t="shared" si="13"/>
        <v>0</v>
      </c>
      <c r="X53" s="177"/>
      <c r="Y53" s="177"/>
      <c r="Z53" s="419"/>
      <c r="AA53" s="418"/>
      <c r="AB53" s="18"/>
      <c r="AC53" s="185"/>
      <c r="AD53" s="402"/>
    </row>
    <row r="54" spans="1:30" ht="15" customHeight="1">
      <c r="A54" s="452"/>
      <c r="B54" s="177"/>
      <c r="C54" s="183"/>
      <c r="D54" s="11"/>
      <c r="E54" s="12"/>
      <c r="F54" s="13"/>
      <c r="G54" s="66"/>
      <c r="H54" s="76">
        <f t="shared" si="32"/>
        <v>0</v>
      </c>
      <c r="I54" s="177"/>
      <c r="J54" s="31"/>
      <c r="K54" s="30"/>
      <c r="L54" s="38"/>
      <c r="M54" s="181"/>
      <c r="N54" s="30"/>
      <c r="O54" s="35"/>
      <c r="P54" s="18"/>
      <c r="Q54" s="19"/>
      <c r="R54" s="185"/>
      <c r="S54" s="397"/>
      <c r="T54" s="79"/>
      <c r="U54" s="79"/>
      <c r="V54" s="197"/>
      <c r="W54" s="80">
        <f t="shared" si="13"/>
        <v>0</v>
      </c>
      <c r="X54" s="177"/>
      <c r="Y54" s="177"/>
      <c r="Z54" s="419"/>
      <c r="AA54" s="418"/>
      <c r="AB54" s="18"/>
      <c r="AC54" s="185"/>
      <c r="AD54" s="402"/>
    </row>
    <row r="55" spans="1:30" ht="15" customHeight="1">
      <c r="A55" s="452"/>
      <c r="B55" s="26"/>
      <c r="C55" s="27"/>
      <c r="D55" s="28"/>
      <c r="E55" s="29"/>
      <c r="F55" s="13"/>
      <c r="G55" s="66"/>
      <c r="H55" s="15">
        <f t="shared" si="32"/>
        <v>0</v>
      </c>
      <c r="I55" s="177"/>
      <c r="J55" s="31"/>
      <c r="K55" s="30"/>
      <c r="L55" s="38"/>
      <c r="M55" s="181"/>
      <c r="N55" s="30"/>
      <c r="O55" s="35"/>
      <c r="P55" s="18"/>
      <c r="Q55" s="19"/>
      <c r="R55" s="185"/>
      <c r="S55" s="397"/>
      <c r="T55" s="79"/>
      <c r="U55" s="79"/>
      <c r="V55" s="197"/>
      <c r="W55" s="80">
        <f t="shared" si="13"/>
        <v>0</v>
      </c>
      <c r="X55" s="177"/>
      <c r="Y55" s="177"/>
      <c r="Z55" s="419"/>
      <c r="AA55" s="418"/>
      <c r="AB55" s="18"/>
      <c r="AC55" s="185"/>
      <c r="AD55" s="402"/>
    </row>
    <row r="56" spans="1:30" ht="15" customHeight="1">
      <c r="A56" s="452"/>
      <c r="B56" s="26"/>
      <c r="C56" s="27"/>
      <c r="D56" s="28"/>
      <c r="E56" s="29"/>
      <c r="F56" s="13"/>
      <c r="G56" s="66"/>
      <c r="H56" s="15">
        <f t="shared" si="32"/>
        <v>0</v>
      </c>
      <c r="I56" s="177"/>
      <c r="J56" s="31"/>
      <c r="K56" s="30"/>
      <c r="L56" s="38"/>
      <c r="M56" s="181"/>
      <c r="N56" s="30"/>
      <c r="O56" s="35"/>
      <c r="P56" s="18"/>
      <c r="Q56" s="19"/>
      <c r="R56" s="185"/>
      <c r="S56" s="397"/>
      <c r="T56" s="79"/>
      <c r="U56" s="79"/>
      <c r="V56" s="197"/>
      <c r="W56" s="80">
        <f t="shared" si="13"/>
        <v>0</v>
      </c>
      <c r="X56" s="177"/>
      <c r="Y56" s="177"/>
      <c r="Z56" s="405"/>
      <c r="AA56" s="405"/>
      <c r="AB56" s="18"/>
      <c r="AC56" s="185"/>
      <c r="AD56" s="402"/>
    </row>
    <row r="57" spans="1:30" ht="15" customHeight="1">
      <c r="A57" s="452"/>
      <c r="B57" s="26"/>
      <c r="C57" s="27"/>
      <c r="D57" s="28"/>
      <c r="E57" s="29"/>
      <c r="F57" s="13"/>
      <c r="G57" s="66"/>
      <c r="H57" s="15">
        <f t="shared" si="32"/>
        <v>0</v>
      </c>
      <c r="I57" s="177"/>
      <c r="J57" s="31"/>
      <c r="K57" s="30"/>
      <c r="L57" s="38"/>
      <c r="M57" s="181"/>
      <c r="N57" s="30"/>
      <c r="O57" s="35"/>
      <c r="P57" s="18"/>
      <c r="Q57" s="19"/>
      <c r="R57" s="185"/>
      <c r="S57" s="397"/>
      <c r="T57" s="79"/>
      <c r="U57" s="79"/>
      <c r="V57" s="197"/>
      <c r="W57" s="80">
        <f t="shared" si="13"/>
        <v>0</v>
      </c>
      <c r="X57" s="177"/>
      <c r="Y57" s="177"/>
      <c r="Z57" s="405"/>
      <c r="AA57" s="405"/>
      <c r="AB57" s="18"/>
      <c r="AC57" s="185"/>
      <c r="AD57" s="402"/>
    </row>
    <row r="58" spans="1:30" ht="15" customHeight="1" thickBot="1">
      <c r="A58" s="453"/>
      <c r="B58" s="165"/>
      <c r="C58" s="1" t="s">
        <v>38</v>
      </c>
      <c r="D58" s="410" t="s">
        <v>7</v>
      </c>
      <c r="E58" s="410"/>
      <c r="F58" s="114"/>
      <c r="G58" s="166"/>
      <c r="H58" s="116"/>
      <c r="I58" s="115"/>
      <c r="J58" s="118">
        <f t="shared" ref="J58:O58" si="34">AVERAGE(J49:J57)</f>
        <v>18.333333333333332</v>
      </c>
      <c r="K58" s="118">
        <f t="shared" si="34"/>
        <v>1588.3333333333333</v>
      </c>
      <c r="L58" s="115">
        <f t="shared" si="34"/>
        <v>86.715399610136458</v>
      </c>
      <c r="M58" s="118">
        <f t="shared" si="34"/>
        <v>18.333333333333332</v>
      </c>
      <c r="N58" s="118">
        <f t="shared" si="34"/>
        <v>1531.8574750440403</v>
      </c>
      <c r="O58" s="115">
        <f t="shared" si="34"/>
        <v>83.612666742212753</v>
      </c>
      <c r="P58" s="119">
        <f>M58-J58</f>
        <v>0</v>
      </c>
      <c r="Q58" s="120">
        <f>N58-K58</f>
        <v>-56.475858289293001</v>
      </c>
      <c r="R58" s="121">
        <f t="shared" ref="R58:R60" si="35">O58/L58</f>
        <v>0.96421935570990536</v>
      </c>
      <c r="S58" s="399"/>
      <c r="T58" s="167"/>
      <c r="U58" s="167"/>
      <c r="V58" s="195"/>
      <c r="W58" s="168"/>
      <c r="X58" s="124"/>
      <c r="Y58" s="124"/>
      <c r="Z58" s="391"/>
      <c r="AA58" s="391"/>
      <c r="AB58" s="119">
        <f t="shared" ref="AB58:AB62" si="36">N58-K58</f>
        <v>-56.475858289293001</v>
      </c>
      <c r="AC58" s="187">
        <f t="shared" ref="AC58:AC62" si="37">N58/K58</f>
        <v>0.96444332111901809</v>
      </c>
      <c r="AD58" s="404"/>
    </row>
    <row r="59" spans="1:30" ht="15" customHeight="1">
      <c r="A59" s="466" t="s">
        <v>57</v>
      </c>
      <c r="B59" s="199" t="str">
        <f>VLOOKUP(D59,廠價表!$C$1:$E$39,2,0)</f>
        <v>小吃、微波</v>
      </c>
      <c r="C59" s="102"/>
      <c r="D59" s="103" t="s">
        <v>125</v>
      </c>
      <c r="E59" s="104"/>
      <c r="F59" s="199">
        <f>VLOOKUP(D59,廠價表!$C$1:$E$39,3,0)</f>
        <v>26.99</v>
      </c>
      <c r="G59" s="188">
        <v>3007</v>
      </c>
      <c r="H59" s="106">
        <f t="shared" ref="H59:H68" si="38">F59*G59</f>
        <v>81158.929999999993</v>
      </c>
      <c r="I59" s="188"/>
      <c r="J59" s="108">
        <f>VLOOKUP(D59,產線配置圖!$A$2:$C$38,2,0)</f>
        <v>13</v>
      </c>
      <c r="K59" s="105">
        <f>VLOOKUP(D59,產線配置圖!$A$2:$C$38,3,0)</f>
        <v>1565</v>
      </c>
      <c r="L59" s="109">
        <f>K59/J59</f>
        <v>120.38461538461539</v>
      </c>
      <c r="M59" s="110">
        <v>13</v>
      </c>
      <c r="N59" s="105">
        <f t="shared" ref="N59:N62" si="39">G59/W59*60</f>
        <v>1542.0512820512822</v>
      </c>
      <c r="O59" s="109">
        <f t="shared" ref="O59:O62" si="40">N59/M59</f>
        <v>118.61932938856017</v>
      </c>
      <c r="P59" s="111">
        <f t="shared" ref="P59:P62" si="41">M59-J59</f>
        <v>0</v>
      </c>
      <c r="Q59" s="112">
        <f t="shared" ref="Q59:Q62" si="42">O59-L59</f>
        <v>-1.7652859960552121</v>
      </c>
      <c r="R59" s="184">
        <f t="shared" si="35"/>
        <v>0.98533628246088323</v>
      </c>
      <c r="S59" s="396">
        <f>R69</f>
        <v>0.92949430654542475</v>
      </c>
      <c r="T59" s="169">
        <v>0.29166666666666669</v>
      </c>
      <c r="U59" s="169">
        <v>0.37291666666666667</v>
      </c>
      <c r="V59" s="188"/>
      <c r="W59" s="107">
        <f t="shared" si="13"/>
        <v>116.99999999999999</v>
      </c>
      <c r="X59" s="188"/>
      <c r="Y59" s="188"/>
      <c r="Z59" s="405"/>
      <c r="AA59" s="405"/>
      <c r="AB59" s="225">
        <f t="shared" si="36"/>
        <v>-22.948717948717785</v>
      </c>
      <c r="AC59" s="226">
        <f t="shared" si="37"/>
        <v>0.98533628246088323</v>
      </c>
      <c r="AD59" s="401">
        <f>AC69</f>
        <v>0.93145428852297851</v>
      </c>
    </row>
    <row r="60" spans="1:30" ht="15" customHeight="1">
      <c r="A60" s="467"/>
      <c r="B60" s="56" t="str">
        <f>VLOOKUP(D60,廠價表!$C$1:$E$39,2,0)</f>
        <v>小吃、微波</v>
      </c>
      <c r="C60" s="10"/>
      <c r="D60" s="11" t="s">
        <v>146</v>
      </c>
      <c r="E60" s="86"/>
      <c r="F60" s="56">
        <f>VLOOKUP(D60,廠價表!$C$1:$E$39,3,0)</f>
        <v>28.47</v>
      </c>
      <c r="G60" s="177">
        <v>1019</v>
      </c>
      <c r="H60" s="15">
        <f t="shared" si="38"/>
        <v>29010.93</v>
      </c>
      <c r="I60" s="177"/>
      <c r="J60" s="16">
        <f>VLOOKUP(D60,產線配置圖!$A$2:$C$38,2,0)</f>
        <v>12</v>
      </c>
      <c r="K60" s="14">
        <f>VLOOKUP(D60,產線配置圖!$A$2:$C$38,3,0)</f>
        <v>1565</v>
      </c>
      <c r="L60" s="17">
        <f>K60/J60</f>
        <v>130.41666666666666</v>
      </c>
      <c r="M60" s="180">
        <v>12</v>
      </c>
      <c r="N60" s="14">
        <f t="shared" si="39"/>
        <v>1273.7499999999982</v>
      </c>
      <c r="O60" s="17">
        <f t="shared" si="40"/>
        <v>106.14583333333319</v>
      </c>
      <c r="P60" s="18">
        <f t="shared" si="41"/>
        <v>0</v>
      </c>
      <c r="Q60" s="19">
        <f t="shared" si="42"/>
        <v>-24.270833333333471</v>
      </c>
      <c r="R60" s="185">
        <f t="shared" si="35"/>
        <v>0.8138977635782737</v>
      </c>
      <c r="S60" s="470"/>
      <c r="T60" s="198">
        <v>0.38194444444444442</v>
      </c>
      <c r="U60" s="198">
        <v>0.4152777777777778</v>
      </c>
      <c r="V60" s="177">
        <f t="shared" ref="V60:V62" si="43">(T60-U59)*24*60</f>
        <v>12.999999999999954</v>
      </c>
      <c r="W60" s="90">
        <f t="shared" si="13"/>
        <v>48.000000000000071</v>
      </c>
      <c r="X60" s="193"/>
      <c r="Y60" s="193"/>
      <c r="Z60" s="405"/>
      <c r="AA60" s="405"/>
      <c r="AB60" s="227">
        <f t="shared" si="36"/>
        <v>-291.25000000000182</v>
      </c>
      <c r="AC60" s="228">
        <f t="shared" si="37"/>
        <v>0.81389776357827359</v>
      </c>
      <c r="AD60" s="473"/>
    </row>
    <row r="61" spans="1:30" ht="15" customHeight="1">
      <c r="A61" s="468"/>
      <c r="B61" s="56" t="str">
        <f>VLOOKUP(D61,廠價表!$C$1:$E$39,2,0)</f>
        <v>小吃、微波</v>
      </c>
      <c r="C61" s="10"/>
      <c r="D61" s="242" t="s">
        <v>135</v>
      </c>
      <c r="E61" s="86"/>
      <c r="F61" s="56">
        <f>VLOOKUP(D61,廠價表!$C$1:$E$39,3,0)</f>
        <v>28.26</v>
      </c>
      <c r="G61" s="177">
        <v>2679</v>
      </c>
      <c r="H61" s="15">
        <f t="shared" si="38"/>
        <v>75708.540000000008</v>
      </c>
      <c r="I61" s="81"/>
      <c r="J61" s="16">
        <f>VLOOKUP(D61,產線配置圖!$A$2:$C$38,2,0)</f>
        <v>12</v>
      </c>
      <c r="K61" s="14">
        <f>VLOOKUP(D61,產線配置圖!$A$2:$C$38,3,0)</f>
        <v>1565</v>
      </c>
      <c r="L61" s="17">
        <f t="shared" ref="L61:L62" si="44">K61/J61</f>
        <v>130.41666666666666</v>
      </c>
      <c r="M61" s="180">
        <v>12</v>
      </c>
      <c r="N61" s="14">
        <f t="shared" si="39"/>
        <v>1488.3333333333333</v>
      </c>
      <c r="O61" s="17">
        <f t="shared" si="40"/>
        <v>124.02777777777777</v>
      </c>
      <c r="P61" s="18">
        <f t="shared" si="41"/>
        <v>0</v>
      </c>
      <c r="Q61" s="19">
        <f t="shared" si="42"/>
        <v>-6.3888888888888857</v>
      </c>
      <c r="R61" s="185">
        <f>O61/L61</f>
        <v>0.95101171458998934</v>
      </c>
      <c r="S61" s="397"/>
      <c r="T61" s="20">
        <v>0.42499999999999999</v>
      </c>
      <c r="U61" s="20">
        <v>0.5</v>
      </c>
      <c r="V61" s="177">
        <f t="shared" si="43"/>
        <v>13.99999999999995</v>
      </c>
      <c r="W61" s="88">
        <f t="shared" si="13"/>
        <v>108.00000000000001</v>
      </c>
      <c r="X61" s="22"/>
      <c r="Y61" s="22"/>
      <c r="Z61" s="405"/>
      <c r="AA61" s="405"/>
      <c r="AB61" s="51">
        <f t="shared" si="36"/>
        <v>-76.666666666666742</v>
      </c>
      <c r="AC61" s="52">
        <f t="shared" si="37"/>
        <v>0.95101171458998934</v>
      </c>
      <c r="AD61" s="402"/>
    </row>
    <row r="62" spans="1:30" ht="15" customHeight="1">
      <c r="A62" s="468"/>
      <c r="B62" s="56" t="str">
        <f>VLOOKUP(D62,廠價表!$C$1:$E$39,2,0)</f>
        <v>小吃、微波</v>
      </c>
      <c r="C62" s="23"/>
      <c r="D62" s="242" t="s">
        <v>125</v>
      </c>
      <c r="E62" s="12"/>
      <c r="F62" s="56">
        <f>VLOOKUP(D62,廠價表!$C$1:$E$39,3,0)</f>
        <v>26.99</v>
      </c>
      <c r="G62" s="177">
        <v>1654</v>
      </c>
      <c r="H62" s="15">
        <f t="shared" si="38"/>
        <v>44641.46</v>
      </c>
      <c r="I62" s="81"/>
      <c r="J62" s="16">
        <f>VLOOKUP(D62,產線配置圖!$A$2:$C$38,2,0)</f>
        <v>13</v>
      </c>
      <c r="K62" s="14">
        <f>VLOOKUP(D62,產線配置圖!$A$2:$C$38,3,0)</f>
        <v>1565</v>
      </c>
      <c r="L62" s="17">
        <f t="shared" si="44"/>
        <v>120.38461538461539</v>
      </c>
      <c r="M62" s="180">
        <v>13</v>
      </c>
      <c r="N62" s="14">
        <f t="shared" si="39"/>
        <v>1526.7692307692323</v>
      </c>
      <c r="O62" s="17">
        <f t="shared" si="40"/>
        <v>117.44378698224864</v>
      </c>
      <c r="P62" s="18">
        <f t="shared" si="41"/>
        <v>0</v>
      </c>
      <c r="Q62" s="19">
        <f t="shared" si="42"/>
        <v>-2.9408284023667477</v>
      </c>
      <c r="R62" s="185">
        <f>O62/L62</f>
        <v>0.97557139346276822</v>
      </c>
      <c r="S62" s="397"/>
      <c r="T62" s="20">
        <v>0.55208333333333337</v>
      </c>
      <c r="U62" s="20">
        <v>0.59722222222222221</v>
      </c>
      <c r="V62" s="177">
        <f t="shared" si="43"/>
        <v>75.000000000000057</v>
      </c>
      <c r="W62" s="90">
        <f t="shared" si="13"/>
        <v>64.999999999999929</v>
      </c>
      <c r="X62" s="22">
        <v>0.52083333333333337</v>
      </c>
      <c r="Y62" s="22">
        <v>0.5625</v>
      </c>
      <c r="Z62" s="405"/>
      <c r="AA62" s="405"/>
      <c r="AB62" s="51">
        <f t="shared" si="36"/>
        <v>-38.230769230767692</v>
      </c>
      <c r="AC62" s="52">
        <f t="shared" si="37"/>
        <v>0.97557139346276822</v>
      </c>
      <c r="AD62" s="402"/>
    </row>
    <row r="63" spans="1:30" ht="15" customHeight="1">
      <c r="A63" s="468"/>
      <c r="B63" s="56"/>
      <c r="C63" s="10"/>
      <c r="D63" s="242"/>
      <c r="E63" s="86"/>
      <c r="F63" s="56"/>
      <c r="G63" s="177"/>
      <c r="H63" s="15"/>
      <c r="I63" s="81"/>
      <c r="J63" s="16"/>
      <c r="K63" s="14"/>
      <c r="L63" s="17"/>
      <c r="M63" s="180"/>
      <c r="N63" s="14"/>
      <c r="O63" s="17"/>
      <c r="P63" s="18"/>
      <c r="Q63" s="19"/>
      <c r="R63" s="185"/>
      <c r="S63" s="397"/>
      <c r="T63" s="20"/>
      <c r="U63" s="20"/>
      <c r="V63" s="177"/>
      <c r="W63" s="90">
        <f t="shared" si="13"/>
        <v>0</v>
      </c>
      <c r="X63" s="84"/>
      <c r="Y63" s="84"/>
      <c r="Z63" s="405"/>
      <c r="AA63" s="405"/>
      <c r="AB63" s="51"/>
      <c r="AC63" s="52"/>
      <c r="AD63" s="402"/>
    </row>
    <row r="64" spans="1:30" ht="15" customHeight="1">
      <c r="A64" s="468"/>
      <c r="B64" s="56"/>
      <c r="C64" s="10"/>
      <c r="D64" s="242"/>
      <c r="E64" s="86"/>
      <c r="F64" s="56"/>
      <c r="G64" s="177"/>
      <c r="H64" s="15"/>
      <c r="I64" s="81"/>
      <c r="J64" s="16"/>
      <c r="K64" s="14"/>
      <c r="L64" s="17"/>
      <c r="M64" s="180"/>
      <c r="N64" s="14"/>
      <c r="O64" s="17"/>
      <c r="P64" s="18"/>
      <c r="Q64" s="19"/>
      <c r="R64" s="185"/>
      <c r="S64" s="397"/>
      <c r="T64" s="20"/>
      <c r="U64" s="20"/>
      <c r="V64" s="177"/>
      <c r="W64" s="182">
        <f t="shared" si="13"/>
        <v>0</v>
      </c>
      <c r="X64" s="84"/>
      <c r="Y64" s="84"/>
      <c r="Z64" s="419"/>
      <c r="AA64" s="418"/>
      <c r="AB64" s="18"/>
      <c r="AC64" s="55"/>
      <c r="AD64" s="402"/>
    </row>
    <row r="65" spans="1:32" ht="15" customHeight="1">
      <c r="A65" s="468"/>
      <c r="B65" s="177"/>
      <c r="C65" s="183"/>
      <c r="D65" s="11"/>
      <c r="E65" s="12"/>
      <c r="F65" s="13"/>
      <c r="G65" s="177"/>
      <c r="H65" s="15"/>
      <c r="I65" s="177"/>
      <c r="J65" s="16"/>
      <c r="K65" s="82"/>
      <c r="L65" s="83"/>
      <c r="M65" s="180"/>
      <c r="N65" s="14"/>
      <c r="O65" s="17"/>
      <c r="P65" s="18"/>
      <c r="Q65" s="19"/>
      <c r="R65" s="185"/>
      <c r="S65" s="397"/>
      <c r="T65" s="20"/>
      <c r="U65" s="20"/>
      <c r="V65" s="177"/>
      <c r="W65" s="182">
        <f t="shared" si="13"/>
        <v>0</v>
      </c>
      <c r="X65" s="84"/>
      <c r="Y65" s="84"/>
      <c r="Z65" s="419"/>
      <c r="AA65" s="418"/>
      <c r="AB65" s="18"/>
      <c r="AC65" s="55"/>
      <c r="AD65" s="402"/>
    </row>
    <row r="66" spans="1:32" ht="15" customHeight="1">
      <c r="A66" s="468"/>
      <c r="B66" s="26"/>
      <c r="C66" s="27"/>
      <c r="D66" s="28"/>
      <c r="E66" s="29"/>
      <c r="F66" s="13"/>
      <c r="G66" s="183"/>
      <c r="H66" s="15">
        <f t="shared" si="38"/>
        <v>0</v>
      </c>
      <c r="I66" s="85"/>
      <c r="J66" s="16"/>
      <c r="K66" s="14"/>
      <c r="L66" s="17"/>
      <c r="M66" s="21"/>
      <c r="N66" s="36"/>
      <c r="O66" s="38"/>
      <c r="P66" s="39"/>
      <c r="Q66" s="40"/>
      <c r="R66" s="68"/>
      <c r="S66" s="397"/>
      <c r="T66" s="20"/>
      <c r="U66" s="20"/>
      <c r="V66" s="177"/>
      <c r="W66" s="182">
        <f t="shared" si="13"/>
        <v>0</v>
      </c>
      <c r="X66" s="84"/>
      <c r="Y66" s="84"/>
      <c r="Z66" s="405"/>
      <c r="AA66" s="405"/>
      <c r="AB66" s="18"/>
      <c r="AC66" s="55"/>
      <c r="AD66" s="402"/>
    </row>
    <row r="67" spans="1:32" ht="15" customHeight="1">
      <c r="A67" s="468"/>
      <c r="B67" s="26"/>
      <c r="C67" s="27"/>
      <c r="D67" s="28"/>
      <c r="E67" s="29"/>
      <c r="F67" s="13"/>
      <c r="G67" s="177"/>
      <c r="H67" s="15">
        <f t="shared" si="38"/>
        <v>0</v>
      </c>
      <c r="I67" s="177"/>
      <c r="J67" s="16"/>
      <c r="K67" s="14"/>
      <c r="L67" s="17"/>
      <c r="M67" s="21"/>
      <c r="N67" s="36"/>
      <c r="O67" s="38"/>
      <c r="P67" s="39"/>
      <c r="Q67" s="40"/>
      <c r="R67" s="68"/>
      <c r="S67" s="397"/>
      <c r="T67" s="20"/>
      <c r="U67" s="20"/>
      <c r="V67" s="177"/>
      <c r="W67" s="182">
        <f t="shared" si="13"/>
        <v>0</v>
      </c>
      <c r="X67" s="84"/>
      <c r="Y67" s="84"/>
      <c r="Z67" s="419"/>
      <c r="AA67" s="418"/>
      <c r="AB67" s="18"/>
      <c r="AC67" s="55"/>
      <c r="AD67" s="402"/>
    </row>
    <row r="68" spans="1:32" ht="15" customHeight="1">
      <c r="A68" s="468"/>
      <c r="B68" s="26"/>
      <c r="C68" s="27"/>
      <c r="D68" s="28"/>
      <c r="E68" s="29"/>
      <c r="F68" s="13"/>
      <c r="G68" s="183"/>
      <c r="H68" s="15">
        <f t="shared" si="38"/>
        <v>0</v>
      </c>
      <c r="I68" s="85"/>
      <c r="J68" s="16"/>
      <c r="K68" s="260"/>
      <c r="L68" s="261"/>
      <c r="M68" s="21"/>
      <c r="N68" s="36"/>
      <c r="O68" s="38"/>
      <c r="P68" s="39"/>
      <c r="Q68" s="40"/>
      <c r="R68" s="68"/>
      <c r="S68" s="397"/>
      <c r="T68" s="20"/>
      <c r="U68" s="20"/>
      <c r="V68" s="177"/>
      <c r="W68" s="182">
        <f t="shared" si="13"/>
        <v>0</v>
      </c>
      <c r="X68" s="84"/>
      <c r="Y68" s="84"/>
      <c r="Z68" s="419"/>
      <c r="AA68" s="418"/>
      <c r="AB68" s="18"/>
      <c r="AC68" s="55"/>
      <c r="AD68" s="402"/>
    </row>
    <row r="69" spans="1:32" ht="15" customHeight="1" thickBot="1">
      <c r="A69" s="469"/>
      <c r="B69" s="165"/>
      <c r="C69" s="1" t="s">
        <v>39</v>
      </c>
      <c r="D69" s="410" t="s">
        <v>7</v>
      </c>
      <c r="E69" s="410"/>
      <c r="F69" s="114"/>
      <c r="G69" s="115"/>
      <c r="H69" s="116"/>
      <c r="I69" s="170"/>
      <c r="J69" s="166">
        <f t="shared" ref="J69:O69" si="45">AVERAGE(J59:J68)</f>
        <v>12.5</v>
      </c>
      <c r="K69" s="166">
        <f t="shared" si="45"/>
        <v>1565</v>
      </c>
      <c r="L69" s="171">
        <f t="shared" si="45"/>
        <v>125.40064102564102</v>
      </c>
      <c r="M69" s="166">
        <f t="shared" si="45"/>
        <v>12.5</v>
      </c>
      <c r="N69" s="166">
        <f t="shared" si="45"/>
        <v>1457.7259615384614</v>
      </c>
      <c r="O69" s="171">
        <f t="shared" si="45"/>
        <v>116.55918187047995</v>
      </c>
      <c r="P69" s="172">
        <f>M69-J69</f>
        <v>0</v>
      </c>
      <c r="Q69" s="158">
        <f>N69-K69</f>
        <v>-107.27403846153857</v>
      </c>
      <c r="R69" s="121">
        <f>O69/L69</f>
        <v>0.92949430654542475</v>
      </c>
      <c r="S69" s="399"/>
      <c r="T69" s="122"/>
      <c r="U69" s="122"/>
      <c r="V69" s="195"/>
      <c r="W69" s="168"/>
      <c r="X69" s="124"/>
      <c r="Y69" s="124"/>
      <c r="Z69" s="405"/>
      <c r="AA69" s="405"/>
      <c r="AB69" s="119">
        <f>N69-K69</f>
        <v>-107.27403846153857</v>
      </c>
      <c r="AC69" s="187">
        <f>N69/K69</f>
        <v>0.93145428852297851</v>
      </c>
      <c r="AD69" s="404"/>
    </row>
    <row r="70" spans="1:32" ht="15" customHeight="1">
      <c r="A70" s="461" t="s">
        <v>58</v>
      </c>
      <c r="B70" s="199" t="s">
        <v>62</v>
      </c>
      <c r="C70" s="199"/>
      <c r="D70" s="103" t="s">
        <v>158</v>
      </c>
      <c r="E70" s="104"/>
      <c r="F70" s="199">
        <f>VLOOKUP(D70,廠價表!$C$1:$E$39,3,0)</f>
        <v>47.71</v>
      </c>
      <c r="G70" s="188">
        <v>4949</v>
      </c>
      <c r="H70" s="106">
        <f t="shared" ref="H70" si="46">F70*G70</f>
        <v>236116.79</v>
      </c>
      <c r="I70" s="188"/>
      <c r="J70" s="108">
        <f>VLOOKUP(D70,產線配置圖!$A$2:$C$38,2,0)</f>
        <v>15</v>
      </c>
      <c r="K70" s="105">
        <f>VLOOKUP(D70,產線配置圖!$A$2:$C$38,3,0)</f>
        <v>1500</v>
      </c>
      <c r="L70" s="109">
        <f>K70/J70</f>
        <v>100</v>
      </c>
      <c r="M70" s="110">
        <v>15</v>
      </c>
      <c r="N70" s="105">
        <f t="shared" ref="N70" si="47">G70/W70*60</f>
        <v>1319.7333333333333</v>
      </c>
      <c r="O70" s="109">
        <f t="shared" ref="O70" si="48">N70/M70</f>
        <v>87.982222222222219</v>
      </c>
      <c r="P70" s="111">
        <f t="shared" ref="P70" si="49">M70-J70</f>
        <v>0</v>
      </c>
      <c r="Q70" s="112">
        <f t="shared" ref="Q70" si="50">O70-L70</f>
        <v>-12.017777777777781</v>
      </c>
      <c r="R70" s="184">
        <f t="shared" ref="R70" si="51">O70/L70</f>
        <v>0.87982222222222217</v>
      </c>
      <c r="S70" s="396">
        <f>R79</f>
        <v>0.90745706472695453</v>
      </c>
      <c r="T70" s="169">
        <v>0.33333333333333331</v>
      </c>
      <c r="U70" s="169">
        <v>0.48958333333333331</v>
      </c>
      <c r="V70" s="188"/>
      <c r="W70" s="107">
        <f t="shared" ref="W70:W78" si="52">(U70-T70)*24*60</f>
        <v>225</v>
      </c>
      <c r="X70" s="296"/>
      <c r="Y70" s="296"/>
      <c r="Z70" s="465"/>
      <c r="AA70" s="427"/>
      <c r="AB70" s="225">
        <f t="shared" ref="AB70:AB71" si="53">N70-K70</f>
        <v>-180.26666666666665</v>
      </c>
      <c r="AC70" s="226">
        <f t="shared" ref="AC70:AC71" si="54">N70/K70</f>
        <v>0.87982222222222228</v>
      </c>
      <c r="AD70" s="401">
        <f>AC79</f>
        <v>0.90618574057807322</v>
      </c>
    </row>
    <row r="71" spans="1:32" ht="15" customHeight="1">
      <c r="A71" s="462"/>
      <c r="B71" s="56"/>
      <c r="C71" s="10"/>
      <c r="D71" s="11"/>
      <c r="E71" s="86"/>
      <c r="F71" s="56"/>
      <c r="G71" s="66"/>
      <c r="H71" s="76"/>
      <c r="I71" s="193"/>
      <c r="J71" s="16"/>
      <c r="K71" s="14"/>
      <c r="L71" s="17"/>
      <c r="M71" s="180"/>
      <c r="N71" s="14"/>
      <c r="O71" s="17"/>
      <c r="P71" s="18"/>
      <c r="Q71" s="19"/>
      <c r="R71" s="185"/>
      <c r="S71" s="397"/>
      <c r="T71" s="20"/>
      <c r="U71" s="20"/>
      <c r="V71" s="177"/>
      <c r="W71" s="182">
        <f t="shared" si="52"/>
        <v>0</v>
      </c>
      <c r="X71" s="298"/>
      <c r="Y71" s="299"/>
      <c r="Z71" s="439"/>
      <c r="AA71" s="440"/>
      <c r="AB71" s="39">
        <f t="shared" si="53"/>
        <v>0</v>
      </c>
      <c r="AC71" s="190" t="e">
        <f t="shared" si="54"/>
        <v>#DIV/0!</v>
      </c>
      <c r="AD71" s="447"/>
    </row>
    <row r="72" spans="1:32" ht="15" customHeight="1">
      <c r="A72" s="462"/>
      <c r="B72" s="56"/>
      <c r="C72" s="10"/>
      <c r="D72" s="11"/>
      <c r="E72" s="86"/>
      <c r="F72" s="56"/>
      <c r="G72" s="66"/>
      <c r="H72" s="76"/>
      <c r="I72" s="193"/>
      <c r="J72" s="16"/>
      <c r="K72" s="14"/>
      <c r="L72" s="17"/>
      <c r="M72" s="180"/>
      <c r="N72" s="14"/>
      <c r="O72" s="17"/>
      <c r="P72" s="18"/>
      <c r="Q72" s="19"/>
      <c r="R72" s="185"/>
      <c r="S72" s="397"/>
      <c r="T72" s="20"/>
      <c r="U72" s="20"/>
      <c r="V72" s="177"/>
      <c r="W72" s="182">
        <f t="shared" si="52"/>
        <v>0</v>
      </c>
      <c r="X72" s="297"/>
      <c r="Y72" s="297"/>
      <c r="Z72" s="405"/>
      <c r="AA72" s="419"/>
      <c r="AB72" s="39"/>
      <c r="AC72" s="190"/>
      <c r="AD72" s="447"/>
    </row>
    <row r="73" spans="1:32" ht="15" customHeight="1">
      <c r="A73" s="462"/>
      <c r="B73" s="56"/>
      <c r="C73" s="23"/>
      <c r="D73" s="11"/>
      <c r="E73" s="12"/>
      <c r="F73" s="56"/>
      <c r="G73" s="66"/>
      <c r="H73" s="76"/>
      <c r="I73" s="193"/>
      <c r="J73" s="16"/>
      <c r="K73" s="14"/>
      <c r="L73" s="17"/>
      <c r="M73" s="180"/>
      <c r="N73" s="14"/>
      <c r="O73" s="17"/>
      <c r="P73" s="18"/>
      <c r="Q73" s="19"/>
      <c r="R73" s="185"/>
      <c r="S73" s="397"/>
      <c r="T73" s="20"/>
      <c r="U73" s="20"/>
      <c r="V73" s="177"/>
      <c r="W73" s="182">
        <f t="shared" si="52"/>
        <v>0</v>
      </c>
      <c r="X73" s="22"/>
      <c r="Y73" s="22"/>
      <c r="Z73" s="405"/>
      <c r="AA73" s="419"/>
      <c r="AB73" s="39"/>
      <c r="AC73" s="190"/>
      <c r="AD73" s="447"/>
    </row>
    <row r="74" spans="1:32" ht="15" customHeight="1">
      <c r="A74" s="462"/>
      <c r="B74" s="56"/>
      <c r="C74" s="249"/>
      <c r="D74" s="250"/>
      <c r="E74" s="251"/>
      <c r="F74" s="56"/>
      <c r="G74" s="238"/>
      <c r="H74" s="76">
        <f t="shared" ref="H74:H78" si="55">F74*G74</f>
        <v>0</v>
      </c>
      <c r="I74" s="81"/>
      <c r="J74" s="234"/>
      <c r="K74" s="36"/>
      <c r="L74" s="235"/>
      <c r="M74" s="21"/>
      <c r="N74" s="36"/>
      <c r="O74" s="38"/>
      <c r="P74" s="39"/>
      <c r="Q74" s="40"/>
      <c r="R74" s="190"/>
      <c r="S74" s="397"/>
      <c r="T74" s="20"/>
      <c r="U74" s="20"/>
      <c r="V74" s="177"/>
      <c r="W74" s="182">
        <f t="shared" si="52"/>
        <v>0</v>
      </c>
      <c r="X74" s="22"/>
      <c r="Y74" s="22"/>
      <c r="Z74" s="405"/>
      <c r="AA74" s="419"/>
      <c r="AB74" s="39"/>
      <c r="AC74" s="190"/>
      <c r="AD74" s="447"/>
    </row>
    <row r="75" spans="1:32" ht="15" customHeight="1">
      <c r="A75" s="462"/>
      <c r="B75" s="177"/>
      <c r="C75" s="183"/>
      <c r="D75" s="11"/>
      <c r="E75" s="12"/>
      <c r="F75" s="13"/>
      <c r="G75" s="177"/>
      <c r="H75" s="15">
        <f t="shared" si="55"/>
        <v>0</v>
      </c>
      <c r="I75" s="81"/>
      <c r="J75" s="87"/>
      <c r="K75" s="82"/>
      <c r="L75" s="83"/>
      <c r="M75" s="181"/>
      <c r="N75" s="82"/>
      <c r="O75" s="83"/>
      <c r="P75" s="73"/>
      <c r="Q75" s="74"/>
      <c r="R75" s="192"/>
      <c r="S75" s="397"/>
      <c r="T75" s="20"/>
      <c r="U75" s="20"/>
      <c r="V75" s="177"/>
      <c r="W75" s="88">
        <f t="shared" si="52"/>
        <v>0</v>
      </c>
      <c r="X75" s="89"/>
      <c r="Y75" s="89"/>
      <c r="Z75" s="406"/>
      <c r="AA75" s="406"/>
      <c r="AB75" s="306"/>
      <c r="AC75" s="307"/>
      <c r="AD75" s="402"/>
    </row>
    <row r="76" spans="1:32" ht="15" customHeight="1">
      <c r="A76" s="462"/>
      <c r="B76" s="26"/>
      <c r="C76" s="27"/>
      <c r="D76" s="28"/>
      <c r="E76" s="29"/>
      <c r="F76" s="13"/>
      <c r="G76" s="177"/>
      <c r="H76" s="15">
        <f t="shared" si="55"/>
        <v>0</v>
      </c>
      <c r="I76" s="81"/>
      <c r="J76" s="87"/>
      <c r="K76" s="82"/>
      <c r="L76" s="83"/>
      <c r="M76" s="181"/>
      <c r="N76" s="82"/>
      <c r="O76" s="83"/>
      <c r="P76" s="73"/>
      <c r="Q76" s="74"/>
      <c r="R76" s="192"/>
      <c r="S76" s="398"/>
      <c r="T76" s="20"/>
      <c r="U76" s="20"/>
      <c r="V76" s="177"/>
      <c r="W76" s="90">
        <f t="shared" si="52"/>
        <v>0</v>
      </c>
      <c r="X76" s="78"/>
      <c r="Y76" s="78"/>
      <c r="Z76" s="445"/>
      <c r="AA76" s="445"/>
      <c r="AB76" s="51"/>
      <c r="AC76" s="52"/>
      <c r="AD76" s="403"/>
    </row>
    <row r="77" spans="1:32" ht="15" customHeight="1">
      <c r="A77" s="462"/>
      <c r="B77" s="26"/>
      <c r="C77" s="27"/>
      <c r="D77" s="28"/>
      <c r="E77" s="29"/>
      <c r="F77" s="13"/>
      <c r="G77" s="177"/>
      <c r="H77" s="15">
        <f t="shared" si="55"/>
        <v>0</v>
      </c>
      <c r="I77" s="81"/>
      <c r="J77" s="87"/>
      <c r="K77" s="82"/>
      <c r="L77" s="83"/>
      <c r="M77" s="181"/>
      <c r="N77" s="82"/>
      <c r="O77" s="83"/>
      <c r="P77" s="73"/>
      <c r="Q77" s="74"/>
      <c r="R77" s="192"/>
      <c r="S77" s="398"/>
      <c r="T77" s="20"/>
      <c r="U77" s="20"/>
      <c r="V77" s="177"/>
      <c r="W77" s="182">
        <f t="shared" si="52"/>
        <v>0</v>
      </c>
      <c r="X77" s="84"/>
      <c r="Y77" s="84"/>
      <c r="Z77" s="405"/>
      <c r="AA77" s="405"/>
      <c r="AB77" s="18"/>
      <c r="AC77" s="55"/>
      <c r="AD77" s="403"/>
    </row>
    <row r="78" spans="1:32" ht="15" customHeight="1">
      <c r="A78" s="462"/>
      <c r="B78" s="26"/>
      <c r="C78" s="27"/>
      <c r="D78" s="28"/>
      <c r="E78" s="29"/>
      <c r="F78" s="13"/>
      <c r="G78" s="177"/>
      <c r="H78" s="15">
        <f t="shared" si="55"/>
        <v>0</v>
      </c>
      <c r="I78" s="85"/>
      <c r="J78" s="37"/>
      <c r="K78" s="36"/>
      <c r="L78" s="83"/>
      <c r="M78" s="21"/>
      <c r="N78" s="36"/>
      <c r="O78" s="38"/>
      <c r="P78" s="39"/>
      <c r="Q78" s="40"/>
      <c r="R78" s="190"/>
      <c r="S78" s="464"/>
      <c r="T78" s="32"/>
      <c r="U78" s="32"/>
      <c r="V78" s="178"/>
      <c r="W78" s="182">
        <f t="shared" si="52"/>
        <v>0</v>
      </c>
      <c r="X78" s="91"/>
      <c r="Y78" s="91"/>
      <c r="Z78" s="405"/>
      <c r="AA78" s="405"/>
      <c r="AB78" s="34"/>
      <c r="AC78" s="57"/>
      <c r="AD78" s="403"/>
    </row>
    <row r="79" spans="1:32" ht="15" customHeight="1" thickBot="1">
      <c r="A79" s="463"/>
      <c r="B79" s="165"/>
      <c r="C79" s="1" t="s">
        <v>40</v>
      </c>
      <c r="D79" s="410" t="s">
        <v>7</v>
      </c>
      <c r="E79" s="410"/>
      <c r="F79" s="114"/>
      <c r="G79" s="115"/>
      <c r="H79" s="173"/>
      <c r="I79" s="171"/>
      <c r="J79" s="166">
        <f t="shared" ref="J79:O79" si="56">AVERAGE(J69:J78)</f>
        <v>13.75</v>
      </c>
      <c r="K79" s="166">
        <f t="shared" si="56"/>
        <v>1532.5</v>
      </c>
      <c r="L79" s="171">
        <f t="shared" si="56"/>
        <v>112.70032051282051</v>
      </c>
      <c r="M79" s="166">
        <f t="shared" si="56"/>
        <v>13.75</v>
      </c>
      <c r="N79" s="166">
        <f t="shared" si="56"/>
        <v>1388.7296474358973</v>
      </c>
      <c r="O79" s="171">
        <f t="shared" si="56"/>
        <v>102.27070204635109</v>
      </c>
      <c r="P79" s="172">
        <f>M79-J79</f>
        <v>0</v>
      </c>
      <c r="Q79" s="158">
        <f>N79-K79</f>
        <v>-143.77035256410272</v>
      </c>
      <c r="R79" s="159">
        <f>O79/L79</f>
        <v>0.90745706472695453</v>
      </c>
      <c r="S79" s="399"/>
      <c r="T79" s="122"/>
      <c r="U79" s="122"/>
      <c r="V79" s="195"/>
      <c r="W79" s="168"/>
      <c r="X79" s="124"/>
      <c r="Y79" s="124"/>
      <c r="Z79" s="391"/>
      <c r="AA79" s="391"/>
      <c r="AB79" s="119">
        <f>N79-K79</f>
        <v>-143.77035256410272</v>
      </c>
      <c r="AC79" s="187">
        <f>N79/K79</f>
        <v>0.90618574057807322</v>
      </c>
      <c r="AD79" s="404"/>
    </row>
    <row r="80" spans="1:32">
      <c r="AF80" s="93" t="s">
        <v>41</v>
      </c>
    </row>
    <row r="81" spans="4:32">
      <c r="AF81" s="93" t="s">
        <v>42</v>
      </c>
    </row>
    <row r="82" spans="4:32">
      <c r="AF82" s="93" t="s">
        <v>43</v>
      </c>
    </row>
    <row r="83" spans="4:32">
      <c r="D83" s="220"/>
      <c r="W83" s="6"/>
      <c r="AF83" s="93" t="s">
        <v>44</v>
      </c>
    </row>
    <row r="84" spans="4:32">
      <c r="D84" s="224"/>
      <c r="W84" s="6"/>
      <c r="AF84" s="93" t="s">
        <v>45</v>
      </c>
    </row>
    <row r="85" spans="4:32">
      <c r="D85" s="224"/>
      <c r="W85" s="6"/>
      <c r="AF85" s="93" t="s">
        <v>46</v>
      </c>
    </row>
    <row r="86" spans="4:32">
      <c r="D86" s="155"/>
      <c r="W86" s="6"/>
      <c r="AF86" s="93" t="s">
        <v>47</v>
      </c>
    </row>
    <row r="87" spans="4:32">
      <c r="W87" s="6"/>
      <c r="AF87" s="93" t="s">
        <v>48</v>
      </c>
    </row>
    <row r="88" spans="4:32">
      <c r="W88" s="6"/>
      <c r="AF88" s="93" t="s">
        <v>49</v>
      </c>
    </row>
    <row r="89" spans="4:32">
      <c r="W89" s="6"/>
      <c r="AF89" s="93" t="s">
        <v>50</v>
      </c>
    </row>
    <row r="90" spans="4:32">
      <c r="W90" s="6"/>
      <c r="AF90" s="93" t="s">
        <v>51</v>
      </c>
    </row>
    <row r="91" spans="4:32">
      <c r="W91" s="6"/>
      <c r="AF91" s="93" t="s">
        <v>52</v>
      </c>
    </row>
    <row r="92" spans="4:32">
      <c r="W92" s="6"/>
      <c r="AF92" s="93" t="s">
        <v>53</v>
      </c>
    </row>
  </sheetData>
  <autoFilter ref="D1:D92" xr:uid="{EF5AD393-5A39-4C0E-A7B0-465235F2AB14}"/>
  <mergeCells count="135"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  <mergeCell ref="D69:E69"/>
    <mergeCell ref="Z69:AA69"/>
    <mergeCell ref="A70:A79"/>
    <mergeCell ref="S70:S79"/>
    <mergeCell ref="Z70:AA70"/>
    <mergeCell ref="D79:E79"/>
    <mergeCell ref="A59:A69"/>
    <mergeCell ref="S59:S69"/>
    <mergeCell ref="Z59:AA59"/>
    <mergeCell ref="AD59:AD69"/>
    <mergeCell ref="Z60:AA60"/>
    <mergeCell ref="Z61:AA61"/>
    <mergeCell ref="Z62:AA62"/>
    <mergeCell ref="Z63:AA63"/>
    <mergeCell ref="Z64:AA64"/>
    <mergeCell ref="Z65:AA65"/>
    <mergeCell ref="AD49:AD58"/>
    <mergeCell ref="Z50:AA50"/>
    <mergeCell ref="Z51:AA51"/>
    <mergeCell ref="Z52:AA52"/>
    <mergeCell ref="Z53:AA53"/>
    <mergeCell ref="Z54:AA54"/>
    <mergeCell ref="Z55:AA55"/>
    <mergeCell ref="Z56:AA56"/>
    <mergeCell ref="Z57:AA57"/>
    <mergeCell ref="Z58:AA58"/>
    <mergeCell ref="Z66:AA66"/>
    <mergeCell ref="Z67:AA67"/>
    <mergeCell ref="Z68:AA68"/>
    <mergeCell ref="D48:E48"/>
    <mergeCell ref="Z48:AA48"/>
    <mergeCell ref="A49:A58"/>
    <mergeCell ref="S49:S58"/>
    <mergeCell ref="Z49:AA49"/>
    <mergeCell ref="D58:E58"/>
    <mergeCell ref="A38:A48"/>
    <mergeCell ref="S38:S48"/>
    <mergeCell ref="Z38:AA38"/>
    <mergeCell ref="AD38:AD48"/>
    <mergeCell ref="Z39:AA39"/>
    <mergeCell ref="Z40:AA40"/>
    <mergeCell ref="Z41:AA41"/>
    <mergeCell ref="Z42:AA42"/>
    <mergeCell ref="Z43:AA43"/>
    <mergeCell ref="Z44:AA44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Z45:AA45"/>
    <mergeCell ref="Z46:AA46"/>
    <mergeCell ref="Z47:AA47"/>
    <mergeCell ref="D26:E26"/>
    <mergeCell ref="Z26:AA26"/>
    <mergeCell ref="A27:A37"/>
    <mergeCell ref="S27:S37"/>
    <mergeCell ref="Z27:AA27"/>
    <mergeCell ref="D37:E37"/>
    <mergeCell ref="Z37:AA37"/>
    <mergeCell ref="A16:A26"/>
    <mergeCell ref="S16:S26"/>
    <mergeCell ref="Z16:AA16"/>
    <mergeCell ref="AD16:AD26"/>
    <mergeCell ref="Z17:AA17"/>
    <mergeCell ref="Z18:AA18"/>
    <mergeCell ref="Z19:AA19"/>
    <mergeCell ref="Z20:AA20"/>
    <mergeCell ref="Z21:AA21"/>
    <mergeCell ref="Z22:AA22"/>
    <mergeCell ref="Z10:AA10"/>
    <mergeCell ref="Z11:AA11"/>
    <mergeCell ref="Z12:AA12"/>
    <mergeCell ref="Z13:AA13"/>
    <mergeCell ref="Z14:AA14"/>
    <mergeCell ref="Z23:AA23"/>
    <mergeCell ref="Z24:AA24"/>
    <mergeCell ref="Z25:AA25"/>
    <mergeCell ref="Z15:AA15"/>
    <mergeCell ref="S5:S15"/>
    <mergeCell ref="Z5:AA5"/>
    <mergeCell ref="AD5:AD15"/>
    <mergeCell ref="Z6:AA6"/>
    <mergeCell ref="Z7:AA7"/>
    <mergeCell ref="Z8:AA8"/>
    <mergeCell ref="Z9:AA9"/>
    <mergeCell ref="T3:U3"/>
    <mergeCell ref="V3:V4"/>
    <mergeCell ref="W3:W4"/>
    <mergeCell ref="X3:Y3"/>
    <mergeCell ref="Z3:AA4"/>
    <mergeCell ref="AB3:AB4"/>
    <mergeCell ref="S3:S4"/>
    <mergeCell ref="A2:B2"/>
    <mergeCell ref="A3:A4"/>
    <mergeCell ref="B3:B4"/>
    <mergeCell ref="D3:E4"/>
    <mergeCell ref="F3:F4"/>
    <mergeCell ref="G3:G4"/>
    <mergeCell ref="J1:L2"/>
    <mergeCell ref="M1:O2"/>
    <mergeCell ref="D15:E15"/>
    <mergeCell ref="A5:A15"/>
    <mergeCell ref="N3:N4"/>
    <mergeCell ref="O3:O4"/>
    <mergeCell ref="P1:S2"/>
    <mergeCell ref="T1:Y2"/>
    <mergeCell ref="Z1:AA2"/>
    <mergeCell ref="AB1:AD2"/>
    <mergeCell ref="H3:H4"/>
    <mergeCell ref="I3:I4"/>
    <mergeCell ref="J3:J4"/>
    <mergeCell ref="K3:K4"/>
    <mergeCell ref="L3:L4"/>
    <mergeCell ref="M3:M4"/>
    <mergeCell ref="AC3:AC4"/>
    <mergeCell ref="AD3:AD4"/>
    <mergeCell ref="P3:P4"/>
    <mergeCell ref="Q3:Q4"/>
    <mergeCell ref="R3:R4"/>
  </mergeCells>
  <phoneticPr fontId="2" type="noConversion"/>
  <conditionalFormatting sqref="P5:P79">
    <cfRule type="cellIs" dxfId="188" priority="1" operator="greaterThan">
      <formula>0</formula>
    </cfRule>
  </conditionalFormatting>
  <conditionalFormatting sqref="Q5:Q79 AB5:AB79">
    <cfRule type="cellIs" dxfId="187" priority="4" operator="lessThan">
      <formula>0</formula>
    </cfRule>
  </conditionalFormatting>
  <conditionalFormatting sqref="R5:R79 AC5:AC79">
    <cfRule type="cellIs" dxfId="186" priority="2" operator="greaterThan">
      <formula>1</formula>
    </cfRule>
    <cfRule type="cellIs" dxfId="185" priority="3" operator="lessThan">
      <formula>0.8</formula>
    </cfRule>
  </conditionalFormatting>
  <conditionalFormatting sqref="S5:S10 S37:S62 AD59:AD62 S69:S76 AD69:AD76">
    <cfRule type="cellIs" dxfId="184" priority="7" operator="lessThan">
      <formula>0.8</formula>
    </cfRule>
  </conditionalFormatting>
  <conditionalFormatting sqref="S19:S25 AD19:AD25">
    <cfRule type="cellIs" dxfId="183" priority="6" operator="lessThan">
      <formula>0.8</formula>
    </cfRule>
  </conditionalFormatting>
  <conditionalFormatting sqref="S79">
    <cfRule type="cellIs" dxfId="182" priority="5" operator="lessThan">
      <formula>0.8</formula>
    </cfRule>
  </conditionalFormatting>
  <conditionalFormatting sqref="AD5:AD8 S15:S16 AD15:AD16 AD49 AD79">
    <cfRule type="cellIs" dxfId="181" priority="9" operator="lessThan">
      <formula>0.8</formula>
    </cfRule>
  </conditionalFormatting>
  <conditionalFormatting sqref="AD27 S27:S28">
    <cfRule type="cellIs" dxfId="18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56FA76B-9796-40FB-A143-D6608466D4F2}">
          <x14:formula1>
            <xm:f>廠價表!$C$2:$C$37</xm:f>
          </x14:formula1>
          <xm:sqref>D1:D1048576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AE4CD-F2AC-45F0-821C-F3757147D1A4}">
  <sheetPr>
    <pageSetUpPr fitToPage="1"/>
  </sheetPr>
  <dimension ref="B1:O22"/>
  <sheetViews>
    <sheetView zoomScale="70" zoomScaleNormal="70" workbookViewId="0">
      <selection activeCell="D4" sqref="D4:E4"/>
    </sheetView>
  </sheetViews>
  <sheetFormatPr defaultColWidth="8.125" defaultRowHeight="15.75"/>
  <cols>
    <col min="1" max="1" width="8.125" style="203"/>
    <col min="2" max="2" width="7.125" style="203" customWidth="1"/>
    <col min="3" max="3" width="7.125" style="218" customWidth="1"/>
    <col min="4" max="17" width="14.125" style="203" customWidth="1"/>
    <col min="18" max="21" width="9.625" style="203" customWidth="1"/>
    <col min="22" max="22" width="11.125" style="203" customWidth="1"/>
    <col min="23" max="23" width="11.5" style="203" customWidth="1"/>
    <col min="24" max="16384" width="8.125" style="203"/>
  </cols>
  <sheetData>
    <row r="1" spans="2:15" ht="27.75" customHeight="1">
      <c r="B1" s="345" t="s">
        <v>73</v>
      </c>
      <c r="C1" s="345"/>
      <c r="D1" s="345"/>
      <c r="E1" s="345"/>
      <c r="F1" s="345"/>
      <c r="G1" s="345"/>
      <c r="H1" s="345"/>
      <c r="I1" s="345"/>
      <c r="J1" s="345"/>
      <c r="K1" s="345"/>
      <c r="L1" s="202"/>
      <c r="M1" s="202"/>
    </row>
    <row r="2" spans="2:15" ht="27.75" customHeight="1"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202"/>
      <c r="M2" s="202"/>
    </row>
    <row r="3" spans="2:15" ht="46.5" customHeight="1">
      <c r="B3" s="342" t="s">
        <v>74</v>
      </c>
      <c r="C3" s="342"/>
      <c r="D3" s="346">
        <v>45974</v>
      </c>
      <c r="E3" s="346"/>
      <c r="F3" s="204" t="s">
        <v>75</v>
      </c>
      <c r="G3" s="347">
        <f>'1113'!E1</f>
        <v>52853</v>
      </c>
      <c r="H3" s="347"/>
      <c r="I3" s="204" t="s">
        <v>76</v>
      </c>
      <c r="J3" s="348">
        <f>'1113'!G1</f>
        <v>2564545.3499999996</v>
      </c>
      <c r="K3" s="348"/>
      <c r="L3" s="205"/>
    </row>
    <row r="4" spans="2:15" ht="24" customHeight="1">
      <c r="B4" s="342" t="s">
        <v>77</v>
      </c>
      <c r="C4" s="342"/>
      <c r="D4" s="343">
        <v>3</v>
      </c>
      <c r="E4" s="343"/>
      <c r="F4" s="344" t="s">
        <v>78</v>
      </c>
      <c r="G4" s="344"/>
      <c r="H4" s="344" t="s">
        <v>79</v>
      </c>
      <c r="I4" s="344"/>
      <c r="J4" s="343" t="s">
        <v>80</v>
      </c>
      <c r="K4" s="344"/>
      <c r="L4" s="206"/>
    </row>
    <row r="5" spans="2:15" ht="24" customHeight="1">
      <c r="B5" s="342" t="s">
        <v>81</v>
      </c>
      <c r="C5" s="342"/>
      <c r="D5" s="343" t="s">
        <v>82</v>
      </c>
      <c r="E5" s="343"/>
      <c r="F5" s="343" t="s">
        <v>83</v>
      </c>
      <c r="G5" s="343"/>
      <c r="H5" s="369" t="s">
        <v>62</v>
      </c>
      <c r="I5" s="369"/>
      <c r="J5" s="341" t="s">
        <v>84</v>
      </c>
      <c r="K5" s="341"/>
      <c r="L5" s="207"/>
    </row>
    <row r="6" spans="2:15" ht="39.6" customHeight="1">
      <c r="B6" s="342"/>
      <c r="C6" s="342"/>
      <c r="D6" s="342" t="s">
        <v>85</v>
      </c>
      <c r="E6" s="342"/>
      <c r="F6" s="356">
        <f>AVERAGE(D13:J13)</f>
        <v>114.13182125414268</v>
      </c>
      <c r="G6" s="356"/>
      <c r="H6" s="349">
        <f>AVERAGE(D13:H13)</f>
        <v>112.16435744810744</v>
      </c>
      <c r="I6" s="349"/>
      <c r="J6" s="349">
        <f>AVERAGE(I13:J13)</f>
        <v>119.05048076923077</v>
      </c>
      <c r="K6" s="349"/>
      <c r="L6" s="207"/>
    </row>
    <row r="7" spans="2:15" s="208" customFormat="1" ht="39.6" customHeight="1">
      <c r="B7" s="342"/>
      <c r="C7" s="342"/>
      <c r="D7" s="350" t="s">
        <v>86</v>
      </c>
      <c r="E7" s="350"/>
      <c r="F7" s="351">
        <f>AVERAGE(D14:J14)</f>
        <v>103.78376165616113</v>
      </c>
      <c r="G7" s="351"/>
      <c r="H7" s="352">
        <f>AVERAGE(D14:H14)</f>
        <v>104.68171138037451</v>
      </c>
      <c r="I7" s="352"/>
      <c r="J7" s="352">
        <f>AVERAGE(I14:J14)</f>
        <v>101.53888734562766</v>
      </c>
      <c r="K7" s="352"/>
    </row>
    <row r="8" spans="2:15" s="208" customFormat="1" ht="39.6" customHeight="1">
      <c r="B8" s="342"/>
      <c r="C8" s="342"/>
      <c r="D8" s="350" t="s">
        <v>87</v>
      </c>
      <c r="E8" s="350"/>
      <c r="F8" s="353">
        <f>AVERAGE(D15:J15)</f>
        <v>0.90871748430632571</v>
      </c>
      <c r="G8" s="353"/>
      <c r="H8" s="353">
        <f>AVERAGE(D15:H15)</f>
        <v>0.93119999734397751</v>
      </c>
      <c r="I8" s="353"/>
      <c r="J8" s="353">
        <f>AVERAGE(I15:J15)</f>
        <v>0.85251120171219585</v>
      </c>
      <c r="K8" s="353"/>
      <c r="L8" s="209" t="s">
        <v>88</v>
      </c>
    </row>
    <row r="9" spans="2:15" ht="25.5" customHeight="1">
      <c r="B9" s="207"/>
      <c r="C9" s="207"/>
      <c r="D9" s="207"/>
      <c r="E9" s="207"/>
      <c r="F9" s="207"/>
      <c r="G9" s="207"/>
      <c r="H9" s="210"/>
      <c r="I9" s="211"/>
      <c r="J9" s="211"/>
      <c r="K9" s="211"/>
      <c r="L9" s="211"/>
      <c r="M9" s="211"/>
      <c r="N9" s="211"/>
      <c r="O9" s="207"/>
    </row>
    <row r="10" spans="2:15" ht="30" customHeight="1">
      <c r="B10" s="354" t="s">
        <v>0</v>
      </c>
      <c r="C10" s="355"/>
      <c r="D10" s="357" t="s">
        <v>89</v>
      </c>
      <c r="E10" s="358"/>
      <c r="F10" s="358"/>
      <c r="G10" s="358"/>
      <c r="H10" s="358"/>
      <c r="I10" s="358"/>
      <c r="J10" s="359"/>
    </row>
    <row r="11" spans="2:15" ht="17.25" customHeight="1">
      <c r="B11" s="360" t="s">
        <v>90</v>
      </c>
      <c r="C11" s="361"/>
      <c r="D11" s="212">
        <v>1</v>
      </c>
      <c r="E11" s="212">
        <v>2</v>
      </c>
      <c r="F11" s="212">
        <v>3</v>
      </c>
      <c r="G11" s="212">
        <v>4</v>
      </c>
      <c r="H11" s="212">
        <v>5</v>
      </c>
      <c r="I11" s="212">
        <v>6</v>
      </c>
      <c r="J11" s="212">
        <v>7</v>
      </c>
    </row>
    <row r="12" spans="2:15" ht="33.950000000000003" customHeight="1">
      <c r="B12" s="362"/>
      <c r="C12" s="363"/>
      <c r="D12" s="213" t="s">
        <v>91</v>
      </c>
      <c r="E12" s="213" t="s">
        <v>92</v>
      </c>
      <c r="F12" s="213" t="s">
        <v>93</v>
      </c>
      <c r="G12" s="213" t="s">
        <v>94</v>
      </c>
      <c r="H12" s="213" t="s">
        <v>95</v>
      </c>
      <c r="I12" s="213" t="s">
        <v>96</v>
      </c>
      <c r="J12" s="213" t="s">
        <v>97</v>
      </c>
    </row>
    <row r="13" spans="2:15" ht="39.950000000000003" customHeight="1">
      <c r="B13" s="364" t="s">
        <v>1</v>
      </c>
      <c r="C13" s="214" t="s">
        <v>98</v>
      </c>
      <c r="D13" s="215">
        <f>VALUE('1113'!L15)</f>
        <v>135.3373015873016</v>
      </c>
      <c r="E13" s="215">
        <f>VALUE('1113'!L26)</f>
        <v>150.22664835164835</v>
      </c>
      <c r="F13" s="215">
        <f>VALUE('1113'!L37)</f>
        <v>93.013392857142861</v>
      </c>
      <c r="G13" s="215">
        <f>VALUE('1113'!L48)</f>
        <v>92.8</v>
      </c>
      <c r="H13" s="215">
        <f>VALUE('1113'!L58)</f>
        <v>89.444444444444443</v>
      </c>
      <c r="I13" s="215">
        <f>VALUE('1113'!L69)</f>
        <v>125.40064102564102</v>
      </c>
      <c r="J13" s="215">
        <f>VALUE('1113'!L79)</f>
        <v>112.70032051282051</v>
      </c>
    </row>
    <row r="14" spans="2:15" ht="39.950000000000003" customHeight="1">
      <c r="B14" s="365"/>
      <c r="C14" s="214" t="s">
        <v>99</v>
      </c>
      <c r="D14" s="215">
        <f>VALUE('1113'!O15)</f>
        <v>128.92584250925265</v>
      </c>
      <c r="E14" s="215">
        <f>VALUE('1113'!O26)</f>
        <v>140.78179026855497</v>
      </c>
      <c r="F14" s="215">
        <f>VALUE('1113'!O37)</f>
        <v>80.052400468384079</v>
      </c>
      <c r="G14" s="215">
        <f>VALUE('1113'!O48)</f>
        <v>88.610789290983192</v>
      </c>
      <c r="H14" s="215">
        <f>VALUE('1113'!O58)</f>
        <v>85.037734364697727</v>
      </c>
      <c r="I14" s="215">
        <f>VALUE('1113'!O69)</f>
        <v>107.83396361530842</v>
      </c>
      <c r="J14" s="215">
        <f>VALUE('1113'!O79)</f>
        <v>95.243811075946894</v>
      </c>
    </row>
    <row r="15" spans="2:15" ht="39.950000000000003" customHeight="1">
      <c r="B15" s="366"/>
      <c r="C15" s="212" t="s">
        <v>100</v>
      </c>
      <c r="D15" s="233">
        <f>D14/D13</f>
        <v>0.95262607571709912</v>
      </c>
      <c r="E15" s="233">
        <f t="shared" ref="E15:J15" si="0">E14/E13</f>
        <v>0.93712927641848875</v>
      </c>
      <c r="F15" s="233">
        <f t="shared" si="0"/>
        <v>0.86065455747146791</v>
      </c>
      <c r="G15" s="233">
        <f t="shared" si="0"/>
        <v>0.95485764322180167</v>
      </c>
      <c r="H15" s="233">
        <f t="shared" si="0"/>
        <v>0.95073243389103046</v>
      </c>
      <c r="I15" s="233">
        <f t="shared" si="0"/>
        <v>0.85991556927734769</v>
      </c>
      <c r="J15" s="233">
        <f t="shared" si="0"/>
        <v>0.84510683414704391</v>
      </c>
    </row>
    <row r="16" spans="2:15" ht="17.25" customHeight="1">
      <c r="B16" s="367" t="s">
        <v>101</v>
      </c>
      <c r="C16" s="212" t="s">
        <v>102</v>
      </c>
      <c r="D16" s="95">
        <f>'1113'!T5</f>
        <v>0.2902777777777778</v>
      </c>
      <c r="E16" s="95">
        <f>'1113'!T16</f>
        <v>0.2902777777777778</v>
      </c>
      <c r="F16" s="95">
        <f>'1113'!T27</f>
        <v>0.28888888888888886</v>
      </c>
      <c r="G16" s="95">
        <f>'1113'!T38</f>
        <v>0.33055555555555555</v>
      </c>
      <c r="H16" s="95">
        <f>'1113'!T49</f>
        <v>0.29097222222222224</v>
      </c>
      <c r="I16" s="95">
        <f>'1113'!T59</f>
        <v>0.29166666666666669</v>
      </c>
      <c r="J16" s="272">
        <f>'1113'!T70</f>
        <v>0.33333333333333331</v>
      </c>
    </row>
    <row r="17" spans="2:10" ht="17.25" customHeight="1">
      <c r="B17" s="368"/>
      <c r="C17" s="212" t="s">
        <v>103</v>
      </c>
      <c r="D17" s="20">
        <v>0.57291666666666663</v>
      </c>
      <c r="E17" s="41">
        <v>0.60486111111111107</v>
      </c>
      <c r="F17" s="41">
        <v>0.62152777777777779</v>
      </c>
      <c r="G17" s="59">
        <v>0.57291666666666663</v>
      </c>
      <c r="H17" s="79">
        <v>0.61458333333333337</v>
      </c>
      <c r="I17" s="20">
        <v>0.59375</v>
      </c>
      <c r="J17" s="20">
        <v>0.47569444444444442</v>
      </c>
    </row>
    <row r="18" spans="2:10" ht="17.25" customHeight="1">
      <c r="B18" s="354" t="s">
        <v>104</v>
      </c>
      <c r="C18" s="355"/>
      <c r="D18" s="216">
        <f>VALUE('1113'!M15)</f>
        <v>15</v>
      </c>
      <c r="E18" s="216">
        <f>VALUE('1113'!M26)</f>
        <v>13.5</v>
      </c>
      <c r="F18" s="216">
        <f>VALUE('1113'!M37)</f>
        <v>14.5</v>
      </c>
      <c r="G18" s="216">
        <f>VALUE('1113'!M48)</f>
        <v>15</v>
      </c>
      <c r="H18" s="216">
        <f>VALUE('1113'!M58)</f>
        <v>17</v>
      </c>
      <c r="I18" s="216">
        <f>VALUE('1113'!M69)</f>
        <v>12.5</v>
      </c>
      <c r="J18" s="216">
        <f>VALUE('1113'!M79)</f>
        <v>13.75</v>
      </c>
    </row>
    <row r="19" spans="2:10" ht="17.25" customHeight="1">
      <c r="B19" s="354" t="s">
        <v>105</v>
      </c>
      <c r="C19" s="355"/>
      <c r="D19" s="213" t="s">
        <v>106</v>
      </c>
      <c r="E19" s="213" t="s">
        <v>106</v>
      </c>
      <c r="F19" s="213" t="s">
        <v>107</v>
      </c>
      <c r="G19" s="213" t="s">
        <v>107</v>
      </c>
      <c r="H19" s="213" t="s">
        <v>107</v>
      </c>
      <c r="I19" s="213" t="s">
        <v>108</v>
      </c>
      <c r="J19" s="213" t="s">
        <v>107</v>
      </c>
    </row>
    <row r="20" spans="2:10" ht="17.25" customHeight="1">
      <c r="B20" s="354" t="s">
        <v>110</v>
      </c>
      <c r="C20" s="355"/>
      <c r="D20" s="213"/>
      <c r="E20" s="213"/>
      <c r="F20" s="213"/>
      <c r="G20" s="217"/>
      <c r="H20" s="213" t="s">
        <v>109</v>
      </c>
      <c r="I20" s="213"/>
      <c r="J20" s="213"/>
    </row>
    <row r="21" spans="2:10" ht="17.25" customHeight="1">
      <c r="B21" s="354" t="s">
        <v>111</v>
      </c>
      <c r="C21" s="355"/>
      <c r="D21" s="273"/>
      <c r="E21" s="273"/>
      <c r="F21" s="273"/>
      <c r="G21" s="273"/>
      <c r="H21" s="273"/>
      <c r="I21" s="273"/>
      <c r="J21" s="273"/>
    </row>
    <row r="22" spans="2:10">
      <c r="B22" s="370"/>
      <c r="C22" s="370"/>
    </row>
  </sheetData>
  <mergeCells count="37">
    <mergeCell ref="B20:C20"/>
    <mergeCell ref="B21:C21"/>
    <mergeCell ref="B22:C22"/>
    <mergeCell ref="D8:E8"/>
    <mergeCell ref="F8:G8"/>
    <mergeCell ref="H8:I8"/>
    <mergeCell ref="B18:C18"/>
    <mergeCell ref="B19:C19"/>
    <mergeCell ref="D6:E6"/>
    <mergeCell ref="F6:G6"/>
    <mergeCell ref="H6:I6"/>
    <mergeCell ref="D10:J10"/>
    <mergeCell ref="B11:C12"/>
    <mergeCell ref="B13:B15"/>
    <mergeCell ref="B16:B17"/>
    <mergeCell ref="B10:C10"/>
    <mergeCell ref="J8:K8"/>
    <mergeCell ref="B5:C8"/>
    <mergeCell ref="D5:E5"/>
    <mergeCell ref="F5:G5"/>
    <mergeCell ref="H5:I5"/>
    <mergeCell ref="J6:K6"/>
    <mergeCell ref="D7:E7"/>
    <mergeCell ref="F7:G7"/>
    <mergeCell ref="H7:I7"/>
    <mergeCell ref="J7:K7"/>
    <mergeCell ref="B1:K2"/>
    <mergeCell ref="B3:C3"/>
    <mergeCell ref="D3:E3"/>
    <mergeCell ref="G3:H3"/>
    <mergeCell ref="J3:K3"/>
    <mergeCell ref="J5:K5"/>
    <mergeCell ref="B4:C4"/>
    <mergeCell ref="D4:E4"/>
    <mergeCell ref="F4:G4"/>
    <mergeCell ref="H4:I4"/>
    <mergeCell ref="J4:K4"/>
  </mergeCells>
  <phoneticPr fontId="2" type="noConversion"/>
  <conditionalFormatting sqref="D15:J15">
    <cfRule type="cellIs" dxfId="179" priority="1" operator="lessThan">
      <formula>0.8</formula>
    </cfRule>
  </conditionalFormatting>
  <pageMargins left="0.7" right="0.7" top="0.75" bottom="0.75" header="0.3" footer="0.3"/>
  <pageSetup paperSize="8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310AA-0382-4E9E-9B17-07F7484E850A}">
  <sheetPr>
    <tabColor theme="9" tint="0.79998168889431442"/>
    <pageSetUpPr fitToPage="1"/>
  </sheetPr>
  <dimension ref="A1:AF92"/>
  <sheetViews>
    <sheetView zoomScale="69" zoomScaleNormal="69" workbookViewId="0">
      <pane xSplit="5" ySplit="4" topLeftCell="F8" activePane="bottomRight" state="frozen"/>
      <selection activeCell="T67" sqref="T67"/>
      <selection pane="topRight" activeCell="T67" sqref="T67"/>
      <selection pane="bottomLeft" activeCell="T67" sqref="T67"/>
      <selection pane="bottomRight" activeCell="M41" sqref="M41"/>
    </sheetView>
  </sheetViews>
  <sheetFormatPr defaultColWidth="7.875" defaultRowHeight="15.75"/>
  <cols>
    <col min="1" max="1" width="15" style="6" customWidth="1"/>
    <col min="2" max="2" width="12.875" style="6" customWidth="1"/>
    <col min="3" max="3" width="12.875" style="6" hidden="1" customWidth="1"/>
    <col min="4" max="4" width="26.125" style="6" bestFit="1" customWidth="1"/>
    <col min="5" max="5" width="15" style="6" customWidth="1"/>
    <col min="6" max="6" width="8.875" style="6" bestFit="1" customWidth="1"/>
    <col min="7" max="7" width="20.125" style="6" bestFit="1" customWidth="1"/>
    <col min="8" max="8" width="16.375" style="6" bestFit="1" customWidth="1"/>
    <col min="9" max="9" width="10.875" style="6" bestFit="1" customWidth="1"/>
    <col min="10" max="10" width="10.125" style="6" bestFit="1" customWidth="1"/>
    <col min="11" max="11" width="10.625" style="6" customWidth="1"/>
    <col min="12" max="12" width="14.5" style="6" customWidth="1"/>
    <col min="13" max="13" width="10.125" style="6" bestFit="1" customWidth="1"/>
    <col min="14" max="14" width="10.25" style="6" bestFit="1" customWidth="1"/>
    <col min="15" max="15" width="11.875" style="6" customWidth="1"/>
    <col min="16" max="17" width="9.125" style="6" bestFit="1" customWidth="1"/>
    <col min="18" max="18" width="9.125" style="6" customWidth="1"/>
    <col min="19" max="19" width="8.375" style="6" customWidth="1"/>
    <col min="20" max="21" width="9.375" style="6" bestFit="1" customWidth="1"/>
    <col min="22" max="22" width="10.625" style="6" customWidth="1"/>
    <col min="23" max="23" width="8.625" style="92" customWidth="1"/>
    <col min="24" max="24" width="7.5" style="6" bestFit="1" customWidth="1"/>
    <col min="25" max="25" width="6.875" style="6" customWidth="1"/>
    <col min="26" max="26" width="12.625" style="6" customWidth="1"/>
    <col min="27" max="27" width="33.375" style="6" customWidth="1"/>
    <col min="28" max="28" width="13.125" style="6" bestFit="1" customWidth="1"/>
    <col min="29" max="29" width="10.375" style="6" customWidth="1"/>
    <col min="30" max="30" width="9.125" style="6" customWidth="1"/>
    <col min="31" max="31" width="7.875" style="6"/>
    <col min="32" max="32" width="24.5" style="6" bestFit="1" customWidth="1"/>
    <col min="33" max="16384" width="7.875" style="6"/>
  </cols>
  <sheetData>
    <row r="1" spans="1:30" ht="21">
      <c r="A1" s="2" t="s">
        <v>72</v>
      </c>
      <c r="B1" s="2"/>
      <c r="C1" s="2"/>
      <c r="D1" s="176" t="s">
        <v>8</v>
      </c>
      <c r="E1" s="3">
        <f>SUM(G5:G79)</f>
        <v>52853</v>
      </c>
      <c r="F1" s="177" t="s">
        <v>9</v>
      </c>
      <c r="G1" s="4">
        <f>SUM(H5:H79)</f>
        <v>2564545.3499999996</v>
      </c>
      <c r="H1" s="175" t="s">
        <v>10</v>
      </c>
      <c r="I1" s="5">
        <f>M15+M26+M48+M58+M69+M79+M37</f>
        <v>101.25</v>
      </c>
      <c r="J1" s="371" t="s">
        <v>11</v>
      </c>
      <c r="K1" s="371"/>
      <c r="L1" s="371"/>
      <c r="M1" s="371" t="s">
        <v>12</v>
      </c>
      <c r="N1" s="371"/>
      <c r="O1" s="371"/>
      <c r="P1" s="371" t="s">
        <v>13</v>
      </c>
      <c r="Q1" s="371"/>
      <c r="R1" s="371"/>
      <c r="S1" s="371"/>
      <c r="T1" s="371" t="s">
        <v>14</v>
      </c>
      <c r="U1" s="371"/>
      <c r="V1" s="371"/>
      <c r="W1" s="371"/>
      <c r="X1" s="371"/>
      <c r="Y1" s="371"/>
      <c r="Z1" s="371" t="s">
        <v>15</v>
      </c>
      <c r="AA1" s="371"/>
      <c r="AB1" s="371" t="s">
        <v>16</v>
      </c>
      <c r="AC1" s="372"/>
      <c r="AD1" s="372"/>
    </row>
    <row r="2" spans="1:30" ht="18.75">
      <c r="A2" s="409" t="s">
        <v>197</v>
      </c>
      <c r="B2" s="409"/>
      <c r="C2" s="176"/>
      <c r="D2" s="176" t="s">
        <v>1</v>
      </c>
      <c r="E2" s="7">
        <f>AVERAGE(O15,O26,O37,O48,O58,O69,O79)</f>
        <v>103.78376165616113</v>
      </c>
      <c r="F2" s="8" t="s">
        <v>2</v>
      </c>
      <c r="G2" s="9">
        <f>G1/E1</f>
        <v>48.522228634136184</v>
      </c>
      <c r="H2" s="175" t="s">
        <v>17</v>
      </c>
      <c r="I2" s="175">
        <f>COUNT(I5:I79)</f>
        <v>0</v>
      </c>
      <c r="J2" s="371"/>
      <c r="K2" s="371"/>
      <c r="L2" s="371"/>
      <c r="M2" s="371"/>
      <c r="N2" s="371"/>
      <c r="O2" s="371"/>
      <c r="P2" s="371"/>
      <c r="Q2" s="371"/>
      <c r="R2" s="371"/>
      <c r="S2" s="371"/>
      <c r="T2" s="371"/>
      <c r="U2" s="371"/>
      <c r="V2" s="371"/>
      <c r="W2" s="371"/>
      <c r="X2" s="371"/>
      <c r="Y2" s="371"/>
      <c r="Z2" s="371"/>
      <c r="AA2" s="371"/>
      <c r="AB2" s="372"/>
      <c r="AC2" s="372"/>
      <c r="AD2" s="372"/>
    </row>
    <row r="3" spans="1:30">
      <c r="A3" s="405" t="s">
        <v>18</v>
      </c>
      <c r="B3" s="405" t="s">
        <v>19</v>
      </c>
      <c r="C3" s="177"/>
      <c r="D3" s="405" t="s">
        <v>20</v>
      </c>
      <c r="E3" s="405"/>
      <c r="F3" s="379" t="s">
        <v>21</v>
      </c>
      <c r="G3" s="389" t="s">
        <v>22</v>
      </c>
      <c r="H3" s="379" t="s">
        <v>23</v>
      </c>
      <c r="I3" s="381" t="s">
        <v>24</v>
      </c>
      <c r="J3" s="383" t="s">
        <v>25</v>
      </c>
      <c r="K3" s="385" t="s">
        <v>26</v>
      </c>
      <c r="L3" s="387" t="s">
        <v>1</v>
      </c>
      <c r="M3" s="389" t="s">
        <v>25</v>
      </c>
      <c r="N3" s="385" t="s">
        <v>26</v>
      </c>
      <c r="O3" s="387" t="s">
        <v>1</v>
      </c>
      <c r="P3" s="383" t="s">
        <v>25</v>
      </c>
      <c r="Q3" s="387" t="s">
        <v>1</v>
      </c>
      <c r="R3" s="392" t="s">
        <v>27</v>
      </c>
      <c r="S3" s="394" t="s">
        <v>28</v>
      </c>
      <c r="T3" s="389" t="s">
        <v>4</v>
      </c>
      <c r="U3" s="389"/>
      <c r="V3" s="408" t="s">
        <v>29</v>
      </c>
      <c r="W3" s="381" t="s">
        <v>30</v>
      </c>
      <c r="X3" s="389" t="s">
        <v>31</v>
      </c>
      <c r="Y3" s="389"/>
      <c r="Z3" s="415" t="s">
        <v>71</v>
      </c>
      <c r="AA3" s="416"/>
      <c r="AB3" s="385" t="s">
        <v>26</v>
      </c>
      <c r="AC3" s="392" t="s">
        <v>27</v>
      </c>
      <c r="AD3" s="394" t="s">
        <v>28</v>
      </c>
    </row>
    <row r="4" spans="1:30" ht="16.5" thickBot="1">
      <c r="A4" s="379"/>
      <c r="B4" s="379"/>
      <c r="C4" s="178"/>
      <c r="D4" s="379"/>
      <c r="E4" s="379"/>
      <c r="F4" s="380"/>
      <c r="G4" s="390"/>
      <c r="H4" s="380"/>
      <c r="I4" s="382"/>
      <c r="J4" s="384"/>
      <c r="K4" s="386"/>
      <c r="L4" s="388"/>
      <c r="M4" s="390"/>
      <c r="N4" s="386"/>
      <c r="O4" s="388"/>
      <c r="P4" s="384"/>
      <c r="Q4" s="388"/>
      <c r="R4" s="393"/>
      <c r="S4" s="395"/>
      <c r="T4" s="179" t="s">
        <v>5</v>
      </c>
      <c r="U4" s="179" t="s">
        <v>6</v>
      </c>
      <c r="V4" s="390"/>
      <c r="W4" s="382"/>
      <c r="X4" s="178" t="s">
        <v>32</v>
      </c>
      <c r="Y4" s="178" t="s">
        <v>33</v>
      </c>
      <c r="Z4" s="417"/>
      <c r="AA4" s="417"/>
      <c r="AB4" s="386"/>
      <c r="AC4" s="393"/>
      <c r="AD4" s="395"/>
    </row>
    <row r="5" spans="1:30" ht="15" customHeight="1">
      <c r="A5" s="411" t="s">
        <v>66</v>
      </c>
      <c r="B5" s="199" t="str">
        <f>VLOOKUP(D5,廠價表!$C$1:$E$39,2,0)</f>
        <v>義大利麵</v>
      </c>
      <c r="C5" s="102"/>
      <c r="D5" s="103" t="s">
        <v>127</v>
      </c>
      <c r="E5" s="104"/>
      <c r="F5" s="199">
        <f>VLOOKUP(D5,廠價表!$C$1:$E$39,3,0)</f>
        <v>57.21</v>
      </c>
      <c r="G5" s="105">
        <v>1645</v>
      </c>
      <c r="H5" s="106">
        <f>F5*G5</f>
        <v>94110.45</v>
      </c>
      <c r="I5" s="107"/>
      <c r="J5" s="108">
        <v>14</v>
      </c>
      <c r="K5" s="105">
        <f>VLOOKUP(D5,產線配置圖!$A$2:$C$38,3,0)</f>
        <v>2105</v>
      </c>
      <c r="L5" s="109">
        <f>K5/J5</f>
        <v>150.35714285714286</v>
      </c>
      <c r="M5" s="110">
        <v>14</v>
      </c>
      <c r="N5" s="105">
        <f t="shared" ref="N5:N8" si="0">G5/W5*60</f>
        <v>1898.076923076924</v>
      </c>
      <c r="O5" s="109">
        <f t="shared" ref="O5:O8" si="1">N5/M5</f>
        <v>135.57692307692315</v>
      </c>
      <c r="P5" s="111">
        <f t="shared" ref="P5:P8" si="2">M5-J5</f>
        <v>0</v>
      </c>
      <c r="Q5" s="112">
        <f t="shared" ref="Q5:Q8" si="3">O5-L5</f>
        <v>-14.78021978021971</v>
      </c>
      <c r="R5" s="184">
        <f t="shared" ref="R5:R8" si="4">O5/L5</f>
        <v>0.90169925086789737</v>
      </c>
      <c r="S5" s="396">
        <f>R15</f>
        <v>0.95262607571709912</v>
      </c>
      <c r="T5" s="94">
        <v>0.2902777777777778</v>
      </c>
      <c r="U5" s="94">
        <v>0.3263888888888889</v>
      </c>
      <c r="V5" s="194"/>
      <c r="W5" s="107">
        <f t="shared" ref="W5:W14" si="5">(U5-T5)*24*60</f>
        <v>51.999999999999972</v>
      </c>
      <c r="X5" s="188"/>
      <c r="Y5" s="188"/>
      <c r="Z5" s="400"/>
      <c r="AA5" s="400"/>
      <c r="AB5" s="111">
        <f>N5-K5</f>
        <v>-206.923076923076</v>
      </c>
      <c r="AC5" s="184">
        <f>N5/K5</f>
        <v>0.90169925086789737</v>
      </c>
      <c r="AD5" s="401">
        <f>AC15</f>
        <v>0.95438565946953058</v>
      </c>
    </row>
    <row r="6" spans="1:30" ht="15" customHeight="1">
      <c r="A6" s="412"/>
      <c r="B6" s="56" t="str">
        <f>VLOOKUP(D6,廠價表!$C$1:$E$39,2,0)</f>
        <v>義大利麵</v>
      </c>
      <c r="C6" s="10"/>
      <c r="D6" s="11" t="s">
        <v>139</v>
      </c>
      <c r="E6" s="86"/>
      <c r="F6" s="56">
        <f>VLOOKUP(D6,廠價表!$C$1:$E$39,3,0)</f>
        <v>57.21</v>
      </c>
      <c r="G6" s="25">
        <v>2180</v>
      </c>
      <c r="H6" s="15">
        <f t="shared" ref="H6:H14" si="6">F6*G6</f>
        <v>124717.8</v>
      </c>
      <c r="I6" s="182"/>
      <c r="J6" s="16">
        <v>18</v>
      </c>
      <c r="K6" s="14">
        <f>VLOOKUP(D6,產線配置圖!$A$2:$C$38,3,0)</f>
        <v>1895</v>
      </c>
      <c r="L6" s="17">
        <f>K6/J6</f>
        <v>105.27777777777777</v>
      </c>
      <c r="M6" s="180">
        <v>18</v>
      </c>
      <c r="N6" s="14">
        <f t="shared" si="0"/>
        <v>1868.5714285714289</v>
      </c>
      <c r="O6" s="17">
        <f t="shared" si="1"/>
        <v>103.80952380952382</v>
      </c>
      <c r="P6" s="18">
        <f t="shared" si="2"/>
        <v>0</v>
      </c>
      <c r="Q6" s="19">
        <f t="shared" si="3"/>
        <v>-1.4682539682539471</v>
      </c>
      <c r="R6" s="185">
        <f t="shared" si="4"/>
        <v>0.98605352431209969</v>
      </c>
      <c r="S6" s="397"/>
      <c r="T6" s="95">
        <v>0.33333333333333331</v>
      </c>
      <c r="U6" s="95">
        <v>0.38194444444444442</v>
      </c>
      <c r="V6" s="177">
        <f>(T6-U5)*24*60</f>
        <v>9.9999999999999645</v>
      </c>
      <c r="W6" s="182">
        <f t="shared" si="5"/>
        <v>69.999999999999986</v>
      </c>
      <c r="X6" s="22"/>
      <c r="Y6" s="22"/>
      <c r="Z6" s="381"/>
      <c r="AA6" s="381"/>
      <c r="AB6" s="18">
        <f>N6-K6</f>
        <v>-26.428571428571104</v>
      </c>
      <c r="AC6" s="185">
        <f>N6/K6</f>
        <v>0.98605352431209969</v>
      </c>
      <c r="AD6" s="402"/>
    </row>
    <row r="7" spans="1:30" ht="15" customHeight="1">
      <c r="A7" s="412"/>
      <c r="B7" s="56" t="str">
        <f>VLOOKUP(D7,廠價表!$C$1:$E$39,2,0)</f>
        <v>義大利麵</v>
      </c>
      <c r="C7" s="10"/>
      <c r="D7" s="11" t="s">
        <v>141</v>
      </c>
      <c r="E7" s="86"/>
      <c r="F7" s="56">
        <f>VLOOKUP(D7,廠價表!$C$1:$E$39,3,0)</f>
        <v>49.14</v>
      </c>
      <c r="G7" s="25">
        <v>4008</v>
      </c>
      <c r="H7" s="15">
        <f t="shared" si="6"/>
        <v>196953.12</v>
      </c>
      <c r="I7" s="182"/>
      <c r="J7" s="16">
        <v>14</v>
      </c>
      <c r="K7" s="14">
        <f>VLOOKUP(D7,產線配置圖!$A$2:$C$38,3,0)</f>
        <v>2000</v>
      </c>
      <c r="L7" s="17">
        <f>K7/J7</f>
        <v>142.85714285714286</v>
      </c>
      <c r="M7" s="180">
        <v>14</v>
      </c>
      <c r="N7" s="14">
        <f t="shared" si="0"/>
        <v>1893.5433070866138</v>
      </c>
      <c r="O7" s="17">
        <f t="shared" si="1"/>
        <v>135.25309336332955</v>
      </c>
      <c r="P7" s="18">
        <f t="shared" si="2"/>
        <v>0</v>
      </c>
      <c r="Q7" s="19">
        <f t="shared" si="3"/>
        <v>-7.6040494938133065</v>
      </c>
      <c r="R7" s="185">
        <f t="shared" si="4"/>
        <v>0.94677165354330683</v>
      </c>
      <c r="S7" s="397"/>
      <c r="T7" s="95">
        <v>0.39097222222222222</v>
      </c>
      <c r="U7" s="95">
        <v>0.47916666666666669</v>
      </c>
      <c r="V7" s="177">
        <f>(T7-U6)*24*60</f>
        <v>13.000000000000034</v>
      </c>
      <c r="W7" s="182">
        <f t="shared" si="5"/>
        <v>127.00000000000003</v>
      </c>
      <c r="X7" s="22"/>
      <c r="Y7" s="22"/>
      <c r="Z7" s="405"/>
      <c r="AA7" s="405"/>
      <c r="AB7" s="18">
        <f>N7-K7</f>
        <v>-106.45669291338618</v>
      </c>
      <c r="AC7" s="185">
        <f>N7/K7</f>
        <v>0.94677165354330695</v>
      </c>
      <c r="AD7" s="402"/>
    </row>
    <row r="8" spans="1:30" ht="15" customHeight="1">
      <c r="A8" s="412"/>
      <c r="B8" s="56" t="str">
        <f>VLOOKUP(D8,廠價表!$C$1:$E$39,2,0)</f>
        <v>義大利麵</v>
      </c>
      <c r="C8" s="10"/>
      <c r="D8" s="11" t="s">
        <v>141</v>
      </c>
      <c r="E8" s="86"/>
      <c r="F8" s="56">
        <f>VLOOKUP(D8,廠價表!$C$1:$E$39,3,0)</f>
        <v>49.14</v>
      </c>
      <c r="G8" s="25">
        <v>1547</v>
      </c>
      <c r="H8" s="15">
        <f t="shared" si="6"/>
        <v>76019.58</v>
      </c>
      <c r="I8" s="182"/>
      <c r="J8" s="16">
        <v>14</v>
      </c>
      <c r="K8" s="14">
        <f>VLOOKUP(D8,產線配置圖!$A$2:$C$38,3,0)</f>
        <v>2000</v>
      </c>
      <c r="L8" s="17">
        <f t="shared" ref="L8" si="7">K8/J8</f>
        <v>142.85714285714286</v>
      </c>
      <c r="M8" s="180">
        <v>14</v>
      </c>
      <c r="N8" s="14">
        <f t="shared" si="0"/>
        <v>1974.8936170212771</v>
      </c>
      <c r="O8" s="17">
        <f t="shared" si="1"/>
        <v>141.06382978723408</v>
      </c>
      <c r="P8" s="18">
        <f t="shared" si="2"/>
        <v>0</v>
      </c>
      <c r="Q8" s="19">
        <f t="shared" si="3"/>
        <v>-1.7933130699087769</v>
      </c>
      <c r="R8" s="185">
        <f t="shared" si="4"/>
        <v>0.9874468085106386</v>
      </c>
      <c r="S8" s="397"/>
      <c r="T8" s="20">
        <v>0.54027777777777775</v>
      </c>
      <c r="U8" s="20">
        <v>0.57291666666666663</v>
      </c>
      <c r="V8" s="177">
        <f>(T8-U7)*24*60</f>
        <v>87.999999999999929</v>
      </c>
      <c r="W8" s="182">
        <f t="shared" si="5"/>
        <v>46.999999999999993</v>
      </c>
      <c r="X8" s="22">
        <v>0.48958333333333331</v>
      </c>
      <c r="Y8" s="22">
        <v>0.53125</v>
      </c>
      <c r="Z8" s="406"/>
      <c r="AA8" s="406"/>
      <c r="AB8" s="18">
        <f>N8-K8</f>
        <v>-25.106382978722877</v>
      </c>
      <c r="AC8" s="185">
        <f>N8/K8</f>
        <v>0.9874468085106386</v>
      </c>
      <c r="AD8" s="402"/>
    </row>
    <row r="9" spans="1:30" ht="15" customHeight="1">
      <c r="A9" s="413"/>
      <c r="B9" s="56"/>
      <c r="C9" s="10"/>
      <c r="D9" s="11"/>
      <c r="E9" s="86"/>
      <c r="F9" s="56"/>
      <c r="G9" s="25"/>
      <c r="H9" s="15"/>
      <c r="I9" s="182"/>
      <c r="J9" s="16"/>
      <c r="K9" s="14"/>
      <c r="L9" s="17"/>
      <c r="M9" s="180"/>
      <c r="N9" s="14"/>
      <c r="O9" s="17"/>
      <c r="P9" s="18"/>
      <c r="Q9" s="19"/>
      <c r="R9" s="185"/>
      <c r="S9" s="398"/>
      <c r="T9" s="79"/>
      <c r="U9" s="79"/>
      <c r="V9" s="177"/>
      <c r="W9" s="24">
        <f t="shared" si="5"/>
        <v>0</v>
      </c>
      <c r="X9" s="22"/>
      <c r="Y9" s="263"/>
      <c r="Z9" s="407"/>
      <c r="AA9" s="407"/>
      <c r="AB9" s="18"/>
      <c r="AC9" s="185"/>
      <c r="AD9" s="403"/>
    </row>
    <row r="10" spans="1:30" ht="15" customHeight="1">
      <c r="A10" s="413"/>
      <c r="B10" s="56"/>
      <c r="C10" s="23"/>
      <c r="D10" s="11"/>
      <c r="E10" s="12"/>
      <c r="F10" s="56"/>
      <c r="G10" s="25"/>
      <c r="H10" s="15"/>
      <c r="I10" s="182"/>
      <c r="J10" s="16"/>
      <c r="K10" s="14"/>
      <c r="L10" s="17"/>
      <c r="M10" s="180"/>
      <c r="N10" s="14"/>
      <c r="O10" s="17"/>
      <c r="P10" s="18"/>
      <c r="Q10" s="19"/>
      <c r="R10" s="185"/>
      <c r="S10" s="398"/>
      <c r="T10" s="20"/>
      <c r="U10" s="20"/>
      <c r="V10" s="177"/>
      <c r="W10" s="182">
        <f t="shared" si="5"/>
        <v>0</v>
      </c>
      <c r="X10" s="22"/>
      <c r="Y10" s="263"/>
      <c r="Z10" s="419"/>
      <c r="AA10" s="418"/>
      <c r="AB10" s="264"/>
      <c r="AC10" s="185"/>
      <c r="AD10" s="403"/>
    </row>
    <row r="11" spans="1:30" ht="15" customHeight="1">
      <c r="A11" s="413"/>
      <c r="B11" s="56"/>
      <c r="C11" s="183"/>
      <c r="D11" s="11"/>
      <c r="E11" s="12"/>
      <c r="F11" s="56"/>
      <c r="G11" s="25"/>
      <c r="H11" s="15">
        <f t="shared" si="6"/>
        <v>0</v>
      </c>
      <c r="I11" s="182"/>
      <c r="J11" s="16"/>
      <c r="K11" s="14"/>
      <c r="L11" s="17"/>
      <c r="M11" s="180"/>
      <c r="N11" s="14"/>
      <c r="O11" s="17"/>
      <c r="P11" s="18"/>
      <c r="Q11" s="19"/>
      <c r="R11" s="185"/>
      <c r="S11" s="398"/>
      <c r="T11" s="20"/>
      <c r="U11" s="20"/>
      <c r="V11" s="177"/>
      <c r="W11" s="24">
        <f t="shared" si="5"/>
        <v>0</v>
      </c>
      <c r="X11" s="22"/>
      <c r="Y11" s="263"/>
      <c r="Z11" s="419"/>
      <c r="AA11" s="418"/>
      <c r="AB11" s="264"/>
      <c r="AC11" s="185"/>
      <c r="AD11" s="403"/>
    </row>
    <row r="12" spans="1:30" ht="15" customHeight="1">
      <c r="A12" s="413"/>
      <c r="B12" s="26"/>
      <c r="C12" s="27"/>
      <c r="D12" s="28"/>
      <c r="E12" s="29"/>
      <c r="F12" s="13"/>
      <c r="G12" s="30"/>
      <c r="H12" s="15">
        <f t="shared" si="6"/>
        <v>0</v>
      </c>
      <c r="I12" s="178"/>
      <c r="J12" s="31"/>
      <c r="K12" s="30"/>
      <c r="L12" s="17"/>
      <c r="M12" s="181"/>
      <c r="N12" s="25"/>
      <c r="O12" s="17"/>
      <c r="P12" s="18"/>
      <c r="Q12" s="19"/>
      <c r="R12" s="185"/>
      <c r="S12" s="398"/>
      <c r="T12" s="32"/>
      <c r="U12" s="32"/>
      <c r="V12" s="178"/>
      <c r="W12" s="24">
        <f t="shared" si="5"/>
        <v>0</v>
      </c>
      <c r="X12" s="33"/>
      <c r="Y12" s="33"/>
      <c r="Z12" s="407"/>
      <c r="AA12" s="407"/>
      <c r="AB12" s="34"/>
      <c r="AC12" s="186"/>
      <c r="AD12" s="403"/>
    </row>
    <row r="13" spans="1:30" ht="15" customHeight="1">
      <c r="A13" s="413"/>
      <c r="B13" s="56"/>
      <c r="C13" s="10"/>
      <c r="D13" s="11"/>
      <c r="E13" s="86"/>
      <c r="F13" s="56"/>
      <c r="G13" s="25"/>
      <c r="H13" s="15"/>
      <c r="I13" s="182"/>
      <c r="J13" s="16"/>
      <c r="K13" s="14"/>
      <c r="L13" s="17"/>
      <c r="M13" s="180"/>
      <c r="N13" s="14"/>
      <c r="O13" s="17"/>
      <c r="P13" s="18"/>
      <c r="Q13" s="19"/>
      <c r="R13" s="185"/>
      <c r="S13" s="479"/>
      <c r="T13" s="309"/>
      <c r="U13" s="309"/>
      <c r="V13" s="26"/>
      <c r="W13" s="24">
        <f t="shared" si="5"/>
        <v>0</v>
      </c>
      <c r="X13" s="33"/>
      <c r="Y13" s="33"/>
      <c r="Z13" s="419"/>
      <c r="AA13" s="418"/>
      <c r="AB13" s="34"/>
      <c r="AC13" s="186"/>
      <c r="AD13" s="403"/>
    </row>
    <row r="14" spans="1:30" ht="15" customHeight="1">
      <c r="A14" s="413"/>
      <c r="B14" s="26"/>
      <c r="C14" s="27"/>
      <c r="D14" s="28"/>
      <c r="E14" s="29"/>
      <c r="F14" s="13"/>
      <c r="G14" s="30"/>
      <c r="H14" s="15">
        <f t="shared" si="6"/>
        <v>0</v>
      </c>
      <c r="I14" s="178"/>
      <c r="J14" s="31"/>
      <c r="K14" s="30"/>
      <c r="L14" s="17"/>
      <c r="M14" s="181"/>
      <c r="N14" s="25"/>
      <c r="O14" s="17"/>
      <c r="P14" s="18"/>
      <c r="Q14" s="19"/>
      <c r="R14" s="185"/>
      <c r="S14" s="398"/>
      <c r="T14" s="308"/>
      <c r="U14" s="308"/>
      <c r="V14" s="178"/>
      <c r="W14" s="24">
        <f t="shared" si="5"/>
        <v>0</v>
      </c>
      <c r="X14" s="33"/>
      <c r="Y14" s="33"/>
      <c r="Z14" s="419"/>
      <c r="AA14" s="418"/>
      <c r="AB14" s="34"/>
      <c r="AC14" s="186"/>
      <c r="AD14" s="403"/>
    </row>
    <row r="15" spans="1:30" ht="15" customHeight="1" thickBot="1">
      <c r="A15" s="414"/>
      <c r="B15" s="113"/>
      <c r="C15" s="113" t="s">
        <v>34</v>
      </c>
      <c r="D15" s="410" t="s">
        <v>7</v>
      </c>
      <c r="E15" s="410"/>
      <c r="F15" s="114"/>
      <c r="G15" s="115"/>
      <c r="H15" s="116"/>
      <c r="I15" s="117"/>
      <c r="J15" s="118">
        <f t="shared" ref="J15:O15" si="8">AVERAGE(J5:J14)</f>
        <v>15</v>
      </c>
      <c r="K15" s="118">
        <f t="shared" si="8"/>
        <v>2000</v>
      </c>
      <c r="L15" s="115">
        <f t="shared" si="8"/>
        <v>135.3373015873016</v>
      </c>
      <c r="M15" s="118">
        <f t="shared" si="8"/>
        <v>15</v>
      </c>
      <c r="N15" s="118">
        <f t="shared" si="8"/>
        <v>1908.7713189390611</v>
      </c>
      <c r="O15" s="115">
        <f t="shared" si="8"/>
        <v>128.92584250925265</v>
      </c>
      <c r="P15" s="119">
        <f t="shared" ref="P15:P16" si="9">M15-J15</f>
        <v>0</v>
      </c>
      <c r="Q15" s="120">
        <f t="shared" ref="Q15:Q16" si="10">O15-L15</f>
        <v>-6.4114590780489493</v>
      </c>
      <c r="R15" s="121">
        <f t="shared" ref="R15:R16" si="11">O15/L15</f>
        <v>0.95262607571709912</v>
      </c>
      <c r="S15" s="399"/>
      <c r="T15" s="122"/>
      <c r="U15" s="122"/>
      <c r="V15" s="195"/>
      <c r="W15" s="123"/>
      <c r="X15" s="124"/>
      <c r="Y15" s="124"/>
      <c r="Z15" s="391"/>
      <c r="AA15" s="391"/>
      <c r="AB15" s="119">
        <f>N15-K15</f>
        <v>-91.228681060938925</v>
      </c>
      <c r="AC15" s="187">
        <f>N15/K15</f>
        <v>0.95438565946953058</v>
      </c>
      <c r="AD15" s="404"/>
    </row>
    <row r="16" spans="1:30" ht="15" customHeight="1">
      <c r="A16" s="431" t="s">
        <v>67</v>
      </c>
      <c r="B16" s="199" t="s">
        <v>134</v>
      </c>
      <c r="C16" s="102"/>
      <c r="D16" s="103" t="s">
        <v>127</v>
      </c>
      <c r="E16" s="104"/>
      <c r="F16" s="199">
        <f>VLOOKUP(D16,廠價表!$C$1:$E$39,3,0)</f>
        <v>57.21</v>
      </c>
      <c r="G16" s="265">
        <v>1459</v>
      </c>
      <c r="H16" s="125">
        <f t="shared" ref="H16:H25" si="12">F16*G16</f>
        <v>83469.39</v>
      </c>
      <c r="I16" s="126"/>
      <c r="J16" s="108">
        <v>14</v>
      </c>
      <c r="K16" s="105">
        <f>VLOOKUP(D16,產線配置圖!$A$2:$C$38,3,0)</f>
        <v>2105</v>
      </c>
      <c r="L16" s="109">
        <f>K16/J16</f>
        <v>150.35714285714286</v>
      </c>
      <c r="M16" s="267">
        <v>14</v>
      </c>
      <c r="N16" s="127">
        <f>G16/W16*60</f>
        <v>1750.8000000000004</v>
      </c>
      <c r="O16" s="128">
        <f>N16/M16</f>
        <v>125.05714285714289</v>
      </c>
      <c r="P16" s="129">
        <f t="shared" si="9"/>
        <v>0</v>
      </c>
      <c r="Q16" s="130">
        <f t="shared" si="10"/>
        <v>-25.299999999999969</v>
      </c>
      <c r="R16" s="189">
        <f t="shared" si="11"/>
        <v>0.83173396674584343</v>
      </c>
      <c r="S16" s="424">
        <f>R26</f>
        <v>0.93712927641848875</v>
      </c>
      <c r="T16" s="268">
        <v>0.2902777777777778</v>
      </c>
      <c r="U16" s="268">
        <v>0.32500000000000001</v>
      </c>
      <c r="V16" s="126"/>
      <c r="W16" s="131">
        <f t="shared" ref="W16:W68" si="13">(U16-T16)*24*60</f>
        <v>49.999999999999986</v>
      </c>
      <c r="X16" s="128"/>
      <c r="Y16" s="128"/>
      <c r="Z16" s="400"/>
      <c r="AA16" s="400"/>
      <c r="AB16" s="111">
        <f>N16-K16</f>
        <v>-354.19999999999959</v>
      </c>
      <c r="AC16" s="184">
        <f>N16/K16</f>
        <v>0.83173396674584343</v>
      </c>
      <c r="AD16" s="401">
        <f>AC26</f>
        <v>0.93618207172948253</v>
      </c>
    </row>
    <row r="17" spans="1:30" ht="15" customHeight="1">
      <c r="A17" s="432"/>
      <c r="B17" s="56" t="s">
        <v>62</v>
      </c>
      <c r="C17" s="10"/>
      <c r="D17" s="11" t="s">
        <v>153</v>
      </c>
      <c r="E17" s="86"/>
      <c r="F17" s="56">
        <f>VLOOKUP(D17,廠價表!$C$1:$E$39,3,0)</f>
        <v>50.67</v>
      </c>
      <c r="G17" s="96">
        <v>4375</v>
      </c>
      <c r="H17" s="15">
        <f>F17*G17</f>
        <v>221681.25</v>
      </c>
      <c r="I17" s="177"/>
      <c r="J17" s="16">
        <v>14</v>
      </c>
      <c r="K17" s="14">
        <f>VLOOKUP(D17,產線配置圖!$A$2:$C$38,3,0)</f>
        <v>2000</v>
      </c>
      <c r="L17" s="17">
        <f>K17/J17</f>
        <v>142.85714285714286</v>
      </c>
      <c r="M17" s="37">
        <v>14</v>
      </c>
      <c r="N17" s="36">
        <f>G17/W17*60</f>
        <v>1988.6363636363635</v>
      </c>
      <c r="O17" s="38">
        <f>N17/M17</f>
        <v>142.04545454545453</v>
      </c>
      <c r="P17" s="39">
        <f>M17-J17</f>
        <v>0</v>
      </c>
      <c r="Q17" s="40">
        <f>O17-L17</f>
        <v>-0.81168831168832867</v>
      </c>
      <c r="R17" s="190">
        <f>O17/L17</f>
        <v>0.99431818181818166</v>
      </c>
      <c r="S17" s="425"/>
      <c r="T17" s="41">
        <v>0.33263888888888887</v>
      </c>
      <c r="U17" s="41">
        <v>0.42430555555555555</v>
      </c>
      <c r="V17" s="177">
        <f>(T17-U16)*24*60</f>
        <v>10.999999999999961</v>
      </c>
      <c r="W17" s="43">
        <f t="shared" si="13"/>
        <v>132</v>
      </c>
      <c r="X17" s="44"/>
      <c r="Y17" s="44"/>
      <c r="Z17" s="381"/>
      <c r="AA17" s="381"/>
      <c r="AB17" s="18">
        <f>N17-K17</f>
        <v>-11.363636363636488</v>
      </c>
      <c r="AC17" s="185">
        <f>N17/K17</f>
        <v>0.99431818181818177</v>
      </c>
      <c r="AD17" s="402"/>
    </row>
    <row r="18" spans="1:30" ht="15" customHeight="1">
      <c r="A18" s="432"/>
      <c r="B18" s="56" t="s">
        <v>62</v>
      </c>
      <c r="C18" s="10"/>
      <c r="D18" s="11" t="s">
        <v>131</v>
      </c>
      <c r="E18" s="86"/>
      <c r="F18" s="56">
        <f>VLOOKUP(D18,廠價表!$C$1:$E$39,3,0)</f>
        <v>50.39</v>
      </c>
      <c r="G18" s="96">
        <v>2098</v>
      </c>
      <c r="H18" s="15">
        <f>F18*G18</f>
        <v>105718.22</v>
      </c>
      <c r="I18" s="177"/>
      <c r="J18" s="16">
        <v>13</v>
      </c>
      <c r="K18" s="14">
        <f>VLOOKUP(D18,產線配置圖!$A$2:$C$38,3,0)</f>
        <v>2000</v>
      </c>
      <c r="L18" s="17">
        <f>K18/J18</f>
        <v>153.84615384615384</v>
      </c>
      <c r="M18" s="37">
        <v>13</v>
      </c>
      <c r="N18" s="36">
        <f>G18/W18*60</f>
        <v>1851.1764705882351</v>
      </c>
      <c r="O18" s="38">
        <f>N18/M18</f>
        <v>142.39819004524887</v>
      </c>
      <c r="P18" s="39">
        <f>M18-J18</f>
        <v>0</v>
      </c>
      <c r="Q18" s="40">
        <f>O18-L18</f>
        <v>-11.447963800904972</v>
      </c>
      <c r="R18" s="190">
        <f>O18/L18</f>
        <v>0.92558823529411771</v>
      </c>
      <c r="S18" s="425"/>
      <c r="T18" s="41">
        <v>0.43194444444444446</v>
      </c>
      <c r="U18" s="41">
        <v>0.47916666666666669</v>
      </c>
      <c r="V18" s="177">
        <f>(T18-U17)*24*60</f>
        <v>11.000000000000041</v>
      </c>
      <c r="W18" s="43">
        <f t="shared" si="13"/>
        <v>68</v>
      </c>
      <c r="X18" s="22"/>
      <c r="Y18" s="22"/>
      <c r="Z18" s="418"/>
      <c r="AA18" s="405"/>
      <c r="AB18" s="18">
        <f>N18-K18</f>
        <v>-148.82352941176487</v>
      </c>
      <c r="AC18" s="185">
        <f>N18/K18</f>
        <v>0.9255882352941176</v>
      </c>
      <c r="AD18" s="402"/>
    </row>
    <row r="19" spans="1:30" ht="15" customHeight="1">
      <c r="A19" s="432"/>
      <c r="B19" s="56" t="s">
        <v>62</v>
      </c>
      <c r="C19" s="23"/>
      <c r="D19" s="11" t="s">
        <v>131</v>
      </c>
      <c r="E19" s="12"/>
      <c r="F19" s="56">
        <f>VLOOKUP(D19,廠價表!$C$1:$E$39,3,0)</f>
        <v>50.39</v>
      </c>
      <c r="G19" s="96">
        <v>3029</v>
      </c>
      <c r="H19" s="15">
        <f t="shared" ref="H19" si="14">F19*G19</f>
        <v>152631.31</v>
      </c>
      <c r="I19" s="177"/>
      <c r="J19" s="16">
        <v>13</v>
      </c>
      <c r="K19" s="14">
        <f>VLOOKUP(D19,產線配置圖!$A$2:$C$38,3,0)</f>
        <v>2000</v>
      </c>
      <c r="L19" s="17">
        <f t="shared" ref="L19" si="15">K19/J19</f>
        <v>153.84615384615384</v>
      </c>
      <c r="M19" s="37">
        <v>13</v>
      </c>
      <c r="N19" s="36">
        <f>G19/W19*60</f>
        <v>1997.1428571428571</v>
      </c>
      <c r="O19" s="38">
        <f>N19/M19</f>
        <v>153.62637362637363</v>
      </c>
      <c r="P19" s="39">
        <f>M19-J19</f>
        <v>0</v>
      </c>
      <c r="Q19" s="40">
        <f>O19-L19</f>
        <v>-0.21978021978020479</v>
      </c>
      <c r="R19" s="190">
        <f>O19/L19</f>
        <v>0.99857142857142867</v>
      </c>
      <c r="S19" s="425"/>
      <c r="T19" s="41">
        <v>0.54166666666666663</v>
      </c>
      <c r="U19" s="41">
        <v>0.60486111111111107</v>
      </c>
      <c r="V19" s="177">
        <f>(T19-U18)*24*60</f>
        <v>89.999999999999915</v>
      </c>
      <c r="W19" s="43">
        <f t="shared" si="13"/>
        <v>91</v>
      </c>
      <c r="X19" s="22">
        <v>0.5</v>
      </c>
      <c r="Y19" s="263">
        <v>0.54166666666666663</v>
      </c>
      <c r="Z19" s="407"/>
      <c r="AA19" s="407"/>
      <c r="AB19" s="18">
        <f>N19-K19</f>
        <v>-2.8571428571428896</v>
      </c>
      <c r="AC19" s="185">
        <f>N19/K19</f>
        <v>0.99857142857142855</v>
      </c>
      <c r="AD19" s="403"/>
    </row>
    <row r="20" spans="1:30" ht="15" customHeight="1">
      <c r="A20" s="432"/>
      <c r="B20" s="56"/>
      <c r="C20" s="23"/>
      <c r="D20" s="11"/>
      <c r="E20" s="12"/>
      <c r="F20" s="56"/>
      <c r="G20" s="96"/>
      <c r="H20" s="15"/>
      <c r="I20" s="177"/>
      <c r="J20" s="16"/>
      <c r="K20" s="14"/>
      <c r="L20" s="17"/>
      <c r="M20" s="37"/>
      <c r="N20" s="36"/>
      <c r="O20" s="38"/>
      <c r="P20" s="39"/>
      <c r="Q20" s="40"/>
      <c r="R20" s="190"/>
      <c r="S20" s="425"/>
      <c r="T20" s="41"/>
      <c r="U20" s="41"/>
      <c r="V20" s="177"/>
      <c r="W20" s="43">
        <f t="shared" si="13"/>
        <v>0</v>
      </c>
      <c r="X20" s="44"/>
      <c r="Y20" s="44"/>
      <c r="Z20" s="418"/>
      <c r="AA20" s="405"/>
      <c r="AB20" s="34"/>
      <c r="AC20" s="186"/>
      <c r="AD20" s="403"/>
    </row>
    <row r="21" spans="1:30" ht="15" customHeight="1">
      <c r="A21" s="433"/>
      <c r="B21" s="177"/>
      <c r="C21" s="23"/>
      <c r="D21" s="11"/>
      <c r="E21" s="12"/>
      <c r="F21" s="13"/>
      <c r="G21" s="36"/>
      <c r="H21" s="15">
        <f t="shared" si="12"/>
        <v>0</v>
      </c>
      <c r="I21" s="43"/>
      <c r="J21" s="37"/>
      <c r="K21" s="36"/>
      <c r="L21" s="38"/>
      <c r="M21" s="37"/>
      <c r="N21" s="36"/>
      <c r="O21" s="38"/>
      <c r="P21" s="39"/>
      <c r="Q21" s="40"/>
      <c r="R21" s="190"/>
      <c r="S21" s="425"/>
      <c r="T21" s="41"/>
      <c r="U21" s="41"/>
      <c r="V21" s="42"/>
      <c r="W21" s="43">
        <v>0</v>
      </c>
      <c r="X21" s="42"/>
      <c r="Y21" s="42"/>
      <c r="Z21" s="418"/>
      <c r="AA21" s="405"/>
      <c r="AB21" s="34"/>
      <c r="AC21" s="186"/>
      <c r="AD21" s="403"/>
    </row>
    <row r="22" spans="1:30" ht="15" customHeight="1">
      <c r="A22" s="433"/>
      <c r="B22" s="177"/>
      <c r="C22" s="183"/>
      <c r="D22" s="11"/>
      <c r="E22" s="12"/>
      <c r="F22" s="13"/>
      <c r="G22" s="36"/>
      <c r="H22" s="15">
        <f t="shared" si="12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90"/>
      <c r="S22" s="425"/>
      <c r="T22" s="41"/>
      <c r="U22" s="41"/>
      <c r="V22" s="42"/>
      <c r="W22" s="43">
        <v>0</v>
      </c>
      <c r="X22" s="42"/>
      <c r="Y22" s="42"/>
      <c r="Z22" s="418"/>
      <c r="AA22" s="405"/>
      <c r="AB22" s="34"/>
      <c r="AC22" s="186"/>
      <c r="AD22" s="403"/>
    </row>
    <row r="23" spans="1:30" ht="15" customHeight="1">
      <c r="A23" s="433"/>
      <c r="B23" s="26"/>
      <c r="C23" s="27"/>
      <c r="D23" s="28"/>
      <c r="E23" s="29"/>
      <c r="F23" s="13"/>
      <c r="G23" s="36"/>
      <c r="H23" s="15">
        <f t="shared" si="12"/>
        <v>0</v>
      </c>
      <c r="I23" s="43"/>
      <c r="J23" s="37"/>
      <c r="K23" s="36"/>
      <c r="L23" s="38"/>
      <c r="M23" s="37"/>
      <c r="N23" s="36"/>
      <c r="O23" s="38"/>
      <c r="P23" s="39"/>
      <c r="Q23" s="40"/>
      <c r="R23" s="190"/>
      <c r="S23" s="425"/>
      <c r="T23" s="41"/>
      <c r="U23" s="41"/>
      <c r="W23" s="43">
        <f t="shared" si="13"/>
        <v>0</v>
      </c>
      <c r="X23" s="42"/>
      <c r="Y23" s="42"/>
      <c r="Z23" s="418"/>
      <c r="AA23" s="405"/>
      <c r="AB23" s="34"/>
      <c r="AC23" s="186"/>
      <c r="AD23" s="403"/>
    </row>
    <row r="24" spans="1:30" ht="15" customHeight="1">
      <c r="A24" s="433"/>
      <c r="B24" s="26"/>
      <c r="C24" s="27"/>
      <c r="D24" s="28"/>
      <c r="E24" s="29"/>
      <c r="F24" s="13"/>
      <c r="G24" s="36"/>
      <c r="H24" s="15">
        <f t="shared" si="12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90"/>
      <c r="S24" s="425"/>
      <c r="T24" s="41"/>
      <c r="U24" s="41"/>
      <c r="V24" s="42"/>
      <c r="W24" s="43">
        <f t="shared" si="13"/>
        <v>0</v>
      </c>
      <c r="X24" s="42"/>
      <c r="Y24" s="42"/>
      <c r="Z24" s="418"/>
      <c r="AA24" s="405"/>
      <c r="AB24" s="34"/>
      <c r="AC24" s="186"/>
      <c r="AD24" s="403"/>
    </row>
    <row r="25" spans="1:30" ht="15" customHeight="1">
      <c r="A25" s="433"/>
      <c r="B25" s="26"/>
      <c r="C25" s="27"/>
      <c r="D25" s="28"/>
      <c r="E25" s="29"/>
      <c r="F25" s="13"/>
      <c r="G25" s="36"/>
      <c r="H25" s="50">
        <f t="shared" si="12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90"/>
      <c r="S25" s="425"/>
      <c r="T25" s="41"/>
      <c r="U25" s="41"/>
      <c r="V25" s="42"/>
      <c r="W25" s="43">
        <f t="shared" si="13"/>
        <v>0</v>
      </c>
      <c r="X25" s="42"/>
      <c r="Y25" s="42"/>
      <c r="Z25" s="418"/>
      <c r="AA25" s="405"/>
      <c r="AB25" s="34"/>
      <c r="AC25" s="186"/>
      <c r="AD25" s="403"/>
    </row>
    <row r="26" spans="1:30" ht="15" customHeight="1" thickBot="1">
      <c r="A26" s="434"/>
      <c r="B26" s="132"/>
      <c r="C26" s="1" t="s">
        <v>35</v>
      </c>
      <c r="D26" s="410" t="s">
        <v>7</v>
      </c>
      <c r="E26" s="410"/>
      <c r="F26" s="133"/>
      <c r="G26" s="134"/>
      <c r="H26" s="135"/>
      <c r="I26" s="136"/>
      <c r="J26" s="134">
        <f t="shared" ref="J26:O26" si="16">AVERAGE(J16:J25)</f>
        <v>13.5</v>
      </c>
      <c r="K26" s="134">
        <f t="shared" si="16"/>
        <v>2026.25</v>
      </c>
      <c r="L26" s="137">
        <f t="shared" si="16"/>
        <v>150.22664835164835</v>
      </c>
      <c r="M26" s="134">
        <f t="shared" si="16"/>
        <v>13.5</v>
      </c>
      <c r="N26" s="134">
        <f t="shared" si="16"/>
        <v>1896.938922841864</v>
      </c>
      <c r="O26" s="137">
        <f t="shared" si="16"/>
        <v>140.78179026855497</v>
      </c>
      <c r="P26" s="138">
        <f t="shared" ref="P26:P29" si="17">M26-J26</f>
        <v>0</v>
      </c>
      <c r="Q26" s="139">
        <f t="shared" ref="Q26:Q29" si="18">O26-L26</f>
        <v>-9.4448580830933793</v>
      </c>
      <c r="R26" s="140">
        <f t="shared" ref="R26:R29" si="19">O26/L26</f>
        <v>0.93712927641848875</v>
      </c>
      <c r="S26" s="435"/>
      <c r="T26" s="141"/>
      <c r="U26" s="141"/>
      <c r="V26" s="146"/>
      <c r="W26" s="142"/>
      <c r="X26" s="143"/>
      <c r="Y26" s="143"/>
      <c r="Z26" s="420"/>
      <c r="AA26" s="391"/>
      <c r="AB26" s="119">
        <f>N26-K26</f>
        <v>-129.31107715813596</v>
      </c>
      <c r="AC26" s="187">
        <f>N26/K26</f>
        <v>0.93618207172948253</v>
      </c>
      <c r="AD26" s="404"/>
    </row>
    <row r="27" spans="1:30" ht="15" customHeight="1">
      <c r="A27" s="421" t="s">
        <v>54</v>
      </c>
      <c r="B27" s="229" t="s">
        <v>62</v>
      </c>
      <c r="C27" s="102"/>
      <c r="D27" s="103" t="s">
        <v>144</v>
      </c>
      <c r="E27" s="104"/>
      <c r="F27" s="199">
        <f>VLOOKUP(D27,廠價表!$C$1:$E$39,3,0)</f>
        <v>49.91</v>
      </c>
      <c r="G27" s="269">
        <v>3165</v>
      </c>
      <c r="H27" s="125">
        <f t="shared" ref="H27:H40" si="20">F27*G27</f>
        <v>157965.15</v>
      </c>
      <c r="I27" s="126"/>
      <c r="J27" s="108">
        <v>14</v>
      </c>
      <c r="K27" s="236">
        <v>1385</v>
      </c>
      <c r="L27" s="109">
        <f>K27/J27</f>
        <v>98.928571428571431</v>
      </c>
      <c r="M27" s="144">
        <v>14</v>
      </c>
      <c r="N27" s="127">
        <f>G27/W27*60</f>
        <v>1265.9999999999995</v>
      </c>
      <c r="O27" s="128">
        <f>N27/M27</f>
        <v>90.428571428571402</v>
      </c>
      <c r="P27" s="129">
        <f t="shared" si="17"/>
        <v>0</v>
      </c>
      <c r="Q27" s="130">
        <f t="shared" si="18"/>
        <v>-8.5000000000000284</v>
      </c>
      <c r="R27" s="189">
        <f>O27/L27</f>
        <v>0.91407942238267115</v>
      </c>
      <c r="S27" s="424">
        <f>R37</f>
        <v>0.86065455747146791</v>
      </c>
      <c r="T27" s="94">
        <v>0.28888888888888886</v>
      </c>
      <c r="U27" s="94">
        <v>0.39305555555555555</v>
      </c>
      <c r="V27" s="126"/>
      <c r="W27" s="131">
        <f t="shared" si="13"/>
        <v>150.00000000000003</v>
      </c>
      <c r="X27" s="126"/>
      <c r="Y27" s="126" t="s">
        <v>147</v>
      </c>
      <c r="Z27" s="427"/>
      <c r="AA27" s="400"/>
      <c r="AB27" s="225">
        <f>N27-K27</f>
        <v>-119.00000000000045</v>
      </c>
      <c r="AC27" s="291">
        <f>N27/K27</f>
        <v>0.91407942238267115</v>
      </c>
      <c r="AD27" s="401">
        <f>AC37</f>
        <v>0.8182520701457956</v>
      </c>
    </row>
    <row r="28" spans="1:30" ht="15" customHeight="1">
      <c r="A28" s="422"/>
      <c r="B28" s="56" t="str">
        <f>VLOOKUP(D28,廠價表!$C$1:$E$39,2,0)</f>
        <v>義大利麵</v>
      </c>
      <c r="C28" s="10"/>
      <c r="D28" s="11" t="s">
        <v>137</v>
      </c>
      <c r="E28" s="86"/>
      <c r="F28" s="56">
        <f>VLOOKUP(D28,廠價表!$C$1:$E$39,3,0)</f>
        <v>55.13</v>
      </c>
      <c r="G28" s="53">
        <v>1250</v>
      </c>
      <c r="H28" s="50">
        <f t="shared" si="20"/>
        <v>68912.5</v>
      </c>
      <c r="I28" s="42"/>
      <c r="J28" s="16">
        <v>16</v>
      </c>
      <c r="K28" s="14">
        <f>VLOOKUP(D28,產線配置圖!$A$2:$C$38,3,0)</f>
        <v>1385</v>
      </c>
      <c r="L28" s="235">
        <f>K28/J28</f>
        <v>86.5625</v>
      </c>
      <c r="M28" s="21">
        <v>15</v>
      </c>
      <c r="N28" s="36">
        <f>G28/W28*60</f>
        <v>1071.4285714285716</v>
      </c>
      <c r="O28" s="38">
        <f>N28/M28</f>
        <v>71.428571428571431</v>
      </c>
      <c r="P28" s="39">
        <f t="shared" si="17"/>
        <v>-1</v>
      </c>
      <c r="Q28" s="40">
        <f t="shared" si="18"/>
        <v>-15.133928571428569</v>
      </c>
      <c r="R28" s="190">
        <f t="shared" si="19"/>
        <v>0.82516761217122225</v>
      </c>
      <c r="S28" s="425"/>
      <c r="T28" s="270">
        <v>0.39930555555555558</v>
      </c>
      <c r="U28" s="270">
        <v>0.44791666666666669</v>
      </c>
      <c r="V28" s="42">
        <f>(T28-U27)*24*60</f>
        <v>9.000000000000048</v>
      </c>
      <c r="W28" s="43">
        <f t="shared" si="13"/>
        <v>69.999999999999986</v>
      </c>
      <c r="X28" s="54"/>
      <c r="Y28" s="54"/>
      <c r="Z28" s="418"/>
      <c r="AA28" s="419"/>
      <c r="AB28" s="39">
        <f>N28-K28</f>
        <v>-313.57142857142844</v>
      </c>
      <c r="AC28" s="190">
        <f>N28/K28</f>
        <v>0.77359463641052095</v>
      </c>
      <c r="AD28" s="447"/>
    </row>
    <row r="29" spans="1:30" ht="15" customHeight="1">
      <c r="A29" s="422"/>
      <c r="B29" s="56" t="str">
        <f>VLOOKUP(D29,廠價表!$C$1:$E$39,2,0)</f>
        <v>義大利麵</v>
      </c>
      <c r="C29" s="10"/>
      <c r="D29" s="11" t="s">
        <v>137</v>
      </c>
      <c r="E29" s="86"/>
      <c r="F29" s="56">
        <f>VLOOKUP(D29,廠價表!$C$1:$E$39,3,0)</f>
        <v>55.13</v>
      </c>
      <c r="G29" s="53">
        <v>1111</v>
      </c>
      <c r="H29" s="50">
        <f t="shared" si="20"/>
        <v>61249.43</v>
      </c>
      <c r="I29" s="42"/>
      <c r="J29" s="16">
        <v>16</v>
      </c>
      <c r="K29" s="14">
        <f>VLOOKUP(D29,產線配置圖!$A$2:$C$38,3,0)</f>
        <v>1385</v>
      </c>
      <c r="L29" s="235">
        <f>K29/J29</f>
        <v>86.5625</v>
      </c>
      <c r="M29" s="21">
        <v>15</v>
      </c>
      <c r="N29" s="36">
        <f>G29/W29*60</f>
        <v>1092.7868852459026</v>
      </c>
      <c r="O29" s="38">
        <f>N29/M29</f>
        <v>72.85245901639351</v>
      </c>
      <c r="P29" s="39">
        <f t="shared" si="17"/>
        <v>-1</v>
      </c>
      <c r="Q29" s="40">
        <f t="shared" si="18"/>
        <v>-13.71004098360649</v>
      </c>
      <c r="R29" s="190">
        <f t="shared" si="19"/>
        <v>0.84161685506302975</v>
      </c>
      <c r="S29" s="425"/>
      <c r="T29" s="41">
        <v>0.51666666666666672</v>
      </c>
      <c r="U29" s="41">
        <v>0.55902777777777779</v>
      </c>
      <c r="V29" s="42">
        <f>(T29-U28)*24*60</f>
        <v>99.000000000000043</v>
      </c>
      <c r="W29" s="43">
        <f t="shared" si="13"/>
        <v>60.999999999999943</v>
      </c>
      <c r="X29" s="54">
        <v>0.45833333333333331</v>
      </c>
      <c r="Y29" s="54">
        <v>0.5</v>
      </c>
      <c r="Z29" s="418"/>
      <c r="AA29" s="419"/>
      <c r="AB29" s="292">
        <f>N29-K29</f>
        <v>-292.21311475409743</v>
      </c>
      <c r="AC29" s="190">
        <f>N29/K29</f>
        <v>0.78901580162159035</v>
      </c>
      <c r="AD29" s="447"/>
    </row>
    <row r="30" spans="1:30" ht="15" customHeight="1">
      <c r="A30" s="422"/>
      <c r="B30" s="56" t="str">
        <f>VLOOKUP(D30,廠價表!$C$1:$E$39,2,0)</f>
        <v>義大利麵</v>
      </c>
      <c r="C30" s="237"/>
      <c r="D30" s="11" t="s">
        <v>158</v>
      </c>
      <c r="E30" s="29"/>
      <c r="F30" s="56">
        <f>VLOOKUP(D30,廠價表!$C$1:$E$39,3,0)</f>
        <v>47.71</v>
      </c>
      <c r="G30" s="53">
        <v>1596</v>
      </c>
      <c r="H30" s="50">
        <f t="shared" ref="H30" si="21">F30*G30</f>
        <v>76145.16</v>
      </c>
      <c r="I30" s="42"/>
      <c r="J30" s="16">
        <f>VLOOKUP(D30,產線配置圖!$A$2:$C$38,2,0)</f>
        <v>15</v>
      </c>
      <c r="K30" s="14">
        <f>VLOOKUP(D30,產線配置圖!$A$2:$C$38,3,0)</f>
        <v>1500</v>
      </c>
      <c r="L30" s="235">
        <f>K30/J30</f>
        <v>100</v>
      </c>
      <c r="M30" s="21">
        <v>14</v>
      </c>
      <c r="N30" s="36">
        <f>G30/W30*60</f>
        <v>1196.9999999999995</v>
      </c>
      <c r="O30" s="38">
        <f>N30/M30</f>
        <v>85.499999999999972</v>
      </c>
      <c r="P30" s="39">
        <f t="shared" ref="P30" si="22">M30-J30</f>
        <v>-1</v>
      </c>
      <c r="Q30" s="40">
        <f t="shared" ref="Q30" si="23">O30-L30</f>
        <v>-14.500000000000028</v>
      </c>
      <c r="R30" s="190">
        <f t="shared" ref="R30" si="24">O30/L30</f>
        <v>0.85499999999999976</v>
      </c>
      <c r="S30" s="425"/>
      <c r="T30" s="41">
        <v>0.56597222222222221</v>
      </c>
      <c r="U30" s="41">
        <v>0.62152777777777779</v>
      </c>
      <c r="V30" s="42">
        <f>(T30-U29)*24*60</f>
        <v>9.9999999999999645</v>
      </c>
      <c r="W30" s="43">
        <f t="shared" si="13"/>
        <v>80.000000000000028</v>
      </c>
      <c r="X30" s="54"/>
      <c r="Y30" s="54"/>
      <c r="Z30" s="449"/>
      <c r="AA30" s="450"/>
      <c r="AB30" s="34"/>
      <c r="AC30" s="293"/>
      <c r="AD30" s="448"/>
    </row>
    <row r="31" spans="1:30" ht="15" customHeight="1">
      <c r="A31" s="422"/>
      <c r="B31" s="56"/>
      <c r="C31" s="237"/>
      <c r="D31" s="11"/>
      <c r="E31" s="29"/>
      <c r="F31" s="56"/>
      <c r="G31" s="53"/>
      <c r="H31" s="50"/>
      <c r="I31" s="42"/>
      <c r="J31" s="16"/>
      <c r="K31" s="14"/>
      <c r="L31" s="235"/>
      <c r="M31" s="21"/>
      <c r="N31" s="36"/>
      <c r="O31" s="38"/>
      <c r="P31" s="39"/>
      <c r="Q31" s="40"/>
      <c r="R31" s="190"/>
      <c r="S31" s="425"/>
      <c r="T31" s="41"/>
      <c r="U31" s="41"/>
      <c r="V31" s="42"/>
      <c r="W31" s="43">
        <f t="shared" si="13"/>
        <v>0</v>
      </c>
      <c r="X31" s="54"/>
      <c r="Y31" s="54"/>
      <c r="Z31" s="449"/>
      <c r="AA31" s="450"/>
      <c r="AB31" s="257"/>
      <c r="AC31" s="258"/>
      <c r="AD31" s="403"/>
    </row>
    <row r="32" spans="1:30" ht="15" customHeight="1">
      <c r="A32" s="422"/>
      <c r="B32" s="56"/>
      <c r="C32" s="252"/>
      <c r="D32" s="253"/>
      <c r="E32" s="254"/>
      <c r="F32" s="56"/>
      <c r="G32" s="53"/>
      <c r="H32" s="50"/>
      <c r="I32" s="42"/>
      <c r="J32" s="255"/>
      <c r="K32" s="36"/>
      <c r="L32" s="256"/>
      <c r="M32" s="21"/>
      <c r="N32" s="36"/>
      <c r="O32" s="38"/>
      <c r="P32" s="39"/>
      <c r="Q32" s="40"/>
      <c r="R32" s="190"/>
      <c r="S32" s="425"/>
      <c r="T32" s="41"/>
      <c r="U32" s="41"/>
      <c r="V32" s="42"/>
      <c r="W32" s="43">
        <f t="shared" si="13"/>
        <v>0</v>
      </c>
      <c r="X32" s="54"/>
      <c r="Y32" s="54"/>
      <c r="Z32" s="418"/>
      <c r="AA32" s="405"/>
      <c r="AB32" s="18"/>
      <c r="AC32" s="185"/>
      <c r="AD32" s="403"/>
    </row>
    <row r="33" spans="1:30" ht="15" customHeight="1">
      <c r="A33" s="422"/>
      <c r="B33" s="240"/>
      <c r="C33" s="241"/>
      <c r="D33" s="242"/>
      <c r="E33" s="243"/>
      <c r="F33" s="223"/>
      <c r="G33" s="244"/>
      <c r="H33" s="245">
        <f t="shared" si="20"/>
        <v>0</v>
      </c>
      <c r="I33" s="246"/>
      <c r="J33" s="247"/>
      <c r="K33" s="45"/>
      <c r="M33" s="248"/>
      <c r="N33" s="45"/>
      <c r="O33" s="46"/>
      <c r="P33" s="47"/>
      <c r="Q33" s="48"/>
      <c r="R33" s="49"/>
      <c r="S33" s="425"/>
      <c r="T33" s="41"/>
      <c r="U33" s="41"/>
      <c r="V33" s="42"/>
      <c r="W33" s="43">
        <f t="shared" si="13"/>
        <v>0</v>
      </c>
      <c r="X33" s="54"/>
      <c r="Y33" s="54"/>
      <c r="Z33" s="418"/>
      <c r="AA33" s="405"/>
      <c r="AB33" s="18"/>
      <c r="AC33" s="57"/>
      <c r="AD33" s="403"/>
    </row>
    <row r="34" spans="1:30" ht="15" customHeight="1">
      <c r="A34" s="422"/>
      <c r="B34" s="231"/>
      <c r="C34" s="27"/>
      <c r="D34" s="28"/>
      <c r="E34" s="29"/>
      <c r="F34" s="13"/>
      <c r="G34" s="53"/>
      <c r="H34" s="50">
        <f t="shared" si="20"/>
        <v>0</v>
      </c>
      <c r="I34" s="42"/>
      <c r="J34" s="37"/>
      <c r="K34" s="36"/>
      <c r="L34" s="38"/>
      <c r="M34" s="21"/>
      <c r="N34" s="36"/>
      <c r="O34" s="38"/>
      <c r="P34" s="39"/>
      <c r="Q34" s="40"/>
      <c r="R34" s="190"/>
      <c r="S34" s="425"/>
      <c r="T34" s="41"/>
      <c r="U34" s="41"/>
      <c r="V34" s="42"/>
      <c r="W34" s="43">
        <f t="shared" si="13"/>
        <v>0</v>
      </c>
      <c r="X34" s="54"/>
      <c r="Y34" s="54"/>
      <c r="Z34" s="418"/>
      <c r="AA34" s="405"/>
      <c r="AB34" s="18"/>
      <c r="AC34" s="57"/>
      <c r="AD34" s="403"/>
    </row>
    <row r="35" spans="1:30" ht="15" customHeight="1">
      <c r="A35" s="422"/>
      <c r="B35" s="231"/>
      <c r="C35" s="27"/>
      <c r="D35" s="28"/>
      <c r="E35" s="29"/>
      <c r="F35" s="13"/>
      <c r="G35" s="53"/>
      <c r="H35" s="50">
        <f t="shared" si="20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90"/>
      <c r="S35" s="425"/>
      <c r="T35" s="41"/>
      <c r="U35" s="41"/>
      <c r="V35" s="42"/>
      <c r="W35" s="43">
        <f t="shared" si="13"/>
        <v>0</v>
      </c>
      <c r="X35" s="54"/>
      <c r="Y35" s="54"/>
      <c r="Z35" s="418"/>
      <c r="AA35" s="405"/>
      <c r="AB35" s="18"/>
      <c r="AC35" s="57"/>
      <c r="AD35" s="403"/>
    </row>
    <row r="36" spans="1:30" ht="15" customHeight="1">
      <c r="A36" s="422"/>
      <c r="B36" s="232"/>
      <c r="C36" s="27"/>
      <c r="D36" s="28"/>
      <c r="E36" s="29"/>
      <c r="F36" s="13"/>
      <c r="G36" s="53"/>
      <c r="H36" s="50">
        <f t="shared" si="20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90"/>
      <c r="S36" s="425"/>
      <c r="T36" s="41"/>
      <c r="U36" s="41"/>
      <c r="V36" s="42"/>
      <c r="W36" s="43">
        <f t="shared" si="13"/>
        <v>0</v>
      </c>
      <c r="X36" s="54"/>
      <c r="Y36" s="54"/>
      <c r="Z36" s="418"/>
      <c r="AA36" s="405"/>
      <c r="AB36" s="18"/>
      <c r="AC36" s="57"/>
      <c r="AD36" s="403"/>
    </row>
    <row r="37" spans="1:30" ht="15" customHeight="1" thickBot="1">
      <c r="A37" s="423"/>
      <c r="B37" s="300"/>
      <c r="C37" s="301" t="s">
        <v>36</v>
      </c>
      <c r="D37" s="428" t="s">
        <v>7</v>
      </c>
      <c r="E37" s="429"/>
      <c r="F37" s="281"/>
      <c r="G37" s="282"/>
      <c r="H37" s="283"/>
      <c r="I37" s="284"/>
      <c r="J37" s="285">
        <f t="shared" ref="J37:O37" si="25">AVERAGE(J27:J36)</f>
        <v>15.25</v>
      </c>
      <c r="K37" s="285">
        <f t="shared" si="25"/>
        <v>1413.75</v>
      </c>
      <c r="L37" s="286">
        <f t="shared" si="25"/>
        <v>93.013392857142861</v>
      </c>
      <c r="M37" s="285">
        <f t="shared" si="25"/>
        <v>14.5</v>
      </c>
      <c r="N37" s="285">
        <f t="shared" si="25"/>
        <v>1156.8038641686185</v>
      </c>
      <c r="O37" s="286">
        <f t="shared" si="25"/>
        <v>80.052400468384079</v>
      </c>
      <c r="P37" s="73">
        <f>M37-J37</f>
        <v>-0.75</v>
      </c>
      <c r="Q37" s="74">
        <f>N37-K37</f>
        <v>-256.94613583138153</v>
      </c>
      <c r="R37" s="287">
        <f t="shared" ref="R37:R40" si="26">O37/L37</f>
        <v>0.86065455747146791</v>
      </c>
      <c r="S37" s="426"/>
      <c r="T37" s="302"/>
      <c r="U37" s="302"/>
      <c r="V37" s="81"/>
      <c r="W37" s="81"/>
      <c r="X37" s="303"/>
      <c r="Y37" s="303"/>
      <c r="Z37" s="430"/>
      <c r="AA37" s="379"/>
      <c r="AB37" s="34">
        <f t="shared" ref="AB37:AB39" si="27">N37-K37</f>
        <v>-256.94613583138153</v>
      </c>
      <c r="AC37" s="186">
        <f t="shared" ref="AC37:AC39" si="28">N37/K37</f>
        <v>0.8182520701457956</v>
      </c>
      <c r="AD37" s="403"/>
    </row>
    <row r="38" spans="1:30" s="62" customFormat="1" ht="15" customHeight="1">
      <c r="A38" s="454" t="s">
        <v>55</v>
      </c>
      <c r="B38" s="229" t="s">
        <v>134</v>
      </c>
      <c r="C38" s="199"/>
      <c r="D38" s="304" t="s">
        <v>156</v>
      </c>
      <c r="E38" s="280"/>
      <c r="F38" s="305">
        <f>VLOOKUP(D38,廠價表!$C$1:$E$39,3,0)</f>
        <v>56.43</v>
      </c>
      <c r="G38" s="266">
        <v>3139</v>
      </c>
      <c r="H38" s="147">
        <f t="shared" si="20"/>
        <v>177133.77</v>
      </c>
      <c r="I38" s="126"/>
      <c r="J38" s="274">
        <f>VLOOKUP(D38,產線配置圖!$A$2:$C$38,2,0)</f>
        <v>15</v>
      </c>
      <c r="K38" s="236">
        <f>VLOOKUP(D38,產線配置圖!$A$2:$C$38,3,0)</f>
        <v>1406</v>
      </c>
      <c r="L38" s="288">
        <f t="shared" ref="L38:L40" si="29">K38/J38</f>
        <v>93.733333333333334</v>
      </c>
      <c r="M38" s="289">
        <v>15</v>
      </c>
      <c r="N38" s="127">
        <f>G38/W38*60</f>
        <v>1127.7844311377244</v>
      </c>
      <c r="O38" s="128">
        <f>N38/M38</f>
        <v>75.185628742514965</v>
      </c>
      <c r="P38" s="129">
        <f t="shared" ref="P38:P40" si="30">M38-J38</f>
        <v>0</v>
      </c>
      <c r="Q38" s="130">
        <f t="shared" ref="Q38:Q40" si="31">O38-L38</f>
        <v>-18.54770459081837</v>
      </c>
      <c r="R38" s="189">
        <f t="shared" si="26"/>
        <v>0.80212263950051521</v>
      </c>
      <c r="S38" s="457">
        <f>R48</f>
        <v>0.95485764322180167</v>
      </c>
      <c r="T38" s="151">
        <v>0.33055555555555555</v>
      </c>
      <c r="U38" s="151">
        <v>0.4465277777777778</v>
      </c>
      <c r="V38" s="148"/>
      <c r="W38" s="152">
        <f t="shared" si="13"/>
        <v>167.00000000000006</v>
      </c>
      <c r="X38" s="150"/>
      <c r="Y38" s="153"/>
      <c r="Z38" s="478"/>
      <c r="AA38" s="460"/>
      <c r="AB38" s="290">
        <f t="shared" si="27"/>
        <v>-278.21556886227563</v>
      </c>
      <c r="AC38" s="154">
        <f t="shared" si="28"/>
        <v>0.80212263950051521</v>
      </c>
      <c r="AD38" s="436">
        <f>AC48</f>
        <v>0.95485764322180167</v>
      </c>
    </row>
    <row r="39" spans="1:30" s="62" customFormat="1" ht="15" customHeight="1">
      <c r="A39" s="455"/>
      <c r="B39" s="56" t="s">
        <v>134</v>
      </c>
      <c r="C39" s="277"/>
      <c r="D39" s="279" t="s">
        <v>154</v>
      </c>
      <c r="E39" s="278"/>
      <c r="F39" s="56">
        <f>VLOOKUP(D39,廠價表!$C$1:$E$39,3,0)</f>
        <v>57.3</v>
      </c>
      <c r="G39" s="276">
        <v>785</v>
      </c>
      <c r="H39" s="63">
        <f t="shared" si="20"/>
        <v>44980.5</v>
      </c>
      <c r="I39" s="64"/>
      <c r="J39" s="37">
        <f>VLOOKUP(D39,產線配置圖!$A$2:$C$38,2,0)</f>
        <v>15</v>
      </c>
      <c r="K39" s="36">
        <f>VLOOKUP(D39,產線配置圖!$A$2:$C$38,3,0)</f>
        <v>1385</v>
      </c>
      <c r="L39" s="38">
        <f t="shared" si="29"/>
        <v>92.333333333333329</v>
      </c>
      <c r="M39" s="65">
        <v>15</v>
      </c>
      <c r="N39" s="66">
        <f>G39/W39*60</f>
        <v>1471.8749999999982</v>
      </c>
      <c r="O39" s="67">
        <f t="shared" ref="O39:O40" si="32">N39/M39</f>
        <v>98.124999999999872</v>
      </c>
      <c r="P39" s="39">
        <f t="shared" si="30"/>
        <v>0</v>
      </c>
      <c r="Q39" s="40">
        <f t="shared" si="31"/>
        <v>5.7916666666665435</v>
      </c>
      <c r="R39" s="190">
        <f t="shared" si="26"/>
        <v>1.0627256317689517</v>
      </c>
      <c r="S39" s="458"/>
      <c r="T39" s="59">
        <v>0.45694444444444443</v>
      </c>
      <c r="U39" s="59">
        <v>0.47916666666666669</v>
      </c>
      <c r="V39" s="42">
        <f>(T39-U38)*24*60</f>
        <v>14.999999999999947</v>
      </c>
      <c r="W39" s="69">
        <f t="shared" si="13"/>
        <v>32.000000000000043</v>
      </c>
      <c r="X39" s="22"/>
      <c r="Y39" s="22"/>
      <c r="Z39" s="439" t="s">
        <v>194</v>
      </c>
      <c r="AA39" s="440"/>
      <c r="AB39" s="271">
        <f t="shared" si="27"/>
        <v>86.874999999998181</v>
      </c>
      <c r="AC39" s="61">
        <f t="shared" si="28"/>
        <v>1.0627256317689517</v>
      </c>
      <c r="AD39" s="437"/>
    </row>
    <row r="40" spans="1:30" s="62" customFormat="1" ht="15" customHeight="1">
      <c r="A40" s="455"/>
      <c r="B40" s="56" t="s">
        <v>134</v>
      </c>
      <c r="C40" s="275"/>
      <c r="D40" s="279" t="s">
        <v>154</v>
      </c>
      <c r="E40" s="243"/>
      <c r="F40" s="56">
        <f>VLOOKUP(D40,廠價表!$C$1:$E$39,3,0)</f>
        <v>57.3</v>
      </c>
      <c r="G40" s="276">
        <v>1064</v>
      </c>
      <c r="H40" s="63">
        <f t="shared" si="20"/>
        <v>60967.199999999997</v>
      </c>
      <c r="I40" s="64"/>
      <c r="J40" s="37">
        <f>VLOOKUP(D40,產線配置圖!$A$2:$C$38,2,0)</f>
        <v>15</v>
      </c>
      <c r="K40" s="36">
        <f>VLOOKUP(D40,產線配置圖!$A$2:$C$38,3,0)</f>
        <v>1385</v>
      </c>
      <c r="L40" s="38">
        <f t="shared" si="29"/>
        <v>92.333333333333329</v>
      </c>
      <c r="M40" s="65">
        <v>15</v>
      </c>
      <c r="N40" s="66">
        <f>G40/W40*60</f>
        <v>1387.8260869565217</v>
      </c>
      <c r="O40" s="67">
        <f t="shared" si="32"/>
        <v>92.521739130434781</v>
      </c>
      <c r="P40" s="39">
        <f t="shared" si="30"/>
        <v>0</v>
      </c>
      <c r="Q40" s="40">
        <f t="shared" si="31"/>
        <v>0.18840579710145278</v>
      </c>
      <c r="R40" s="190">
        <f t="shared" si="26"/>
        <v>1.0020404959974887</v>
      </c>
      <c r="S40" s="397"/>
      <c r="T40" s="59">
        <v>0.54097222222222219</v>
      </c>
      <c r="U40" s="59">
        <v>0.57291666666666663</v>
      </c>
      <c r="V40" s="42">
        <f>(T40-U39)*24*60</f>
        <v>88.999999999999929</v>
      </c>
      <c r="W40" s="69">
        <f t="shared" si="13"/>
        <v>46</v>
      </c>
      <c r="X40" s="70">
        <v>0.48958333333333331</v>
      </c>
      <c r="Y40" s="259">
        <v>0.53125</v>
      </c>
      <c r="Z40" s="439"/>
      <c r="AA40" s="440"/>
      <c r="AB40" s="271"/>
      <c r="AC40" s="61"/>
      <c r="AD40" s="437"/>
    </row>
    <row r="41" spans="1:30" s="62" customFormat="1" ht="15" customHeight="1">
      <c r="A41" s="455"/>
      <c r="B41" s="56"/>
      <c r="C41" s="275"/>
      <c r="D41" s="279"/>
      <c r="E41" s="243"/>
      <c r="F41" s="56"/>
      <c r="G41" s="276"/>
      <c r="H41" s="63"/>
      <c r="I41" s="64"/>
      <c r="J41" s="37"/>
      <c r="K41" s="36"/>
      <c r="L41" s="38"/>
      <c r="M41" s="65"/>
      <c r="N41" s="66"/>
      <c r="O41" s="67"/>
      <c r="P41" s="39"/>
      <c r="Q41" s="40"/>
      <c r="R41" s="190"/>
      <c r="S41" s="397"/>
      <c r="T41" s="59"/>
      <c r="U41" s="59"/>
      <c r="V41" s="42"/>
      <c r="W41" s="69">
        <f t="shared" si="13"/>
        <v>0</v>
      </c>
      <c r="X41" s="70"/>
      <c r="Y41" s="259"/>
      <c r="Z41" s="439"/>
      <c r="AA41" s="440"/>
      <c r="AB41" s="271"/>
      <c r="AC41" s="61"/>
      <c r="AD41" s="437"/>
    </row>
    <row r="42" spans="1:30" s="62" customFormat="1" ht="15" customHeight="1">
      <c r="A42" s="455"/>
      <c r="B42" s="56"/>
      <c r="C42" s="23"/>
      <c r="D42" s="11"/>
      <c r="E42" s="12"/>
      <c r="F42" s="56"/>
      <c r="G42" s="99"/>
      <c r="H42" s="63"/>
      <c r="I42" s="64"/>
      <c r="J42" s="16"/>
      <c r="K42" s="14"/>
      <c r="L42" s="17"/>
      <c r="M42" s="65"/>
      <c r="N42" s="66"/>
      <c r="O42" s="67"/>
      <c r="P42" s="39"/>
      <c r="Q42" s="40"/>
      <c r="R42" s="68"/>
      <c r="S42" s="397"/>
      <c r="T42" s="75"/>
      <c r="U42" s="75"/>
      <c r="V42" s="42"/>
      <c r="W42" s="69">
        <f t="shared" si="13"/>
        <v>0</v>
      </c>
      <c r="X42" s="70"/>
      <c r="Y42" s="60"/>
      <c r="Z42" s="445"/>
      <c r="AA42" s="446"/>
      <c r="AB42" s="271"/>
      <c r="AC42" s="61"/>
      <c r="AD42" s="437"/>
    </row>
    <row r="43" spans="1:30" s="62" customFormat="1" ht="15" customHeight="1">
      <c r="A43" s="455"/>
      <c r="B43" s="230"/>
      <c r="C43" s="23"/>
      <c r="D43" s="11"/>
      <c r="E43" s="12"/>
      <c r="F43" s="13"/>
      <c r="G43" s="100"/>
      <c r="H43" s="63">
        <f t="shared" ref="H43:H47" si="33">F43*G43</f>
        <v>0</v>
      </c>
      <c r="I43" s="64"/>
      <c r="J43" s="65"/>
      <c r="K43" s="66"/>
      <c r="L43" s="67"/>
      <c r="M43" s="65"/>
      <c r="N43" s="66"/>
      <c r="O43" s="67"/>
      <c r="P43" s="39"/>
      <c r="Q43" s="40"/>
      <c r="R43" s="68"/>
      <c r="S43" s="397"/>
      <c r="T43" s="75"/>
      <c r="U43" s="75"/>
      <c r="V43" s="64"/>
      <c r="W43" s="69">
        <f>(U43-T43)*24*60</f>
        <v>0</v>
      </c>
      <c r="X43" s="70"/>
      <c r="Y43" s="67"/>
      <c r="Z43" s="405"/>
      <c r="AA43" s="405"/>
      <c r="AB43" s="71"/>
      <c r="AC43" s="61"/>
      <c r="AD43" s="437"/>
    </row>
    <row r="44" spans="1:30" s="62" customFormat="1" ht="15" customHeight="1">
      <c r="A44" s="455"/>
      <c r="B44" s="230"/>
      <c r="C44" s="183"/>
      <c r="D44" s="11"/>
      <c r="E44" s="12"/>
      <c r="F44" s="13"/>
      <c r="G44" s="100"/>
      <c r="H44" s="63">
        <f t="shared" si="33"/>
        <v>0</v>
      </c>
      <c r="I44" s="64"/>
      <c r="J44" s="65"/>
      <c r="K44" s="66"/>
      <c r="L44" s="58"/>
      <c r="M44" s="65"/>
      <c r="N44" s="66"/>
      <c r="O44" s="67"/>
      <c r="P44" s="39"/>
      <c r="Q44" s="40"/>
      <c r="R44" s="68"/>
      <c r="S44" s="397"/>
      <c r="T44" s="59"/>
      <c r="U44" s="59"/>
      <c r="V44" s="64"/>
      <c r="W44" s="69">
        <f t="shared" ref="W44:W48" si="34">(U44-T44)*24*60</f>
        <v>0</v>
      </c>
      <c r="X44" s="70"/>
      <c r="Y44" s="67"/>
      <c r="Z44" s="405"/>
      <c r="AA44" s="405"/>
      <c r="AB44" s="71"/>
      <c r="AC44" s="61"/>
      <c r="AD44" s="437"/>
    </row>
    <row r="45" spans="1:30" s="62" customFormat="1" ht="15" customHeight="1">
      <c r="A45" s="455"/>
      <c r="B45" s="231"/>
      <c r="C45" s="27"/>
      <c r="D45" s="28"/>
      <c r="E45" s="29"/>
      <c r="F45" s="13"/>
      <c r="G45" s="66"/>
      <c r="H45" s="63">
        <f t="shared" si="33"/>
        <v>0</v>
      </c>
      <c r="I45" s="64"/>
      <c r="J45" s="65"/>
      <c r="K45" s="66"/>
      <c r="L45" s="67"/>
      <c r="M45" s="65"/>
      <c r="N45" s="66"/>
      <c r="O45" s="67"/>
      <c r="P45" s="39"/>
      <c r="Q45" s="40"/>
      <c r="R45" s="68"/>
      <c r="S45" s="397"/>
      <c r="T45" s="75"/>
      <c r="U45" s="75"/>
      <c r="V45" s="64"/>
      <c r="W45" s="69">
        <f t="shared" si="34"/>
        <v>0</v>
      </c>
      <c r="X45" s="70"/>
      <c r="Y45" s="67"/>
      <c r="Z45" s="405"/>
      <c r="AA45" s="405"/>
      <c r="AB45" s="71"/>
      <c r="AC45" s="61"/>
      <c r="AD45" s="437"/>
    </row>
    <row r="46" spans="1:30" s="62" customFormat="1" ht="15" customHeight="1">
      <c r="A46" s="455"/>
      <c r="B46" s="231"/>
      <c r="C46" s="27"/>
      <c r="D46" s="28"/>
      <c r="E46" s="29"/>
      <c r="F46" s="13"/>
      <c r="G46" s="66"/>
      <c r="H46" s="63">
        <f t="shared" si="33"/>
        <v>0</v>
      </c>
      <c r="I46" s="64"/>
      <c r="J46" s="65"/>
      <c r="K46" s="66"/>
      <c r="L46" s="67"/>
      <c r="M46" s="65"/>
      <c r="N46" s="66"/>
      <c r="O46" s="67"/>
      <c r="P46" s="39"/>
      <c r="Q46" s="40"/>
      <c r="R46" s="68"/>
      <c r="S46" s="397"/>
      <c r="T46" s="59"/>
      <c r="U46" s="59"/>
      <c r="V46" s="64"/>
      <c r="W46" s="69">
        <f t="shared" si="34"/>
        <v>0</v>
      </c>
      <c r="X46" s="70"/>
      <c r="Y46" s="67"/>
      <c r="Z46" s="405"/>
      <c r="AA46" s="405"/>
      <c r="AB46" s="71"/>
      <c r="AC46" s="61"/>
      <c r="AD46" s="437"/>
    </row>
    <row r="47" spans="1:30" s="62" customFormat="1" ht="15" customHeight="1">
      <c r="A47" s="455"/>
      <c r="B47" s="230"/>
      <c r="C47" s="27"/>
      <c r="D47" s="28"/>
      <c r="E47" s="29"/>
      <c r="F47" s="13"/>
      <c r="G47" s="66"/>
      <c r="H47" s="63">
        <f t="shared" si="33"/>
        <v>0</v>
      </c>
      <c r="I47" s="64"/>
      <c r="J47" s="65"/>
      <c r="K47" s="66"/>
      <c r="L47" s="67"/>
      <c r="M47" s="65"/>
      <c r="N47" s="66"/>
      <c r="O47" s="67"/>
      <c r="P47" s="39"/>
      <c r="Q47" s="40"/>
      <c r="R47" s="68"/>
      <c r="S47" s="397"/>
      <c r="T47" s="75"/>
      <c r="U47" s="75"/>
      <c r="V47" s="64"/>
      <c r="W47" s="69">
        <f t="shared" si="34"/>
        <v>0</v>
      </c>
      <c r="X47" s="70"/>
      <c r="Y47" s="67"/>
      <c r="Z47" s="405"/>
      <c r="AA47" s="405"/>
      <c r="AB47" s="71"/>
      <c r="AC47" s="61"/>
      <c r="AD47" s="437"/>
    </row>
    <row r="48" spans="1:30" ht="15" customHeight="1" thickBot="1">
      <c r="A48" s="456"/>
      <c r="B48" s="156"/>
      <c r="C48" s="1" t="s">
        <v>37</v>
      </c>
      <c r="D48" s="410" t="s">
        <v>7</v>
      </c>
      <c r="E48" s="410"/>
      <c r="F48" s="133"/>
      <c r="G48" s="145"/>
      <c r="H48" s="135"/>
      <c r="I48" s="136"/>
      <c r="J48" s="134">
        <f t="shared" ref="J48:O48" si="35">AVERAGE(J38:J47)</f>
        <v>15</v>
      </c>
      <c r="K48" s="134">
        <f t="shared" si="35"/>
        <v>1392</v>
      </c>
      <c r="L48" s="137">
        <f t="shared" si="35"/>
        <v>92.8</v>
      </c>
      <c r="M48" s="134">
        <f t="shared" si="35"/>
        <v>15</v>
      </c>
      <c r="N48" s="134">
        <f t="shared" si="35"/>
        <v>1329.1618393647479</v>
      </c>
      <c r="O48" s="137">
        <f t="shared" si="35"/>
        <v>88.610789290983192</v>
      </c>
      <c r="P48" s="157">
        <f>M48-J48</f>
        <v>0</v>
      </c>
      <c r="Q48" s="158">
        <f>N48-K48</f>
        <v>-62.838160635252052</v>
      </c>
      <c r="R48" s="159">
        <f>O48/L48</f>
        <v>0.95485764322180167</v>
      </c>
      <c r="S48" s="399"/>
      <c r="T48" s="160"/>
      <c r="U48" s="160"/>
      <c r="V48" s="196"/>
      <c r="W48" s="161">
        <f t="shared" si="34"/>
        <v>0</v>
      </c>
      <c r="X48" s="162"/>
      <c r="Y48" s="162"/>
      <c r="Z48" s="391"/>
      <c r="AA48" s="391"/>
      <c r="AB48" s="163">
        <f>N48-K48</f>
        <v>-62.838160635252052</v>
      </c>
      <c r="AC48" s="191">
        <f>N48/K48</f>
        <v>0.95485764322180167</v>
      </c>
      <c r="AD48" s="438"/>
    </row>
    <row r="49" spans="1:30" ht="15" customHeight="1">
      <c r="A49" s="451" t="s">
        <v>56</v>
      </c>
      <c r="B49" s="199" t="str">
        <f>VLOOKUP(D49,廠價表!$C$1:$E$39,2,0)</f>
        <v>義大利麵</v>
      </c>
      <c r="C49" s="102"/>
      <c r="D49" s="103" t="s">
        <v>152</v>
      </c>
      <c r="E49" s="104"/>
      <c r="F49" s="199">
        <f>VLOOKUP(D49,廠價表!$C$1:$E$39,3,0)</f>
        <v>56.87</v>
      </c>
      <c r="G49" s="149">
        <v>2588</v>
      </c>
      <c r="H49" s="125">
        <f t="shared" ref="H49:H57" si="36">F49*G49</f>
        <v>147179.56</v>
      </c>
      <c r="I49" s="126"/>
      <c r="J49" s="108">
        <v>16</v>
      </c>
      <c r="K49" s="105">
        <v>1440</v>
      </c>
      <c r="L49" s="109">
        <f>K49/J49</f>
        <v>90</v>
      </c>
      <c r="M49" s="144">
        <v>16</v>
      </c>
      <c r="N49" s="127">
        <f>G49/W49*60</f>
        <v>1386.4285714285716</v>
      </c>
      <c r="O49" s="128">
        <f>N49/M49</f>
        <v>86.651785714285722</v>
      </c>
      <c r="P49" s="164">
        <f>M49-J49</f>
        <v>0</v>
      </c>
      <c r="Q49" s="112">
        <f>O49-L49</f>
        <v>-3.3482142857142776</v>
      </c>
      <c r="R49" s="184">
        <f>O49/L49</f>
        <v>0.96279761904761918</v>
      </c>
      <c r="S49" s="396">
        <f>R58</f>
        <v>0.95073243389103046</v>
      </c>
      <c r="T49" s="151">
        <v>0.29097222222222224</v>
      </c>
      <c r="U49" s="151">
        <v>0.36875000000000002</v>
      </c>
      <c r="V49" s="188"/>
      <c r="W49" s="152">
        <f t="shared" si="13"/>
        <v>112</v>
      </c>
      <c r="X49" s="188"/>
      <c r="Y49" s="188"/>
      <c r="Z49" s="400"/>
      <c r="AA49" s="400"/>
      <c r="AB49" s="111">
        <f>N49-K49</f>
        <v>-53.571428571428442</v>
      </c>
      <c r="AC49" s="184">
        <f>N49/K49</f>
        <v>0.96279761904761918</v>
      </c>
      <c r="AD49" s="401">
        <f>AC58</f>
        <v>0.95309176286419095</v>
      </c>
    </row>
    <row r="50" spans="1:30" ht="15" customHeight="1">
      <c r="A50" s="452"/>
      <c r="B50" s="56" t="str">
        <f>VLOOKUP(D50,廠價表!$C$1:$E$39,2,0)</f>
        <v>義大利麵</v>
      </c>
      <c r="C50" s="10"/>
      <c r="D50" s="11" t="s">
        <v>65</v>
      </c>
      <c r="E50" s="86"/>
      <c r="F50" s="56">
        <f>VLOOKUP(D50,廠價表!$C$1:$E$39,3,0)</f>
        <v>49.97</v>
      </c>
      <c r="G50" s="66">
        <v>3728</v>
      </c>
      <c r="H50" s="76">
        <f t="shared" si="36"/>
        <v>186288.16</v>
      </c>
      <c r="I50" s="193"/>
      <c r="J50" s="16">
        <f>VLOOKUP(D50,產線配置圖!$A$2:$C$38,2,0)</f>
        <v>18</v>
      </c>
      <c r="K50" s="14">
        <f>VLOOKUP(D50,產線配置圖!$A$2:$C$38,3,0)</f>
        <v>1600</v>
      </c>
      <c r="L50" s="17">
        <f>K50/J50</f>
        <v>88.888888888888886</v>
      </c>
      <c r="M50" s="174">
        <v>18</v>
      </c>
      <c r="N50" s="77">
        <f>G50/W50*60</f>
        <v>1586.3829787234038</v>
      </c>
      <c r="O50" s="78">
        <f>N50/M50</f>
        <v>88.132387706855766</v>
      </c>
      <c r="P50" s="18">
        <f>M50-J50</f>
        <v>0</v>
      </c>
      <c r="Q50" s="19">
        <f>O50-L50</f>
        <v>-0.75650118203311933</v>
      </c>
      <c r="R50" s="185">
        <f>O50/L50</f>
        <v>0.99148936170212743</v>
      </c>
      <c r="S50" s="397"/>
      <c r="T50" s="79">
        <v>0.38124999999999998</v>
      </c>
      <c r="U50" s="79">
        <v>0.47916666666666669</v>
      </c>
      <c r="V50" s="177">
        <f t="shared" ref="V50:V52" si="37">(T50-U49)*24*60</f>
        <v>17.999999999999936</v>
      </c>
      <c r="W50" s="80">
        <f t="shared" si="13"/>
        <v>141.00000000000006</v>
      </c>
      <c r="X50" s="22"/>
      <c r="Y50" s="22"/>
      <c r="Z50" s="419"/>
      <c r="AA50" s="418"/>
      <c r="AB50" s="18">
        <f>N50-K50</f>
        <v>-13.617021276596233</v>
      </c>
      <c r="AC50" s="185">
        <f>N50/K50</f>
        <v>0.99148936170212731</v>
      </c>
      <c r="AD50" s="402"/>
    </row>
    <row r="51" spans="1:30" ht="15" customHeight="1">
      <c r="A51" s="452"/>
      <c r="B51" s="56" t="str">
        <f>VLOOKUP(D51,廠價表!$C$1:$E$39,2,0)</f>
        <v>義大利麵</v>
      </c>
      <c r="C51" s="10"/>
      <c r="D51" s="11" t="s">
        <v>65</v>
      </c>
      <c r="E51" s="86"/>
      <c r="F51" s="56">
        <f>VLOOKUP(D51,廠價表!$C$1:$E$39,3,0)</f>
        <v>49.97</v>
      </c>
      <c r="G51" s="66">
        <v>2087</v>
      </c>
      <c r="H51" s="76">
        <f t="shared" si="36"/>
        <v>104287.39</v>
      </c>
      <c r="I51" s="193"/>
      <c r="J51" s="16">
        <f>VLOOKUP(D51,產線配置圖!$A$2:$C$38,2,0)</f>
        <v>18</v>
      </c>
      <c r="K51" s="14">
        <f>VLOOKUP(D51,產線配置圖!$A$2:$C$38,3,0)</f>
        <v>1600</v>
      </c>
      <c r="L51" s="17">
        <f>K51/J51</f>
        <v>88.888888888888886</v>
      </c>
      <c r="M51" s="174">
        <v>18</v>
      </c>
      <c r="N51" s="77">
        <f>G51/W51*60</f>
        <v>1585.0632911392397</v>
      </c>
      <c r="O51" s="78">
        <f>N51/M51</f>
        <v>88.059071729957765</v>
      </c>
      <c r="P51" s="18">
        <f>M51-J51</f>
        <v>0</v>
      </c>
      <c r="Q51" s="19">
        <f>O51-L51</f>
        <v>-0.82981715893112096</v>
      </c>
      <c r="R51" s="185">
        <f>O51/L51</f>
        <v>0.99066455696202493</v>
      </c>
      <c r="S51" s="397"/>
      <c r="T51" s="79">
        <v>0.54236111111111107</v>
      </c>
      <c r="U51" s="44">
        <v>0.59722222222222221</v>
      </c>
      <c r="V51" s="177">
        <f t="shared" si="37"/>
        <v>90.999999999999915</v>
      </c>
      <c r="W51" s="80">
        <f t="shared" si="13"/>
        <v>79.000000000000043</v>
      </c>
      <c r="X51" s="22">
        <v>0.47916666666666669</v>
      </c>
      <c r="Y51" s="22">
        <v>0.52083333333333337</v>
      </c>
      <c r="Z51" s="405"/>
      <c r="AA51" s="405"/>
      <c r="AB51" s="18">
        <f>N51-K51</f>
        <v>-14.936708860760291</v>
      </c>
      <c r="AC51" s="185">
        <f>N51/K51</f>
        <v>0.99066455696202482</v>
      </c>
      <c r="AD51" s="402"/>
    </row>
    <row r="52" spans="1:30" ht="15" customHeight="1">
      <c r="A52" s="452"/>
      <c r="B52" s="56" t="str">
        <f>VLOOKUP(D52,廠價表!$C$1:$E$39,2,0)</f>
        <v>義大利麵</v>
      </c>
      <c r="C52" s="23"/>
      <c r="D52" s="11" t="s">
        <v>152</v>
      </c>
      <c r="E52" s="12"/>
      <c r="F52" s="56">
        <f>VLOOKUP(D52,廠價表!$C$1:$E$39,3,0)</f>
        <v>56.87</v>
      </c>
      <c r="G52" s="66">
        <v>268</v>
      </c>
      <c r="H52" s="76">
        <f t="shared" ref="H52" si="38">F52*G52</f>
        <v>15241.16</v>
      </c>
      <c r="I52" s="193"/>
      <c r="J52" s="16">
        <v>16</v>
      </c>
      <c r="K52" s="14">
        <v>1440</v>
      </c>
      <c r="L52" s="17">
        <f>K52/J52</f>
        <v>90</v>
      </c>
      <c r="M52" s="174">
        <v>16</v>
      </c>
      <c r="N52" s="77">
        <f>G52/W52*60</f>
        <v>1236.9230769230662</v>
      </c>
      <c r="O52" s="78">
        <f>N52/M52</f>
        <v>77.307692307691639</v>
      </c>
      <c r="P52" s="18">
        <f>M52-J52</f>
        <v>0</v>
      </c>
      <c r="Q52" s="19">
        <f>O52-L52</f>
        <v>-12.692307692308361</v>
      </c>
      <c r="R52" s="185">
        <f>O52/L52</f>
        <v>0.85897435897435159</v>
      </c>
      <c r="S52" s="397"/>
      <c r="T52" s="79">
        <v>0.60555555555555551</v>
      </c>
      <c r="U52" s="79">
        <v>0.61458333333333337</v>
      </c>
      <c r="V52" s="177">
        <f t="shared" si="37"/>
        <v>11.999999999999957</v>
      </c>
      <c r="W52" s="80">
        <f t="shared" si="13"/>
        <v>13.000000000000114</v>
      </c>
      <c r="X52" s="22"/>
      <c r="Y52" s="22"/>
      <c r="Z52" s="405"/>
      <c r="AA52" s="405"/>
      <c r="AB52" s="18"/>
      <c r="AC52" s="185"/>
      <c r="AD52" s="402"/>
    </row>
    <row r="53" spans="1:30" ht="15" customHeight="1">
      <c r="A53" s="452"/>
      <c r="B53" s="56"/>
      <c r="C53" s="23"/>
      <c r="D53" s="11"/>
      <c r="E53" s="12"/>
      <c r="F53" s="56"/>
      <c r="G53" s="66"/>
      <c r="H53" s="76"/>
      <c r="I53" s="193"/>
      <c r="J53" s="16"/>
      <c r="K53" s="14"/>
      <c r="L53" s="17"/>
      <c r="M53" s="174"/>
      <c r="N53" s="77"/>
      <c r="O53" s="78"/>
      <c r="P53" s="18"/>
      <c r="Q53" s="19"/>
      <c r="R53" s="185"/>
      <c r="S53" s="397"/>
      <c r="T53" s="79"/>
      <c r="U53" s="79"/>
      <c r="V53" s="177"/>
      <c r="W53" s="80">
        <f t="shared" si="13"/>
        <v>0</v>
      </c>
      <c r="X53" s="177"/>
      <c r="Y53" s="177"/>
      <c r="Z53" s="419"/>
      <c r="AA53" s="418"/>
      <c r="AB53" s="18"/>
      <c r="AC53" s="185"/>
      <c r="AD53" s="402"/>
    </row>
    <row r="54" spans="1:30" ht="15" customHeight="1">
      <c r="A54" s="452"/>
      <c r="B54" s="177"/>
      <c r="C54" s="183"/>
      <c r="D54" s="11"/>
      <c r="E54" s="12"/>
      <c r="F54" s="13"/>
      <c r="G54" s="66"/>
      <c r="H54" s="76">
        <f t="shared" si="36"/>
        <v>0</v>
      </c>
      <c r="I54" s="177"/>
      <c r="J54" s="31"/>
      <c r="K54" s="30"/>
      <c r="L54" s="38"/>
      <c r="M54" s="181"/>
      <c r="N54" s="30"/>
      <c r="O54" s="35"/>
      <c r="P54" s="18"/>
      <c r="Q54" s="19"/>
      <c r="R54" s="185"/>
      <c r="S54" s="397"/>
      <c r="T54" s="79"/>
      <c r="U54" s="79"/>
      <c r="V54" s="197"/>
      <c r="W54" s="80">
        <f t="shared" si="13"/>
        <v>0</v>
      </c>
      <c r="X54" s="177"/>
      <c r="Y54" s="177"/>
      <c r="Z54" s="419"/>
      <c r="AA54" s="418"/>
      <c r="AB54" s="18"/>
      <c r="AC54" s="185"/>
      <c r="AD54" s="402"/>
    </row>
    <row r="55" spans="1:30" ht="15" customHeight="1">
      <c r="A55" s="452"/>
      <c r="B55" s="26"/>
      <c r="C55" s="27"/>
      <c r="D55" s="28"/>
      <c r="E55" s="29"/>
      <c r="F55" s="13"/>
      <c r="G55" s="66"/>
      <c r="H55" s="15">
        <f t="shared" si="36"/>
        <v>0</v>
      </c>
      <c r="I55" s="177"/>
      <c r="J55" s="31"/>
      <c r="K55" s="30"/>
      <c r="L55" s="38"/>
      <c r="M55" s="181"/>
      <c r="N55" s="30"/>
      <c r="O55" s="35"/>
      <c r="P55" s="18"/>
      <c r="Q55" s="19"/>
      <c r="R55" s="185"/>
      <c r="S55" s="397"/>
      <c r="T55" s="79"/>
      <c r="U55" s="79"/>
      <c r="V55" s="197"/>
      <c r="W55" s="80">
        <f t="shared" si="13"/>
        <v>0</v>
      </c>
      <c r="X55" s="177"/>
      <c r="Y55" s="177"/>
      <c r="Z55" s="419"/>
      <c r="AA55" s="418"/>
      <c r="AB55" s="18"/>
      <c r="AC55" s="185"/>
      <c r="AD55" s="402"/>
    </row>
    <row r="56" spans="1:30" ht="15" customHeight="1">
      <c r="A56" s="452"/>
      <c r="B56" s="26"/>
      <c r="C56" s="27"/>
      <c r="D56" s="28"/>
      <c r="E56" s="29"/>
      <c r="F56" s="13"/>
      <c r="G56" s="66"/>
      <c r="H56" s="15">
        <f t="shared" si="36"/>
        <v>0</v>
      </c>
      <c r="I56" s="177"/>
      <c r="J56" s="31"/>
      <c r="K56" s="30"/>
      <c r="L56" s="38"/>
      <c r="M56" s="181"/>
      <c r="N56" s="30"/>
      <c r="O56" s="35"/>
      <c r="P56" s="18"/>
      <c r="Q56" s="19"/>
      <c r="R56" s="185"/>
      <c r="S56" s="397"/>
      <c r="T56" s="79"/>
      <c r="U56" s="79"/>
      <c r="V56" s="197"/>
      <c r="W56" s="80">
        <f t="shared" si="13"/>
        <v>0</v>
      </c>
      <c r="X56" s="177"/>
      <c r="Y56" s="177"/>
      <c r="Z56" s="405"/>
      <c r="AA56" s="405"/>
      <c r="AB56" s="18"/>
      <c r="AC56" s="185"/>
      <c r="AD56" s="402"/>
    </row>
    <row r="57" spans="1:30" ht="15" customHeight="1">
      <c r="A57" s="452"/>
      <c r="B57" s="26"/>
      <c r="C57" s="27"/>
      <c r="D57" s="28"/>
      <c r="E57" s="29"/>
      <c r="F57" s="13"/>
      <c r="G57" s="66"/>
      <c r="H57" s="15">
        <f t="shared" si="36"/>
        <v>0</v>
      </c>
      <c r="I57" s="177"/>
      <c r="J57" s="31"/>
      <c r="K57" s="30"/>
      <c r="L57" s="38"/>
      <c r="M57" s="181"/>
      <c r="N57" s="30"/>
      <c r="O57" s="35"/>
      <c r="P57" s="18"/>
      <c r="Q57" s="19"/>
      <c r="R57" s="185"/>
      <c r="S57" s="397"/>
      <c r="T57" s="79"/>
      <c r="U57" s="79"/>
      <c r="V57" s="197"/>
      <c r="W57" s="80">
        <f t="shared" si="13"/>
        <v>0</v>
      </c>
      <c r="X57" s="177"/>
      <c r="Y57" s="177"/>
      <c r="Z57" s="405"/>
      <c r="AA57" s="405"/>
      <c r="AB57" s="18"/>
      <c r="AC57" s="185"/>
      <c r="AD57" s="402"/>
    </row>
    <row r="58" spans="1:30" ht="15" customHeight="1" thickBot="1">
      <c r="A58" s="453"/>
      <c r="B58" s="165"/>
      <c r="C58" s="1" t="s">
        <v>38</v>
      </c>
      <c r="D58" s="410" t="s">
        <v>7</v>
      </c>
      <c r="E58" s="410"/>
      <c r="F58" s="114"/>
      <c r="G58" s="166"/>
      <c r="H58" s="116"/>
      <c r="I58" s="115"/>
      <c r="J58" s="118">
        <f t="shared" ref="J58:O58" si="39">AVERAGE(J49:J57)</f>
        <v>17</v>
      </c>
      <c r="K58" s="118">
        <f t="shared" si="39"/>
        <v>1520</v>
      </c>
      <c r="L58" s="115">
        <f t="shared" si="39"/>
        <v>89.444444444444443</v>
      </c>
      <c r="M58" s="118">
        <f t="shared" si="39"/>
        <v>17</v>
      </c>
      <c r="N58" s="118">
        <f t="shared" si="39"/>
        <v>1448.6994795535702</v>
      </c>
      <c r="O58" s="115">
        <f t="shared" si="39"/>
        <v>85.037734364697727</v>
      </c>
      <c r="P58" s="119">
        <f>M58-J58</f>
        <v>0</v>
      </c>
      <c r="Q58" s="120">
        <f>N58-K58</f>
        <v>-71.3005204464298</v>
      </c>
      <c r="R58" s="121">
        <f t="shared" ref="R58:R60" si="40">O58/L58</f>
        <v>0.95073243389103046</v>
      </c>
      <c r="S58" s="399"/>
      <c r="T58" s="167"/>
      <c r="U58" s="167"/>
      <c r="V58" s="195"/>
      <c r="W58" s="168"/>
      <c r="X58" s="124"/>
      <c r="Y58" s="124"/>
      <c r="Z58" s="391"/>
      <c r="AA58" s="391"/>
      <c r="AB58" s="119">
        <f t="shared" ref="AB58:AB62" si="41">N58-K58</f>
        <v>-71.3005204464298</v>
      </c>
      <c r="AC58" s="187">
        <f t="shared" ref="AC58:AC62" si="42">N58/K58</f>
        <v>0.95309176286419095</v>
      </c>
      <c r="AD58" s="404"/>
    </row>
    <row r="59" spans="1:30" ht="15" customHeight="1">
      <c r="A59" s="466" t="s">
        <v>57</v>
      </c>
      <c r="B59" s="199" t="str">
        <f>VLOOKUP(D59,廠價表!$C$1:$E$39,2,0)</f>
        <v>小吃、微波</v>
      </c>
      <c r="C59" s="102"/>
      <c r="D59" s="103" t="s">
        <v>125</v>
      </c>
      <c r="E59" s="104"/>
      <c r="F59" s="199">
        <f>VLOOKUP(D59,廠價表!$C$1:$E$39,3,0)</f>
        <v>26.99</v>
      </c>
      <c r="G59" s="188">
        <v>2864</v>
      </c>
      <c r="H59" s="106">
        <f t="shared" ref="H59:H68" si="43">F59*G59</f>
        <v>77299.360000000001</v>
      </c>
      <c r="I59" s="188"/>
      <c r="J59" s="108">
        <f>VLOOKUP(D59,產線配置圖!$A$2:$C$38,2,0)</f>
        <v>13</v>
      </c>
      <c r="K59" s="105">
        <f>VLOOKUP(D59,產線配置圖!$A$2:$C$38,3,0)</f>
        <v>1565</v>
      </c>
      <c r="L59" s="109">
        <f>K59/J59</f>
        <v>120.38461538461539</v>
      </c>
      <c r="M59" s="110">
        <v>13</v>
      </c>
      <c r="N59" s="105">
        <f t="shared" ref="N59:N62" si="44">G59/W59*60</f>
        <v>1494.2608695652175</v>
      </c>
      <c r="O59" s="109">
        <f t="shared" ref="O59:O62" si="45">N59/M59</f>
        <v>114.94314381270904</v>
      </c>
      <c r="P59" s="111">
        <f t="shared" ref="P59:P62" si="46">M59-J59</f>
        <v>0</v>
      </c>
      <c r="Q59" s="112">
        <f t="shared" ref="Q59:Q62" si="47">O59-L59</f>
        <v>-5.441471571906348</v>
      </c>
      <c r="R59" s="184">
        <f t="shared" si="40"/>
        <v>0.9547992776774552</v>
      </c>
      <c r="S59" s="396">
        <f>R69</f>
        <v>0.85991556927734769</v>
      </c>
      <c r="T59" s="169">
        <v>0.29166666666666669</v>
      </c>
      <c r="U59" s="169">
        <v>0.37152777777777779</v>
      </c>
      <c r="V59" s="188"/>
      <c r="W59" s="107">
        <f t="shared" si="13"/>
        <v>114.99999999999999</v>
      </c>
      <c r="X59" s="188"/>
      <c r="Y59" s="188"/>
      <c r="Z59" s="405"/>
      <c r="AA59" s="405"/>
      <c r="AB59" s="225">
        <f t="shared" si="41"/>
        <v>-70.73913043478251</v>
      </c>
      <c r="AC59" s="226">
        <f t="shared" si="42"/>
        <v>0.95479927767745532</v>
      </c>
      <c r="AD59" s="401">
        <f>AC69</f>
        <v>0.86177215288622888</v>
      </c>
    </row>
    <row r="60" spans="1:30" ht="15" customHeight="1">
      <c r="A60" s="467"/>
      <c r="B60" s="56" t="str">
        <f>VLOOKUP(D60,廠價表!$C$1:$E$39,2,0)</f>
        <v>小吃、微波</v>
      </c>
      <c r="C60" s="10"/>
      <c r="D60" s="11" t="s">
        <v>146</v>
      </c>
      <c r="E60" s="86"/>
      <c r="F60" s="56">
        <f>VLOOKUP(D60,廠價表!$C$1:$E$39,3,0)</f>
        <v>28.47</v>
      </c>
      <c r="G60" s="177">
        <v>919</v>
      </c>
      <c r="H60" s="15">
        <f t="shared" si="43"/>
        <v>26163.93</v>
      </c>
      <c r="I60" s="177"/>
      <c r="J60" s="16">
        <f>VLOOKUP(D60,產線配置圖!$A$2:$C$38,2,0)</f>
        <v>12</v>
      </c>
      <c r="K60" s="14">
        <f>VLOOKUP(D60,產線配置圖!$A$2:$C$38,3,0)</f>
        <v>1565</v>
      </c>
      <c r="L60" s="17">
        <f>K60/J60</f>
        <v>130.41666666666666</v>
      </c>
      <c r="M60" s="180">
        <v>12</v>
      </c>
      <c r="N60" s="14">
        <f t="shared" si="44"/>
        <v>1282.3255813953488</v>
      </c>
      <c r="O60" s="17">
        <f t="shared" si="45"/>
        <v>106.86046511627906</v>
      </c>
      <c r="P60" s="18">
        <f t="shared" si="46"/>
        <v>0</v>
      </c>
      <c r="Q60" s="19">
        <f t="shared" si="47"/>
        <v>-23.556201550387598</v>
      </c>
      <c r="R60" s="185">
        <f t="shared" si="40"/>
        <v>0.8193773683037372</v>
      </c>
      <c r="S60" s="470"/>
      <c r="T60" s="198">
        <v>0.38194444444444442</v>
      </c>
      <c r="U60" s="198">
        <v>0.41180555555555554</v>
      </c>
      <c r="V60" s="177">
        <f t="shared" ref="V60:V62" si="48">(T60-U59)*24*60</f>
        <v>14.999999999999947</v>
      </c>
      <c r="W60" s="90">
        <f t="shared" si="13"/>
        <v>43.000000000000007</v>
      </c>
      <c r="X60" s="193"/>
      <c r="Y60" s="193"/>
      <c r="Z60" s="405"/>
      <c r="AA60" s="405"/>
      <c r="AB60" s="227">
        <f t="shared" si="41"/>
        <v>-282.67441860465124</v>
      </c>
      <c r="AC60" s="228">
        <f t="shared" si="42"/>
        <v>0.8193773683037372</v>
      </c>
      <c r="AD60" s="473"/>
    </row>
    <row r="61" spans="1:30" ht="15" customHeight="1">
      <c r="A61" s="468"/>
      <c r="B61" s="56" t="str">
        <f>VLOOKUP(D61,廠價表!$C$1:$E$39,2,0)</f>
        <v>小吃、微波</v>
      </c>
      <c r="C61" s="10"/>
      <c r="D61" s="242" t="s">
        <v>135</v>
      </c>
      <c r="E61" s="86"/>
      <c r="F61" s="56">
        <f>VLOOKUP(D61,廠價表!$C$1:$E$39,3,0)</f>
        <v>28.26</v>
      </c>
      <c r="G61" s="177">
        <v>2476</v>
      </c>
      <c r="H61" s="15">
        <f t="shared" si="43"/>
        <v>69971.760000000009</v>
      </c>
      <c r="I61" s="81"/>
      <c r="J61" s="16">
        <f>VLOOKUP(D61,產線配置圖!$A$2:$C$38,2,0)</f>
        <v>12</v>
      </c>
      <c r="K61" s="14">
        <f>VLOOKUP(D61,產線配置圖!$A$2:$C$38,3,0)</f>
        <v>1565</v>
      </c>
      <c r="L61" s="17">
        <f t="shared" ref="L61:L62" si="49">K61/J61</f>
        <v>130.41666666666666</v>
      </c>
      <c r="M61" s="180">
        <v>12</v>
      </c>
      <c r="N61" s="14">
        <f t="shared" si="44"/>
        <v>1269.7435897435898</v>
      </c>
      <c r="O61" s="17">
        <f t="shared" si="45"/>
        <v>105.81196581196582</v>
      </c>
      <c r="P61" s="18">
        <f t="shared" si="46"/>
        <v>0</v>
      </c>
      <c r="Q61" s="19">
        <f t="shared" si="47"/>
        <v>-24.604700854700837</v>
      </c>
      <c r="R61" s="185">
        <f>O61/L61</f>
        <v>0.81133775702465805</v>
      </c>
      <c r="S61" s="397"/>
      <c r="T61" s="20">
        <v>0.42222222222222222</v>
      </c>
      <c r="U61" s="20">
        <v>0.50347222222222221</v>
      </c>
      <c r="V61" s="177">
        <f t="shared" si="48"/>
        <v>15.000000000000027</v>
      </c>
      <c r="W61" s="88">
        <f t="shared" si="13"/>
        <v>116.99999999999999</v>
      </c>
      <c r="X61" s="22"/>
      <c r="Y61" s="22"/>
      <c r="Z61" s="405"/>
      <c r="AA61" s="405"/>
      <c r="AB61" s="51">
        <f t="shared" si="41"/>
        <v>-295.25641025641016</v>
      </c>
      <c r="AC61" s="52">
        <f t="shared" si="42"/>
        <v>0.81133775702465805</v>
      </c>
      <c r="AD61" s="402"/>
    </row>
    <row r="62" spans="1:30" ht="15" customHeight="1">
      <c r="A62" s="468"/>
      <c r="B62" s="56" t="str">
        <f>VLOOKUP(D62,廠價表!$C$1:$E$39,2,0)</f>
        <v>小吃、微波</v>
      </c>
      <c r="C62" s="23"/>
      <c r="D62" s="242" t="s">
        <v>125</v>
      </c>
      <c r="E62" s="12"/>
      <c r="F62" s="56">
        <f>VLOOKUP(D62,廠價表!$C$1:$E$39,3,0)</f>
        <v>26.99</v>
      </c>
      <c r="G62" s="177">
        <v>1236</v>
      </c>
      <c r="H62" s="15">
        <f t="shared" si="43"/>
        <v>33359.64</v>
      </c>
      <c r="I62" s="81"/>
      <c r="J62" s="16">
        <f>VLOOKUP(D62,產線配置圖!$A$2:$C$38,2,0)</f>
        <v>13</v>
      </c>
      <c r="K62" s="14">
        <f>VLOOKUP(D62,產線配置圖!$A$2:$C$38,3,0)</f>
        <v>1565</v>
      </c>
      <c r="L62" s="17">
        <f t="shared" si="49"/>
        <v>120.38461538461539</v>
      </c>
      <c r="M62" s="180">
        <v>13</v>
      </c>
      <c r="N62" s="14">
        <f t="shared" si="44"/>
        <v>1348.3636363636372</v>
      </c>
      <c r="O62" s="17">
        <f t="shared" si="45"/>
        <v>103.72027972027978</v>
      </c>
      <c r="P62" s="18">
        <f t="shared" si="46"/>
        <v>0</v>
      </c>
      <c r="Q62" s="19">
        <f t="shared" si="47"/>
        <v>-16.66433566433561</v>
      </c>
      <c r="R62" s="185">
        <f>O62/L62</f>
        <v>0.86157420853906519</v>
      </c>
      <c r="S62" s="397"/>
      <c r="T62" s="20">
        <v>0.55555555555555558</v>
      </c>
      <c r="U62" s="20">
        <v>0.59375</v>
      </c>
      <c r="V62" s="177">
        <f t="shared" si="48"/>
        <v>75.000000000000057</v>
      </c>
      <c r="W62" s="90">
        <f t="shared" si="13"/>
        <v>54.999999999999964</v>
      </c>
      <c r="X62" s="22">
        <v>0.50694444444444442</v>
      </c>
      <c r="Y62" s="22">
        <v>0.54861111111111116</v>
      </c>
      <c r="Z62" s="405"/>
      <c r="AA62" s="405"/>
      <c r="AB62" s="51">
        <f t="shared" si="41"/>
        <v>-216.63636363636283</v>
      </c>
      <c r="AC62" s="52">
        <f t="shared" si="42"/>
        <v>0.8615742085390653</v>
      </c>
      <c r="AD62" s="402"/>
    </row>
    <row r="63" spans="1:30" ht="15" customHeight="1">
      <c r="A63" s="468"/>
      <c r="B63" s="56"/>
      <c r="C63" s="10"/>
      <c r="D63" s="242"/>
      <c r="E63" s="86"/>
      <c r="F63" s="56"/>
      <c r="G63" s="177"/>
      <c r="H63" s="15"/>
      <c r="I63" s="81"/>
      <c r="J63" s="16"/>
      <c r="K63" s="14"/>
      <c r="L63" s="17"/>
      <c r="M63" s="180"/>
      <c r="N63" s="14"/>
      <c r="O63" s="17"/>
      <c r="P63" s="18"/>
      <c r="Q63" s="19"/>
      <c r="R63" s="185"/>
      <c r="S63" s="397"/>
      <c r="T63" s="20"/>
      <c r="U63" s="20"/>
      <c r="V63" s="177"/>
      <c r="W63" s="90">
        <f t="shared" si="13"/>
        <v>0</v>
      </c>
      <c r="X63" s="84"/>
      <c r="Y63" s="84"/>
      <c r="Z63" s="405"/>
      <c r="AA63" s="405"/>
      <c r="AB63" s="51"/>
      <c r="AC63" s="52"/>
      <c r="AD63" s="402"/>
    </row>
    <row r="64" spans="1:30" ht="15" customHeight="1">
      <c r="A64" s="468"/>
      <c r="B64" s="56"/>
      <c r="C64" s="10"/>
      <c r="D64" s="242"/>
      <c r="E64" s="86"/>
      <c r="F64" s="56"/>
      <c r="G64" s="177"/>
      <c r="H64" s="15"/>
      <c r="I64" s="81"/>
      <c r="J64" s="16"/>
      <c r="K64" s="14"/>
      <c r="L64" s="17"/>
      <c r="M64" s="180"/>
      <c r="N64" s="14"/>
      <c r="O64" s="17"/>
      <c r="P64" s="18"/>
      <c r="Q64" s="19"/>
      <c r="R64" s="185"/>
      <c r="S64" s="397"/>
      <c r="T64" s="20"/>
      <c r="U64" s="20"/>
      <c r="V64" s="177"/>
      <c r="W64" s="182">
        <f t="shared" si="13"/>
        <v>0</v>
      </c>
      <c r="X64" s="84"/>
      <c r="Y64" s="84"/>
      <c r="Z64" s="419"/>
      <c r="AA64" s="418"/>
      <c r="AB64" s="18"/>
      <c r="AC64" s="55"/>
      <c r="AD64" s="402"/>
    </row>
    <row r="65" spans="1:32" ht="15" customHeight="1">
      <c r="A65" s="468"/>
      <c r="B65" s="177"/>
      <c r="C65" s="183"/>
      <c r="D65" s="11"/>
      <c r="E65" s="12"/>
      <c r="F65" s="13"/>
      <c r="G65" s="177"/>
      <c r="H65" s="15"/>
      <c r="I65" s="177"/>
      <c r="J65" s="16"/>
      <c r="K65" s="82"/>
      <c r="L65" s="83"/>
      <c r="M65" s="180"/>
      <c r="N65" s="14"/>
      <c r="O65" s="17"/>
      <c r="P65" s="18"/>
      <c r="Q65" s="19"/>
      <c r="R65" s="185"/>
      <c r="S65" s="397"/>
      <c r="T65" s="20"/>
      <c r="U65" s="20"/>
      <c r="V65" s="177"/>
      <c r="W65" s="182">
        <f t="shared" si="13"/>
        <v>0</v>
      </c>
      <c r="X65" s="84"/>
      <c r="Y65" s="84"/>
      <c r="Z65" s="419"/>
      <c r="AA65" s="418"/>
      <c r="AB65" s="18"/>
      <c r="AC65" s="55"/>
      <c r="AD65" s="402"/>
    </row>
    <row r="66" spans="1:32" ht="15" customHeight="1">
      <c r="A66" s="468"/>
      <c r="B66" s="26"/>
      <c r="C66" s="27"/>
      <c r="D66" s="28"/>
      <c r="E66" s="29"/>
      <c r="F66" s="13"/>
      <c r="G66" s="183"/>
      <c r="H66" s="15">
        <f t="shared" si="43"/>
        <v>0</v>
      </c>
      <c r="I66" s="85"/>
      <c r="J66" s="16"/>
      <c r="K66" s="14"/>
      <c r="L66" s="17"/>
      <c r="M66" s="21"/>
      <c r="N66" s="36"/>
      <c r="O66" s="38"/>
      <c r="P66" s="39"/>
      <c r="Q66" s="40"/>
      <c r="R66" s="68"/>
      <c r="S66" s="397"/>
      <c r="T66" s="20"/>
      <c r="U66" s="20"/>
      <c r="V66" s="177"/>
      <c r="W66" s="182">
        <f t="shared" si="13"/>
        <v>0</v>
      </c>
      <c r="X66" s="84"/>
      <c r="Y66" s="84"/>
      <c r="Z66" s="405"/>
      <c r="AA66" s="405"/>
      <c r="AB66" s="18"/>
      <c r="AC66" s="55"/>
      <c r="AD66" s="402"/>
    </row>
    <row r="67" spans="1:32" ht="15" customHeight="1">
      <c r="A67" s="468"/>
      <c r="B67" s="26"/>
      <c r="C67" s="27"/>
      <c r="D67" s="28"/>
      <c r="E67" s="29"/>
      <c r="F67" s="13"/>
      <c r="G67" s="177"/>
      <c r="H67" s="15">
        <f t="shared" si="43"/>
        <v>0</v>
      </c>
      <c r="I67" s="177"/>
      <c r="J67" s="16"/>
      <c r="K67" s="14"/>
      <c r="L67" s="17"/>
      <c r="M67" s="21"/>
      <c r="N67" s="36"/>
      <c r="O67" s="38"/>
      <c r="P67" s="39"/>
      <c r="Q67" s="40"/>
      <c r="R67" s="68"/>
      <c r="S67" s="397"/>
      <c r="T67" s="20"/>
      <c r="U67" s="20"/>
      <c r="V67" s="177"/>
      <c r="W67" s="182">
        <f t="shared" si="13"/>
        <v>0</v>
      </c>
      <c r="X67" s="84"/>
      <c r="Y67" s="84"/>
      <c r="Z67" s="419"/>
      <c r="AA67" s="418"/>
      <c r="AB67" s="18"/>
      <c r="AC67" s="55"/>
      <c r="AD67" s="402"/>
    </row>
    <row r="68" spans="1:32" ht="15" customHeight="1">
      <c r="A68" s="468"/>
      <c r="B68" s="26"/>
      <c r="C68" s="27"/>
      <c r="D68" s="28"/>
      <c r="E68" s="29"/>
      <c r="F68" s="13"/>
      <c r="G68" s="183"/>
      <c r="H68" s="15">
        <f t="shared" si="43"/>
        <v>0</v>
      </c>
      <c r="I68" s="85"/>
      <c r="J68" s="16"/>
      <c r="K68" s="260"/>
      <c r="L68" s="261"/>
      <c r="M68" s="21"/>
      <c r="N68" s="36"/>
      <c r="O68" s="38"/>
      <c r="P68" s="39"/>
      <c r="Q68" s="40"/>
      <c r="R68" s="68"/>
      <c r="S68" s="397"/>
      <c r="T68" s="20"/>
      <c r="U68" s="20"/>
      <c r="V68" s="177"/>
      <c r="W68" s="182">
        <f t="shared" si="13"/>
        <v>0</v>
      </c>
      <c r="X68" s="84"/>
      <c r="Y68" s="84"/>
      <c r="Z68" s="419"/>
      <c r="AA68" s="418"/>
      <c r="AB68" s="18"/>
      <c r="AC68" s="55"/>
      <c r="AD68" s="402"/>
    </row>
    <row r="69" spans="1:32" ht="15" customHeight="1" thickBot="1">
      <c r="A69" s="469"/>
      <c r="B69" s="165"/>
      <c r="C69" s="1" t="s">
        <v>39</v>
      </c>
      <c r="D69" s="410" t="s">
        <v>7</v>
      </c>
      <c r="E69" s="410"/>
      <c r="F69" s="114"/>
      <c r="G69" s="115"/>
      <c r="H69" s="116"/>
      <c r="I69" s="170"/>
      <c r="J69" s="166">
        <f t="shared" ref="J69:O69" si="50">AVERAGE(J59:J68)</f>
        <v>12.5</v>
      </c>
      <c r="K69" s="166">
        <f t="shared" si="50"/>
        <v>1565</v>
      </c>
      <c r="L69" s="171">
        <f t="shared" si="50"/>
        <v>125.40064102564102</v>
      </c>
      <c r="M69" s="166">
        <f t="shared" si="50"/>
        <v>12.5</v>
      </c>
      <c r="N69" s="166">
        <f t="shared" si="50"/>
        <v>1348.6734192669483</v>
      </c>
      <c r="O69" s="171">
        <f t="shared" si="50"/>
        <v>107.83396361530842</v>
      </c>
      <c r="P69" s="172">
        <f>M69-J69</f>
        <v>0</v>
      </c>
      <c r="Q69" s="158">
        <f>N69-K69</f>
        <v>-216.32658073305174</v>
      </c>
      <c r="R69" s="121">
        <f>O69/L69</f>
        <v>0.85991556927734769</v>
      </c>
      <c r="S69" s="399"/>
      <c r="T69" s="122"/>
      <c r="U69" s="122"/>
      <c r="V69" s="195"/>
      <c r="W69" s="168"/>
      <c r="X69" s="124"/>
      <c r="Y69" s="124"/>
      <c r="Z69" s="405"/>
      <c r="AA69" s="405"/>
      <c r="AB69" s="119">
        <f>N69-K69</f>
        <v>-216.32658073305174</v>
      </c>
      <c r="AC69" s="187">
        <f>N69/K69</f>
        <v>0.86177215288622888</v>
      </c>
      <c r="AD69" s="404"/>
    </row>
    <row r="70" spans="1:32" ht="15" customHeight="1">
      <c r="A70" s="461" t="s">
        <v>58</v>
      </c>
      <c r="B70" s="199" t="s">
        <v>62</v>
      </c>
      <c r="C70" s="199"/>
      <c r="D70" s="103" t="s">
        <v>158</v>
      </c>
      <c r="E70" s="104"/>
      <c r="F70" s="199">
        <f>VLOOKUP(D70,廠價表!$C$1:$E$39,3,0)</f>
        <v>47.71</v>
      </c>
      <c r="G70" s="188">
        <v>4236</v>
      </c>
      <c r="H70" s="106">
        <f t="shared" ref="H70" si="51">F70*G70</f>
        <v>202099.56</v>
      </c>
      <c r="I70" s="188"/>
      <c r="J70" s="108">
        <f>VLOOKUP(D70,產線配置圖!$A$2:$C$38,2,0)</f>
        <v>15</v>
      </c>
      <c r="K70" s="105">
        <f>VLOOKUP(D70,產線配置圖!$A$2:$C$38,3,0)</f>
        <v>1500</v>
      </c>
      <c r="L70" s="109">
        <f>K70/J70</f>
        <v>100</v>
      </c>
      <c r="M70" s="110">
        <v>15</v>
      </c>
      <c r="N70" s="105">
        <f t="shared" ref="N70" si="52">G70/W70*60</f>
        <v>1239.8048780487804</v>
      </c>
      <c r="O70" s="109">
        <f t="shared" ref="O70" si="53">N70/M70</f>
        <v>82.653658536585368</v>
      </c>
      <c r="P70" s="111">
        <f t="shared" ref="P70" si="54">M70-J70</f>
        <v>0</v>
      </c>
      <c r="Q70" s="112">
        <f t="shared" ref="Q70" si="55">O70-L70</f>
        <v>-17.346341463414632</v>
      </c>
      <c r="R70" s="184">
        <f t="shared" ref="R70" si="56">O70/L70</f>
        <v>0.82653658536585373</v>
      </c>
      <c r="S70" s="396">
        <f>R79</f>
        <v>0.84510683414704391</v>
      </c>
      <c r="T70" s="169">
        <v>0.33333333333333331</v>
      </c>
      <c r="U70" s="169">
        <v>0.47569444444444442</v>
      </c>
      <c r="V70" s="188"/>
      <c r="W70" s="107">
        <f t="shared" ref="W70:W78" si="57">(U70-T70)*24*60</f>
        <v>205</v>
      </c>
      <c r="X70" s="296"/>
      <c r="Y70" s="296"/>
      <c r="Z70" s="465"/>
      <c r="AA70" s="427"/>
      <c r="AB70" s="225">
        <f t="shared" ref="AB70:AB71" si="58">N70-K70</f>
        <v>-260.19512195121956</v>
      </c>
      <c r="AC70" s="226">
        <f t="shared" ref="AC70:AC71" si="59">N70/K70</f>
        <v>0.82653658536585362</v>
      </c>
      <c r="AD70" s="401">
        <f>AC79</f>
        <v>0.84452799259893274</v>
      </c>
    </row>
    <row r="71" spans="1:32" ht="15" customHeight="1">
      <c r="A71" s="462"/>
      <c r="B71" s="56"/>
      <c r="C71" s="10"/>
      <c r="D71" s="11"/>
      <c r="E71" s="86"/>
      <c r="F71" s="56"/>
      <c r="G71" s="66"/>
      <c r="H71" s="76"/>
      <c r="I71" s="193"/>
      <c r="J71" s="16"/>
      <c r="K71" s="14"/>
      <c r="L71" s="17"/>
      <c r="M71" s="180"/>
      <c r="N71" s="14"/>
      <c r="O71" s="17"/>
      <c r="P71" s="18"/>
      <c r="Q71" s="19"/>
      <c r="R71" s="185"/>
      <c r="S71" s="397"/>
      <c r="T71" s="20"/>
      <c r="U71" s="20"/>
      <c r="V71" s="177"/>
      <c r="W71" s="182">
        <f t="shared" si="57"/>
        <v>0</v>
      </c>
      <c r="X71" s="298"/>
      <c r="Y71" s="299"/>
      <c r="Z71" s="439"/>
      <c r="AA71" s="440"/>
      <c r="AB71" s="39">
        <f t="shared" si="58"/>
        <v>0</v>
      </c>
      <c r="AC71" s="190" t="e">
        <f t="shared" si="59"/>
        <v>#DIV/0!</v>
      </c>
      <c r="AD71" s="447"/>
    </row>
    <row r="72" spans="1:32" ht="15" customHeight="1">
      <c r="A72" s="462"/>
      <c r="B72" s="56"/>
      <c r="C72" s="10"/>
      <c r="D72" s="11"/>
      <c r="E72" s="86"/>
      <c r="F72" s="56"/>
      <c r="G72" s="66"/>
      <c r="H72" s="76"/>
      <c r="I72" s="193"/>
      <c r="J72" s="16"/>
      <c r="K72" s="14"/>
      <c r="L72" s="17"/>
      <c r="M72" s="180"/>
      <c r="N72" s="14"/>
      <c r="O72" s="17"/>
      <c r="P72" s="18"/>
      <c r="Q72" s="19"/>
      <c r="R72" s="185"/>
      <c r="S72" s="397"/>
      <c r="T72" s="20"/>
      <c r="U72" s="20"/>
      <c r="V72" s="177"/>
      <c r="W72" s="182">
        <f t="shared" si="57"/>
        <v>0</v>
      </c>
      <c r="X72" s="297"/>
      <c r="Y72" s="297"/>
      <c r="Z72" s="405"/>
      <c r="AA72" s="419"/>
      <c r="AB72" s="39"/>
      <c r="AC72" s="190"/>
      <c r="AD72" s="447"/>
    </row>
    <row r="73" spans="1:32" ht="15" customHeight="1">
      <c r="A73" s="462"/>
      <c r="B73" s="56"/>
      <c r="C73" s="23"/>
      <c r="D73" s="11"/>
      <c r="E73" s="12"/>
      <c r="F73" s="56"/>
      <c r="G73" s="66"/>
      <c r="H73" s="76"/>
      <c r="I73" s="193"/>
      <c r="J73" s="16"/>
      <c r="K73" s="14"/>
      <c r="L73" s="17"/>
      <c r="M73" s="180"/>
      <c r="N73" s="14"/>
      <c r="O73" s="17"/>
      <c r="P73" s="18"/>
      <c r="Q73" s="19"/>
      <c r="R73" s="185"/>
      <c r="S73" s="397"/>
      <c r="T73" s="20"/>
      <c r="U73" s="20"/>
      <c r="V73" s="177"/>
      <c r="W73" s="182">
        <f t="shared" si="57"/>
        <v>0</v>
      </c>
      <c r="X73" s="22"/>
      <c r="Y73" s="22"/>
      <c r="Z73" s="405"/>
      <c r="AA73" s="419"/>
      <c r="AB73" s="39"/>
      <c r="AC73" s="190"/>
      <c r="AD73" s="447"/>
    </row>
    <row r="74" spans="1:32" ht="15" customHeight="1">
      <c r="A74" s="462"/>
      <c r="B74" s="56"/>
      <c r="C74" s="249"/>
      <c r="D74" s="250"/>
      <c r="E74" s="251"/>
      <c r="F74" s="56"/>
      <c r="G74" s="238"/>
      <c r="H74" s="76">
        <f t="shared" ref="H74:H78" si="60">F74*G74</f>
        <v>0</v>
      </c>
      <c r="I74" s="81"/>
      <c r="J74" s="234"/>
      <c r="K74" s="36"/>
      <c r="L74" s="235"/>
      <c r="M74" s="21"/>
      <c r="N74" s="36"/>
      <c r="O74" s="38"/>
      <c r="P74" s="39"/>
      <c r="Q74" s="40"/>
      <c r="R74" s="190"/>
      <c r="S74" s="397"/>
      <c r="T74" s="20"/>
      <c r="U74" s="20"/>
      <c r="V74" s="177"/>
      <c r="W74" s="182">
        <f t="shared" si="57"/>
        <v>0</v>
      </c>
      <c r="X74" s="22"/>
      <c r="Y74" s="22"/>
      <c r="Z74" s="405"/>
      <c r="AA74" s="419"/>
      <c r="AB74" s="39"/>
      <c r="AC74" s="190"/>
      <c r="AD74" s="447"/>
    </row>
    <row r="75" spans="1:32" ht="15" customHeight="1">
      <c r="A75" s="462"/>
      <c r="B75" s="177"/>
      <c r="C75" s="183"/>
      <c r="D75" s="11"/>
      <c r="E75" s="12"/>
      <c r="F75" s="13"/>
      <c r="G75" s="177"/>
      <c r="H75" s="15">
        <f t="shared" si="60"/>
        <v>0</v>
      </c>
      <c r="I75" s="81"/>
      <c r="J75" s="87"/>
      <c r="K75" s="82"/>
      <c r="L75" s="83"/>
      <c r="M75" s="181"/>
      <c r="N75" s="82"/>
      <c r="O75" s="83"/>
      <c r="P75" s="73"/>
      <c r="Q75" s="74"/>
      <c r="R75" s="192"/>
      <c r="S75" s="397"/>
      <c r="T75" s="20"/>
      <c r="U75" s="20"/>
      <c r="V75" s="177"/>
      <c r="W75" s="88">
        <f t="shared" si="57"/>
        <v>0</v>
      </c>
      <c r="X75" s="89"/>
      <c r="Y75" s="89"/>
      <c r="Z75" s="406"/>
      <c r="AA75" s="406"/>
      <c r="AB75" s="306"/>
      <c r="AC75" s="307"/>
      <c r="AD75" s="402"/>
    </row>
    <row r="76" spans="1:32" ht="15" customHeight="1">
      <c r="A76" s="462"/>
      <c r="B76" s="26"/>
      <c r="C76" s="27"/>
      <c r="D76" s="28"/>
      <c r="E76" s="29"/>
      <c r="F76" s="13"/>
      <c r="G76" s="177"/>
      <c r="H76" s="15">
        <f t="shared" si="60"/>
        <v>0</v>
      </c>
      <c r="I76" s="81"/>
      <c r="J76" s="87"/>
      <c r="K76" s="82"/>
      <c r="L76" s="83"/>
      <c r="M76" s="181"/>
      <c r="N76" s="82"/>
      <c r="O76" s="83"/>
      <c r="P76" s="73"/>
      <c r="Q76" s="74"/>
      <c r="R76" s="192"/>
      <c r="S76" s="398"/>
      <c r="T76" s="20"/>
      <c r="U76" s="20"/>
      <c r="V76" s="177"/>
      <c r="W76" s="90">
        <f t="shared" si="57"/>
        <v>0</v>
      </c>
      <c r="X76" s="78"/>
      <c r="Y76" s="78"/>
      <c r="Z76" s="445"/>
      <c r="AA76" s="445"/>
      <c r="AB76" s="51"/>
      <c r="AC76" s="52"/>
      <c r="AD76" s="403"/>
    </row>
    <row r="77" spans="1:32" ht="15" customHeight="1">
      <c r="A77" s="462"/>
      <c r="B77" s="26"/>
      <c r="C77" s="27"/>
      <c r="D77" s="28"/>
      <c r="E77" s="29"/>
      <c r="F77" s="13"/>
      <c r="G77" s="177"/>
      <c r="H77" s="15">
        <f t="shared" si="60"/>
        <v>0</v>
      </c>
      <c r="I77" s="81"/>
      <c r="J77" s="87"/>
      <c r="K77" s="82"/>
      <c r="L77" s="83"/>
      <c r="M77" s="181"/>
      <c r="N77" s="82"/>
      <c r="O77" s="83"/>
      <c r="P77" s="73"/>
      <c r="Q77" s="74"/>
      <c r="R77" s="192"/>
      <c r="S77" s="398"/>
      <c r="T77" s="20"/>
      <c r="U77" s="20"/>
      <c r="V77" s="177"/>
      <c r="W77" s="182">
        <f t="shared" si="57"/>
        <v>0</v>
      </c>
      <c r="X77" s="84"/>
      <c r="Y77" s="84"/>
      <c r="Z77" s="405"/>
      <c r="AA77" s="405"/>
      <c r="AB77" s="18"/>
      <c r="AC77" s="55"/>
      <c r="AD77" s="403"/>
    </row>
    <row r="78" spans="1:32" ht="15" customHeight="1">
      <c r="A78" s="462"/>
      <c r="B78" s="26"/>
      <c r="C78" s="27"/>
      <c r="D78" s="28"/>
      <c r="E78" s="29"/>
      <c r="F78" s="13"/>
      <c r="G78" s="177"/>
      <c r="H78" s="15">
        <f t="shared" si="60"/>
        <v>0</v>
      </c>
      <c r="I78" s="85"/>
      <c r="J78" s="37"/>
      <c r="K78" s="36"/>
      <c r="L78" s="83"/>
      <c r="M78" s="21"/>
      <c r="N78" s="36"/>
      <c r="O78" s="38"/>
      <c r="P78" s="39"/>
      <c r="Q78" s="40"/>
      <c r="R78" s="190"/>
      <c r="S78" s="464"/>
      <c r="T78" s="32"/>
      <c r="U78" s="32"/>
      <c r="V78" s="178"/>
      <c r="W78" s="182">
        <f t="shared" si="57"/>
        <v>0</v>
      </c>
      <c r="X78" s="91"/>
      <c r="Y78" s="91"/>
      <c r="Z78" s="405"/>
      <c r="AA78" s="405"/>
      <c r="AB78" s="34"/>
      <c r="AC78" s="57"/>
      <c r="AD78" s="403"/>
    </row>
    <row r="79" spans="1:32" ht="15" customHeight="1" thickBot="1">
      <c r="A79" s="463"/>
      <c r="B79" s="165"/>
      <c r="C79" s="1" t="s">
        <v>40</v>
      </c>
      <c r="D79" s="410" t="s">
        <v>7</v>
      </c>
      <c r="E79" s="410"/>
      <c r="F79" s="114"/>
      <c r="G79" s="115"/>
      <c r="H79" s="173"/>
      <c r="I79" s="171"/>
      <c r="J79" s="166">
        <f t="shared" ref="J79:O79" si="61">AVERAGE(J69:J78)</f>
        <v>13.75</v>
      </c>
      <c r="K79" s="166">
        <f t="shared" si="61"/>
        <v>1532.5</v>
      </c>
      <c r="L79" s="171">
        <f t="shared" si="61"/>
        <v>112.70032051282051</v>
      </c>
      <c r="M79" s="166">
        <f t="shared" si="61"/>
        <v>13.75</v>
      </c>
      <c r="N79" s="166">
        <f t="shared" si="61"/>
        <v>1294.2391486578645</v>
      </c>
      <c r="O79" s="171">
        <f t="shared" si="61"/>
        <v>95.243811075946894</v>
      </c>
      <c r="P79" s="172">
        <f>M79-J79</f>
        <v>0</v>
      </c>
      <c r="Q79" s="158">
        <f>N79-K79</f>
        <v>-238.26085134213554</v>
      </c>
      <c r="R79" s="159">
        <f>O79/L79</f>
        <v>0.84510683414704391</v>
      </c>
      <c r="S79" s="399"/>
      <c r="T79" s="122"/>
      <c r="U79" s="122"/>
      <c r="V79" s="195"/>
      <c r="W79" s="168"/>
      <c r="X79" s="124"/>
      <c r="Y79" s="124"/>
      <c r="Z79" s="391"/>
      <c r="AA79" s="391"/>
      <c r="AB79" s="119">
        <f>N79-K79</f>
        <v>-238.26085134213554</v>
      </c>
      <c r="AC79" s="187">
        <f>N79/K79</f>
        <v>0.84452799259893274</v>
      </c>
      <c r="AD79" s="404"/>
    </row>
    <row r="80" spans="1:32">
      <c r="AF80" s="93" t="s">
        <v>41</v>
      </c>
    </row>
    <row r="81" spans="4:32">
      <c r="AF81" s="93" t="s">
        <v>42</v>
      </c>
    </row>
    <row r="82" spans="4:32">
      <c r="AF82" s="93" t="s">
        <v>43</v>
      </c>
    </row>
    <row r="83" spans="4:32">
      <c r="D83" s="220"/>
      <c r="W83" s="6"/>
      <c r="AF83" s="93" t="s">
        <v>44</v>
      </c>
    </row>
    <row r="84" spans="4:32">
      <c r="D84" s="224"/>
      <c r="W84" s="6"/>
      <c r="AF84" s="93" t="s">
        <v>45</v>
      </c>
    </row>
    <row r="85" spans="4:32">
      <c r="D85" s="224"/>
      <c r="W85" s="6"/>
      <c r="AF85" s="93" t="s">
        <v>46</v>
      </c>
    </row>
    <row r="86" spans="4:32">
      <c r="D86" s="155"/>
      <c r="W86" s="6"/>
      <c r="AF86" s="93" t="s">
        <v>47</v>
      </c>
    </row>
    <row r="87" spans="4:32">
      <c r="W87" s="6"/>
      <c r="AF87" s="93" t="s">
        <v>48</v>
      </c>
    </row>
    <row r="88" spans="4:32">
      <c r="W88" s="6"/>
      <c r="AF88" s="93" t="s">
        <v>49</v>
      </c>
    </row>
    <row r="89" spans="4:32">
      <c r="W89" s="6"/>
      <c r="AF89" s="93" t="s">
        <v>50</v>
      </c>
    </row>
    <row r="90" spans="4:32">
      <c r="W90" s="6"/>
      <c r="AF90" s="93" t="s">
        <v>51</v>
      </c>
    </row>
    <row r="91" spans="4:32">
      <c r="W91" s="6"/>
      <c r="AF91" s="93" t="s">
        <v>52</v>
      </c>
    </row>
    <row r="92" spans="4:32">
      <c r="W92" s="6"/>
      <c r="AF92" s="93" t="s">
        <v>53</v>
      </c>
    </row>
  </sheetData>
  <autoFilter ref="D1:D92" xr:uid="{EF5AD393-5A39-4C0E-A7B0-465235F2AB14}"/>
  <mergeCells count="135"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  <mergeCell ref="D69:E69"/>
    <mergeCell ref="Z69:AA69"/>
    <mergeCell ref="A70:A79"/>
    <mergeCell ref="S70:S79"/>
    <mergeCell ref="Z70:AA70"/>
    <mergeCell ref="D79:E79"/>
    <mergeCell ref="A59:A69"/>
    <mergeCell ref="S59:S69"/>
    <mergeCell ref="Z59:AA59"/>
    <mergeCell ref="AD59:AD69"/>
    <mergeCell ref="Z60:AA60"/>
    <mergeCell ref="Z61:AA61"/>
    <mergeCell ref="Z62:AA62"/>
    <mergeCell ref="Z63:AA63"/>
    <mergeCell ref="Z64:AA64"/>
    <mergeCell ref="Z65:AA65"/>
    <mergeCell ref="AD49:AD58"/>
    <mergeCell ref="Z50:AA50"/>
    <mergeCell ref="Z51:AA51"/>
    <mergeCell ref="Z52:AA52"/>
    <mergeCell ref="Z53:AA53"/>
    <mergeCell ref="Z54:AA54"/>
    <mergeCell ref="Z55:AA55"/>
    <mergeCell ref="Z56:AA56"/>
    <mergeCell ref="Z57:AA57"/>
    <mergeCell ref="Z58:AA58"/>
    <mergeCell ref="Z66:AA66"/>
    <mergeCell ref="Z67:AA67"/>
    <mergeCell ref="Z68:AA68"/>
    <mergeCell ref="D48:E48"/>
    <mergeCell ref="Z48:AA48"/>
    <mergeCell ref="A49:A58"/>
    <mergeCell ref="S49:S58"/>
    <mergeCell ref="Z49:AA49"/>
    <mergeCell ref="D58:E58"/>
    <mergeCell ref="A38:A48"/>
    <mergeCell ref="S38:S48"/>
    <mergeCell ref="Z38:AA38"/>
    <mergeCell ref="AD38:AD48"/>
    <mergeCell ref="Z39:AA39"/>
    <mergeCell ref="Z40:AA40"/>
    <mergeCell ref="Z41:AA41"/>
    <mergeCell ref="Z42:AA42"/>
    <mergeCell ref="Z43:AA43"/>
    <mergeCell ref="Z44:AA44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Z45:AA45"/>
    <mergeCell ref="Z46:AA46"/>
    <mergeCell ref="Z47:AA47"/>
    <mergeCell ref="D26:E26"/>
    <mergeCell ref="Z26:AA26"/>
    <mergeCell ref="A27:A37"/>
    <mergeCell ref="S27:S37"/>
    <mergeCell ref="Z27:AA27"/>
    <mergeCell ref="D37:E37"/>
    <mergeCell ref="Z37:AA37"/>
    <mergeCell ref="A16:A26"/>
    <mergeCell ref="S16:S26"/>
    <mergeCell ref="Z16:AA16"/>
    <mergeCell ref="AD16:AD26"/>
    <mergeCell ref="Z17:AA17"/>
    <mergeCell ref="Z18:AA18"/>
    <mergeCell ref="Z19:AA19"/>
    <mergeCell ref="Z20:AA20"/>
    <mergeCell ref="Z21:AA21"/>
    <mergeCell ref="Z22:AA22"/>
    <mergeCell ref="Z10:AA10"/>
    <mergeCell ref="Z11:AA11"/>
    <mergeCell ref="Z12:AA12"/>
    <mergeCell ref="Z13:AA13"/>
    <mergeCell ref="Z14:AA14"/>
    <mergeCell ref="Z23:AA23"/>
    <mergeCell ref="Z24:AA24"/>
    <mergeCell ref="Z25:AA25"/>
    <mergeCell ref="Z15:AA15"/>
    <mergeCell ref="S5:S15"/>
    <mergeCell ref="Z5:AA5"/>
    <mergeCell ref="AD5:AD15"/>
    <mergeCell ref="Z6:AA6"/>
    <mergeCell ref="Z7:AA7"/>
    <mergeCell ref="Z8:AA8"/>
    <mergeCell ref="Z9:AA9"/>
    <mergeCell ref="T3:U3"/>
    <mergeCell ref="V3:V4"/>
    <mergeCell ref="W3:W4"/>
    <mergeCell ref="X3:Y3"/>
    <mergeCell ref="Z3:AA4"/>
    <mergeCell ref="AB3:AB4"/>
    <mergeCell ref="S3:S4"/>
    <mergeCell ref="A2:B2"/>
    <mergeCell ref="A3:A4"/>
    <mergeCell ref="B3:B4"/>
    <mergeCell ref="D3:E4"/>
    <mergeCell ref="F3:F4"/>
    <mergeCell ref="G3:G4"/>
    <mergeCell ref="J1:L2"/>
    <mergeCell ref="M1:O2"/>
    <mergeCell ref="D15:E15"/>
    <mergeCell ref="A5:A15"/>
    <mergeCell ref="N3:N4"/>
    <mergeCell ref="O3:O4"/>
    <mergeCell ref="P1:S2"/>
    <mergeCell ref="T1:Y2"/>
    <mergeCell ref="Z1:AA2"/>
    <mergeCell ref="AB1:AD2"/>
    <mergeCell ref="H3:H4"/>
    <mergeCell ref="I3:I4"/>
    <mergeCell ref="J3:J4"/>
    <mergeCell ref="K3:K4"/>
    <mergeCell ref="L3:L4"/>
    <mergeCell ref="M3:M4"/>
    <mergeCell ref="AC3:AC4"/>
    <mergeCell ref="AD3:AD4"/>
    <mergeCell ref="P3:P4"/>
    <mergeCell ref="Q3:Q4"/>
    <mergeCell ref="R3:R4"/>
  </mergeCells>
  <phoneticPr fontId="2" type="noConversion"/>
  <conditionalFormatting sqref="P5:P79">
    <cfRule type="cellIs" dxfId="178" priority="1" operator="greaterThan">
      <formula>0</formula>
    </cfRule>
  </conditionalFormatting>
  <conditionalFormatting sqref="Q5:Q79 AB5:AB79">
    <cfRule type="cellIs" dxfId="177" priority="4" operator="lessThan">
      <formula>0</formula>
    </cfRule>
  </conditionalFormatting>
  <conditionalFormatting sqref="R5:R79 AC5:AC79">
    <cfRule type="cellIs" dxfId="176" priority="2" operator="greaterThan">
      <formula>1</formula>
    </cfRule>
    <cfRule type="cellIs" dxfId="175" priority="3" operator="lessThan">
      <formula>0.8</formula>
    </cfRule>
  </conditionalFormatting>
  <conditionalFormatting sqref="S5:S10 S37:S62 AD59:AD62 S69:S76 AD69:AD76">
    <cfRule type="cellIs" dxfId="174" priority="7" operator="lessThan">
      <formula>0.8</formula>
    </cfRule>
  </conditionalFormatting>
  <conditionalFormatting sqref="S19:S25 AD19:AD25">
    <cfRule type="cellIs" dxfId="173" priority="6" operator="lessThan">
      <formula>0.8</formula>
    </cfRule>
  </conditionalFormatting>
  <conditionalFormatting sqref="S79">
    <cfRule type="cellIs" dxfId="172" priority="5" operator="lessThan">
      <formula>0.8</formula>
    </cfRule>
  </conditionalFormatting>
  <conditionalFormatting sqref="AD5:AD8 S15:S16 AD15:AD16 AD49 AD79">
    <cfRule type="cellIs" dxfId="171" priority="9" operator="lessThan">
      <formula>0.8</formula>
    </cfRule>
  </conditionalFormatting>
  <conditionalFormatting sqref="AD27 S27:S28">
    <cfRule type="cellIs" dxfId="17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A911D21-70C2-4C03-AB3F-0C411F3998A1}">
          <x14:formula1>
            <xm:f>廠價表!$C$2:$C$37</xm:f>
          </x14:formula1>
          <xm:sqref>D1:D1048576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5EA0E-F2A4-4AFD-9FDB-157DA47C7DF4}">
  <sheetPr>
    <pageSetUpPr fitToPage="1"/>
  </sheetPr>
  <dimension ref="B1:O22"/>
  <sheetViews>
    <sheetView zoomScale="70" zoomScaleNormal="70" workbookViewId="0">
      <selection activeCell="K20" sqref="K20"/>
    </sheetView>
  </sheetViews>
  <sheetFormatPr defaultColWidth="8.125" defaultRowHeight="15.75"/>
  <cols>
    <col min="1" max="1" width="8.125" style="203"/>
    <col min="2" max="2" width="7.125" style="203" customWidth="1"/>
    <col min="3" max="3" width="7.125" style="218" customWidth="1"/>
    <col min="4" max="17" width="14.125" style="203" customWidth="1"/>
    <col min="18" max="21" width="9.625" style="203" customWidth="1"/>
    <col min="22" max="22" width="11.125" style="203" customWidth="1"/>
    <col min="23" max="23" width="11.5" style="203" customWidth="1"/>
    <col min="24" max="16384" width="8.125" style="203"/>
  </cols>
  <sheetData>
    <row r="1" spans="2:15" ht="27.75" customHeight="1">
      <c r="B1" s="345" t="s">
        <v>73</v>
      </c>
      <c r="C1" s="345"/>
      <c r="D1" s="345"/>
      <c r="E1" s="345"/>
      <c r="F1" s="345"/>
      <c r="G1" s="345"/>
      <c r="H1" s="345"/>
      <c r="I1" s="345"/>
      <c r="J1" s="345"/>
      <c r="K1" s="345"/>
      <c r="L1" s="202"/>
      <c r="M1" s="202"/>
    </row>
    <row r="2" spans="2:15" ht="27.75" customHeight="1"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202"/>
      <c r="M2" s="202"/>
    </row>
    <row r="3" spans="2:15" ht="46.5" customHeight="1">
      <c r="B3" s="342" t="s">
        <v>74</v>
      </c>
      <c r="C3" s="342"/>
      <c r="D3" s="346">
        <v>45975</v>
      </c>
      <c r="E3" s="346"/>
      <c r="F3" s="204" t="s">
        <v>75</v>
      </c>
      <c r="G3" s="347">
        <f>'1114'!E1</f>
        <v>43532</v>
      </c>
      <c r="H3" s="347"/>
      <c r="I3" s="204" t="s">
        <v>76</v>
      </c>
      <c r="J3" s="348">
        <f>'1114'!G1</f>
        <v>2152246.5099999998</v>
      </c>
      <c r="K3" s="348"/>
      <c r="L3" s="205"/>
    </row>
    <row r="4" spans="2:15" ht="24" customHeight="1">
      <c r="B4" s="342" t="s">
        <v>77</v>
      </c>
      <c r="C4" s="342"/>
      <c r="D4" s="343">
        <v>3</v>
      </c>
      <c r="E4" s="343"/>
      <c r="F4" s="344" t="s">
        <v>78</v>
      </c>
      <c r="G4" s="344"/>
      <c r="H4" s="344" t="s">
        <v>79</v>
      </c>
      <c r="I4" s="344"/>
      <c r="J4" s="343" t="s">
        <v>80</v>
      </c>
      <c r="K4" s="344"/>
      <c r="L4" s="206"/>
    </row>
    <row r="5" spans="2:15" ht="24" customHeight="1">
      <c r="B5" s="342" t="s">
        <v>81</v>
      </c>
      <c r="C5" s="342"/>
      <c r="D5" s="343" t="s">
        <v>82</v>
      </c>
      <c r="E5" s="343"/>
      <c r="F5" s="343" t="s">
        <v>83</v>
      </c>
      <c r="G5" s="343"/>
      <c r="H5" s="369" t="s">
        <v>62</v>
      </c>
      <c r="I5" s="369"/>
      <c r="J5" s="341" t="s">
        <v>84</v>
      </c>
      <c r="K5" s="341"/>
      <c r="L5" s="207"/>
    </row>
    <row r="6" spans="2:15" ht="39.6" customHeight="1">
      <c r="B6" s="342"/>
      <c r="C6" s="342"/>
      <c r="D6" s="342" t="s">
        <v>85</v>
      </c>
      <c r="E6" s="342"/>
      <c r="F6" s="356">
        <f>AVERAGE(D13:J13)</f>
        <v>114.67357440839585</v>
      </c>
      <c r="G6" s="356"/>
      <c r="H6" s="349">
        <f>AVERAGE(D13:H13)</f>
        <v>112.42120929995932</v>
      </c>
      <c r="I6" s="349"/>
      <c r="J6" s="349">
        <f>AVERAGE(I13:J13)</f>
        <v>120.30448717948718</v>
      </c>
      <c r="K6" s="349"/>
      <c r="L6" s="207"/>
    </row>
    <row r="7" spans="2:15" s="208" customFormat="1" ht="39.6" customHeight="1">
      <c r="B7" s="342"/>
      <c r="C7" s="342"/>
      <c r="D7" s="350" t="s">
        <v>86</v>
      </c>
      <c r="E7" s="350"/>
      <c r="F7" s="351">
        <f>AVERAGE(D14:J14)</f>
        <v>99.526439422692292</v>
      </c>
      <c r="G7" s="351"/>
      <c r="H7" s="352">
        <f>AVERAGE(D14:H14)</f>
        <v>96.918273393588166</v>
      </c>
      <c r="I7" s="352"/>
      <c r="J7" s="352">
        <f>AVERAGE(I14:J14)</f>
        <v>106.04685449545259</v>
      </c>
      <c r="K7" s="352"/>
    </row>
    <row r="8" spans="2:15" s="208" customFormat="1" ht="39.6" customHeight="1">
      <c r="B8" s="342"/>
      <c r="C8" s="342"/>
      <c r="D8" s="350" t="s">
        <v>87</v>
      </c>
      <c r="E8" s="350"/>
      <c r="F8" s="353">
        <f>AVERAGE(D15:J15)</f>
        <v>0.86997260798583198</v>
      </c>
      <c r="G8" s="353"/>
      <c r="H8" s="353">
        <f>AVERAGE(D15:H15)</f>
        <v>0.86544625846928169</v>
      </c>
      <c r="I8" s="353"/>
      <c r="J8" s="353">
        <f>AVERAGE(I15:J15)</f>
        <v>0.88128848177720776</v>
      </c>
      <c r="K8" s="353"/>
      <c r="L8" s="209" t="s">
        <v>88</v>
      </c>
    </row>
    <row r="9" spans="2:15" ht="25.5" customHeight="1">
      <c r="B9" s="207"/>
      <c r="C9" s="207"/>
      <c r="D9" s="207"/>
      <c r="E9" s="207"/>
      <c r="F9" s="207"/>
      <c r="G9" s="207"/>
      <c r="H9" s="210"/>
      <c r="I9" s="211"/>
      <c r="J9" s="211"/>
      <c r="K9" s="211"/>
      <c r="L9" s="211"/>
      <c r="M9" s="211"/>
      <c r="N9" s="211"/>
      <c r="O9" s="207"/>
    </row>
    <row r="10" spans="2:15" ht="30" customHeight="1">
      <c r="B10" s="354" t="s">
        <v>0</v>
      </c>
      <c r="C10" s="355"/>
      <c r="D10" s="357" t="s">
        <v>89</v>
      </c>
      <c r="E10" s="358"/>
      <c r="F10" s="358"/>
      <c r="G10" s="358"/>
      <c r="H10" s="358"/>
      <c r="I10" s="358"/>
      <c r="J10" s="359"/>
    </row>
    <row r="11" spans="2:15" ht="17.25" customHeight="1">
      <c r="B11" s="360" t="s">
        <v>90</v>
      </c>
      <c r="C11" s="361"/>
      <c r="D11" s="212">
        <v>1</v>
      </c>
      <c r="E11" s="212">
        <v>2</v>
      </c>
      <c r="F11" s="212">
        <v>3</v>
      </c>
      <c r="G11" s="212">
        <v>4</v>
      </c>
      <c r="H11" s="212">
        <v>5</v>
      </c>
      <c r="I11" s="212">
        <v>6</v>
      </c>
      <c r="J11" s="212">
        <v>7</v>
      </c>
    </row>
    <row r="12" spans="2:15" ht="33.950000000000003" customHeight="1">
      <c r="B12" s="362"/>
      <c r="C12" s="363"/>
      <c r="D12" s="213" t="s">
        <v>91</v>
      </c>
      <c r="E12" s="213" t="s">
        <v>92</v>
      </c>
      <c r="F12" s="213" t="s">
        <v>93</v>
      </c>
      <c r="G12" s="213" t="s">
        <v>94</v>
      </c>
      <c r="H12" s="213" t="s">
        <v>95</v>
      </c>
      <c r="I12" s="213" t="s">
        <v>96</v>
      </c>
      <c r="J12" s="213" t="s">
        <v>97</v>
      </c>
    </row>
    <row r="13" spans="2:15" ht="39.950000000000003" customHeight="1">
      <c r="B13" s="364" t="s">
        <v>1</v>
      </c>
      <c r="C13" s="214" t="s">
        <v>98</v>
      </c>
      <c r="D13" s="215">
        <f>VALUE('1114'!L15)</f>
        <v>136.84126984126985</v>
      </c>
      <c r="E13" s="215">
        <f>VALUE('1114'!L26)</f>
        <v>150.22664835164835</v>
      </c>
      <c r="F13" s="215">
        <f>VALUE('1114'!L37)</f>
        <v>92.745535714285722</v>
      </c>
      <c r="G13" s="215">
        <f>VALUE('1114'!L48)</f>
        <v>93.033333333333331</v>
      </c>
      <c r="H13" s="215">
        <f>VALUE('1114'!L58)</f>
        <v>89.259259259259252</v>
      </c>
      <c r="I13" s="215">
        <f>VALUE('1114'!L69)</f>
        <v>127.07264957264958</v>
      </c>
      <c r="J13" s="215">
        <f>VALUE('1114'!L79)</f>
        <v>113.5363247863248</v>
      </c>
    </row>
    <row r="14" spans="2:15" ht="39.950000000000003" customHeight="1">
      <c r="B14" s="365"/>
      <c r="C14" s="214" t="s">
        <v>99</v>
      </c>
      <c r="D14" s="215">
        <f>VALUE('1114'!O15)</f>
        <v>122.61323387269984</v>
      </c>
      <c r="E14" s="215">
        <f>VALUE('1114'!O26)</f>
        <v>121.9873403509863</v>
      </c>
      <c r="F14" s="215">
        <f>VALUE('1114'!O37)</f>
        <v>74.882927728613581</v>
      </c>
      <c r="G14" s="215">
        <f>VALUE('1114'!O48)</f>
        <v>83.554261954261932</v>
      </c>
      <c r="H14" s="215">
        <f>VALUE('1114'!O58)</f>
        <v>81.553603061379178</v>
      </c>
      <c r="I14" s="215">
        <f>VALUE('1114'!O69)</f>
        <v>112.4363044363044</v>
      </c>
      <c r="J14" s="215">
        <f>VALUE('1114'!O79)</f>
        <v>99.657404554600788</v>
      </c>
    </row>
    <row r="15" spans="2:15" ht="39.950000000000003" customHeight="1">
      <c r="B15" s="366"/>
      <c r="C15" s="212" t="s">
        <v>100</v>
      </c>
      <c r="D15" s="233">
        <f>D14/D13</f>
        <v>0.89602525623246598</v>
      </c>
      <c r="E15" s="233">
        <f t="shared" ref="E15:J15" si="0">E14/E13</f>
        <v>0.81202197938570864</v>
      </c>
      <c r="F15" s="233">
        <f t="shared" si="0"/>
        <v>0.80740196443848089</v>
      </c>
      <c r="G15" s="233">
        <f t="shared" si="0"/>
        <v>0.89811102064774562</v>
      </c>
      <c r="H15" s="233">
        <f t="shared" si="0"/>
        <v>0.91367107164200745</v>
      </c>
      <c r="I15" s="233">
        <f t="shared" si="0"/>
        <v>0.88481907644510605</v>
      </c>
      <c r="J15" s="233">
        <f t="shared" si="0"/>
        <v>0.87775788710930958</v>
      </c>
    </row>
    <row r="16" spans="2:15" ht="17.25" customHeight="1">
      <c r="B16" s="367" t="s">
        <v>101</v>
      </c>
      <c r="C16" s="212" t="s">
        <v>102</v>
      </c>
      <c r="D16" s="95">
        <f>'1114'!T5</f>
        <v>0.2902777777777778</v>
      </c>
      <c r="E16" s="95">
        <f>'1114'!T16</f>
        <v>0.28958333333333336</v>
      </c>
      <c r="F16" s="95">
        <f>'1114'!T27</f>
        <v>0.29097222222222224</v>
      </c>
      <c r="G16" s="95">
        <f>'1114'!T38</f>
        <v>0.33263888888888887</v>
      </c>
      <c r="H16" s="95">
        <f>'1114'!T49</f>
        <v>0.2902777777777778</v>
      </c>
      <c r="I16" s="95">
        <f>'1114'!T59</f>
        <v>0.29166666666666669</v>
      </c>
      <c r="J16" s="272">
        <f>'1114'!T70</f>
        <v>0.33333333333333331</v>
      </c>
    </row>
    <row r="17" spans="2:10" ht="17.25" customHeight="1">
      <c r="B17" s="368"/>
      <c r="C17" s="212" t="s">
        <v>103</v>
      </c>
      <c r="D17" s="20">
        <v>0.62777777777777777</v>
      </c>
      <c r="E17" s="41">
        <v>0.60416666666666663</v>
      </c>
      <c r="F17" s="41">
        <v>0.47638888888888886</v>
      </c>
      <c r="G17" s="59">
        <v>0.48749999999999999</v>
      </c>
      <c r="H17" s="79">
        <v>0.57916666666666672</v>
      </c>
      <c r="I17" s="20">
        <v>0.49652777777777779</v>
      </c>
      <c r="J17" s="20">
        <v>0.48194444444444445</v>
      </c>
    </row>
    <row r="18" spans="2:10" ht="17.25" customHeight="1">
      <c r="B18" s="354" t="s">
        <v>104</v>
      </c>
      <c r="C18" s="355"/>
      <c r="D18" s="216">
        <f>VALUE('1114'!M15)</f>
        <v>14.8</v>
      </c>
      <c r="E18" s="216">
        <f>VALUE('1114'!M26)</f>
        <v>13.5</v>
      </c>
      <c r="F18" s="216">
        <f>VALUE('1114'!M37)</f>
        <v>14.5</v>
      </c>
      <c r="G18" s="216">
        <f>VALUE('1114'!M48)</f>
        <v>15</v>
      </c>
      <c r="H18" s="216">
        <f>VALUE('1114'!M58)</f>
        <v>16.666666666666668</v>
      </c>
      <c r="I18" s="216">
        <f>VALUE('1114'!M69)</f>
        <v>12.333333333333334</v>
      </c>
      <c r="J18" s="216">
        <f>VALUE('1114'!M79)</f>
        <v>13.666666666666668</v>
      </c>
    </row>
    <row r="19" spans="2:10" ht="17.25" customHeight="1">
      <c r="B19" s="354" t="s">
        <v>105</v>
      </c>
      <c r="C19" s="355"/>
      <c r="D19" s="213" t="s">
        <v>106</v>
      </c>
      <c r="E19" s="213" t="s">
        <v>106</v>
      </c>
      <c r="F19" s="213" t="s">
        <v>107</v>
      </c>
      <c r="G19" s="213" t="s">
        <v>107</v>
      </c>
      <c r="H19" s="213" t="s">
        <v>107</v>
      </c>
      <c r="I19" s="213" t="s">
        <v>108</v>
      </c>
      <c r="J19" s="213" t="s">
        <v>107</v>
      </c>
    </row>
    <row r="20" spans="2:10" ht="17.25" customHeight="1">
      <c r="B20" s="354" t="s">
        <v>110</v>
      </c>
      <c r="C20" s="355"/>
      <c r="D20" s="213"/>
      <c r="E20" s="213"/>
      <c r="F20" s="213"/>
      <c r="G20" s="217"/>
      <c r="H20" s="213" t="s">
        <v>109</v>
      </c>
      <c r="I20" s="213"/>
      <c r="J20" s="213"/>
    </row>
    <row r="21" spans="2:10" ht="17.25" customHeight="1">
      <c r="B21" s="354" t="s">
        <v>111</v>
      </c>
      <c r="C21" s="355"/>
      <c r="D21" s="273"/>
      <c r="E21" s="273"/>
      <c r="F21" s="273"/>
      <c r="G21" s="273"/>
      <c r="H21" s="273"/>
      <c r="I21" s="273"/>
      <c r="J21" s="273"/>
    </row>
    <row r="22" spans="2:10">
      <c r="B22" s="370"/>
      <c r="C22" s="370"/>
    </row>
  </sheetData>
  <mergeCells count="37">
    <mergeCell ref="J5:K5"/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J6:K6"/>
    <mergeCell ref="D7:E7"/>
    <mergeCell ref="F7:G7"/>
    <mergeCell ref="H7:I7"/>
    <mergeCell ref="J7:K7"/>
    <mergeCell ref="H8:I8"/>
    <mergeCell ref="B18:C18"/>
    <mergeCell ref="B19:C19"/>
    <mergeCell ref="D6:E6"/>
    <mergeCell ref="F6:G6"/>
    <mergeCell ref="H6:I6"/>
    <mergeCell ref="D10:J10"/>
    <mergeCell ref="B11:C12"/>
    <mergeCell ref="B13:B15"/>
    <mergeCell ref="B16:B17"/>
    <mergeCell ref="B10:C10"/>
    <mergeCell ref="J8:K8"/>
    <mergeCell ref="B5:C8"/>
    <mergeCell ref="D5:E5"/>
    <mergeCell ref="F5:G5"/>
    <mergeCell ref="H5:I5"/>
    <mergeCell ref="B20:C20"/>
    <mergeCell ref="B21:C21"/>
    <mergeCell ref="B22:C22"/>
    <mergeCell ref="D8:E8"/>
    <mergeCell ref="F8:G8"/>
  </mergeCells>
  <phoneticPr fontId="2" type="noConversion"/>
  <conditionalFormatting sqref="D15:J15">
    <cfRule type="cellIs" dxfId="169" priority="1" operator="lessThan">
      <formula>0.8</formula>
    </cfRule>
  </conditionalFormatting>
  <pageMargins left="0.7" right="0.7" top="0.75" bottom="0.75" header="0.3" footer="0.3"/>
  <pageSetup paperSize="8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E3D46-2BFA-4584-AD33-804FDEFF994E}">
  <sheetPr>
    <tabColor theme="9" tint="0.79998168889431442"/>
    <pageSetUpPr fitToPage="1"/>
  </sheetPr>
  <dimension ref="A1:AF92"/>
  <sheetViews>
    <sheetView zoomScale="69" zoomScaleNormal="69" workbookViewId="0">
      <pane xSplit="5" ySplit="4" topLeftCell="F5" activePane="bottomRight" state="frozen"/>
      <selection activeCell="T67" sqref="T67"/>
      <selection pane="topRight" activeCell="T67" sqref="T67"/>
      <selection pane="bottomLeft" activeCell="T67" sqref="T67"/>
      <selection pane="bottomRight" activeCell="M40" sqref="M40"/>
    </sheetView>
  </sheetViews>
  <sheetFormatPr defaultColWidth="7.875" defaultRowHeight="15.75"/>
  <cols>
    <col min="1" max="1" width="15" style="6" customWidth="1"/>
    <col min="2" max="2" width="12.875" style="6" customWidth="1"/>
    <col min="3" max="3" width="12.875" style="6" hidden="1" customWidth="1"/>
    <col min="4" max="4" width="26.125" style="6" bestFit="1" customWidth="1"/>
    <col min="5" max="5" width="15" style="6" customWidth="1"/>
    <col min="6" max="6" width="8.875" style="6" bestFit="1" customWidth="1"/>
    <col min="7" max="7" width="20.125" style="6" bestFit="1" customWidth="1"/>
    <col min="8" max="8" width="16.375" style="6" bestFit="1" customWidth="1"/>
    <col min="9" max="9" width="10.875" style="6" bestFit="1" customWidth="1"/>
    <col min="10" max="10" width="10.125" style="6" bestFit="1" customWidth="1"/>
    <col min="11" max="11" width="10.625" style="6" customWidth="1"/>
    <col min="12" max="12" width="14.5" style="6" customWidth="1"/>
    <col min="13" max="13" width="10.125" style="6" bestFit="1" customWidth="1"/>
    <col min="14" max="14" width="10.25" style="6" bestFit="1" customWidth="1"/>
    <col min="15" max="15" width="11.875" style="6" customWidth="1"/>
    <col min="16" max="17" width="9.125" style="6" bestFit="1" customWidth="1"/>
    <col min="18" max="18" width="9.125" style="6" customWidth="1"/>
    <col min="19" max="19" width="8.375" style="6" customWidth="1"/>
    <col min="20" max="21" width="9.375" style="6" bestFit="1" customWidth="1"/>
    <col min="22" max="22" width="10.625" style="6" customWidth="1"/>
    <col min="23" max="23" width="8.625" style="92" customWidth="1"/>
    <col min="24" max="24" width="7.5" style="6" bestFit="1" customWidth="1"/>
    <col min="25" max="25" width="6.875" style="6" customWidth="1"/>
    <col min="26" max="26" width="12.625" style="6" customWidth="1"/>
    <col min="27" max="27" width="33.375" style="6" customWidth="1"/>
    <col min="28" max="28" width="13.125" style="6" bestFit="1" customWidth="1"/>
    <col min="29" max="29" width="10.375" style="6" customWidth="1"/>
    <col min="30" max="30" width="9.125" style="6" customWidth="1"/>
    <col min="31" max="31" width="7.875" style="6"/>
    <col min="32" max="32" width="24.5" style="6" bestFit="1" customWidth="1"/>
    <col min="33" max="16384" width="7.875" style="6"/>
  </cols>
  <sheetData>
    <row r="1" spans="1:30" ht="21">
      <c r="A1" s="2" t="s">
        <v>72</v>
      </c>
      <c r="B1" s="2"/>
      <c r="C1" s="2"/>
      <c r="D1" s="176" t="s">
        <v>8</v>
      </c>
      <c r="E1" s="3">
        <f>SUM(G5:G79)</f>
        <v>43532</v>
      </c>
      <c r="F1" s="177" t="s">
        <v>9</v>
      </c>
      <c r="G1" s="4">
        <f>SUM(H5:H79)</f>
        <v>2152246.5099999998</v>
      </c>
      <c r="H1" s="175" t="s">
        <v>10</v>
      </c>
      <c r="I1" s="5">
        <f>M15+M26+M48+M58+M69+M79+M37</f>
        <v>100.46666666666667</v>
      </c>
      <c r="J1" s="371" t="s">
        <v>11</v>
      </c>
      <c r="K1" s="371"/>
      <c r="L1" s="371"/>
      <c r="M1" s="371" t="s">
        <v>12</v>
      </c>
      <c r="N1" s="371"/>
      <c r="O1" s="371"/>
      <c r="P1" s="371" t="s">
        <v>13</v>
      </c>
      <c r="Q1" s="371"/>
      <c r="R1" s="371"/>
      <c r="S1" s="371"/>
      <c r="T1" s="371" t="s">
        <v>14</v>
      </c>
      <c r="U1" s="371"/>
      <c r="V1" s="371"/>
      <c r="W1" s="371"/>
      <c r="X1" s="371"/>
      <c r="Y1" s="371"/>
      <c r="Z1" s="371" t="s">
        <v>15</v>
      </c>
      <c r="AA1" s="371"/>
      <c r="AB1" s="371" t="s">
        <v>16</v>
      </c>
      <c r="AC1" s="372"/>
      <c r="AD1" s="372"/>
    </row>
    <row r="2" spans="1:30" ht="18.75">
      <c r="A2" s="409" t="s">
        <v>199</v>
      </c>
      <c r="B2" s="409"/>
      <c r="C2" s="176"/>
      <c r="D2" s="176" t="s">
        <v>1</v>
      </c>
      <c r="E2" s="7">
        <f>AVERAGE(O15,O26,O37,O48,O58,O69,O79)</f>
        <v>99.526439422692292</v>
      </c>
      <c r="F2" s="8" t="s">
        <v>2</v>
      </c>
      <c r="G2" s="9">
        <f>G1/E1</f>
        <v>49.440561196361294</v>
      </c>
      <c r="H2" s="175" t="s">
        <v>17</v>
      </c>
      <c r="I2" s="175">
        <f>COUNT(I5:I79)</f>
        <v>0</v>
      </c>
      <c r="J2" s="371"/>
      <c r="K2" s="371"/>
      <c r="L2" s="371"/>
      <c r="M2" s="371"/>
      <c r="N2" s="371"/>
      <c r="O2" s="371"/>
      <c r="P2" s="371"/>
      <c r="Q2" s="371"/>
      <c r="R2" s="371"/>
      <c r="S2" s="371"/>
      <c r="T2" s="371"/>
      <c r="U2" s="371"/>
      <c r="V2" s="371"/>
      <c r="W2" s="371"/>
      <c r="X2" s="371"/>
      <c r="Y2" s="371"/>
      <c r="Z2" s="371"/>
      <c r="AA2" s="371"/>
      <c r="AB2" s="372"/>
      <c r="AC2" s="372"/>
      <c r="AD2" s="372"/>
    </row>
    <row r="3" spans="1:30">
      <c r="A3" s="405" t="s">
        <v>18</v>
      </c>
      <c r="B3" s="405" t="s">
        <v>19</v>
      </c>
      <c r="C3" s="177"/>
      <c r="D3" s="405" t="s">
        <v>20</v>
      </c>
      <c r="E3" s="405"/>
      <c r="F3" s="379" t="s">
        <v>21</v>
      </c>
      <c r="G3" s="389" t="s">
        <v>22</v>
      </c>
      <c r="H3" s="379" t="s">
        <v>23</v>
      </c>
      <c r="I3" s="381" t="s">
        <v>24</v>
      </c>
      <c r="J3" s="383" t="s">
        <v>25</v>
      </c>
      <c r="K3" s="385" t="s">
        <v>26</v>
      </c>
      <c r="L3" s="387" t="s">
        <v>1</v>
      </c>
      <c r="M3" s="389" t="s">
        <v>25</v>
      </c>
      <c r="N3" s="385" t="s">
        <v>26</v>
      </c>
      <c r="O3" s="387" t="s">
        <v>1</v>
      </c>
      <c r="P3" s="383" t="s">
        <v>25</v>
      </c>
      <c r="Q3" s="387" t="s">
        <v>1</v>
      </c>
      <c r="R3" s="392" t="s">
        <v>27</v>
      </c>
      <c r="S3" s="394" t="s">
        <v>28</v>
      </c>
      <c r="T3" s="389" t="s">
        <v>4</v>
      </c>
      <c r="U3" s="389"/>
      <c r="V3" s="408" t="s">
        <v>29</v>
      </c>
      <c r="W3" s="381" t="s">
        <v>30</v>
      </c>
      <c r="X3" s="389" t="s">
        <v>31</v>
      </c>
      <c r="Y3" s="389"/>
      <c r="Z3" s="415" t="s">
        <v>71</v>
      </c>
      <c r="AA3" s="416"/>
      <c r="AB3" s="385" t="s">
        <v>26</v>
      </c>
      <c r="AC3" s="392" t="s">
        <v>27</v>
      </c>
      <c r="AD3" s="394" t="s">
        <v>28</v>
      </c>
    </row>
    <row r="4" spans="1:30" ht="16.5" thickBot="1">
      <c r="A4" s="379"/>
      <c r="B4" s="379"/>
      <c r="C4" s="178"/>
      <c r="D4" s="379"/>
      <c r="E4" s="379"/>
      <c r="F4" s="380"/>
      <c r="G4" s="390"/>
      <c r="H4" s="380"/>
      <c r="I4" s="382"/>
      <c r="J4" s="384"/>
      <c r="K4" s="386"/>
      <c r="L4" s="388"/>
      <c r="M4" s="390"/>
      <c r="N4" s="386"/>
      <c r="O4" s="388"/>
      <c r="P4" s="384"/>
      <c r="Q4" s="388"/>
      <c r="R4" s="393"/>
      <c r="S4" s="395"/>
      <c r="T4" s="179" t="s">
        <v>5</v>
      </c>
      <c r="U4" s="179" t="s">
        <v>6</v>
      </c>
      <c r="V4" s="390"/>
      <c r="W4" s="382"/>
      <c r="X4" s="178" t="s">
        <v>32</v>
      </c>
      <c r="Y4" s="178" t="s">
        <v>33</v>
      </c>
      <c r="Z4" s="417"/>
      <c r="AA4" s="417"/>
      <c r="AB4" s="386"/>
      <c r="AC4" s="393"/>
      <c r="AD4" s="395"/>
    </row>
    <row r="5" spans="1:30" ht="15" customHeight="1">
      <c r="A5" s="411" t="s">
        <v>66</v>
      </c>
      <c r="B5" s="199" t="str">
        <f>VLOOKUP(D5,廠價表!$C$1:$E$39,2,0)</f>
        <v>義大利麵</v>
      </c>
      <c r="C5" s="102"/>
      <c r="D5" s="103" t="s">
        <v>127</v>
      </c>
      <c r="E5" s="104"/>
      <c r="F5" s="199">
        <f>VLOOKUP(D5,廠價表!$C$1:$E$39,3,0)</f>
        <v>57.21</v>
      </c>
      <c r="G5" s="105">
        <v>1290</v>
      </c>
      <c r="H5" s="106">
        <f>F5*G5</f>
        <v>73800.899999999994</v>
      </c>
      <c r="I5" s="107"/>
      <c r="J5" s="108">
        <v>14</v>
      </c>
      <c r="K5" s="105">
        <f>VLOOKUP(D5,產線配置圖!$A$2:$C$38,3,0)</f>
        <v>2105</v>
      </c>
      <c r="L5" s="109">
        <f>K5/J5</f>
        <v>150.35714285714286</v>
      </c>
      <c r="M5" s="110">
        <v>14</v>
      </c>
      <c r="N5" s="105">
        <f t="shared" ref="N5:N8" si="0">G5/W5*60</f>
        <v>1800.000000000003</v>
      </c>
      <c r="O5" s="109">
        <f t="shared" ref="O5:O8" si="1">N5/M5</f>
        <v>128.57142857142878</v>
      </c>
      <c r="P5" s="111">
        <f t="shared" ref="P5:P8" si="2">M5-J5</f>
        <v>0</v>
      </c>
      <c r="Q5" s="112">
        <f t="shared" ref="Q5:Q8" si="3">O5-L5</f>
        <v>-21.785714285714079</v>
      </c>
      <c r="R5" s="184">
        <f t="shared" ref="R5:R8" si="4">O5/L5</f>
        <v>0.85510688836104654</v>
      </c>
      <c r="S5" s="396">
        <f>R15</f>
        <v>0.89602525623246598</v>
      </c>
      <c r="T5" s="94">
        <v>0.2902777777777778</v>
      </c>
      <c r="U5" s="94">
        <v>0.32013888888888886</v>
      </c>
      <c r="V5" s="194"/>
      <c r="W5" s="107">
        <f t="shared" ref="W5:W14" si="5">(U5-T5)*24*60</f>
        <v>42.999999999999929</v>
      </c>
      <c r="X5" s="188"/>
      <c r="Y5" s="188"/>
      <c r="Z5" s="400"/>
      <c r="AA5" s="400"/>
      <c r="AB5" s="111">
        <f>N5-K5</f>
        <v>-304.99999999999704</v>
      </c>
      <c r="AC5" s="184">
        <f>N5/K5</f>
        <v>0.85510688836104654</v>
      </c>
      <c r="AD5" s="401">
        <f>AC15</f>
        <v>0.89622084223710385</v>
      </c>
    </row>
    <row r="6" spans="1:30" ht="15" customHeight="1">
      <c r="A6" s="412"/>
      <c r="B6" s="56" t="str">
        <f>VLOOKUP(D6,廠價表!$C$1:$E$39,2,0)</f>
        <v>義大利麵</v>
      </c>
      <c r="C6" s="10"/>
      <c r="D6" s="11" t="s">
        <v>139</v>
      </c>
      <c r="E6" s="86"/>
      <c r="F6" s="56">
        <f>VLOOKUP(D6,廠價表!$C$1:$E$39,3,0)</f>
        <v>57.21</v>
      </c>
      <c r="G6" s="25">
        <v>1849</v>
      </c>
      <c r="H6" s="15">
        <f t="shared" ref="H6:H14" si="6">F6*G6</f>
        <v>105781.29000000001</v>
      </c>
      <c r="I6" s="182"/>
      <c r="J6" s="16">
        <v>18</v>
      </c>
      <c r="K6" s="14">
        <f>VLOOKUP(D6,產線配置圖!$A$2:$C$38,3,0)</f>
        <v>1895</v>
      </c>
      <c r="L6" s="17">
        <f>K6/J6</f>
        <v>105.27777777777777</v>
      </c>
      <c r="M6" s="180">
        <v>18</v>
      </c>
      <c r="N6" s="14">
        <f t="shared" si="0"/>
        <v>1706.7692307692305</v>
      </c>
      <c r="O6" s="17">
        <f t="shared" si="1"/>
        <v>94.820512820512803</v>
      </c>
      <c r="P6" s="18">
        <f t="shared" si="2"/>
        <v>0</v>
      </c>
      <c r="Q6" s="19">
        <f t="shared" si="3"/>
        <v>-10.457264957264968</v>
      </c>
      <c r="R6" s="185">
        <f t="shared" si="4"/>
        <v>0.90066977877004251</v>
      </c>
      <c r="S6" s="397"/>
      <c r="T6" s="95">
        <v>0.33541666666666664</v>
      </c>
      <c r="U6" s="95">
        <v>0.38055555555555554</v>
      </c>
      <c r="V6" s="177">
        <f>(T6-U5)*24*60</f>
        <v>22</v>
      </c>
      <c r="W6" s="182">
        <f t="shared" si="5"/>
        <v>65.000000000000014</v>
      </c>
      <c r="X6" s="22"/>
      <c r="Y6" s="22"/>
      <c r="Z6" s="381"/>
      <c r="AA6" s="381"/>
      <c r="AB6" s="18">
        <f>N6-K6</f>
        <v>-188.23076923076951</v>
      </c>
      <c r="AC6" s="185">
        <f>N6/K6</f>
        <v>0.90066977877004251</v>
      </c>
      <c r="AD6" s="402"/>
    </row>
    <row r="7" spans="1:30" ht="15" customHeight="1">
      <c r="A7" s="412"/>
      <c r="B7" s="56" t="str">
        <f>VLOOKUP(D7,廠價表!$C$1:$E$39,2,0)</f>
        <v>義大利麵</v>
      </c>
      <c r="C7" s="10"/>
      <c r="D7" s="11" t="s">
        <v>141</v>
      </c>
      <c r="E7" s="86"/>
      <c r="F7" s="56">
        <f>VLOOKUP(D7,廠價表!$C$1:$E$39,3,0)</f>
        <v>49.14</v>
      </c>
      <c r="G7" s="25">
        <v>4054</v>
      </c>
      <c r="H7" s="15">
        <f t="shared" si="6"/>
        <v>199213.56</v>
      </c>
      <c r="I7" s="182"/>
      <c r="J7" s="16">
        <v>14</v>
      </c>
      <c r="K7" s="14">
        <f>VLOOKUP(D7,產線配置圖!$A$2:$C$38,3,0)</f>
        <v>2000</v>
      </c>
      <c r="L7" s="17">
        <f>K7/J7</f>
        <v>142.85714285714286</v>
      </c>
      <c r="M7" s="180">
        <v>14</v>
      </c>
      <c r="N7" s="14">
        <f t="shared" si="0"/>
        <v>1815.2238805970151</v>
      </c>
      <c r="O7" s="17">
        <f t="shared" si="1"/>
        <v>129.6588486140725</v>
      </c>
      <c r="P7" s="18">
        <f t="shared" si="2"/>
        <v>0</v>
      </c>
      <c r="Q7" s="19">
        <f t="shared" si="3"/>
        <v>-13.198294243070364</v>
      </c>
      <c r="R7" s="185">
        <f t="shared" si="4"/>
        <v>0.90761194029850745</v>
      </c>
      <c r="S7" s="397"/>
      <c r="T7" s="95">
        <v>0.38611111111111113</v>
      </c>
      <c r="U7" s="95">
        <v>0.47916666666666669</v>
      </c>
      <c r="V7" s="177">
        <f>(T7-U6)*24*60</f>
        <v>8.0000000000000515</v>
      </c>
      <c r="W7" s="182">
        <f t="shared" si="5"/>
        <v>134</v>
      </c>
      <c r="X7" s="22"/>
      <c r="Y7" s="22"/>
      <c r="Z7" s="405"/>
      <c r="AA7" s="405"/>
      <c r="AB7" s="18">
        <f>N7-K7</f>
        <v>-184.77611940298493</v>
      </c>
      <c r="AC7" s="185">
        <f>N7/K7</f>
        <v>0.90761194029850756</v>
      </c>
      <c r="AD7" s="402"/>
    </row>
    <row r="8" spans="1:30" ht="15" customHeight="1">
      <c r="A8" s="412"/>
      <c r="B8" s="56" t="str">
        <f>VLOOKUP(D8,廠價表!$C$1:$E$39,2,0)</f>
        <v>義大利麵</v>
      </c>
      <c r="C8" s="10"/>
      <c r="D8" s="11" t="s">
        <v>141</v>
      </c>
      <c r="E8" s="86"/>
      <c r="F8" s="56">
        <f>VLOOKUP(D8,廠價表!$C$1:$E$39,3,0)</f>
        <v>49.14</v>
      </c>
      <c r="G8" s="25">
        <v>523</v>
      </c>
      <c r="H8" s="15">
        <f t="shared" si="6"/>
        <v>25700.22</v>
      </c>
      <c r="I8" s="182"/>
      <c r="J8" s="16">
        <v>14</v>
      </c>
      <c r="K8" s="14">
        <f>VLOOKUP(D8,產線配置圖!$A$2:$C$38,3,0)</f>
        <v>2000</v>
      </c>
      <c r="L8" s="17">
        <f t="shared" ref="L8" si="7">K8/J8</f>
        <v>142.85714285714286</v>
      </c>
      <c r="M8" s="180">
        <v>14</v>
      </c>
      <c r="N8" s="14">
        <f t="shared" si="0"/>
        <v>1651.578947368427</v>
      </c>
      <c r="O8" s="17">
        <f t="shared" si="1"/>
        <v>117.9699248120305</v>
      </c>
      <c r="P8" s="18">
        <f t="shared" si="2"/>
        <v>0</v>
      </c>
      <c r="Q8" s="19">
        <f t="shared" si="3"/>
        <v>-24.887218045112363</v>
      </c>
      <c r="R8" s="185">
        <f t="shared" si="4"/>
        <v>0.82578947368421352</v>
      </c>
      <c r="S8" s="397"/>
      <c r="T8" s="20">
        <v>0.54722222222222228</v>
      </c>
      <c r="U8" s="20">
        <v>0.56041666666666667</v>
      </c>
      <c r="V8" s="177">
        <f>(T8-U7)*24*60</f>
        <v>98.000000000000057</v>
      </c>
      <c r="W8" s="182">
        <f t="shared" si="5"/>
        <v>18.999999999999932</v>
      </c>
      <c r="X8" s="22">
        <v>0.48958333333333331</v>
      </c>
      <c r="Y8" s="22">
        <v>0.53125</v>
      </c>
      <c r="Z8" s="406"/>
      <c r="AA8" s="406"/>
      <c r="AB8" s="18">
        <f>N8-K8</f>
        <v>-348.42105263157305</v>
      </c>
      <c r="AC8" s="185">
        <f>N8/K8</f>
        <v>0.82578947368421352</v>
      </c>
      <c r="AD8" s="402"/>
    </row>
    <row r="9" spans="1:30" ht="15" customHeight="1">
      <c r="A9" s="413"/>
      <c r="B9" s="311" t="s">
        <v>62</v>
      </c>
      <c r="C9" s="10"/>
      <c r="D9" s="11" t="s">
        <v>153</v>
      </c>
      <c r="E9" s="86"/>
      <c r="F9" s="56">
        <f>VLOOKUP(D9,廠價表!$C$1:$E$39,3,0)</f>
        <v>50.67</v>
      </c>
      <c r="G9" s="25">
        <v>657</v>
      </c>
      <c r="H9" s="15">
        <f t="shared" si="6"/>
        <v>33290.19</v>
      </c>
      <c r="I9" s="182"/>
      <c r="J9" s="16">
        <v>14</v>
      </c>
      <c r="K9" s="14">
        <f>VLOOKUP(D9,產線配置圖!$A$2:$C$38,3,0)</f>
        <v>2000</v>
      </c>
      <c r="L9" s="17">
        <v>142.85714285714286</v>
      </c>
      <c r="M9" s="180">
        <v>14</v>
      </c>
      <c r="N9" s="14">
        <v>1988.6363636363635</v>
      </c>
      <c r="O9" s="17">
        <v>142.04545454545453</v>
      </c>
      <c r="P9" s="18">
        <v>0</v>
      </c>
      <c r="Q9" s="19">
        <v>-0.81168831168832867</v>
      </c>
      <c r="R9" s="185">
        <v>0.99431818181818166</v>
      </c>
      <c r="S9" s="398"/>
      <c r="T9" s="79">
        <v>0.61111111111111116</v>
      </c>
      <c r="U9" s="79">
        <v>0.62777777777777777</v>
      </c>
      <c r="V9" s="177">
        <f>(T9-U8)*24*60</f>
        <v>73.000000000000057</v>
      </c>
      <c r="W9" s="24">
        <f t="shared" si="5"/>
        <v>23.999999999999915</v>
      </c>
      <c r="X9" s="22"/>
      <c r="Y9" s="263"/>
      <c r="Z9" s="407"/>
      <c r="AA9" s="407"/>
      <c r="AB9" s="18"/>
      <c r="AC9" s="185"/>
      <c r="AD9" s="403"/>
    </row>
    <row r="10" spans="1:30" ht="15" customHeight="1">
      <c r="A10" s="413"/>
      <c r="B10" s="56"/>
      <c r="C10" s="23"/>
      <c r="D10" s="11"/>
      <c r="E10" s="12"/>
      <c r="F10" s="56"/>
      <c r="G10" s="25"/>
      <c r="H10" s="15"/>
      <c r="I10" s="182"/>
      <c r="J10" s="16"/>
      <c r="K10" s="14"/>
      <c r="L10" s="17"/>
      <c r="M10" s="180"/>
      <c r="N10" s="14"/>
      <c r="O10" s="17"/>
      <c r="P10" s="18"/>
      <c r="Q10" s="19"/>
      <c r="R10" s="185"/>
      <c r="S10" s="398"/>
      <c r="T10" s="20"/>
      <c r="U10" s="20"/>
      <c r="V10" s="177"/>
      <c r="W10" s="182">
        <f t="shared" si="5"/>
        <v>0</v>
      </c>
      <c r="X10" s="22"/>
      <c r="Y10" s="263"/>
      <c r="Z10" s="419"/>
      <c r="AA10" s="418"/>
      <c r="AB10" s="264"/>
      <c r="AC10" s="185"/>
      <c r="AD10" s="403"/>
    </row>
    <row r="11" spans="1:30" ht="15" customHeight="1">
      <c r="A11" s="413"/>
      <c r="B11" s="56"/>
      <c r="C11" s="183"/>
      <c r="D11" s="11"/>
      <c r="E11" s="12"/>
      <c r="F11" s="56"/>
      <c r="G11" s="25"/>
      <c r="H11" s="15">
        <f t="shared" si="6"/>
        <v>0</v>
      </c>
      <c r="I11" s="182"/>
      <c r="J11" s="16"/>
      <c r="K11" s="14"/>
      <c r="L11" s="17"/>
      <c r="M11" s="180"/>
      <c r="N11" s="14"/>
      <c r="O11" s="17"/>
      <c r="P11" s="18"/>
      <c r="Q11" s="19"/>
      <c r="R11" s="185"/>
      <c r="S11" s="398"/>
      <c r="T11" s="20"/>
      <c r="U11" s="20"/>
      <c r="V11" s="177"/>
      <c r="W11" s="24">
        <f t="shared" si="5"/>
        <v>0</v>
      </c>
      <c r="X11" s="22"/>
      <c r="Y11" s="263"/>
      <c r="Z11" s="419"/>
      <c r="AA11" s="418"/>
      <c r="AB11" s="264"/>
      <c r="AC11" s="185"/>
      <c r="AD11" s="403"/>
    </row>
    <row r="12" spans="1:30" ht="15" customHeight="1">
      <c r="A12" s="413"/>
      <c r="B12" s="26"/>
      <c r="C12" s="27"/>
      <c r="D12" s="28"/>
      <c r="E12" s="29"/>
      <c r="F12" s="13"/>
      <c r="G12" s="30"/>
      <c r="H12" s="15">
        <f t="shared" si="6"/>
        <v>0</v>
      </c>
      <c r="I12" s="178"/>
      <c r="J12" s="31"/>
      <c r="K12" s="30"/>
      <c r="L12" s="17"/>
      <c r="M12" s="181"/>
      <c r="N12" s="25"/>
      <c r="O12" s="17"/>
      <c r="P12" s="18"/>
      <c r="Q12" s="19"/>
      <c r="R12" s="185"/>
      <c r="S12" s="398"/>
      <c r="T12" s="32"/>
      <c r="U12" s="32"/>
      <c r="V12" s="178"/>
      <c r="W12" s="24">
        <f t="shared" si="5"/>
        <v>0</v>
      </c>
      <c r="X12" s="33"/>
      <c r="Y12" s="33"/>
      <c r="Z12" s="407"/>
      <c r="AA12" s="407"/>
      <c r="AB12" s="34"/>
      <c r="AC12" s="186"/>
      <c r="AD12" s="403"/>
    </row>
    <row r="13" spans="1:30" ht="15" customHeight="1">
      <c r="A13" s="413"/>
      <c r="B13" s="56"/>
      <c r="C13" s="10"/>
      <c r="D13" s="11"/>
      <c r="E13" s="86"/>
      <c r="F13" s="56"/>
      <c r="G13" s="25"/>
      <c r="H13" s="15"/>
      <c r="I13" s="182"/>
      <c r="J13" s="16"/>
      <c r="K13" s="14"/>
      <c r="L13" s="17"/>
      <c r="M13" s="180"/>
      <c r="N13" s="14"/>
      <c r="O13" s="17"/>
      <c r="P13" s="18"/>
      <c r="Q13" s="19"/>
      <c r="R13" s="185"/>
      <c r="S13" s="479"/>
      <c r="T13" s="309"/>
      <c r="U13" s="309"/>
      <c r="V13" s="26"/>
      <c r="W13" s="24">
        <f t="shared" si="5"/>
        <v>0</v>
      </c>
      <c r="X13" s="33"/>
      <c r="Y13" s="33"/>
      <c r="Z13" s="419"/>
      <c r="AA13" s="418"/>
      <c r="AB13" s="34"/>
      <c r="AC13" s="186"/>
      <c r="AD13" s="403"/>
    </row>
    <row r="14" spans="1:30" ht="15" customHeight="1">
      <c r="A14" s="413"/>
      <c r="B14" s="26"/>
      <c r="C14" s="27"/>
      <c r="D14" s="28"/>
      <c r="E14" s="29"/>
      <c r="F14" s="13"/>
      <c r="G14" s="30"/>
      <c r="H14" s="15">
        <f t="shared" si="6"/>
        <v>0</v>
      </c>
      <c r="I14" s="178"/>
      <c r="J14" s="31"/>
      <c r="K14" s="30"/>
      <c r="L14" s="17"/>
      <c r="M14" s="181"/>
      <c r="N14" s="25"/>
      <c r="O14" s="17"/>
      <c r="P14" s="18"/>
      <c r="Q14" s="19"/>
      <c r="R14" s="185"/>
      <c r="S14" s="398"/>
      <c r="T14" s="308"/>
      <c r="U14" s="308"/>
      <c r="V14" s="178"/>
      <c r="W14" s="24">
        <f t="shared" si="5"/>
        <v>0</v>
      </c>
      <c r="X14" s="33"/>
      <c r="Y14" s="33"/>
      <c r="Z14" s="419"/>
      <c r="AA14" s="418"/>
      <c r="AB14" s="34"/>
      <c r="AC14" s="186"/>
      <c r="AD14" s="403"/>
    </row>
    <row r="15" spans="1:30" ht="15" customHeight="1" thickBot="1">
      <c r="A15" s="414"/>
      <c r="B15" s="113"/>
      <c r="C15" s="113" t="s">
        <v>34</v>
      </c>
      <c r="D15" s="410" t="s">
        <v>7</v>
      </c>
      <c r="E15" s="410"/>
      <c r="F15" s="114"/>
      <c r="G15" s="115"/>
      <c r="H15" s="116"/>
      <c r="I15" s="117"/>
      <c r="J15" s="118">
        <f t="shared" ref="J15:O15" si="8">AVERAGE(J5:J14)</f>
        <v>14.8</v>
      </c>
      <c r="K15" s="118">
        <f t="shared" si="8"/>
        <v>2000</v>
      </c>
      <c r="L15" s="115">
        <f t="shared" si="8"/>
        <v>136.84126984126985</v>
      </c>
      <c r="M15" s="118">
        <f t="shared" si="8"/>
        <v>14.8</v>
      </c>
      <c r="N15" s="118">
        <f t="shared" si="8"/>
        <v>1792.4416844742077</v>
      </c>
      <c r="O15" s="115">
        <f t="shared" si="8"/>
        <v>122.61323387269984</v>
      </c>
      <c r="P15" s="119">
        <f t="shared" ref="P15:P16" si="9">M15-J15</f>
        <v>0</v>
      </c>
      <c r="Q15" s="120">
        <f t="shared" ref="Q15:Q16" si="10">O15-L15</f>
        <v>-14.228035968570012</v>
      </c>
      <c r="R15" s="121">
        <f t="shared" ref="R15:R16" si="11">O15/L15</f>
        <v>0.89602525623246598</v>
      </c>
      <c r="S15" s="399"/>
      <c r="T15" s="122"/>
      <c r="U15" s="122"/>
      <c r="V15" s="195"/>
      <c r="W15" s="123"/>
      <c r="X15" s="124"/>
      <c r="Y15" s="124"/>
      <c r="Z15" s="391"/>
      <c r="AA15" s="391"/>
      <c r="AB15" s="119">
        <f>N15-K15</f>
        <v>-207.5583155257923</v>
      </c>
      <c r="AC15" s="187">
        <f>N15/K15</f>
        <v>0.89622084223710385</v>
      </c>
      <c r="AD15" s="404"/>
    </row>
    <row r="16" spans="1:30" ht="15" customHeight="1">
      <c r="A16" s="431" t="s">
        <v>67</v>
      </c>
      <c r="B16" s="199" t="s">
        <v>134</v>
      </c>
      <c r="C16" s="102"/>
      <c r="D16" s="103" t="s">
        <v>127</v>
      </c>
      <c r="E16" s="104"/>
      <c r="F16" s="199">
        <f>VLOOKUP(D16,廠價表!$C$1:$E$39,3,0)</f>
        <v>57.21</v>
      </c>
      <c r="G16" s="265">
        <v>1198</v>
      </c>
      <c r="H16" s="125">
        <f t="shared" ref="H16:H25" si="12">F16*G16</f>
        <v>68537.58</v>
      </c>
      <c r="I16" s="126"/>
      <c r="J16" s="108">
        <v>14</v>
      </c>
      <c r="K16" s="105">
        <f>VLOOKUP(D16,產線配置圖!$A$2:$C$38,3,0)</f>
        <v>2105</v>
      </c>
      <c r="L16" s="109">
        <f>K16/J16</f>
        <v>150.35714285714286</v>
      </c>
      <c r="M16" s="267">
        <v>14</v>
      </c>
      <c r="N16" s="127">
        <f>G16/W16*60</f>
        <v>1753.1707317073199</v>
      </c>
      <c r="O16" s="128">
        <f>N16/M16</f>
        <v>125.22648083623713</v>
      </c>
      <c r="P16" s="129">
        <f t="shared" si="9"/>
        <v>0</v>
      </c>
      <c r="Q16" s="130">
        <f t="shared" si="10"/>
        <v>-25.130662020905731</v>
      </c>
      <c r="R16" s="189">
        <f t="shared" si="11"/>
        <v>0.83286020508661274</v>
      </c>
      <c r="S16" s="424">
        <f>R26</f>
        <v>0.81202197938570864</v>
      </c>
      <c r="T16" s="268">
        <v>0.28958333333333336</v>
      </c>
      <c r="U16" s="268">
        <v>0.31805555555555554</v>
      </c>
      <c r="V16" s="126"/>
      <c r="W16" s="131">
        <f t="shared" ref="W16:W68" si="13">(U16-T16)*24*60</f>
        <v>40.999999999999936</v>
      </c>
      <c r="X16" s="128"/>
      <c r="Y16" s="128"/>
      <c r="Z16" s="400"/>
      <c r="AA16" s="400"/>
      <c r="AB16" s="111">
        <f>N16-K16</f>
        <v>-351.82926829268013</v>
      </c>
      <c r="AC16" s="184">
        <f>N16/K16</f>
        <v>0.83286020508661274</v>
      </c>
      <c r="AD16" s="401">
        <f>AC26</f>
        <v>0.80990930688886842</v>
      </c>
    </row>
    <row r="17" spans="1:30" ht="15" customHeight="1">
      <c r="A17" s="432"/>
      <c r="B17" s="56" t="s">
        <v>62</v>
      </c>
      <c r="C17" s="10"/>
      <c r="D17" s="11" t="s">
        <v>153</v>
      </c>
      <c r="E17" s="86"/>
      <c r="F17" s="56">
        <f>VLOOKUP(D17,廠價表!$C$1:$E$39,3,0)</f>
        <v>50.67</v>
      </c>
      <c r="G17" s="96">
        <v>2949</v>
      </c>
      <c r="H17" s="15">
        <f>F17*G17</f>
        <v>149425.83000000002</v>
      </c>
      <c r="I17" s="177"/>
      <c r="J17" s="16">
        <v>14</v>
      </c>
      <c r="K17" s="14">
        <f>VLOOKUP(D17,產線配置圖!$A$2:$C$38,3,0)</f>
        <v>2000</v>
      </c>
      <c r="L17" s="17">
        <f>K17/J17</f>
        <v>142.85714285714286</v>
      </c>
      <c r="M17" s="37">
        <v>14</v>
      </c>
      <c r="N17" s="36">
        <f>G17/W17*60</f>
        <v>1340.4545454545455</v>
      </c>
      <c r="O17" s="38">
        <f>N17/M17</f>
        <v>95.746753246753244</v>
      </c>
      <c r="P17" s="39">
        <f>M17-J17</f>
        <v>0</v>
      </c>
      <c r="Q17" s="40">
        <f>O17-L17</f>
        <v>-47.110389610389618</v>
      </c>
      <c r="R17" s="190">
        <f>O17/L17</f>
        <v>0.67022727272727267</v>
      </c>
      <c r="S17" s="425"/>
      <c r="T17" s="41">
        <v>0.3263888888888889</v>
      </c>
      <c r="U17" s="41">
        <v>0.41805555555555557</v>
      </c>
      <c r="V17" s="177">
        <f>(T17-U16)*24*60</f>
        <v>12.000000000000037</v>
      </c>
      <c r="W17" s="43">
        <f t="shared" si="13"/>
        <v>132</v>
      </c>
      <c r="X17" s="44"/>
      <c r="Y17" s="44"/>
      <c r="Z17" s="381" t="s">
        <v>198</v>
      </c>
      <c r="AA17" s="381"/>
      <c r="AB17" s="18">
        <f>N17-K17</f>
        <v>-659.5454545454545</v>
      </c>
      <c r="AC17" s="185">
        <f>N17/K17</f>
        <v>0.67022727272727278</v>
      </c>
      <c r="AD17" s="402"/>
    </row>
    <row r="18" spans="1:30" ht="15" customHeight="1">
      <c r="A18" s="432"/>
      <c r="B18" s="56" t="s">
        <v>62</v>
      </c>
      <c r="C18" s="10"/>
      <c r="D18" s="11" t="s">
        <v>131</v>
      </c>
      <c r="E18" s="86"/>
      <c r="F18" s="56">
        <f>VLOOKUP(D18,廠價表!$C$1:$E$39,3,0)</f>
        <v>50.39</v>
      </c>
      <c r="G18" s="96">
        <v>1810</v>
      </c>
      <c r="H18" s="15">
        <f>F18*G18</f>
        <v>91205.9</v>
      </c>
      <c r="I18" s="177"/>
      <c r="J18" s="16">
        <v>13</v>
      </c>
      <c r="K18" s="14">
        <f>VLOOKUP(D18,產線配置圖!$A$2:$C$38,3,0)</f>
        <v>2000</v>
      </c>
      <c r="L18" s="17">
        <f>K18/J18</f>
        <v>153.84615384615384</v>
      </c>
      <c r="M18" s="37">
        <v>13</v>
      </c>
      <c r="N18" s="36">
        <f>G18/W18*60</f>
        <v>1809.9999999999993</v>
      </c>
      <c r="O18" s="38">
        <f>N18/M18</f>
        <v>139.23076923076917</v>
      </c>
      <c r="P18" s="39">
        <f>M18-J18</f>
        <v>0</v>
      </c>
      <c r="Q18" s="40">
        <f>O18-L18</f>
        <v>-14.61538461538467</v>
      </c>
      <c r="R18" s="190">
        <f>O18/L18</f>
        <v>0.90499999999999969</v>
      </c>
      <c r="S18" s="425"/>
      <c r="T18" s="41">
        <v>0.43611111111111112</v>
      </c>
      <c r="U18" s="41">
        <v>0.4777777777777778</v>
      </c>
      <c r="V18" s="177">
        <f>(T18-U17)*24*60</f>
        <v>25.999999999999986</v>
      </c>
      <c r="W18" s="43">
        <f t="shared" si="13"/>
        <v>60.000000000000028</v>
      </c>
      <c r="X18" s="22"/>
      <c r="Y18" s="22"/>
      <c r="Z18" s="418"/>
      <c r="AA18" s="405"/>
      <c r="AB18" s="18">
        <f>N18-K18</f>
        <v>-190.00000000000068</v>
      </c>
      <c r="AC18" s="185">
        <f>N18/K18</f>
        <v>0.90499999999999969</v>
      </c>
      <c r="AD18" s="402"/>
    </row>
    <row r="19" spans="1:30" ht="15" customHeight="1">
      <c r="A19" s="432"/>
      <c r="B19" s="56" t="s">
        <v>62</v>
      </c>
      <c r="C19" s="23"/>
      <c r="D19" s="11" t="s">
        <v>131</v>
      </c>
      <c r="E19" s="12"/>
      <c r="F19" s="56">
        <f>VLOOKUP(D19,廠價表!$C$1:$E$39,3,0)</f>
        <v>50.39</v>
      </c>
      <c r="G19" s="96">
        <v>2408</v>
      </c>
      <c r="H19" s="15">
        <f t="shared" ref="H19" si="14">F19*G19</f>
        <v>121339.12</v>
      </c>
      <c r="I19" s="177"/>
      <c r="J19" s="16">
        <v>13</v>
      </c>
      <c r="K19" s="14">
        <f>VLOOKUP(D19,產線配置圖!$A$2:$C$38,3,0)</f>
        <v>2000</v>
      </c>
      <c r="L19" s="17">
        <f t="shared" ref="L19" si="15">K19/J19</f>
        <v>153.84615384615384</v>
      </c>
      <c r="M19" s="37">
        <v>13</v>
      </c>
      <c r="N19" s="36">
        <f>G19/W19*60</f>
        <v>1660.6896551724135</v>
      </c>
      <c r="O19" s="38">
        <f>N19/M19</f>
        <v>127.74535809018565</v>
      </c>
      <c r="P19" s="39">
        <f>M19-J19</f>
        <v>0</v>
      </c>
      <c r="Q19" s="40">
        <f>O19-L19</f>
        <v>-26.100795755968193</v>
      </c>
      <c r="R19" s="190">
        <f>O19/L19</f>
        <v>0.83034482758620676</v>
      </c>
      <c r="S19" s="425"/>
      <c r="T19" s="41">
        <v>0.54374999999999996</v>
      </c>
      <c r="U19" s="41">
        <v>0.60416666666666663</v>
      </c>
      <c r="V19" s="177">
        <f>(T19-U18)*24*60</f>
        <v>94.999999999999901</v>
      </c>
      <c r="W19" s="43">
        <f t="shared" si="13"/>
        <v>87.000000000000014</v>
      </c>
      <c r="X19" s="22">
        <v>0.48958333333333331</v>
      </c>
      <c r="Y19" s="263">
        <v>0.53125</v>
      </c>
      <c r="Z19" s="407"/>
      <c r="AA19" s="407"/>
      <c r="AB19" s="18">
        <f>N19-K19</f>
        <v>-339.3103448275865</v>
      </c>
      <c r="AC19" s="185">
        <f>N19/K19</f>
        <v>0.83034482758620676</v>
      </c>
      <c r="AD19" s="403"/>
    </row>
    <row r="20" spans="1:30" ht="15" customHeight="1">
      <c r="A20" s="432"/>
      <c r="B20" s="56"/>
      <c r="C20" s="23"/>
      <c r="D20" s="11"/>
      <c r="E20" s="12"/>
      <c r="F20" s="56"/>
      <c r="G20" s="96"/>
      <c r="H20" s="15"/>
      <c r="I20" s="177"/>
      <c r="J20" s="16"/>
      <c r="K20" s="14"/>
      <c r="L20" s="17"/>
      <c r="M20" s="37"/>
      <c r="N20" s="36"/>
      <c r="O20" s="38"/>
      <c r="P20" s="39"/>
      <c r="Q20" s="40"/>
      <c r="R20" s="190"/>
      <c r="S20" s="425"/>
      <c r="T20" s="41"/>
      <c r="U20" s="41"/>
      <c r="V20" s="177"/>
      <c r="W20" s="43">
        <f t="shared" si="13"/>
        <v>0</v>
      </c>
      <c r="X20" s="44"/>
      <c r="Y20" s="44"/>
      <c r="Z20" s="418"/>
      <c r="AA20" s="405"/>
      <c r="AB20" s="34"/>
      <c r="AC20" s="186"/>
      <c r="AD20" s="403"/>
    </row>
    <row r="21" spans="1:30" ht="15" customHeight="1">
      <c r="A21" s="433"/>
      <c r="B21" s="177"/>
      <c r="C21" s="23"/>
      <c r="D21" s="11"/>
      <c r="E21" s="12"/>
      <c r="F21" s="13"/>
      <c r="G21" s="36"/>
      <c r="H21" s="15">
        <f t="shared" si="12"/>
        <v>0</v>
      </c>
      <c r="I21" s="43"/>
      <c r="J21" s="37"/>
      <c r="K21" s="36"/>
      <c r="L21" s="38"/>
      <c r="M21" s="37"/>
      <c r="N21" s="36"/>
      <c r="O21" s="38"/>
      <c r="P21" s="39"/>
      <c r="Q21" s="40"/>
      <c r="R21" s="190"/>
      <c r="S21" s="425"/>
      <c r="T21" s="41"/>
      <c r="U21" s="41"/>
      <c r="V21" s="42"/>
      <c r="W21" s="43">
        <v>0</v>
      </c>
      <c r="X21" s="42"/>
      <c r="Y21" s="42"/>
      <c r="Z21" s="418"/>
      <c r="AA21" s="405"/>
      <c r="AB21" s="34"/>
      <c r="AC21" s="186"/>
      <c r="AD21" s="403"/>
    </row>
    <row r="22" spans="1:30" ht="15" customHeight="1">
      <c r="A22" s="433"/>
      <c r="B22" s="177"/>
      <c r="C22" s="183"/>
      <c r="D22" s="11"/>
      <c r="E22" s="12"/>
      <c r="F22" s="13"/>
      <c r="G22" s="36"/>
      <c r="H22" s="15">
        <f t="shared" si="12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90"/>
      <c r="S22" s="425"/>
      <c r="T22" s="41"/>
      <c r="U22" s="41"/>
      <c r="V22" s="42"/>
      <c r="W22" s="43">
        <v>0</v>
      </c>
      <c r="X22" s="42"/>
      <c r="Y22" s="42"/>
      <c r="Z22" s="418"/>
      <c r="AA22" s="405"/>
      <c r="AB22" s="34"/>
      <c r="AC22" s="186"/>
      <c r="AD22" s="403"/>
    </row>
    <row r="23" spans="1:30" ht="15" customHeight="1">
      <c r="A23" s="433"/>
      <c r="B23" s="26"/>
      <c r="C23" s="27"/>
      <c r="D23" s="28"/>
      <c r="E23" s="29"/>
      <c r="F23" s="13"/>
      <c r="G23" s="36"/>
      <c r="H23" s="15">
        <f t="shared" si="12"/>
        <v>0</v>
      </c>
      <c r="I23" s="43"/>
      <c r="J23" s="37"/>
      <c r="K23" s="36"/>
      <c r="L23" s="38"/>
      <c r="M23" s="37"/>
      <c r="N23" s="36"/>
      <c r="O23" s="38"/>
      <c r="P23" s="39"/>
      <c r="Q23" s="40"/>
      <c r="R23" s="190"/>
      <c r="S23" s="425"/>
      <c r="T23" s="41"/>
      <c r="U23" s="41"/>
      <c r="W23" s="43">
        <f t="shared" si="13"/>
        <v>0</v>
      </c>
      <c r="X23" s="42"/>
      <c r="Y23" s="42"/>
      <c r="Z23" s="418"/>
      <c r="AA23" s="405"/>
      <c r="AB23" s="34"/>
      <c r="AC23" s="186"/>
      <c r="AD23" s="403"/>
    </row>
    <row r="24" spans="1:30" ht="15" customHeight="1">
      <c r="A24" s="433"/>
      <c r="B24" s="26"/>
      <c r="C24" s="27"/>
      <c r="D24" s="28"/>
      <c r="E24" s="29"/>
      <c r="F24" s="13"/>
      <c r="G24" s="36"/>
      <c r="H24" s="15">
        <f t="shared" si="12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90"/>
      <c r="S24" s="425"/>
      <c r="T24" s="41"/>
      <c r="U24" s="41"/>
      <c r="V24" s="42"/>
      <c r="W24" s="43">
        <f t="shared" si="13"/>
        <v>0</v>
      </c>
      <c r="X24" s="42"/>
      <c r="Y24" s="42"/>
      <c r="Z24" s="418"/>
      <c r="AA24" s="405"/>
      <c r="AB24" s="34"/>
      <c r="AC24" s="186"/>
      <c r="AD24" s="403"/>
    </row>
    <row r="25" spans="1:30" ht="15" customHeight="1">
      <c r="A25" s="433"/>
      <c r="B25" s="26"/>
      <c r="C25" s="27"/>
      <c r="D25" s="28"/>
      <c r="E25" s="29"/>
      <c r="F25" s="13"/>
      <c r="G25" s="36"/>
      <c r="H25" s="50">
        <f t="shared" si="12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90"/>
      <c r="S25" s="425"/>
      <c r="T25" s="41"/>
      <c r="U25" s="41"/>
      <c r="V25" s="42"/>
      <c r="W25" s="43">
        <f t="shared" si="13"/>
        <v>0</v>
      </c>
      <c r="X25" s="42"/>
      <c r="Y25" s="42"/>
      <c r="Z25" s="418"/>
      <c r="AA25" s="405"/>
      <c r="AB25" s="34"/>
      <c r="AC25" s="186"/>
      <c r="AD25" s="403"/>
    </row>
    <row r="26" spans="1:30" ht="15" customHeight="1" thickBot="1">
      <c r="A26" s="434"/>
      <c r="B26" s="132"/>
      <c r="C26" s="1" t="s">
        <v>35</v>
      </c>
      <c r="D26" s="410" t="s">
        <v>7</v>
      </c>
      <c r="E26" s="410"/>
      <c r="F26" s="133"/>
      <c r="G26" s="134"/>
      <c r="H26" s="135"/>
      <c r="I26" s="136"/>
      <c r="J26" s="134">
        <f t="shared" ref="J26:O26" si="16">AVERAGE(J16:J25)</f>
        <v>13.5</v>
      </c>
      <c r="K26" s="134">
        <f t="shared" si="16"/>
        <v>2026.25</v>
      </c>
      <c r="L26" s="137">
        <f t="shared" si="16"/>
        <v>150.22664835164835</v>
      </c>
      <c r="M26" s="134">
        <f t="shared" si="16"/>
        <v>13.5</v>
      </c>
      <c r="N26" s="134">
        <f t="shared" si="16"/>
        <v>1641.0787330835697</v>
      </c>
      <c r="O26" s="137">
        <f t="shared" si="16"/>
        <v>121.9873403509863</v>
      </c>
      <c r="P26" s="138">
        <f t="shared" ref="P26:P28" si="17">M26-J26</f>
        <v>0</v>
      </c>
      <c r="Q26" s="139">
        <f t="shared" ref="Q26:Q28" si="18">O26-L26</f>
        <v>-28.239308000662049</v>
      </c>
      <c r="R26" s="140">
        <f t="shared" ref="R26:R28" si="19">O26/L26</f>
        <v>0.81202197938570864</v>
      </c>
      <c r="S26" s="435"/>
      <c r="T26" s="141"/>
      <c r="U26" s="141"/>
      <c r="V26" s="146"/>
      <c r="W26" s="142"/>
      <c r="X26" s="143"/>
      <c r="Y26" s="143"/>
      <c r="Z26" s="420"/>
      <c r="AA26" s="391"/>
      <c r="AB26" s="119">
        <f>N26-K26</f>
        <v>-385.17126691643034</v>
      </c>
      <c r="AC26" s="187">
        <f>N26/K26</f>
        <v>0.80990930688886842</v>
      </c>
      <c r="AD26" s="404"/>
    </row>
    <row r="27" spans="1:30" ht="15" customHeight="1">
      <c r="A27" s="421" t="s">
        <v>54</v>
      </c>
      <c r="B27" s="229" t="s">
        <v>62</v>
      </c>
      <c r="C27" s="102"/>
      <c r="D27" s="103" t="s">
        <v>144</v>
      </c>
      <c r="E27" s="104"/>
      <c r="F27" s="199">
        <f>VLOOKUP(D27,廠價表!$C$1:$E$39,3,0)</f>
        <v>49.91</v>
      </c>
      <c r="G27" s="269">
        <v>2695</v>
      </c>
      <c r="H27" s="125">
        <f t="shared" ref="H27:H36" si="20">F27*G27</f>
        <v>134507.44999999998</v>
      </c>
      <c r="I27" s="126"/>
      <c r="J27" s="108">
        <v>14</v>
      </c>
      <c r="K27" s="236">
        <v>1385</v>
      </c>
      <c r="L27" s="109">
        <f>K27/J27</f>
        <v>98.928571428571431</v>
      </c>
      <c r="M27" s="144">
        <v>14</v>
      </c>
      <c r="N27" s="127">
        <f>G27/W27*60</f>
        <v>1122.916666666667</v>
      </c>
      <c r="O27" s="128">
        <f>N27/M27</f>
        <v>80.208333333333357</v>
      </c>
      <c r="P27" s="129">
        <f t="shared" si="17"/>
        <v>0</v>
      </c>
      <c r="Q27" s="130">
        <f t="shared" si="18"/>
        <v>-18.720238095238074</v>
      </c>
      <c r="R27" s="189">
        <f>O27/L27</f>
        <v>0.81077015643802675</v>
      </c>
      <c r="S27" s="424">
        <f>R37</f>
        <v>0.80740196443848089</v>
      </c>
      <c r="T27" s="94">
        <v>0.29097222222222224</v>
      </c>
      <c r="U27" s="94">
        <v>0.39097222222222222</v>
      </c>
      <c r="V27" s="126"/>
      <c r="W27" s="131">
        <f t="shared" si="13"/>
        <v>143.99999999999997</v>
      </c>
      <c r="X27" s="126"/>
      <c r="Y27" s="126" t="s">
        <v>147</v>
      </c>
      <c r="Z27" s="427"/>
      <c r="AA27" s="400"/>
      <c r="AB27" s="225">
        <f>N27-K27</f>
        <v>-262.08333333333303</v>
      </c>
      <c r="AC27" s="291">
        <f>N27/K27</f>
        <v>0.81077015643802675</v>
      </c>
      <c r="AD27" s="401">
        <f>AC37</f>
        <v>0.78205036047836607</v>
      </c>
    </row>
    <row r="28" spans="1:30" ht="15" customHeight="1">
      <c r="A28" s="422"/>
      <c r="B28" s="56" t="str">
        <f>VLOOKUP(D28,廠價表!$C$1:$E$39,2,0)</f>
        <v>義大利麵</v>
      </c>
      <c r="C28" s="10"/>
      <c r="D28" s="11" t="s">
        <v>137</v>
      </c>
      <c r="E28" s="86"/>
      <c r="F28" s="56">
        <f>VLOOKUP(D28,廠價表!$C$1:$E$39,3,0)</f>
        <v>55.13</v>
      </c>
      <c r="G28" s="53">
        <v>1965</v>
      </c>
      <c r="H28" s="50">
        <f t="shared" si="20"/>
        <v>108330.45000000001</v>
      </c>
      <c r="I28" s="42"/>
      <c r="J28" s="16">
        <v>16</v>
      </c>
      <c r="K28" s="14">
        <f>VLOOKUP(D28,產線配置圖!$A$2:$C$38,3,0)</f>
        <v>1385</v>
      </c>
      <c r="L28" s="235">
        <f>K28/J28</f>
        <v>86.5625</v>
      </c>
      <c r="M28" s="21">
        <v>15</v>
      </c>
      <c r="N28" s="36">
        <f>G28/W28*60</f>
        <v>1043.3628318584072</v>
      </c>
      <c r="O28" s="38">
        <f>N28/M28</f>
        <v>69.557522123893804</v>
      </c>
      <c r="P28" s="39">
        <f t="shared" si="17"/>
        <v>-1</v>
      </c>
      <c r="Q28" s="40">
        <f t="shared" si="18"/>
        <v>-17.004977876106196</v>
      </c>
      <c r="R28" s="190">
        <f t="shared" si="19"/>
        <v>0.80355260215328583</v>
      </c>
      <c r="S28" s="425"/>
      <c r="T28" s="270">
        <v>0.39791666666666664</v>
      </c>
      <c r="U28" s="270">
        <v>0.47638888888888886</v>
      </c>
      <c r="V28" s="42">
        <f>(T28-U27)*24*60</f>
        <v>9.9999999999999645</v>
      </c>
      <c r="W28" s="43">
        <f t="shared" si="13"/>
        <v>113</v>
      </c>
      <c r="X28" s="54"/>
      <c r="Y28" s="54"/>
      <c r="Z28" s="418"/>
      <c r="AA28" s="419"/>
      <c r="AB28" s="39">
        <f>N28-K28</f>
        <v>-341.63716814159284</v>
      </c>
      <c r="AC28" s="190">
        <f>N28/K28</f>
        <v>0.7533305645187055</v>
      </c>
      <c r="AD28" s="447"/>
    </row>
    <row r="29" spans="1:30" ht="15" customHeight="1">
      <c r="A29" s="422"/>
      <c r="B29" s="56"/>
      <c r="C29" s="10"/>
      <c r="D29" s="11"/>
      <c r="E29" s="86"/>
      <c r="F29" s="56"/>
      <c r="G29" s="53"/>
      <c r="H29" s="50"/>
      <c r="I29" s="42"/>
      <c r="J29" s="16"/>
      <c r="K29" s="14"/>
      <c r="L29" s="235"/>
      <c r="M29" s="21"/>
      <c r="N29" s="36"/>
      <c r="O29" s="38"/>
      <c r="P29" s="39"/>
      <c r="Q29" s="40"/>
      <c r="R29" s="190"/>
      <c r="S29" s="425"/>
      <c r="T29" s="41"/>
      <c r="U29" s="41"/>
      <c r="V29" s="42"/>
      <c r="W29" s="43">
        <f t="shared" si="13"/>
        <v>0</v>
      </c>
      <c r="X29" s="54"/>
      <c r="Y29" s="54"/>
      <c r="Z29" s="418"/>
      <c r="AA29" s="419"/>
      <c r="AB29" s="292">
        <f>N29-K29</f>
        <v>0</v>
      </c>
      <c r="AC29" s="190" t="e">
        <f>N29/K29</f>
        <v>#DIV/0!</v>
      </c>
      <c r="AD29" s="447"/>
    </row>
    <row r="30" spans="1:30" ht="15" customHeight="1">
      <c r="A30" s="422"/>
      <c r="B30" s="56"/>
      <c r="C30" s="237"/>
      <c r="D30" s="11"/>
      <c r="E30" s="29"/>
      <c r="F30" s="56"/>
      <c r="G30" s="53"/>
      <c r="H30" s="50"/>
      <c r="I30" s="42"/>
      <c r="J30" s="16"/>
      <c r="K30" s="14"/>
      <c r="L30" s="235"/>
      <c r="M30" s="21"/>
      <c r="N30" s="36"/>
      <c r="O30" s="38"/>
      <c r="P30" s="39"/>
      <c r="Q30" s="40"/>
      <c r="R30" s="190"/>
      <c r="S30" s="425"/>
      <c r="T30" s="41"/>
      <c r="U30" s="41"/>
      <c r="V30" s="42"/>
      <c r="W30" s="43">
        <f t="shared" si="13"/>
        <v>0</v>
      </c>
      <c r="X30" s="54"/>
      <c r="Y30" s="54"/>
      <c r="Z30" s="449"/>
      <c r="AA30" s="450"/>
      <c r="AB30" s="34"/>
      <c r="AC30" s="293"/>
      <c r="AD30" s="448"/>
    </row>
    <row r="31" spans="1:30" ht="15" customHeight="1">
      <c r="A31" s="422"/>
      <c r="B31" s="56"/>
      <c r="C31" s="237"/>
      <c r="D31" s="11"/>
      <c r="E31" s="29"/>
      <c r="F31" s="56"/>
      <c r="G31" s="53"/>
      <c r="H31" s="50"/>
      <c r="I31" s="42"/>
      <c r="J31" s="16"/>
      <c r="K31" s="14"/>
      <c r="L31" s="235"/>
      <c r="M31" s="21"/>
      <c r="N31" s="36"/>
      <c r="O31" s="38"/>
      <c r="P31" s="39"/>
      <c r="Q31" s="40"/>
      <c r="R31" s="190"/>
      <c r="S31" s="425"/>
      <c r="T31" s="41"/>
      <c r="U31" s="41"/>
      <c r="V31" s="42"/>
      <c r="W31" s="43">
        <f t="shared" si="13"/>
        <v>0</v>
      </c>
      <c r="X31" s="54"/>
      <c r="Y31" s="54"/>
      <c r="Z31" s="449"/>
      <c r="AA31" s="450"/>
      <c r="AB31" s="257"/>
      <c r="AC31" s="258"/>
      <c r="AD31" s="403"/>
    </row>
    <row r="32" spans="1:30" ht="15" customHeight="1">
      <c r="A32" s="422"/>
      <c r="B32" s="56"/>
      <c r="C32" s="252"/>
      <c r="D32" s="253"/>
      <c r="E32" s="254"/>
      <c r="F32" s="56"/>
      <c r="G32" s="53"/>
      <c r="H32" s="50"/>
      <c r="I32" s="42"/>
      <c r="J32" s="255"/>
      <c r="K32" s="36"/>
      <c r="L32" s="256"/>
      <c r="M32" s="21"/>
      <c r="N32" s="36"/>
      <c r="O32" s="38"/>
      <c r="P32" s="39"/>
      <c r="Q32" s="40"/>
      <c r="R32" s="190"/>
      <c r="S32" s="425"/>
      <c r="T32" s="41"/>
      <c r="U32" s="41"/>
      <c r="V32" s="42"/>
      <c r="W32" s="43">
        <f t="shared" si="13"/>
        <v>0</v>
      </c>
      <c r="X32" s="54"/>
      <c r="Y32" s="54"/>
      <c r="Z32" s="418"/>
      <c r="AA32" s="405"/>
      <c r="AB32" s="18"/>
      <c r="AC32" s="185"/>
      <c r="AD32" s="403"/>
    </row>
    <row r="33" spans="1:30" ht="15" customHeight="1">
      <c r="A33" s="422"/>
      <c r="B33" s="240"/>
      <c r="C33" s="241"/>
      <c r="D33" s="242"/>
      <c r="E33" s="243"/>
      <c r="F33" s="223"/>
      <c r="G33" s="244"/>
      <c r="H33" s="245">
        <f t="shared" si="20"/>
        <v>0</v>
      </c>
      <c r="I33" s="246"/>
      <c r="J33" s="247"/>
      <c r="K33" s="45"/>
      <c r="M33" s="248"/>
      <c r="N33" s="45"/>
      <c r="O33" s="46"/>
      <c r="P33" s="47"/>
      <c r="Q33" s="48"/>
      <c r="R33" s="49"/>
      <c r="S33" s="425"/>
      <c r="T33" s="41"/>
      <c r="U33" s="41"/>
      <c r="V33" s="42"/>
      <c r="W33" s="43">
        <f t="shared" si="13"/>
        <v>0</v>
      </c>
      <c r="X33" s="54"/>
      <c r="Y33" s="54"/>
      <c r="Z33" s="418"/>
      <c r="AA33" s="405"/>
      <c r="AB33" s="18"/>
      <c r="AC33" s="57"/>
      <c r="AD33" s="403"/>
    </row>
    <row r="34" spans="1:30" ht="15" customHeight="1">
      <c r="A34" s="422"/>
      <c r="B34" s="231"/>
      <c r="C34" s="27"/>
      <c r="D34" s="28"/>
      <c r="E34" s="29"/>
      <c r="F34" s="13"/>
      <c r="G34" s="53"/>
      <c r="H34" s="50">
        <f t="shared" si="20"/>
        <v>0</v>
      </c>
      <c r="I34" s="42"/>
      <c r="J34" s="37"/>
      <c r="K34" s="36"/>
      <c r="L34" s="38"/>
      <c r="M34" s="21"/>
      <c r="N34" s="36"/>
      <c r="O34" s="38"/>
      <c r="P34" s="39"/>
      <c r="Q34" s="40"/>
      <c r="R34" s="190"/>
      <c r="S34" s="425"/>
      <c r="T34" s="41"/>
      <c r="U34" s="41"/>
      <c r="V34" s="42"/>
      <c r="W34" s="43">
        <f t="shared" si="13"/>
        <v>0</v>
      </c>
      <c r="X34" s="54"/>
      <c r="Y34" s="54"/>
      <c r="Z34" s="418"/>
      <c r="AA34" s="405"/>
      <c r="AB34" s="18"/>
      <c r="AC34" s="57"/>
      <c r="AD34" s="403"/>
    </row>
    <row r="35" spans="1:30" ht="15" customHeight="1">
      <c r="A35" s="422"/>
      <c r="B35" s="231"/>
      <c r="C35" s="27"/>
      <c r="D35" s="28"/>
      <c r="E35" s="29"/>
      <c r="F35" s="13"/>
      <c r="G35" s="53"/>
      <c r="H35" s="50">
        <f t="shared" si="20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90"/>
      <c r="S35" s="425"/>
      <c r="T35" s="41"/>
      <c r="U35" s="41"/>
      <c r="V35" s="42"/>
      <c r="W35" s="43">
        <f t="shared" si="13"/>
        <v>0</v>
      </c>
      <c r="X35" s="54"/>
      <c r="Y35" s="54"/>
      <c r="Z35" s="418"/>
      <c r="AA35" s="405"/>
      <c r="AB35" s="18"/>
      <c r="AC35" s="57"/>
      <c r="AD35" s="403"/>
    </row>
    <row r="36" spans="1:30" ht="15" customHeight="1">
      <c r="A36" s="422"/>
      <c r="B36" s="232"/>
      <c r="C36" s="27"/>
      <c r="D36" s="28"/>
      <c r="E36" s="29"/>
      <c r="F36" s="13"/>
      <c r="G36" s="53"/>
      <c r="H36" s="50">
        <f t="shared" si="20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90"/>
      <c r="S36" s="425"/>
      <c r="T36" s="41"/>
      <c r="U36" s="41"/>
      <c r="V36" s="42"/>
      <c r="W36" s="43">
        <f t="shared" si="13"/>
        <v>0</v>
      </c>
      <c r="X36" s="54"/>
      <c r="Y36" s="54"/>
      <c r="Z36" s="418"/>
      <c r="AA36" s="405"/>
      <c r="AB36" s="18"/>
      <c r="AC36" s="57"/>
      <c r="AD36" s="403"/>
    </row>
    <row r="37" spans="1:30" ht="15" customHeight="1" thickBot="1">
      <c r="A37" s="423"/>
      <c r="B37" s="300"/>
      <c r="C37" s="301" t="s">
        <v>36</v>
      </c>
      <c r="D37" s="428" t="s">
        <v>7</v>
      </c>
      <c r="E37" s="429"/>
      <c r="F37" s="281"/>
      <c r="G37" s="282"/>
      <c r="H37" s="283"/>
      <c r="I37" s="284"/>
      <c r="J37" s="285">
        <f t="shared" ref="J37:O37" si="21">AVERAGE(J27:J36)</f>
        <v>15</v>
      </c>
      <c r="K37" s="285">
        <f t="shared" si="21"/>
        <v>1385</v>
      </c>
      <c r="L37" s="286">
        <f t="shared" si="21"/>
        <v>92.745535714285722</v>
      </c>
      <c r="M37" s="285">
        <f t="shared" si="21"/>
        <v>14.5</v>
      </c>
      <c r="N37" s="285">
        <f t="shared" si="21"/>
        <v>1083.139749262537</v>
      </c>
      <c r="O37" s="286">
        <f t="shared" si="21"/>
        <v>74.882927728613581</v>
      </c>
      <c r="P37" s="73">
        <f>M37-J37</f>
        <v>-0.5</v>
      </c>
      <c r="Q37" s="74">
        <f>N37-K37</f>
        <v>-301.86025073746305</v>
      </c>
      <c r="R37" s="287">
        <f t="shared" ref="R37:R39" si="22">O37/L37</f>
        <v>0.80740196443848089</v>
      </c>
      <c r="S37" s="426"/>
      <c r="T37" s="302"/>
      <c r="U37" s="302"/>
      <c r="V37" s="81"/>
      <c r="W37" s="81"/>
      <c r="X37" s="303"/>
      <c r="Y37" s="303"/>
      <c r="Z37" s="430"/>
      <c r="AA37" s="379"/>
      <c r="AB37" s="34">
        <f t="shared" ref="AB37:AB39" si="23">N37-K37</f>
        <v>-301.86025073746305</v>
      </c>
      <c r="AC37" s="186">
        <f t="shared" ref="AC37:AC39" si="24">N37/K37</f>
        <v>0.78205036047836607</v>
      </c>
      <c r="AD37" s="403"/>
    </row>
    <row r="38" spans="1:30" s="62" customFormat="1" ht="15" customHeight="1">
      <c r="A38" s="454" t="s">
        <v>55</v>
      </c>
      <c r="B38" s="229" t="s">
        <v>134</v>
      </c>
      <c r="C38" s="199"/>
      <c r="D38" s="304" t="s">
        <v>156</v>
      </c>
      <c r="E38" s="280"/>
      <c r="F38" s="305">
        <f>VLOOKUP(D38,廠價表!$C$1:$E$39,3,0)</f>
        <v>56.43</v>
      </c>
      <c r="G38" s="266">
        <v>2820</v>
      </c>
      <c r="H38" s="147">
        <v>237626.73</v>
      </c>
      <c r="I38" s="126"/>
      <c r="J38" s="274">
        <f>VLOOKUP(D38,產線配置圖!$A$2:$C$38,2,0)</f>
        <v>15</v>
      </c>
      <c r="K38" s="236">
        <f>VLOOKUP(D38,產線配置圖!$A$2:$C$38,3,0)</f>
        <v>1406</v>
      </c>
      <c r="L38" s="288">
        <f t="shared" ref="L38:L39" si="25">K38/J38</f>
        <v>93.733333333333334</v>
      </c>
      <c r="M38" s="289">
        <v>15</v>
      </c>
      <c r="N38" s="127">
        <f>G38/W38*60</f>
        <v>1143.2432432432429</v>
      </c>
      <c r="O38" s="128">
        <f>N38/M38</f>
        <v>76.216216216216196</v>
      </c>
      <c r="P38" s="129">
        <f t="shared" ref="P38:P39" si="26">M38-J38</f>
        <v>0</v>
      </c>
      <c r="Q38" s="130">
        <f t="shared" ref="Q38:Q39" si="27">O38-L38</f>
        <v>-17.517117117117138</v>
      </c>
      <c r="R38" s="189">
        <f t="shared" si="22"/>
        <v>0.8131175272000305</v>
      </c>
      <c r="S38" s="457">
        <f>R48</f>
        <v>0.89811102064774562</v>
      </c>
      <c r="T38" s="151">
        <v>0.33263888888888887</v>
      </c>
      <c r="U38" s="151">
        <v>0.43541666666666667</v>
      </c>
      <c r="V38" s="148"/>
      <c r="W38" s="152">
        <f t="shared" si="13"/>
        <v>148.00000000000003</v>
      </c>
      <c r="X38" s="150"/>
      <c r="Y38" s="153"/>
      <c r="Z38" s="478"/>
      <c r="AA38" s="460"/>
      <c r="AB38" s="290">
        <f t="shared" si="23"/>
        <v>-262.75675675675711</v>
      </c>
      <c r="AC38" s="154">
        <f t="shared" si="24"/>
        <v>0.8131175272000305</v>
      </c>
      <c r="AD38" s="436">
        <f>AC48</f>
        <v>0.89811102064774551</v>
      </c>
    </row>
    <row r="39" spans="1:30" s="62" customFormat="1" ht="15" customHeight="1">
      <c r="A39" s="455"/>
      <c r="B39" s="56" t="s">
        <v>134</v>
      </c>
      <c r="C39" s="277"/>
      <c r="D39" s="279" t="s">
        <v>154</v>
      </c>
      <c r="E39" s="278"/>
      <c r="F39" s="56">
        <f>VLOOKUP(D39,廠價表!$C$1:$E$39,3,0)</f>
        <v>57.3</v>
      </c>
      <c r="G39" s="276">
        <v>1477</v>
      </c>
      <c r="H39" s="63">
        <v>44973</v>
      </c>
      <c r="I39" s="64"/>
      <c r="J39" s="37">
        <f>VLOOKUP(D39,產線配置圖!$A$2:$C$38,2,0)</f>
        <v>15</v>
      </c>
      <c r="K39" s="36">
        <f>VLOOKUP(D39,產線配置圖!$A$2:$C$38,3,0)</f>
        <v>1385</v>
      </c>
      <c r="L39" s="38">
        <f t="shared" si="25"/>
        <v>92.333333333333329</v>
      </c>
      <c r="M39" s="65">
        <v>15</v>
      </c>
      <c r="N39" s="66">
        <f>G39/W39*60</f>
        <v>1363.384615384615</v>
      </c>
      <c r="O39" s="67">
        <f t="shared" ref="O39" si="28">N39/M39</f>
        <v>90.892307692307668</v>
      </c>
      <c r="P39" s="39">
        <f t="shared" si="26"/>
        <v>0</v>
      </c>
      <c r="Q39" s="40">
        <f t="shared" si="27"/>
        <v>-1.4410256410256608</v>
      </c>
      <c r="R39" s="190">
        <f t="shared" si="22"/>
        <v>0.98439322410441521</v>
      </c>
      <c r="S39" s="458"/>
      <c r="T39" s="59">
        <v>0.44236111111111109</v>
      </c>
      <c r="U39" s="59">
        <v>0.48749999999999999</v>
      </c>
      <c r="V39" s="42">
        <f>(T39-U38)*24*60</f>
        <v>9.9999999999999645</v>
      </c>
      <c r="W39" s="69">
        <f t="shared" si="13"/>
        <v>65.000000000000014</v>
      </c>
      <c r="X39" s="22"/>
      <c r="Y39" s="22"/>
      <c r="Z39" s="439"/>
      <c r="AA39" s="440"/>
      <c r="AB39" s="271">
        <f t="shared" si="23"/>
        <v>-21.615384615384983</v>
      </c>
      <c r="AC39" s="61">
        <f t="shared" si="24"/>
        <v>0.98439322410441521</v>
      </c>
      <c r="AD39" s="437"/>
    </row>
    <row r="40" spans="1:30" s="62" customFormat="1" ht="15" customHeight="1">
      <c r="A40" s="455"/>
      <c r="B40" s="56"/>
      <c r="C40" s="275"/>
      <c r="D40" s="279"/>
      <c r="E40" s="243"/>
      <c r="F40" s="56"/>
      <c r="G40" s="276"/>
      <c r="H40" s="63"/>
      <c r="I40" s="64"/>
      <c r="J40" s="37"/>
      <c r="K40" s="36"/>
      <c r="L40" s="38"/>
      <c r="M40" s="65"/>
      <c r="N40" s="66"/>
      <c r="O40" s="67"/>
      <c r="P40" s="39"/>
      <c r="Q40" s="40"/>
      <c r="R40" s="190"/>
      <c r="S40" s="397"/>
      <c r="T40" s="59"/>
      <c r="U40" s="59"/>
      <c r="V40" s="42"/>
      <c r="W40" s="69">
        <f t="shared" si="13"/>
        <v>0</v>
      </c>
      <c r="X40" s="70"/>
      <c r="Y40" s="259"/>
      <c r="Z40" s="439"/>
      <c r="AA40" s="440"/>
      <c r="AB40" s="271"/>
      <c r="AC40" s="61"/>
      <c r="AD40" s="437"/>
    </row>
    <row r="41" spans="1:30" s="62" customFormat="1" ht="15" customHeight="1">
      <c r="A41" s="455"/>
      <c r="B41" s="56"/>
      <c r="C41" s="275"/>
      <c r="D41" s="279"/>
      <c r="E41" s="243"/>
      <c r="F41" s="56"/>
      <c r="G41" s="276"/>
      <c r="H41" s="63"/>
      <c r="I41" s="64"/>
      <c r="J41" s="37"/>
      <c r="K41" s="36"/>
      <c r="L41" s="38"/>
      <c r="M41" s="65"/>
      <c r="N41" s="66"/>
      <c r="O41" s="67"/>
      <c r="P41" s="39"/>
      <c r="Q41" s="40"/>
      <c r="R41" s="190"/>
      <c r="S41" s="397"/>
      <c r="T41" s="59"/>
      <c r="U41" s="59"/>
      <c r="V41" s="42"/>
      <c r="W41" s="69">
        <f t="shared" si="13"/>
        <v>0</v>
      </c>
      <c r="X41" s="70"/>
      <c r="Y41" s="259"/>
      <c r="Z41" s="439"/>
      <c r="AA41" s="440"/>
      <c r="AB41" s="271"/>
      <c r="AC41" s="61"/>
      <c r="AD41" s="437"/>
    </row>
    <row r="42" spans="1:30" s="62" customFormat="1" ht="15" customHeight="1">
      <c r="A42" s="455"/>
      <c r="B42" s="56"/>
      <c r="C42" s="23"/>
      <c r="D42" s="11"/>
      <c r="E42" s="12"/>
      <c r="F42" s="56"/>
      <c r="G42" s="99"/>
      <c r="H42" s="63"/>
      <c r="I42" s="64"/>
      <c r="J42" s="16"/>
      <c r="K42" s="14"/>
      <c r="L42" s="17"/>
      <c r="M42" s="65"/>
      <c r="N42" s="66"/>
      <c r="O42" s="67"/>
      <c r="P42" s="39"/>
      <c r="Q42" s="40"/>
      <c r="R42" s="68"/>
      <c r="S42" s="397"/>
      <c r="T42" s="75"/>
      <c r="U42" s="75"/>
      <c r="V42" s="42"/>
      <c r="W42" s="69">
        <f t="shared" si="13"/>
        <v>0</v>
      </c>
      <c r="X42" s="70"/>
      <c r="Y42" s="60"/>
      <c r="Z42" s="445"/>
      <c r="AA42" s="446"/>
      <c r="AB42" s="271"/>
      <c r="AC42" s="61"/>
      <c r="AD42" s="437"/>
    </row>
    <row r="43" spans="1:30" s="62" customFormat="1" ht="15" customHeight="1">
      <c r="A43" s="455"/>
      <c r="B43" s="230"/>
      <c r="C43" s="23"/>
      <c r="D43" s="11"/>
      <c r="E43" s="12"/>
      <c r="F43" s="13"/>
      <c r="G43" s="100"/>
      <c r="H43" s="63">
        <f t="shared" ref="H43:H47" si="29">F43*G43</f>
        <v>0</v>
      </c>
      <c r="I43" s="64"/>
      <c r="J43" s="65"/>
      <c r="K43" s="66"/>
      <c r="L43" s="67"/>
      <c r="M43" s="65"/>
      <c r="N43" s="66"/>
      <c r="O43" s="67"/>
      <c r="P43" s="39"/>
      <c r="Q43" s="40"/>
      <c r="R43" s="68"/>
      <c r="S43" s="397"/>
      <c r="T43" s="75"/>
      <c r="U43" s="75"/>
      <c r="V43" s="64"/>
      <c r="W43" s="69">
        <f>(U43-T43)*24*60</f>
        <v>0</v>
      </c>
      <c r="X43" s="70"/>
      <c r="Y43" s="67"/>
      <c r="Z43" s="405"/>
      <c r="AA43" s="405"/>
      <c r="AB43" s="71"/>
      <c r="AC43" s="61"/>
      <c r="AD43" s="437"/>
    </row>
    <row r="44" spans="1:30" s="62" customFormat="1" ht="15" customHeight="1">
      <c r="A44" s="455"/>
      <c r="B44" s="230"/>
      <c r="C44" s="183"/>
      <c r="D44" s="11"/>
      <c r="E44" s="12"/>
      <c r="F44" s="13"/>
      <c r="G44" s="100"/>
      <c r="H44" s="63">
        <f t="shared" si="29"/>
        <v>0</v>
      </c>
      <c r="I44" s="64"/>
      <c r="J44" s="65"/>
      <c r="K44" s="66"/>
      <c r="L44" s="58"/>
      <c r="M44" s="65"/>
      <c r="N44" s="66"/>
      <c r="O44" s="67"/>
      <c r="P44" s="39"/>
      <c r="Q44" s="40"/>
      <c r="R44" s="68"/>
      <c r="S44" s="397"/>
      <c r="T44" s="59"/>
      <c r="U44" s="59"/>
      <c r="V44" s="64"/>
      <c r="W44" s="69">
        <f t="shared" ref="W44:W48" si="30">(U44-T44)*24*60</f>
        <v>0</v>
      </c>
      <c r="X44" s="70"/>
      <c r="Y44" s="67"/>
      <c r="Z44" s="405"/>
      <c r="AA44" s="405"/>
      <c r="AB44" s="71"/>
      <c r="AC44" s="61"/>
      <c r="AD44" s="437"/>
    </row>
    <row r="45" spans="1:30" s="62" customFormat="1" ht="15" customHeight="1">
      <c r="A45" s="455"/>
      <c r="B45" s="231"/>
      <c r="C45" s="27"/>
      <c r="D45" s="28"/>
      <c r="E45" s="29"/>
      <c r="F45" s="13"/>
      <c r="G45" s="66"/>
      <c r="H45" s="63">
        <f t="shared" si="29"/>
        <v>0</v>
      </c>
      <c r="I45" s="64"/>
      <c r="J45" s="65"/>
      <c r="K45" s="66"/>
      <c r="L45" s="67"/>
      <c r="M45" s="65"/>
      <c r="N45" s="66"/>
      <c r="O45" s="67"/>
      <c r="P45" s="39"/>
      <c r="Q45" s="40"/>
      <c r="R45" s="68"/>
      <c r="S45" s="397"/>
      <c r="T45" s="75"/>
      <c r="U45" s="75"/>
      <c r="V45" s="64"/>
      <c r="W45" s="69">
        <f t="shared" si="30"/>
        <v>0</v>
      </c>
      <c r="X45" s="70"/>
      <c r="Y45" s="67"/>
      <c r="Z45" s="405"/>
      <c r="AA45" s="405"/>
      <c r="AB45" s="71"/>
      <c r="AC45" s="61"/>
      <c r="AD45" s="437"/>
    </row>
    <row r="46" spans="1:30" s="62" customFormat="1" ht="15" customHeight="1">
      <c r="A46" s="455"/>
      <c r="B46" s="231"/>
      <c r="C46" s="27"/>
      <c r="D46" s="28"/>
      <c r="E46" s="29"/>
      <c r="F46" s="13"/>
      <c r="G46" s="66"/>
      <c r="H46" s="63">
        <f t="shared" si="29"/>
        <v>0</v>
      </c>
      <c r="I46" s="64"/>
      <c r="J46" s="65"/>
      <c r="K46" s="66"/>
      <c r="L46" s="67"/>
      <c r="M46" s="65"/>
      <c r="N46" s="66"/>
      <c r="O46" s="67"/>
      <c r="P46" s="39"/>
      <c r="Q46" s="40"/>
      <c r="R46" s="68"/>
      <c r="S46" s="397"/>
      <c r="T46" s="59"/>
      <c r="U46" s="59"/>
      <c r="V46" s="64"/>
      <c r="W46" s="69">
        <f t="shared" si="30"/>
        <v>0</v>
      </c>
      <c r="X46" s="70"/>
      <c r="Y46" s="67"/>
      <c r="Z46" s="405"/>
      <c r="AA46" s="405"/>
      <c r="AB46" s="71"/>
      <c r="AC46" s="61"/>
      <c r="AD46" s="437"/>
    </row>
    <row r="47" spans="1:30" s="62" customFormat="1" ht="15" customHeight="1">
      <c r="A47" s="455"/>
      <c r="B47" s="230"/>
      <c r="C47" s="27"/>
      <c r="D47" s="28"/>
      <c r="E47" s="29"/>
      <c r="F47" s="13"/>
      <c r="G47" s="66"/>
      <c r="H47" s="63">
        <f t="shared" si="29"/>
        <v>0</v>
      </c>
      <c r="I47" s="64"/>
      <c r="J47" s="65"/>
      <c r="K47" s="66"/>
      <c r="L47" s="67"/>
      <c r="M47" s="65"/>
      <c r="N47" s="66"/>
      <c r="O47" s="67"/>
      <c r="P47" s="39"/>
      <c r="Q47" s="40"/>
      <c r="R47" s="68"/>
      <c r="S47" s="397"/>
      <c r="T47" s="75"/>
      <c r="U47" s="75"/>
      <c r="V47" s="64"/>
      <c r="W47" s="69">
        <f t="shared" si="30"/>
        <v>0</v>
      </c>
      <c r="X47" s="70"/>
      <c r="Y47" s="67"/>
      <c r="Z47" s="405"/>
      <c r="AA47" s="405"/>
      <c r="AB47" s="71"/>
      <c r="AC47" s="61"/>
      <c r="AD47" s="437"/>
    </row>
    <row r="48" spans="1:30" ht="15" customHeight="1" thickBot="1">
      <c r="A48" s="456"/>
      <c r="B48" s="156"/>
      <c r="C48" s="1" t="s">
        <v>37</v>
      </c>
      <c r="D48" s="410" t="s">
        <v>7</v>
      </c>
      <c r="E48" s="410"/>
      <c r="F48" s="133"/>
      <c r="G48" s="145"/>
      <c r="H48" s="135"/>
      <c r="I48" s="136"/>
      <c r="J48" s="134">
        <f t="shared" ref="J48:O48" si="31">AVERAGE(J38:J47)</f>
        <v>15</v>
      </c>
      <c r="K48" s="134">
        <f t="shared" si="31"/>
        <v>1395.5</v>
      </c>
      <c r="L48" s="137">
        <f t="shared" si="31"/>
        <v>93.033333333333331</v>
      </c>
      <c r="M48" s="134">
        <f t="shared" si="31"/>
        <v>15</v>
      </c>
      <c r="N48" s="134">
        <f t="shared" si="31"/>
        <v>1253.3139293139288</v>
      </c>
      <c r="O48" s="137">
        <f t="shared" si="31"/>
        <v>83.554261954261932</v>
      </c>
      <c r="P48" s="157">
        <f>M48-J48</f>
        <v>0</v>
      </c>
      <c r="Q48" s="158">
        <f>N48-K48</f>
        <v>-142.18607068607116</v>
      </c>
      <c r="R48" s="159">
        <f>O48/L48</f>
        <v>0.89811102064774562</v>
      </c>
      <c r="S48" s="399"/>
      <c r="T48" s="160"/>
      <c r="U48" s="160"/>
      <c r="V48" s="196"/>
      <c r="W48" s="161">
        <f t="shared" si="30"/>
        <v>0</v>
      </c>
      <c r="X48" s="162"/>
      <c r="Y48" s="162"/>
      <c r="Z48" s="391"/>
      <c r="AA48" s="391"/>
      <c r="AB48" s="163">
        <f>N48-K48</f>
        <v>-142.18607068607116</v>
      </c>
      <c r="AC48" s="191">
        <f>N48/K48</f>
        <v>0.89811102064774551</v>
      </c>
      <c r="AD48" s="438"/>
    </row>
    <row r="49" spans="1:30" ht="15" customHeight="1">
      <c r="A49" s="451" t="s">
        <v>56</v>
      </c>
      <c r="B49" s="199" t="str">
        <f>VLOOKUP(D49,廠價表!$C$1:$E$39,2,0)</f>
        <v>義大利麵</v>
      </c>
      <c r="C49" s="102"/>
      <c r="D49" s="103" t="s">
        <v>152</v>
      </c>
      <c r="E49" s="104"/>
      <c r="F49" s="199">
        <f>VLOOKUP(D49,廠價表!$C$1:$E$39,3,0)</f>
        <v>56.87</v>
      </c>
      <c r="G49" s="149">
        <v>2281</v>
      </c>
      <c r="H49" s="125">
        <f t="shared" ref="H49:H57" si="32">F49*G49</f>
        <v>129720.47</v>
      </c>
      <c r="I49" s="126"/>
      <c r="J49" s="108">
        <v>16</v>
      </c>
      <c r="K49" s="105">
        <v>1440</v>
      </c>
      <c r="L49" s="109">
        <f>K49/J49</f>
        <v>90</v>
      </c>
      <c r="M49" s="144">
        <v>16</v>
      </c>
      <c r="N49" s="127">
        <f>G49/W49*60</f>
        <v>1159.8305084745764</v>
      </c>
      <c r="O49" s="128">
        <f>N49/M49</f>
        <v>72.489406779661024</v>
      </c>
      <c r="P49" s="164">
        <f>M49-J49</f>
        <v>0</v>
      </c>
      <c r="Q49" s="112">
        <f>O49-L49</f>
        <v>-17.510593220338976</v>
      </c>
      <c r="R49" s="184">
        <f>O49/L49</f>
        <v>0.80543785310734473</v>
      </c>
      <c r="S49" s="396">
        <f>R58</f>
        <v>0.91367107164200745</v>
      </c>
      <c r="T49" s="151">
        <v>0.2902777777777778</v>
      </c>
      <c r="U49" s="151">
        <v>0.37222222222222223</v>
      </c>
      <c r="V49" s="188"/>
      <c r="W49" s="152">
        <f t="shared" si="13"/>
        <v>117.99999999999999</v>
      </c>
      <c r="X49" s="188"/>
      <c r="Y49" s="188"/>
      <c r="Z49" s="400"/>
      <c r="AA49" s="400"/>
      <c r="AB49" s="111">
        <f>N49-K49</f>
        <v>-280.16949152542361</v>
      </c>
      <c r="AC49" s="184">
        <f>N49/K49</f>
        <v>0.80543785310734473</v>
      </c>
      <c r="AD49" s="401">
        <f>AC58</f>
        <v>0.88076386839454246</v>
      </c>
    </row>
    <row r="50" spans="1:30" ht="15" customHeight="1">
      <c r="A50" s="452"/>
      <c r="B50" s="56" t="str">
        <f>VLOOKUP(D50,廠價表!$C$1:$E$39,2,0)</f>
        <v>義大利麵</v>
      </c>
      <c r="C50" s="10"/>
      <c r="D50" s="11" t="s">
        <v>65</v>
      </c>
      <c r="E50" s="86"/>
      <c r="F50" s="56">
        <f>VLOOKUP(D50,廠價表!$C$1:$E$39,3,0)</f>
        <v>49.97</v>
      </c>
      <c r="G50" s="66">
        <v>3417</v>
      </c>
      <c r="H50" s="76">
        <f t="shared" si="32"/>
        <v>170747.49</v>
      </c>
      <c r="I50" s="193"/>
      <c r="J50" s="16">
        <f>VLOOKUP(D50,產線配置圖!$A$2:$C$38,2,0)</f>
        <v>18</v>
      </c>
      <c r="K50" s="14">
        <f>VLOOKUP(D50,產線配置圖!$A$2:$C$38,3,0)</f>
        <v>1600</v>
      </c>
      <c r="L50" s="17">
        <f>K50/J50</f>
        <v>88.888888888888886</v>
      </c>
      <c r="M50" s="174">
        <v>17</v>
      </c>
      <c r="N50" s="77">
        <f>G50/W50*60</f>
        <v>1433.7062937062931</v>
      </c>
      <c r="O50" s="78">
        <f>N50/M50</f>
        <v>84.335664335664305</v>
      </c>
      <c r="P50" s="18">
        <f>M50-J50</f>
        <v>-1</v>
      </c>
      <c r="Q50" s="19">
        <f>O50-L50</f>
        <v>-4.553224553224581</v>
      </c>
      <c r="R50" s="185">
        <f>O50/L50</f>
        <v>0.9487762237762235</v>
      </c>
      <c r="S50" s="397"/>
      <c r="T50" s="79">
        <v>0.37986111111111109</v>
      </c>
      <c r="U50" s="79">
        <v>0.47916666666666669</v>
      </c>
      <c r="V50" s="177">
        <f t="shared" ref="V50:V51" si="33">(T50-U49)*24*60</f>
        <v>10.999999999999961</v>
      </c>
      <c r="W50" s="80">
        <f t="shared" si="13"/>
        <v>143.00000000000006</v>
      </c>
      <c r="X50" s="22"/>
      <c r="Y50" s="22"/>
      <c r="Z50" s="419"/>
      <c r="AA50" s="418"/>
      <c r="AB50" s="18">
        <f>N50-K50</f>
        <v>-166.29370629370692</v>
      </c>
      <c r="AC50" s="185">
        <f>N50/K50</f>
        <v>0.89606643356643323</v>
      </c>
      <c r="AD50" s="402"/>
    </row>
    <row r="51" spans="1:30" ht="15" customHeight="1">
      <c r="A51" s="452"/>
      <c r="B51" s="56" t="str">
        <f>VLOOKUP(D51,廠價表!$C$1:$E$39,2,0)</f>
        <v>義大利麵</v>
      </c>
      <c r="C51" s="10"/>
      <c r="D51" s="11" t="s">
        <v>65</v>
      </c>
      <c r="E51" s="86"/>
      <c r="F51" s="56">
        <f>VLOOKUP(D51,廠價表!$C$1:$E$39,3,0)</f>
        <v>49.97</v>
      </c>
      <c r="G51" s="66">
        <v>1319</v>
      </c>
      <c r="H51" s="76">
        <f t="shared" si="32"/>
        <v>65910.429999999993</v>
      </c>
      <c r="I51" s="193"/>
      <c r="J51" s="16">
        <f>VLOOKUP(D51,產線配置圖!$A$2:$C$38,2,0)</f>
        <v>18</v>
      </c>
      <c r="K51" s="14">
        <f>VLOOKUP(D51,產線配置圖!$A$2:$C$38,3,0)</f>
        <v>1600</v>
      </c>
      <c r="L51" s="17">
        <f>K51/J51</f>
        <v>88.888888888888886</v>
      </c>
      <c r="M51" s="174">
        <v>17</v>
      </c>
      <c r="N51" s="77">
        <f>G51/W51*60</f>
        <v>1493.2075471698076</v>
      </c>
      <c r="O51" s="78">
        <f>N51/M51</f>
        <v>87.835738068812219</v>
      </c>
      <c r="P51" s="18">
        <f>M51-J51</f>
        <v>-1</v>
      </c>
      <c r="Q51" s="19">
        <f>O51-L51</f>
        <v>-1.0531508200766666</v>
      </c>
      <c r="R51" s="185">
        <f>O51/L51</f>
        <v>0.98815205327413747</v>
      </c>
      <c r="S51" s="397"/>
      <c r="T51" s="79">
        <v>0.54236111111111107</v>
      </c>
      <c r="U51" s="44">
        <v>0.57916666666666672</v>
      </c>
      <c r="V51" s="177">
        <f t="shared" si="33"/>
        <v>90.999999999999915</v>
      </c>
      <c r="W51" s="80">
        <f t="shared" si="13"/>
        <v>53.000000000000128</v>
      </c>
      <c r="X51" s="22">
        <v>0.4861111111111111</v>
      </c>
      <c r="Y51" s="22">
        <v>0.52777777777777779</v>
      </c>
      <c r="Z51" s="405"/>
      <c r="AA51" s="405"/>
      <c r="AB51" s="18">
        <f>N51-K51</f>
        <v>-106.79245283019236</v>
      </c>
      <c r="AC51" s="185">
        <f>N51/K51</f>
        <v>0.93325471698112983</v>
      </c>
      <c r="AD51" s="402"/>
    </row>
    <row r="52" spans="1:30" ht="15" customHeight="1">
      <c r="A52" s="452"/>
      <c r="B52" s="56"/>
      <c r="C52" s="23"/>
      <c r="D52" s="11"/>
      <c r="E52" s="12"/>
      <c r="F52" s="56"/>
      <c r="G52" s="66"/>
      <c r="H52" s="76"/>
      <c r="I52" s="193"/>
      <c r="J52" s="16"/>
      <c r="K52" s="14"/>
      <c r="L52" s="17"/>
      <c r="M52" s="174"/>
      <c r="N52" s="77"/>
      <c r="O52" s="78"/>
      <c r="P52" s="18"/>
      <c r="Q52" s="19"/>
      <c r="R52" s="185"/>
      <c r="S52" s="397"/>
      <c r="T52" s="79"/>
      <c r="U52" s="79"/>
      <c r="V52" s="177"/>
      <c r="W52" s="80">
        <f t="shared" si="13"/>
        <v>0</v>
      </c>
      <c r="X52" s="22"/>
      <c r="Y52" s="22"/>
      <c r="Z52" s="405"/>
      <c r="AA52" s="405"/>
      <c r="AB52" s="18"/>
      <c r="AC52" s="185"/>
      <c r="AD52" s="402"/>
    </row>
    <row r="53" spans="1:30" ht="15" customHeight="1">
      <c r="A53" s="452"/>
      <c r="B53" s="56"/>
      <c r="C53" s="23"/>
      <c r="D53" s="11"/>
      <c r="E53" s="12"/>
      <c r="F53" s="56"/>
      <c r="G53" s="66"/>
      <c r="H53" s="76"/>
      <c r="I53" s="193"/>
      <c r="J53" s="16"/>
      <c r="K53" s="14"/>
      <c r="L53" s="17"/>
      <c r="M53" s="174"/>
      <c r="N53" s="77"/>
      <c r="O53" s="78"/>
      <c r="P53" s="18"/>
      <c r="Q53" s="19"/>
      <c r="R53" s="185"/>
      <c r="S53" s="397"/>
      <c r="T53" s="79"/>
      <c r="U53" s="79"/>
      <c r="V53" s="177"/>
      <c r="W53" s="80">
        <f t="shared" si="13"/>
        <v>0</v>
      </c>
      <c r="X53" s="177"/>
      <c r="Y53" s="177"/>
      <c r="Z53" s="419"/>
      <c r="AA53" s="418"/>
      <c r="AB53" s="18"/>
      <c r="AC53" s="185"/>
      <c r="AD53" s="402"/>
    </row>
    <row r="54" spans="1:30" ht="15" customHeight="1">
      <c r="A54" s="452"/>
      <c r="B54" s="177"/>
      <c r="C54" s="183"/>
      <c r="D54" s="11"/>
      <c r="E54" s="12"/>
      <c r="F54" s="13"/>
      <c r="G54" s="66"/>
      <c r="H54" s="76">
        <f t="shared" si="32"/>
        <v>0</v>
      </c>
      <c r="I54" s="177"/>
      <c r="J54" s="31"/>
      <c r="K54" s="30"/>
      <c r="L54" s="38"/>
      <c r="M54" s="181"/>
      <c r="N54" s="30"/>
      <c r="O54" s="35"/>
      <c r="P54" s="18"/>
      <c r="Q54" s="19"/>
      <c r="R54" s="185"/>
      <c r="S54" s="397"/>
      <c r="T54" s="79"/>
      <c r="U54" s="79"/>
      <c r="V54" s="197"/>
      <c r="W54" s="80">
        <f t="shared" si="13"/>
        <v>0</v>
      </c>
      <c r="X54" s="177"/>
      <c r="Y54" s="177"/>
      <c r="Z54" s="419"/>
      <c r="AA54" s="418"/>
      <c r="AB54" s="18"/>
      <c r="AC54" s="185"/>
      <c r="AD54" s="402"/>
    </row>
    <row r="55" spans="1:30" ht="15" customHeight="1">
      <c r="A55" s="452"/>
      <c r="B55" s="26"/>
      <c r="C55" s="27"/>
      <c r="D55" s="28"/>
      <c r="E55" s="29"/>
      <c r="F55" s="13"/>
      <c r="G55" s="66"/>
      <c r="H55" s="15">
        <f t="shared" si="32"/>
        <v>0</v>
      </c>
      <c r="I55" s="177"/>
      <c r="J55" s="31"/>
      <c r="K55" s="30"/>
      <c r="L55" s="38"/>
      <c r="M55" s="181"/>
      <c r="N55" s="30"/>
      <c r="O55" s="35"/>
      <c r="P55" s="18"/>
      <c r="Q55" s="19"/>
      <c r="R55" s="185"/>
      <c r="S55" s="397"/>
      <c r="T55" s="79"/>
      <c r="U55" s="79"/>
      <c r="V55" s="197"/>
      <c r="W55" s="80">
        <f t="shared" si="13"/>
        <v>0</v>
      </c>
      <c r="X55" s="177"/>
      <c r="Y55" s="177"/>
      <c r="Z55" s="419"/>
      <c r="AA55" s="418"/>
      <c r="AB55" s="18"/>
      <c r="AC55" s="185"/>
      <c r="AD55" s="402"/>
    </row>
    <row r="56" spans="1:30" ht="15" customHeight="1">
      <c r="A56" s="452"/>
      <c r="B56" s="26"/>
      <c r="C56" s="27"/>
      <c r="D56" s="28"/>
      <c r="E56" s="29"/>
      <c r="F56" s="13"/>
      <c r="G56" s="66"/>
      <c r="H56" s="15">
        <f t="shared" si="32"/>
        <v>0</v>
      </c>
      <c r="I56" s="177"/>
      <c r="J56" s="31"/>
      <c r="K56" s="30"/>
      <c r="L56" s="38"/>
      <c r="M56" s="181"/>
      <c r="N56" s="30"/>
      <c r="O56" s="35"/>
      <c r="P56" s="18"/>
      <c r="Q56" s="19"/>
      <c r="R56" s="185"/>
      <c r="S56" s="397"/>
      <c r="T56" s="79"/>
      <c r="U56" s="79"/>
      <c r="V56" s="197"/>
      <c r="W56" s="80">
        <f t="shared" si="13"/>
        <v>0</v>
      </c>
      <c r="X56" s="177"/>
      <c r="Y56" s="177"/>
      <c r="Z56" s="405"/>
      <c r="AA56" s="405"/>
      <c r="AB56" s="18"/>
      <c r="AC56" s="185"/>
      <c r="AD56" s="402"/>
    </row>
    <row r="57" spans="1:30" ht="15" customHeight="1">
      <c r="A57" s="452"/>
      <c r="B57" s="26"/>
      <c r="C57" s="27"/>
      <c r="D57" s="28"/>
      <c r="E57" s="29"/>
      <c r="F57" s="13"/>
      <c r="G57" s="66"/>
      <c r="H57" s="15">
        <f t="shared" si="32"/>
        <v>0</v>
      </c>
      <c r="I57" s="177"/>
      <c r="J57" s="31"/>
      <c r="K57" s="30"/>
      <c r="L57" s="38"/>
      <c r="M57" s="181"/>
      <c r="N57" s="30"/>
      <c r="O57" s="35"/>
      <c r="P57" s="18"/>
      <c r="Q57" s="19"/>
      <c r="R57" s="185"/>
      <c r="S57" s="397"/>
      <c r="T57" s="79"/>
      <c r="U57" s="79"/>
      <c r="V57" s="197"/>
      <c r="W57" s="80">
        <f t="shared" si="13"/>
        <v>0</v>
      </c>
      <c r="X57" s="177"/>
      <c r="Y57" s="177"/>
      <c r="Z57" s="405"/>
      <c r="AA57" s="405"/>
      <c r="AB57" s="18"/>
      <c r="AC57" s="185"/>
      <c r="AD57" s="402"/>
    </row>
    <row r="58" spans="1:30" ht="15" customHeight="1" thickBot="1">
      <c r="A58" s="453"/>
      <c r="B58" s="165"/>
      <c r="C58" s="1" t="s">
        <v>38</v>
      </c>
      <c r="D58" s="410" t="s">
        <v>7</v>
      </c>
      <c r="E58" s="410"/>
      <c r="F58" s="114"/>
      <c r="G58" s="166"/>
      <c r="H58" s="116"/>
      <c r="I58" s="115"/>
      <c r="J58" s="118">
        <f t="shared" ref="J58:O58" si="34">AVERAGE(J49:J57)</f>
        <v>17.333333333333332</v>
      </c>
      <c r="K58" s="118">
        <f t="shared" si="34"/>
        <v>1546.6666666666667</v>
      </c>
      <c r="L58" s="115">
        <f t="shared" si="34"/>
        <v>89.259259259259252</v>
      </c>
      <c r="M58" s="118">
        <f t="shared" si="34"/>
        <v>16.666666666666668</v>
      </c>
      <c r="N58" s="118">
        <f t="shared" si="34"/>
        <v>1362.2481164502258</v>
      </c>
      <c r="O58" s="115">
        <f t="shared" si="34"/>
        <v>81.553603061379178</v>
      </c>
      <c r="P58" s="119">
        <f>M58-J58</f>
        <v>-0.6666666666666643</v>
      </c>
      <c r="Q58" s="120">
        <f>N58-K58</f>
        <v>-184.41855021644096</v>
      </c>
      <c r="R58" s="121">
        <f t="shared" ref="R58:R60" si="35">O58/L58</f>
        <v>0.91367107164200745</v>
      </c>
      <c r="S58" s="399"/>
      <c r="T58" s="167"/>
      <c r="U58" s="167"/>
      <c r="V58" s="195"/>
      <c r="W58" s="168"/>
      <c r="X58" s="124"/>
      <c r="Y58" s="124"/>
      <c r="Z58" s="391"/>
      <c r="AA58" s="391"/>
      <c r="AB58" s="119">
        <f t="shared" ref="AB58:AB62" si="36">N58-K58</f>
        <v>-184.41855021644096</v>
      </c>
      <c r="AC58" s="187">
        <f t="shared" ref="AC58:AC62" si="37">N58/K58</f>
        <v>0.88076386839454246</v>
      </c>
      <c r="AD58" s="404"/>
    </row>
    <row r="59" spans="1:30" ht="15" customHeight="1">
      <c r="A59" s="466" t="s">
        <v>57</v>
      </c>
      <c r="B59" s="199" t="str">
        <f>VLOOKUP(D59,廠價表!$C$1:$E$39,2,0)</f>
        <v>小吃、微波</v>
      </c>
      <c r="C59" s="102"/>
      <c r="D59" s="103" t="s">
        <v>125</v>
      </c>
      <c r="E59" s="104"/>
      <c r="F59" s="199">
        <f>VLOOKUP(D59,廠價表!$C$1:$E$39,3,0)</f>
        <v>26.99</v>
      </c>
      <c r="G59" s="188">
        <v>3305</v>
      </c>
      <c r="H59" s="106">
        <f t="shared" ref="H59:H68" si="38">F59*G59</f>
        <v>89201.95</v>
      </c>
      <c r="I59" s="188"/>
      <c r="J59" s="108">
        <f>VLOOKUP(D59,產線配置圖!$A$2:$C$38,2,0)</f>
        <v>13</v>
      </c>
      <c r="K59" s="105">
        <f>VLOOKUP(D59,產線配置圖!$A$2:$C$38,3,0)</f>
        <v>1565</v>
      </c>
      <c r="L59" s="109">
        <f>K59/J59</f>
        <v>120.38461538461539</v>
      </c>
      <c r="M59" s="110">
        <v>13</v>
      </c>
      <c r="N59" s="105">
        <f t="shared" ref="N59:N61" si="39">G59/W59*60</f>
        <v>1468.8888888888889</v>
      </c>
      <c r="O59" s="109">
        <f t="shared" ref="O59:O61" si="40">N59/M59</f>
        <v>112.99145299145299</v>
      </c>
      <c r="P59" s="111">
        <f t="shared" ref="P59:P61" si="41">M59-J59</f>
        <v>0</v>
      </c>
      <c r="Q59" s="112">
        <f t="shared" ref="Q59:Q61" si="42">O59-L59</f>
        <v>-7.3931623931623989</v>
      </c>
      <c r="R59" s="184">
        <f t="shared" si="35"/>
        <v>0.93858714944976918</v>
      </c>
      <c r="S59" s="396">
        <f>R69</f>
        <v>0.88481907644510605</v>
      </c>
      <c r="T59" s="169">
        <v>0.29166666666666669</v>
      </c>
      <c r="U59" s="169">
        <v>0.38541666666666669</v>
      </c>
      <c r="V59" s="188"/>
      <c r="W59" s="107">
        <f t="shared" si="13"/>
        <v>135</v>
      </c>
      <c r="X59" s="188"/>
      <c r="Y59" s="188"/>
      <c r="Z59" s="405"/>
      <c r="AA59" s="405"/>
      <c r="AB59" s="225">
        <f t="shared" si="36"/>
        <v>-96.111111111111086</v>
      </c>
      <c r="AC59" s="226">
        <f t="shared" si="37"/>
        <v>0.93858714944976929</v>
      </c>
      <c r="AD59" s="401">
        <f>AC69</f>
        <v>0.8861977449836872</v>
      </c>
    </row>
    <row r="60" spans="1:30" ht="15" customHeight="1">
      <c r="A60" s="467"/>
      <c r="B60" s="56" t="str">
        <f>VLOOKUP(D60,廠價表!$C$1:$E$39,2,0)</f>
        <v>小吃、微波</v>
      </c>
      <c r="C60" s="10"/>
      <c r="D60" s="11" t="s">
        <v>146</v>
      </c>
      <c r="E60" s="86"/>
      <c r="F60" s="56">
        <f>VLOOKUP(D60,廠價表!$C$1:$E$39,3,0)</f>
        <v>28.47</v>
      </c>
      <c r="G60" s="177">
        <v>745</v>
      </c>
      <c r="H60" s="15">
        <f t="shared" si="38"/>
        <v>21210.149999999998</v>
      </c>
      <c r="I60" s="177"/>
      <c r="J60" s="16">
        <f>VLOOKUP(D60,產線配置圖!$A$2:$C$38,2,0)</f>
        <v>12</v>
      </c>
      <c r="K60" s="14">
        <f>VLOOKUP(D60,產線配置圖!$A$2:$C$38,3,0)</f>
        <v>1565</v>
      </c>
      <c r="L60" s="17">
        <f>K60/J60</f>
        <v>130.41666666666666</v>
      </c>
      <c r="M60" s="180">
        <v>12</v>
      </c>
      <c r="N60" s="14">
        <f t="shared" si="39"/>
        <v>1277.1428571428557</v>
      </c>
      <c r="O60" s="17">
        <f t="shared" si="40"/>
        <v>106.42857142857132</v>
      </c>
      <c r="P60" s="18">
        <f t="shared" si="41"/>
        <v>0</v>
      </c>
      <c r="Q60" s="19">
        <f t="shared" si="42"/>
        <v>-23.98809523809534</v>
      </c>
      <c r="R60" s="185">
        <f t="shared" si="35"/>
        <v>0.81606572341396544</v>
      </c>
      <c r="S60" s="470"/>
      <c r="T60" s="198">
        <v>0.39583333333333331</v>
      </c>
      <c r="U60" s="198">
        <v>0.4201388888888889</v>
      </c>
      <c r="V60" s="177">
        <f t="shared" ref="V60:V61" si="43">(T60-U59)*24*60</f>
        <v>14.999999999999947</v>
      </c>
      <c r="W60" s="90">
        <f t="shared" si="13"/>
        <v>35.000000000000036</v>
      </c>
      <c r="X60" s="193"/>
      <c r="Y60" s="193"/>
      <c r="Z60" s="405"/>
      <c r="AA60" s="405"/>
      <c r="AB60" s="227">
        <f t="shared" si="36"/>
        <v>-287.85714285714425</v>
      </c>
      <c r="AC60" s="228">
        <f t="shared" si="37"/>
        <v>0.81606572341396533</v>
      </c>
      <c r="AD60" s="473"/>
    </row>
    <row r="61" spans="1:30" ht="15" customHeight="1">
      <c r="A61" s="468"/>
      <c r="B61" s="56" t="str">
        <f>VLOOKUP(D61,廠價表!$C$1:$E$39,2,0)</f>
        <v>小吃、微波</v>
      </c>
      <c r="C61" s="10"/>
      <c r="D61" s="242" t="s">
        <v>135</v>
      </c>
      <c r="E61" s="86"/>
      <c r="F61" s="56">
        <f>VLOOKUP(D61,廠價表!$C$1:$E$39,3,0)</f>
        <v>28.26</v>
      </c>
      <c r="G61" s="177">
        <v>2122</v>
      </c>
      <c r="H61" s="15">
        <f t="shared" si="38"/>
        <v>59967.72</v>
      </c>
      <c r="I61" s="81"/>
      <c r="J61" s="16">
        <f>VLOOKUP(D61,產線配置圖!$A$2:$C$38,2,0)</f>
        <v>12</v>
      </c>
      <c r="K61" s="14">
        <f>VLOOKUP(D61,產線配置圖!$A$2:$C$38,3,0)</f>
        <v>1565</v>
      </c>
      <c r="L61" s="17">
        <f t="shared" ref="L61" si="44">K61/J61</f>
        <v>130.41666666666666</v>
      </c>
      <c r="M61" s="180">
        <v>12</v>
      </c>
      <c r="N61" s="14">
        <f t="shared" si="39"/>
        <v>1414.6666666666667</v>
      </c>
      <c r="O61" s="17">
        <f t="shared" si="40"/>
        <v>117.8888888888889</v>
      </c>
      <c r="P61" s="18">
        <f t="shared" si="41"/>
        <v>0</v>
      </c>
      <c r="Q61" s="19">
        <f t="shared" si="42"/>
        <v>-12.527777777777757</v>
      </c>
      <c r="R61" s="185">
        <f>O61/L61</f>
        <v>0.90394036208732709</v>
      </c>
      <c r="S61" s="397"/>
      <c r="T61" s="20">
        <v>0.43402777777777779</v>
      </c>
      <c r="U61" s="20">
        <v>0.49652777777777779</v>
      </c>
      <c r="V61" s="177">
        <f t="shared" si="43"/>
        <v>20.000000000000007</v>
      </c>
      <c r="W61" s="88">
        <f t="shared" si="13"/>
        <v>90</v>
      </c>
      <c r="X61" s="22"/>
      <c r="Y61" s="22"/>
      <c r="Z61" s="405"/>
      <c r="AA61" s="405"/>
      <c r="AB61" s="51">
        <f t="shared" si="36"/>
        <v>-150.33333333333326</v>
      </c>
      <c r="AC61" s="52">
        <f t="shared" si="37"/>
        <v>0.90394036208732698</v>
      </c>
      <c r="AD61" s="402"/>
    </row>
    <row r="62" spans="1:30" ht="15" customHeight="1">
      <c r="A62" s="468"/>
      <c r="B62" s="56"/>
      <c r="C62" s="23"/>
      <c r="D62" s="242"/>
      <c r="E62" s="12"/>
      <c r="F62" s="56"/>
      <c r="G62" s="177"/>
      <c r="H62" s="15"/>
      <c r="I62" s="81"/>
      <c r="J62" s="16"/>
      <c r="K62" s="14"/>
      <c r="L62" s="17"/>
      <c r="M62" s="180"/>
      <c r="N62" s="14"/>
      <c r="O62" s="17"/>
      <c r="P62" s="18"/>
      <c r="Q62" s="19"/>
      <c r="R62" s="185"/>
      <c r="S62" s="397"/>
      <c r="T62" s="20"/>
      <c r="U62" s="20"/>
      <c r="V62" s="177"/>
      <c r="W62" s="90">
        <f t="shared" si="13"/>
        <v>0</v>
      </c>
      <c r="X62" s="22"/>
      <c r="Y62" s="22"/>
      <c r="Z62" s="405"/>
      <c r="AA62" s="405"/>
      <c r="AB62" s="51">
        <f t="shared" si="36"/>
        <v>0</v>
      </c>
      <c r="AC62" s="52" t="e">
        <f t="shared" si="37"/>
        <v>#DIV/0!</v>
      </c>
      <c r="AD62" s="402"/>
    </row>
    <row r="63" spans="1:30" ht="15" customHeight="1">
      <c r="A63" s="468"/>
      <c r="B63" s="56"/>
      <c r="C63" s="10"/>
      <c r="D63" s="242"/>
      <c r="E63" s="86"/>
      <c r="F63" s="56"/>
      <c r="G63" s="177"/>
      <c r="H63" s="15"/>
      <c r="I63" s="81"/>
      <c r="J63" s="16"/>
      <c r="K63" s="14"/>
      <c r="L63" s="17"/>
      <c r="M63" s="180"/>
      <c r="N63" s="14"/>
      <c r="O63" s="17"/>
      <c r="P63" s="18"/>
      <c r="Q63" s="19"/>
      <c r="R63" s="185"/>
      <c r="S63" s="397"/>
      <c r="T63" s="20"/>
      <c r="U63" s="20"/>
      <c r="V63" s="177"/>
      <c r="W63" s="90">
        <f t="shared" si="13"/>
        <v>0</v>
      </c>
      <c r="X63" s="84"/>
      <c r="Y63" s="84"/>
      <c r="Z63" s="405"/>
      <c r="AA63" s="405"/>
      <c r="AB63" s="51"/>
      <c r="AC63" s="52"/>
      <c r="AD63" s="402"/>
    </row>
    <row r="64" spans="1:30" ht="15" customHeight="1">
      <c r="A64" s="468"/>
      <c r="B64" s="56"/>
      <c r="C64" s="10"/>
      <c r="D64" s="242"/>
      <c r="E64" s="86"/>
      <c r="F64" s="56"/>
      <c r="G64" s="177"/>
      <c r="H64" s="15"/>
      <c r="I64" s="81"/>
      <c r="J64" s="16"/>
      <c r="K64" s="14"/>
      <c r="L64" s="17"/>
      <c r="M64" s="180"/>
      <c r="N64" s="14"/>
      <c r="O64" s="17"/>
      <c r="P64" s="18"/>
      <c r="Q64" s="19"/>
      <c r="R64" s="185"/>
      <c r="S64" s="397"/>
      <c r="T64" s="20"/>
      <c r="U64" s="20"/>
      <c r="V64" s="177"/>
      <c r="W64" s="182">
        <f t="shared" si="13"/>
        <v>0</v>
      </c>
      <c r="X64" s="84"/>
      <c r="Y64" s="84"/>
      <c r="Z64" s="419"/>
      <c r="AA64" s="418"/>
      <c r="AB64" s="18"/>
      <c r="AC64" s="55"/>
      <c r="AD64" s="402"/>
    </row>
    <row r="65" spans="1:32" ht="15" customHeight="1">
      <c r="A65" s="468"/>
      <c r="B65" s="177"/>
      <c r="C65" s="183"/>
      <c r="D65" s="11"/>
      <c r="E65" s="12"/>
      <c r="F65" s="13"/>
      <c r="G65" s="177"/>
      <c r="H65" s="15"/>
      <c r="I65" s="177"/>
      <c r="J65" s="16"/>
      <c r="K65" s="82"/>
      <c r="L65" s="83"/>
      <c r="M65" s="180"/>
      <c r="N65" s="14"/>
      <c r="O65" s="17"/>
      <c r="P65" s="18"/>
      <c r="Q65" s="19"/>
      <c r="R65" s="185"/>
      <c r="S65" s="397"/>
      <c r="T65" s="20"/>
      <c r="U65" s="20"/>
      <c r="V65" s="177"/>
      <c r="W65" s="182">
        <f t="shared" si="13"/>
        <v>0</v>
      </c>
      <c r="X65" s="84"/>
      <c r="Y65" s="84"/>
      <c r="Z65" s="419"/>
      <c r="AA65" s="418"/>
      <c r="AB65" s="18"/>
      <c r="AC65" s="55"/>
      <c r="AD65" s="402"/>
    </row>
    <row r="66" spans="1:32" ht="15" customHeight="1">
      <c r="A66" s="468"/>
      <c r="B66" s="26"/>
      <c r="C66" s="27"/>
      <c r="D66" s="28"/>
      <c r="E66" s="29"/>
      <c r="F66" s="13"/>
      <c r="G66" s="183"/>
      <c r="H66" s="15">
        <f t="shared" si="38"/>
        <v>0</v>
      </c>
      <c r="I66" s="85"/>
      <c r="J66" s="16"/>
      <c r="K66" s="14"/>
      <c r="L66" s="17"/>
      <c r="M66" s="21"/>
      <c r="N66" s="36"/>
      <c r="O66" s="38"/>
      <c r="P66" s="39"/>
      <c r="Q66" s="40"/>
      <c r="R66" s="68"/>
      <c r="S66" s="397"/>
      <c r="T66" s="20"/>
      <c r="U66" s="20"/>
      <c r="V66" s="177"/>
      <c r="W66" s="182">
        <f t="shared" si="13"/>
        <v>0</v>
      </c>
      <c r="X66" s="84"/>
      <c r="Y66" s="84"/>
      <c r="Z66" s="405"/>
      <c r="AA66" s="405"/>
      <c r="AB66" s="18"/>
      <c r="AC66" s="55"/>
      <c r="AD66" s="402"/>
    </row>
    <row r="67" spans="1:32" ht="15" customHeight="1">
      <c r="A67" s="468"/>
      <c r="B67" s="26"/>
      <c r="C67" s="27"/>
      <c r="D67" s="28"/>
      <c r="E67" s="29"/>
      <c r="F67" s="13"/>
      <c r="G67" s="177"/>
      <c r="H67" s="15">
        <f t="shared" si="38"/>
        <v>0</v>
      </c>
      <c r="I67" s="177"/>
      <c r="J67" s="16"/>
      <c r="K67" s="14"/>
      <c r="L67" s="17"/>
      <c r="M67" s="21"/>
      <c r="N67" s="36"/>
      <c r="O67" s="38"/>
      <c r="P67" s="39"/>
      <c r="Q67" s="40"/>
      <c r="R67" s="68"/>
      <c r="S67" s="397"/>
      <c r="T67" s="20"/>
      <c r="U67" s="20"/>
      <c r="V67" s="177"/>
      <c r="W67" s="182">
        <f t="shared" si="13"/>
        <v>0</v>
      </c>
      <c r="X67" s="84"/>
      <c r="Y67" s="84"/>
      <c r="Z67" s="419"/>
      <c r="AA67" s="418"/>
      <c r="AB67" s="18"/>
      <c r="AC67" s="55"/>
      <c r="AD67" s="402"/>
    </row>
    <row r="68" spans="1:32" ht="15" customHeight="1">
      <c r="A68" s="468"/>
      <c r="B68" s="26"/>
      <c r="C68" s="27"/>
      <c r="D68" s="28"/>
      <c r="E68" s="29"/>
      <c r="F68" s="13"/>
      <c r="G68" s="183"/>
      <c r="H68" s="15">
        <f t="shared" si="38"/>
        <v>0</v>
      </c>
      <c r="I68" s="85"/>
      <c r="J68" s="16"/>
      <c r="K68" s="260"/>
      <c r="L68" s="261"/>
      <c r="M68" s="21"/>
      <c r="N68" s="36"/>
      <c r="O68" s="38"/>
      <c r="P68" s="39"/>
      <c r="Q68" s="40"/>
      <c r="R68" s="68"/>
      <c r="S68" s="397"/>
      <c r="T68" s="20"/>
      <c r="U68" s="20"/>
      <c r="V68" s="177"/>
      <c r="W68" s="182">
        <f t="shared" si="13"/>
        <v>0</v>
      </c>
      <c r="X68" s="84"/>
      <c r="Y68" s="84"/>
      <c r="Z68" s="419"/>
      <c r="AA68" s="418"/>
      <c r="AB68" s="18"/>
      <c r="AC68" s="55"/>
      <c r="AD68" s="402"/>
    </row>
    <row r="69" spans="1:32" ht="15" customHeight="1" thickBot="1">
      <c r="A69" s="469"/>
      <c r="B69" s="165"/>
      <c r="C69" s="1" t="s">
        <v>39</v>
      </c>
      <c r="D69" s="410" t="s">
        <v>7</v>
      </c>
      <c r="E69" s="410"/>
      <c r="F69" s="114"/>
      <c r="G69" s="115"/>
      <c r="H69" s="116"/>
      <c r="I69" s="170"/>
      <c r="J69" s="166">
        <f t="shared" ref="J69:O69" si="45">AVERAGE(J59:J68)</f>
        <v>12.333333333333334</v>
      </c>
      <c r="K69" s="166">
        <f t="shared" si="45"/>
        <v>1565</v>
      </c>
      <c r="L69" s="171">
        <f t="shared" si="45"/>
        <v>127.07264957264958</v>
      </c>
      <c r="M69" s="166">
        <f t="shared" si="45"/>
        <v>12.333333333333334</v>
      </c>
      <c r="N69" s="166">
        <f t="shared" si="45"/>
        <v>1386.8994708994705</v>
      </c>
      <c r="O69" s="171">
        <f t="shared" si="45"/>
        <v>112.4363044363044</v>
      </c>
      <c r="P69" s="172">
        <f>M69-J69</f>
        <v>0</v>
      </c>
      <c r="Q69" s="158">
        <f>N69-K69</f>
        <v>-178.10052910052946</v>
      </c>
      <c r="R69" s="121">
        <f>O69/L69</f>
        <v>0.88481907644510605</v>
      </c>
      <c r="S69" s="399"/>
      <c r="T69" s="122"/>
      <c r="U69" s="122"/>
      <c r="V69" s="195"/>
      <c r="W69" s="168"/>
      <c r="X69" s="124"/>
      <c r="Y69" s="124"/>
      <c r="Z69" s="405"/>
      <c r="AA69" s="405"/>
      <c r="AB69" s="119">
        <f>N69-K69</f>
        <v>-178.10052910052946</v>
      </c>
      <c r="AC69" s="187">
        <f>N69/K69</f>
        <v>0.8861977449836872</v>
      </c>
      <c r="AD69" s="404"/>
    </row>
    <row r="70" spans="1:32" ht="15" customHeight="1">
      <c r="A70" s="461" t="s">
        <v>58</v>
      </c>
      <c r="B70" s="199" t="s">
        <v>62</v>
      </c>
      <c r="C70" s="199"/>
      <c r="D70" s="103" t="s">
        <v>158</v>
      </c>
      <c r="E70" s="104"/>
      <c r="F70" s="199">
        <f>VLOOKUP(D70,廠價表!$C$1:$E$39,3,0)</f>
        <v>47.71</v>
      </c>
      <c r="G70" s="188">
        <v>4648</v>
      </c>
      <c r="H70" s="106">
        <f t="shared" ref="H70" si="46">F70*G70</f>
        <v>221756.08000000002</v>
      </c>
      <c r="I70" s="188"/>
      <c r="J70" s="108">
        <f>VLOOKUP(D70,產線配置圖!$A$2:$C$38,2,0)</f>
        <v>15</v>
      </c>
      <c r="K70" s="105">
        <f>VLOOKUP(D70,產線配置圖!$A$2:$C$38,3,0)</f>
        <v>1500</v>
      </c>
      <c r="L70" s="109">
        <f>K70/J70</f>
        <v>100</v>
      </c>
      <c r="M70" s="110">
        <v>15</v>
      </c>
      <c r="N70" s="105">
        <f t="shared" ref="N70" si="47">G70/W70*60</f>
        <v>1303.1775700934577</v>
      </c>
      <c r="O70" s="109">
        <f t="shared" ref="O70" si="48">N70/M70</f>
        <v>86.878504672897179</v>
      </c>
      <c r="P70" s="111">
        <f t="shared" ref="P70" si="49">M70-J70</f>
        <v>0</v>
      </c>
      <c r="Q70" s="112">
        <f t="shared" ref="Q70" si="50">O70-L70</f>
        <v>-13.121495327102821</v>
      </c>
      <c r="R70" s="184">
        <f t="shared" ref="R70" si="51">O70/L70</f>
        <v>0.86878504672897183</v>
      </c>
      <c r="S70" s="396">
        <f>R79</f>
        <v>0.87775788710930958</v>
      </c>
      <c r="T70" s="169">
        <v>0.33333333333333331</v>
      </c>
      <c r="U70" s="169">
        <v>0.48194444444444445</v>
      </c>
      <c r="V70" s="188"/>
      <c r="W70" s="107">
        <f t="shared" ref="W70:W78" si="52">(U70-T70)*24*60</f>
        <v>214.00000000000003</v>
      </c>
      <c r="X70" s="296"/>
      <c r="Y70" s="296"/>
      <c r="Z70" s="465"/>
      <c r="AA70" s="427"/>
      <c r="AB70" s="225">
        <f t="shared" ref="AB70:AB71" si="53">N70-K70</f>
        <v>-196.82242990654231</v>
      </c>
      <c r="AC70" s="226">
        <f t="shared" ref="AC70:AC71" si="54">N70/K70</f>
        <v>0.86878504672897183</v>
      </c>
      <c r="AD70" s="401">
        <f>AC79</f>
        <v>0.87767603295038443</v>
      </c>
    </row>
    <row r="71" spans="1:32" ht="15" customHeight="1">
      <c r="A71" s="462"/>
      <c r="B71" s="56"/>
      <c r="C71" s="10"/>
      <c r="D71" s="11"/>
      <c r="E71" s="86"/>
      <c r="F71" s="56"/>
      <c r="G71" s="66"/>
      <c r="H71" s="76"/>
      <c r="I71" s="193"/>
      <c r="J71" s="16"/>
      <c r="K71" s="14"/>
      <c r="L71" s="17"/>
      <c r="M71" s="180"/>
      <c r="N71" s="14"/>
      <c r="O71" s="17"/>
      <c r="P71" s="18"/>
      <c r="Q71" s="19"/>
      <c r="R71" s="185"/>
      <c r="S71" s="397"/>
      <c r="T71" s="20"/>
      <c r="U71" s="20"/>
      <c r="V71" s="177"/>
      <c r="W71" s="182">
        <f t="shared" si="52"/>
        <v>0</v>
      </c>
      <c r="X71" s="298"/>
      <c r="Y71" s="299"/>
      <c r="Z71" s="439"/>
      <c r="AA71" s="440"/>
      <c r="AB71" s="39">
        <f t="shared" si="53"/>
        <v>0</v>
      </c>
      <c r="AC71" s="190" t="e">
        <f t="shared" si="54"/>
        <v>#DIV/0!</v>
      </c>
      <c r="AD71" s="447"/>
    </row>
    <row r="72" spans="1:32" ht="15" customHeight="1">
      <c r="A72" s="462"/>
      <c r="B72" s="56"/>
      <c r="C72" s="10"/>
      <c r="D72" s="11"/>
      <c r="E72" s="86"/>
      <c r="F72" s="56"/>
      <c r="G72" s="66"/>
      <c r="H72" s="76"/>
      <c r="I72" s="193"/>
      <c r="J72" s="16"/>
      <c r="K72" s="14"/>
      <c r="L72" s="17"/>
      <c r="M72" s="180"/>
      <c r="N72" s="14"/>
      <c r="O72" s="17"/>
      <c r="P72" s="18"/>
      <c r="Q72" s="19"/>
      <c r="R72" s="185"/>
      <c r="S72" s="397"/>
      <c r="T72" s="20"/>
      <c r="U72" s="20"/>
      <c r="V72" s="177"/>
      <c r="W72" s="182">
        <f t="shared" si="52"/>
        <v>0</v>
      </c>
      <c r="X72" s="297"/>
      <c r="Y72" s="297"/>
      <c r="Z72" s="405"/>
      <c r="AA72" s="419"/>
      <c r="AB72" s="39"/>
      <c r="AC72" s="190"/>
      <c r="AD72" s="447"/>
    </row>
    <row r="73" spans="1:32" ht="15" customHeight="1">
      <c r="A73" s="462"/>
      <c r="B73" s="56"/>
      <c r="C73" s="23"/>
      <c r="D73" s="11"/>
      <c r="E73" s="12"/>
      <c r="F73" s="56"/>
      <c r="G73" s="66"/>
      <c r="H73" s="76"/>
      <c r="I73" s="193"/>
      <c r="J73" s="16"/>
      <c r="K73" s="14"/>
      <c r="L73" s="17"/>
      <c r="M73" s="180"/>
      <c r="N73" s="14"/>
      <c r="O73" s="17"/>
      <c r="P73" s="18"/>
      <c r="Q73" s="19"/>
      <c r="R73" s="185"/>
      <c r="S73" s="397"/>
      <c r="T73" s="20"/>
      <c r="U73" s="20"/>
      <c r="V73" s="177"/>
      <c r="W73" s="182">
        <f t="shared" si="52"/>
        <v>0</v>
      </c>
      <c r="X73" s="22"/>
      <c r="Y73" s="22"/>
      <c r="Z73" s="405"/>
      <c r="AA73" s="419"/>
      <c r="AB73" s="39"/>
      <c r="AC73" s="190"/>
      <c r="AD73" s="447"/>
    </row>
    <row r="74" spans="1:32" ht="15" customHeight="1">
      <c r="A74" s="462"/>
      <c r="B74" s="56"/>
      <c r="C74" s="249"/>
      <c r="D74" s="250"/>
      <c r="E74" s="251"/>
      <c r="F74" s="56"/>
      <c r="G74" s="238"/>
      <c r="H74" s="76">
        <f t="shared" ref="H74:H78" si="55">F74*G74</f>
        <v>0</v>
      </c>
      <c r="I74" s="81"/>
      <c r="J74" s="234"/>
      <c r="K74" s="36"/>
      <c r="L74" s="235"/>
      <c r="M74" s="21"/>
      <c r="N74" s="36"/>
      <c r="O74" s="38"/>
      <c r="P74" s="39"/>
      <c r="Q74" s="40"/>
      <c r="R74" s="190"/>
      <c r="S74" s="397"/>
      <c r="T74" s="20"/>
      <c r="U74" s="20"/>
      <c r="V74" s="177"/>
      <c r="W74" s="182">
        <f t="shared" si="52"/>
        <v>0</v>
      </c>
      <c r="X74" s="22"/>
      <c r="Y74" s="22"/>
      <c r="Z74" s="405"/>
      <c r="AA74" s="419"/>
      <c r="AB74" s="39"/>
      <c r="AC74" s="190"/>
      <c r="AD74" s="447"/>
    </row>
    <row r="75" spans="1:32" ht="15" customHeight="1">
      <c r="A75" s="462"/>
      <c r="B75" s="177"/>
      <c r="C75" s="183"/>
      <c r="D75" s="11"/>
      <c r="E75" s="12"/>
      <c r="F75" s="13"/>
      <c r="G75" s="177"/>
      <c r="H75" s="15">
        <f t="shared" si="55"/>
        <v>0</v>
      </c>
      <c r="I75" s="81"/>
      <c r="J75" s="87"/>
      <c r="K75" s="82"/>
      <c r="L75" s="83"/>
      <c r="M75" s="181"/>
      <c r="N75" s="82"/>
      <c r="O75" s="83"/>
      <c r="P75" s="73"/>
      <c r="Q75" s="74"/>
      <c r="R75" s="192"/>
      <c r="S75" s="397"/>
      <c r="T75" s="20"/>
      <c r="U75" s="20"/>
      <c r="V75" s="177"/>
      <c r="W75" s="88">
        <f t="shared" si="52"/>
        <v>0</v>
      </c>
      <c r="X75" s="89"/>
      <c r="Y75" s="89"/>
      <c r="Z75" s="406"/>
      <c r="AA75" s="406"/>
      <c r="AB75" s="306"/>
      <c r="AC75" s="307"/>
      <c r="AD75" s="402"/>
    </row>
    <row r="76" spans="1:32" ht="15" customHeight="1">
      <c r="A76" s="462"/>
      <c r="B76" s="26"/>
      <c r="C76" s="27"/>
      <c r="D76" s="28"/>
      <c r="E76" s="29"/>
      <c r="F76" s="13"/>
      <c r="G76" s="177"/>
      <c r="H76" s="15">
        <f t="shared" si="55"/>
        <v>0</v>
      </c>
      <c r="I76" s="81"/>
      <c r="J76" s="87"/>
      <c r="K76" s="82"/>
      <c r="L76" s="83"/>
      <c r="M76" s="181"/>
      <c r="N76" s="82"/>
      <c r="O76" s="83"/>
      <c r="P76" s="73"/>
      <c r="Q76" s="74"/>
      <c r="R76" s="192"/>
      <c r="S76" s="398"/>
      <c r="T76" s="20"/>
      <c r="U76" s="20"/>
      <c r="V76" s="177"/>
      <c r="W76" s="90">
        <f t="shared" si="52"/>
        <v>0</v>
      </c>
      <c r="X76" s="78"/>
      <c r="Y76" s="78"/>
      <c r="Z76" s="445"/>
      <c r="AA76" s="445"/>
      <c r="AB76" s="51"/>
      <c r="AC76" s="52"/>
      <c r="AD76" s="403"/>
    </row>
    <row r="77" spans="1:32" ht="15" customHeight="1">
      <c r="A77" s="462"/>
      <c r="B77" s="26"/>
      <c r="C77" s="27"/>
      <c r="D77" s="28"/>
      <c r="E77" s="29"/>
      <c r="F77" s="13"/>
      <c r="G77" s="177"/>
      <c r="H77" s="15">
        <f t="shared" si="55"/>
        <v>0</v>
      </c>
      <c r="I77" s="81"/>
      <c r="J77" s="87"/>
      <c r="K77" s="82"/>
      <c r="L77" s="83"/>
      <c r="M77" s="181"/>
      <c r="N77" s="82"/>
      <c r="O77" s="83"/>
      <c r="P77" s="73"/>
      <c r="Q77" s="74"/>
      <c r="R77" s="192"/>
      <c r="S77" s="398"/>
      <c r="T77" s="20"/>
      <c r="U77" s="20"/>
      <c r="V77" s="177"/>
      <c r="W77" s="182">
        <f t="shared" si="52"/>
        <v>0</v>
      </c>
      <c r="X77" s="84"/>
      <c r="Y77" s="84"/>
      <c r="Z77" s="405"/>
      <c r="AA77" s="405"/>
      <c r="AB77" s="18"/>
      <c r="AC77" s="55"/>
      <c r="AD77" s="403"/>
    </row>
    <row r="78" spans="1:32" ht="15" customHeight="1">
      <c r="A78" s="462"/>
      <c r="B78" s="26"/>
      <c r="C78" s="27"/>
      <c r="D78" s="28"/>
      <c r="E78" s="29"/>
      <c r="F78" s="13"/>
      <c r="G78" s="177"/>
      <c r="H78" s="15">
        <f t="shared" si="55"/>
        <v>0</v>
      </c>
      <c r="I78" s="85"/>
      <c r="J78" s="37"/>
      <c r="K78" s="36"/>
      <c r="L78" s="83"/>
      <c r="M78" s="21"/>
      <c r="N78" s="36"/>
      <c r="O78" s="38"/>
      <c r="P78" s="39"/>
      <c r="Q78" s="40"/>
      <c r="R78" s="190"/>
      <c r="S78" s="464"/>
      <c r="T78" s="32"/>
      <c r="U78" s="32"/>
      <c r="V78" s="178"/>
      <c r="W78" s="182">
        <f t="shared" si="52"/>
        <v>0</v>
      </c>
      <c r="X78" s="91"/>
      <c r="Y78" s="91"/>
      <c r="Z78" s="405"/>
      <c r="AA78" s="405"/>
      <c r="AB78" s="34"/>
      <c r="AC78" s="57"/>
      <c r="AD78" s="403"/>
    </row>
    <row r="79" spans="1:32" ht="15" customHeight="1" thickBot="1">
      <c r="A79" s="463"/>
      <c r="B79" s="165"/>
      <c r="C79" s="1" t="s">
        <v>40</v>
      </c>
      <c r="D79" s="410" t="s">
        <v>7</v>
      </c>
      <c r="E79" s="410"/>
      <c r="F79" s="114"/>
      <c r="G79" s="115"/>
      <c r="H79" s="173"/>
      <c r="I79" s="171"/>
      <c r="J79" s="166">
        <f t="shared" ref="J79:O79" si="56">AVERAGE(J69:J78)</f>
        <v>13.666666666666668</v>
      </c>
      <c r="K79" s="166">
        <f t="shared" si="56"/>
        <v>1532.5</v>
      </c>
      <c r="L79" s="171">
        <f t="shared" si="56"/>
        <v>113.5363247863248</v>
      </c>
      <c r="M79" s="166">
        <f t="shared" si="56"/>
        <v>13.666666666666668</v>
      </c>
      <c r="N79" s="166">
        <f t="shared" si="56"/>
        <v>1345.0385204964641</v>
      </c>
      <c r="O79" s="171">
        <f t="shared" si="56"/>
        <v>99.657404554600788</v>
      </c>
      <c r="P79" s="172">
        <f>M79-J79</f>
        <v>0</v>
      </c>
      <c r="Q79" s="158">
        <f>N79-K79</f>
        <v>-187.46147950353588</v>
      </c>
      <c r="R79" s="159">
        <f>O79/L79</f>
        <v>0.87775788710930958</v>
      </c>
      <c r="S79" s="399"/>
      <c r="T79" s="122"/>
      <c r="U79" s="122"/>
      <c r="V79" s="195"/>
      <c r="W79" s="168"/>
      <c r="X79" s="124"/>
      <c r="Y79" s="124"/>
      <c r="Z79" s="391"/>
      <c r="AA79" s="391"/>
      <c r="AB79" s="119">
        <f>N79-K79</f>
        <v>-187.46147950353588</v>
      </c>
      <c r="AC79" s="187">
        <f>N79/K79</f>
        <v>0.87767603295038443</v>
      </c>
      <c r="AD79" s="404"/>
    </row>
    <row r="80" spans="1:32">
      <c r="AF80" s="93" t="s">
        <v>41</v>
      </c>
    </row>
    <row r="81" spans="4:32">
      <c r="AF81" s="93" t="s">
        <v>42</v>
      </c>
    </row>
    <row r="82" spans="4:32">
      <c r="AF82" s="93" t="s">
        <v>43</v>
      </c>
    </row>
    <row r="83" spans="4:32">
      <c r="D83" s="220"/>
      <c r="W83" s="6"/>
      <c r="AF83" s="93" t="s">
        <v>44</v>
      </c>
    </row>
    <row r="84" spans="4:32">
      <c r="D84" s="224"/>
      <c r="W84" s="6"/>
      <c r="AF84" s="93" t="s">
        <v>45</v>
      </c>
    </row>
    <row r="85" spans="4:32">
      <c r="D85" s="224"/>
      <c r="W85" s="6"/>
      <c r="AF85" s="93" t="s">
        <v>46</v>
      </c>
    </row>
    <row r="86" spans="4:32">
      <c r="D86" s="155"/>
      <c r="W86" s="6"/>
      <c r="AF86" s="93" t="s">
        <v>47</v>
      </c>
    </row>
    <row r="87" spans="4:32">
      <c r="W87" s="6"/>
      <c r="AF87" s="93" t="s">
        <v>48</v>
      </c>
    </row>
    <row r="88" spans="4:32">
      <c r="W88" s="6"/>
      <c r="AF88" s="93" t="s">
        <v>49</v>
      </c>
    </row>
    <row r="89" spans="4:32">
      <c r="W89" s="6"/>
      <c r="AF89" s="93" t="s">
        <v>50</v>
      </c>
    </row>
    <row r="90" spans="4:32">
      <c r="W90" s="6"/>
      <c r="AF90" s="93" t="s">
        <v>51</v>
      </c>
    </row>
    <row r="91" spans="4:32">
      <c r="W91" s="6"/>
      <c r="AF91" s="93" t="s">
        <v>52</v>
      </c>
    </row>
    <row r="92" spans="4:32">
      <c r="W92" s="6"/>
      <c r="AF92" s="93" t="s">
        <v>53</v>
      </c>
    </row>
  </sheetData>
  <autoFilter ref="D1:D92" xr:uid="{EF5AD393-5A39-4C0E-A7B0-465235F2AB14}"/>
  <mergeCells count="135">
    <mergeCell ref="P1:S2"/>
    <mergeCell ref="T1:Y2"/>
    <mergeCell ref="Z1:AA2"/>
    <mergeCell ref="AB1:AD2"/>
    <mergeCell ref="H3:H4"/>
    <mergeCell ref="I3:I4"/>
    <mergeCell ref="J3:J4"/>
    <mergeCell ref="K3:K4"/>
    <mergeCell ref="L3:L4"/>
    <mergeCell ref="M3:M4"/>
    <mergeCell ref="AC3:AC4"/>
    <mergeCell ref="AD3:AD4"/>
    <mergeCell ref="P3:P4"/>
    <mergeCell ref="Q3:Q4"/>
    <mergeCell ref="R3:R4"/>
    <mergeCell ref="A2:B2"/>
    <mergeCell ref="A3:A4"/>
    <mergeCell ref="B3:B4"/>
    <mergeCell ref="D3:E4"/>
    <mergeCell ref="F3:F4"/>
    <mergeCell ref="G3:G4"/>
    <mergeCell ref="J1:L2"/>
    <mergeCell ref="M1:O2"/>
    <mergeCell ref="D15:E15"/>
    <mergeCell ref="A5:A15"/>
    <mergeCell ref="N3:N4"/>
    <mergeCell ref="O3:O4"/>
    <mergeCell ref="S5:S15"/>
    <mergeCell ref="Z5:AA5"/>
    <mergeCell ref="AD5:AD15"/>
    <mergeCell ref="Z6:AA6"/>
    <mergeCell ref="Z7:AA7"/>
    <mergeCell ref="Z8:AA8"/>
    <mergeCell ref="Z9:AA9"/>
    <mergeCell ref="T3:U3"/>
    <mergeCell ref="V3:V4"/>
    <mergeCell ref="W3:W4"/>
    <mergeCell ref="X3:Y3"/>
    <mergeCell ref="Z3:AA4"/>
    <mergeCell ref="AB3:AB4"/>
    <mergeCell ref="S3:S4"/>
    <mergeCell ref="AD16:AD26"/>
    <mergeCell ref="Z17:AA17"/>
    <mergeCell ref="Z18:AA18"/>
    <mergeCell ref="Z19:AA19"/>
    <mergeCell ref="Z20:AA20"/>
    <mergeCell ref="Z21:AA21"/>
    <mergeCell ref="Z22:AA22"/>
    <mergeCell ref="Z10:AA10"/>
    <mergeCell ref="Z11:AA11"/>
    <mergeCell ref="Z12:AA12"/>
    <mergeCell ref="Z13:AA13"/>
    <mergeCell ref="Z14:AA14"/>
    <mergeCell ref="Z23:AA23"/>
    <mergeCell ref="Z24:AA24"/>
    <mergeCell ref="Z25:AA25"/>
    <mergeCell ref="Z15:AA15"/>
    <mergeCell ref="D26:E26"/>
    <mergeCell ref="Z26:AA26"/>
    <mergeCell ref="A27:A37"/>
    <mergeCell ref="S27:S37"/>
    <mergeCell ref="Z27:AA27"/>
    <mergeCell ref="D37:E37"/>
    <mergeCell ref="Z37:AA37"/>
    <mergeCell ref="A16:A26"/>
    <mergeCell ref="S16:S26"/>
    <mergeCell ref="Z16:AA16"/>
    <mergeCell ref="AD38:AD48"/>
    <mergeCell ref="Z39:AA39"/>
    <mergeCell ref="Z40:AA40"/>
    <mergeCell ref="Z41:AA41"/>
    <mergeCell ref="Z42:AA42"/>
    <mergeCell ref="Z43:AA43"/>
    <mergeCell ref="Z44:AA44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Z45:AA45"/>
    <mergeCell ref="Z46:AA46"/>
    <mergeCell ref="Z47:AA47"/>
    <mergeCell ref="D48:E48"/>
    <mergeCell ref="Z48:AA48"/>
    <mergeCell ref="A49:A58"/>
    <mergeCell ref="S49:S58"/>
    <mergeCell ref="Z49:AA49"/>
    <mergeCell ref="D58:E58"/>
    <mergeCell ref="A38:A48"/>
    <mergeCell ref="S38:S48"/>
    <mergeCell ref="Z38:AA38"/>
    <mergeCell ref="AD59:AD69"/>
    <mergeCell ref="Z60:AA60"/>
    <mergeCell ref="Z61:AA61"/>
    <mergeCell ref="Z62:AA62"/>
    <mergeCell ref="Z63:AA63"/>
    <mergeCell ref="Z64:AA64"/>
    <mergeCell ref="Z65:AA65"/>
    <mergeCell ref="AD49:AD58"/>
    <mergeCell ref="Z50:AA50"/>
    <mergeCell ref="Z51:AA51"/>
    <mergeCell ref="Z52:AA52"/>
    <mergeCell ref="Z53:AA53"/>
    <mergeCell ref="Z54:AA54"/>
    <mergeCell ref="Z55:AA55"/>
    <mergeCell ref="Z56:AA56"/>
    <mergeCell ref="Z57:AA57"/>
    <mergeCell ref="Z58:AA58"/>
    <mergeCell ref="Z66:AA66"/>
    <mergeCell ref="Z67:AA67"/>
    <mergeCell ref="Z68:AA68"/>
    <mergeCell ref="D69:E69"/>
    <mergeCell ref="Z69:AA69"/>
    <mergeCell ref="A70:A79"/>
    <mergeCell ref="S70:S79"/>
    <mergeCell ref="Z70:AA70"/>
    <mergeCell ref="D79:E79"/>
    <mergeCell ref="A59:A69"/>
    <mergeCell ref="S59:S69"/>
    <mergeCell ref="Z59:AA59"/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</mergeCells>
  <phoneticPr fontId="2" type="noConversion"/>
  <conditionalFormatting sqref="P5:P79">
    <cfRule type="cellIs" dxfId="168" priority="1" operator="greaterThan">
      <formula>0</formula>
    </cfRule>
  </conditionalFormatting>
  <conditionalFormatting sqref="Q5:Q79 AB5:AB79">
    <cfRule type="cellIs" dxfId="167" priority="4" operator="lessThan">
      <formula>0</formula>
    </cfRule>
  </conditionalFormatting>
  <conditionalFormatting sqref="R5:R79 AC5:AC79">
    <cfRule type="cellIs" dxfId="166" priority="2" operator="greaterThan">
      <formula>1</formula>
    </cfRule>
    <cfRule type="cellIs" dxfId="165" priority="3" operator="lessThan">
      <formula>0.8</formula>
    </cfRule>
  </conditionalFormatting>
  <conditionalFormatting sqref="S5:S10 S37:S62 AD59:AD62 S69:S76 AD69:AD76">
    <cfRule type="cellIs" dxfId="164" priority="7" operator="lessThan">
      <formula>0.8</formula>
    </cfRule>
  </conditionalFormatting>
  <conditionalFormatting sqref="S19:S25 AD19:AD25">
    <cfRule type="cellIs" dxfId="163" priority="6" operator="lessThan">
      <formula>0.8</formula>
    </cfRule>
  </conditionalFormatting>
  <conditionalFormatting sqref="S79">
    <cfRule type="cellIs" dxfId="162" priority="5" operator="lessThan">
      <formula>0.8</formula>
    </cfRule>
  </conditionalFormatting>
  <conditionalFormatting sqref="AD5:AD8 S15:S16 AD15:AD16 AD49 AD79">
    <cfRule type="cellIs" dxfId="161" priority="9" operator="lessThan">
      <formula>0.8</formula>
    </cfRule>
  </conditionalFormatting>
  <conditionalFormatting sqref="AD27 S27:S28">
    <cfRule type="cellIs" dxfId="16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2DE4B0E-F674-41B4-83D4-C183ABBB96FD}">
          <x14:formula1>
            <xm:f>廠價表!$C$2:$C$37</xm:f>
          </x14:formula1>
          <xm:sqref>D1:D1048576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0DDA8-6E18-44AD-A22B-A26996BFFA23}">
  <sheetPr>
    <pageSetUpPr fitToPage="1"/>
  </sheetPr>
  <dimension ref="B1:O22"/>
  <sheetViews>
    <sheetView zoomScale="70" zoomScaleNormal="70" workbookViewId="0">
      <selection activeCell="D18" sqref="D18"/>
    </sheetView>
  </sheetViews>
  <sheetFormatPr defaultColWidth="8.125" defaultRowHeight="15.75"/>
  <cols>
    <col min="1" max="1" width="8.125" style="203"/>
    <col min="2" max="2" width="7.125" style="203" customWidth="1"/>
    <col min="3" max="3" width="7.125" style="218" customWidth="1"/>
    <col min="4" max="17" width="14.125" style="203" customWidth="1"/>
    <col min="18" max="21" width="9.625" style="203" customWidth="1"/>
    <col min="22" max="22" width="11.125" style="203" customWidth="1"/>
    <col min="23" max="23" width="11.5" style="203" customWidth="1"/>
    <col min="24" max="16384" width="8.125" style="203"/>
  </cols>
  <sheetData>
    <row r="1" spans="2:15" ht="27.75" customHeight="1">
      <c r="B1" s="345" t="s">
        <v>73</v>
      </c>
      <c r="C1" s="345"/>
      <c r="D1" s="345"/>
      <c r="E1" s="345"/>
      <c r="F1" s="345"/>
      <c r="G1" s="345"/>
      <c r="H1" s="345"/>
      <c r="I1" s="345"/>
      <c r="J1" s="345"/>
      <c r="K1" s="345"/>
      <c r="L1" s="202"/>
      <c r="M1" s="202"/>
    </row>
    <row r="2" spans="2:15" ht="27.75" customHeight="1"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202"/>
      <c r="M2" s="202"/>
    </row>
    <row r="3" spans="2:15" ht="46.5" customHeight="1">
      <c r="B3" s="342" t="s">
        <v>74</v>
      </c>
      <c r="C3" s="342"/>
      <c r="D3" s="346">
        <v>45976</v>
      </c>
      <c r="E3" s="346"/>
      <c r="F3" s="204" t="s">
        <v>75</v>
      </c>
      <c r="G3" s="347">
        <f>'1115'!E1</f>
        <v>42341</v>
      </c>
      <c r="H3" s="347"/>
      <c r="I3" s="204" t="s">
        <v>76</v>
      </c>
      <c r="J3" s="348">
        <f>'1115'!G1</f>
        <v>2049327.8900000004</v>
      </c>
      <c r="K3" s="348"/>
      <c r="L3" s="205"/>
    </row>
    <row r="4" spans="2:15" ht="24" customHeight="1">
      <c r="B4" s="342" t="s">
        <v>77</v>
      </c>
      <c r="C4" s="342"/>
      <c r="D4" s="343">
        <v>3</v>
      </c>
      <c r="E4" s="343"/>
      <c r="F4" s="344" t="s">
        <v>78</v>
      </c>
      <c r="G4" s="344"/>
      <c r="H4" s="344" t="s">
        <v>79</v>
      </c>
      <c r="I4" s="344"/>
      <c r="J4" s="343" t="s">
        <v>80</v>
      </c>
      <c r="K4" s="344"/>
      <c r="L4" s="206"/>
    </row>
    <row r="5" spans="2:15" ht="24" customHeight="1">
      <c r="B5" s="342" t="s">
        <v>81</v>
      </c>
      <c r="C5" s="342"/>
      <c r="D5" s="343" t="s">
        <v>82</v>
      </c>
      <c r="E5" s="343"/>
      <c r="F5" s="343" t="s">
        <v>83</v>
      </c>
      <c r="G5" s="343"/>
      <c r="H5" s="369" t="s">
        <v>62</v>
      </c>
      <c r="I5" s="369"/>
      <c r="J5" s="341" t="s">
        <v>84</v>
      </c>
      <c r="K5" s="341"/>
      <c r="L5" s="207"/>
    </row>
    <row r="6" spans="2:15" ht="39.6" customHeight="1">
      <c r="B6" s="342"/>
      <c r="C6" s="342"/>
      <c r="D6" s="342" t="s">
        <v>85</v>
      </c>
      <c r="E6" s="342"/>
      <c r="F6" s="356">
        <f>AVERAGE(D13:J13)</f>
        <v>114.27372739694168</v>
      </c>
      <c r="G6" s="356"/>
      <c r="H6" s="349">
        <f>AVERAGE(D13:H13)</f>
        <v>111.86142348392347</v>
      </c>
      <c r="I6" s="349"/>
      <c r="J6" s="349">
        <f>AVERAGE(I13:J13)</f>
        <v>120.30448717948718</v>
      </c>
      <c r="K6" s="349"/>
      <c r="L6" s="207"/>
    </row>
    <row r="7" spans="2:15" s="208" customFormat="1" ht="39.6" customHeight="1">
      <c r="B7" s="342"/>
      <c r="C7" s="342"/>
      <c r="D7" s="350" t="s">
        <v>86</v>
      </c>
      <c r="E7" s="350"/>
      <c r="F7" s="351">
        <f>AVERAGE(D14:J14)</f>
        <v>104.46228744196478</v>
      </c>
      <c r="G7" s="351"/>
      <c r="H7" s="352">
        <f>AVERAGE(D14:H14)</f>
        <v>101.20030941207656</v>
      </c>
      <c r="I7" s="352"/>
      <c r="J7" s="352">
        <f>AVERAGE(I14:J14)</f>
        <v>112.61723251668528</v>
      </c>
      <c r="K7" s="352"/>
    </row>
    <row r="8" spans="2:15" s="208" customFormat="1" ht="39.6" customHeight="1">
      <c r="B8" s="342"/>
      <c r="C8" s="342"/>
      <c r="D8" s="350" t="s">
        <v>87</v>
      </c>
      <c r="E8" s="350"/>
      <c r="F8" s="353">
        <f>AVERAGE(D15:J15)</f>
        <v>0.91406601145451638</v>
      </c>
      <c r="G8" s="353"/>
      <c r="H8" s="353">
        <f>AVERAGE(D15:H15)</f>
        <v>0.90510565815653321</v>
      </c>
      <c r="I8" s="353"/>
      <c r="J8" s="353">
        <f>AVERAGE(I15:J15)</f>
        <v>0.93646689469947419</v>
      </c>
      <c r="K8" s="353"/>
      <c r="L8" s="209" t="s">
        <v>88</v>
      </c>
    </row>
    <row r="9" spans="2:15" ht="25.5" customHeight="1">
      <c r="B9" s="207"/>
      <c r="C9" s="207"/>
      <c r="D9" s="207"/>
      <c r="E9" s="207"/>
      <c r="F9" s="207"/>
      <c r="G9" s="207"/>
      <c r="H9" s="210"/>
      <c r="I9" s="211"/>
      <c r="J9" s="211"/>
      <c r="K9" s="211"/>
      <c r="L9" s="211"/>
      <c r="M9" s="211"/>
      <c r="N9" s="211"/>
      <c r="O9" s="207"/>
    </row>
    <row r="10" spans="2:15" ht="30" customHeight="1">
      <c r="B10" s="354" t="s">
        <v>0</v>
      </c>
      <c r="C10" s="355"/>
      <c r="D10" s="357" t="s">
        <v>89</v>
      </c>
      <c r="E10" s="358"/>
      <c r="F10" s="358"/>
      <c r="G10" s="358"/>
      <c r="H10" s="358"/>
      <c r="I10" s="358"/>
      <c r="J10" s="359"/>
    </row>
    <row r="11" spans="2:15" ht="17.25" customHeight="1">
      <c r="B11" s="360" t="s">
        <v>90</v>
      </c>
      <c r="C11" s="361"/>
      <c r="D11" s="212">
        <v>1</v>
      </c>
      <c r="E11" s="212">
        <v>2</v>
      </c>
      <c r="F11" s="212">
        <v>3</v>
      </c>
      <c r="G11" s="212">
        <v>4</v>
      </c>
      <c r="H11" s="212">
        <v>5</v>
      </c>
      <c r="I11" s="212">
        <v>6</v>
      </c>
      <c r="J11" s="212">
        <v>7</v>
      </c>
    </row>
    <row r="12" spans="2:15" ht="33.950000000000003" customHeight="1">
      <c r="B12" s="362"/>
      <c r="C12" s="363"/>
      <c r="D12" s="213" t="s">
        <v>91</v>
      </c>
      <c r="E12" s="213" t="s">
        <v>92</v>
      </c>
      <c r="F12" s="213" t="s">
        <v>93</v>
      </c>
      <c r="G12" s="213" t="s">
        <v>94</v>
      </c>
      <c r="H12" s="213" t="s">
        <v>95</v>
      </c>
      <c r="I12" s="213" t="s">
        <v>96</v>
      </c>
      <c r="J12" s="213" t="s">
        <v>97</v>
      </c>
    </row>
    <row r="13" spans="2:15" ht="39.950000000000003" customHeight="1">
      <c r="B13" s="364" t="s">
        <v>1</v>
      </c>
      <c r="C13" s="214" t="s">
        <v>98</v>
      </c>
      <c r="D13" s="215">
        <f>VALUE('1115'!L15)</f>
        <v>132.83068783068782</v>
      </c>
      <c r="E13" s="215">
        <f>VALUE('1115'!L26)</f>
        <v>149.02014652014654</v>
      </c>
      <c r="F13" s="215">
        <f>VALUE('1115'!L37)</f>
        <v>95.163690476190482</v>
      </c>
      <c r="G13" s="215">
        <f>VALUE('1115'!L48)</f>
        <v>93.033333333333331</v>
      </c>
      <c r="H13" s="215">
        <f>VALUE('1115'!L58)</f>
        <v>89.259259259259252</v>
      </c>
      <c r="I13" s="215">
        <f>VALUE('1115'!L69)</f>
        <v>127.07264957264958</v>
      </c>
      <c r="J13" s="215">
        <f>VALUE('1115'!L79)</f>
        <v>113.5363247863248</v>
      </c>
    </row>
    <row r="14" spans="2:15" ht="39.950000000000003" customHeight="1">
      <c r="B14" s="365"/>
      <c r="C14" s="214" t="s">
        <v>99</v>
      </c>
      <c r="D14" s="215">
        <f>VALUE('1115'!O15)</f>
        <v>122.03823355674865</v>
      </c>
      <c r="E14" s="215">
        <f>VALUE('1115'!O26)</f>
        <v>133.92990339555229</v>
      </c>
      <c r="F14" s="215">
        <f>VALUE('1115'!O37)</f>
        <v>77.346135273177524</v>
      </c>
      <c r="G14" s="215">
        <f>VALUE('1115'!O48)</f>
        <v>86.689542483660148</v>
      </c>
      <c r="H14" s="215">
        <f>VALUE('1115'!O58)</f>
        <v>85.997732351244238</v>
      </c>
      <c r="I14" s="215">
        <f>VALUE('1115'!O69)</f>
        <v>118.17440956975837</v>
      </c>
      <c r="J14" s="215">
        <f>VALUE('1115'!O79)</f>
        <v>107.0600554636122</v>
      </c>
    </row>
    <row r="15" spans="2:15" ht="39.950000000000003" customHeight="1">
      <c r="B15" s="366"/>
      <c r="C15" s="212" t="s">
        <v>100</v>
      </c>
      <c r="D15" s="233">
        <f>D14/D13</f>
        <v>0.91875029445232015</v>
      </c>
      <c r="E15" s="233">
        <f t="shared" ref="E15:J15" si="0">E14/E13</f>
        <v>0.89873689244726285</v>
      </c>
      <c r="F15" s="233">
        <f t="shared" si="0"/>
        <v>0.81276939645934787</v>
      </c>
      <c r="G15" s="233">
        <f t="shared" si="0"/>
        <v>0.93181163543884071</v>
      </c>
      <c r="H15" s="233">
        <f t="shared" si="0"/>
        <v>0.96346007198489403</v>
      </c>
      <c r="I15" s="233">
        <f t="shared" si="0"/>
        <v>0.92997517535979335</v>
      </c>
      <c r="J15" s="233">
        <f t="shared" si="0"/>
        <v>0.94295861403915504</v>
      </c>
    </row>
    <row r="16" spans="2:15" ht="17.25" customHeight="1">
      <c r="B16" s="367" t="s">
        <v>101</v>
      </c>
      <c r="C16" s="212" t="s">
        <v>102</v>
      </c>
      <c r="D16" s="95">
        <f>'1115'!T5</f>
        <v>0.2902777777777778</v>
      </c>
      <c r="E16" s="95">
        <f>'1115'!T16</f>
        <v>0.2902777777777778</v>
      </c>
      <c r="F16" s="95">
        <f>'1115'!T27</f>
        <v>0.2902777777777778</v>
      </c>
      <c r="G16" s="95">
        <f>'1115'!T38</f>
        <v>0.33333333333333331</v>
      </c>
      <c r="H16" s="95">
        <f>'1115'!T49</f>
        <v>0.29166666666666669</v>
      </c>
      <c r="I16" s="95">
        <f>'1115'!T59</f>
        <v>0.29166666666666669</v>
      </c>
      <c r="J16" s="272">
        <f>'1115'!T70</f>
        <v>0.33333333333333331</v>
      </c>
    </row>
    <row r="17" spans="2:10" ht="17.25" customHeight="1">
      <c r="B17" s="368"/>
      <c r="C17" s="212" t="s">
        <v>103</v>
      </c>
      <c r="D17" s="20">
        <v>0.4777777777777778</v>
      </c>
      <c r="E17" s="41">
        <v>0.50277777777777777</v>
      </c>
      <c r="F17" s="41">
        <v>0.63194444444444442</v>
      </c>
      <c r="G17" s="59">
        <v>0.48125000000000001</v>
      </c>
      <c r="H17" s="79">
        <v>0.56736111111111109</v>
      </c>
      <c r="I17" s="20">
        <v>0.49027777777777776</v>
      </c>
      <c r="J17" s="20">
        <v>0.3923611111111111</v>
      </c>
    </row>
    <row r="18" spans="2:10" ht="17.25" customHeight="1">
      <c r="B18" s="354" t="s">
        <v>104</v>
      </c>
      <c r="C18" s="355"/>
      <c r="D18" s="216">
        <f>VALUE('1115'!M15)</f>
        <v>15.333333333333334</v>
      </c>
      <c r="E18" s="216">
        <f>VALUE('1115'!M26)</f>
        <v>13.666666666666666</v>
      </c>
      <c r="F18" s="216">
        <f>VALUE('1115'!M37)</f>
        <v>14</v>
      </c>
      <c r="G18" s="216">
        <f>VALUE('1115'!M48)</f>
        <v>14</v>
      </c>
      <c r="H18" s="216">
        <f>VALUE('1115'!M58)</f>
        <v>16.333333333333332</v>
      </c>
      <c r="I18" s="216">
        <f>VALUE('1115'!M69)</f>
        <v>12.333333333333334</v>
      </c>
      <c r="J18" s="216">
        <f>VALUE('1115'!M79)</f>
        <v>12.666666666666668</v>
      </c>
    </row>
    <row r="19" spans="2:10" ht="17.25" customHeight="1">
      <c r="B19" s="354" t="s">
        <v>105</v>
      </c>
      <c r="C19" s="355"/>
      <c r="D19" s="213" t="s">
        <v>106</v>
      </c>
      <c r="E19" s="213" t="s">
        <v>106</v>
      </c>
      <c r="F19" s="213" t="s">
        <v>107</v>
      </c>
      <c r="G19" s="213" t="s">
        <v>107</v>
      </c>
      <c r="H19" s="213" t="s">
        <v>107</v>
      </c>
      <c r="I19" s="213" t="s">
        <v>108</v>
      </c>
      <c r="J19" s="213" t="s">
        <v>107</v>
      </c>
    </row>
    <row r="20" spans="2:10" ht="17.25" customHeight="1">
      <c r="B20" s="354" t="s">
        <v>110</v>
      </c>
      <c r="C20" s="355"/>
      <c r="D20" s="213"/>
      <c r="E20" s="213"/>
      <c r="F20" s="213"/>
      <c r="G20" s="217"/>
      <c r="H20" s="213" t="s">
        <v>109</v>
      </c>
      <c r="I20" s="213"/>
      <c r="J20" s="213"/>
    </row>
    <row r="21" spans="2:10" ht="17.25" customHeight="1">
      <c r="B21" s="354" t="s">
        <v>111</v>
      </c>
      <c r="C21" s="355"/>
      <c r="D21" s="273"/>
      <c r="E21" s="273"/>
      <c r="F21" s="273"/>
      <c r="G21" s="273"/>
      <c r="H21" s="273"/>
      <c r="I21" s="273"/>
      <c r="J21" s="273"/>
    </row>
    <row r="22" spans="2:10">
      <c r="B22" s="370"/>
      <c r="C22" s="370"/>
    </row>
  </sheetData>
  <mergeCells count="37">
    <mergeCell ref="J5:K5"/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J6:K6"/>
    <mergeCell ref="D7:E7"/>
    <mergeCell ref="F7:G7"/>
    <mergeCell ref="H7:I7"/>
    <mergeCell ref="J7:K7"/>
    <mergeCell ref="H8:I8"/>
    <mergeCell ref="B18:C18"/>
    <mergeCell ref="B19:C19"/>
    <mergeCell ref="D6:E6"/>
    <mergeCell ref="F6:G6"/>
    <mergeCell ref="H6:I6"/>
    <mergeCell ref="D10:J10"/>
    <mergeCell ref="B11:C12"/>
    <mergeCell ref="B13:B15"/>
    <mergeCell ref="B16:B17"/>
    <mergeCell ref="B10:C10"/>
    <mergeCell ref="J8:K8"/>
    <mergeCell ref="B5:C8"/>
    <mergeCell ref="D5:E5"/>
    <mergeCell ref="F5:G5"/>
    <mergeCell ref="H5:I5"/>
    <mergeCell ref="B20:C20"/>
    <mergeCell ref="B21:C21"/>
    <mergeCell ref="B22:C22"/>
    <mergeCell ref="D8:E8"/>
    <mergeCell ref="F8:G8"/>
  </mergeCells>
  <phoneticPr fontId="2" type="noConversion"/>
  <conditionalFormatting sqref="D15:J15">
    <cfRule type="cellIs" dxfId="159" priority="1" operator="lessThan">
      <formula>0.8</formula>
    </cfRule>
  </conditionalFormatting>
  <pageMargins left="0.7" right="0.7" top="0.75" bottom="0.75" header="0.3" footer="0.3"/>
  <pageSetup paperSize="8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BBEDF-0EBE-4D25-94C9-8B5C41FB6A21}">
  <sheetPr>
    <tabColor theme="9" tint="0.79998168889431442"/>
    <pageSetUpPr fitToPage="1"/>
  </sheetPr>
  <dimension ref="A1:AF92"/>
  <sheetViews>
    <sheetView zoomScale="69" zoomScaleNormal="69" workbookViewId="0">
      <pane xSplit="5" ySplit="4" topLeftCell="F14" activePane="bottomRight" state="frozen"/>
      <selection activeCell="T67" sqref="T67"/>
      <selection pane="topRight" activeCell="T67" sqref="T67"/>
      <selection pane="bottomLeft" activeCell="T67" sqref="T67"/>
      <selection pane="bottomRight" activeCell="M40" sqref="M40"/>
    </sheetView>
  </sheetViews>
  <sheetFormatPr defaultColWidth="7.875" defaultRowHeight="15.75"/>
  <cols>
    <col min="1" max="1" width="15" style="6" customWidth="1"/>
    <col min="2" max="2" width="12.875" style="6" customWidth="1"/>
    <col min="3" max="3" width="12.875" style="6" hidden="1" customWidth="1"/>
    <col min="4" max="4" width="26.125" style="6" bestFit="1" customWidth="1"/>
    <col min="5" max="5" width="15" style="6" customWidth="1"/>
    <col min="6" max="6" width="8.875" style="6" bestFit="1" customWidth="1"/>
    <col min="7" max="7" width="20.125" style="6" bestFit="1" customWidth="1"/>
    <col min="8" max="8" width="16.375" style="6" bestFit="1" customWidth="1"/>
    <col min="9" max="9" width="10.875" style="6" bestFit="1" customWidth="1"/>
    <col min="10" max="10" width="10.125" style="6" bestFit="1" customWidth="1"/>
    <col min="11" max="11" width="10.625" style="6" customWidth="1"/>
    <col min="12" max="12" width="14.5" style="6" customWidth="1"/>
    <col min="13" max="13" width="10.125" style="6" bestFit="1" customWidth="1"/>
    <col min="14" max="14" width="10.25" style="6" bestFit="1" customWidth="1"/>
    <col min="15" max="15" width="11.875" style="6" customWidth="1"/>
    <col min="16" max="17" width="9.125" style="6" bestFit="1" customWidth="1"/>
    <col min="18" max="18" width="9.125" style="6" customWidth="1"/>
    <col min="19" max="19" width="8.375" style="6" customWidth="1"/>
    <col min="20" max="21" width="9.375" style="6" bestFit="1" customWidth="1"/>
    <col min="22" max="22" width="10.625" style="6" customWidth="1"/>
    <col min="23" max="23" width="8.625" style="92" customWidth="1"/>
    <col min="24" max="24" width="7.5" style="6" bestFit="1" customWidth="1"/>
    <col min="25" max="25" width="6.875" style="6" customWidth="1"/>
    <col min="26" max="26" width="12.625" style="6" customWidth="1"/>
    <col min="27" max="27" width="33.375" style="6" customWidth="1"/>
    <col min="28" max="28" width="13.125" style="6" bestFit="1" customWidth="1"/>
    <col min="29" max="29" width="10.375" style="6" customWidth="1"/>
    <col min="30" max="30" width="9.125" style="6" customWidth="1"/>
    <col min="31" max="31" width="7.875" style="6"/>
    <col min="32" max="32" width="24.5" style="6" bestFit="1" customWidth="1"/>
    <col min="33" max="16384" width="7.875" style="6"/>
  </cols>
  <sheetData>
    <row r="1" spans="1:30" ht="21">
      <c r="A1" s="2" t="s">
        <v>72</v>
      </c>
      <c r="B1" s="2"/>
      <c r="C1" s="2"/>
      <c r="D1" s="176" t="s">
        <v>8</v>
      </c>
      <c r="E1" s="3">
        <f>SUM(G5:G79)</f>
        <v>42341</v>
      </c>
      <c r="F1" s="177" t="s">
        <v>9</v>
      </c>
      <c r="G1" s="4">
        <f>SUM(H5:H79)</f>
        <v>2049327.8900000004</v>
      </c>
      <c r="H1" s="175" t="s">
        <v>10</v>
      </c>
      <c r="I1" s="5">
        <f>M15+M26+M48+M58+M69+M79+M37</f>
        <v>98.333333333333329</v>
      </c>
      <c r="J1" s="371" t="s">
        <v>11</v>
      </c>
      <c r="K1" s="371"/>
      <c r="L1" s="371"/>
      <c r="M1" s="371" t="s">
        <v>12</v>
      </c>
      <c r="N1" s="371"/>
      <c r="O1" s="371"/>
      <c r="P1" s="371" t="s">
        <v>13</v>
      </c>
      <c r="Q1" s="371"/>
      <c r="R1" s="371"/>
      <c r="S1" s="371"/>
      <c r="T1" s="371" t="s">
        <v>14</v>
      </c>
      <c r="U1" s="371"/>
      <c r="V1" s="371"/>
      <c r="W1" s="371"/>
      <c r="X1" s="371"/>
      <c r="Y1" s="371"/>
      <c r="Z1" s="371" t="s">
        <v>15</v>
      </c>
      <c r="AA1" s="371"/>
      <c r="AB1" s="371" t="s">
        <v>16</v>
      </c>
      <c r="AC1" s="372"/>
      <c r="AD1" s="372"/>
    </row>
    <row r="2" spans="1:30" ht="18.75">
      <c r="A2" s="409" t="s">
        <v>200</v>
      </c>
      <c r="B2" s="409"/>
      <c r="C2" s="176"/>
      <c r="D2" s="176" t="s">
        <v>1</v>
      </c>
      <c r="E2" s="7">
        <f>AVERAGE(O15,O26,O37,O48,O58,O69,O79)</f>
        <v>104.46228744196478</v>
      </c>
      <c r="F2" s="8" t="s">
        <v>2</v>
      </c>
      <c r="G2" s="9">
        <f>G1/E1</f>
        <v>48.400554781417547</v>
      </c>
      <c r="H2" s="175" t="s">
        <v>17</v>
      </c>
      <c r="I2" s="175">
        <f>COUNT(I5:I79)</f>
        <v>0</v>
      </c>
      <c r="J2" s="371"/>
      <c r="K2" s="371"/>
      <c r="L2" s="371"/>
      <c r="M2" s="371"/>
      <c r="N2" s="371"/>
      <c r="O2" s="371"/>
      <c r="P2" s="371"/>
      <c r="Q2" s="371"/>
      <c r="R2" s="371"/>
      <c r="S2" s="371"/>
      <c r="T2" s="371"/>
      <c r="U2" s="371"/>
      <c r="V2" s="371"/>
      <c r="W2" s="371"/>
      <c r="X2" s="371"/>
      <c r="Y2" s="371"/>
      <c r="Z2" s="371"/>
      <c r="AA2" s="371"/>
      <c r="AB2" s="372"/>
      <c r="AC2" s="372"/>
      <c r="AD2" s="372"/>
    </row>
    <row r="3" spans="1:30">
      <c r="A3" s="405" t="s">
        <v>18</v>
      </c>
      <c r="B3" s="405" t="s">
        <v>19</v>
      </c>
      <c r="C3" s="177"/>
      <c r="D3" s="405" t="s">
        <v>20</v>
      </c>
      <c r="E3" s="405"/>
      <c r="F3" s="379" t="s">
        <v>21</v>
      </c>
      <c r="G3" s="389" t="s">
        <v>22</v>
      </c>
      <c r="H3" s="379" t="s">
        <v>23</v>
      </c>
      <c r="I3" s="381" t="s">
        <v>24</v>
      </c>
      <c r="J3" s="383" t="s">
        <v>25</v>
      </c>
      <c r="K3" s="385" t="s">
        <v>26</v>
      </c>
      <c r="L3" s="387" t="s">
        <v>1</v>
      </c>
      <c r="M3" s="389" t="s">
        <v>25</v>
      </c>
      <c r="N3" s="385" t="s">
        <v>26</v>
      </c>
      <c r="O3" s="387" t="s">
        <v>1</v>
      </c>
      <c r="P3" s="383" t="s">
        <v>25</v>
      </c>
      <c r="Q3" s="387" t="s">
        <v>1</v>
      </c>
      <c r="R3" s="392" t="s">
        <v>27</v>
      </c>
      <c r="S3" s="394" t="s">
        <v>28</v>
      </c>
      <c r="T3" s="389" t="s">
        <v>4</v>
      </c>
      <c r="U3" s="389"/>
      <c r="V3" s="408" t="s">
        <v>29</v>
      </c>
      <c r="W3" s="381" t="s">
        <v>30</v>
      </c>
      <c r="X3" s="389" t="s">
        <v>31</v>
      </c>
      <c r="Y3" s="389"/>
      <c r="Z3" s="415" t="s">
        <v>71</v>
      </c>
      <c r="AA3" s="416"/>
      <c r="AB3" s="385" t="s">
        <v>26</v>
      </c>
      <c r="AC3" s="392" t="s">
        <v>27</v>
      </c>
      <c r="AD3" s="394" t="s">
        <v>28</v>
      </c>
    </row>
    <row r="4" spans="1:30" ht="16.5" thickBot="1">
      <c r="A4" s="379"/>
      <c r="B4" s="379"/>
      <c r="C4" s="178"/>
      <c r="D4" s="379"/>
      <c r="E4" s="379"/>
      <c r="F4" s="380"/>
      <c r="G4" s="390"/>
      <c r="H4" s="380"/>
      <c r="I4" s="382"/>
      <c r="J4" s="384"/>
      <c r="K4" s="386"/>
      <c r="L4" s="388"/>
      <c r="M4" s="390"/>
      <c r="N4" s="386"/>
      <c r="O4" s="388"/>
      <c r="P4" s="384"/>
      <c r="Q4" s="388"/>
      <c r="R4" s="393"/>
      <c r="S4" s="395"/>
      <c r="T4" s="179" t="s">
        <v>5</v>
      </c>
      <c r="U4" s="179" t="s">
        <v>6</v>
      </c>
      <c r="V4" s="390"/>
      <c r="W4" s="382"/>
      <c r="X4" s="178" t="s">
        <v>32</v>
      </c>
      <c r="Y4" s="178" t="s">
        <v>33</v>
      </c>
      <c r="Z4" s="417"/>
      <c r="AA4" s="417"/>
      <c r="AB4" s="386"/>
      <c r="AC4" s="393"/>
      <c r="AD4" s="395"/>
    </row>
    <row r="5" spans="1:30" ht="15" customHeight="1">
      <c r="A5" s="411" t="s">
        <v>66</v>
      </c>
      <c r="B5" s="199" t="str">
        <f>VLOOKUP(D5,廠價表!$C$1:$E$39,2,0)</f>
        <v>義大利麵</v>
      </c>
      <c r="C5" s="102"/>
      <c r="D5" s="103" t="s">
        <v>127</v>
      </c>
      <c r="E5" s="104"/>
      <c r="F5" s="199">
        <f>VLOOKUP(D5,廠價表!$C$1:$E$39,3,0)</f>
        <v>57.21</v>
      </c>
      <c r="G5" s="105">
        <v>1359</v>
      </c>
      <c r="H5" s="106">
        <f>F5*G5</f>
        <v>77748.39</v>
      </c>
      <c r="I5" s="107"/>
      <c r="J5" s="108">
        <v>14</v>
      </c>
      <c r="K5" s="105">
        <f>VLOOKUP(D5,產線配置圖!$A$2:$C$38,3,0)</f>
        <v>2105</v>
      </c>
      <c r="L5" s="109">
        <f>K5/J5</f>
        <v>150.35714285714286</v>
      </c>
      <c r="M5" s="110">
        <v>14</v>
      </c>
      <c r="N5" s="105">
        <f t="shared" ref="N5:N7" si="0">G5/W5*60</f>
        <v>1698.7500000000005</v>
      </c>
      <c r="O5" s="109">
        <f t="shared" ref="O5:O7" si="1">N5/M5</f>
        <v>121.33928571428575</v>
      </c>
      <c r="P5" s="111">
        <f t="shared" ref="P5:P7" si="2">M5-J5</f>
        <v>0</v>
      </c>
      <c r="Q5" s="112">
        <f t="shared" ref="Q5:Q7" si="3">O5-L5</f>
        <v>-29.01785714285711</v>
      </c>
      <c r="R5" s="184">
        <f t="shared" ref="R5:R7" si="4">O5/L5</f>
        <v>0.80700712589073653</v>
      </c>
      <c r="S5" s="396">
        <f>R15</f>
        <v>0.91875029445232015</v>
      </c>
      <c r="T5" s="94">
        <v>0.2902777777777778</v>
      </c>
      <c r="U5" s="94">
        <v>0.32361111111111113</v>
      </c>
      <c r="V5" s="194"/>
      <c r="W5" s="107">
        <f t="shared" ref="W5:W14" si="5">(U5-T5)*24*60</f>
        <v>47.999999999999986</v>
      </c>
      <c r="X5" s="188"/>
      <c r="Y5" s="188"/>
      <c r="Z5" s="400"/>
      <c r="AA5" s="400"/>
      <c r="AB5" s="111">
        <f>N5-K5</f>
        <v>-406.24999999999955</v>
      </c>
      <c r="AC5" s="184">
        <f>N5/K5</f>
        <v>0.80700712589073653</v>
      </c>
      <c r="AD5" s="401">
        <f>AC15</f>
        <v>0.92244089290100695</v>
      </c>
    </row>
    <row r="6" spans="1:30" ht="15" customHeight="1">
      <c r="A6" s="412"/>
      <c r="B6" s="56" t="str">
        <f>VLOOKUP(D6,廠價表!$C$1:$E$39,2,0)</f>
        <v>義大利麵</v>
      </c>
      <c r="C6" s="10"/>
      <c r="D6" s="11" t="s">
        <v>139</v>
      </c>
      <c r="E6" s="86"/>
      <c r="F6" s="56">
        <f>VLOOKUP(D6,廠價表!$C$1:$E$39,3,0)</f>
        <v>57.21</v>
      </c>
      <c r="G6" s="25">
        <v>1810</v>
      </c>
      <c r="H6" s="15">
        <f t="shared" ref="H6:H14" si="6">F6*G6</f>
        <v>103550.1</v>
      </c>
      <c r="I6" s="182"/>
      <c r="J6" s="16">
        <v>18</v>
      </c>
      <c r="K6" s="14">
        <f>VLOOKUP(D6,產線配置圖!$A$2:$C$38,3,0)</f>
        <v>1895</v>
      </c>
      <c r="L6" s="17">
        <f>K6/J6</f>
        <v>105.27777777777777</v>
      </c>
      <c r="M6" s="180">
        <v>18</v>
      </c>
      <c r="N6" s="14">
        <f t="shared" si="0"/>
        <v>1840.677966101694</v>
      </c>
      <c r="O6" s="17">
        <f t="shared" si="1"/>
        <v>102.25988700564966</v>
      </c>
      <c r="P6" s="18">
        <f t="shared" si="2"/>
        <v>0</v>
      </c>
      <c r="Q6" s="19">
        <f t="shared" si="3"/>
        <v>-3.0178907721281121</v>
      </c>
      <c r="R6" s="185">
        <f t="shared" si="4"/>
        <v>0.9713340190510259</v>
      </c>
      <c r="S6" s="397"/>
      <c r="T6" s="95">
        <v>0.33402777777777776</v>
      </c>
      <c r="U6" s="95">
        <v>0.375</v>
      </c>
      <c r="V6" s="177">
        <f>(T6-U5)*24*60</f>
        <v>14.999999999999947</v>
      </c>
      <c r="W6" s="182">
        <f t="shared" si="5"/>
        <v>59.000000000000028</v>
      </c>
      <c r="X6" s="22"/>
      <c r="Y6" s="22"/>
      <c r="Z6" s="381"/>
      <c r="AA6" s="381"/>
      <c r="AB6" s="18">
        <f>N6-K6</f>
        <v>-54.322033898306017</v>
      </c>
      <c r="AC6" s="185">
        <f>N6/K6</f>
        <v>0.9713340190510259</v>
      </c>
      <c r="AD6" s="402"/>
    </row>
    <row r="7" spans="1:30" ht="15" customHeight="1">
      <c r="A7" s="412"/>
      <c r="B7" s="56" t="str">
        <f>VLOOKUP(D7,廠價表!$C$1:$E$39,2,0)</f>
        <v>義大利麵</v>
      </c>
      <c r="C7" s="10"/>
      <c r="D7" s="11" t="s">
        <v>141</v>
      </c>
      <c r="E7" s="86"/>
      <c r="F7" s="56">
        <f>VLOOKUP(D7,廠價表!$C$1:$E$39,3,0)</f>
        <v>49.14</v>
      </c>
      <c r="G7" s="25">
        <v>4589</v>
      </c>
      <c r="H7" s="15">
        <f t="shared" si="6"/>
        <v>225503.46</v>
      </c>
      <c r="I7" s="182"/>
      <c r="J7" s="16">
        <v>14</v>
      </c>
      <c r="K7" s="14">
        <f>VLOOKUP(D7,產線配置圖!$A$2:$C$38,3,0)</f>
        <v>2000</v>
      </c>
      <c r="L7" s="17">
        <f>K7/J7</f>
        <v>142.85714285714286</v>
      </c>
      <c r="M7" s="180">
        <v>14</v>
      </c>
      <c r="N7" s="14">
        <f t="shared" si="0"/>
        <v>1995.2173913043471</v>
      </c>
      <c r="O7" s="17">
        <f t="shared" si="1"/>
        <v>142.51552795031051</v>
      </c>
      <c r="P7" s="18">
        <f t="shared" si="2"/>
        <v>0</v>
      </c>
      <c r="Q7" s="19">
        <f t="shared" si="3"/>
        <v>-0.34161490683234774</v>
      </c>
      <c r="R7" s="185">
        <f t="shared" si="4"/>
        <v>0.99760869565217358</v>
      </c>
      <c r="S7" s="397"/>
      <c r="T7" s="95">
        <v>0.38194444444444442</v>
      </c>
      <c r="U7" s="95">
        <v>0.4777777777777778</v>
      </c>
      <c r="V7" s="177">
        <f>(T7-U6)*24*60</f>
        <v>9.9999999999999645</v>
      </c>
      <c r="W7" s="182">
        <f t="shared" si="5"/>
        <v>138.00000000000006</v>
      </c>
      <c r="X7" s="22"/>
      <c r="Y7" s="22"/>
      <c r="Z7" s="405"/>
      <c r="AA7" s="405"/>
      <c r="AB7" s="18">
        <f>N7-K7</f>
        <v>-4.7826086956529252</v>
      </c>
      <c r="AC7" s="185">
        <f>N7/K7</f>
        <v>0.99760869565217358</v>
      </c>
      <c r="AD7" s="402"/>
    </row>
    <row r="8" spans="1:30" ht="15" customHeight="1">
      <c r="A8" s="412"/>
      <c r="B8" s="56"/>
      <c r="C8" s="10"/>
      <c r="D8" s="11"/>
      <c r="E8" s="86"/>
      <c r="F8" s="56"/>
      <c r="G8" s="25"/>
      <c r="H8" s="15"/>
      <c r="I8" s="182"/>
      <c r="J8" s="16"/>
      <c r="K8" s="14"/>
      <c r="L8" s="17"/>
      <c r="M8" s="180"/>
      <c r="N8" s="14"/>
      <c r="O8" s="17"/>
      <c r="P8" s="18"/>
      <c r="Q8" s="19"/>
      <c r="R8" s="185"/>
      <c r="S8" s="397"/>
      <c r="T8" s="20"/>
      <c r="U8" s="20"/>
      <c r="V8" s="177"/>
      <c r="W8" s="182">
        <f t="shared" si="5"/>
        <v>0</v>
      </c>
      <c r="X8" s="22"/>
      <c r="Y8" s="22"/>
      <c r="Z8" s="406"/>
      <c r="AA8" s="406"/>
      <c r="AB8" s="18">
        <f>N8-K8</f>
        <v>0</v>
      </c>
      <c r="AC8" s="185" t="e">
        <f>N8/K8</f>
        <v>#DIV/0!</v>
      </c>
      <c r="AD8" s="402"/>
    </row>
    <row r="9" spans="1:30" ht="15" customHeight="1">
      <c r="A9" s="413"/>
      <c r="B9" s="56"/>
      <c r="C9" s="10"/>
      <c r="D9" s="11"/>
      <c r="E9" s="86"/>
      <c r="F9" s="56"/>
      <c r="G9" s="25"/>
      <c r="H9" s="15"/>
      <c r="I9" s="182"/>
      <c r="J9" s="16"/>
      <c r="K9" s="14"/>
      <c r="L9" s="17"/>
      <c r="M9" s="180"/>
      <c r="N9" s="14"/>
      <c r="O9" s="17"/>
      <c r="P9" s="18"/>
      <c r="Q9" s="19"/>
      <c r="R9" s="185"/>
      <c r="S9" s="398"/>
      <c r="T9" s="79"/>
      <c r="U9" s="79"/>
      <c r="V9" s="177"/>
      <c r="W9" s="24">
        <f t="shared" si="5"/>
        <v>0</v>
      </c>
      <c r="X9" s="22"/>
      <c r="Y9" s="263"/>
      <c r="Z9" s="407"/>
      <c r="AA9" s="407"/>
      <c r="AB9" s="18"/>
      <c r="AC9" s="185"/>
      <c r="AD9" s="403"/>
    </row>
    <row r="10" spans="1:30" ht="15" customHeight="1">
      <c r="A10" s="413"/>
      <c r="B10" s="56"/>
      <c r="C10" s="23"/>
      <c r="D10" s="11"/>
      <c r="E10" s="12"/>
      <c r="F10" s="56"/>
      <c r="G10" s="25"/>
      <c r="H10" s="15"/>
      <c r="I10" s="182"/>
      <c r="J10" s="16"/>
      <c r="K10" s="14"/>
      <c r="L10" s="17"/>
      <c r="M10" s="180"/>
      <c r="N10" s="14"/>
      <c r="O10" s="17"/>
      <c r="P10" s="18"/>
      <c r="Q10" s="19"/>
      <c r="R10" s="185"/>
      <c r="S10" s="398"/>
      <c r="T10" s="20"/>
      <c r="U10" s="20"/>
      <c r="V10" s="177"/>
      <c r="W10" s="182">
        <f t="shared" si="5"/>
        <v>0</v>
      </c>
      <c r="X10" s="22"/>
      <c r="Y10" s="263"/>
      <c r="Z10" s="419"/>
      <c r="AA10" s="418"/>
      <c r="AB10" s="264"/>
      <c r="AC10" s="185"/>
      <c r="AD10" s="403"/>
    </row>
    <row r="11" spans="1:30" ht="15" customHeight="1">
      <c r="A11" s="413"/>
      <c r="B11" s="56"/>
      <c r="C11" s="183"/>
      <c r="D11" s="11"/>
      <c r="E11" s="12"/>
      <c r="F11" s="56"/>
      <c r="G11" s="25"/>
      <c r="H11" s="15">
        <f t="shared" si="6"/>
        <v>0</v>
      </c>
      <c r="I11" s="182"/>
      <c r="J11" s="16"/>
      <c r="K11" s="14"/>
      <c r="L11" s="17"/>
      <c r="M11" s="180"/>
      <c r="N11" s="14"/>
      <c r="O11" s="17"/>
      <c r="P11" s="18"/>
      <c r="Q11" s="19"/>
      <c r="R11" s="185"/>
      <c r="S11" s="398"/>
      <c r="T11" s="20"/>
      <c r="U11" s="20"/>
      <c r="V11" s="177"/>
      <c r="W11" s="24">
        <f t="shared" si="5"/>
        <v>0</v>
      </c>
      <c r="X11" s="22"/>
      <c r="Y11" s="263"/>
      <c r="Z11" s="419"/>
      <c r="AA11" s="418"/>
      <c r="AB11" s="264"/>
      <c r="AC11" s="185"/>
      <c r="AD11" s="403"/>
    </row>
    <row r="12" spans="1:30" ht="15" customHeight="1">
      <c r="A12" s="413"/>
      <c r="B12" s="26"/>
      <c r="C12" s="27"/>
      <c r="D12" s="28"/>
      <c r="E12" s="29"/>
      <c r="F12" s="13"/>
      <c r="G12" s="30"/>
      <c r="H12" s="15">
        <f t="shared" si="6"/>
        <v>0</v>
      </c>
      <c r="I12" s="178"/>
      <c r="J12" s="31"/>
      <c r="K12" s="30"/>
      <c r="L12" s="17"/>
      <c r="M12" s="181"/>
      <c r="N12" s="25"/>
      <c r="O12" s="17"/>
      <c r="P12" s="18"/>
      <c r="Q12" s="19"/>
      <c r="R12" s="185"/>
      <c r="S12" s="398"/>
      <c r="T12" s="32"/>
      <c r="U12" s="32"/>
      <c r="V12" s="178"/>
      <c r="W12" s="24">
        <f t="shared" si="5"/>
        <v>0</v>
      </c>
      <c r="X12" s="33"/>
      <c r="Y12" s="33"/>
      <c r="Z12" s="407"/>
      <c r="AA12" s="407"/>
      <c r="AB12" s="34"/>
      <c r="AC12" s="186"/>
      <c r="AD12" s="403"/>
    </row>
    <row r="13" spans="1:30" ht="15" customHeight="1">
      <c r="A13" s="413"/>
      <c r="B13" s="56"/>
      <c r="C13" s="10"/>
      <c r="D13" s="11"/>
      <c r="E13" s="86"/>
      <c r="F13" s="56"/>
      <c r="G13" s="25"/>
      <c r="H13" s="15"/>
      <c r="I13" s="182"/>
      <c r="J13" s="16"/>
      <c r="K13" s="14"/>
      <c r="L13" s="17"/>
      <c r="M13" s="180"/>
      <c r="N13" s="14"/>
      <c r="O13" s="17"/>
      <c r="P13" s="18"/>
      <c r="Q13" s="19"/>
      <c r="R13" s="185"/>
      <c r="S13" s="479"/>
      <c r="T13" s="309"/>
      <c r="U13" s="309"/>
      <c r="V13" s="26"/>
      <c r="W13" s="24">
        <f t="shared" si="5"/>
        <v>0</v>
      </c>
      <c r="X13" s="33"/>
      <c r="Y13" s="33"/>
      <c r="Z13" s="419"/>
      <c r="AA13" s="418"/>
      <c r="AB13" s="34"/>
      <c r="AC13" s="186"/>
      <c r="AD13" s="403"/>
    </row>
    <row r="14" spans="1:30" ht="15" customHeight="1">
      <c r="A14" s="413"/>
      <c r="B14" s="26"/>
      <c r="C14" s="27"/>
      <c r="D14" s="28"/>
      <c r="E14" s="29"/>
      <c r="F14" s="13"/>
      <c r="G14" s="30"/>
      <c r="H14" s="15">
        <f t="shared" si="6"/>
        <v>0</v>
      </c>
      <c r="I14" s="178"/>
      <c r="J14" s="31"/>
      <c r="K14" s="30"/>
      <c r="L14" s="17"/>
      <c r="M14" s="181"/>
      <c r="N14" s="25"/>
      <c r="O14" s="17"/>
      <c r="P14" s="18"/>
      <c r="Q14" s="19"/>
      <c r="R14" s="185"/>
      <c r="S14" s="398"/>
      <c r="T14" s="308"/>
      <c r="U14" s="308"/>
      <c r="V14" s="178"/>
      <c r="W14" s="24">
        <f t="shared" si="5"/>
        <v>0</v>
      </c>
      <c r="X14" s="33"/>
      <c r="Y14" s="33"/>
      <c r="Z14" s="419"/>
      <c r="AA14" s="418"/>
      <c r="AB14" s="34"/>
      <c r="AC14" s="186"/>
      <c r="AD14" s="403"/>
    </row>
    <row r="15" spans="1:30" ht="15" customHeight="1" thickBot="1">
      <c r="A15" s="414"/>
      <c r="B15" s="113"/>
      <c r="C15" s="113" t="s">
        <v>34</v>
      </c>
      <c r="D15" s="410" t="s">
        <v>7</v>
      </c>
      <c r="E15" s="410"/>
      <c r="F15" s="114"/>
      <c r="G15" s="115"/>
      <c r="H15" s="116"/>
      <c r="I15" s="117"/>
      <c r="J15" s="118">
        <f t="shared" ref="J15:O15" si="7">AVERAGE(J5:J14)</f>
        <v>15.333333333333334</v>
      </c>
      <c r="K15" s="118">
        <f t="shared" si="7"/>
        <v>2000</v>
      </c>
      <c r="L15" s="115">
        <f t="shared" si="7"/>
        <v>132.83068783068782</v>
      </c>
      <c r="M15" s="118">
        <f t="shared" si="7"/>
        <v>15.333333333333334</v>
      </c>
      <c r="N15" s="118">
        <f t="shared" si="7"/>
        <v>1844.8817858020138</v>
      </c>
      <c r="O15" s="115">
        <f t="shared" si="7"/>
        <v>122.03823355674865</v>
      </c>
      <c r="P15" s="119">
        <f t="shared" ref="P15:P16" si="8">M15-J15</f>
        <v>0</v>
      </c>
      <c r="Q15" s="120">
        <f t="shared" ref="Q15:Q16" si="9">O15-L15</f>
        <v>-10.792454273939171</v>
      </c>
      <c r="R15" s="121">
        <f t="shared" ref="R15:R16" si="10">O15/L15</f>
        <v>0.91875029445232015</v>
      </c>
      <c r="S15" s="399"/>
      <c r="T15" s="122"/>
      <c r="U15" s="122"/>
      <c r="V15" s="195"/>
      <c r="W15" s="123"/>
      <c r="X15" s="124"/>
      <c r="Y15" s="124"/>
      <c r="Z15" s="391"/>
      <c r="AA15" s="391"/>
      <c r="AB15" s="119">
        <f>N15-K15</f>
        <v>-155.11821419798616</v>
      </c>
      <c r="AC15" s="187">
        <f>N15/K15</f>
        <v>0.92244089290100695</v>
      </c>
      <c r="AD15" s="404"/>
    </row>
    <row r="16" spans="1:30" ht="15" customHeight="1">
      <c r="A16" s="431" t="s">
        <v>67</v>
      </c>
      <c r="B16" s="199" t="s">
        <v>134</v>
      </c>
      <c r="C16" s="102"/>
      <c r="D16" s="103" t="s">
        <v>127</v>
      </c>
      <c r="E16" s="104"/>
      <c r="F16" s="199">
        <f>VLOOKUP(D16,廠價表!$C$1:$E$39,3,0)</f>
        <v>57.21</v>
      </c>
      <c r="G16" s="265">
        <v>1102</v>
      </c>
      <c r="H16" s="125">
        <f t="shared" ref="H16:H25" si="11">F16*G16</f>
        <v>63045.42</v>
      </c>
      <c r="I16" s="126"/>
      <c r="J16" s="108">
        <v>14</v>
      </c>
      <c r="K16" s="105">
        <f>VLOOKUP(D16,產線配置圖!$A$2:$C$38,3,0)</f>
        <v>2105</v>
      </c>
      <c r="L16" s="109">
        <f>K16/J16</f>
        <v>150.35714285714286</v>
      </c>
      <c r="M16" s="267">
        <v>14</v>
      </c>
      <c r="N16" s="127">
        <f>G16/W16*60</f>
        <v>1695.384615384618</v>
      </c>
      <c r="O16" s="128">
        <f>N16/M16</f>
        <v>121.09890109890128</v>
      </c>
      <c r="P16" s="129">
        <f t="shared" si="8"/>
        <v>0</v>
      </c>
      <c r="Q16" s="130">
        <f t="shared" si="9"/>
        <v>-29.258241758241581</v>
      </c>
      <c r="R16" s="189">
        <f t="shared" si="10"/>
        <v>0.80540836835373775</v>
      </c>
      <c r="S16" s="424">
        <f>R26</f>
        <v>0.89873689244726285</v>
      </c>
      <c r="T16" s="268">
        <v>0.2902777777777778</v>
      </c>
      <c r="U16" s="268">
        <v>0.31736111111111109</v>
      </c>
      <c r="V16" s="126"/>
      <c r="W16" s="131">
        <f t="shared" ref="W16:W68" si="12">(U16-T16)*24*60</f>
        <v>38.999999999999943</v>
      </c>
      <c r="X16" s="128"/>
      <c r="Y16" s="128"/>
      <c r="Z16" s="400"/>
      <c r="AA16" s="400"/>
      <c r="AB16" s="111">
        <f>N16-K16</f>
        <v>-409.61538461538203</v>
      </c>
      <c r="AC16" s="184">
        <f>N16/K16</f>
        <v>0.80540836835373775</v>
      </c>
      <c r="AD16" s="401">
        <f>AC26</f>
        <v>0.89822606925969872</v>
      </c>
    </row>
    <row r="17" spans="1:30" ht="15" customHeight="1">
      <c r="A17" s="432"/>
      <c r="B17" s="56" t="s">
        <v>62</v>
      </c>
      <c r="C17" s="10"/>
      <c r="D17" s="11" t="s">
        <v>153</v>
      </c>
      <c r="E17" s="86"/>
      <c r="F17" s="56">
        <f>VLOOKUP(D17,廠價表!$C$1:$E$39,3,0)</f>
        <v>50.67</v>
      </c>
      <c r="G17" s="96">
        <v>3608</v>
      </c>
      <c r="H17" s="15">
        <f>F17*G17</f>
        <v>182817.36000000002</v>
      </c>
      <c r="I17" s="177"/>
      <c r="J17" s="16">
        <v>14</v>
      </c>
      <c r="K17" s="14">
        <f>VLOOKUP(D17,產線配置圖!$A$2:$C$38,3,0)</f>
        <v>2000</v>
      </c>
      <c r="L17" s="17">
        <f>K17/J17</f>
        <v>142.85714285714286</v>
      </c>
      <c r="M17" s="37">
        <v>14</v>
      </c>
      <c r="N17" s="36">
        <f>G17/W17*60</f>
        <v>1950.2702702702702</v>
      </c>
      <c r="O17" s="38">
        <f>N17/M17</f>
        <v>139.3050193050193</v>
      </c>
      <c r="P17" s="39">
        <f>M17-J17</f>
        <v>0</v>
      </c>
      <c r="Q17" s="40">
        <f>O17-L17</f>
        <v>-3.552123552123561</v>
      </c>
      <c r="R17" s="190">
        <f>O17/L17</f>
        <v>0.97513513513513506</v>
      </c>
      <c r="S17" s="425"/>
      <c r="T17" s="41">
        <v>0.32708333333333334</v>
      </c>
      <c r="U17" s="41">
        <v>0.40416666666666667</v>
      </c>
      <c r="V17" s="177">
        <f>(T17-U16)*24*60</f>
        <v>14.00000000000003</v>
      </c>
      <c r="W17" s="43">
        <f t="shared" si="12"/>
        <v>111</v>
      </c>
      <c r="X17" s="44"/>
      <c r="Y17" s="44"/>
      <c r="Z17" s="381"/>
      <c r="AA17" s="381"/>
      <c r="AB17" s="18">
        <f>N17-K17</f>
        <v>-49.729729729729797</v>
      </c>
      <c r="AC17" s="185">
        <f>N17/K17</f>
        <v>0.97513513513513506</v>
      </c>
      <c r="AD17" s="402"/>
    </row>
    <row r="18" spans="1:30" ht="15" customHeight="1">
      <c r="A18" s="432"/>
      <c r="B18" s="56" t="s">
        <v>62</v>
      </c>
      <c r="C18" s="10"/>
      <c r="D18" s="11" t="s">
        <v>131</v>
      </c>
      <c r="E18" s="86"/>
      <c r="F18" s="56">
        <f>VLOOKUP(D18,廠價表!$C$1:$E$39,3,0)</f>
        <v>50.39</v>
      </c>
      <c r="G18" s="96">
        <v>4013</v>
      </c>
      <c r="H18" s="15">
        <f>F18*G18</f>
        <v>202215.07</v>
      </c>
      <c r="I18" s="177"/>
      <c r="J18" s="16">
        <v>13</v>
      </c>
      <c r="K18" s="14">
        <f>VLOOKUP(D18,產線配置圖!$A$2:$C$38,3,0)</f>
        <v>2000</v>
      </c>
      <c r="L18" s="17">
        <f>K18/J18</f>
        <v>153.84615384615384</v>
      </c>
      <c r="M18" s="37">
        <v>13</v>
      </c>
      <c r="N18" s="36">
        <f>G18/W18*60</f>
        <v>1838.0152671755725</v>
      </c>
      <c r="O18" s="38">
        <f>N18/M18</f>
        <v>141.38578978273634</v>
      </c>
      <c r="P18" s="39">
        <f>M18-J18</f>
        <v>0</v>
      </c>
      <c r="Q18" s="40">
        <f>O18-L18</f>
        <v>-12.460364063417501</v>
      </c>
      <c r="R18" s="190">
        <f>O18/L18</f>
        <v>0.91900763358778625</v>
      </c>
      <c r="S18" s="425"/>
      <c r="T18" s="41">
        <v>0.41180555555555554</v>
      </c>
      <c r="U18" s="41">
        <v>0.50277777777777777</v>
      </c>
      <c r="V18" s="177">
        <f>(T18-U17)*24*60</f>
        <v>10.999999999999961</v>
      </c>
      <c r="W18" s="43">
        <f t="shared" si="12"/>
        <v>131</v>
      </c>
      <c r="X18" s="22"/>
      <c r="Y18" s="22"/>
      <c r="Z18" s="418"/>
      <c r="AA18" s="405"/>
      <c r="AB18" s="18">
        <f>N18-K18</f>
        <v>-161.98473282442751</v>
      </c>
      <c r="AC18" s="185">
        <f>N18/K18</f>
        <v>0.91900763358778625</v>
      </c>
      <c r="AD18" s="402"/>
    </row>
    <row r="19" spans="1:30" ht="15" customHeight="1">
      <c r="A19" s="432"/>
      <c r="B19" s="56"/>
      <c r="C19" s="23"/>
      <c r="D19" s="11"/>
      <c r="E19" s="12"/>
      <c r="F19" s="56"/>
      <c r="G19" s="96"/>
      <c r="H19" s="15"/>
      <c r="I19" s="177"/>
      <c r="J19" s="16"/>
      <c r="K19" s="14"/>
      <c r="L19" s="17"/>
      <c r="M19" s="37"/>
      <c r="N19" s="36"/>
      <c r="O19" s="38"/>
      <c r="P19" s="39"/>
      <c r="Q19" s="40"/>
      <c r="R19" s="190"/>
      <c r="S19" s="425"/>
      <c r="T19" s="41"/>
      <c r="U19" s="41"/>
      <c r="V19" s="177"/>
      <c r="W19" s="43">
        <f t="shared" si="12"/>
        <v>0</v>
      </c>
      <c r="X19" s="22"/>
      <c r="Y19" s="263"/>
      <c r="Z19" s="407"/>
      <c r="AA19" s="407"/>
      <c r="AB19" s="18">
        <f>N19-K19</f>
        <v>0</v>
      </c>
      <c r="AC19" s="185" t="e">
        <f>N19/K19</f>
        <v>#DIV/0!</v>
      </c>
      <c r="AD19" s="403"/>
    </row>
    <row r="20" spans="1:30" ht="15" customHeight="1">
      <c r="A20" s="432"/>
      <c r="B20" s="56"/>
      <c r="C20" s="23"/>
      <c r="D20" s="11"/>
      <c r="E20" s="12"/>
      <c r="F20" s="56"/>
      <c r="G20" s="96"/>
      <c r="H20" s="15"/>
      <c r="I20" s="177"/>
      <c r="J20" s="16"/>
      <c r="K20" s="14"/>
      <c r="L20" s="17"/>
      <c r="M20" s="37"/>
      <c r="N20" s="36"/>
      <c r="O20" s="38"/>
      <c r="P20" s="39"/>
      <c r="Q20" s="40"/>
      <c r="R20" s="190"/>
      <c r="S20" s="425"/>
      <c r="T20" s="41"/>
      <c r="U20" s="41"/>
      <c r="V20" s="177"/>
      <c r="W20" s="43">
        <f t="shared" si="12"/>
        <v>0</v>
      </c>
      <c r="X20" s="44"/>
      <c r="Y20" s="44"/>
      <c r="Z20" s="418"/>
      <c r="AA20" s="405"/>
      <c r="AB20" s="34"/>
      <c r="AC20" s="186"/>
      <c r="AD20" s="403"/>
    </row>
    <row r="21" spans="1:30" ht="15" customHeight="1">
      <c r="A21" s="433"/>
      <c r="B21" s="177"/>
      <c r="C21" s="23"/>
      <c r="D21" s="11"/>
      <c r="E21" s="12"/>
      <c r="F21" s="13"/>
      <c r="G21" s="36"/>
      <c r="H21" s="15">
        <f t="shared" si="11"/>
        <v>0</v>
      </c>
      <c r="I21" s="43"/>
      <c r="J21" s="37"/>
      <c r="K21" s="36"/>
      <c r="L21" s="38"/>
      <c r="M21" s="37"/>
      <c r="N21" s="36"/>
      <c r="O21" s="38"/>
      <c r="P21" s="39"/>
      <c r="Q21" s="40"/>
      <c r="R21" s="190"/>
      <c r="S21" s="425"/>
      <c r="T21" s="41"/>
      <c r="U21" s="41"/>
      <c r="V21" s="42"/>
      <c r="W21" s="43">
        <v>0</v>
      </c>
      <c r="X21" s="42"/>
      <c r="Y21" s="42"/>
      <c r="Z21" s="418"/>
      <c r="AA21" s="405"/>
      <c r="AB21" s="34"/>
      <c r="AC21" s="186"/>
      <c r="AD21" s="403"/>
    </row>
    <row r="22" spans="1:30" ht="15" customHeight="1">
      <c r="A22" s="433"/>
      <c r="B22" s="177"/>
      <c r="C22" s="183"/>
      <c r="D22" s="11"/>
      <c r="E22" s="12"/>
      <c r="F22" s="13"/>
      <c r="G22" s="36"/>
      <c r="H22" s="15">
        <f t="shared" si="11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90"/>
      <c r="S22" s="425"/>
      <c r="T22" s="41"/>
      <c r="U22" s="41"/>
      <c r="V22" s="42"/>
      <c r="W22" s="43">
        <v>0</v>
      </c>
      <c r="X22" s="42"/>
      <c r="Y22" s="42"/>
      <c r="Z22" s="418"/>
      <c r="AA22" s="405"/>
      <c r="AB22" s="34"/>
      <c r="AC22" s="186"/>
      <c r="AD22" s="403"/>
    </row>
    <row r="23" spans="1:30" ht="15" customHeight="1">
      <c r="A23" s="433"/>
      <c r="B23" s="26"/>
      <c r="C23" s="27"/>
      <c r="D23" s="28"/>
      <c r="E23" s="29"/>
      <c r="F23" s="13"/>
      <c r="G23" s="36"/>
      <c r="H23" s="15">
        <f t="shared" si="11"/>
        <v>0</v>
      </c>
      <c r="I23" s="43"/>
      <c r="J23" s="37"/>
      <c r="K23" s="36"/>
      <c r="L23" s="38"/>
      <c r="M23" s="37"/>
      <c r="N23" s="36"/>
      <c r="O23" s="38"/>
      <c r="P23" s="39"/>
      <c r="Q23" s="40"/>
      <c r="R23" s="190"/>
      <c r="S23" s="425"/>
      <c r="T23" s="41"/>
      <c r="U23" s="41"/>
      <c r="W23" s="43">
        <f t="shared" si="12"/>
        <v>0</v>
      </c>
      <c r="X23" s="42"/>
      <c r="Y23" s="42"/>
      <c r="Z23" s="418"/>
      <c r="AA23" s="405"/>
      <c r="AB23" s="34"/>
      <c r="AC23" s="186"/>
      <c r="AD23" s="403"/>
    </row>
    <row r="24" spans="1:30" ht="15" customHeight="1">
      <c r="A24" s="433"/>
      <c r="B24" s="26"/>
      <c r="C24" s="27"/>
      <c r="D24" s="28"/>
      <c r="E24" s="29"/>
      <c r="F24" s="13"/>
      <c r="G24" s="36"/>
      <c r="H24" s="15">
        <f t="shared" si="11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90"/>
      <c r="S24" s="425"/>
      <c r="T24" s="41"/>
      <c r="U24" s="41"/>
      <c r="V24" s="42"/>
      <c r="W24" s="43">
        <f t="shared" si="12"/>
        <v>0</v>
      </c>
      <c r="X24" s="42"/>
      <c r="Y24" s="42"/>
      <c r="Z24" s="418"/>
      <c r="AA24" s="405"/>
      <c r="AB24" s="34"/>
      <c r="AC24" s="186"/>
      <c r="AD24" s="403"/>
    </row>
    <row r="25" spans="1:30" ht="15" customHeight="1">
      <c r="A25" s="433"/>
      <c r="B25" s="26"/>
      <c r="C25" s="27"/>
      <c r="D25" s="28"/>
      <c r="E25" s="29"/>
      <c r="F25" s="13"/>
      <c r="G25" s="36"/>
      <c r="H25" s="50">
        <f t="shared" si="11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90"/>
      <c r="S25" s="425"/>
      <c r="T25" s="41"/>
      <c r="U25" s="41"/>
      <c r="V25" s="42"/>
      <c r="W25" s="43">
        <f t="shared" si="12"/>
        <v>0</v>
      </c>
      <c r="X25" s="42"/>
      <c r="Y25" s="42"/>
      <c r="Z25" s="418"/>
      <c r="AA25" s="405"/>
      <c r="AB25" s="34"/>
      <c r="AC25" s="186"/>
      <c r="AD25" s="403"/>
    </row>
    <row r="26" spans="1:30" ht="15" customHeight="1" thickBot="1">
      <c r="A26" s="434"/>
      <c r="B26" s="132"/>
      <c r="C26" s="1" t="s">
        <v>35</v>
      </c>
      <c r="D26" s="410" t="s">
        <v>7</v>
      </c>
      <c r="E26" s="410"/>
      <c r="F26" s="133"/>
      <c r="G26" s="134"/>
      <c r="H26" s="135"/>
      <c r="I26" s="136"/>
      <c r="J26" s="134">
        <f t="shared" ref="J26:O26" si="13">AVERAGE(J16:J25)</f>
        <v>13.666666666666666</v>
      </c>
      <c r="K26" s="134">
        <f t="shared" si="13"/>
        <v>2035</v>
      </c>
      <c r="L26" s="137">
        <f t="shared" si="13"/>
        <v>149.02014652014654</v>
      </c>
      <c r="M26" s="134">
        <f t="shared" si="13"/>
        <v>13.666666666666666</v>
      </c>
      <c r="N26" s="134">
        <f t="shared" si="13"/>
        <v>1827.8900509434868</v>
      </c>
      <c r="O26" s="137">
        <f t="shared" si="13"/>
        <v>133.92990339555229</v>
      </c>
      <c r="P26" s="138">
        <f t="shared" ref="P26:P28" si="14">M26-J26</f>
        <v>0</v>
      </c>
      <c r="Q26" s="139">
        <f t="shared" ref="Q26:Q28" si="15">O26-L26</f>
        <v>-15.090243124594252</v>
      </c>
      <c r="R26" s="140">
        <f t="shared" ref="R26:R28" si="16">O26/L26</f>
        <v>0.89873689244726285</v>
      </c>
      <c r="S26" s="435"/>
      <c r="T26" s="141"/>
      <c r="U26" s="141"/>
      <c r="V26" s="146"/>
      <c r="W26" s="142"/>
      <c r="X26" s="143"/>
      <c r="Y26" s="143"/>
      <c r="Z26" s="420"/>
      <c r="AA26" s="391"/>
      <c r="AB26" s="119">
        <f>N26-K26</f>
        <v>-207.10994905651319</v>
      </c>
      <c r="AC26" s="187">
        <f>N26/K26</f>
        <v>0.89822606925969872</v>
      </c>
      <c r="AD26" s="404"/>
    </row>
    <row r="27" spans="1:30" ht="15" customHeight="1">
      <c r="A27" s="421" t="s">
        <v>54</v>
      </c>
      <c r="B27" s="229" t="s">
        <v>62</v>
      </c>
      <c r="C27" s="102"/>
      <c r="D27" s="103" t="s">
        <v>144</v>
      </c>
      <c r="E27" s="104"/>
      <c r="F27" s="199">
        <f>VLOOKUP(D27,廠價表!$C$1:$E$39,3,0)</f>
        <v>49.91</v>
      </c>
      <c r="G27" s="269">
        <v>2576</v>
      </c>
      <c r="H27" s="125">
        <f t="shared" ref="H27:H39" si="17">F27*G27</f>
        <v>128568.15999999999</v>
      </c>
      <c r="I27" s="126"/>
      <c r="J27" s="108">
        <v>14</v>
      </c>
      <c r="K27" s="236">
        <v>1385</v>
      </c>
      <c r="L27" s="109">
        <f>K27/J27</f>
        <v>98.928571428571431</v>
      </c>
      <c r="M27" s="144">
        <v>13</v>
      </c>
      <c r="N27" s="127">
        <f>G27/W27*60</f>
        <v>1088.4507042253524</v>
      </c>
      <c r="O27" s="128">
        <f>N27/M27</f>
        <v>83.726977248104035</v>
      </c>
      <c r="P27" s="129">
        <f t="shared" si="14"/>
        <v>-1</v>
      </c>
      <c r="Q27" s="130">
        <f t="shared" si="15"/>
        <v>-15.201594180467396</v>
      </c>
      <c r="R27" s="189">
        <f>O27/L27</f>
        <v>0.84633767615412014</v>
      </c>
      <c r="S27" s="424">
        <f>R37</f>
        <v>0.81276939645934787</v>
      </c>
      <c r="T27" s="94">
        <v>0.2902777777777778</v>
      </c>
      <c r="U27" s="94">
        <v>0.3888888888888889</v>
      </c>
      <c r="V27" s="126"/>
      <c r="W27" s="131">
        <f t="shared" si="12"/>
        <v>141.99999999999997</v>
      </c>
      <c r="X27" s="126"/>
      <c r="Y27" s="126" t="s">
        <v>147</v>
      </c>
      <c r="Z27" s="427"/>
      <c r="AA27" s="400"/>
      <c r="AB27" s="225">
        <f>N27-K27</f>
        <v>-296.54929577464759</v>
      </c>
      <c r="AC27" s="291">
        <f>N27/K27</f>
        <v>0.7858849850002545</v>
      </c>
      <c r="AD27" s="401">
        <f>AC37</f>
        <v>0.7411734670316984</v>
      </c>
    </row>
    <row r="28" spans="1:30" ht="15" customHeight="1">
      <c r="A28" s="422"/>
      <c r="B28" s="56" t="str">
        <f>VLOOKUP(D28,廠價表!$C$1:$E$39,2,0)</f>
        <v>義大利麵</v>
      </c>
      <c r="C28" s="10"/>
      <c r="D28" s="11" t="s">
        <v>137</v>
      </c>
      <c r="E28" s="86"/>
      <c r="F28" s="56">
        <f>VLOOKUP(D28,廠價表!$C$1:$E$39,3,0)</f>
        <v>55.13</v>
      </c>
      <c r="G28" s="53">
        <v>1832</v>
      </c>
      <c r="H28" s="50">
        <f t="shared" si="17"/>
        <v>100998.16</v>
      </c>
      <c r="I28" s="42"/>
      <c r="J28" s="16">
        <v>16</v>
      </c>
      <c r="K28" s="14">
        <f>VLOOKUP(D28,產線配置圖!$A$2:$C$38,3,0)</f>
        <v>1385</v>
      </c>
      <c r="L28" s="235">
        <f>K28/J28</f>
        <v>86.5625</v>
      </c>
      <c r="M28" s="21">
        <v>14</v>
      </c>
      <c r="N28" s="36">
        <f>G28/W28*60</f>
        <v>879.35999999999979</v>
      </c>
      <c r="O28" s="38">
        <f>N28/M28</f>
        <v>62.811428571428557</v>
      </c>
      <c r="P28" s="39">
        <f t="shared" si="14"/>
        <v>-2</v>
      </c>
      <c r="Q28" s="40">
        <f t="shared" si="15"/>
        <v>-23.751071428571443</v>
      </c>
      <c r="R28" s="190">
        <f t="shared" si="16"/>
        <v>0.72561939143888587</v>
      </c>
      <c r="S28" s="425"/>
      <c r="T28" s="270">
        <v>0.39583333333333331</v>
      </c>
      <c r="U28" s="270">
        <v>0.4826388888888889</v>
      </c>
      <c r="V28" s="42">
        <f>(T28-U27)*24*60</f>
        <v>9.9999999999999645</v>
      </c>
      <c r="W28" s="43">
        <f t="shared" si="12"/>
        <v>125.00000000000003</v>
      </c>
      <c r="X28" s="54"/>
      <c r="Y28" s="54"/>
      <c r="Z28" s="418" t="s">
        <v>201</v>
      </c>
      <c r="AA28" s="419"/>
      <c r="AB28" s="39">
        <f>N28-K28</f>
        <v>-505.64000000000021</v>
      </c>
      <c r="AC28" s="190">
        <f>N28/K28</f>
        <v>0.63491696750902515</v>
      </c>
      <c r="AD28" s="447"/>
    </row>
    <row r="29" spans="1:30" ht="15" customHeight="1">
      <c r="A29" s="422"/>
      <c r="B29" s="56" t="s">
        <v>134</v>
      </c>
      <c r="C29" s="10"/>
      <c r="D29" s="11" t="s">
        <v>158</v>
      </c>
      <c r="E29" s="86"/>
      <c r="F29" s="56">
        <f>VLOOKUP(D29,廠價表!$C$1:$E$39,3,0)</f>
        <v>47.71</v>
      </c>
      <c r="G29" s="53">
        <v>2405</v>
      </c>
      <c r="H29" s="50">
        <f t="shared" si="17"/>
        <v>114742.55</v>
      </c>
      <c r="I29" s="42"/>
      <c r="J29" s="16">
        <v>15</v>
      </c>
      <c r="K29" s="14">
        <f>VLOOKUP(D29,產線配置圖!$A$2:$C$38,3,0)</f>
        <v>1500</v>
      </c>
      <c r="L29" s="235">
        <f>K29/J29</f>
        <v>100</v>
      </c>
      <c r="M29" s="21">
        <v>15</v>
      </c>
      <c r="N29" s="36">
        <v>1196.9999999999995</v>
      </c>
      <c r="O29" s="38">
        <v>85.499999999999972</v>
      </c>
      <c r="P29" s="39">
        <v>-1</v>
      </c>
      <c r="Q29" s="40">
        <v>-14.500000000000028</v>
      </c>
      <c r="R29" s="190">
        <v>0.85499999999999976</v>
      </c>
      <c r="S29" s="425"/>
      <c r="T29" s="41">
        <v>0.54652777777777772</v>
      </c>
      <c r="U29" s="41">
        <v>0.63194444444444442</v>
      </c>
      <c r="V29" s="42">
        <f>(T29-U28)*24*60</f>
        <v>91.999999999999915</v>
      </c>
      <c r="W29" s="43">
        <f t="shared" si="12"/>
        <v>123.00000000000004</v>
      </c>
      <c r="X29" s="54">
        <v>0.48958333333333331</v>
      </c>
      <c r="Y29" s="54">
        <v>0.53125</v>
      </c>
      <c r="Z29" s="418"/>
      <c r="AA29" s="419"/>
      <c r="AB29" s="292">
        <f>N29-K29</f>
        <v>-303.00000000000045</v>
      </c>
      <c r="AC29" s="190">
        <f>N29/K29</f>
        <v>0.79799999999999971</v>
      </c>
      <c r="AD29" s="447"/>
    </row>
    <row r="30" spans="1:30" ht="15" customHeight="1">
      <c r="A30" s="422"/>
      <c r="B30" s="56"/>
      <c r="C30" s="237"/>
      <c r="D30" s="11"/>
      <c r="E30" s="29"/>
      <c r="F30" s="56"/>
      <c r="G30" s="53"/>
      <c r="H30" s="50"/>
      <c r="I30" s="42"/>
      <c r="J30" s="16"/>
      <c r="K30" s="14"/>
      <c r="L30" s="235"/>
      <c r="M30" s="21"/>
      <c r="N30" s="36"/>
      <c r="O30" s="38"/>
      <c r="P30" s="39"/>
      <c r="Q30" s="40"/>
      <c r="R30" s="190"/>
      <c r="S30" s="425"/>
      <c r="T30" s="41"/>
      <c r="U30" s="41"/>
      <c r="V30" s="42"/>
      <c r="W30" s="43">
        <f t="shared" si="12"/>
        <v>0</v>
      </c>
      <c r="X30" s="54"/>
      <c r="Y30" s="54"/>
      <c r="Z30" s="449"/>
      <c r="AA30" s="450"/>
      <c r="AB30" s="34"/>
      <c r="AC30" s="293"/>
      <c r="AD30" s="448"/>
    </row>
    <row r="31" spans="1:30" ht="15" customHeight="1">
      <c r="A31" s="422"/>
      <c r="B31" s="56"/>
      <c r="C31" s="237"/>
      <c r="D31" s="11"/>
      <c r="E31" s="29"/>
      <c r="F31" s="56"/>
      <c r="G31" s="53"/>
      <c r="H31" s="50"/>
      <c r="I31" s="42"/>
      <c r="J31" s="16"/>
      <c r="K31" s="14"/>
      <c r="L31" s="235"/>
      <c r="M31" s="21"/>
      <c r="N31" s="36"/>
      <c r="O31" s="38"/>
      <c r="P31" s="39"/>
      <c r="Q31" s="40"/>
      <c r="R31" s="190"/>
      <c r="S31" s="425"/>
      <c r="T31" s="41"/>
      <c r="U31" s="41"/>
      <c r="V31" s="42"/>
      <c r="W31" s="43">
        <f t="shared" si="12"/>
        <v>0</v>
      </c>
      <c r="X31" s="54"/>
      <c r="Y31" s="54"/>
      <c r="Z31" s="449"/>
      <c r="AA31" s="450"/>
      <c r="AB31" s="257"/>
      <c r="AC31" s="258"/>
      <c r="AD31" s="403"/>
    </row>
    <row r="32" spans="1:30" ht="15" customHeight="1">
      <c r="A32" s="422"/>
      <c r="B32" s="56"/>
      <c r="C32" s="252"/>
      <c r="D32" s="253"/>
      <c r="E32" s="254"/>
      <c r="F32" s="56"/>
      <c r="G32" s="53"/>
      <c r="H32" s="50"/>
      <c r="I32" s="42"/>
      <c r="J32" s="255"/>
      <c r="K32" s="36"/>
      <c r="L32" s="256"/>
      <c r="M32" s="21"/>
      <c r="N32" s="36"/>
      <c r="O32" s="38"/>
      <c r="P32" s="39"/>
      <c r="Q32" s="40"/>
      <c r="R32" s="190"/>
      <c r="S32" s="425"/>
      <c r="T32" s="41"/>
      <c r="U32" s="41"/>
      <c r="V32" s="42"/>
      <c r="W32" s="43">
        <f t="shared" si="12"/>
        <v>0</v>
      </c>
      <c r="X32" s="54"/>
      <c r="Y32" s="54"/>
      <c r="Z32" s="418"/>
      <c r="AA32" s="405"/>
      <c r="AB32" s="18"/>
      <c r="AC32" s="185"/>
      <c r="AD32" s="403"/>
    </row>
    <row r="33" spans="1:30" ht="15" customHeight="1">
      <c r="A33" s="422"/>
      <c r="B33" s="240"/>
      <c r="C33" s="241"/>
      <c r="D33" s="242"/>
      <c r="E33" s="243"/>
      <c r="F33" s="223"/>
      <c r="G33" s="244"/>
      <c r="H33" s="245">
        <f t="shared" si="17"/>
        <v>0</v>
      </c>
      <c r="I33" s="246"/>
      <c r="J33" s="247"/>
      <c r="K33" s="45"/>
      <c r="M33" s="248"/>
      <c r="N33" s="45"/>
      <c r="O33" s="46"/>
      <c r="P33" s="47"/>
      <c r="Q33" s="48"/>
      <c r="R33" s="49"/>
      <c r="S33" s="425"/>
      <c r="T33" s="41"/>
      <c r="U33" s="41"/>
      <c r="V33" s="42"/>
      <c r="W33" s="43">
        <f t="shared" si="12"/>
        <v>0</v>
      </c>
      <c r="X33" s="54"/>
      <c r="Y33" s="54"/>
      <c r="Z33" s="418"/>
      <c r="AA33" s="405"/>
      <c r="AB33" s="18"/>
      <c r="AC33" s="57"/>
      <c r="AD33" s="403"/>
    </row>
    <row r="34" spans="1:30" ht="15" customHeight="1">
      <c r="A34" s="422"/>
      <c r="B34" s="231"/>
      <c r="C34" s="27"/>
      <c r="D34" s="28"/>
      <c r="E34" s="29"/>
      <c r="F34" s="13"/>
      <c r="G34" s="53"/>
      <c r="H34" s="50">
        <f t="shared" si="17"/>
        <v>0</v>
      </c>
      <c r="I34" s="42"/>
      <c r="J34" s="37"/>
      <c r="K34" s="36"/>
      <c r="L34" s="38"/>
      <c r="M34" s="21"/>
      <c r="N34" s="36"/>
      <c r="O34" s="38"/>
      <c r="P34" s="39"/>
      <c r="Q34" s="40"/>
      <c r="R34" s="190"/>
      <c r="S34" s="425"/>
      <c r="T34" s="41"/>
      <c r="U34" s="41"/>
      <c r="V34" s="42"/>
      <c r="W34" s="43">
        <f t="shared" si="12"/>
        <v>0</v>
      </c>
      <c r="X34" s="54"/>
      <c r="Y34" s="54"/>
      <c r="Z34" s="418"/>
      <c r="AA34" s="405"/>
      <c r="AB34" s="18"/>
      <c r="AC34" s="57"/>
      <c r="AD34" s="403"/>
    </row>
    <row r="35" spans="1:30" ht="15" customHeight="1">
      <c r="A35" s="422"/>
      <c r="B35" s="231"/>
      <c r="C35" s="27"/>
      <c r="D35" s="28"/>
      <c r="E35" s="29"/>
      <c r="F35" s="13"/>
      <c r="G35" s="53"/>
      <c r="H35" s="50">
        <f t="shared" si="17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90"/>
      <c r="S35" s="425"/>
      <c r="T35" s="41"/>
      <c r="U35" s="41"/>
      <c r="V35" s="42"/>
      <c r="W35" s="43">
        <f t="shared" si="12"/>
        <v>0</v>
      </c>
      <c r="X35" s="54"/>
      <c r="Y35" s="54"/>
      <c r="Z35" s="418"/>
      <c r="AA35" s="405"/>
      <c r="AB35" s="18"/>
      <c r="AC35" s="57"/>
      <c r="AD35" s="403"/>
    </row>
    <row r="36" spans="1:30" ht="15" customHeight="1">
      <c r="A36" s="422"/>
      <c r="B36" s="232"/>
      <c r="C36" s="27"/>
      <c r="D36" s="28"/>
      <c r="E36" s="29"/>
      <c r="F36" s="13"/>
      <c r="G36" s="53"/>
      <c r="H36" s="50">
        <f t="shared" si="17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90"/>
      <c r="S36" s="425"/>
      <c r="T36" s="41"/>
      <c r="U36" s="41"/>
      <c r="V36" s="42"/>
      <c r="W36" s="43">
        <f t="shared" si="12"/>
        <v>0</v>
      </c>
      <c r="X36" s="54"/>
      <c r="Y36" s="54"/>
      <c r="Z36" s="418"/>
      <c r="AA36" s="405"/>
      <c r="AB36" s="18"/>
      <c r="AC36" s="57"/>
      <c r="AD36" s="403"/>
    </row>
    <row r="37" spans="1:30" ht="15" customHeight="1" thickBot="1">
      <c r="A37" s="423"/>
      <c r="B37" s="300"/>
      <c r="C37" s="301" t="s">
        <v>36</v>
      </c>
      <c r="D37" s="428" t="s">
        <v>7</v>
      </c>
      <c r="E37" s="429"/>
      <c r="F37" s="281"/>
      <c r="G37" s="282"/>
      <c r="H37" s="283"/>
      <c r="I37" s="284"/>
      <c r="J37" s="285">
        <f t="shared" ref="J37:O37" si="18">AVERAGE(J27:J36)</f>
        <v>15</v>
      </c>
      <c r="K37" s="285">
        <f t="shared" si="18"/>
        <v>1423.3333333333333</v>
      </c>
      <c r="L37" s="286">
        <f t="shared" si="18"/>
        <v>95.163690476190482</v>
      </c>
      <c r="M37" s="285">
        <f t="shared" si="18"/>
        <v>14</v>
      </c>
      <c r="N37" s="285">
        <f t="shared" si="18"/>
        <v>1054.9369014084507</v>
      </c>
      <c r="O37" s="286">
        <f t="shared" si="18"/>
        <v>77.346135273177524</v>
      </c>
      <c r="P37" s="73">
        <f>M37-J37</f>
        <v>-1</v>
      </c>
      <c r="Q37" s="74">
        <f>N37-K37</f>
        <v>-368.39643192488256</v>
      </c>
      <c r="R37" s="287">
        <f t="shared" ref="R37:R39" si="19">O37/L37</f>
        <v>0.81276939645934787</v>
      </c>
      <c r="S37" s="426"/>
      <c r="T37" s="302"/>
      <c r="U37" s="302"/>
      <c r="V37" s="81"/>
      <c r="W37" s="81"/>
      <c r="X37" s="303"/>
      <c r="Y37" s="303"/>
      <c r="Z37" s="430"/>
      <c r="AA37" s="379"/>
      <c r="AB37" s="34">
        <f t="shared" ref="AB37:AB39" si="20">N37-K37</f>
        <v>-368.39643192488256</v>
      </c>
      <c r="AC37" s="186">
        <f t="shared" ref="AC37:AC39" si="21">N37/K37</f>
        <v>0.7411734670316984</v>
      </c>
      <c r="AD37" s="403"/>
    </row>
    <row r="38" spans="1:30" s="62" customFormat="1" ht="15" customHeight="1">
      <c r="A38" s="454" t="s">
        <v>55</v>
      </c>
      <c r="B38" s="229" t="s">
        <v>134</v>
      </c>
      <c r="C38" s="199"/>
      <c r="D38" s="304" t="s">
        <v>156</v>
      </c>
      <c r="E38" s="280"/>
      <c r="F38" s="305">
        <f>VLOOKUP(D38,廠價表!$C$1:$E$39,3,0)</f>
        <v>56.43</v>
      </c>
      <c r="G38" s="266">
        <v>2561</v>
      </c>
      <c r="H38" s="50">
        <f t="shared" si="17"/>
        <v>144517.23000000001</v>
      </c>
      <c r="I38" s="126"/>
      <c r="J38" s="274">
        <f>VLOOKUP(D38,產線配置圖!$A$2:$C$38,2,0)</f>
        <v>15</v>
      </c>
      <c r="K38" s="236">
        <f>VLOOKUP(D38,產線配置圖!$A$2:$C$38,3,0)</f>
        <v>1406</v>
      </c>
      <c r="L38" s="288">
        <f t="shared" ref="L38:L39" si="22">K38/J38</f>
        <v>93.733333333333334</v>
      </c>
      <c r="M38" s="289">
        <v>13</v>
      </c>
      <c r="N38" s="127">
        <f>G38/W38*60</f>
        <v>1138.2222222222224</v>
      </c>
      <c r="O38" s="128">
        <f>N38/M38</f>
        <v>87.555555555555571</v>
      </c>
      <c r="P38" s="129">
        <f t="shared" ref="P38:P39" si="23">M38-J38</f>
        <v>-2</v>
      </c>
      <c r="Q38" s="130">
        <f t="shared" ref="Q38:Q39" si="24">O38-L38</f>
        <v>-6.1777777777777629</v>
      </c>
      <c r="R38" s="189">
        <f t="shared" si="19"/>
        <v>0.93409198672356586</v>
      </c>
      <c r="S38" s="457">
        <f>R48</f>
        <v>0.93181163543884071</v>
      </c>
      <c r="T38" s="151">
        <v>0.33333333333333331</v>
      </c>
      <c r="U38" s="151">
        <v>0.42708333333333331</v>
      </c>
      <c r="V38" s="148"/>
      <c r="W38" s="152">
        <f t="shared" si="12"/>
        <v>135</v>
      </c>
      <c r="X38" s="150"/>
      <c r="Y38" s="153"/>
      <c r="Z38" s="478"/>
      <c r="AA38" s="460"/>
      <c r="AB38" s="290">
        <f t="shared" si="20"/>
        <v>-267.7777777777776</v>
      </c>
      <c r="AC38" s="154">
        <f t="shared" si="21"/>
        <v>0.80954638849375704</v>
      </c>
      <c r="AD38" s="436">
        <f>AC48</f>
        <v>0.86907028427040234</v>
      </c>
    </row>
    <row r="39" spans="1:30" s="62" customFormat="1" ht="15" customHeight="1">
      <c r="A39" s="455"/>
      <c r="B39" s="56" t="s">
        <v>134</v>
      </c>
      <c r="C39" s="277"/>
      <c r="D39" s="279" t="s">
        <v>154</v>
      </c>
      <c r="E39" s="278"/>
      <c r="F39" s="56">
        <f>VLOOKUP(D39,廠價表!$C$1:$E$39,3,0)</f>
        <v>57.3</v>
      </c>
      <c r="G39" s="276">
        <v>1459</v>
      </c>
      <c r="H39" s="50">
        <f t="shared" si="17"/>
        <v>83600.7</v>
      </c>
      <c r="I39" s="64"/>
      <c r="J39" s="37">
        <f>VLOOKUP(D39,產線配置圖!$A$2:$C$38,2,0)</f>
        <v>15</v>
      </c>
      <c r="K39" s="36">
        <f>VLOOKUP(D39,產線配置圖!$A$2:$C$38,3,0)</f>
        <v>1385</v>
      </c>
      <c r="L39" s="38">
        <f t="shared" si="22"/>
        <v>92.333333333333329</v>
      </c>
      <c r="M39" s="65">
        <v>15</v>
      </c>
      <c r="N39" s="66">
        <f>G39/W39*60</f>
        <v>1287.3529411764707</v>
      </c>
      <c r="O39" s="67">
        <f t="shared" ref="O39" si="25">N39/M39</f>
        <v>85.82352941176471</v>
      </c>
      <c r="P39" s="39">
        <f t="shared" si="23"/>
        <v>0</v>
      </c>
      <c r="Q39" s="40">
        <f t="shared" si="24"/>
        <v>-6.5098039215686185</v>
      </c>
      <c r="R39" s="190">
        <f t="shared" si="19"/>
        <v>0.92949670843066479</v>
      </c>
      <c r="S39" s="458"/>
      <c r="T39" s="59">
        <v>0.43402777777777779</v>
      </c>
      <c r="U39" s="59">
        <v>0.48125000000000001</v>
      </c>
      <c r="V39" s="42">
        <f>(T39-U38)*24*60</f>
        <v>10.000000000000044</v>
      </c>
      <c r="W39" s="69">
        <f t="shared" si="12"/>
        <v>68</v>
      </c>
      <c r="X39" s="22"/>
      <c r="Y39" s="22"/>
      <c r="Z39" s="439"/>
      <c r="AA39" s="440"/>
      <c r="AB39" s="271">
        <f t="shared" si="20"/>
        <v>-97.647058823529278</v>
      </c>
      <c r="AC39" s="61">
        <f t="shared" si="21"/>
        <v>0.92949670843066479</v>
      </c>
      <c r="AD39" s="437"/>
    </row>
    <row r="40" spans="1:30" s="62" customFormat="1" ht="15" customHeight="1">
      <c r="A40" s="455"/>
      <c r="B40" s="56"/>
      <c r="C40" s="275"/>
      <c r="D40" s="279"/>
      <c r="E40" s="243"/>
      <c r="F40" s="56"/>
      <c r="G40" s="276"/>
      <c r="H40" s="63"/>
      <c r="I40" s="64"/>
      <c r="J40" s="37"/>
      <c r="K40" s="36"/>
      <c r="L40" s="38"/>
      <c r="M40" s="65"/>
      <c r="N40" s="66"/>
      <c r="O40" s="67"/>
      <c r="P40" s="39"/>
      <c r="Q40" s="40"/>
      <c r="R40" s="190"/>
      <c r="S40" s="397"/>
      <c r="T40" s="59"/>
      <c r="U40" s="59"/>
      <c r="V40" s="42"/>
      <c r="W40" s="69">
        <f t="shared" si="12"/>
        <v>0</v>
      </c>
      <c r="X40" s="70"/>
      <c r="Y40" s="259"/>
      <c r="Z40" s="439"/>
      <c r="AA40" s="440"/>
      <c r="AB40" s="271"/>
      <c r="AC40" s="61"/>
      <c r="AD40" s="437"/>
    </row>
    <row r="41" spans="1:30" s="62" customFormat="1" ht="15" customHeight="1">
      <c r="A41" s="455"/>
      <c r="B41" s="56"/>
      <c r="C41" s="275"/>
      <c r="D41" s="279"/>
      <c r="E41" s="243"/>
      <c r="F41" s="56"/>
      <c r="G41" s="276"/>
      <c r="H41" s="63"/>
      <c r="I41" s="64"/>
      <c r="J41" s="37"/>
      <c r="K41" s="36"/>
      <c r="L41" s="38"/>
      <c r="M41" s="65"/>
      <c r="N41" s="66"/>
      <c r="O41" s="67"/>
      <c r="P41" s="39"/>
      <c r="Q41" s="40"/>
      <c r="R41" s="190"/>
      <c r="S41" s="397"/>
      <c r="T41" s="59"/>
      <c r="U41" s="59"/>
      <c r="V41" s="42"/>
      <c r="W41" s="69">
        <f t="shared" si="12"/>
        <v>0</v>
      </c>
      <c r="X41" s="70"/>
      <c r="Y41" s="259"/>
      <c r="Z41" s="439"/>
      <c r="AA41" s="440"/>
      <c r="AB41" s="271"/>
      <c r="AC41" s="61"/>
      <c r="AD41" s="437"/>
    </row>
    <row r="42" spans="1:30" s="62" customFormat="1" ht="15" customHeight="1">
      <c r="A42" s="455"/>
      <c r="B42" s="56"/>
      <c r="C42" s="23"/>
      <c r="D42" s="11"/>
      <c r="E42" s="12"/>
      <c r="F42" s="56"/>
      <c r="G42" s="99"/>
      <c r="H42" s="63"/>
      <c r="I42" s="64"/>
      <c r="J42" s="16"/>
      <c r="K42" s="14"/>
      <c r="L42" s="17"/>
      <c r="M42" s="65"/>
      <c r="N42" s="66"/>
      <c r="O42" s="67"/>
      <c r="P42" s="39"/>
      <c r="Q42" s="40"/>
      <c r="R42" s="68"/>
      <c r="S42" s="397"/>
      <c r="T42" s="75"/>
      <c r="U42" s="75"/>
      <c r="V42" s="42"/>
      <c r="W42" s="69">
        <f t="shared" si="12"/>
        <v>0</v>
      </c>
      <c r="X42" s="70"/>
      <c r="Y42" s="60"/>
      <c r="Z42" s="445"/>
      <c r="AA42" s="446"/>
      <c r="AB42" s="271"/>
      <c r="AC42" s="61"/>
      <c r="AD42" s="437"/>
    </row>
    <row r="43" spans="1:30" s="62" customFormat="1" ht="15" customHeight="1">
      <c r="A43" s="455"/>
      <c r="B43" s="230"/>
      <c r="C43" s="23"/>
      <c r="D43" s="11"/>
      <c r="E43" s="12"/>
      <c r="F43" s="13"/>
      <c r="G43" s="100"/>
      <c r="H43" s="63">
        <f t="shared" ref="H43:H47" si="26">F43*G43</f>
        <v>0</v>
      </c>
      <c r="I43" s="64"/>
      <c r="J43" s="65"/>
      <c r="K43" s="66"/>
      <c r="L43" s="67"/>
      <c r="M43" s="65"/>
      <c r="N43" s="66"/>
      <c r="O43" s="67"/>
      <c r="P43" s="39"/>
      <c r="Q43" s="40"/>
      <c r="R43" s="68"/>
      <c r="S43" s="397"/>
      <c r="T43" s="75"/>
      <c r="U43" s="75"/>
      <c r="V43" s="64"/>
      <c r="W43" s="69">
        <f>(U43-T43)*24*60</f>
        <v>0</v>
      </c>
      <c r="X43" s="70"/>
      <c r="Y43" s="67"/>
      <c r="Z43" s="405"/>
      <c r="AA43" s="405"/>
      <c r="AB43" s="71"/>
      <c r="AC43" s="61"/>
      <c r="AD43" s="437"/>
    </row>
    <row r="44" spans="1:30" s="62" customFormat="1" ht="15" customHeight="1">
      <c r="A44" s="455"/>
      <c r="B44" s="230"/>
      <c r="C44" s="183"/>
      <c r="D44" s="11"/>
      <c r="E44" s="12"/>
      <c r="F44" s="13"/>
      <c r="G44" s="100"/>
      <c r="H44" s="63">
        <f t="shared" si="26"/>
        <v>0</v>
      </c>
      <c r="I44" s="64"/>
      <c r="J44" s="65"/>
      <c r="K44" s="66"/>
      <c r="L44" s="58"/>
      <c r="M44" s="65"/>
      <c r="N44" s="66"/>
      <c r="O44" s="67"/>
      <c r="P44" s="39"/>
      <c r="Q44" s="40"/>
      <c r="R44" s="68"/>
      <c r="S44" s="397"/>
      <c r="T44" s="59"/>
      <c r="U44" s="59"/>
      <c r="V44" s="64"/>
      <c r="W44" s="69">
        <f t="shared" ref="W44:W48" si="27">(U44-T44)*24*60</f>
        <v>0</v>
      </c>
      <c r="X44" s="70"/>
      <c r="Y44" s="67"/>
      <c r="Z44" s="405"/>
      <c r="AA44" s="405"/>
      <c r="AB44" s="71"/>
      <c r="AC44" s="61"/>
      <c r="AD44" s="437"/>
    </row>
    <row r="45" spans="1:30" s="62" customFormat="1" ht="15" customHeight="1">
      <c r="A45" s="455"/>
      <c r="B45" s="231"/>
      <c r="C45" s="27"/>
      <c r="D45" s="28"/>
      <c r="E45" s="29"/>
      <c r="F45" s="13"/>
      <c r="G45" s="66"/>
      <c r="H45" s="63">
        <f t="shared" si="26"/>
        <v>0</v>
      </c>
      <c r="I45" s="64"/>
      <c r="J45" s="65"/>
      <c r="K45" s="66"/>
      <c r="L45" s="67"/>
      <c r="M45" s="65"/>
      <c r="N45" s="66"/>
      <c r="O45" s="67"/>
      <c r="P45" s="39"/>
      <c r="Q45" s="40"/>
      <c r="R45" s="68"/>
      <c r="S45" s="397"/>
      <c r="T45" s="75"/>
      <c r="U45" s="75"/>
      <c r="V45" s="64"/>
      <c r="W45" s="69">
        <f t="shared" si="27"/>
        <v>0</v>
      </c>
      <c r="X45" s="70"/>
      <c r="Y45" s="67"/>
      <c r="Z45" s="405"/>
      <c r="AA45" s="405"/>
      <c r="AB45" s="71"/>
      <c r="AC45" s="61"/>
      <c r="AD45" s="437"/>
    </row>
    <row r="46" spans="1:30" s="62" customFormat="1" ht="15" customHeight="1">
      <c r="A46" s="455"/>
      <c r="B46" s="231"/>
      <c r="C46" s="27"/>
      <c r="D46" s="28"/>
      <c r="E46" s="29"/>
      <c r="F46" s="13"/>
      <c r="G46" s="66"/>
      <c r="H46" s="63">
        <f t="shared" si="26"/>
        <v>0</v>
      </c>
      <c r="I46" s="64"/>
      <c r="J46" s="65"/>
      <c r="K46" s="66"/>
      <c r="L46" s="67"/>
      <c r="M46" s="65"/>
      <c r="N46" s="66"/>
      <c r="O46" s="67"/>
      <c r="P46" s="39"/>
      <c r="Q46" s="40"/>
      <c r="R46" s="68"/>
      <c r="S46" s="397"/>
      <c r="T46" s="59"/>
      <c r="U46" s="59"/>
      <c r="V46" s="64"/>
      <c r="W46" s="69">
        <f t="shared" si="27"/>
        <v>0</v>
      </c>
      <c r="X46" s="70"/>
      <c r="Y46" s="67"/>
      <c r="Z46" s="405"/>
      <c r="AA46" s="405"/>
      <c r="AB46" s="71"/>
      <c r="AC46" s="61"/>
      <c r="AD46" s="437"/>
    </row>
    <row r="47" spans="1:30" s="62" customFormat="1" ht="15" customHeight="1">
      <c r="A47" s="455"/>
      <c r="B47" s="230"/>
      <c r="C47" s="27"/>
      <c r="D47" s="28"/>
      <c r="E47" s="29"/>
      <c r="F47" s="13"/>
      <c r="G47" s="66"/>
      <c r="H47" s="63">
        <f t="shared" si="26"/>
        <v>0</v>
      </c>
      <c r="I47" s="64"/>
      <c r="J47" s="65"/>
      <c r="K47" s="66"/>
      <c r="L47" s="67"/>
      <c r="M47" s="65"/>
      <c r="N47" s="66"/>
      <c r="O47" s="67"/>
      <c r="P47" s="39"/>
      <c r="Q47" s="40"/>
      <c r="R47" s="68"/>
      <c r="S47" s="397"/>
      <c r="T47" s="75"/>
      <c r="U47" s="75"/>
      <c r="V47" s="64"/>
      <c r="W47" s="69">
        <f t="shared" si="27"/>
        <v>0</v>
      </c>
      <c r="X47" s="70"/>
      <c r="Y47" s="67"/>
      <c r="Z47" s="405"/>
      <c r="AA47" s="405"/>
      <c r="AB47" s="71"/>
      <c r="AC47" s="61"/>
      <c r="AD47" s="437"/>
    </row>
    <row r="48" spans="1:30" ht="15" customHeight="1" thickBot="1">
      <c r="A48" s="456"/>
      <c r="B48" s="156"/>
      <c r="C48" s="1" t="s">
        <v>37</v>
      </c>
      <c r="D48" s="410" t="s">
        <v>7</v>
      </c>
      <c r="E48" s="410"/>
      <c r="F48" s="133"/>
      <c r="G48" s="145"/>
      <c r="H48" s="135"/>
      <c r="I48" s="136"/>
      <c r="J48" s="134">
        <f t="shared" ref="J48:O48" si="28">AVERAGE(J38:J47)</f>
        <v>15</v>
      </c>
      <c r="K48" s="134">
        <f t="shared" si="28"/>
        <v>1395.5</v>
      </c>
      <c r="L48" s="137">
        <f t="shared" si="28"/>
        <v>93.033333333333331</v>
      </c>
      <c r="M48" s="134">
        <f t="shared" si="28"/>
        <v>14</v>
      </c>
      <c r="N48" s="134">
        <f t="shared" si="28"/>
        <v>1212.7875816993464</v>
      </c>
      <c r="O48" s="137">
        <f t="shared" si="28"/>
        <v>86.689542483660148</v>
      </c>
      <c r="P48" s="157">
        <f>M48-J48</f>
        <v>-1</v>
      </c>
      <c r="Q48" s="158">
        <f>N48-K48</f>
        <v>-182.71241830065355</v>
      </c>
      <c r="R48" s="159">
        <f>O48/L48</f>
        <v>0.93181163543884071</v>
      </c>
      <c r="S48" s="399"/>
      <c r="T48" s="160"/>
      <c r="U48" s="160"/>
      <c r="V48" s="196"/>
      <c r="W48" s="161">
        <f t="shared" si="27"/>
        <v>0</v>
      </c>
      <c r="X48" s="162"/>
      <c r="Y48" s="162"/>
      <c r="Z48" s="391"/>
      <c r="AA48" s="391"/>
      <c r="AB48" s="163">
        <f>N48-K48</f>
        <v>-182.71241830065355</v>
      </c>
      <c r="AC48" s="191">
        <f>N48/K48</f>
        <v>0.86907028427040234</v>
      </c>
      <c r="AD48" s="438"/>
    </row>
    <row r="49" spans="1:30" ht="15" customHeight="1">
      <c r="A49" s="451" t="s">
        <v>56</v>
      </c>
      <c r="B49" s="199" t="str">
        <f>VLOOKUP(D49,廠價表!$C$1:$E$39,2,0)</f>
        <v>義大利麵</v>
      </c>
      <c r="C49" s="102"/>
      <c r="D49" s="103" t="s">
        <v>152</v>
      </c>
      <c r="E49" s="104"/>
      <c r="F49" s="199">
        <f>VLOOKUP(D49,廠價表!$C$1:$E$39,3,0)</f>
        <v>56.87</v>
      </c>
      <c r="G49" s="149">
        <v>2236</v>
      </c>
      <c r="H49" s="125">
        <f t="shared" ref="H49:H57" si="29">F49*G49</f>
        <v>127161.31999999999</v>
      </c>
      <c r="I49" s="126"/>
      <c r="J49" s="108">
        <v>16</v>
      </c>
      <c r="K49" s="105">
        <v>1440</v>
      </c>
      <c r="L49" s="109">
        <f>K49/J49</f>
        <v>90</v>
      </c>
      <c r="M49" s="144">
        <v>16</v>
      </c>
      <c r="N49" s="127">
        <f>G49/W49*60</f>
        <v>1302.5242718446607</v>
      </c>
      <c r="O49" s="128">
        <f>N49/M49</f>
        <v>81.407766990291293</v>
      </c>
      <c r="P49" s="164">
        <f>M49-J49</f>
        <v>0</v>
      </c>
      <c r="Q49" s="112">
        <f>O49-L49</f>
        <v>-8.592233009708707</v>
      </c>
      <c r="R49" s="184">
        <f>O49/L49</f>
        <v>0.90453074433656988</v>
      </c>
      <c r="S49" s="396">
        <f>R58</f>
        <v>0.96346007198489403</v>
      </c>
      <c r="T49" s="151">
        <v>0.29166666666666669</v>
      </c>
      <c r="U49" s="151">
        <v>0.36319444444444443</v>
      </c>
      <c r="V49" s="188"/>
      <c r="W49" s="152">
        <f t="shared" si="12"/>
        <v>102.99999999999996</v>
      </c>
      <c r="X49" s="188"/>
      <c r="Y49" s="188"/>
      <c r="Z49" s="400"/>
      <c r="AA49" s="400"/>
      <c r="AB49" s="111">
        <f>N49-K49</f>
        <v>-137.47572815533931</v>
      </c>
      <c r="AC49" s="184">
        <f>N49/K49</f>
        <v>0.90453074433656988</v>
      </c>
      <c r="AD49" s="401">
        <f>AC58</f>
        <v>0.90877384169749054</v>
      </c>
    </row>
    <row r="50" spans="1:30" ht="15" customHeight="1">
      <c r="A50" s="452"/>
      <c r="B50" s="56" t="str">
        <f>VLOOKUP(D50,廠價表!$C$1:$E$39,2,0)</f>
        <v>義大利麵</v>
      </c>
      <c r="C50" s="10"/>
      <c r="D50" s="11" t="s">
        <v>65</v>
      </c>
      <c r="E50" s="86"/>
      <c r="F50" s="56">
        <f>VLOOKUP(D50,廠價表!$C$1:$E$39,3,0)</f>
        <v>49.97</v>
      </c>
      <c r="G50" s="66">
        <v>3649</v>
      </c>
      <c r="H50" s="76">
        <f t="shared" si="29"/>
        <v>182340.53</v>
      </c>
      <c r="I50" s="193"/>
      <c r="J50" s="16">
        <f>VLOOKUP(D50,產線配置圖!$A$2:$C$38,2,0)</f>
        <v>18</v>
      </c>
      <c r="K50" s="14">
        <f>VLOOKUP(D50,產線配置圖!$A$2:$C$38,3,0)</f>
        <v>1600</v>
      </c>
      <c r="L50" s="17">
        <f>K50/J50</f>
        <v>88.888888888888886</v>
      </c>
      <c r="M50" s="174">
        <v>17</v>
      </c>
      <c r="N50" s="77">
        <f>G50/W50*60</f>
        <v>1509.9310344827591</v>
      </c>
      <c r="O50" s="78">
        <f>N50/M50</f>
        <v>88.819472616632879</v>
      </c>
      <c r="P50" s="18">
        <f>M50-J50</f>
        <v>-1</v>
      </c>
      <c r="Q50" s="19">
        <f>O50-L50</f>
        <v>-6.941627225600655E-2</v>
      </c>
      <c r="R50" s="185">
        <f>O50/L50</f>
        <v>0.99921906693711993</v>
      </c>
      <c r="S50" s="397"/>
      <c r="T50" s="79">
        <v>0.36805555555555558</v>
      </c>
      <c r="U50" s="79">
        <v>0.46875</v>
      </c>
      <c r="V50" s="177">
        <f t="shared" ref="V50:V51" si="30">(T50-U49)*24*60</f>
        <v>7.0000000000000551</v>
      </c>
      <c r="W50" s="80">
        <f t="shared" si="12"/>
        <v>144.99999999999997</v>
      </c>
      <c r="X50" s="22"/>
      <c r="Y50" s="22"/>
      <c r="Z50" s="419"/>
      <c r="AA50" s="418"/>
      <c r="AB50" s="18">
        <f>N50-K50</f>
        <v>-90.06896551724094</v>
      </c>
      <c r="AC50" s="185">
        <f>N50/K50</f>
        <v>0.94370689655172446</v>
      </c>
      <c r="AD50" s="402"/>
    </row>
    <row r="51" spans="1:30" ht="15" customHeight="1">
      <c r="A51" s="452"/>
      <c r="B51" s="56" t="str">
        <f>VLOOKUP(D51,廠價表!$C$1:$E$39,2,0)</f>
        <v>義大利麵</v>
      </c>
      <c r="C51" s="10"/>
      <c r="D51" s="11" t="s">
        <v>65</v>
      </c>
      <c r="E51" s="86"/>
      <c r="F51" s="56">
        <f>VLOOKUP(D51,廠價表!$C$1:$E$39,3,0)</f>
        <v>49.97</v>
      </c>
      <c r="G51" s="66">
        <v>1100</v>
      </c>
      <c r="H51" s="76">
        <f t="shared" si="29"/>
        <v>54967</v>
      </c>
      <c r="I51" s="193"/>
      <c r="J51" s="16">
        <f>VLOOKUP(D51,產線配置圖!$A$2:$C$38,2,0)</f>
        <v>18</v>
      </c>
      <c r="K51" s="14">
        <f>VLOOKUP(D51,產線配置圖!$A$2:$C$38,3,0)</f>
        <v>1600</v>
      </c>
      <c r="L51" s="17">
        <f>K51/J51</f>
        <v>88.888888888888886</v>
      </c>
      <c r="M51" s="174">
        <v>16</v>
      </c>
      <c r="N51" s="77">
        <f>G51/W51*60</f>
        <v>1404.2553191489365</v>
      </c>
      <c r="O51" s="78">
        <f>N51/M51</f>
        <v>87.765957446808528</v>
      </c>
      <c r="P51" s="18">
        <f>M51-J51</f>
        <v>-2</v>
      </c>
      <c r="Q51" s="19">
        <f>O51-L51</f>
        <v>-1.1229314420803576</v>
      </c>
      <c r="R51" s="185">
        <f>O51/L51</f>
        <v>0.98736702127659592</v>
      </c>
      <c r="S51" s="397"/>
      <c r="T51" s="79">
        <v>0.53472222222222221</v>
      </c>
      <c r="U51" s="44">
        <v>0.56736111111111109</v>
      </c>
      <c r="V51" s="177">
        <f t="shared" si="30"/>
        <v>94.999999999999986</v>
      </c>
      <c r="W51" s="80">
        <f t="shared" si="12"/>
        <v>46.999999999999993</v>
      </c>
      <c r="X51" s="22">
        <v>0.47916666666666669</v>
      </c>
      <c r="Y51" s="22">
        <v>0.52083333333333337</v>
      </c>
      <c r="Z51" s="405"/>
      <c r="AA51" s="405"/>
      <c r="AB51" s="18">
        <f>N51-K51</f>
        <v>-195.74468085106355</v>
      </c>
      <c r="AC51" s="185">
        <f>N51/K51</f>
        <v>0.87765957446808529</v>
      </c>
      <c r="AD51" s="402"/>
    </row>
    <row r="52" spans="1:30" ht="15" customHeight="1">
      <c r="A52" s="452"/>
      <c r="B52" s="56"/>
      <c r="C52" s="23"/>
      <c r="D52" s="11"/>
      <c r="E52" s="12"/>
      <c r="F52" s="56"/>
      <c r="G52" s="66"/>
      <c r="H52" s="76"/>
      <c r="I52" s="193"/>
      <c r="J52" s="16"/>
      <c r="K52" s="14"/>
      <c r="L52" s="17"/>
      <c r="M52" s="174"/>
      <c r="N52" s="77"/>
      <c r="O52" s="78"/>
      <c r="P52" s="18"/>
      <c r="Q52" s="19"/>
      <c r="R52" s="185"/>
      <c r="S52" s="397"/>
      <c r="T52" s="79"/>
      <c r="U52" s="79"/>
      <c r="V52" s="177"/>
      <c r="W52" s="80">
        <f t="shared" si="12"/>
        <v>0</v>
      </c>
      <c r="X52" s="22"/>
      <c r="Y52" s="22"/>
      <c r="Z52" s="405"/>
      <c r="AA52" s="405"/>
      <c r="AB52" s="18"/>
      <c r="AC52" s="185"/>
      <c r="AD52" s="402"/>
    </row>
    <row r="53" spans="1:30" ht="15" customHeight="1">
      <c r="A53" s="452"/>
      <c r="B53" s="56"/>
      <c r="C53" s="23"/>
      <c r="D53" s="11"/>
      <c r="E53" s="12"/>
      <c r="F53" s="56"/>
      <c r="G53" s="66"/>
      <c r="H53" s="76"/>
      <c r="I53" s="193"/>
      <c r="J53" s="16"/>
      <c r="K53" s="14"/>
      <c r="L53" s="17"/>
      <c r="M53" s="174"/>
      <c r="N53" s="77"/>
      <c r="O53" s="78"/>
      <c r="P53" s="18"/>
      <c r="Q53" s="19"/>
      <c r="R53" s="185"/>
      <c r="S53" s="397"/>
      <c r="T53" s="79"/>
      <c r="U53" s="79"/>
      <c r="V53" s="177"/>
      <c r="W53" s="80">
        <f t="shared" si="12"/>
        <v>0</v>
      </c>
      <c r="X53" s="177"/>
      <c r="Y53" s="177"/>
      <c r="Z53" s="419"/>
      <c r="AA53" s="418"/>
      <c r="AB53" s="18"/>
      <c r="AC53" s="185"/>
      <c r="AD53" s="402"/>
    </row>
    <row r="54" spans="1:30" ht="15" customHeight="1">
      <c r="A54" s="452"/>
      <c r="B54" s="177"/>
      <c r="C54" s="183"/>
      <c r="D54" s="11"/>
      <c r="E54" s="12"/>
      <c r="F54" s="13"/>
      <c r="G54" s="66"/>
      <c r="H54" s="76">
        <f t="shared" si="29"/>
        <v>0</v>
      </c>
      <c r="I54" s="177"/>
      <c r="J54" s="31"/>
      <c r="K54" s="30"/>
      <c r="L54" s="38"/>
      <c r="M54" s="181"/>
      <c r="N54" s="30"/>
      <c r="O54" s="35"/>
      <c r="P54" s="18"/>
      <c r="Q54" s="19"/>
      <c r="R54" s="185"/>
      <c r="S54" s="397"/>
      <c r="T54" s="79"/>
      <c r="U54" s="79"/>
      <c r="V54" s="197"/>
      <c r="W54" s="80">
        <f t="shared" si="12"/>
        <v>0</v>
      </c>
      <c r="X54" s="177"/>
      <c r="Y54" s="177"/>
      <c r="Z54" s="419"/>
      <c r="AA54" s="418"/>
      <c r="AB54" s="18"/>
      <c r="AC54" s="185"/>
      <c r="AD54" s="402"/>
    </row>
    <row r="55" spans="1:30" ht="15" customHeight="1">
      <c r="A55" s="452"/>
      <c r="B55" s="26"/>
      <c r="C55" s="27"/>
      <c r="D55" s="28"/>
      <c r="E55" s="29"/>
      <c r="F55" s="13"/>
      <c r="G55" s="66"/>
      <c r="H55" s="15">
        <f t="shared" si="29"/>
        <v>0</v>
      </c>
      <c r="I55" s="177"/>
      <c r="J55" s="31"/>
      <c r="K55" s="30"/>
      <c r="L55" s="38"/>
      <c r="M55" s="181"/>
      <c r="N55" s="30"/>
      <c r="O55" s="35"/>
      <c r="P55" s="18"/>
      <c r="Q55" s="19"/>
      <c r="R55" s="185"/>
      <c r="S55" s="397"/>
      <c r="T55" s="79"/>
      <c r="U55" s="79"/>
      <c r="V55" s="197"/>
      <c r="W55" s="80">
        <f t="shared" si="12"/>
        <v>0</v>
      </c>
      <c r="X55" s="177"/>
      <c r="Y55" s="177"/>
      <c r="Z55" s="419"/>
      <c r="AA55" s="418"/>
      <c r="AB55" s="18"/>
      <c r="AC55" s="185"/>
      <c r="AD55" s="402"/>
    </row>
    <row r="56" spans="1:30" ht="15" customHeight="1">
      <c r="A56" s="452"/>
      <c r="B56" s="26"/>
      <c r="C56" s="27"/>
      <c r="D56" s="28"/>
      <c r="E56" s="29"/>
      <c r="F56" s="13"/>
      <c r="G56" s="66"/>
      <c r="H56" s="15">
        <f t="shared" si="29"/>
        <v>0</v>
      </c>
      <c r="I56" s="177"/>
      <c r="J56" s="31"/>
      <c r="K56" s="30"/>
      <c r="L56" s="38"/>
      <c r="M56" s="181"/>
      <c r="N56" s="30"/>
      <c r="O56" s="35"/>
      <c r="P56" s="18"/>
      <c r="Q56" s="19"/>
      <c r="R56" s="185"/>
      <c r="S56" s="397"/>
      <c r="T56" s="79"/>
      <c r="U56" s="79"/>
      <c r="V56" s="197"/>
      <c r="W56" s="80">
        <f t="shared" si="12"/>
        <v>0</v>
      </c>
      <c r="X56" s="177"/>
      <c r="Y56" s="177"/>
      <c r="Z56" s="405"/>
      <c r="AA56" s="405"/>
      <c r="AB56" s="18"/>
      <c r="AC56" s="185"/>
      <c r="AD56" s="402"/>
    </row>
    <row r="57" spans="1:30" ht="15" customHeight="1">
      <c r="A57" s="452"/>
      <c r="B57" s="26"/>
      <c r="C57" s="27"/>
      <c r="D57" s="28"/>
      <c r="E57" s="29"/>
      <c r="F57" s="13"/>
      <c r="G57" s="66"/>
      <c r="H57" s="15">
        <f t="shared" si="29"/>
        <v>0</v>
      </c>
      <c r="I57" s="177"/>
      <c r="J57" s="31"/>
      <c r="K57" s="30"/>
      <c r="L57" s="38"/>
      <c r="M57" s="181"/>
      <c r="N57" s="30"/>
      <c r="O57" s="35"/>
      <c r="P57" s="18"/>
      <c r="Q57" s="19"/>
      <c r="R57" s="185"/>
      <c r="S57" s="397"/>
      <c r="T57" s="79"/>
      <c r="U57" s="79"/>
      <c r="V57" s="197"/>
      <c r="W57" s="80">
        <f t="shared" si="12"/>
        <v>0</v>
      </c>
      <c r="X57" s="177"/>
      <c r="Y57" s="177"/>
      <c r="Z57" s="405"/>
      <c r="AA57" s="405"/>
      <c r="AB57" s="18"/>
      <c r="AC57" s="185"/>
      <c r="AD57" s="402"/>
    </row>
    <row r="58" spans="1:30" ht="15" customHeight="1" thickBot="1">
      <c r="A58" s="453"/>
      <c r="B58" s="165"/>
      <c r="C58" s="1" t="s">
        <v>38</v>
      </c>
      <c r="D58" s="410" t="s">
        <v>7</v>
      </c>
      <c r="E58" s="410"/>
      <c r="F58" s="114"/>
      <c r="G58" s="166"/>
      <c r="H58" s="116"/>
      <c r="I58" s="115"/>
      <c r="J58" s="118">
        <f t="shared" ref="J58:O58" si="31">AVERAGE(J49:J57)</f>
        <v>17.333333333333332</v>
      </c>
      <c r="K58" s="118">
        <f t="shared" si="31"/>
        <v>1546.6666666666667</v>
      </c>
      <c r="L58" s="115">
        <f t="shared" si="31"/>
        <v>89.259259259259252</v>
      </c>
      <c r="M58" s="118">
        <f t="shared" si="31"/>
        <v>16.333333333333332</v>
      </c>
      <c r="N58" s="118">
        <f t="shared" si="31"/>
        <v>1405.5702084921188</v>
      </c>
      <c r="O58" s="115">
        <f t="shared" si="31"/>
        <v>85.997732351244238</v>
      </c>
      <c r="P58" s="119">
        <f>M58-J58</f>
        <v>-1</v>
      </c>
      <c r="Q58" s="120">
        <f>N58-K58</f>
        <v>-141.09645817454793</v>
      </c>
      <c r="R58" s="121">
        <f t="shared" ref="R58:R60" si="32">O58/L58</f>
        <v>0.96346007198489403</v>
      </c>
      <c r="S58" s="399"/>
      <c r="T58" s="167"/>
      <c r="U58" s="167"/>
      <c r="V58" s="195"/>
      <c r="W58" s="168"/>
      <c r="X58" s="124"/>
      <c r="Y58" s="124"/>
      <c r="Z58" s="391"/>
      <c r="AA58" s="391"/>
      <c r="AB58" s="119">
        <f t="shared" ref="AB58:AB62" si="33">N58-K58</f>
        <v>-141.09645817454793</v>
      </c>
      <c r="AC58" s="187">
        <f t="shared" ref="AC58:AC62" si="34">N58/K58</f>
        <v>0.90877384169749054</v>
      </c>
      <c r="AD58" s="404"/>
    </row>
    <row r="59" spans="1:30" ht="15" customHeight="1">
      <c r="A59" s="466" t="s">
        <v>57</v>
      </c>
      <c r="B59" s="199" t="str">
        <f>VLOOKUP(D59,廠價表!$C$1:$E$39,2,0)</f>
        <v>小吃、微波</v>
      </c>
      <c r="C59" s="102"/>
      <c r="D59" s="103" t="s">
        <v>125</v>
      </c>
      <c r="E59" s="104"/>
      <c r="F59" s="199">
        <f>VLOOKUP(D59,廠價表!$C$1:$E$39,3,0)</f>
        <v>26.99</v>
      </c>
      <c r="G59" s="188">
        <v>3341</v>
      </c>
      <c r="H59" s="106">
        <f t="shared" ref="H59:H68" si="35">F59*G59</f>
        <v>90173.59</v>
      </c>
      <c r="I59" s="188"/>
      <c r="J59" s="108">
        <f>VLOOKUP(D59,產線配置圖!$A$2:$C$38,2,0)</f>
        <v>13</v>
      </c>
      <c r="K59" s="105">
        <f>VLOOKUP(D59,產線配置圖!$A$2:$C$38,3,0)</f>
        <v>1565</v>
      </c>
      <c r="L59" s="109">
        <f>K59/J59</f>
        <v>120.38461538461539</v>
      </c>
      <c r="M59" s="110">
        <v>13</v>
      </c>
      <c r="N59" s="105">
        <f t="shared" ref="N59:N61" si="36">G59/W59*60</f>
        <v>1553.9534883720937</v>
      </c>
      <c r="O59" s="109">
        <f t="shared" ref="O59:O61" si="37">N59/M59</f>
        <v>119.53488372093028</v>
      </c>
      <c r="P59" s="111">
        <f t="shared" ref="P59:P61" si="38">M59-J59</f>
        <v>0</v>
      </c>
      <c r="Q59" s="112">
        <f t="shared" ref="Q59:Q61" si="39">O59-L59</f>
        <v>-0.84973166368510533</v>
      </c>
      <c r="R59" s="184">
        <f t="shared" si="32"/>
        <v>0.99294152611635378</v>
      </c>
      <c r="S59" s="396">
        <f>R69</f>
        <v>0.92997517535979335</v>
      </c>
      <c r="T59" s="169">
        <v>0.29166666666666669</v>
      </c>
      <c r="U59" s="169">
        <v>0.38124999999999998</v>
      </c>
      <c r="V59" s="188"/>
      <c r="W59" s="107">
        <f t="shared" si="12"/>
        <v>128.99999999999994</v>
      </c>
      <c r="X59" s="188"/>
      <c r="Y59" s="188"/>
      <c r="Z59" s="405"/>
      <c r="AA59" s="405"/>
      <c r="AB59" s="225">
        <f t="shared" si="33"/>
        <v>-11.046511627906284</v>
      </c>
      <c r="AC59" s="226">
        <f t="shared" si="34"/>
        <v>0.99294152611635378</v>
      </c>
      <c r="AD59" s="401">
        <f>AC69</f>
        <v>0.93158969717406415</v>
      </c>
    </row>
    <row r="60" spans="1:30" ht="15" customHeight="1">
      <c r="A60" s="467"/>
      <c r="B60" s="56" t="str">
        <f>VLOOKUP(D60,廠價表!$C$1:$E$39,2,0)</f>
        <v>小吃、微波</v>
      </c>
      <c r="C60" s="10"/>
      <c r="D60" s="11" t="s">
        <v>146</v>
      </c>
      <c r="E60" s="86"/>
      <c r="F60" s="56">
        <f>VLOOKUP(D60,廠價表!$C$1:$E$39,3,0)</f>
        <v>28.47</v>
      </c>
      <c r="G60" s="177">
        <v>764</v>
      </c>
      <c r="H60" s="15">
        <f t="shared" si="35"/>
        <v>21751.079999999998</v>
      </c>
      <c r="I60" s="177"/>
      <c r="J60" s="16">
        <f>VLOOKUP(D60,產線配置圖!$A$2:$C$38,2,0)</f>
        <v>12</v>
      </c>
      <c r="K60" s="14">
        <f>VLOOKUP(D60,產線配置圖!$A$2:$C$38,3,0)</f>
        <v>1565</v>
      </c>
      <c r="L60" s="17">
        <f>K60/J60</f>
        <v>130.41666666666666</v>
      </c>
      <c r="M60" s="180">
        <v>12</v>
      </c>
      <c r="N60" s="14">
        <f t="shared" si="36"/>
        <v>1389.0909090909072</v>
      </c>
      <c r="O60" s="17">
        <f t="shared" si="37"/>
        <v>115.75757575757559</v>
      </c>
      <c r="P60" s="18">
        <f t="shared" si="38"/>
        <v>0</v>
      </c>
      <c r="Q60" s="19">
        <f t="shared" si="39"/>
        <v>-14.659090909091063</v>
      </c>
      <c r="R60" s="185">
        <f t="shared" si="32"/>
        <v>0.88759802497821549</v>
      </c>
      <c r="S60" s="470"/>
      <c r="T60" s="198">
        <v>0.39374999999999999</v>
      </c>
      <c r="U60" s="198">
        <v>0.41666666666666669</v>
      </c>
      <c r="V60" s="177">
        <f t="shared" ref="V60:V61" si="40">(T60-U59)*24*60</f>
        <v>18.000000000000014</v>
      </c>
      <c r="W60" s="90">
        <f t="shared" si="12"/>
        <v>33.000000000000043</v>
      </c>
      <c r="X60" s="193"/>
      <c r="Y60" s="193"/>
      <c r="Z60" s="405"/>
      <c r="AA60" s="405"/>
      <c r="AB60" s="227">
        <f t="shared" si="33"/>
        <v>-175.90909090909281</v>
      </c>
      <c r="AC60" s="228">
        <f t="shared" si="34"/>
        <v>0.88759802497821549</v>
      </c>
      <c r="AD60" s="473"/>
    </row>
    <row r="61" spans="1:30" ht="15" customHeight="1">
      <c r="A61" s="468"/>
      <c r="B61" s="56" t="str">
        <f>VLOOKUP(D61,廠價表!$C$1:$E$39,2,0)</f>
        <v>小吃、微波</v>
      </c>
      <c r="C61" s="10"/>
      <c r="D61" s="242" t="s">
        <v>135</v>
      </c>
      <c r="E61" s="86"/>
      <c r="F61" s="56">
        <f>VLOOKUP(D61,廠價表!$C$1:$E$39,3,0)</f>
        <v>28.26</v>
      </c>
      <c r="G61" s="177">
        <v>2170</v>
      </c>
      <c r="H61" s="15">
        <f t="shared" si="35"/>
        <v>61324.200000000004</v>
      </c>
      <c r="I61" s="81"/>
      <c r="J61" s="16">
        <f>VLOOKUP(D61,產線配置圖!$A$2:$C$38,2,0)</f>
        <v>12</v>
      </c>
      <c r="K61" s="14">
        <f>VLOOKUP(D61,產線配置圖!$A$2:$C$38,3,0)</f>
        <v>1565</v>
      </c>
      <c r="L61" s="17">
        <f t="shared" ref="L61" si="41">K61/J61</f>
        <v>130.41666666666666</v>
      </c>
      <c r="M61" s="180">
        <v>12</v>
      </c>
      <c r="N61" s="14">
        <f t="shared" si="36"/>
        <v>1430.7692307692307</v>
      </c>
      <c r="O61" s="17">
        <f t="shared" si="37"/>
        <v>119.23076923076923</v>
      </c>
      <c r="P61" s="18">
        <f t="shared" si="38"/>
        <v>0</v>
      </c>
      <c r="Q61" s="19">
        <f t="shared" si="39"/>
        <v>-11.185897435897431</v>
      </c>
      <c r="R61" s="185">
        <f>O61/L61</f>
        <v>0.9142295404276235</v>
      </c>
      <c r="S61" s="397"/>
      <c r="T61" s="20">
        <v>0.42708333333333331</v>
      </c>
      <c r="U61" s="20">
        <v>0.49027777777777776</v>
      </c>
      <c r="V61" s="177">
        <f t="shared" si="40"/>
        <v>14.999999999999947</v>
      </c>
      <c r="W61" s="88">
        <f t="shared" si="12"/>
        <v>91</v>
      </c>
      <c r="X61" s="22"/>
      <c r="Y61" s="22"/>
      <c r="Z61" s="405"/>
      <c r="AA61" s="405"/>
      <c r="AB61" s="51">
        <f t="shared" si="33"/>
        <v>-134.23076923076928</v>
      </c>
      <c r="AC61" s="52">
        <f t="shared" si="34"/>
        <v>0.9142295404276235</v>
      </c>
      <c r="AD61" s="402"/>
    </row>
    <row r="62" spans="1:30" ht="15" customHeight="1">
      <c r="A62" s="468"/>
      <c r="B62" s="56"/>
      <c r="C62" s="23"/>
      <c r="D62" s="242"/>
      <c r="E62" s="12"/>
      <c r="F62" s="56"/>
      <c r="G62" s="177"/>
      <c r="H62" s="15"/>
      <c r="I62" s="81"/>
      <c r="J62" s="16"/>
      <c r="K62" s="14"/>
      <c r="L62" s="17"/>
      <c r="M62" s="180"/>
      <c r="N62" s="14"/>
      <c r="O62" s="17"/>
      <c r="P62" s="18"/>
      <c r="Q62" s="19"/>
      <c r="R62" s="185"/>
      <c r="S62" s="397"/>
      <c r="T62" s="20"/>
      <c r="U62" s="20"/>
      <c r="V62" s="177"/>
      <c r="W62" s="90">
        <f t="shared" si="12"/>
        <v>0</v>
      </c>
      <c r="X62" s="22"/>
      <c r="Y62" s="22"/>
      <c r="Z62" s="405"/>
      <c r="AA62" s="405"/>
      <c r="AB62" s="51">
        <f t="shared" si="33"/>
        <v>0</v>
      </c>
      <c r="AC62" s="52" t="e">
        <f t="shared" si="34"/>
        <v>#DIV/0!</v>
      </c>
      <c r="AD62" s="402"/>
    </row>
    <row r="63" spans="1:30" ht="15" customHeight="1">
      <c r="A63" s="468"/>
      <c r="B63" s="56"/>
      <c r="C63" s="10"/>
      <c r="D63" s="242"/>
      <c r="E63" s="86"/>
      <c r="F63" s="56"/>
      <c r="G63" s="177"/>
      <c r="H63" s="15"/>
      <c r="I63" s="81"/>
      <c r="J63" s="16"/>
      <c r="K63" s="14"/>
      <c r="L63" s="17"/>
      <c r="M63" s="180"/>
      <c r="N63" s="14"/>
      <c r="O63" s="17"/>
      <c r="P63" s="18"/>
      <c r="Q63" s="19"/>
      <c r="R63" s="185"/>
      <c r="S63" s="397"/>
      <c r="T63" s="20"/>
      <c r="U63" s="20"/>
      <c r="V63" s="177"/>
      <c r="W63" s="90">
        <f t="shared" si="12"/>
        <v>0</v>
      </c>
      <c r="X63" s="84"/>
      <c r="Y63" s="84"/>
      <c r="Z63" s="405"/>
      <c r="AA63" s="405"/>
      <c r="AB63" s="51"/>
      <c r="AC63" s="52"/>
      <c r="AD63" s="402"/>
    </row>
    <row r="64" spans="1:30" ht="15" customHeight="1">
      <c r="A64" s="468"/>
      <c r="B64" s="56"/>
      <c r="C64" s="10"/>
      <c r="D64" s="242"/>
      <c r="E64" s="86"/>
      <c r="F64" s="56"/>
      <c r="G64" s="177"/>
      <c r="H64" s="15"/>
      <c r="I64" s="81"/>
      <c r="J64" s="16"/>
      <c r="K64" s="14"/>
      <c r="L64" s="17"/>
      <c r="M64" s="180"/>
      <c r="N64" s="14"/>
      <c r="O64" s="17"/>
      <c r="P64" s="18"/>
      <c r="Q64" s="19"/>
      <c r="R64" s="185"/>
      <c r="S64" s="397"/>
      <c r="T64" s="20"/>
      <c r="U64" s="20"/>
      <c r="V64" s="177"/>
      <c r="W64" s="182">
        <f t="shared" si="12"/>
        <v>0</v>
      </c>
      <c r="X64" s="84"/>
      <c r="Y64" s="84"/>
      <c r="Z64" s="419"/>
      <c r="AA64" s="418"/>
      <c r="AB64" s="18"/>
      <c r="AC64" s="55"/>
      <c r="AD64" s="402"/>
    </row>
    <row r="65" spans="1:32" ht="15" customHeight="1">
      <c r="A65" s="468"/>
      <c r="B65" s="177"/>
      <c r="C65" s="183"/>
      <c r="D65" s="11"/>
      <c r="E65" s="12"/>
      <c r="F65" s="13"/>
      <c r="G65" s="177"/>
      <c r="H65" s="15"/>
      <c r="I65" s="177"/>
      <c r="J65" s="16"/>
      <c r="K65" s="82"/>
      <c r="L65" s="83"/>
      <c r="M65" s="180"/>
      <c r="N65" s="14"/>
      <c r="O65" s="17"/>
      <c r="P65" s="18"/>
      <c r="Q65" s="19"/>
      <c r="R65" s="185"/>
      <c r="S65" s="397"/>
      <c r="T65" s="20"/>
      <c r="U65" s="20"/>
      <c r="V65" s="177"/>
      <c r="W65" s="182">
        <f t="shared" si="12"/>
        <v>0</v>
      </c>
      <c r="X65" s="84"/>
      <c r="Y65" s="84"/>
      <c r="Z65" s="419"/>
      <c r="AA65" s="418"/>
      <c r="AB65" s="18"/>
      <c r="AC65" s="55"/>
      <c r="AD65" s="402"/>
    </row>
    <row r="66" spans="1:32" ht="15" customHeight="1">
      <c r="A66" s="468"/>
      <c r="B66" s="26"/>
      <c r="C66" s="27"/>
      <c r="D66" s="28"/>
      <c r="E66" s="29"/>
      <c r="F66" s="13"/>
      <c r="G66" s="183"/>
      <c r="H66" s="15">
        <f t="shared" si="35"/>
        <v>0</v>
      </c>
      <c r="I66" s="85"/>
      <c r="J66" s="16"/>
      <c r="K66" s="14"/>
      <c r="L66" s="17"/>
      <c r="M66" s="21"/>
      <c r="N66" s="36"/>
      <c r="O66" s="38"/>
      <c r="P66" s="39"/>
      <c r="Q66" s="40"/>
      <c r="R66" s="68"/>
      <c r="S66" s="397"/>
      <c r="T66" s="20"/>
      <c r="U66" s="20"/>
      <c r="V66" s="177"/>
      <c r="W66" s="182">
        <f t="shared" si="12"/>
        <v>0</v>
      </c>
      <c r="X66" s="84"/>
      <c r="Y66" s="84"/>
      <c r="Z66" s="405"/>
      <c r="AA66" s="405"/>
      <c r="AB66" s="18"/>
      <c r="AC66" s="55"/>
      <c r="AD66" s="402"/>
    </row>
    <row r="67" spans="1:32" ht="15" customHeight="1">
      <c r="A67" s="468"/>
      <c r="B67" s="26"/>
      <c r="C67" s="27"/>
      <c r="D67" s="28"/>
      <c r="E67" s="29"/>
      <c r="F67" s="13"/>
      <c r="G67" s="177"/>
      <c r="H67" s="15">
        <f t="shared" si="35"/>
        <v>0</v>
      </c>
      <c r="I67" s="177"/>
      <c r="J67" s="16"/>
      <c r="K67" s="14"/>
      <c r="L67" s="17"/>
      <c r="M67" s="21"/>
      <c r="N67" s="36"/>
      <c r="O67" s="38"/>
      <c r="P67" s="39"/>
      <c r="Q67" s="40"/>
      <c r="R67" s="68"/>
      <c r="S67" s="397"/>
      <c r="T67" s="20"/>
      <c r="U67" s="20"/>
      <c r="V67" s="177"/>
      <c r="W67" s="182">
        <f t="shared" si="12"/>
        <v>0</v>
      </c>
      <c r="X67" s="84"/>
      <c r="Y67" s="84"/>
      <c r="Z67" s="419"/>
      <c r="AA67" s="418"/>
      <c r="AB67" s="18"/>
      <c r="AC67" s="55"/>
      <c r="AD67" s="402"/>
    </row>
    <row r="68" spans="1:32" ht="15" customHeight="1">
      <c r="A68" s="468"/>
      <c r="B68" s="26"/>
      <c r="C68" s="27"/>
      <c r="D68" s="28"/>
      <c r="E68" s="29"/>
      <c r="F68" s="13"/>
      <c r="G68" s="183"/>
      <c r="H68" s="15">
        <f t="shared" si="35"/>
        <v>0</v>
      </c>
      <c r="I68" s="85"/>
      <c r="J68" s="16"/>
      <c r="K68" s="260"/>
      <c r="L68" s="261"/>
      <c r="M68" s="21"/>
      <c r="N68" s="36"/>
      <c r="O68" s="38"/>
      <c r="P68" s="39"/>
      <c r="Q68" s="40"/>
      <c r="R68" s="68"/>
      <c r="S68" s="397"/>
      <c r="T68" s="20"/>
      <c r="U68" s="20"/>
      <c r="V68" s="177"/>
      <c r="W68" s="182">
        <f t="shared" si="12"/>
        <v>0</v>
      </c>
      <c r="X68" s="84"/>
      <c r="Y68" s="84"/>
      <c r="Z68" s="419"/>
      <c r="AA68" s="418"/>
      <c r="AB68" s="18"/>
      <c r="AC68" s="55"/>
      <c r="AD68" s="402"/>
    </row>
    <row r="69" spans="1:32" ht="15" customHeight="1" thickBot="1">
      <c r="A69" s="469"/>
      <c r="B69" s="165"/>
      <c r="C69" s="1" t="s">
        <v>39</v>
      </c>
      <c r="D69" s="410" t="s">
        <v>7</v>
      </c>
      <c r="E69" s="410"/>
      <c r="F69" s="114"/>
      <c r="G69" s="115"/>
      <c r="H69" s="116"/>
      <c r="I69" s="170"/>
      <c r="J69" s="166">
        <f t="shared" ref="J69:O69" si="42">AVERAGE(J59:J68)</f>
        <v>12.333333333333334</v>
      </c>
      <c r="K69" s="166">
        <f t="shared" si="42"/>
        <v>1565</v>
      </c>
      <c r="L69" s="171">
        <f t="shared" si="42"/>
        <v>127.07264957264958</v>
      </c>
      <c r="M69" s="166">
        <f t="shared" si="42"/>
        <v>12.333333333333334</v>
      </c>
      <c r="N69" s="166">
        <f t="shared" si="42"/>
        <v>1457.9378760774105</v>
      </c>
      <c r="O69" s="171">
        <f t="shared" si="42"/>
        <v>118.17440956975837</v>
      </c>
      <c r="P69" s="172">
        <f>M69-J69</f>
        <v>0</v>
      </c>
      <c r="Q69" s="158">
        <f>N69-K69</f>
        <v>-107.06212392258954</v>
      </c>
      <c r="R69" s="121">
        <f>O69/L69</f>
        <v>0.92997517535979335</v>
      </c>
      <c r="S69" s="399"/>
      <c r="T69" s="122"/>
      <c r="U69" s="122"/>
      <c r="V69" s="195"/>
      <c r="W69" s="168"/>
      <c r="X69" s="124"/>
      <c r="Y69" s="124"/>
      <c r="Z69" s="405"/>
      <c r="AA69" s="405"/>
      <c r="AB69" s="119">
        <f>N69-K69</f>
        <v>-107.06212392258954</v>
      </c>
      <c r="AC69" s="187">
        <f>N69/K69</f>
        <v>0.93158969717406415</v>
      </c>
      <c r="AD69" s="404"/>
    </row>
    <row r="70" spans="1:32" ht="15" customHeight="1">
      <c r="A70" s="461" t="s">
        <v>58</v>
      </c>
      <c r="B70" s="199" t="s">
        <v>62</v>
      </c>
      <c r="C70" s="199"/>
      <c r="D70" s="103" t="s">
        <v>158</v>
      </c>
      <c r="E70" s="104"/>
      <c r="F70" s="199">
        <f>VLOOKUP(D70,廠價表!$C$1:$E$39,3,0)</f>
        <v>47.71</v>
      </c>
      <c r="G70" s="188">
        <v>1767</v>
      </c>
      <c r="H70" s="106">
        <f t="shared" ref="H70" si="43">F70*G70</f>
        <v>84303.57</v>
      </c>
      <c r="I70" s="188"/>
      <c r="J70" s="108">
        <f>VLOOKUP(D70,產線配置圖!$A$2:$C$38,2,0)</f>
        <v>15</v>
      </c>
      <c r="K70" s="105">
        <f>VLOOKUP(D70,產線配置圖!$A$2:$C$38,3,0)</f>
        <v>1500</v>
      </c>
      <c r="L70" s="109">
        <f>K70/J70</f>
        <v>100</v>
      </c>
      <c r="M70" s="110">
        <v>13</v>
      </c>
      <c r="N70" s="105">
        <f t="shared" ref="N70" si="44">G70/W70*60</f>
        <v>1247.2941176470586</v>
      </c>
      <c r="O70" s="109">
        <f t="shared" ref="O70" si="45">N70/M70</f>
        <v>95.945701357466049</v>
      </c>
      <c r="P70" s="111">
        <f t="shared" ref="P70" si="46">M70-J70</f>
        <v>-2</v>
      </c>
      <c r="Q70" s="112">
        <f t="shared" ref="Q70" si="47">O70-L70</f>
        <v>-4.0542986425339507</v>
      </c>
      <c r="R70" s="184">
        <f t="shared" ref="R70" si="48">O70/L70</f>
        <v>0.95945701357466051</v>
      </c>
      <c r="S70" s="396">
        <f>R79</f>
        <v>0.94295861403915504</v>
      </c>
      <c r="T70" s="169">
        <v>0.33333333333333331</v>
      </c>
      <c r="U70" s="169">
        <v>0.3923611111111111</v>
      </c>
      <c r="V70" s="188"/>
      <c r="W70" s="107">
        <f t="shared" ref="W70:W78" si="49">(U70-T70)*24*60</f>
        <v>85.000000000000014</v>
      </c>
      <c r="X70" s="296"/>
      <c r="Y70" s="296"/>
      <c r="Z70" s="465"/>
      <c r="AA70" s="427"/>
      <c r="AB70" s="225">
        <f t="shared" ref="AB70:AB71" si="50">N70-K70</f>
        <v>-252.70588235294144</v>
      </c>
      <c r="AC70" s="226">
        <f t="shared" ref="AC70:AC71" si="51">N70/K70</f>
        <v>0.83152941176470574</v>
      </c>
      <c r="AD70" s="401">
        <f>AC79</f>
        <v>0.8826205526017844</v>
      </c>
    </row>
    <row r="71" spans="1:32" ht="15" customHeight="1">
      <c r="A71" s="462"/>
      <c r="B71" s="56"/>
      <c r="C71" s="10"/>
      <c r="D71" s="11"/>
      <c r="E71" s="86"/>
      <c r="F71" s="56"/>
      <c r="G71" s="66"/>
      <c r="H71" s="76"/>
      <c r="I71" s="193"/>
      <c r="J71" s="16"/>
      <c r="K71" s="14"/>
      <c r="L71" s="17"/>
      <c r="M71" s="180"/>
      <c r="N71" s="14"/>
      <c r="O71" s="17"/>
      <c r="P71" s="18"/>
      <c r="Q71" s="19"/>
      <c r="R71" s="185"/>
      <c r="S71" s="397"/>
      <c r="T71" s="20"/>
      <c r="U71" s="20"/>
      <c r="V71" s="177"/>
      <c r="W71" s="182">
        <f t="shared" si="49"/>
        <v>0</v>
      </c>
      <c r="X71" s="298"/>
      <c r="Y71" s="299"/>
      <c r="Z71" s="439"/>
      <c r="AA71" s="440"/>
      <c r="AB71" s="39">
        <f t="shared" si="50"/>
        <v>0</v>
      </c>
      <c r="AC71" s="190" t="e">
        <f t="shared" si="51"/>
        <v>#DIV/0!</v>
      </c>
      <c r="AD71" s="447"/>
    </row>
    <row r="72" spans="1:32" ht="15" customHeight="1">
      <c r="A72" s="462"/>
      <c r="B72" s="56"/>
      <c r="C72" s="10"/>
      <c r="D72" s="11"/>
      <c r="E72" s="86"/>
      <c r="F72" s="56"/>
      <c r="G72" s="66"/>
      <c r="H72" s="76"/>
      <c r="I72" s="193"/>
      <c r="J72" s="16"/>
      <c r="K72" s="14"/>
      <c r="L72" s="17"/>
      <c r="M72" s="180"/>
      <c r="N72" s="14"/>
      <c r="O72" s="17"/>
      <c r="P72" s="18"/>
      <c r="Q72" s="19"/>
      <c r="R72" s="185"/>
      <c r="S72" s="397"/>
      <c r="T72" s="20"/>
      <c r="U72" s="20"/>
      <c r="V72" s="177"/>
      <c r="W72" s="182">
        <f t="shared" si="49"/>
        <v>0</v>
      </c>
      <c r="X72" s="297"/>
      <c r="Y72" s="297"/>
      <c r="Z72" s="405"/>
      <c r="AA72" s="419"/>
      <c r="AB72" s="39"/>
      <c r="AC72" s="190"/>
      <c r="AD72" s="447"/>
    </row>
    <row r="73" spans="1:32" ht="15" customHeight="1">
      <c r="A73" s="462"/>
      <c r="B73" s="56"/>
      <c r="C73" s="23"/>
      <c r="D73" s="11"/>
      <c r="E73" s="12"/>
      <c r="F73" s="56"/>
      <c r="G73" s="66"/>
      <c r="H73" s="76"/>
      <c r="I73" s="193"/>
      <c r="J73" s="16"/>
      <c r="K73" s="14"/>
      <c r="L73" s="17"/>
      <c r="M73" s="180"/>
      <c r="N73" s="14"/>
      <c r="O73" s="17"/>
      <c r="P73" s="18"/>
      <c r="Q73" s="19"/>
      <c r="R73" s="185"/>
      <c r="S73" s="397"/>
      <c r="T73" s="20"/>
      <c r="U73" s="20"/>
      <c r="V73" s="177"/>
      <c r="W73" s="182">
        <f t="shared" si="49"/>
        <v>0</v>
      </c>
      <c r="X73" s="22"/>
      <c r="Y73" s="22"/>
      <c r="Z73" s="405"/>
      <c r="AA73" s="419"/>
      <c r="AB73" s="39"/>
      <c r="AC73" s="190"/>
      <c r="AD73" s="447"/>
    </row>
    <row r="74" spans="1:32" ht="15" customHeight="1">
      <c r="A74" s="462"/>
      <c r="B74" s="56"/>
      <c r="C74" s="249"/>
      <c r="D74" s="250"/>
      <c r="E74" s="251"/>
      <c r="F74" s="56"/>
      <c r="G74" s="238"/>
      <c r="H74" s="76">
        <f t="shared" ref="H74:H78" si="52">F74*G74</f>
        <v>0</v>
      </c>
      <c r="I74" s="81"/>
      <c r="J74" s="234"/>
      <c r="K74" s="36"/>
      <c r="L74" s="235"/>
      <c r="M74" s="21"/>
      <c r="N74" s="36"/>
      <c r="O74" s="38"/>
      <c r="P74" s="39"/>
      <c r="Q74" s="40"/>
      <c r="R74" s="190"/>
      <c r="S74" s="397"/>
      <c r="T74" s="20"/>
      <c r="U74" s="20"/>
      <c r="V74" s="177"/>
      <c r="W74" s="182">
        <f t="shared" si="49"/>
        <v>0</v>
      </c>
      <c r="X74" s="22"/>
      <c r="Y74" s="22"/>
      <c r="Z74" s="405"/>
      <c r="AA74" s="419"/>
      <c r="AB74" s="39"/>
      <c r="AC74" s="190"/>
      <c r="AD74" s="447"/>
    </row>
    <row r="75" spans="1:32" ht="15" customHeight="1">
      <c r="A75" s="462"/>
      <c r="B75" s="177"/>
      <c r="C75" s="183"/>
      <c r="D75" s="11"/>
      <c r="E75" s="12"/>
      <c r="F75" s="13"/>
      <c r="G75" s="177"/>
      <c r="H75" s="15">
        <f t="shared" si="52"/>
        <v>0</v>
      </c>
      <c r="I75" s="81"/>
      <c r="J75" s="87"/>
      <c r="K75" s="82"/>
      <c r="L75" s="83"/>
      <c r="M75" s="181"/>
      <c r="N75" s="82"/>
      <c r="O75" s="83"/>
      <c r="P75" s="73"/>
      <c r="Q75" s="74"/>
      <c r="R75" s="192"/>
      <c r="S75" s="397"/>
      <c r="T75" s="20"/>
      <c r="U75" s="20"/>
      <c r="V75" s="177"/>
      <c r="W75" s="88">
        <f t="shared" si="49"/>
        <v>0</v>
      </c>
      <c r="X75" s="89"/>
      <c r="Y75" s="89"/>
      <c r="Z75" s="406"/>
      <c r="AA75" s="406"/>
      <c r="AB75" s="306"/>
      <c r="AC75" s="307"/>
      <c r="AD75" s="402"/>
    </row>
    <row r="76" spans="1:32" ht="15" customHeight="1">
      <c r="A76" s="462"/>
      <c r="B76" s="26"/>
      <c r="C76" s="27"/>
      <c r="D76" s="28"/>
      <c r="E76" s="29"/>
      <c r="F76" s="13"/>
      <c r="G76" s="177"/>
      <c r="H76" s="15">
        <f t="shared" si="52"/>
        <v>0</v>
      </c>
      <c r="I76" s="81"/>
      <c r="J76" s="87"/>
      <c r="K76" s="82"/>
      <c r="L76" s="83"/>
      <c r="M76" s="181"/>
      <c r="N76" s="82"/>
      <c r="O76" s="83"/>
      <c r="P76" s="73"/>
      <c r="Q76" s="74"/>
      <c r="R76" s="192"/>
      <c r="S76" s="398"/>
      <c r="T76" s="20"/>
      <c r="U76" s="20"/>
      <c r="V76" s="177"/>
      <c r="W76" s="90">
        <f t="shared" si="49"/>
        <v>0</v>
      </c>
      <c r="X76" s="78"/>
      <c r="Y76" s="78"/>
      <c r="Z76" s="445"/>
      <c r="AA76" s="445"/>
      <c r="AB76" s="51"/>
      <c r="AC76" s="52"/>
      <c r="AD76" s="403"/>
    </row>
    <row r="77" spans="1:32" ht="15" customHeight="1">
      <c r="A77" s="462"/>
      <c r="B77" s="26"/>
      <c r="C77" s="27"/>
      <c r="D77" s="28"/>
      <c r="E77" s="29"/>
      <c r="F77" s="13"/>
      <c r="G77" s="177"/>
      <c r="H77" s="15">
        <f t="shared" si="52"/>
        <v>0</v>
      </c>
      <c r="I77" s="81"/>
      <c r="J77" s="87"/>
      <c r="K77" s="82"/>
      <c r="L77" s="83"/>
      <c r="M77" s="181"/>
      <c r="N77" s="82"/>
      <c r="O77" s="83"/>
      <c r="P77" s="73"/>
      <c r="Q77" s="74"/>
      <c r="R77" s="192"/>
      <c r="S77" s="398"/>
      <c r="T77" s="20"/>
      <c r="U77" s="20"/>
      <c r="V77" s="177"/>
      <c r="W77" s="182">
        <f t="shared" si="49"/>
        <v>0</v>
      </c>
      <c r="X77" s="84"/>
      <c r="Y77" s="84"/>
      <c r="Z77" s="405"/>
      <c r="AA77" s="405"/>
      <c r="AB77" s="18"/>
      <c r="AC77" s="55"/>
      <c r="AD77" s="403"/>
    </row>
    <row r="78" spans="1:32" ht="15" customHeight="1">
      <c r="A78" s="462"/>
      <c r="B78" s="26"/>
      <c r="C78" s="27"/>
      <c r="D78" s="28"/>
      <c r="E78" s="29"/>
      <c r="F78" s="13"/>
      <c r="G78" s="177"/>
      <c r="H78" s="15">
        <f t="shared" si="52"/>
        <v>0</v>
      </c>
      <c r="I78" s="85"/>
      <c r="J78" s="37"/>
      <c r="K78" s="36"/>
      <c r="L78" s="83"/>
      <c r="M78" s="21"/>
      <c r="N78" s="36"/>
      <c r="O78" s="38"/>
      <c r="P78" s="39"/>
      <c r="Q78" s="40"/>
      <c r="R78" s="190"/>
      <c r="S78" s="464"/>
      <c r="T78" s="32"/>
      <c r="U78" s="32"/>
      <c r="V78" s="178"/>
      <c r="W78" s="182">
        <f t="shared" si="49"/>
        <v>0</v>
      </c>
      <c r="X78" s="91"/>
      <c r="Y78" s="91"/>
      <c r="Z78" s="405"/>
      <c r="AA78" s="405"/>
      <c r="AB78" s="34"/>
      <c r="AC78" s="57"/>
      <c r="AD78" s="403"/>
    </row>
    <row r="79" spans="1:32" ht="15" customHeight="1" thickBot="1">
      <c r="A79" s="463"/>
      <c r="B79" s="165"/>
      <c r="C79" s="1" t="s">
        <v>40</v>
      </c>
      <c r="D79" s="410" t="s">
        <v>7</v>
      </c>
      <c r="E79" s="410"/>
      <c r="F79" s="114"/>
      <c r="G79" s="115"/>
      <c r="H79" s="173"/>
      <c r="I79" s="171"/>
      <c r="J79" s="166">
        <f t="shared" ref="J79:O79" si="53">AVERAGE(J69:J78)</f>
        <v>13.666666666666668</v>
      </c>
      <c r="K79" s="166">
        <f t="shared" si="53"/>
        <v>1532.5</v>
      </c>
      <c r="L79" s="171">
        <f t="shared" si="53"/>
        <v>113.5363247863248</v>
      </c>
      <c r="M79" s="166">
        <f t="shared" si="53"/>
        <v>12.666666666666668</v>
      </c>
      <c r="N79" s="166">
        <f t="shared" si="53"/>
        <v>1352.6159968622346</v>
      </c>
      <c r="O79" s="171">
        <f t="shared" si="53"/>
        <v>107.0600554636122</v>
      </c>
      <c r="P79" s="172">
        <f>M79-J79</f>
        <v>-1</v>
      </c>
      <c r="Q79" s="158">
        <f>N79-K79</f>
        <v>-179.88400313776538</v>
      </c>
      <c r="R79" s="159">
        <f>O79/L79</f>
        <v>0.94295861403915504</v>
      </c>
      <c r="S79" s="399"/>
      <c r="T79" s="122"/>
      <c r="U79" s="122"/>
      <c r="V79" s="195"/>
      <c r="W79" s="168"/>
      <c r="X79" s="124"/>
      <c r="Y79" s="124"/>
      <c r="Z79" s="391"/>
      <c r="AA79" s="391"/>
      <c r="AB79" s="119">
        <f>N79-K79</f>
        <v>-179.88400313776538</v>
      </c>
      <c r="AC79" s="187">
        <f>N79/K79</f>
        <v>0.8826205526017844</v>
      </c>
      <c r="AD79" s="404"/>
    </row>
    <row r="80" spans="1:32">
      <c r="AF80" s="93" t="s">
        <v>41</v>
      </c>
    </row>
    <row r="81" spans="4:32">
      <c r="AF81" s="93" t="s">
        <v>42</v>
      </c>
    </row>
    <row r="82" spans="4:32">
      <c r="AF82" s="93" t="s">
        <v>43</v>
      </c>
    </row>
    <row r="83" spans="4:32">
      <c r="D83" s="220"/>
      <c r="W83" s="6"/>
      <c r="AF83" s="93" t="s">
        <v>44</v>
      </c>
    </row>
    <row r="84" spans="4:32">
      <c r="D84" s="224"/>
      <c r="W84" s="6"/>
      <c r="AF84" s="93" t="s">
        <v>45</v>
      </c>
    </row>
    <row r="85" spans="4:32">
      <c r="D85" s="224"/>
      <c r="W85" s="6"/>
      <c r="AF85" s="93" t="s">
        <v>46</v>
      </c>
    </row>
    <row r="86" spans="4:32">
      <c r="D86" s="155"/>
      <c r="W86" s="6"/>
      <c r="AF86" s="93" t="s">
        <v>47</v>
      </c>
    </row>
    <row r="87" spans="4:32">
      <c r="W87" s="6"/>
      <c r="AF87" s="93" t="s">
        <v>48</v>
      </c>
    </row>
    <row r="88" spans="4:32">
      <c r="W88" s="6"/>
      <c r="AF88" s="93" t="s">
        <v>49</v>
      </c>
    </row>
    <row r="89" spans="4:32">
      <c r="W89" s="6"/>
      <c r="AF89" s="93" t="s">
        <v>50</v>
      </c>
    </row>
    <row r="90" spans="4:32">
      <c r="W90" s="6"/>
      <c r="AF90" s="93" t="s">
        <v>51</v>
      </c>
    </row>
    <row r="91" spans="4:32">
      <c r="W91" s="6"/>
      <c r="AF91" s="93" t="s">
        <v>52</v>
      </c>
    </row>
    <row r="92" spans="4:32">
      <c r="W92" s="6"/>
      <c r="AF92" s="93" t="s">
        <v>53</v>
      </c>
    </row>
  </sheetData>
  <autoFilter ref="D1:D92" xr:uid="{EF5AD393-5A39-4C0E-A7B0-465235F2AB14}"/>
  <mergeCells count="135">
    <mergeCell ref="P1:S2"/>
    <mergeCell ref="T1:Y2"/>
    <mergeCell ref="Z1:AA2"/>
    <mergeCell ref="AB1:AD2"/>
    <mergeCell ref="H3:H4"/>
    <mergeCell ref="I3:I4"/>
    <mergeCell ref="J3:J4"/>
    <mergeCell ref="K3:K4"/>
    <mergeCell ref="L3:L4"/>
    <mergeCell ref="M3:M4"/>
    <mergeCell ref="AC3:AC4"/>
    <mergeCell ref="AD3:AD4"/>
    <mergeCell ref="P3:P4"/>
    <mergeCell ref="Q3:Q4"/>
    <mergeCell ref="R3:R4"/>
    <mergeCell ref="A2:B2"/>
    <mergeCell ref="A3:A4"/>
    <mergeCell ref="B3:B4"/>
    <mergeCell ref="D3:E4"/>
    <mergeCell ref="F3:F4"/>
    <mergeCell ref="G3:G4"/>
    <mergeCell ref="J1:L2"/>
    <mergeCell ref="M1:O2"/>
    <mergeCell ref="D15:E15"/>
    <mergeCell ref="A5:A15"/>
    <mergeCell ref="N3:N4"/>
    <mergeCell ref="O3:O4"/>
    <mergeCell ref="S5:S15"/>
    <mergeCell ref="Z5:AA5"/>
    <mergeCell ref="AD5:AD15"/>
    <mergeCell ref="Z6:AA6"/>
    <mergeCell ref="Z7:AA7"/>
    <mergeCell ref="Z8:AA8"/>
    <mergeCell ref="Z9:AA9"/>
    <mergeCell ref="T3:U3"/>
    <mergeCell ref="V3:V4"/>
    <mergeCell ref="W3:W4"/>
    <mergeCell ref="X3:Y3"/>
    <mergeCell ref="Z3:AA4"/>
    <mergeCell ref="AB3:AB4"/>
    <mergeCell ref="S3:S4"/>
    <mergeCell ref="AD16:AD26"/>
    <mergeCell ref="Z17:AA17"/>
    <mergeCell ref="Z18:AA18"/>
    <mergeCell ref="Z19:AA19"/>
    <mergeCell ref="Z20:AA20"/>
    <mergeCell ref="Z21:AA21"/>
    <mergeCell ref="Z22:AA22"/>
    <mergeCell ref="Z10:AA10"/>
    <mergeCell ref="Z11:AA11"/>
    <mergeCell ref="Z12:AA12"/>
    <mergeCell ref="Z13:AA13"/>
    <mergeCell ref="Z14:AA14"/>
    <mergeCell ref="Z23:AA23"/>
    <mergeCell ref="Z24:AA24"/>
    <mergeCell ref="Z25:AA25"/>
    <mergeCell ref="Z15:AA15"/>
    <mergeCell ref="D26:E26"/>
    <mergeCell ref="Z26:AA26"/>
    <mergeCell ref="A27:A37"/>
    <mergeCell ref="S27:S37"/>
    <mergeCell ref="Z27:AA27"/>
    <mergeCell ref="D37:E37"/>
    <mergeCell ref="Z37:AA37"/>
    <mergeCell ref="A16:A26"/>
    <mergeCell ref="S16:S26"/>
    <mergeCell ref="Z16:AA16"/>
    <mergeCell ref="AD38:AD48"/>
    <mergeCell ref="Z39:AA39"/>
    <mergeCell ref="Z40:AA40"/>
    <mergeCell ref="Z41:AA41"/>
    <mergeCell ref="Z42:AA42"/>
    <mergeCell ref="Z43:AA43"/>
    <mergeCell ref="Z44:AA44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Z45:AA45"/>
    <mergeCell ref="Z46:AA46"/>
    <mergeCell ref="Z47:AA47"/>
    <mergeCell ref="D48:E48"/>
    <mergeCell ref="Z48:AA48"/>
    <mergeCell ref="A49:A58"/>
    <mergeCell ref="S49:S58"/>
    <mergeCell ref="Z49:AA49"/>
    <mergeCell ref="D58:E58"/>
    <mergeCell ref="A38:A48"/>
    <mergeCell ref="S38:S48"/>
    <mergeCell ref="Z38:AA38"/>
    <mergeCell ref="AD59:AD69"/>
    <mergeCell ref="Z60:AA60"/>
    <mergeCell ref="Z61:AA61"/>
    <mergeCell ref="Z62:AA62"/>
    <mergeCell ref="Z63:AA63"/>
    <mergeCell ref="Z64:AA64"/>
    <mergeCell ref="Z65:AA65"/>
    <mergeCell ref="AD49:AD58"/>
    <mergeCell ref="Z50:AA50"/>
    <mergeCell ref="Z51:AA51"/>
    <mergeCell ref="Z52:AA52"/>
    <mergeCell ref="Z53:AA53"/>
    <mergeCell ref="Z54:AA54"/>
    <mergeCell ref="Z55:AA55"/>
    <mergeCell ref="Z56:AA56"/>
    <mergeCell ref="Z57:AA57"/>
    <mergeCell ref="Z58:AA58"/>
    <mergeCell ref="Z66:AA66"/>
    <mergeCell ref="Z67:AA67"/>
    <mergeCell ref="Z68:AA68"/>
    <mergeCell ref="D69:E69"/>
    <mergeCell ref="Z69:AA69"/>
    <mergeCell ref="A70:A79"/>
    <mergeCell ref="S70:S79"/>
    <mergeCell ref="Z70:AA70"/>
    <mergeCell ref="D79:E79"/>
    <mergeCell ref="A59:A69"/>
    <mergeCell ref="S59:S69"/>
    <mergeCell ref="Z59:AA59"/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</mergeCells>
  <phoneticPr fontId="2" type="noConversion"/>
  <conditionalFormatting sqref="P5:P79">
    <cfRule type="cellIs" dxfId="158" priority="1" operator="greaterThan">
      <formula>0</formula>
    </cfRule>
  </conditionalFormatting>
  <conditionalFormatting sqref="Q5:Q79 AB5:AB79">
    <cfRule type="cellIs" dxfId="157" priority="4" operator="lessThan">
      <formula>0</formula>
    </cfRule>
  </conditionalFormatting>
  <conditionalFormatting sqref="R5:R79 AC5:AC79">
    <cfRule type="cellIs" dxfId="156" priority="2" operator="greaterThan">
      <formula>1</formula>
    </cfRule>
    <cfRule type="cellIs" dxfId="155" priority="3" operator="lessThan">
      <formula>0.8</formula>
    </cfRule>
  </conditionalFormatting>
  <conditionalFormatting sqref="S5:S10 S37:S62 AD59:AD62 S69:S76 AD69:AD76">
    <cfRule type="cellIs" dxfId="154" priority="7" operator="lessThan">
      <formula>0.8</formula>
    </cfRule>
  </conditionalFormatting>
  <conditionalFormatting sqref="S19:S25 AD19:AD25">
    <cfRule type="cellIs" dxfId="153" priority="6" operator="lessThan">
      <formula>0.8</formula>
    </cfRule>
  </conditionalFormatting>
  <conditionalFormatting sqref="S79">
    <cfRule type="cellIs" dxfId="152" priority="5" operator="lessThan">
      <formula>0.8</formula>
    </cfRule>
  </conditionalFormatting>
  <conditionalFormatting sqref="AD5:AD8 S15:S16 AD15:AD16 AD49 AD79">
    <cfRule type="cellIs" dxfId="151" priority="9" operator="lessThan">
      <formula>0.8</formula>
    </cfRule>
  </conditionalFormatting>
  <conditionalFormatting sqref="AD27 S27:S28">
    <cfRule type="cellIs" dxfId="15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F28F570-2008-4E86-A574-CF0F991E0655}">
          <x14:formula1>
            <xm:f>廠價表!$C$2:$C$37</xm:f>
          </x14:formula1>
          <xm:sqref>D1:D1048576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3D063-7B8D-4DEA-98DF-3D439D23E740}">
  <sheetPr>
    <pageSetUpPr fitToPage="1"/>
  </sheetPr>
  <dimension ref="B1:O22"/>
  <sheetViews>
    <sheetView topLeftCell="A8" zoomScale="70" zoomScaleNormal="70" workbookViewId="0">
      <selection activeCell="J12" sqref="J12:J21"/>
    </sheetView>
  </sheetViews>
  <sheetFormatPr defaultColWidth="8.125" defaultRowHeight="15.75"/>
  <cols>
    <col min="1" max="1" width="8.125" style="203"/>
    <col min="2" max="2" width="7.125" style="203" customWidth="1"/>
    <col min="3" max="3" width="7.125" style="218" customWidth="1"/>
    <col min="4" max="17" width="14.125" style="203" customWidth="1"/>
    <col min="18" max="21" width="9.625" style="203" customWidth="1"/>
    <col min="22" max="22" width="11.125" style="203" customWidth="1"/>
    <col min="23" max="23" width="11.5" style="203" customWidth="1"/>
    <col min="24" max="16384" width="8.125" style="203"/>
  </cols>
  <sheetData>
    <row r="1" spans="2:15" ht="27.75" customHeight="1">
      <c r="B1" s="345" t="s">
        <v>73</v>
      </c>
      <c r="C1" s="345"/>
      <c r="D1" s="345"/>
      <c r="E1" s="345"/>
      <c r="F1" s="345"/>
      <c r="G1" s="345"/>
      <c r="H1" s="345"/>
      <c r="I1" s="345"/>
      <c r="J1" s="345"/>
      <c r="K1" s="345"/>
      <c r="L1" s="202"/>
      <c r="M1" s="202"/>
    </row>
    <row r="2" spans="2:15" ht="27.75" customHeight="1"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202"/>
      <c r="M2" s="202"/>
    </row>
    <row r="3" spans="2:15" ht="46.5" customHeight="1">
      <c r="B3" s="342" t="s">
        <v>74</v>
      </c>
      <c r="C3" s="342"/>
      <c r="D3" s="346">
        <v>45977</v>
      </c>
      <c r="E3" s="346"/>
      <c r="F3" s="204" t="s">
        <v>75</v>
      </c>
      <c r="G3" s="347">
        <f>'1116'!E1</f>
        <v>56158</v>
      </c>
      <c r="H3" s="347"/>
      <c r="I3" s="204" t="s">
        <v>76</v>
      </c>
      <c r="J3" s="348">
        <f>'1116'!G1</f>
        <v>2716892.9700000007</v>
      </c>
      <c r="K3" s="348"/>
      <c r="L3" s="205"/>
    </row>
    <row r="4" spans="2:15" ht="24" customHeight="1">
      <c r="B4" s="342" t="s">
        <v>77</v>
      </c>
      <c r="C4" s="342"/>
      <c r="D4" s="343">
        <v>3</v>
      </c>
      <c r="E4" s="343"/>
      <c r="F4" s="344" t="s">
        <v>78</v>
      </c>
      <c r="G4" s="344"/>
      <c r="H4" s="344" t="s">
        <v>79</v>
      </c>
      <c r="I4" s="344"/>
      <c r="J4" s="343" t="s">
        <v>80</v>
      </c>
      <c r="K4" s="344"/>
      <c r="L4" s="206"/>
    </row>
    <row r="5" spans="2:15" ht="24" customHeight="1">
      <c r="B5" s="342" t="s">
        <v>81</v>
      </c>
      <c r="C5" s="342"/>
      <c r="D5" s="343" t="s">
        <v>82</v>
      </c>
      <c r="E5" s="343"/>
      <c r="F5" s="343" t="s">
        <v>83</v>
      </c>
      <c r="G5" s="343"/>
      <c r="H5" s="369" t="s">
        <v>62</v>
      </c>
      <c r="I5" s="369"/>
      <c r="J5" s="341" t="s">
        <v>84</v>
      </c>
      <c r="K5" s="341"/>
      <c r="L5" s="207"/>
    </row>
    <row r="6" spans="2:15" ht="39.6" customHeight="1">
      <c r="B6" s="342"/>
      <c r="C6" s="342"/>
      <c r="D6" s="342" t="s">
        <v>85</v>
      </c>
      <c r="E6" s="342"/>
      <c r="F6" s="356">
        <f>AVERAGE(D13:J13)</f>
        <v>113.75989053741155</v>
      </c>
      <c r="G6" s="356"/>
      <c r="H6" s="349">
        <f>AVERAGE(D13:H13)</f>
        <v>111.64365444468385</v>
      </c>
      <c r="I6" s="349"/>
      <c r="J6" s="349">
        <f>AVERAGE(I13:J13)</f>
        <v>119.05048076923077</v>
      </c>
      <c r="K6" s="349"/>
      <c r="L6" s="207"/>
    </row>
    <row r="7" spans="2:15" s="208" customFormat="1" ht="39.6" customHeight="1">
      <c r="B7" s="342"/>
      <c r="C7" s="342"/>
      <c r="D7" s="350" t="s">
        <v>86</v>
      </c>
      <c r="E7" s="350"/>
      <c r="F7" s="351">
        <f>AVERAGE(D14:J14)</f>
        <v>103.9215662198943</v>
      </c>
      <c r="G7" s="351"/>
      <c r="H7" s="352">
        <f>AVERAGE(D14:H14)</f>
        <v>102.23786589195055</v>
      </c>
      <c r="I7" s="352"/>
      <c r="J7" s="352">
        <f>AVERAGE(I14:J14)</f>
        <v>108.13081703975372</v>
      </c>
      <c r="K7" s="352"/>
    </row>
    <row r="8" spans="2:15" s="208" customFormat="1" ht="39.6" customHeight="1">
      <c r="B8" s="342"/>
      <c r="C8" s="342"/>
      <c r="D8" s="350" t="s">
        <v>87</v>
      </c>
      <c r="E8" s="350"/>
      <c r="F8" s="353">
        <f>AVERAGE(D15:J15)</f>
        <v>0.90793521640390051</v>
      </c>
      <c r="G8" s="353"/>
      <c r="H8" s="353">
        <f>AVERAGE(D15:H15)</f>
        <v>0.90781384451473013</v>
      </c>
      <c r="I8" s="353"/>
      <c r="J8" s="353">
        <f>AVERAGE(I15:J15)</f>
        <v>0.9082386461268267</v>
      </c>
      <c r="K8" s="353"/>
      <c r="L8" s="209" t="s">
        <v>88</v>
      </c>
    </row>
    <row r="9" spans="2:15" ht="25.5" customHeight="1">
      <c r="B9" s="207"/>
      <c r="C9" s="207"/>
      <c r="D9" s="207"/>
      <c r="E9" s="207"/>
      <c r="F9" s="207"/>
      <c r="G9" s="207"/>
      <c r="H9" s="210"/>
      <c r="I9" s="211"/>
      <c r="J9" s="211"/>
      <c r="K9" s="211"/>
      <c r="L9" s="211"/>
      <c r="M9" s="211"/>
      <c r="N9" s="211"/>
      <c r="O9" s="207"/>
    </row>
    <row r="10" spans="2:15" ht="30" customHeight="1">
      <c r="B10" s="354" t="s">
        <v>0</v>
      </c>
      <c r="C10" s="355"/>
      <c r="D10" s="357" t="s">
        <v>89</v>
      </c>
      <c r="E10" s="358"/>
      <c r="F10" s="358"/>
      <c r="G10" s="358"/>
      <c r="H10" s="358"/>
      <c r="I10" s="358"/>
      <c r="J10" s="359"/>
    </row>
    <row r="11" spans="2:15" ht="17.25" customHeight="1">
      <c r="B11" s="360" t="s">
        <v>90</v>
      </c>
      <c r="C11" s="361"/>
      <c r="D11" s="212">
        <v>1</v>
      </c>
      <c r="E11" s="212">
        <v>2</v>
      </c>
      <c r="F11" s="212">
        <v>3</v>
      </c>
      <c r="G11" s="212">
        <v>4</v>
      </c>
      <c r="H11" s="212">
        <v>5</v>
      </c>
      <c r="I11" s="212">
        <v>6</v>
      </c>
      <c r="J11" s="212">
        <v>7</v>
      </c>
    </row>
    <row r="12" spans="2:15" ht="33.950000000000003" customHeight="1">
      <c r="B12" s="362"/>
      <c r="C12" s="363"/>
      <c r="D12" s="213" t="s">
        <v>91</v>
      </c>
      <c r="E12" s="213" t="s">
        <v>92</v>
      </c>
      <c r="F12" s="213" t="s">
        <v>93</v>
      </c>
      <c r="G12" s="213" t="s">
        <v>94</v>
      </c>
      <c r="H12" s="213" t="s">
        <v>95</v>
      </c>
      <c r="I12" s="213" t="s">
        <v>96</v>
      </c>
      <c r="J12" s="213" t="s">
        <v>97</v>
      </c>
    </row>
    <row r="13" spans="2:15" ht="39.950000000000003" customHeight="1">
      <c r="B13" s="364" t="s">
        <v>1</v>
      </c>
      <c r="C13" s="214" t="s">
        <v>98</v>
      </c>
      <c r="D13" s="215">
        <f>VALUE('1116'!L15)</f>
        <v>136.84126984126985</v>
      </c>
      <c r="E13" s="215">
        <f>VALUE('1116'!L26)</f>
        <v>150.22664835164835</v>
      </c>
      <c r="F13" s="215">
        <f>VALUE('1116'!L37)</f>
        <v>86.486928104575171</v>
      </c>
      <c r="G13" s="215">
        <f>VALUE('1116'!L48)</f>
        <v>92.8</v>
      </c>
      <c r="H13" s="215">
        <f>VALUE('1116'!L58)</f>
        <v>91.863425925925924</v>
      </c>
      <c r="I13" s="215">
        <f>VALUE('1116'!L69)</f>
        <v>125.40064102564102</v>
      </c>
      <c r="J13" s="215">
        <f>VALUE('1116'!L79)</f>
        <v>112.70032051282051</v>
      </c>
    </row>
    <row r="14" spans="2:15" ht="39.950000000000003" customHeight="1">
      <c r="B14" s="365"/>
      <c r="C14" s="214" t="s">
        <v>99</v>
      </c>
      <c r="D14" s="215">
        <f>VALUE('1116'!O15)</f>
        <v>130.07802790495651</v>
      </c>
      <c r="E14" s="215">
        <f>VALUE('1116'!O26)</f>
        <v>142.42482568660847</v>
      </c>
      <c r="F14" s="215">
        <f>VALUE('1116'!O37)</f>
        <v>74.590848497277975</v>
      </c>
      <c r="G14" s="215">
        <f>VALUE('1116'!O48)</f>
        <v>75.778675496688706</v>
      </c>
      <c r="H14" s="215">
        <f>VALUE('1116'!O58)</f>
        <v>88.316951874221033</v>
      </c>
      <c r="I14" s="215">
        <f>VALUE('1116'!O69)</f>
        <v>113.98394652919544</v>
      </c>
      <c r="J14" s="215">
        <f>VALUE('1116'!O79)</f>
        <v>102.27768755031201</v>
      </c>
    </row>
    <row r="15" spans="2:15" ht="39.950000000000003" customHeight="1">
      <c r="B15" s="366"/>
      <c r="C15" s="212" t="s">
        <v>100</v>
      </c>
      <c r="D15" s="233">
        <f>D14/D13</f>
        <v>0.95057600719316315</v>
      </c>
      <c r="E15" s="233">
        <f t="shared" ref="E15:J15" si="0">E14/E13</f>
        <v>0.94806632011933401</v>
      </c>
      <c r="F15" s="233">
        <f t="shared" si="0"/>
        <v>0.86245228188804302</v>
      </c>
      <c r="G15" s="233">
        <f t="shared" si="0"/>
        <v>0.81658055492121451</v>
      </c>
      <c r="H15" s="233">
        <f t="shared" si="0"/>
        <v>0.96139405845189585</v>
      </c>
      <c r="I15" s="233">
        <f t="shared" si="0"/>
        <v>0.90895824452674701</v>
      </c>
      <c r="J15" s="233">
        <f t="shared" si="0"/>
        <v>0.90751904772690639</v>
      </c>
    </row>
    <row r="16" spans="2:15" ht="17.25" customHeight="1">
      <c r="B16" s="367" t="s">
        <v>101</v>
      </c>
      <c r="C16" s="212" t="s">
        <v>102</v>
      </c>
      <c r="D16" s="95">
        <f>'1116'!T5</f>
        <v>0.2902777777777778</v>
      </c>
      <c r="E16" s="95">
        <f>'1116'!T16</f>
        <v>0.2902777777777778</v>
      </c>
      <c r="F16" s="95">
        <f>'1116'!T27</f>
        <v>0.2902777777777778</v>
      </c>
      <c r="G16" s="95">
        <f>'1116'!T38</f>
        <v>0.33263888888888887</v>
      </c>
      <c r="H16" s="95">
        <f>'1116'!T49</f>
        <v>0.28958333333333336</v>
      </c>
      <c r="I16" s="95">
        <f>'1116'!T59</f>
        <v>0.29166666666666669</v>
      </c>
      <c r="J16" s="272">
        <f>'1116'!T70</f>
        <v>0.33333333333333331</v>
      </c>
    </row>
    <row r="17" spans="2:10" ht="17.25" customHeight="1">
      <c r="B17" s="368"/>
      <c r="C17" s="212" t="s">
        <v>103</v>
      </c>
      <c r="D17" s="20">
        <v>0.61805555555555558</v>
      </c>
      <c r="E17" s="41">
        <v>0.60138888888888886</v>
      </c>
      <c r="F17" s="41">
        <v>0.62777777777777777</v>
      </c>
      <c r="G17" s="59">
        <v>0.57986111111111116</v>
      </c>
      <c r="H17" s="79">
        <v>0.61111111111111116</v>
      </c>
      <c r="I17" s="20">
        <v>0.6166666666666667</v>
      </c>
      <c r="J17" s="20">
        <v>0.46944444444444444</v>
      </c>
    </row>
    <row r="18" spans="2:10" ht="17.25" customHeight="1">
      <c r="B18" s="354" t="s">
        <v>104</v>
      </c>
      <c r="C18" s="355"/>
      <c r="D18" s="216">
        <f>VALUE('1116'!M15)</f>
        <v>14.8</v>
      </c>
      <c r="E18" s="216">
        <f>VALUE('1116'!M26)</f>
        <v>13.5</v>
      </c>
      <c r="F18" s="216">
        <f>VALUE('1116'!M37)</f>
        <v>15.25</v>
      </c>
      <c r="G18" s="216">
        <f>VALUE('1116'!M48)</f>
        <v>15</v>
      </c>
      <c r="H18" s="216">
        <f>VALUE('1116'!M58)</f>
        <v>17.333333333333332</v>
      </c>
      <c r="I18" s="216">
        <f>VALUE('1116'!M69)</f>
        <v>12.5</v>
      </c>
      <c r="J18" s="216">
        <f>VALUE('1116'!M79)</f>
        <v>13.75</v>
      </c>
    </row>
    <row r="19" spans="2:10" ht="17.25" customHeight="1">
      <c r="B19" s="354" t="s">
        <v>105</v>
      </c>
      <c r="C19" s="355"/>
      <c r="D19" s="213" t="s">
        <v>106</v>
      </c>
      <c r="E19" s="213" t="s">
        <v>106</v>
      </c>
      <c r="F19" s="213" t="s">
        <v>107</v>
      </c>
      <c r="G19" s="213" t="s">
        <v>107</v>
      </c>
      <c r="H19" s="213" t="s">
        <v>107</v>
      </c>
      <c r="I19" s="213" t="s">
        <v>108</v>
      </c>
      <c r="J19" s="213" t="s">
        <v>107</v>
      </c>
    </row>
    <row r="20" spans="2:10" ht="17.25" customHeight="1">
      <c r="B20" s="354" t="s">
        <v>110</v>
      </c>
      <c r="C20" s="355"/>
      <c r="D20" s="213"/>
      <c r="E20" s="213"/>
      <c r="F20" s="213"/>
      <c r="G20" s="217"/>
      <c r="H20" s="213" t="s">
        <v>109</v>
      </c>
      <c r="I20" s="213"/>
      <c r="J20" s="213"/>
    </row>
    <row r="21" spans="2:10" ht="17.25" customHeight="1">
      <c r="B21" s="354" t="s">
        <v>111</v>
      </c>
      <c r="C21" s="355"/>
      <c r="D21" s="273"/>
      <c r="E21" s="273"/>
      <c r="F21" s="273"/>
      <c r="G21" s="273"/>
      <c r="H21" s="273"/>
      <c r="I21" s="273"/>
      <c r="J21" s="273"/>
    </row>
    <row r="22" spans="2:10">
      <c r="B22" s="370"/>
      <c r="C22" s="370"/>
    </row>
  </sheetData>
  <mergeCells count="37">
    <mergeCell ref="J5:K5"/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J6:K6"/>
    <mergeCell ref="D7:E7"/>
    <mergeCell ref="F7:G7"/>
    <mergeCell ref="H7:I7"/>
    <mergeCell ref="J7:K7"/>
    <mergeCell ref="H8:I8"/>
    <mergeCell ref="B18:C18"/>
    <mergeCell ref="B19:C19"/>
    <mergeCell ref="D6:E6"/>
    <mergeCell ref="F6:G6"/>
    <mergeCell ref="H6:I6"/>
    <mergeCell ref="D10:J10"/>
    <mergeCell ref="B11:C12"/>
    <mergeCell ref="B13:B15"/>
    <mergeCell ref="B16:B17"/>
    <mergeCell ref="B10:C10"/>
    <mergeCell ref="J8:K8"/>
    <mergeCell ref="B5:C8"/>
    <mergeCell ref="D5:E5"/>
    <mergeCell ref="F5:G5"/>
    <mergeCell ref="H5:I5"/>
    <mergeCell ref="B20:C20"/>
    <mergeCell ref="B21:C21"/>
    <mergeCell ref="B22:C22"/>
    <mergeCell ref="D8:E8"/>
    <mergeCell ref="F8:G8"/>
  </mergeCells>
  <phoneticPr fontId="2" type="noConversion"/>
  <conditionalFormatting sqref="D15:J15">
    <cfRule type="cellIs" dxfId="149" priority="1" operator="lessThan">
      <formula>0.8</formula>
    </cfRule>
  </conditionalFormatting>
  <pageMargins left="0.7" right="0.7" top="0.75" bottom="0.75" header="0.3" footer="0.3"/>
  <pageSetup paperSize="8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39268-C84E-46E1-95F1-980D3A28DB12}">
  <sheetPr>
    <tabColor theme="9" tint="0.79998168889431442"/>
    <pageSetUpPr fitToPage="1"/>
  </sheetPr>
  <dimension ref="A1:AF92"/>
  <sheetViews>
    <sheetView zoomScale="69" zoomScaleNormal="69" workbookViewId="0">
      <pane xSplit="5" ySplit="4" topLeftCell="F59" activePane="bottomRight" state="frozen"/>
      <selection activeCell="T67" sqref="T67"/>
      <selection pane="topRight" activeCell="T67" sqref="T67"/>
      <selection pane="bottomLeft" activeCell="T67" sqref="T67"/>
      <selection pane="bottomRight" activeCell="O43" sqref="O43"/>
    </sheetView>
  </sheetViews>
  <sheetFormatPr defaultColWidth="7.875" defaultRowHeight="15.75"/>
  <cols>
    <col min="1" max="1" width="15" style="6" customWidth="1"/>
    <col min="2" max="2" width="12.875" style="6" customWidth="1"/>
    <col min="3" max="3" width="12.875" style="6" hidden="1" customWidth="1"/>
    <col min="4" max="4" width="26.125" style="6" bestFit="1" customWidth="1"/>
    <col min="5" max="5" width="15" style="6" customWidth="1"/>
    <col min="6" max="6" width="8.875" style="6" bestFit="1" customWidth="1"/>
    <col min="7" max="7" width="20.125" style="6" bestFit="1" customWidth="1"/>
    <col min="8" max="8" width="16.375" style="6" bestFit="1" customWidth="1"/>
    <col min="9" max="9" width="10.875" style="6" bestFit="1" customWidth="1"/>
    <col min="10" max="10" width="10.125" style="6" bestFit="1" customWidth="1"/>
    <col min="11" max="11" width="10.625" style="6" customWidth="1"/>
    <col min="12" max="12" width="14.5" style="6" customWidth="1"/>
    <col min="13" max="13" width="10.125" style="6" bestFit="1" customWidth="1"/>
    <col min="14" max="14" width="10.25" style="6" bestFit="1" customWidth="1"/>
    <col min="15" max="15" width="11.875" style="6" customWidth="1"/>
    <col min="16" max="17" width="9.125" style="6" bestFit="1" customWidth="1"/>
    <col min="18" max="18" width="9.125" style="6" customWidth="1"/>
    <col min="19" max="19" width="8.375" style="6" customWidth="1"/>
    <col min="20" max="21" width="9.375" style="6" bestFit="1" customWidth="1"/>
    <col min="22" max="22" width="10.625" style="6" customWidth="1"/>
    <col min="23" max="23" width="8.625" style="92" customWidth="1"/>
    <col min="24" max="24" width="7.5" style="6" bestFit="1" customWidth="1"/>
    <col min="25" max="25" width="6.875" style="6" customWidth="1"/>
    <col min="26" max="26" width="12.625" style="6" customWidth="1"/>
    <col min="27" max="27" width="33.375" style="6" customWidth="1"/>
    <col min="28" max="28" width="13.125" style="6" bestFit="1" customWidth="1"/>
    <col min="29" max="29" width="10.375" style="6" customWidth="1"/>
    <col min="30" max="30" width="9.125" style="6" customWidth="1"/>
    <col min="31" max="31" width="7.875" style="6"/>
    <col min="32" max="32" width="24.5" style="6" bestFit="1" customWidth="1"/>
    <col min="33" max="16384" width="7.875" style="6"/>
  </cols>
  <sheetData>
    <row r="1" spans="1:30" ht="21">
      <c r="A1" s="2" t="s">
        <v>72</v>
      </c>
      <c r="B1" s="2"/>
      <c r="C1" s="2"/>
      <c r="D1" s="176" t="s">
        <v>8</v>
      </c>
      <c r="E1" s="3">
        <f>SUM(G5:G79)</f>
        <v>56158</v>
      </c>
      <c r="F1" s="177" t="s">
        <v>9</v>
      </c>
      <c r="G1" s="4">
        <f>SUM(H5:H79)</f>
        <v>2716892.9700000007</v>
      </c>
      <c r="H1" s="175" t="s">
        <v>10</v>
      </c>
      <c r="I1" s="5">
        <f>M15+M26+M48+M58+M69+M79+M37</f>
        <v>102.13333333333333</v>
      </c>
      <c r="J1" s="371" t="s">
        <v>11</v>
      </c>
      <c r="K1" s="371"/>
      <c r="L1" s="371"/>
      <c r="M1" s="371" t="s">
        <v>12</v>
      </c>
      <c r="N1" s="371"/>
      <c r="O1" s="371"/>
      <c r="P1" s="371" t="s">
        <v>13</v>
      </c>
      <c r="Q1" s="371"/>
      <c r="R1" s="371"/>
      <c r="S1" s="371"/>
      <c r="T1" s="371" t="s">
        <v>14</v>
      </c>
      <c r="U1" s="371"/>
      <c r="V1" s="371"/>
      <c r="W1" s="371"/>
      <c r="X1" s="371"/>
      <c r="Y1" s="371"/>
      <c r="Z1" s="371" t="s">
        <v>15</v>
      </c>
      <c r="AA1" s="371"/>
      <c r="AB1" s="371" t="s">
        <v>16</v>
      </c>
      <c r="AC1" s="372"/>
      <c r="AD1" s="372"/>
    </row>
    <row r="2" spans="1:30" ht="18.75">
      <c r="A2" s="409" t="s">
        <v>202</v>
      </c>
      <c r="B2" s="409"/>
      <c r="C2" s="176"/>
      <c r="D2" s="176" t="s">
        <v>1</v>
      </c>
      <c r="E2" s="7">
        <f>AVERAGE(O15,O26,O37,O48,O58,O69,O79)</f>
        <v>103.9215662198943</v>
      </c>
      <c r="F2" s="8" t="s">
        <v>2</v>
      </c>
      <c r="G2" s="9">
        <f>G1/E1</f>
        <v>48.379446739556265</v>
      </c>
      <c r="H2" s="175" t="s">
        <v>17</v>
      </c>
      <c r="I2" s="175">
        <f>COUNT(I5:I79)</f>
        <v>0</v>
      </c>
      <c r="J2" s="371"/>
      <c r="K2" s="371"/>
      <c r="L2" s="371"/>
      <c r="M2" s="371"/>
      <c r="N2" s="371"/>
      <c r="O2" s="371"/>
      <c r="P2" s="371"/>
      <c r="Q2" s="371"/>
      <c r="R2" s="371"/>
      <c r="S2" s="371"/>
      <c r="T2" s="371"/>
      <c r="U2" s="371"/>
      <c r="V2" s="371"/>
      <c r="W2" s="371"/>
      <c r="X2" s="371"/>
      <c r="Y2" s="371"/>
      <c r="Z2" s="371"/>
      <c r="AA2" s="371"/>
      <c r="AB2" s="372"/>
      <c r="AC2" s="372"/>
      <c r="AD2" s="372"/>
    </row>
    <row r="3" spans="1:30">
      <c r="A3" s="405" t="s">
        <v>18</v>
      </c>
      <c r="B3" s="405" t="s">
        <v>19</v>
      </c>
      <c r="C3" s="177"/>
      <c r="D3" s="405" t="s">
        <v>20</v>
      </c>
      <c r="E3" s="405"/>
      <c r="F3" s="379" t="s">
        <v>21</v>
      </c>
      <c r="G3" s="389" t="s">
        <v>22</v>
      </c>
      <c r="H3" s="379" t="s">
        <v>23</v>
      </c>
      <c r="I3" s="381" t="s">
        <v>24</v>
      </c>
      <c r="J3" s="383" t="s">
        <v>25</v>
      </c>
      <c r="K3" s="385" t="s">
        <v>26</v>
      </c>
      <c r="L3" s="387" t="s">
        <v>1</v>
      </c>
      <c r="M3" s="389" t="s">
        <v>25</v>
      </c>
      <c r="N3" s="385" t="s">
        <v>26</v>
      </c>
      <c r="O3" s="387" t="s">
        <v>1</v>
      </c>
      <c r="P3" s="383" t="s">
        <v>25</v>
      </c>
      <c r="Q3" s="387" t="s">
        <v>1</v>
      </c>
      <c r="R3" s="392" t="s">
        <v>27</v>
      </c>
      <c r="S3" s="394" t="s">
        <v>28</v>
      </c>
      <c r="T3" s="389" t="s">
        <v>4</v>
      </c>
      <c r="U3" s="389"/>
      <c r="V3" s="408" t="s">
        <v>29</v>
      </c>
      <c r="W3" s="381" t="s">
        <v>30</v>
      </c>
      <c r="X3" s="389" t="s">
        <v>31</v>
      </c>
      <c r="Y3" s="389"/>
      <c r="Z3" s="415" t="s">
        <v>71</v>
      </c>
      <c r="AA3" s="416"/>
      <c r="AB3" s="385" t="s">
        <v>26</v>
      </c>
      <c r="AC3" s="392" t="s">
        <v>27</v>
      </c>
      <c r="AD3" s="394" t="s">
        <v>28</v>
      </c>
    </row>
    <row r="4" spans="1:30" ht="16.5" thickBot="1">
      <c r="A4" s="379"/>
      <c r="B4" s="379"/>
      <c r="C4" s="178"/>
      <c r="D4" s="379"/>
      <c r="E4" s="379"/>
      <c r="F4" s="380"/>
      <c r="G4" s="390"/>
      <c r="H4" s="380"/>
      <c r="I4" s="382"/>
      <c r="J4" s="384"/>
      <c r="K4" s="386"/>
      <c r="L4" s="388"/>
      <c r="M4" s="390"/>
      <c r="N4" s="386"/>
      <c r="O4" s="388"/>
      <c r="P4" s="384"/>
      <c r="Q4" s="388"/>
      <c r="R4" s="393"/>
      <c r="S4" s="395"/>
      <c r="T4" s="179" t="s">
        <v>5</v>
      </c>
      <c r="U4" s="179" t="s">
        <v>6</v>
      </c>
      <c r="V4" s="390"/>
      <c r="W4" s="382"/>
      <c r="X4" s="178" t="s">
        <v>32</v>
      </c>
      <c r="Y4" s="178" t="s">
        <v>33</v>
      </c>
      <c r="Z4" s="417"/>
      <c r="AA4" s="417"/>
      <c r="AB4" s="386"/>
      <c r="AC4" s="393"/>
      <c r="AD4" s="395"/>
    </row>
    <row r="5" spans="1:30" ht="15" customHeight="1">
      <c r="A5" s="411" t="s">
        <v>66</v>
      </c>
      <c r="B5" s="199" t="str">
        <f>VLOOKUP(D5,廠價表!$C$1:$E$39,2,0)</f>
        <v>義大利麵</v>
      </c>
      <c r="C5" s="102"/>
      <c r="D5" s="103" t="s">
        <v>127</v>
      </c>
      <c r="E5" s="104"/>
      <c r="F5" s="199">
        <f>VLOOKUP(D5,廠價表!$C$1:$E$39,3,0)</f>
        <v>57.21</v>
      </c>
      <c r="G5" s="105">
        <v>1697</v>
      </c>
      <c r="H5" s="106">
        <f>F5*G5</f>
        <v>97085.37</v>
      </c>
      <c r="I5" s="107"/>
      <c r="J5" s="108">
        <v>14</v>
      </c>
      <c r="K5" s="105">
        <f>VLOOKUP(D5,產線配置圖!$A$2:$C$38,3,0)</f>
        <v>2105</v>
      </c>
      <c r="L5" s="109">
        <f>K5/J5</f>
        <v>150.35714285714286</v>
      </c>
      <c r="M5" s="110">
        <v>14</v>
      </c>
      <c r="N5" s="105">
        <f t="shared" ref="N5:N8" si="0">G5/W5*60</f>
        <v>1921.1320754716994</v>
      </c>
      <c r="O5" s="109">
        <f t="shared" ref="O5:O8" si="1">N5/M5</f>
        <v>137.22371967654996</v>
      </c>
      <c r="P5" s="111">
        <f t="shared" ref="P5:P8" si="2">M5-J5</f>
        <v>0</v>
      </c>
      <c r="Q5" s="112">
        <f t="shared" ref="Q5:Q8" si="3">O5-L5</f>
        <v>-13.133423180592899</v>
      </c>
      <c r="R5" s="184">
        <f t="shared" ref="R5:R8" si="4">O5/L5</f>
        <v>0.91265181732622302</v>
      </c>
      <c r="S5" s="396">
        <f>R15</f>
        <v>0.95057600719316315</v>
      </c>
      <c r="T5" s="94">
        <v>0.2902777777777778</v>
      </c>
      <c r="U5" s="94">
        <v>0.32708333333333334</v>
      </c>
      <c r="V5" s="194"/>
      <c r="W5" s="107">
        <f t="shared" ref="W5:W14" si="5">(U5-T5)*24*60</f>
        <v>52.999999999999972</v>
      </c>
      <c r="X5" s="188"/>
      <c r="Y5" s="188"/>
      <c r="Z5" s="400"/>
      <c r="AA5" s="400"/>
      <c r="AB5" s="111">
        <f>N5-K5</f>
        <v>-183.86792452830059</v>
      </c>
      <c r="AC5" s="184">
        <f>N5/K5</f>
        <v>0.91265181732622302</v>
      </c>
      <c r="AD5" s="401">
        <f>AC15</f>
        <v>0.94894259173109186</v>
      </c>
    </row>
    <row r="6" spans="1:30" ht="15" customHeight="1">
      <c r="A6" s="412"/>
      <c r="B6" s="56" t="str">
        <f>VLOOKUP(D6,廠價表!$C$1:$E$39,2,0)</f>
        <v>義大利麵</v>
      </c>
      <c r="C6" s="10"/>
      <c r="D6" s="11" t="s">
        <v>153</v>
      </c>
      <c r="E6" s="86"/>
      <c r="F6" s="56">
        <f>VLOOKUP(D6,廠價表!$C$1:$E$39,3,0)</f>
        <v>50.67</v>
      </c>
      <c r="G6" s="25">
        <v>1142</v>
      </c>
      <c r="H6" s="15">
        <f t="shared" ref="H6:H14" si="6">F6*G6</f>
        <v>57865.14</v>
      </c>
      <c r="I6" s="182"/>
      <c r="J6" s="16">
        <v>14</v>
      </c>
      <c r="K6" s="14">
        <f>VLOOKUP(D6,產線配置圖!$A$2:$C$38,3,0)</f>
        <v>2000</v>
      </c>
      <c r="L6" s="17">
        <f>K6/J6</f>
        <v>142.85714285714286</v>
      </c>
      <c r="M6" s="180">
        <v>14</v>
      </c>
      <c r="N6" s="14">
        <f t="shared" si="0"/>
        <v>1957.714285714284</v>
      </c>
      <c r="O6" s="17">
        <f t="shared" si="1"/>
        <v>139.83673469387742</v>
      </c>
      <c r="P6" s="18">
        <f t="shared" si="2"/>
        <v>0</v>
      </c>
      <c r="Q6" s="19">
        <f t="shared" si="3"/>
        <v>-3.0204081632654436</v>
      </c>
      <c r="R6" s="185">
        <f t="shared" si="4"/>
        <v>0.97885714285714187</v>
      </c>
      <c r="S6" s="397"/>
      <c r="T6" s="95">
        <v>0.33541666666666664</v>
      </c>
      <c r="U6" s="95">
        <v>0.35972222222222222</v>
      </c>
      <c r="V6" s="177">
        <f>(T6-U5)*24*60</f>
        <v>11.999999999999957</v>
      </c>
      <c r="W6" s="182">
        <f t="shared" si="5"/>
        <v>35.000000000000036</v>
      </c>
      <c r="X6" s="22"/>
      <c r="Y6" s="22"/>
      <c r="Z6" s="381"/>
      <c r="AA6" s="381"/>
      <c r="AB6" s="18">
        <f>N6-K6</f>
        <v>-42.28571428571604</v>
      </c>
      <c r="AC6" s="185">
        <f>N6/K6</f>
        <v>0.97885714285714198</v>
      </c>
      <c r="AD6" s="402"/>
    </row>
    <row r="7" spans="1:30" ht="15" customHeight="1">
      <c r="A7" s="412"/>
      <c r="B7" s="56" t="str">
        <f>VLOOKUP(D7,廠價表!$C$1:$E$39,2,0)</f>
        <v>義大利麵</v>
      </c>
      <c r="C7" s="10"/>
      <c r="D7" s="11" t="s">
        <v>139</v>
      </c>
      <c r="E7" s="86"/>
      <c r="F7" s="56">
        <f>VLOOKUP(D7,廠價表!$C$1:$E$39,3,0)</f>
        <v>57.21</v>
      </c>
      <c r="G7" s="25">
        <v>2131</v>
      </c>
      <c r="H7" s="15">
        <f t="shared" si="6"/>
        <v>121914.51</v>
      </c>
      <c r="I7" s="182"/>
      <c r="J7" s="16">
        <v>18</v>
      </c>
      <c r="K7" s="14">
        <f>VLOOKUP(D7,產線配置圖!$A$2:$C$38,3,0)</f>
        <v>1895</v>
      </c>
      <c r="L7" s="17">
        <f>K7/J7</f>
        <v>105.27777777777777</v>
      </c>
      <c r="M7" s="180">
        <v>18</v>
      </c>
      <c r="N7" s="14">
        <f t="shared" si="0"/>
        <v>1727.8378378378366</v>
      </c>
      <c r="O7" s="17">
        <f t="shared" si="1"/>
        <v>95.990990990990923</v>
      </c>
      <c r="P7" s="18">
        <f t="shared" si="2"/>
        <v>0</v>
      </c>
      <c r="Q7" s="19">
        <f t="shared" si="3"/>
        <v>-9.2867867867868483</v>
      </c>
      <c r="R7" s="185">
        <f t="shared" si="4"/>
        <v>0.91178777722313287</v>
      </c>
      <c r="S7" s="397"/>
      <c r="T7" s="95">
        <v>0.3659722222222222</v>
      </c>
      <c r="U7" s="95">
        <v>0.41736111111111113</v>
      </c>
      <c r="V7" s="177">
        <f>(T7-U6)*24*60</f>
        <v>8.999999999999968</v>
      </c>
      <c r="W7" s="182">
        <f t="shared" si="5"/>
        <v>74.000000000000057</v>
      </c>
      <c r="X7" s="22"/>
      <c r="Y7" s="22"/>
      <c r="Z7" s="405"/>
      <c r="AA7" s="405"/>
      <c r="AB7" s="18">
        <f>N7-K7</f>
        <v>-167.16216216216344</v>
      </c>
      <c r="AC7" s="185">
        <f>N7/K7</f>
        <v>0.91178777722313276</v>
      </c>
      <c r="AD7" s="402"/>
    </row>
    <row r="8" spans="1:30" ht="15" customHeight="1">
      <c r="A8" s="412"/>
      <c r="B8" s="56" t="str">
        <f>VLOOKUP(D8,廠價表!$C$1:$E$39,2,0)</f>
        <v>義大利麵</v>
      </c>
      <c r="C8" s="10"/>
      <c r="D8" s="11" t="s">
        <v>141</v>
      </c>
      <c r="E8" s="86"/>
      <c r="F8" s="56">
        <f>VLOOKUP(D8,廠價表!$C$1:$E$39,3,0)</f>
        <v>49.14</v>
      </c>
      <c r="G8" s="25">
        <v>2512</v>
      </c>
      <c r="H8" s="15">
        <f t="shared" si="6"/>
        <v>123439.68000000001</v>
      </c>
      <c r="I8" s="182"/>
      <c r="J8" s="16">
        <v>14</v>
      </c>
      <c r="K8" s="14">
        <f>VLOOKUP(D8,產線配置圖!$A$2:$C$38,3,0)</f>
        <v>2000</v>
      </c>
      <c r="L8" s="17">
        <f t="shared" ref="L8" si="7">K8/J8</f>
        <v>142.85714285714286</v>
      </c>
      <c r="M8" s="180">
        <v>14</v>
      </c>
      <c r="N8" s="14">
        <f t="shared" si="0"/>
        <v>1907.8481012658217</v>
      </c>
      <c r="O8" s="17">
        <f t="shared" si="1"/>
        <v>136.27486437613013</v>
      </c>
      <c r="P8" s="18">
        <f t="shared" si="2"/>
        <v>0</v>
      </c>
      <c r="Q8" s="19">
        <f t="shared" si="3"/>
        <v>-6.5822784810127359</v>
      </c>
      <c r="R8" s="185">
        <f t="shared" si="4"/>
        <v>0.95392405063291086</v>
      </c>
      <c r="S8" s="397"/>
      <c r="T8" s="20">
        <v>0.42430555555555555</v>
      </c>
      <c r="U8" s="20">
        <v>0.47916666666666669</v>
      </c>
      <c r="V8" s="177">
        <f>(T8-U7)*24*60</f>
        <v>9.9999999999999645</v>
      </c>
      <c r="W8" s="182">
        <f t="shared" si="5"/>
        <v>79.000000000000043</v>
      </c>
      <c r="X8" s="22">
        <v>0.48958333333333331</v>
      </c>
      <c r="Y8" s="22">
        <v>0.53125</v>
      </c>
      <c r="Z8" s="406"/>
      <c r="AA8" s="406"/>
      <c r="AB8" s="18">
        <f>N8-K8</f>
        <v>-92.151898734178303</v>
      </c>
      <c r="AC8" s="185">
        <f>N8/K8</f>
        <v>0.95392405063291086</v>
      </c>
      <c r="AD8" s="402"/>
    </row>
    <row r="9" spans="1:30" ht="15" customHeight="1">
      <c r="A9" s="413"/>
      <c r="B9" s="56" t="s">
        <v>134</v>
      </c>
      <c r="C9" s="10"/>
      <c r="D9" s="11" t="s">
        <v>141</v>
      </c>
      <c r="E9" s="86"/>
      <c r="F9" s="56">
        <v>49.14</v>
      </c>
      <c r="G9" s="25">
        <v>3679</v>
      </c>
      <c r="H9" s="15">
        <f t="shared" si="6"/>
        <v>180786.06</v>
      </c>
      <c r="I9" s="182"/>
      <c r="J9" s="16">
        <v>14</v>
      </c>
      <c r="K9" s="14">
        <v>2000</v>
      </c>
      <c r="L9" s="17">
        <v>142.85714285714286</v>
      </c>
      <c r="M9" s="180">
        <v>14</v>
      </c>
      <c r="N9" s="14">
        <v>1974.8936170212771</v>
      </c>
      <c r="O9" s="17">
        <v>141.06382978723408</v>
      </c>
      <c r="P9" s="18">
        <v>0</v>
      </c>
      <c r="Q9" s="19">
        <v>-1.7933130699087769</v>
      </c>
      <c r="R9" s="185">
        <v>0.9874468085106386</v>
      </c>
      <c r="S9" s="398"/>
      <c r="T9" s="79">
        <v>0.54027777777777775</v>
      </c>
      <c r="U9" s="79">
        <v>0.61805555555555558</v>
      </c>
      <c r="V9" s="177"/>
      <c r="W9" s="24">
        <f t="shared" si="5"/>
        <v>112.00000000000009</v>
      </c>
      <c r="X9" s="22"/>
      <c r="Y9" s="263"/>
      <c r="Z9" s="407"/>
      <c r="AA9" s="407"/>
      <c r="AB9" s="18"/>
      <c r="AC9" s="185"/>
      <c r="AD9" s="403"/>
    </row>
    <row r="10" spans="1:30" ht="15" customHeight="1">
      <c r="A10" s="413"/>
      <c r="B10" s="56"/>
      <c r="C10" s="23"/>
      <c r="D10" s="11"/>
      <c r="E10" s="12"/>
      <c r="F10" s="56"/>
      <c r="G10" s="25"/>
      <c r="H10" s="15"/>
      <c r="I10" s="182"/>
      <c r="J10" s="16"/>
      <c r="K10" s="14"/>
      <c r="L10" s="17"/>
      <c r="M10" s="180"/>
      <c r="N10" s="14"/>
      <c r="O10" s="17"/>
      <c r="P10" s="18"/>
      <c r="Q10" s="19"/>
      <c r="R10" s="185"/>
      <c r="S10" s="398"/>
      <c r="T10" s="20"/>
      <c r="U10" s="20"/>
      <c r="V10" s="177"/>
      <c r="W10" s="182">
        <f t="shared" si="5"/>
        <v>0</v>
      </c>
      <c r="X10" s="22"/>
      <c r="Y10" s="263"/>
      <c r="Z10" s="419"/>
      <c r="AA10" s="418"/>
      <c r="AB10" s="264"/>
      <c r="AC10" s="185"/>
      <c r="AD10" s="403"/>
    </row>
    <row r="11" spans="1:30" ht="15" customHeight="1">
      <c r="A11" s="413"/>
      <c r="B11" s="56"/>
      <c r="C11" s="183"/>
      <c r="D11" s="11"/>
      <c r="E11" s="12"/>
      <c r="F11" s="56"/>
      <c r="G11" s="25"/>
      <c r="H11" s="15">
        <f t="shared" si="6"/>
        <v>0</v>
      </c>
      <c r="I11" s="182"/>
      <c r="J11" s="16"/>
      <c r="K11" s="14"/>
      <c r="L11" s="17"/>
      <c r="M11" s="180"/>
      <c r="N11" s="14"/>
      <c r="O11" s="17"/>
      <c r="P11" s="18"/>
      <c r="Q11" s="19"/>
      <c r="R11" s="185"/>
      <c r="S11" s="398"/>
      <c r="T11" s="20"/>
      <c r="U11" s="20"/>
      <c r="V11" s="177"/>
      <c r="W11" s="24">
        <f t="shared" si="5"/>
        <v>0</v>
      </c>
      <c r="X11" s="22"/>
      <c r="Y11" s="263"/>
      <c r="Z11" s="419"/>
      <c r="AA11" s="418"/>
      <c r="AB11" s="264"/>
      <c r="AC11" s="185"/>
      <c r="AD11" s="403"/>
    </row>
    <row r="12" spans="1:30" ht="15" customHeight="1">
      <c r="A12" s="413"/>
      <c r="B12" s="26"/>
      <c r="C12" s="27"/>
      <c r="D12" s="28"/>
      <c r="E12" s="29"/>
      <c r="F12" s="13"/>
      <c r="G12" s="30"/>
      <c r="H12" s="15">
        <f t="shared" si="6"/>
        <v>0</v>
      </c>
      <c r="I12" s="178"/>
      <c r="J12" s="31"/>
      <c r="K12" s="30"/>
      <c r="L12" s="17"/>
      <c r="M12" s="181"/>
      <c r="N12" s="25"/>
      <c r="O12" s="17"/>
      <c r="P12" s="18"/>
      <c r="Q12" s="19"/>
      <c r="R12" s="185"/>
      <c r="S12" s="398"/>
      <c r="T12" s="32"/>
      <c r="U12" s="32"/>
      <c r="V12" s="178"/>
      <c r="W12" s="24">
        <f t="shared" si="5"/>
        <v>0</v>
      </c>
      <c r="X12" s="33"/>
      <c r="Y12" s="33"/>
      <c r="Z12" s="407"/>
      <c r="AA12" s="407"/>
      <c r="AB12" s="34"/>
      <c r="AC12" s="186"/>
      <c r="AD12" s="403"/>
    </row>
    <row r="13" spans="1:30" ht="15" customHeight="1">
      <c r="A13" s="413"/>
      <c r="B13" s="56"/>
      <c r="C13" s="10"/>
      <c r="D13" s="11"/>
      <c r="E13" s="86"/>
      <c r="F13" s="56"/>
      <c r="G13" s="25"/>
      <c r="H13" s="15"/>
      <c r="I13" s="182"/>
      <c r="J13" s="16"/>
      <c r="K13" s="14"/>
      <c r="L13" s="17"/>
      <c r="M13" s="180"/>
      <c r="N13" s="14"/>
      <c r="O13" s="17"/>
      <c r="P13" s="18"/>
      <c r="Q13" s="19"/>
      <c r="R13" s="185"/>
      <c r="S13" s="479"/>
      <c r="T13" s="309"/>
      <c r="U13" s="309"/>
      <c r="V13" s="26"/>
      <c r="W13" s="24">
        <f t="shared" si="5"/>
        <v>0</v>
      </c>
      <c r="X13" s="33"/>
      <c r="Y13" s="33"/>
      <c r="Z13" s="419"/>
      <c r="AA13" s="418"/>
      <c r="AB13" s="34"/>
      <c r="AC13" s="186"/>
      <c r="AD13" s="403"/>
    </row>
    <row r="14" spans="1:30" ht="15" customHeight="1">
      <c r="A14" s="413"/>
      <c r="B14" s="26"/>
      <c r="C14" s="27"/>
      <c r="D14" s="28"/>
      <c r="E14" s="29"/>
      <c r="F14" s="13"/>
      <c r="G14" s="30"/>
      <c r="H14" s="15">
        <f t="shared" si="6"/>
        <v>0</v>
      </c>
      <c r="I14" s="178"/>
      <c r="J14" s="31"/>
      <c r="K14" s="30"/>
      <c r="L14" s="17"/>
      <c r="M14" s="181"/>
      <c r="N14" s="25"/>
      <c r="O14" s="17"/>
      <c r="P14" s="18"/>
      <c r="Q14" s="19"/>
      <c r="R14" s="185"/>
      <c r="S14" s="398"/>
      <c r="T14" s="308"/>
      <c r="U14" s="308"/>
      <c r="V14" s="178"/>
      <c r="W14" s="24">
        <f t="shared" si="5"/>
        <v>0</v>
      </c>
      <c r="X14" s="33"/>
      <c r="Y14" s="33"/>
      <c r="Z14" s="419"/>
      <c r="AA14" s="418"/>
      <c r="AB14" s="34"/>
      <c r="AC14" s="186"/>
      <c r="AD14" s="403"/>
    </row>
    <row r="15" spans="1:30" ht="15" customHeight="1" thickBot="1">
      <c r="A15" s="414"/>
      <c r="B15" s="113"/>
      <c r="C15" s="113" t="s">
        <v>34</v>
      </c>
      <c r="D15" s="410" t="s">
        <v>7</v>
      </c>
      <c r="E15" s="410"/>
      <c r="F15" s="114"/>
      <c r="G15" s="115"/>
      <c r="H15" s="116"/>
      <c r="I15" s="117"/>
      <c r="J15" s="118">
        <f t="shared" ref="J15:O15" si="8">AVERAGE(J5:J14)</f>
        <v>14.8</v>
      </c>
      <c r="K15" s="118">
        <f t="shared" si="8"/>
        <v>2000</v>
      </c>
      <c r="L15" s="115">
        <f t="shared" si="8"/>
        <v>136.84126984126985</v>
      </c>
      <c r="M15" s="118">
        <f t="shared" si="8"/>
        <v>14.8</v>
      </c>
      <c r="N15" s="118">
        <f t="shared" si="8"/>
        <v>1897.8851834621837</v>
      </c>
      <c r="O15" s="115">
        <f t="shared" si="8"/>
        <v>130.07802790495651</v>
      </c>
      <c r="P15" s="119">
        <f t="shared" ref="P15:P16" si="9">M15-J15</f>
        <v>0</v>
      </c>
      <c r="Q15" s="120">
        <f t="shared" ref="Q15:Q16" si="10">O15-L15</f>
        <v>-6.7632419363133351</v>
      </c>
      <c r="R15" s="121">
        <f t="shared" ref="R15:R16" si="11">O15/L15</f>
        <v>0.95057600719316315</v>
      </c>
      <c r="S15" s="399"/>
      <c r="T15" s="122"/>
      <c r="U15" s="122"/>
      <c r="V15" s="195"/>
      <c r="W15" s="123"/>
      <c r="X15" s="124"/>
      <c r="Y15" s="124"/>
      <c r="Z15" s="391"/>
      <c r="AA15" s="391"/>
      <c r="AB15" s="119">
        <f>N15-K15</f>
        <v>-102.1148165378163</v>
      </c>
      <c r="AC15" s="187">
        <f>N15/K15</f>
        <v>0.94894259173109186</v>
      </c>
      <c r="AD15" s="404"/>
    </row>
    <row r="16" spans="1:30" ht="15" customHeight="1">
      <c r="A16" s="431" t="s">
        <v>67</v>
      </c>
      <c r="B16" s="199" t="s">
        <v>134</v>
      </c>
      <c r="C16" s="102"/>
      <c r="D16" s="103" t="s">
        <v>127</v>
      </c>
      <c r="E16" s="104"/>
      <c r="F16" s="199">
        <f>VLOOKUP(D16,廠價表!$C$1:$E$39,3,0)</f>
        <v>57.21</v>
      </c>
      <c r="G16" s="265">
        <v>1523</v>
      </c>
      <c r="H16" s="125">
        <f t="shared" ref="H16:H25" si="12">F16*G16</f>
        <v>87130.83</v>
      </c>
      <c r="I16" s="126"/>
      <c r="J16" s="108">
        <v>14</v>
      </c>
      <c r="K16" s="105">
        <f>VLOOKUP(D16,產線配置圖!$A$2:$C$38,3,0)</f>
        <v>2105</v>
      </c>
      <c r="L16" s="109">
        <f>K16/J16</f>
        <v>150.35714285714286</v>
      </c>
      <c r="M16" s="267">
        <v>14</v>
      </c>
      <c r="N16" s="127">
        <f>G16/W16*60</f>
        <v>1903.7500000000005</v>
      </c>
      <c r="O16" s="128">
        <f>N16/M16</f>
        <v>135.98214285714289</v>
      </c>
      <c r="P16" s="129">
        <f t="shared" si="9"/>
        <v>0</v>
      </c>
      <c r="Q16" s="130">
        <f t="shared" si="10"/>
        <v>-14.374999999999972</v>
      </c>
      <c r="R16" s="189">
        <f t="shared" si="11"/>
        <v>0.90439429928741111</v>
      </c>
      <c r="S16" s="424">
        <f>R26</f>
        <v>0.94806632011933401</v>
      </c>
      <c r="T16" s="268">
        <v>0.2902777777777778</v>
      </c>
      <c r="U16" s="268">
        <v>0.32361111111111113</v>
      </c>
      <c r="V16" s="126"/>
      <c r="W16" s="131">
        <f t="shared" ref="W16:W68" si="13">(U16-T16)*24*60</f>
        <v>47.999999999999986</v>
      </c>
      <c r="X16" s="128"/>
      <c r="Y16" s="128"/>
      <c r="Z16" s="400"/>
      <c r="AA16" s="400"/>
      <c r="AB16" s="111">
        <f>N16-K16</f>
        <v>-201.24999999999955</v>
      </c>
      <c r="AC16" s="184">
        <f>N16/K16</f>
        <v>0.90439429928741111</v>
      </c>
      <c r="AD16" s="401">
        <f>AC26</f>
        <v>0.94739714679996423</v>
      </c>
    </row>
    <row r="17" spans="1:30" ht="15" customHeight="1">
      <c r="A17" s="432"/>
      <c r="B17" s="56" t="s">
        <v>62</v>
      </c>
      <c r="C17" s="10"/>
      <c r="D17" s="11" t="s">
        <v>153</v>
      </c>
      <c r="E17" s="86"/>
      <c r="F17" s="56">
        <f>VLOOKUP(D17,廠價表!$C$1:$E$39,3,0)</f>
        <v>50.67</v>
      </c>
      <c r="G17" s="96">
        <v>3888</v>
      </c>
      <c r="H17" s="15">
        <f>F17*G17</f>
        <v>197004.96000000002</v>
      </c>
      <c r="I17" s="177"/>
      <c r="J17" s="16">
        <v>14</v>
      </c>
      <c r="K17" s="14">
        <f>VLOOKUP(D17,產線配置圖!$A$2:$C$38,3,0)</f>
        <v>2000</v>
      </c>
      <c r="L17" s="17">
        <f>K17/J17</f>
        <v>142.85714285714286</v>
      </c>
      <c r="M17" s="37">
        <v>14</v>
      </c>
      <c r="N17" s="36">
        <f>G17/W17*60</f>
        <v>1912.131147540983</v>
      </c>
      <c r="O17" s="38">
        <f>N17/M17</f>
        <v>136.58079625292734</v>
      </c>
      <c r="P17" s="39">
        <f>M17-J17</f>
        <v>0</v>
      </c>
      <c r="Q17" s="40">
        <f>O17-L17</f>
        <v>-6.2763466042155187</v>
      </c>
      <c r="R17" s="190">
        <f>O17/L17</f>
        <v>0.95606557377049139</v>
      </c>
      <c r="S17" s="425"/>
      <c r="T17" s="41">
        <v>0.33194444444444443</v>
      </c>
      <c r="U17" s="41">
        <v>0.41666666666666669</v>
      </c>
      <c r="V17" s="177">
        <f>(T17-U16)*24*60</f>
        <v>11.999999999999957</v>
      </c>
      <c r="W17" s="43">
        <f t="shared" si="13"/>
        <v>122.00000000000004</v>
      </c>
      <c r="X17" s="44"/>
      <c r="Y17" s="44"/>
      <c r="Z17" s="381"/>
      <c r="AA17" s="381"/>
      <c r="AB17" s="18">
        <f>N17-K17</f>
        <v>-87.868852459017035</v>
      </c>
      <c r="AC17" s="185">
        <f>N17/K17</f>
        <v>0.95606557377049151</v>
      </c>
      <c r="AD17" s="402"/>
    </row>
    <row r="18" spans="1:30" ht="15" customHeight="1">
      <c r="A18" s="432"/>
      <c r="B18" s="56" t="s">
        <v>62</v>
      </c>
      <c r="C18" s="10"/>
      <c r="D18" s="11" t="s">
        <v>131</v>
      </c>
      <c r="E18" s="86"/>
      <c r="F18" s="56">
        <f>VLOOKUP(D18,廠價表!$C$1:$E$39,3,0)</f>
        <v>50.39</v>
      </c>
      <c r="G18" s="96">
        <v>2504</v>
      </c>
      <c r="H18" s="15">
        <f>F18*G18</f>
        <v>126176.56</v>
      </c>
      <c r="I18" s="177"/>
      <c r="J18" s="16">
        <v>13</v>
      </c>
      <c r="K18" s="14">
        <f>VLOOKUP(D18,產線配置圖!$A$2:$C$38,3,0)</f>
        <v>2000</v>
      </c>
      <c r="L18" s="17">
        <f>K18/J18</f>
        <v>153.84615384615384</v>
      </c>
      <c r="M18" s="37">
        <v>13</v>
      </c>
      <c r="N18" s="36">
        <f>G18/W18*60</f>
        <v>1877.9999999999993</v>
      </c>
      <c r="O18" s="38">
        <f>N18/M18</f>
        <v>144.4615384615384</v>
      </c>
      <c r="P18" s="39">
        <f>M18-J18</f>
        <v>0</v>
      </c>
      <c r="Q18" s="40">
        <f>O18-L18</f>
        <v>-9.3846153846154436</v>
      </c>
      <c r="R18" s="190">
        <f>O18/L18</f>
        <v>0.93899999999999961</v>
      </c>
      <c r="S18" s="425"/>
      <c r="T18" s="41">
        <v>0.4236111111111111</v>
      </c>
      <c r="U18" s="41">
        <v>0.47916666666666669</v>
      </c>
      <c r="V18" s="177">
        <f>(T18-U17)*24*60</f>
        <v>9.9999999999999645</v>
      </c>
      <c r="W18" s="43">
        <f t="shared" si="13"/>
        <v>80.000000000000028</v>
      </c>
      <c r="X18" s="22"/>
      <c r="Y18" s="22"/>
      <c r="Z18" s="418"/>
      <c r="AA18" s="405"/>
      <c r="AB18" s="18">
        <f>N18-K18</f>
        <v>-122.00000000000068</v>
      </c>
      <c r="AC18" s="185">
        <f>N18/K18</f>
        <v>0.93899999999999961</v>
      </c>
      <c r="AD18" s="402"/>
    </row>
    <row r="19" spans="1:30" ht="15" customHeight="1">
      <c r="A19" s="432"/>
      <c r="B19" s="56" t="s">
        <v>62</v>
      </c>
      <c r="C19" s="23"/>
      <c r="D19" s="11" t="s">
        <v>131</v>
      </c>
      <c r="E19" s="12"/>
      <c r="F19" s="56">
        <f>VLOOKUP(D19,廠價表!$C$1:$E$39,3,0)</f>
        <v>50.39</v>
      </c>
      <c r="G19" s="96">
        <v>2911</v>
      </c>
      <c r="H19" s="15">
        <f t="shared" ref="H19" si="14">F19*G19</f>
        <v>146685.29</v>
      </c>
      <c r="I19" s="177"/>
      <c r="J19" s="16">
        <v>13</v>
      </c>
      <c r="K19" s="14">
        <f>VLOOKUP(D19,產線配置圖!$A$2:$C$38,3,0)</f>
        <v>2000</v>
      </c>
      <c r="L19" s="17">
        <f t="shared" ref="L19" si="15">K19/J19</f>
        <v>153.84615384615384</v>
      </c>
      <c r="M19" s="37">
        <v>13</v>
      </c>
      <c r="N19" s="36">
        <f>G19/W19*60</f>
        <v>1984.7727272727273</v>
      </c>
      <c r="O19" s="38">
        <f>N19/M19</f>
        <v>152.67482517482517</v>
      </c>
      <c r="P19" s="39">
        <f>M19-J19</f>
        <v>0</v>
      </c>
      <c r="Q19" s="40">
        <f>O19-L19</f>
        <v>-1.1713286713286664</v>
      </c>
      <c r="R19" s="190">
        <f>O19/L19</f>
        <v>0.99238636363636368</v>
      </c>
      <c r="S19" s="425"/>
      <c r="T19" s="41">
        <v>0.54027777777777775</v>
      </c>
      <c r="U19" s="41">
        <v>0.60138888888888886</v>
      </c>
      <c r="V19" s="177">
        <f>(T19-U18)*24*60</f>
        <v>87.999999999999929</v>
      </c>
      <c r="W19" s="43">
        <f t="shared" si="13"/>
        <v>88</v>
      </c>
      <c r="X19" s="22">
        <v>0.48958333333333331</v>
      </c>
      <c r="Y19" s="22">
        <v>0.53125</v>
      </c>
      <c r="Z19" s="407"/>
      <c r="AA19" s="407"/>
      <c r="AB19" s="18">
        <f>N19-K19</f>
        <v>-15.227272727272748</v>
      </c>
      <c r="AC19" s="185">
        <f>N19/K19</f>
        <v>0.99238636363636368</v>
      </c>
      <c r="AD19" s="403"/>
    </row>
    <row r="20" spans="1:30" ht="15" customHeight="1">
      <c r="A20" s="432"/>
      <c r="B20" s="56"/>
      <c r="C20" s="23"/>
      <c r="D20" s="11"/>
      <c r="E20" s="12"/>
      <c r="F20" s="56"/>
      <c r="G20" s="96"/>
      <c r="H20" s="15"/>
      <c r="I20" s="177"/>
      <c r="J20" s="16"/>
      <c r="K20" s="14"/>
      <c r="L20" s="17"/>
      <c r="M20" s="37"/>
      <c r="N20" s="36"/>
      <c r="O20" s="38"/>
      <c r="P20" s="39"/>
      <c r="Q20" s="40"/>
      <c r="R20" s="190"/>
      <c r="S20" s="425"/>
      <c r="T20" s="41"/>
      <c r="U20" s="41"/>
      <c r="V20" s="177"/>
      <c r="W20" s="43">
        <f t="shared" si="13"/>
        <v>0</v>
      </c>
      <c r="X20" s="44"/>
      <c r="Y20" s="44"/>
      <c r="Z20" s="418"/>
      <c r="AA20" s="405"/>
      <c r="AB20" s="34"/>
      <c r="AC20" s="186"/>
      <c r="AD20" s="403"/>
    </row>
    <row r="21" spans="1:30" ht="15" customHeight="1">
      <c r="A21" s="433"/>
      <c r="B21" s="177"/>
      <c r="C21" s="23"/>
      <c r="D21" s="11"/>
      <c r="E21" s="12"/>
      <c r="F21" s="13"/>
      <c r="G21" s="36"/>
      <c r="H21" s="15">
        <f t="shared" si="12"/>
        <v>0</v>
      </c>
      <c r="I21" s="43"/>
      <c r="J21" s="37"/>
      <c r="K21" s="36"/>
      <c r="L21" s="38"/>
      <c r="M21" s="37"/>
      <c r="N21" s="36"/>
      <c r="O21" s="38"/>
      <c r="P21" s="39"/>
      <c r="Q21" s="40"/>
      <c r="R21" s="190"/>
      <c r="S21" s="425"/>
      <c r="T21" s="41"/>
      <c r="U21" s="41"/>
      <c r="V21" s="42"/>
      <c r="W21" s="43">
        <v>0</v>
      </c>
      <c r="X21" s="42"/>
      <c r="Y21" s="42"/>
      <c r="Z21" s="418"/>
      <c r="AA21" s="405"/>
      <c r="AB21" s="34"/>
      <c r="AC21" s="186"/>
      <c r="AD21" s="403"/>
    </row>
    <row r="22" spans="1:30" ht="15" customHeight="1">
      <c r="A22" s="433"/>
      <c r="B22" s="177"/>
      <c r="C22" s="183"/>
      <c r="D22" s="11"/>
      <c r="E22" s="12"/>
      <c r="F22" s="13"/>
      <c r="G22" s="36"/>
      <c r="H22" s="15">
        <f t="shared" si="12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90"/>
      <c r="S22" s="425"/>
      <c r="T22" s="41"/>
      <c r="U22" s="41"/>
      <c r="V22" s="42"/>
      <c r="W22" s="43">
        <v>0</v>
      </c>
      <c r="X22" s="42"/>
      <c r="Y22" s="42"/>
      <c r="Z22" s="418"/>
      <c r="AA22" s="405"/>
      <c r="AB22" s="34"/>
      <c r="AC22" s="186"/>
      <c r="AD22" s="403"/>
    </row>
    <row r="23" spans="1:30" ht="15" customHeight="1">
      <c r="A23" s="433"/>
      <c r="B23" s="26"/>
      <c r="C23" s="27"/>
      <c r="D23" s="28"/>
      <c r="E23" s="29"/>
      <c r="F23" s="13"/>
      <c r="G23" s="36"/>
      <c r="H23" s="15">
        <f t="shared" si="12"/>
        <v>0</v>
      </c>
      <c r="I23" s="43"/>
      <c r="J23" s="37"/>
      <c r="K23" s="36"/>
      <c r="L23" s="38"/>
      <c r="M23" s="37"/>
      <c r="N23" s="36"/>
      <c r="O23" s="38"/>
      <c r="P23" s="39"/>
      <c r="Q23" s="40"/>
      <c r="R23" s="190"/>
      <c r="S23" s="425"/>
      <c r="T23" s="41"/>
      <c r="U23" s="41"/>
      <c r="W23" s="43">
        <f t="shared" si="13"/>
        <v>0</v>
      </c>
      <c r="X23" s="42"/>
      <c r="Y23" s="42"/>
      <c r="Z23" s="418"/>
      <c r="AA23" s="405"/>
      <c r="AB23" s="34"/>
      <c r="AC23" s="186"/>
      <c r="AD23" s="403"/>
    </row>
    <row r="24" spans="1:30" ht="15" customHeight="1">
      <c r="A24" s="433"/>
      <c r="B24" s="26"/>
      <c r="C24" s="27"/>
      <c r="D24" s="28"/>
      <c r="E24" s="29"/>
      <c r="F24" s="13"/>
      <c r="G24" s="36"/>
      <c r="H24" s="15">
        <f t="shared" si="12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90"/>
      <c r="S24" s="425"/>
      <c r="T24" s="41"/>
      <c r="U24" s="41"/>
      <c r="V24" s="42"/>
      <c r="W24" s="43">
        <f t="shared" si="13"/>
        <v>0</v>
      </c>
      <c r="X24" s="42"/>
      <c r="Y24" s="42"/>
      <c r="Z24" s="418"/>
      <c r="AA24" s="405"/>
      <c r="AB24" s="34"/>
      <c r="AC24" s="186"/>
      <c r="AD24" s="403"/>
    </row>
    <row r="25" spans="1:30" ht="15" customHeight="1">
      <c r="A25" s="433"/>
      <c r="B25" s="26"/>
      <c r="C25" s="27"/>
      <c r="D25" s="28"/>
      <c r="E25" s="29"/>
      <c r="F25" s="13"/>
      <c r="G25" s="36"/>
      <c r="H25" s="50">
        <f t="shared" si="12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90"/>
      <c r="S25" s="425"/>
      <c r="T25" s="41"/>
      <c r="U25" s="41"/>
      <c r="V25" s="42"/>
      <c r="W25" s="43">
        <f t="shared" si="13"/>
        <v>0</v>
      </c>
      <c r="X25" s="42"/>
      <c r="Y25" s="42"/>
      <c r="Z25" s="418"/>
      <c r="AA25" s="405"/>
      <c r="AB25" s="34"/>
      <c r="AC25" s="186"/>
      <c r="AD25" s="403"/>
    </row>
    <row r="26" spans="1:30" ht="15" customHeight="1" thickBot="1">
      <c r="A26" s="434"/>
      <c r="B26" s="132"/>
      <c r="C26" s="1" t="s">
        <v>35</v>
      </c>
      <c r="D26" s="410" t="s">
        <v>7</v>
      </c>
      <c r="E26" s="410"/>
      <c r="F26" s="133"/>
      <c r="G26" s="134"/>
      <c r="H26" s="135"/>
      <c r="I26" s="136"/>
      <c r="J26" s="134">
        <f t="shared" ref="J26:O26" si="16">AVERAGE(J16:J25)</f>
        <v>13.5</v>
      </c>
      <c r="K26" s="134">
        <f t="shared" si="16"/>
        <v>2026.25</v>
      </c>
      <c r="L26" s="137">
        <f t="shared" si="16"/>
        <v>150.22664835164835</v>
      </c>
      <c r="M26" s="134">
        <f t="shared" si="16"/>
        <v>13.5</v>
      </c>
      <c r="N26" s="134">
        <f t="shared" si="16"/>
        <v>1919.6634687034275</v>
      </c>
      <c r="O26" s="137">
        <f t="shared" si="16"/>
        <v>142.42482568660847</v>
      </c>
      <c r="P26" s="138">
        <f t="shared" ref="P26:P30" si="17">M26-J26</f>
        <v>0</v>
      </c>
      <c r="Q26" s="139">
        <f t="shared" ref="Q26:Q30" si="18">O26-L26</f>
        <v>-7.8018226650398788</v>
      </c>
      <c r="R26" s="140">
        <f t="shared" ref="R26:R30" si="19">O26/L26</f>
        <v>0.94806632011933401</v>
      </c>
      <c r="S26" s="435"/>
      <c r="T26" s="141"/>
      <c r="U26" s="141"/>
      <c r="V26" s="146"/>
      <c r="W26" s="142"/>
      <c r="X26" s="143"/>
      <c r="Y26" s="143"/>
      <c r="Z26" s="420"/>
      <c r="AA26" s="391"/>
      <c r="AB26" s="119">
        <f>N26-K26</f>
        <v>-106.5865312965725</v>
      </c>
      <c r="AC26" s="187">
        <f>N26/K26</f>
        <v>0.94739714679996423</v>
      </c>
      <c r="AD26" s="404"/>
    </row>
    <row r="27" spans="1:30" ht="15" customHeight="1">
      <c r="A27" s="421" t="s">
        <v>54</v>
      </c>
      <c r="B27" s="229" t="s">
        <v>62</v>
      </c>
      <c r="C27" s="102"/>
      <c r="D27" s="103" t="s">
        <v>144</v>
      </c>
      <c r="E27" s="104"/>
      <c r="F27" s="199">
        <f>VLOOKUP(D27,廠價表!$C$1:$E$39,3,0)</f>
        <v>49.91</v>
      </c>
      <c r="G27" s="269">
        <v>3511</v>
      </c>
      <c r="H27" s="125">
        <f t="shared" ref="H27:H40" si="20">F27*G27</f>
        <v>175234.00999999998</v>
      </c>
      <c r="I27" s="126"/>
      <c r="J27" s="108">
        <v>17</v>
      </c>
      <c r="K27" s="236">
        <v>1565</v>
      </c>
      <c r="L27" s="109">
        <f>K27/J27</f>
        <v>92.058823529411768</v>
      </c>
      <c r="M27" s="144">
        <v>15</v>
      </c>
      <c r="N27" s="127">
        <f>G27/W27*60</f>
        <v>1144.891304347826</v>
      </c>
      <c r="O27" s="128">
        <f>N27/M27</f>
        <v>76.326086956521735</v>
      </c>
      <c r="P27" s="129">
        <f t="shared" si="17"/>
        <v>-2</v>
      </c>
      <c r="Q27" s="130">
        <f t="shared" si="18"/>
        <v>-15.732736572890033</v>
      </c>
      <c r="R27" s="189">
        <f>O27/L27</f>
        <v>0.82910126406445328</v>
      </c>
      <c r="S27" s="424">
        <f>R37</f>
        <v>0.86245228188804302</v>
      </c>
      <c r="T27" s="94">
        <v>0.2902777777777778</v>
      </c>
      <c r="U27" s="94">
        <v>0.41805555555555557</v>
      </c>
      <c r="V27" s="126"/>
      <c r="W27" s="131">
        <f t="shared" si="13"/>
        <v>184</v>
      </c>
      <c r="X27" s="126"/>
      <c r="Y27" s="126" t="s">
        <v>147</v>
      </c>
      <c r="Z27" s="427"/>
      <c r="AA27" s="400"/>
      <c r="AB27" s="225">
        <f>N27-K27</f>
        <v>-420.10869565217399</v>
      </c>
      <c r="AC27" s="291">
        <f>N27/K27</f>
        <v>0.73155993888040005</v>
      </c>
      <c r="AD27" s="401">
        <f>AC37</f>
        <v>0.77906629875456801</v>
      </c>
    </row>
    <row r="28" spans="1:30" ht="15" customHeight="1">
      <c r="A28" s="422"/>
      <c r="B28" s="56" t="str">
        <f>VLOOKUP(D28,廠價表!$C$1:$E$39,2,0)</f>
        <v>義大利麵</v>
      </c>
      <c r="C28" s="10"/>
      <c r="D28" s="11" t="s">
        <v>137</v>
      </c>
      <c r="E28" s="86"/>
      <c r="F28" s="56">
        <f>VLOOKUP(D28,廠價表!$C$1:$E$39,3,0)</f>
        <v>55.13</v>
      </c>
      <c r="G28" s="53">
        <v>1330</v>
      </c>
      <c r="H28" s="50">
        <f t="shared" si="20"/>
        <v>73322.900000000009</v>
      </c>
      <c r="I28" s="42"/>
      <c r="J28" s="16">
        <v>18</v>
      </c>
      <c r="K28" s="14">
        <f>VLOOKUP(D28,產線配置圖!$A$2:$C$38,3,0)</f>
        <v>1385</v>
      </c>
      <c r="L28" s="235">
        <f>K28/J28</f>
        <v>76.944444444444443</v>
      </c>
      <c r="M28" s="21">
        <v>15</v>
      </c>
      <c r="N28" s="36">
        <f>G28/W28*60</f>
        <v>1049.9999999999991</v>
      </c>
      <c r="O28" s="38">
        <f>N28/M28</f>
        <v>69.999999999999943</v>
      </c>
      <c r="P28" s="39">
        <f t="shared" si="17"/>
        <v>-3</v>
      </c>
      <c r="Q28" s="40">
        <f t="shared" si="18"/>
        <v>-6.9444444444444997</v>
      </c>
      <c r="R28" s="190">
        <f t="shared" si="19"/>
        <v>0.90974729241877184</v>
      </c>
      <c r="S28" s="425"/>
      <c r="T28" s="270">
        <v>0.42430555555555555</v>
      </c>
      <c r="U28" s="270">
        <v>0.47708333333333336</v>
      </c>
      <c r="V28" s="42">
        <f>(T28-U27)*24*60</f>
        <v>8.999999999999968</v>
      </c>
      <c r="W28" s="43">
        <f t="shared" si="13"/>
        <v>76.000000000000057</v>
      </c>
      <c r="X28" s="54"/>
      <c r="Y28" s="54"/>
      <c r="Z28" s="418"/>
      <c r="AA28" s="419"/>
      <c r="AB28" s="39">
        <f>N28-K28</f>
        <v>-335.00000000000091</v>
      </c>
      <c r="AC28" s="190">
        <f>N28/K28</f>
        <v>0.75812274368230981</v>
      </c>
      <c r="AD28" s="447"/>
    </row>
    <row r="29" spans="1:30" ht="15" customHeight="1">
      <c r="A29" s="422"/>
      <c r="B29" s="56" t="str">
        <f>VLOOKUP(D29,廠價表!$C$1:$E$39,2,0)</f>
        <v>義大利麵</v>
      </c>
      <c r="C29" s="10"/>
      <c r="D29" s="11" t="s">
        <v>137</v>
      </c>
      <c r="E29" s="86"/>
      <c r="F29" s="56">
        <f>VLOOKUP(D29,廠價表!$C$1:$E$39,3,0)</f>
        <v>55.13</v>
      </c>
      <c r="G29" s="53">
        <v>995</v>
      </c>
      <c r="H29" s="50">
        <f>F29*G29</f>
        <v>54854.350000000006</v>
      </c>
      <c r="I29" s="42"/>
      <c r="J29" s="16">
        <v>18</v>
      </c>
      <c r="K29" s="14">
        <f>VLOOKUP(D29,產線配置圖!$A$2:$C$38,3,0)</f>
        <v>1385</v>
      </c>
      <c r="L29" s="235">
        <f>K29/J29</f>
        <v>76.944444444444443</v>
      </c>
      <c r="M29" s="21">
        <v>16</v>
      </c>
      <c r="N29" s="36">
        <f>G29/W29*60</f>
        <v>1126.4150943396232</v>
      </c>
      <c r="O29" s="38">
        <f>N29/M29</f>
        <v>70.400943396226452</v>
      </c>
      <c r="P29" s="39">
        <f t="shared" si="17"/>
        <v>-2</v>
      </c>
      <c r="Q29" s="40">
        <f t="shared" si="18"/>
        <v>-6.5435010482179905</v>
      </c>
      <c r="R29" s="190">
        <f t="shared" si="19"/>
        <v>0.91495810912063258</v>
      </c>
      <c r="S29" s="425"/>
      <c r="T29" s="41">
        <v>0.53819444444444442</v>
      </c>
      <c r="U29" s="41">
        <v>0.57499999999999996</v>
      </c>
      <c r="V29" s="42">
        <f>(T29-U28)*24*60</f>
        <v>87.999999999999929</v>
      </c>
      <c r="W29" s="43">
        <f t="shared" si="13"/>
        <v>52.999999999999972</v>
      </c>
      <c r="X29" s="22">
        <v>0.48958333333333331</v>
      </c>
      <c r="Y29" s="22">
        <v>0.53125</v>
      </c>
      <c r="Z29" s="418"/>
      <c r="AA29" s="419"/>
      <c r="AB29" s="292">
        <f>N29-K29</f>
        <v>-258.58490566037676</v>
      </c>
      <c r="AC29" s="190">
        <f>N29/K29</f>
        <v>0.81329609699611782</v>
      </c>
      <c r="AD29" s="447"/>
    </row>
    <row r="30" spans="1:30" ht="15" customHeight="1">
      <c r="A30" s="422"/>
      <c r="B30" s="56" t="str">
        <f>VLOOKUP(D30,廠價表!$C$1:$E$39,2,0)</f>
        <v>義大利麵</v>
      </c>
      <c r="C30" s="237"/>
      <c r="D30" s="11" t="s">
        <v>158</v>
      </c>
      <c r="E30" s="29"/>
      <c r="F30" s="56">
        <f>VLOOKUP(D30,廠價表!$C$1:$E$39,3,0)</f>
        <v>47.71</v>
      </c>
      <c r="G30" s="53">
        <v>1347</v>
      </c>
      <c r="H30" s="50">
        <f t="shared" si="20"/>
        <v>64265.37</v>
      </c>
      <c r="I30" s="42"/>
      <c r="J30" s="16">
        <f>VLOOKUP(D30,產線配置圖!$A$2:$C$38,2,0)</f>
        <v>15</v>
      </c>
      <c r="K30" s="14">
        <f>VLOOKUP(D30,產線配置圖!$A$2:$C$38,3,0)</f>
        <v>1500</v>
      </c>
      <c r="L30" s="235">
        <f>K30/J30</f>
        <v>100</v>
      </c>
      <c r="M30" s="21">
        <v>15</v>
      </c>
      <c r="N30" s="36">
        <f>G30/W30*60</f>
        <v>1224.5454545454559</v>
      </c>
      <c r="O30" s="38">
        <f>N30/M30</f>
        <v>81.636363636363726</v>
      </c>
      <c r="P30" s="39">
        <f t="shared" si="17"/>
        <v>0</v>
      </c>
      <c r="Q30" s="40">
        <f t="shared" si="18"/>
        <v>-18.363636363636274</v>
      </c>
      <c r="R30" s="190">
        <f t="shared" si="19"/>
        <v>0.81636363636363729</v>
      </c>
      <c r="S30" s="425"/>
      <c r="T30" s="41">
        <v>0.58194444444444449</v>
      </c>
      <c r="U30" s="41">
        <v>0.62777777777777777</v>
      </c>
      <c r="V30" s="42">
        <f>(T30-U29)*24*60</f>
        <v>10.000000000000124</v>
      </c>
      <c r="W30" s="43">
        <f t="shared" si="13"/>
        <v>65.999999999999929</v>
      </c>
      <c r="X30" s="54"/>
      <c r="Y30" s="54"/>
      <c r="Z30" s="449"/>
      <c r="AA30" s="450"/>
      <c r="AB30" s="292">
        <f>N30-K30</f>
        <v>-275.45454545454413</v>
      </c>
      <c r="AC30" s="190">
        <f>N30/K30</f>
        <v>0.81636363636363729</v>
      </c>
      <c r="AD30" s="448"/>
    </row>
    <row r="31" spans="1:30" ht="15" customHeight="1">
      <c r="A31" s="422"/>
      <c r="B31" s="56"/>
      <c r="C31" s="237"/>
      <c r="D31" s="11"/>
      <c r="E31" s="29"/>
      <c r="F31" s="56"/>
      <c r="G31" s="53"/>
      <c r="H31" s="50"/>
      <c r="I31" s="42"/>
      <c r="J31" s="16"/>
      <c r="K31" s="14"/>
      <c r="L31" s="235"/>
      <c r="M31" s="21"/>
      <c r="N31" s="36"/>
      <c r="O31" s="38"/>
      <c r="P31" s="39"/>
      <c r="Q31" s="40"/>
      <c r="R31" s="190"/>
      <c r="S31" s="425"/>
      <c r="T31" s="41"/>
      <c r="U31" s="41"/>
      <c r="V31" s="42"/>
      <c r="W31" s="43">
        <f t="shared" si="13"/>
        <v>0</v>
      </c>
      <c r="X31" s="54"/>
      <c r="Y31" s="54"/>
      <c r="Z31" s="449"/>
      <c r="AA31" s="450"/>
      <c r="AB31" s="257"/>
      <c r="AC31" s="258"/>
      <c r="AD31" s="403"/>
    </row>
    <row r="32" spans="1:30" ht="15" customHeight="1">
      <c r="A32" s="422"/>
      <c r="B32" s="56"/>
      <c r="C32" s="252"/>
      <c r="D32" s="253"/>
      <c r="E32" s="254"/>
      <c r="F32" s="56"/>
      <c r="G32" s="53"/>
      <c r="H32" s="50"/>
      <c r="I32" s="42"/>
      <c r="J32" s="255"/>
      <c r="K32" s="36"/>
      <c r="L32" s="256"/>
      <c r="M32" s="21"/>
      <c r="N32" s="36"/>
      <c r="O32" s="38"/>
      <c r="P32" s="39"/>
      <c r="Q32" s="40"/>
      <c r="R32" s="190"/>
      <c r="S32" s="425"/>
      <c r="T32" s="41"/>
      <c r="U32" s="41"/>
      <c r="V32" s="42"/>
      <c r="W32" s="43">
        <f t="shared" si="13"/>
        <v>0</v>
      </c>
      <c r="X32" s="54"/>
      <c r="Y32" s="54"/>
      <c r="Z32" s="418"/>
      <c r="AA32" s="405"/>
      <c r="AB32" s="18"/>
      <c r="AC32" s="185"/>
      <c r="AD32" s="403"/>
    </row>
    <row r="33" spans="1:30" ht="15" customHeight="1">
      <c r="A33" s="422"/>
      <c r="B33" s="240"/>
      <c r="C33" s="241"/>
      <c r="D33" s="242"/>
      <c r="E33" s="243"/>
      <c r="F33" s="223"/>
      <c r="G33" s="244"/>
      <c r="H33" s="245">
        <f t="shared" si="20"/>
        <v>0</v>
      </c>
      <c r="I33" s="246"/>
      <c r="J33" s="247"/>
      <c r="K33" s="45"/>
      <c r="M33" s="248"/>
      <c r="N33" s="45"/>
      <c r="O33" s="46"/>
      <c r="P33" s="47"/>
      <c r="Q33" s="48"/>
      <c r="R33" s="49"/>
      <c r="S33" s="425"/>
      <c r="T33" s="41"/>
      <c r="U33" s="41"/>
      <c r="V33" s="42"/>
      <c r="W33" s="43">
        <f t="shared" si="13"/>
        <v>0</v>
      </c>
      <c r="X33" s="54"/>
      <c r="Y33" s="54"/>
      <c r="Z33" s="418"/>
      <c r="AA33" s="405"/>
      <c r="AB33" s="18"/>
      <c r="AC33" s="57"/>
      <c r="AD33" s="403"/>
    </row>
    <row r="34" spans="1:30" ht="15" customHeight="1">
      <c r="A34" s="422"/>
      <c r="B34" s="231"/>
      <c r="C34" s="27"/>
      <c r="D34" s="28"/>
      <c r="E34" s="29"/>
      <c r="F34" s="13"/>
      <c r="G34" s="53"/>
      <c r="H34" s="50">
        <f t="shared" si="20"/>
        <v>0</v>
      </c>
      <c r="I34" s="42"/>
      <c r="J34" s="37"/>
      <c r="K34" s="36"/>
      <c r="L34" s="38"/>
      <c r="M34" s="21"/>
      <c r="N34" s="36"/>
      <c r="O34" s="38"/>
      <c r="P34" s="39"/>
      <c r="Q34" s="40"/>
      <c r="R34" s="190"/>
      <c r="S34" s="425"/>
      <c r="T34" s="41"/>
      <c r="U34" s="41"/>
      <c r="V34" s="42"/>
      <c r="W34" s="43">
        <f t="shared" si="13"/>
        <v>0</v>
      </c>
      <c r="X34" s="54"/>
      <c r="Y34" s="54"/>
      <c r="Z34" s="418"/>
      <c r="AA34" s="405"/>
      <c r="AB34" s="18"/>
      <c r="AC34" s="57"/>
      <c r="AD34" s="403"/>
    </row>
    <row r="35" spans="1:30" ht="15" customHeight="1">
      <c r="A35" s="422"/>
      <c r="B35" s="231"/>
      <c r="C35" s="27"/>
      <c r="D35" s="28"/>
      <c r="E35" s="29"/>
      <c r="F35" s="13"/>
      <c r="G35" s="53"/>
      <c r="H35" s="50">
        <f t="shared" si="20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90"/>
      <c r="S35" s="425"/>
      <c r="T35" s="41"/>
      <c r="U35" s="41"/>
      <c r="V35" s="42"/>
      <c r="W35" s="43">
        <f t="shared" si="13"/>
        <v>0</v>
      </c>
      <c r="X35" s="54"/>
      <c r="Y35" s="54"/>
      <c r="Z35" s="418"/>
      <c r="AA35" s="405"/>
      <c r="AB35" s="18"/>
      <c r="AC35" s="57"/>
      <c r="AD35" s="403"/>
    </row>
    <row r="36" spans="1:30" ht="15" customHeight="1">
      <c r="A36" s="422"/>
      <c r="B36" s="232"/>
      <c r="C36" s="27"/>
      <c r="D36" s="28"/>
      <c r="E36" s="29"/>
      <c r="F36" s="13"/>
      <c r="G36" s="53"/>
      <c r="H36" s="50">
        <f t="shared" si="20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90"/>
      <c r="S36" s="425"/>
      <c r="T36" s="41"/>
      <c r="U36" s="41"/>
      <c r="V36" s="42"/>
      <c r="W36" s="43">
        <f t="shared" si="13"/>
        <v>0</v>
      </c>
      <c r="X36" s="54"/>
      <c r="Y36" s="54"/>
      <c r="Z36" s="418"/>
      <c r="AA36" s="405"/>
      <c r="AB36" s="18"/>
      <c r="AC36" s="57"/>
      <c r="AD36" s="403"/>
    </row>
    <row r="37" spans="1:30" ht="15" customHeight="1" thickBot="1">
      <c r="A37" s="423"/>
      <c r="B37" s="300"/>
      <c r="C37" s="301" t="s">
        <v>36</v>
      </c>
      <c r="D37" s="428" t="s">
        <v>7</v>
      </c>
      <c r="E37" s="429"/>
      <c r="F37" s="281"/>
      <c r="G37" s="282"/>
      <c r="H37" s="283"/>
      <c r="I37" s="284"/>
      <c r="J37" s="285">
        <f t="shared" ref="J37:O37" si="21">AVERAGE(J27:J36)</f>
        <v>17</v>
      </c>
      <c r="K37" s="285">
        <f t="shared" si="21"/>
        <v>1458.75</v>
      </c>
      <c r="L37" s="286">
        <f t="shared" si="21"/>
        <v>86.486928104575171</v>
      </c>
      <c r="M37" s="285">
        <f t="shared" si="21"/>
        <v>15.25</v>
      </c>
      <c r="N37" s="285">
        <f t="shared" si="21"/>
        <v>1136.4629633082261</v>
      </c>
      <c r="O37" s="286">
        <f t="shared" si="21"/>
        <v>74.590848497277975</v>
      </c>
      <c r="P37" s="73">
        <f>M37-J37</f>
        <v>-1.75</v>
      </c>
      <c r="Q37" s="74">
        <f>N37-K37</f>
        <v>-322.28703669177389</v>
      </c>
      <c r="R37" s="287">
        <f t="shared" ref="R37:R40" si="22">O37/L37</f>
        <v>0.86245228188804302</v>
      </c>
      <c r="S37" s="426"/>
      <c r="T37" s="302"/>
      <c r="U37" s="302"/>
      <c r="V37" s="81"/>
      <c r="W37" s="81"/>
      <c r="X37" s="303"/>
      <c r="Y37" s="303"/>
      <c r="Z37" s="430"/>
      <c r="AA37" s="379"/>
      <c r="AB37" s="34">
        <f t="shared" ref="AB37:AB39" si="23">N37-K37</f>
        <v>-322.28703669177389</v>
      </c>
      <c r="AC37" s="186">
        <f t="shared" ref="AC37:AC39" si="24">N37/K37</f>
        <v>0.77906629875456801</v>
      </c>
      <c r="AD37" s="403"/>
    </row>
    <row r="38" spans="1:30" s="62" customFormat="1" ht="15" customHeight="1">
      <c r="A38" s="454" t="s">
        <v>55</v>
      </c>
      <c r="B38" s="229" t="s">
        <v>134</v>
      </c>
      <c r="C38" s="199"/>
      <c r="D38" s="304" t="s">
        <v>156</v>
      </c>
      <c r="E38" s="280"/>
      <c r="F38" s="305">
        <f>VLOOKUP(D38,廠價表!$C$1:$E$39,3,0)</f>
        <v>56.43</v>
      </c>
      <c r="G38" s="266">
        <v>2967</v>
      </c>
      <c r="H38" s="50">
        <f t="shared" si="20"/>
        <v>167427.81</v>
      </c>
      <c r="I38" s="126"/>
      <c r="J38" s="274">
        <f>VLOOKUP(D38,產線配置圖!$A$2:$C$38,2,0)</f>
        <v>15</v>
      </c>
      <c r="K38" s="236">
        <f>VLOOKUP(D38,產線配置圖!$A$2:$C$38,3,0)</f>
        <v>1406</v>
      </c>
      <c r="L38" s="288">
        <f t="shared" ref="L38:L40" si="25">K38/J38</f>
        <v>93.733333333333334</v>
      </c>
      <c r="M38" s="289">
        <v>15</v>
      </c>
      <c r="N38" s="127">
        <f>G38/W38*60</f>
        <v>1178.9403973509932</v>
      </c>
      <c r="O38" s="128">
        <f>N38/M38</f>
        <v>78.596026490066208</v>
      </c>
      <c r="P38" s="129">
        <f t="shared" ref="P38:P40" si="26">M38-J38</f>
        <v>0</v>
      </c>
      <c r="Q38" s="130">
        <f t="shared" ref="Q38:Q40" si="27">O38-L38</f>
        <v>-15.137306843267126</v>
      </c>
      <c r="R38" s="189">
        <f t="shared" si="22"/>
        <v>0.83850668374892823</v>
      </c>
      <c r="S38" s="457">
        <f>R48</f>
        <v>0.81658055492121451</v>
      </c>
      <c r="T38" s="151">
        <v>0.33263888888888887</v>
      </c>
      <c r="U38" s="151">
        <v>0.4375</v>
      </c>
      <c r="V38" s="148"/>
      <c r="W38" s="152">
        <f t="shared" si="13"/>
        <v>151.00000000000003</v>
      </c>
      <c r="X38" s="150"/>
      <c r="Y38" s="153"/>
      <c r="Z38" s="478"/>
      <c r="AA38" s="460"/>
      <c r="AB38" s="290">
        <f t="shared" si="23"/>
        <v>-227.05960264900682</v>
      </c>
      <c r="AC38" s="154">
        <f t="shared" si="24"/>
        <v>0.83850668374892834</v>
      </c>
      <c r="AD38" s="436">
        <f>AC48</f>
        <v>0.81658055492121451</v>
      </c>
    </row>
    <row r="39" spans="1:30" s="62" customFormat="1" ht="15" customHeight="1">
      <c r="A39" s="455"/>
      <c r="B39" s="56" t="s">
        <v>134</v>
      </c>
      <c r="C39" s="277"/>
      <c r="D39" s="279" t="s">
        <v>154</v>
      </c>
      <c r="E39" s="278"/>
      <c r="F39" s="56">
        <f>VLOOKUP(D39,廠價表!$C$1:$E$39,3,0)</f>
        <v>57.3</v>
      </c>
      <c r="G39" s="276">
        <v>785</v>
      </c>
      <c r="H39" s="50">
        <f t="shared" si="20"/>
        <v>44980.5</v>
      </c>
      <c r="I39" s="64"/>
      <c r="J39" s="37">
        <f>VLOOKUP(D39,產線配置圖!$A$2:$C$38,2,0)</f>
        <v>15</v>
      </c>
      <c r="K39" s="36">
        <f>VLOOKUP(D39,產線配置圖!$A$2:$C$38,3,0)</f>
        <v>1385</v>
      </c>
      <c r="L39" s="38">
        <f t="shared" si="25"/>
        <v>92.333333333333329</v>
      </c>
      <c r="M39" s="65">
        <v>15</v>
      </c>
      <c r="N39" s="66">
        <f>G39/W39*60</f>
        <v>1177.4999999999995</v>
      </c>
      <c r="O39" s="67">
        <f t="shared" ref="O39:O40" si="28">N39/M39</f>
        <v>78.499999999999972</v>
      </c>
      <c r="P39" s="39">
        <f t="shared" si="26"/>
        <v>0</v>
      </c>
      <c r="Q39" s="40">
        <f t="shared" si="27"/>
        <v>-13.833333333333357</v>
      </c>
      <c r="R39" s="190">
        <f t="shared" si="22"/>
        <v>0.85018050541516221</v>
      </c>
      <c r="S39" s="458"/>
      <c r="T39" s="59">
        <v>0.44444444444444442</v>
      </c>
      <c r="U39" s="59">
        <v>0.47222222222222221</v>
      </c>
      <c r="V39" s="42">
        <f>(T39-U38)*24*60</f>
        <v>9.9999999999999645</v>
      </c>
      <c r="W39" s="69">
        <f t="shared" si="13"/>
        <v>40.000000000000014</v>
      </c>
      <c r="X39" s="22"/>
      <c r="Y39" s="22"/>
      <c r="Z39" s="439"/>
      <c r="AA39" s="440"/>
      <c r="AB39" s="271">
        <f t="shared" si="23"/>
        <v>-207.50000000000045</v>
      </c>
      <c r="AC39" s="61">
        <f t="shared" si="24"/>
        <v>0.8501805054151621</v>
      </c>
      <c r="AD39" s="437"/>
    </row>
    <row r="40" spans="1:30" s="62" customFormat="1" ht="15" customHeight="1">
      <c r="A40" s="455"/>
      <c r="B40" s="56" t="s">
        <v>134</v>
      </c>
      <c r="C40" s="275"/>
      <c r="D40" s="279" t="s">
        <v>154</v>
      </c>
      <c r="E40" s="243"/>
      <c r="F40" s="56">
        <f>VLOOKUP(D40,廠價表!$C$1:$E$39,3,0)</f>
        <v>57.3</v>
      </c>
      <c r="G40" s="276">
        <v>1317</v>
      </c>
      <c r="H40" s="50">
        <f t="shared" si="20"/>
        <v>75464.099999999991</v>
      </c>
      <c r="I40" s="64"/>
      <c r="J40" s="37">
        <f>VLOOKUP(D40,產線配置圖!$A$2:$C$38,2,0)</f>
        <v>15</v>
      </c>
      <c r="K40" s="36">
        <f>VLOOKUP(D40,產線配置圖!$A$2:$C$38,3,0)</f>
        <v>1385</v>
      </c>
      <c r="L40" s="38">
        <f t="shared" si="25"/>
        <v>92.333333333333329</v>
      </c>
      <c r="M40" s="65">
        <v>15</v>
      </c>
      <c r="N40" s="66">
        <f>G40/W40*60</f>
        <v>1053.5999999999992</v>
      </c>
      <c r="O40" s="67">
        <f t="shared" si="28"/>
        <v>70.239999999999952</v>
      </c>
      <c r="P40" s="39">
        <f t="shared" si="26"/>
        <v>0</v>
      </c>
      <c r="Q40" s="40">
        <f t="shared" si="27"/>
        <v>-22.093333333333376</v>
      </c>
      <c r="R40" s="190">
        <f t="shared" si="22"/>
        <v>0.76072202166064939</v>
      </c>
      <c r="S40" s="397"/>
      <c r="T40" s="59">
        <v>0.52777777777777779</v>
      </c>
      <c r="U40" s="59">
        <v>0.57986111111111116</v>
      </c>
      <c r="V40" s="42">
        <f>(T40-U39)*24*60</f>
        <v>80.000000000000028</v>
      </c>
      <c r="W40" s="69">
        <f t="shared" si="13"/>
        <v>75.000000000000057</v>
      </c>
      <c r="X40" s="70">
        <v>0.47916666666666669</v>
      </c>
      <c r="Y40" s="259">
        <v>0.52083333333333337</v>
      </c>
      <c r="Z40" s="439"/>
      <c r="AA40" s="440"/>
      <c r="AB40" s="271">
        <f t="shared" ref="AB40" si="29">N40-K40</f>
        <v>-331.40000000000077</v>
      </c>
      <c r="AC40" s="61">
        <f t="shared" ref="AC40" si="30">N40/K40</f>
        <v>0.76072202166064928</v>
      </c>
      <c r="AD40" s="437"/>
    </row>
    <row r="41" spans="1:30" s="62" customFormat="1" ht="15" customHeight="1">
      <c r="A41" s="455"/>
      <c r="B41" s="56"/>
      <c r="C41" s="275"/>
      <c r="D41" s="279"/>
      <c r="E41" s="243"/>
      <c r="F41" s="56"/>
      <c r="G41" s="276"/>
      <c r="H41" s="63"/>
      <c r="I41" s="64"/>
      <c r="J41" s="37"/>
      <c r="K41" s="36"/>
      <c r="L41" s="38"/>
      <c r="M41" s="65"/>
      <c r="N41" s="66"/>
      <c r="O41" s="67"/>
      <c r="P41" s="39"/>
      <c r="Q41" s="40"/>
      <c r="R41" s="190"/>
      <c r="S41" s="397"/>
      <c r="T41" s="59"/>
      <c r="U41" s="59"/>
      <c r="V41" s="42"/>
      <c r="W41" s="69">
        <f t="shared" si="13"/>
        <v>0</v>
      </c>
      <c r="X41" s="70"/>
      <c r="Y41" s="259"/>
      <c r="Z41" s="439"/>
      <c r="AA41" s="440"/>
      <c r="AB41" s="271"/>
      <c r="AC41" s="61"/>
      <c r="AD41" s="437"/>
    </row>
    <row r="42" spans="1:30" s="62" customFormat="1" ht="15" customHeight="1">
      <c r="A42" s="455"/>
      <c r="B42" s="56"/>
      <c r="C42" s="23"/>
      <c r="D42" s="11"/>
      <c r="E42" s="12"/>
      <c r="F42" s="56"/>
      <c r="G42" s="99"/>
      <c r="H42" s="63"/>
      <c r="I42" s="64"/>
      <c r="J42" s="16"/>
      <c r="K42" s="14"/>
      <c r="L42" s="17"/>
      <c r="M42" s="65"/>
      <c r="N42" s="66"/>
      <c r="O42" s="67"/>
      <c r="P42" s="39"/>
      <c r="Q42" s="40"/>
      <c r="R42" s="68"/>
      <c r="S42" s="397"/>
      <c r="T42" s="75"/>
      <c r="U42" s="75"/>
      <c r="V42" s="42"/>
      <c r="W42" s="69">
        <f t="shared" si="13"/>
        <v>0</v>
      </c>
      <c r="X42" s="70"/>
      <c r="Y42" s="60"/>
      <c r="Z42" s="445"/>
      <c r="AA42" s="446"/>
      <c r="AB42" s="271"/>
      <c r="AC42" s="61"/>
      <c r="AD42" s="437"/>
    </row>
    <row r="43" spans="1:30" s="62" customFormat="1" ht="15" customHeight="1">
      <c r="A43" s="455"/>
      <c r="B43" s="230"/>
      <c r="C43" s="23"/>
      <c r="D43" s="11"/>
      <c r="E43" s="12"/>
      <c r="F43" s="13"/>
      <c r="G43" s="100"/>
      <c r="H43" s="63">
        <f t="shared" ref="H43:H47" si="31">F43*G43</f>
        <v>0</v>
      </c>
      <c r="I43" s="64"/>
      <c r="J43" s="65"/>
      <c r="K43" s="66"/>
      <c r="L43" s="67"/>
      <c r="M43" s="65"/>
      <c r="N43" s="66"/>
      <c r="O43" s="67"/>
      <c r="P43" s="39"/>
      <c r="Q43" s="40"/>
      <c r="R43" s="68"/>
      <c r="S43" s="397"/>
      <c r="T43" s="75"/>
      <c r="U43" s="75"/>
      <c r="V43" s="64"/>
      <c r="W43" s="69">
        <f>(U43-T43)*24*60</f>
        <v>0</v>
      </c>
      <c r="X43" s="70"/>
      <c r="Y43" s="67"/>
      <c r="Z43" s="405"/>
      <c r="AA43" s="405"/>
      <c r="AB43" s="71"/>
      <c r="AC43" s="61"/>
      <c r="AD43" s="437"/>
    </row>
    <row r="44" spans="1:30" s="62" customFormat="1" ht="15" customHeight="1">
      <c r="A44" s="455"/>
      <c r="B44" s="230"/>
      <c r="C44" s="183"/>
      <c r="D44" s="11"/>
      <c r="E44" s="12"/>
      <c r="F44" s="13"/>
      <c r="G44" s="100"/>
      <c r="H44" s="63">
        <f t="shared" si="31"/>
        <v>0</v>
      </c>
      <c r="I44" s="64"/>
      <c r="J44" s="65"/>
      <c r="K44" s="66"/>
      <c r="L44" s="58"/>
      <c r="M44" s="65"/>
      <c r="N44" s="66"/>
      <c r="O44" s="67"/>
      <c r="P44" s="39"/>
      <c r="Q44" s="40"/>
      <c r="R44" s="68"/>
      <c r="S44" s="397"/>
      <c r="T44" s="59"/>
      <c r="U44" s="59"/>
      <c r="V44" s="64"/>
      <c r="W44" s="69">
        <f t="shared" ref="W44:W48" si="32">(U44-T44)*24*60</f>
        <v>0</v>
      </c>
      <c r="X44" s="70"/>
      <c r="Y44" s="67"/>
      <c r="Z44" s="405"/>
      <c r="AA44" s="405"/>
      <c r="AB44" s="71"/>
      <c r="AC44" s="61"/>
      <c r="AD44" s="437"/>
    </row>
    <row r="45" spans="1:30" s="62" customFormat="1" ht="15" customHeight="1">
      <c r="A45" s="455"/>
      <c r="B45" s="231"/>
      <c r="C45" s="27"/>
      <c r="D45" s="28"/>
      <c r="E45" s="29"/>
      <c r="F45" s="13"/>
      <c r="G45" s="66"/>
      <c r="H45" s="63">
        <f t="shared" si="31"/>
        <v>0</v>
      </c>
      <c r="I45" s="64"/>
      <c r="J45" s="65"/>
      <c r="K45" s="66"/>
      <c r="L45" s="67"/>
      <c r="M45" s="65"/>
      <c r="N45" s="66"/>
      <c r="O45" s="67"/>
      <c r="P45" s="39"/>
      <c r="Q45" s="40"/>
      <c r="R45" s="68"/>
      <c r="S45" s="397"/>
      <c r="T45" s="75"/>
      <c r="U45" s="75"/>
      <c r="V45" s="64"/>
      <c r="W45" s="69">
        <f t="shared" si="32"/>
        <v>0</v>
      </c>
      <c r="X45" s="70"/>
      <c r="Y45" s="67"/>
      <c r="Z45" s="405"/>
      <c r="AA45" s="405"/>
      <c r="AB45" s="71"/>
      <c r="AC45" s="61"/>
      <c r="AD45" s="437"/>
    </row>
    <row r="46" spans="1:30" s="62" customFormat="1" ht="15" customHeight="1">
      <c r="A46" s="455"/>
      <c r="B46" s="231"/>
      <c r="C46" s="27"/>
      <c r="D46" s="28"/>
      <c r="E46" s="29"/>
      <c r="F46" s="13"/>
      <c r="G46" s="66"/>
      <c r="H46" s="63">
        <f t="shared" si="31"/>
        <v>0</v>
      </c>
      <c r="I46" s="64"/>
      <c r="J46" s="65"/>
      <c r="K46" s="66"/>
      <c r="L46" s="67"/>
      <c r="M46" s="65"/>
      <c r="N46" s="66"/>
      <c r="O46" s="67"/>
      <c r="P46" s="39"/>
      <c r="Q46" s="40"/>
      <c r="R46" s="68"/>
      <c r="S46" s="397"/>
      <c r="T46" s="59"/>
      <c r="U46" s="59"/>
      <c r="V46" s="64"/>
      <c r="W46" s="69">
        <f t="shared" si="32"/>
        <v>0</v>
      </c>
      <c r="X46" s="70"/>
      <c r="Y46" s="67"/>
      <c r="Z46" s="405"/>
      <c r="AA46" s="405"/>
      <c r="AB46" s="71"/>
      <c r="AC46" s="61"/>
      <c r="AD46" s="437"/>
    </row>
    <row r="47" spans="1:30" s="62" customFormat="1" ht="15" customHeight="1">
      <c r="A47" s="455"/>
      <c r="B47" s="230"/>
      <c r="C47" s="27"/>
      <c r="D47" s="28"/>
      <c r="E47" s="29"/>
      <c r="F47" s="13"/>
      <c r="G47" s="66"/>
      <c r="H47" s="63">
        <f t="shared" si="31"/>
        <v>0</v>
      </c>
      <c r="I47" s="64"/>
      <c r="J47" s="65"/>
      <c r="K47" s="66"/>
      <c r="L47" s="67"/>
      <c r="M47" s="65"/>
      <c r="N47" s="66"/>
      <c r="O47" s="67"/>
      <c r="P47" s="39"/>
      <c r="Q47" s="40"/>
      <c r="R47" s="68"/>
      <c r="S47" s="397"/>
      <c r="T47" s="75"/>
      <c r="U47" s="75"/>
      <c r="V47" s="64"/>
      <c r="W47" s="69">
        <f t="shared" si="32"/>
        <v>0</v>
      </c>
      <c r="X47" s="70"/>
      <c r="Y47" s="67"/>
      <c r="Z47" s="405"/>
      <c r="AA47" s="405"/>
      <c r="AB47" s="71"/>
      <c r="AC47" s="61"/>
      <c r="AD47" s="437"/>
    </row>
    <row r="48" spans="1:30" ht="15" customHeight="1" thickBot="1">
      <c r="A48" s="456"/>
      <c r="B48" s="156"/>
      <c r="C48" s="1" t="s">
        <v>37</v>
      </c>
      <c r="D48" s="410" t="s">
        <v>7</v>
      </c>
      <c r="E48" s="410"/>
      <c r="F48" s="133"/>
      <c r="G48" s="145"/>
      <c r="H48" s="135"/>
      <c r="I48" s="136"/>
      <c r="J48" s="134">
        <f t="shared" ref="J48:O48" si="33">AVERAGE(J38:J47)</f>
        <v>15</v>
      </c>
      <c r="K48" s="134">
        <f t="shared" si="33"/>
        <v>1392</v>
      </c>
      <c r="L48" s="137">
        <f t="shared" si="33"/>
        <v>92.8</v>
      </c>
      <c r="M48" s="134">
        <f t="shared" si="33"/>
        <v>15</v>
      </c>
      <c r="N48" s="134">
        <f t="shared" si="33"/>
        <v>1136.6801324503306</v>
      </c>
      <c r="O48" s="137">
        <f t="shared" si="33"/>
        <v>75.778675496688706</v>
      </c>
      <c r="P48" s="157">
        <f>M48-J48</f>
        <v>0</v>
      </c>
      <c r="Q48" s="158">
        <f>N48-K48</f>
        <v>-255.31986754966942</v>
      </c>
      <c r="R48" s="159">
        <f>O48/L48</f>
        <v>0.81658055492121451</v>
      </c>
      <c r="S48" s="399"/>
      <c r="T48" s="160"/>
      <c r="U48" s="160"/>
      <c r="V48" s="196"/>
      <c r="W48" s="161">
        <f t="shared" si="32"/>
        <v>0</v>
      </c>
      <c r="X48" s="162"/>
      <c r="Y48" s="162"/>
      <c r="Z48" s="391"/>
      <c r="AA48" s="391"/>
      <c r="AB48" s="163">
        <f>N48-K48</f>
        <v>-255.31986754966942</v>
      </c>
      <c r="AC48" s="191">
        <f>N48/K48</f>
        <v>0.81658055492121451</v>
      </c>
      <c r="AD48" s="438"/>
    </row>
    <row r="49" spans="1:30" ht="15" customHeight="1">
      <c r="A49" s="451" t="s">
        <v>56</v>
      </c>
      <c r="B49" s="199" t="str">
        <f>VLOOKUP(D49,廠價表!$C$1:$E$39,2,0)</f>
        <v>義大利麵</v>
      </c>
      <c r="C49" s="102"/>
      <c r="D49" s="103" t="s">
        <v>152</v>
      </c>
      <c r="E49" s="104"/>
      <c r="F49" s="199">
        <f>VLOOKUP(D49,廠價表!$C$1:$E$39,3,0)</f>
        <v>56.87</v>
      </c>
      <c r="G49" s="149">
        <v>2903</v>
      </c>
      <c r="H49" s="125">
        <f t="shared" ref="H49:H57" si="34">F49*G49</f>
        <v>165093.60999999999</v>
      </c>
      <c r="I49" s="126"/>
      <c r="J49" s="108">
        <v>16</v>
      </c>
      <c r="K49" s="105">
        <v>1565</v>
      </c>
      <c r="L49" s="109">
        <f>K49/J49</f>
        <v>97.8125</v>
      </c>
      <c r="M49" s="144">
        <v>16</v>
      </c>
      <c r="N49" s="127">
        <f>G49/W49*60</f>
        <v>1427.7049180327872</v>
      </c>
      <c r="O49" s="128">
        <f>N49/M49</f>
        <v>89.231557377049199</v>
      </c>
      <c r="P49" s="164">
        <f>M49-J49</f>
        <v>0</v>
      </c>
      <c r="Q49" s="112">
        <f>O49-L49</f>
        <v>-8.5809426229508006</v>
      </c>
      <c r="R49" s="184">
        <f>O49/L49</f>
        <v>0.91227151311999177</v>
      </c>
      <c r="S49" s="396">
        <f>R58</f>
        <v>0.96139405845189585</v>
      </c>
      <c r="T49" s="151">
        <v>0.28958333333333336</v>
      </c>
      <c r="U49" s="151">
        <v>0.37430555555555556</v>
      </c>
      <c r="V49" s="188"/>
      <c r="W49" s="152">
        <f t="shared" si="13"/>
        <v>121.99999999999997</v>
      </c>
      <c r="X49" s="188"/>
      <c r="Y49" s="188"/>
      <c r="Z49" s="400"/>
      <c r="AA49" s="400"/>
      <c r="AB49" s="111">
        <f>N49-K49</f>
        <v>-137.29508196721281</v>
      </c>
      <c r="AC49" s="184">
        <f>N49/K49</f>
        <v>0.91227151311999177</v>
      </c>
      <c r="AD49" s="401">
        <f>AC58</f>
        <v>0.96341076315925223</v>
      </c>
    </row>
    <row r="50" spans="1:30" ht="15" customHeight="1">
      <c r="A50" s="452"/>
      <c r="B50" s="56" t="str">
        <f>VLOOKUP(D50,廠價表!$C$1:$E$39,2,0)</f>
        <v>義大利麵</v>
      </c>
      <c r="C50" s="10"/>
      <c r="D50" s="11" t="s">
        <v>65</v>
      </c>
      <c r="E50" s="86"/>
      <c r="F50" s="56">
        <f>VLOOKUP(D50,廠價表!$C$1:$E$39,3,0)</f>
        <v>49.97</v>
      </c>
      <c r="G50" s="66">
        <v>3960</v>
      </c>
      <c r="H50" s="76">
        <f t="shared" si="34"/>
        <v>197881.19999999998</v>
      </c>
      <c r="I50" s="193"/>
      <c r="J50" s="16">
        <f>VLOOKUP(D50,產線配置圖!$A$2:$C$38,2,0)</f>
        <v>18</v>
      </c>
      <c r="K50" s="14">
        <f>VLOOKUP(D50,產線配置圖!$A$2:$C$38,3,0)</f>
        <v>1600</v>
      </c>
      <c r="L50" s="17">
        <f>K50/J50</f>
        <v>88.888888888888886</v>
      </c>
      <c r="M50" s="174">
        <v>18</v>
      </c>
      <c r="N50" s="77">
        <f>G50/W50*60</f>
        <v>1583.9999999999998</v>
      </c>
      <c r="O50" s="78">
        <f>N50/M50</f>
        <v>87.999999999999986</v>
      </c>
      <c r="P50" s="18">
        <f>M50-J50</f>
        <v>0</v>
      </c>
      <c r="Q50" s="19">
        <f>O50-L50</f>
        <v>-0.88888888888889994</v>
      </c>
      <c r="R50" s="185">
        <f>O50/L50</f>
        <v>0.98999999999999988</v>
      </c>
      <c r="S50" s="397"/>
      <c r="T50" s="79">
        <v>0.38124999999999998</v>
      </c>
      <c r="U50" s="79">
        <v>0.48541666666666666</v>
      </c>
      <c r="V50" s="177">
        <f t="shared" ref="V50:V51" si="35">(T50-U49)*24*60</f>
        <v>9.9999999999999645</v>
      </c>
      <c r="W50" s="80">
        <f t="shared" si="13"/>
        <v>150.00000000000003</v>
      </c>
      <c r="X50" s="22"/>
      <c r="Y50" s="22"/>
      <c r="Z50" s="419"/>
      <c r="AA50" s="418"/>
      <c r="AB50" s="18">
        <f>N50-K50</f>
        <v>-16.000000000000227</v>
      </c>
      <c r="AC50" s="185">
        <f>N50/K50</f>
        <v>0.98999999999999988</v>
      </c>
      <c r="AD50" s="402"/>
    </row>
    <row r="51" spans="1:30" ht="15" customHeight="1">
      <c r="A51" s="452"/>
      <c r="B51" s="56" t="str">
        <f>VLOOKUP(D51,廠價表!$C$1:$E$39,2,0)</f>
        <v>義大利麵</v>
      </c>
      <c r="C51" s="10"/>
      <c r="D51" s="11" t="s">
        <v>65</v>
      </c>
      <c r="E51" s="86"/>
      <c r="F51" s="56">
        <f>VLOOKUP(D51,廠價表!$C$1:$E$39,3,0)</f>
        <v>49.97</v>
      </c>
      <c r="G51" s="66">
        <v>2500</v>
      </c>
      <c r="H51" s="76">
        <f t="shared" si="34"/>
        <v>124925</v>
      </c>
      <c r="I51" s="193"/>
      <c r="J51" s="16">
        <f>VLOOKUP(D51,產線配置圖!$A$2:$C$38,2,0)</f>
        <v>18</v>
      </c>
      <c r="K51" s="14">
        <f>VLOOKUP(D51,產線配置圖!$A$2:$C$38,3,0)</f>
        <v>1600</v>
      </c>
      <c r="L51" s="17">
        <f>K51/J51</f>
        <v>88.888888888888886</v>
      </c>
      <c r="M51" s="174">
        <v>18</v>
      </c>
      <c r="N51" s="77">
        <f>G51/W51*60</f>
        <v>1578.9473684210502</v>
      </c>
      <c r="O51" s="78">
        <f>N51/M51</f>
        <v>87.719298245613899</v>
      </c>
      <c r="P51" s="18">
        <f>M51-J51</f>
        <v>0</v>
      </c>
      <c r="Q51" s="19">
        <f>O51-L51</f>
        <v>-1.1695906432749865</v>
      </c>
      <c r="R51" s="185">
        <f>O51/L51</f>
        <v>0.98684210526315641</v>
      </c>
      <c r="S51" s="397"/>
      <c r="T51" s="79">
        <v>0.54513888888888884</v>
      </c>
      <c r="U51" s="44">
        <v>0.61111111111111116</v>
      </c>
      <c r="V51" s="177">
        <f t="shared" si="35"/>
        <v>85.999999999999929</v>
      </c>
      <c r="W51" s="80">
        <f t="shared" si="13"/>
        <v>95.000000000000142</v>
      </c>
      <c r="X51" s="22">
        <v>0.48958333333333331</v>
      </c>
      <c r="Y51" s="22">
        <v>0.53125</v>
      </c>
      <c r="Z51" s="405"/>
      <c r="AA51" s="405"/>
      <c r="AB51" s="18">
        <f>N51-K51</f>
        <v>-21.052631578949786</v>
      </c>
      <c r="AC51" s="185">
        <f>N51/K51</f>
        <v>0.98684210526315641</v>
      </c>
      <c r="AD51" s="402"/>
    </row>
    <row r="52" spans="1:30" ht="15" customHeight="1">
      <c r="A52" s="452"/>
      <c r="B52" s="56"/>
      <c r="C52" s="23"/>
      <c r="D52" s="11"/>
      <c r="E52" s="12"/>
      <c r="F52" s="56"/>
      <c r="G52" s="66"/>
      <c r="H52" s="76"/>
      <c r="I52" s="193"/>
      <c r="J52" s="16"/>
      <c r="K52" s="14"/>
      <c r="L52" s="17"/>
      <c r="M52" s="174"/>
      <c r="N52" s="77"/>
      <c r="O52" s="78"/>
      <c r="P52" s="18"/>
      <c r="Q52" s="19"/>
      <c r="R52" s="185"/>
      <c r="S52" s="397"/>
      <c r="T52" s="79"/>
      <c r="U52" s="79"/>
      <c r="V52" s="177"/>
      <c r="W52" s="80">
        <f t="shared" si="13"/>
        <v>0</v>
      </c>
      <c r="X52" s="22"/>
      <c r="Y52" s="22"/>
      <c r="Z52" s="405"/>
      <c r="AA52" s="405"/>
      <c r="AB52" s="18"/>
      <c r="AC52" s="185"/>
      <c r="AD52" s="402"/>
    </row>
    <row r="53" spans="1:30" ht="15" customHeight="1">
      <c r="A53" s="452"/>
      <c r="B53" s="56"/>
      <c r="C53" s="23"/>
      <c r="D53" s="11"/>
      <c r="E53" s="12"/>
      <c r="F53" s="56"/>
      <c r="G53" s="66"/>
      <c r="H53" s="76"/>
      <c r="I53" s="193"/>
      <c r="J53" s="16"/>
      <c r="K53" s="14"/>
      <c r="L53" s="17"/>
      <c r="M53" s="174"/>
      <c r="N53" s="77"/>
      <c r="O53" s="78"/>
      <c r="P53" s="18"/>
      <c r="Q53" s="19"/>
      <c r="R53" s="185"/>
      <c r="S53" s="397"/>
      <c r="T53" s="79"/>
      <c r="U53" s="79"/>
      <c r="V53" s="177"/>
      <c r="W53" s="80">
        <f t="shared" si="13"/>
        <v>0</v>
      </c>
      <c r="X53" s="177"/>
      <c r="Y53" s="177"/>
      <c r="Z53" s="419"/>
      <c r="AA53" s="418"/>
      <c r="AB53" s="18"/>
      <c r="AC53" s="185"/>
      <c r="AD53" s="402"/>
    </row>
    <row r="54" spans="1:30" ht="15" customHeight="1">
      <c r="A54" s="452"/>
      <c r="B54" s="177"/>
      <c r="C54" s="183"/>
      <c r="D54" s="11"/>
      <c r="E54" s="12"/>
      <c r="F54" s="13"/>
      <c r="G54" s="66"/>
      <c r="H54" s="76">
        <f t="shared" si="34"/>
        <v>0</v>
      </c>
      <c r="I54" s="177"/>
      <c r="J54" s="31"/>
      <c r="K54" s="30"/>
      <c r="L54" s="38"/>
      <c r="M54" s="181"/>
      <c r="N54" s="30"/>
      <c r="O54" s="35"/>
      <c r="P54" s="18"/>
      <c r="Q54" s="19"/>
      <c r="R54" s="185"/>
      <c r="S54" s="397"/>
      <c r="T54" s="79"/>
      <c r="U54" s="79"/>
      <c r="V54" s="197"/>
      <c r="W54" s="80">
        <f t="shared" si="13"/>
        <v>0</v>
      </c>
      <c r="X54" s="177"/>
      <c r="Y54" s="177"/>
      <c r="Z54" s="419"/>
      <c r="AA54" s="418"/>
      <c r="AB54" s="18"/>
      <c r="AC54" s="185"/>
      <c r="AD54" s="402"/>
    </row>
    <row r="55" spans="1:30" ht="15" customHeight="1">
      <c r="A55" s="452"/>
      <c r="B55" s="26"/>
      <c r="C55" s="27"/>
      <c r="D55" s="28"/>
      <c r="E55" s="29"/>
      <c r="F55" s="13"/>
      <c r="G55" s="66"/>
      <c r="H55" s="15">
        <f t="shared" si="34"/>
        <v>0</v>
      </c>
      <c r="I55" s="177"/>
      <c r="J55" s="31"/>
      <c r="K55" s="30"/>
      <c r="L55" s="38"/>
      <c r="M55" s="181"/>
      <c r="N55" s="30"/>
      <c r="O55" s="35"/>
      <c r="P55" s="18"/>
      <c r="Q55" s="19"/>
      <c r="R55" s="185"/>
      <c r="S55" s="397"/>
      <c r="T55" s="79"/>
      <c r="U55" s="79"/>
      <c r="V55" s="197"/>
      <c r="W55" s="80">
        <f t="shared" si="13"/>
        <v>0</v>
      </c>
      <c r="X55" s="177"/>
      <c r="Y55" s="177"/>
      <c r="Z55" s="419"/>
      <c r="AA55" s="418"/>
      <c r="AB55" s="18"/>
      <c r="AC55" s="185"/>
      <c r="AD55" s="402"/>
    </row>
    <row r="56" spans="1:30" ht="15" customHeight="1">
      <c r="A56" s="452"/>
      <c r="B56" s="26"/>
      <c r="C56" s="27"/>
      <c r="D56" s="28"/>
      <c r="E56" s="29"/>
      <c r="F56" s="13"/>
      <c r="G56" s="66"/>
      <c r="H56" s="15">
        <f t="shared" si="34"/>
        <v>0</v>
      </c>
      <c r="I56" s="177"/>
      <c r="J56" s="31"/>
      <c r="K56" s="30"/>
      <c r="L56" s="38"/>
      <c r="M56" s="181"/>
      <c r="N56" s="30"/>
      <c r="O56" s="35"/>
      <c r="P56" s="18"/>
      <c r="Q56" s="19"/>
      <c r="R56" s="185"/>
      <c r="S56" s="397"/>
      <c r="T56" s="79"/>
      <c r="U56" s="79"/>
      <c r="V56" s="197"/>
      <c r="W56" s="80">
        <f t="shared" si="13"/>
        <v>0</v>
      </c>
      <c r="X56" s="177"/>
      <c r="Y56" s="177"/>
      <c r="Z56" s="405"/>
      <c r="AA56" s="405"/>
      <c r="AB56" s="18"/>
      <c r="AC56" s="185"/>
      <c r="AD56" s="402"/>
    </row>
    <row r="57" spans="1:30" ht="15" customHeight="1">
      <c r="A57" s="452"/>
      <c r="B57" s="26"/>
      <c r="C57" s="27"/>
      <c r="D57" s="28"/>
      <c r="E57" s="29"/>
      <c r="F57" s="13"/>
      <c r="G57" s="66"/>
      <c r="H57" s="15">
        <f t="shared" si="34"/>
        <v>0</v>
      </c>
      <c r="I57" s="177"/>
      <c r="J57" s="31"/>
      <c r="K57" s="30"/>
      <c r="L57" s="38"/>
      <c r="M57" s="181"/>
      <c r="N57" s="30"/>
      <c r="O57" s="35"/>
      <c r="P57" s="18"/>
      <c r="Q57" s="19"/>
      <c r="R57" s="185"/>
      <c r="S57" s="397"/>
      <c r="T57" s="79"/>
      <c r="U57" s="79"/>
      <c r="V57" s="197"/>
      <c r="W57" s="80">
        <f t="shared" si="13"/>
        <v>0</v>
      </c>
      <c r="X57" s="177"/>
      <c r="Y57" s="177"/>
      <c r="Z57" s="405"/>
      <c r="AA57" s="405"/>
      <c r="AB57" s="18"/>
      <c r="AC57" s="185"/>
      <c r="AD57" s="402"/>
    </row>
    <row r="58" spans="1:30" ht="15" customHeight="1" thickBot="1">
      <c r="A58" s="453"/>
      <c r="B58" s="165"/>
      <c r="C58" s="1" t="s">
        <v>38</v>
      </c>
      <c r="D58" s="410" t="s">
        <v>7</v>
      </c>
      <c r="E58" s="410"/>
      <c r="F58" s="114"/>
      <c r="G58" s="166"/>
      <c r="H58" s="116"/>
      <c r="I58" s="115"/>
      <c r="J58" s="118">
        <f t="shared" ref="J58:O58" si="36">AVERAGE(J49:J57)</f>
        <v>17.333333333333332</v>
      </c>
      <c r="K58" s="118">
        <f t="shared" si="36"/>
        <v>1588.3333333333333</v>
      </c>
      <c r="L58" s="115">
        <f t="shared" si="36"/>
        <v>91.863425925925924</v>
      </c>
      <c r="M58" s="118">
        <f t="shared" si="36"/>
        <v>17.333333333333332</v>
      </c>
      <c r="N58" s="118">
        <f t="shared" si="36"/>
        <v>1530.2174288179456</v>
      </c>
      <c r="O58" s="115">
        <f t="shared" si="36"/>
        <v>88.316951874221033</v>
      </c>
      <c r="P58" s="119">
        <f>M58-J58</f>
        <v>0</v>
      </c>
      <c r="Q58" s="120">
        <f>N58-K58</f>
        <v>-58.115904515387683</v>
      </c>
      <c r="R58" s="121">
        <f t="shared" ref="R58:R60" si="37">O58/L58</f>
        <v>0.96139405845189585</v>
      </c>
      <c r="S58" s="399"/>
      <c r="T58" s="167"/>
      <c r="U58" s="167"/>
      <c r="V58" s="195"/>
      <c r="W58" s="168"/>
      <c r="X58" s="124"/>
      <c r="Y58" s="124"/>
      <c r="Z58" s="391"/>
      <c r="AA58" s="391"/>
      <c r="AB58" s="119">
        <f t="shared" ref="AB58:AB62" si="38">N58-K58</f>
        <v>-58.115904515387683</v>
      </c>
      <c r="AC58" s="187">
        <f t="shared" ref="AC58:AC62" si="39">N58/K58</f>
        <v>0.96341076315925223</v>
      </c>
      <c r="AD58" s="404"/>
    </row>
    <row r="59" spans="1:30" ht="15" customHeight="1">
      <c r="A59" s="466" t="s">
        <v>57</v>
      </c>
      <c r="B59" s="199" t="str">
        <f>VLOOKUP(D59,廠價表!$C$1:$E$39,2,0)</f>
        <v>小吃、微波</v>
      </c>
      <c r="C59" s="102"/>
      <c r="D59" s="103" t="s">
        <v>125</v>
      </c>
      <c r="E59" s="104"/>
      <c r="F59" s="199">
        <f>VLOOKUP(D59,廠價表!$C$1:$E$39,3,0)</f>
        <v>26.99</v>
      </c>
      <c r="G59" s="188">
        <v>3023</v>
      </c>
      <c r="H59" s="106">
        <f t="shared" ref="H59:H68" si="40">F59*G59</f>
        <v>81590.76999999999</v>
      </c>
      <c r="I59" s="188"/>
      <c r="J59" s="108">
        <f>VLOOKUP(D59,產線配置圖!$A$2:$C$38,2,0)</f>
        <v>13</v>
      </c>
      <c r="K59" s="105">
        <f>VLOOKUP(D59,產線配置圖!$A$2:$C$38,3,0)</f>
        <v>1565</v>
      </c>
      <c r="L59" s="109">
        <f>K59/J59</f>
        <v>120.38461538461539</v>
      </c>
      <c r="M59" s="110">
        <v>13</v>
      </c>
      <c r="N59" s="105">
        <f t="shared" ref="N59:N62" si="41">G59/W59*60</f>
        <v>1550.2564102564106</v>
      </c>
      <c r="O59" s="109">
        <f t="shared" ref="O59:O62" si="42">N59/M59</f>
        <v>119.25049309664698</v>
      </c>
      <c r="P59" s="111">
        <f t="shared" ref="P59:P62" si="43">M59-J59</f>
        <v>0</v>
      </c>
      <c r="Q59" s="112">
        <f t="shared" ref="Q59:Q62" si="44">O59-L59</f>
        <v>-1.1341222879684096</v>
      </c>
      <c r="R59" s="184">
        <f t="shared" si="37"/>
        <v>0.99057917588269051</v>
      </c>
      <c r="S59" s="396">
        <f>R69</f>
        <v>0.90895824452674701</v>
      </c>
      <c r="T59" s="169">
        <v>0.29166666666666669</v>
      </c>
      <c r="U59" s="169">
        <v>0.37291666666666667</v>
      </c>
      <c r="V59" s="188"/>
      <c r="W59" s="107">
        <f t="shared" si="13"/>
        <v>116.99999999999999</v>
      </c>
      <c r="X59" s="188"/>
      <c r="Y59" s="188"/>
      <c r="Z59" s="405"/>
      <c r="AA59" s="405"/>
      <c r="AB59" s="225">
        <f t="shared" si="38"/>
        <v>-14.743589743589382</v>
      </c>
      <c r="AC59" s="226">
        <f t="shared" si="39"/>
        <v>0.99057917588269051</v>
      </c>
      <c r="AD59" s="401">
        <f>AC69</f>
        <v>0.90888056749736901</v>
      </c>
    </row>
    <row r="60" spans="1:30" ht="15" customHeight="1">
      <c r="A60" s="467"/>
      <c r="B60" s="56" t="str">
        <f>VLOOKUP(D60,廠價表!$C$1:$E$39,2,0)</f>
        <v>小吃、微波</v>
      </c>
      <c r="C60" s="10"/>
      <c r="D60" s="11" t="s">
        <v>146</v>
      </c>
      <c r="E60" s="86"/>
      <c r="F60" s="56">
        <f>VLOOKUP(D60,廠價表!$C$1:$E$39,3,0)</f>
        <v>28.47</v>
      </c>
      <c r="G60" s="177">
        <v>812</v>
      </c>
      <c r="H60" s="15">
        <f t="shared" si="40"/>
        <v>23117.64</v>
      </c>
      <c r="I60" s="177"/>
      <c r="J60" s="16">
        <f>VLOOKUP(D60,產線配置圖!$A$2:$C$38,2,0)</f>
        <v>12</v>
      </c>
      <c r="K60" s="14">
        <f>VLOOKUP(D60,產線配置圖!$A$2:$C$38,3,0)</f>
        <v>1565</v>
      </c>
      <c r="L60" s="17">
        <f>K60/J60</f>
        <v>130.41666666666666</v>
      </c>
      <c r="M60" s="180">
        <v>12</v>
      </c>
      <c r="N60" s="14">
        <f t="shared" si="41"/>
        <v>1316.7567567567585</v>
      </c>
      <c r="O60" s="17">
        <f t="shared" si="42"/>
        <v>109.72972972972987</v>
      </c>
      <c r="P60" s="18">
        <f t="shared" si="43"/>
        <v>0</v>
      </c>
      <c r="Q60" s="19">
        <f t="shared" si="44"/>
        <v>-20.686936936936789</v>
      </c>
      <c r="R60" s="185">
        <f t="shared" si="37"/>
        <v>0.84137811933339202</v>
      </c>
      <c r="S60" s="470"/>
      <c r="T60" s="198">
        <v>0.38541666666666669</v>
      </c>
      <c r="U60" s="198">
        <v>0.41111111111111109</v>
      </c>
      <c r="V60" s="177">
        <f t="shared" ref="V60:V62" si="45">(T60-U59)*24*60</f>
        <v>18.000000000000014</v>
      </c>
      <c r="W60" s="90">
        <f t="shared" si="13"/>
        <v>36.99999999999995</v>
      </c>
      <c r="X60" s="193"/>
      <c r="Y60" s="193"/>
      <c r="Z60" s="405"/>
      <c r="AA60" s="405"/>
      <c r="AB60" s="227">
        <f t="shared" si="38"/>
        <v>-248.24324324324152</v>
      </c>
      <c r="AC60" s="228">
        <f t="shared" si="39"/>
        <v>0.84137811933339202</v>
      </c>
      <c r="AD60" s="473"/>
    </row>
    <row r="61" spans="1:30" ht="15" customHeight="1">
      <c r="A61" s="468"/>
      <c r="B61" s="56" t="str">
        <f>VLOOKUP(D61,廠價表!$C$1:$E$39,2,0)</f>
        <v>小吃、微波</v>
      </c>
      <c r="C61" s="10"/>
      <c r="D61" s="242" t="s">
        <v>135</v>
      </c>
      <c r="E61" s="86"/>
      <c r="F61" s="56">
        <f>VLOOKUP(D61,廠價表!$C$1:$E$39,3,0)</f>
        <v>28.26</v>
      </c>
      <c r="G61" s="177">
        <v>2608</v>
      </c>
      <c r="H61" s="15">
        <f t="shared" si="40"/>
        <v>73702.080000000002</v>
      </c>
      <c r="I61" s="81"/>
      <c r="J61" s="16">
        <f>VLOOKUP(D61,產線配置圖!$A$2:$C$38,2,0)</f>
        <v>12</v>
      </c>
      <c r="K61" s="14">
        <f>VLOOKUP(D61,產線配置圖!$A$2:$C$38,3,0)</f>
        <v>1565</v>
      </c>
      <c r="L61" s="17">
        <f t="shared" ref="L61:L62" si="46">K61/J61</f>
        <v>130.41666666666666</v>
      </c>
      <c r="M61" s="180">
        <v>12</v>
      </c>
      <c r="N61" s="14">
        <f t="shared" si="41"/>
        <v>1534.117647058823</v>
      </c>
      <c r="O61" s="17">
        <f t="shared" si="42"/>
        <v>127.84313725490192</v>
      </c>
      <c r="P61" s="18">
        <f t="shared" si="43"/>
        <v>0</v>
      </c>
      <c r="Q61" s="19">
        <f t="shared" si="44"/>
        <v>-2.5735294117647385</v>
      </c>
      <c r="R61" s="185">
        <f>O61/L61</f>
        <v>0.98026686713023847</v>
      </c>
      <c r="S61" s="397"/>
      <c r="T61" s="20">
        <v>0.42708333333333331</v>
      </c>
      <c r="U61" s="20">
        <v>0.49791666666666667</v>
      </c>
      <c r="V61" s="177">
        <f t="shared" si="45"/>
        <v>23</v>
      </c>
      <c r="W61" s="88">
        <f t="shared" si="13"/>
        <v>102.00000000000004</v>
      </c>
      <c r="X61" s="22"/>
      <c r="Y61" s="22"/>
      <c r="Z61" s="405"/>
      <c r="AA61" s="405"/>
      <c r="AB61" s="51">
        <f t="shared" si="38"/>
        <v>-30.882352941177032</v>
      </c>
      <c r="AC61" s="52">
        <f t="shared" si="39"/>
        <v>0.98026686713023836</v>
      </c>
      <c r="AD61" s="402"/>
    </row>
    <row r="62" spans="1:30" ht="15" customHeight="1">
      <c r="A62" s="468"/>
      <c r="B62" s="56" t="str">
        <f>VLOOKUP(D62,廠價表!$C$1:$E$39,2,0)</f>
        <v>小吃、微波</v>
      </c>
      <c r="C62" s="23"/>
      <c r="D62" s="242" t="s">
        <v>125</v>
      </c>
      <c r="E62" s="12"/>
      <c r="F62" s="56">
        <f>VLOOKUP(D62,廠價表!$C$1:$E$39,3,0)</f>
        <v>26.99</v>
      </c>
      <c r="G62" s="177">
        <v>1675</v>
      </c>
      <c r="H62" s="15">
        <f t="shared" si="40"/>
        <v>45208.25</v>
      </c>
      <c r="I62" s="81"/>
      <c r="J62" s="16">
        <f>VLOOKUP(D62,產線配置圖!$A$2:$C$38,2,0)</f>
        <v>13</v>
      </c>
      <c r="K62" s="14">
        <f>VLOOKUP(D62,產線配置圖!$A$2:$C$38,3,0)</f>
        <v>1565</v>
      </c>
      <c r="L62" s="17">
        <f t="shared" si="46"/>
        <v>120.38461538461539</v>
      </c>
      <c r="M62" s="180">
        <v>13</v>
      </c>
      <c r="N62" s="14">
        <f t="shared" si="41"/>
        <v>1288.4615384615379</v>
      </c>
      <c r="O62" s="17">
        <f t="shared" si="42"/>
        <v>99.112426035502921</v>
      </c>
      <c r="P62" s="18">
        <f t="shared" si="43"/>
        <v>0</v>
      </c>
      <c r="Q62" s="19">
        <f t="shared" si="44"/>
        <v>-21.272189349112466</v>
      </c>
      <c r="R62" s="185">
        <f>O62/L62</f>
        <v>0.82329810764315525</v>
      </c>
      <c r="S62" s="397"/>
      <c r="T62" s="20">
        <v>0.5625</v>
      </c>
      <c r="U62" s="20">
        <v>0.6166666666666667</v>
      </c>
      <c r="V62" s="177">
        <f t="shared" si="45"/>
        <v>92.999999999999986</v>
      </c>
      <c r="W62" s="90">
        <f t="shared" si="13"/>
        <v>78.000000000000043</v>
      </c>
      <c r="X62" s="22">
        <v>0.50694444444444442</v>
      </c>
      <c r="Y62" s="22">
        <v>0.54861111111111116</v>
      </c>
      <c r="Z62" s="405"/>
      <c r="AA62" s="405"/>
      <c r="AB62" s="51">
        <f t="shared" si="38"/>
        <v>-276.53846153846212</v>
      </c>
      <c r="AC62" s="52">
        <f t="shared" si="39"/>
        <v>0.82329810764315525</v>
      </c>
      <c r="AD62" s="402"/>
    </row>
    <row r="63" spans="1:30" ht="15" customHeight="1">
      <c r="A63" s="468"/>
      <c r="B63" s="56"/>
      <c r="C63" s="10"/>
      <c r="D63" s="242"/>
      <c r="E63" s="86"/>
      <c r="F63" s="56"/>
      <c r="G63" s="177"/>
      <c r="H63" s="15"/>
      <c r="I63" s="81"/>
      <c r="J63" s="16"/>
      <c r="K63" s="14"/>
      <c r="L63" s="17"/>
      <c r="M63" s="180"/>
      <c r="N63" s="14"/>
      <c r="O63" s="17"/>
      <c r="P63" s="18"/>
      <c r="Q63" s="19"/>
      <c r="R63" s="185"/>
      <c r="S63" s="397"/>
      <c r="T63" s="20"/>
      <c r="U63" s="20"/>
      <c r="V63" s="177"/>
      <c r="W63" s="90">
        <f t="shared" si="13"/>
        <v>0</v>
      </c>
      <c r="X63" s="84"/>
      <c r="Y63" s="84"/>
      <c r="Z63" s="405"/>
      <c r="AA63" s="405"/>
      <c r="AB63" s="51"/>
      <c r="AC63" s="52"/>
      <c r="AD63" s="402"/>
    </row>
    <row r="64" spans="1:30" ht="15" customHeight="1">
      <c r="A64" s="468"/>
      <c r="B64" s="56"/>
      <c r="C64" s="10"/>
      <c r="D64" s="242"/>
      <c r="E64" s="86"/>
      <c r="F64" s="56"/>
      <c r="G64" s="177"/>
      <c r="H64" s="15"/>
      <c r="I64" s="81"/>
      <c r="J64" s="16"/>
      <c r="K64" s="14"/>
      <c r="L64" s="17"/>
      <c r="M64" s="180"/>
      <c r="N64" s="14"/>
      <c r="O64" s="17"/>
      <c r="P64" s="18"/>
      <c r="Q64" s="19"/>
      <c r="R64" s="185"/>
      <c r="S64" s="397"/>
      <c r="T64" s="20"/>
      <c r="U64" s="20"/>
      <c r="V64" s="177"/>
      <c r="W64" s="182">
        <f t="shared" si="13"/>
        <v>0</v>
      </c>
      <c r="X64" s="84"/>
      <c r="Y64" s="84"/>
      <c r="Z64" s="419"/>
      <c r="AA64" s="418"/>
      <c r="AB64" s="18"/>
      <c r="AC64" s="55"/>
      <c r="AD64" s="402"/>
    </row>
    <row r="65" spans="1:32" ht="15" customHeight="1">
      <c r="A65" s="468"/>
      <c r="B65" s="177"/>
      <c r="C65" s="183"/>
      <c r="D65" s="11"/>
      <c r="E65" s="12"/>
      <c r="F65" s="13"/>
      <c r="G65" s="177"/>
      <c r="H65" s="15"/>
      <c r="I65" s="177"/>
      <c r="J65" s="16"/>
      <c r="K65" s="82"/>
      <c r="L65" s="83"/>
      <c r="M65" s="180"/>
      <c r="N65" s="14"/>
      <c r="O65" s="17"/>
      <c r="P65" s="18"/>
      <c r="Q65" s="19"/>
      <c r="R65" s="185"/>
      <c r="S65" s="397"/>
      <c r="T65" s="20"/>
      <c r="U65" s="20"/>
      <c r="V65" s="177"/>
      <c r="W65" s="182">
        <f t="shared" si="13"/>
        <v>0</v>
      </c>
      <c r="X65" s="84"/>
      <c r="Y65" s="84"/>
      <c r="Z65" s="419"/>
      <c r="AA65" s="418"/>
      <c r="AB65" s="18"/>
      <c r="AC65" s="55"/>
      <c r="AD65" s="402"/>
    </row>
    <row r="66" spans="1:32" ht="15" customHeight="1">
      <c r="A66" s="468"/>
      <c r="B66" s="26"/>
      <c r="C66" s="27"/>
      <c r="D66" s="28"/>
      <c r="E66" s="29"/>
      <c r="F66" s="13"/>
      <c r="G66" s="183"/>
      <c r="H66" s="15">
        <f t="shared" si="40"/>
        <v>0</v>
      </c>
      <c r="I66" s="85"/>
      <c r="J66" s="16"/>
      <c r="K66" s="14"/>
      <c r="L66" s="17"/>
      <c r="M66" s="21"/>
      <c r="N66" s="36"/>
      <c r="O66" s="38"/>
      <c r="P66" s="39"/>
      <c r="Q66" s="40"/>
      <c r="R66" s="68"/>
      <c r="S66" s="397"/>
      <c r="T66" s="20"/>
      <c r="U66" s="20"/>
      <c r="V66" s="177"/>
      <c r="W66" s="182">
        <f t="shared" si="13"/>
        <v>0</v>
      </c>
      <c r="X66" s="84"/>
      <c r="Y66" s="84"/>
      <c r="Z66" s="405"/>
      <c r="AA66" s="405"/>
      <c r="AB66" s="18"/>
      <c r="AC66" s="55"/>
      <c r="AD66" s="402"/>
    </row>
    <row r="67" spans="1:32" ht="15" customHeight="1">
      <c r="A67" s="468"/>
      <c r="B67" s="26"/>
      <c r="C67" s="27"/>
      <c r="D67" s="28"/>
      <c r="E67" s="29"/>
      <c r="F67" s="13"/>
      <c r="G67" s="177"/>
      <c r="H67" s="15">
        <f t="shared" si="40"/>
        <v>0</v>
      </c>
      <c r="I67" s="177"/>
      <c r="J67" s="16"/>
      <c r="K67" s="14"/>
      <c r="L67" s="17"/>
      <c r="M67" s="21"/>
      <c r="N67" s="36"/>
      <c r="O67" s="38"/>
      <c r="P67" s="39"/>
      <c r="Q67" s="40"/>
      <c r="R67" s="68"/>
      <c r="S67" s="397"/>
      <c r="T67" s="20"/>
      <c r="U67" s="20"/>
      <c r="V67" s="177"/>
      <c r="W67" s="182">
        <f t="shared" si="13"/>
        <v>0</v>
      </c>
      <c r="X67" s="84"/>
      <c r="Y67" s="84"/>
      <c r="Z67" s="419"/>
      <c r="AA67" s="418"/>
      <c r="AB67" s="18"/>
      <c r="AC67" s="55"/>
      <c r="AD67" s="402"/>
    </row>
    <row r="68" spans="1:32" ht="15" customHeight="1">
      <c r="A68" s="468"/>
      <c r="B68" s="26"/>
      <c r="C68" s="27"/>
      <c r="D68" s="28"/>
      <c r="E68" s="29"/>
      <c r="F68" s="13"/>
      <c r="G68" s="183"/>
      <c r="H68" s="15">
        <f t="shared" si="40"/>
        <v>0</v>
      </c>
      <c r="I68" s="85"/>
      <c r="J68" s="16"/>
      <c r="K68" s="260"/>
      <c r="L68" s="261"/>
      <c r="M68" s="21"/>
      <c r="N68" s="36"/>
      <c r="O68" s="38"/>
      <c r="P68" s="39"/>
      <c r="Q68" s="40"/>
      <c r="R68" s="68"/>
      <c r="S68" s="397"/>
      <c r="T68" s="20"/>
      <c r="U68" s="20"/>
      <c r="V68" s="177"/>
      <c r="W68" s="182">
        <f t="shared" si="13"/>
        <v>0</v>
      </c>
      <c r="X68" s="84"/>
      <c r="Y68" s="84"/>
      <c r="Z68" s="419"/>
      <c r="AA68" s="418"/>
      <c r="AB68" s="18"/>
      <c r="AC68" s="55"/>
      <c r="AD68" s="402"/>
    </row>
    <row r="69" spans="1:32" ht="15" customHeight="1" thickBot="1">
      <c r="A69" s="469"/>
      <c r="B69" s="165"/>
      <c r="C69" s="1" t="s">
        <v>39</v>
      </c>
      <c r="D69" s="410" t="s">
        <v>7</v>
      </c>
      <c r="E69" s="410"/>
      <c r="F69" s="114"/>
      <c r="G69" s="115"/>
      <c r="H69" s="116"/>
      <c r="I69" s="170"/>
      <c r="J69" s="166">
        <f t="shared" ref="J69:O69" si="47">AVERAGE(J59:J68)</f>
        <v>12.5</v>
      </c>
      <c r="K69" s="166">
        <f t="shared" si="47"/>
        <v>1565</v>
      </c>
      <c r="L69" s="171">
        <f t="shared" si="47"/>
        <v>125.40064102564102</v>
      </c>
      <c r="M69" s="166">
        <f t="shared" si="47"/>
        <v>12.5</v>
      </c>
      <c r="N69" s="166">
        <f t="shared" si="47"/>
        <v>1422.3980881333825</v>
      </c>
      <c r="O69" s="171">
        <f t="shared" si="47"/>
        <v>113.98394652919544</v>
      </c>
      <c r="P69" s="172">
        <f>M69-J69</f>
        <v>0</v>
      </c>
      <c r="Q69" s="158">
        <f>N69-K69</f>
        <v>-142.60191186661746</v>
      </c>
      <c r="R69" s="121">
        <f>O69/L69</f>
        <v>0.90895824452674701</v>
      </c>
      <c r="S69" s="399"/>
      <c r="T69" s="122"/>
      <c r="U69" s="122"/>
      <c r="V69" s="195"/>
      <c r="W69" s="168"/>
      <c r="X69" s="124"/>
      <c r="Y69" s="124"/>
      <c r="Z69" s="405"/>
      <c r="AA69" s="405"/>
      <c r="AB69" s="119">
        <f>N69-K69</f>
        <v>-142.60191186661746</v>
      </c>
      <c r="AC69" s="187">
        <f>N69/K69</f>
        <v>0.90888056749736901</v>
      </c>
      <c r="AD69" s="404"/>
    </row>
    <row r="70" spans="1:32" ht="15" customHeight="1">
      <c r="A70" s="461" t="s">
        <v>58</v>
      </c>
      <c r="B70" s="199" t="s">
        <v>62</v>
      </c>
      <c r="C70" s="199"/>
      <c r="D70" s="103" t="s">
        <v>158</v>
      </c>
      <c r="E70" s="104"/>
      <c r="F70" s="199">
        <f>VLOOKUP(D70,廠價表!$C$1:$E$39,3,0)</f>
        <v>47.71</v>
      </c>
      <c r="G70" s="188">
        <v>4438</v>
      </c>
      <c r="H70" s="106">
        <f t="shared" ref="H70" si="48">F70*G70</f>
        <v>211736.98</v>
      </c>
      <c r="I70" s="188"/>
      <c r="J70" s="108">
        <f>VLOOKUP(D70,產線配置圖!$A$2:$C$38,2,0)</f>
        <v>15</v>
      </c>
      <c r="K70" s="105">
        <f>VLOOKUP(D70,產線配置圖!$A$2:$C$38,3,0)</f>
        <v>1500</v>
      </c>
      <c r="L70" s="109">
        <f>K70/J70</f>
        <v>100</v>
      </c>
      <c r="M70" s="110">
        <v>15</v>
      </c>
      <c r="N70" s="105">
        <f t="shared" ref="N70" si="49">G70/W70*60</f>
        <v>1358.5714285714284</v>
      </c>
      <c r="O70" s="109">
        <f t="shared" ref="O70" si="50">N70/M70</f>
        <v>90.571428571428569</v>
      </c>
      <c r="P70" s="111">
        <f t="shared" ref="P70" si="51">M70-J70</f>
        <v>0</v>
      </c>
      <c r="Q70" s="112">
        <f t="shared" ref="Q70" si="52">O70-L70</f>
        <v>-9.4285714285714306</v>
      </c>
      <c r="R70" s="184">
        <f t="shared" ref="R70" si="53">O70/L70</f>
        <v>0.90571428571428569</v>
      </c>
      <c r="S70" s="396">
        <f>R79</f>
        <v>0.90751904772690639</v>
      </c>
      <c r="T70" s="169">
        <v>0.33333333333333331</v>
      </c>
      <c r="U70" s="169">
        <v>0.46944444444444444</v>
      </c>
      <c r="V70" s="188"/>
      <c r="W70" s="107">
        <f t="shared" ref="W70:W78" si="54">(U70-T70)*24*60</f>
        <v>196.00000000000003</v>
      </c>
      <c r="X70" s="296"/>
      <c r="Y70" s="296"/>
      <c r="Z70" s="465"/>
      <c r="AA70" s="427"/>
      <c r="AB70" s="225">
        <f t="shared" ref="AB70:AB71" si="55">N70-K70</f>
        <v>-141.42857142857156</v>
      </c>
      <c r="AC70" s="226">
        <f t="shared" ref="AC70:AC71" si="56">N70/K70</f>
        <v>0.90571428571428558</v>
      </c>
      <c r="AD70" s="401">
        <f>AC79</f>
        <v>0.90733100055621896</v>
      </c>
    </row>
    <row r="71" spans="1:32" ht="15" customHeight="1">
      <c r="A71" s="462"/>
      <c r="B71" s="56"/>
      <c r="C71" s="10"/>
      <c r="D71" s="11"/>
      <c r="E71" s="86"/>
      <c r="F71" s="56"/>
      <c r="G71" s="66"/>
      <c r="H71" s="76"/>
      <c r="I71" s="193"/>
      <c r="J71" s="16"/>
      <c r="K71" s="14"/>
      <c r="L71" s="17"/>
      <c r="M71" s="180"/>
      <c r="N71" s="14"/>
      <c r="O71" s="17"/>
      <c r="P71" s="18"/>
      <c r="Q71" s="19"/>
      <c r="R71" s="185"/>
      <c r="S71" s="397"/>
      <c r="T71" s="20"/>
      <c r="U71" s="20"/>
      <c r="V71" s="177"/>
      <c r="W71" s="182">
        <f t="shared" si="54"/>
        <v>0</v>
      </c>
      <c r="X71" s="298"/>
      <c r="Y71" s="299"/>
      <c r="Z71" s="439"/>
      <c r="AA71" s="440"/>
      <c r="AB71" s="39">
        <f t="shared" si="55"/>
        <v>0</v>
      </c>
      <c r="AC71" s="190" t="e">
        <f t="shared" si="56"/>
        <v>#DIV/0!</v>
      </c>
      <c r="AD71" s="447"/>
    </row>
    <row r="72" spans="1:32" ht="15" customHeight="1">
      <c r="A72" s="462"/>
      <c r="B72" s="56"/>
      <c r="C72" s="10"/>
      <c r="D72" s="11"/>
      <c r="E72" s="86"/>
      <c r="F72" s="56"/>
      <c r="G72" s="66"/>
      <c r="H72" s="76"/>
      <c r="I72" s="193"/>
      <c r="J72" s="16"/>
      <c r="K72" s="14"/>
      <c r="L72" s="17"/>
      <c r="M72" s="180"/>
      <c r="N72" s="14"/>
      <c r="O72" s="17"/>
      <c r="P72" s="18"/>
      <c r="Q72" s="19"/>
      <c r="R72" s="185"/>
      <c r="S72" s="397"/>
      <c r="T72" s="20"/>
      <c r="U72" s="20"/>
      <c r="V72" s="177"/>
      <c r="W72" s="182">
        <f t="shared" si="54"/>
        <v>0</v>
      </c>
      <c r="X72" s="297"/>
      <c r="Y72" s="297"/>
      <c r="Z72" s="405"/>
      <c r="AA72" s="419"/>
      <c r="AB72" s="39"/>
      <c r="AC72" s="190"/>
      <c r="AD72" s="447"/>
    </row>
    <row r="73" spans="1:32" ht="15" customHeight="1">
      <c r="A73" s="462"/>
      <c r="B73" s="56"/>
      <c r="C73" s="23"/>
      <c r="D73" s="11"/>
      <c r="E73" s="12"/>
      <c r="F73" s="56"/>
      <c r="G73" s="66"/>
      <c r="H73" s="76"/>
      <c r="I73" s="193"/>
      <c r="J73" s="16"/>
      <c r="K73" s="14"/>
      <c r="L73" s="17"/>
      <c r="M73" s="180"/>
      <c r="N73" s="14"/>
      <c r="O73" s="17"/>
      <c r="P73" s="18"/>
      <c r="Q73" s="19"/>
      <c r="R73" s="185"/>
      <c r="S73" s="397"/>
      <c r="T73" s="20"/>
      <c r="U73" s="20"/>
      <c r="V73" s="177"/>
      <c r="W73" s="182">
        <f t="shared" si="54"/>
        <v>0</v>
      </c>
      <c r="X73" s="22"/>
      <c r="Y73" s="22"/>
      <c r="Z73" s="405"/>
      <c r="AA73" s="419"/>
      <c r="AB73" s="39"/>
      <c r="AC73" s="190"/>
      <c r="AD73" s="447"/>
    </row>
    <row r="74" spans="1:32" ht="15" customHeight="1">
      <c r="A74" s="462"/>
      <c r="B74" s="56"/>
      <c r="C74" s="249"/>
      <c r="D74" s="250"/>
      <c r="E74" s="251"/>
      <c r="F74" s="56"/>
      <c r="G74" s="238"/>
      <c r="H74" s="76">
        <f t="shared" ref="H74:H78" si="57">F74*G74</f>
        <v>0</v>
      </c>
      <c r="I74" s="81"/>
      <c r="J74" s="234"/>
      <c r="K74" s="36"/>
      <c r="L74" s="235"/>
      <c r="M74" s="21"/>
      <c r="N74" s="36"/>
      <c r="O74" s="38"/>
      <c r="P74" s="39"/>
      <c r="Q74" s="40"/>
      <c r="R74" s="190"/>
      <c r="S74" s="397"/>
      <c r="T74" s="20"/>
      <c r="U74" s="20"/>
      <c r="V74" s="177"/>
      <c r="W74" s="182">
        <f t="shared" si="54"/>
        <v>0</v>
      </c>
      <c r="X74" s="22"/>
      <c r="Y74" s="22"/>
      <c r="Z74" s="405"/>
      <c r="AA74" s="419"/>
      <c r="AB74" s="39"/>
      <c r="AC74" s="190"/>
      <c r="AD74" s="447"/>
    </row>
    <row r="75" spans="1:32" ht="15" customHeight="1">
      <c r="A75" s="462"/>
      <c r="B75" s="177"/>
      <c r="C75" s="183"/>
      <c r="D75" s="11"/>
      <c r="E75" s="12"/>
      <c r="F75" s="13"/>
      <c r="G75" s="177"/>
      <c r="H75" s="15">
        <f t="shared" si="57"/>
        <v>0</v>
      </c>
      <c r="I75" s="81"/>
      <c r="J75" s="87"/>
      <c r="K75" s="82"/>
      <c r="L75" s="83"/>
      <c r="M75" s="181"/>
      <c r="N75" s="82"/>
      <c r="O75" s="83"/>
      <c r="P75" s="73"/>
      <c r="Q75" s="74"/>
      <c r="R75" s="192"/>
      <c r="S75" s="397"/>
      <c r="T75" s="20"/>
      <c r="U75" s="20"/>
      <c r="V75" s="177"/>
      <c r="W75" s="88">
        <f t="shared" si="54"/>
        <v>0</v>
      </c>
      <c r="X75" s="89"/>
      <c r="Y75" s="89"/>
      <c r="Z75" s="406"/>
      <c r="AA75" s="406"/>
      <c r="AB75" s="306"/>
      <c r="AC75" s="307"/>
      <c r="AD75" s="402"/>
    </row>
    <row r="76" spans="1:32" ht="15" customHeight="1">
      <c r="A76" s="462"/>
      <c r="B76" s="26"/>
      <c r="C76" s="27"/>
      <c r="D76" s="28"/>
      <c r="E76" s="29"/>
      <c r="F76" s="13"/>
      <c r="G76" s="177"/>
      <c r="H76" s="15">
        <f t="shared" si="57"/>
        <v>0</v>
      </c>
      <c r="I76" s="81"/>
      <c r="J76" s="87"/>
      <c r="K76" s="82"/>
      <c r="L76" s="83"/>
      <c r="M76" s="181"/>
      <c r="N76" s="82"/>
      <c r="O76" s="83"/>
      <c r="P76" s="73"/>
      <c r="Q76" s="74"/>
      <c r="R76" s="192"/>
      <c r="S76" s="398"/>
      <c r="T76" s="20"/>
      <c r="U76" s="20"/>
      <c r="V76" s="177"/>
      <c r="W76" s="90">
        <f t="shared" si="54"/>
        <v>0</v>
      </c>
      <c r="X76" s="78"/>
      <c r="Y76" s="78"/>
      <c r="Z76" s="445"/>
      <c r="AA76" s="445"/>
      <c r="AB76" s="51"/>
      <c r="AC76" s="52"/>
      <c r="AD76" s="403"/>
    </row>
    <row r="77" spans="1:32" ht="15" customHeight="1">
      <c r="A77" s="462"/>
      <c r="B77" s="26"/>
      <c r="C77" s="27"/>
      <c r="D77" s="28"/>
      <c r="E77" s="29"/>
      <c r="F77" s="13"/>
      <c r="G77" s="177"/>
      <c r="H77" s="15">
        <f t="shared" si="57"/>
        <v>0</v>
      </c>
      <c r="I77" s="81"/>
      <c r="J77" s="87"/>
      <c r="K77" s="82"/>
      <c r="L77" s="83"/>
      <c r="M77" s="181"/>
      <c r="N77" s="82"/>
      <c r="O77" s="83"/>
      <c r="P77" s="73"/>
      <c r="Q77" s="74"/>
      <c r="R77" s="192"/>
      <c r="S77" s="398"/>
      <c r="T77" s="20"/>
      <c r="U77" s="20"/>
      <c r="V77" s="177"/>
      <c r="W77" s="182">
        <f t="shared" si="54"/>
        <v>0</v>
      </c>
      <c r="X77" s="84"/>
      <c r="Y77" s="84"/>
      <c r="Z77" s="405"/>
      <c r="AA77" s="405"/>
      <c r="AB77" s="18"/>
      <c r="AC77" s="55"/>
      <c r="AD77" s="403"/>
    </row>
    <row r="78" spans="1:32" ht="15" customHeight="1">
      <c r="A78" s="462"/>
      <c r="B78" s="26"/>
      <c r="C78" s="27"/>
      <c r="D78" s="28"/>
      <c r="E78" s="29"/>
      <c r="F78" s="13"/>
      <c r="G78" s="177"/>
      <c r="H78" s="15">
        <f t="shared" si="57"/>
        <v>0</v>
      </c>
      <c r="I78" s="85"/>
      <c r="J78" s="37"/>
      <c r="K78" s="36"/>
      <c r="L78" s="83"/>
      <c r="M78" s="21"/>
      <c r="N78" s="36"/>
      <c r="O78" s="38"/>
      <c r="P78" s="39"/>
      <c r="Q78" s="40"/>
      <c r="R78" s="190"/>
      <c r="S78" s="464"/>
      <c r="T78" s="32"/>
      <c r="U78" s="32"/>
      <c r="V78" s="178"/>
      <c r="W78" s="182">
        <f t="shared" si="54"/>
        <v>0</v>
      </c>
      <c r="X78" s="91"/>
      <c r="Y78" s="91"/>
      <c r="Z78" s="405"/>
      <c r="AA78" s="405"/>
      <c r="AB78" s="34"/>
      <c r="AC78" s="57"/>
      <c r="AD78" s="403"/>
    </row>
    <row r="79" spans="1:32" ht="15" customHeight="1" thickBot="1">
      <c r="A79" s="463"/>
      <c r="B79" s="165"/>
      <c r="C79" s="1" t="s">
        <v>40</v>
      </c>
      <c r="D79" s="410" t="s">
        <v>7</v>
      </c>
      <c r="E79" s="410"/>
      <c r="F79" s="114"/>
      <c r="G79" s="115"/>
      <c r="H79" s="173"/>
      <c r="I79" s="171"/>
      <c r="J79" s="166">
        <f t="shared" ref="J79:O79" si="58">AVERAGE(J69:J78)</f>
        <v>13.75</v>
      </c>
      <c r="K79" s="166">
        <f t="shared" si="58"/>
        <v>1532.5</v>
      </c>
      <c r="L79" s="171">
        <f t="shared" si="58"/>
        <v>112.70032051282051</v>
      </c>
      <c r="M79" s="166">
        <f t="shared" si="58"/>
        <v>13.75</v>
      </c>
      <c r="N79" s="166">
        <f t="shared" si="58"/>
        <v>1390.4847583524056</v>
      </c>
      <c r="O79" s="171">
        <f t="shared" si="58"/>
        <v>102.27768755031201</v>
      </c>
      <c r="P79" s="172">
        <f>M79-J79</f>
        <v>0</v>
      </c>
      <c r="Q79" s="158">
        <f>N79-K79</f>
        <v>-142.01524164759439</v>
      </c>
      <c r="R79" s="159">
        <f>O79/L79</f>
        <v>0.90751904772690639</v>
      </c>
      <c r="S79" s="399"/>
      <c r="T79" s="122"/>
      <c r="U79" s="122"/>
      <c r="V79" s="195"/>
      <c r="W79" s="168"/>
      <c r="X79" s="124"/>
      <c r="Y79" s="124"/>
      <c r="Z79" s="391"/>
      <c r="AA79" s="391"/>
      <c r="AB79" s="119">
        <f>N79-K79</f>
        <v>-142.01524164759439</v>
      </c>
      <c r="AC79" s="187">
        <f>N79/K79</f>
        <v>0.90733100055621896</v>
      </c>
      <c r="AD79" s="404"/>
    </row>
    <row r="80" spans="1:32">
      <c r="AF80" s="93" t="s">
        <v>41</v>
      </c>
    </row>
    <row r="81" spans="4:32">
      <c r="AF81" s="93" t="s">
        <v>42</v>
      </c>
    </row>
    <row r="82" spans="4:32">
      <c r="AF82" s="93" t="s">
        <v>43</v>
      </c>
    </row>
    <row r="83" spans="4:32">
      <c r="D83" s="220"/>
      <c r="W83" s="6"/>
      <c r="AF83" s="93" t="s">
        <v>44</v>
      </c>
    </row>
    <row r="84" spans="4:32">
      <c r="D84" s="224"/>
      <c r="W84" s="6"/>
      <c r="AF84" s="93" t="s">
        <v>45</v>
      </c>
    </row>
    <row r="85" spans="4:32">
      <c r="D85" s="224"/>
      <c r="W85" s="6"/>
      <c r="AF85" s="93" t="s">
        <v>46</v>
      </c>
    </row>
    <row r="86" spans="4:32">
      <c r="D86" s="155"/>
      <c r="W86" s="6"/>
      <c r="AF86" s="93" t="s">
        <v>47</v>
      </c>
    </row>
    <row r="87" spans="4:32">
      <c r="W87" s="6"/>
      <c r="AF87" s="93" t="s">
        <v>48</v>
      </c>
    </row>
    <row r="88" spans="4:32">
      <c r="W88" s="6"/>
      <c r="AF88" s="93" t="s">
        <v>49</v>
      </c>
    </row>
    <row r="89" spans="4:32">
      <c r="W89" s="6"/>
      <c r="AF89" s="93" t="s">
        <v>50</v>
      </c>
    </row>
    <row r="90" spans="4:32">
      <c r="W90" s="6"/>
      <c r="AF90" s="93" t="s">
        <v>51</v>
      </c>
    </row>
    <row r="91" spans="4:32">
      <c r="W91" s="6"/>
      <c r="AF91" s="93" t="s">
        <v>52</v>
      </c>
    </row>
    <row r="92" spans="4:32">
      <c r="W92" s="6"/>
      <c r="AF92" s="93" t="s">
        <v>53</v>
      </c>
    </row>
  </sheetData>
  <autoFilter ref="D1:D92" xr:uid="{EF5AD393-5A39-4C0E-A7B0-465235F2AB14}"/>
  <mergeCells count="135">
    <mergeCell ref="P1:S2"/>
    <mergeCell ref="T1:Y2"/>
    <mergeCell ref="Z1:AA2"/>
    <mergeCell ref="AB1:AD2"/>
    <mergeCell ref="H3:H4"/>
    <mergeCell ref="I3:I4"/>
    <mergeCell ref="J3:J4"/>
    <mergeCell ref="K3:K4"/>
    <mergeCell ref="L3:L4"/>
    <mergeCell ref="M3:M4"/>
    <mergeCell ref="AC3:AC4"/>
    <mergeCell ref="AD3:AD4"/>
    <mergeCell ref="P3:P4"/>
    <mergeCell ref="Q3:Q4"/>
    <mergeCell ref="R3:R4"/>
    <mergeCell ref="A2:B2"/>
    <mergeCell ref="A3:A4"/>
    <mergeCell ref="B3:B4"/>
    <mergeCell ref="D3:E4"/>
    <mergeCell ref="F3:F4"/>
    <mergeCell ref="G3:G4"/>
    <mergeCell ref="J1:L2"/>
    <mergeCell ref="M1:O2"/>
    <mergeCell ref="D15:E15"/>
    <mergeCell ref="A5:A15"/>
    <mergeCell ref="N3:N4"/>
    <mergeCell ref="O3:O4"/>
    <mergeCell ref="S5:S15"/>
    <mergeCell ref="Z5:AA5"/>
    <mergeCell ref="AD5:AD15"/>
    <mergeCell ref="Z6:AA6"/>
    <mergeCell ref="Z7:AA7"/>
    <mergeCell ref="Z8:AA8"/>
    <mergeCell ref="Z9:AA9"/>
    <mergeCell ref="T3:U3"/>
    <mergeCell ref="V3:V4"/>
    <mergeCell ref="W3:W4"/>
    <mergeCell ref="X3:Y3"/>
    <mergeCell ref="Z3:AA4"/>
    <mergeCell ref="AB3:AB4"/>
    <mergeCell ref="S3:S4"/>
    <mergeCell ref="AD16:AD26"/>
    <mergeCell ref="Z17:AA17"/>
    <mergeCell ref="Z18:AA18"/>
    <mergeCell ref="Z19:AA19"/>
    <mergeCell ref="Z20:AA20"/>
    <mergeCell ref="Z21:AA21"/>
    <mergeCell ref="Z22:AA22"/>
    <mergeCell ref="Z10:AA10"/>
    <mergeCell ref="Z11:AA11"/>
    <mergeCell ref="Z12:AA12"/>
    <mergeCell ref="Z13:AA13"/>
    <mergeCell ref="Z14:AA14"/>
    <mergeCell ref="Z23:AA23"/>
    <mergeCell ref="Z24:AA24"/>
    <mergeCell ref="Z25:AA25"/>
    <mergeCell ref="Z15:AA15"/>
    <mergeCell ref="D26:E26"/>
    <mergeCell ref="Z26:AA26"/>
    <mergeCell ref="A27:A37"/>
    <mergeCell ref="S27:S37"/>
    <mergeCell ref="Z27:AA27"/>
    <mergeCell ref="D37:E37"/>
    <mergeCell ref="Z37:AA37"/>
    <mergeCell ref="A16:A26"/>
    <mergeCell ref="S16:S26"/>
    <mergeCell ref="Z16:AA16"/>
    <mergeCell ref="AD38:AD48"/>
    <mergeCell ref="Z39:AA39"/>
    <mergeCell ref="Z40:AA40"/>
    <mergeCell ref="Z41:AA41"/>
    <mergeCell ref="Z42:AA42"/>
    <mergeCell ref="Z43:AA43"/>
    <mergeCell ref="Z44:AA44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Z45:AA45"/>
    <mergeCell ref="Z46:AA46"/>
    <mergeCell ref="Z47:AA47"/>
    <mergeCell ref="D48:E48"/>
    <mergeCell ref="Z48:AA48"/>
    <mergeCell ref="A49:A58"/>
    <mergeCell ref="S49:S58"/>
    <mergeCell ref="Z49:AA49"/>
    <mergeCell ref="D58:E58"/>
    <mergeCell ref="A38:A48"/>
    <mergeCell ref="S38:S48"/>
    <mergeCell ref="Z38:AA38"/>
    <mergeCell ref="AD59:AD69"/>
    <mergeCell ref="Z60:AA60"/>
    <mergeCell ref="Z61:AA61"/>
    <mergeCell ref="Z62:AA62"/>
    <mergeCell ref="Z63:AA63"/>
    <mergeCell ref="Z64:AA64"/>
    <mergeCell ref="Z65:AA65"/>
    <mergeCell ref="AD49:AD58"/>
    <mergeCell ref="Z50:AA50"/>
    <mergeCell ref="Z51:AA51"/>
    <mergeCell ref="Z52:AA52"/>
    <mergeCell ref="Z53:AA53"/>
    <mergeCell ref="Z54:AA54"/>
    <mergeCell ref="Z55:AA55"/>
    <mergeCell ref="Z56:AA56"/>
    <mergeCell ref="Z57:AA57"/>
    <mergeCell ref="Z58:AA58"/>
    <mergeCell ref="Z66:AA66"/>
    <mergeCell ref="Z67:AA67"/>
    <mergeCell ref="Z68:AA68"/>
    <mergeCell ref="D69:E69"/>
    <mergeCell ref="Z69:AA69"/>
    <mergeCell ref="A70:A79"/>
    <mergeCell ref="S70:S79"/>
    <mergeCell ref="Z70:AA70"/>
    <mergeCell ref="D79:E79"/>
    <mergeCell ref="A59:A69"/>
    <mergeCell ref="S59:S69"/>
    <mergeCell ref="Z59:AA59"/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</mergeCells>
  <phoneticPr fontId="2" type="noConversion"/>
  <conditionalFormatting sqref="P5:P79">
    <cfRule type="cellIs" dxfId="148" priority="1" operator="greaterThan">
      <formula>0</formula>
    </cfRule>
  </conditionalFormatting>
  <conditionalFormatting sqref="Q5:Q79 AB5:AB79">
    <cfRule type="cellIs" dxfId="147" priority="4" operator="lessThan">
      <formula>0</formula>
    </cfRule>
  </conditionalFormatting>
  <conditionalFormatting sqref="R5:R79 AC5:AC79">
    <cfRule type="cellIs" dxfId="146" priority="2" operator="greaterThan">
      <formula>1</formula>
    </cfRule>
    <cfRule type="cellIs" dxfId="145" priority="3" operator="lessThan">
      <formula>0.8</formula>
    </cfRule>
  </conditionalFormatting>
  <conditionalFormatting sqref="S5:S10 S37:S62 AD59:AD62 S69:S76 AD69:AD76">
    <cfRule type="cellIs" dxfId="144" priority="7" operator="lessThan">
      <formula>0.8</formula>
    </cfRule>
  </conditionalFormatting>
  <conditionalFormatting sqref="S19:S25 AD19:AD25">
    <cfRule type="cellIs" dxfId="143" priority="6" operator="lessThan">
      <formula>0.8</formula>
    </cfRule>
  </conditionalFormatting>
  <conditionalFormatting sqref="S79">
    <cfRule type="cellIs" dxfId="142" priority="5" operator="lessThan">
      <formula>0.8</formula>
    </cfRule>
  </conditionalFormatting>
  <conditionalFormatting sqref="AD5:AD8 S15:S16 AD15:AD16 AD49 AD79">
    <cfRule type="cellIs" dxfId="141" priority="9" operator="lessThan">
      <formula>0.8</formula>
    </cfRule>
  </conditionalFormatting>
  <conditionalFormatting sqref="AD27 S27:S28">
    <cfRule type="cellIs" dxfId="14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EB9512B-22D6-4EE9-812C-A9AF763467F5}">
          <x14:formula1>
            <xm:f>廠價表!$C$2:$C$37</xm:f>
          </x14:formula1>
          <xm:sqref>D1:D1048576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6A2CB-3FE5-4327-A686-93CC9B8EE1B6}">
  <sheetPr>
    <pageSetUpPr fitToPage="1"/>
  </sheetPr>
  <dimension ref="B1:O22"/>
  <sheetViews>
    <sheetView zoomScale="70" zoomScaleNormal="70" workbookViewId="0">
      <selection activeCell="J29" sqref="J29"/>
    </sheetView>
  </sheetViews>
  <sheetFormatPr defaultColWidth="8.125" defaultRowHeight="15.75"/>
  <cols>
    <col min="1" max="1" width="8.125" style="203"/>
    <col min="2" max="2" width="7.125" style="203" customWidth="1"/>
    <col min="3" max="3" width="7.125" style="218" customWidth="1"/>
    <col min="4" max="17" width="14.125" style="203" customWidth="1"/>
    <col min="18" max="21" width="9.625" style="203" customWidth="1"/>
    <col min="22" max="22" width="11.125" style="203" customWidth="1"/>
    <col min="23" max="23" width="11.5" style="203" customWidth="1"/>
    <col min="24" max="16384" width="8.125" style="203"/>
  </cols>
  <sheetData>
    <row r="1" spans="2:15" ht="27.75" customHeight="1">
      <c r="B1" s="345" t="s">
        <v>73</v>
      </c>
      <c r="C1" s="345"/>
      <c r="D1" s="345"/>
      <c r="E1" s="345"/>
      <c r="F1" s="345"/>
      <c r="G1" s="345"/>
      <c r="H1" s="345"/>
      <c r="I1" s="345"/>
      <c r="J1" s="345"/>
      <c r="K1" s="345"/>
      <c r="L1" s="202"/>
      <c r="M1" s="202"/>
    </row>
    <row r="2" spans="2:15" ht="27.75" customHeight="1"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202"/>
      <c r="M2" s="202"/>
    </row>
    <row r="3" spans="2:15" ht="46.5" customHeight="1">
      <c r="B3" s="342" t="s">
        <v>74</v>
      </c>
      <c r="C3" s="342"/>
      <c r="D3" s="346">
        <v>45978</v>
      </c>
      <c r="E3" s="346"/>
      <c r="F3" s="204" t="s">
        <v>75</v>
      </c>
      <c r="G3" s="347">
        <f>'1117'!E1</f>
        <v>54557</v>
      </c>
      <c r="H3" s="347"/>
      <c r="I3" s="204" t="s">
        <v>76</v>
      </c>
      <c r="J3" s="348">
        <f>'1117'!G1</f>
        <v>2635749.5299999998</v>
      </c>
      <c r="K3" s="348"/>
      <c r="L3" s="205"/>
    </row>
    <row r="4" spans="2:15" ht="24" customHeight="1">
      <c r="B4" s="342" t="s">
        <v>77</v>
      </c>
      <c r="C4" s="342"/>
      <c r="D4" s="343">
        <v>3</v>
      </c>
      <c r="E4" s="343"/>
      <c r="F4" s="344" t="s">
        <v>78</v>
      </c>
      <c r="G4" s="344"/>
      <c r="H4" s="344" t="s">
        <v>79</v>
      </c>
      <c r="I4" s="344"/>
      <c r="J4" s="343" t="s">
        <v>80</v>
      </c>
      <c r="K4" s="344"/>
      <c r="L4" s="206"/>
    </row>
    <row r="5" spans="2:15" ht="24" customHeight="1">
      <c r="B5" s="342" t="s">
        <v>81</v>
      </c>
      <c r="C5" s="342"/>
      <c r="D5" s="343" t="s">
        <v>82</v>
      </c>
      <c r="E5" s="343"/>
      <c r="F5" s="343" t="s">
        <v>83</v>
      </c>
      <c r="G5" s="343"/>
      <c r="H5" s="369" t="s">
        <v>62</v>
      </c>
      <c r="I5" s="369"/>
      <c r="J5" s="341" t="s">
        <v>84</v>
      </c>
      <c r="K5" s="341"/>
      <c r="L5" s="207"/>
    </row>
    <row r="6" spans="2:15" ht="39.6" customHeight="1">
      <c r="B6" s="342"/>
      <c r="C6" s="342"/>
      <c r="D6" s="342" t="s">
        <v>85</v>
      </c>
      <c r="E6" s="342"/>
      <c r="F6" s="356">
        <f>AVERAGE(D13:J13)</f>
        <v>114.87571007035294</v>
      </c>
      <c r="G6" s="356"/>
      <c r="H6" s="349">
        <f>AVERAGE(D13:H13)</f>
        <v>112.90484025234025</v>
      </c>
      <c r="I6" s="349"/>
      <c r="J6" s="349">
        <f>AVERAGE(I13:J13)</f>
        <v>119.80288461538461</v>
      </c>
      <c r="K6" s="349"/>
      <c r="L6" s="207"/>
    </row>
    <row r="7" spans="2:15" s="208" customFormat="1" ht="39.6" customHeight="1">
      <c r="B7" s="342"/>
      <c r="C7" s="342"/>
      <c r="D7" s="350" t="s">
        <v>86</v>
      </c>
      <c r="E7" s="350"/>
      <c r="F7" s="351">
        <f>AVERAGE(D14:J14)</f>
        <v>104.9793300738535</v>
      </c>
      <c r="G7" s="351"/>
      <c r="H7" s="352">
        <f>AVERAGE(D14:H14)</f>
        <v>104.89117016200294</v>
      </c>
      <c r="I7" s="352"/>
      <c r="J7" s="352">
        <f>AVERAGE(I14:J14)</f>
        <v>105.19972985347991</v>
      </c>
      <c r="K7" s="352"/>
    </row>
    <row r="8" spans="2:15" s="208" customFormat="1" ht="39.6" customHeight="1">
      <c r="B8" s="342"/>
      <c r="C8" s="342"/>
      <c r="D8" s="350" t="s">
        <v>87</v>
      </c>
      <c r="E8" s="350"/>
      <c r="F8" s="353">
        <f>AVERAGE(D15:J15)</f>
        <v>0.91591022058953342</v>
      </c>
      <c r="G8" s="353"/>
      <c r="H8" s="353">
        <f>AVERAGE(D15:H15)</f>
        <v>0.93040116602716183</v>
      </c>
      <c r="I8" s="353"/>
      <c r="J8" s="353">
        <f>AVERAGE(I15:J15)</f>
        <v>0.87968285699546223</v>
      </c>
      <c r="K8" s="353"/>
      <c r="L8" s="209" t="s">
        <v>88</v>
      </c>
    </row>
    <row r="9" spans="2:15" ht="25.5" customHeight="1">
      <c r="B9" s="207"/>
      <c r="C9" s="207"/>
      <c r="D9" s="207"/>
      <c r="E9" s="207"/>
      <c r="F9" s="207"/>
      <c r="G9" s="207"/>
      <c r="H9" s="210"/>
      <c r="I9" s="211"/>
      <c r="J9" s="211"/>
      <c r="K9" s="211"/>
      <c r="L9" s="211"/>
      <c r="M9" s="211"/>
      <c r="N9" s="211"/>
      <c r="O9" s="207"/>
    </row>
    <row r="10" spans="2:15" ht="30" customHeight="1">
      <c r="B10" s="354" t="s">
        <v>0</v>
      </c>
      <c r="C10" s="355"/>
      <c r="D10" s="357" t="s">
        <v>89</v>
      </c>
      <c r="E10" s="358"/>
      <c r="F10" s="358"/>
      <c r="G10" s="358"/>
      <c r="H10" s="358"/>
      <c r="I10" s="358"/>
      <c r="J10" s="359"/>
    </row>
    <row r="11" spans="2:15" ht="17.25" customHeight="1">
      <c r="B11" s="360" t="s">
        <v>90</v>
      </c>
      <c r="C11" s="361"/>
      <c r="D11" s="212">
        <v>1</v>
      </c>
      <c r="E11" s="212">
        <v>2</v>
      </c>
      <c r="F11" s="212">
        <v>3</v>
      </c>
      <c r="G11" s="212">
        <v>4</v>
      </c>
      <c r="H11" s="212">
        <v>5</v>
      </c>
      <c r="I11" s="212">
        <v>6</v>
      </c>
      <c r="J11" s="212">
        <v>7</v>
      </c>
    </row>
    <row r="12" spans="2:15" ht="33.950000000000003" customHeight="1">
      <c r="B12" s="362"/>
      <c r="C12" s="363"/>
      <c r="D12" s="213" t="s">
        <v>91</v>
      </c>
      <c r="E12" s="213" t="s">
        <v>92</v>
      </c>
      <c r="F12" s="213" t="s">
        <v>93</v>
      </c>
      <c r="G12" s="213" t="s">
        <v>94</v>
      </c>
      <c r="H12" s="213" t="s">
        <v>95</v>
      </c>
      <c r="I12" s="213" t="s">
        <v>96</v>
      </c>
      <c r="J12" s="213" t="s">
        <v>97</v>
      </c>
    </row>
    <row r="13" spans="2:15" ht="39.950000000000003" customHeight="1">
      <c r="B13" s="364" t="s">
        <v>1</v>
      </c>
      <c r="C13" s="214" t="s">
        <v>98</v>
      </c>
      <c r="D13" s="215">
        <f>VALUE('1117'!L15)</f>
        <v>136.84126984126985</v>
      </c>
      <c r="E13" s="215">
        <f>VALUE('1117'!L26)</f>
        <v>150.22664835164835</v>
      </c>
      <c r="F13" s="215">
        <f>VALUE('1117'!L37)</f>
        <v>95.163690476190482</v>
      </c>
      <c r="G13" s="215">
        <f>VALUE('1117'!L48)</f>
        <v>93.033333333333331</v>
      </c>
      <c r="H13" s="215">
        <f>VALUE('1117'!L58)</f>
        <v>89.259259259259252</v>
      </c>
      <c r="I13" s="215">
        <f>VALUE('1117'!L69)</f>
        <v>126.40384615384615</v>
      </c>
      <c r="J13" s="215">
        <f>VALUE('1117'!L79)</f>
        <v>113.20192307692307</v>
      </c>
    </row>
    <row r="14" spans="2:15" ht="39.950000000000003" customHeight="1">
      <c r="B14" s="365"/>
      <c r="C14" s="214" t="s">
        <v>99</v>
      </c>
      <c r="D14" s="215">
        <f>VALUE('1117'!O15)</f>
        <v>126.00209716057115</v>
      </c>
      <c r="E14" s="215">
        <f>VALUE('1117'!O26)</f>
        <v>139.7679669294449</v>
      </c>
      <c r="F14" s="215">
        <f>VALUE('1117'!O37)</f>
        <v>82.033483028839058</v>
      </c>
      <c r="G14" s="215">
        <f>VALUE('1117'!O48)</f>
        <v>88.632889652211247</v>
      </c>
      <c r="H14" s="215">
        <f>VALUE('1117'!O58)</f>
        <v>88.019414038948298</v>
      </c>
      <c r="I14" s="215">
        <f>VALUE('1117'!O69)</f>
        <v>107.57963980463987</v>
      </c>
      <c r="J14" s="215">
        <f>VALUE('1117'!O79)</f>
        <v>102.81981990231994</v>
      </c>
    </row>
    <row r="15" spans="2:15" ht="39.950000000000003" customHeight="1">
      <c r="B15" s="366"/>
      <c r="C15" s="212" t="s">
        <v>100</v>
      </c>
      <c r="D15" s="233">
        <f>D14/D13</f>
        <v>0.92079017760306026</v>
      </c>
      <c r="E15" s="233">
        <f t="shared" ref="E15:J15" si="0">E14/E13</f>
        <v>0.93038065125621439</v>
      </c>
      <c r="F15" s="233">
        <f t="shared" si="0"/>
        <v>0.86202502885660426</v>
      </c>
      <c r="G15" s="233">
        <f t="shared" si="0"/>
        <v>0.95270035455619395</v>
      </c>
      <c r="H15" s="233">
        <f t="shared" si="0"/>
        <v>0.98610961786373619</v>
      </c>
      <c r="I15" s="233">
        <f t="shared" si="0"/>
        <v>0.85107884829473202</v>
      </c>
      <c r="J15" s="233">
        <f t="shared" si="0"/>
        <v>0.90828686569619255</v>
      </c>
    </row>
    <row r="16" spans="2:15" ht="17.25" customHeight="1">
      <c r="B16" s="367" t="s">
        <v>101</v>
      </c>
      <c r="C16" s="212" t="s">
        <v>102</v>
      </c>
      <c r="D16" s="95">
        <f>'1117'!T5</f>
        <v>0.2902777777777778</v>
      </c>
      <c r="E16" s="95">
        <f>'1117'!T16</f>
        <v>0.2902777777777778</v>
      </c>
      <c r="F16" s="95">
        <f>'1117'!T27</f>
        <v>0.28888888888888886</v>
      </c>
      <c r="G16" s="95">
        <f>'1117'!T38</f>
        <v>0.33333333333333331</v>
      </c>
      <c r="H16" s="95">
        <f>'1117'!T49</f>
        <v>0.2902777777777778</v>
      </c>
      <c r="I16" s="95">
        <f>'1117'!T59</f>
        <v>0.29166666666666669</v>
      </c>
      <c r="J16" s="272">
        <f>'1117'!T70</f>
        <v>0.33333333333333331</v>
      </c>
    </row>
    <row r="17" spans="2:10" ht="17.25" customHeight="1">
      <c r="B17" s="368"/>
      <c r="C17" s="212" t="s">
        <v>103</v>
      </c>
      <c r="D17" s="20">
        <v>0.66111111111111109</v>
      </c>
      <c r="E17" s="41">
        <v>0.60972222222222228</v>
      </c>
      <c r="F17" s="41">
        <v>0.60555555555555551</v>
      </c>
      <c r="G17" s="59">
        <v>0.49652777777777779</v>
      </c>
      <c r="H17" s="79">
        <v>0.60902777777777772</v>
      </c>
      <c r="I17" s="20">
        <v>0.61805555555555558</v>
      </c>
      <c r="J17" s="20">
        <v>0.47222222222222221</v>
      </c>
    </row>
    <row r="18" spans="2:10" ht="17.25" customHeight="1">
      <c r="B18" s="354" t="s">
        <v>104</v>
      </c>
      <c r="C18" s="355"/>
      <c r="D18" s="216">
        <f>VALUE('1117'!M15)</f>
        <v>14.8</v>
      </c>
      <c r="E18" s="216">
        <f>VALUE('1117'!M26)</f>
        <v>13.5</v>
      </c>
      <c r="F18" s="216">
        <f>VALUE('1117'!M37)</f>
        <v>15.666666666666666</v>
      </c>
      <c r="G18" s="216">
        <f>VALUE('1117'!M48)</f>
        <v>15</v>
      </c>
      <c r="H18" s="216">
        <f>VALUE('1117'!M58)</f>
        <v>17.333333333333332</v>
      </c>
      <c r="I18" s="216">
        <f>VALUE('1117'!M69)</f>
        <v>12.4</v>
      </c>
      <c r="J18" s="216">
        <f>VALUE('1117'!M79)</f>
        <v>13.7</v>
      </c>
    </row>
    <row r="19" spans="2:10" ht="17.25" customHeight="1">
      <c r="B19" s="354" t="s">
        <v>105</v>
      </c>
      <c r="C19" s="355"/>
      <c r="D19" s="213" t="s">
        <v>106</v>
      </c>
      <c r="E19" s="213" t="s">
        <v>106</v>
      </c>
      <c r="F19" s="213" t="s">
        <v>107</v>
      </c>
      <c r="G19" s="213" t="s">
        <v>107</v>
      </c>
      <c r="H19" s="213" t="s">
        <v>107</v>
      </c>
      <c r="I19" s="213" t="s">
        <v>108</v>
      </c>
      <c r="J19" s="213" t="s">
        <v>107</v>
      </c>
    </row>
    <row r="20" spans="2:10" ht="17.25" customHeight="1">
      <c r="B20" s="354" t="s">
        <v>110</v>
      </c>
      <c r="C20" s="355"/>
      <c r="D20" s="213"/>
      <c r="E20" s="213"/>
      <c r="F20" s="213"/>
      <c r="G20" s="217"/>
      <c r="H20" s="213" t="s">
        <v>109</v>
      </c>
      <c r="I20" s="213"/>
      <c r="J20" s="213"/>
    </row>
    <row r="21" spans="2:10" ht="17.25" customHeight="1">
      <c r="B21" s="354" t="s">
        <v>111</v>
      </c>
      <c r="C21" s="355"/>
      <c r="D21" s="273"/>
      <c r="E21" s="273"/>
      <c r="F21" s="273"/>
      <c r="G21" s="273"/>
      <c r="H21" s="273"/>
      <c r="I21" s="273"/>
      <c r="J21" s="273"/>
    </row>
    <row r="22" spans="2:10">
      <c r="B22" s="370"/>
      <c r="C22" s="370"/>
    </row>
  </sheetData>
  <mergeCells count="37">
    <mergeCell ref="J5:K5"/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J6:K6"/>
    <mergeCell ref="D7:E7"/>
    <mergeCell ref="F7:G7"/>
    <mergeCell ref="H7:I7"/>
    <mergeCell ref="J7:K7"/>
    <mergeCell ref="H8:I8"/>
    <mergeCell ref="B18:C18"/>
    <mergeCell ref="B19:C19"/>
    <mergeCell ref="D6:E6"/>
    <mergeCell ref="F6:G6"/>
    <mergeCell ref="H6:I6"/>
    <mergeCell ref="D10:J10"/>
    <mergeCell ref="B11:C12"/>
    <mergeCell ref="B13:B15"/>
    <mergeCell ref="B16:B17"/>
    <mergeCell ref="B10:C10"/>
    <mergeCell ref="J8:K8"/>
    <mergeCell ref="B5:C8"/>
    <mergeCell ref="D5:E5"/>
    <mergeCell ref="F5:G5"/>
    <mergeCell ref="H5:I5"/>
    <mergeCell ref="B20:C20"/>
    <mergeCell ref="B21:C21"/>
    <mergeCell ref="B22:C22"/>
    <mergeCell ref="D8:E8"/>
    <mergeCell ref="F8:G8"/>
  </mergeCells>
  <phoneticPr fontId="2" type="noConversion"/>
  <conditionalFormatting sqref="D15:J15">
    <cfRule type="cellIs" dxfId="139" priority="1" operator="lessThan">
      <formula>0.8</formula>
    </cfRule>
  </conditionalFormatting>
  <pageMargins left="0.7" right="0.7" top="0.75" bottom="0.75" header="0.3" footer="0.3"/>
  <pageSetup paperSize="8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55569-64D0-4AE4-BD89-8A6411653E1F}">
  <sheetPr>
    <tabColor theme="9" tint="0.79998168889431442"/>
    <pageSetUpPr fitToPage="1"/>
  </sheetPr>
  <dimension ref="A1:AF92"/>
  <sheetViews>
    <sheetView zoomScale="69" zoomScaleNormal="69" workbookViewId="0">
      <pane xSplit="5" ySplit="4" topLeftCell="G41" activePane="bottomRight" state="frozen"/>
      <selection activeCell="J29" sqref="J29"/>
      <selection pane="topRight" activeCell="J29" sqref="J29"/>
      <selection pane="bottomLeft" activeCell="J29" sqref="J29"/>
      <selection pane="bottomRight" activeCell="J79" sqref="J79:R79"/>
    </sheetView>
  </sheetViews>
  <sheetFormatPr defaultColWidth="7.875" defaultRowHeight="15.75"/>
  <cols>
    <col min="1" max="1" width="15" style="6" customWidth="1"/>
    <col min="2" max="2" width="12.875" style="6" customWidth="1"/>
    <col min="3" max="3" width="12.875" style="6" hidden="1" customWidth="1"/>
    <col min="4" max="4" width="26.125" style="6" bestFit="1" customWidth="1"/>
    <col min="5" max="5" width="15" style="6" customWidth="1"/>
    <col min="6" max="6" width="8.875" style="6" bestFit="1" customWidth="1"/>
    <col min="7" max="7" width="20.125" style="6" bestFit="1" customWidth="1"/>
    <col min="8" max="8" width="16.375" style="6" bestFit="1" customWidth="1"/>
    <col min="9" max="9" width="10.875" style="6" bestFit="1" customWidth="1"/>
    <col min="10" max="10" width="10.125" style="6" bestFit="1" customWidth="1"/>
    <col min="11" max="11" width="10.625" style="6" customWidth="1"/>
    <col min="12" max="12" width="14.5" style="6" customWidth="1"/>
    <col min="13" max="13" width="10.125" style="6" bestFit="1" customWidth="1"/>
    <col min="14" max="14" width="10.25" style="6" bestFit="1" customWidth="1"/>
    <col min="15" max="15" width="11.875" style="6" customWidth="1"/>
    <col min="16" max="17" width="9.125" style="6" bestFit="1" customWidth="1"/>
    <col min="18" max="18" width="9.125" style="6" customWidth="1"/>
    <col min="19" max="19" width="8.375" style="6" customWidth="1"/>
    <col min="20" max="21" width="9.375" style="6" bestFit="1" customWidth="1"/>
    <col min="22" max="22" width="10.625" style="6" customWidth="1"/>
    <col min="23" max="23" width="8.625" style="92" customWidth="1"/>
    <col min="24" max="24" width="7.5" style="6" bestFit="1" customWidth="1"/>
    <col min="25" max="25" width="6.875" style="6" customWidth="1"/>
    <col min="26" max="26" width="12.625" style="6" customWidth="1"/>
    <col min="27" max="27" width="33.375" style="6" customWidth="1"/>
    <col min="28" max="28" width="13.125" style="6" bestFit="1" customWidth="1"/>
    <col min="29" max="29" width="10.375" style="6" customWidth="1"/>
    <col min="30" max="30" width="9.125" style="6" customWidth="1"/>
    <col min="31" max="31" width="7.875" style="6"/>
    <col min="32" max="32" width="24.5" style="6" bestFit="1" customWidth="1"/>
    <col min="33" max="16384" width="7.875" style="6"/>
  </cols>
  <sheetData>
    <row r="1" spans="1:30" ht="21">
      <c r="A1" s="2" t="s">
        <v>72</v>
      </c>
      <c r="B1" s="2"/>
      <c r="C1" s="2"/>
      <c r="D1" s="176" t="s">
        <v>8</v>
      </c>
      <c r="E1" s="3">
        <f>SUM(G5:G79)</f>
        <v>54557</v>
      </c>
      <c r="F1" s="177" t="s">
        <v>9</v>
      </c>
      <c r="G1" s="4">
        <f>SUM(H5:H79)</f>
        <v>2635749.5299999998</v>
      </c>
      <c r="H1" s="175" t="s">
        <v>10</v>
      </c>
      <c r="I1" s="5">
        <f>M15+M26+M48+M58+M69+M79+M37</f>
        <v>102.4</v>
      </c>
      <c r="J1" s="371" t="s">
        <v>11</v>
      </c>
      <c r="K1" s="371"/>
      <c r="L1" s="371"/>
      <c r="M1" s="371" t="s">
        <v>12</v>
      </c>
      <c r="N1" s="371"/>
      <c r="O1" s="371"/>
      <c r="P1" s="371" t="s">
        <v>13</v>
      </c>
      <c r="Q1" s="371"/>
      <c r="R1" s="371"/>
      <c r="S1" s="371"/>
      <c r="T1" s="371" t="s">
        <v>14</v>
      </c>
      <c r="U1" s="371"/>
      <c r="V1" s="371"/>
      <c r="W1" s="371"/>
      <c r="X1" s="371"/>
      <c r="Y1" s="371"/>
      <c r="Z1" s="371" t="s">
        <v>15</v>
      </c>
      <c r="AA1" s="371"/>
      <c r="AB1" s="371" t="s">
        <v>16</v>
      </c>
      <c r="AC1" s="372"/>
      <c r="AD1" s="372"/>
    </row>
    <row r="2" spans="1:30" ht="18.75">
      <c r="A2" s="409" t="s">
        <v>203</v>
      </c>
      <c r="B2" s="409"/>
      <c r="C2" s="176"/>
      <c r="D2" s="176" t="s">
        <v>1</v>
      </c>
      <c r="E2" s="7">
        <f>AVERAGE(O15,O26,O37,O48,O58,O69,O79)</f>
        <v>104.9793300738535</v>
      </c>
      <c r="F2" s="8" t="s">
        <v>2</v>
      </c>
      <c r="G2" s="9">
        <f>G1/E1</f>
        <v>48.311848708689993</v>
      </c>
      <c r="H2" s="175" t="s">
        <v>17</v>
      </c>
      <c r="I2" s="175">
        <f>COUNT(I5:I79)</f>
        <v>0</v>
      </c>
      <c r="J2" s="371"/>
      <c r="K2" s="371"/>
      <c r="L2" s="371"/>
      <c r="M2" s="371"/>
      <c r="N2" s="371"/>
      <c r="O2" s="371"/>
      <c r="P2" s="371"/>
      <c r="Q2" s="371"/>
      <c r="R2" s="371"/>
      <c r="S2" s="371"/>
      <c r="T2" s="371"/>
      <c r="U2" s="371"/>
      <c r="V2" s="371"/>
      <c r="W2" s="371"/>
      <c r="X2" s="371"/>
      <c r="Y2" s="371"/>
      <c r="Z2" s="371"/>
      <c r="AA2" s="371"/>
      <c r="AB2" s="372"/>
      <c r="AC2" s="372"/>
      <c r="AD2" s="372"/>
    </row>
    <row r="3" spans="1:30">
      <c r="A3" s="405" t="s">
        <v>18</v>
      </c>
      <c r="B3" s="405" t="s">
        <v>19</v>
      </c>
      <c r="C3" s="177"/>
      <c r="D3" s="405" t="s">
        <v>20</v>
      </c>
      <c r="E3" s="405"/>
      <c r="F3" s="379" t="s">
        <v>21</v>
      </c>
      <c r="G3" s="389" t="s">
        <v>22</v>
      </c>
      <c r="H3" s="379" t="s">
        <v>23</v>
      </c>
      <c r="I3" s="381" t="s">
        <v>24</v>
      </c>
      <c r="J3" s="383" t="s">
        <v>25</v>
      </c>
      <c r="K3" s="385" t="s">
        <v>26</v>
      </c>
      <c r="L3" s="387" t="s">
        <v>1</v>
      </c>
      <c r="M3" s="389" t="s">
        <v>25</v>
      </c>
      <c r="N3" s="385" t="s">
        <v>26</v>
      </c>
      <c r="O3" s="387" t="s">
        <v>1</v>
      </c>
      <c r="P3" s="383" t="s">
        <v>25</v>
      </c>
      <c r="Q3" s="387" t="s">
        <v>1</v>
      </c>
      <c r="R3" s="392" t="s">
        <v>27</v>
      </c>
      <c r="S3" s="394" t="s">
        <v>28</v>
      </c>
      <c r="T3" s="389" t="s">
        <v>4</v>
      </c>
      <c r="U3" s="389"/>
      <c r="V3" s="408" t="s">
        <v>29</v>
      </c>
      <c r="W3" s="381" t="s">
        <v>30</v>
      </c>
      <c r="X3" s="389" t="s">
        <v>31</v>
      </c>
      <c r="Y3" s="389"/>
      <c r="Z3" s="415" t="s">
        <v>71</v>
      </c>
      <c r="AA3" s="416"/>
      <c r="AB3" s="385" t="s">
        <v>26</v>
      </c>
      <c r="AC3" s="392" t="s">
        <v>27</v>
      </c>
      <c r="AD3" s="394" t="s">
        <v>28</v>
      </c>
    </row>
    <row r="4" spans="1:30" ht="16.5" thickBot="1">
      <c r="A4" s="379"/>
      <c r="B4" s="379"/>
      <c r="C4" s="178"/>
      <c r="D4" s="379"/>
      <c r="E4" s="379"/>
      <c r="F4" s="380"/>
      <c r="G4" s="390"/>
      <c r="H4" s="380"/>
      <c r="I4" s="382"/>
      <c r="J4" s="384"/>
      <c r="K4" s="386"/>
      <c r="L4" s="388"/>
      <c r="M4" s="390"/>
      <c r="N4" s="386"/>
      <c r="O4" s="388"/>
      <c r="P4" s="384"/>
      <c r="Q4" s="388"/>
      <c r="R4" s="393"/>
      <c r="S4" s="395"/>
      <c r="T4" s="179" t="s">
        <v>5</v>
      </c>
      <c r="U4" s="179" t="s">
        <v>6</v>
      </c>
      <c r="V4" s="390"/>
      <c r="W4" s="382"/>
      <c r="X4" s="178" t="s">
        <v>32</v>
      </c>
      <c r="Y4" s="178" t="s">
        <v>33</v>
      </c>
      <c r="Z4" s="417"/>
      <c r="AA4" s="417"/>
      <c r="AB4" s="386"/>
      <c r="AC4" s="393"/>
      <c r="AD4" s="395"/>
    </row>
    <row r="5" spans="1:30" ht="15" customHeight="1">
      <c r="A5" s="411" t="s">
        <v>66</v>
      </c>
      <c r="B5" s="199" t="str">
        <f>VLOOKUP(D5,廠價表!$C$1:$E$39,2,0)</f>
        <v>義大利麵</v>
      </c>
      <c r="C5" s="102"/>
      <c r="D5" s="103" t="s">
        <v>127</v>
      </c>
      <c r="E5" s="104"/>
      <c r="F5" s="199">
        <f>VLOOKUP(D5,廠價表!$C$1:$E$39,3,0)</f>
        <v>57.21</v>
      </c>
      <c r="G5" s="105">
        <v>1693</v>
      </c>
      <c r="H5" s="106">
        <f>F5*G5</f>
        <v>96856.53</v>
      </c>
      <c r="I5" s="107"/>
      <c r="J5" s="108">
        <v>14</v>
      </c>
      <c r="K5" s="105">
        <f>VLOOKUP(D5,產線配置圖!$A$2:$C$38,3,0)</f>
        <v>2105</v>
      </c>
      <c r="L5" s="109">
        <f>K5/J5</f>
        <v>150.35714285714286</v>
      </c>
      <c r="M5" s="110">
        <v>14</v>
      </c>
      <c r="N5" s="105">
        <f t="shared" ref="N5:N8" si="0">G5/W5*60</f>
        <v>1751.3793103448288</v>
      </c>
      <c r="O5" s="109">
        <f t="shared" ref="O5:O8" si="1">N5/M5</f>
        <v>125.09852216748777</v>
      </c>
      <c r="P5" s="111">
        <f t="shared" ref="P5:P8" si="2">M5-J5</f>
        <v>0</v>
      </c>
      <c r="Q5" s="112">
        <f t="shared" ref="Q5:Q8" si="3">O5-L5</f>
        <v>-25.258620689655089</v>
      </c>
      <c r="R5" s="184">
        <f t="shared" ref="R5:R8" si="4">O5/L5</f>
        <v>0.83200917356048876</v>
      </c>
      <c r="S5" s="396">
        <f>R15</f>
        <v>0.92079017760306026</v>
      </c>
      <c r="T5" s="94">
        <v>0.2902777777777778</v>
      </c>
      <c r="U5" s="94">
        <v>0.33055555555555555</v>
      </c>
      <c r="V5" s="194"/>
      <c r="W5" s="107">
        <f t="shared" ref="W5:W14" si="5">(U5-T5)*24*60</f>
        <v>57.999999999999957</v>
      </c>
      <c r="X5" s="188"/>
      <c r="Y5" s="188"/>
      <c r="Z5" s="400"/>
      <c r="AA5" s="400"/>
      <c r="AB5" s="111">
        <f>N5-K5</f>
        <v>-353.62068965517119</v>
      </c>
      <c r="AC5" s="184">
        <f>N5/K5</f>
        <v>0.83200917356048876</v>
      </c>
      <c r="AD5" s="401">
        <f>AC15</f>
        <v>0.92122188733120525</v>
      </c>
    </row>
    <row r="6" spans="1:30" ht="15" customHeight="1">
      <c r="A6" s="412"/>
      <c r="B6" s="56" t="str">
        <f>VLOOKUP(D6,廠價表!$C$1:$E$39,2,0)</f>
        <v>義大利麵</v>
      </c>
      <c r="C6" s="10"/>
      <c r="D6" s="11" t="s">
        <v>153</v>
      </c>
      <c r="E6" s="86"/>
      <c r="F6" s="56">
        <f>VLOOKUP(D6,廠價表!$C$1:$E$39,3,0)</f>
        <v>50.67</v>
      </c>
      <c r="G6" s="25">
        <v>1112</v>
      </c>
      <c r="H6" s="15">
        <f t="shared" ref="H6:H14" si="6">F6*G6</f>
        <v>56345.04</v>
      </c>
      <c r="I6" s="182"/>
      <c r="J6" s="16">
        <v>14</v>
      </c>
      <c r="K6" s="14">
        <f>VLOOKUP(D6,產線配置圖!$A$2:$C$38,3,0)</f>
        <v>2000</v>
      </c>
      <c r="L6" s="17">
        <f>K6/J6</f>
        <v>142.85714285714286</v>
      </c>
      <c r="M6" s="180">
        <v>14</v>
      </c>
      <c r="N6" s="14">
        <f t="shared" si="0"/>
        <v>1803.2432432432456</v>
      </c>
      <c r="O6" s="17">
        <f t="shared" si="1"/>
        <v>128.80308880308897</v>
      </c>
      <c r="P6" s="18">
        <f t="shared" si="2"/>
        <v>0</v>
      </c>
      <c r="Q6" s="19">
        <f t="shared" si="3"/>
        <v>-14.054054054053893</v>
      </c>
      <c r="R6" s="185">
        <f t="shared" si="4"/>
        <v>0.90162162162162274</v>
      </c>
      <c r="S6" s="397"/>
      <c r="T6" s="95">
        <v>0.33750000000000002</v>
      </c>
      <c r="U6" s="95">
        <v>0.36319444444444443</v>
      </c>
      <c r="V6" s="177">
        <f>(T6-U5)*24*60</f>
        <v>10.000000000000044</v>
      </c>
      <c r="W6" s="182">
        <f t="shared" si="5"/>
        <v>36.99999999999995</v>
      </c>
      <c r="X6" s="22"/>
      <c r="Y6" s="22"/>
      <c r="Z6" s="381"/>
      <c r="AA6" s="381"/>
      <c r="AB6" s="18">
        <f>N6-K6</f>
        <v>-196.75675675675438</v>
      </c>
      <c r="AC6" s="185">
        <f>N6/K6</f>
        <v>0.90162162162162285</v>
      </c>
      <c r="AD6" s="402"/>
    </row>
    <row r="7" spans="1:30" ht="15" customHeight="1">
      <c r="A7" s="412"/>
      <c r="B7" s="56" t="str">
        <f>VLOOKUP(D7,廠價表!$C$1:$E$39,2,0)</f>
        <v>義大利麵</v>
      </c>
      <c r="C7" s="10"/>
      <c r="D7" s="11" t="s">
        <v>139</v>
      </c>
      <c r="E7" s="86"/>
      <c r="F7" s="56">
        <f>VLOOKUP(D7,廠價表!$C$1:$E$39,3,0)</f>
        <v>57.21</v>
      </c>
      <c r="G7" s="25">
        <v>2176</v>
      </c>
      <c r="H7" s="15">
        <f t="shared" si="6"/>
        <v>124488.96000000001</v>
      </c>
      <c r="I7" s="182"/>
      <c r="J7" s="16">
        <v>18</v>
      </c>
      <c r="K7" s="14">
        <f>VLOOKUP(D7,產線配置圖!$A$2:$C$38,3,0)</f>
        <v>1895</v>
      </c>
      <c r="L7" s="17">
        <f>K7/J7</f>
        <v>105.27777777777777</v>
      </c>
      <c r="M7" s="180">
        <v>18</v>
      </c>
      <c r="N7" s="14">
        <f t="shared" si="0"/>
        <v>1764.3243243243251</v>
      </c>
      <c r="O7" s="17">
        <f t="shared" si="1"/>
        <v>98.018018018018054</v>
      </c>
      <c r="P7" s="18">
        <f t="shared" si="2"/>
        <v>0</v>
      </c>
      <c r="Q7" s="19">
        <f t="shared" si="3"/>
        <v>-7.2597597597597172</v>
      </c>
      <c r="R7" s="185">
        <f t="shared" si="4"/>
        <v>0.93104185980175469</v>
      </c>
      <c r="S7" s="397"/>
      <c r="T7" s="95">
        <v>0.37013888888888891</v>
      </c>
      <c r="U7" s="95">
        <v>0.42152777777777778</v>
      </c>
      <c r="V7" s="177">
        <f>(T7-U6)*24*60</f>
        <v>10.000000000000044</v>
      </c>
      <c r="W7" s="182">
        <f t="shared" si="5"/>
        <v>73.999999999999972</v>
      </c>
      <c r="X7" s="22"/>
      <c r="Y7" s="22"/>
      <c r="Z7" s="405"/>
      <c r="AA7" s="405"/>
      <c r="AB7" s="18">
        <f>N7-K7</f>
        <v>-130.67567567567494</v>
      </c>
      <c r="AC7" s="185">
        <f>N7/K7</f>
        <v>0.93104185980175469</v>
      </c>
      <c r="AD7" s="402"/>
    </row>
    <row r="8" spans="1:30" ht="15" customHeight="1">
      <c r="A8" s="412"/>
      <c r="B8" s="56" t="str">
        <f>VLOOKUP(D8,廠價表!$C$1:$E$39,2,0)</f>
        <v>義大利麵</v>
      </c>
      <c r="C8" s="10"/>
      <c r="D8" s="11" t="s">
        <v>141</v>
      </c>
      <c r="E8" s="86"/>
      <c r="F8" s="56">
        <f>VLOOKUP(D8,廠價表!$C$1:$E$39,3,0)</f>
        <v>49.14</v>
      </c>
      <c r="G8" s="25">
        <v>2366</v>
      </c>
      <c r="H8" s="15">
        <f t="shared" si="6"/>
        <v>116265.24</v>
      </c>
      <c r="I8" s="182"/>
      <c r="J8" s="16">
        <v>14</v>
      </c>
      <c r="K8" s="14">
        <f>VLOOKUP(D8,產線配置圖!$A$2:$C$38,3,0)</f>
        <v>2000</v>
      </c>
      <c r="L8" s="17">
        <f t="shared" ref="L8" si="7">K8/J8</f>
        <v>142.85714285714286</v>
      </c>
      <c r="M8" s="180">
        <v>14</v>
      </c>
      <c r="N8" s="14">
        <f t="shared" si="0"/>
        <v>1918.3783783783767</v>
      </c>
      <c r="O8" s="17">
        <f t="shared" si="1"/>
        <v>137.02702702702692</v>
      </c>
      <c r="P8" s="18">
        <f t="shared" si="2"/>
        <v>0</v>
      </c>
      <c r="Q8" s="19">
        <f t="shared" si="3"/>
        <v>-5.8301158301159433</v>
      </c>
      <c r="R8" s="185">
        <f t="shared" si="4"/>
        <v>0.95918918918918838</v>
      </c>
      <c r="S8" s="397"/>
      <c r="T8" s="20">
        <v>0.42777777777777776</v>
      </c>
      <c r="U8" s="20">
        <v>0.47916666666666669</v>
      </c>
      <c r="V8" s="177">
        <f>(T8-U7)*24*60</f>
        <v>8.999999999999968</v>
      </c>
      <c r="W8" s="182">
        <f t="shared" si="5"/>
        <v>74.000000000000057</v>
      </c>
      <c r="X8" s="22">
        <v>0.48958333333333331</v>
      </c>
      <c r="Y8" s="22">
        <v>0.53125</v>
      </c>
      <c r="Z8" s="406"/>
      <c r="AA8" s="406"/>
      <c r="AB8" s="18">
        <f>N8-K8</f>
        <v>-81.621621621623262</v>
      </c>
      <c r="AC8" s="185">
        <f>N8/K8</f>
        <v>0.95918918918918838</v>
      </c>
      <c r="AD8" s="402"/>
    </row>
    <row r="9" spans="1:30" ht="15" customHeight="1">
      <c r="A9" s="413"/>
      <c r="B9" s="56" t="s">
        <v>134</v>
      </c>
      <c r="C9" s="10"/>
      <c r="D9" s="11" t="s">
        <v>141</v>
      </c>
      <c r="E9" s="86"/>
      <c r="F9" s="56">
        <v>49.14</v>
      </c>
      <c r="G9" s="25">
        <v>2367</v>
      </c>
      <c r="H9" s="15">
        <f t="shared" ref="H9" si="8">F9*G9</f>
        <v>116314.38</v>
      </c>
      <c r="I9" s="182"/>
      <c r="J9" s="16">
        <v>14</v>
      </c>
      <c r="K9" s="14">
        <v>2000</v>
      </c>
      <c r="L9" s="17">
        <v>142.85714285714286</v>
      </c>
      <c r="M9" s="180">
        <v>14</v>
      </c>
      <c r="N9" s="14">
        <v>1974.8936170212771</v>
      </c>
      <c r="O9" s="17">
        <v>141.06382978723408</v>
      </c>
      <c r="P9" s="18">
        <v>0</v>
      </c>
      <c r="Q9" s="19">
        <v>-1.7933130699087769</v>
      </c>
      <c r="R9" s="185">
        <v>0.9874468085106386</v>
      </c>
      <c r="S9" s="398"/>
      <c r="T9" s="79">
        <v>0.54027777777777775</v>
      </c>
      <c r="U9" s="79">
        <v>0.61944444444444446</v>
      </c>
      <c r="V9" s="177">
        <f>(T9-U8)*24*60</f>
        <v>87.999999999999929</v>
      </c>
      <c r="W9" s="24">
        <f t="shared" si="5"/>
        <v>114.00000000000007</v>
      </c>
      <c r="X9" s="22"/>
      <c r="Y9" s="263"/>
      <c r="Z9" s="407"/>
      <c r="AA9" s="407"/>
      <c r="AB9" s="18"/>
      <c r="AC9" s="185"/>
      <c r="AD9" s="403"/>
    </row>
    <row r="10" spans="1:30" ht="15" customHeight="1">
      <c r="A10" s="413"/>
      <c r="B10" s="56"/>
      <c r="C10" s="23"/>
      <c r="D10" s="11"/>
      <c r="E10" s="12"/>
      <c r="F10" s="56"/>
      <c r="G10" s="25"/>
      <c r="H10" s="15"/>
      <c r="I10" s="182"/>
      <c r="J10" s="16"/>
      <c r="K10" s="14"/>
      <c r="L10" s="17"/>
      <c r="M10" s="180"/>
      <c r="N10" s="14"/>
      <c r="O10" s="17"/>
      <c r="P10" s="18"/>
      <c r="Q10" s="19"/>
      <c r="R10" s="185"/>
      <c r="S10" s="398"/>
      <c r="T10" s="20"/>
      <c r="U10" s="20"/>
      <c r="V10" s="177"/>
      <c r="W10" s="182">
        <f t="shared" si="5"/>
        <v>0</v>
      </c>
      <c r="X10" s="22"/>
      <c r="Y10" s="263"/>
      <c r="Z10" s="419"/>
      <c r="AA10" s="418"/>
      <c r="AB10" s="264"/>
      <c r="AC10" s="185"/>
      <c r="AD10" s="403"/>
    </row>
    <row r="11" spans="1:30" ht="15" customHeight="1">
      <c r="A11" s="413"/>
      <c r="B11" s="56"/>
      <c r="C11" s="183"/>
      <c r="D11" s="11"/>
      <c r="E11" s="12"/>
      <c r="F11" s="56"/>
      <c r="G11" s="25"/>
      <c r="H11" s="15">
        <f t="shared" si="6"/>
        <v>0</v>
      </c>
      <c r="I11" s="182"/>
      <c r="J11" s="16"/>
      <c r="K11" s="14"/>
      <c r="L11" s="17"/>
      <c r="M11" s="180"/>
      <c r="N11" s="14"/>
      <c r="O11" s="17"/>
      <c r="P11" s="18"/>
      <c r="Q11" s="19"/>
      <c r="R11" s="185"/>
      <c r="S11" s="398"/>
      <c r="T11" s="20"/>
      <c r="U11" s="20"/>
      <c r="V11" s="177"/>
      <c r="W11" s="24">
        <f t="shared" si="5"/>
        <v>0</v>
      </c>
      <c r="X11" s="22"/>
      <c r="Y11" s="263"/>
      <c r="Z11" s="419"/>
      <c r="AA11" s="418"/>
      <c r="AB11" s="264"/>
      <c r="AC11" s="185"/>
      <c r="AD11" s="403"/>
    </row>
    <row r="12" spans="1:30" ht="15" customHeight="1">
      <c r="A12" s="413"/>
      <c r="B12" s="26"/>
      <c r="C12" s="27"/>
      <c r="D12" s="28"/>
      <c r="E12" s="29"/>
      <c r="F12" s="13"/>
      <c r="G12" s="30"/>
      <c r="H12" s="15">
        <f t="shared" si="6"/>
        <v>0</v>
      </c>
      <c r="I12" s="178"/>
      <c r="J12" s="31"/>
      <c r="K12" s="30"/>
      <c r="L12" s="17"/>
      <c r="M12" s="181"/>
      <c r="N12" s="25"/>
      <c r="O12" s="17"/>
      <c r="P12" s="18"/>
      <c r="Q12" s="19"/>
      <c r="R12" s="185"/>
      <c r="S12" s="398"/>
      <c r="T12" s="32"/>
      <c r="U12" s="32"/>
      <c r="V12" s="178"/>
      <c r="W12" s="24">
        <f t="shared" si="5"/>
        <v>0</v>
      </c>
      <c r="X12" s="33"/>
      <c r="Y12" s="33"/>
      <c r="Z12" s="407"/>
      <c r="AA12" s="407"/>
      <c r="AB12" s="34"/>
      <c r="AC12" s="186"/>
      <c r="AD12" s="403"/>
    </row>
    <row r="13" spans="1:30" ht="15" customHeight="1">
      <c r="A13" s="413"/>
      <c r="B13" s="56"/>
      <c r="C13" s="10"/>
      <c r="D13" s="11"/>
      <c r="E13" s="86"/>
      <c r="F13" s="56"/>
      <c r="G13" s="25"/>
      <c r="H13" s="15"/>
      <c r="I13" s="182"/>
      <c r="J13" s="16"/>
      <c r="K13" s="14"/>
      <c r="L13" s="17"/>
      <c r="M13" s="180"/>
      <c r="N13" s="14"/>
      <c r="O13" s="17"/>
      <c r="P13" s="18"/>
      <c r="Q13" s="19"/>
      <c r="R13" s="185"/>
      <c r="S13" s="479"/>
      <c r="T13" s="309"/>
      <c r="U13" s="309"/>
      <c r="V13" s="26"/>
      <c r="W13" s="24">
        <f t="shared" si="5"/>
        <v>0</v>
      </c>
      <c r="X13" s="33"/>
      <c r="Y13" s="33"/>
      <c r="Z13" s="419"/>
      <c r="AA13" s="418"/>
      <c r="AB13" s="34"/>
      <c r="AC13" s="186"/>
      <c r="AD13" s="403"/>
    </row>
    <row r="14" spans="1:30" ht="15" customHeight="1">
      <c r="A14" s="413"/>
      <c r="B14" s="26"/>
      <c r="C14" s="27"/>
      <c r="D14" s="28"/>
      <c r="E14" s="29"/>
      <c r="F14" s="13"/>
      <c r="G14" s="30"/>
      <c r="H14" s="15">
        <f t="shared" si="6"/>
        <v>0</v>
      </c>
      <c r="I14" s="178"/>
      <c r="J14" s="31"/>
      <c r="K14" s="30"/>
      <c r="L14" s="17"/>
      <c r="M14" s="181"/>
      <c r="N14" s="25"/>
      <c r="O14" s="17"/>
      <c r="P14" s="18"/>
      <c r="Q14" s="19"/>
      <c r="R14" s="185"/>
      <c r="S14" s="398"/>
      <c r="T14" s="308"/>
      <c r="U14" s="308"/>
      <c r="V14" s="178"/>
      <c r="W14" s="24">
        <f t="shared" si="5"/>
        <v>0</v>
      </c>
      <c r="X14" s="33"/>
      <c r="Y14" s="33"/>
      <c r="Z14" s="419"/>
      <c r="AA14" s="418"/>
      <c r="AB14" s="34"/>
      <c r="AC14" s="186"/>
      <c r="AD14" s="403"/>
    </row>
    <row r="15" spans="1:30" ht="15" customHeight="1" thickBot="1">
      <c r="A15" s="414"/>
      <c r="B15" s="113"/>
      <c r="C15" s="113" t="s">
        <v>34</v>
      </c>
      <c r="D15" s="410" t="s">
        <v>7</v>
      </c>
      <c r="E15" s="410"/>
      <c r="F15" s="114"/>
      <c r="G15" s="115"/>
      <c r="H15" s="116"/>
      <c r="I15" s="117"/>
      <c r="J15" s="118">
        <f t="shared" ref="J15:O15" si="9">AVERAGE(J5:J14)</f>
        <v>14.8</v>
      </c>
      <c r="K15" s="118">
        <f t="shared" si="9"/>
        <v>2000</v>
      </c>
      <c r="L15" s="115">
        <f t="shared" si="9"/>
        <v>136.84126984126985</v>
      </c>
      <c r="M15" s="118">
        <f t="shared" si="9"/>
        <v>14.8</v>
      </c>
      <c r="N15" s="118">
        <f t="shared" si="9"/>
        <v>1842.4437746624105</v>
      </c>
      <c r="O15" s="115">
        <f t="shared" si="9"/>
        <v>126.00209716057115</v>
      </c>
      <c r="P15" s="119">
        <f t="shared" ref="P15:P16" si="10">M15-J15</f>
        <v>0</v>
      </c>
      <c r="Q15" s="120">
        <f t="shared" ref="Q15:Q16" si="11">O15-L15</f>
        <v>-10.839172680698695</v>
      </c>
      <c r="R15" s="121">
        <f t="shared" ref="R15:R16" si="12">O15/L15</f>
        <v>0.92079017760306026</v>
      </c>
      <c r="S15" s="399"/>
      <c r="T15" s="122"/>
      <c r="U15" s="122"/>
      <c r="V15" s="195"/>
      <c r="W15" s="123"/>
      <c r="X15" s="124"/>
      <c r="Y15" s="124"/>
      <c r="Z15" s="391"/>
      <c r="AA15" s="391"/>
      <c r="AB15" s="119">
        <f>N15-K15</f>
        <v>-157.55622533758947</v>
      </c>
      <c r="AC15" s="187">
        <f>N15/K15</f>
        <v>0.92122188733120525</v>
      </c>
      <c r="AD15" s="404"/>
    </row>
    <row r="16" spans="1:30" ht="15" customHeight="1">
      <c r="A16" s="431" t="s">
        <v>67</v>
      </c>
      <c r="B16" s="199" t="s">
        <v>134</v>
      </c>
      <c r="C16" s="102"/>
      <c r="D16" s="103" t="s">
        <v>127</v>
      </c>
      <c r="E16" s="104"/>
      <c r="F16" s="199">
        <f>VLOOKUP(D16,廠價表!$C$1:$E$39,3,0)</f>
        <v>57.21</v>
      </c>
      <c r="G16" s="265">
        <v>1479</v>
      </c>
      <c r="H16" s="125">
        <f t="shared" ref="H16:H25" si="13">F16*G16</f>
        <v>84613.59</v>
      </c>
      <c r="I16" s="126"/>
      <c r="J16" s="108">
        <v>14</v>
      </c>
      <c r="K16" s="105">
        <f>VLOOKUP(D16,產線配置圖!$A$2:$C$38,3,0)</f>
        <v>2105</v>
      </c>
      <c r="L16" s="109">
        <f>K16/J16</f>
        <v>150.35714285714286</v>
      </c>
      <c r="M16" s="267">
        <v>14</v>
      </c>
      <c r="N16" s="127">
        <f>G16/W16*60</f>
        <v>1811.0204081632658</v>
      </c>
      <c r="O16" s="128">
        <f>N16/M16</f>
        <v>129.35860058309041</v>
      </c>
      <c r="P16" s="129">
        <f t="shared" si="10"/>
        <v>0</v>
      </c>
      <c r="Q16" s="130">
        <f t="shared" si="11"/>
        <v>-20.998542274052454</v>
      </c>
      <c r="R16" s="189">
        <f t="shared" si="12"/>
        <v>0.86034223665713327</v>
      </c>
      <c r="S16" s="424">
        <f>R26</f>
        <v>0.93038065125621439</v>
      </c>
      <c r="T16" s="268">
        <v>0.2902777777777778</v>
      </c>
      <c r="U16" s="268">
        <v>0.32430555555555557</v>
      </c>
      <c r="V16" s="126"/>
      <c r="W16" s="131">
        <f t="shared" ref="W16:W68" si="14">(U16-T16)*24*60</f>
        <v>48.999999999999986</v>
      </c>
      <c r="X16" s="128"/>
      <c r="Y16" s="128"/>
      <c r="Z16" s="400"/>
      <c r="AA16" s="400"/>
      <c r="AB16" s="111">
        <f>N16-K16</f>
        <v>-293.97959183673424</v>
      </c>
      <c r="AC16" s="184">
        <f>N16/K16</f>
        <v>0.86034223665713339</v>
      </c>
      <c r="AD16" s="401">
        <f>AC26</f>
        <v>0.92985914097331268</v>
      </c>
    </row>
    <row r="17" spans="1:30" ht="15" customHeight="1">
      <c r="A17" s="432"/>
      <c r="B17" s="56" t="s">
        <v>62</v>
      </c>
      <c r="C17" s="10"/>
      <c r="D17" s="11" t="s">
        <v>153</v>
      </c>
      <c r="E17" s="86"/>
      <c r="F17" s="56">
        <f>VLOOKUP(D17,廠價表!$C$1:$E$39,3,0)</f>
        <v>50.67</v>
      </c>
      <c r="G17" s="96">
        <v>3963</v>
      </c>
      <c r="H17" s="15">
        <f>F17*G17</f>
        <v>200805.21000000002</v>
      </c>
      <c r="I17" s="177"/>
      <c r="J17" s="16">
        <v>14</v>
      </c>
      <c r="K17" s="14">
        <f>VLOOKUP(D17,產線配置圖!$A$2:$C$38,3,0)</f>
        <v>2000</v>
      </c>
      <c r="L17" s="17">
        <f>K17/J17</f>
        <v>142.85714285714286</v>
      </c>
      <c r="M17" s="37">
        <v>14</v>
      </c>
      <c r="N17" s="36">
        <f>G17/W17*60</f>
        <v>1949.0163934426223</v>
      </c>
      <c r="O17" s="38">
        <f>N17/M17</f>
        <v>139.21545667447302</v>
      </c>
      <c r="P17" s="39">
        <f>M17-J17</f>
        <v>0</v>
      </c>
      <c r="Q17" s="40">
        <f>O17-L17</f>
        <v>-3.6416861826698437</v>
      </c>
      <c r="R17" s="190">
        <f>O17/L17</f>
        <v>0.97450819672131106</v>
      </c>
      <c r="S17" s="425"/>
      <c r="T17" s="41">
        <v>0.33333333333333331</v>
      </c>
      <c r="U17" s="41">
        <v>0.41805555555555557</v>
      </c>
      <c r="V17" s="177">
        <f>(T17-U16)*24*60</f>
        <v>12.999999999999954</v>
      </c>
      <c r="W17" s="43">
        <f t="shared" si="14"/>
        <v>122.00000000000004</v>
      </c>
      <c r="X17" s="44"/>
      <c r="Y17" s="44"/>
      <c r="Z17" s="381"/>
      <c r="AA17" s="381"/>
      <c r="AB17" s="18">
        <f>N17-K17</f>
        <v>-50.983606557377698</v>
      </c>
      <c r="AC17" s="185">
        <f>N17/K17</f>
        <v>0.97450819672131117</v>
      </c>
      <c r="AD17" s="402"/>
    </row>
    <row r="18" spans="1:30" ht="15" customHeight="1">
      <c r="A18" s="432"/>
      <c r="B18" s="56" t="s">
        <v>62</v>
      </c>
      <c r="C18" s="10"/>
      <c r="D18" s="11" t="s">
        <v>131</v>
      </c>
      <c r="E18" s="86"/>
      <c r="F18" s="56">
        <f>VLOOKUP(D18,廠價表!$C$1:$E$39,3,0)</f>
        <v>50.39</v>
      </c>
      <c r="G18" s="96">
        <v>2343</v>
      </c>
      <c r="H18" s="15">
        <f>F18*G18</f>
        <v>118063.77</v>
      </c>
      <c r="I18" s="177"/>
      <c r="J18" s="16">
        <v>13</v>
      </c>
      <c r="K18" s="14">
        <f>VLOOKUP(D18,產線配置圖!$A$2:$C$38,3,0)</f>
        <v>2000</v>
      </c>
      <c r="L18" s="17">
        <f>K18/J18</f>
        <v>153.84615384615384</v>
      </c>
      <c r="M18" s="37">
        <v>13</v>
      </c>
      <c r="N18" s="36">
        <f>G18/W18*60</f>
        <v>1849.7368421052618</v>
      </c>
      <c r="O18" s="38">
        <f>N18/M18</f>
        <v>142.28744939271243</v>
      </c>
      <c r="P18" s="39">
        <f>M18-J18</f>
        <v>0</v>
      </c>
      <c r="Q18" s="40">
        <f>O18-L18</f>
        <v>-11.558704453441408</v>
      </c>
      <c r="R18" s="190">
        <f>O18/L18</f>
        <v>0.9248684210526309</v>
      </c>
      <c r="S18" s="425"/>
      <c r="T18" s="41">
        <v>0.42638888888888887</v>
      </c>
      <c r="U18" s="41">
        <v>0.47916666666666669</v>
      </c>
      <c r="V18" s="177">
        <f>(T18-U17)*24*60</f>
        <v>11.999999999999957</v>
      </c>
      <c r="W18" s="43">
        <f t="shared" si="14"/>
        <v>76.000000000000057</v>
      </c>
      <c r="X18" s="22"/>
      <c r="Y18" s="22"/>
      <c r="Z18" s="418"/>
      <c r="AA18" s="405"/>
      <c r="AB18" s="18">
        <f>N18-K18</f>
        <v>-150.26315789473824</v>
      </c>
      <c r="AC18" s="185">
        <f>N18/K18</f>
        <v>0.9248684210526309</v>
      </c>
      <c r="AD18" s="402"/>
    </row>
    <row r="19" spans="1:30" ht="15" customHeight="1">
      <c r="A19" s="432"/>
      <c r="B19" s="56" t="s">
        <v>62</v>
      </c>
      <c r="C19" s="23"/>
      <c r="D19" s="11" t="s">
        <v>131</v>
      </c>
      <c r="E19" s="12"/>
      <c r="F19" s="56">
        <f>VLOOKUP(D19,廠價表!$C$1:$E$39,3,0)</f>
        <v>50.39</v>
      </c>
      <c r="G19" s="96">
        <v>3147</v>
      </c>
      <c r="H19" s="15">
        <f t="shared" ref="H19" si="15">F19*G19</f>
        <v>158577.33000000002</v>
      </c>
      <c r="I19" s="177"/>
      <c r="J19" s="16">
        <v>13</v>
      </c>
      <c r="K19" s="14">
        <f>VLOOKUP(D19,產線配置圖!$A$2:$C$38,3,0)</f>
        <v>2000</v>
      </c>
      <c r="L19" s="17">
        <f t="shared" ref="L19" si="16">K19/J19</f>
        <v>153.84615384615384</v>
      </c>
      <c r="M19" s="37">
        <v>13</v>
      </c>
      <c r="N19" s="36">
        <f>G19/W19*60</f>
        <v>1926.7346938775486</v>
      </c>
      <c r="O19" s="38">
        <f>N19/M19</f>
        <v>148.21036106750373</v>
      </c>
      <c r="P19" s="39">
        <f>M19-J19</f>
        <v>0</v>
      </c>
      <c r="Q19" s="40">
        <f>O19-L19</f>
        <v>-5.6357927786501136</v>
      </c>
      <c r="R19" s="190">
        <f>O19/L19</f>
        <v>0.96336734693877424</v>
      </c>
      <c r="S19" s="425"/>
      <c r="T19" s="41">
        <v>0.54166666666666663</v>
      </c>
      <c r="U19" s="41">
        <v>0.60972222222222228</v>
      </c>
      <c r="V19" s="177">
        <f>(T19-U18)*24*60</f>
        <v>89.999999999999915</v>
      </c>
      <c r="W19" s="43">
        <f t="shared" si="14"/>
        <v>98.000000000000128</v>
      </c>
      <c r="X19" s="22">
        <v>0.48958333333333331</v>
      </c>
      <c r="Y19" s="22">
        <v>0.53125</v>
      </c>
      <c r="Z19" s="407"/>
      <c r="AA19" s="407"/>
      <c r="AB19" s="18">
        <f>N19-K19</f>
        <v>-73.26530612245142</v>
      </c>
      <c r="AC19" s="185">
        <f>N19/K19</f>
        <v>0.96336734693877424</v>
      </c>
      <c r="AD19" s="403"/>
    </row>
    <row r="20" spans="1:30" ht="15" customHeight="1">
      <c r="A20" s="432"/>
      <c r="B20" s="56"/>
      <c r="C20" s="23"/>
      <c r="D20" s="11"/>
      <c r="E20" s="12"/>
      <c r="F20" s="56"/>
      <c r="G20" s="96"/>
      <c r="H20" s="15"/>
      <c r="I20" s="177"/>
      <c r="J20" s="16"/>
      <c r="K20" s="14"/>
      <c r="L20" s="17"/>
      <c r="M20" s="37"/>
      <c r="N20" s="36"/>
      <c r="O20" s="38"/>
      <c r="P20" s="39"/>
      <c r="Q20" s="40"/>
      <c r="R20" s="190"/>
      <c r="S20" s="425"/>
      <c r="T20" s="41"/>
      <c r="U20" s="41"/>
      <c r="V20" s="177"/>
      <c r="W20" s="43">
        <f t="shared" si="14"/>
        <v>0</v>
      </c>
      <c r="X20" s="44"/>
      <c r="Y20" s="44"/>
      <c r="Z20" s="418"/>
      <c r="AA20" s="405"/>
      <c r="AB20" s="34"/>
      <c r="AC20" s="186"/>
      <c r="AD20" s="403"/>
    </row>
    <row r="21" spans="1:30" ht="15" customHeight="1">
      <c r="A21" s="433"/>
      <c r="B21" s="177"/>
      <c r="C21" s="23"/>
      <c r="D21" s="11"/>
      <c r="E21" s="12"/>
      <c r="F21" s="13"/>
      <c r="G21" s="36"/>
      <c r="H21" s="15">
        <f t="shared" si="13"/>
        <v>0</v>
      </c>
      <c r="I21" s="43"/>
      <c r="J21" s="37"/>
      <c r="K21" s="36"/>
      <c r="L21" s="38"/>
      <c r="M21" s="37"/>
      <c r="N21" s="36"/>
      <c r="O21" s="38"/>
      <c r="P21" s="39"/>
      <c r="Q21" s="40"/>
      <c r="R21" s="190"/>
      <c r="S21" s="425"/>
      <c r="T21" s="41"/>
      <c r="U21" s="41"/>
      <c r="V21" s="42"/>
      <c r="W21" s="43">
        <v>0</v>
      </c>
      <c r="X21" s="42"/>
      <c r="Y21" s="42"/>
      <c r="Z21" s="418"/>
      <c r="AA21" s="405"/>
      <c r="AB21" s="34"/>
      <c r="AC21" s="186"/>
      <c r="AD21" s="403"/>
    </row>
    <row r="22" spans="1:30" ht="15" customHeight="1">
      <c r="A22" s="433"/>
      <c r="B22" s="177"/>
      <c r="C22" s="183"/>
      <c r="D22" s="11"/>
      <c r="E22" s="12"/>
      <c r="F22" s="13"/>
      <c r="G22" s="36"/>
      <c r="H22" s="15">
        <f t="shared" si="13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90"/>
      <c r="S22" s="425"/>
      <c r="T22" s="41"/>
      <c r="U22" s="41"/>
      <c r="V22" s="42"/>
      <c r="W22" s="43">
        <v>0</v>
      </c>
      <c r="X22" s="42"/>
      <c r="Y22" s="42"/>
      <c r="Z22" s="418"/>
      <c r="AA22" s="405"/>
      <c r="AB22" s="34"/>
      <c r="AC22" s="186"/>
      <c r="AD22" s="403"/>
    </row>
    <row r="23" spans="1:30" ht="15" customHeight="1">
      <c r="A23" s="433"/>
      <c r="B23" s="26"/>
      <c r="C23" s="27"/>
      <c r="D23" s="28"/>
      <c r="E23" s="29"/>
      <c r="F23" s="13"/>
      <c r="G23" s="36"/>
      <c r="H23" s="15">
        <f t="shared" si="13"/>
        <v>0</v>
      </c>
      <c r="I23" s="43"/>
      <c r="J23" s="37"/>
      <c r="K23" s="36"/>
      <c r="L23" s="38"/>
      <c r="M23" s="37"/>
      <c r="N23" s="36"/>
      <c r="O23" s="38"/>
      <c r="P23" s="39"/>
      <c r="Q23" s="40"/>
      <c r="R23" s="190"/>
      <c r="S23" s="425"/>
      <c r="T23" s="41"/>
      <c r="U23" s="41"/>
      <c r="W23" s="43">
        <f t="shared" si="14"/>
        <v>0</v>
      </c>
      <c r="X23" s="42"/>
      <c r="Y23" s="42"/>
      <c r="Z23" s="418"/>
      <c r="AA23" s="405"/>
      <c r="AB23" s="34"/>
      <c r="AC23" s="186"/>
      <c r="AD23" s="403"/>
    </row>
    <row r="24" spans="1:30" ht="15" customHeight="1">
      <c r="A24" s="433"/>
      <c r="B24" s="26"/>
      <c r="C24" s="27"/>
      <c r="D24" s="28"/>
      <c r="E24" s="29"/>
      <c r="F24" s="13"/>
      <c r="G24" s="36"/>
      <c r="H24" s="15">
        <f t="shared" si="13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90"/>
      <c r="S24" s="425"/>
      <c r="T24" s="41"/>
      <c r="U24" s="41"/>
      <c r="V24" s="42"/>
      <c r="W24" s="43">
        <f t="shared" si="14"/>
        <v>0</v>
      </c>
      <c r="X24" s="42"/>
      <c r="Y24" s="42"/>
      <c r="Z24" s="418"/>
      <c r="AA24" s="405"/>
      <c r="AB24" s="34"/>
      <c r="AC24" s="186"/>
      <c r="AD24" s="403"/>
    </row>
    <row r="25" spans="1:30" ht="15" customHeight="1">
      <c r="A25" s="433"/>
      <c r="B25" s="26"/>
      <c r="C25" s="27"/>
      <c r="D25" s="28"/>
      <c r="E25" s="29"/>
      <c r="F25" s="13"/>
      <c r="G25" s="36"/>
      <c r="H25" s="50">
        <f t="shared" si="13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90"/>
      <c r="S25" s="425"/>
      <c r="T25" s="41"/>
      <c r="U25" s="41"/>
      <c r="V25" s="42"/>
      <c r="W25" s="43">
        <f t="shared" si="14"/>
        <v>0</v>
      </c>
      <c r="X25" s="42"/>
      <c r="Y25" s="42"/>
      <c r="Z25" s="418"/>
      <c r="AA25" s="405"/>
      <c r="AB25" s="34"/>
      <c r="AC25" s="186"/>
      <c r="AD25" s="403"/>
    </row>
    <row r="26" spans="1:30" ht="15" customHeight="1" thickBot="1">
      <c r="A26" s="434"/>
      <c r="B26" s="132"/>
      <c r="C26" s="1" t="s">
        <v>35</v>
      </c>
      <c r="D26" s="410" t="s">
        <v>7</v>
      </c>
      <c r="E26" s="410"/>
      <c r="F26" s="133"/>
      <c r="G26" s="134"/>
      <c r="H26" s="135"/>
      <c r="I26" s="136"/>
      <c r="J26" s="134">
        <f t="shared" ref="J26:O26" si="17">AVERAGE(J16:J25)</f>
        <v>13.5</v>
      </c>
      <c r="K26" s="134">
        <f t="shared" si="17"/>
        <v>2026.25</v>
      </c>
      <c r="L26" s="137">
        <f t="shared" si="17"/>
        <v>150.22664835164835</v>
      </c>
      <c r="M26" s="134">
        <f t="shared" si="17"/>
        <v>13.5</v>
      </c>
      <c r="N26" s="134">
        <f t="shared" si="17"/>
        <v>1884.1270843971747</v>
      </c>
      <c r="O26" s="137">
        <f t="shared" si="17"/>
        <v>139.7679669294449</v>
      </c>
      <c r="P26" s="138">
        <f t="shared" ref="P26:P28" si="18">M26-J26</f>
        <v>0</v>
      </c>
      <c r="Q26" s="139">
        <f t="shared" ref="Q26:Q28" si="19">O26-L26</f>
        <v>-10.458681422203455</v>
      </c>
      <c r="R26" s="140">
        <f t="shared" ref="R26:R28" si="20">O26/L26</f>
        <v>0.93038065125621439</v>
      </c>
      <c r="S26" s="435"/>
      <c r="T26" s="141"/>
      <c r="U26" s="141"/>
      <c r="V26" s="146"/>
      <c r="W26" s="142"/>
      <c r="X26" s="143"/>
      <c r="Y26" s="143"/>
      <c r="Z26" s="420"/>
      <c r="AA26" s="391"/>
      <c r="AB26" s="119">
        <f>N26-K26</f>
        <v>-142.12291560282529</v>
      </c>
      <c r="AC26" s="187">
        <f>N26/K26</f>
        <v>0.92985914097331268</v>
      </c>
      <c r="AD26" s="404"/>
    </row>
    <row r="27" spans="1:30" ht="15" customHeight="1">
      <c r="A27" s="421" t="s">
        <v>54</v>
      </c>
      <c r="B27" s="229" t="s">
        <v>62</v>
      </c>
      <c r="C27" s="102"/>
      <c r="D27" s="103" t="s">
        <v>144</v>
      </c>
      <c r="E27" s="104"/>
      <c r="F27" s="199">
        <f>VLOOKUP(D27,廠價表!$C$1:$E$39,3,0)</f>
        <v>49.91</v>
      </c>
      <c r="G27" s="269">
        <v>3543</v>
      </c>
      <c r="H27" s="125">
        <f t="shared" ref="H27:H40" si="21">F27*G27</f>
        <v>176831.12999999998</v>
      </c>
      <c r="I27" s="126"/>
      <c r="J27" s="108">
        <v>14</v>
      </c>
      <c r="K27" s="236">
        <v>1385</v>
      </c>
      <c r="L27" s="109">
        <f>K27/J27</f>
        <v>98.928571428571431</v>
      </c>
      <c r="M27" s="144">
        <v>15</v>
      </c>
      <c r="N27" s="127">
        <f>G27/W27*60</f>
        <v>1398.5526315789471</v>
      </c>
      <c r="O27" s="128">
        <f>N27/M27</f>
        <v>93.236842105263136</v>
      </c>
      <c r="P27" s="129">
        <f t="shared" si="18"/>
        <v>1</v>
      </c>
      <c r="Q27" s="130">
        <f t="shared" si="19"/>
        <v>-5.6917293233082944</v>
      </c>
      <c r="R27" s="189">
        <f>O27/L27</f>
        <v>0.94246627398821936</v>
      </c>
      <c r="S27" s="424">
        <f>R37</f>
        <v>0.86202502885660426</v>
      </c>
      <c r="T27" s="94">
        <v>0.28888888888888886</v>
      </c>
      <c r="U27" s="94">
        <v>0.39444444444444443</v>
      </c>
      <c r="V27" s="126"/>
      <c r="W27" s="131">
        <f t="shared" si="14"/>
        <v>152.00000000000003</v>
      </c>
      <c r="X27" s="126"/>
      <c r="Y27" s="126" t="s">
        <v>147</v>
      </c>
      <c r="Z27" s="427"/>
      <c r="AA27" s="400"/>
      <c r="AB27" s="225">
        <f>N27-K27</f>
        <v>13.552631578947057</v>
      </c>
      <c r="AC27" s="291">
        <f>N27/K27</f>
        <v>1.0097852935588065</v>
      </c>
      <c r="AD27" s="401">
        <f>AC37</f>
        <v>0.89846948934216297</v>
      </c>
    </row>
    <row r="28" spans="1:30" ht="15" customHeight="1">
      <c r="A28" s="422"/>
      <c r="B28" s="56" t="str">
        <f>VLOOKUP(D28,廠價表!$C$1:$E$39,2,0)</f>
        <v>義大利麵</v>
      </c>
      <c r="C28" s="10"/>
      <c r="D28" s="11" t="s">
        <v>137</v>
      </c>
      <c r="E28" s="86"/>
      <c r="F28" s="56">
        <f>VLOOKUP(D28,廠價表!$C$1:$E$39,3,0)</f>
        <v>55.13</v>
      </c>
      <c r="G28" s="53">
        <v>2300</v>
      </c>
      <c r="H28" s="50">
        <f t="shared" si="21"/>
        <v>126799</v>
      </c>
      <c r="I28" s="42"/>
      <c r="J28" s="16">
        <v>16</v>
      </c>
      <c r="K28" s="14">
        <f>VLOOKUP(D28,產線配置圖!$A$2:$C$38,3,0)</f>
        <v>1385</v>
      </c>
      <c r="L28" s="235">
        <f>K28/J28</f>
        <v>86.5625</v>
      </c>
      <c r="M28" s="21">
        <v>17</v>
      </c>
      <c r="N28" s="36">
        <f>G28/W28*60</f>
        <v>1232.1428571428571</v>
      </c>
      <c r="O28" s="38">
        <f>N28/M28</f>
        <v>72.47899159663865</v>
      </c>
      <c r="P28" s="39">
        <f t="shared" si="18"/>
        <v>1</v>
      </c>
      <c r="Q28" s="40">
        <f t="shared" si="19"/>
        <v>-14.08350840336135</v>
      </c>
      <c r="R28" s="190">
        <f t="shared" si="20"/>
        <v>0.83730242999726956</v>
      </c>
      <c r="S28" s="425"/>
      <c r="T28" s="270">
        <v>0.4</v>
      </c>
      <c r="U28" s="270">
        <v>0.4777777777777778</v>
      </c>
      <c r="V28" s="42">
        <f>(T28-U27)*24*60</f>
        <v>8.0000000000000515</v>
      </c>
      <c r="W28" s="43">
        <f t="shared" si="14"/>
        <v>112</v>
      </c>
      <c r="X28" s="54"/>
      <c r="Y28" s="54"/>
      <c r="Z28" s="418"/>
      <c r="AA28" s="419"/>
      <c r="AB28" s="39">
        <f>N28-K28</f>
        <v>-152.85714285714289</v>
      </c>
      <c r="AC28" s="190">
        <f>N28/K28</f>
        <v>0.88963383187209899</v>
      </c>
      <c r="AD28" s="447"/>
    </row>
    <row r="29" spans="1:30" ht="15" customHeight="1">
      <c r="A29" s="422"/>
      <c r="B29" s="56" t="str">
        <f>VLOOKUP(D29,廠價表!$C$1:$E$39,2,0)</f>
        <v>義大利麵</v>
      </c>
      <c r="C29" s="10"/>
      <c r="D29" s="11" t="s">
        <v>158</v>
      </c>
      <c r="E29" s="86"/>
      <c r="F29" s="56">
        <f>VLOOKUP(D29,廠價表!$C$1:$E$39,3,0)</f>
        <v>47.71</v>
      </c>
      <c r="G29" s="53">
        <v>1045</v>
      </c>
      <c r="H29" s="50">
        <f t="shared" ref="H29" si="22">F29*G29</f>
        <v>49856.950000000004</v>
      </c>
      <c r="I29" s="42"/>
      <c r="J29" s="16">
        <f>VLOOKUP(D29,產線配置圖!$A$2:$C$38,2,0)</f>
        <v>15</v>
      </c>
      <c r="K29" s="14">
        <f>VLOOKUP(D29,產線配置圖!$A$2:$C$38,3,0)</f>
        <v>1500</v>
      </c>
      <c r="L29" s="235">
        <f>K29/J29</f>
        <v>100</v>
      </c>
      <c r="M29" s="21">
        <v>15</v>
      </c>
      <c r="N29" s="36">
        <f>G29/W29*60</f>
        <v>1205.7692307692314</v>
      </c>
      <c r="O29" s="38">
        <f>N29/M29</f>
        <v>80.384615384615429</v>
      </c>
      <c r="P29" s="39">
        <f t="shared" ref="P29" si="23">M29-J29</f>
        <v>0</v>
      </c>
      <c r="Q29" s="40">
        <f t="shared" ref="Q29" si="24">O29-L29</f>
        <v>-19.615384615384571</v>
      </c>
      <c r="R29" s="190">
        <f t="shared" ref="R29" si="25">O29/L29</f>
        <v>0.80384615384615432</v>
      </c>
      <c r="S29" s="425"/>
      <c r="T29" s="41">
        <v>0.56944444444444442</v>
      </c>
      <c r="U29" s="41">
        <v>0.60555555555555551</v>
      </c>
      <c r="V29" s="42">
        <f>(T29-U28)*24*60</f>
        <v>131.99999999999994</v>
      </c>
      <c r="W29" s="43">
        <f t="shared" si="14"/>
        <v>51.999999999999972</v>
      </c>
      <c r="X29" s="22">
        <v>0.4826388888888889</v>
      </c>
      <c r="Y29" s="22">
        <v>0.52430555555555558</v>
      </c>
      <c r="Z29" s="418"/>
      <c r="AA29" s="419"/>
      <c r="AB29" s="292">
        <f>N29-K29</f>
        <v>-294.2307692307686</v>
      </c>
      <c r="AC29" s="190">
        <f>N29/K29</f>
        <v>0.80384615384615432</v>
      </c>
      <c r="AD29" s="447"/>
    </row>
    <row r="30" spans="1:30" ht="15" customHeight="1">
      <c r="A30" s="422"/>
      <c r="B30" s="56"/>
      <c r="C30" s="237"/>
      <c r="D30" s="11"/>
      <c r="E30" s="29"/>
      <c r="F30" s="56"/>
      <c r="G30" s="53"/>
      <c r="H30" s="50"/>
      <c r="I30" s="42"/>
      <c r="J30" s="16"/>
      <c r="K30" s="14"/>
      <c r="L30" s="235"/>
      <c r="M30" s="21"/>
      <c r="N30" s="36"/>
      <c r="O30" s="38"/>
      <c r="P30" s="39"/>
      <c r="Q30" s="40"/>
      <c r="R30" s="190"/>
      <c r="S30" s="425"/>
      <c r="T30" s="41"/>
      <c r="U30" s="41"/>
      <c r="V30" s="42"/>
      <c r="W30" s="43">
        <f t="shared" si="14"/>
        <v>0</v>
      </c>
      <c r="X30" s="54"/>
      <c r="Y30" s="54"/>
      <c r="Z30" s="449"/>
      <c r="AA30" s="450"/>
      <c r="AB30" s="292">
        <f>N30-K30</f>
        <v>0</v>
      </c>
      <c r="AC30" s="190" t="e">
        <f>N30/K30</f>
        <v>#DIV/0!</v>
      </c>
      <c r="AD30" s="448"/>
    </row>
    <row r="31" spans="1:30" ht="15" customHeight="1">
      <c r="A31" s="422"/>
      <c r="B31" s="56"/>
      <c r="C31" s="237"/>
      <c r="D31" s="11"/>
      <c r="E31" s="29"/>
      <c r="F31" s="56"/>
      <c r="G31" s="53"/>
      <c r="H31" s="50"/>
      <c r="I31" s="42"/>
      <c r="J31" s="16"/>
      <c r="K31" s="14"/>
      <c r="L31" s="235"/>
      <c r="M31" s="21"/>
      <c r="N31" s="36"/>
      <c r="O31" s="38"/>
      <c r="P31" s="39"/>
      <c r="Q31" s="40"/>
      <c r="R31" s="190"/>
      <c r="S31" s="425"/>
      <c r="T31" s="41"/>
      <c r="U31" s="41"/>
      <c r="V31" s="42"/>
      <c r="W31" s="43">
        <f t="shared" si="14"/>
        <v>0</v>
      </c>
      <c r="X31" s="54"/>
      <c r="Y31" s="54"/>
      <c r="Z31" s="449"/>
      <c r="AA31" s="450"/>
      <c r="AB31" s="257"/>
      <c r="AC31" s="258"/>
      <c r="AD31" s="403"/>
    </row>
    <row r="32" spans="1:30" ht="15" customHeight="1">
      <c r="A32" s="422"/>
      <c r="B32" s="56"/>
      <c r="C32" s="252"/>
      <c r="D32" s="253"/>
      <c r="E32" s="254"/>
      <c r="F32" s="56"/>
      <c r="G32" s="53"/>
      <c r="H32" s="50"/>
      <c r="I32" s="42"/>
      <c r="J32" s="255"/>
      <c r="K32" s="36"/>
      <c r="L32" s="256"/>
      <c r="M32" s="21"/>
      <c r="N32" s="36"/>
      <c r="O32" s="38"/>
      <c r="P32" s="39"/>
      <c r="Q32" s="40"/>
      <c r="R32" s="190"/>
      <c r="S32" s="425"/>
      <c r="T32" s="41"/>
      <c r="U32" s="41"/>
      <c r="V32" s="42"/>
      <c r="W32" s="43">
        <f t="shared" si="14"/>
        <v>0</v>
      </c>
      <c r="X32" s="54"/>
      <c r="Y32" s="54"/>
      <c r="Z32" s="418"/>
      <c r="AA32" s="405"/>
      <c r="AB32" s="18"/>
      <c r="AC32" s="185"/>
      <c r="AD32" s="403"/>
    </row>
    <row r="33" spans="1:30" ht="15" customHeight="1">
      <c r="A33" s="422"/>
      <c r="B33" s="240"/>
      <c r="C33" s="241"/>
      <c r="D33" s="242"/>
      <c r="E33" s="243"/>
      <c r="F33" s="223"/>
      <c r="G33" s="244"/>
      <c r="H33" s="245">
        <f t="shared" si="21"/>
        <v>0</v>
      </c>
      <c r="I33" s="246"/>
      <c r="J33" s="247"/>
      <c r="K33" s="45"/>
      <c r="M33" s="248"/>
      <c r="N33" s="45"/>
      <c r="O33" s="46"/>
      <c r="P33" s="47"/>
      <c r="Q33" s="48"/>
      <c r="R33" s="49"/>
      <c r="S33" s="425"/>
      <c r="T33" s="41"/>
      <c r="U33" s="41"/>
      <c r="V33" s="42"/>
      <c r="W33" s="43">
        <f t="shared" si="14"/>
        <v>0</v>
      </c>
      <c r="X33" s="54"/>
      <c r="Y33" s="54"/>
      <c r="Z33" s="418"/>
      <c r="AA33" s="405"/>
      <c r="AB33" s="18"/>
      <c r="AC33" s="57"/>
      <c r="AD33" s="403"/>
    </row>
    <row r="34" spans="1:30" ht="15" customHeight="1">
      <c r="A34" s="422"/>
      <c r="B34" s="231"/>
      <c r="C34" s="27"/>
      <c r="D34" s="28"/>
      <c r="E34" s="29"/>
      <c r="F34" s="13"/>
      <c r="G34" s="53"/>
      <c r="H34" s="50">
        <f t="shared" si="21"/>
        <v>0</v>
      </c>
      <c r="I34" s="42"/>
      <c r="J34" s="37"/>
      <c r="K34" s="36"/>
      <c r="L34" s="38"/>
      <c r="M34" s="21"/>
      <c r="N34" s="36"/>
      <c r="O34" s="38"/>
      <c r="P34" s="39"/>
      <c r="Q34" s="40"/>
      <c r="R34" s="190"/>
      <c r="S34" s="425"/>
      <c r="T34" s="41"/>
      <c r="U34" s="41"/>
      <c r="V34" s="42"/>
      <c r="W34" s="43">
        <f t="shared" si="14"/>
        <v>0</v>
      </c>
      <c r="X34" s="54"/>
      <c r="Y34" s="54"/>
      <c r="Z34" s="418"/>
      <c r="AA34" s="405"/>
      <c r="AB34" s="18"/>
      <c r="AC34" s="57"/>
      <c r="AD34" s="403"/>
    </row>
    <row r="35" spans="1:30" ht="15" customHeight="1">
      <c r="A35" s="422"/>
      <c r="B35" s="231"/>
      <c r="C35" s="27"/>
      <c r="D35" s="28"/>
      <c r="E35" s="29"/>
      <c r="F35" s="13"/>
      <c r="G35" s="53"/>
      <c r="H35" s="50">
        <f t="shared" si="21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90"/>
      <c r="S35" s="425"/>
      <c r="T35" s="41"/>
      <c r="U35" s="41"/>
      <c r="V35" s="42"/>
      <c r="W35" s="43">
        <f t="shared" si="14"/>
        <v>0</v>
      </c>
      <c r="X35" s="54"/>
      <c r="Y35" s="54"/>
      <c r="Z35" s="418"/>
      <c r="AA35" s="405"/>
      <c r="AB35" s="18"/>
      <c r="AC35" s="57"/>
      <c r="AD35" s="403"/>
    </row>
    <row r="36" spans="1:30" ht="15" customHeight="1">
      <c r="A36" s="422"/>
      <c r="B36" s="232"/>
      <c r="C36" s="27"/>
      <c r="D36" s="28"/>
      <c r="E36" s="29"/>
      <c r="F36" s="13"/>
      <c r="G36" s="53"/>
      <c r="H36" s="50">
        <f t="shared" si="21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90"/>
      <c r="S36" s="425"/>
      <c r="T36" s="41"/>
      <c r="U36" s="41"/>
      <c r="V36" s="42"/>
      <c r="W36" s="43">
        <f t="shared" si="14"/>
        <v>0</v>
      </c>
      <c r="X36" s="54"/>
      <c r="Y36" s="54"/>
      <c r="Z36" s="418"/>
      <c r="AA36" s="405"/>
      <c r="AB36" s="18"/>
      <c r="AC36" s="57"/>
      <c r="AD36" s="403"/>
    </row>
    <row r="37" spans="1:30" ht="15" customHeight="1" thickBot="1">
      <c r="A37" s="423"/>
      <c r="B37" s="300"/>
      <c r="C37" s="301" t="s">
        <v>36</v>
      </c>
      <c r="D37" s="428" t="s">
        <v>7</v>
      </c>
      <c r="E37" s="429"/>
      <c r="F37" s="281"/>
      <c r="G37" s="282"/>
      <c r="H37" s="283"/>
      <c r="I37" s="284"/>
      <c r="J37" s="285">
        <f t="shared" ref="J37:O37" si="26">AVERAGE(J27:J36)</f>
        <v>15</v>
      </c>
      <c r="K37" s="285">
        <f t="shared" si="26"/>
        <v>1423.3333333333333</v>
      </c>
      <c r="L37" s="286">
        <f t="shared" si="26"/>
        <v>95.163690476190482</v>
      </c>
      <c r="M37" s="285">
        <f t="shared" si="26"/>
        <v>15.666666666666666</v>
      </c>
      <c r="N37" s="285">
        <f t="shared" si="26"/>
        <v>1278.8215731636785</v>
      </c>
      <c r="O37" s="286">
        <f t="shared" si="26"/>
        <v>82.033483028839058</v>
      </c>
      <c r="P37" s="73">
        <f>M37-J37</f>
        <v>0.66666666666666607</v>
      </c>
      <c r="Q37" s="74">
        <f>N37-K37</f>
        <v>-144.51176016965474</v>
      </c>
      <c r="R37" s="287">
        <f t="shared" ref="R37:R39" si="27">O37/L37</f>
        <v>0.86202502885660426</v>
      </c>
      <c r="S37" s="426"/>
      <c r="T37" s="302"/>
      <c r="U37" s="302"/>
      <c r="V37" s="81"/>
      <c r="W37" s="81"/>
      <c r="X37" s="303"/>
      <c r="Y37" s="303"/>
      <c r="Z37" s="430"/>
      <c r="AA37" s="379"/>
      <c r="AB37" s="34">
        <f t="shared" ref="AB37:AB40" si="28">N37-K37</f>
        <v>-144.51176016965474</v>
      </c>
      <c r="AC37" s="186">
        <f t="shared" ref="AC37:AC40" si="29">N37/K37</f>
        <v>0.89846948934216297</v>
      </c>
      <c r="AD37" s="403"/>
    </row>
    <row r="38" spans="1:30" s="62" customFormat="1" ht="15" customHeight="1">
      <c r="A38" s="454" t="s">
        <v>55</v>
      </c>
      <c r="B38" s="229" t="s">
        <v>134</v>
      </c>
      <c r="C38" s="199"/>
      <c r="D38" s="304" t="s">
        <v>156</v>
      </c>
      <c r="E38" s="280"/>
      <c r="F38" s="305">
        <f>VLOOKUP(D38,廠價表!$C$1:$E$39,3,0)</f>
        <v>56.43</v>
      </c>
      <c r="G38" s="266">
        <v>2735</v>
      </c>
      <c r="H38" s="147">
        <f t="shared" si="21"/>
        <v>154336.04999999999</v>
      </c>
      <c r="I38" s="126"/>
      <c r="J38" s="274">
        <f>VLOOKUP(D38,產線配置圖!$A$2:$C$38,2,0)</f>
        <v>15</v>
      </c>
      <c r="K38" s="236">
        <f>VLOOKUP(D38,產線配置圖!$A$2:$C$38,3,0)</f>
        <v>1406</v>
      </c>
      <c r="L38" s="288">
        <f t="shared" ref="L38:L39" si="30">K38/J38</f>
        <v>93.733333333333334</v>
      </c>
      <c r="M38" s="289">
        <v>15</v>
      </c>
      <c r="N38" s="127">
        <f>G38/W38*60</f>
        <v>1197.8102189781023</v>
      </c>
      <c r="O38" s="128">
        <f>N38/M38</f>
        <v>79.854014598540147</v>
      </c>
      <c r="P38" s="129">
        <f t="shared" ref="P38:P39" si="31">M38-J38</f>
        <v>0</v>
      </c>
      <c r="Q38" s="130">
        <f t="shared" ref="Q38:Q39" si="32">O38-L38</f>
        <v>-13.879318734793188</v>
      </c>
      <c r="R38" s="189">
        <f t="shared" si="27"/>
        <v>0.85192760951500868</v>
      </c>
      <c r="S38" s="457">
        <f>R48</f>
        <v>0.95270035455619395</v>
      </c>
      <c r="T38" s="151">
        <v>0.33333333333333331</v>
      </c>
      <c r="U38" s="151">
        <v>0.4284722222222222</v>
      </c>
      <c r="V38" s="148"/>
      <c r="W38" s="152">
        <f t="shared" si="14"/>
        <v>137</v>
      </c>
      <c r="X38" s="150"/>
      <c r="Y38" s="153"/>
      <c r="Z38" s="478"/>
      <c r="AA38" s="460"/>
      <c r="AB38" s="290">
        <f t="shared" si="28"/>
        <v>-208.18978102189772</v>
      </c>
      <c r="AC38" s="154">
        <f t="shared" si="29"/>
        <v>0.85192760951500879</v>
      </c>
      <c r="AD38" s="436">
        <f>AC48</f>
        <v>0.95270035455619395</v>
      </c>
    </row>
    <row r="39" spans="1:30" s="62" customFormat="1" ht="15" customHeight="1">
      <c r="A39" s="455"/>
      <c r="B39" s="56" t="s">
        <v>134</v>
      </c>
      <c r="C39" s="277"/>
      <c r="D39" s="279" t="s">
        <v>154</v>
      </c>
      <c r="E39" s="278"/>
      <c r="F39" s="56">
        <f>VLOOKUP(D39,廠價表!$C$1:$E$39,3,0)</f>
        <v>57.3</v>
      </c>
      <c r="G39" s="276">
        <v>2070</v>
      </c>
      <c r="H39" s="63">
        <f t="shared" si="21"/>
        <v>118611</v>
      </c>
      <c r="I39" s="64"/>
      <c r="J39" s="37">
        <f>VLOOKUP(D39,產線配置圖!$A$2:$C$38,2,0)</f>
        <v>15</v>
      </c>
      <c r="K39" s="36">
        <f>VLOOKUP(D39,產線配置圖!$A$2:$C$38,3,0)</f>
        <v>1385</v>
      </c>
      <c r="L39" s="38">
        <f t="shared" si="30"/>
        <v>92.333333333333329</v>
      </c>
      <c r="M39" s="65">
        <v>15</v>
      </c>
      <c r="N39" s="66">
        <f>G39/W39*60</f>
        <v>1461.1764705882349</v>
      </c>
      <c r="O39" s="67">
        <f t="shared" ref="O39" si="33">N39/M39</f>
        <v>97.411764705882334</v>
      </c>
      <c r="P39" s="39">
        <f t="shared" si="31"/>
        <v>0</v>
      </c>
      <c r="Q39" s="40">
        <f t="shared" si="32"/>
        <v>5.0784313725490051</v>
      </c>
      <c r="R39" s="190">
        <f t="shared" si="27"/>
        <v>1.0550010617965597</v>
      </c>
      <c r="S39" s="458"/>
      <c r="T39" s="59">
        <v>0.4375</v>
      </c>
      <c r="U39" s="59">
        <v>0.49652777777777779</v>
      </c>
      <c r="V39" s="42">
        <f>(T39-U38)*24*60</f>
        <v>13.000000000000034</v>
      </c>
      <c r="W39" s="69">
        <f t="shared" si="14"/>
        <v>85.000000000000014</v>
      </c>
      <c r="X39" s="22"/>
      <c r="Y39" s="22"/>
      <c r="Z39" s="439"/>
      <c r="AA39" s="440"/>
      <c r="AB39" s="271">
        <f t="shared" si="28"/>
        <v>76.176470588234906</v>
      </c>
      <c r="AC39" s="61">
        <f t="shared" si="29"/>
        <v>1.0550010617965595</v>
      </c>
      <c r="AD39" s="437"/>
    </row>
    <row r="40" spans="1:30" s="62" customFormat="1" ht="15" customHeight="1">
      <c r="A40" s="455"/>
      <c r="B40" s="56"/>
      <c r="C40" s="275"/>
      <c r="D40" s="279"/>
      <c r="E40" s="243"/>
      <c r="F40" s="56"/>
      <c r="G40" s="276"/>
      <c r="H40" s="63">
        <f t="shared" si="21"/>
        <v>0</v>
      </c>
      <c r="I40" s="64"/>
      <c r="J40" s="37"/>
      <c r="K40" s="36"/>
      <c r="L40" s="38"/>
      <c r="M40" s="65"/>
      <c r="N40" s="66"/>
      <c r="O40" s="67"/>
      <c r="P40" s="39"/>
      <c r="Q40" s="40"/>
      <c r="R40" s="190"/>
      <c r="S40" s="397"/>
      <c r="T40" s="59"/>
      <c r="U40" s="59"/>
      <c r="V40" s="42"/>
      <c r="W40" s="69">
        <f t="shared" si="14"/>
        <v>0</v>
      </c>
      <c r="X40" s="70"/>
      <c r="Y40" s="259"/>
      <c r="Z40" s="439"/>
      <c r="AA40" s="440"/>
      <c r="AB40" s="271">
        <f t="shared" si="28"/>
        <v>0</v>
      </c>
      <c r="AC40" s="61" t="e">
        <f t="shared" si="29"/>
        <v>#DIV/0!</v>
      </c>
      <c r="AD40" s="437"/>
    </row>
    <row r="41" spans="1:30" s="62" customFormat="1" ht="15" customHeight="1">
      <c r="A41" s="455"/>
      <c r="B41" s="56"/>
      <c r="C41" s="275"/>
      <c r="D41" s="279"/>
      <c r="E41" s="243"/>
      <c r="F41" s="56"/>
      <c r="G41" s="276"/>
      <c r="H41" s="63"/>
      <c r="I41" s="64"/>
      <c r="J41" s="37"/>
      <c r="K41" s="36"/>
      <c r="L41" s="38"/>
      <c r="M41" s="65"/>
      <c r="N41" s="66"/>
      <c r="O41" s="67"/>
      <c r="P41" s="39"/>
      <c r="Q41" s="40"/>
      <c r="R41" s="190"/>
      <c r="S41" s="397"/>
      <c r="T41" s="59"/>
      <c r="U41" s="59"/>
      <c r="V41" s="42"/>
      <c r="W41" s="69">
        <f t="shared" si="14"/>
        <v>0</v>
      </c>
      <c r="X41" s="70"/>
      <c r="Y41" s="259"/>
      <c r="Z41" s="439"/>
      <c r="AA41" s="440"/>
      <c r="AB41" s="271"/>
      <c r="AC41" s="61"/>
      <c r="AD41" s="437"/>
    </row>
    <row r="42" spans="1:30" s="62" customFormat="1" ht="15" customHeight="1">
      <c r="A42" s="455"/>
      <c r="B42" s="56"/>
      <c r="C42" s="23"/>
      <c r="D42" s="11"/>
      <c r="E42" s="12"/>
      <c r="F42" s="56"/>
      <c r="G42" s="99"/>
      <c r="H42" s="63"/>
      <c r="I42" s="64"/>
      <c r="J42" s="16"/>
      <c r="K42" s="14"/>
      <c r="L42" s="17"/>
      <c r="M42" s="65"/>
      <c r="N42" s="66"/>
      <c r="O42" s="67"/>
      <c r="P42" s="39"/>
      <c r="Q42" s="40"/>
      <c r="R42" s="68"/>
      <c r="S42" s="397"/>
      <c r="T42" s="75"/>
      <c r="U42" s="75"/>
      <c r="V42" s="42"/>
      <c r="W42" s="69">
        <f t="shared" si="14"/>
        <v>0</v>
      </c>
      <c r="X42" s="70"/>
      <c r="Y42" s="60"/>
      <c r="Z42" s="445"/>
      <c r="AA42" s="446"/>
      <c r="AB42" s="271"/>
      <c r="AC42" s="61"/>
      <c r="AD42" s="437"/>
    </row>
    <row r="43" spans="1:30" s="62" customFormat="1" ht="15" customHeight="1">
      <c r="A43" s="455"/>
      <c r="B43" s="230"/>
      <c r="C43" s="23"/>
      <c r="D43" s="11"/>
      <c r="E43" s="12"/>
      <c r="F43" s="13"/>
      <c r="G43" s="100"/>
      <c r="H43" s="63">
        <f t="shared" ref="H43:H47" si="34">F43*G43</f>
        <v>0</v>
      </c>
      <c r="I43" s="64"/>
      <c r="J43" s="65"/>
      <c r="K43" s="66"/>
      <c r="L43" s="67"/>
      <c r="M43" s="65"/>
      <c r="N43" s="66"/>
      <c r="O43" s="67"/>
      <c r="P43" s="39"/>
      <c r="Q43" s="40"/>
      <c r="R43" s="68"/>
      <c r="S43" s="397"/>
      <c r="T43" s="75"/>
      <c r="U43" s="75"/>
      <c r="V43" s="64"/>
      <c r="W43" s="69">
        <f>(U43-T43)*24*60</f>
        <v>0</v>
      </c>
      <c r="X43" s="70"/>
      <c r="Y43" s="67"/>
      <c r="Z43" s="405"/>
      <c r="AA43" s="405"/>
      <c r="AB43" s="71"/>
      <c r="AC43" s="61"/>
      <c r="AD43" s="437"/>
    </row>
    <row r="44" spans="1:30" s="62" customFormat="1" ht="15" customHeight="1">
      <c r="A44" s="455"/>
      <c r="B44" s="230"/>
      <c r="C44" s="183"/>
      <c r="D44" s="11"/>
      <c r="E44" s="12"/>
      <c r="F44" s="13"/>
      <c r="G44" s="100"/>
      <c r="H44" s="63">
        <f t="shared" si="34"/>
        <v>0</v>
      </c>
      <c r="I44" s="64"/>
      <c r="J44" s="65"/>
      <c r="K44" s="66"/>
      <c r="L44" s="58"/>
      <c r="M44" s="65"/>
      <c r="N44" s="66"/>
      <c r="O44" s="67"/>
      <c r="P44" s="39"/>
      <c r="Q44" s="40"/>
      <c r="R44" s="68"/>
      <c r="S44" s="397"/>
      <c r="T44" s="59"/>
      <c r="U44" s="59"/>
      <c r="V44" s="64"/>
      <c r="W44" s="69">
        <f t="shared" ref="W44:W48" si="35">(U44-T44)*24*60</f>
        <v>0</v>
      </c>
      <c r="X44" s="70"/>
      <c r="Y44" s="67"/>
      <c r="Z44" s="405"/>
      <c r="AA44" s="405"/>
      <c r="AB44" s="71"/>
      <c r="AC44" s="61"/>
      <c r="AD44" s="437"/>
    </row>
    <row r="45" spans="1:30" s="62" customFormat="1" ht="15" customHeight="1">
      <c r="A45" s="455"/>
      <c r="B45" s="231"/>
      <c r="C45" s="27"/>
      <c r="D45" s="28"/>
      <c r="E45" s="29"/>
      <c r="F45" s="13"/>
      <c r="G45" s="66"/>
      <c r="H45" s="63">
        <f t="shared" si="34"/>
        <v>0</v>
      </c>
      <c r="I45" s="64"/>
      <c r="J45" s="65"/>
      <c r="K45" s="66"/>
      <c r="L45" s="67"/>
      <c r="M45" s="65"/>
      <c r="N45" s="66"/>
      <c r="O45" s="67"/>
      <c r="P45" s="39"/>
      <c r="Q45" s="40"/>
      <c r="R45" s="68"/>
      <c r="S45" s="397"/>
      <c r="T45" s="75"/>
      <c r="U45" s="75"/>
      <c r="V45" s="64"/>
      <c r="W45" s="69">
        <f t="shared" si="35"/>
        <v>0</v>
      </c>
      <c r="X45" s="70"/>
      <c r="Y45" s="67"/>
      <c r="Z45" s="405"/>
      <c r="AA45" s="405"/>
      <c r="AB45" s="71"/>
      <c r="AC45" s="61"/>
      <c r="AD45" s="437"/>
    </row>
    <row r="46" spans="1:30" s="62" customFormat="1" ht="15" customHeight="1">
      <c r="A46" s="455"/>
      <c r="B46" s="231"/>
      <c r="C46" s="27"/>
      <c r="D46" s="28"/>
      <c r="E46" s="29"/>
      <c r="F46" s="13"/>
      <c r="G46" s="66"/>
      <c r="H46" s="63">
        <f t="shared" si="34"/>
        <v>0</v>
      </c>
      <c r="I46" s="64"/>
      <c r="J46" s="65"/>
      <c r="K46" s="66"/>
      <c r="L46" s="67"/>
      <c r="M46" s="65"/>
      <c r="N46" s="66"/>
      <c r="O46" s="67"/>
      <c r="P46" s="39"/>
      <c r="Q46" s="40"/>
      <c r="R46" s="68"/>
      <c r="S46" s="397"/>
      <c r="T46" s="59"/>
      <c r="U46" s="59"/>
      <c r="V46" s="64"/>
      <c r="W46" s="69">
        <f t="shared" si="35"/>
        <v>0</v>
      </c>
      <c r="X46" s="70"/>
      <c r="Y46" s="67"/>
      <c r="Z46" s="405"/>
      <c r="AA46" s="405"/>
      <c r="AB46" s="71"/>
      <c r="AC46" s="61"/>
      <c r="AD46" s="437"/>
    </row>
    <row r="47" spans="1:30" s="62" customFormat="1" ht="15" customHeight="1">
      <c r="A47" s="455"/>
      <c r="B47" s="230"/>
      <c r="C47" s="27"/>
      <c r="D47" s="28"/>
      <c r="E47" s="29"/>
      <c r="F47" s="13"/>
      <c r="G47" s="66"/>
      <c r="H47" s="63">
        <f t="shared" si="34"/>
        <v>0</v>
      </c>
      <c r="I47" s="64"/>
      <c r="J47" s="65"/>
      <c r="K47" s="66"/>
      <c r="L47" s="67"/>
      <c r="M47" s="65"/>
      <c r="N47" s="66"/>
      <c r="O47" s="67"/>
      <c r="P47" s="39"/>
      <c r="Q47" s="40"/>
      <c r="R47" s="68"/>
      <c r="S47" s="397"/>
      <c r="T47" s="75"/>
      <c r="U47" s="75"/>
      <c r="V47" s="64"/>
      <c r="W47" s="69">
        <f t="shared" si="35"/>
        <v>0</v>
      </c>
      <c r="X47" s="70"/>
      <c r="Y47" s="67"/>
      <c r="Z47" s="405"/>
      <c r="AA47" s="405"/>
      <c r="AB47" s="71"/>
      <c r="AC47" s="61"/>
      <c r="AD47" s="437"/>
    </row>
    <row r="48" spans="1:30" ht="15" customHeight="1" thickBot="1">
      <c r="A48" s="456"/>
      <c r="B48" s="156"/>
      <c r="C48" s="1" t="s">
        <v>37</v>
      </c>
      <c r="D48" s="410" t="s">
        <v>7</v>
      </c>
      <c r="E48" s="410"/>
      <c r="F48" s="133"/>
      <c r="G48" s="145"/>
      <c r="H48" s="135"/>
      <c r="I48" s="136"/>
      <c r="J48" s="134">
        <f t="shared" ref="J48:O48" si="36">AVERAGE(J38:J47)</f>
        <v>15</v>
      </c>
      <c r="K48" s="134">
        <f t="shared" si="36"/>
        <v>1395.5</v>
      </c>
      <c r="L48" s="137">
        <f t="shared" si="36"/>
        <v>93.033333333333331</v>
      </c>
      <c r="M48" s="134">
        <f t="shared" si="36"/>
        <v>15</v>
      </c>
      <c r="N48" s="134">
        <f t="shared" si="36"/>
        <v>1329.4933447831686</v>
      </c>
      <c r="O48" s="137">
        <f t="shared" si="36"/>
        <v>88.632889652211247</v>
      </c>
      <c r="P48" s="157">
        <f>M48-J48</f>
        <v>0</v>
      </c>
      <c r="Q48" s="158">
        <f>N48-K48</f>
        <v>-66.006655216831405</v>
      </c>
      <c r="R48" s="159">
        <f>O48/L48</f>
        <v>0.95270035455619395</v>
      </c>
      <c r="S48" s="399"/>
      <c r="T48" s="160"/>
      <c r="U48" s="160"/>
      <c r="V48" s="196"/>
      <c r="W48" s="161">
        <f t="shared" si="35"/>
        <v>0</v>
      </c>
      <c r="X48" s="162"/>
      <c r="Y48" s="162"/>
      <c r="Z48" s="391"/>
      <c r="AA48" s="391"/>
      <c r="AB48" s="163">
        <f>N48-K48</f>
        <v>-66.006655216831405</v>
      </c>
      <c r="AC48" s="191">
        <f>N48/K48</f>
        <v>0.95270035455619395</v>
      </c>
      <c r="AD48" s="438"/>
    </row>
    <row r="49" spans="1:30" ht="15" customHeight="1">
      <c r="A49" s="451" t="s">
        <v>56</v>
      </c>
      <c r="B49" s="199" t="str">
        <f>VLOOKUP(D49,廠價表!$C$1:$E$39,2,0)</f>
        <v>義大利麵</v>
      </c>
      <c r="C49" s="102"/>
      <c r="D49" s="103" t="s">
        <v>152</v>
      </c>
      <c r="E49" s="104"/>
      <c r="F49" s="199">
        <f>VLOOKUP(D49,廠價表!$C$1:$E$39,3,0)</f>
        <v>56.87</v>
      </c>
      <c r="G49" s="149">
        <v>2824</v>
      </c>
      <c r="H49" s="125">
        <f t="shared" ref="H49:H57" si="37">F49*G49</f>
        <v>160600.88</v>
      </c>
      <c r="I49" s="126"/>
      <c r="J49" s="108">
        <v>16</v>
      </c>
      <c r="K49" s="105">
        <v>1440</v>
      </c>
      <c r="L49" s="109">
        <f>K49/J49</f>
        <v>90</v>
      </c>
      <c r="M49" s="144">
        <v>16</v>
      </c>
      <c r="N49" s="127">
        <f>G49/W49*60</f>
        <v>1435.9322033898306</v>
      </c>
      <c r="O49" s="128">
        <f>N49/M49</f>
        <v>89.745762711864415</v>
      </c>
      <c r="P49" s="164">
        <f>M49-J49</f>
        <v>0</v>
      </c>
      <c r="Q49" s="112">
        <f>O49-L49</f>
        <v>-0.25423728813558455</v>
      </c>
      <c r="R49" s="184">
        <f>O49/L49</f>
        <v>0.99717514124293793</v>
      </c>
      <c r="S49" s="396">
        <f>R58</f>
        <v>0.98610961786373619</v>
      </c>
      <c r="T49" s="151">
        <v>0.2902777777777778</v>
      </c>
      <c r="U49" s="151">
        <v>0.37222222222222223</v>
      </c>
      <c r="V49" s="188"/>
      <c r="W49" s="152">
        <f t="shared" si="14"/>
        <v>117.99999999999999</v>
      </c>
      <c r="X49" s="188"/>
      <c r="Y49" s="188"/>
      <c r="Z49" s="400"/>
      <c r="AA49" s="400"/>
      <c r="AB49" s="111">
        <f>N49-K49</f>
        <v>-4.0677966101693528</v>
      </c>
      <c r="AC49" s="184">
        <f>N49/K49</f>
        <v>0.99717514124293793</v>
      </c>
      <c r="AD49" s="401">
        <f>AC58</f>
        <v>0.98568035187057734</v>
      </c>
    </row>
    <row r="50" spans="1:30" ht="15" customHeight="1">
      <c r="A50" s="452"/>
      <c r="B50" s="56" t="str">
        <f>VLOOKUP(D50,廠價表!$C$1:$E$39,2,0)</f>
        <v>義大利麵</v>
      </c>
      <c r="C50" s="10"/>
      <c r="D50" s="11" t="s">
        <v>65</v>
      </c>
      <c r="E50" s="86"/>
      <c r="F50" s="56">
        <f>VLOOKUP(D50,廠價表!$C$1:$E$39,3,0)</f>
        <v>49.97</v>
      </c>
      <c r="G50" s="66">
        <v>3872</v>
      </c>
      <c r="H50" s="76">
        <f t="shared" si="37"/>
        <v>193483.84</v>
      </c>
      <c r="I50" s="193"/>
      <c r="J50" s="16">
        <f>VLOOKUP(D50,產線配置圖!$A$2:$C$38,2,0)</f>
        <v>18</v>
      </c>
      <c r="K50" s="14">
        <f>VLOOKUP(D50,產線配置圖!$A$2:$C$38,3,0)</f>
        <v>1600</v>
      </c>
      <c r="L50" s="17">
        <f>K50/J50</f>
        <v>88.888888888888886</v>
      </c>
      <c r="M50" s="174">
        <v>18</v>
      </c>
      <c r="N50" s="77">
        <f>G50/W50*60</f>
        <v>1591.2328767123286</v>
      </c>
      <c r="O50" s="78">
        <f>N50/M50</f>
        <v>88.401826484018258</v>
      </c>
      <c r="P50" s="18">
        <f>M50-J50</f>
        <v>0</v>
      </c>
      <c r="Q50" s="19">
        <f>O50-L50</f>
        <v>-0.48706240487062757</v>
      </c>
      <c r="R50" s="185">
        <f>O50/L50</f>
        <v>0.99452054794520539</v>
      </c>
      <c r="S50" s="397"/>
      <c r="T50" s="79">
        <v>0.37777777777777777</v>
      </c>
      <c r="U50" s="79">
        <v>0.47916666666666669</v>
      </c>
      <c r="V50" s="177">
        <f t="shared" ref="V50:V51" si="38">(T50-U49)*24*60</f>
        <v>7.9999999999999716</v>
      </c>
      <c r="W50" s="80">
        <f t="shared" si="14"/>
        <v>146.00000000000003</v>
      </c>
      <c r="X50" s="22"/>
      <c r="Y50" s="22"/>
      <c r="Z50" s="419"/>
      <c r="AA50" s="418"/>
      <c r="AB50" s="18">
        <f>N50-K50</f>
        <v>-8.7671232876714384</v>
      </c>
      <c r="AC50" s="185">
        <f>N50/K50</f>
        <v>0.99452054794520539</v>
      </c>
      <c r="AD50" s="402"/>
    </row>
    <row r="51" spans="1:30" ht="15" customHeight="1">
      <c r="A51" s="452"/>
      <c r="B51" s="56" t="str">
        <f>VLOOKUP(D51,廠價表!$C$1:$E$39,2,0)</f>
        <v>義大利麵</v>
      </c>
      <c r="C51" s="10"/>
      <c r="D51" s="11" t="s">
        <v>65</v>
      </c>
      <c r="E51" s="86"/>
      <c r="F51" s="56">
        <f>VLOOKUP(D51,廠價表!$C$1:$E$39,3,0)</f>
        <v>49.97</v>
      </c>
      <c r="G51" s="66">
        <v>2500</v>
      </c>
      <c r="H51" s="76">
        <f t="shared" si="37"/>
        <v>124925</v>
      </c>
      <c r="I51" s="193"/>
      <c r="J51" s="16">
        <f>VLOOKUP(D51,產線配置圖!$A$2:$C$38,2,0)</f>
        <v>18</v>
      </c>
      <c r="K51" s="14">
        <f>VLOOKUP(D51,產線配置圖!$A$2:$C$38,3,0)</f>
        <v>1600</v>
      </c>
      <c r="L51" s="17">
        <f>K51/J51</f>
        <v>88.888888888888886</v>
      </c>
      <c r="M51" s="174">
        <v>18</v>
      </c>
      <c r="N51" s="77">
        <f>G51/W51*60</f>
        <v>1546.3917525773199</v>
      </c>
      <c r="O51" s="78">
        <f>N51/M51</f>
        <v>85.910652920962221</v>
      </c>
      <c r="P51" s="18">
        <f>M51-J51</f>
        <v>0</v>
      </c>
      <c r="Q51" s="19">
        <f>O51-L51</f>
        <v>-2.9782359679266648</v>
      </c>
      <c r="R51" s="185">
        <f>O51/L51</f>
        <v>0.96649484536082497</v>
      </c>
      <c r="S51" s="397"/>
      <c r="T51" s="79">
        <v>0.54166666666666663</v>
      </c>
      <c r="U51" s="44">
        <v>0.60902777777777772</v>
      </c>
      <c r="V51" s="177">
        <f t="shared" si="38"/>
        <v>89.999999999999915</v>
      </c>
      <c r="W51" s="80">
        <f t="shared" si="14"/>
        <v>96.999999999999972</v>
      </c>
      <c r="X51" s="22">
        <v>0.48958333333333331</v>
      </c>
      <c r="Y51" s="22">
        <v>0.53125</v>
      </c>
      <c r="Z51" s="405"/>
      <c r="AA51" s="405"/>
      <c r="AB51" s="18">
        <f>N51-K51</f>
        <v>-53.608247422680051</v>
      </c>
      <c r="AC51" s="185">
        <f>N51/K51</f>
        <v>0.96649484536082497</v>
      </c>
      <c r="AD51" s="402"/>
    </row>
    <row r="52" spans="1:30" ht="15" customHeight="1">
      <c r="A52" s="452"/>
      <c r="B52" s="56"/>
      <c r="C52" s="23"/>
      <c r="D52" s="11"/>
      <c r="E52" s="12"/>
      <c r="F52" s="56"/>
      <c r="G52" s="66"/>
      <c r="H52" s="76"/>
      <c r="I52" s="193"/>
      <c r="J52" s="16"/>
      <c r="K52" s="14"/>
      <c r="L52" s="17"/>
      <c r="M52" s="174"/>
      <c r="N52" s="77"/>
      <c r="O52" s="78"/>
      <c r="P52" s="18"/>
      <c r="Q52" s="19"/>
      <c r="R52" s="185"/>
      <c r="S52" s="397"/>
      <c r="T52" s="79"/>
      <c r="U52" s="79"/>
      <c r="V52" s="177"/>
      <c r="W52" s="80">
        <f t="shared" si="14"/>
        <v>0</v>
      </c>
      <c r="X52" s="22"/>
      <c r="Y52" s="22"/>
      <c r="Z52" s="405"/>
      <c r="AA52" s="405"/>
      <c r="AB52" s="18"/>
      <c r="AC52" s="185"/>
      <c r="AD52" s="402"/>
    </row>
    <row r="53" spans="1:30" ht="15" customHeight="1">
      <c r="A53" s="452"/>
      <c r="B53" s="56"/>
      <c r="C53" s="23"/>
      <c r="D53" s="11"/>
      <c r="E53" s="12"/>
      <c r="F53" s="56"/>
      <c r="G53" s="66"/>
      <c r="H53" s="76"/>
      <c r="I53" s="193"/>
      <c r="J53" s="16"/>
      <c r="K53" s="14"/>
      <c r="L53" s="17"/>
      <c r="M53" s="174"/>
      <c r="N53" s="77"/>
      <c r="O53" s="78"/>
      <c r="P53" s="18"/>
      <c r="Q53" s="19"/>
      <c r="R53" s="185"/>
      <c r="S53" s="397"/>
      <c r="T53" s="79"/>
      <c r="U53" s="79"/>
      <c r="V53" s="177"/>
      <c r="W53" s="80">
        <f t="shared" si="14"/>
        <v>0</v>
      </c>
      <c r="X53" s="177"/>
      <c r="Y53" s="177"/>
      <c r="Z53" s="419"/>
      <c r="AA53" s="418"/>
      <c r="AB53" s="18"/>
      <c r="AC53" s="185"/>
      <c r="AD53" s="402"/>
    </row>
    <row r="54" spans="1:30" ht="15" customHeight="1">
      <c r="A54" s="452"/>
      <c r="B54" s="177"/>
      <c r="C54" s="183"/>
      <c r="D54" s="11"/>
      <c r="E54" s="12"/>
      <c r="F54" s="13"/>
      <c r="G54" s="66"/>
      <c r="H54" s="76">
        <f t="shared" si="37"/>
        <v>0</v>
      </c>
      <c r="I54" s="177"/>
      <c r="J54" s="31"/>
      <c r="K54" s="30"/>
      <c r="L54" s="38"/>
      <c r="M54" s="181"/>
      <c r="N54" s="30"/>
      <c r="O54" s="35"/>
      <c r="P54" s="18"/>
      <c r="Q54" s="19"/>
      <c r="R54" s="185"/>
      <c r="S54" s="397"/>
      <c r="T54" s="79"/>
      <c r="U54" s="79"/>
      <c r="V54" s="197"/>
      <c r="W54" s="80">
        <f t="shared" si="14"/>
        <v>0</v>
      </c>
      <c r="X54" s="177"/>
      <c r="Y54" s="177"/>
      <c r="Z54" s="419"/>
      <c r="AA54" s="418"/>
      <c r="AB54" s="18"/>
      <c r="AC54" s="185"/>
      <c r="AD54" s="402"/>
    </row>
    <row r="55" spans="1:30" ht="15" customHeight="1">
      <c r="A55" s="452"/>
      <c r="B55" s="26"/>
      <c r="C55" s="27"/>
      <c r="D55" s="28"/>
      <c r="E55" s="29"/>
      <c r="F55" s="13"/>
      <c r="G55" s="66"/>
      <c r="H55" s="15">
        <f t="shared" si="37"/>
        <v>0</v>
      </c>
      <c r="I55" s="177"/>
      <c r="J55" s="31"/>
      <c r="K55" s="30"/>
      <c r="L55" s="38"/>
      <c r="M55" s="181"/>
      <c r="N55" s="30"/>
      <c r="O55" s="35"/>
      <c r="P55" s="18"/>
      <c r="Q55" s="19"/>
      <c r="R55" s="185"/>
      <c r="S55" s="397"/>
      <c r="T55" s="79"/>
      <c r="U55" s="79"/>
      <c r="V55" s="197"/>
      <c r="W55" s="80">
        <f t="shared" si="14"/>
        <v>0</v>
      </c>
      <c r="X55" s="177"/>
      <c r="Y55" s="177"/>
      <c r="Z55" s="419"/>
      <c r="AA55" s="418"/>
      <c r="AB55" s="18"/>
      <c r="AC55" s="185"/>
      <c r="AD55" s="402"/>
    </row>
    <row r="56" spans="1:30" ht="15" customHeight="1">
      <c r="A56" s="452"/>
      <c r="B56" s="26"/>
      <c r="C56" s="27"/>
      <c r="D56" s="28"/>
      <c r="E56" s="29"/>
      <c r="F56" s="13"/>
      <c r="G56" s="66"/>
      <c r="H56" s="15">
        <f t="shared" si="37"/>
        <v>0</v>
      </c>
      <c r="I56" s="177"/>
      <c r="J56" s="31"/>
      <c r="K56" s="30"/>
      <c r="L56" s="38"/>
      <c r="M56" s="181"/>
      <c r="N56" s="30"/>
      <c r="O56" s="35"/>
      <c r="P56" s="18"/>
      <c r="Q56" s="19"/>
      <c r="R56" s="185"/>
      <c r="S56" s="397"/>
      <c r="T56" s="79"/>
      <c r="U56" s="79"/>
      <c r="V56" s="197"/>
      <c r="W56" s="80">
        <f t="shared" si="14"/>
        <v>0</v>
      </c>
      <c r="X56" s="177"/>
      <c r="Y56" s="177"/>
      <c r="Z56" s="405"/>
      <c r="AA56" s="405"/>
      <c r="AB56" s="18"/>
      <c r="AC56" s="185"/>
      <c r="AD56" s="402"/>
    </row>
    <row r="57" spans="1:30" ht="15" customHeight="1">
      <c r="A57" s="452"/>
      <c r="B57" s="26"/>
      <c r="C57" s="27"/>
      <c r="D57" s="28"/>
      <c r="E57" s="29"/>
      <c r="F57" s="13"/>
      <c r="G57" s="66"/>
      <c r="H57" s="15">
        <f t="shared" si="37"/>
        <v>0</v>
      </c>
      <c r="I57" s="177"/>
      <c r="J57" s="31"/>
      <c r="K57" s="30"/>
      <c r="L57" s="38"/>
      <c r="M57" s="181"/>
      <c r="N57" s="30"/>
      <c r="O57" s="35"/>
      <c r="P57" s="18"/>
      <c r="Q57" s="19"/>
      <c r="R57" s="185"/>
      <c r="S57" s="397"/>
      <c r="T57" s="79"/>
      <c r="U57" s="79"/>
      <c r="V57" s="197"/>
      <c r="W57" s="80">
        <f t="shared" si="14"/>
        <v>0</v>
      </c>
      <c r="X57" s="177"/>
      <c r="Y57" s="177"/>
      <c r="Z57" s="405"/>
      <c r="AA57" s="405"/>
      <c r="AB57" s="18"/>
      <c r="AC57" s="185"/>
      <c r="AD57" s="402"/>
    </row>
    <row r="58" spans="1:30" ht="15" customHeight="1" thickBot="1">
      <c r="A58" s="453"/>
      <c r="B58" s="165"/>
      <c r="C58" s="1" t="s">
        <v>38</v>
      </c>
      <c r="D58" s="410" t="s">
        <v>7</v>
      </c>
      <c r="E58" s="410"/>
      <c r="F58" s="114"/>
      <c r="G58" s="166"/>
      <c r="H58" s="116"/>
      <c r="I58" s="115"/>
      <c r="J58" s="118">
        <f t="shared" ref="J58:O58" si="39">AVERAGE(J49:J57)</f>
        <v>17.333333333333332</v>
      </c>
      <c r="K58" s="118">
        <f t="shared" si="39"/>
        <v>1546.6666666666667</v>
      </c>
      <c r="L58" s="115">
        <f t="shared" si="39"/>
        <v>89.259259259259252</v>
      </c>
      <c r="M58" s="118">
        <f t="shared" si="39"/>
        <v>17.333333333333332</v>
      </c>
      <c r="N58" s="118">
        <f t="shared" si="39"/>
        <v>1524.518944226493</v>
      </c>
      <c r="O58" s="115">
        <f t="shared" si="39"/>
        <v>88.019414038948298</v>
      </c>
      <c r="P58" s="119">
        <f>M58-J58</f>
        <v>0</v>
      </c>
      <c r="Q58" s="120">
        <f>N58-K58</f>
        <v>-22.147722440173766</v>
      </c>
      <c r="R58" s="121">
        <f t="shared" ref="R58:R60" si="40">O58/L58</f>
        <v>0.98610961786373619</v>
      </c>
      <c r="S58" s="399"/>
      <c r="T58" s="167"/>
      <c r="U58" s="167"/>
      <c r="V58" s="195"/>
      <c r="W58" s="168"/>
      <c r="X58" s="124"/>
      <c r="Y58" s="124"/>
      <c r="Z58" s="391"/>
      <c r="AA58" s="391"/>
      <c r="AB58" s="119">
        <f t="shared" ref="AB58:AB62" si="41">N58-K58</f>
        <v>-22.147722440173766</v>
      </c>
      <c r="AC58" s="187">
        <f t="shared" ref="AC58:AC62" si="42">N58/K58</f>
        <v>0.98568035187057734</v>
      </c>
      <c r="AD58" s="404"/>
    </row>
    <row r="59" spans="1:30" ht="15" customHeight="1">
      <c r="A59" s="466" t="s">
        <v>57</v>
      </c>
      <c r="B59" s="199" t="str">
        <f>VLOOKUP(D59,廠價表!$C$1:$E$39,2,0)</f>
        <v>小吃、微波</v>
      </c>
      <c r="C59" s="102"/>
      <c r="D59" s="103" t="s">
        <v>125</v>
      </c>
      <c r="E59" s="104"/>
      <c r="F59" s="199">
        <f>VLOOKUP(D59,廠價表!$C$1:$E$39,3,0)</f>
        <v>26.99</v>
      </c>
      <c r="G59" s="188">
        <v>3493</v>
      </c>
      <c r="H59" s="106">
        <f t="shared" ref="H59:H68" si="43">F59*G59</f>
        <v>94276.069999999992</v>
      </c>
      <c r="I59" s="188"/>
      <c r="J59" s="108">
        <f>VLOOKUP(D59,產線配置圖!$A$2:$C$38,2,0)</f>
        <v>13</v>
      </c>
      <c r="K59" s="105">
        <f>VLOOKUP(D59,產線配置圖!$A$2:$C$38,3,0)</f>
        <v>1565</v>
      </c>
      <c r="L59" s="109">
        <f>K59/J59</f>
        <v>120.38461538461539</v>
      </c>
      <c r="M59" s="110">
        <v>13</v>
      </c>
      <c r="N59" s="105">
        <f t="shared" ref="N59:N62" si="44">G59/W59*60</f>
        <v>1552.4444444444443</v>
      </c>
      <c r="O59" s="109">
        <f t="shared" ref="O59:O62" si="45">N59/M59</f>
        <v>119.41880341880341</v>
      </c>
      <c r="P59" s="111">
        <f t="shared" ref="P59:P62" si="46">M59-J59</f>
        <v>0</v>
      </c>
      <c r="Q59" s="112">
        <f t="shared" ref="Q59:Q62" si="47">O59-L59</f>
        <v>-0.96581196581198014</v>
      </c>
      <c r="R59" s="184">
        <f t="shared" si="40"/>
        <v>0.991977280795172</v>
      </c>
      <c r="S59" s="396">
        <f>R69</f>
        <v>0.85107884829473202</v>
      </c>
      <c r="T59" s="169">
        <v>0.29166666666666669</v>
      </c>
      <c r="U59" s="169">
        <v>0.38541666666666669</v>
      </c>
      <c r="V59" s="188"/>
      <c r="W59" s="107">
        <f t="shared" si="14"/>
        <v>135</v>
      </c>
      <c r="X59" s="188"/>
      <c r="Y59" s="188"/>
      <c r="Z59" s="405"/>
      <c r="AA59" s="405"/>
      <c r="AB59" s="225">
        <f t="shared" si="41"/>
        <v>-12.555555555555657</v>
      </c>
      <c r="AC59" s="226">
        <f t="shared" si="42"/>
        <v>0.99197728079517211</v>
      </c>
      <c r="AD59" s="401">
        <f>AC69</f>
        <v>0.85273593995638786</v>
      </c>
    </row>
    <row r="60" spans="1:30" ht="15" customHeight="1">
      <c r="A60" s="467"/>
      <c r="B60" s="56" t="str">
        <f>VLOOKUP(D60,廠價表!$C$1:$E$39,2,0)</f>
        <v>小吃、微波</v>
      </c>
      <c r="C60" s="10"/>
      <c r="D60" s="11" t="s">
        <v>146</v>
      </c>
      <c r="E60" s="86"/>
      <c r="F60" s="56">
        <f>VLOOKUP(D60,廠價表!$C$1:$E$39,3,0)</f>
        <v>28.47</v>
      </c>
      <c r="G60" s="177">
        <v>879</v>
      </c>
      <c r="H60" s="15">
        <f t="shared" si="43"/>
        <v>25025.129999999997</v>
      </c>
      <c r="I60" s="177"/>
      <c r="J60" s="16">
        <f>VLOOKUP(D60,產線配置圖!$A$2:$C$38,2,0)</f>
        <v>12</v>
      </c>
      <c r="K60" s="14">
        <f>VLOOKUP(D60,產線配置圖!$A$2:$C$38,3,0)</f>
        <v>1565</v>
      </c>
      <c r="L60" s="17">
        <f>K60/J60</f>
        <v>130.41666666666666</v>
      </c>
      <c r="M60" s="180">
        <v>12</v>
      </c>
      <c r="N60" s="14">
        <f t="shared" si="44"/>
        <v>1255.7142857142851</v>
      </c>
      <c r="O60" s="17">
        <f t="shared" si="45"/>
        <v>104.6428571428571</v>
      </c>
      <c r="P60" s="18">
        <f t="shared" si="46"/>
        <v>0</v>
      </c>
      <c r="Q60" s="19">
        <f t="shared" si="47"/>
        <v>-25.773809523809561</v>
      </c>
      <c r="R60" s="185">
        <f t="shared" si="40"/>
        <v>0.80237334550433559</v>
      </c>
      <c r="S60" s="470"/>
      <c r="T60" s="198">
        <v>0.39791666666666664</v>
      </c>
      <c r="U60" s="198">
        <v>0.42708333333333331</v>
      </c>
      <c r="V60" s="177">
        <f t="shared" ref="V60:V63" si="48">(T60-U59)*24*60</f>
        <v>17.999999999999936</v>
      </c>
      <c r="W60" s="90">
        <f t="shared" si="14"/>
        <v>42.000000000000014</v>
      </c>
      <c r="X60" s="193"/>
      <c r="Y60" s="193"/>
      <c r="Z60" s="405"/>
      <c r="AA60" s="405"/>
      <c r="AB60" s="227">
        <f t="shared" si="41"/>
        <v>-309.2857142857149</v>
      </c>
      <c r="AC60" s="228">
        <f t="shared" si="42"/>
        <v>0.80237334550433548</v>
      </c>
      <c r="AD60" s="473"/>
    </row>
    <row r="61" spans="1:30" ht="15" customHeight="1">
      <c r="A61" s="468"/>
      <c r="B61" s="56" t="str">
        <f>VLOOKUP(D61,廠價表!$C$1:$E$39,2,0)</f>
        <v>小吃、微波</v>
      </c>
      <c r="C61" s="10"/>
      <c r="D61" s="242" t="s">
        <v>135</v>
      </c>
      <c r="E61" s="86"/>
      <c r="F61" s="56">
        <f>VLOOKUP(D61,廠價表!$C$1:$E$39,3,0)</f>
        <v>28.26</v>
      </c>
      <c r="G61" s="177">
        <v>1746</v>
      </c>
      <c r="H61" s="15">
        <f t="shared" si="43"/>
        <v>49341.96</v>
      </c>
      <c r="I61" s="81"/>
      <c r="J61" s="16">
        <f>VLOOKUP(D61,產線配置圖!$A$2:$C$38,2,0)</f>
        <v>12</v>
      </c>
      <c r="K61" s="14">
        <f>VLOOKUP(D61,產線配置圖!$A$2:$C$38,3,0)</f>
        <v>1565</v>
      </c>
      <c r="L61" s="17">
        <f t="shared" ref="L61:L62" si="49">K61/J61</f>
        <v>130.41666666666666</v>
      </c>
      <c r="M61" s="180">
        <v>12</v>
      </c>
      <c r="N61" s="14">
        <f t="shared" si="44"/>
        <v>1309.4999999999995</v>
      </c>
      <c r="O61" s="17">
        <f t="shared" si="45"/>
        <v>109.12499999999996</v>
      </c>
      <c r="P61" s="18">
        <f t="shared" si="46"/>
        <v>0</v>
      </c>
      <c r="Q61" s="19">
        <f t="shared" si="47"/>
        <v>-21.2916666666667</v>
      </c>
      <c r="R61" s="185">
        <f>O61/L61</f>
        <v>0.83674121405750768</v>
      </c>
      <c r="S61" s="397"/>
      <c r="T61" s="20">
        <v>0.4375</v>
      </c>
      <c r="U61" s="20">
        <v>0.49305555555555558</v>
      </c>
      <c r="V61" s="177">
        <f t="shared" si="48"/>
        <v>15.000000000000027</v>
      </c>
      <c r="W61" s="88">
        <f t="shared" si="14"/>
        <v>80.000000000000028</v>
      </c>
      <c r="X61" s="22"/>
      <c r="Y61" s="22"/>
      <c r="Z61" s="405"/>
      <c r="AA61" s="405"/>
      <c r="AB61" s="51">
        <f t="shared" si="41"/>
        <v>-255.50000000000045</v>
      </c>
      <c r="AC61" s="52">
        <f t="shared" si="42"/>
        <v>0.83674121405750768</v>
      </c>
      <c r="AD61" s="402"/>
    </row>
    <row r="62" spans="1:30" ht="15" customHeight="1">
      <c r="A62" s="468"/>
      <c r="B62" s="56" t="str">
        <f>VLOOKUP(D62,廠價表!$C$1:$E$39,2,0)</f>
        <v>小吃、微波</v>
      </c>
      <c r="C62" s="23"/>
      <c r="D62" s="242" t="s">
        <v>125</v>
      </c>
      <c r="E62" s="12"/>
      <c r="F62" s="56">
        <f>VLOOKUP(D62,廠價表!$C$1:$E$39,3,0)</f>
        <v>26.99</v>
      </c>
      <c r="G62" s="177">
        <v>896</v>
      </c>
      <c r="H62" s="15">
        <f t="shared" si="43"/>
        <v>24183.039999999997</v>
      </c>
      <c r="I62" s="81"/>
      <c r="J62" s="16">
        <f>VLOOKUP(D62,產線配置圖!$A$2:$C$38,2,0)</f>
        <v>13</v>
      </c>
      <c r="K62" s="14">
        <f>VLOOKUP(D62,產線配置圖!$A$2:$C$38,3,0)</f>
        <v>1565</v>
      </c>
      <c r="L62" s="17">
        <f t="shared" si="49"/>
        <v>120.38461538461539</v>
      </c>
      <c r="M62" s="180">
        <v>13</v>
      </c>
      <c r="N62" s="14">
        <f t="shared" si="44"/>
        <v>1280.0000000000045</v>
      </c>
      <c r="O62" s="17">
        <f t="shared" si="45"/>
        <v>98.461538461538808</v>
      </c>
      <c r="P62" s="18">
        <f t="shared" si="46"/>
        <v>0</v>
      </c>
      <c r="Q62" s="19">
        <f t="shared" si="47"/>
        <v>-21.923076923076579</v>
      </c>
      <c r="R62" s="185">
        <f>O62/L62</f>
        <v>0.81789137380191979</v>
      </c>
      <c r="S62" s="397"/>
      <c r="T62" s="20">
        <v>0.54722222222222228</v>
      </c>
      <c r="U62" s="20">
        <v>0.57638888888888884</v>
      </c>
      <c r="V62" s="177">
        <f t="shared" si="48"/>
        <v>78.000000000000043</v>
      </c>
      <c r="W62" s="90">
        <f t="shared" si="14"/>
        <v>41.999999999999851</v>
      </c>
      <c r="X62" s="22">
        <v>0.5</v>
      </c>
      <c r="Y62" s="22">
        <v>0.54166666666666663</v>
      </c>
      <c r="Z62" s="405"/>
      <c r="AA62" s="405"/>
      <c r="AB62" s="51">
        <f t="shared" si="41"/>
        <v>-284.99999999999545</v>
      </c>
      <c r="AC62" s="52">
        <f t="shared" si="42"/>
        <v>0.81789137380191979</v>
      </c>
      <c r="AD62" s="402"/>
    </row>
    <row r="63" spans="1:30" ht="15" customHeight="1">
      <c r="A63" s="468"/>
      <c r="B63" s="56" t="str">
        <f>VLOOKUP(D63,廠價表!$C$1:$E$39,2,0)</f>
        <v>小吃、微波</v>
      </c>
      <c r="C63" s="10"/>
      <c r="D63" s="242" t="s">
        <v>135</v>
      </c>
      <c r="E63" s="86"/>
      <c r="F63" s="56">
        <f>VLOOKUP(D63,廠價表!$C$1:$E$39,3,0)</f>
        <v>28.26</v>
      </c>
      <c r="G63" s="177">
        <v>1105</v>
      </c>
      <c r="H63" s="15">
        <f t="shared" ref="H63" si="50">F63*G63</f>
        <v>31227.300000000003</v>
      </c>
      <c r="I63" s="81"/>
      <c r="J63" s="16">
        <f>VLOOKUP(D63,產線配置圖!$A$2:$C$38,2,0)</f>
        <v>12</v>
      </c>
      <c r="K63" s="14">
        <f>VLOOKUP(D63,產線配置圖!$A$2:$C$38,3,0)</f>
        <v>1565</v>
      </c>
      <c r="L63" s="17">
        <f t="shared" ref="L63" si="51">K63/J63</f>
        <v>130.41666666666666</v>
      </c>
      <c r="M63" s="180">
        <v>12</v>
      </c>
      <c r="N63" s="14">
        <f t="shared" ref="N63" si="52">G63/W63*60</f>
        <v>1275.0000000000007</v>
      </c>
      <c r="O63" s="17">
        <f t="shared" ref="O63" si="53">N63/M63</f>
        <v>106.25000000000006</v>
      </c>
      <c r="P63" s="18">
        <f t="shared" ref="P63" si="54">M63-J63</f>
        <v>0</v>
      </c>
      <c r="Q63" s="19">
        <f t="shared" ref="Q63" si="55">O63-L63</f>
        <v>-24.1666666666666</v>
      </c>
      <c r="R63" s="185">
        <f>O63/L63</f>
        <v>0.81469648562300367</v>
      </c>
      <c r="S63" s="397"/>
      <c r="T63" s="20">
        <v>0.58194444444444449</v>
      </c>
      <c r="U63" s="20">
        <v>0.61805555555555558</v>
      </c>
      <c r="V63" s="177">
        <f t="shared" si="48"/>
        <v>8.0000000000001315</v>
      </c>
      <c r="W63" s="90">
        <f t="shared" si="14"/>
        <v>51.999999999999972</v>
      </c>
      <c r="X63" s="84"/>
      <c r="Y63" s="84"/>
      <c r="Z63" s="405"/>
      <c r="AA63" s="405"/>
      <c r="AB63" s="51"/>
      <c r="AC63" s="52"/>
      <c r="AD63" s="402"/>
    </row>
    <row r="64" spans="1:30" ht="15" customHeight="1">
      <c r="A64" s="468"/>
      <c r="B64" s="56"/>
      <c r="C64" s="10"/>
      <c r="D64" s="242"/>
      <c r="E64" s="86"/>
      <c r="F64" s="56"/>
      <c r="G64" s="177"/>
      <c r="H64" s="15"/>
      <c r="I64" s="81"/>
      <c r="J64" s="16"/>
      <c r="K64" s="14"/>
      <c r="L64" s="17"/>
      <c r="M64" s="180"/>
      <c r="N64" s="14"/>
      <c r="O64" s="17"/>
      <c r="P64" s="18"/>
      <c r="Q64" s="19"/>
      <c r="R64" s="185"/>
      <c r="S64" s="397"/>
      <c r="T64" s="20"/>
      <c r="U64" s="20"/>
      <c r="V64" s="177"/>
      <c r="W64" s="182">
        <f t="shared" si="14"/>
        <v>0</v>
      </c>
      <c r="X64" s="84"/>
      <c r="Y64" s="84"/>
      <c r="Z64" s="419"/>
      <c r="AA64" s="418"/>
      <c r="AB64" s="18"/>
      <c r="AC64" s="55"/>
      <c r="AD64" s="402"/>
    </row>
    <row r="65" spans="1:32" ht="15" customHeight="1">
      <c r="A65" s="468"/>
      <c r="B65" s="177"/>
      <c r="C65" s="183"/>
      <c r="D65" s="11"/>
      <c r="E65" s="12"/>
      <c r="F65" s="13"/>
      <c r="G65" s="177"/>
      <c r="H65" s="15"/>
      <c r="I65" s="177"/>
      <c r="J65" s="16"/>
      <c r="K65" s="82"/>
      <c r="L65" s="83"/>
      <c r="M65" s="180"/>
      <c r="N65" s="14"/>
      <c r="O65" s="17"/>
      <c r="P65" s="18"/>
      <c r="Q65" s="19"/>
      <c r="R65" s="185"/>
      <c r="S65" s="397"/>
      <c r="T65" s="20"/>
      <c r="U65" s="20"/>
      <c r="V65" s="177"/>
      <c r="W65" s="182">
        <f t="shared" si="14"/>
        <v>0</v>
      </c>
      <c r="X65" s="84"/>
      <c r="Y65" s="84"/>
      <c r="Z65" s="419"/>
      <c r="AA65" s="418"/>
      <c r="AB65" s="18"/>
      <c r="AC65" s="55"/>
      <c r="AD65" s="402"/>
    </row>
    <row r="66" spans="1:32" ht="15" customHeight="1">
      <c r="A66" s="468"/>
      <c r="B66" s="26"/>
      <c r="C66" s="27"/>
      <c r="D66" s="28"/>
      <c r="E66" s="29"/>
      <c r="F66" s="13"/>
      <c r="G66" s="183"/>
      <c r="H66" s="15">
        <f t="shared" si="43"/>
        <v>0</v>
      </c>
      <c r="I66" s="85"/>
      <c r="J66" s="16"/>
      <c r="K66" s="14"/>
      <c r="L66" s="17"/>
      <c r="M66" s="21"/>
      <c r="N66" s="36"/>
      <c r="O66" s="38"/>
      <c r="P66" s="39"/>
      <c r="Q66" s="40"/>
      <c r="R66" s="68"/>
      <c r="S66" s="397"/>
      <c r="T66" s="20"/>
      <c r="U66" s="20"/>
      <c r="V66" s="177"/>
      <c r="W66" s="182">
        <f t="shared" si="14"/>
        <v>0</v>
      </c>
      <c r="X66" s="84"/>
      <c r="Y66" s="84"/>
      <c r="Z66" s="405"/>
      <c r="AA66" s="405"/>
      <c r="AB66" s="18"/>
      <c r="AC66" s="55"/>
      <c r="AD66" s="402"/>
    </row>
    <row r="67" spans="1:32" ht="15" customHeight="1">
      <c r="A67" s="468"/>
      <c r="B67" s="26"/>
      <c r="C67" s="27"/>
      <c r="D67" s="28"/>
      <c r="E67" s="29"/>
      <c r="F67" s="13"/>
      <c r="G67" s="177"/>
      <c r="H67" s="15">
        <f t="shared" si="43"/>
        <v>0</v>
      </c>
      <c r="I67" s="177"/>
      <c r="J67" s="16"/>
      <c r="K67" s="14"/>
      <c r="L67" s="17"/>
      <c r="M67" s="21"/>
      <c r="N67" s="36"/>
      <c r="O67" s="38"/>
      <c r="P67" s="39"/>
      <c r="Q67" s="40"/>
      <c r="R67" s="68"/>
      <c r="S67" s="397"/>
      <c r="T67" s="20"/>
      <c r="U67" s="20"/>
      <c r="V67" s="177"/>
      <c r="W67" s="182">
        <f t="shared" si="14"/>
        <v>0</v>
      </c>
      <c r="X67" s="84"/>
      <c r="Y67" s="84"/>
      <c r="Z67" s="419"/>
      <c r="AA67" s="418"/>
      <c r="AB67" s="18"/>
      <c r="AC67" s="55"/>
      <c r="AD67" s="402"/>
    </row>
    <row r="68" spans="1:32" ht="15" customHeight="1">
      <c r="A68" s="468"/>
      <c r="B68" s="26"/>
      <c r="C68" s="27"/>
      <c r="D68" s="28"/>
      <c r="E68" s="29"/>
      <c r="F68" s="13"/>
      <c r="G68" s="183"/>
      <c r="H68" s="15">
        <f t="shared" si="43"/>
        <v>0</v>
      </c>
      <c r="I68" s="85"/>
      <c r="J68" s="16"/>
      <c r="K68" s="260"/>
      <c r="L68" s="261"/>
      <c r="M68" s="21"/>
      <c r="N68" s="36"/>
      <c r="O68" s="38"/>
      <c r="P68" s="39"/>
      <c r="Q68" s="40"/>
      <c r="R68" s="68"/>
      <c r="S68" s="397"/>
      <c r="T68" s="20"/>
      <c r="U68" s="20"/>
      <c r="V68" s="177"/>
      <c r="W68" s="182">
        <f t="shared" si="14"/>
        <v>0</v>
      </c>
      <c r="X68" s="84"/>
      <c r="Y68" s="84"/>
      <c r="Z68" s="419"/>
      <c r="AA68" s="418"/>
      <c r="AB68" s="18"/>
      <c r="AC68" s="55"/>
      <c r="AD68" s="402"/>
    </row>
    <row r="69" spans="1:32" ht="15" customHeight="1" thickBot="1">
      <c r="A69" s="469"/>
      <c r="B69" s="165"/>
      <c r="C69" s="1" t="s">
        <v>39</v>
      </c>
      <c r="D69" s="410" t="s">
        <v>7</v>
      </c>
      <c r="E69" s="410"/>
      <c r="F69" s="114"/>
      <c r="G69" s="115"/>
      <c r="H69" s="116"/>
      <c r="I69" s="170"/>
      <c r="J69" s="166">
        <f t="shared" ref="J69:O69" si="56">AVERAGE(J59:J68)</f>
        <v>12.4</v>
      </c>
      <c r="K69" s="166">
        <f t="shared" si="56"/>
        <v>1565</v>
      </c>
      <c r="L69" s="171">
        <f t="shared" si="56"/>
        <v>126.40384615384615</v>
      </c>
      <c r="M69" s="166">
        <f t="shared" si="56"/>
        <v>12.4</v>
      </c>
      <c r="N69" s="166">
        <f t="shared" si="56"/>
        <v>1334.5317460317469</v>
      </c>
      <c r="O69" s="171">
        <f t="shared" si="56"/>
        <v>107.57963980463987</v>
      </c>
      <c r="P69" s="172">
        <f>M69-J69</f>
        <v>0</v>
      </c>
      <c r="Q69" s="158">
        <f>N69-K69</f>
        <v>-230.46825396825307</v>
      </c>
      <c r="R69" s="121">
        <f>O69/L69</f>
        <v>0.85107884829473202</v>
      </c>
      <c r="S69" s="399"/>
      <c r="T69" s="122"/>
      <c r="U69" s="122"/>
      <c r="V69" s="195"/>
      <c r="W69" s="168"/>
      <c r="X69" s="124"/>
      <c r="Y69" s="124"/>
      <c r="Z69" s="405"/>
      <c r="AA69" s="405"/>
      <c r="AB69" s="119">
        <f>N69-K69</f>
        <v>-230.46825396825307</v>
      </c>
      <c r="AC69" s="187">
        <f>N69/K69</f>
        <v>0.85273593995638786</v>
      </c>
      <c r="AD69" s="404"/>
    </row>
    <row r="70" spans="1:32" ht="15" customHeight="1">
      <c r="A70" s="461" t="s">
        <v>58</v>
      </c>
      <c r="B70" s="199" t="s">
        <v>62</v>
      </c>
      <c r="C70" s="199"/>
      <c r="D70" s="103" t="s">
        <v>158</v>
      </c>
      <c r="E70" s="104"/>
      <c r="F70" s="199">
        <f>VLOOKUP(D70,廠價表!$C$1:$E$39,3,0)</f>
        <v>47.71</v>
      </c>
      <c r="G70" s="188">
        <v>4903</v>
      </c>
      <c r="H70" s="106">
        <f t="shared" ref="H70" si="57">F70*G70</f>
        <v>233922.13</v>
      </c>
      <c r="I70" s="188"/>
      <c r="J70" s="108">
        <f>VLOOKUP(D70,產線配置圖!$A$2:$C$38,2,0)</f>
        <v>15</v>
      </c>
      <c r="K70" s="105">
        <f>VLOOKUP(D70,產線配置圖!$A$2:$C$38,3,0)</f>
        <v>1500</v>
      </c>
      <c r="L70" s="109">
        <f>K70/J70</f>
        <v>100</v>
      </c>
      <c r="M70" s="110">
        <v>15</v>
      </c>
      <c r="N70" s="105">
        <f t="shared" ref="N70" si="58">G70/W70*60</f>
        <v>1470.9</v>
      </c>
      <c r="O70" s="109">
        <f t="shared" ref="O70" si="59">N70/M70</f>
        <v>98.06</v>
      </c>
      <c r="P70" s="111">
        <f t="shared" ref="P70" si="60">M70-J70</f>
        <v>0</v>
      </c>
      <c r="Q70" s="112">
        <f t="shared" ref="Q70" si="61">O70-L70</f>
        <v>-1.9399999999999977</v>
      </c>
      <c r="R70" s="184">
        <f t="shared" ref="R70" si="62">O70/L70</f>
        <v>0.98060000000000003</v>
      </c>
      <c r="S70" s="396">
        <f>R79</f>
        <v>0.90828686569619255</v>
      </c>
      <c r="T70" s="169">
        <v>0.33333333333333331</v>
      </c>
      <c r="U70" s="169">
        <v>0.47222222222222221</v>
      </c>
      <c r="V70" s="188"/>
      <c r="W70" s="107">
        <f t="shared" ref="W70:W78" si="63">(U70-T70)*24*60</f>
        <v>200</v>
      </c>
      <c r="X70" s="296"/>
      <c r="Y70" s="296"/>
      <c r="Z70" s="465"/>
      <c r="AA70" s="427"/>
      <c r="AB70" s="225">
        <f t="shared" ref="AB70:AB71" si="64">N70-K70</f>
        <v>-29.099999999999909</v>
      </c>
      <c r="AC70" s="226">
        <f t="shared" ref="AC70:AC71" si="65">N70/K70</f>
        <v>0.98060000000000003</v>
      </c>
      <c r="AD70" s="401">
        <f>AC79</f>
        <v>0.91531215204950966</v>
      </c>
    </row>
    <row r="71" spans="1:32" ht="15" customHeight="1">
      <c r="A71" s="462"/>
      <c r="B71" s="56"/>
      <c r="C71" s="10"/>
      <c r="D71" s="11"/>
      <c r="E71" s="86"/>
      <c r="F71" s="56"/>
      <c r="G71" s="66"/>
      <c r="H71" s="76"/>
      <c r="I71" s="193"/>
      <c r="J71" s="16"/>
      <c r="K71" s="14"/>
      <c r="L71" s="17"/>
      <c r="M71" s="180"/>
      <c r="N71" s="14"/>
      <c r="O71" s="17"/>
      <c r="P71" s="18"/>
      <c r="Q71" s="19"/>
      <c r="R71" s="185"/>
      <c r="S71" s="397"/>
      <c r="T71" s="20"/>
      <c r="U71" s="20"/>
      <c r="V71" s="177"/>
      <c r="W71" s="182">
        <f t="shared" si="63"/>
        <v>0</v>
      </c>
      <c r="X71" s="298"/>
      <c r="Y71" s="299"/>
      <c r="Z71" s="439"/>
      <c r="AA71" s="440"/>
      <c r="AB71" s="39">
        <f t="shared" si="64"/>
        <v>0</v>
      </c>
      <c r="AC71" s="190" t="e">
        <f t="shared" si="65"/>
        <v>#DIV/0!</v>
      </c>
      <c r="AD71" s="447"/>
    </row>
    <row r="72" spans="1:32" ht="15" customHeight="1">
      <c r="A72" s="462"/>
      <c r="B72" s="56"/>
      <c r="C72" s="10"/>
      <c r="D72" s="11"/>
      <c r="E72" s="86"/>
      <c r="F72" s="56"/>
      <c r="G72" s="66"/>
      <c r="H72" s="76"/>
      <c r="I72" s="193"/>
      <c r="J72" s="16"/>
      <c r="K72" s="14"/>
      <c r="L72" s="17"/>
      <c r="M72" s="180"/>
      <c r="N72" s="14"/>
      <c r="O72" s="17"/>
      <c r="P72" s="18"/>
      <c r="Q72" s="19"/>
      <c r="R72" s="185"/>
      <c r="S72" s="397"/>
      <c r="T72" s="20"/>
      <c r="U72" s="20"/>
      <c r="V72" s="177"/>
      <c r="W72" s="182">
        <f t="shared" si="63"/>
        <v>0</v>
      </c>
      <c r="X72" s="297"/>
      <c r="Y72" s="297"/>
      <c r="Z72" s="405"/>
      <c r="AA72" s="419"/>
      <c r="AB72" s="39"/>
      <c r="AC72" s="190"/>
      <c r="AD72" s="447"/>
    </row>
    <row r="73" spans="1:32" ht="15" customHeight="1">
      <c r="A73" s="462"/>
      <c r="B73" s="56"/>
      <c r="C73" s="23"/>
      <c r="D73" s="11"/>
      <c r="E73" s="12"/>
      <c r="F73" s="56"/>
      <c r="G73" s="66"/>
      <c r="H73" s="76"/>
      <c r="I73" s="193"/>
      <c r="J73" s="16"/>
      <c r="K73" s="14"/>
      <c r="L73" s="17"/>
      <c r="M73" s="180"/>
      <c r="N73" s="14"/>
      <c r="O73" s="17"/>
      <c r="P73" s="18"/>
      <c r="Q73" s="19"/>
      <c r="R73" s="185"/>
      <c r="S73" s="397"/>
      <c r="T73" s="20"/>
      <c r="U73" s="20"/>
      <c r="V73" s="177"/>
      <c r="W73" s="182">
        <f t="shared" si="63"/>
        <v>0</v>
      </c>
      <c r="X73" s="22"/>
      <c r="Y73" s="22"/>
      <c r="Z73" s="405"/>
      <c r="AA73" s="419"/>
      <c r="AB73" s="39"/>
      <c r="AC73" s="190"/>
      <c r="AD73" s="447"/>
    </row>
    <row r="74" spans="1:32" ht="15" customHeight="1">
      <c r="A74" s="462"/>
      <c r="B74" s="56"/>
      <c r="C74" s="249"/>
      <c r="D74" s="250"/>
      <c r="E74" s="251"/>
      <c r="F74" s="56"/>
      <c r="G74" s="238"/>
      <c r="H74" s="76">
        <f t="shared" ref="H74:H78" si="66">F74*G74</f>
        <v>0</v>
      </c>
      <c r="I74" s="81"/>
      <c r="J74" s="234"/>
      <c r="K74" s="36"/>
      <c r="L74" s="235"/>
      <c r="M74" s="21"/>
      <c r="N74" s="36"/>
      <c r="O74" s="38"/>
      <c r="P74" s="39"/>
      <c r="Q74" s="40"/>
      <c r="R74" s="190"/>
      <c r="S74" s="397"/>
      <c r="T74" s="20"/>
      <c r="U74" s="20"/>
      <c r="V74" s="177"/>
      <c r="W74" s="182">
        <f t="shared" si="63"/>
        <v>0</v>
      </c>
      <c r="X74" s="22"/>
      <c r="Y74" s="22"/>
      <c r="Z74" s="405"/>
      <c r="AA74" s="419"/>
      <c r="AB74" s="39"/>
      <c r="AC74" s="190"/>
      <c r="AD74" s="447"/>
    </row>
    <row r="75" spans="1:32" ht="15" customHeight="1">
      <c r="A75" s="462"/>
      <c r="B75" s="177"/>
      <c r="C75" s="183"/>
      <c r="D75" s="11"/>
      <c r="E75" s="12"/>
      <c r="F75" s="13"/>
      <c r="G75" s="177"/>
      <c r="H75" s="15">
        <f t="shared" si="66"/>
        <v>0</v>
      </c>
      <c r="I75" s="81"/>
      <c r="J75" s="87"/>
      <c r="K75" s="82"/>
      <c r="L75" s="83"/>
      <c r="M75" s="181"/>
      <c r="N75" s="82"/>
      <c r="O75" s="83"/>
      <c r="P75" s="73"/>
      <c r="Q75" s="74"/>
      <c r="R75" s="192"/>
      <c r="S75" s="397"/>
      <c r="T75" s="20"/>
      <c r="U75" s="20"/>
      <c r="V75" s="177"/>
      <c r="W75" s="88">
        <f t="shared" si="63"/>
        <v>0</v>
      </c>
      <c r="X75" s="89"/>
      <c r="Y75" s="89"/>
      <c r="Z75" s="406"/>
      <c r="AA75" s="406"/>
      <c r="AB75" s="306"/>
      <c r="AC75" s="307"/>
      <c r="AD75" s="402"/>
    </row>
    <row r="76" spans="1:32" ht="15" customHeight="1">
      <c r="A76" s="462"/>
      <c r="B76" s="26"/>
      <c r="C76" s="27"/>
      <c r="D76" s="28"/>
      <c r="E76" s="29"/>
      <c r="F76" s="13"/>
      <c r="G76" s="177"/>
      <c r="H76" s="15">
        <f t="shared" si="66"/>
        <v>0</v>
      </c>
      <c r="I76" s="81"/>
      <c r="J76" s="87"/>
      <c r="K76" s="82"/>
      <c r="L76" s="83"/>
      <c r="M76" s="181"/>
      <c r="N76" s="82"/>
      <c r="O76" s="83"/>
      <c r="P76" s="73"/>
      <c r="Q76" s="74"/>
      <c r="R76" s="192"/>
      <c r="S76" s="398"/>
      <c r="T76" s="20"/>
      <c r="U76" s="20"/>
      <c r="V76" s="177"/>
      <c r="W76" s="90">
        <f t="shared" si="63"/>
        <v>0</v>
      </c>
      <c r="X76" s="78"/>
      <c r="Y76" s="78"/>
      <c r="Z76" s="445"/>
      <c r="AA76" s="445"/>
      <c r="AB76" s="51"/>
      <c r="AC76" s="52"/>
      <c r="AD76" s="403"/>
    </row>
    <row r="77" spans="1:32" ht="15" customHeight="1">
      <c r="A77" s="462"/>
      <c r="B77" s="26"/>
      <c r="C77" s="27"/>
      <c r="D77" s="28"/>
      <c r="E77" s="29"/>
      <c r="F77" s="13"/>
      <c r="G77" s="177"/>
      <c r="H77" s="15">
        <f t="shared" si="66"/>
        <v>0</v>
      </c>
      <c r="I77" s="81"/>
      <c r="J77" s="87"/>
      <c r="K77" s="82"/>
      <c r="L77" s="83"/>
      <c r="M77" s="181"/>
      <c r="N77" s="82"/>
      <c r="O77" s="83"/>
      <c r="P77" s="73"/>
      <c r="Q77" s="74"/>
      <c r="R77" s="192"/>
      <c r="S77" s="398"/>
      <c r="T77" s="20"/>
      <c r="U77" s="20"/>
      <c r="V77" s="177"/>
      <c r="W77" s="182">
        <f t="shared" si="63"/>
        <v>0</v>
      </c>
      <c r="X77" s="84"/>
      <c r="Y77" s="84"/>
      <c r="Z77" s="405"/>
      <c r="AA77" s="405"/>
      <c r="AB77" s="18"/>
      <c r="AC77" s="55"/>
      <c r="AD77" s="403"/>
    </row>
    <row r="78" spans="1:32" ht="15" customHeight="1">
      <c r="A78" s="462"/>
      <c r="B78" s="26"/>
      <c r="C78" s="27"/>
      <c r="D78" s="28"/>
      <c r="E78" s="29"/>
      <c r="F78" s="13"/>
      <c r="G78" s="177"/>
      <c r="H78" s="15">
        <f t="shared" si="66"/>
        <v>0</v>
      </c>
      <c r="I78" s="85"/>
      <c r="J78" s="37"/>
      <c r="K78" s="36"/>
      <c r="L78" s="83"/>
      <c r="M78" s="21"/>
      <c r="N78" s="36"/>
      <c r="O78" s="38"/>
      <c r="P78" s="39"/>
      <c r="Q78" s="40"/>
      <c r="R78" s="190"/>
      <c r="S78" s="464"/>
      <c r="T78" s="32"/>
      <c r="U78" s="32"/>
      <c r="V78" s="178"/>
      <c r="W78" s="182">
        <f t="shared" si="63"/>
        <v>0</v>
      </c>
      <c r="X78" s="91"/>
      <c r="Y78" s="91"/>
      <c r="Z78" s="405"/>
      <c r="AA78" s="405"/>
      <c r="AB78" s="34"/>
      <c r="AC78" s="57"/>
      <c r="AD78" s="403"/>
    </row>
    <row r="79" spans="1:32" ht="15" customHeight="1" thickBot="1">
      <c r="A79" s="463"/>
      <c r="B79" s="165"/>
      <c r="C79" s="1" t="s">
        <v>40</v>
      </c>
      <c r="D79" s="410" t="s">
        <v>7</v>
      </c>
      <c r="E79" s="410"/>
      <c r="F79" s="114"/>
      <c r="G79" s="115"/>
      <c r="H79" s="173"/>
      <c r="I79" s="171"/>
      <c r="J79" s="166">
        <f t="shared" ref="J79:O79" si="67">AVERAGE(J69:J78)</f>
        <v>13.7</v>
      </c>
      <c r="K79" s="166">
        <f t="shared" si="67"/>
        <v>1532.5</v>
      </c>
      <c r="L79" s="171">
        <f t="shared" si="67"/>
        <v>113.20192307692307</v>
      </c>
      <c r="M79" s="166">
        <f t="shared" si="67"/>
        <v>13.7</v>
      </c>
      <c r="N79" s="166">
        <f t="shared" si="67"/>
        <v>1402.7158730158735</v>
      </c>
      <c r="O79" s="171">
        <f t="shared" si="67"/>
        <v>102.81981990231994</v>
      </c>
      <c r="P79" s="172">
        <f>M79-J79</f>
        <v>0</v>
      </c>
      <c r="Q79" s="158">
        <f>N79-K79</f>
        <v>-129.78412698412649</v>
      </c>
      <c r="R79" s="159">
        <f>O79/L79</f>
        <v>0.90828686569619255</v>
      </c>
      <c r="S79" s="399"/>
      <c r="T79" s="122"/>
      <c r="U79" s="122"/>
      <c r="V79" s="195"/>
      <c r="W79" s="168"/>
      <c r="X79" s="124"/>
      <c r="Y79" s="124"/>
      <c r="Z79" s="391"/>
      <c r="AA79" s="391"/>
      <c r="AB79" s="119">
        <f>N79-K79</f>
        <v>-129.78412698412649</v>
      </c>
      <c r="AC79" s="187">
        <f>N79/K79</f>
        <v>0.91531215204950966</v>
      </c>
      <c r="AD79" s="404"/>
    </row>
    <row r="80" spans="1:32">
      <c r="AF80" s="93" t="s">
        <v>41</v>
      </c>
    </row>
    <row r="81" spans="4:32">
      <c r="AF81" s="93" t="s">
        <v>42</v>
      </c>
    </row>
    <row r="82" spans="4:32">
      <c r="AF82" s="93" t="s">
        <v>43</v>
      </c>
    </row>
    <row r="83" spans="4:32">
      <c r="D83" s="220"/>
      <c r="W83" s="6"/>
      <c r="AF83" s="93" t="s">
        <v>44</v>
      </c>
    </row>
    <row r="84" spans="4:32">
      <c r="D84" s="224"/>
      <c r="W84" s="6"/>
      <c r="AF84" s="93" t="s">
        <v>45</v>
      </c>
    </row>
    <row r="85" spans="4:32">
      <c r="D85" s="224"/>
      <c r="W85" s="6"/>
      <c r="AF85" s="93" t="s">
        <v>46</v>
      </c>
    </row>
    <row r="86" spans="4:32">
      <c r="D86" s="155"/>
      <c r="W86" s="6"/>
      <c r="AF86" s="93" t="s">
        <v>47</v>
      </c>
    </row>
    <row r="87" spans="4:32">
      <c r="W87" s="6"/>
      <c r="AF87" s="93" t="s">
        <v>48</v>
      </c>
    </row>
    <row r="88" spans="4:32">
      <c r="W88" s="6"/>
      <c r="AF88" s="93" t="s">
        <v>49</v>
      </c>
    </row>
    <row r="89" spans="4:32">
      <c r="W89" s="6"/>
      <c r="AF89" s="93" t="s">
        <v>50</v>
      </c>
    </row>
    <row r="90" spans="4:32">
      <c r="W90" s="6"/>
      <c r="AF90" s="93" t="s">
        <v>51</v>
      </c>
    </row>
    <row r="91" spans="4:32">
      <c r="W91" s="6"/>
      <c r="AF91" s="93" t="s">
        <v>52</v>
      </c>
    </row>
    <row r="92" spans="4:32">
      <c r="W92" s="6"/>
      <c r="AF92" s="93" t="s">
        <v>53</v>
      </c>
    </row>
  </sheetData>
  <autoFilter ref="D1:D92" xr:uid="{EF5AD393-5A39-4C0E-A7B0-465235F2AB14}"/>
  <mergeCells count="135">
    <mergeCell ref="P1:S2"/>
    <mergeCell ref="T1:Y2"/>
    <mergeCell ref="Z1:AA2"/>
    <mergeCell ref="AB1:AD2"/>
    <mergeCell ref="H3:H4"/>
    <mergeCell ref="I3:I4"/>
    <mergeCell ref="J3:J4"/>
    <mergeCell ref="K3:K4"/>
    <mergeCell ref="L3:L4"/>
    <mergeCell ref="M3:M4"/>
    <mergeCell ref="AC3:AC4"/>
    <mergeCell ref="AD3:AD4"/>
    <mergeCell ref="P3:P4"/>
    <mergeCell ref="Q3:Q4"/>
    <mergeCell ref="R3:R4"/>
    <mergeCell ref="A2:B2"/>
    <mergeCell ref="A3:A4"/>
    <mergeCell ref="B3:B4"/>
    <mergeCell ref="D3:E4"/>
    <mergeCell ref="F3:F4"/>
    <mergeCell ref="G3:G4"/>
    <mergeCell ref="J1:L2"/>
    <mergeCell ref="M1:O2"/>
    <mergeCell ref="D15:E15"/>
    <mergeCell ref="A5:A15"/>
    <mergeCell ref="N3:N4"/>
    <mergeCell ref="O3:O4"/>
    <mergeCell ref="S5:S15"/>
    <mergeCell ref="Z5:AA5"/>
    <mergeCell ref="AD5:AD15"/>
    <mergeCell ref="Z6:AA6"/>
    <mergeCell ref="Z7:AA7"/>
    <mergeCell ref="Z8:AA8"/>
    <mergeCell ref="Z9:AA9"/>
    <mergeCell ref="T3:U3"/>
    <mergeCell ref="V3:V4"/>
    <mergeCell ref="W3:W4"/>
    <mergeCell ref="X3:Y3"/>
    <mergeCell ref="Z3:AA4"/>
    <mergeCell ref="AB3:AB4"/>
    <mergeCell ref="S3:S4"/>
    <mergeCell ref="AD16:AD26"/>
    <mergeCell ref="Z17:AA17"/>
    <mergeCell ref="Z18:AA18"/>
    <mergeCell ref="Z19:AA19"/>
    <mergeCell ref="Z20:AA20"/>
    <mergeCell ref="Z21:AA21"/>
    <mergeCell ref="Z22:AA22"/>
    <mergeCell ref="Z10:AA10"/>
    <mergeCell ref="Z11:AA11"/>
    <mergeCell ref="Z12:AA12"/>
    <mergeCell ref="Z13:AA13"/>
    <mergeCell ref="Z14:AA14"/>
    <mergeCell ref="Z23:AA23"/>
    <mergeCell ref="Z24:AA24"/>
    <mergeCell ref="Z25:AA25"/>
    <mergeCell ref="Z15:AA15"/>
    <mergeCell ref="D26:E26"/>
    <mergeCell ref="Z26:AA26"/>
    <mergeCell ref="A27:A37"/>
    <mergeCell ref="S27:S37"/>
    <mergeCell ref="Z27:AA27"/>
    <mergeCell ref="D37:E37"/>
    <mergeCell ref="Z37:AA37"/>
    <mergeCell ref="A16:A26"/>
    <mergeCell ref="S16:S26"/>
    <mergeCell ref="Z16:AA16"/>
    <mergeCell ref="AD38:AD48"/>
    <mergeCell ref="Z39:AA39"/>
    <mergeCell ref="Z40:AA40"/>
    <mergeCell ref="Z41:AA41"/>
    <mergeCell ref="Z42:AA42"/>
    <mergeCell ref="Z43:AA43"/>
    <mergeCell ref="Z44:AA44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Z45:AA45"/>
    <mergeCell ref="Z46:AA46"/>
    <mergeCell ref="Z47:AA47"/>
    <mergeCell ref="D48:E48"/>
    <mergeCell ref="Z48:AA48"/>
    <mergeCell ref="A49:A58"/>
    <mergeCell ref="S49:S58"/>
    <mergeCell ref="Z49:AA49"/>
    <mergeCell ref="D58:E58"/>
    <mergeCell ref="A38:A48"/>
    <mergeCell ref="S38:S48"/>
    <mergeCell ref="Z38:AA38"/>
    <mergeCell ref="AD59:AD69"/>
    <mergeCell ref="Z60:AA60"/>
    <mergeCell ref="Z61:AA61"/>
    <mergeCell ref="Z62:AA62"/>
    <mergeCell ref="Z63:AA63"/>
    <mergeCell ref="Z64:AA64"/>
    <mergeCell ref="Z65:AA65"/>
    <mergeCell ref="AD49:AD58"/>
    <mergeCell ref="Z50:AA50"/>
    <mergeCell ref="Z51:AA51"/>
    <mergeCell ref="Z52:AA52"/>
    <mergeCell ref="Z53:AA53"/>
    <mergeCell ref="Z54:AA54"/>
    <mergeCell ref="Z55:AA55"/>
    <mergeCell ref="Z56:AA56"/>
    <mergeCell ref="Z57:AA57"/>
    <mergeCell ref="Z58:AA58"/>
    <mergeCell ref="Z66:AA66"/>
    <mergeCell ref="Z67:AA67"/>
    <mergeCell ref="Z68:AA68"/>
    <mergeCell ref="D69:E69"/>
    <mergeCell ref="Z69:AA69"/>
    <mergeCell ref="A70:A79"/>
    <mergeCell ref="S70:S79"/>
    <mergeCell ref="Z70:AA70"/>
    <mergeCell ref="D79:E79"/>
    <mergeCell ref="A59:A69"/>
    <mergeCell ref="S59:S69"/>
    <mergeCell ref="Z59:AA59"/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</mergeCells>
  <phoneticPr fontId="2" type="noConversion"/>
  <conditionalFormatting sqref="P5:P79">
    <cfRule type="cellIs" dxfId="138" priority="1" operator="greaterThan">
      <formula>0</formula>
    </cfRule>
  </conditionalFormatting>
  <conditionalFormatting sqref="Q5:Q79 AB5:AB79">
    <cfRule type="cellIs" dxfId="137" priority="4" operator="lessThan">
      <formula>0</formula>
    </cfRule>
  </conditionalFormatting>
  <conditionalFormatting sqref="R5:R79 AC5:AC79">
    <cfRule type="cellIs" dxfId="136" priority="2" operator="greaterThan">
      <formula>1</formula>
    </cfRule>
    <cfRule type="cellIs" dxfId="135" priority="3" operator="lessThan">
      <formula>0.8</formula>
    </cfRule>
  </conditionalFormatting>
  <conditionalFormatting sqref="S5:S10 S37:S62 AD59:AD62 S69:S76 AD69:AD76">
    <cfRule type="cellIs" dxfId="134" priority="7" operator="lessThan">
      <formula>0.8</formula>
    </cfRule>
  </conditionalFormatting>
  <conditionalFormatting sqref="S19:S25 AD19:AD25">
    <cfRule type="cellIs" dxfId="133" priority="6" operator="lessThan">
      <formula>0.8</formula>
    </cfRule>
  </conditionalFormatting>
  <conditionalFormatting sqref="S79">
    <cfRule type="cellIs" dxfId="132" priority="5" operator="lessThan">
      <formula>0.8</formula>
    </cfRule>
  </conditionalFormatting>
  <conditionalFormatting sqref="AD5:AD8 S15:S16 AD15:AD16 AD49 AD79">
    <cfRule type="cellIs" dxfId="131" priority="9" operator="lessThan">
      <formula>0.8</formula>
    </cfRule>
  </conditionalFormatting>
  <conditionalFormatting sqref="AD27 S27:S28">
    <cfRule type="cellIs" dxfId="13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5319091-F246-48CF-B263-0546E062C01D}">
          <x14:formula1>
            <xm:f>廠價表!$C$2:$C$37</xm:f>
          </x14:formula1>
          <xm:sqref>D1:D1048576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74381-ED52-4268-9544-84800BB34EE7}">
  <sheetPr>
    <pageSetUpPr fitToPage="1"/>
  </sheetPr>
  <dimension ref="B1:O22"/>
  <sheetViews>
    <sheetView zoomScale="70" zoomScaleNormal="70" workbookViewId="0">
      <selection activeCell="S70" sqref="S70:S79"/>
    </sheetView>
  </sheetViews>
  <sheetFormatPr defaultColWidth="8.125" defaultRowHeight="15.75"/>
  <cols>
    <col min="1" max="1" width="8.125" style="203"/>
    <col min="2" max="2" width="7.125" style="203" customWidth="1"/>
    <col min="3" max="3" width="7.125" style="218" customWidth="1"/>
    <col min="4" max="17" width="14.125" style="203" customWidth="1"/>
    <col min="18" max="21" width="9.625" style="203" customWidth="1"/>
    <col min="22" max="22" width="11.125" style="203" customWidth="1"/>
    <col min="23" max="23" width="11.5" style="203" customWidth="1"/>
    <col min="24" max="16384" width="8.125" style="203"/>
  </cols>
  <sheetData>
    <row r="1" spans="2:15" ht="27.75" customHeight="1">
      <c r="B1" s="345" t="s">
        <v>73</v>
      </c>
      <c r="C1" s="345"/>
      <c r="D1" s="345"/>
      <c r="E1" s="345"/>
      <c r="F1" s="345"/>
      <c r="G1" s="345"/>
      <c r="H1" s="345"/>
      <c r="I1" s="345"/>
      <c r="J1" s="345"/>
      <c r="K1" s="345"/>
      <c r="L1" s="202"/>
      <c r="M1" s="202"/>
    </row>
    <row r="2" spans="2:15" ht="27.75" customHeight="1"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202"/>
      <c r="M2" s="202"/>
    </row>
    <row r="3" spans="2:15" ht="46.5" customHeight="1">
      <c r="B3" s="342" t="s">
        <v>74</v>
      </c>
      <c r="C3" s="342"/>
      <c r="D3" s="346">
        <v>45979</v>
      </c>
      <c r="E3" s="346"/>
      <c r="F3" s="204" t="s">
        <v>75</v>
      </c>
      <c r="G3" s="347">
        <f>'1118'!E1</f>
        <v>60055</v>
      </c>
      <c r="H3" s="347"/>
      <c r="I3" s="204" t="s">
        <v>76</v>
      </c>
      <c r="J3" s="348">
        <f>'1118'!G1</f>
        <v>2946057.3</v>
      </c>
      <c r="K3" s="348"/>
      <c r="L3" s="205"/>
    </row>
    <row r="4" spans="2:15" ht="24" customHeight="1">
      <c r="B4" s="342" t="s">
        <v>77</v>
      </c>
      <c r="C4" s="342"/>
      <c r="D4" s="343">
        <v>3</v>
      </c>
      <c r="E4" s="343"/>
      <c r="F4" s="344" t="s">
        <v>78</v>
      </c>
      <c r="G4" s="344"/>
      <c r="H4" s="344" t="s">
        <v>79</v>
      </c>
      <c r="I4" s="344"/>
      <c r="J4" s="343" t="s">
        <v>80</v>
      </c>
      <c r="K4" s="344"/>
      <c r="L4" s="206"/>
    </row>
    <row r="5" spans="2:15" ht="24" customHeight="1">
      <c r="B5" s="342" t="s">
        <v>81</v>
      </c>
      <c r="C5" s="342"/>
      <c r="D5" s="343" t="s">
        <v>82</v>
      </c>
      <c r="E5" s="343"/>
      <c r="F5" s="343" t="s">
        <v>83</v>
      </c>
      <c r="G5" s="343"/>
      <c r="H5" s="369" t="s">
        <v>62</v>
      </c>
      <c r="I5" s="369"/>
      <c r="J5" s="341" t="s">
        <v>84</v>
      </c>
      <c r="K5" s="341"/>
      <c r="L5" s="207"/>
    </row>
    <row r="6" spans="2:15" ht="39.6" customHeight="1">
      <c r="B6" s="342"/>
      <c r="C6" s="342"/>
      <c r="D6" s="342" t="s">
        <v>85</v>
      </c>
      <c r="E6" s="342"/>
      <c r="F6" s="356">
        <f>AVERAGE(D13:J13)</f>
        <v>112.45040594195393</v>
      </c>
      <c r="G6" s="356"/>
      <c r="H6" s="349">
        <f>AVERAGE(D13:H13)</f>
        <v>109.86035892521652</v>
      </c>
      <c r="I6" s="349"/>
      <c r="J6" s="349">
        <f>AVERAGE(I13:J13)</f>
        <v>125.40064102564102</v>
      </c>
      <c r="K6" s="349"/>
      <c r="L6" s="207"/>
    </row>
    <row r="7" spans="2:15" s="208" customFormat="1" ht="39.6" customHeight="1">
      <c r="B7" s="342"/>
      <c r="C7" s="342"/>
      <c r="D7" s="350" t="s">
        <v>86</v>
      </c>
      <c r="E7" s="350"/>
      <c r="F7" s="351">
        <f>AVERAGE(D14:J14)</f>
        <v>104.96395349516723</v>
      </c>
      <c r="G7" s="351"/>
      <c r="H7" s="352">
        <f>AVERAGE(D14:H14)</f>
        <v>104.47759439662983</v>
      </c>
      <c r="I7" s="352"/>
      <c r="J7" s="352">
        <f>AVERAGE(I14:J14)</f>
        <v>107.39574898785426</v>
      </c>
      <c r="K7" s="352"/>
    </row>
    <row r="8" spans="2:15" s="208" customFormat="1" ht="39.6" customHeight="1">
      <c r="B8" s="342"/>
      <c r="C8" s="342"/>
      <c r="D8" s="350" t="s">
        <v>87</v>
      </c>
      <c r="E8" s="350"/>
      <c r="F8" s="353">
        <f>AVERAGE(D15:J15)</f>
        <v>0.93380446947798246</v>
      </c>
      <c r="G8" s="353"/>
      <c r="H8" s="353">
        <f>AVERAGE(D15:H15)</f>
        <v>0.94928115284726311</v>
      </c>
      <c r="I8" s="353"/>
      <c r="J8" s="353">
        <f>AVERAGE(I15:J15)</f>
        <v>0.85642105263157908</v>
      </c>
      <c r="K8" s="353"/>
      <c r="L8" s="209" t="s">
        <v>88</v>
      </c>
    </row>
    <row r="9" spans="2:15" ht="25.5" customHeight="1">
      <c r="B9" s="207"/>
      <c r="C9" s="207"/>
      <c r="D9" s="207"/>
      <c r="E9" s="207"/>
      <c r="F9" s="207"/>
      <c r="G9" s="207"/>
      <c r="H9" s="210"/>
      <c r="I9" s="211"/>
      <c r="J9" s="211"/>
      <c r="K9" s="211"/>
      <c r="L9" s="211"/>
      <c r="M9" s="211"/>
      <c r="N9" s="211"/>
      <c r="O9" s="207"/>
    </row>
    <row r="10" spans="2:15" ht="30" customHeight="1">
      <c r="B10" s="354" t="s">
        <v>0</v>
      </c>
      <c r="C10" s="355"/>
      <c r="D10" s="357" t="s">
        <v>89</v>
      </c>
      <c r="E10" s="358"/>
      <c r="F10" s="358"/>
      <c r="G10" s="358"/>
      <c r="H10" s="358"/>
      <c r="I10" s="358"/>
      <c r="J10" s="359"/>
    </row>
    <row r="11" spans="2:15" ht="17.25" customHeight="1">
      <c r="B11" s="360" t="s">
        <v>90</v>
      </c>
      <c r="C11" s="361"/>
      <c r="D11" s="212">
        <v>1</v>
      </c>
      <c r="E11" s="212">
        <v>2</v>
      </c>
      <c r="F11" s="212">
        <v>3</v>
      </c>
      <c r="G11" s="212">
        <v>4</v>
      </c>
      <c r="H11" s="212">
        <v>5</v>
      </c>
      <c r="I11" s="212">
        <v>6</v>
      </c>
      <c r="J11" s="212">
        <v>7</v>
      </c>
    </row>
    <row r="12" spans="2:15" ht="33.950000000000003" customHeight="1">
      <c r="B12" s="362"/>
      <c r="C12" s="363"/>
      <c r="D12" s="213" t="s">
        <v>91</v>
      </c>
      <c r="E12" s="213" t="s">
        <v>92</v>
      </c>
      <c r="F12" s="213" t="s">
        <v>93</v>
      </c>
      <c r="G12" s="213" t="s">
        <v>94</v>
      </c>
      <c r="H12" s="213" t="s">
        <v>95</v>
      </c>
      <c r="I12" s="213" t="s">
        <v>96</v>
      </c>
      <c r="J12" s="213" t="s">
        <v>97</v>
      </c>
    </row>
    <row r="13" spans="2:15" ht="39.950000000000003" customHeight="1">
      <c r="B13" s="364" t="s">
        <v>1</v>
      </c>
      <c r="C13" s="214" t="s">
        <v>98</v>
      </c>
      <c r="D13" s="215">
        <f>VALUE('1118'!L15)</f>
        <v>129.8217366946779</v>
      </c>
      <c r="E13" s="215">
        <f>VALUE('1118'!L26)</f>
        <v>140.49465201465202</v>
      </c>
      <c r="F13" s="215">
        <f>VALUE('1118'!L37)</f>
        <v>92.250816993464056</v>
      </c>
      <c r="G13" s="215">
        <f>VALUE('1118'!L48)</f>
        <v>98.683333333333323</v>
      </c>
      <c r="H13" s="215">
        <f>VALUE('1118'!L58)</f>
        <v>88.051255589955289</v>
      </c>
      <c r="I13" s="215">
        <f>VALUE('1118'!L69)</f>
        <v>125.40064102564102</v>
      </c>
      <c r="J13" s="215"/>
    </row>
    <row r="14" spans="2:15" ht="39.950000000000003" customHeight="1">
      <c r="B14" s="365"/>
      <c r="C14" s="214" t="s">
        <v>99</v>
      </c>
      <c r="D14" s="215">
        <f>VALUE('1118'!O15)</f>
        <v>125.31588901817663</v>
      </c>
      <c r="E14" s="215">
        <f>VALUE('1118'!O26)</f>
        <v>133.31095023254466</v>
      </c>
      <c r="F14" s="215">
        <f>VALUE('1118'!O37)</f>
        <v>85.542212707868003</v>
      </c>
      <c r="G14" s="215">
        <f>VALUE('1118'!O48)</f>
        <v>97.310979954969667</v>
      </c>
      <c r="H14" s="215">
        <f>VALUE('1118'!O58)</f>
        <v>80.907940069590182</v>
      </c>
      <c r="I14" s="215">
        <f>VALUE('1118'!O69)</f>
        <v>107.39574898785426</v>
      </c>
      <c r="J14" s="215"/>
    </row>
    <row r="15" spans="2:15" ht="39.950000000000003" customHeight="1">
      <c r="B15" s="366"/>
      <c r="C15" s="212" t="s">
        <v>100</v>
      </c>
      <c r="D15" s="233">
        <f>D14/D13</f>
        <v>0.96529203975218447</v>
      </c>
      <c r="E15" s="233">
        <f t="shared" ref="E15:I15" si="0">E14/E13</f>
        <v>0.94886850368255882</v>
      </c>
      <c r="F15" s="233">
        <f t="shared" si="0"/>
        <v>0.9272786463661199</v>
      </c>
      <c r="G15" s="233">
        <f t="shared" si="0"/>
        <v>0.98609336215135635</v>
      </c>
      <c r="H15" s="233">
        <f t="shared" si="0"/>
        <v>0.91887321228409602</v>
      </c>
      <c r="I15" s="233">
        <f t="shared" si="0"/>
        <v>0.85642105263157908</v>
      </c>
      <c r="J15" s="233"/>
    </row>
    <row r="16" spans="2:15" ht="17.25" customHeight="1">
      <c r="B16" s="367" t="s">
        <v>101</v>
      </c>
      <c r="C16" s="212" t="s">
        <v>102</v>
      </c>
      <c r="D16" s="95">
        <f>'1118'!T5</f>
        <v>0.2902777777777778</v>
      </c>
      <c r="E16" s="95">
        <f>'1118'!T16</f>
        <v>0.29097222222222224</v>
      </c>
      <c r="F16" s="95">
        <f>'1118'!T27</f>
        <v>0.29166666666666669</v>
      </c>
      <c r="G16" s="95">
        <f>'1118'!T38</f>
        <v>0.33194444444444443</v>
      </c>
      <c r="H16" s="95">
        <f>'1118'!T49</f>
        <v>0.32916666666666666</v>
      </c>
      <c r="I16" s="95">
        <f>'1118'!T59</f>
        <v>0.29166666666666669</v>
      </c>
      <c r="J16" s="272"/>
    </row>
    <row r="17" spans="2:10" ht="17.25" customHeight="1">
      <c r="B17" s="368"/>
      <c r="C17" s="212" t="s">
        <v>103</v>
      </c>
      <c r="D17" s="79">
        <v>0.66319444444444442</v>
      </c>
      <c r="E17" s="79">
        <v>0.66319444444444442</v>
      </c>
      <c r="F17" s="41">
        <v>0.6069444444444444</v>
      </c>
      <c r="G17" s="59">
        <v>0.67222222222222228</v>
      </c>
      <c r="H17" s="79">
        <v>0.66666666666666663</v>
      </c>
      <c r="I17" s="20">
        <v>0.60069444444444442</v>
      </c>
      <c r="J17" s="20"/>
    </row>
    <row r="18" spans="2:10" ht="17.25" customHeight="1">
      <c r="B18" s="354" t="s">
        <v>104</v>
      </c>
      <c r="C18" s="355"/>
      <c r="D18" s="216">
        <f>VALUE('1118'!M15)</f>
        <v>15.4</v>
      </c>
      <c r="E18" s="216">
        <f>VALUE('1118'!M26)</f>
        <v>14</v>
      </c>
      <c r="F18" s="216">
        <f>VALUE('1118'!M37)</f>
        <v>17.75</v>
      </c>
      <c r="G18" s="216">
        <f>VALUE('1118'!M48)</f>
        <v>15</v>
      </c>
      <c r="H18" s="216">
        <f>VALUE('1118'!M58)</f>
        <v>18</v>
      </c>
      <c r="I18" s="216">
        <f>VALUE('1118'!M69)</f>
        <v>12.5</v>
      </c>
      <c r="J18" s="216"/>
    </row>
    <row r="19" spans="2:10" ht="17.25" customHeight="1">
      <c r="B19" s="354" t="s">
        <v>105</v>
      </c>
      <c r="C19" s="355"/>
      <c r="D19" s="213" t="s">
        <v>106</v>
      </c>
      <c r="E19" s="213" t="s">
        <v>106</v>
      </c>
      <c r="F19" s="213" t="s">
        <v>107</v>
      </c>
      <c r="G19" s="213" t="s">
        <v>107</v>
      </c>
      <c r="H19" s="213" t="s">
        <v>107</v>
      </c>
      <c r="I19" s="213" t="s">
        <v>108</v>
      </c>
      <c r="J19" s="213"/>
    </row>
    <row r="20" spans="2:10" ht="17.25" customHeight="1">
      <c r="B20" s="354" t="s">
        <v>110</v>
      </c>
      <c r="C20" s="355"/>
      <c r="D20" s="213"/>
      <c r="E20" s="213"/>
      <c r="F20" s="213"/>
      <c r="G20" s="217"/>
      <c r="H20" s="213" t="s">
        <v>109</v>
      </c>
      <c r="I20" s="213"/>
      <c r="J20" s="213"/>
    </row>
    <row r="21" spans="2:10" ht="17.25" customHeight="1">
      <c r="B21" s="354" t="s">
        <v>111</v>
      </c>
      <c r="C21" s="355"/>
      <c r="D21" s="273"/>
      <c r="E21" s="273"/>
      <c r="F21" s="273"/>
      <c r="G21" s="273"/>
      <c r="H21" s="273"/>
      <c r="I21" s="273"/>
      <c r="J21" s="273"/>
    </row>
    <row r="22" spans="2:10">
      <c r="B22" s="370"/>
      <c r="C22" s="370"/>
    </row>
  </sheetData>
  <mergeCells count="37">
    <mergeCell ref="J5:K5"/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J6:K6"/>
    <mergeCell ref="D7:E7"/>
    <mergeCell ref="F7:G7"/>
    <mergeCell ref="H7:I7"/>
    <mergeCell ref="J7:K7"/>
    <mergeCell ref="H8:I8"/>
    <mergeCell ref="B18:C18"/>
    <mergeCell ref="B19:C19"/>
    <mergeCell ref="D6:E6"/>
    <mergeCell ref="F6:G6"/>
    <mergeCell ref="H6:I6"/>
    <mergeCell ref="D10:J10"/>
    <mergeCell ref="B11:C12"/>
    <mergeCell ref="B13:B15"/>
    <mergeCell ref="B16:B17"/>
    <mergeCell ref="B10:C10"/>
    <mergeCell ref="J8:K8"/>
    <mergeCell ref="B5:C8"/>
    <mergeCell ref="D5:E5"/>
    <mergeCell ref="F5:G5"/>
    <mergeCell ref="H5:I5"/>
    <mergeCell ref="B20:C20"/>
    <mergeCell ref="B21:C21"/>
    <mergeCell ref="B22:C22"/>
    <mergeCell ref="D8:E8"/>
    <mergeCell ref="F8:G8"/>
  </mergeCells>
  <phoneticPr fontId="2" type="noConversion"/>
  <conditionalFormatting sqref="D15:J15">
    <cfRule type="cellIs" dxfId="129" priority="1" operator="lessThan">
      <formula>0.8</formula>
    </cfRule>
  </conditionalFormatting>
  <pageMargins left="0.7" right="0.7" top="0.75" bottom="0.75" header="0.3" footer="0.3"/>
  <pageSetup paperSize="8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A44A6-3DD5-4FD7-AC72-3026B9D047DB}">
  <sheetPr>
    <tabColor theme="9" tint="0.79998168889431442"/>
    <pageSetUpPr fitToPage="1"/>
  </sheetPr>
  <dimension ref="A1:AF92"/>
  <sheetViews>
    <sheetView zoomScale="69" zoomScaleNormal="69" workbookViewId="0">
      <pane xSplit="5" ySplit="4" topLeftCell="F47" activePane="bottomRight" state="frozen"/>
      <selection activeCell="S70" sqref="S70:S79"/>
      <selection pane="topRight" activeCell="S70" sqref="S70:S79"/>
      <selection pane="bottomLeft" activeCell="S70" sqref="S70:S79"/>
      <selection pane="bottomRight" activeCell="J79" sqref="J79:R79"/>
    </sheetView>
  </sheetViews>
  <sheetFormatPr defaultColWidth="7.875" defaultRowHeight="15.75"/>
  <cols>
    <col min="1" max="1" width="15" style="6" customWidth="1"/>
    <col min="2" max="2" width="12.875" style="6" customWidth="1"/>
    <col min="3" max="3" width="12.875" style="6" hidden="1" customWidth="1"/>
    <col min="4" max="4" width="26.125" style="6" bestFit="1" customWidth="1"/>
    <col min="5" max="5" width="15" style="6" customWidth="1"/>
    <col min="6" max="6" width="8.875" style="6" bestFit="1" customWidth="1"/>
    <col min="7" max="7" width="20.125" style="6" bestFit="1" customWidth="1"/>
    <col min="8" max="8" width="16.375" style="6" bestFit="1" customWidth="1"/>
    <col min="9" max="9" width="10.875" style="6" bestFit="1" customWidth="1"/>
    <col min="10" max="10" width="10.125" style="6" bestFit="1" customWidth="1"/>
    <col min="11" max="11" width="10.625" style="6" customWidth="1"/>
    <col min="12" max="12" width="14.5" style="6" customWidth="1"/>
    <col min="13" max="13" width="10.125" style="6" bestFit="1" customWidth="1"/>
    <col min="14" max="14" width="10.25" style="6" bestFit="1" customWidth="1"/>
    <col min="15" max="15" width="11.875" style="6" customWidth="1"/>
    <col min="16" max="17" width="9.125" style="6" bestFit="1" customWidth="1"/>
    <col min="18" max="18" width="9.125" style="6" customWidth="1"/>
    <col min="19" max="19" width="8.375" style="6" customWidth="1"/>
    <col min="20" max="21" width="9.375" style="6" bestFit="1" customWidth="1"/>
    <col min="22" max="22" width="10.625" style="6" customWidth="1"/>
    <col min="23" max="23" width="8.625" style="92" customWidth="1"/>
    <col min="24" max="24" width="7.5" style="6" bestFit="1" customWidth="1"/>
    <col min="25" max="25" width="6.875" style="6" customWidth="1"/>
    <col min="26" max="26" width="12.625" style="6" customWidth="1"/>
    <col min="27" max="27" width="33.375" style="6" customWidth="1"/>
    <col min="28" max="28" width="13.125" style="6" bestFit="1" customWidth="1"/>
    <col min="29" max="29" width="10.375" style="6" customWidth="1"/>
    <col min="30" max="30" width="9.125" style="6" customWidth="1"/>
    <col min="31" max="31" width="7.875" style="6"/>
    <col min="32" max="32" width="24.5" style="6" bestFit="1" customWidth="1"/>
    <col min="33" max="16384" width="7.875" style="6"/>
  </cols>
  <sheetData>
    <row r="1" spans="1:30" ht="21">
      <c r="A1" s="2" t="s">
        <v>72</v>
      </c>
      <c r="B1" s="2"/>
      <c r="C1" s="2"/>
      <c r="D1" s="176" t="s">
        <v>8</v>
      </c>
      <c r="E1" s="3">
        <f>SUM(G5:G79)</f>
        <v>60055</v>
      </c>
      <c r="F1" s="177" t="s">
        <v>9</v>
      </c>
      <c r="G1" s="4">
        <f>SUM(H5:H79)</f>
        <v>2946057.3</v>
      </c>
      <c r="H1" s="175" t="s">
        <v>10</v>
      </c>
      <c r="I1" s="5">
        <f>M15+M26+M48+M58+M69+M79+M37</f>
        <v>92.65</v>
      </c>
      <c r="J1" s="371" t="s">
        <v>11</v>
      </c>
      <c r="K1" s="371"/>
      <c r="L1" s="371"/>
      <c r="M1" s="371" t="s">
        <v>12</v>
      </c>
      <c r="N1" s="371"/>
      <c r="O1" s="371"/>
      <c r="P1" s="371" t="s">
        <v>13</v>
      </c>
      <c r="Q1" s="371"/>
      <c r="R1" s="371"/>
      <c r="S1" s="371"/>
      <c r="T1" s="371" t="s">
        <v>14</v>
      </c>
      <c r="U1" s="371"/>
      <c r="V1" s="371"/>
      <c r="W1" s="371"/>
      <c r="X1" s="371"/>
      <c r="Y1" s="371"/>
      <c r="Z1" s="371" t="s">
        <v>15</v>
      </c>
      <c r="AA1" s="371"/>
      <c r="AB1" s="371" t="s">
        <v>16</v>
      </c>
      <c r="AC1" s="372"/>
      <c r="AD1" s="372"/>
    </row>
    <row r="2" spans="1:30" ht="18.75">
      <c r="A2" s="409" t="s">
        <v>205</v>
      </c>
      <c r="B2" s="409"/>
      <c r="C2" s="176"/>
      <c r="D2" s="176" t="s">
        <v>1</v>
      </c>
      <c r="E2" s="7">
        <f>AVERAGE(O15,O26,O37,O48,O58,O69,O79)</f>
        <v>104.96395349516723</v>
      </c>
      <c r="F2" s="8" t="s">
        <v>2</v>
      </c>
      <c r="G2" s="9">
        <f>G1/E1</f>
        <v>49.055987011905749</v>
      </c>
      <c r="H2" s="175" t="s">
        <v>17</v>
      </c>
      <c r="I2" s="175">
        <f>COUNT(I5:I79)</f>
        <v>0</v>
      </c>
      <c r="J2" s="371"/>
      <c r="K2" s="371"/>
      <c r="L2" s="371"/>
      <c r="M2" s="371"/>
      <c r="N2" s="371"/>
      <c r="O2" s="371"/>
      <c r="P2" s="371"/>
      <c r="Q2" s="371"/>
      <c r="R2" s="371"/>
      <c r="S2" s="371"/>
      <c r="T2" s="371"/>
      <c r="U2" s="371"/>
      <c r="V2" s="371"/>
      <c r="W2" s="371"/>
      <c r="X2" s="371"/>
      <c r="Y2" s="371"/>
      <c r="Z2" s="371"/>
      <c r="AA2" s="371"/>
      <c r="AB2" s="372"/>
      <c r="AC2" s="372"/>
      <c r="AD2" s="372"/>
    </row>
    <row r="3" spans="1:30">
      <c r="A3" s="405" t="s">
        <v>18</v>
      </c>
      <c r="B3" s="405" t="s">
        <v>19</v>
      </c>
      <c r="C3" s="177"/>
      <c r="D3" s="405" t="s">
        <v>20</v>
      </c>
      <c r="E3" s="405"/>
      <c r="F3" s="379" t="s">
        <v>21</v>
      </c>
      <c r="G3" s="389" t="s">
        <v>22</v>
      </c>
      <c r="H3" s="379" t="s">
        <v>23</v>
      </c>
      <c r="I3" s="381" t="s">
        <v>24</v>
      </c>
      <c r="J3" s="383" t="s">
        <v>25</v>
      </c>
      <c r="K3" s="385" t="s">
        <v>26</v>
      </c>
      <c r="L3" s="387" t="s">
        <v>1</v>
      </c>
      <c r="M3" s="389" t="s">
        <v>25</v>
      </c>
      <c r="N3" s="385" t="s">
        <v>26</v>
      </c>
      <c r="O3" s="387" t="s">
        <v>1</v>
      </c>
      <c r="P3" s="383" t="s">
        <v>25</v>
      </c>
      <c r="Q3" s="387" t="s">
        <v>1</v>
      </c>
      <c r="R3" s="392" t="s">
        <v>27</v>
      </c>
      <c r="S3" s="394" t="s">
        <v>28</v>
      </c>
      <c r="T3" s="389" t="s">
        <v>4</v>
      </c>
      <c r="U3" s="389"/>
      <c r="V3" s="408" t="s">
        <v>29</v>
      </c>
      <c r="W3" s="381" t="s">
        <v>30</v>
      </c>
      <c r="X3" s="389" t="s">
        <v>31</v>
      </c>
      <c r="Y3" s="389"/>
      <c r="Z3" s="415" t="s">
        <v>71</v>
      </c>
      <c r="AA3" s="416"/>
      <c r="AB3" s="385" t="s">
        <v>26</v>
      </c>
      <c r="AC3" s="392" t="s">
        <v>27</v>
      </c>
      <c r="AD3" s="394" t="s">
        <v>28</v>
      </c>
    </row>
    <row r="4" spans="1:30" ht="16.5" thickBot="1">
      <c r="A4" s="379"/>
      <c r="B4" s="379"/>
      <c r="C4" s="178"/>
      <c r="D4" s="379"/>
      <c r="E4" s="379"/>
      <c r="F4" s="380"/>
      <c r="G4" s="390"/>
      <c r="H4" s="380"/>
      <c r="I4" s="382"/>
      <c r="J4" s="384"/>
      <c r="K4" s="386"/>
      <c r="L4" s="388"/>
      <c r="M4" s="390"/>
      <c r="N4" s="386"/>
      <c r="O4" s="388"/>
      <c r="P4" s="384"/>
      <c r="Q4" s="388"/>
      <c r="R4" s="393"/>
      <c r="S4" s="395"/>
      <c r="T4" s="179" t="s">
        <v>5</v>
      </c>
      <c r="U4" s="179" t="s">
        <v>6</v>
      </c>
      <c r="V4" s="390"/>
      <c r="W4" s="382"/>
      <c r="X4" s="178" t="s">
        <v>32</v>
      </c>
      <c r="Y4" s="178" t="s">
        <v>33</v>
      </c>
      <c r="Z4" s="417"/>
      <c r="AA4" s="417"/>
      <c r="AB4" s="386"/>
      <c r="AC4" s="393"/>
      <c r="AD4" s="395"/>
    </row>
    <row r="5" spans="1:30" ht="15" customHeight="1">
      <c r="A5" s="411" t="s">
        <v>66</v>
      </c>
      <c r="B5" s="199" t="str">
        <f>VLOOKUP(D5,廠價表!$C$1:$E$39,2,0)</f>
        <v>義大利麵</v>
      </c>
      <c r="C5" s="102"/>
      <c r="D5" s="103" t="s">
        <v>206</v>
      </c>
      <c r="E5" s="104"/>
      <c r="F5" s="199">
        <f>VLOOKUP(D5,廠價表!$C$1:$E$39,3,0)</f>
        <v>56.43</v>
      </c>
      <c r="G5" s="105">
        <v>3075</v>
      </c>
      <c r="H5" s="106">
        <f>F5*G5</f>
        <v>173522.25</v>
      </c>
      <c r="I5" s="107"/>
      <c r="J5" s="108">
        <v>15</v>
      </c>
      <c r="K5" s="105">
        <f>VLOOKUP(D5,產線配置圖!$A$2:$C$38,3,0)</f>
        <v>1636</v>
      </c>
      <c r="L5" s="109">
        <f>K5/J5</f>
        <v>109.06666666666666</v>
      </c>
      <c r="M5" s="110">
        <v>17</v>
      </c>
      <c r="N5" s="105">
        <f t="shared" ref="N5:N8" si="0">G5/W5*60</f>
        <v>1757.1428571428582</v>
      </c>
      <c r="O5" s="109">
        <f t="shared" ref="O5:O8" si="1">N5/M5</f>
        <v>103.36134453781519</v>
      </c>
      <c r="P5" s="111">
        <f t="shared" ref="P5:P8" si="2">M5-J5</f>
        <v>2</v>
      </c>
      <c r="Q5" s="112">
        <f t="shared" ref="Q5:Q8" si="3">O5-L5</f>
        <v>-5.7053221288514777</v>
      </c>
      <c r="R5" s="184">
        <f t="shared" ref="R5:R8" si="4">O5/L5</f>
        <v>0.94768958928314662</v>
      </c>
      <c r="S5" s="396">
        <f>R15</f>
        <v>0.96529203975218447</v>
      </c>
      <c r="T5" s="94">
        <v>0.2902777777777778</v>
      </c>
      <c r="U5" s="94">
        <v>0.36319444444444443</v>
      </c>
      <c r="V5" s="194"/>
      <c r="W5" s="107">
        <f t="shared" ref="W5:W14" si="5">(U5-T5)*24*60</f>
        <v>104.99999999999994</v>
      </c>
      <c r="X5" s="188"/>
      <c r="Y5" s="188"/>
      <c r="Z5" s="400"/>
      <c r="AA5" s="400"/>
      <c r="AB5" s="111">
        <f>N5-K5</f>
        <v>121.14285714285825</v>
      </c>
      <c r="AC5" s="184">
        <f>N5/K5</f>
        <v>1.0740482011875663</v>
      </c>
      <c r="AD5" s="401">
        <f>AC15</f>
        <v>0.98646817728034009</v>
      </c>
    </row>
    <row r="6" spans="1:30" ht="15" customHeight="1">
      <c r="A6" s="412"/>
      <c r="B6" s="56" t="str">
        <f>VLOOKUP(D6,廠價表!$C$1:$E$39,2,0)</f>
        <v>義大利麵</v>
      </c>
      <c r="C6" s="10"/>
      <c r="D6" s="11" t="s">
        <v>139</v>
      </c>
      <c r="E6" s="86"/>
      <c r="F6" s="56">
        <f>VLOOKUP(D6,廠價表!$C$1:$E$39,3,0)</f>
        <v>57.21</v>
      </c>
      <c r="G6" s="25">
        <v>1903</v>
      </c>
      <c r="H6" s="15">
        <f t="shared" ref="H6:H14" si="6">F6*G6</f>
        <v>108870.63</v>
      </c>
      <c r="I6" s="182"/>
      <c r="J6" s="16">
        <v>17</v>
      </c>
      <c r="K6" s="14">
        <f>VLOOKUP(D6,產線配置圖!$A$2:$C$38,3,0)</f>
        <v>1895</v>
      </c>
      <c r="L6" s="17">
        <f>K6/J6</f>
        <v>111.47058823529412</v>
      </c>
      <c r="M6" s="180">
        <v>17</v>
      </c>
      <c r="N6" s="14">
        <f t="shared" si="0"/>
        <v>1812.3809523809543</v>
      </c>
      <c r="O6" s="17">
        <f t="shared" si="1"/>
        <v>106.6106442577032</v>
      </c>
      <c r="P6" s="18">
        <f t="shared" si="2"/>
        <v>0</v>
      </c>
      <c r="Q6" s="19">
        <f t="shared" si="3"/>
        <v>-4.8599439775909161</v>
      </c>
      <c r="R6" s="185">
        <f t="shared" si="4"/>
        <v>0.95640155798467252</v>
      </c>
      <c r="S6" s="397"/>
      <c r="T6" s="95">
        <v>0.37013888888888891</v>
      </c>
      <c r="U6" s="95">
        <v>0.41388888888888886</v>
      </c>
      <c r="V6" s="177">
        <f>(T6-U5)*24*60</f>
        <v>10.000000000000044</v>
      </c>
      <c r="W6" s="182">
        <f t="shared" si="5"/>
        <v>62.999999999999936</v>
      </c>
      <c r="X6" s="22"/>
      <c r="Y6" s="22"/>
      <c r="Z6" s="381"/>
      <c r="AA6" s="381"/>
      <c r="AB6" s="18">
        <f>N6-K6</f>
        <v>-82.619047619045659</v>
      </c>
      <c r="AC6" s="185">
        <f>N6/K6</f>
        <v>0.95640155798467252</v>
      </c>
      <c r="AD6" s="402"/>
    </row>
    <row r="7" spans="1:30" ht="15" customHeight="1">
      <c r="A7" s="412"/>
      <c r="B7" s="56" t="str">
        <f>VLOOKUP(D7,廠價表!$C$1:$E$39,2,0)</f>
        <v>義大利麵</v>
      </c>
      <c r="C7" s="10"/>
      <c r="D7" s="11" t="s">
        <v>141</v>
      </c>
      <c r="E7" s="86"/>
      <c r="F7" s="56">
        <f>VLOOKUP(D7,廠價表!$C$1:$E$39,3,0)</f>
        <v>49.14</v>
      </c>
      <c r="G7" s="25">
        <v>2770</v>
      </c>
      <c r="H7" s="15">
        <f t="shared" si="6"/>
        <v>136117.79999999999</v>
      </c>
      <c r="I7" s="182"/>
      <c r="J7" s="16">
        <v>14</v>
      </c>
      <c r="K7" s="14">
        <f>VLOOKUP(D7,產線配置圖!$A$2:$C$38,3,0)</f>
        <v>2000</v>
      </c>
      <c r="L7" s="17">
        <f>K7/J7</f>
        <v>142.85714285714286</v>
      </c>
      <c r="M7" s="180">
        <v>14</v>
      </c>
      <c r="N7" s="14">
        <f t="shared" si="0"/>
        <v>1932.5581395348834</v>
      </c>
      <c r="O7" s="17">
        <f t="shared" si="1"/>
        <v>138.03986710963451</v>
      </c>
      <c r="P7" s="18">
        <f t="shared" si="2"/>
        <v>0</v>
      </c>
      <c r="Q7" s="19">
        <f t="shared" si="3"/>
        <v>-4.8172757475083472</v>
      </c>
      <c r="R7" s="185">
        <f t="shared" si="4"/>
        <v>0.9662790697674416</v>
      </c>
      <c r="S7" s="397"/>
      <c r="T7" s="95">
        <v>0.41944444444444445</v>
      </c>
      <c r="U7" s="95">
        <v>0.47916666666666669</v>
      </c>
      <c r="V7" s="177">
        <f>(T7-U6)*24*60</f>
        <v>8.0000000000000515</v>
      </c>
      <c r="W7" s="182">
        <f t="shared" si="5"/>
        <v>86.000000000000014</v>
      </c>
      <c r="X7" s="22"/>
      <c r="Y7" s="22"/>
      <c r="Z7" s="405"/>
      <c r="AA7" s="405"/>
      <c r="AB7" s="18">
        <f>N7-K7</f>
        <v>-67.441860465116633</v>
      </c>
      <c r="AC7" s="185">
        <f>N7/K7</f>
        <v>0.96627906976744171</v>
      </c>
      <c r="AD7" s="402"/>
    </row>
    <row r="8" spans="1:30" ht="15" customHeight="1">
      <c r="A8" s="412"/>
      <c r="B8" s="56" t="str">
        <f>VLOOKUP(D8,廠價表!$C$1:$E$39,2,0)</f>
        <v>義大利麵</v>
      </c>
      <c r="C8" s="10"/>
      <c r="D8" s="11" t="s">
        <v>141</v>
      </c>
      <c r="E8" s="86"/>
      <c r="F8" s="56">
        <f>VLOOKUP(D8,廠價表!$C$1:$E$39,3,0)</f>
        <v>49.14</v>
      </c>
      <c r="G8" s="25">
        <v>3048</v>
      </c>
      <c r="H8" s="15">
        <f t="shared" si="6"/>
        <v>149778.72</v>
      </c>
      <c r="I8" s="182"/>
      <c r="J8" s="16">
        <v>14</v>
      </c>
      <c r="K8" s="14">
        <f>VLOOKUP(D8,產線配置圖!$A$2:$C$38,3,0)</f>
        <v>2000</v>
      </c>
      <c r="L8" s="17">
        <f t="shared" ref="L8" si="7">K8/J8</f>
        <v>142.85714285714286</v>
      </c>
      <c r="M8" s="180">
        <v>14</v>
      </c>
      <c r="N8" s="14">
        <f t="shared" si="0"/>
        <v>1925.0526315789475</v>
      </c>
      <c r="O8" s="17">
        <f t="shared" si="1"/>
        <v>137.50375939849624</v>
      </c>
      <c r="P8" s="18">
        <f t="shared" si="2"/>
        <v>0</v>
      </c>
      <c r="Q8" s="19">
        <f t="shared" si="3"/>
        <v>-5.3533834586466185</v>
      </c>
      <c r="R8" s="185">
        <f t="shared" si="4"/>
        <v>0.96252631578947367</v>
      </c>
      <c r="S8" s="397"/>
      <c r="T8" s="20">
        <v>0.54027777777777775</v>
      </c>
      <c r="U8" s="20">
        <v>0.60624999999999996</v>
      </c>
      <c r="V8" s="177">
        <f>(T8-U7)*24*60</f>
        <v>87.999999999999929</v>
      </c>
      <c r="W8" s="182">
        <f t="shared" si="5"/>
        <v>94.999999999999986</v>
      </c>
      <c r="X8" s="22">
        <v>0.48958333333333331</v>
      </c>
      <c r="Y8" s="22">
        <v>0.53125</v>
      </c>
      <c r="Z8" s="406"/>
      <c r="AA8" s="406"/>
      <c r="AB8" s="18">
        <f>N8-K8</f>
        <v>-74.947368421052488</v>
      </c>
      <c r="AC8" s="185">
        <f>N8/K8</f>
        <v>0.96252631578947379</v>
      </c>
      <c r="AD8" s="402"/>
    </row>
    <row r="9" spans="1:30" ht="15" customHeight="1">
      <c r="A9" s="413"/>
      <c r="B9" s="56" t="s">
        <v>134</v>
      </c>
      <c r="C9" s="10"/>
      <c r="D9" s="11" t="s">
        <v>206</v>
      </c>
      <c r="E9" s="86"/>
      <c r="F9" s="56">
        <v>49.14</v>
      </c>
      <c r="G9" s="25">
        <v>1899</v>
      </c>
      <c r="H9" s="15">
        <f t="shared" si="6"/>
        <v>93316.86</v>
      </c>
      <c r="I9" s="182"/>
      <c r="J9" s="16">
        <v>15</v>
      </c>
      <c r="K9" s="14">
        <v>2000</v>
      </c>
      <c r="L9" s="17">
        <v>142.85714285714286</v>
      </c>
      <c r="M9" s="180">
        <v>15</v>
      </c>
      <c r="N9" s="14">
        <v>1974.8936170212771</v>
      </c>
      <c r="O9" s="17">
        <v>141.06382978723408</v>
      </c>
      <c r="P9" s="18">
        <v>0</v>
      </c>
      <c r="Q9" s="19">
        <v>-1.7933130699087769</v>
      </c>
      <c r="R9" s="185">
        <v>0.9874468085106386</v>
      </c>
      <c r="S9" s="398"/>
      <c r="T9" s="79">
        <v>0.6166666666666667</v>
      </c>
      <c r="U9" s="79">
        <v>0.66319444444444442</v>
      </c>
      <c r="V9" s="177">
        <f>(T9-U8)*24*60</f>
        <v>15.000000000000107</v>
      </c>
      <c r="W9" s="24">
        <f t="shared" si="5"/>
        <v>66.999999999999915</v>
      </c>
      <c r="X9" s="22"/>
      <c r="Y9" s="263"/>
      <c r="Z9" s="407"/>
      <c r="AA9" s="407"/>
      <c r="AB9" s="18"/>
      <c r="AC9" s="185"/>
      <c r="AD9" s="403"/>
    </row>
    <row r="10" spans="1:30" ht="15" customHeight="1">
      <c r="A10" s="413"/>
      <c r="B10" s="56"/>
      <c r="C10" s="23"/>
      <c r="D10" s="11"/>
      <c r="E10" s="12"/>
      <c r="F10" s="56"/>
      <c r="G10" s="25"/>
      <c r="H10" s="15"/>
      <c r="I10" s="182"/>
      <c r="J10" s="16"/>
      <c r="K10" s="14"/>
      <c r="L10" s="17"/>
      <c r="M10" s="180"/>
      <c r="N10" s="14"/>
      <c r="O10" s="17"/>
      <c r="P10" s="18"/>
      <c r="Q10" s="19"/>
      <c r="R10" s="185"/>
      <c r="S10" s="398"/>
      <c r="T10" s="20"/>
      <c r="U10" s="20"/>
      <c r="V10" s="177"/>
      <c r="W10" s="182">
        <f t="shared" si="5"/>
        <v>0</v>
      </c>
      <c r="X10" s="22"/>
      <c r="Y10" s="263"/>
      <c r="Z10" s="419"/>
      <c r="AA10" s="418"/>
      <c r="AB10" s="264"/>
      <c r="AC10" s="185"/>
      <c r="AD10" s="403"/>
    </row>
    <row r="11" spans="1:30" ht="15" customHeight="1">
      <c r="A11" s="413"/>
      <c r="B11" s="56"/>
      <c r="C11" s="183"/>
      <c r="D11" s="11"/>
      <c r="E11" s="12"/>
      <c r="F11" s="56"/>
      <c r="G11" s="25"/>
      <c r="H11" s="15">
        <f t="shared" si="6"/>
        <v>0</v>
      </c>
      <c r="I11" s="182"/>
      <c r="J11" s="16"/>
      <c r="K11" s="14"/>
      <c r="L11" s="17"/>
      <c r="M11" s="180"/>
      <c r="N11" s="14"/>
      <c r="O11" s="17"/>
      <c r="P11" s="18"/>
      <c r="Q11" s="19"/>
      <c r="R11" s="185"/>
      <c r="S11" s="398"/>
      <c r="T11" s="20"/>
      <c r="U11" s="20"/>
      <c r="V11" s="177"/>
      <c r="W11" s="24">
        <f t="shared" si="5"/>
        <v>0</v>
      </c>
      <c r="X11" s="22"/>
      <c r="Y11" s="263"/>
      <c r="Z11" s="419"/>
      <c r="AA11" s="418"/>
      <c r="AB11" s="264"/>
      <c r="AC11" s="185"/>
      <c r="AD11" s="403"/>
    </row>
    <row r="12" spans="1:30" ht="15" customHeight="1">
      <c r="A12" s="413"/>
      <c r="B12" s="26"/>
      <c r="C12" s="27"/>
      <c r="D12" s="28"/>
      <c r="E12" s="29"/>
      <c r="F12" s="13"/>
      <c r="G12" s="30"/>
      <c r="H12" s="15">
        <f t="shared" si="6"/>
        <v>0</v>
      </c>
      <c r="I12" s="178"/>
      <c r="J12" s="31"/>
      <c r="K12" s="30"/>
      <c r="L12" s="17"/>
      <c r="M12" s="181"/>
      <c r="N12" s="25"/>
      <c r="O12" s="17"/>
      <c r="P12" s="18"/>
      <c r="Q12" s="19"/>
      <c r="R12" s="185"/>
      <c r="S12" s="398"/>
      <c r="T12" s="32"/>
      <c r="U12" s="32"/>
      <c r="V12" s="178"/>
      <c r="W12" s="24">
        <f t="shared" si="5"/>
        <v>0</v>
      </c>
      <c r="X12" s="33"/>
      <c r="Y12" s="33"/>
      <c r="Z12" s="407"/>
      <c r="AA12" s="407"/>
      <c r="AB12" s="34"/>
      <c r="AC12" s="186"/>
      <c r="AD12" s="403"/>
    </row>
    <row r="13" spans="1:30" ht="15" customHeight="1">
      <c r="A13" s="413"/>
      <c r="B13" s="56"/>
      <c r="C13" s="10"/>
      <c r="D13" s="11"/>
      <c r="E13" s="86"/>
      <c r="F13" s="56"/>
      <c r="G13" s="25"/>
      <c r="H13" s="15"/>
      <c r="I13" s="182"/>
      <c r="J13" s="16"/>
      <c r="K13" s="14"/>
      <c r="L13" s="17"/>
      <c r="M13" s="180"/>
      <c r="N13" s="14"/>
      <c r="O13" s="17"/>
      <c r="P13" s="18"/>
      <c r="Q13" s="19"/>
      <c r="R13" s="185"/>
      <c r="S13" s="479"/>
      <c r="T13" s="309"/>
      <c r="U13" s="309"/>
      <c r="V13" s="26"/>
      <c r="W13" s="24">
        <f t="shared" si="5"/>
        <v>0</v>
      </c>
      <c r="X13" s="33"/>
      <c r="Y13" s="33"/>
      <c r="Z13" s="419"/>
      <c r="AA13" s="418"/>
      <c r="AB13" s="34"/>
      <c r="AC13" s="186"/>
      <c r="AD13" s="403"/>
    </row>
    <row r="14" spans="1:30" ht="15" customHeight="1">
      <c r="A14" s="413"/>
      <c r="B14" s="26"/>
      <c r="C14" s="27"/>
      <c r="D14" s="28"/>
      <c r="E14" s="29"/>
      <c r="F14" s="13"/>
      <c r="G14" s="30"/>
      <c r="H14" s="15">
        <f t="shared" si="6"/>
        <v>0</v>
      </c>
      <c r="I14" s="178"/>
      <c r="J14" s="31"/>
      <c r="K14" s="30"/>
      <c r="L14" s="17"/>
      <c r="M14" s="181"/>
      <c r="N14" s="25"/>
      <c r="O14" s="17"/>
      <c r="P14" s="18"/>
      <c r="Q14" s="19"/>
      <c r="R14" s="185"/>
      <c r="S14" s="398"/>
      <c r="T14" s="308"/>
      <c r="U14" s="308"/>
      <c r="V14" s="178"/>
      <c r="W14" s="24">
        <f t="shared" si="5"/>
        <v>0</v>
      </c>
      <c r="X14" s="33"/>
      <c r="Y14" s="33"/>
      <c r="Z14" s="419"/>
      <c r="AA14" s="418"/>
      <c r="AB14" s="34"/>
      <c r="AC14" s="186"/>
      <c r="AD14" s="403"/>
    </row>
    <row r="15" spans="1:30" ht="15" customHeight="1" thickBot="1">
      <c r="A15" s="414"/>
      <c r="B15" s="113"/>
      <c r="C15" s="113" t="s">
        <v>34</v>
      </c>
      <c r="D15" s="410" t="s">
        <v>7</v>
      </c>
      <c r="E15" s="410"/>
      <c r="F15" s="114"/>
      <c r="G15" s="115"/>
      <c r="H15" s="116"/>
      <c r="I15" s="117"/>
      <c r="J15" s="118">
        <f t="shared" ref="J15:O15" si="8">AVERAGE(J5:J14)</f>
        <v>15</v>
      </c>
      <c r="K15" s="118">
        <f t="shared" si="8"/>
        <v>1906.2</v>
      </c>
      <c r="L15" s="115">
        <f t="shared" si="8"/>
        <v>129.8217366946779</v>
      </c>
      <c r="M15" s="118">
        <f t="shared" si="8"/>
        <v>15.4</v>
      </c>
      <c r="N15" s="118">
        <f t="shared" si="8"/>
        <v>1880.4056395317843</v>
      </c>
      <c r="O15" s="115">
        <f t="shared" si="8"/>
        <v>125.31588901817663</v>
      </c>
      <c r="P15" s="119">
        <f t="shared" ref="P15:P16" si="9">M15-J15</f>
        <v>0.40000000000000036</v>
      </c>
      <c r="Q15" s="120">
        <f t="shared" ref="Q15:Q16" si="10">O15-L15</f>
        <v>-4.5058476765012614</v>
      </c>
      <c r="R15" s="121">
        <f t="shared" ref="R15:R16" si="11">O15/L15</f>
        <v>0.96529203975218447</v>
      </c>
      <c r="S15" s="399"/>
      <c r="T15" s="122"/>
      <c r="U15" s="122"/>
      <c r="V15" s="195"/>
      <c r="W15" s="123"/>
      <c r="X15" s="124"/>
      <c r="Y15" s="124"/>
      <c r="Z15" s="391"/>
      <c r="AA15" s="391"/>
      <c r="AB15" s="119">
        <f>N15-K15</f>
        <v>-25.7943604682157</v>
      </c>
      <c r="AC15" s="187">
        <f>N15/K15</f>
        <v>0.98646817728034009</v>
      </c>
      <c r="AD15" s="404"/>
    </row>
    <row r="16" spans="1:30" ht="15" customHeight="1">
      <c r="A16" s="431" t="s">
        <v>67</v>
      </c>
      <c r="B16" s="199" t="s">
        <v>134</v>
      </c>
      <c r="C16" s="102"/>
      <c r="D16" s="103" t="s">
        <v>206</v>
      </c>
      <c r="E16" s="104"/>
      <c r="F16" s="199">
        <f>VLOOKUP(D16,廠價表!$C$1:$E$39,3,0)</f>
        <v>56.43</v>
      </c>
      <c r="G16" s="265">
        <v>2800</v>
      </c>
      <c r="H16" s="125">
        <f t="shared" ref="H16:H25" si="12">F16*G16</f>
        <v>158004</v>
      </c>
      <c r="I16" s="126"/>
      <c r="J16" s="108">
        <v>15</v>
      </c>
      <c r="K16" s="105">
        <f>VLOOKUP(D16,產線配置圖!$A$2:$C$38,3,0)</f>
        <v>1636</v>
      </c>
      <c r="L16" s="109">
        <f>K16/J16</f>
        <v>109.06666666666666</v>
      </c>
      <c r="M16" s="267">
        <v>17</v>
      </c>
      <c r="N16" s="127">
        <f>G16/W16*60</f>
        <v>1787.2340425531916</v>
      </c>
      <c r="O16" s="128">
        <f>N16/M16</f>
        <v>105.1314142678348</v>
      </c>
      <c r="P16" s="129">
        <f t="shared" si="9"/>
        <v>2</v>
      </c>
      <c r="Q16" s="130">
        <f t="shared" si="10"/>
        <v>-3.9352523988318637</v>
      </c>
      <c r="R16" s="189">
        <f t="shared" si="11"/>
        <v>0.96391883497403552</v>
      </c>
      <c r="S16" s="424">
        <f>R26</f>
        <v>0.94886850368255882</v>
      </c>
      <c r="T16" s="268">
        <v>0.29097222222222224</v>
      </c>
      <c r="U16" s="268">
        <v>0.35625000000000001</v>
      </c>
      <c r="V16" s="126"/>
      <c r="W16" s="131">
        <f t="shared" ref="W16:W68" si="13">(U16-T16)*24*60</f>
        <v>93.999999999999986</v>
      </c>
      <c r="X16" s="128"/>
      <c r="Y16" s="128"/>
      <c r="Z16" s="400"/>
      <c r="AA16" s="400"/>
      <c r="AB16" s="111">
        <f>N16-K16</f>
        <v>151.23404255319156</v>
      </c>
      <c r="AC16" s="184">
        <f>N16/K16</f>
        <v>1.0924413463039069</v>
      </c>
      <c r="AD16" s="401">
        <f>AC26</f>
        <v>0.95426293124799999</v>
      </c>
    </row>
    <row r="17" spans="1:30" ht="15" customHeight="1">
      <c r="A17" s="432"/>
      <c r="B17" s="56" t="s">
        <v>62</v>
      </c>
      <c r="C17" s="10"/>
      <c r="D17" s="11" t="s">
        <v>153</v>
      </c>
      <c r="E17" s="86"/>
      <c r="F17" s="56">
        <f>VLOOKUP(D17,廠價表!$C$1:$E$39,3,0)</f>
        <v>50.67</v>
      </c>
      <c r="G17" s="96">
        <v>2913</v>
      </c>
      <c r="H17" s="15">
        <f>F17*G17</f>
        <v>147601.71</v>
      </c>
      <c r="I17" s="177"/>
      <c r="J17" s="16">
        <v>14</v>
      </c>
      <c r="K17" s="14">
        <f>VLOOKUP(D17,產線配置圖!$A$2:$C$38,3,0)</f>
        <v>2000</v>
      </c>
      <c r="L17" s="17">
        <f>K17/J17</f>
        <v>142.85714285714286</v>
      </c>
      <c r="M17" s="37">
        <v>14</v>
      </c>
      <c r="N17" s="36">
        <f>G17/W17*60</f>
        <v>1920.6593406593408</v>
      </c>
      <c r="O17" s="38">
        <f>N17/M17</f>
        <v>137.18995290423862</v>
      </c>
      <c r="P17" s="39">
        <f>M17-J17</f>
        <v>0</v>
      </c>
      <c r="Q17" s="40">
        <f>O17-L17</f>
        <v>-5.6671899529042378</v>
      </c>
      <c r="R17" s="190">
        <f>O17/L17</f>
        <v>0.96032967032967032</v>
      </c>
      <c r="S17" s="425"/>
      <c r="T17" s="41">
        <v>0.36458333333333331</v>
      </c>
      <c r="U17" s="41">
        <v>0.42777777777777776</v>
      </c>
      <c r="V17" s="177">
        <f>(T17-U16)*24*60</f>
        <v>11.999999999999957</v>
      </c>
      <c r="W17" s="43">
        <f t="shared" si="13"/>
        <v>91</v>
      </c>
      <c r="X17" s="44"/>
      <c r="Y17" s="44"/>
      <c r="Z17" s="381"/>
      <c r="AA17" s="381"/>
      <c r="AB17" s="18">
        <f>N17-K17</f>
        <v>-79.340659340659158</v>
      </c>
      <c r="AC17" s="185">
        <f>N17/K17</f>
        <v>0.96032967032967043</v>
      </c>
      <c r="AD17" s="402"/>
    </row>
    <row r="18" spans="1:30" ht="15" customHeight="1">
      <c r="A18" s="432"/>
      <c r="B18" s="56" t="s">
        <v>62</v>
      </c>
      <c r="C18" s="10"/>
      <c r="D18" s="11" t="s">
        <v>131</v>
      </c>
      <c r="E18" s="86"/>
      <c r="F18" s="56">
        <f>VLOOKUP(D18,廠價表!$C$1:$E$39,3,0)</f>
        <v>50.39</v>
      </c>
      <c r="G18" s="96">
        <v>1884</v>
      </c>
      <c r="H18" s="15">
        <f>F18*G18</f>
        <v>94934.76</v>
      </c>
      <c r="I18" s="177"/>
      <c r="J18" s="16">
        <v>13</v>
      </c>
      <c r="K18" s="14">
        <f>VLOOKUP(D18,產線配置圖!$A$2:$C$38,3,0)</f>
        <v>2000</v>
      </c>
      <c r="L18" s="17">
        <f>K18/J18</f>
        <v>153.84615384615384</v>
      </c>
      <c r="M18" s="37">
        <v>12</v>
      </c>
      <c r="N18" s="36">
        <f>G18/W18*60</f>
        <v>1823.2258064516122</v>
      </c>
      <c r="O18" s="38">
        <f>N18/M18</f>
        <v>151.93548387096769</v>
      </c>
      <c r="P18" s="39">
        <f>M18-J18</f>
        <v>-1</v>
      </c>
      <c r="Q18" s="40">
        <f>O18-L18</f>
        <v>-1.9106699751861527</v>
      </c>
      <c r="R18" s="190">
        <f>O18/L18</f>
        <v>0.98758064516128996</v>
      </c>
      <c r="S18" s="425"/>
      <c r="T18" s="41">
        <v>0.43611111111111112</v>
      </c>
      <c r="U18" s="41">
        <v>0.47916666666666669</v>
      </c>
      <c r="V18" s="177">
        <f>(T18-U17)*24*60</f>
        <v>12.000000000000037</v>
      </c>
      <c r="W18" s="43">
        <f t="shared" si="13"/>
        <v>62.000000000000021</v>
      </c>
      <c r="X18" s="22"/>
      <c r="Y18" s="22"/>
      <c r="Z18" s="418"/>
      <c r="AA18" s="405"/>
      <c r="AB18" s="18">
        <f>N18-K18</f>
        <v>-176.77419354838776</v>
      </c>
      <c r="AC18" s="185">
        <f>N18/K18</f>
        <v>0.91161290322580613</v>
      </c>
      <c r="AD18" s="402"/>
    </row>
    <row r="19" spans="1:30" ht="15" customHeight="1">
      <c r="A19" s="432"/>
      <c r="B19" s="56" t="s">
        <v>62</v>
      </c>
      <c r="C19" s="23"/>
      <c r="D19" s="11" t="s">
        <v>131</v>
      </c>
      <c r="E19" s="12"/>
      <c r="F19" s="56">
        <f>VLOOKUP(D19,廠價表!$C$1:$E$39,3,0)</f>
        <v>50.39</v>
      </c>
      <c r="G19" s="96">
        <v>3239</v>
      </c>
      <c r="H19" s="15">
        <f t="shared" ref="H19" si="14">F19*G19</f>
        <v>163213.21</v>
      </c>
      <c r="I19" s="177"/>
      <c r="J19" s="16">
        <v>13</v>
      </c>
      <c r="K19" s="14">
        <f>VLOOKUP(D19,產線配置圖!$A$2:$C$38,3,0)</f>
        <v>2000</v>
      </c>
      <c r="L19" s="17">
        <f t="shared" ref="L19" si="15">K19/J19</f>
        <v>153.84615384615384</v>
      </c>
      <c r="M19" s="37">
        <v>13</v>
      </c>
      <c r="N19" s="36">
        <f>G19/W19*60</f>
        <v>1924.1584158415819</v>
      </c>
      <c r="O19" s="38">
        <f>N19/M19</f>
        <v>148.01218583396783</v>
      </c>
      <c r="P19" s="39">
        <f>M19-J19</f>
        <v>0</v>
      </c>
      <c r="Q19" s="40">
        <f>O19-L19</f>
        <v>-5.8339680121860056</v>
      </c>
      <c r="R19" s="190">
        <f>O19/L19</f>
        <v>0.96207920792079094</v>
      </c>
      <c r="S19" s="425"/>
      <c r="T19" s="41">
        <v>0.54166666666666663</v>
      </c>
      <c r="U19" s="41">
        <v>0.6118055555555556</v>
      </c>
      <c r="V19" s="177">
        <f>(T19-U18)*24*60</f>
        <v>89.999999999999915</v>
      </c>
      <c r="W19" s="43">
        <f t="shared" si="13"/>
        <v>101.00000000000011</v>
      </c>
      <c r="X19" s="22">
        <v>0.48958333333333331</v>
      </c>
      <c r="Y19" s="22">
        <v>0.53125</v>
      </c>
      <c r="Z19" s="407"/>
      <c r="AA19" s="407"/>
      <c r="AB19" s="18">
        <f>N19-K19</f>
        <v>-75.841584158418073</v>
      </c>
      <c r="AC19" s="185">
        <f>N19/K19</f>
        <v>0.96207920792079094</v>
      </c>
      <c r="AD19" s="403"/>
    </row>
    <row r="20" spans="1:30" ht="15" customHeight="1">
      <c r="A20" s="432"/>
      <c r="B20" s="56" t="s">
        <v>62</v>
      </c>
      <c r="C20" s="23"/>
      <c r="D20" s="11" t="s">
        <v>153</v>
      </c>
      <c r="E20" s="12"/>
      <c r="F20" s="56">
        <f>VLOOKUP(D20,廠價表!$C$1:$E$39,3,0)</f>
        <v>50.67</v>
      </c>
      <c r="G20" s="96">
        <v>1595</v>
      </c>
      <c r="H20" s="15">
        <f t="shared" ref="H20" si="16">F20*G20</f>
        <v>80818.650000000009</v>
      </c>
      <c r="I20" s="177"/>
      <c r="J20" s="16">
        <v>14</v>
      </c>
      <c r="K20" s="14">
        <f>VLOOKUP(D20,產線配置圖!$A$2:$C$38,3,0)</f>
        <v>2000</v>
      </c>
      <c r="L20" s="17">
        <f t="shared" ref="L20" si="17">K20/J20</f>
        <v>142.85714285714286</v>
      </c>
      <c r="M20" s="37">
        <v>14</v>
      </c>
      <c r="N20" s="36">
        <f>G20/W20*60</f>
        <v>1740.0000000000011</v>
      </c>
      <c r="O20" s="38">
        <f>N20/M20</f>
        <v>124.28571428571436</v>
      </c>
      <c r="P20" s="39">
        <f>M20-J20</f>
        <v>0</v>
      </c>
      <c r="Q20" s="40">
        <f>O20-L20</f>
        <v>-18.571428571428498</v>
      </c>
      <c r="R20" s="190">
        <f>O20/L20</f>
        <v>0.87000000000000055</v>
      </c>
      <c r="S20" s="425"/>
      <c r="T20" s="41">
        <v>0.625</v>
      </c>
      <c r="U20" s="79">
        <v>0.66319444444444442</v>
      </c>
      <c r="V20" s="177">
        <f>(T20-U19)*24*60</f>
        <v>18.999999999999932</v>
      </c>
      <c r="W20" s="43">
        <f t="shared" si="13"/>
        <v>54.999999999999964</v>
      </c>
      <c r="X20" s="44"/>
      <c r="Y20" s="44"/>
      <c r="Z20" s="418"/>
      <c r="AA20" s="405"/>
      <c r="AB20" s="34"/>
      <c r="AC20" s="186"/>
      <c r="AD20" s="403"/>
    </row>
    <row r="21" spans="1:30" ht="15" customHeight="1">
      <c r="A21" s="433"/>
      <c r="B21" s="177"/>
      <c r="C21" s="23"/>
      <c r="D21" s="11"/>
      <c r="E21" s="12"/>
      <c r="F21" s="13"/>
      <c r="G21" s="36"/>
      <c r="H21" s="15">
        <f t="shared" si="12"/>
        <v>0</v>
      </c>
      <c r="I21" s="43"/>
      <c r="J21" s="37"/>
      <c r="K21" s="36"/>
      <c r="L21" s="38"/>
      <c r="M21" s="37"/>
      <c r="N21" s="36"/>
      <c r="O21" s="38"/>
      <c r="P21" s="39"/>
      <c r="Q21" s="40"/>
      <c r="R21" s="190"/>
      <c r="S21" s="425"/>
      <c r="T21" s="41"/>
      <c r="U21" s="41"/>
      <c r="V21" s="42"/>
      <c r="W21" s="43">
        <v>0</v>
      </c>
      <c r="X21" s="42"/>
      <c r="Y21" s="42"/>
      <c r="Z21" s="418"/>
      <c r="AA21" s="405"/>
      <c r="AB21" s="34"/>
      <c r="AC21" s="186"/>
      <c r="AD21" s="403"/>
    </row>
    <row r="22" spans="1:30" ht="15" customHeight="1">
      <c r="A22" s="433"/>
      <c r="B22" s="177"/>
      <c r="C22" s="183"/>
      <c r="D22" s="11"/>
      <c r="E22" s="12"/>
      <c r="F22" s="13"/>
      <c r="G22" s="36"/>
      <c r="H22" s="15">
        <f t="shared" si="12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90"/>
      <c r="S22" s="425"/>
      <c r="T22" s="41"/>
      <c r="U22" s="41"/>
      <c r="V22" s="42"/>
      <c r="W22" s="43">
        <v>0</v>
      </c>
      <c r="X22" s="42"/>
      <c r="Y22" s="42"/>
      <c r="Z22" s="418"/>
      <c r="AA22" s="405"/>
      <c r="AB22" s="34"/>
      <c r="AC22" s="186"/>
      <c r="AD22" s="403"/>
    </row>
    <row r="23" spans="1:30" ht="15" customHeight="1">
      <c r="A23" s="433"/>
      <c r="B23" s="26"/>
      <c r="C23" s="27"/>
      <c r="D23" s="28"/>
      <c r="E23" s="29"/>
      <c r="F23" s="13"/>
      <c r="G23" s="36"/>
      <c r="H23" s="15">
        <f t="shared" si="12"/>
        <v>0</v>
      </c>
      <c r="I23" s="43"/>
      <c r="J23" s="37"/>
      <c r="K23" s="36"/>
      <c r="L23" s="38"/>
      <c r="M23" s="37"/>
      <c r="N23" s="36"/>
      <c r="O23" s="38"/>
      <c r="P23" s="39"/>
      <c r="Q23" s="40"/>
      <c r="R23" s="190"/>
      <c r="S23" s="425"/>
      <c r="T23" s="41"/>
      <c r="U23" s="41"/>
      <c r="W23" s="43">
        <f t="shared" si="13"/>
        <v>0</v>
      </c>
      <c r="X23" s="42"/>
      <c r="Y23" s="42"/>
      <c r="Z23" s="418"/>
      <c r="AA23" s="405"/>
      <c r="AB23" s="34"/>
      <c r="AC23" s="186"/>
      <c r="AD23" s="403"/>
    </row>
    <row r="24" spans="1:30" ht="15" customHeight="1">
      <c r="A24" s="433"/>
      <c r="B24" s="26"/>
      <c r="C24" s="27"/>
      <c r="D24" s="28"/>
      <c r="E24" s="29"/>
      <c r="F24" s="13"/>
      <c r="G24" s="36"/>
      <c r="H24" s="15">
        <f t="shared" si="12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90"/>
      <c r="S24" s="425"/>
      <c r="T24" s="41"/>
      <c r="U24" s="41"/>
      <c r="V24" s="42"/>
      <c r="W24" s="43">
        <f t="shared" si="13"/>
        <v>0</v>
      </c>
      <c r="X24" s="42"/>
      <c r="Y24" s="42"/>
      <c r="Z24" s="418"/>
      <c r="AA24" s="405"/>
      <c r="AB24" s="34"/>
      <c r="AC24" s="186"/>
      <c r="AD24" s="403"/>
    </row>
    <row r="25" spans="1:30" ht="15" customHeight="1">
      <c r="A25" s="433"/>
      <c r="B25" s="26"/>
      <c r="C25" s="27"/>
      <c r="D25" s="28"/>
      <c r="E25" s="29"/>
      <c r="F25" s="13"/>
      <c r="G25" s="36"/>
      <c r="H25" s="50">
        <f t="shared" si="12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90"/>
      <c r="S25" s="425"/>
      <c r="T25" s="41"/>
      <c r="U25" s="41"/>
      <c r="V25" s="42"/>
      <c r="W25" s="43">
        <f t="shared" si="13"/>
        <v>0</v>
      </c>
      <c r="X25" s="42"/>
      <c r="Y25" s="42"/>
      <c r="Z25" s="418"/>
      <c r="AA25" s="405"/>
      <c r="AB25" s="34"/>
      <c r="AC25" s="186"/>
      <c r="AD25" s="403"/>
    </row>
    <row r="26" spans="1:30" ht="15" customHeight="1" thickBot="1">
      <c r="A26" s="434"/>
      <c r="B26" s="132"/>
      <c r="C26" s="1" t="s">
        <v>35</v>
      </c>
      <c r="D26" s="410" t="s">
        <v>7</v>
      </c>
      <c r="E26" s="410"/>
      <c r="F26" s="133"/>
      <c r="G26" s="134"/>
      <c r="H26" s="135"/>
      <c r="I26" s="136"/>
      <c r="J26" s="134">
        <f t="shared" ref="J26:O26" si="18">AVERAGE(J16:J25)</f>
        <v>13.8</v>
      </c>
      <c r="K26" s="134">
        <f t="shared" si="18"/>
        <v>1927.2</v>
      </c>
      <c r="L26" s="137">
        <f t="shared" si="18"/>
        <v>140.49465201465202</v>
      </c>
      <c r="M26" s="134">
        <f t="shared" si="18"/>
        <v>14</v>
      </c>
      <c r="N26" s="134">
        <f t="shared" si="18"/>
        <v>1839.0555211011456</v>
      </c>
      <c r="O26" s="137">
        <f t="shared" si="18"/>
        <v>133.31095023254466</v>
      </c>
      <c r="P26" s="138">
        <f t="shared" ref="P26:P29" si="19">M26-J26</f>
        <v>0.19999999999999929</v>
      </c>
      <c r="Q26" s="139">
        <f t="shared" ref="Q26:Q29" si="20">O26-L26</f>
        <v>-7.183701782107363</v>
      </c>
      <c r="R26" s="140">
        <f t="shared" ref="R26:R29" si="21">O26/L26</f>
        <v>0.94886850368255882</v>
      </c>
      <c r="S26" s="435"/>
      <c r="T26" s="141"/>
      <c r="U26" s="141"/>
      <c r="V26" s="146"/>
      <c r="W26" s="142"/>
      <c r="X26" s="143"/>
      <c r="Y26" s="143"/>
      <c r="Z26" s="420"/>
      <c r="AA26" s="391"/>
      <c r="AB26" s="119">
        <f>N26-K26</f>
        <v>-88.144478898854459</v>
      </c>
      <c r="AC26" s="187">
        <f>N26/K26</f>
        <v>0.95426293124799999</v>
      </c>
      <c r="AD26" s="404"/>
    </row>
    <row r="27" spans="1:30" ht="15" customHeight="1">
      <c r="A27" s="421" t="s">
        <v>54</v>
      </c>
      <c r="B27" s="229" t="s">
        <v>62</v>
      </c>
      <c r="C27" s="102"/>
      <c r="D27" s="103" t="s">
        <v>144</v>
      </c>
      <c r="E27" s="104"/>
      <c r="F27" s="199">
        <f>VLOOKUP(D27,廠價表!$C$1:$E$39,3,0)</f>
        <v>49.91</v>
      </c>
      <c r="G27" s="269">
        <v>1928</v>
      </c>
      <c r="H27" s="125">
        <f t="shared" ref="H27:H41" si="22">F27*G27</f>
        <v>96226.48</v>
      </c>
      <c r="I27" s="126"/>
      <c r="J27" s="16">
        <f>VLOOKUP(D27,產線配置圖!$A$2:$C$38,2,0)</f>
        <v>17</v>
      </c>
      <c r="K27" s="14">
        <f>VLOOKUP(D27,產線配置圖!$A$2:$C$38,3,0)</f>
        <v>1565</v>
      </c>
      <c r="L27" s="109">
        <f>K27/J27</f>
        <v>92.058823529411768</v>
      </c>
      <c r="M27" s="144">
        <v>17</v>
      </c>
      <c r="N27" s="127">
        <f>G27/W27*60</f>
        <v>1464.3037974683552</v>
      </c>
      <c r="O27" s="128">
        <f>N27/M27</f>
        <v>86.13551749813854</v>
      </c>
      <c r="P27" s="129">
        <f t="shared" si="19"/>
        <v>0</v>
      </c>
      <c r="Q27" s="130">
        <f t="shared" si="20"/>
        <v>-5.9233060312732277</v>
      </c>
      <c r="R27" s="189">
        <f>O27/L27</f>
        <v>0.93565737857402886</v>
      </c>
      <c r="S27" s="424">
        <f>R37</f>
        <v>0.9272786463661199</v>
      </c>
      <c r="T27" s="94">
        <v>0.29166666666666669</v>
      </c>
      <c r="U27" s="94">
        <v>0.34652777777777777</v>
      </c>
      <c r="V27" s="126"/>
      <c r="W27" s="131">
        <f t="shared" si="13"/>
        <v>78.999999999999957</v>
      </c>
      <c r="X27" s="126"/>
      <c r="Y27" s="126" t="s">
        <v>147</v>
      </c>
      <c r="Z27" s="427"/>
      <c r="AA27" s="400"/>
      <c r="AB27" s="225">
        <f>N27-K27</f>
        <v>-100.69620253164476</v>
      </c>
      <c r="AC27" s="291">
        <f>N27/K27</f>
        <v>0.93565737857402886</v>
      </c>
      <c r="AD27" s="401">
        <f>AC37</f>
        <v>1.02065610041485</v>
      </c>
    </row>
    <row r="28" spans="1:30" ht="15" customHeight="1">
      <c r="A28" s="422"/>
      <c r="B28" s="56" t="str">
        <f>VLOOKUP(D28,廠價表!$C$1:$E$39,2,0)</f>
        <v>義大利麵</v>
      </c>
      <c r="C28" s="10"/>
      <c r="D28" s="11" t="s">
        <v>137</v>
      </c>
      <c r="E28" s="86"/>
      <c r="F28" s="56">
        <f>VLOOKUP(D28,廠價表!$C$1:$E$39,3,0)</f>
        <v>55.13</v>
      </c>
      <c r="G28" s="53">
        <v>2131</v>
      </c>
      <c r="H28" s="50">
        <f t="shared" si="22"/>
        <v>117482.03</v>
      </c>
      <c r="I28" s="42"/>
      <c r="J28" s="16">
        <f>VLOOKUP(D28,產線配置圖!$A$2:$C$38,2,0)</f>
        <v>18</v>
      </c>
      <c r="K28" s="14">
        <f>VLOOKUP(D28,產線配置圖!$A$2:$C$38,3,0)</f>
        <v>1385</v>
      </c>
      <c r="L28" s="235">
        <f>K28/J28</f>
        <v>76.944444444444443</v>
      </c>
      <c r="M28" s="21">
        <v>18</v>
      </c>
      <c r="N28" s="36">
        <f>G28/W28*60</f>
        <v>1278.5999999999995</v>
      </c>
      <c r="O28" s="38">
        <f>N28/M28</f>
        <v>71.033333333333303</v>
      </c>
      <c r="P28" s="39">
        <f t="shared" si="19"/>
        <v>0</v>
      </c>
      <c r="Q28" s="40">
        <f t="shared" si="20"/>
        <v>-5.9111111111111398</v>
      </c>
      <c r="R28" s="190">
        <f t="shared" si="21"/>
        <v>0.92317689530685887</v>
      </c>
      <c r="S28" s="425"/>
      <c r="T28" s="270">
        <v>0.34930555555555554</v>
      </c>
      <c r="U28" s="270">
        <v>0.41875000000000001</v>
      </c>
      <c r="V28" s="42">
        <f>(T28-U27)*24*60</f>
        <v>3.9999999999999858</v>
      </c>
      <c r="W28" s="43">
        <f t="shared" si="13"/>
        <v>100.00000000000004</v>
      </c>
      <c r="X28" s="54"/>
      <c r="Y28" s="54"/>
      <c r="Z28" s="418"/>
      <c r="AA28" s="419"/>
      <c r="AB28" s="39">
        <f>N28-K28</f>
        <v>-106.40000000000055</v>
      </c>
      <c r="AC28" s="190">
        <f>N28/K28</f>
        <v>0.92317689530685876</v>
      </c>
      <c r="AD28" s="447"/>
    </row>
    <row r="29" spans="1:30" ht="15" customHeight="1">
      <c r="A29" s="422"/>
      <c r="B29" s="56" t="str">
        <f>VLOOKUP(D29,廠價表!$C$1:$E$39,2,0)</f>
        <v>義大利麵</v>
      </c>
      <c r="C29" s="10"/>
      <c r="D29" s="11" t="s">
        <v>158</v>
      </c>
      <c r="E29" s="86"/>
      <c r="F29" s="56">
        <f>VLOOKUP(D29,廠價表!$C$1:$E$39,3,0)</f>
        <v>47.71</v>
      </c>
      <c r="G29" s="53">
        <v>2552</v>
      </c>
      <c r="H29" s="50">
        <f t="shared" si="22"/>
        <v>121755.92</v>
      </c>
      <c r="I29" s="42"/>
      <c r="J29" s="16">
        <f>VLOOKUP(D29,產線配置圖!$A$2:$C$38,2,0)</f>
        <v>15</v>
      </c>
      <c r="K29" s="14">
        <f>VLOOKUP(D29,產線配置圖!$A$2:$C$38,3,0)</f>
        <v>1500</v>
      </c>
      <c r="L29" s="235">
        <f>K29/J29</f>
        <v>100</v>
      </c>
      <c r="M29" s="21">
        <v>18</v>
      </c>
      <c r="N29" s="36">
        <f>G29/W29*60</f>
        <v>1759.9999999999998</v>
      </c>
      <c r="O29" s="38">
        <f>N29/M29</f>
        <v>97.777777777777771</v>
      </c>
      <c r="P29" s="39">
        <f t="shared" si="19"/>
        <v>3</v>
      </c>
      <c r="Q29" s="40">
        <f t="shared" si="20"/>
        <v>-2.2222222222222285</v>
      </c>
      <c r="R29" s="190">
        <f t="shared" si="21"/>
        <v>0.97777777777777775</v>
      </c>
      <c r="S29" s="425"/>
      <c r="T29" s="41">
        <v>0.42569444444444443</v>
      </c>
      <c r="U29" s="41">
        <v>0.4861111111111111</v>
      </c>
      <c r="V29" s="42">
        <f>(T29-U28)*24*60</f>
        <v>9.9999999999999645</v>
      </c>
      <c r="W29" s="43">
        <f t="shared" si="13"/>
        <v>87.000000000000014</v>
      </c>
      <c r="X29" s="22"/>
      <c r="Y29" s="22"/>
      <c r="Z29" s="418"/>
      <c r="AA29" s="419"/>
      <c r="AB29" s="292">
        <f>N29-K29</f>
        <v>259.99999999999977</v>
      </c>
      <c r="AC29" s="190">
        <f>N29/K29</f>
        <v>1.1733333333333331</v>
      </c>
      <c r="AD29" s="447"/>
    </row>
    <row r="30" spans="1:30" ht="15" customHeight="1">
      <c r="A30" s="422"/>
      <c r="B30" s="56" t="str">
        <f>VLOOKUP(D30,廠價表!$C$1:$E$39,2,0)</f>
        <v>義大利麵</v>
      </c>
      <c r="C30" s="237"/>
      <c r="D30" s="11" t="s">
        <v>158</v>
      </c>
      <c r="E30" s="29"/>
      <c r="F30" s="56">
        <f>VLOOKUP(D30,廠價表!$C$1:$E$39,3,0)</f>
        <v>47.71</v>
      </c>
      <c r="G30" s="53">
        <v>2198</v>
      </c>
      <c r="H30" s="50">
        <f t="shared" ref="H30" si="23">F30*G30</f>
        <v>104866.58</v>
      </c>
      <c r="I30" s="42"/>
      <c r="J30" s="16">
        <f>VLOOKUP(D30,產線配置圖!$A$2:$C$38,2,0)</f>
        <v>15</v>
      </c>
      <c r="K30" s="14">
        <f>VLOOKUP(D30,產線配置圖!$A$2:$C$38,3,0)</f>
        <v>1500</v>
      </c>
      <c r="L30" s="235">
        <f>K30/J30</f>
        <v>100</v>
      </c>
      <c r="M30" s="21">
        <v>18</v>
      </c>
      <c r="N30" s="36">
        <f>G30/W30*60</f>
        <v>1570.0000000000027</v>
      </c>
      <c r="O30" s="38">
        <f>N30/M30</f>
        <v>87.222222222222371</v>
      </c>
      <c r="P30" s="39">
        <f t="shared" ref="P30" si="24">M30-J30</f>
        <v>3</v>
      </c>
      <c r="Q30" s="40">
        <f t="shared" ref="Q30" si="25">O30-L30</f>
        <v>-12.777777777777629</v>
      </c>
      <c r="R30" s="190">
        <f t="shared" ref="R30" si="26">O30/L30</f>
        <v>0.87222222222222368</v>
      </c>
      <c r="S30" s="425"/>
      <c r="T30" s="41">
        <v>0.54861111111111116</v>
      </c>
      <c r="U30" s="41">
        <v>0.6069444444444444</v>
      </c>
      <c r="V30" s="42">
        <f>(T30-U29)*24*60</f>
        <v>90.000000000000085</v>
      </c>
      <c r="W30" s="43">
        <f t="shared" si="13"/>
        <v>83.999999999999858</v>
      </c>
      <c r="X30" s="54">
        <v>0.5</v>
      </c>
      <c r="Y30" s="54">
        <v>0.54166666666666663</v>
      </c>
      <c r="Z30" s="449"/>
      <c r="AA30" s="450"/>
      <c r="AB30" s="292">
        <f>N30-K30</f>
        <v>70.000000000002728</v>
      </c>
      <c r="AC30" s="190">
        <f>N30/K30</f>
        <v>1.0466666666666684</v>
      </c>
      <c r="AD30" s="448"/>
    </row>
    <row r="31" spans="1:30" ht="15" customHeight="1">
      <c r="A31" s="422"/>
      <c r="B31" s="56"/>
      <c r="C31" s="237"/>
      <c r="D31" s="11"/>
      <c r="E31" s="29"/>
      <c r="F31" s="56"/>
      <c r="G31" s="53"/>
      <c r="H31" s="50"/>
      <c r="I31" s="42"/>
      <c r="J31" s="16"/>
      <c r="K31" s="14"/>
      <c r="L31" s="235"/>
      <c r="M31" s="21"/>
      <c r="N31" s="36"/>
      <c r="O31" s="38"/>
      <c r="P31" s="39"/>
      <c r="Q31" s="40"/>
      <c r="R31" s="190"/>
      <c r="S31" s="425"/>
      <c r="T31" s="41"/>
      <c r="U31" s="41"/>
      <c r="V31" s="42"/>
      <c r="W31" s="43">
        <f t="shared" si="13"/>
        <v>0</v>
      </c>
      <c r="X31" s="54"/>
      <c r="Y31" s="54"/>
      <c r="Z31" s="449"/>
      <c r="AA31" s="450"/>
      <c r="AB31" s="257"/>
      <c r="AC31" s="258"/>
      <c r="AD31" s="403"/>
    </row>
    <row r="32" spans="1:30" ht="15" customHeight="1">
      <c r="A32" s="422"/>
      <c r="B32" s="56"/>
      <c r="C32" s="252"/>
      <c r="D32" s="253"/>
      <c r="E32" s="254"/>
      <c r="F32" s="56"/>
      <c r="G32" s="53"/>
      <c r="H32" s="50"/>
      <c r="I32" s="42"/>
      <c r="J32" s="255"/>
      <c r="K32" s="36"/>
      <c r="L32" s="256"/>
      <c r="M32" s="21"/>
      <c r="N32" s="36"/>
      <c r="O32" s="38"/>
      <c r="P32" s="39"/>
      <c r="Q32" s="40"/>
      <c r="R32" s="190"/>
      <c r="S32" s="425"/>
      <c r="T32" s="41"/>
      <c r="U32" s="41"/>
      <c r="V32" s="42"/>
      <c r="W32" s="43">
        <f t="shared" si="13"/>
        <v>0</v>
      </c>
      <c r="X32" s="54"/>
      <c r="Y32" s="54"/>
      <c r="Z32" s="418"/>
      <c r="AA32" s="405"/>
      <c r="AB32" s="18"/>
      <c r="AC32" s="185"/>
      <c r="AD32" s="403"/>
    </row>
    <row r="33" spans="1:30" ht="15" customHeight="1">
      <c r="A33" s="422"/>
      <c r="B33" s="240"/>
      <c r="C33" s="241"/>
      <c r="D33" s="242"/>
      <c r="E33" s="243"/>
      <c r="F33" s="223"/>
      <c r="G33" s="244"/>
      <c r="H33" s="245">
        <f t="shared" si="22"/>
        <v>0</v>
      </c>
      <c r="I33" s="246"/>
      <c r="J33" s="247"/>
      <c r="K33" s="45"/>
      <c r="M33" s="248"/>
      <c r="N33" s="45"/>
      <c r="O33" s="46"/>
      <c r="P33" s="47"/>
      <c r="Q33" s="48"/>
      <c r="R33" s="49"/>
      <c r="S33" s="425"/>
      <c r="T33" s="41"/>
      <c r="U33" s="41"/>
      <c r="V33" s="42"/>
      <c r="W33" s="43">
        <f t="shared" si="13"/>
        <v>0</v>
      </c>
      <c r="X33" s="54"/>
      <c r="Y33" s="54"/>
      <c r="Z33" s="418"/>
      <c r="AA33" s="405"/>
      <c r="AB33" s="18"/>
      <c r="AC33" s="57"/>
      <c r="AD33" s="403"/>
    </row>
    <row r="34" spans="1:30" ht="15" customHeight="1">
      <c r="A34" s="422"/>
      <c r="B34" s="231"/>
      <c r="C34" s="27"/>
      <c r="D34" s="28"/>
      <c r="E34" s="29"/>
      <c r="F34" s="13"/>
      <c r="G34" s="53"/>
      <c r="H34" s="50">
        <f t="shared" si="22"/>
        <v>0</v>
      </c>
      <c r="I34" s="42"/>
      <c r="J34" s="37"/>
      <c r="K34" s="36"/>
      <c r="L34" s="38"/>
      <c r="M34" s="21"/>
      <c r="N34" s="36"/>
      <c r="O34" s="38"/>
      <c r="P34" s="39"/>
      <c r="Q34" s="40"/>
      <c r="R34" s="190"/>
      <c r="S34" s="425"/>
      <c r="T34" s="41"/>
      <c r="U34" s="41"/>
      <c r="V34" s="42"/>
      <c r="W34" s="43">
        <f t="shared" si="13"/>
        <v>0</v>
      </c>
      <c r="X34" s="54"/>
      <c r="Y34" s="54"/>
      <c r="Z34" s="418"/>
      <c r="AA34" s="405"/>
      <c r="AB34" s="18"/>
      <c r="AC34" s="57"/>
      <c r="AD34" s="403"/>
    </row>
    <row r="35" spans="1:30" ht="15" customHeight="1">
      <c r="A35" s="422"/>
      <c r="B35" s="231"/>
      <c r="C35" s="27"/>
      <c r="D35" s="28"/>
      <c r="E35" s="29"/>
      <c r="F35" s="13"/>
      <c r="G35" s="53"/>
      <c r="H35" s="50">
        <f t="shared" si="22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90"/>
      <c r="S35" s="425"/>
      <c r="T35" s="41"/>
      <c r="U35" s="41"/>
      <c r="V35" s="42"/>
      <c r="W35" s="43">
        <f t="shared" si="13"/>
        <v>0</v>
      </c>
      <c r="X35" s="54"/>
      <c r="Y35" s="54"/>
      <c r="Z35" s="418"/>
      <c r="AA35" s="405"/>
      <c r="AB35" s="18"/>
      <c r="AC35" s="57"/>
      <c r="AD35" s="403"/>
    </row>
    <row r="36" spans="1:30" ht="15" customHeight="1">
      <c r="A36" s="422"/>
      <c r="B36" s="232"/>
      <c r="C36" s="27"/>
      <c r="D36" s="28"/>
      <c r="E36" s="29"/>
      <c r="F36" s="13"/>
      <c r="G36" s="53"/>
      <c r="H36" s="50">
        <f t="shared" si="22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90"/>
      <c r="S36" s="425"/>
      <c r="T36" s="41"/>
      <c r="U36" s="41"/>
      <c r="V36" s="42"/>
      <c r="W36" s="43">
        <f t="shared" si="13"/>
        <v>0</v>
      </c>
      <c r="X36" s="54"/>
      <c r="Y36" s="54"/>
      <c r="Z36" s="418"/>
      <c r="AA36" s="405"/>
      <c r="AB36" s="18"/>
      <c r="AC36" s="57"/>
      <c r="AD36" s="403"/>
    </row>
    <row r="37" spans="1:30" ht="15" customHeight="1" thickBot="1">
      <c r="A37" s="423"/>
      <c r="B37" s="300"/>
      <c r="C37" s="301" t="s">
        <v>36</v>
      </c>
      <c r="D37" s="428" t="s">
        <v>7</v>
      </c>
      <c r="E37" s="429"/>
      <c r="F37" s="281"/>
      <c r="G37" s="282"/>
      <c r="H37" s="283"/>
      <c r="I37" s="284"/>
      <c r="J37" s="285">
        <f t="shared" ref="J37:O37" si="27">AVERAGE(J27:J36)</f>
        <v>16.25</v>
      </c>
      <c r="K37" s="285">
        <f t="shared" si="27"/>
        <v>1487.5</v>
      </c>
      <c r="L37" s="286">
        <f t="shared" si="27"/>
        <v>92.250816993464056</v>
      </c>
      <c r="M37" s="285">
        <f t="shared" si="27"/>
        <v>17.75</v>
      </c>
      <c r="N37" s="285">
        <f t="shared" si="27"/>
        <v>1518.2259493670892</v>
      </c>
      <c r="O37" s="286">
        <f t="shared" si="27"/>
        <v>85.542212707868003</v>
      </c>
      <c r="P37" s="73">
        <f>M37-J37</f>
        <v>1.5</v>
      </c>
      <c r="Q37" s="74">
        <f>N37-K37</f>
        <v>30.725949367089243</v>
      </c>
      <c r="R37" s="287">
        <f t="shared" ref="R37:R39" si="28">O37/L37</f>
        <v>0.9272786463661199</v>
      </c>
      <c r="S37" s="426"/>
      <c r="T37" s="302"/>
      <c r="U37" s="302"/>
      <c r="V37" s="81"/>
      <c r="W37" s="81"/>
      <c r="X37" s="303"/>
      <c r="Y37" s="303"/>
      <c r="Z37" s="430"/>
      <c r="AA37" s="379"/>
      <c r="AB37" s="34">
        <f t="shared" ref="AB37:AB40" si="29">N37-K37</f>
        <v>30.725949367089243</v>
      </c>
      <c r="AC37" s="186">
        <f t="shared" ref="AC37:AC40" si="30">N37/K37</f>
        <v>1.02065610041485</v>
      </c>
      <c r="AD37" s="403"/>
    </row>
    <row r="38" spans="1:30" s="62" customFormat="1" ht="15" customHeight="1">
      <c r="A38" s="454" t="s">
        <v>55</v>
      </c>
      <c r="B38" s="229" t="s">
        <v>134</v>
      </c>
      <c r="C38" s="199"/>
      <c r="D38" s="304" t="s">
        <v>156</v>
      </c>
      <c r="E38" s="280"/>
      <c r="F38" s="305">
        <f>VLOOKUP(D38,廠價表!$C$1:$E$39,3,0)</f>
        <v>56.43</v>
      </c>
      <c r="G38" s="266">
        <v>2544</v>
      </c>
      <c r="H38" s="147">
        <f t="shared" si="22"/>
        <v>143557.92000000001</v>
      </c>
      <c r="I38" s="126"/>
      <c r="J38" s="274">
        <f>VLOOKUP(D38,產線配置圖!$A$2:$C$38,2,0)</f>
        <v>15</v>
      </c>
      <c r="K38" s="236">
        <f>VLOOKUP(D38,產線配置圖!$A$2:$C$38,3,0)</f>
        <v>1406</v>
      </c>
      <c r="L38" s="288">
        <f t="shared" ref="L38:L39" si="31">K38/J38</f>
        <v>93.733333333333334</v>
      </c>
      <c r="M38" s="289">
        <v>15</v>
      </c>
      <c r="N38" s="127">
        <f>G38/W38*60</f>
        <v>1327.3043478260872</v>
      </c>
      <c r="O38" s="128">
        <f>N38/M38</f>
        <v>88.486956521739145</v>
      </c>
      <c r="P38" s="129">
        <f t="shared" ref="P38:P39" si="32">M38-J38</f>
        <v>0</v>
      </c>
      <c r="Q38" s="130">
        <f t="shared" ref="Q38:Q39" si="33">O38-L38</f>
        <v>-5.2463768115941889</v>
      </c>
      <c r="R38" s="189">
        <f t="shared" si="28"/>
        <v>0.94402869688910895</v>
      </c>
      <c r="S38" s="457">
        <f>R48</f>
        <v>0.98609336215135635</v>
      </c>
      <c r="T38" s="151">
        <v>0.33194444444444443</v>
      </c>
      <c r="U38" s="151">
        <v>0.41180555555555554</v>
      </c>
      <c r="V38" s="148"/>
      <c r="W38" s="152">
        <f t="shared" si="13"/>
        <v>114.99999999999999</v>
      </c>
      <c r="X38" s="150"/>
      <c r="Y38" s="153"/>
      <c r="Z38" s="478"/>
      <c r="AA38" s="460"/>
      <c r="AB38" s="290">
        <f t="shared" si="29"/>
        <v>-78.695652173912777</v>
      </c>
      <c r="AC38" s="154">
        <f t="shared" si="30"/>
        <v>0.94402869688910895</v>
      </c>
      <c r="AD38" s="436">
        <f>AC48</f>
        <v>0.98609336215135612</v>
      </c>
    </row>
    <row r="39" spans="1:30" s="62" customFormat="1" ht="15" customHeight="1">
      <c r="A39" s="455"/>
      <c r="B39" s="56" t="s">
        <v>134</v>
      </c>
      <c r="C39" s="277"/>
      <c r="D39" s="279" t="s">
        <v>127</v>
      </c>
      <c r="E39" s="278"/>
      <c r="F39" s="56">
        <f>VLOOKUP(D39,廠價表!$C$1:$E$39,3,0)</f>
        <v>57.21</v>
      </c>
      <c r="G39" s="276">
        <v>2851</v>
      </c>
      <c r="H39" s="63">
        <f t="shared" si="22"/>
        <v>163105.71</v>
      </c>
      <c r="I39" s="64"/>
      <c r="J39" s="37">
        <v>15</v>
      </c>
      <c r="K39" s="36">
        <v>1565</v>
      </c>
      <c r="L39" s="38">
        <f t="shared" si="31"/>
        <v>104.33333333333333</v>
      </c>
      <c r="M39" s="65">
        <v>15</v>
      </c>
      <c r="N39" s="66">
        <f>G39/W39*60</f>
        <v>1462.0512820512822</v>
      </c>
      <c r="O39" s="67">
        <f t="shared" ref="O39" si="34">N39/M39</f>
        <v>97.470085470085479</v>
      </c>
      <c r="P39" s="39">
        <f t="shared" si="32"/>
        <v>0</v>
      </c>
      <c r="Q39" s="40">
        <f t="shared" si="33"/>
        <v>-6.8632478632478495</v>
      </c>
      <c r="R39" s="190">
        <f t="shared" si="28"/>
        <v>0.93421807159826342</v>
      </c>
      <c r="S39" s="458"/>
      <c r="T39" s="59">
        <v>0.42222222222222222</v>
      </c>
      <c r="U39" s="59">
        <v>0.50347222222222221</v>
      </c>
      <c r="V39" s="42">
        <f>(T39-U38)*24*60</f>
        <v>15.000000000000027</v>
      </c>
      <c r="W39" s="69">
        <f t="shared" si="13"/>
        <v>116.99999999999999</v>
      </c>
      <c r="X39" s="22"/>
      <c r="Y39" s="22"/>
      <c r="Z39" s="439"/>
      <c r="AA39" s="440"/>
      <c r="AB39" s="271">
        <f t="shared" si="29"/>
        <v>-102.94871794871779</v>
      </c>
      <c r="AC39" s="61">
        <f t="shared" si="30"/>
        <v>0.93421807159826342</v>
      </c>
      <c r="AD39" s="437"/>
    </row>
    <row r="40" spans="1:30" s="62" customFormat="1" ht="15" customHeight="1">
      <c r="A40" s="455"/>
      <c r="B40" s="56" t="s">
        <v>134</v>
      </c>
      <c r="C40" s="275"/>
      <c r="D40" s="279" t="s">
        <v>154</v>
      </c>
      <c r="E40" s="243"/>
      <c r="F40" s="56">
        <f>VLOOKUP(D40,廠價表!$C$1:$E$39,3,0)</f>
        <v>57.3</v>
      </c>
      <c r="G40" s="276">
        <v>1774</v>
      </c>
      <c r="H40" s="63">
        <f t="shared" si="22"/>
        <v>101650.2</v>
      </c>
      <c r="I40" s="64"/>
      <c r="J40" s="37">
        <f>VLOOKUP(D40,產線配置圖!$A$2:$C$38,2,0)</f>
        <v>15</v>
      </c>
      <c r="K40" s="36">
        <f>VLOOKUP(D40,產線配置圖!$A$2:$C$38,3,0)</f>
        <v>1385</v>
      </c>
      <c r="L40" s="38">
        <f t="shared" ref="L40:L41" si="35">K40/J40</f>
        <v>92.333333333333329</v>
      </c>
      <c r="M40" s="65">
        <v>15</v>
      </c>
      <c r="N40" s="66">
        <f t="shared" ref="N40:N41" si="36">G40/W40*60</f>
        <v>1637.5384615384594</v>
      </c>
      <c r="O40" s="67">
        <f t="shared" ref="O40:O41" si="37">N40/M40</f>
        <v>109.16923076923062</v>
      </c>
      <c r="P40" s="39">
        <f t="shared" ref="P40:P41" si="38">M40-J40</f>
        <v>0</v>
      </c>
      <c r="Q40" s="40">
        <f t="shared" ref="Q40:Q41" si="39">O40-L40</f>
        <v>16.835897435897294</v>
      </c>
      <c r="R40" s="190">
        <f t="shared" ref="R40:R41" si="40">O40/L40</f>
        <v>1.1823382393779491</v>
      </c>
      <c r="S40" s="397"/>
      <c r="T40" s="59">
        <v>0.56597222222222221</v>
      </c>
      <c r="U40" s="59">
        <v>0.61111111111111116</v>
      </c>
      <c r="V40" s="42">
        <f t="shared" ref="V40:V41" si="41">(T40-U39)*24*60</f>
        <v>90</v>
      </c>
      <c r="W40" s="69">
        <f t="shared" si="13"/>
        <v>65.000000000000085</v>
      </c>
      <c r="X40" s="70">
        <v>0.50694444444444442</v>
      </c>
      <c r="Y40" s="259">
        <v>0.54861111111111116</v>
      </c>
      <c r="Z40" s="439" t="s">
        <v>209</v>
      </c>
      <c r="AA40" s="440"/>
      <c r="AB40" s="271">
        <f t="shared" si="29"/>
        <v>252.53846153845939</v>
      </c>
      <c r="AC40" s="61">
        <f t="shared" si="30"/>
        <v>1.1823382393779489</v>
      </c>
      <c r="AD40" s="437"/>
    </row>
    <row r="41" spans="1:30" s="62" customFormat="1" ht="15" customHeight="1">
      <c r="A41" s="455"/>
      <c r="B41" s="56" t="s">
        <v>134</v>
      </c>
      <c r="C41" s="275"/>
      <c r="D41" s="279" t="s">
        <v>153</v>
      </c>
      <c r="E41" s="243"/>
      <c r="F41" s="56">
        <f>VLOOKUP(D41,廠價表!$C$1:$E$39,3,0)</f>
        <v>50.67</v>
      </c>
      <c r="G41" s="276">
        <v>1600</v>
      </c>
      <c r="H41" s="63">
        <f t="shared" si="22"/>
        <v>81072</v>
      </c>
      <c r="I41" s="64"/>
      <c r="J41" s="37">
        <v>15</v>
      </c>
      <c r="K41" s="36">
        <v>1565</v>
      </c>
      <c r="L41" s="38">
        <f t="shared" si="35"/>
        <v>104.33333333333333</v>
      </c>
      <c r="M41" s="65">
        <v>15</v>
      </c>
      <c r="N41" s="66">
        <f t="shared" si="36"/>
        <v>1411.7647058823511</v>
      </c>
      <c r="O41" s="67">
        <f t="shared" si="37"/>
        <v>94.117647058823408</v>
      </c>
      <c r="P41" s="39">
        <f t="shared" si="38"/>
        <v>0</v>
      </c>
      <c r="Q41" s="40">
        <f t="shared" si="39"/>
        <v>-10.21568627450992</v>
      </c>
      <c r="R41" s="190">
        <f t="shared" si="40"/>
        <v>0.90208607404623076</v>
      </c>
      <c r="S41" s="397"/>
      <c r="T41" s="59">
        <v>0.625</v>
      </c>
      <c r="U41" s="59">
        <v>0.67222222222222228</v>
      </c>
      <c r="V41" s="42">
        <f t="shared" si="41"/>
        <v>19.999999999999929</v>
      </c>
      <c r="W41" s="69">
        <f t="shared" si="13"/>
        <v>68.000000000000085</v>
      </c>
      <c r="X41" s="70"/>
      <c r="Y41" s="259"/>
      <c r="Z41" s="439" t="s">
        <v>208</v>
      </c>
      <c r="AA41" s="440"/>
      <c r="AB41" s="271"/>
      <c r="AC41" s="61"/>
      <c r="AD41" s="437"/>
    </row>
    <row r="42" spans="1:30" s="62" customFormat="1" ht="15" customHeight="1">
      <c r="A42" s="455"/>
      <c r="B42" s="56"/>
      <c r="C42" s="23"/>
      <c r="D42" s="11"/>
      <c r="E42" s="12"/>
      <c r="F42" s="56"/>
      <c r="G42" s="99"/>
      <c r="H42" s="63"/>
      <c r="I42" s="64"/>
      <c r="J42" s="16"/>
      <c r="K42" s="14"/>
      <c r="L42" s="17"/>
      <c r="M42" s="65"/>
      <c r="N42" s="66"/>
      <c r="O42" s="67"/>
      <c r="P42" s="39"/>
      <c r="Q42" s="40"/>
      <c r="R42" s="68"/>
      <c r="S42" s="397"/>
      <c r="T42" s="75"/>
      <c r="U42" s="75"/>
      <c r="V42" s="42"/>
      <c r="W42" s="69">
        <f t="shared" si="13"/>
        <v>0</v>
      </c>
      <c r="X42" s="70"/>
      <c r="Y42" s="60"/>
      <c r="Z42" s="445"/>
      <c r="AA42" s="446"/>
      <c r="AB42" s="271"/>
      <c r="AC42" s="61"/>
      <c r="AD42" s="437"/>
    </row>
    <row r="43" spans="1:30" s="62" customFormat="1" ht="15" customHeight="1">
      <c r="A43" s="455"/>
      <c r="B43" s="230"/>
      <c r="C43" s="23"/>
      <c r="D43" s="11"/>
      <c r="E43" s="12"/>
      <c r="F43" s="13"/>
      <c r="G43" s="100"/>
      <c r="H43" s="63">
        <f t="shared" ref="H43:H47" si="42">F43*G43</f>
        <v>0</v>
      </c>
      <c r="I43" s="64"/>
      <c r="J43" s="65"/>
      <c r="K43" s="66"/>
      <c r="L43" s="67"/>
      <c r="M43" s="65"/>
      <c r="N43" s="66"/>
      <c r="O43" s="67"/>
      <c r="P43" s="39"/>
      <c r="Q43" s="40"/>
      <c r="R43" s="68"/>
      <c r="S43" s="397"/>
      <c r="T43" s="75"/>
      <c r="U43" s="75"/>
      <c r="V43" s="64"/>
      <c r="W43" s="69">
        <f>(U43-T43)*24*60</f>
        <v>0</v>
      </c>
      <c r="X43" s="70"/>
      <c r="Y43" s="67"/>
      <c r="Z43" s="405"/>
      <c r="AA43" s="405"/>
      <c r="AB43" s="71"/>
      <c r="AC43" s="61"/>
      <c r="AD43" s="437"/>
    </row>
    <row r="44" spans="1:30" s="62" customFormat="1" ht="15" customHeight="1">
      <c r="A44" s="455"/>
      <c r="B44" s="230"/>
      <c r="C44" s="183"/>
      <c r="D44" s="11"/>
      <c r="E44" s="12"/>
      <c r="F44" s="13"/>
      <c r="G44" s="100"/>
      <c r="H44" s="63">
        <f t="shared" si="42"/>
        <v>0</v>
      </c>
      <c r="I44" s="64"/>
      <c r="J44" s="65"/>
      <c r="K44" s="66"/>
      <c r="L44" s="58"/>
      <c r="M44" s="65"/>
      <c r="N44" s="66"/>
      <c r="O44" s="67"/>
      <c r="P44" s="39"/>
      <c r="Q44" s="40"/>
      <c r="R44" s="68"/>
      <c r="S44" s="397"/>
      <c r="T44" s="59"/>
      <c r="U44" s="59"/>
      <c r="V44" s="64"/>
      <c r="W44" s="69">
        <f t="shared" ref="W44:W48" si="43">(U44-T44)*24*60</f>
        <v>0</v>
      </c>
      <c r="X44" s="70"/>
      <c r="Y44" s="67"/>
      <c r="Z44" s="405"/>
      <c r="AA44" s="405"/>
      <c r="AB44" s="71"/>
      <c r="AC44" s="61"/>
      <c r="AD44" s="437"/>
    </row>
    <row r="45" spans="1:30" s="62" customFormat="1" ht="15" customHeight="1">
      <c r="A45" s="455"/>
      <c r="B45" s="231"/>
      <c r="C45" s="27"/>
      <c r="D45" s="28"/>
      <c r="E45" s="29"/>
      <c r="F45" s="13"/>
      <c r="G45" s="66"/>
      <c r="H45" s="63">
        <f t="shared" si="42"/>
        <v>0</v>
      </c>
      <c r="I45" s="64"/>
      <c r="J45" s="65"/>
      <c r="K45" s="66"/>
      <c r="L45" s="67"/>
      <c r="M45" s="65"/>
      <c r="N45" s="66"/>
      <c r="O45" s="67"/>
      <c r="P45" s="39"/>
      <c r="Q45" s="40"/>
      <c r="R45" s="68"/>
      <c r="S45" s="397"/>
      <c r="T45" s="75"/>
      <c r="U45" s="75"/>
      <c r="V45" s="64"/>
      <c r="W45" s="69">
        <f t="shared" si="43"/>
        <v>0</v>
      </c>
      <c r="X45" s="70"/>
      <c r="Y45" s="67"/>
      <c r="Z45" s="405"/>
      <c r="AA45" s="405"/>
      <c r="AB45" s="71"/>
      <c r="AC45" s="61"/>
      <c r="AD45" s="437"/>
    </row>
    <row r="46" spans="1:30" s="62" customFormat="1" ht="15" customHeight="1">
      <c r="A46" s="455"/>
      <c r="B46" s="231"/>
      <c r="C46" s="27"/>
      <c r="D46" s="28"/>
      <c r="E46" s="29"/>
      <c r="F46" s="13"/>
      <c r="G46" s="66"/>
      <c r="H46" s="63">
        <f t="shared" si="42"/>
        <v>0</v>
      </c>
      <c r="I46" s="64"/>
      <c r="J46" s="65"/>
      <c r="K46" s="66"/>
      <c r="L46" s="67"/>
      <c r="M46" s="65"/>
      <c r="N46" s="66"/>
      <c r="O46" s="67"/>
      <c r="P46" s="39"/>
      <c r="Q46" s="40"/>
      <c r="R46" s="68"/>
      <c r="S46" s="397"/>
      <c r="T46" s="59"/>
      <c r="U46" s="59"/>
      <c r="V46" s="64"/>
      <c r="W46" s="69">
        <f t="shared" si="43"/>
        <v>0</v>
      </c>
      <c r="X46" s="70"/>
      <c r="Y46" s="67"/>
      <c r="Z46" s="405"/>
      <c r="AA46" s="405"/>
      <c r="AB46" s="71"/>
      <c r="AC46" s="61"/>
      <c r="AD46" s="437"/>
    </row>
    <row r="47" spans="1:30" s="62" customFormat="1" ht="15" customHeight="1">
      <c r="A47" s="455"/>
      <c r="B47" s="230"/>
      <c r="C47" s="27"/>
      <c r="D47" s="28"/>
      <c r="E47" s="29"/>
      <c r="F47" s="13"/>
      <c r="G47" s="66"/>
      <c r="H47" s="63">
        <f t="shared" si="42"/>
        <v>0</v>
      </c>
      <c r="I47" s="64"/>
      <c r="J47" s="65"/>
      <c r="K47" s="66"/>
      <c r="L47" s="67"/>
      <c r="M47" s="65"/>
      <c r="N47" s="66"/>
      <c r="O47" s="67"/>
      <c r="P47" s="39"/>
      <c r="Q47" s="40"/>
      <c r="R47" s="68"/>
      <c r="S47" s="397"/>
      <c r="T47" s="75"/>
      <c r="U47" s="75"/>
      <c r="V47" s="64"/>
      <c r="W47" s="69">
        <f t="shared" si="43"/>
        <v>0</v>
      </c>
      <c r="X47" s="70"/>
      <c r="Y47" s="67"/>
      <c r="Z47" s="405"/>
      <c r="AA47" s="405"/>
      <c r="AB47" s="71"/>
      <c r="AC47" s="61"/>
      <c r="AD47" s="437"/>
    </row>
    <row r="48" spans="1:30" ht="15" customHeight="1" thickBot="1">
      <c r="A48" s="456"/>
      <c r="B48" s="156"/>
      <c r="C48" s="1" t="s">
        <v>37</v>
      </c>
      <c r="D48" s="410" t="s">
        <v>7</v>
      </c>
      <c r="E48" s="410"/>
      <c r="F48" s="133"/>
      <c r="G48" s="145"/>
      <c r="H48" s="135"/>
      <c r="I48" s="136"/>
      <c r="J48" s="134">
        <f t="shared" ref="J48:O48" si="44">AVERAGE(J38:J47)</f>
        <v>15</v>
      </c>
      <c r="K48" s="134">
        <f t="shared" si="44"/>
        <v>1480.25</v>
      </c>
      <c r="L48" s="137">
        <f t="shared" si="44"/>
        <v>98.683333333333323</v>
      </c>
      <c r="M48" s="134">
        <f t="shared" si="44"/>
        <v>15</v>
      </c>
      <c r="N48" s="134">
        <f t="shared" si="44"/>
        <v>1459.6646993245449</v>
      </c>
      <c r="O48" s="137">
        <f t="shared" si="44"/>
        <v>97.310979954969667</v>
      </c>
      <c r="P48" s="157">
        <f>M48-J48</f>
        <v>0</v>
      </c>
      <c r="Q48" s="158">
        <f>N48-K48</f>
        <v>-20.585300675455073</v>
      </c>
      <c r="R48" s="159">
        <f>O48/L48</f>
        <v>0.98609336215135635</v>
      </c>
      <c r="S48" s="399"/>
      <c r="T48" s="160"/>
      <c r="U48" s="160"/>
      <c r="V48" s="196"/>
      <c r="W48" s="161">
        <f t="shared" si="43"/>
        <v>0</v>
      </c>
      <c r="X48" s="162"/>
      <c r="Y48" s="162"/>
      <c r="Z48" s="391"/>
      <c r="AA48" s="391"/>
      <c r="AB48" s="163">
        <f>N48-K48</f>
        <v>-20.585300675455073</v>
      </c>
      <c r="AC48" s="191">
        <f>N48/K48</f>
        <v>0.98609336215135612</v>
      </c>
      <c r="AD48" s="438"/>
    </row>
    <row r="49" spans="1:30" ht="15" customHeight="1">
      <c r="A49" s="451" t="s">
        <v>56</v>
      </c>
      <c r="B49" s="199" t="str">
        <f>VLOOKUP(D49,廠價表!$C$1:$E$39,2,0)</f>
        <v>義大利麵</v>
      </c>
      <c r="C49" s="102"/>
      <c r="D49" s="103" t="s">
        <v>152</v>
      </c>
      <c r="E49" s="104"/>
      <c r="F49" s="199">
        <f>VLOOKUP(D49,廠價表!$C$1:$E$39,3,0)</f>
        <v>56.87</v>
      </c>
      <c r="G49" s="149">
        <v>2513</v>
      </c>
      <c r="H49" s="125">
        <f t="shared" ref="H49:H57" si="45">F49*G49</f>
        <v>142914.31</v>
      </c>
      <c r="I49" s="126"/>
      <c r="J49" s="16">
        <f>VLOOKUP(D49,產線配置圖!$A$2:$C$38,2,0)</f>
        <v>19</v>
      </c>
      <c r="K49" s="14">
        <f>VLOOKUP(D49,產線配置圖!$A$2:$C$38,3,0)</f>
        <v>1565</v>
      </c>
      <c r="L49" s="109">
        <f>K49/J49</f>
        <v>82.368421052631575</v>
      </c>
      <c r="M49" s="144">
        <v>19</v>
      </c>
      <c r="N49" s="127">
        <f>G49/W49*60</f>
        <v>1554.432989690722</v>
      </c>
      <c r="O49" s="128">
        <f>N49/M49</f>
        <v>81.812262615301165</v>
      </c>
      <c r="P49" s="164">
        <f>M49-J49</f>
        <v>0</v>
      </c>
      <c r="Q49" s="112">
        <f>O49-L49</f>
        <v>-0.55615843733041004</v>
      </c>
      <c r="R49" s="184">
        <f>O49/L49</f>
        <v>0.99324791673528579</v>
      </c>
      <c r="S49" s="396">
        <f>R58</f>
        <v>0.91887321228409602</v>
      </c>
      <c r="T49" s="151">
        <v>0.32916666666666666</v>
      </c>
      <c r="U49" s="151">
        <v>0.39652777777777776</v>
      </c>
      <c r="V49" s="188"/>
      <c r="W49" s="152">
        <f t="shared" si="13"/>
        <v>96.999999999999972</v>
      </c>
      <c r="X49" s="188"/>
      <c r="Y49" s="188"/>
      <c r="Z49" s="400"/>
      <c r="AA49" s="400"/>
      <c r="AB49" s="111">
        <f>N49-K49</f>
        <v>-10.567010309277975</v>
      </c>
      <c r="AC49" s="184">
        <f>N49/K49</f>
        <v>0.99324791673528567</v>
      </c>
      <c r="AD49" s="401">
        <f>AC58</f>
        <v>0.92218081135246277</v>
      </c>
    </row>
    <row r="50" spans="1:30" ht="15" customHeight="1">
      <c r="A50" s="452"/>
      <c r="B50" s="56" t="str">
        <f>VLOOKUP(D50,廠價表!$C$1:$E$39,2,0)</f>
        <v>義大利麵</v>
      </c>
      <c r="C50" s="10"/>
      <c r="D50" s="11" t="s">
        <v>65</v>
      </c>
      <c r="E50" s="86"/>
      <c r="F50" s="56">
        <f>VLOOKUP(D50,廠價表!$C$1:$E$39,3,0)</f>
        <v>49.97</v>
      </c>
      <c r="G50" s="66">
        <v>3322</v>
      </c>
      <c r="H50" s="76">
        <f t="shared" si="45"/>
        <v>166000.34</v>
      </c>
      <c r="I50" s="193"/>
      <c r="J50" s="16">
        <f>VLOOKUP(D50,產線配置圖!$A$2:$C$38,2,0)</f>
        <v>18</v>
      </c>
      <c r="K50" s="14">
        <f>VLOOKUP(D50,產線配置圖!$A$2:$C$38,3,0)</f>
        <v>1600</v>
      </c>
      <c r="L50" s="17">
        <f>K50/J50</f>
        <v>88.888888888888886</v>
      </c>
      <c r="M50" s="174">
        <v>18</v>
      </c>
      <c r="N50" s="77">
        <f>G50/W50*60</f>
        <v>1569.4488188976384</v>
      </c>
      <c r="O50" s="78">
        <f>N50/M50</f>
        <v>87.191601049868794</v>
      </c>
      <c r="P50" s="18">
        <f>M50-J50</f>
        <v>0</v>
      </c>
      <c r="Q50" s="19">
        <f>O50-L50</f>
        <v>-1.6972878390200918</v>
      </c>
      <c r="R50" s="185">
        <f>O50/L50</f>
        <v>0.98090551181102392</v>
      </c>
      <c r="S50" s="397"/>
      <c r="T50" s="79">
        <v>0.40138888888888891</v>
      </c>
      <c r="U50" s="79">
        <v>0.48958333333333331</v>
      </c>
      <c r="V50" s="177">
        <f t="shared" ref="V50:V52" si="46">(T50-U49)*24*60</f>
        <v>7.0000000000000551</v>
      </c>
      <c r="W50" s="80">
        <f t="shared" si="13"/>
        <v>126.99999999999994</v>
      </c>
      <c r="X50" s="22"/>
      <c r="Y50" s="22"/>
      <c r="Z50" s="419"/>
      <c r="AA50" s="418"/>
      <c r="AB50" s="18">
        <f>N50-K50</f>
        <v>-30.551181102361625</v>
      </c>
      <c r="AC50" s="185">
        <f>N50/K50</f>
        <v>0.98090551181102403</v>
      </c>
      <c r="AD50" s="402"/>
    </row>
    <row r="51" spans="1:30" ht="15" customHeight="1">
      <c r="A51" s="452"/>
      <c r="B51" s="56" t="str">
        <f>VLOOKUP(D51,廠價表!$C$1:$E$39,2,0)</f>
        <v>義大利麵</v>
      </c>
      <c r="C51" s="10"/>
      <c r="D51" s="11" t="s">
        <v>65</v>
      </c>
      <c r="E51" s="86"/>
      <c r="F51" s="56">
        <f>VLOOKUP(D51,廠價表!$C$1:$E$39,3,0)</f>
        <v>49.97</v>
      </c>
      <c r="G51" s="66">
        <v>2800</v>
      </c>
      <c r="H51" s="76">
        <f t="shared" si="45"/>
        <v>139916</v>
      </c>
      <c r="I51" s="193"/>
      <c r="J51" s="16">
        <f>VLOOKUP(D51,產線配置圖!$A$2:$C$38,2,0)</f>
        <v>18</v>
      </c>
      <c r="K51" s="14">
        <f>VLOOKUP(D51,產線配置圖!$A$2:$C$38,3,0)</f>
        <v>1600</v>
      </c>
      <c r="L51" s="17">
        <f>K51/J51</f>
        <v>88.888888888888886</v>
      </c>
      <c r="M51" s="174">
        <v>18</v>
      </c>
      <c r="N51" s="77">
        <f>G51/W51*60</f>
        <v>1527.2727272727282</v>
      </c>
      <c r="O51" s="78">
        <f>N51/M51</f>
        <v>84.848484848484901</v>
      </c>
      <c r="P51" s="18">
        <f>M51-J51</f>
        <v>0</v>
      </c>
      <c r="Q51" s="19">
        <f>O51-L51</f>
        <v>-4.0404040404039847</v>
      </c>
      <c r="R51" s="185">
        <f>O51/L51</f>
        <v>0.95454545454545514</v>
      </c>
      <c r="S51" s="397"/>
      <c r="T51" s="79">
        <v>0.54861111111111116</v>
      </c>
      <c r="U51" s="44">
        <v>0.625</v>
      </c>
      <c r="V51" s="177">
        <f t="shared" si="46"/>
        <v>85.000000000000099</v>
      </c>
      <c r="W51" s="80">
        <f t="shared" si="13"/>
        <v>109.99999999999993</v>
      </c>
      <c r="X51" s="22">
        <v>0.5</v>
      </c>
      <c r="Y51" s="22">
        <v>0.54166666666666663</v>
      </c>
      <c r="Z51" s="405"/>
      <c r="AA51" s="405"/>
      <c r="AB51" s="18">
        <f>N51-K51</f>
        <v>-72.727272727271838</v>
      </c>
      <c r="AC51" s="185">
        <f>N51/K51</f>
        <v>0.95454545454545514</v>
      </c>
      <c r="AD51" s="402"/>
    </row>
    <row r="52" spans="1:30" ht="15" customHeight="1">
      <c r="A52" s="452"/>
      <c r="B52" s="56" t="str">
        <f>VLOOKUP(D52,廠價表!$C$1:$E$39,2,0)</f>
        <v>熱乾麵</v>
      </c>
      <c r="C52" s="23"/>
      <c r="D52" s="11" t="s">
        <v>144</v>
      </c>
      <c r="E52" s="12"/>
      <c r="F52" s="56">
        <f>VLOOKUP(D52,廠價表!$C$1:$E$39,3,0)</f>
        <v>49.91</v>
      </c>
      <c r="G52" s="66">
        <v>949</v>
      </c>
      <c r="H52" s="76">
        <f t="shared" ref="H52" si="47">F52*G52</f>
        <v>47364.59</v>
      </c>
      <c r="I52" s="193"/>
      <c r="J52" s="16">
        <f>VLOOKUP(D52,產線配置圖!$A$2:$C$38,2,0)</f>
        <v>17</v>
      </c>
      <c r="K52" s="14">
        <f>VLOOKUP(D52,產線配置圖!$A$2:$C$38,3,0)</f>
        <v>1565</v>
      </c>
      <c r="L52" s="17">
        <f>K52/J52</f>
        <v>92.058823529411768</v>
      </c>
      <c r="M52" s="174">
        <v>17</v>
      </c>
      <c r="N52" s="77">
        <f>G52/W52*60</f>
        <v>1186.2500000000005</v>
      </c>
      <c r="O52" s="78">
        <f>N52/M52</f>
        <v>69.779411764705912</v>
      </c>
      <c r="P52" s="18">
        <f>M52-J52</f>
        <v>0</v>
      </c>
      <c r="Q52" s="19">
        <f>O52-L52</f>
        <v>-22.279411764705856</v>
      </c>
      <c r="R52" s="185">
        <f>O52/L52</f>
        <v>0.75798722044728462</v>
      </c>
      <c r="S52" s="397"/>
      <c r="T52" s="79">
        <v>0.6333333333333333</v>
      </c>
      <c r="U52" s="79">
        <v>0.66666666666666663</v>
      </c>
      <c r="V52" s="177">
        <f t="shared" si="46"/>
        <v>11.999999999999957</v>
      </c>
      <c r="W52" s="80">
        <f t="shared" si="13"/>
        <v>47.999999999999986</v>
      </c>
      <c r="X52" s="22"/>
      <c r="Y52" s="22"/>
      <c r="Z52" s="405" t="s">
        <v>210</v>
      </c>
      <c r="AA52" s="405"/>
      <c r="AB52" s="18"/>
      <c r="AC52" s="185"/>
      <c r="AD52" s="402"/>
    </row>
    <row r="53" spans="1:30" ht="15" customHeight="1">
      <c r="A53" s="452"/>
      <c r="B53" s="56"/>
      <c r="C53" s="23"/>
      <c r="D53" s="11"/>
      <c r="E53" s="12"/>
      <c r="F53" s="56"/>
      <c r="G53" s="66"/>
      <c r="H53" s="76"/>
      <c r="I53" s="193"/>
      <c r="J53" s="16"/>
      <c r="K53" s="14"/>
      <c r="L53" s="17"/>
      <c r="M53" s="174"/>
      <c r="N53" s="77"/>
      <c r="O53" s="78"/>
      <c r="P53" s="18"/>
      <c r="Q53" s="19"/>
      <c r="R53" s="185"/>
      <c r="S53" s="397"/>
      <c r="T53" s="79"/>
      <c r="U53" s="79"/>
      <c r="V53" s="177"/>
      <c r="W53" s="80">
        <f t="shared" si="13"/>
        <v>0</v>
      </c>
      <c r="X53" s="177"/>
      <c r="Y53" s="177"/>
      <c r="Z53" s="419"/>
      <c r="AA53" s="418"/>
      <c r="AB53" s="18"/>
      <c r="AC53" s="185"/>
      <c r="AD53" s="402"/>
    </row>
    <row r="54" spans="1:30" ht="15" customHeight="1">
      <c r="A54" s="452"/>
      <c r="B54" s="177"/>
      <c r="C54" s="183"/>
      <c r="D54" s="11"/>
      <c r="E54" s="12"/>
      <c r="F54" s="13"/>
      <c r="G54" s="66"/>
      <c r="H54" s="76">
        <f t="shared" si="45"/>
        <v>0</v>
      </c>
      <c r="I54" s="177"/>
      <c r="J54" s="31"/>
      <c r="K54" s="30"/>
      <c r="L54" s="38"/>
      <c r="M54" s="181"/>
      <c r="N54" s="30"/>
      <c r="O54" s="35"/>
      <c r="P54" s="18"/>
      <c r="Q54" s="19"/>
      <c r="R54" s="185"/>
      <c r="S54" s="397"/>
      <c r="T54" s="79"/>
      <c r="U54" s="79"/>
      <c r="V54" s="197"/>
      <c r="W54" s="80">
        <f t="shared" si="13"/>
        <v>0</v>
      </c>
      <c r="X54" s="177"/>
      <c r="Y54" s="177"/>
      <c r="Z54" s="419"/>
      <c r="AA54" s="418"/>
      <c r="AB54" s="18"/>
      <c r="AC54" s="185"/>
      <c r="AD54" s="402"/>
    </row>
    <row r="55" spans="1:30" ht="15" customHeight="1">
      <c r="A55" s="452"/>
      <c r="B55" s="26"/>
      <c r="C55" s="27"/>
      <c r="D55" s="28"/>
      <c r="E55" s="29"/>
      <c r="F55" s="13"/>
      <c r="G55" s="66"/>
      <c r="H55" s="15">
        <f t="shared" si="45"/>
        <v>0</v>
      </c>
      <c r="I55" s="177"/>
      <c r="J55" s="31"/>
      <c r="K55" s="30"/>
      <c r="L55" s="38"/>
      <c r="M55" s="181"/>
      <c r="N55" s="30"/>
      <c r="O55" s="35"/>
      <c r="P55" s="18"/>
      <c r="Q55" s="19"/>
      <c r="R55" s="185"/>
      <c r="S55" s="397"/>
      <c r="T55" s="79"/>
      <c r="U55" s="79"/>
      <c r="V55" s="197"/>
      <c r="W55" s="80">
        <f t="shared" si="13"/>
        <v>0</v>
      </c>
      <c r="X55" s="177"/>
      <c r="Y55" s="177"/>
      <c r="Z55" s="419"/>
      <c r="AA55" s="418"/>
      <c r="AB55" s="18"/>
      <c r="AC55" s="185"/>
      <c r="AD55" s="402"/>
    </row>
    <row r="56" spans="1:30" ht="15" customHeight="1">
      <c r="A56" s="452"/>
      <c r="B56" s="26"/>
      <c r="C56" s="27"/>
      <c r="D56" s="28"/>
      <c r="E56" s="29"/>
      <c r="F56" s="13"/>
      <c r="G56" s="66"/>
      <c r="H56" s="15">
        <f t="shared" si="45"/>
        <v>0</v>
      </c>
      <c r="I56" s="177"/>
      <c r="J56" s="31"/>
      <c r="K56" s="30"/>
      <c r="L56" s="38"/>
      <c r="M56" s="181"/>
      <c r="N56" s="30"/>
      <c r="O56" s="35"/>
      <c r="P56" s="18"/>
      <c r="Q56" s="19"/>
      <c r="R56" s="185"/>
      <c r="S56" s="397"/>
      <c r="T56" s="79"/>
      <c r="U56" s="79"/>
      <c r="V56" s="197"/>
      <c r="W56" s="80">
        <f t="shared" si="13"/>
        <v>0</v>
      </c>
      <c r="X56" s="177"/>
      <c r="Y56" s="177"/>
      <c r="Z56" s="405"/>
      <c r="AA56" s="405"/>
      <c r="AB56" s="18"/>
      <c r="AC56" s="185"/>
      <c r="AD56" s="402"/>
    </row>
    <row r="57" spans="1:30" ht="15" customHeight="1">
      <c r="A57" s="452"/>
      <c r="B57" s="26"/>
      <c r="C57" s="27"/>
      <c r="D57" s="28"/>
      <c r="E57" s="29"/>
      <c r="F57" s="13"/>
      <c r="G57" s="66"/>
      <c r="H57" s="15">
        <f t="shared" si="45"/>
        <v>0</v>
      </c>
      <c r="I57" s="177"/>
      <c r="J57" s="31"/>
      <c r="K57" s="30"/>
      <c r="L57" s="38"/>
      <c r="M57" s="181"/>
      <c r="N57" s="30"/>
      <c r="O57" s="35"/>
      <c r="P57" s="18"/>
      <c r="Q57" s="19"/>
      <c r="R57" s="185"/>
      <c r="S57" s="397"/>
      <c r="T57" s="79"/>
      <c r="U57" s="79"/>
      <c r="V57" s="197"/>
      <c r="W57" s="80">
        <f t="shared" si="13"/>
        <v>0</v>
      </c>
      <c r="X57" s="177"/>
      <c r="Y57" s="177"/>
      <c r="Z57" s="405"/>
      <c r="AA57" s="405"/>
      <c r="AB57" s="18"/>
      <c r="AC57" s="185"/>
      <c r="AD57" s="402"/>
    </row>
    <row r="58" spans="1:30" ht="15" customHeight="1" thickBot="1">
      <c r="A58" s="453"/>
      <c r="B58" s="165"/>
      <c r="C58" s="1" t="s">
        <v>38</v>
      </c>
      <c r="D58" s="410" t="s">
        <v>7</v>
      </c>
      <c r="E58" s="410"/>
      <c r="F58" s="114"/>
      <c r="G58" s="166"/>
      <c r="H58" s="116"/>
      <c r="I58" s="115"/>
      <c r="J58" s="118">
        <f t="shared" ref="J58:O58" si="48">AVERAGE(J49:J57)</f>
        <v>18</v>
      </c>
      <c r="K58" s="118">
        <f t="shared" si="48"/>
        <v>1582.5</v>
      </c>
      <c r="L58" s="115">
        <f t="shared" si="48"/>
        <v>88.051255589955289</v>
      </c>
      <c r="M58" s="118">
        <f t="shared" si="48"/>
        <v>18</v>
      </c>
      <c r="N58" s="118">
        <f t="shared" si="48"/>
        <v>1459.3511339652723</v>
      </c>
      <c r="O58" s="115">
        <f t="shared" si="48"/>
        <v>80.907940069590182</v>
      </c>
      <c r="P58" s="119">
        <f>M58-J58</f>
        <v>0</v>
      </c>
      <c r="Q58" s="120">
        <f>N58-K58</f>
        <v>-123.14886603472769</v>
      </c>
      <c r="R58" s="121">
        <f t="shared" ref="R58:R60" si="49">O58/L58</f>
        <v>0.91887321228409602</v>
      </c>
      <c r="S58" s="399"/>
      <c r="T58" s="167"/>
      <c r="U58" s="167"/>
      <c r="V58" s="195"/>
      <c r="W58" s="168"/>
      <c r="X58" s="124"/>
      <c r="Y58" s="124"/>
      <c r="Z58" s="391"/>
      <c r="AA58" s="391"/>
      <c r="AB58" s="119">
        <f t="shared" ref="AB58:AB62" si="50">N58-K58</f>
        <v>-123.14886603472769</v>
      </c>
      <c r="AC58" s="187">
        <f t="shared" ref="AC58:AC62" si="51">N58/K58</f>
        <v>0.92218081135246277</v>
      </c>
      <c r="AD58" s="404"/>
    </row>
    <row r="59" spans="1:30" ht="15" customHeight="1">
      <c r="A59" s="466" t="s">
        <v>57</v>
      </c>
      <c r="B59" s="199" t="str">
        <f>VLOOKUP(D59,廠價表!$C$1:$E$39,2,0)</f>
        <v>小吃、微波</v>
      </c>
      <c r="C59" s="102"/>
      <c r="D59" s="103" t="s">
        <v>125</v>
      </c>
      <c r="E59" s="104"/>
      <c r="F59" s="199">
        <f>VLOOKUP(D59,廠價表!$C$1:$E$39,3,0)</f>
        <v>26.99</v>
      </c>
      <c r="G59" s="188">
        <v>3003</v>
      </c>
      <c r="H59" s="106">
        <f t="shared" ref="H59:H68" si="52">F59*G59</f>
        <v>81050.97</v>
      </c>
      <c r="I59" s="188"/>
      <c r="J59" s="108">
        <f>VLOOKUP(D59,產線配置圖!$A$2:$C$38,2,0)</f>
        <v>13</v>
      </c>
      <c r="K59" s="105">
        <f>VLOOKUP(D59,產線配置圖!$A$2:$C$38,3,0)</f>
        <v>1565</v>
      </c>
      <c r="L59" s="109">
        <f>K59/J59</f>
        <v>120.38461538461539</v>
      </c>
      <c r="M59" s="110">
        <v>13</v>
      </c>
      <c r="N59" s="105">
        <f t="shared" ref="N59:N62" si="53">G59/W59*60</f>
        <v>1386.0000000000005</v>
      </c>
      <c r="O59" s="109">
        <f t="shared" ref="O59:O62" si="54">N59/M59</f>
        <v>106.61538461538466</v>
      </c>
      <c r="P59" s="111">
        <f t="shared" ref="P59:P62" si="55">M59-J59</f>
        <v>0</v>
      </c>
      <c r="Q59" s="112">
        <f t="shared" ref="Q59:Q62" si="56">O59-L59</f>
        <v>-13.769230769230731</v>
      </c>
      <c r="R59" s="184">
        <f t="shared" si="49"/>
        <v>0.88562300319488851</v>
      </c>
      <c r="S59" s="396">
        <f>R69</f>
        <v>0.85642105263157908</v>
      </c>
      <c r="T59" s="169">
        <v>0.29166666666666669</v>
      </c>
      <c r="U59" s="169">
        <v>0.38194444444444442</v>
      </c>
      <c r="V59" s="188"/>
      <c r="W59" s="107">
        <f t="shared" si="13"/>
        <v>129.99999999999994</v>
      </c>
      <c r="X59" s="188"/>
      <c r="Y59" s="188"/>
      <c r="Z59" s="405"/>
      <c r="AA59" s="405"/>
      <c r="AB59" s="225">
        <f t="shared" si="50"/>
        <v>-178.99999999999955</v>
      </c>
      <c r="AC59" s="226">
        <f t="shared" si="51"/>
        <v>0.88562300319488851</v>
      </c>
      <c r="AD59" s="401">
        <f>AC69</f>
        <v>0.85732302001008931</v>
      </c>
    </row>
    <row r="60" spans="1:30" ht="15" customHeight="1">
      <c r="A60" s="467"/>
      <c r="B60" s="56" t="str">
        <f>VLOOKUP(D60,廠價表!$C$1:$E$39,2,0)</f>
        <v>小吃、微波</v>
      </c>
      <c r="C60" s="10"/>
      <c r="D60" s="11" t="s">
        <v>146</v>
      </c>
      <c r="E60" s="86"/>
      <c r="F60" s="56">
        <f>VLOOKUP(D60,廠價表!$C$1:$E$39,3,0)</f>
        <v>28.47</v>
      </c>
      <c r="G60" s="177">
        <v>796</v>
      </c>
      <c r="H60" s="15">
        <f t="shared" si="52"/>
        <v>22662.12</v>
      </c>
      <c r="I60" s="177"/>
      <c r="J60" s="16">
        <f>VLOOKUP(D60,產線配置圖!$A$2:$C$38,2,0)</f>
        <v>12</v>
      </c>
      <c r="K60" s="14">
        <f>VLOOKUP(D60,產線配置圖!$A$2:$C$38,3,0)</f>
        <v>1565</v>
      </c>
      <c r="L60" s="17">
        <f>K60/J60</f>
        <v>130.41666666666666</v>
      </c>
      <c r="M60" s="180">
        <v>12</v>
      </c>
      <c r="N60" s="14">
        <f t="shared" si="53"/>
        <v>1256.842105263157</v>
      </c>
      <c r="O60" s="17">
        <f t="shared" si="54"/>
        <v>104.73684210526308</v>
      </c>
      <c r="P60" s="18">
        <f t="shared" si="55"/>
        <v>0</v>
      </c>
      <c r="Q60" s="19">
        <f t="shared" si="56"/>
        <v>-25.679824561403578</v>
      </c>
      <c r="R60" s="185">
        <f t="shared" si="49"/>
        <v>0.80309399697326334</v>
      </c>
      <c r="S60" s="470"/>
      <c r="T60" s="198">
        <v>0.39027777777777778</v>
      </c>
      <c r="U60" s="198">
        <v>0.41666666666666669</v>
      </c>
      <c r="V60" s="177">
        <f t="shared" ref="V60:V62" si="57">(T60-U59)*24*60</f>
        <v>12.000000000000037</v>
      </c>
      <c r="W60" s="90">
        <f t="shared" si="13"/>
        <v>38.000000000000028</v>
      </c>
      <c r="X60" s="193"/>
      <c r="Y60" s="193"/>
      <c r="Z60" s="405"/>
      <c r="AA60" s="405"/>
      <c r="AB60" s="227">
        <f t="shared" si="50"/>
        <v>-308.15789473684299</v>
      </c>
      <c r="AC60" s="228">
        <f t="shared" si="51"/>
        <v>0.80309399697326322</v>
      </c>
      <c r="AD60" s="473"/>
    </row>
    <row r="61" spans="1:30" ht="15" customHeight="1">
      <c r="A61" s="468"/>
      <c r="B61" s="56" t="str">
        <f>VLOOKUP(D61,廠價表!$C$1:$E$39,2,0)</f>
        <v>小吃、微波</v>
      </c>
      <c r="C61" s="10"/>
      <c r="D61" s="242" t="s">
        <v>135</v>
      </c>
      <c r="E61" s="86"/>
      <c r="F61" s="56">
        <f>VLOOKUP(D61,廠價表!$C$1:$E$39,3,0)</f>
        <v>28.26</v>
      </c>
      <c r="G61" s="177">
        <v>2486</v>
      </c>
      <c r="H61" s="15">
        <f t="shared" si="52"/>
        <v>70254.36</v>
      </c>
      <c r="I61" s="81"/>
      <c r="J61" s="16">
        <f>VLOOKUP(D61,產線配置圖!$A$2:$C$38,2,0)</f>
        <v>12</v>
      </c>
      <c r="K61" s="14">
        <f>VLOOKUP(D61,產線配置圖!$A$2:$C$38,3,0)</f>
        <v>1565</v>
      </c>
      <c r="L61" s="17">
        <f t="shared" ref="L61:L62" si="58">K61/J61</f>
        <v>130.41666666666666</v>
      </c>
      <c r="M61" s="180">
        <v>12</v>
      </c>
      <c r="N61" s="14">
        <f t="shared" si="53"/>
        <v>1355.9999999999998</v>
      </c>
      <c r="O61" s="17">
        <f t="shared" si="54"/>
        <v>112.99999999999999</v>
      </c>
      <c r="P61" s="18">
        <f t="shared" si="55"/>
        <v>0</v>
      </c>
      <c r="Q61" s="19">
        <f t="shared" si="56"/>
        <v>-17.416666666666671</v>
      </c>
      <c r="R61" s="185">
        <f>O61/L61</f>
        <v>0.86645367412140573</v>
      </c>
      <c r="S61" s="397"/>
      <c r="T61" s="20">
        <v>0.42708333333333331</v>
      </c>
      <c r="U61" s="20">
        <v>0.50347222222222221</v>
      </c>
      <c r="V61" s="177">
        <f t="shared" si="57"/>
        <v>14.999999999999947</v>
      </c>
      <c r="W61" s="88">
        <f t="shared" si="13"/>
        <v>110.00000000000001</v>
      </c>
      <c r="X61" s="22"/>
      <c r="Y61" s="22"/>
      <c r="Z61" s="405"/>
      <c r="AA61" s="405"/>
      <c r="AB61" s="51">
        <f t="shared" si="50"/>
        <v>-209.00000000000023</v>
      </c>
      <c r="AC61" s="52">
        <f t="shared" si="51"/>
        <v>0.86645367412140561</v>
      </c>
      <c r="AD61" s="402"/>
    </row>
    <row r="62" spans="1:30" ht="15" customHeight="1">
      <c r="A62" s="468"/>
      <c r="B62" s="56" t="str">
        <f>VLOOKUP(D62,廠價表!$C$1:$E$39,2,0)</f>
        <v>小吃、微波</v>
      </c>
      <c r="C62" s="23"/>
      <c r="D62" s="242" t="s">
        <v>125</v>
      </c>
      <c r="E62" s="12"/>
      <c r="F62" s="56">
        <f>VLOOKUP(D62,廠價表!$C$1:$E$39,3,0)</f>
        <v>26.99</v>
      </c>
      <c r="G62" s="177">
        <v>1482</v>
      </c>
      <c r="H62" s="15">
        <f t="shared" si="52"/>
        <v>39999.18</v>
      </c>
      <c r="I62" s="81"/>
      <c r="J62" s="16">
        <f>VLOOKUP(D62,產線配置圖!$A$2:$C$38,2,0)</f>
        <v>13</v>
      </c>
      <c r="K62" s="14">
        <f>VLOOKUP(D62,產線配置圖!$A$2:$C$38,3,0)</f>
        <v>1565</v>
      </c>
      <c r="L62" s="17">
        <f t="shared" si="58"/>
        <v>120.38461538461539</v>
      </c>
      <c r="M62" s="180">
        <v>13</v>
      </c>
      <c r="N62" s="14">
        <f t="shared" si="53"/>
        <v>1368.0000000000016</v>
      </c>
      <c r="O62" s="17">
        <f t="shared" si="54"/>
        <v>105.23076923076935</v>
      </c>
      <c r="P62" s="18">
        <f t="shared" si="55"/>
        <v>0</v>
      </c>
      <c r="Q62" s="19">
        <f t="shared" si="56"/>
        <v>-15.153846153846033</v>
      </c>
      <c r="R62" s="185">
        <f>O62/L62</f>
        <v>0.87412140575079977</v>
      </c>
      <c r="S62" s="397"/>
      <c r="T62" s="20">
        <v>0.55555555555555558</v>
      </c>
      <c r="U62" s="20">
        <v>0.60069444444444442</v>
      </c>
      <c r="V62" s="177">
        <f t="shared" si="57"/>
        <v>75.000000000000057</v>
      </c>
      <c r="W62" s="90">
        <f t="shared" si="13"/>
        <v>64.999999999999929</v>
      </c>
      <c r="X62" s="22">
        <v>0.50694444444444442</v>
      </c>
      <c r="Y62" s="22">
        <v>0.54861111111111116</v>
      </c>
      <c r="Z62" s="405"/>
      <c r="AA62" s="405"/>
      <c r="AB62" s="51">
        <f t="shared" si="50"/>
        <v>-196.99999999999841</v>
      </c>
      <c r="AC62" s="52">
        <f t="shared" si="51"/>
        <v>0.87412140575079977</v>
      </c>
      <c r="AD62" s="402"/>
    </row>
    <row r="63" spans="1:30" ht="15" customHeight="1">
      <c r="A63" s="468"/>
      <c r="B63" s="56"/>
      <c r="C63" s="10"/>
      <c r="D63" s="242"/>
      <c r="E63" s="86"/>
      <c r="F63" s="56"/>
      <c r="G63" s="177"/>
      <c r="H63" s="15"/>
      <c r="I63" s="81"/>
      <c r="J63" s="16"/>
      <c r="K63" s="14"/>
      <c r="L63" s="17"/>
      <c r="M63" s="180"/>
      <c r="N63" s="14"/>
      <c r="O63" s="17"/>
      <c r="P63" s="18"/>
      <c r="Q63" s="19"/>
      <c r="R63" s="185"/>
      <c r="S63" s="397"/>
      <c r="T63" s="20"/>
      <c r="U63" s="20"/>
      <c r="V63" s="177"/>
      <c r="W63" s="90">
        <f t="shared" si="13"/>
        <v>0</v>
      </c>
      <c r="X63" s="84"/>
      <c r="Y63" s="84"/>
      <c r="Z63" s="405"/>
      <c r="AA63" s="405"/>
      <c r="AB63" s="51"/>
      <c r="AC63" s="52"/>
      <c r="AD63" s="402"/>
    </row>
    <row r="64" spans="1:30" ht="15" customHeight="1">
      <c r="A64" s="468"/>
      <c r="B64" s="56"/>
      <c r="C64" s="10"/>
      <c r="D64" s="242"/>
      <c r="E64" s="86"/>
      <c r="F64" s="56"/>
      <c r="G64" s="177"/>
      <c r="H64" s="15"/>
      <c r="I64" s="81"/>
      <c r="J64" s="16"/>
      <c r="K64" s="14"/>
      <c r="L64" s="17"/>
      <c r="M64" s="180"/>
      <c r="N64" s="14"/>
      <c r="O64" s="17"/>
      <c r="P64" s="18"/>
      <c r="Q64" s="19"/>
      <c r="R64" s="185"/>
      <c r="S64" s="397"/>
      <c r="T64" s="20"/>
      <c r="U64" s="20"/>
      <c r="V64" s="177"/>
      <c r="W64" s="182">
        <f t="shared" si="13"/>
        <v>0</v>
      </c>
      <c r="X64" s="84"/>
      <c r="Y64" s="84"/>
      <c r="Z64" s="419"/>
      <c r="AA64" s="418"/>
      <c r="AB64" s="18"/>
      <c r="AC64" s="55"/>
      <c r="AD64" s="402"/>
    </row>
    <row r="65" spans="1:32" ht="15" customHeight="1">
      <c r="A65" s="468"/>
      <c r="B65" s="177"/>
      <c r="C65" s="183"/>
      <c r="D65" s="11"/>
      <c r="E65" s="12"/>
      <c r="F65" s="13"/>
      <c r="G65" s="177"/>
      <c r="H65" s="15"/>
      <c r="I65" s="177"/>
      <c r="J65" s="16"/>
      <c r="K65" s="82"/>
      <c r="L65" s="83"/>
      <c r="M65" s="180"/>
      <c r="N65" s="14"/>
      <c r="O65" s="17"/>
      <c r="P65" s="18"/>
      <c r="Q65" s="19"/>
      <c r="R65" s="185"/>
      <c r="S65" s="397"/>
      <c r="T65" s="20"/>
      <c r="U65" s="20"/>
      <c r="V65" s="177"/>
      <c r="W65" s="182">
        <f t="shared" si="13"/>
        <v>0</v>
      </c>
      <c r="X65" s="84"/>
      <c r="Y65" s="84"/>
      <c r="Z65" s="419"/>
      <c r="AA65" s="418"/>
      <c r="AB65" s="18"/>
      <c r="AC65" s="55"/>
      <c r="AD65" s="402"/>
    </row>
    <row r="66" spans="1:32" ht="15" customHeight="1">
      <c r="A66" s="468"/>
      <c r="B66" s="26"/>
      <c r="C66" s="27"/>
      <c r="D66" s="28"/>
      <c r="E66" s="29"/>
      <c r="F66" s="13"/>
      <c r="G66" s="183"/>
      <c r="H66" s="15">
        <f t="shared" si="52"/>
        <v>0</v>
      </c>
      <c r="I66" s="85"/>
      <c r="J66" s="16"/>
      <c r="K66" s="14"/>
      <c r="L66" s="17"/>
      <c r="M66" s="21"/>
      <c r="N66" s="36"/>
      <c r="O66" s="38"/>
      <c r="P66" s="39"/>
      <c r="Q66" s="40"/>
      <c r="R66" s="68"/>
      <c r="S66" s="397"/>
      <c r="T66" s="20"/>
      <c r="U66" s="20"/>
      <c r="V66" s="177"/>
      <c r="W66" s="182">
        <f t="shared" si="13"/>
        <v>0</v>
      </c>
      <c r="X66" s="84"/>
      <c r="Y66" s="84"/>
      <c r="Z66" s="405"/>
      <c r="AA66" s="405"/>
      <c r="AB66" s="18"/>
      <c r="AC66" s="55"/>
      <c r="AD66" s="402"/>
    </row>
    <row r="67" spans="1:32" ht="15" customHeight="1">
      <c r="A67" s="468"/>
      <c r="B67" s="26"/>
      <c r="C67" s="27"/>
      <c r="D67" s="28"/>
      <c r="E67" s="29"/>
      <c r="F67" s="13"/>
      <c r="G67" s="177"/>
      <c r="H67" s="15">
        <f t="shared" si="52"/>
        <v>0</v>
      </c>
      <c r="I67" s="177"/>
      <c r="J67" s="16"/>
      <c r="K67" s="14"/>
      <c r="L67" s="17"/>
      <c r="M67" s="21"/>
      <c r="N67" s="36"/>
      <c r="O67" s="38"/>
      <c r="P67" s="39"/>
      <c r="Q67" s="40"/>
      <c r="R67" s="68"/>
      <c r="S67" s="397"/>
      <c r="T67" s="20"/>
      <c r="U67" s="20"/>
      <c r="V67" s="177"/>
      <c r="W67" s="182">
        <f t="shared" si="13"/>
        <v>0</v>
      </c>
      <c r="X67" s="84"/>
      <c r="Y67" s="84"/>
      <c r="Z67" s="419"/>
      <c r="AA67" s="418"/>
      <c r="AB67" s="18"/>
      <c r="AC67" s="55"/>
      <c r="AD67" s="402"/>
    </row>
    <row r="68" spans="1:32" ht="15" customHeight="1">
      <c r="A68" s="468"/>
      <c r="B68" s="26"/>
      <c r="C68" s="27"/>
      <c r="D68" s="28"/>
      <c r="E68" s="29"/>
      <c r="F68" s="13"/>
      <c r="G68" s="183"/>
      <c r="H68" s="15">
        <f t="shared" si="52"/>
        <v>0</v>
      </c>
      <c r="I68" s="85"/>
      <c r="J68" s="16"/>
      <c r="K68" s="260"/>
      <c r="L68" s="261"/>
      <c r="M68" s="21"/>
      <c r="N68" s="36"/>
      <c r="O68" s="38"/>
      <c r="P68" s="39"/>
      <c r="Q68" s="40"/>
      <c r="R68" s="68"/>
      <c r="S68" s="397"/>
      <c r="T68" s="20"/>
      <c r="U68" s="20"/>
      <c r="V68" s="177"/>
      <c r="W68" s="182">
        <f t="shared" si="13"/>
        <v>0</v>
      </c>
      <c r="X68" s="84"/>
      <c r="Y68" s="84"/>
      <c r="Z68" s="419"/>
      <c r="AA68" s="418"/>
      <c r="AB68" s="18"/>
      <c r="AC68" s="55"/>
      <c r="AD68" s="402"/>
    </row>
    <row r="69" spans="1:32" ht="15" customHeight="1" thickBot="1">
      <c r="A69" s="469"/>
      <c r="B69" s="165"/>
      <c r="C69" s="1" t="s">
        <v>39</v>
      </c>
      <c r="D69" s="410" t="s">
        <v>7</v>
      </c>
      <c r="E69" s="410"/>
      <c r="F69" s="114"/>
      <c r="G69" s="115"/>
      <c r="H69" s="116"/>
      <c r="I69" s="170"/>
      <c r="J69" s="166">
        <f t="shared" ref="J69:O69" si="59">AVERAGE(J59:J68)</f>
        <v>12.5</v>
      </c>
      <c r="K69" s="166">
        <f t="shared" si="59"/>
        <v>1565</v>
      </c>
      <c r="L69" s="171">
        <f t="shared" si="59"/>
        <v>125.40064102564102</v>
      </c>
      <c r="M69" s="166">
        <f t="shared" si="59"/>
        <v>12.5</v>
      </c>
      <c r="N69" s="166">
        <f t="shared" si="59"/>
        <v>1341.7105263157898</v>
      </c>
      <c r="O69" s="171">
        <f t="shared" si="59"/>
        <v>107.39574898785426</v>
      </c>
      <c r="P69" s="172">
        <f>M69-J69</f>
        <v>0</v>
      </c>
      <c r="Q69" s="158">
        <f>N69-K69</f>
        <v>-223.28947368421018</v>
      </c>
      <c r="R69" s="121">
        <f>O69/L69</f>
        <v>0.85642105263157908</v>
      </c>
      <c r="S69" s="399"/>
      <c r="T69" s="122"/>
      <c r="U69" s="122"/>
      <c r="V69" s="195"/>
      <c r="W69" s="168"/>
      <c r="X69" s="124"/>
      <c r="Y69" s="124"/>
      <c r="Z69" s="405"/>
      <c r="AA69" s="405"/>
      <c r="AB69" s="119">
        <f>N69-K69</f>
        <v>-223.28947368421018</v>
      </c>
      <c r="AC69" s="187">
        <f>N69/K69</f>
        <v>0.85732302001008931</v>
      </c>
      <c r="AD69" s="404"/>
    </row>
    <row r="70" spans="1:32" ht="15" customHeight="1">
      <c r="A70" s="461" t="s">
        <v>58</v>
      </c>
      <c r="B70" s="199"/>
      <c r="C70" s="199"/>
      <c r="D70" s="103"/>
      <c r="E70" s="104"/>
      <c r="F70" s="199"/>
      <c r="G70" s="188"/>
      <c r="H70" s="106"/>
      <c r="I70" s="188"/>
      <c r="J70" s="108"/>
      <c r="K70" s="105"/>
      <c r="L70" s="109"/>
      <c r="M70" s="110"/>
      <c r="N70" s="105"/>
      <c r="O70" s="109"/>
      <c r="P70" s="111"/>
      <c r="Q70" s="112"/>
      <c r="R70" s="184"/>
      <c r="S70" s="396">
        <f>R79</f>
        <v>0</v>
      </c>
      <c r="T70" s="169"/>
      <c r="U70" s="169"/>
      <c r="V70" s="188"/>
      <c r="W70" s="107"/>
      <c r="X70" s="296"/>
      <c r="Y70" s="296"/>
      <c r="Z70" s="465"/>
      <c r="AA70" s="427"/>
      <c r="AB70" s="225">
        <f t="shared" ref="AB70:AB71" si="60">N70-K70</f>
        <v>0</v>
      </c>
      <c r="AC70" s="226" t="e">
        <f t="shared" ref="AC70:AC71" si="61">N70/K70</f>
        <v>#DIV/0!</v>
      </c>
      <c r="AD70" s="401" t="e">
        <f>AC79</f>
        <v>#DIV/0!</v>
      </c>
    </row>
    <row r="71" spans="1:32" ht="15" customHeight="1">
      <c r="A71" s="462"/>
      <c r="B71" s="56"/>
      <c r="C71" s="10"/>
      <c r="D71" s="11"/>
      <c r="E71" s="86"/>
      <c r="F71" s="56"/>
      <c r="G71" s="66"/>
      <c r="H71" s="76"/>
      <c r="I71" s="193"/>
      <c r="J71" s="16"/>
      <c r="K71" s="14"/>
      <c r="L71" s="17"/>
      <c r="M71" s="180"/>
      <c r="N71" s="14"/>
      <c r="O71" s="17"/>
      <c r="P71" s="18"/>
      <c r="Q71" s="19"/>
      <c r="R71" s="185"/>
      <c r="S71" s="397"/>
      <c r="T71" s="20"/>
      <c r="U71" s="20"/>
      <c r="V71" s="177"/>
      <c r="W71" s="182">
        <f t="shared" ref="W71:W78" si="62">(U71-T71)*24*60</f>
        <v>0</v>
      </c>
      <c r="X71" s="298"/>
      <c r="Y71" s="299"/>
      <c r="Z71" s="439" t="s">
        <v>211</v>
      </c>
      <c r="AA71" s="440"/>
      <c r="AB71" s="39">
        <f t="shared" si="60"/>
        <v>0</v>
      </c>
      <c r="AC71" s="190" t="e">
        <f t="shared" si="61"/>
        <v>#DIV/0!</v>
      </c>
      <c r="AD71" s="447"/>
    </row>
    <row r="72" spans="1:32" ht="15" customHeight="1">
      <c r="A72" s="462"/>
      <c r="B72" s="56"/>
      <c r="C72" s="10"/>
      <c r="D72" s="11"/>
      <c r="E72" s="86"/>
      <c r="F72" s="56"/>
      <c r="G72" s="66"/>
      <c r="H72" s="76"/>
      <c r="I72" s="193"/>
      <c r="J72" s="16"/>
      <c r="K72" s="14"/>
      <c r="L72" s="17"/>
      <c r="M72" s="180"/>
      <c r="N72" s="14"/>
      <c r="O72" s="17"/>
      <c r="P72" s="18"/>
      <c r="Q72" s="19"/>
      <c r="R72" s="185"/>
      <c r="S72" s="397"/>
      <c r="T72" s="20"/>
      <c r="U72" s="20"/>
      <c r="V72" s="177"/>
      <c r="W72" s="182">
        <f t="shared" si="62"/>
        <v>0</v>
      </c>
      <c r="X72" s="297"/>
      <c r="Y72" s="297"/>
      <c r="Z72" s="405"/>
      <c r="AA72" s="419"/>
      <c r="AB72" s="39"/>
      <c r="AC72" s="190"/>
      <c r="AD72" s="447"/>
    </row>
    <row r="73" spans="1:32" ht="15" customHeight="1">
      <c r="A73" s="462"/>
      <c r="B73" s="56"/>
      <c r="C73" s="23"/>
      <c r="D73" s="11"/>
      <c r="E73" s="12"/>
      <c r="F73" s="56"/>
      <c r="G73" s="66"/>
      <c r="H73" s="76"/>
      <c r="I73" s="193"/>
      <c r="J73" s="16"/>
      <c r="K73" s="14"/>
      <c r="L73" s="17"/>
      <c r="M73" s="180"/>
      <c r="N73" s="14"/>
      <c r="O73" s="17"/>
      <c r="P73" s="18"/>
      <c r="Q73" s="19"/>
      <c r="R73" s="185"/>
      <c r="S73" s="397"/>
      <c r="T73" s="20"/>
      <c r="U73" s="20"/>
      <c r="V73" s="177"/>
      <c r="W73" s="182">
        <f t="shared" si="62"/>
        <v>0</v>
      </c>
      <c r="X73" s="22"/>
      <c r="Y73" s="22"/>
      <c r="Z73" s="405"/>
      <c r="AA73" s="419"/>
      <c r="AB73" s="39"/>
      <c r="AC73" s="190"/>
      <c r="AD73" s="447"/>
    </row>
    <row r="74" spans="1:32" ht="15" customHeight="1">
      <c r="A74" s="462"/>
      <c r="B74" s="56"/>
      <c r="C74" s="249"/>
      <c r="D74" s="250"/>
      <c r="E74" s="251"/>
      <c r="F74" s="56"/>
      <c r="G74" s="238"/>
      <c r="H74" s="76">
        <f t="shared" ref="H74:H78" si="63">F74*G74</f>
        <v>0</v>
      </c>
      <c r="I74" s="81"/>
      <c r="J74" s="234"/>
      <c r="K74" s="36"/>
      <c r="L74" s="235"/>
      <c r="M74" s="21"/>
      <c r="N74" s="36"/>
      <c r="O74" s="38"/>
      <c r="P74" s="39"/>
      <c r="Q74" s="40"/>
      <c r="R74" s="190"/>
      <c r="S74" s="397"/>
      <c r="T74" s="20"/>
      <c r="U74" s="20"/>
      <c r="V74" s="177"/>
      <c r="W74" s="182">
        <f t="shared" si="62"/>
        <v>0</v>
      </c>
      <c r="X74" s="22"/>
      <c r="Y74" s="22"/>
      <c r="Z74" s="405"/>
      <c r="AA74" s="419"/>
      <c r="AB74" s="39"/>
      <c r="AC74" s="190"/>
      <c r="AD74" s="447"/>
    </row>
    <row r="75" spans="1:32" ht="15" customHeight="1">
      <c r="A75" s="462"/>
      <c r="B75" s="177"/>
      <c r="C75" s="183"/>
      <c r="D75" s="11"/>
      <c r="E75" s="12"/>
      <c r="F75" s="13"/>
      <c r="G75" s="177"/>
      <c r="H75" s="15">
        <f t="shared" si="63"/>
        <v>0</v>
      </c>
      <c r="I75" s="81"/>
      <c r="J75" s="87"/>
      <c r="K75" s="82"/>
      <c r="L75" s="83"/>
      <c r="M75" s="181"/>
      <c r="N75" s="82"/>
      <c r="O75" s="83"/>
      <c r="P75" s="73"/>
      <c r="Q75" s="74"/>
      <c r="R75" s="192"/>
      <c r="S75" s="397"/>
      <c r="T75" s="20"/>
      <c r="U75" s="20"/>
      <c r="V75" s="177"/>
      <c r="W75" s="88">
        <f t="shared" si="62"/>
        <v>0</v>
      </c>
      <c r="X75" s="89"/>
      <c r="Y75" s="89"/>
      <c r="Z75" s="406"/>
      <c r="AA75" s="406"/>
      <c r="AB75" s="306"/>
      <c r="AC75" s="307"/>
      <c r="AD75" s="402"/>
    </row>
    <row r="76" spans="1:32" ht="15" customHeight="1">
      <c r="A76" s="462"/>
      <c r="B76" s="26"/>
      <c r="C76" s="27"/>
      <c r="D76" s="28"/>
      <c r="E76" s="29"/>
      <c r="F76" s="13"/>
      <c r="G76" s="177"/>
      <c r="H76" s="15">
        <f t="shared" si="63"/>
        <v>0</v>
      </c>
      <c r="I76" s="81"/>
      <c r="J76" s="87"/>
      <c r="K76" s="82"/>
      <c r="L76" s="83"/>
      <c r="M76" s="181"/>
      <c r="N76" s="82"/>
      <c r="O76" s="83"/>
      <c r="P76" s="73"/>
      <c r="Q76" s="74"/>
      <c r="R76" s="192"/>
      <c r="S76" s="398"/>
      <c r="T76" s="20"/>
      <c r="U76" s="20"/>
      <c r="V76" s="177"/>
      <c r="W76" s="90">
        <f t="shared" si="62"/>
        <v>0</v>
      </c>
      <c r="X76" s="78"/>
      <c r="Y76" s="78"/>
      <c r="Z76" s="445"/>
      <c r="AA76" s="445"/>
      <c r="AB76" s="51"/>
      <c r="AC76" s="52"/>
      <c r="AD76" s="403"/>
    </row>
    <row r="77" spans="1:32" ht="15" customHeight="1">
      <c r="A77" s="462"/>
      <c r="B77" s="26"/>
      <c r="C77" s="27"/>
      <c r="D77" s="28"/>
      <c r="E77" s="29"/>
      <c r="F77" s="13"/>
      <c r="G77" s="177"/>
      <c r="H77" s="15">
        <f t="shared" si="63"/>
        <v>0</v>
      </c>
      <c r="I77" s="81"/>
      <c r="J77" s="87"/>
      <c r="K77" s="82"/>
      <c r="L77" s="83"/>
      <c r="M77" s="181"/>
      <c r="N77" s="82"/>
      <c r="O77" s="83"/>
      <c r="P77" s="73"/>
      <c r="Q77" s="74"/>
      <c r="R77" s="192"/>
      <c r="S77" s="398"/>
      <c r="T77" s="20"/>
      <c r="U77" s="20"/>
      <c r="V77" s="177"/>
      <c r="W77" s="182">
        <f t="shared" si="62"/>
        <v>0</v>
      </c>
      <c r="X77" s="84"/>
      <c r="Y77" s="84"/>
      <c r="Z77" s="405"/>
      <c r="AA77" s="405"/>
      <c r="AB77" s="18"/>
      <c r="AC77" s="55"/>
      <c r="AD77" s="403"/>
    </row>
    <row r="78" spans="1:32" ht="15" customHeight="1">
      <c r="A78" s="462"/>
      <c r="B78" s="26"/>
      <c r="C78" s="27"/>
      <c r="D78" s="28"/>
      <c r="E78" s="29"/>
      <c r="F78" s="13"/>
      <c r="G78" s="177"/>
      <c r="H78" s="15">
        <f t="shared" si="63"/>
        <v>0</v>
      </c>
      <c r="I78" s="85"/>
      <c r="J78" s="37"/>
      <c r="K78" s="36"/>
      <c r="L78" s="83"/>
      <c r="M78" s="21"/>
      <c r="N78" s="36"/>
      <c r="O78" s="38"/>
      <c r="P78" s="39"/>
      <c r="Q78" s="40"/>
      <c r="R78" s="190"/>
      <c r="S78" s="464"/>
      <c r="T78" s="32"/>
      <c r="U78" s="32"/>
      <c r="V78" s="178"/>
      <c r="W78" s="182">
        <f t="shared" si="62"/>
        <v>0</v>
      </c>
      <c r="X78" s="91"/>
      <c r="Y78" s="91"/>
      <c r="Z78" s="405"/>
      <c r="AA78" s="405"/>
      <c r="AB78" s="34"/>
      <c r="AC78" s="57"/>
      <c r="AD78" s="403"/>
    </row>
    <row r="79" spans="1:32" ht="15" customHeight="1" thickBot="1">
      <c r="A79" s="463"/>
      <c r="B79" s="165"/>
      <c r="C79" s="1" t="s">
        <v>40</v>
      </c>
      <c r="D79" s="410" t="s">
        <v>7</v>
      </c>
      <c r="E79" s="410"/>
      <c r="F79" s="114"/>
      <c r="G79" s="115"/>
      <c r="H79" s="173"/>
      <c r="I79" s="171"/>
      <c r="J79" s="166"/>
      <c r="K79" s="166"/>
      <c r="L79" s="171"/>
      <c r="M79" s="166"/>
      <c r="N79" s="166"/>
      <c r="O79" s="171"/>
      <c r="P79" s="172"/>
      <c r="Q79" s="158"/>
      <c r="R79" s="159"/>
      <c r="S79" s="399"/>
      <c r="T79" s="122"/>
      <c r="U79" s="122"/>
      <c r="V79" s="195"/>
      <c r="W79" s="168"/>
      <c r="X79" s="124"/>
      <c r="Y79" s="124"/>
      <c r="Z79" s="391"/>
      <c r="AA79" s="391"/>
      <c r="AB79" s="119">
        <f>N79-K79</f>
        <v>0</v>
      </c>
      <c r="AC79" s="187" t="e">
        <f>N79/K79</f>
        <v>#DIV/0!</v>
      </c>
      <c r="AD79" s="404"/>
    </row>
    <row r="80" spans="1:32">
      <c r="AF80" s="93" t="s">
        <v>41</v>
      </c>
    </row>
    <row r="81" spans="4:32">
      <c r="AF81" s="93" t="s">
        <v>42</v>
      </c>
    </row>
    <row r="82" spans="4:32">
      <c r="AF82" s="93" t="s">
        <v>43</v>
      </c>
    </row>
    <row r="83" spans="4:32">
      <c r="D83" s="220"/>
      <c r="W83" s="6"/>
      <c r="AF83" s="93" t="s">
        <v>44</v>
      </c>
    </row>
    <row r="84" spans="4:32">
      <c r="D84" s="224"/>
      <c r="W84" s="6"/>
      <c r="AF84" s="93" t="s">
        <v>45</v>
      </c>
    </row>
    <row r="85" spans="4:32">
      <c r="D85" s="224"/>
      <c r="W85" s="6"/>
      <c r="AF85" s="93" t="s">
        <v>46</v>
      </c>
    </row>
    <row r="86" spans="4:32">
      <c r="D86" s="155"/>
      <c r="W86" s="6"/>
      <c r="AF86" s="93" t="s">
        <v>47</v>
      </c>
    </row>
    <row r="87" spans="4:32">
      <c r="W87" s="6"/>
      <c r="AF87" s="93" t="s">
        <v>48</v>
      </c>
    </row>
    <row r="88" spans="4:32">
      <c r="W88" s="6"/>
      <c r="AF88" s="93" t="s">
        <v>49</v>
      </c>
    </row>
    <row r="89" spans="4:32">
      <c r="W89" s="6"/>
      <c r="AF89" s="93" t="s">
        <v>50</v>
      </c>
    </row>
    <row r="90" spans="4:32">
      <c r="W90" s="6"/>
      <c r="AF90" s="93" t="s">
        <v>51</v>
      </c>
    </row>
    <row r="91" spans="4:32">
      <c r="W91" s="6"/>
      <c r="AF91" s="93" t="s">
        <v>52</v>
      </c>
    </row>
    <row r="92" spans="4:32">
      <c r="W92" s="6"/>
      <c r="AF92" s="93" t="s">
        <v>53</v>
      </c>
    </row>
  </sheetData>
  <autoFilter ref="D1:D92" xr:uid="{EF5AD393-5A39-4C0E-A7B0-465235F2AB14}"/>
  <mergeCells count="135">
    <mergeCell ref="P1:S2"/>
    <mergeCell ref="T1:Y2"/>
    <mergeCell ref="Z1:AA2"/>
    <mergeCell ref="AB1:AD2"/>
    <mergeCell ref="H3:H4"/>
    <mergeCell ref="I3:I4"/>
    <mergeCell ref="J3:J4"/>
    <mergeCell ref="K3:K4"/>
    <mergeCell ref="L3:L4"/>
    <mergeCell ref="M3:M4"/>
    <mergeCell ref="AC3:AC4"/>
    <mergeCell ref="AD3:AD4"/>
    <mergeCell ref="P3:P4"/>
    <mergeCell ref="Q3:Q4"/>
    <mergeCell ref="R3:R4"/>
    <mergeCell ref="A2:B2"/>
    <mergeCell ref="A3:A4"/>
    <mergeCell ref="B3:B4"/>
    <mergeCell ref="D3:E4"/>
    <mergeCell ref="F3:F4"/>
    <mergeCell ref="G3:G4"/>
    <mergeCell ref="J1:L2"/>
    <mergeCell ref="M1:O2"/>
    <mergeCell ref="D15:E15"/>
    <mergeCell ref="A5:A15"/>
    <mergeCell ref="N3:N4"/>
    <mergeCell ref="O3:O4"/>
    <mergeCell ref="S5:S15"/>
    <mergeCell ref="Z5:AA5"/>
    <mergeCell ref="AD5:AD15"/>
    <mergeCell ref="Z6:AA6"/>
    <mergeCell ref="Z7:AA7"/>
    <mergeCell ref="Z8:AA8"/>
    <mergeCell ref="Z9:AA9"/>
    <mergeCell ref="T3:U3"/>
    <mergeCell ref="V3:V4"/>
    <mergeCell ref="W3:W4"/>
    <mergeCell ref="X3:Y3"/>
    <mergeCell ref="Z3:AA4"/>
    <mergeCell ref="AB3:AB4"/>
    <mergeCell ref="S3:S4"/>
    <mergeCell ref="AD16:AD26"/>
    <mergeCell ref="Z17:AA17"/>
    <mergeCell ref="Z18:AA18"/>
    <mergeCell ref="Z19:AA19"/>
    <mergeCell ref="Z20:AA20"/>
    <mergeCell ref="Z21:AA21"/>
    <mergeCell ref="Z22:AA22"/>
    <mergeCell ref="Z10:AA10"/>
    <mergeCell ref="Z11:AA11"/>
    <mergeCell ref="Z12:AA12"/>
    <mergeCell ref="Z13:AA13"/>
    <mergeCell ref="Z14:AA14"/>
    <mergeCell ref="Z23:AA23"/>
    <mergeCell ref="Z24:AA24"/>
    <mergeCell ref="Z25:AA25"/>
    <mergeCell ref="Z15:AA15"/>
    <mergeCell ref="D26:E26"/>
    <mergeCell ref="Z26:AA26"/>
    <mergeCell ref="A27:A37"/>
    <mergeCell ref="S27:S37"/>
    <mergeCell ref="Z27:AA27"/>
    <mergeCell ref="D37:E37"/>
    <mergeCell ref="Z37:AA37"/>
    <mergeCell ref="A16:A26"/>
    <mergeCell ref="S16:S26"/>
    <mergeCell ref="Z16:AA16"/>
    <mergeCell ref="AD38:AD48"/>
    <mergeCell ref="Z39:AA39"/>
    <mergeCell ref="Z40:AA40"/>
    <mergeCell ref="Z41:AA41"/>
    <mergeCell ref="Z42:AA42"/>
    <mergeCell ref="Z43:AA43"/>
    <mergeCell ref="Z44:AA44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Z45:AA45"/>
    <mergeCell ref="Z46:AA46"/>
    <mergeCell ref="Z47:AA47"/>
    <mergeCell ref="D48:E48"/>
    <mergeCell ref="Z48:AA48"/>
    <mergeCell ref="A49:A58"/>
    <mergeCell ref="S49:S58"/>
    <mergeCell ref="Z49:AA49"/>
    <mergeCell ref="D58:E58"/>
    <mergeCell ref="A38:A48"/>
    <mergeCell ref="S38:S48"/>
    <mergeCell ref="Z38:AA38"/>
    <mergeCell ref="AD59:AD69"/>
    <mergeCell ref="Z60:AA60"/>
    <mergeCell ref="Z61:AA61"/>
    <mergeCell ref="Z62:AA62"/>
    <mergeCell ref="Z63:AA63"/>
    <mergeCell ref="Z64:AA64"/>
    <mergeCell ref="Z65:AA65"/>
    <mergeCell ref="AD49:AD58"/>
    <mergeCell ref="Z50:AA50"/>
    <mergeCell ref="Z51:AA51"/>
    <mergeCell ref="Z52:AA52"/>
    <mergeCell ref="Z53:AA53"/>
    <mergeCell ref="Z54:AA54"/>
    <mergeCell ref="Z55:AA55"/>
    <mergeCell ref="Z56:AA56"/>
    <mergeCell ref="Z57:AA57"/>
    <mergeCell ref="Z58:AA58"/>
    <mergeCell ref="Z66:AA66"/>
    <mergeCell ref="Z67:AA67"/>
    <mergeCell ref="Z68:AA68"/>
    <mergeCell ref="D69:E69"/>
    <mergeCell ref="Z69:AA69"/>
    <mergeCell ref="A70:A79"/>
    <mergeCell ref="S70:S79"/>
    <mergeCell ref="Z70:AA70"/>
    <mergeCell ref="D79:E79"/>
    <mergeCell ref="A59:A69"/>
    <mergeCell ref="S59:S69"/>
    <mergeCell ref="Z59:AA59"/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</mergeCells>
  <phoneticPr fontId="2" type="noConversion"/>
  <conditionalFormatting sqref="P5:P79">
    <cfRule type="cellIs" dxfId="128" priority="1" operator="greaterThan">
      <formula>0</formula>
    </cfRule>
  </conditionalFormatting>
  <conditionalFormatting sqref="Q5:Q79 AB5:AB79">
    <cfRule type="cellIs" dxfId="127" priority="4" operator="lessThan">
      <formula>0</formula>
    </cfRule>
  </conditionalFormatting>
  <conditionalFormatting sqref="R5:R79 AC5:AC79">
    <cfRule type="cellIs" dxfId="126" priority="2" operator="greaterThan">
      <formula>1</formula>
    </cfRule>
    <cfRule type="cellIs" dxfId="125" priority="3" operator="lessThan">
      <formula>0.8</formula>
    </cfRule>
  </conditionalFormatting>
  <conditionalFormatting sqref="S5:S10 S37:S62 AD59:AD62 S69:S76 AD69:AD76">
    <cfRule type="cellIs" dxfId="124" priority="7" operator="lessThan">
      <formula>0.8</formula>
    </cfRule>
  </conditionalFormatting>
  <conditionalFormatting sqref="S19:S25 AD19:AD25">
    <cfRule type="cellIs" dxfId="123" priority="6" operator="lessThan">
      <formula>0.8</formula>
    </cfRule>
  </conditionalFormatting>
  <conditionalFormatting sqref="S79">
    <cfRule type="cellIs" dxfId="122" priority="5" operator="lessThan">
      <formula>0.8</formula>
    </cfRule>
  </conditionalFormatting>
  <conditionalFormatting sqref="AD5:AD8 S15:S16 AD15:AD16 AD49 AD79">
    <cfRule type="cellIs" dxfId="121" priority="9" operator="lessThan">
      <formula>0.8</formula>
    </cfRule>
  </conditionalFormatting>
  <conditionalFormatting sqref="AD27 S27:S28">
    <cfRule type="cellIs" dxfId="12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ED496BF-2978-4691-904A-05AE611EB847}">
          <x14:formula1>
            <xm:f>廠價表!$C$2:$C$37</xm:f>
          </x14:formula1>
          <xm:sqref>D1:D1048576</xm:sqref>
        </x14:dataValidation>
      </x14:dataValidation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98B6F-D4BD-4ABA-9BEF-0176F2D531EC}">
  <sheetPr>
    <pageSetUpPr fitToPage="1"/>
  </sheetPr>
  <dimension ref="B1:O22"/>
  <sheetViews>
    <sheetView zoomScale="70" zoomScaleNormal="70" workbookViewId="0">
      <selection activeCell="U20" sqref="U20"/>
    </sheetView>
  </sheetViews>
  <sheetFormatPr defaultColWidth="8.125" defaultRowHeight="15.75"/>
  <cols>
    <col min="1" max="1" width="8.125" style="203"/>
    <col min="2" max="2" width="7.125" style="203" customWidth="1"/>
    <col min="3" max="3" width="7.125" style="218" customWidth="1"/>
    <col min="4" max="17" width="14.125" style="203" customWidth="1"/>
    <col min="18" max="21" width="9.625" style="203" customWidth="1"/>
    <col min="22" max="22" width="11.125" style="203" customWidth="1"/>
    <col min="23" max="23" width="11.5" style="203" customWidth="1"/>
    <col min="24" max="16384" width="8.125" style="203"/>
  </cols>
  <sheetData>
    <row r="1" spans="2:15" ht="27.75" customHeight="1">
      <c r="B1" s="345" t="s">
        <v>73</v>
      </c>
      <c r="C1" s="345"/>
      <c r="D1" s="345"/>
      <c r="E1" s="345"/>
      <c r="F1" s="345"/>
      <c r="G1" s="345"/>
      <c r="H1" s="345"/>
      <c r="I1" s="345"/>
      <c r="J1" s="345"/>
      <c r="K1" s="345"/>
      <c r="L1" s="202"/>
      <c r="M1" s="202"/>
    </row>
    <row r="2" spans="2:15" ht="27.75" customHeight="1"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202"/>
      <c r="M2" s="202"/>
    </row>
    <row r="3" spans="2:15" ht="46.5" customHeight="1">
      <c r="B3" s="342" t="s">
        <v>74</v>
      </c>
      <c r="C3" s="342"/>
      <c r="D3" s="346">
        <v>45980</v>
      </c>
      <c r="E3" s="346"/>
      <c r="F3" s="204" t="s">
        <v>75</v>
      </c>
      <c r="G3" s="347">
        <f>'1119'!E1</f>
        <v>55596</v>
      </c>
      <c r="H3" s="347"/>
      <c r="I3" s="204" t="s">
        <v>76</v>
      </c>
      <c r="J3" s="348">
        <f>'1119'!G1</f>
        <v>2727110.8199999994</v>
      </c>
      <c r="K3" s="348"/>
      <c r="L3" s="205"/>
    </row>
    <row r="4" spans="2:15" ht="24" customHeight="1">
      <c r="B4" s="342" t="s">
        <v>77</v>
      </c>
      <c r="C4" s="342"/>
      <c r="D4" s="343">
        <v>3</v>
      </c>
      <c r="E4" s="343"/>
      <c r="F4" s="344" t="s">
        <v>78</v>
      </c>
      <c r="G4" s="344"/>
      <c r="H4" s="344" t="s">
        <v>79</v>
      </c>
      <c r="I4" s="344"/>
      <c r="J4" s="343" t="s">
        <v>80</v>
      </c>
      <c r="K4" s="344"/>
      <c r="L4" s="206"/>
    </row>
    <row r="5" spans="2:15" ht="24" customHeight="1">
      <c r="B5" s="342" t="s">
        <v>81</v>
      </c>
      <c r="C5" s="342"/>
      <c r="D5" s="343" t="s">
        <v>82</v>
      </c>
      <c r="E5" s="343"/>
      <c r="F5" s="343" t="s">
        <v>83</v>
      </c>
      <c r="G5" s="343"/>
      <c r="H5" s="369" t="s">
        <v>62</v>
      </c>
      <c r="I5" s="369"/>
      <c r="J5" s="341" t="s">
        <v>84</v>
      </c>
      <c r="K5" s="341"/>
      <c r="L5" s="207"/>
    </row>
    <row r="6" spans="2:15" ht="39.6" customHeight="1">
      <c r="B6" s="342"/>
      <c r="C6" s="342"/>
      <c r="D6" s="342" t="s">
        <v>85</v>
      </c>
      <c r="E6" s="342"/>
      <c r="F6" s="356">
        <f>AVERAGE(D13:J13)</f>
        <v>112.57258578825143</v>
      </c>
      <c r="G6" s="356"/>
      <c r="H6" s="349">
        <f>AVERAGE(D13:H13)</f>
        <v>109.80633371513247</v>
      </c>
      <c r="I6" s="349"/>
      <c r="J6" s="349">
        <f>AVERAGE(I13:J13)</f>
        <v>126.40384615384615</v>
      </c>
      <c r="K6" s="349"/>
      <c r="L6" s="207"/>
    </row>
    <row r="7" spans="2:15" s="208" customFormat="1" ht="39.6" customHeight="1">
      <c r="B7" s="342"/>
      <c r="C7" s="342"/>
      <c r="D7" s="350" t="s">
        <v>86</v>
      </c>
      <c r="E7" s="350"/>
      <c r="F7" s="351">
        <f>AVERAGE(D14:J14)</f>
        <v>100.92957614046007</v>
      </c>
      <c r="G7" s="351"/>
      <c r="H7" s="352">
        <f>AVERAGE(D14:H14)</f>
        <v>100.37337000397289</v>
      </c>
      <c r="I7" s="352"/>
      <c r="J7" s="352">
        <f>AVERAGE(I14:J14)</f>
        <v>103.71060682289594</v>
      </c>
      <c r="K7" s="352"/>
    </row>
    <row r="8" spans="2:15" s="208" customFormat="1" ht="39.6" customHeight="1">
      <c r="B8" s="342"/>
      <c r="C8" s="342"/>
      <c r="D8" s="350" t="s">
        <v>87</v>
      </c>
      <c r="E8" s="350"/>
      <c r="F8" s="353">
        <f>AVERAGE(D15:J15)</f>
        <v>0.89544337624486625</v>
      </c>
      <c r="G8" s="353"/>
      <c r="H8" s="353">
        <f>AVERAGE(D15:H15)</f>
        <v>0.91043798319045932</v>
      </c>
      <c r="I8" s="353"/>
      <c r="J8" s="353">
        <f>AVERAGE(I15:J15)</f>
        <v>0.82047034151690079</v>
      </c>
      <c r="K8" s="353"/>
      <c r="L8" s="209" t="s">
        <v>88</v>
      </c>
    </row>
    <row r="9" spans="2:15" ht="25.5" customHeight="1">
      <c r="B9" s="207"/>
      <c r="C9" s="207"/>
      <c r="D9" s="207"/>
      <c r="E9" s="207"/>
      <c r="F9" s="207"/>
      <c r="G9" s="207"/>
      <c r="H9" s="210"/>
      <c r="I9" s="211"/>
      <c r="J9" s="211"/>
      <c r="K9" s="211"/>
      <c r="L9" s="211"/>
      <c r="M9" s="211"/>
      <c r="N9" s="211"/>
      <c r="O9" s="207"/>
    </row>
    <row r="10" spans="2:15" ht="30" customHeight="1">
      <c r="B10" s="354" t="s">
        <v>0</v>
      </c>
      <c r="C10" s="355"/>
      <c r="D10" s="357" t="s">
        <v>89</v>
      </c>
      <c r="E10" s="358"/>
      <c r="F10" s="358"/>
      <c r="G10" s="358"/>
      <c r="H10" s="358"/>
      <c r="I10" s="358"/>
      <c r="J10" s="359"/>
    </row>
    <row r="11" spans="2:15" ht="17.25" customHeight="1">
      <c r="B11" s="360" t="s">
        <v>90</v>
      </c>
      <c r="C11" s="361"/>
      <c r="D11" s="212">
        <v>1</v>
      </c>
      <c r="E11" s="212">
        <v>2</v>
      </c>
      <c r="F11" s="212">
        <v>3</v>
      </c>
      <c r="G11" s="212">
        <v>4</v>
      </c>
      <c r="H11" s="212">
        <v>5</v>
      </c>
      <c r="I11" s="212">
        <v>6</v>
      </c>
      <c r="J11" s="212">
        <v>7</v>
      </c>
    </row>
    <row r="12" spans="2:15" ht="33.950000000000003" customHeight="1">
      <c r="B12" s="362"/>
      <c r="C12" s="363"/>
      <c r="D12" s="213" t="s">
        <v>91</v>
      </c>
      <c r="E12" s="213" t="s">
        <v>92</v>
      </c>
      <c r="F12" s="213" t="s">
        <v>93</v>
      </c>
      <c r="G12" s="213" t="s">
        <v>94</v>
      </c>
      <c r="H12" s="213" t="s">
        <v>95</v>
      </c>
      <c r="I12" s="213" t="s">
        <v>96</v>
      </c>
      <c r="J12" s="213" t="s">
        <v>97</v>
      </c>
    </row>
    <row r="13" spans="2:15" ht="39.950000000000003" customHeight="1">
      <c r="B13" s="364" t="s">
        <v>1</v>
      </c>
      <c r="C13" s="214" t="s">
        <v>98</v>
      </c>
      <c r="D13" s="215">
        <f>VALUE('1119'!L15)</f>
        <v>129.29621848739495</v>
      </c>
      <c r="E13" s="215">
        <f>VALUE('1119'!L26)</f>
        <v>142.68131868131869</v>
      </c>
      <c r="F13" s="215">
        <f>VALUE('1119'!L37)</f>
        <v>89.189542483660134</v>
      </c>
      <c r="G13" s="215">
        <f>VALUE('1119'!L48)</f>
        <v>99.813333333333318</v>
      </c>
      <c r="H13" s="215">
        <f>VALUE('1119'!L58)</f>
        <v>88.051255589955289</v>
      </c>
      <c r="I13" s="215">
        <f>VALUE('1119'!L69)</f>
        <v>126.40384615384615</v>
      </c>
      <c r="J13" s="215"/>
    </row>
    <row r="14" spans="2:15" ht="39.950000000000003" customHeight="1">
      <c r="B14" s="365"/>
      <c r="C14" s="214" t="s">
        <v>99</v>
      </c>
      <c r="D14" s="215">
        <f>VALUE('1119'!O15)</f>
        <v>123.05646744015645</v>
      </c>
      <c r="E14" s="215">
        <f>VALUE('1119'!O26)</f>
        <v>130.75072061155643</v>
      </c>
      <c r="F14" s="215">
        <f>VALUE('1119'!O37)</f>
        <v>81.008817204301153</v>
      </c>
      <c r="G14" s="215">
        <f>VALUE('1119'!O48)</f>
        <v>90.71877977095366</v>
      </c>
      <c r="H14" s="215">
        <f>VALUE('1119'!O58)</f>
        <v>76.332064992896733</v>
      </c>
      <c r="I14" s="215">
        <f>VALUE('1119'!O69)</f>
        <v>103.71060682289594</v>
      </c>
      <c r="J14" s="215"/>
    </row>
    <row r="15" spans="2:15" ht="39.950000000000003" customHeight="1">
      <c r="B15" s="366"/>
      <c r="C15" s="212" t="s">
        <v>100</v>
      </c>
      <c r="D15" s="233">
        <f>D14/D13</f>
        <v>0.95174065320520718</v>
      </c>
      <c r="E15" s="233">
        <f t="shared" ref="E15:I15" si="0">E14/E13</f>
        <v>0.91638290015801249</v>
      </c>
      <c r="F15" s="233">
        <f t="shared" si="0"/>
        <v>0.9082770798957992</v>
      </c>
      <c r="G15" s="233">
        <f t="shared" si="0"/>
        <v>0.90888438188906295</v>
      </c>
      <c r="H15" s="233">
        <f t="shared" si="0"/>
        <v>0.86690490080421456</v>
      </c>
      <c r="I15" s="233">
        <f t="shared" si="0"/>
        <v>0.82047034151690079</v>
      </c>
      <c r="J15" s="233"/>
    </row>
    <row r="16" spans="2:15" ht="17.25" customHeight="1">
      <c r="B16" s="367" t="s">
        <v>101</v>
      </c>
      <c r="C16" s="212" t="s">
        <v>102</v>
      </c>
      <c r="D16" s="95">
        <f>'1119'!T5</f>
        <v>0.2902777777777778</v>
      </c>
      <c r="E16" s="95">
        <f>'1119'!T16</f>
        <v>0.29097222222222224</v>
      </c>
      <c r="F16" s="95">
        <f>'1119'!T27</f>
        <v>0.29166666666666669</v>
      </c>
      <c r="G16" s="95">
        <f>'1119'!T38</f>
        <v>0.33333333333333331</v>
      </c>
      <c r="H16" s="95">
        <f>'1119'!T49</f>
        <v>0.33333333333333331</v>
      </c>
      <c r="I16" s="95">
        <f>'1119'!T59</f>
        <v>0.29166666666666669</v>
      </c>
      <c r="J16" s="272"/>
    </row>
    <row r="17" spans="2:10" ht="17.25" customHeight="1">
      <c r="B17" s="368"/>
      <c r="C17" s="212" t="s">
        <v>103</v>
      </c>
      <c r="D17" s="79">
        <v>0.60763888888888884</v>
      </c>
      <c r="E17" s="79">
        <v>0.65625</v>
      </c>
      <c r="F17" s="41">
        <v>0.65486111111111112</v>
      </c>
      <c r="G17" s="75">
        <v>0.6743055555555556</v>
      </c>
      <c r="H17" s="79">
        <v>0.69444444444444442</v>
      </c>
      <c r="I17" s="20">
        <v>0.64097222222222228</v>
      </c>
      <c r="J17" s="20"/>
    </row>
    <row r="18" spans="2:10" ht="17.25" customHeight="1">
      <c r="B18" s="354" t="s">
        <v>104</v>
      </c>
      <c r="C18" s="355"/>
      <c r="D18" s="216">
        <f>VALUE('1119'!M15)</f>
        <v>15</v>
      </c>
      <c r="E18" s="216">
        <f>VALUE('1119'!M26)</f>
        <v>13.8</v>
      </c>
      <c r="F18" s="216">
        <f>VALUE('1119'!M37)</f>
        <v>16.2</v>
      </c>
      <c r="G18" s="216">
        <f>VALUE('1119'!M48)</f>
        <v>15</v>
      </c>
      <c r="H18" s="216">
        <f>VALUE('1119'!M58)</f>
        <v>18</v>
      </c>
      <c r="I18" s="216">
        <f>VALUE('1119'!M69)</f>
        <v>12.4</v>
      </c>
      <c r="J18" s="216"/>
    </row>
    <row r="19" spans="2:10" ht="17.25" customHeight="1">
      <c r="B19" s="354" t="s">
        <v>105</v>
      </c>
      <c r="C19" s="355"/>
      <c r="D19" s="213" t="s">
        <v>106</v>
      </c>
      <c r="E19" s="213" t="s">
        <v>106</v>
      </c>
      <c r="F19" s="213" t="s">
        <v>107</v>
      </c>
      <c r="G19" s="213" t="s">
        <v>107</v>
      </c>
      <c r="H19" s="213" t="s">
        <v>107</v>
      </c>
      <c r="I19" s="213" t="s">
        <v>108</v>
      </c>
      <c r="J19" s="213"/>
    </row>
    <row r="20" spans="2:10" ht="17.25" customHeight="1">
      <c r="B20" s="354" t="s">
        <v>110</v>
      </c>
      <c r="C20" s="355"/>
      <c r="D20" s="213"/>
      <c r="E20" s="213"/>
      <c r="F20" s="213"/>
      <c r="G20" s="217"/>
      <c r="H20" s="213" t="s">
        <v>109</v>
      </c>
      <c r="I20" s="213"/>
      <c r="J20" s="213"/>
    </row>
    <row r="21" spans="2:10" ht="17.25" customHeight="1">
      <c r="B21" s="354" t="s">
        <v>111</v>
      </c>
      <c r="C21" s="355"/>
      <c r="D21" s="273"/>
      <c r="E21" s="273"/>
      <c r="F21" s="273"/>
      <c r="G21" s="273"/>
      <c r="H21" s="273"/>
      <c r="I21" s="273"/>
      <c r="J21" s="273"/>
    </row>
    <row r="22" spans="2:10">
      <c r="B22" s="370"/>
      <c r="C22" s="370"/>
    </row>
  </sheetData>
  <mergeCells count="37">
    <mergeCell ref="J5:K5"/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J6:K6"/>
    <mergeCell ref="D7:E7"/>
    <mergeCell ref="F7:G7"/>
    <mergeCell ref="H7:I7"/>
    <mergeCell ref="J7:K7"/>
    <mergeCell ref="H8:I8"/>
    <mergeCell ref="B18:C18"/>
    <mergeCell ref="B19:C19"/>
    <mergeCell ref="D6:E6"/>
    <mergeCell ref="F6:G6"/>
    <mergeCell ref="H6:I6"/>
    <mergeCell ref="D10:J10"/>
    <mergeCell ref="B11:C12"/>
    <mergeCell ref="B13:B15"/>
    <mergeCell ref="B16:B17"/>
    <mergeCell ref="B10:C10"/>
    <mergeCell ref="J8:K8"/>
    <mergeCell ref="B5:C8"/>
    <mergeCell ref="D5:E5"/>
    <mergeCell ref="F5:G5"/>
    <mergeCell ref="H5:I5"/>
    <mergeCell ref="B20:C20"/>
    <mergeCell ref="B21:C21"/>
    <mergeCell ref="B22:C22"/>
    <mergeCell ref="D8:E8"/>
    <mergeCell ref="F8:G8"/>
  </mergeCells>
  <phoneticPr fontId="2" type="noConversion"/>
  <conditionalFormatting sqref="D15:J15">
    <cfRule type="cellIs" dxfId="119" priority="1" operator="lessThan">
      <formula>0.8</formula>
    </cfRule>
  </conditionalFormatting>
  <pageMargins left="0.7" right="0.7" top="0.75" bottom="0.75" header="0.3" footer="0.3"/>
  <pageSetup paperSize="8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7ADAA-D8CD-40C5-AEDD-F183AF48E24F}">
  <sheetPr>
    <tabColor theme="9" tint="0.79998168889431442"/>
    <pageSetUpPr fitToPage="1"/>
  </sheetPr>
  <dimension ref="A1:AF92"/>
  <sheetViews>
    <sheetView zoomScale="69" zoomScaleNormal="69" workbookViewId="0">
      <pane xSplit="5" ySplit="4" topLeftCell="F56" activePane="bottomRight" state="frozen"/>
      <selection activeCell="U20" sqref="U20"/>
      <selection pane="topRight" activeCell="U20" sqref="U20"/>
      <selection pane="bottomLeft" activeCell="U20" sqref="U20"/>
      <selection pane="bottomRight" activeCell="J79" sqref="J79:R79"/>
    </sheetView>
  </sheetViews>
  <sheetFormatPr defaultColWidth="7.875" defaultRowHeight="15.75"/>
  <cols>
    <col min="1" max="1" width="15" style="6" customWidth="1"/>
    <col min="2" max="2" width="12.875" style="6" customWidth="1"/>
    <col min="3" max="3" width="12.875" style="6" hidden="1" customWidth="1"/>
    <col min="4" max="4" width="26.125" style="6" bestFit="1" customWidth="1"/>
    <col min="5" max="5" width="15" style="6" customWidth="1"/>
    <col min="6" max="6" width="8.875" style="6" bestFit="1" customWidth="1"/>
    <col min="7" max="7" width="20.125" style="6" bestFit="1" customWidth="1"/>
    <col min="8" max="8" width="16.375" style="6" bestFit="1" customWidth="1"/>
    <col min="9" max="9" width="10.875" style="6" bestFit="1" customWidth="1"/>
    <col min="10" max="10" width="10.125" style="6" bestFit="1" customWidth="1"/>
    <col min="11" max="11" width="10.625" style="6" customWidth="1"/>
    <col min="12" max="12" width="14.5" style="6" customWidth="1"/>
    <col min="13" max="13" width="10.125" style="6" bestFit="1" customWidth="1"/>
    <col min="14" max="14" width="10.25" style="6" bestFit="1" customWidth="1"/>
    <col min="15" max="15" width="11.875" style="6" customWidth="1"/>
    <col min="16" max="17" width="9.125" style="6" bestFit="1" customWidth="1"/>
    <col min="18" max="18" width="9.125" style="6" customWidth="1"/>
    <col min="19" max="19" width="8.375" style="6" customWidth="1"/>
    <col min="20" max="21" width="9.375" style="6" bestFit="1" customWidth="1"/>
    <col min="22" max="22" width="10.625" style="6" customWidth="1"/>
    <col min="23" max="23" width="8.625" style="92" customWidth="1"/>
    <col min="24" max="24" width="7.5" style="6" bestFit="1" customWidth="1"/>
    <col min="25" max="25" width="6.875" style="6" customWidth="1"/>
    <col min="26" max="26" width="12.625" style="6" customWidth="1"/>
    <col min="27" max="27" width="33.375" style="6" customWidth="1"/>
    <col min="28" max="28" width="13.125" style="6" bestFit="1" customWidth="1"/>
    <col min="29" max="29" width="10.375" style="6" customWidth="1"/>
    <col min="30" max="30" width="9.125" style="6" customWidth="1"/>
    <col min="31" max="31" width="7.875" style="6"/>
    <col min="32" max="32" width="24.5" style="6" bestFit="1" customWidth="1"/>
    <col min="33" max="16384" width="7.875" style="6"/>
  </cols>
  <sheetData>
    <row r="1" spans="1:30" ht="21">
      <c r="A1" s="2" t="s">
        <v>72</v>
      </c>
      <c r="B1" s="2"/>
      <c r="C1" s="2"/>
      <c r="D1" s="176" t="s">
        <v>8</v>
      </c>
      <c r="E1" s="3">
        <f>SUM(G5:G79)</f>
        <v>55596</v>
      </c>
      <c r="F1" s="177" t="s">
        <v>9</v>
      </c>
      <c r="G1" s="4">
        <f>SUM(H5:H79)</f>
        <v>2727110.8199999994</v>
      </c>
      <c r="H1" s="175" t="s">
        <v>10</v>
      </c>
      <c r="I1" s="5">
        <f>M15+M26+M48+M58+M69+M79+M37</f>
        <v>90.4</v>
      </c>
      <c r="J1" s="371" t="s">
        <v>11</v>
      </c>
      <c r="K1" s="371"/>
      <c r="L1" s="371"/>
      <c r="M1" s="371" t="s">
        <v>12</v>
      </c>
      <c r="N1" s="371"/>
      <c r="O1" s="371"/>
      <c r="P1" s="371" t="s">
        <v>13</v>
      </c>
      <c r="Q1" s="371"/>
      <c r="R1" s="371"/>
      <c r="S1" s="371"/>
      <c r="T1" s="371" t="s">
        <v>14</v>
      </c>
      <c r="U1" s="371"/>
      <c r="V1" s="371"/>
      <c r="W1" s="371"/>
      <c r="X1" s="371"/>
      <c r="Y1" s="371"/>
      <c r="Z1" s="371" t="s">
        <v>15</v>
      </c>
      <c r="AA1" s="371"/>
      <c r="AB1" s="371" t="s">
        <v>16</v>
      </c>
      <c r="AC1" s="372"/>
      <c r="AD1" s="372"/>
    </row>
    <row r="2" spans="1:30" ht="18.75">
      <c r="A2" s="409" t="s">
        <v>217</v>
      </c>
      <c r="B2" s="409"/>
      <c r="C2" s="176"/>
      <c r="D2" s="176" t="s">
        <v>1</v>
      </c>
      <c r="E2" s="7">
        <f>AVERAGE(O15,O26,O37,O48,O58,O69,O79)</f>
        <v>100.92957614046007</v>
      </c>
      <c r="F2" s="8" t="s">
        <v>2</v>
      </c>
      <c r="G2" s="9">
        <f>G1/E1</f>
        <v>49.052284696740763</v>
      </c>
      <c r="H2" s="175" t="s">
        <v>17</v>
      </c>
      <c r="I2" s="175">
        <f>COUNT(I5:I79)</f>
        <v>0</v>
      </c>
      <c r="J2" s="371"/>
      <c r="K2" s="371"/>
      <c r="L2" s="371"/>
      <c r="M2" s="371"/>
      <c r="N2" s="371"/>
      <c r="O2" s="371"/>
      <c r="P2" s="371"/>
      <c r="Q2" s="371"/>
      <c r="R2" s="371"/>
      <c r="S2" s="371"/>
      <c r="T2" s="371"/>
      <c r="U2" s="371"/>
      <c r="V2" s="371"/>
      <c r="W2" s="371"/>
      <c r="X2" s="371"/>
      <c r="Y2" s="371"/>
      <c r="Z2" s="371"/>
      <c r="AA2" s="371"/>
      <c r="AB2" s="372"/>
      <c r="AC2" s="372"/>
      <c r="AD2" s="372"/>
    </row>
    <row r="3" spans="1:30">
      <c r="A3" s="405" t="s">
        <v>18</v>
      </c>
      <c r="B3" s="405" t="s">
        <v>19</v>
      </c>
      <c r="C3" s="177"/>
      <c r="D3" s="405" t="s">
        <v>20</v>
      </c>
      <c r="E3" s="405"/>
      <c r="F3" s="379" t="s">
        <v>21</v>
      </c>
      <c r="G3" s="389" t="s">
        <v>22</v>
      </c>
      <c r="H3" s="379" t="s">
        <v>23</v>
      </c>
      <c r="I3" s="381" t="s">
        <v>24</v>
      </c>
      <c r="J3" s="383" t="s">
        <v>25</v>
      </c>
      <c r="K3" s="385" t="s">
        <v>26</v>
      </c>
      <c r="L3" s="387" t="s">
        <v>1</v>
      </c>
      <c r="M3" s="389" t="s">
        <v>25</v>
      </c>
      <c r="N3" s="385" t="s">
        <v>26</v>
      </c>
      <c r="O3" s="387" t="s">
        <v>1</v>
      </c>
      <c r="P3" s="383" t="s">
        <v>25</v>
      </c>
      <c r="Q3" s="387" t="s">
        <v>1</v>
      </c>
      <c r="R3" s="392" t="s">
        <v>27</v>
      </c>
      <c r="S3" s="394" t="s">
        <v>28</v>
      </c>
      <c r="T3" s="389" t="s">
        <v>4</v>
      </c>
      <c r="U3" s="389"/>
      <c r="V3" s="408" t="s">
        <v>29</v>
      </c>
      <c r="W3" s="381" t="s">
        <v>30</v>
      </c>
      <c r="X3" s="389" t="s">
        <v>31</v>
      </c>
      <c r="Y3" s="389"/>
      <c r="Z3" s="415" t="s">
        <v>71</v>
      </c>
      <c r="AA3" s="416"/>
      <c r="AB3" s="385" t="s">
        <v>26</v>
      </c>
      <c r="AC3" s="392" t="s">
        <v>27</v>
      </c>
      <c r="AD3" s="394" t="s">
        <v>28</v>
      </c>
    </row>
    <row r="4" spans="1:30" ht="16.5" thickBot="1">
      <c r="A4" s="379"/>
      <c r="B4" s="379"/>
      <c r="C4" s="178"/>
      <c r="D4" s="379"/>
      <c r="E4" s="379"/>
      <c r="F4" s="380"/>
      <c r="G4" s="390"/>
      <c r="H4" s="380"/>
      <c r="I4" s="382"/>
      <c r="J4" s="384"/>
      <c r="K4" s="386"/>
      <c r="L4" s="388"/>
      <c r="M4" s="390"/>
      <c r="N4" s="386"/>
      <c r="O4" s="388"/>
      <c r="P4" s="384"/>
      <c r="Q4" s="388"/>
      <c r="R4" s="393"/>
      <c r="S4" s="395"/>
      <c r="T4" s="179" t="s">
        <v>5</v>
      </c>
      <c r="U4" s="179" t="s">
        <v>6</v>
      </c>
      <c r="V4" s="390"/>
      <c r="W4" s="382"/>
      <c r="X4" s="178" t="s">
        <v>32</v>
      </c>
      <c r="Y4" s="178" t="s">
        <v>33</v>
      </c>
      <c r="Z4" s="417"/>
      <c r="AA4" s="417"/>
      <c r="AB4" s="386"/>
      <c r="AC4" s="393"/>
      <c r="AD4" s="395"/>
    </row>
    <row r="5" spans="1:30" ht="15" customHeight="1">
      <c r="A5" s="411" t="s">
        <v>66</v>
      </c>
      <c r="B5" s="199" t="str">
        <f>VLOOKUP(D5,廠價表!$C$1:$E$39,2,0)</f>
        <v>義大利麵</v>
      </c>
      <c r="C5" s="102"/>
      <c r="D5" s="103" t="s">
        <v>206</v>
      </c>
      <c r="E5" s="104"/>
      <c r="F5" s="199">
        <f>VLOOKUP(D5,廠價表!$C$1:$E$39,3,0)</f>
        <v>56.43</v>
      </c>
      <c r="G5" s="105">
        <v>2946</v>
      </c>
      <c r="H5" s="106">
        <f>F5*G5</f>
        <v>166242.78</v>
      </c>
      <c r="I5" s="107"/>
      <c r="J5" s="108">
        <v>15</v>
      </c>
      <c r="K5" s="105">
        <v>1800</v>
      </c>
      <c r="L5" s="109">
        <f>K5/J5</f>
        <v>120</v>
      </c>
      <c r="M5" s="110">
        <v>15</v>
      </c>
      <c r="N5" s="105">
        <f t="shared" ref="N5:N8" si="0">G5/W5*60</f>
        <v>1473.0000000000002</v>
      </c>
      <c r="O5" s="109">
        <f t="shared" ref="O5:O8" si="1">N5/M5</f>
        <v>98.200000000000017</v>
      </c>
      <c r="P5" s="111">
        <f t="shared" ref="P5:P8" si="2">M5-J5</f>
        <v>0</v>
      </c>
      <c r="Q5" s="112">
        <f t="shared" ref="Q5:Q8" si="3">O5-L5</f>
        <v>-21.799999999999983</v>
      </c>
      <c r="R5" s="184">
        <f t="shared" ref="R5:R8" si="4">O5/L5</f>
        <v>0.81833333333333347</v>
      </c>
      <c r="S5" s="396">
        <f>R15</f>
        <v>0.95174065320520718</v>
      </c>
      <c r="T5" s="94">
        <v>0.2902777777777778</v>
      </c>
      <c r="U5" s="94">
        <v>0.37361111111111112</v>
      </c>
      <c r="V5" s="194"/>
      <c r="W5" s="107">
        <f t="shared" ref="W5:W14" si="5">(U5-T5)*24*60</f>
        <v>119.99999999999997</v>
      </c>
      <c r="X5" s="188"/>
      <c r="Y5" s="188"/>
      <c r="Z5" s="400" t="s">
        <v>212</v>
      </c>
      <c r="AA5" s="400"/>
      <c r="AB5" s="111">
        <f>N5-K5</f>
        <v>-326.99999999999977</v>
      </c>
      <c r="AC5" s="184">
        <f>N5/K5</f>
        <v>0.81833333333333347</v>
      </c>
      <c r="AD5" s="401">
        <f>AC15</f>
        <v>0.95170941161524514</v>
      </c>
    </row>
    <row r="6" spans="1:30" ht="15" customHeight="1">
      <c r="A6" s="412"/>
      <c r="B6" s="56" t="str">
        <f>VLOOKUP(D6,廠價表!$C$1:$E$39,2,0)</f>
        <v>義大利麵</v>
      </c>
      <c r="C6" s="10"/>
      <c r="D6" s="11" t="s">
        <v>139</v>
      </c>
      <c r="E6" s="86"/>
      <c r="F6" s="56">
        <f>VLOOKUP(D6,廠價表!$C$1:$E$39,3,0)</f>
        <v>57.21</v>
      </c>
      <c r="G6" s="25">
        <v>1956</v>
      </c>
      <c r="H6" s="15">
        <f t="shared" ref="H6:H14" si="6">F6*G6</f>
        <v>111902.76</v>
      </c>
      <c r="I6" s="182"/>
      <c r="J6" s="16">
        <v>17</v>
      </c>
      <c r="K6" s="14">
        <f>VLOOKUP(D6,產線配置圖!$A$2:$C$38,3,0)</f>
        <v>1895</v>
      </c>
      <c r="L6" s="17">
        <f>K6/J6</f>
        <v>111.47058823529412</v>
      </c>
      <c r="M6" s="180">
        <v>17</v>
      </c>
      <c r="N6" s="14">
        <f t="shared" si="0"/>
        <v>1892.9032258064508</v>
      </c>
      <c r="O6" s="17">
        <f t="shared" si="1"/>
        <v>111.34724857685005</v>
      </c>
      <c r="P6" s="18">
        <f t="shared" si="2"/>
        <v>0</v>
      </c>
      <c r="Q6" s="19">
        <f t="shared" si="3"/>
        <v>-0.12333965844406691</v>
      </c>
      <c r="R6" s="185">
        <f t="shared" si="4"/>
        <v>0.99889352285300836</v>
      </c>
      <c r="S6" s="397"/>
      <c r="T6" s="95">
        <v>0.37847222222222221</v>
      </c>
      <c r="U6" s="95">
        <v>0.42152777777777778</v>
      </c>
      <c r="V6" s="177">
        <f>(T6-U5)*24*60</f>
        <v>6.9999999999999751</v>
      </c>
      <c r="W6" s="182">
        <f t="shared" si="5"/>
        <v>62.000000000000021</v>
      </c>
      <c r="X6" s="22"/>
      <c r="Y6" s="22"/>
      <c r="Z6" s="381"/>
      <c r="AA6" s="381"/>
      <c r="AB6" s="18">
        <f>N6-K6</f>
        <v>-2.0967741935492086</v>
      </c>
      <c r="AC6" s="185">
        <f>N6/K6</f>
        <v>0.99889352285300836</v>
      </c>
      <c r="AD6" s="402"/>
    </row>
    <row r="7" spans="1:30" ht="15" customHeight="1">
      <c r="A7" s="412"/>
      <c r="B7" s="56" t="str">
        <f>VLOOKUP(D7,廠價表!$C$1:$E$39,2,0)</f>
        <v>義大利麵</v>
      </c>
      <c r="C7" s="10"/>
      <c r="D7" s="11" t="s">
        <v>141</v>
      </c>
      <c r="E7" s="86"/>
      <c r="F7" s="56">
        <f>VLOOKUP(D7,廠價表!$C$1:$E$39,3,0)</f>
        <v>49.14</v>
      </c>
      <c r="G7" s="25">
        <v>2429</v>
      </c>
      <c r="H7" s="15">
        <f t="shared" si="6"/>
        <v>119361.06</v>
      </c>
      <c r="I7" s="182"/>
      <c r="J7" s="16">
        <v>14</v>
      </c>
      <c r="K7" s="14">
        <f>VLOOKUP(D7,產線配置圖!$A$2:$C$38,3,0)</f>
        <v>2000</v>
      </c>
      <c r="L7" s="17">
        <f>K7/J7</f>
        <v>142.85714285714286</v>
      </c>
      <c r="M7" s="180">
        <v>14</v>
      </c>
      <c r="N7" s="14">
        <f t="shared" si="0"/>
        <v>1969.459459459458</v>
      </c>
      <c r="O7" s="17">
        <f t="shared" si="1"/>
        <v>140.67567567567556</v>
      </c>
      <c r="P7" s="18">
        <f t="shared" si="2"/>
        <v>0</v>
      </c>
      <c r="Q7" s="19">
        <f t="shared" si="3"/>
        <v>-2.1814671814672977</v>
      </c>
      <c r="R7" s="185">
        <f t="shared" si="4"/>
        <v>0.98472972972972894</v>
      </c>
      <c r="S7" s="397"/>
      <c r="T7" s="95">
        <v>0.42638888888888887</v>
      </c>
      <c r="U7" s="95">
        <v>0.4777777777777778</v>
      </c>
      <c r="V7" s="177">
        <f>(T7-U6)*24*60</f>
        <v>6.9999999999999751</v>
      </c>
      <c r="W7" s="182">
        <f t="shared" si="5"/>
        <v>74.000000000000057</v>
      </c>
      <c r="X7" s="22"/>
      <c r="Y7" s="22"/>
      <c r="Z7" s="405"/>
      <c r="AA7" s="405"/>
      <c r="AB7" s="18">
        <f>N7-K7</f>
        <v>-30.540540540541997</v>
      </c>
      <c r="AC7" s="185">
        <f>N7/K7</f>
        <v>0.98472972972972905</v>
      </c>
      <c r="AD7" s="402"/>
    </row>
    <row r="8" spans="1:30" ht="15" customHeight="1">
      <c r="A8" s="412"/>
      <c r="B8" s="56" t="str">
        <f>VLOOKUP(D8,廠價表!$C$1:$E$39,2,0)</f>
        <v>義大利麵</v>
      </c>
      <c r="C8" s="10"/>
      <c r="D8" s="11" t="s">
        <v>141</v>
      </c>
      <c r="E8" s="86"/>
      <c r="F8" s="56">
        <f>VLOOKUP(D8,廠價表!$C$1:$E$39,3,0)</f>
        <v>49.14</v>
      </c>
      <c r="G8" s="25">
        <v>3214</v>
      </c>
      <c r="H8" s="15">
        <f t="shared" si="6"/>
        <v>157935.96</v>
      </c>
      <c r="I8" s="182"/>
      <c r="J8" s="16">
        <v>14</v>
      </c>
      <c r="K8" s="14">
        <f>VLOOKUP(D8,產線配置圖!$A$2:$C$38,3,0)</f>
        <v>2000</v>
      </c>
      <c r="L8" s="17">
        <f t="shared" ref="L8" si="7">K8/J8</f>
        <v>142.85714285714286</v>
      </c>
      <c r="M8" s="180">
        <v>14</v>
      </c>
      <c r="N8" s="14">
        <f t="shared" si="0"/>
        <v>1988.0412371134028</v>
      </c>
      <c r="O8" s="17">
        <f t="shared" si="1"/>
        <v>142.0029455081002</v>
      </c>
      <c r="P8" s="18">
        <f t="shared" si="2"/>
        <v>0</v>
      </c>
      <c r="Q8" s="19">
        <f t="shared" si="3"/>
        <v>-0.8541973490426642</v>
      </c>
      <c r="R8" s="185">
        <f t="shared" si="4"/>
        <v>0.99402061855670132</v>
      </c>
      <c r="S8" s="397"/>
      <c r="T8" s="20">
        <v>0.54027777777777775</v>
      </c>
      <c r="U8" s="20">
        <v>0.60763888888888884</v>
      </c>
      <c r="V8" s="177">
        <f>(T8-U7)*24*60</f>
        <v>89.999999999999915</v>
      </c>
      <c r="W8" s="182">
        <f t="shared" si="5"/>
        <v>96.999999999999972</v>
      </c>
      <c r="X8" s="22">
        <v>0.48958333333333331</v>
      </c>
      <c r="Y8" s="22">
        <v>0.53125</v>
      </c>
      <c r="Z8" s="406"/>
      <c r="AA8" s="406"/>
      <c r="AB8" s="18">
        <f>N8-K8</f>
        <v>-11.958762886597242</v>
      </c>
      <c r="AC8" s="185">
        <f>N8/K8</f>
        <v>0.99402061855670143</v>
      </c>
      <c r="AD8" s="402"/>
    </row>
    <row r="9" spans="1:30" ht="15" customHeight="1">
      <c r="A9" s="413"/>
      <c r="B9" s="56"/>
      <c r="C9" s="10"/>
      <c r="D9" s="11"/>
      <c r="E9" s="86"/>
      <c r="F9" s="56"/>
      <c r="G9" s="25"/>
      <c r="H9" s="15"/>
      <c r="I9" s="182"/>
      <c r="J9" s="16"/>
      <c r="K9" s="14"/>
      <c r="L9" s="17"/>
      <c r="M9" s="180"/>
      <c r="N9" s="14"/>
      <c r="O9" s="17"/>
      <c r="P9" s="18"/>
      <c r="Q9" s="19"/>
      <c r="R9" s="185"/>
      <c r="S9" s="398"/>
      <c r="T9" s="79"/>
      <c r="U9" s="79"/>
      <c r="V9" s="177"/>
      <c r="W9" s="24">
        <f t="shared" si="5"/>
        <v>0</v>
      </c>
      <c r="X9" s="22"/>
      <c r="Y9" s="263"/>
      <c r="Z9" s="407"/>
      <c r="AA9" s="407"/>
      <c r="AB9" s="18"/>
      <c r="AC9" s="185"/>
      <c r="AD9" s="403"/>
    </row>
    <row r="10" spans="1:30" ht="15" customHeight="1">
      <c r="A10" s="413"/>
      <c r="B10" s="56"/>
      <c r="C10" s="23"/>
      <c r="D10" s="11"/>
      <c r="E10" s="12"/>
      <c r="F10" s="56"/>
      <c r="G10" s="25"/>
      <c r="H10" s="15"/>
      <c r="I10" s="182"/>
      <c r="J10" s="16"/>
      <c r="K10" s="14"/>
      <c r="L10" s="17"/>
      <c r="M10" s="180"/>
      <c r="N10" s="14"/>
      <c r="O10" s="17"/>
      <c r="P10" s="18"/>
      <c r="Q10" s="19"/>
      <c r="R10" s="185"/>
      <c r="S10" s="398"/>
      <c r="T10" s="20"/>
      <c r="U10" s="20"/>
      <c r="V10" s="177"/>
      <c r="W10" s="182">
        <f t="shared" si="5"/>
        <v>0</v>
      </c>
      <c r="X10" s="22"/>
      <c r="Y10" s="263"/>
      <c r="Z10" s="419"/>
      <c r="AA10" s="418"/>
      <c r="AB10" s="264"/>
      <c r="AC10" s="185"/>
      <c r="AD10" s="403"/>
    </row>
    <row r="11" spans="1:30" ht="15" customHeight="1">
      <c r="A11" s="413"/>
      <c r="B11" s="56"/>
      <c r="C11" s="183"/>
      <c r="D11" s="11"/>
      <c r="E11" s="12"/>
      <c r="F11" s="56"/>
      <c r="G11" s="25"/>
      <c r="H11" s="15">
        <f t="shared" si="6"/>
        <v>0</v>
      </c>
      <c r="I11" s="182"/>
      <c r="J11" s="16"/>
      <c r="K11" s="14"/>
      <c r="L11" s="17"/>
      <c r="M11" s="180"/>
      <c r="N11" s="14"/>
      <c r="O11" s="17"/>
      <c r="P11" s="18"/>
      <c r="Q11" s="19"/>
      <c r="R11" s="185"/>
      <c r="S11" s="398"/>
      <c r="T11" s="20"/>
      <c r="U11" s="20"/>
      <c r="V11" s="177"/>
      <c r="W11" s="24">
        <f t="shared" si="5"/>
        <v>0</v>
      </c>
      <c r="X11" s="22"/>
      <c r="Y11" s="263"/>
      <c r="Z11" s="419"/>
      <c r="AA11" s="418"/>
      <c r="AB11" s="264"/>
      <c r="AC11" s="185"/>
      <c r="AD11" s="403"/>
    </row>
    <row r="12" spans="1:30" ht="15" customHeight="1">
      <c r="A12" s="413"/>
      <c r="B12" s="26"/>
      <c r="C12" s="27"/>
      <c r="D12" s="28"/>
      <c r="E12" s="29"/>
      <c r="F12" s="13"/>
      <c r="G12" s="30"/>
      <c r="H12" s="15">
        <f t="shared" si="6"/>
        <v>0</v>
      </c>
      <c r="I12" s="178"/>
      <c r="J12" s="31"/>
      <c r="K12" s="30"/>
      <c r="L12" s="17"/>
      <c r="M12" s="181"/>
      <c r="N12" s="25"/>
      <c r="O12" s="17"/>
      <c r="P12" s="18"/>
      <c r="Q12" s="19"/>
      <c r="R12" s="185"/>
      <c r="S12" s="398"/>
      <c r="T12" s="32"/>
      <c r="U12" s="32"/>
      <c r="V12" s="178"/>
      <c r="W12" s="24">
        <f t="shared" si="5"/>
        <v>0</v>
      </c>
      <c r="X12" s="33"/>
      <c r="Y12" s="33"/>
      <c r="Z12" s="407"/>
      <c r="AA12" s="407"/>
      <c r="AB12" s="34"/>
      <c r="AC12" s="186"/>
      <c r="AD12" s="403"/>
    </row>
    <row r="13" spans="1:30" ht="15" customHeight="1">
      <c r="A13" s="413"/>
      <c r="B13" s="56"/>
      <c r="C13" s="10"/>
      <c r="D13" s="11"/>
      <c r="E13" s="86"/>
      <c r="F13" s="56"/>
      <c r="G13" s="25"/>
      <c r="H13" s="15"/>
      <c r="I13" s="182"/>
      <c r="J13" s="16"/>
      <c r="K13" s="14"/>
      <c r="L13" s="17"/>
      <c r="M13" s="180"/>
      <c r="N13" s="14"/>
      <c r="O13" s="17"/>
      <c r="P13" s="18"/>
      <c r="Q13" s="19"/>
      <c r="R13" s="185"/>
      <c r="S13" s="479"/>
      <c r="T13" s="309"/>
      <c r="U13" s="309"/>
      <c r="V13" s="26"/>
      <c r="W13" s="24">
        <f t="shared" si="5"/>
        <v>0</v>
      </c>
      <c r="X13" s="33"/>
      <c r="Y13" s="33"/>
      <c r="Z13" s="419"/>
      <c r="AA13" s="418"/>
      <c r="AB13" s="34"/>
      <c r="AC13" s="186"/>
      <c r="AD13" s="403"/>
    </row>
    <row r="14" spans="1:30" ht="15" customHeight="1">
      <c r="A14" s="413"/>
      <c r="B14" s="26"/>
      <c r="C14" s="27"/>
      <c r="D14" s="28"/>
      <c r="E14" s="29"/>
      <c r="F14" s="13"/>
      <c r="G14" s="30"/>
      <c r="H14" s="15">
        <f t="shared" si="6"/>
        <v>0</v>
      </c>
      <c r="I14" s="178"/>
      <c r="J14" s="31"/>
      <c r="K14" s="30"/>
      <c r="L14" s="17"/>
      <c r="M14" s="181"/>
      <c r="N14" s="25"/>
      <c r="O14" s="17"/>
      <c r="P14" s="18"/>
      <c r="Q14" s="19"/>
      <c r="R14" s="185"/>
      <c r="S14" s="398"/>
      <c r="T14" s="308"/>
      <c r="U14" s="308"/>
      <c r="V14" s="178"/>
      <c r="W14" s="24">
        <f t="shared" si="5"/>
        <v>0</v>
      </c>
      <c r="X14" s="33"/>
      <c r="Y14" s="33"/>
      <c r="Z14" s="419"/>
      <c r="AA14" s="418"/>
      <c r="AB14" s="34"/>
      <c r="AC14" s="186"/>
      <c r="AD14" s="403"/>
    </row>
    <row r="15" spans="1:30" ht="15" customHeight="1" thickBot="1">
      <c r="A15" s="414"/>
      <c r="B15" s="113"/>
      <c r="C15" s="113" t="s">
        <v>34</v>
      </c>
      <c r="D15" s="410" t="s">
        <v>7</v>
      </c>
      <c r="E15" s="410"/>
      <c r="F15" s="114"/>
      <c r="G15" s="115"/>
      <c r="H15" s="116"/>
      <c r="I15" s="117"/>
      <c r="J15" s="118">
        <f t="shared" ref="J15:O15" si="8">AVERAGE(J5:J14)</f>
        <v>15</v>
      </c>
      <c r="K15" s="118">
        <f t="shared" si="8"/>
        <v>1923.75</v>
      </c>
      <c r="L15" s="115">
        <f t="shared" si="8"/>
        <v>129.29621848739495</v>
      </c>
      <c r="M15" s="118">
        <f t="shared" si="8"/>
        <v>15</v>
      </c>
      <c r="N15" s="118">
        <f t="shared" si="8"/>
        <v>1830.8509805948279</v>
      </c>
      <c r="O15" s="115">
        <f t="shared" si="8"/>
        <v>123.05646744015645</v>
      </c>
      <c r="P15" s="119">
        <f t="shared" ref="P15:P16" si="9">M15-J15</f>
        <v>0</v>
      </c>
      <c r="Q15" s="120">
        <f t="shared" ref="Q15:Q16" si="10">O15-L15</f>
        <v>-6.2397510472384994</v>
      </c>
      <c r="R15" s="121">
        <f t="shared" ref="R15:R16" si="11">O15/L15</f>
        <v>0.95174065320520718</v>
      </c>
      <c r="S15" s="399"/>
      <c r="T15" s="122"/>
      <c r="U15" s="122"/>
      <c r="V15" s="195"/>
      <c r="W15" s="123"/>
      <c r="X15" s="124"/>
      <c r="Y15" s="124"/>
      <c r="Z15" s="391"/>
      <c r="AA15" s="391"/>
      <c r="AB15" s="119">
        <f>N15-K15</f>
        <v>-92.899019405172112</v>
      </c>
      <c r="AC15" s="187">
        <f>N15/K15</f>
        <v>0.95170941161524514</v>
      </c>
      <c r="AD15" s="404"/>
    </row>
    <row r="16" spans="1:30" ht="15" customHeight="1">
      <c r="A16" s="431" t="s">
        <v>67</v>
      </c>
      <c r="B16" s="199" t="s">
        <v>134</v>
      </c>
      <c r="C16" s="102"/>
      <c r="D16" s="103" t="s">
        <v>206</v>
      </c>
      <c r="E16" s="104"/>
      <c r="F16" s="199">
        <f>VLOOKUP(D16,廠價表!$C$1:$E$39,3,0)</f>
        <v>56.43</v>
      </c>
      <c r="G16" s="265">
        <v>2783</v>
      </c>
      <c r="H16" s="125">
        <f t="shared" ref="H16:H25" si="12">F16*G16</f>
        <v>157044.69</v>
      </c>
      <c r="I16" s="126"/>
      <c r="J16" s="108">
        <v>15</v>
      </c>
      <c r="K16" s="105">
        <v>1800</v>
      </c>
      <c r="L16" s="109">
        <f>K16/J16</f>
        <v>120</v>
      </c>
      <c r="M16" s="267">
        <v>15</v>
      </c>
      <c r="N16" s="127">
        <f>G16/W16*60</f>
        <v>1795.4838709677422</v>
      </c>
      <c r="O16" s="128">
        <f>N16/M16</f>
        <v>119.69892473118281</v>
      </c>
      <c r="P16" s="129">
        <f t="shared" si="9"/>
        <v>0</v>
      </c>
      <c r="Q16" s="130">
        <f t="shared" si="10"/>
        <v>-0.30107526881718627</v>
      </c>
      <c r="R16" s="189">
        <f t="shared" si="11"/>
        <v>0.9974910394265234</v>
      </c>
      <c r="S16" s="424">
        <f>R26</f>
        <v>0.91638290015801249</v>
      </c>
      <c r="T16" s="268">
        <v>0.29097222222222224</v>
      </c>
      <c r="U16" s="268">
        <v>0.35555555555555557</v>
      </c>
      <c r="V16" s="126"/>
      <c r="W16" s="131">
        <f t="shared" ref="W16:W68" si="13">(U16-T16)*24*60</f>
        <v>92.999999999999986</v>
      </c>
      <c r="X16" s="128"/>
      <c r="Y16" s="128"/>
      <c r="Z16" s="400"/>
      <c r="AA16" s="400"/>
      <c r="AB16" s="111">
        <f>N16-K16</f>
        <v>-4.5161290322578225</v>
      </c>
      <c r="AC16" s="184">
        <f>N16/K16</f>
        <v>0.9974910394265234</v>
      </c>
      <c r="AD16" s="401">
        <f>AC26</f>
        <v>0.91681180899740533</v>
      </c>
    </row>
    <row r="17" spans="1:30" ht="15" customHeight="1">
      <c r="A17" s="432"/>
      <c r="B17" s="56" t="s">
        <v>62</v>
      </c>
      <c r="C17" s="10"/>
      <c r="D17" s="11" t="s">
        <v>153</v>
      </c>
      <c r="E17" s="86"/>
      <c r="F17" s="56">
        <f>VLOOKUP(D17,廠價表!$C$1:$E$39,3,0)</f>
        <v>50.67</v>
      </c>
      <c r="G17" s="96">
        <v>2584</v>
      </c>
      <c r="H17" s="15">
        <f>F17*G17</f>
        <v>130931.28</v>
      </c>
      <c r="I17" s="177"/>
      <c r="J17" s="16">
        <v>14</v>
      </c>
      <c r="K17" s="14">
        <f>VLOOKUP(D17,產線配置圖!$A$2:$C$38,3,0)</f>
        <v>2000</v>
      </c>
      <c r="L17" s="17">
        <f>K17/J17</f>
        <v>142.85714285714286</v>
      </c>
      <c r="M17" s="37">
        <v>14</v>
      </c>
      <c r="N17" s="36">
        <f>G17/W17*60</f>
        <v>1550.3999999999994</v>
      </c>
      <c r="O17" s="38">
        <f>N17/M17</f>
        <v>110.7428571428571</v>
      </c>
      <c r="P17" s="39">
        <f>M17-J17</f>
        <v>0</v>
      </c>
      <c r="Q17" s="40">
        <f>O17-L17</f>
        <v>-32.114285714285757</v>
      </c>
      <c r="R17" s="190">
        <f>O17/L17</f>
        <v>0.77519999999999967</v>
      </c>
      <c r="S17" s="425"/>
      <c r="T17" s="41">
        <v>0.3611111111111111</v>
      </c>
      <c r="U17" s="41">
        <v>0.43055555555555558</v>
      </c>
      <c r="V17" s="177">
        <f>(T17-U16)*24*60</f>
        <v>7.9999999999999716</v>
      </c>
      <c r="W17" s="43">
        <f t="shared" si="13"/>
        <v>100.00000000000004</v>
      </c>
      <c r="X17" s="44"/>
      <c r="Y17" s="44"/>
      <c r="Z17" s="381" t="s">
        <v>213</v>
      </c>
      <c r="AA17" s="381"/>
      <c r="AB17" s="18">
        <f>N17-K17</f>
        <v>-449.60000000000059</v>
      </c>
      <c r="AC17" s="185">
        <f>N17/K17</f>
        <v>0.77519999999999967</v>
      </c>
      <c r="AD17" s="402"/>
    </row>
    <row r="18" spans="1:30" ht="15" customHeight="1">
      <c r="A18" s="432"/>
      <c r="B18" s="56" t="s">
        <v>62</v>
      </c>
      <c r="C18" s="10"/>
      <c r="D18" s="11" t="s">
        <v>131</v>
      </c>
      <c r="E18" s="86"/>
      <c r="F18" s="56">
        <f>VLOOKUP(D18,廠價表!$C$1:$E$39,3,0)</f>
        <v>50.39</v>
      </c>
      <c r="G18" s="96">
        <v>1774</v>
      </c>
      <c r="H18" s="15">
        <f>F18*G18</f>
        <v>89391.86</v>
      </c>
      <c r="I18" s="177"/>
      <c r="J18" s="16">
        <v>13</v>
      </c>
      <c r="K18" s="14">
        <f>VLOOKUP(D18,產線配置圖!$A$2:$C$38,3,0)</f>
        <v>2000</v>
      </c>
      <c r="L18" s="17">
        <f>K18/J18</f>
        <v>153.84615384615384</v>
      </c>
      <c r="M18" s="37">
        <v>13</v>
      </c>
      <c r="N18" s="36">
        <f>G18/W18*60</f>
        <v>1835.1724137931024</v>
      </c>
      <c r="O18" s="38">
        <f>N18/M18</f>
        <v>141.16710875331557</v>
      </c>
      <c r="P18" s="39">
        <f>M18-J18</f>
        <v>0</v>
      </c>
      <c r="Q18" s="40">
        <f>O18-L18</f>
        <v>-12.679045092838265</v>
      </c>
      <c r="R18" s="190">
        <f>O18/L18</f>
        <v>0.91758620689655124</v>
      </c>
      <c r="S18" s="425"/>
      <c r="T18" s="41">
        <v>0.4375</v>
      </c>
      <c r="U18" s="41">
        <v>0.4777777777777778</v>
      </c>
      <c r="V18" s="177">
        <f>(T18-U17)*24*60</f>
        <v>9.9999999999999645</v>
      </c>
      <c r="W18" s="43">
        <f t="shared" si="13"/>
        <v>58.000000000000036</v>
      </c>
      <c r="X18" s="22"/>
      <c r="Y18" s="22"/>
      <c r="Z18" s="418"/>
      <c r="AA18" s="405"/>
      <c r="AB18" s="18">
        <f>N18-K18</f>
        <v>-164.82758620689765</v>
      </c>
      <c r="AC18" s="185">
        <f>N18/K18</f>
        <v>0.91758620689655113</v>
      </c>
      <c r="AD18" s="402"/>
    </row>
    <row r="19" spans="1:30" ht="15" customHeight="1">
      <c r="A19" s="432"/>
      <c r="B19" s="56" t="s">
        <v>62</v>
      </c>
      <c r="C19" s="23"/>
      <c r="D19" s="11" t="s">
        <v>131</v>
      </c>
      <c r="E19" s="12"/>
      <c r="F19" s="56">
        <f>VLOOKUP(D19,廠價表!$C$1:$E$39,3,0)</f>
        <v>50.39</v>
      </c>
      <c r="G19" s="96">
        <v>3107</v>
      </c>
      <c r="H19" s="15">
        <f t="shared" ref="H19:H20" si="14">F19*G19</f>
        <v>156561.73000000001</v>
      </c>
      <c r="I19" s="177"/>
      <c r="J19" s="16">
        <v>13</v>
      </c>
      <c r="K19" s="14">
        <f>VLOOKUP(D19,產線配置圖!$A$2:$C$38,3,0)</f>
        <v>2000</v>
      </c>
      <c r="L19" s="17">
        <f t="shared" ref="L19:L20" si="15">K19/J19</f>
        <v>153.84615384615384</v>
      </c>
      <c r="M19" s="37">
        <v>13</v>
      </c>
      <c r="N19" s="36">
        <f>G19/W19*60</f>
        <v>1902.2448979591811</v>
      </c>
      <c r="O19" s="38">
        <f>N19/M19</f>
        <v>146.32653061224471</v>
      </c>
      <c r="P19" s="39">
        <f>M19-J19</f>
        <v>0</v>
      </c>
      <c r="Q19" s="40">
        <f>O19-L19</f>
        <v>-7.5196232339091296</v>
      </c>
      <c r="R19" s="190">
        <f>O19/L19</f>
        <v>0.95112244897959064</v>
      </c>
      <c r="S19" s="425"/>
      <c r="T19" s="41">
        <v>0.54166666666666663</v>
      </c>
      <c r="U19" s="41">
        <v>0.60972222222222228</v>
      </c>
      <c r="V19" s="177">
        <f>(T19-U18)*24*60</f>
        <v>91.999999999999915</v>
      </c>
      <c r="W19" s="43">
        <f t="shared" si="13"/>
        <v>98.000000000000128</v>
      </c>
      <c r="X19" s="22">
        <v>0.48958333333333331</v>
      </c>
      <c r="Y19" s="22">
        <v>0.53125</v>
      </c>
      <c r="Z19" s="407"/>
      <c r="AA19" s="407"/>
      <c r="AB19" s="18">
        <f>N19-K19</f>
        <v>-97.755102040818883</v>
      </c>
      <c r="AC19" s="185">
        <f>N19/K19</f>
        <v>0.95112244897959053</v>
      </c>
      <c r="AD19" s="403"/>
    </row>
    <row r="20" spans="1:30" ht="15" customHeight="1">
      <c r="A20" s="432"/>
      <c r="B20" s="56" t="s">
        <v>62</v>
      </c>
      <c r="C20" s="23"/>
      <c r="D20" s="11" t="s">
        <v>153</v>
      </c>
      <c r="E20" s="12"/>
      <c r="F20" s="56">
        <f>VLOOKUP(D20,廠價表!$C$1:$E$39,3,0)</f>
        <v>50.67</v>
      </c>
      <c r="G20" s="96">
        <v>1743</v>
      </c>
      <c r="H20" s="15">
        <f t="shared" si="14"/>
        <v>88317.81</v>
      </c>
      <c r="I20" s="177"/>
      <c r="J20" s="16">
        <v>14</v>
      </c>
      <c r="K20" s="14">
        <f>VLOOKUP(D20,產線配置圖!$A$2:$C$38,3,0)</f>
        <v>2000</v>
      </c>
      <c r="L20" s="17">
        <f t="shared" si="15"/>
        <v>142.85714285714286</v>
      </c>
      <c r="M20" s="37">
        <v>14</v>
      </c>
      <c r="N20" s="36">
        <f>G20/W20*60</f>
        <v>1901.4545454545469</v>
      </c>
      <c r="O20" s="38">
        <f>N20/M20</f>
        <v>135.81818181818193</v>
      </c>
      <c r="P20" s="39">
        <f>M20-J20</f>
        <v>0</v>
      </c>
      <c r="Q20" s="40">
        <f>O20-L20</f>
        <v>-7.0389610389609345</v>
      </c>
      <c r="R20" s="190">
        <f>O20/L20</f>
        <v>0.95072727272727342</v>
      </c>
      <c r="S20" s="425"/>
      <c r="T20" s="41">
        <v>0.61805555555555558</v>
      </c>
      <c r="U20" s="79">
        <v>0.65625</v>
      </c>
      <c r="V20" s="177">
        <f>(T20-U19)*24*60</f>
        <v>11.999999999999957</v>
      </c>
      <c r="W20" s="43">
        <f t="shared" si="13"/>
        <v>54.999999999999964</v>
      </c>
      <c r="X20" s="44"/>
      <c r="Y20" s="44"/>
      <c r="Z20" s="418"/>
      <c r="AA20" s="405"/>
      <c r="AB20" s="34"/>
      <c r="AC20" s="186"/>
      <c r="AD20" s="403"/>
    </row>
    <row r="21" spans="1:30" ht="15" customHeight="1">
      <c r="A21" s="433"/>
      <c r="B21" s="177"/>
      <c r="C21" s="23"/>
      <c r="D21" s="11"/>
      <c r="E21" s="12"/>
      <c r="F21" s="13"/>
      <c r="G21" s="36"/>
      <c r="H21" s="15">
        <f t="shared" si="12"/>
        <v>0</v>
      </c>
      <c r="I21" s="43"/>
      <c r="J21" s="37"/>
      <c r="K21" s="36"/>
      <c r="L21" s="38"/>
      <c r="M21" s="37"/>
      <c r="N21" s="36"/>
      <c r="O21" s="38"/>
      <c r="P21" s="39"/>
      <c r="Q21" s="40"/>
      <c r="R21" s="190"/>
      <c r="S21" s="425"/>
      <c r="T21" s="41"/>
      <c r="U21" s="41"/>
      <c r="V21" s="42"/>
      <c r="W21" s="43">
        <v>0</v>
      </c>
      <c r="X21" s="42"/>
      <c r="Y21" s="42"/>
      <c r="Z21" s="418"/>
      <c r="AA21" s="405"/>
      <c r="AB21" s="34"/>
      <c r="AC21" s="186"/>
      <c r="AD21" s="403"/>
    </row>
    <row r="22" spans="1:30" ht="15" customHeight="1">
      <c r="A22" s="433"/>
      <c r="B22" s="177"/>
      <c r="C22" s="183"/>
      <c r="D22" s="11"/>
      <c r="E22" s="12"/>
      <c r="F22" s="13"/>
      <c r="G22" s="36"/>
      <c r="H22" s="15">
        <f t="shared" si="12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90"/>
      <c r="S22" s="425"/>
      <c r="T22" s="41"/>
      <c r="U22" s="41"/>
      <c r="V22" s="42"/>
      <c r="W22" s="43">
        <v>0</v>
      </c>
      <c r="X22" s="42"/>
      <c r="Y22" s="42"/>
      <c r="Z22" s="418"/>
      <c r="AA22" s="405"/>
      <c r="AB22" s="34"/>
      <c r="AC22" s="186"/>
      <c r="AD22" s="403"/>
    </row>
    <row r="23" spans="1:30" ht="15" customHeight="1">
      <c r="A23" s="433"/>
      <c r="B23" s="26"/>
      <c r="C23" s="27"/>
      <c r="D23" s="28"/>
      <c r="E23" s="29"/>
      <c r="F23" s="13"/>
      <c r="G23" s="36"/>
      <c r="H23" s="15">
        <f t="shared" si="12"/>
        <v>0</v>
      </c>
      <c r="I23" s="43"/>
      <c r="J23" s="37"/>
      <c r="K23" s="36"/>
      <c r="L23" s="38"/>
      <c r="M23" s="37"/>
      <c r="N23" s="36"/>
      <c r="O23" s="38"/>
      <c r="P23" s="39"/>
      <c r="Q23" s="40"/>
      <c r="R23" s="190"/>
      <c r="S23" s="425"/>
      <c r="T23" s="41"/>
      <c r="U23" s="41"/>
      <c r="W23" s="43">
        <f t="shared" si="13"/>
        <v>0</v>
      </c>
      <c r="X23" s="42"/>
      <c r="Y23" s="42"/>
      <c r="Z23" s="418"/>
      <c r="AA23" s="405"/>
      <c r="AB23" s="34"/>
      <c r="AC23" s="186"/>
      <c r="AD23" s="403"/>
    </row>
    <row r="24" spans="1:30" ht="15" customHeight="1">
      <c r="A24" s="433"/>
      <c r="B24" s="26"/>
      <c r="C24" s="27"/>
      <c r="D24" s="28"/>
      <c r="E24" s="29"/>
      <c r="F24" s="13"/>
      <c r="G24" s="36"/>
      <c r="H24" s="15">
        <f t="shared" si="12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90"/>
      <c r="S24" s="425"/>
      <c r="T24" s="41"/>
      <c r="U24" s="41"/>
      <c r="V24" s="42"/>
      <c r="W24" s="43">
        <f t="shared" si="13"/>
        <v>0</v>
      </c>
      <c r="X24" s="42"/>
      <c r="Y24" s="42"/>
      <c r="Z24" s="418"/>
      <c r="AA24" s="405"/>
      <c r="AB24" s="34"/>
      <c r="AC24" s="186"/>
      <c r="AD24" s="403"/>
    </row>
    <row r="25" spans="1:30" ht="15" customHeight="1">
      <c r="A25" s="433"/>
      <c r="B25" s="26"/>
      <c r="C25" s="27"/>
      <c r="D25" s="28"/>
      <c r="E25" s="29"/>
      <c r="F25" s="13"/>
      <c r="G25" s="36"/>
      <c r="H25" s="50">
        <f t="shared" si="12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90"/>
      <c r="S25" s="425"/>
      <c r="T25" s="41"/>
      <c r="U25" s="41"/>
      <c r="V25" s="42"/>
      <c r="W25" s="43">
        <f t="shared" si="13"/>
        <v>0</v>
      </c>
      <c r="X25" s="42"/>
      <c r="Y25" s="42"/>
      <c r="Z25" s="418"/>
      <c r="AA25" s="405"/>
      <c r="AB25" s="34"/>
      <c r="AC25" s="186"/>
      <c r="AD25" s="403"/>
    </row>
    <row r="26" spans="1:30" ht="15" customHeight="1" thickBot="1">
      <c r="A26" s="434"/>
      <c r="B26" s="132"/>
      <c r="C26" s="1" t="s">
        <v>35</v>
      </c>
      <c r="D26" s="410" t="s">
        <v>7</v>
      </c>
      <c r="E26" s="410"/>
      <c r="F26" s="133"/>
      <c r="G26" s="134"/>
      <c r="H26" s="135"/>
      <c r="I26" s="136"/>
      <c r="J26" s="134">
        <f t="shared" ref="J26:O26" si="16">AVERAGE(J16:J25)</f>
        <v>13.8</v>
      </c>
      <c r="K26" s="134">
        <f t="shared" si="16"/>
        <v>1960</v>
      </c>
      <c r="L26" s="137">
        <f t="shared" si="16"/>
        <v>142.68131868131869</v>
      </c>
      <c r="M26" s="134">
        <f t="shared" si="16"/>
        <v>13.8</v>
      </c>
      <c r="N26" s="134">
        <f t="shared" si="16"/>
        <v>1796.9511456349144</v>
      </c>
      <c r="O26" s="137">
        <f t="shared" si="16"/>
        <v>130.75072061155643</v>
      </c>
      <c r="P26" s="138">
        <f t="shared" ref="P26:P30" si="17">M26-J26</f>
        <v>0</v>
      </c>
      <c r="Q26" s="139">
        <f t="shared" ref="Q26:Q30" si="18">O26-L26</f>
        <v>-11.930598069762254</v>
      </c>
      <c r="R26" s="140">
        <f t="shared" ref="R26:R30" si="19">O26/L26</f>
        <v>0.91638290015801249</v>
      </c>
      <c r="S26" s="435"/>
      <c r="T26" s="141"/>
      <c r="U26" s="141"/>
      <c r="V26" s="146"/>
      <c r="W26" s="142"/>
      <c r="X26" s="143"/>
      <c r="Y26" s="143"/>
      <c r="Z26" s="420"/>
      <c r="AA26" s="391"/>
      <c r="AB26" s="119">
        <f>N26-K26</f>
        <v>-163.04885436508562</v>
      </c>
      <c r="AC26" s="187">
        <f>N26/K26</f>
        <v>0.91681180899740533</v>
      </c>
      <c r="AD26" s="404"/>
    </row>
    <row r="27" spans="1:30" ht="15" customHeight="1">
      <c r="A27" s="421" t="s">
        <v>54</v>
      </c>
      <c r="B27" s="229" t="s">
        <v>62</v>
      </c>
      <c r="C27" s="102"/>
      <c r="D27" s="103" t="s">
        <v>144</v>
      </c>
      <c r="E27" s="104"/>
      <c r="F27" s="199">
        <f>VLOOKUP(D27,廠價表!$C$1:$E$39,3,0)</f>
        <v>49.91</v>
      </c>
      <c r="G27" s="269">
        <v>2223</v>
      </c>
      <c r="H27" s="125">
        <f t="shared" ref="H27:H42" si="20">F27*G27</f>
        <v>110949.93</v>
      </c>
      <c r="I27" s="126"/>
      <c r="J27" s="16">
        <f>VLOOKUP(D27,產線配置圖!$A$2:$C$38,2,0)</f>
        <v>17</v>
      </c>
      <c r="K27" s="14">
        <f>VLOOKUP(D27,產線配置圖!$A$2:$C$38,3,0)</f>
        <v>1565</v>
      </c>
      <c r="L27" s="109">
        <f>K27/J27</f>
        <v>92.058823529411768</v>
      </c>
      <c r="M27" s="144">
        <v>17</v>
      </c>
      <c r="N27" s="127">
        <f>G27/W27*60</f>
        <v>1282.5000000000007</v>
      </c>
      <c r="O27" s="128">
        <f>N27/M27</f>
        <v>75.441176470588275</v>
      </c>
      <c r="P27" s="129">
        <f t="shared" si="17"/>
        <v>0</v>
      </c>
      <c r="Q27" s="130">
        <f t="shared" si="18"/>
        <v>-16.617647058823493</v>
      </c>
      <c r="R27" s="189">
        <f>O27/L27</f>
        <v>0.81948881789137418</v>
      </c>
      <c r="S27" s="424">
        <f>R37</f>
        <v>0.9082770798957992</v>
      </c>
      <c r="T27" s="94">
        <v>0.29166666666666669</v>
      </c>
      <c r="U27" s="94">
        <v>0.36388888888888887</v>
      </c>
      <c r="V27" s="126"/>
      <c r="W27" s="131">
        <f t="shared" si="13"/>
        <v>103.99999999999994</v>
      </c>
      <c r="X27" s="126"/>
      <c r="Y27" s="126" t="s">
        <v>147</v>
      </c>
      <c r="Z27" s="427"/>
      <c r="AA27" s="400"/>
      <c r="AB27" s="225">
        <f>N27-K27</f>
        <v>-282.49999999999932</v>
      </c>
      <c r="AC27" s="291">
        <f>N27/K27</f>
        <v>0.81948881789137429</v>
      </c>
      <c r="AD27" s="401">
        <f>AC37</f>
        <v>0.88861842249928635</v>
      </c>
    </row>
    <row r="28" spans="1:30" ht="15" customHeight="1">
      <c r="A28" s="422"/>
      <c r="B28" s="56" t="str">
        <f>VLOOKUP(D28,廠價表!$C$1:$E$39,2,0)</f>
        <v>義大利麵</v>
      </c>
      <c r="C28" s="10"/>
      <c r="D28" s="11" t="s">
        <v>158</v>
      </c>
      <c r="E28" s="86"/>
      <c r="F28" s="56">
        <f>VLOOKUP(D28,廠價表!$C$1:$E$39,3,0)</f>
        <v>47.71</v>
      </c>
      <c r="G28" s="53">
        <v>1977</v>
      </c>
      <c r="H28" s="50">
        <f t="shared" si="20"/>
        <v>94322.67</v>
      </c>
      <c r="I28" s="42"/>
      <c r="J28" s="16">
        <f>VLOOKUP(D28,產線配置圖!$A$2:$C$38,2,0)</f>
        <v>15</v>
      </c>
      <c r="K28" s="14">
        <f>VLOOKUP(D28,產線配置圖!$A$2:$C$38,3,0)</f>
        <v>1500</v>
      </c>
      <c r="L28" s="235">
        <f>K28/J28</f>
        <v>100</v>
      </c>
      <c r="M28" s="21">
        <v>15</v>
      </c>
      <c r="N28" s="36">
        <f>G28/W28*60</f>
        <v>1318</v>
      </c>
      <c r="O28" s="38">
        <f>N28/M28</f>
        <v>87.86666666666666</v>
      </c>
      <c r="P28" s="39">
        <f t="shared" si="17"/>
        <v>0</v>
      </c>
      <c r="Q28" s="40">
        <f t="shared" si="18"/>
        <v>-12.13333333333334</v>
      </c>
      <c r="R28" s="190">
        <f t="shared" si="19"/>
        <v>0.8786666666666666</v>
      </c>
      <c r="S28" s="425"/>
      <c r="T28" s="270">
        <v>0.37847222222222221</v>
      </c>
      <c r="U28" s="270">
        <v>0.44097222222222221</v>
      </c>
      <c r="V28" s="42">
        <f>(T28-U27)*24*60</f>
        <v>21.000000000000007</v>
      </c>
      <c r="W28" s="43">
        <f t="shared" si="13"/>
        <v>90</v>
      </c>
      <c r="X28" s="54"/>
      <c r="Y28" s="54"/>
      <c r="Z28" s="418"/>
      <c r="AA28" s="419"/>
      <c r="AB28" s="39">
        <f>N28-K28</f>
        <v>-182</v>
      </c>
      <c r="AC28" s="190">
        <f>N28/K28</f>
        <v>0.87866666666666671</v>
      </c>
      <c r="AD28" s="447"/>
    </row>
    <row r="29" spans="1:30" ht="15" customHeight="1">
      <c r="A29" s="422"/>
      <c r="B29" s="56" t="str">
        <f>VLOOKUP(D29,廠價表!$C$1:$E$39,2,0)</f>
        <v>義大利麵</v>
      </c>
      <c r="C29" s="10"/>
      <c r="D29" s="11" t="s">
        <v>137</v>
      </c>
      <c r="E29" s="86"/>
      <c r="F29" s="56">
        <f>VLOOKUP(D29,廠價表!$C$1:$E$39,3,0)</f>
        <v>55.13</v>
      </c>
      <c r="G29" s="53">
        <v>1286</v>
      </c>
      <c r="H29" s="50">
        <f t="shared" si="20"/>
        <v>70897.180000000008</v>
      </c>
      <c r="I29" s="42"/>
      <c r="J29" s="16">
        <f>VLOOKUP(D29,產線配置圖!$A$2:$C$38,2,0)</f>
        <v>18</v>
      </c>
      <c r="K29" s="14">
        <f>VLOOKUP(D29,產線配置圖!$A$2:$C$38,3,0)</f>
        <v>1385</v>
      </c>
      <c r="L29" s="235">
        <f>K29/J29</f>
        <v>76.944444444444443</v>
      </c>
      <c r="M29" s="21">
        <v>17</v>
      </c>
      <c r="N29" s="36">
        <f>G29/W29*60</f>
        <v>1244.5161290322592</v>
      </c>
      <c r="O29" s="38">
        <f>N29/M29</f>
        <v>73.20683111954466</v>
      </c>
      <c r="P29" s="39">
        <f t="shared" si="17"/>
        <v>-1</v>
      </c>
      <c r="Q29" s="40">
        <f t="shared" si="18"/>
        <v>-3.7376133248997832</v>
      </c>
      <c r="R29" s="190">
        <f t="shared" si="19"/>
        <v>0.95142451996520139</v>
      </c>
      <c r="S29" s="425"/>
      <c r="T29" s="41">
        <v>0.4465277777777778</v>
      </c>
      <c r="U29" s="41">
        <v>0.48958333333333331</v>
      </c>
      <c r="V29" s="42">
        <f>(T29-U28)*24*60</f>
        <v>8.0000000000000515</v>
      </c>
      <c r="W29" s="43">
        <f t="shared" si="13"/>
        <v>61.999999999999943</v>
      </c>
      <c r="X29" s="22"/>
      <c r="Y29" s="22"/>
      <c r="Z29" s="418"/>
      <c r="AA29" s="419"/>
      <c r="AB29" s="292">
        <f>N29-K29</f>
        <v>-140.48387096774081</v>
      </c>
      <c r="AC29" s="190">
        <f>N29/K29</f>
        <v>0.89856760218935683</v>
      </c>
      <c r="AD29" s="447"/>
    </row>
    <row r="30" spans="1:30" ht="15" customHeight="1">
      <c r="A30" s="422"/>
      <c r="B30" s="56" t="str">
        <f>VLOOKUP(D30,廠價表!$C$1:$E$39,2,0)</f>
        <v>義大利麵</v>
      </c>
      <c r="C30" s="237"/>
      <c r="D30" s="11" t="s">
        <v>137</v>
      </c>
      <c r="E30" s="29"/>
      <c r="F30" s="56">
        <f>VLOOKUP(D30,廠價表!$C$1:$E$39,3,0)</f>
        <v>55.13</v>
      </c>
      <c r="G30" s="53">
        <v>822</v>
      </c>
      <c r="H30" s="50">
        <f t="shared" si="20"/>
        <v>45316.86</v>
      </c>
      <c r="I30" s="42"/>
      <c r="J30" s="16">
        <f>VLOOKUP(D30,產線配置圖!$A$2:$C$38,2,0)</f>
        <v>18</v>
      </c>
      <c r="K30" s="14">
        <f>VLOOKUP(D30,產線配置圖!$A$2:$C$38,3,0)</f>
        <v>1385</v>
      </c>
      <c r="L30" s="235">
        <f>K30/J30</f>
        <v>76.944444444444443</v>
      </c>
      <c r="M30" s="21">
        <v>17</v>
      </c>
      <c r="N30" s="36">
        <f>G30/W30*60</f>
        <v>1233.0000000000043</v>
      </c>
      <c r="O30" s="38">
        <f>N30/M30</f>
        <v>72.52941176470614</v>
      </c>
      <c r="P30" s="39">
        <f t="shared" si="17"/>
        <v>-1</v>
      </c>
      <c r="Q30" s="40">
        <f t="shared" si="18"/>
        <v>-4.415032679738303</v>
      </c>
      <c r="R30" s="190">
        <f t="shared" si="19"/>
        <v>0.94262051390953827</v>
      </c>
      <c r="S30" s="425"/>
      <c r="T30" s="41">
        <v>0.54861111111111116</v>
      </c>
      <c r="U30" s="41">
        <v>0.57638888888888884</v>
      </c>
      <c r="V30" s="42">
        <f>(T30-U29)*24*60</f>
        <v>85.000000000000099</v>
      </c>
      <c r="W30" s="43">
        <f t="shared" si="13"/>
        <v>39.999999999999858</v>
      </c>
      <c r="X30" s="54">
        <v>0.5</v>
      </c>
      <c r="Y30" s="54">
        <v>0.54166666666666663</v>
      </c>
      <c r="Z30" s="449"/>
      <c r="AA30" s="450"/>
      <c r="AB30" s="292">
        <f>N30-K30</f>
        <v>-151.99999999999568</v>
      </c>
      <c r="AC30" s="190">
        <f>N30/K30</f>
        <v>0.89025270758123054</v>
      </c>
      <c r="AD30" s="448"/>
    </row>
    <row r="31" spans="1:30" ht="15" customHeight="1">
      <c r="A31" s="422"/>
      <c r="B31" s="56" t="str">
        <f>VLOOKUP(D31,廠價表!$C$1:$E$39,2,0)</f>
        <v>義大利麵</v>
      </c>
      <c r="C31" s="237"/>
      <c r="D31" s="11" t="s">
        <v>158</v>
      </c>
      <c r="E31" s="29"/>
      <c r="F31" s="56">
        <f>VLOOKUP(D31,廠價表!$C$1:$E$39,3,0)</f>
        <v>47.71</v>
      </c>
      <c r="G31" s="53">
        <v>2472</v>
      </c>
      <c r="H31" s="50">
        <f t="shared" ref="H31" si="21">F31*G31</f>
        <v>117939.12</v>
      </c>
      <c r="I31" s="42"/>
      <c r="J31" s="16">
        <f>VLOOKUP(D31,產線配置圖!$A$2:$C$38,2,0)</f>
        <v>15</v>
      </c>
      <c r="K31" s="14">
        <f>VLOOKUP(D31,產線配置圖!$A$2:$C$38,3,0)</f>
        <v>1500</v>
      </c>
      <c r="L31" s="235">
        <f>K31/J31</f>
        <v>100</v>
      </c>
      <c r="M31" s="21">
        <v>15</v>
      </c>
      <c r="N31" s="36">
        <f>G31/W31*60</f>
        <v>1440.0000000000007</v>
      </c>
      <c r="O31" s="38">
        <f>N31/M31</f>
        <v>96.000000000000043</v>
      </c>
      <c r="P31" s="39">
        <f t="shared" ref="P31" si="22">M31-J31</f>
        <v>0</v>
      </c>
      <c r="Q31" s="40">
        <f t="shared" ref="Q31" si="23">O31-L31</f>
        <v>-3.9999999999999574</v>
      </c>
      <c r="R31" s="190">
        <f t="shared" ref="R31" si="24">O31/L31</f>
        <v>0.96000000000000041</v>
      </c>
      <c r="S31" s="425"/>
      <c r="T31" s="41">
        <v>0.58333333333333337</v>
      </c>
      <c r="U31" s="41">
        <v>0.65486111111111112</v>
      </c>
      <c r="V31" s="42">
        <f>(T31-U30)*24*60</f>
        <v>10.000000000000124</v>
      </c>
      <c r="W31" s="43">
        <f t="shared" si="13"/>
        <v>102.99999999999996</v>
      </c>
      <c r="X31" s="54"/>
      <c r="Y31" s="54"/>
      <c r="Z31" s="449"/>
      <c r="AA31" s="450"/>
      <c r="AB31" s="257"/>
      <c r="AC31" s="258"/>
      <c r="AD31" s="403"/>
    </row>
    <row r="32" spans="1:30" ht="15" customHeight="1">
      <c r="A32" s="422"/>
      <c r="B32" s="56"/>
      <c r="C32" s="252"/>
      <c r="D32" s="253"/>
      <c r="E32" s="254"/>
      <c r="F32" s="56"/>
      <c r="G32" s="53"/>
      <c r="H32" s="50"/>
      <c r="I32" s="42"/>
      <c r="J32" s="255"/>
      <c r="K32" s="36"/>
      <c r="L32" s="256"/>
      <c r="M32" s="21"/>
      <c r="N32" s="36"/>
      <c r="O32" s="38"/>
      <c r="P32" s="39"/>
      <c r="Q32" s="40"/>
      <c r="R32" s="190"/>
      <c r="S32" s="425"/>
      <c r="T32" s="41"/>
      <c r="U32" s="41"/>
      <c r="V32" s="42"/>
      <c r="W32" s="43">
        <f t="shared" si="13"/>
        <v>0</v>
      </c>
      <c r="X32" s="54"/>
      <c r="Y32" s="54"/>
      <c r="Z32" s="418"/>
      <c r="AA32" s="405"/>
      <c r="AB32" s="18"/>
      <c r="AC32" s="185"/>
      <c r="AD32" s="403"/>
    </row>
    <row r="33" spans="1:30" ht="15" customHeight="1">
      <c r="A33" s="422"/>
      <c r="B33" s="240"/>
      <c r="C33" s="241"/>
      <c r="D33" s="242"/>
      <c r="E33" s="243"/>
      <c r="F33" s="223"/>
      <c r="G33" s="244"/>
      <c r="H33" s="245">
        <f t="shared" si="20"/>
        <v>0</v>
      </c>
      <c r="I33" s="246"/>
      <c r="J33" s="247"/>
      <c r="K33" s="45"/>
      <c r="M33" s="248"/>
      <c r="N33" s="45"/>
      <c r="O33" s="46"/>
      <c r="P33" s="47"/>
      <c r="Q33" s="48"/>
      <c r="R33" s="49"/>
      <c r="S33" s="425"/>
      <c r="T33" s="41"/>
      <c r="U33" s="41"/>
      <c r="V33" s="42"/>
      <c r="W33" s="43">
        <f t="shared" si="13"/>
        <v>0</v>
      </c>
      <c r="X33" s="54"/>
      <c r="Y33" s="54"/>
      <c r="Z33" s="418"/>
      <c r="AA33" s="405"/>
      <c r="AB33" s="18"/>
      <c r="AC33" s="57"/>
      <c r="AD33" s="403"/>
    </row>
    <row r="34" spans="1:30" ht="15" customHeight="1">
      <c r="A34" s="422"/>
      <c r="B34" s="231"/>
      <c r="C34" s="27"/>
      <c r="D34" s="28"/>
      <c r="E34" s="29"/>
      <c r="F34" s="13"/>
      <c r="G34" s="53"/>
      <c r="H34" s="50">
        <f t="shared" si="20"/>
        <v>0</v>
      </c>
      <c r="I34" s="42"/>
      <c r="J34" s="37"/>
      <c r="K34" s="36"/>
      <c r="L34" s="38"/>
      <c r="M34" s="21"/>
      <c r="N34" s="36"/>
      <c r="O34" s="38"/>
      <c r="P34" s="39"/>
      <c r="Q34" s="40"/>
      <c r="R34" s="190"/>
      <c r="S34" s="425"/>
      <c r="T34" s="41"/>
      <c r="U34" s="41"/>
      <c r="V34" s="42"/>
      <c r="W34" s="43">
        <f t="shared" si="13"/>
        <v>0</v>
      </c>
      <c r="X34" s="54"/>
      <c r="Y34" s="54"/>
      <c r="Z34" s="418"/>
      <c r="AA34" s="405"/>
      <c r="AB34" s="18"/>
      <c r="AC34" s="57"/>
      <c r="AD34" s="403"/>
    </row>
    <row r="35" spans="1:30" ht="15" customHeight="1">
      <c r="A35" s="422"/>
      <c r="B35" s="231"/>
      <c r="C35" s="27"/>
      <c r="D35" s="28"/>
      <c r="E35" s="29"/>
      <c r="F35" s="13"/>
      <c r="G35" s="53"/>
      <c r="H35" s="50">
        <f t="shared" si="20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90"/>
      <c r="S35" s="425"/>
      <c r="T35" s="41"/>
      <c r="U35" s="41"/>
      <c r="V35" s="42"/>
      <c r="W35" s="43">
        <f t="shared" si="13"/>
        <v>0</v>
      </c>
      <c r="X35" s="54"/>
      <c r="Y35" s="54"/>
      <c r="Z35" s="418"/>
      <c r="AA35" s="405"/>
      <c r="AB35" s="18"/>
      <c r="AC35" s="57"/>
      <c r="AD35" s="403"/>
    </row>
    <row r="36" spans="1:30" ht="15" customHeight="1">
      <c r="A36" s="422"/>
      <c r="B36" s="232"/>
      <c r="C36" s="27"/>
      <c r="D36" s="28"/>
      <c r="E36" s="29"/>
      <c r="F36" s="13"/>
      <c r="G36" s="53"/>
      <c r="H36" s="50">
        <f t="shared" si="20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90"/>
      <c r="S36" s="425"/>
      <c r="T36" s="41"/>
      <c r="U36" s="41"/>
      <c r="V36" s="42"/>
      <c r="W36" s="43">
        <f t="shared" si="13"/>
        <v>0</v>
      </c>
      <c r="X36" s="54"/>
      <c r="Y36" s="54"/>
      <c r="Z36" s="418"/>
      <c r="AA36" s="405"/>
      <c r="AB36" s="18"/>
      <c r="AC36" s="57"/>
      <c r="AD36" s="403"/>
    </row>
    <row r="37" spans="1:30" ht="15" customHeight="1" thickBot="1">
      <c r="A37" s="423"/>
      <c r="B37" s="300"/>
      <c r="C37" s="301" t="s">
        <v>36</v>
      </c>
      <c r="D37" s="428" t="s">
        <v>7</v>
      </c>
      <c r="E37" s="429"/>
      <c r="F37" s="281"/>
      <c r="G37" s="282"/>
      <c r="H37" s="283"/>
      <c r="I37" s="284"/>
      <c r="J37" s="285">
        <f t="shared" ref="J37:O37" si="25">AVERAGE(J27:J36)</f>
        <v>16.600000000000001</v>
      </c>
      <c r="K37" s="285">
        <f t="shared" si="25"/>
        <v>1467</v>
      </c>
      <c r="L37" s="286">
        <f t="shared" si="25"/>
        <v>89.189542483660134</v>
      </c>
      <c r="M37" s="285">
        <f t="shared" si="25"/>
        <v>16.2</v>
      </c>
      <c r="N37" s="285">
        <f t="shared" si="25"/>
        <v>1303.6032258064531</v>
      </c>
      <c r="O37" s="286">
        <f t="shared" si="25"/>
        <v>81.008817204301153</v>
      </c>
      <c r="P37" s="73">
        <f>M37-J37</f>
        <v>-0.40000000000000213</v>
      </c>
      <c r="Q37" s="74">
        <f>N37-K37</f>
        <v>-163.39677419354689</v>
      </c>
      <c r="R37" s="287">
        <f t="shared" ref="R37:R41" si="26">O37/L37</f>
        <v>0.9082770798957992</v>
      </c>
      <c r="S37" s="426"/>
      <c r="T37" s="302"/>
      <c r="U37" s="302"/>
      <c r="V37" s="81"/>
      <c r="W37" s="81"/>
      <c r="X37" s="303"/>
      <c r="Y37" s="303"/>
      <c r="Z37" s="430"/>
      <c r="AA37" s="379"/>
      <c r="AB37" s="34">
        <f t="shared" ref="AB37:AB40" si="27">N37-K37</f>
        <v>-163.39677419354689</v>
      </c>
      <c r="AC37" s="186">
        <f t="shared" ref="AC37:AC40" si="28">N37/K37</f>
        <v>0.88861842249928635</v>
      </c>
      <c r="AD37" s="403"/>
    </row>
    <row r="38" spans="1:30" s="62" customFormat="1" ht="15" customHeight="1">
      <c r="A38" s="454" t="s">
        <v>55</v>
      </c>
      <c r="B38" s="229" t="s">
        <v>134</v>
      </c>
      <c r="C38" s="199"/>
      <c r="D38" s="304" t="s">
        <v>156</v>
      </c>
      <c r="E38" s="280"/>
      <c r="F38" s="305">
        <f>VLOOKUP(D38,廠價表!$C$1:$E$39,3,0)</f>
        <v>56.43</v>
      </c>
      <c r="G38" s="266">
        <v>2498</v>
      </c>
      <c r="H38" s="147">
        <f t="shared" si="20"/>
        <v>140962.13999999998</v>
      </c>
      <c r="I38" s="126"/>
      <c r="J38" s="274">
        <f>VLOOKUP(D38,產線配置圖!$A$2:$C$38,2,0)</f>
        <v>15</v>
      </c>
      <c r="K38" s="236">
        <f>VLOOKUP(D38,產線配置圖!$A$2:$C$38,3,0)</f>
        <v>1406</v>
      </c>
      <c r="L38" s="288">
        <f t="shared" ref="L38:L41" si="29">K38/J38</f>
        <v>93.733333333333334</v>
      </c>
      <c r="M38" s="289">
        <v>15</v>
      </c>
      <c r="N38" s="127">
        <f>G38/W38*60</f>
        <v>1248.9999999999993</v>
      </c>
      <c r="O38" s="128">
        <f>N38/M38</f>
        <v>83.266666666666623</v>
      </c>
      <c r="P38" s="129">
        <f t="shared" ref="P38:P41" si="30">M38-J38</f>
        <v>0</v>
      </c>
      <c r="Q38" s="130">
        <f t="shared" ref="Q38:Q41" si="31">O38-L38</f>
        <v>-10.466666666666711</v>
      </c>
      <c r="R38" s="189">
        <f t="shared" si="26"/>
        <v>0.88833570412517737</v>
      </c>
      <c r="S38" s="457">
        <f>R48</f>
        <v>0.90888438188906295</v>
      </c>
      <c r="T38" s="151">
        <v>0.33333333333333331</v>
      </c>
      <c r="U38" s="151">
        <v>0.41666666666666669</v>
      </c>
      <c r="V38" s="148"/>
      <c r="W38" s="152">
        <f t="shared" si="13"/>
        <v>120.00000000000006</v>
      </c>
      <c r="X38" s="150"/>
      <c r="Y38" s="153"/>
      <c r="Z38" s="478"/>
      <c r="AA38" s="460"/>
      <c r="AB38" s="290">
        <f t="shared" si="27"/>
        <v>-157.00000000000068</v>
      </c>
      <c r="AC38" s="154">
        <f t="shared" si="28"/>
        <v>0.88833570412517737</v>
      </c>
      <c r="AD38" s="436">
        <f>AC48</f>
        <v>0.90888438188906284</v>
      </c>
    </row>
    <row r="39" spans="1:30" s="62" customFormat="1" ht="15" customHeight="1">
      <c r="A39" s="455"/>
      <c r="B39" s="56" t="s">
        <v>134</v>
      </c>
      <c r="C39" s="277"/>
      <c r="D39" s="279" t="s">
        <v>127</v>
      </c>
      <c r="E39" s="278"/>
      <c r="F39" s="56">
        <f>VLOOKUP(D39,廠價表!$C$1:$E$39,3,0)</f>
        <v>57.21</v>
      </c>
      <c r="G39" s="276">
        <v>1400</v>
      </c>
      <c r="H39" s="63">
        <f t="shared" si="20"/>
        <v>80094</v>
      </c>
      <c r="I39" s="64"/>
      <c r="J39" s="37">
        <v>15</v>
      </c>
      <c r="K39" s="36">
        <v>1565</v>
      </c>
      <c r="L39" s="38">
        <f t="shared" si="29"/>
        <v>104.33333333333333</v>
      </c>
      <c r="M39" s="65">
        <v>15</v>
      </c>
      <c r="N39" s="66">
        <f>G39/W39*60</f>
        <v>1292.3076923076919</v>
      </c>
      <c r="O39" s="67">
        <f t="shared" ref="O39:O41" si="32">N39/M39</f>
        <v>86.153846153846132</v>
      </c>
      <c r="P39" s="39">
        <f t="shared" si="30"/>
        <v>0</v>
      </c>
      <c r="Q39" s="40">
        <f t="shared" si="31"/>
        <v>-18.179487179487197</v>
      </c>
      <c r="R39" s="190">
        <f t="shared" si="26"/>
        <v>0.82575571393462754</v>
      </c>
      <c r="S39" s="458"/>
      <c r="T39" s="59">
        <v>0.42708333333333331</v>
      </c>
      <c r="U39" s="59">
        <v>0.47222222222222221</v>
      </c>
      <c r="V39" s="42">
        <f>(T39-U38)*24*60</f>
        <v>14.999999999999947</v>
      </c>
      <c r="W39" s="69">
        <f t="shared" si="13"/>
        <v>65.000000000000014</v>
      </c>
      <c r="X39" s="22"/>
      <c r="Y39" s="22"/>
      <c r="Z39" s="439"/>
      <c r="AA39" s="440"/>
      <c r="AB39" s="271">
        <f t="shared" si="27"/>
        <v>-272.69230769230808</v>
      </c>
      <c r="AC39" s="61">
        <f t="shared" si="28"/>
        <v>0.82575571393462743</v>
      </c>
      <c r="AD39" s="437"/>
    </row>
    <row r="40" spans="1:30" s="62" customFormat="1" ht="15" customHeight="1">
      <c r="A40" s="455"/>
      <c r="B40" s="56" t="s">
        <v>134</v>
      </c>
      <c r="C40" s="275"/>
      <c r="D40" s="279" t="s">
        <v>154</v>
      </c>
      <c r="E40" s="243"/>
      <c r="F40" s="56">
        <f>VLOOKUP(D40,廠價表!$C$1:$E$39,3,0)</f>
        <v>57.3</v>
      </c>
      <c r="G40" s="276">
        <v>581</v>
      </c>
      <c r="H40" s="63">
        <f t="shared" si="20"/>
        <v>33291.299999999996</v>
      </c>
      <c r="I40" s="64"/>
      <c r="J40" s="37">
        <f>VLOOKUP(D40,產線配置圖!$A$2:$C$38,2,0)</f>
        <v>15</v>
      </c>
      <c r="K40" s="36">
        <f>VLOOKUP(D40,產線配置圖!$A$2:$C$38,3,0)</f>
        <v>1385</v>
      </c>
      <c r="L40" s="38">
        <f t="shared" si="29"/>
        <v>92.333333333333329</v>
      </c>
      <c r="M40" s="65">
        <v>15</v>
      </c>
      <c r="N40" s="66">
        <f t="shared" ref="N40:N41" si="33">G40/W40*60</f>
        <v>1161.999999999998</v>
      </c>
      <c r="O40" s="67">
        <f t="shared" si="32"/>
        <v>77.466666666666526</v>
      </c>
      <c r="P40" s="39">
        <f t="shared" si="30"/>
        <v>0</v>
      </c>
      <c r="Q40" s="40">
        <f t="shared" si="31"/>
        <v>-14.866666666666802</v>
      </c>
      <c r="R40" s="190">
        <f t="shared" si="26"/>
        <v>0.83898916967508874</v>
      </c>
      <c r="S40" s="397"/>
      <c r="T40" s="59">
        <v>0.53819444444444442</v>
      </c>
      <c r="U40" s="59">
        <v>0.55902777777777779</v>
      </c>
      <c r="V40" s="42">
        <f t="shared" ref="V40:V42" si="34">(T40-U39)*24*60</f>
        <v>94.999999999999986</v>
      </c>
      <c r="W40" s="69">
        <f t="shared" si="13"/>
        <v>30.000000000000053</v>
      </c>
      <c r="X40" s="70">
        <v>0.47916666666666669</v>
      </c>
      <c r="Y40" s="259">
        <v>0.52083333333333337</v>
      </c>
      <c r="Z40" s="439"/>
      <c r="AA40" s="440"/>
      <c r="AB40" s="271">
        <f t="shared" si="27"/>
        <v>-223.00000000000205</v>
      </c>
      <c r="AC40" s="61">
        <f t="shared" si="28"/>
        <v>0.83898916967508874</v>
      </c>
      <c r="AD40" s="437"/>
    </row>
    <row r="41" spans="1:30" s="62" customFormat="1" ht="15" customHeight="1">
      <c r="A41" s="455"/>
      <c r="B41" s="56" t="s">
        <v>134</v>
      </c>
      <c r="C41" s="275"/>
      <c r="D41" s="279" t="s">
        <v>127</v>
      </c>
      <c r="E41" s="243"/>
      <c r="F41" s="56">
        <f>VLOOKUP(D41,廠價表!$C$1:$E$39,3,0)</f>
        <v>57.21</v>
      </c>
      <c r="G41" s="276">
        <v>1417</v>
      </c>
      <c r="H41" s="63">
        <f t="shared" si="20"/>
        <v>81066.570000000007</v>
      </c>
      <c r="I41" s="64"/>
      <c r="J41" s="37">
        <v>15</v>
      </c>
      <c r="K41" s="36">
        <v>1565</v>
      </c>
      <c r="L41" s="38">
        <f t="shared" si="29"/>
        <v>104.33333333333333</v>
      </c>
      <c r="M41" s="65">
        <v>15</v>
      </c>
      <c r="N41" s="66">
        <f t="shared" si="33"/>
        <v>1545.8181818181829</v>
      </c>
      <c r="O41" s="67">
        <f t="shared" si="32"/>
        <v>103.05454545454553</v>
      </c>
      <c r="P41" s="39">
        <f t="shared" si="30"/>
        <v>0</v>
      </c>
      <c r="Q41" s="40">
        <f t="shared" si="31"/>
        <v>-1.2787878787877958</v>
      </c>
      <c r="R41" s="190">
        <f t="shared" si="26"/>
        <v>0.98774324716816808</v>
      </c>
      <c r="S41" s="397"/>
      <c r="T41" s="59">
        <v>0.60069444444444442</v>
      </c>
      <c r="U41" s="59">
        <v>0.63888888888888884</v>
      </c>
      <c r="V41" s="42">
        <f t="shared" si="34"/>
        <v>59.999999999999943</v>
      </c>
      <c r="W41" s="69">
        <f t="shared" si="13"/>
        <v>54.999999999999964</v>
      </c>
      <c r="X41" s="70"/>
      <c r="Y41" s="259"/>
      <c r="Z41" s="439"/>
      <c r="AA41" s="440"/>
      <c r="AB41" s="271"/>
      <c r="AC41" s="61"/>
      <c r="AD41" s="437"/>
    </row>
    <row r="42" spans="1:30" s="62" customFormat="1" ht="15" customHeight="1">
      <c r="A42" s="455"/>
      <c r="B42" s="56" t="s">
        <v>134</v>
      </c>
      <c r="C42" s="23"/>
      <c r="D42" s="279" t="s">
        <v>154</v>
      </c>
      <c r="E42" s="12"/>
      <c r="F42" s="56">
        <f>VLOOKUP(D42,廠價表!$C$1:$E$39,3,0)</f>
        <v>57.3</v>
      </c>
      <c r="G42" s="276">
        <v>1192</v>
      </c>
      <c r="H42" s="63">
        <f t="shared" si="20"/>
        <v>68301.599999999991</v>
      </c>
      <c r="I42" s="64"/>
      <c r="J42" s="37">
        <v>15</v>
      </c>
      <c r="K42" s="36">
        <v>1565</v>
      </c>
      <c r="L42" s="38">
        <f t="shared" ref="L42" si="35">K42/J42</f>
        <v>104.33333333333333</v>
      </c>
      <c r="M42" s="65">
        <v>15</v>
      </c>
      <c r="N42" s="66">
        <f t="shared" ref="N42" si="36">G42/W42*60</f>
        <v>1554.7826086956522</v>
      </c>
      <c r="O42" s="67">
        <f t="shared" ref="O42" si="37">N42/M42</f>
        <v>103.65217391304348</v>
      </c>
      <c r="P42" s="39">
        <f t="shared" ref="P42" si="38">M42-J42</f>
        <v>0</v>
      </c>
      <c r="Q42" s="40">
        <f t="shared" ref="Q42" si="39">O42-L42</f>
        <v>-0.68115942028984477</v>
      </c>
      <c r="R42" s="190">
        <f t="shared" ref="R42" si="40">O42/L42</f>
        <v>0.99347131546048073</v>
      </c>
      <c r="S42" s="397"/>
      <c r="T42" s="75">
        <v>0.64236111111111116</v>
      </c>
      <c r="U42" s="75">
        <v>0.6743055555555556</v>
      </c>
      <c r="V42" s="42">
        <f t="shared" si="34"/>
        <v>5.0000000000001421</v>
      </c>
      <c r="W42" s="69">
        <f t="shared" si="13"/>
        <v>46</v>
      </c>
      <c r="X42" s="70"/>
      <c r="Y42" s="60"/>
      <c r="Z42" s="445"/>
      <c r="AA42" s="446"/>
      <c r="AB42" s="271"/>
      <c r="AC42" s="61"/>
      <c r="AD42" s="437"/>
    </row>
    <row r="43" spans="1:30" s="62" customFormat="1" ht="15" customHeight="1">
      <c r="A43" s="455"/>
      <c r="B43" s="230"/>
      <c r="C43" s="23"/>
      <c r="D43" s="11"/>
      <c r="E43" s="12"/>
      <c r="F43" s="13"/>
      <c r="G43" s="100"/>
      <c r="H43" s="63">
        <f t="shared" ref="H43:H47" si="41">F43*G43</f>
        <v>0</v>
      </c>
      <c r="I43" s="64"/>
      <c r="J43" s="65"/>
      <c r="K43" s="66"/>
      <c r="L43" s="67"/>
      <c r="M43" s="65"/>
      <c r="N43" s="66"/>
      <c r="O43" s="67"/>
      <c r="P43" s="39"/>
      <c r="Q43" s="40"/>
      <c r="R43" s="68"/>
      <c r="S43" s="397"/>
      <c r="T43" s="75"/>
      <c r="U43" s="75"/>
      <c r="V43" s="64"/>
      <c r="W43" s="69">
        <f>(U43-T43)*24*60</f>
        <v>0</v>
      </c>
      <c r="X43" s="70"/>
      <c r="Y43" s="67"/>
      <c r="Z43" s="405"/>
      <c r="AA43" s="405"/>
      <c r="AB43" s="71"/>
      <c r="AC43" s="61"/>
      <c r="AD43" s="437"/>
    </row>
    <row r="44" spans="1:30" s="62" customFormat="1" ht="15" customHeight="1">
      <c r="A44" s="455"/>
      <c r="B44" s="230"/>
      <c r="C44" s="183"/>
      <c r="D44" s="11"/>
      <c r="E44" s="12"/>
      <c r="F44" s="13"/>
      <c r="G44" s="100"/>
      <c r="H44" s="63">
        <f t="shared" si="41"/>
        <v>0</v>
      </c>
      <c r="I44" s="64"/>
      <c r="J44" s="65"/>
      <c r="K44" s="66"/>
      <c r="L44" s="58"/>
      <c r="M44" s="65"/>
      <c r="N44" s="66"/>
      <c r="O44" s="67"/>
      <c r="P44" s="39"/>
      <c r="Q44" s="40"/>
      <c r="R44" s="68"/>
      <c r="S44" s="397"/>
      <c r="T44" s="59"/>
      <c r="U44" s="59"/>
      <c r="V44" s="64"/>
      <c r="W44" s="69">
        <f t="shared" ref="W44:W48" si="42">(U44-T44)*24*60</f>
        <v>0</v>
      </c>
      <c r="X44" s="70"/>
      <c r="Y44" s="67"/>
      <c r="Z44" s="405"/>
      <c r="AA44" s="405"/>
      <c r="AB44" s="71"/>
      <c r="AC44" s="61"/>
      <c r="AD44" s="437"/>
    </row>
    <row r="45" spans="1:30" s="62" customFormat="1" ht="15" customHeight="1">
      <c r="A45" s="455"/>
      <c r="B45" s="231"/>
      <c r="C45" s="27"/>
      <c r="D45" s="28"/>
      <c r="E45" s="29"/>
      <c r="F45" s="13"/>
      <c r="G45" s="66"/>
      <c r="H45" s="63">
        <f t="shared" si="41"/>
        <v>0</v>
      </c>
      <c r="I45" s="64"/>
      <c r="J45" s="65"/>
      <c r="K45" s="66"/>
      <c r="L45" s="67"/>
      <c r="M45" s="65"/>
      <c r="N45" s="66"/>
      <c r="O45" s="67"/>
      <c r="P45" s="39"/>
      <c r="Q45" s="40"/>
      <c r="R45" s="68"/>
      <c r="S45" s="397"/>
      <c r="T45" s="75"/>
      <c r="U45" s="75"/>
      <c r="V45" s="64"/>
      <c r="W45" s="69">
        <f t="shared" si="42"/>
        <v>0</v>
      </c>
      <c r="X45" s="70"/>
      <c r="Y45" s="67"/>
      <c r="Z45" s="405"/>
      <c r="AA45" s="405"/>
      <c r="AB45" s="71"/>
      <c r="AC45" s="61"/>
      <c r="AD45" s="437"/>
    </row>
    <row r="46" spans="1:30" s="62" customFormat="1" ht="15" customHeight="1">
      <c r="A46" s="455"/>
      <c r="B46" s="231"/>
      <c r="C46" s="27"/>
      <c r="D46" s="28"/>
      <c r="E46" s="29"/>
      <c r="F46" s="13"/>
      <c r="G46" s="66"/>
      <c r="H46" s="63">
        <f t="shared" si="41"/>
        <v>0</v>
      </c>
      <c r="I46" s="64"/>
      <c r="J46" s="65"/>
      <c r="K46" s="66"/>
      <c r="L46" s="67"/>
      <c r="M46" s="65"/>
      <c r="N46" s="66"/>
      <c r="O46" s="67"/>
      <c r="P46" s="39"/>
      <c r="Q46" s="40"/>
      <c r="R46" s="68"/>
      <c r="S46" s="397"/>
      <c r="T46" s="59"/>
      <c r="U46" s="59"/>
      <c r="V46" s="64"/>
      <c r="W46" s="69">
        <f t="shared" si="42"/>
        <v>0</v>
      </c>
      <c r="X46" s="70"/>
      <c r="Y46" s="67"/>
      <c r="Z46" s="405"/>
      <c r="AA46" s="405"/>
      <c r="AB46" s="71"/>
      <c r="AC46" s="61"/>
      <c r="AD46" s="437"/>
    </row>
    <row r="47" spans="1:30" s="62" customFormat="1" ht="15" customHeight="1">
      <c r="A47" s="455"/>
      <c r="B47" s="230"/>
      <c r="C47" s="27"/>
      <c r="D47" s="28"/>
      <c r="E47" s="29"/>
      <c r="F47" s="13"/>
      <c r="G47" s="66"/>
      <c r="H47" s="63">
        <f t="shared" si="41"/>
        <v>0</v>
      </c>
      <c r="I47" s="64"/>
      <c r="J47" s="65"/>
      <c r="K47" s="66"/>
      <c r="L47" s="67"/>
      <c r="M47" s="65"/>
      <c r="N47" s="66"/>
      <c r="O47" s="67"/>
      <c r="P47" s="39"/>
      <c r="Q47" s="40"/>
      <c r="R47" s="68"/>
      <c r="S47" s="397"/>
      <c r="T47" s="75"/>
      <c r="U47" s="75"/>
      <c r="V47" s="64"/>
      <c r="W47" s="69">
        <f t="shared" si="42"/>
        <v>0</v>
      </c>
      <c r="X47" s="70"/>
      <c r="Y47" s="67"/>
      <c r="Z47" s="405"/>
      <c r="AA47" s="405"/>
      <c r="AB47" s="71"/>
      <c r="AC47" s="61"/>
      <c r="AD47" s="437"/>
    </row>
    <row r="48" spans="1:30" ht="15" customHeight="1" thickBot="1">
      <c r="A48" s="456"/>
      <c r="B48" s="156"/>
      <c r="C48" s="1" t="s">
        <v>37</v>
      </c>
      <c r="D48" s="410" t="s">
        <v>7</v>
      </c>
      <c r="E48" s="410"/>
      <c r="F48" s="133"/>
      <c r="G48" s="145"/>
      <c r="H48" s="135"/>
      <c r="I48" s="136"/>
      <c r="J48" s="134">
        <f t="shared" ref="J48:O48" si="43">AVERAGE(J38:J47)</f>
        <v>15</v>
      </c>
      <c r="K48" s="134">
        <f t="shared" si="43"/>
        <v>1497.2</v>
      </c>
      <c r="L48" s="137">
        <f t="shared" si="43"/>
        <v>99.813333333333318</v>
      </c>
      <c r="M48" s="134">
        <f t="shared" si="43"/>
        <v>15</v>
      </c>
      <c r="N48" s="134">
        <f t="shared" si="43"/>
        <v>1360.7816965643049</v>
      </c>
      <c r="O48" s="137">
        <f t="shared" si="43"/>
        <v>90.71877977095366</v>
      </c>
      <c r="P48" s="157">
        <f>M48-J48</f>
        <v>0</v>
      </c>
      <c r="Q48" s="158">
        <f>N48-K48</f>
        <v>-136.41830343569518</v>
      </c>
      <c r="R48" s="159">
        <f>O48/L48</f>
        <v>0.90888438188906295</v>
      </c>
      <c r="S48" s="399"/>
      <c r="T48" s="160"/>
      <c r="U48" s="160"/>
      <c r="V48" s="196"/>
      <c r="W48" s="161">
        <f t="shared" si="42"/>
        <v>0</v>
      </c>
      <c r="X48" s="162"/>
      <c r="Y48" s="162"/>
      <c r="Z48" s="391"/>
      <c r="AA48" s="391"/>
      <c r="AB48" s="163">
        <f>N48-K48</f>
        <v>-136.41830343569518</v>
      </c>
      <c r="AC48" s="191">
        <f>N48/K48</f>
        <v>0.90888438188906284</v>
      </c>
      <c r="AD48" s="438"/>
    </row>
    <row r="49" spans="1:30" ht="15" customHeight="1">
      <c r="A49" s="451" t="s">
        <v>56</v>
      </c>
      <c r="B49" s="199" t="str">
        <f>VLOOKUP(D49,廠價表!$C$1:$E$39,2,0)</f>
        <v>義大利麵</v>
      </c>
      <c r="C49" s="102"/>
      <c r="D49" s="103" t="s">
        <v>152</v>
      </c>
      <c r="E49" s="104"/>
      <c r="F49" s="199">
        <f>VLOOKUP(D49,廠價表!$C$1:$E$39,3,0)</f>
        <v>56.87</v>
      </c>
      <c r="G49" s="149">
        <v>2592</v>
      </c>
      <c r="H49" s="125">
        <f t="shared" ref="H49:H57" si="44">F49*G49</f>
        <v>147407.03999999998</v>
      </c>
      <c r="I49" s="126"/>
      <c r="J49" s="16">
        <f>VLOOKUP(D49,產線配置圖!$A$2:$C$38,2,0)</f>
        <v>19</v>
      </c>
      <c r="K49" s="14">
        <f>VLOOKUP(D49,產線配置圖!$A$2:$C$38,3,0)</f>
        <v>1565</v>
      </c>
      <c r="L49" s="109">
        <f>K49/J49</f>
        <v>82.368421052631575</v>
      </c>
      <c r="M49" s="144">
        <v>19</v>
      </c>
      <c r="N49" s="127">
        <f>G49/W49*60</f>
        <v>1413.8181818181815</v>
      </c>
      <c r="O49" s="128">
        <f>N49/M49</f>
        <v>74.4114832535885</v>
      </c>
      <c r="P49" s="164">
        <f>M49-J49</f>
        <v>0</v>
      </c>
      <c r="Q49" s="112">
        <f>O49-L49</f>
        <v>-7.9569377990430752</v>
      </c>
      <c r="R49" s="184">
        <f>O49/L49</f>
        <v>0.90339819924484444</v>
      </c>
      <c r="S49" s="396">
        <f>R58</f>
        <v>0.86690490080421456</v>
      </c>
      <c r="T49" s="151">
        <v>0.33333333333333331</v>
      </c>
      <c r="U49" s="151">
        <v>0.40972222222222221</v>
      </c>
      <c r="V49" s="188"/>
      <c r="W49" s="152">
        <f t="shared" si="13"/>
        <v>110.00000000000001</v>
      </c>
      <c r="X49" s="188"/>
      <c r="Y49" s="188"/>
      <c r="Z49" s="400"/>
      <c r="AA49" s="400"/>
      <c r="AB49" s="111">
        <f>N49-K49</f>
        <v>-151.18181818181847</v>
      </c>
      <c r="AC49" s="184">
        <f>N49/K49</f>
        <v>0.90339819924484444</v>
      </c>
      <c r="AD49" s="401">
        <f>AC58</f>
        <v>0.87032563213529679</v>
      </c>
    </row>
    <row r="50" spans="1:30" ht="15" customHeight="1">
      <c r="A50" s="452"/>
      <c r="B50" s="56" t="str">
        <f>VLOOKUP(D50,廠價表!$C$1:$E$39,2,0)</f>
        <v>義大利麵</v>
      </c>
      <c r="C50" s="10"/>
      <c r="D50" s="11" t="s">
        <v>65</v>
      </c>
      <c r="E50" s="86"/>
      <c r="F50" s="56">
        <f>VLOOKUP(D50,廠價表!$C$1:$E$39,3,0)</f>
        <v>49.97</v>
      </c>
      <c r="G50" s="66">
        <v>2321</v>
      </c>
      <c r="H50" s="76">
        <f t="shared" si="44"/>
        <v>115980.37</v>
      </c>
      <c r="I50" s="193"/>
      <c r="J50" s="16">
        <f>VLOOKUP(D50,產線配置圖!$A$2:$C$38,2,0)</f>
        <v>18</v>
      </c>
      <c r="K50" s="14">
        <f>VLOOKUP(D50,產線配置圖!$A$2:$C$38,3,0)</f>
        <v>1600</v>
      </c>
      <c r="L50" s="17">
        <f>K50/J50</f>
        <v>88.888888888888886</v>
      </c>
      <c r="M50" s="174">
        <v>18</v>
      </c>
      <c r="N50" s="77">
        <f>G50/W50*60</f>
        <v>1497.41935483871</v>
      </c>
      <c r="O50" s="78">
        <f>N50/M50</f>
        <v>83.189964157706115</v>
      </c>
      <c r="P50" s="18">
        <f>M50-J50</f>
        <v>0</v>
      </c>
      <c r="Q50" s="19">
        <f>O50-L50</f>
        <v>-5.6989247311827711</v>
      </c>
      <c r="R50" s="185">
        <f>O50/L50</f>
        <v>0.93588709677419379</v>
      </c>
      <c r="S50" s="397"/>
      <c r="T50" s="79">
        <v>0.41805555555555557</v>
      </c>
      <c r="U50" s="79">
        <v>0.4826388888888889</v>
      </c>
      <c r="V50" s="177">
        <f t="shared" ref="V50:V52" si="45">(T50-U49)*24*60</f>
        <v>12.000000000000037</v>
      </c>
      <c r="W50" s="80">
        <f t="shared" si="13"/>
        <v>92.999999999999986</v>
      </c>
      <c r="X50" s="22"/>
      <c r="Y50" s="22"/>
      <c r="Z50" s="419"/>
      <c r="AA50" s="418"/>
      <c r="AB50" s="18">
        <f>N50-K50</f>
        <v>-102.58064516129002</v>
      </c>
      <c r="AC50" s="185">
        <f>N50/K50</f>
        <v>0.93588709677419368</v>
      </c>
      <c r="AD50" s="402"/>
    </row>
    <row r="51" spans="1:30" ht="15" customHeight="1">
      <c r="A51" s="452"/>
      <c r="B51" s="56" t="str">
        <f>VLOOKUP(D51,廠價表!$C$1:$E$39,2,0)</f>
        <v>義大利麵</v>
      </c>
      <c r="C51" s="10"/>
      <c r="D51" s="11" t="s">
        <v>65</v>
      </c>
      <c r="E51" s="86"/>
      <c r="F51" s="56">
        <f>VLOOKUP(D51,廠價表!$C$1:$E$39,3,0)</f>
        <v>49.97</v>
      </c>
      <c r="G51" s="66">
        <v>3506</v>
      </c>
      <c r="H51" s="76">
        <f t="shared" si="44"/>
        <v>175194.82</v>
      </c>
      <c r="I51" s="193"/>
      <c r="J51" s="16">
        <f>VLOOKUP(D51,產線配置圖!$A$2:$C$38,2,0)</f>
        <v>18</v>
      </c>
      <c r="K51" s="14">
        <f>VLOOKUP(D51,產線配置圖!$A$2:$C$38,3,0)</f>
        <v>1600</v>
      </c>
      <c r="L51" s="17">
        <f>K51/J51</f>
        <v>88.888888888888886</v>
      </c>
      <c r="M51" s="174">
        <v>18</v>
      </c>
      <c r="N51" s="77">
        <f>G51/W51*60</f>
        <v>1558.2222222222224</v>
      </c>
      <c r="O51" s="78">
        <f>N51/M51</f>
        <v>86.567901234567913</v>
      </c>
      <c r="P51" s="18">
        <f>M51-J51</f>
        <v>0</v>
      </c>
      <c r="Q51" s="19">
        <f>O51-L51</f>
        <v>-2.3209876543209731</v>
      </c>
      <c r="R51" s="185">
        <f>O51/L51</f>
        <v>0.97388888888888903</v>
      </c>
      <c r="S51" s="397"/>
      <c r="T51" s="79">
        <v>0.54374999999999996</v>
      </c>
      <c r="U51" s="44">
        <v>0.63749999999999996</v>
      </c>
      <c r="V51" s="177">
        <f t="shared" si="45"/>
        <v>87.999999999999929</v>
      </c>
      <c r="W51" s="80">
        <f t="shared" si="13"/>
        <v>135</v>
      </c>
      <c r="X51" s="22">
        <v>0.5</v>
      </c>
      <c r="Y51" s="22">
        <v>0.54166666666666663</v>
      </c>
      <c r="Z51" s="405"/>
      <c r="AA51" s="405"/>
      <c r="AB51" s="18">
        <f>N51-K51</f>
        <v>-41.777777777777601</v>
      </c>
      <c r="AC51" s="185">
        <f>N51/K51</f>
        <v>0.97388888888888903</v>
      </c>
      <c r="AD51" s="402"/>
    </row>
    <row r="52" spans="1:30" ht="15" customHeight="1">
      <c r="A52" s="452"/>
      <c r="B52" s="56" t="str">
        <f>VLOOKUP(D52,廠價表!$C$1:$E$39,2,0)</f>
        <v>熱乾麵</v>
      </c>
      <c r="C52" s="23"/>
      <c r="D52" s="11" t="s">
        <v>144</v>
      </c>
      <c r="E52" s="12"/>
      <c r="F52" s="56">
        <f>VLOOKUP(D52,廠價表!$C$1:$E$39,3,0)</f>
        <v>49.91</v>
      </c>
      <c r="G52" s="66">
        <v>1161</v>
      </c>
      <c r="H52" s="76">
        <f t="shared" si="44"/>
        <v>57945.509999999995</v>
      </c>
      <c r="I52" s="193"/>
      <c r="J52" s="16">
        <f>VLOOKUP(D52,產線配置圖!$A$2:$C$38,2,0)</f>
        <v>17</v>
      </c>
      <c r="K52" s="14">
        <f>VLOOKUP(D52,產線配置圖!$A$2:$C$38,3,0)</f>
        <v>1565</v>
      </c>
      <c r="L52" s="17">
        <f>K52/J52</f>
        <v>92.058823529411768</v>
      </c>
      <c r="M52" s="174">
        <v>17</v>
      </c>
      <c r="N52" s="77">
        <f>G52/W52*60</f>
        <v>1039.7014925373148</v>
      </c>
      <c r="O52" s="78">
        <f>N52/M52</f>
        <v>61.158911325724404</v>
      </c>
      <c r="P52" s="18">
        <f>M52-J52</f>
        <v>0</v>
      </c>
      <c r="Q52" s="19">
        <f>O52-L52</f>
        <v>-30.899912203687364</v>
      </c>
      <c r="R52" s="185">
        <f>O52/L52</f>
        <v>0.66434600162128743</v>
      </c>
      <c r="S52" s="397"/>
      <c r="T52" s="79">
        <v>0.6479166666666667</v>
      </c>
      <c r="U52" s="79">
        <v>0.69444444444444442</v>
      </c>
      <c r="V52" s="177">
        <f t="shared" si="45"/>
        <v>15.000000000000107</v>
      </c>
      <c r="W52" s="80">
        <f t="shared" si="13"/>
        <v>66.999999999999915</v>
      </c>
      <c r="X52" s="22"/>
      <c r="Y52" s="22"/>
      <c r="Z52" s="405" t="s">
        <v>214</v>
      </c>
      <c r="AA52" s="405"/>
      <c r="AB52" s="18"/>
      <c r="AC52" s="185"/>
      <c r="AD52" s="402"/>
    </row>
    <row r="53" spans="1:30" ht="15" customHeight="1">
      <c r="A53" s="452"/>
      <c r="B53" s="56"/>
      <c r="C53" s="23"/>
      <c r="D53" s="11"/>
      <c r="E53" s="12"/>
      <c r="F53" s="56"/>
      <c r="G53" s="66"/>
      <c r="H53" s="76"/>
      <c r="I53" s="193"/>
      <c r="J53" s="16"/>
      <c r="K53" s="14"/>
      <c r="L53" s="17"/>
      <c r="M53" s="174"/>
      <c r="N53" s="77"/>
      <c r="O53" s="78"/>
      <c r="P53" s="18"/>
      <c r="Q53" s="19"/>
      <c r="R53" s="185"/>
      <c r="S53" s="397"/>
      <c r="T53" s="79"/>
      <c r="U53" s="79"/>
      <c r="V53" s="177"/>
      <c r="W53" s="80">
        <f t="shared" si="13"/>
        <v>0</v>
      </c>
      <c r="X53" s="177"/>
      <c r="Y53" s="177"/>
      <c r="Z53" s="419"/>
      <c r="AA53" s="418"/>
      <c r="AB53" s="18"/>
      <c r="AC53" s="185"/>
      <c r="AD53" s="402"/>
    </row>
    <row r="54" spans="1:30" ht="15" customHeight="1">
      <c r="A54" s="452"/>
      <c r="B54" s="177"/>
      <c r="C54" s="183"/>
      <c r="D54" s="11"/>
      <c r="E54" s="12"/>
      <c r="F54" s="13"/>
      <c r="G54" s="66"/>
      <c r="H54" s="76">
        <f t="shared" si="44"/>
        <v>0</v>
      </c>
      <c r="I54" s="177"/>
      <c r="J54" s="31"/>
      <c r="K54" s="30"/>
      <c r="L54" s="38"/>
      <c r="M54" s="181"/>
      <c r="N54" s="30"/>
      <c r="O54" s="35"/>
      <c r="P54" s="18"/>
      <c r="Q54" s="19"/>
      <c r="R54" s="185"/>
      <c r="S54" s="397"/>
      <c r="T54" s="79"/>
      <c r="U54" s="79"/>
      <c r="V54" s="197"/>
      <c r="W54" s="80">
        <f t="shared" si="13"/>
        <v>0</v>
      </c>
      <c r="X54" s="177"/>
      <c r="Y54" s="177"/>
      <c r="Z54" s="419"/>
      <c r="AA54" s="418"/>
      <c r="AB54" s="18"/>
      <c r="AC54" s="185"/>
      <c r="AD54" s="402"/>
    </row>
    <row r="55" spans="1:30" ht="15" customHeight="1">
      <c r="A55" s="452"/>
      <c r="B55" s="26"/>
      <c r="C55" s="27"/>
      <c r="D55" s="28"/>
      <c r="E55" s="29"/>
      <c r="F55" s="13"/>
      <c r="G55" s="66"/>
      <c r="H55" s="15">
        <f t="shared" si="44"/>
        <v>0</v>
      </c>
      <c r="I55" s="177"/>
      <c r="J55" s="31"/>
      <c r="K55" s="30"/>
      <c r="L55" s="38"/>
      <c r="M55" s="181"/>
      <c r="N55" s="30"/>
      <c r="O55" s="35"/>
      <c r="P55" s="18"/>
      <c r="Q55" s="19"/>
      <c r="R55" s="185"/>
      <c r="S55" s="397"/>
      <c r="T55" s="79"/>
      <c r="U55" s="79"/>
      <c r="V55" s="197"/>
      <c r="W55" s="80">
        <f t="shared" si="13"/>
        <v>0</v>
      </c>
      <c r="X55" s="177"/>
      <c r="Y55" s="177"/>
      <c r="Z55" s="419"/>
      <c r="AA55" s="418"/>
      <c r="AB55" s="18"/>
      <c r="AC55" s="185"/>
      <c r="AD55" s="402"/>
    </row>
    <row r="56" spans="1:30" ht="15" customHeight="1">
      <c r="A56" s="452"/>
      <c r="B56" s="26"/>
      <c r="C56" s="27"/>
      <c r="D56" s="28"/>
      <c r="E56" s="29"/>
      <c r="F56" s="13"/>
      <c r="G56" s="66"/>
      <c r="H56" s="15">
        <f t="shared" si="44"/>
        <v>0</v>
      </c>
      <c r="I56" s="177"/>
      <c r="J56" s="31"/>
      <c r="K56" s="30"/>
      <c r="L56" s="38"/>
      <c r="M56" s="181"/>
      <c r="N56" s="30"/>
      <c r="O56" s="35"/>
      <c r="P56" s="18"/>
      <c r="Q56" s="19"/>
      <c r="R56" s="185"/>
      <c r="S56" s="397"/>
      <c r="T56" s="79"/>
      <c r="U56" s="79"/>
      <c r="V56" s="197"/>
      <c r="W56" s="80">
        <f t="shared" si="13"/>
        <v>0</v>
      </c>
      <c r="X56" s="177"/>
      <c r="Y56" s="177"/>
      <c r="Z56" s="405"/>
      <c r="AA56" s="405"/>
      <c r="AB56" s="18"/>
      <c r="AC56" s="185"/>
      <c r="AD56" s="402"/>
    </row>
    <row r="57" spans="1:30" ht="15" customHeight="1">
      <c r="A57" s="452"/>
      <c r="B57" s="26"/>
      <c r="C57" s="27"/>
      <c r="D57" s="28"/>
      <c r="E57" s="29"/>
      <c r="F57" s="13"/>
      <c r="G57" s="66"/>
      <c r="H57" s="15">
        <f t="shared" si="44"/>
        <v>0</v>
      </c>
      <c r="I57" s="177"/>
      <c r="J57" s="31"/>
      <c r="K57" s="30"/>
      <c r="L57" s="38"/>
      <c r="M57" s="181"/>
      <c r="N57" s="30"/>
      <c r="O57" s="35"/>
      <c r="P57" s="18"/>
      <c r="Q57" s="19"/>
      <c r="R57" s="185"/>
      <c r="S57" s="397"/>
      <c r="T57" s="79"/>
      <c r="U57" s="79"/>
      <c r="V57" s="197"/>
      <c r="W57" s="80">
        <f t="shared" si="13"/>
        <v>0</v>
      </c>
      <c r="X57" s="177"/>
      <c r="Y57" s="177"/>
      <c r="Z57" s="405"/>
      <c r="AA57" s="405"/>
      <c r="AB57" s="18"/>
      <c r="AC57" s="185"/>
      <c r="AD57" s="402"/>
    </row>
    <row r="58" spans="1:30" ht="15" customHeight="1" thickBot="1">
      <c r="A58" s="453"/>
      <c r="B58" s="165"/>
      <c r="C58" s="1" t="s">
        <v>38</v>
      </c>
      <c r="D58" s="410" t="s">
        <v>7</v>
      </c>
      <c r="E58" s="410"/>
      <c r="F58" s="114"/>
      <c r="G58" s="166"/>
      <c r="H58" s="116"/>
      <c r="I58" s="115"/>
      <c r="J58" s="118">
        <f t="shared" ref="J58:O58" si="46">AVERAGE(J49:J57)</f>
        <v>18</v>
      </c>
      <c r="K58" s="118">
        <f t="shared" si="46"/>
        <v>1582.5</v>
      </c>
      <c r="L58" s="115">
        <f t="shared" si="46"/>
        <v>88.051255589955289</v>
      </c>
      <c r="M58" s="118">
        <f t="shared" si="46"/>
        <v>18</v>
      </c>
      <c r="N58" s="118">
        <f t="shared" si="46"/>
        <v>1377.2903128541072</v>
      </c>
      <c r="O58" s="115">
        <f t="shared" si="46"/>
        <v>76.332064992896733</v>
      </c>
      <c r="P58" s="119">
        <f>M58-J58</f>
        <v>0</v>
      </c>
      <c r="Q58" s="120">
        <f>N58-K58</f>
        <v>-205.20968714589276</v>
      </c>
      <c r="R58" s="121">
        <f t="shared" ref="R58:R60" si="47">O58/L58</f>
        <v>0.86690490080421456</v>
      </c>
      <c r="S58" s="399"/>
      <c r="T58" s="167"/>
      <c r="U58" s="167"/>
      <c r="V58" s="195"/>
      <c r="W58" s="168"/>
      <c r="X58" s="124"/>
      <c r="Y58" s="124"/>
      <c r="Z58" s="391"/>
      <c r="AA58" s="391"/>
      <c r="AB58" s="119">
        <f t="shared" ref="AB58:AB62" si="48">N58-K58</f>
        <v>-205.20968714589276</v>
      </c>
      <c r="AC58" s="187">
        <f t="shared" ref="AC58:AC62" si="49">N58/K58</f>
        <v>0.87032563213529679</v>
      </c>
      <c r="AD58" s="404"/>
    </row>
    <row r="59" spans="1:30" ht="15" customHeight="1">
      <c r="A59" s="466" t="s">
        <v>57</v>
      </c>
      <c r="B59" s="199" t="str">
        <f>VLOOKUP(D59,廠價表!$C$1:$E$39,2,0)</f>
        <v>小吃、微波</v>
      </c>
      <c r="C59" s="102"/>
      <c r="D59" s="103" t="s">
        <v>125</v>
      </c>
      <c r="E59" s="104"/>
      <c r="F59" s="199">
        <f>VLOOKUP(D59,廠價表!$C$1:$E$39,3,0)</f>
        <v>26.99</v>
      </c>
      <c r="G59" s="188">
        <v>2790</v>
      </c>
      <c r="H59" s="106">
        <f t="shared" ref="H59:H68" si="50">F59*G59</f>
        <v>75302.099999999991</v>
      </c>
      <c r="I59" s="188"/>
      <c r="J59" s="108">
        <f>VLOOKUP(D59,產線配置圖!$A$2:$C$38,2,0)</f>
        <v>13</v>
      </c>
      <c r="K59" s="105">
        <f>VLOOKUP(D59,產線配置圖!$A$2:$C$38,3,0)</f>
        <v>1565</v>
      </c>
      <c r="L59" s="109">
        <f>K59/J59</f>
        <v>120.38461538461539</v>
      </c>
      <c r="M59" s="110">
        <v>13</v>
      </c>
      <c r="N59" s="105">
        <f t="shared" ref="N59:N62" si="51">G59/W59*60</f>
        <v>1550.0000000000007</v>
      </c>
      <c r="O59" s="109">
        <f t="shared" ref="O59:O62" si="52">N59/M59</f>
        <v>119.23076923076928</v>
      </c>
      <c r="P59" s="111">
        <f t="shared" ref="P59:P62" si="53">M59-J59</f>
        <v>0</v>
      </c>
      <c r="Q59" s="112">
        <f t="shared" ref="Q59:Q62" si="54">O59-L59</f>
        <v>-1.1538461538461036</v>
      </c>
      <c r="R59" s="184">
        <f t="shared" si="47"/>
        <v>0.99041533546325922</v>
      </c>
      <c r="S59" s="396">
        <f>R69</f>
        <v>0.82047034151690079</v>
      </c>
      <c r="T59" s="169">
        <v>0.29166666666666669</v>
      </c>
      <c r="U59" s="169">
        <v>0.36666666666666664</v>
      </c>
      <c r="V59" s="188"/>
      <c r="W59" s="107">
        <f t="shared" si="13"/>
        <v>107.99999999999994</v>
      </c>
      <c r="X59" s="188"/>
      <c r="Y59" s="188"/>
      <c r="Z59" s="405"/>
      <c r="AA59" s="405"/>
      <c r="AB59" s="225">
        <f t="shared" si="48"/>
        <v>-14.999999999999318</v>
      </c>
      <c r="AC59" s="226">
        <f t="shared" si="49"/>
        <v>0.99041533546325922</v>
      </c>
      <c r="AD59" s="401">
        <f>AC69</f>
        <v>0.82517981006637209</v>
      </c>
    </row>
    <row r="60" spans="1:30" ht="15" customHeight="1">
      <c r="A60" s="467"/>
      <c r="B60" s="56" t="str">
        <f>VLOOKUP(D60,廠價表!$C$1:$E$39,2,0)</f>
        <v>小吃、微波</v>
      </c>
      <c r="C60" s="10"/>
      <c r="D60" s="11" t="s">
        <v>146</v>
      </c>
      <c r="E60" s="86"/>
      <c r="F60" s="56">
        <f>VLOOKUP(D60,廠價表!$C$1:$E$39,3,0)</f>
        <v>28.47</v>
      </c>
      <c r="G60" s="177">
        <v>840</v>
      </c>
      <c r="H60" s="15">
        <f t="shared" si="50"/>
        <v>23914.799999999999</v>
      </c>
      <c r="I60" s="177"/>
      <c r="J60" s="16">
        <f>VLOOKUP(D60,產線配置圖!$A$2:$C$38,2,0)</f>
        <v>12</v>
      </c>
      <c r="K60" s="14">
        <f>VLOOKUP(D60,產線配置圖!$A$2:$C$38,3,0)</f>
        <v>1565</v>
      </c>
      <c r="L60" s="17">
        <f>K60/J60</f>
        <v>130.41666666666666</v>
      </c>
      <c r="M60" s="180">
        <v>12</v>
      </c>
      <c r="N60" s="14">
        <f t="shared" si="51"/>
        <v>1120</v>
      </c>
      <c r="O60" s="17">
        <f t="shared" si="52"/>
        <v>93.333333333333329</v>
      </c>
      <c r="P60" s="18">
        <f t="shared" si="53"/>
        <v>0</v>
      </c>
      <c r="Q60" s="19">
        <f t="shared" si="54"/>
        <v>-37.083333333333329</v>
      </c>
      <c r="R60" s="185">
        <f t="shared" si="47"/>
        <v>0.71565495207667729</v>
      </c>
      <c r="S60" s="470"/>
      <c r="T60" s="198">
        <v>0.37708333333333333</v>
      </c>
      <c r="U60" s="198">
        <v>0.40833333333333333</v>
      </c>
      <c r="V60" s="177">
        <f t="shared" ref="V60:V63" si="55">(T60-U59)*24*60</f>
        <v>15.000000000000027</v>
      </c>
      <c r="W60" s="90">
        <f t="shared" si="13"/>
        <v>45</v>
      </c>
      <c r="X60" s="193"/>
      <c r="Y60" s="193"/>
      <c r="Z60" s="405" t="s">
        <v>216</v>
      </c>
      <c r="AA60" s="405"/>
      <c r="AB60" s="227">
        <f t="shared" si="48"/>
        <v>-445</v>
      </c>
      <c r="AC60" s="228">
        <f t="shared" si="49"/>
        <v>0.71565495207667729</v>
      </c>
      <c r="AD60" s="473"/>
    </row>
    <row r="61" spans="1:30" ht="15" customHeight="1">
      <c r="A61" s="468"/>
      <c r="B61" s="56" t="str">
        <f>VLOOKUP(D61,廠價表!$C$1:$E$39,2,0)</f>
        <v>小吃、微波</v>
      </c>
      <c r="C61" s="10"/>
      <c r="D61" s="242" t="s">
        <v>135</v>
      </c>
      <c r="E61" s="86"/>
      <c r="F61" s="56">
        <f>VLOOKUP(D61,廠價表!$C$1:$E$39,3,0)</f>
        <v>28.26</v>
      </c>
      <c r="G61" s="177">
        <v>1262</v>
      </c>
      <c r="H61" s="15">
        <f t="shared" si="50"/>
        <v>35664.120000000003</v>
      </c>
      <c r="I61" s="81"/>
      <c r="J61" s="16">
        <f>VLOOKUP(D61,產線配置圖!$A$2:$C$38,2,0)</f>
        <v>12</v>
      </c>
      <c r="K61" s="14">
        <f>VLOOKUP(D61,產線配置圖!$A$2:$C$38,3,0)</f>
        <v>1565</v>
      </c>
      <c r="L61" s="17">
        <f t="shared" ref="L61:L62" si="56">K61/J61</f>
        <v>130.41666666666666</v>
      </c>
      <c r="M61" s="180">
        <v>12</v>
      </c>
      <c r="N61" s="14">
        <f t="shared" si="51"/>
        <v>912.2891566265057</v>
      </c>
      <c r="O61" s="17">
        <f t="shared" si="52"/>
        <v>76.024096385542137</v>
      </c>
      <c r="P61" s="18">
        <f t="shared" si="53"/>
        <v>0</v>
      </c>
      <c r="Q61" s="19">
        <f t="shared" si="54"/>
        <v>-54.39257028112452</v>
      </c>
      <c r="R61" s="185">
        <f>O61/L61</f>
        <v>0.58293236845144136</v>
      </c>
      <c r="S61" s="397"/>
      <c r="T61" s="20">
        <v>0.44236111111111109</v>
      </c>
      <c r="U61" s="20">
        <v>0.5</v>
      </c>
      <c r="V61" s="177">
        <f t="shared" si="55"/>
        <v>48.999999999999986</v>
      </c>
      <c r="W61" s="88">
        <f t="shared" si="13"/>
        <v>83.000000000000028</v>
      </c>
      <c r="X61" s="22"/>
      <c r="Y61" s="22"/>
      <c r="Z61" s="405" t="s">
        <v>215</v>
      </c>
      <c r="AA61" s="405"/>
      <c r="AB61" s="51">
        <f t="shared" si="48"/>
        <v>-652.7108433734943</v>
      </c>
      <c r="AC61" s="52">
        <f t="shared" si="49"/>
        <v>0.58293236845144136</v>
      </c>
      <c r="AD61" s="402"/>
    </row>
    <row r="62" spans="1:30" ht="15" customHeight="1">
      <c r="A62" s="468"/>
      <c r="B62" s="56" t="str">
        <f>VLOOKUP(D62,廠價表!$C$1:$E$39,2,0)</f>
        <v>小吃、微波</v>
      </c>
      <c r="C62" s="23"/>
      <c r="D62" s="242" t="s">
        <v>135</v>
      </c>
      <c r="E62" s="12"/>
      <c r="F62" s="56">
        <f>VLOOKUP(D62,廠價表!$C$1:$E$39,3,0)</f>
        <v>28.26</v>
      </c>
      <c r="G62" s="177">
        <v>1148</v>
      </c>
      <c r="H62" s="15">
        <f t="shared" si="50"/>
        <v>32442.480000000003</v>
      </c>
      <c r="I62" s="81"/>
      <c r="J62" s="16">
        <f>VLOOKUP(D62,產線配置圖!$A$2:$C$38,2,0)</f>
        <v>12</v>
      </c>
      <c r="K62" s="14">
        <f>VLOOKUP(D62,產線配置圖!$A$2:$C$38,3,0)</f>
        <v>1565</v>
      </c>
      <c r="L62" s="17">
        <f t="shared" si="56"/>
        <v>130.41666666666666</v>
      </c>
      <c r="M62" s="180">
        <v>12</v>
      </c>
      <c r="N62" s="14">
        <f t="shared" si="51"/>
        <v>1377.6000000000004</v>
      </c>
      <c r="O62" s="17">
        <f t="shared" si="52"/>
        <v>114.80000000000003</v>
      </c>
      <c r="P62" s="18">
        <f t="shared" si="53"/>
        <v>0</v>
      </c>
      <c r="Q62" s="19">
        <f t="shared" si="54"/>
        <v>-15.616666666666632</v>
      </c>
      <c r="R62" s="185">
        <f>O62/L62</f>
        <v>0.88025559105431339</v>
      </c>
      <c r="S62" s="397"/>
      <c r="T62" s="20">
        <v>0.55208333333333337</v>
      </c>
      <c r="U62" s="20">
        <v>0.58680555555555558</v>
      </c>
      <c r="V62" s="177">
        <f t="shared" si="55"/>
        <v>75.000000000000057</v>
      </c>
      <c r="W62" s="90">
        <f t="shared" si="13"/>
        <v>49.999999999999986</v>
      </c>
      <c r="X62" s="22">
        <v>0.50694444444444442</v>
      </c>
      <c r="Y62" s="22">
        <v>0.54861111111111116</v>
      </c>
      <c r="Z62" s="405"/>
      <c r="AA62" s="405"/>
      <c r="AB62" s="51">
        <f t="shared" si="48"/>
        <v>-187.39999999999964</v>
      </c>
      <c r="AC62" s="52">
        <f t="shared" si="49"/>
        <v>0.88025559105431328</v>
      </c>
      <c r="AD62" s="402"/>
    </row>
    <row r="63" spans="1:30" ht="15" customHeight="1">
      <c r="A63" s="468"/>
      <c r="B63" s="56" t="str">
        <f>VLOOKUP(D63,廠價表!$C$1:$E$39,2,0)</f>
        <v>小吃、微波</v>
      </c>
      <c r="C63" s="10"/>
      <c r="D63" s="242" t="s">
        <v>125</v>
      </c>
      <c r="E63" s="86"/>
      <c r="F63" s="56">
        <f>VLOOKUP(D63,廠價表!$C$1:$E$39,3,0)</f>
        <v>26.99</v>
      </c>
      <c r="G63" s="177">
        <v>1572</v>
      </c>
      <c r="H63" s="15">
        <f t="shared" ref="H63" si="57">F63*G63</f>
        <v>42428.28</v>
      </c>
      <c r="I63" s="81"/>
      <c r="J63" s="16">
        <f>VLOOKUP(D63,產線配置圖!$A$2:$C$38,2,0)</f>
        <v>13</v>
      </c>
      <c r="K63" s="14">
        <f>VLOOKUP(D63,產線配置圖!$A$2:$C$38,3,0)</f>
        <v>1565</v>
      </c>
      <c r="L63" s="17">
        <f t="shared" ref="L63" si="58">K63/J63</f>
        <v>120.38461538461539</v>
      </c>
      <c r="M63" s="180">
        <v>13</v>
      </c>
      <c r="N63" s="14">
        <f t="shared" ref="N63" si="59">G63/W63*60</f>
        <v>1497.1428571428548</v>
      </c>
      <c r="O63" s="17">
        <f t="shared" ref="O63" si="60">N63/M63</f>
        <v>115.16483516483498</v>
      </c>
      <c r="P63" s="18">
        <f t="shared" ref="P63" si="61">M63-J63</f>
        <v>0</v>
      </c>
      <c r="Q63" s="19">
        <f t="shared" ref="Q63" si="62">O63-L63</f>
        <v>-5.2197802197804037</v>
      </c>
      <c r="R63" s="185">
        <f>O63/L63</f>
        <v>0.95664080328616918</v>
      </c>
      <c r="S63" s="397"/>
      <c r="T63" s="20">
        <v>0.59722222222222221</v>
      </c>
      <c r="U63" s="20">
        <v>0.64097222222222228</v>
      </c>
      <c r="V63" s="177">
        <f t="shared" si="55"/>
        <v>14.999999999999947</v>
      </c>
      <c r="W63" s="90">
        <f t="shared" si="13"/>
        <v>63.000000000000099</v>
      </c>
      <c r="X63" s="84"/>
      <c r="Y63" s="84"/>
      <c r="Z63" s="405"/>
      <c r="AA63" s="405"/>
      <c r="AB63" s="51"/>
      <c r="AC63" s="52"/>
      <c r="AD63" s="402"/>
    </row>
    <row r="64" spans="1:30" ht="15" customHeight="1">
      <c r="A64" s="468"/>
      <c r="B64" s="56"/>
      <c r="C64" s="10"/>
      <c r="D64" s="242"/>
      <c r="E64" s="86"/>
      <c r="F64" s="56"/>
      <c r="G64" s="177"/>
      <c r="H64" s="15"/>
      <c r="I64" s="81"/>
      <c r="J64" s="16"/>
      <c r="K64" s="14"/>
      <c r="L64" s="17"/>
      <c r="M64" s="180"/>
      <c r="N64" s="14"/>
      <c r="O64" s="17"/>
      <c r="P64" s="18"/>
      <c r="Q64" s="19"/>
      <c r="R64" s="185"/>
      <c r="S64" s="397"/>
      <c r="T64" s="20"/>
      <c r="U64" s="20"/>
      <c r="V64" s="177"/>
      <c r="W64" s="182">
        <f t="shared" si="13"/>
        <v>0</v>
      </c>
      <c r="X64" s="84"/>
      <c r="Y64" s="84"/>
      <c r="Z64" s="419"/>
      <c r="AA64" s="418"/>
      <c r="AB64" s="18"/>
      <c r="AC64" s="55"/>
      <c r="AD64" s="402"/>
    </row>
    <row r="65" spans="1:32" ht="15" customHeight="1">
      <c r="A65" s="468"/>
      <c r="B65" s="177"/>
      <c r="C65" s="183"/>
      <c r="D65" s="11"/>
      <c r="E65" s="12"/>
      <c r="F65" s="13"/>
      <c r="G65" s="177"/>
      <c r="H65" s="15"/>
      <c r="I65" s="177"/>
      <c r="J65" s="16"/>
      <c r="K65" s="82"/>
      <c r="L65" s="83"/>
      <c r="M65" s="180"/>
      <c r="N65" s="14"/>
      <c r="O65" s="17"/>
      <c r="P65" s="18"/>
      <c r="Q65" s="19"/>
      <c r="R65" s="185"/>
      <c r="S65" s="397"/>
      <c r="T65" s="20"/>
      <c r="U65" s="20"/>
      <c r="V65" s="177"/>
      <c r="W65" s="182">
        <f t="shared" si="13"/>
        <v>0</v>
      </c>
      <c r="X65" s="84"/>
      <c r="Y65" s="84"/>
      <c r="Z65" s="419"/>
      <c r="AA65" s="418"/>
      <c r="AB65" s="18"/>
      <c r="AC65" s="55"/>
      <c r="AD65" s="402"/>
    </row>
    <row r="66" spans="1:32" ht="15" customHeight="1">
      <c r="A66" s="468"/>
      <c r="B66" s="26"/>
      <c r="C66" s="27"/>
      <c r="D66" s="28"/>
      <c r="E66" s="29"/>
      <c r="F66" s="13"/>
      <c r="G66" s="183"/>
      <c r="H66" s="15">
        <f t="shared" si="50"/>
        <v>0</v>
      </c>
      <c r="I66" s="85"/>
      <c r="J66" s="16"/>
      <c r="K66" s="14"/>
      <c r="L66" s="17"/>
      <c r="M66" s="21"/>
      <c r="N66" s="36"/>
      <c r="O66" s="38"/>
      <c r="P66" s="39"/>
      <c r="Q66" s="40"/>
      <c r="R66" s="68"/>
      <c r="S66" s="397"/>
      <c r="T66" s="20"/>
      <c r="U66" s="20"/>
      <c r="V66" s="177"/>
      <c r="W66" s="182">
        <f t="shared" si="13"/>
        <v>0</v>
      </c>
      <c r="X66" s="84"/>
      <c r="Y66" s="84"/>
      <c r="Z66" s="405"/>
      <c r="AA66" s="405"/>
      <c r="AB66" s="18"/>
      <c r="AC66" s="55"/>
      <c r="AD66" s="402"/>
    </row>
    <row r="67" spans="1:32" ht="15" customHeight="1">
      <c r="A67" s="468"/>
      <c r="B67" s="26"/>
      <c r="C67" s="27"/>
      <c r="D67" s="28"/>
      <c r="E67" s="29"/>
      <c r="F67" s="13"/>
      <c r="G67" s="177"/>
      <c r="H67" s="15">
        <f t="shared" si="50"/>
        <v>0</v>
      </c>
      <c r="I67" s="177"/>
      <c r="J67" s="16"/>
      <c r="K67" s="14"/>
      <c r="L67" s="17"/>
      <c r="M67" s="21"/>
      <c r="N67" s="36"/>
      <c r="O67" s="38"/>
      <c r="P67" s="39"/>
      <c r="Q67" s="40"/>
      <c r="R67" s="68"/>
      <c r="S67" s="397"/>
      <c r="T67" s="20"/>
      <c r="U67" s="20"/>
      <c r="V67" s="177"/>
      <c r="W67" s="182">
        <f t="shared" si="13"/>
        <v>0</v>
      </c>
      <c r="X67" s="84"/>
      <c r="Y67" s="84"/>
      <c r="Z67" s="419"/>
      <c r="AA67" s="418"/>
      <c r="AB67" s="18"/>
      <c r="AC67" s="55"/>
      <c r="AD67" s="402"/>
    </row>
    <row r="68" spans="1:32" ht="15" customHeight="1">
      <c r="A68" s="468"/>
      <c r="B68" s="26"/>
      <c r="C68" s="27"/>
      <c r="D68" s="28"/>
      <c r="E68" s="29"/>
      <c r="F68" s="13"/>
      <c r="G68" s="183"/>
      <c r="H68" s="15">
        <f t="shared" si="50"/>
        <v>0</v>
      </c>
      <c r="I68" s="85"/>
      <c r="J68" s="16"/>
      <c r="K68" s="260"/>
      <c r="L68" s="261"/>
      <c r="M68" s="21"/>
      <c r="N68" s="36"/>
      <c r="O68" s="38"/>
      <c r="P68" s="39"/>
      <c r="Q68" s="40"/>
      <c r="R68" s="68"/>
      <c r="S68" s="397"/>
      <c r="T68" s="20"/>
      <c r="U68" s="20"/>
      <c r="V68" s="177"/>
      <c r="W68" s="182">
        <f t="shared" si="13"/>
        <v>0</v>
      </c>
      <c r="X68" s="84"/>
      <c r="Y68" s="84"/>
      <c r="Z68" s="419"/>
      <c r="AA68" s="418"/>
      <c r="AB68" s="18"/>
      <c r="AC68" s="55"/>
      <c r="AD68" s="402"/>
    </row>
    <row r="69" spans="1:32" ht="15" customHeight="1" thickBot="1">
      <c r="A69" s="469"/>
      <c r="B69" s="165"/>
      <c r="C69" s="1" t="s">
        <v>39</v>
      </c>
      <c r="D69" s="410" t="s">
        <v>7</v>
      </c>
      <c r="E69" s="410"/>
      <c r="F69" s="114"/>
      <c r="G69" s="115"/>
      <c r="H69" s="116"/>
      <c r="I69" s="170"/>
      <c r="J69" s="166">
        <f t="shared" ref="J69:O69" si="63">AVERAGE(J59:J68)</f>
        <v>12.4</v>
      </c>
      <c r="K69" s="166">
        <f t="shared" si="63"/>
        <v>1565</v>
      </c>
      <c r="L69" s="171">
        <f t="shared" si="63"/>
        <v>126.40384615384615</v>
      </c>
      <c r="M69" s="166">
        <f t="shared" si="63"/>
        <v>12.4</v>
      </c>
      <c r="N69" s="166">
        <f t="shared" si="63"/>
        <v>1291.4064027538723</v>
      </c>
      <c r="O69" s="171">
        <f t="shared" si="63"/>
        <v>103.71060682289594</v>
      </c>
      <c r="P69" s="172">
        <f>M69-J69</f>
        <v>0</v>
      </c>
      <c r="Q69" s="158">
        <f>N69-K69</f>
        <v>-273.59359724612773</v>
      </c>
      <c r="R69" s="121">
        <f>O69/L69</f>
        <v>0.82047034151690079</v>
      </c>
      <c r="S69" s="399"/>
      <c r="T69" s="122"/>
      <c r="U69" s="122"/>
      <c r="V69" s="195"/>
      <c r="W69" s="168"/>
      <c r="X69" s="124"/>
      <c r="Y69" s="124"/>
      <c r="Z69" s="405"/>
      <c r="AA69" s="405"/>
      <c r="AB69" s="119">
        <f>N69-K69</f>
        <v>-273.59359724612773</v>
      </c>
      <c r="AC69" s="187">
        <f>N69/K69</f>
        <v>0.82517981006637209</v>
      </c>
      <c r="AD69" s="404"/>
    </row>
    <row r="70" spans="1:32" ht="15" customHeight="1">
      <c r="A70" s="461" t="s">
        <v>58</v>
      </c>
      <c r="B70" s="199"/>
      <c r="C70" s="199"/>
      <c r="D70" s="103"/>
      <c r="E70" s="104"/>
      <c r="F70" s="199"/>
      <c r="G70" s="188"/>
      <c r="H70" s="106"/>
      <c r="I70" s="188"/>
      <c r="J70" s="108"/>
      <c r="K70" s="105"/>
      <c r="L70" s="109"/>
      <c r="M70" s="110"/>
      <c r="N70" s="105"/>
      <c r="O70" s="109"/>
      <c r="P70" s="111"/>
      <c r="Q70" s="112"/>
      <c r="R70" s="184"/>
      <c r="S70" s="396">
        <f>R79</f>
        <v>0</v>
      </c>
      <c r="T70" s="169"/>
      <c r="U70" s="169"/>
      <c r="V70" s="188"/>
      <c r="W70" s="107"/>
      <c r="X70" s="296"/>
      <c r="Y70" s="296"/>
      <c r="Z70" s="465"/>
      <c r="AA70" s="427"/>
      <c r="AB70" s="225">
        <f t="shared" ref="AB70:AB71" si="64">N70-K70</f>
        <v>0</v>
      </c>
      <c r="AC70" s="226" t="e">
        <f t="shared" ref="AC70:AC71" si="65">N70/K70</f>
        <v>#DIV/0!</v>
      </c>
      <c r="AD70" s="401" t="e">
        <f>AC79</f>
        <v>#DIV/0!</v>
      </c>
    </row>
    <row r="71" spans="1:32" ht="15" customHeight="1">
      <c r="A71" s="462"/>
      <c r="B71" s="56"/>
      <c r="C71" s="10"/>
      <c r="D71" s="11"/>
      <c r="E71" s="86"/>
      <c r="F71" s="56"/>
      <c r="G71" s="66"/>
      <c r="H71" s="76"/>
      <c r="I71" s="193"/>
      <c r="J71" s="16"/>
      <c r="K71" s="14"/>
      <c r="L71" s="17"/>
      <c r="M71" s="180"/>
      <c r="N71" s="14"/>
      <c r="O71" s="17"/>
      <c r="P71" s="18"/>
      <c r="Q71" s="19"/>
      <c r="R71" s="185"/>
      <c r="S71" s="397"/>
      <c r="T71" s="20"/>
      <c r="U71" s="20"/>
      <c r="V71" s="177"/>
      <c r="W71" s="182">
        <f t="shared" ref="W71:W78" si="66">(U71-T71)*24*60</f>
        <v>0</v>
      </c>
      <c r="X71" s="298"/>
      <c r="Y71" s="299"/>
      <c r="Z71" s="439" t="s">
        <v>211</v>
      </c>
      <c r="AA71" s="440"/>
      <c r="AB71" s="39">
        <f t="shared" si="64"/>
        <v>0</v>
      </c>
      <c r="AC71" s="190" t="e">
        <f t="shared" si="65"/>
        <v>#DIV/0!</v>
      </c>
      <c r="AD71" s="447"/>
    </row>
    <row r="72" spans="1:32" ht="15" customHeight="1">
      <c r="A72" s="462"/>
      <c r="B72" s="56"/>
      <c r="C72" s="10"/>
      <c r="D72" s="11"/>
      <c r="E72" s="86"/>
      <c r="F72" s="56"/>
      <c r="G72" s="66"/>
      <c r="H72" s="76"/>
      <c r="I72" s="193"/>
      <c r="J72" s="16"/>
      <c r="K72" s="14"/>
      <c r="L72" s="17"/>
      <c r="M72" s="180"/>
      <c r="N72" s="14"/>
      <c r="O72" s="17"/>
      <c r="P72" s="18"/>
      <c r="Q72" s="19"/>
      <c r="R72" s="185"/>
      <c r="S72" s="397"/>
      <c r="T72" s="20"/>
      <c r="U72" s="20"/>
      <c r="V72" s="177"/>
      <c r="W72" s="182">
        <f t="shared" si="66"/>
        <v>0</v>
      </c>
      <c r="X72" s="297"/>
      <c r="Y72" s="297"/>
      <c r="Z72" s="405"/>
      <c r="AA72" s="419"/>
      <c r="AB72" s="39"/>
      <c r="AC72" s="190"/>
      <c r="AD72" s="447"/>
    </row>
    <row r="73" spans="1:32" ht="15" customHeight="1">
      <c r="A73" s="462"/>
      <c r="B73" s="56"/>
      <c r="C73" s="23"/>
      <c r="D73" s="11"/>
      <c r="E73" s="12"/>
      <c r="F73" s="56"/>
      <c r="G73" s="66"/>
      <c r="H73" s="76"/>
      <c r="I73" s="193"/>
      <c r="J73" s="16"/>
      <c r="K73" s="14"/>
      <c r="L73" s="17"/>
      <c r="M73" s="180"/>
      <c r="N73" s="14"/>
      <c r="O73" s="17"/>
      <c r="P73" s="18"/>
      <c r="Q73" s="19"/>
      <c r="R73" s="185"/>
      <c r="S73" s="397"/>
      <c r="T73" s="20"/>
      <c r="U73" s="20"/>
      <c r="V73" s="177"/>
      <c r="W73" s="182">
        <f t="shared" si="66"/>
        <v>0</v>
      </c>
      <c r="X73" s="22"/>
      <c r="Y73" s="22"/>
      <c r="Z73" s="405"/>
      <c r="AA73" s="419"/>
      <c r="AB73" s="39"/>
      <c r="AC73" s="190"/>
      <c r="AD73" s="447"/>
    </row>
    <row r="74" spans="1:32" ht="15" customHeight="1">
      <c r="A74" s="462"/>
      <c r="B74" s="56"/>
      <c r="C74" s="249"/>
      <c r="D74" s="250"/>
      <c r="E74" s="251"/>
      <c r="F74" s="56"/>
      <c r="G74" s="238"/>
      <c r="H74" s="76">
        <f t="shared" ref="H74:H78" si="67">F74*G74</f>
        <v>0</v>
      </c>
      <c r="I74" s="81"/>
      <c r="J74" s="234"/>
      <c r="K74" s="36"/>
      <c r="L74" s="235"/>
      <c r="M74" s="21"/>
      <c r="N74" s="36"/>
      <c r="O74" s="38"/>
      <c r="P74" s="39"/>
      <c r="Q74" s="40"/>
      <c r="R74" s="190"/>
      <c r="S74" s="397"/>
      <c r="T74" s="20"/>
      <c r="U74" s="20"/>
      <c r="V74" s="177"/>
      <c r="W74" s="182">
        <f t="shared" si="66"/>
        <v>0</v>
      </c>
      <c r="X74" s="22"/>
      <c r="Y74" s="22"/>
      <c r="Z74" s="405"/>
      <c r="AA74" s="419"/>
      <c r="AB74" s="39"/>
      <c r="AC74" s="190"/>
      <c r="AD74" s="447"/>
    </row>
    <row r="75" spans="1:32" ht="15" customHeight="1">
      <c r="A75" s="462"/>
      <c r="B75" s="177"/>
      <c r="C75" s="183"/>
      <c r="D75" s="11"/>
      <c r="E75" s="12"/>
      <c r="F75" s="13"/>
      <c r="G75" s="177"/>
      <c r="H75" s="15">
        <f t="shared" si="67"/>
        <v>0</v>
      </c>
      <c r="I75" s="81"/>
      <c r="J75" s="87"/>
      <c r="K75" s="82"/>
      <c r="L75" s="83"/>
      <c r="M75" s="181"/>
      <c r="N75" s="82"/>
      <c r="O75" s="83"/>
      <c r="P75" s="73"/>
      <c r="Q75" s="74"/>
      <c r="R75" s="192"/>
      <c r="S75" s="397"/>
      <c r="T75" s="20"/>
      <c r="U75" s="20"/>
      <c r="V75" s="177"/>
      <c r="W75" s="88">
        <f t="shared" si="66"/>
        <v>0</v>
      </c>
      <c r="X75" s="89"/>
      <c r="Y75" s="89"/>
      <c r="Z75" s="406"/>
      <c r="AA75" s="406"/>
      <c r="AB75" s="306"/>
      <c r="AC75" s="307"/>
      <c r="AD75" s="402"/>
    </row>
    <row r="76" spans="1:32" ht="15" customHeight="1">
      <c r="A76" s="462"/>
      <c r="B76" s="26"/>
      <c r="C76" s="27"/>
      <c r="D76" s="28"/>
      <c r="E76" s="29"/>
      <c r="F76" s="13"/>
      <c r="G76" s="177"/>
      <c r="H76" s="15">
        <f t="shared" si="67"/>
        <v>0</v>
      </c>
      <c r="I76" s="81"/>
      <c r="J76" s="87"/>
      <c r="K76" s="82"/>
      <c r="L76" s="83"/>
      <c r="M76" s="181"/>
      <c r="N76" s="82"/>
      <c r="O76" s="83"/>
      <c r="P76" s="73"/>
      <c r="Q76" s="74"/>
      <c r="R76" s="192"/>
      <c r="S76" s="398"/>
      <c r="T76" s="20"/>
      <c r="U76" s="20"/>
      <c r="V76" s="177"/>
      <c r="W76" s="90">
        <f t="shared" si="66"/>
        <v>0</v>
      </c>
      <c r="X76" s="78"/>
      <c r="Y76" s="78"/>
      <c r="Z76" s="445"/>
      <c r="AA76" s="445"/>
      <c r="AB76" s="51"/>
      <c r="AC76" s="52"/>
      <c r="AD76" s="403"/>
    </row>
    <row r="77" spans="1:32" ht="15" customHeight="1">
      <c r="A77" s="462"/>
      <c r="B77" s="26"/>
      <c r="C77" s="27"/>
      <c r="D77" s="28"/>
      <c r="E77" s="29"/>
      <c r="F77" s="13"/>
      <c r="G77" s="177"/>
      <c r="H77" s="15">
        <f t="shared" si="67"/>
        <v>0</v>
      </c>
      <c r="I77" s="81"/>
      <c r="J77" s="87"/>
      <c r="K77" s="82"/>
      <c r="L77" s="83"/>
      <c r="M77" s="181"/>
      <c r="N77" s="82"/>
      <c r="O77" s="83"/>
      <c r="P77" s="73"/>
      <c r="Q77" s="74"/>
      <c r="R77" s="192"/>
      <c r="S77" s="398"/>
      <c r="T77" s="20"/>
      <c r="U77" s="20"/>
      <c r="V77" s="177"/>
      <c r="W77" s="182">
        <f t="shared" si="66"/>
        <v>0</v>
      </c>
      <c r="X77" s="84"/>
      <c r="Y77" s="84"/>
      <c r="Z77" s="405"/>
      <c r="AA77" s="405"/>
      <c r="AB77" s="18"/>
      <c r="AC77" s="55"/>
      <c r="AD77" s="403"/>
    </row>
    <row r="78" spans="1:32" ht="15" customHeight="1">
      <c r="A78" s="462"/>
      <c r="B78" s="26"/>
      <c r="C78" s="27"/>
      <c r="D78" s="28"/>
      <c r="E78" s="29"/>
      <c r="F78" s="13"/>
      <c r="G78" s="177"/>
      <c r="H78" s="15">
        <f t="shared" si="67"/>
        <v>0</v>
      </c>
      <c r="I78" s="85"/>
      <c r="J78" s="37"/>
      <c r="K78" s="36"/>
      <c r="L78" s="83"/>
      <c r="M78" s="21"/>
      <c r="N78" s="36"/>
      <c r="O78" s="38"/>
      <c r="P78" s="39"/>
      <c r="Q78" s="40"/>
      <c r="R78" s="190"/>
      <c r="S78" s="464"/>
      <c r="T78" s="32"/>
      <c r="U78" s="32"/>
      <c r="V78" s="178"/>
      <c r="W78" s="182">
        <f t="shared" si="66"/>
        <v>0</v>
      </c>
      <c r="X78" s="91"/>
      <c r="Y78" s="91"/>
      <c r="Z78" s="405"/>
      <c r="AA78" s="405"/>
      <c r="AB78" s="34"/>
      <c r="AC78" s="57"/>
      <c r="AD78" s="403"/>
    </row>
    <row r="79" spans="1:32" ht="15" customHeight="1" thickBot="1">
      <c r="A79" s="463"/>
      <c r="B79" s="165"/>
      <c r="C79" s="1" t="s">
        <v>40</v>
      </c>
      <c r="D79" s="410" t="s">
        <v>7</v>
      </c>
      <c r="E79" s="410"/>
      <c r="F79" s="114"/>
      <c r="G79" s="115"/>
      <c r="H79" s="173"/>
      <c r="I79" s="171"/>
      <c r="J79" s="166"/>
      <c r="K79" s="166"/>
      <c r="L79" s="171"/>
      <c r="M79" s="166"/>
      <c r="N79" s="166"/>
      <c r="O79" s="171"/>
      <c r="P79" s="172"/>
      <c r="Q79" s="158"/>
      <c r="R79" s="159"/>
      <c r="S79" s="399"/>
      <c r="T79" s="122"/>
      <c r="U79" s="122"/>
      <c r="V79" s="195"/>
      <c r="W79" s="168"/>
      <c r="X79" s="124"/>
      <c r="Y79" s="124"/>
      <c r="Z79" s="391"/>
      <c r="AA79" s="391"/>
      <c r="AB79" s="119">
        <f>N79-K79</f>
        <v>0</v>
      </c>
      <c r="AC79" s="187" t="e">
        <f>N79/K79</f>
        <v>#DIV/0!</v>
      </c>
      <c r="AD79" s="404"/>
    </row>
    <row r="80" spans="1:32">
      <c r="AF80" s="93" t="s">
        <v>41</v>
      </c>
    </row>
    <row r="81" spans="4:32">
      <c r="AF81" s="93" t="s">
        <v>42</v>
      </c>
    </row>
    <row r="82" spans="4:32">
      <c r="AF82" s="93" t="s">
        <v>43</v>
      </c>
    </row>
    <row r="83" spans="4:32">
      <c r="D83" s="220"/>
      <c r="W83" s="6"/>
      <c r="AF83" s="93" t="s">
        <v>44</v>
      </c>
    </row>
    <row r="84" spans="4:32">
      <c r="D84" s="224"/>
      <c r="W84" s="6"/>
      <c r="AF84" s="93" t="s">
        <v>45</v>
      </c>
    </row>
    <row r="85" spans="4:32">
      <c r="D85" s="224"/>
      <c r="W85" s="6"/>
      <c r="AF85" s="93" t="s">
        <v>46</v>
      </c>
    </row>
    <row r="86" spans="4:32">
      <c r="D86" s="155"/>
      <c r="W86" s="6"/>
      <c r="AF86" s="93" t="s">
        <v>47</v>
      </c>
    </row>
    <row r="87" spans="4:32">
      <c r="W87" s="6"/>
      <c r="AF87" s="93" t="s">
        <v>48</v>
      </c>
    </row>
    <row r="88" spans="4:32">
      <c r="W88" s="6"/>
      <c r="AF88" s="93" t="s">
        <v>49</v>
      </c>
    </row>
    <row r="89" spans="4:32">
      <c r="W89" s="6"/>
      <c r="AF89" s="93" t="s">
        <v>50</v>
      </c>
    </row>
    <row r="90" spans="4:32">
      <c r="W90" s="6"/>
      <c r="AF90" s="93" t="s">
        <v>51</v>
      </c>
    </row>
    <row r="91" spans="4:32">
      <c r="W91" s="6"/>
      <c r="AF91" s="93" t="s">
        <v>52</v>
      </c>
    </row>
    <row r="92" spans="4:32">
      <c r="W92" s="6"/>
      <c r="AF92" s="93" t="s">
        <v>53</v>
      </c>
    </row>
  </sheetData>
  <autoFilter ref="D1:D92" xr:uid="{EF5AD393-5A39-4C0E-A7B0-465235F2AB14}"/>
  <mergeCells count="135">
    <mergeCell ref="P1:S2"/>
    <mergeCell ref="T1:Y2"/>
    <mergeCell ref="Z1:AA2"/>
    <mergeCell ref="AB1:AD2"/>
    <mergeCell ref="H3:H4"/>
    <mergeCell ref="I3:I4"/>
    <mergeCell ref="J3:J4"/>
    <mergeCell ref="K3:K4"/>
    <mergeCell ref="L3:L4"/>
    <mergeCell ref="M3:M4"/>
    <mergeCell ref="AC3:AC4"/>
    <mergeCell ref="AD3:AD4"/>
    <mergeCell ref="P3:P4"/>
    <mergeCell ref="Q3:Q4"/>
    <mergeCell ref="R3:R4"/>
    <mergeCell ref="A2:B2"/>
    <mergeCell ref="A3:A4"/>
    <mergeCell ref="B3:B4"/>
    <mergeCell ref="D3:E4"/>
    <mergeCell ref="F3:F4"/>
    <mergeCell ref="G3:G4"/>
    <mergeCell ref="J1:L2"/>
    <mergeCell ref="M1:O2"/>
    <mergeCell ref="D15:E15"/>
    <mergeCell ref="A5:A15"/>
    <mergeCell ref="N3:N4"/>
    <mergeCell ref="O3:O4"/>
    <mergeCell ref="S5:S15"/>
    <mergeCell ref="Z5:AA5"/>
    <mergeCell ref="AD5:AD15"/>
    <mergeCell ref="Z6:AA6"/>
    <mergeCell ref="Z7:AA7"/>
    <mergeCell ref="Z8:AA8"/>
    <mergeCell ref="Z9:AA9"/>
    <mergeCell ref="T3:U3"/>
    <mergeCell ref="V3:V4"/>
    <mergeCell ref="W3:W4"/>
    <mergeCell ref="X3:Y3"/>
    <mergeCell ref="Z3:AA4"/>
    <mergeCell ref="AB3:AB4"/>
    <mergeCell ref="S3:S4"/>
    <mergeCell ref="AD16:AD26"/>
    <mergeCell ref="Z17:AA17"/>
    <mergeCell ref="Z18:AA18"/>
    <mergeCell ref="Z19:AA19"/>
    <mergeCell ref="Z20:AA20"/>
    <mergeCell ref="Z21:AA21"/>
    <mergeCell ref="Z22:AA22"/>
    <mergeCell ref="Z10:AA10"/>
    <mergeCell ref="Z11:AA11"/>
    <mergeCell ref="Z12:AA12"/>
    <mergeCell ref="Z13:AA13"/>
    <mergeCell ref="Z14:AA14"/>
    <mergeCell ref="Z23:AA23"/>
    <mergeCell ref="Z24:AA24"/>
    <mergeCell ref="Z25:AA25"/>
    <mergeCell ref="Z15:AA15"/>
    <mergeCell ref="D26:E26"/>
    <mergeCell ref="Z26:AA26"/>
    <mergeCell ref="A27:A37"/>
    <mergeCell ref="S27:S37"/>
    <mergeCell ref="Z27:AA27"/>
    <mergeCell ref="D37:E37"/>
    <mergeCell ref="Z37:AA37"/>
    <mergeCell ref="A16:A26"/>
    <mergeCell ref="S16:S26"/>
    <mergeCell ref="Z16:AA16"/>
    <mergeCell ref="AD38:AD48"/>
    <mergeCell ref="Z39:AA39"/>
    <mergeCell ref="Z40:AA40"/>
    <mergeCell ref="Z41:AA41"/>
    <mergeCell ref="Z42:AA42"/>
    <mergeCell ref="Z43:AA43"/>
    <mergeCell ref="Z44:AA44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Z45:AA45"/>
    <mergeCell ref="Z46:AA46"/>
    <mergeCell ref="Z47:AA47"/>
    <mergeCell ref="D48:E48"/>
    <mergeCell ref="Z48:AA48"/>
    <mergeCell ref="A49:A58"/>
    <mergeCell ref="S49:S58"/>
    <mergeCell ref="Z49:AA49"/>
    <mergeCell ref="D58:E58"/>
    <mergeCell ref="A38:A48"/>
    <mergeCell ref="S38:S48"/>
    <mergeCell ref="Z38:AA38"/>
    <mergeCell ref="AD59:AD69"/>
    <mergeCell ref="Z60:AA60"/>
    <mergeCell ref="Z61:AA61"/>
    <mergeCell ref="Z62:AA62"/>
    <mergeCell ref="Z63:AA63"/>
    <mergeCell ref="Z64:AA64"/>
    <mergeCell ref="Z65:AA65"/>
    <mergeCell ref="AD49:AD58"/>
    <mergeCell ref="Z50:AA50"/>
    <mergeCell ref="Z51:AA51"/>
    <mergeCell ref="Z52:AA52"/>
    <mergeCell ref="Z53:AA53"/>
    <mergeCell ref="Z54:AA54"/>
    <mergeCell ref="Z55:AA55"/>
    <mergeCell ref="Z56:AA56"/>
    <mergeCell ref="Z57:AA57"/>
    <mergeCell ref="Z58:AA58"/>
    <mergeCell ref="Z66:AA66"/>
    <mergeCell ref="Z67:AA67"/>
    <mergeCell ref="Z68:AA68"/>
    <mergeCell ref="D69:E69"/>
    <mergeCell ref="Z69:AA69"/>
    <mergeCell ref="A70:A79"/>
    <mergeCell ref="S70:S79"/>
    <mergeCell ref="Z70:AA70"/>
    <mergeCell ref="D79:E79"/>
    <mergeCell ref="A59:A69"/>
    <mergeCell ref="S59:S69"/>
    <mergeCell ref="Z59:AA59"/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</mergeCells>
  <phoneticPr fontId="2" type="noConversion"/>
  <conditionalFormatting sqref="P5:P79">
    <cfRule type="cellIs" dxfId="118" priority="1" operator="greaterThan">
      <formula>0</formula>
    </cfRule>
  </conditionalFormatting>
  <conditionalFormatting sqref="Q5:Q79 AB5:AB79">
    <cfRule type="cellIs" dxfId="117" priority="4" operator="lessThan">
      <formula>0</formula>
    </cfRule>
  </conditionalFormatting>
  <conditionalFormatting sqref="R5:R79 AC5:AC79">
    <cfRule type="cellIs" dxfId="116" priority="2" operator="greaterThan">
      <formula>1</formula>
    </cfRule>
    <cfRule type="cellIs" dxfId="115" priority="3" operator="lessThan">
      <formula>0.8</formula>
    </cfRule>
  </conditionalFormatting>
  <conditionalFormatting sqref="S5:S10 S37:S62 AD59:AD62 S69:S76 AD69:AD76">
    <cfRule type="cellIs" dxfId="114" priority="7" operator="lessThan">
      <formula>0.8</formula>
    </cfRule>
  </conditionalFormatting>
  <conditionalFormatting sqref="S19:S25 AD19:AD25">
    <cfRule type="cellIs" dxfId="113" priority="6" operator="lessThan">
      <formula>0.8</formula>
    </cfRule>
  </conditionalFormatting>
  <conditionalFormatting sqref="S79">
    <cfRule type="cellIs" dxfId="112" priority="5" operator="lessThan">
      <formula>0.8</formula>
    </cfRule>
  </conditionalFormatting>
  <conditionalFormatting sqref="AD5:AD8 S15:S16 AD15:AD16 AD49 AD79">
    <cfRule type="cellIs" dxfId="111" priority="9" operator="lessThan">
      <formula>0.8</formula>
    </cfRule>
  </conditionalFormatting>
  <conditionalFormatting sqref="AD27 S27:S28">
    <cfRule type="cellIs" dxfId="11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0EA7581-5775-4174-AB67-C00F6EDE8D23}">
          <x14:formula1>
            <xm:f>廠價表!$C$2:$C$37</xm:f>
          </x14:formula1>
          <xm:sqref>D1:D1048576</xm:sqref>
        </x14:dataValidation>
      </x14:dataValidation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35230-9FB2-4D2C-9726-26599F2DDA21}">
  <sheetPr>
    <pageSetUpPr fitToPage="1"/>
  </sheetPr>
  <dimension ref="B1:O22"/>
  <sheetViews>
    <sheetView zoomScale="70" zoomScaleNormal="70" workbookViewId="0">
      <selection activeCell="A2" sqref="A1:K2"/>
    </sheetView>
  </sheetViews>
  <sheetFormatPr defaultColWidth="8.125" defaultRowHeight="15.75"/>
  <cols>
    <col min="1" max="1" width="8.125" style="203"/>
    <col min="2" max="2" width="7.125" style="203" customWidth="1"/>
    <col min="3" max="3" width="7.125" style="218" customWidth="1"/>
    <col min="4" max="17" width="14.125" style="203" customWidth="1"/>
    <col min="18" max="21" width="9.625" style="203" customWidth="1"/>
    <col min="22" max="22" width="11.125" style="203" customWidth="1"/>
    <col min="23" max="23" width="11.5" style="203" customWidth="1"/>
    <col min="24" max="16384" width="8.125" style="203"/>
  </cols>
  <sheetData>
    <row r="1" spans="2:15" ht="27.75" customHeight="1">
      <c r="B1" s="345" t="s">
        <v>73</v>
      </c>
      <c r="C1" s="345"/>
      <c r="D1" s="345"/>
      <c r="E1" s="345"/>
      <c r="F1" s="345"/>
      <c r="G1" s="345"/>
      <c r="H1" s="345"/>
      <c r="I1" s="345"/>
      <c r="J1" s="345"/>
      <c r="K1" s="345"/>
      <c r="L1" s="202"/>
      <c r="M1" s="202"/>
    </row>
    <row r="2" spans="2:15" ht="27.75" customHeight="1"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202"/>
      <c r="M2" s="202"/>
    </row>
    <row r="3" spans="2:15" ht="46.5" customHeight="1">
      <c r="B3" s="342" t="s">
        <v>74</v>
      </c>
      <c r="C3" s="342"/>
      <c r="D3" s="346">
        <v>45981</v>
      </c>
      <c r="E3" s="346"/>
      <c r="F3" s="204" t="s">
        <v>75</v>
      </c>
      <c r="G3" s="347">
        <f>'1120'!E1</f>
        <v>48162</v>
      </c>
      <c r="H3" s="347"/>
      <c r="I3" s="204" t="s">
        <v>76</v>
      </c>
      <c r="J3" s="348">
        <f>'1120'!G1</f>
        <v>2358859.54</v>
      </c>
      <c r="K3" s="348"/>
      <c r="L3" s="205"/>
    </row>
    <row r="4" spans="2:15" ht="24" customHeight="1">
      <c r="B4" s="342" t="s">
        <v>77</v>
      </c>
      <c r="C4" s="342"/>
      <c r="D4" s="343">
        <v>3</v>
      </c>
      <c r="E4" s="343"/>
      <c r="F4" s="344" t="s">
        <v>78</v>
      </c>
      <c r="G4" s="344"/>
      <c r="H4" s="344" t="s">
        <v>79</v>
      </c>
      <c r="I4" s="344"/>
      <c r="J4" s="343" t="s">
        <v>80</v>
      </c>
      <c r="K4" s="344"/>
      <c r="L4" s="206"/>
    </row>
    <row r="5" spans="2:15" ht="24" customHeight="1">
      <c r="B5" s="342" t="s">
        <v>81</v>
      </c>
      <c r="C5" s="342"/>
      <c r="D5" s="343" t="s">
        <v>82</v>
      </c>
      <c r="E5" s="343"/>
      <c r="F5" s="343" t="s">
        <v>83</v>
      </c>
      <c r="G5" s="343"/>
      <c r="H5" s="369" t="s">
        <v>62</v>
      </c>
      <c r="I5" s="369"/>
      <c r="J5" s="341" t="s">
        <v>84</v>
      </c>
      <c r="K5" s="341"/>
      <c r="L5" s="207"/>
    </row>
    <row r="6" spans="2:15" ht="39.6" customHeight="1">
      <c r="B6" s="342"/>
      <c r="C6" s="342"/>
      <c r="D6" s="342" t="s">
        <v>85</v>
      </c>
      <c r="E6" s="342"/>
      <c r="F6" s="356">
        <f>AVERAGE(D13:J13)</f>
        <v>114.10577439702826</v>
      </c>
      <c r="G6" s="356"/>
      <c r="H6" s="349">
        <f>AVERAGE(D13:H13)</f>
        <v>111.84680107130571</v>
      </c>
      <c r="I6" s="349"/>
      <c r="J6" s="349">
        <f>AVERAGE(I13:J13)</f>
        <v>125.40064102564102</v>
      </c>
      <c r="K6" s="349"/>
      <c r="L6" s="207"/>
    </row>
    <row r="7" spans="2:15" s="208" customFormat="1" ht="39.6" customHeight="1">
      <c r="B7" s="342"/>
      <c r="C7" s="342"/>
      <c r="D7" s="350" t="s">
        <v>86</v>
      </c>
      <c r="E7" s="350"/>
      <c r="F7" s="351">
        <f>AVERAGE(D14:J14)</f>
        <v>102.81486330366222</v>
      </c>
      <c r="G7" s="351"/>
      <c r="H7" s="352">
        <f>AVERAGE(D14:H14)</f>
        <v>100.75208763663548</v>
      </c>
      <c r="I7" s="352"/>
      <c r="J7" s="352">
        <f>AVERAGE(I14:J14)</f>
        <v>113.12874163879597</v>
      </c>
      <c r="K7" s="352"/>
    </row>
    <row r="8" spans="2:15" s="208" customFormat="1" ht="39.6" customHeight="1">
      <c r="B8" s="342"/>
      <c r="C8" s="342"/>
      <c r="D8" s="350" t="s">
        <v>87</v>
      </c>
      <c r="E8" s="350"/>
      <c r="F8" s="353">
        <f>AVERAGE(D15:J15)</f>
        <v>0.90259211025240704</v>
      </c>
      <c r="G8" s="353"/>
      <c r="H8" s="353">
        <f>AVERAGE(D15:H15)</f>
        <v>0.90268283956778639</v>
      </c>
      <c r="I8" s="353"/>
      <c r="J8" s="353">
        <f>AVERAGE(I15:J15)</f>
        <v>0.90213846367551043</v>
      </c>
      <c r="K8" s="353"/>
      <c r="L8" s="209" t="s">
        <v>88</v>
      </c>
    </row>
    <row r="9" spans="2:15" ht="25.5" customHeight="1">
      <c r="B9" s="207"/>
      <c r="C9" s="207"/>
      <c r="D9" s="207"/>
      <c r="E9" s="207"/>
      <c r="F9" s="207"/>
      <c r="G9" s="207"/>
      <c r="H9" s="210"/>
      <c r="I9" s="211"/>
      <c r="J9" s="211"/>
      <c r="K9" s="211"/>
      <c r="L9" s="211"/>
      <c r="M9" s="211"/>
      <c r="N9" s="211"/>
      <c r="O9" s="207"/>
    </row>
    <row r="10" spans="2:15" ht="30" customHeight="1">
      <c r="B10" s="354" t="s">
        <v>0</v>
      </c>
      <c r="C10" s="355"/>
      <c r="D10" s="357" t="s">
        <v>89</v>
      </c>
      <c r="E10" s="358"/>
      <c r="F10" s="358"/>
      <c r="G10" s="358"/>
      <c r="H10" s="358"/>
      <c r="I10" s="358"/>
      <c r="J10" s="359"/>
    </row>
    <row r="11" spans="2:15" ht="17.25" customHeight="1">
      <c r="B11" s="360" t="s">
        <v>90</v>
      </c>
      <c r="C11" s="361"/>
      <c r="D11" s="212">
        <v>1</v>
      </c>
      <c r="E11" s="212">
        <v>2</v>
      </c>
      <c r="F11" s="212">
        <v>3</v>
      </c>
      <c r="G11" s="212">
        <v>4</v>
      </c>
      <c r="H11" s="212">
        <v>5</v>
      </c>
      <c r="I11" s="212">
        <v>6</v>
      </c>
      <c r="J11" s="212">
        <v>7</v>
      </c>
    </row>
    <row r="12" spans="2:15" ht="33.950000000000003" customHeight="1">
      <c r="B12" s="362"/>
      <c r="C12" s="363"/>
      <c r="D12" s="213" t="s">
        <v>91</v>
      </c>
      <c r="E12" s="213" t="s">
        <v>92</v>
      </c>
      <c r="F12" s="213" t="s">
        <v>93</v>
      </c>
      <c r="G12" s="213" t="s">
        <v>94</v>
      </c>
      <c r="H12" s="213" t="s">
        <v>95</v>
      </c>
      <c r="I12" s="213" t="s">
        <v>96</v>
      </c>
      <c r="J12" s="213" t="s">
        <v>97</v>
      </c>
    </row>
    <row r="13" spans="2:15" ht="39.950000000000003" customHeight="1">
      <c r="B13" s="364" t="s">
        <v>1</v>
      </c>
      <c r="C13" s="214" t="s">
        <v>98</v>
      </c>
      <c r="D13" s="215">
        <f>VALUE('1120'!L15)</f>
        <v>129.29621848739495</v>
      </c>
      <c r="E13" s="215">
        <f>VALUE('1120'!L26)</f>
        <v>150.95238095238093</v>
      </c>
      <c r="F13" s="215">
        <f>VALUE('1120'!L37)</f>
        <v>92.250816993464056</v>
      </c>
      <c r="G13" s="215">
        <f>VALUE('1120'!L48)</f>
        <v>98.683333333333323</v>
      </c>
      <c r="H13" s="215">
        <f>VALUE('1120'!L58)</f>
        <v>88.051255589955289</v>
      </c>
      <c r="I13" s="215">
        <f>VALUE('1120'!L69)</f>
        <v>125.40064102564102</v>
      </c>
      <c r="J13" s="215"/>
    </row>
    <row r="14" spans="2:15" ht="39.950000000000003" customHeight="1">
      <c r="B14" s="365"/>
      <c r="C14" s="214" t="s">
        <v>99</v>
      </c>
      <c r="D14" s="215">
        <f>VALUE('1120'!O15)</f>
        <v>118.57615320137816</v>
      </c>
      <c r="E14" s="215">
        <f>VALUE('1120'!O26)</f>
        <v>133.19727345263854</v>
      </c>
      <c r="F14" s="215">
        <f>VALUE('1120'!O37)</f>
        <v>81.634329044117678</v>
      </c>
      <c r="G14" s="215">
        <f>VALUE('1120'!O48)</f>
        <v>86.360492928315352</v>
      </c>
      <c r="H14" s="215">
        <f>VALUE('1120'!O58)</f>
        <v>83.992189556727638</v>
      </c>
      <c r="I14" s="215">
        <f>VALUE('1120'!O69)</f>
        <v>113.12874163879597</v>
      </c>
      <c r="J14" s="215"/>
    </row>
    <row r="15" spans="2:15" ht="39.950000000000003" customHeight="1">
      <c r="B15" s="366"/>
      <c r="C15" s="212" t="s">
        <v>100</v>
      </c>
      <c r="D15" s="233">
        <f>D14/D13</f>
        <v>0.91708910429532875</v>
      </c>
      <c r="E15" s="233">
        <f t="shared" ref="E15:I15" si="0">E14/E13</f>
        <v>0.88237941403956144</v>
      </c>
      <c r="F15" s="233">
        <f t="shared" si="0"/>
        <v>0.88491713899836189</v>
      </c>
      <c r="G15" s="233">
        <f t="shared" si="0"/>
        <v>0.87512744058417868</v>
      </c>
      <c r="H15" s="233">
        <f t="shared" si="0"/>
        <v>0.95390109992150185</v>
      </c>
      <c r="I15" s="233">
        <f t="shared" si="0"/>
        <v>0.90213846367551043</v>
      </c>
      <c r="J15" s="233"/>
    </row>
    <row r="16" spans="2:15" ht="17.25" customHeight="1">
      <c r="B16" s="367" t="s">
        <v>101</v>
      </c>
      <c r="C16" s="212" t="s">
        <v>102</v>
      </c>
      <c r="D16" s="95">
        <f>'1120'!T5</f>
        <v>0.2902777777777778</v>
      </c>
      <c r="E16" s="95">
        <f>'1120'!T16</f>
        <v>0.2902777777777778</v>
      </c>
      <c r="F16" s="95">
        <f>'1120'!T27</f>
        <v>0.2951388888888889</v>
      </c>
      <c r="G16" s="95">
        <f>'1120'!T38</f>
        <v>0.33055555555555555</v>
      </c>
      <c r="H16" s="95">
        <f>'1120'!T49</f>
        <v>0.29097222222222224</v>
      </c>
      <c r="I16" s="95">
        <f>'1120'!T59</f>
        <v>0.29166666666666669</v>
      </c>
      <c r="J16" s="272"/>
    </row>
    <row r="17" spans="2:10" ht="17.25" customHeight="1">
      <c r="B17" s="368"/>
      <c r="C17" s="212" t="s">
        <v>103</v>
      </c>
      <c r="D17" s="20">
        <v>0.56527777777777777</v>
      </c>
      <c r="E17" s="79">
        <v>0.65972222222222221</v>
      </c>
      <c r="F17" s="41">
        <v>0.60763888888888884</v>
      </c>
      <c r="G17" s="75">
        <v>0.63194444444444442</v>
      </c>
      <c r="H17" s="79">
        <v>0.61805555555555558</v>
      </c>
      <c r="I17" s="20">
        <v>0.56597222222222221</v>
      </c>
      <c r="J17" s="20"/>
    </row>
    <row r="18" spans="2:10" ht="17.25" customHeight="1">
      <c r="B18" s="354" t="s">
        <v>104</v>
      </c>
      <c r="C18" s="355"/>
      <c r="D18" s="216">
        <f>VALUE('1120'!M15)</f>
        <v>15</v>
      </c>
      <c r="E18" s="216">
        <f>VALUE('1120'!M26)</f>
        <v>13.5</v>
      </c>
      <c r="F18" s="216">
        <f>VALUE('1120'!M37)</f>
        <v>16</v>
      </c>
      <c r="G18" s="216">
        <f>VALUE('1120'!M48)</f>
        <v>14.25</v>
      </c>
      <c r="H18" s="216">
        <f>VALUE('1120'!M58)</f>
        <v>15</v>
      </c>
      <c r="I18" s="216">
        <f>VALUE('1120'!M69)</f>
        <v>12.5</v>
      </c>
      <c r="J18" s="216"/>
    </row>
    <row r="19" spans="2:10" ht="17.25" customHeight="1">
      <c r="B19" s="354" t="s">
        <v>105</v>
      </c>
      <c r="C19" s="355"/>
      <c r="D19" s="213" t="s">
        <v>106</v>
      </c>
      <c r="E19" s="213" t="s">
        <v>106</v>
      </c>
      <c r="F19" s="213" t="s">
        <v>107</v>
      </c>
      <c r="G19" s="213" t="s">
        <v>107</v>
      </c>
      <c r="H19" s="213" t="s">
        <v>107</v>
      </c>
      <c r="I19" s="213" t="s">
        <v>108</v>
      </c>
      <c r="J19" s="213"/>
    </row>
    <row r="20" spans="2:10" ht="17.25" customHeight="1">
      <c r="B20" s="354" t="s">
        <v>110</v>
      </c>
      <c r="C20" s="355"/>
      <c r="D20" s="213"/>
      <c r="E20" s="213"/>
      <c r="F20" s="213"/>
      <c r="G20" s="217"/>
      <c r="H20" s="213" t="s">
        <v>109</v>
      </c>
      <c r="I20" s="213"/>
      <c r="J20" s="213"/>
    </row>
    <row r="21" spans="2:10" ht="17.25" customHeight="1">
      <c r="B21" s="354" t="s">
        <v>111</v>
      </c>
      <c r="C21" s="355"/>
      <c r="D21" s="273"/>
      <c r="E21" s="273"/>
      <c r="F21" s="273"/>
      <c r="G21" s="273"/>
      <c r="H21" s="273"/>
      <c r="I21" s="273"/>
      <c r="J21" s="273"/>
    </row>
    <row r="22" spans="2:10">
      <c r="B22" s="370"/>
      <c r="C22" s="370"/>
    </row>
  </sheetData>
  <mergeCells count="37">
    <mergeCell ref="B20:C20"/>
    <mergeCell ref="B21:C21"/>
    <mergeCell ref="B22:C22"/>
    <mergeCell ref="D8:E8"/>
    <mergeCell ref="F8:G8"/>
    <mergeCell ref="H8:I8"/>
    <mergeCell ref="B18:C18"/>
    <mergeCell ref="B19:C19"/>
    <mergeCell ref="D6:E6"/>
    <mergeCell ref="F6:G6"/>
    <mergeCell ref="H6:I6"/>
    <mergeCell ref="D10:J10"/>
    <mergeCell ref="B11:C12"/>
    <mergeCell ref="B13:B15"/>
    <mergeCell ref="B16:B17"/>
    <mergeCell ref="B10:C10"/>
    <mergeCell ref="J8:K8"/>
    <mergeCell ref="B5:C8"/>
    <mergeCell ref="D5:E5"/>
    <mergeCell ref="F5:G5"/>
    <mergeCell ref="H5:I5"/>
    <mergeCell ref="J6:K6"/>
    <mergeCell ref="D7:E7"/>
    <mergeCell ref="F7:G7"/>
    <mergeCell ref="H7:I7"/>
    <mergeCell ref="J7:K7"/>
    <mergeCell ref="B1:K2"/>
    <mergeCell ref="B3:C3"/>
    <mergeCell ref="D3:E3"/>
    <mergeCell ref="G3:H3"/>
    <mergeCell ref="J3:K3"/>
    <mergeCell ref="J5:K5"/>
    <mergeCell ref="B4:C4"/>
    <mergeCell ref="D4:E4"/>
    <mergeCell ref="F4:G4"/>
    <mergeCell ref="H4:I4"/>
    <mergeCell ref="J4:K4"/>
  </mergeCells>
  <phoneticPr fontId="2" type="noConversion"/>
  <conditionalFormatting sqref="D15:J15">
    <cfRule type="cellIs" dxfId="109" priority="1" operator="lessThan">
      <formula>0.8</formula>
    </cfRule>
  </conditionalFormatting>
  <pageMargins left="0.7" right="0.7" top="0.75" bottom="0.75" header="0.3" footer="0.3"/>
  <pageSetup paperSize="8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02D09-76F9-4750-A21C-82F79AF263DB}">
  <sheetPr>
    <tabColor theme="9" tint="0.79998168889431442"/>
    <pageSetUpPr fitToPage="1"/>
  </sheetPr>
  <dimension ref="A1:AF92"/>
  <sheetViews>
    <sheetView zoomScale="69" zoomScaleNormal="69" workbookViewId="0">
      <pane xSplit="5" ySplit="4" topLeftCell="F65" activePane="bottomRight" state="frozen"/>
      <selection activeCell="A2" sqref="A1:K2"/>
      <selection pane="topRight" activeCell="A2" sqref="A1:K2"/>
      <selection pane="bottomLeft" activeCell="A2" sqref="A1:K2"/>
      <selection pane="bottomRight" activeCell="J79" sqref="J79:R79"/>
    </sheetView>
  </sheetViews>
  <sheetFormatPr defaultColWidth="7.875" defaultRowHeight="15.75"/>
  <cols>
    <col min="1" max="1" width="15" style="6" customWidth="1"/>
    <col min="2" max="2" width="12.875" style="6" customWidth="1"/>
    <col min="3" max="3" width="12.875" style="6" hidden="1" customWidth="1"/>
    <col min="4" max="4" width="26.125" style="6" bestFit="1" customWidth="1"/>
    <col min="5" max="5" width="15" style="6" customWidth="1"/>
    <col min="6" max="6" width="8.875" style="6" bestFit="1" customWidth="1"/>
    <col min="7" max="7" width="20.125" style="6" bestFit="1" customWidth="1"/>
    <col min="8" max="8" width="16.375" style="6" bestFit="1" customWidth="1"/>
    <col min="9" max="9" width="10.875" style="6" bestFit="1" customWidth="1"/>
    <col min="10" max="10" width="10.125" style="6" bestFit="1" customWidth="1"/>
    <col min="11" max="11" width="10.625" style="6" customWidth="1"/>
    <col min="12" max="12" width="14.5" style="6" customWidth="1"/>
    <col min="13" max="13" width="10.125" style="6" bestFit="1" customWidth="1"/>
    <col min="14" max="14" width="10.25" style="6" bestFit="1" customWidth="1"/>
    <col min="15" max="15" width="11.875" style="6" customWidth="1"/>
    <col min="16" max="17" width="9.125" style="6" bestFit="1" customWidth="1"/>
    <col min="18" max="18" width="9.125" style="6" customWidth="1"/>
    <col min="19" max="19" width="8.375" style="6" customWidth="1"/>
    <col min="20" max="21" width="9.375" style="6" bestFit="1" customWidth="1"/>
    <col min="22" max="22" width="10.625" style="6" customWidth="1"/>
    <col min="23" max="23" width="8.625" style="92" customWidth="1"/>
    <col min="24" max="24" width="7.5" style="6" bestFit="1" customWidth="1"/>
    <col min="25" max="25" width="6.875" style="6" customWidth="1"/>
    <col min="26" max="26" width="12.625" style="6" customWidth="1"/>
    <col min="27" max="27" width="33.375" style="6" customWidth="1"/>
    <col min="28" max="28" width="13.125" style="6" bestFit="1" customWidth="1"/>
    <col min="29" max="29" width="10.375" style="6" customWidth="1"/>
    <col min="30" max="30" width="9.125" style="6" customWidth="1"/>
    <col min="31" max="31" width="7.875" style="6"/>
    <col min="32" max="32" width="24.5" style="6" bestFit="1" customWidth="1"/>
    <col min="33" max="16384" width="7.875" style="6"/>
  </cols>
  <sheetData>
    <row r="1" spans="1:30" ht="21">
      <c r="A1" s="2" t="s">
        <v>72</v>
      </c>
      <c r="B1" s="2"/>
      <c r="C1" s="2"/>
      <c r="D1" s="176" t="s">
        <v>8</v>
      </c>
      <c r="E1" s="3">
        <f>SUM(G5:G79)</f>
        <v>48162</v>
      </c>
      <c r="F1" s="177" t="s">
        <v>9</v>
      </c>
      <c r="G1" s="4">
        <f>SUM(H5:H79)</f>
        <v>2358859.54</v>
      </c>
      <c r="H1" s="175" t="s">
        <v>10</v>
      </c>
      <c r="I1" s="5">
        <f>M15+M26+M48+M58+M69+M79+M37</f>
        <v>86.25</v>
      </c>
      <c r="J1" s="371" t="s">
        <v>11</v>
      </c>
      <c r="K1" s="371"/>
      <c r="L1" s="371"/>
      <c r="M1" s="371" t="s">
        <v>12</v>
      </c>
      <c r="N1" s="371"/>
      <c r="O1" s="371"/>
      <c r="P1" s="371" t="s">
        <v>13</v>
      </c>
      <c r="Q1" s="371"/>
      <c r="R1" s="371"/>
      <c r="S1" s="371"/>
      <c r="T1" s="371" t="s">
        <v>14</v>
      </c>
      <c r="U1" s="371"/>
      <c r="V1" s="371"/>
      <c r="W1" s="371"/>
      <c r="X1" s="371"/>
      <c r="Y1" s="371"/>
      <c r="Z1" s="371" t="s">
        <v>15</v>
      </c>
      <c r="AA1" s="371"/>
      <c r="AB1" s="371" t="s">
        <v>16</v>
      </c>
      <c r="AC1" s="372"/>
      <c r="AD1" s="372"/>
    </row>
    <row r="2" spans="1:30" ht="18.75">
      <c r="A2" s="409" t="s">
        <v>224</v>
      </c>
      <c r="B2" s="409"/>
      <c r="C2" s="176"/>
      <c r="D2" s="176" t="s">
        <v>1</v>
      </c>
      <c r="E2" s="7">
        <f>AVERAGE(O15,O26,O37,O48,O58,O69,O79)</f>
        <v>102.81486330366222</v>
      </c>
      <c r="F2" s="8" t="s">
        <v>2</v>
      </c>
      <c r="G2" s="9">
        <f>G1/E1</f>
        <v>48.977607657489308</v>
      </c>
      <c r="H2" s="175" t="s">
        <v>17</v>
      </c>
      <c r="I2" s="175">
        <f>COUNT(I5:I79)</f>
        <v>0</v>
      </c>
      <c r="J2" s="371"/>
      <c r="K2" s="371"/>
      <c r="L2" s="371"/>
      <c r="M2" s="371"/>
      <c r="N2" s="371"/>
      <c r="O2" s="371"/>
      <c r="P2" s="371"/>
      <c r="Q2" s="371"/>
      <c r="R2" s="371"/>
      <c r="S2" s="371"/>
      <c r="T2" s="371"/>
      <c r="U2" s="371"/>
      <c r="V2" s="371"/>
      <c r="W2" s="371"/>
      <c r="X2" s="371"/>
      <c r="Y2" s="371"/>
      <c r="Z2" s="371"/>
      <c r="AA2" s="371"/>
      <c r="AB2" s="372"/>
      <c r="AC2" s="372"/>
      <c r="AD2" s="372"/>
    </row>
    <row r="3" spans="1:30">
      <c r="A3" s="405" t="s">
        <v>18</v>
      </c>
      <c r="B3" s="405" t="s">
        <v>19</v>
      </c>
      <c r="C3" s="177"/>
      <c r="D3" s="405" t="s">
        <v>20</v>
      </c>
      <c r="E3" s="405"/>
      <c r="F3" s="379" t="s">
        <v>21</v>
      </c>
      <c r="G3" s="389" t="s">
        <v>22</v>
      </c>
      <c r="H3" s="379" t="s">
        <v>23</v>
      </c>
      <c r="I3" s="381" t="s">
        <v>24</v>
      </c>
      <c r="J3" s="383" t="s">
        <v>25</v>
      </c>
      <c r="K3" s="385" t="s">
        <v>26</v>
      </c>
      <c r="L3" s="387" t="s">
        <v>1</v>
      </c>
      <c r="M3" s="389" t="s">
        <v>25</v>
      </c>
      <c r="N3" s="385" t="s">
        <v>26</v>
      </c>
      <c r="O3" s="387" t="s">
        <v>1</v>
      </c>
      <c r="P3" s="383" t="s">
        <v>25</v>
      </c>
      <c r="Q3" s="387" t="s">
        <v>1</v>
      </c>
      <c r="R3" s="392" t="s">
        <v>27</v>
      </c>
      <c r="S3" s="394" t="s">
        <v>28</v>
      </c>
      <c r="T3" s="389" t="s">
        <v>4</v>
      </c>
      <c r="U3" s="389"/>
      <c r="V3" s="408" t="s">
        <v>29</v>
      </c>
      <c r="W3" s="381" t="s">
        <v>30</v>
      </c>
      <c r="X3" s="389" t="s">
        <v>31</v>
      </c>
      <c r="Y3" s="389"/>
      <c r="Z3" s="415" t="s">
        <v>71</v>
      </c>
      <c r="AA3" s="416"/>
      <c r="AB3" s="385" t="s">
        <v>26</v>
      </c>
      <c r="AC3" s="392" t="s">
        <v>27</v>
      </c>
      <c r="AD3" s="394" t="s">
        <v>28</v>
      </c>
    </row>
    <row r="4" spans="1:30" ht="16.5" thickBot="1">
      <c r="A4" s="379"/>
      <c r="B4" s="379"/>
      <c r="C4" s="178"/>
      <c r="D4" s="379"/>
      <c r="E4" s="379"/>
      <c r="F4" s="380"/>
      <c r="G4" s="390"/>
      <c r="H4" s="380"/>
      <c r="I4" s="382"/>
      <c r="J4" s="384"/>
      <c r="K4" s="386"/>
      <c r="L4" s="388"/>
      <c r="M4" s="390"/>
      <c r="N4" s="386"/>
      <c r="O4" s="388"/>
      <c r="P4" s="384"/>
      <c r="Q4" s="388"/>
      <c r="R4" s="393"/>
      <c r="S4" s="395"/>
      <c r="T4" s="179" t="s">
        <v>5</v>
      </c>
      <c r="U4" s="179" t="s">
        <v>6</v>
      </c>
      <c r="V4" s="390"/>
      <c r="W4" s="382"/>
      <c r="X4" s="178" t="s">
        <v>32</v>
      </c>
      <c r="Y4" s="178" t="s">
        <v>33</v>
      </c>
      <c r="Z4" s="417"/>
      <c r="AA4" s="417"/>
      <c r="AB4" s="386"/>
      <c r="AC4" s="393"/>
      <c r="AD4" s="395"/>
    </row>
    <row r="5" spans="1:30" ht="15" customHeight="1">
      <c r="A5" s="411" t="s">
        <v>66</v>
      </c>
      <c r="B5" s="199" t="str">
        <f>VLOOKUP(D5,廠價表!$C$1:$E$39,2,0)</f>
        <v>義大利麵</v>
      </c>
      <c r="C5" s="102"/>
      <c r="D5" s="103" t="s">
        <v>206</v>
      </c>
      <c r="E5" s="104"/>
      <c r="F5" s="199">
        <f>VLOOKUP(D5,廠價表!$C$1:$E$39,3,0)</f>
        <v>56.43</v>
      </c>
      <c r="G5" s="105">
        <v>2659</v>
      </c>
      <c r="H5" s="106">
        <f>F5*G5</f>
        <v>150047.37</v>
      </c>
      <c r="I5" s="107"/>
      <c r="J5" s="16">
        <v>15</v>
      </c>
      <c r="K5" s="105">
        <v>1800</v>
      </c>
      <c r="L5" s="109">
        <f>K5/J5</f>
        <v>120</v>
      </c>
      <c r="M5" s="110">
        <v>15</v>
      </c>
      <c r="N5" s="105">
        <f t="shared" ref="N5:N8" si="0">G5/W5*60</f>
        <v>1679.3684210526319</v>
      </c>
      <c r="O5" s="109">
        <f t="shared" ref="O5:O8" si="1">N5/M5</f>
        <v>111.95789473684212</v>
      </c>
      <c r="P5" s="111">
        <f t="shared" ref="P5:P8" si="2">M5-J5</f>
        <v>0</v>
      </c>
      <c r="Q5" s="112">
        <f t="shared" ref="Q5:Q8" si="3">O5-L5</f>
        <v>-8.0421052631578789</v>
      </c>
      <c r="R5" s="184">
        <f t="shared" ref="R5:R8" si="4">O5/L5</f>
        <v>0.93298245614035102</v>
      </c>
      <c r="S5" s="396">
        <f>R15</f>
        <v>0.91708910429532875</v>
      </c>
      <c r="T5" s="94">
        <v>0.2902777777777778</v>
      </c>
      <c r="U5" s="94">
        <v>0.35625000000000001</v>
      </c>
      <c r="V5" s="194"/>
      <c r="W5" s="107">
        <f t="shared" ref="W5:W14" si="5">(U5-T5)*24*60</f>
        <v>94.999999999999986</v>
      </c>
      <c r="X5" s="188"/>
      <c r="Y5" s="188"/>
      <c r="Z5" s="400"/>
      <c r="AA5" s="400"/>
      <c r="AB5" s="111">
        <f>N5-K5</f>
        <v>-120.6315789473681</v>
      </c>
      <c r="AC5" s="184">
        <f>N5/K5</f>
        <v>0.93298245614035102</v>
      </c>
      <c r="AD5" s="401">
        <f>AC15</f>
        <v>0.91935773464998904</v>
      </c>
    </row>
    <row r="6" spans="1:30" ht="15" customHeight="1">
      <c r="A6" s="412"/>
      <c r="B6" s="56" t="str">
        <f>VLOOKUP(D6,廠價表!$C$1:$E$39,2,0)</f>
        <v>義大利麵</v>
      </c>
      <c r="C6" s="10"/>
      <c r="D6" s="11" t="s">
        <v>139</v>
      </c>
      <c r="E6" s="86"/>
      <c r="F6" s="56">
        <f>VLOOKUP(D6,廠價表!$C$1:$E$39,3,0)</f>
        <v>57.21</v>
      </c>
      <c r="G6" s="25">
        <v>1826</v>
      </c>
      <c r="H6" s="15">
        <f t="shared" ref="H6:H14" si="6">F6*G6</f>
        <v>104465.46</v>
      </c>
      <c r="I6" s="182"/>
      <c r="J6" s="16">
        <f>VLOOKUP(D6,產線配置圖!$A$2:$C$38,2,0)</f>
        <v>17</v>
      </c>
      <c r="K6" s="14">
        <f>VLOOKUP(D6,產線配置圖!$A$2:$C$38,3,0)</f>
        <v>1895</v>
      </c>
      <c r="L6" s="17">
        <f>K6/J6</f>
        <v>111.47058823529412</v>
      </c>
      <c r="M6" s="180">
        <v>17</v>
      </c>
      <c r="N6" s="14">
        <f t="shared" si="0"/>
        <v>1825.9999999999991</v>
      </c>
      <c r="O6" s="17">
        <f t="shared" si="1"/>
        <v>107.41176470588231</v>
      </c>
      <c r="P6" s="18">
        <f t="shared" si="2"/>
        <v>0</v>
      </c>
      <c r="Q6" s="19">
        <f t="shared" si="3"/>
        <v>-4.0588235294118107</v>
      </c>
      <c r="R6" s="185">
        <f t="shared" si="4"/>
        <v>0.96358839050131884</v>
      </c>
      <c r="S6" s="397"/>
      <c r="T6" s="95">
        <v>0.36249999999999999</v>
      </c>
      <c r="U6" s="95">
        <v>0.40416666666666667</v>
      </c>
      <c r="V6" s="177">
        <f>(T6-U5)*24*60</f>
        <v>8.999999999999968</v>
      </c>
      <c r="W6" s="182">
        <f t="shared" si="5"/>
        <v>60.000000000000028</v>
      </c>
      <c r="X6" s="22"/>
      <c r="Y6" s="22"/>
      <c r="Z6" s="381"/>
      <c r="AA6" s="381"/>
      <c r="AB6" s="18">
        <f>N6-K6</f>
        <v>-69.000000000000909</v>
      </c>
      <c r="AC6" s="185">
        <f>N6/K6</f>
        <v>0.96358839050131884</v>
      </c>
      <c r="AD6" s="402"/>
    </row>
    <row r="7" spans="1:30" ht="15" customHeight="1">
      <c r="A7" s="412"/>
      <c r="B7" s="56" t="str">
        <f>VLOOKUP(D7,廠價表!$C$1:$E$39,2,0)</f>
        <v>義大利麵</v>
      </c>
      <c r="C7" s="10"/>
      <c r="D7" s="11" t="s">
        <v>141</v>
      </c>
      <c r="E7" s="86"/>
      <c r="F7" s="56">
        <f>VLOOKUP(D7,廠價表!$C$1:$E$39,3,0)</f>
        <v>49.14</v>
      </c>
      <c r="G7" s="25">
        <v>3116</v>
      </c>
      <c r="H7" s="15">
        <f t="shared" si="6"/>
        <v>153120.24</v>
      </c>
      <c r="I7" s="182"/>
      <c r="J7" s="16">
        <v>14</v>
      </c>
      <c r="K7" s="14">
        <f>VLOOKUP(D7,產線配置圖!$A$2:$C$38,3,0)</f>
        <v>2000</v>
      </c>
      <c r="L7" s="17">
        <f>K7/J7</f>
        <v>142.85714285714286</v>
      </c>
      <c r="M7" s="180">
        <v>14</v>
      </c>
      <c r="N7" s="14">
        <f t="shared" si="0"/>
        <v>1927.4226804123698</v>
      </c>
      <c r="O7" s="17">
        <f t="shared" si="1"/>
        <v>137.67304860088356</v>
      </c>
      <c r="P7" s="18">
        <f t="shared" si="2"/>
        <v>0</v>
      </c>
      <c r="Q7" s="19">
        <f t="shared" si="3"/>
        <v>-5.1840942562593</v>
      </c>
      <c r="R7" s="185">
        <f t="shared" si="4"/>
        <v>0.96371134020618487</v>
      </c>
      <c r="S7" s="397"/>
      <c r="T7" s="95">
        <v>0.41180555555555554</v>
      </c>
      <c r="U7" s="95">
        <v>0.47916666666666669</v>
      </c>
      <c r="V7" s="177">
        <f>(T7-U6)*24*60</f>
        <v>10.999999999999961</v>
      </c>
      <c r="W7" s="182">
        <f t="shared" si="5"/>
        <v>97.000000000000057</v>
      </c>
      <c r="X7" s="22"/>
      <c r="Y7" s="22"/>
      <c r="Z7" s="405"/>
      <c r="AA7" s="405"/>
      <c r="AB7" s="18">
        <f>N7-K7</f>
        <v>-72.5773195876302</v>
      </c>
      <c r="AC7" s="185">
        <f>N7/K7</f>
        <v>0.96371134020618487</v>
      </c>
      <c r="AD7" s="402"/>
    </row>
    <row r="8" spans="1:30" ht="15" customHeight="1">
      <c r="A8" s="412"/>
      <c r="B8" s="56" t="str">
        <f>VLOOKUP(D8,廠價表!$C$1:$E$39,2,0)</f>
        <v>義大利麵</v>
      </c>
      <c r="C8" s="10"/>
      <c r="D8" s="11" t="s">
        <v>141</v>
      </c>
      <c r="E8" s="86"/>
      <c r="F8" s="56">
        <f>VLOOKUP(D8,廠價表!$C$1:$E$39,3,0)</f>
        <v>49.14</v>
      </c>
      <c r="G8" s="25">
        <v>985</v>
      </c>
      <c r="H8" s="15">
        <f t="shared" si="6"/>
        <v>48402.9</v>
      </c>
      <c r="I8" s="182"/>
      <c r="J8" s="16">
        <v>14</v>
      </c>
      <c r="K8" s="14">
        <f>VLOOKUP(D8,產線配置圖!$A$2:$C$38,3,0)</f>
        <v>2000</v>
      </c>
      <c r="L8" s="17">
        <f t="shared" ref="L8" si="7">K8/J8</f>
        <v>142.85714285714286</v>
      </c>
      <c r="M8" s="180">
        <v>14</v>
      </c>
      <c r="N8" s="14">
        <f t="shared" si="0"/>
        <v>1641.6666666666654</v>
      </c>
      <c r="O8" s="17">
        <f t="shared" si="1"/>
        <v>117.26190476190467</v>
      </c>
      <c r="P8" s="18">
        <f t="shared" si="2"/>
        <v>0</v>
      </c>
      <c r="Q8" s="19">
        <f t="shared" si="3"/>
        <v>-25.595238095238187</v>
      </c>
      <c r="R8" s="185">
        <f t="shared" si="4"/>
        <v>0.82083333333333275</v>
      </c>
      <c r="S8" s="397"/>
      <c r="T8" s="20">
        <v>0.54027777777777775</v>
      </c>
      <c r="U8" s="20">
        <v>0.56527777777777777</v>
      </c>
      <c r="V8" s="177">
        <f>(T8-U7)*24*60</f>
        <v>87.999999999999929</v>
      </c>
      <c r="W8" s="182">
        <f t="shared" si="5"/>
        <v>36.000000000000028</v>
      </c>
      <c r="X8" s="22">
        <v>0.48958333333333331</v>
      </c>
      <c r="Y8" s="22">
        <v>0.53125</v>
      </c>
      <c r="Z8" s="406"/>
      <c r="AA8" s="406"/>
      <c r="AB8" s="18">
        <f>N8-K8</f>
        <v>-358.33333333333462</v>
      </c>
      <c r="AC8" s="185">
        <f>N8/K8</f>
        <v>0.82083333333333264</v>
      </c>
      <c r="AD8" s="402"/>
    </row>
    <row r="9" spans="1:30" ht="15" customHeight="1">
      <c r="A9" s="413"/>
      <c r="B9" s="56"/>
      <c r="C9" s="10"/>
      <c r="D9" s="11"/>
      <c r="E9" s="86"/>
      <c r="F9" s="56"/>
      <c r="G9" s="25"/>
      <c r="H9" s="15"/>
      <c r="I9" s="182"/>
      <c r="J9" s="16"/>
      <c r="K9" s="14"/>
      <c r="L9" s="17"/>
      <c r="M9" s="180"/>
      <c r="N9" s="14"/>
      <c r="O9" s="17"/>
      <c r="P9" s="18"/>
      <c r="Q9" s="19"/>
      <c r="R9" s="185"/>
      <c r="S9" s="398"/>
      <c r="T9" s="79"/>
      <c r="U9" s="79"/>
      <c r="V9" s="177"/>
      <c r="W9" s="24">
        <f t="shared" si="5"/>
        <v>0</v>
      </c>
      <c r="X9" s="22"/>
      <c r="Y9" s="263"/>
      <c r="Z9" s="407"/>
      <c r="AA9" s="407"/>
      <c r="AB9" s="18"/>
      <c r="AC9" s="185"/>
      <c r="AD9" s="403"/>
    </row>
    <row r="10" spans="1:30" ht="15" customHeight="1">
      <c r="A10" s="413"/>
      <c r="B10" s="56"/>
      <c r="C10" s="23"/>
      <c r="D10" s="11"/>
      <c r="E10" s="12"/>
      <c r="F10" s="56"/>
      <c r="G10" s="25"/>
      <c r="H10" s="15"/>
      <c r="I10" s="182"/>
      <c r="J10" s="16"/>
      <c r="K10" s="14"/>
      <c r="L10" s="17"/>
      <c r="M10" s="180"/>
      <c r="N10" s="14"/>
      <c r="O10" s="17"/>
      <c r="P10" s="18"/>
      <c r="Q10" s="19"/>
      <c r="R10" s="185"/>
      <c r="S10" s="398"/>
      <c r="T10" s="20"/>
      <c r="U10" s="20"/>
      <c r="V10" s="177"/>
      <c r="W10" s="182">
        <f t="shared" si="5"/>
        <v>0</v>
      </c>
      <c r="X10" s="22"/>
      <c r="Y10" s="263"/>
      <c r="Z10" s="419"/>
      <c r="AA10" s="418"/>
      <c r="AB10" s="264"/>
      <c r="AC10" s="185"/>
      <c r="AD10" s="403"/>
    </row>
    <row r="11" spans="1:30" ht="15" customHeight="1">
      <c r="A11" s="413"/>
      <c r="B11" s="56"/>
      <c r="C11" s="183"/>
      <c r="D11" s="11"/>
      <c r="E11" s="12"/>
      <c r="F11" s="56"/>
      <c r="G11" s="25"/>
      <c r="H11" s="15">
        <f t="shared" si="6"/>
        <v>0</v>
      </c>
      <c r="I11" s="182"/>
      <c r="J11" s="16"/>
      <c r="K11" s="14"/>
      <c r="L11" s="17"/>
      <c r="M11" s="180"/>
      <c r="N11" s="14"/>
      <c r="O11" s="17"/>
      <c r="P11" s="18"/>
      <c r="Q11" s="19"/>
      <c r="R11" s="185"/>
      <c r="S11" s="398"/>
      <c r="T11" s="20"/>
      <c r="U11" s="20"/>
      <c r="V11" s="177"/>
      <c r="W11" s="24">
        <f t="shared" si="5"/>
        <v>0</v>
      </c>
      <c r="X11" s="22"/>
      <c r="Y11" s="263"/>
      <c r="Z11" s="419"/>
      <c r="AA11" s="418"/>
      <c r="AB11" s="264"/>
      <c r="AC11" s="185"/>
      <c r="AD11" s="403"/>
    </row>
    <row r="12" spans="1:30" ht="15" customHeight="1">
      <c r="A12" s="413"/>
      <c r="B12" s="26"/>
      <c r="C12" s="27"/>
      <c r="D12" s="28"/>
      <c r="E12" s="29"/>
      <c r="F12" s="13"/>
      <c r="G12" s="30"/>
      <c r="H12" s="15">
        <f t="shared" si="6"/>
        <v>0</v>
      </c>
      <c r="I12" s="178"/>
      <c r="J12" s="31"/>
      <c r="K12" s="30"/>
      <c r="L12" s="17"/>
      <c r="M12" s="181"/>
      <c r="N12" s="25"/>
      <c r="O12" s="17"/>
      <c r="P12" s="18"/>
      <c r="Q12" s="19"/>
      <c r="R12" s="185"/>
      <c r="S12" s="398"/>
      <c r="T12" s="32"/>
      <c r="U12" s="32"/>
      <c r="V12" s="178"/>
      <c r="W12" s="24">
        <f t="shared" si="5"/>
        <v>0</v>
      </c>
      <c r="X12" s="33"/>
      <c r="Y12" s="33"/>
      <c r="Z12" s="407"/>
      <c r="AA12" s="407"/>
      <c r="AB12" s="34"/>
      <c r="AC12" s="186"/>
      <c r="AD12" s="403"/>
    </row>
    <row r="13" spans="1:30" ht="15" customHeight="1">
      <c r="A13" s="413"/>
      <c r="B13" s="56"/>
      <c r="C13" s="10"/>
      <c r="D13" s="11"/>
      <c r="E13" s="86"/>
      <c r="F13" s="56"/>
      <c r="G13" s="25"/>
      <c r="H13" s="15"/>
      <c r="I13" s="182"/>
      <c r="J13" s="16"/>
      <c r="K13" s="14"/>
      <c r="L13" s="17"/>
      <c r="M13" s="180"/>
      <c r="N13" s="14"/>
      <c r="O13" s="17"/>
      <c r="P13" s="18"/>
      <c r="Q13" s="19"/>
      <c r="R13" s="185"/>
      <c r="S13" s="479"/>
      <c r="T13" s="309"/>
      <c r="U13" s="309"/>
      <c r="V13" s="26"/>
      <c r="W13" s="24">
        <f t="shared" si="5"/>
        <v>0</v>
      </c>
      <c r="X13" s="33"/>
      <c r="Y13" s="33"/>
      <c r="Z13" s="419"/>
      <c r="AA13" s="418"/>
      <c r="AB13" s="34"/>
      <c r="AC13" s="186"/>
      <c r="AD13" s="403"/>
    </row>
    <row r="14" spans="1:30" ht="15" customHeight="1">
      <c r="A14" s="413"/>
      <c r="B14" s="26"/>
      <c r="C14" s="27"/>
      <c r="D14" s="28"/>
      <c r="E14" s="29"/>
      <c r="F14" s="13"/>
      <c r="G14" s="30"/>
      <c r="H14" s="15">
        <f t="shared" si="6"/>
        <v>0</v>
      </c>
      <c r="I14" s="178"/>
      <c r="J14" s="31"/>
      <c r="K14" s="30"/>
      <c r="L14" s="17"/>
      <c r="M14" s="181"/>
      <c r="N14" s="25"/>
      <c r="O14" s="17"/>
      <c r="P14" s="18"/>
      <c r="Q14" s="19"/>
      <c r="R14" s="185"/>
      <c r="S14" s="398"/>
      <c r="T14" s="308"/>
      <c r="U14" s="308"/>
      <c r="V14" s="178"/>
      <c r="W14" s="24">
        <f t="shared" si="5"/>
        <v>0</v>
      </c>
      <c r="X14" s="33"/>
      <c r="Y14" s="33"/>
      <c r="Z14" s="419"/>
      <c r="AA14" s="418"/>
      <c r="AB14" s="34"/>
      <c r="AC14" s="186"/>
      <c r="AD14" s="403"/>
    </row>
    <row r="15" spans="1:30" ht="15" customHeight="1" thickBot="1">
      <c r="A15" s="414"/>
      <c r="B15" s="113"/>
      <c r="C15" s="113" t="s">
        <v>34</v>
      </c>
      <c r="D15" s="410" t="s">
        <v>7</v>
      </c>
      <c r="E15" s="410"/>
      <c r="F15" s="114"/>
      <c r="G15" s="115"/>
      <c r="H15" s="116"/>
      <c r="I15" s="117"/>
      <c r="J15" s="118">
        <f t="shared" ref="J15:O15" si="8">AVERAGE(J5:J14)</f>
        <v>15</v>
      </c>
      <c r="K15" s="118">
        <f t="shared" si="8"/>
        <v>1923.75</v>
      </c>
      <c r="L15" s="115">
        <f t="shared" si="8"/>
        <v>129.29621848739495</v>
      </c>
      <c r="M15" s="118">
        <f t="shared" si="8"/>
        <v>15</v>
      </c>
      <c r="N15" s="118">
        <f t="shared" si="8"/>
        <v>1768.6144420329165</v>
      </c>
      <c r="O15" s="115">
        <f t="shared" si="8"/>
        <v>118.57615320137816</v>
      </c>
      <c r="P15" s="119">
        <f t="shared" ref="P15:P16" si="9">M15-J15</f>
        <v>0</v>
      </c>
      <c r="Q15" s="120">
        <f t="shared" ref="Q15:Q16" si="10">O15-L15</f>
        <v>-10.720065286016791</v>
      </c>
      <c r="R15" s="121">
        <f t="shared" ref="R15:R16" si="11">O15/L15</f>
        <v>0.91708910429532875</v>
      </c>
      <c r="S15" s="399"/>
      <c r="T15" s="122"/>
      <c r="U15" s="122"/>
      <c r="V15" s="195"/>
      <c r="W15" s="123"/>
      <c r="X15" s="124"/>
      <c r="Y15" s="124"/>
      <c r="Z15" s="391"/>
      <c r="AA15" s="391"/>
      <c r="AB15" s="119">
        <f>N15-K15</f>
        <v>-155.13555796708351</v>
      </c>
      <c r="AC15" s="187">
        <f>N15/K15</f>
        <v>0.91935773464998904</v>
      </c>
      <c r="AD15" s="404"/>
    </row>
    <row r="16" spans="1:30" ht="15" customHeight="1">
      <c r="A16" s="431" t="s">
        <v>67</v>
      </c>
      <c r="B16" s="199" t="s">
        <v>134</v>
      </c>
      <c r="C16" s="102"/>
      <c r="D16" s="103" t="s">
        <v>206</v>
      </c>
      <c r="E16" s="104"/>
      <c r="F16" s="199">
        <f>VLOOKUP(D16,廠價表!$C$1:$E$39,3,0)</f>
        <v>56.43</v>
      </c>
      <c r="G16" s="265">
        <v>2481</v>
      </c>
      <c r="H16" s="125">
        <f t="shared" ref="H16:H25" si="12">F16*G16</f>
        <v>140002.82999999999</v>
      </c>
      <c r="I16" s="126"/>
      <c r="J16" s="108">
        <f>VLOOKUP(D16,產線配置圖!$A$2:$C$38,2,0)</f>
        <v>15</v>
      </c>
      <c r="K16" s="105">
        <v>1800</v>
      </c>
      <c r="L16" s="109">
        <f>K16/J16</f>
        <v>120</v>
      </c>
      <c r="M16" s="267">
        <v>15</v>
      </c>
      <c r="N16" s="127">
        <f t="shared" ref="N16:N21" si="13">G16/W16*60</f>
        <v>1751.2941176470601</v>
      </c>
      <c r="O16" s="128">
        <f t="shared" ref="O16:O21" si="14">N16/M16</f>
        <v>116.75294117647067</v>
      </c>
      <c r="P16" s="129">
        <f t="shared" si="9"/>
        <v>0</v>
      </c>
      <c r="Q16" s="130">
        <f t="shared" si="10"/>
        <v>-3.2470588235293292</v>
      </c>
      <c r="R16" s="189">
        <f t="shared" si="11"/>
        <v>0.97294117647058898</v>
      </c>
      <c r="S16" s="424">
        <f>R26</f>
        <v>0.88237941403956144</v>
      </c>
      <c r="T16" s="268">
        <v>0.2902777777777778</v>
      </c>
      <c r="U16" s="268">
        <v>0.34930555555555554</v>
      </c>
      <c r="V16" s="126"/>
      <c r="W16" s="131">
        <f t="shared" ref="W16:W68" si="15">(U16-T16)*24*60</f>
        <v>84.999999999999943</v>
      </c>
      <c r="X16" s="128"/>
      <c r="Y16" s="128"/>
      <c r="Z16" s="400"/>
      <c r="AA16" s="400"/>
      <c r="AB16" s="111">
        <f>N16-K16</f>
        <v>-48.705882352939852</v>
      </c>
      <c r="AC16" s="184">
        <f>N16/K16</f>
        <v>0.97294117647058898</v>
      </c>
      <c r="AD16" s="401">
        <f>AC26</f>
        <v>0.91258900111108543</v>
      </c>
    </row>
    <row r="17" spans="1:30" ht="15" customHeight="1">
      <c r="A17" s="432"/>
      <c r="B17" s="56" t="s">
        <v>62</v>
      </c>
      <c r="C17" s="10"/>
      <c r="D17" s="11" t="s">
        <v>153</v>
      </c>
      <c r="E17" s="86"/>
      <c r="F17" s="56">
        <f>VLOOKUP(D17,廠價表!$C$1:$E$39,3,0)</f>
        <v>50.67</v>
      </c>
      <c r="G17" s="96">
        <v>2541</v>
      </c>
      <c r="H17" s="15">
        <f>F17*G17</f>
        <v>128752.47</v>
      </c>
      <c r="I17" s="177"/>
      <c r="J17" s="16">
        <v>14</v>
      </c>
      <c r="K17" s="14">
        <f>VLOOKUP(D17,產線配置圖!$A$2:$C$38,3,0)</f>
        <v>2000</v>
      </c>
      <c r="L17" s="17">
        <f>K17/J17</f>
        <v>142.85714285714286</v>
      </c>
      <c r="M17" s="37">
        <v>14</v>
      </c>
      <c r="N17" s="36">
        <f t="shared" si="13"/>
        <v>1772.7906976744184</v>
      </c>
      <c r="O17" s="38">
        <f t="shared" si="14"/>
        <v>126.62790697674417</v>
      </c>
      <c r="P17" s="39">
        <f>M17-J17</f>
        <v>0</v>
      </c>
      <c r="Q17" s="40">
        <f>O17-L17</f>
        <v>-16.22923588039869</v>
      </c>
      <c r="R17" s="190">
        <f>O17/L17</f>
        <v>0.88639534883720916</v>
      </c>
      <c r="S17" s="425"/>
      <c r="T17" s="41">
        <v>0.3576388888888889</v>
      </c>
      <c r="U17" s="41">
        <v>0.41736111111111113</v>
      </c>
      <c r="V17" s="177">
        <f>(T17-U16)*24*60</f>
        <v>12.000000000000037</v>
      </c>
      <c r="W17" s="43">
        <f t="shared" si="15"/>
        <v>86.000000000000014</v>
      </c>
      <c r="X17" s="44"/>
      <c r="Y17" s="44"/>
      <c r="Z17" s="381"/>
      <c r="AA17" s="381"/>
      <c r="AB17" s="18">
        <f>N17-K17</f>
        <v>-227.20930232558158</v>
      </c>
      <c r="AC17" s="185">
        <f>N17/K17</f>
        <v>0.88639534883720916</v>
      </c>
      <c r="AD17" s="402"/>
    </row>
    <row r="18" spans="1:30" ht="15" customHeight="1">
      <c r="A18" s="432"/>
      <c r="B18" s="56" t="s">
        <v>62</v>
      </c>
      <c r="C18" s="10"/>
      <c r="D18" s="11" t="s">
        <v>131</v>
      </c>
      <c r="E18" s="86"/>
      <c r="F18" s="56">
        <f>VLOOKUP(D18,廠價表!$C$1:$E$39,3,0)</f>
        <v>50.39</v>
      </c>
      <c r="G18" s="96">
        <v>2413</v>
      </c>
      <c r="H18" s="15">
        <f>F18*G18</f>
        <v>121591.07</v>
      </c>
      <c r="I18" s="177"/>
      <c r="J18" s="16">
        <f>VLOOKUP(D18,產線配置圖!$A$2:$C$38,2,0)</f>
        <v>12</v>
      </c>
      <c r="K18" s="14">
        <f>VLOOKUP(D18,產線配置圖!$A$2:$C$38,3,0)</f>
        <v>2000</v>
      </c>
      <c r="L18" s="17">
        <f>K18/J18</f>
        <v>166.66666666666666</v>
      </c>
      <c r="M18" s="37">
        <v>13</v>
      </c>
      <c r="N18" s="36">
        <f t="shared" si="13"/>
        <v>1880.2597402597391</v>
      </c>
      <c r="O18" s="38">
        <f t="shared" si="14"/>
        <v>144.63536463536454</v>
      </c>
      <c r="P18" s="39">
        <f>M18-J18</f>
        <v>1</v>
      </c>
      <c r="Q18" s="40">
        <f>O18-L18</f>
        <v>-22.031302031302118</v>
      </c>
      <c r="R18" s="190">
        <f>O18/L18</f>
        <v>0.86781218781218727</v>
      </c>
      <c r="S18" s="425"/>
      <c r="T18" s="41">
        <v>0.42569444444444443</v>
      </c>
      <c r="U18" s="41">
        <v>0.47916666666666669</v>
      </c>
      <c r="V18" s="177">
        <f>(T18-U17)*24*60</f>
        <v>11.999999999999957</v>
      </c>
      <c r="W18" s="43">
        <f t="shared" si="15"/>
        <v>77.000000000000043</v>
      </c>
      <c r="X18" s="22"/>
      <c r="Y18" s="22"/>
      <c r="Z18" s="418"/>
      <c r="AA18" s="405"/>
      <c r="AB18" s="18">
        <f>N18-K18</f>
        <v>-119.74025974026085</v>
      </c>
      <c r="AC18" s="185">
        <f>N18/K18</f>
        <v>0.94012987012986959</v>
      </c>
      <c r="AD18" s="402"/>
    </row>
    <row r="19" spans="1:30" ht="15" customHeight="1">
      <c r="A19" s="432"/>
      <c r="B19" s="56" t="s">
        <v>62</v>
      </c>
      <c r="C19" s="23"/>
      <c r="D19" s="11" t="s">
        <v>131</v>
      </c>
      <c r="E19" s="12"/>
      <c r="F19" s="56">
        <f>VLOOKUP(D19,廠價表!$C$1:$E$39,3,0)</f>
        <v>50.39</v>
      </c>
      <c r="G19" s="96">
        <v>1505</v>
      </c>
      <c r="H19" s="15">
        <f t="shared" ref="H19:H21" si="16">F19*G19</f>
        <v>75836.95</v>
      </c>
      <c r="I19" s="177"/>
      <c r="J19" s="16">
        <f>VLOOKUP(D19,產線配置圖!$A$2:$C$38,2,0)</f>
        <v>12</v>
      </c>
      <c r="K19" s="14">
        <f>VLOOKUP(D19,產線配置圖!$A$2:$C$38,3,0)</f>
        <v>2000</v>
      </c>
      <c r="L19" s="17">
        <f t="shared" ref="L19:L20" si="17">K19/J19</f>
        <v>166.66666666666666</v>
      </c>
      <c r="M19" s="37">
        <v>13</v>
      </c>
      <c r="N19" s="36">
        <f t="shared" si="13"/>
        <v>1921.2765957446813</v>
      </c>
      <c r="O19" s="38">
        <f t="shared" si="14"/>
        <v>147.7905073649755</v>
      </c>
      <c r="P19" s="39">
        <f>M19-J19</f>
        <v>1</v>
      </c>
      <c r="Q19" s="40">
        <f>O19-L19</f>
        <v>-18.87615930169116</v>
      </c>
      <c r="R19" s="190">
        <f>O19/L19</f>
        <v>0.88674304418985306</v>
      </c>
      <c r="S19" s="425"/>
      <c r="T19" s="41">
        <v>0.54166666666666663</v>
      </c>
      <c r="U19" s="41">
        <v>0.57430555555555551</v>
      </c>
      <c r="V19" s="177">
        <f>(T19-U18)*24*60</f>
        <v>89.999999999999915</v>
      </c>
      <c r="W19" s="43">
        <f t="shared" si="15"/>
        <v>46.999999999999993</v>
      </c>
      <c r="X19" s="22">
        <v>0.48958333333333331</v>
      </c>
      <c r="Y19" s="22" t="s">
        <v>220</v>
      </c>
      <c r="Z19" s="407"/>
      <c r="AA19" s="407"/>
      <c r="AB19" s="18">
        <f>N19-K19</f>
        <v>-78.723404255318655</v>
      </c>
      <c r="AC19" s="185">
        <f>N19/K19</f>
        <v>0.96063829787234067</v>
      </c>
      <c r="AD19" s="403"/>
    </row>
    <row r="20" spans="1:30" ht="15" customHeight="1">
      <c r="A20" s="432"/>
      <c r="B20" s="56" t="s">
        <v>62</v>
      </c>
      <c r="C20" s="23"/>
      <c r="D20" s="11" t="s">
        <v>153</v>
      </c>
      <c r="E20" s="12"/>
      <c r="F20" s="56">
        <f>VLOOKUP(D20,廠價表!$C$1:$E$39,3,0)</f>
        <v>50.67</v>
      </c>
      <c r="G20" s="96">
        <v>1252</v>
      </c>
      <c r="H20" s="15">
        <f t="shared" si="16"/>
        <v>63438.840000000004</v>
      </c>
      <c r="I20" s="177"/>
      <c r="J20" s="16">
        <v>14</v>
      </c>
      <c r="K20" s="14">
        <f>VLOOKUP(D20,產線配置圖!$A$2:$C$38,3,0)</f>
        <v>2000</v>
      </c>
      <c r="L20" s="17">
        <f t="shared" si="17"/>
        <v>142.85714285714286</v>
      </c>
      <c r="M20" s="37">
        <v>14</v>
      </c>
      <c r="N20" s="36">
        <f t="shared" si="13"/>
        <v>1976.842105263165</v>
      </c>
      <c r="O20" s="38">
        <f t="shared" si="14"/>
        <v>141.20300751879751</v>
      </c>
      <c r="P20" s="39">
        <f>M20-J20</f>
        <v>0</v>
      </c>
      <c r="Q20" s="40">
        <f>O20-L20</f>
        <v>-1.6541353383453554</v>
      </c>
      <c r="R20" s="190">
        <f>O20/L20</f>
        <v>0.98842105263158253</v>
      </c>
      <c r="S20" s="425"/>
      <c r="T20" s="41">
        <v>0.58194444444444449</v>
      </c>
      <c r="U20" s="79">
        <v>0.60833333333333328</v>
      </c>
      <c r="V20" s="177">
        <f>(T20-U19)*24*60</f>
        <v>11.000000000000121</v>
      </c>
      <c r="W20" s="43">
        <f t="shared" si="15"/>
        <v>37.999999999999865</v>
      </c>
      <c r="X20" s="44"/>
      <c r="Y20" s="44"/>
      <c r="Z20" s="418"/>
      <c r="AA20" s="405"/>
      <c r="AB20" s="34"/>
      <c r="AC20" s="186"/>
      <c r="AD20" s="403"/>
    </row>
    <row r="21" spans="1:30" ht="15" customHeight="1">
      <c r="A21" s="433"/>
      <c r="B21" s="56" t="s">
        <v>62</v>
      </c>
      <c r="C21" s="23"/>
      <c r="D21" s="11" t="s">
        <v>131</v>
      </c>
      <c r="E21" s="12"/>
      <c r="F21" s="56">
        <f>VLOOKUP(D21,廠價表!$C$1:$E$39,3,0)</f>
        <v>50.39</v>
      </c>
      <c r="G21" s="36">
        <v>562</v>
      </c>
      <c r="H21" s="15">
        <f t="shared" si="16"/>
        <v>28319.18</v>
      </c>
      <c r="I21" s="43"/>
      <c r="J21" s="16">
        <f>VLOOKUP(D21,產線配置圖!$A$2:$C$38,2,0)</f>
        <v>12</v>
      </c>
      <c r="K21" s="14">
        <f>VLOOKUP(D21,產線配置圖!$A$2:$C$38,3,0)</f>
        <v>2000</v>
      </c>
      <c r="L21" s="17">
        <f t="shared" ref="L21" si="18">K21/J21</f>
        <v>166.66666666666666</v>
      </c>
      <c r="M21" s="37">
        <v>12</v>
      </c>
      <c r="N21" s="36">
        <f t="shared" si="13"/>
        <v>1466.0869565217442</v>
      </c>
      <c r="O21" s="38">
        <f t="shared" si="14"/>
        <v>122.17391304347869</v>
      </c>
      <c r="P21" s="39">
        <f>M21-J21</f>
        <v>0</v>
      </c>
      <c r="Q21" s="40">
        <f>O21-L21</f>
        <v>-44.492753623187966</v>
      </c>
      <c r="R21" s="190">
        <f>O21/L21</f>
        <v>0.73304347826087224</v>
      </c>
      <c r="S21" s="425"/>
      <c r="T21" s="41">
        <v>0.64375000000000004</v>
      </c>
      <c r="U21" s="41">
        <v>0.65972222222222221</v>
      </c>
      <c r="V21" s="177">
        <f>(T21-U20)*24*60</f>
        <v>51.000000000000142</v>
      </c>
      <c r="W21" s="43">
        <f t="shared" si="15"/>
        <v>22.999999999999918</v>
      </c>
      <c r="X21" s="42"/>
      <c r="Y21" s="42"/>
      <c r="Z21" s="418" t="s">
        <v>218</v>
      </c>
      <c r="AA21" s="405"/>
      <c r="AB21" s="34"/>
      <c r="AC21" s="186"/>
      <c r="AD21" s="403"/>
    </row>
    <row r="22" spans="1:30" ht="15" customHeight="1">
      <c r="A22" s="433"/>
      <c r="B22" s="177"/>
      <c r="C22" s="183"/>
      <c r="D22" s="11"/>
      <c r="E22" s="12"/>
      <c r="F22" s="13"/>
      <c r="G22" s="36"/>
      <c r="H22" s="15">
        <f t="shared" si="12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90"/>
      <c r="S22" s="425"/>
      <c r="T22" s="41"/>
      <c r="U22" s="41"/>
      <c r="V22" s="42"/>
      <c r="W22" s="43">
        <v>0</v>
      </c>
      <c r="X22" s="42"/>
      <c r="Y22" s="42"/>
      <c r="Z22" s="418"/>
      <c r="AA22" s="405"/>
      <c r="AB22" s="34"/>
      <c r="AC22" s="186"/>
      <c r="AD22" s="403"/>
    </row>
    <row r="23" spans="1:30" ht="15" customHeight="1">
      <c r="A23" s="433"/>
      <c r="B23" s="26"/>
      <c r="C23" s="27"/>
      <c r="D23" s="28"/>
      <c r="E23" s="29"/>
      <c r="F23" s="13"/>
      <c r="G23" s="36"/>
      <c r="H23" s="15">
        <f t="shared" si="12"/>
        <v>0</v>
      </c>
      <c r="I23" s="43"/>
      <c r="J23" s="37"/>
      <c r="K23" s="36"/>
      <c r="L23" s="38"/>
      <c r="M23" s="37"/>
      <c r="N23" s="36"/>
      <c r="O23" s="38"/>
      <c r="P23" s="39"/>
      <c r="Q23" s="40"/>
      <c r="R23" s="190"/>
      <c r="S23" s="425"/>
      <c r="T23" s="41"/>
      <c r="U23" s="41"/>
      <c r="W23" s="43">
        <f t="shared" si="15"/>
        <v>0</v>
      </c>
      <c r="X23" s="42"/>
      <c r="Y23" s="42"/>
      <c r="Z23" s="418"/>
      <c r="AA23" s="405"/>
      <c r="AB23" s="34"/>
      <c r="AC23" s="186"/>
      <c r="AD23" s="403"/>
    </row>
    <row r="24" spans="1:30" ht="15" customHeight="1">
      <c r="A24" s="433"/>
      <c r="B24" s="26"/>
      <c r="C24" s="27"/>
      <c r="D24" s="28"/>
      <c r="E24" s="29"/>
      <c r="F24" s="13"/>
      <c r="G24" s="36"/>
      <c r="H24" s="15">
        <f t="shared" si="12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90"/>
      <c r="S24" s="425"/>
      <c r="T24" s="41"/>
      <c r="U24" s="41"/>
      <c r="V24" s="42"/>
      <c r="W24" s="43">
        <f t="shared" si="15"/>
        <v>0</v>
      </c>
      <c r="X24" s="42"/>
      <c r="Y24" s="42"/>
      <c r="Z24" s="418"/>
      <c r="AA24" s="405"/>
      <c r="AB24" s="34"/>
      <c r="AC24" s="186"/>
      <c r="AD24" s="403"/>
    </row>
    <row r="25" spans="1:30" ht="15" customHeight="1">
      <c r="A25" s="433"/>
      <c r="B25" s="26"/>
      <c r="C25" s="27"/>
      <c r="D25" s="28"/>
      <c r="E25" s="29"/>
      <c r="F25" s="13"/>
      <c r="G25" s="36"/>
      <c r="H25" s="50">
        <f t="shared" si="12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90"/>
      <c r="S25" s="425"/>
      <c r="T25" s="41"/>
      <c r="U25" s="41"/>
      <c r="V25" s="42"/>
      <c r="W25" s="43">
        <f t="shared" si="15"/>
        <v>0</v>
      </c>
      <c r="X25" s="42"/>
      <c r="Y25" s="42"/>
      <c r="Z25" s="418"/>
      <c r="AA25" s="405"/>
      <c r="AB25" s="34"/>
      <c r="AC25" s="186"/>
      <c r="AD25" s="403"/>
    </row>
    <row r="26" spans="1:30" ht="15" customHeight="1" thickBot="1">
      <c r="A26" s="434"/>
      <c r="B26" s="132"/>
      <c r="C26" s="1" t="s">
        <v>35</v>
      </c>
      <c r="D26" s="410" t="s">
        <v>7</v>
      </c>
      <c r="E26" s="410"/>
      <c r="F26" s="133"/>
      <c r="G26" s="134"/>
      <c r="H26" s="135"/>
      <c r="I26" s="136"/>
      <c r="J26" s="134">
        <f t="shared" ref="J26:O26" si="19">AVERAGE(J16:J25)</f>
        <v>13.166666666666666</v>
      </c>
      <c r="K26" s="134">
        <f t="shared" si="19"/>
        <v>1966.6666666666667</v>
      </c>
      <c r="L26" s="137">
        <f t="shared" si="19"/>
        <v>150.95238095238093</v>
      </c>
      <c r="M26" s="134">
        <f t="shared" si="19"/>
        <v>13.5</v>
      </c>
      <c r="N26" s="134">
        <f t="shared" si="19"/>
        <v>1794.7583688518014</v>
      </c>
      <c r="O26" s="137">
        <f t="shared" si="19"/>
        <v>133.19727345263854</v>
      </c>
      <c r="P26" s="138">
        <f t="shared" ref="P26:P30" si="20">M26-J26</f>
        <v>0.33333333333333393</v>
      </c>
      <c r="Q26" s="139">
        <f t="shared" ref="Q26:Q30" si="21">O26-L26</f>
        <v>-17.755107499742394</v>
      </c>
      <c r="R26" s="140">
        <f t="shared" ref="R26:R30" si="22">O26/L26</f>
        <v>0.88237941403956144</v>
      </c>
      <c r="S26" s="435"/>
      <c r="T26" s="141"/>
      <c r="U26" s="141"/>
      <c r="V26" s="146"/>
      <c r="W26" s="142"/>
      <c r="X26" s="143"/>
      <c r="Y26" s="143"/>
      <c r="Z26" s="420"/>
      <c r="AA26" s="391"/>
      <c r="AB26" s="119">
        <f>N26-K26</f>
        <v>-171.90829781486536</v>
      </c>
      <c r="AC26" s="187">
        <f>N26/K26</f>
        <v>0.91258900111108543</v>
      </c>
      <c r="AD26" s="404"/>
    </row>
    <row r="27" spans="1:30" ht="15" customHeight="1">
      <c r="A27" s="421" t="s">
        <v>54</v>
      </c>
      <c r="B27" s="229" t="s">
        <v>62</v>
      </c>
      <c r="C27" s="102"/>
      <c r="D27" s="103" t="s">
        <v>144</v>
      </c>
      <c r="E27" s="104"/>
      <c r="F27" s="199">
        <f>VLOOKUP(D27,廠價表!$C$1:$E$39,3,0)</f>
        <v>49.91</v>
      </c>
      <c r="G27" s="269">
        <v>1754</v>
      </c>
      <c r="H27" s="125">
        <f t="shared" ref="H27:H40" si="23">F27*G27</f>
        <v>87542.14</v>
      </c>
      <c r="I27" s="126"/>
      <c r="J27" s="16">
        <f>VLOOKUP(D27,產線配置圖!$A$2:$C$38,2,0)</f>
        <v>17</v>
      </c>
      <c r="K27" s="14">
        <f>VLOOKUP(D27,產線配置圖!$A$2:$C$38,3,0)</f>
        <v>1565</v>
      </c>
      <c r="L27" s="109">
        <f>K27/J27</f>
        <v>92.058823529411768</v>
      </c>
      <c r="M27" s="144">
        <v>16</v>
      </c>
      <c r="N27" s="127">
        <f>G27/W27*60</f>
        <v>1403.2000000000005</v>
      </c>
      <c r="O27" s="128">
        <f>N27/M27</f>
        <v>87.700000000000031</v>
      </c>
      <c r="P27" s="129">
        <f t="shared" si="20"/>
        <v>-1</v>
      </c>
      <c r="Q27" s="130">
        <f t="shared" si="21"/>
        <v>-4.3588235294117368</v>
      </c>
      <c r="R27" s="189">
        <f>O27/L27</f>
        <v>0.9526517571884987</v>
      </c>
      <c r="S27" s="424">
        <f>R37</f>
        <v>0.88491713899836189</v>
      </c>
      <c r="T27" s="94">
        <v>0.2951388888888889</v>
      </c>
      <c r="U27" s="94">
        <v>0.34722222222222221</v>
      </c>
      <c r="V27" s="126"/>
      <c r="W27" s="131">
        <f t="shared" si="15"/>
        <v>74.999999999999972</v>
      </c>
      <c r="X27" s="126"/>
      <c r="Y27" s="126" t="s">
        <v>147</v>
      </c>
      <c r="Z27" s="427"/>
      <c r="AA27" s="400"/>
      <c r="AB27" s="225">
        <f>N27-K27</f>
        <v>-161.7999999999995</v>
      </c>
      <c r="AC27" s="291">
        <f>N27/K27</f>
        <v>0.8966134185303517</v>
      </c>
      <c r="AD27" s="401">
        <f>AC37</f>
        <v>0.87808353929807248</v>
      </c>
    </row>
    <row r="28" spans="1:30" ht="15" customHeight="1">
      <c r="A28" s="422"/>
      <c r="B28" s="56" t="str">
        <f>VLOOKUP(D28,廠價表!$C$1:$E$39,2,0)</f>
        <v>義大利麵</v>
      </c>
      <c r="C28" s="10"/>
      <c r="D28" s="11" t="s">
        <v>137</v>
      </c>
      <c r="E28" s="86"/>
      <c r="F28" s="56">
        <f>VLOOKUP(D28,廠價表!$C$1:$E$39,3,0)</f>
        <v>55.13</v>
      </c>
      <c r="G28" s="53">
        <v>2002</v>
      </c>
      <c r="H28" s="50">
        <f t="shared" si="23"/>
        <v>110370.26000000001</v>
      </c>
      <c r="I28" s="42"/>
      <c r="J28" s="16">
        <f>VLOOKUP(D28,產線配置圖!$A$2:$C$38,2,0)</f>
        <v>18</v>
      </c>
      <c r="K28" s="14">
        <f>VLOOKUP(D28,產線配置圖!$A$2:$C$38,3,0)</f>
        <v>1385</v>
      </c>
      <c r="L28" s="235">
        <f>K28/J28</f>
        <v>76.944444444444443</v>
      </c>
      <c r="M28" s="21">
        <v>16</v>
      </c>
      <c r="N28" s="36">
        <f>G28/W28*60</f>
        <v>1177.64705882353</v>
      </c>
      <c r="O28" s="38">
        <f>N28/M28</f>
        <v>73.602941176470623</v>
      </c>
      <c r="P28" s="39">
        <f t="shared" si="20"/>
        <v>-2</v>
      </c>
      <c r="Q28" s="40">
        <f t="shared" si="21"/>
        <v>-3.3415032679738204</v>
      </c>
      <c r="R28" s="190">
        <f t="shared" si="22"/>
        <v>0.9565725207050334</v>
      </c>
      <c r="S28" s="425"/>
      <c r="T28" s="270">
        <v>0.35416666666666669</v>
      </c>
      <c r="U28" s="270">
        <v>0.42499999999999999</v>
      </c>
      <c r="V28" s="42">
        <f>(T28-U27)*24*60</f>
        <v>10.000000000000044</v>
      </c>
      <c r="W28" s="43">
        <f t="shared" si="15"/>
        <v>101.99999999999996</v>
      </c>
      <c r="X28" s="54"/>
      <c r="Y28" s="54"/>
      <c r="Z28" s="418"/>
      <c r="AA28" s="419"/>
      <c r="AB28" s="39">
        <f>N28-K28</f>
        <v>-207.35294117647004</v>
      </c>
      <c r="AC28" s="190">
        <f>N28/K28</f>
        <v>0.8502866850711408</v>
      </c>
      <c r="AD28" s="447"/>
    </row>
    <row r="29" spans="1:30" ht="15" customHeight="1">
      <c r="A29" s="422"/>
      <c r="B29" s="56" t="str">
        <f>VLOOKUP(D29,廠價表!$C$1:$E$39,2,0)</f>
        <v>義大利麵</v>
      </c>
      <c r="C29" s="10"/>
      <c r="D29" s="11" t="s">
        <v>158</v>
      </c>
      <c r="E29" s="86"/>
      <c r="F29" s="56">
        <f>VLOOKUP(D29,廠價表!$C$1:$E$39,3,0)</f>
        <v>47.71</v>
      </c>
      <c r="G29" s="53">
        <v>1757</v>
      </c>
      <c r="H29" s="50">
        <f t="shared" si="23"/>
        <v>83826.47</v>
      </c>
      <c r="I29" s="42"/>
      <c r="J29" s="16">
        <f>VLOOKUP(D29,產線配置圖!$A$2:$C$38,2,0)</f>
        <v>15</v>
      </c>
      <c r="K29" s="14">
        <f>VLOOKUP(D29,產線配置圖!$A$2:$C$38,3,0)</f>
        <v>1500</v>
      </c>
      <c r="L29" s="235">
        <f>K29/J29</f>
        <v>100</v>
      </c>
      <c r="M29" s="21">
        <v>16</v>
      </c>
      <c r="N29" s="36">
        <f>G29/W29*60</f>
        <v>1317.7500000000007</v>
      </c>
      <c r="O29" s="38">
        <f>N29/M29</f>
        <v>82.359375000000043</v>
      </c>
      <c r="P29" s="39">
        <f t="shared" si="20"/>
        <v>1</v>
      </c>
      <c r="Q29" s="40">
        <f t="shared" si="21"/>
        <v>-17.640624999999957</v>
      </c>
      <c r="R29" s="190">
        <f t="shared" si="22"/>
        <v>0.82359375000000046</v>
      </c>
      <c r="S29" s="425"/>
      <c r="T29" s="41">
        <v>0.43055555555555558</v>
      </c>
      <c r="U29" s="41">
        <v>0.4861111111111111</v>
      </c>
      <c r="V29" s="42">
        <f>(T29-U28)*24*60</f>
        <v>8.0000000000000515</v>
      </c>
      <c r="W29" s="43">
        <f t="shared" si="15"/>
        <v>79.999999999999957</v>
      </c>
      <c r="X29" s="22"/>
      <c r="Y29" s="22"/>
      <c r="Z29" s="418"/>
      <c r="AA29" s="419"/>
      <c r="AB29" s="292">
        <f>N29-K29</f>
        <v>-182.24999999999932</v>
      </c>
      <c r="AC29" s="190">
        <f>N29/K29</f>
        <v>0.8785000000000005</v>
      </c>
      <c r="AD29" s="447"/>
    </row>
    <row r="30" spans="1:30" ht="15" customHeight="1">
      <c r="A30" s="422"/>
      <c r="B30" s="56" t="str">
        <f>VLOOKUP(D30,廠價表!$C$1:$E$39,2,0)</f>
        <v>義大利麵</v>
      </c>
      <c r="C30" s="237"/>
      <c r="D30" s="11" t="s">
        <v>158</v>
      </c>
      <c r="E30" s="29"/>
      <c r="F30" s="56">
        <f>VLOOKUP(D30,廠價表!$C$1:$E$39,3,0)</f>
        <v>47.71</v>
      </c>
      <c r="G30" s="53">
        <v>1989</v>
      </c>
      <c r="H30" s="50">
        <f t="shared" si="23"/>
        <v>94895.19</v>
      </c>
      <c r="I30" s="42"/>
      <c r="J30" s="16">
        <f>VLOOKUP(D30,產線配置圖!$A$2:$C$38,2,0)</f>
        <v>15</v>
      </c>
      <c r="K30" s="14">
        <f>VLOOKUP(D30,產線配置圖!$A$2:$C$38,3,0)</f>
        <v>1500</v>
      </c>
      <c r="L30" s="235">
        <f>K30/J30</f>
        <v>100</v>
      </c>
      <c r="M30" s="21">
        <v>16</v>
      </c>
      <c r="N30" s="36">
        <f>G30/W30*60</f>
        <v>1326</v>
      </c>
      <c r="O30" s="38">
        <f>N30/M30</f>
        <v>82.875</v>
      </c>
      <c r="P30" s="39">
        <f t="shared" si="20"/>
        <v>1</v>
      </c>
      <c r="Q30" s="40">
        <f t="shared" si="21"/>
        <v>-17.125</v>
      </c>
      <c r="R30" s="190">
        <f t="shared" si="22"/>
        <v>0.82874999999999999</v>
      </c>
      <c r="S30" s="425"/>
      <c r="T30" s="41">
        <v>0.54513888888888884</v>
      </c>
      <c r="U30" s="41">
        <v>0.60763888888888884</v>
      </c>
      <c r="V30" s="42">
        <f>(T30-U29)*24*60</f>
        <v>84.999999999999943</v>
      </c>
      <c r="W30" s="43">
        <f t="shared" si="15"/>
        <v>90</v>
      </c>
      <c r="X30" s="54">
        <v>0.5</v>
      </c>
      <c r="Y30" s="54" t="s">
        <v>221</v>
      </c>
      <c r="Z30" s="449"/>
      <c r="AA30" s="450"/>
      <c r="AB30" s="292">
        <f>N30-K30</f>
        <v>-174</v>
      </c>
      <c r="AC30" s="190">
        <f>N30/K30</f>
        <v>0.88400000000000001</v>
      </c>
      <c r="AD30" s="448"/>
    </row>
    <row r="31" spans="1:30" ht="15" customHeight="1">
      <c r="A31" s="422"/>
      <c r="B31" s="56"/>
      <c r="C31" s="237"/>
      <c r="D31" s="11"/>
      <c r="E31" s="29"/>
      <c r="F31" s="56"/>
      <c r="G31" s="53"/>
      <c r="H31" s="50"/>
      <c r="I31" s="42"/>
      <c r="J31" s="16"/>
      <c r="K31" s="14"/>
      <c r="L31" s="235"/>
      <c r="M31" s="21"/>
      <c r="N31" s="36"/>
      <c r="O31" s="38"/>
      <c r="P31" s="39"/>
      <c r="Q31" s="40"/>
      <c r="R31" s="190"/>
      <c r="S31" s="425"/>
      <c r="T31" s="41"/>
      <c r="U31" s="41"/>
      <c r="V31" s="42"/>
      <c r="W31" s="43">
        <f t="shared" si="15"/>
        <v>0</v>
      </c>
      <c r="X31" s="54"/>
      <c r="Y31" s="54"/>
      <c r="Z31" s="449"/>
      <c r="AA31" s="450"/>
      <c r="AB31" s="257"/>
      <c r="AC31" s="258"/>
      <c r="AD31" s="403"/>
    </row>
    <row r="32" spans="1:30" ht="15" customHeight="1">
      <c r="A32" s="422"/>
      <c r="B32" s="56"/>
      <c r="C32" s="252"/>
      <c r="D32" s="253"/>
      <c r="E32" s="254"/>
      <c r="F32" s="56"/>
      <c r="G32" s="53"/>
      <c r="H32" s="50"/>
      <c r="I32" s="42"/>
      <c r="J32" s="255"/>
      <c r="K32" s="36"/>
      <c r="L32" s="256"/>
      <c r="M32" s="21"/>
      <c r="N32" s="36"/>
      <c r="O32" s="38"/>
      <c r="P32" s="39"/>
      <c r="Q32" s="40"/>
      <c r="R32" s="190"/>
      <c r="S32" s="425"/>
      <c r="T32" s="41"/>
      <c r="U32" s="41"/>
      <c r="V32" s="42"/>
      <c r="W32" s="43">
        <f t="shared" si="15"/>
        <v>0</v>
      </c>
      <c r="X32" s="54"/>
      <c r="Y32" s="54"/>
      <c r="Z32" s="418"/>
      <c r="AA32" s="405"/>
      <c r="AB32" s="18"/>
      <c r="AC32" s="185"/>
      <c r="AD32" s="403"/>
    </row>
    <row r="33" spans="1:30" ht="15" customHeight="1">
      <c r="A33" s="422"/>
      <c r="B33" s="240"/>
      <c r="C33" s="241"/>
      <c r="D33" s="242"/>
      <c r="E33" s="243"/>
      <c r="F33" s="223"/>
      <c r="G33" s="244"/>
      <c r="H33" s="245">
        <f t="shared" si="23"/>
        <v>0</v>
      </c>
      <c r="I33" s="246"/>
      <c r="J33" s="247"/>
      <c r="K33" s="45"/>
      <c r="M33" s="248"/>
      <c r="N33" s="45"/>
      <c r="O33" s="46"/>
      <c r="P33" s="47"/>
      <c r="Q33" s="48"/>
      <c r="R33" s="49"/>
      <c r="S33" s="425"/>
      <c r="T33" s="41"/>
      <c r="U33" s="41"/>
      <c r="V33" s="42"/>
      <c r="W33" s="43">
        <f t="shared" si="15"/>
        <v>0</v>
      </c>
      <c r="X33" s="54"/>
      <c r="Y33" s="54"/>
      <c r="Z33" s="418"/>
      <c r="AA33" s="405"/>
      <c r="AB33" s="18"/>
      <c r="AC33" s="57"/>
      <c r="AD33" s="403"/>
    </row>
    <row r="34" spans="1:30" ht="15" customHeight="1">
      <c r="A34" s="422"/>
      <c r="B34" s="231"/>
      <c r="C34" s="27"/>
      <c r="D34" s="28"/>
      <c r="E34" s="29"/>
      <c r="F34" s="13"/>
      <c r="G34" s="53"/>
      <c r="H34" s="50">
        <f t="shared" si="23"/>
        <v>0</v>
      </c>
      <c r="I34" s="42"/>
      <c r="J34" s="37"/>
      <c r="K34" s="36"/>
      <c r="L34" s="38"/>
      <c r="M34" s="21"/>
      <c r="N34" s="36"/>
      <c r="O34" s="38"/>
      <c r="P34" s="39"/>
      <c r="Q34" s="40"/>
      <c r="R34" s="190"/>
      <c r="S34" s="425"/>
      <c r="T34" s="41"/>
      <c r="U34" s="41"/>
      <c r="V34" s="42"/>
      <c r="W34" s="43">
        <f t="shared" si="15"/>
        <v>0</v>
      </c>
      <c r="X34" s="54"/>
      <c r="Y34" s="54"/>
      <c r="Z34" s="418"/>
      <c r="AA34" s="405"/>
      <c r="AB34" s="18"/>
      <c r="AC34" s="57"/>
      <c r="AD34" s="403"/>
    </row>
    <row r="35" spans="1:30" ht="15" customHeight="1">
      <c r="A35" s="422"/>
      <c r="B35" s="231"/>
      <c r="C35" s="27"/>
      <c r="D35" s="28"/>
      <c r="E35" s="29"/>
      <c r="F35" s="13"/>
      <c r="G35" s="53"/>
      <c r="H35" s="50">
        <f t="shared" si="23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90"/>
      <c r="S35" s="425"/>
      <c r="T35" s="41"/>
      <c r="U35" s="41"/>
      <c r="V35" s="42"/>
      <c r="W35" s="43">
        <f t="shared" si="15"/>
        <v>0</v>
      </c>
      <c r="X35" s="54"/>
      <c r="Y35" s="54"/>
      <c r="Z35" s="418"/>
      <c r="AA35" s="405"/>
      <c r="AB35" s="18"/>
      <c r="AC35" s="57"/>
      <c r="AD35" s="403"/>
    </row>
    <row r="36" spans="1:30" ht="15" customHeight="1">
      <c r="A36" s="422"/>
      <c r="B36" s="232"/>
      <c r="C36" s="27"/>
      <c r="D36" s="28"/>
      <c r="E36" s="29"/>
      <c r="F36" s="13"/>
      <c r="G36" s="53"/>
      <c r="H36" s="50">
        <f t="shared" si="23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90"/>
      <c r="S36" s="425"/>
      <c r="T36" s="41"/>
      <c r="U36" s="41"/>
      <c r="V36" s="42"/>
      <c r="W36" s="43">
        <f t="shared" si="15"/>
        <v>0</v>
      </c>
      <c r="X36" s="54"/>
      <c r="Y36" s="54"/>
      <c r="Z36" s="418"/>
      <c r="AA36" s="405"/>
      <c r="AB36" s="18"/>
      <c r="AC36" s="57"/>
      <c r="AD36" s="403"/>
    </row>
    <row r="37" spans="1:30" ht="15" customHeight="1" thickBot="1">
      <c r="A37" s="423"/>
      <c r="B37" s="300"/>
      <c r="C37" s="301" t="s">
        <v>36</v>
      </c>
      <c r="D37" s="428" t="s">
        <v>7</v>
      </c>
      <c r="E37" s="429"/>
      <c r="F37" s="281"/>
      <c r="G37" s="282"/>
      <c r="H37" s="283"/>
      <c r="I37" s="284"/>
      <c r="J37" s="285">
        <f t="shared" ref="J37:O37" si="24">AVERAGE(J27:J36)</f>
        <v>16.25</v>
      </c>
      <c r="K37" s="285">
        <f t="shared" si="24"/>
        <v>1487.5</v>
      </c>
      <c r="L37" s="286">
        <f t="shared" si="24"/>
        <v>92.250816993464056</v>
      </c>
      <c r="M37" s="285">
        <f t="shared" si="24"/>
        <v>16</v>
      </c>
      <c r="N37" s="285">
        <f t="shared" si="24"/>
        <v>1306.1492647058828</v>
      </c>
      <c r="O37" s="286">
        <f t="shared" si="24"/>
        <v>81.634329044117678</v>
      </c>
      <c r="P37" s="73">
        <f>M37-J37</f>
        <v>-0.25</v>
      </c>
      <c r="Q37" s="74">
        <f>N37-K37</f>
        <v>-181.35073529411716</v>
      </c>
      <c r="R37" s="287">
        <f t="shared" ref="R37:R41" si="25">O37/L37</f>
        <v>0.88491713899836189</v>
      </c>
      <c r="S37" s="426"/>
      <c r="T37" s="302"/>
      <c r="U37" s="302"/>
      <c r="V37" s="81"/>
      <c r="W37" s="81"/>
      <c r="X37" s="303"/>
      <c r="Y37" s="303"/>
      <c r="Z37" s="430"/>
      <c r="AA37" s="379"/>
      <c r="AB37" s="34">
        <f t="shared" ref="AB37:AB40" si="26">N37-K37</f>
        <v>-181.35073529411716</v>
      </c>
      <c r="AC37" s="186">
        <f t="shared" ref="AC37:AC40" si="27">N37/K37</f>
        <v>0.87808353929807248</v>
      </c>
      <c r="AD37" s="403"/>
    </row>
    <row r="38" spans="1:30" s="62" customFormat="1" ht="15" customHeight="1">
      <c r="A38" s="454" t="s">
        <v>55</v>
      </c>
      <c r="B38" s="229" t="s">
        <v>134</v>
      </c>
      <c r="C38" s="199"/>
      <c r="D38" s="304" t="s">
        <v>156</v>
      </c>
      <c r="E38" s="280"/>
      <c r="F38" s="305">
        <f>VLOOKUP(D38,廠價表!$C$1:$E$39,3,0)</f>
        <v>56.43</v>
      </c>
      <c r="G38" s="266">
        <v>2341</v>
      </c>
      <c r="H38" s="125">
        <f t="shared" si="23"/>
        <v>132102.63</v>
      </c>
      <c r="I38" s="126"/>
      <c r="J38" s="274">
        <f>VLOOKUP(D38,產線配置圖!$A$2:$C$38,2,0)</f>
        <v>15</v>
      </c>
      <c r="K38" s="236">
        <f>VLOOKUP(D38,產線配置圖!$A$2:$C$38,3,0)</f>
        <v>1406</v>
      </c>
      <c r="L38" s="288">
        <f t="shared" ref="L38:L41" si="28">K38/J38</f>
        <v>93.733333333333334</v>
      </c>
      <c r="M38" s="289">
        <v>14</v>
      </c>
      <c r="N38" s="127">
        <f>G38/W38*60</f>
        <v>949.05405405405395</v>
      </c>
      <c r="O38" s="128">
        <f>N38/M38</f>
        <v>67.789575289575282</v>
      </c>
      <c r="P38" s="129">
        <f t="shared" ref="P38:P41" si="29">M38-J38</f>
        <v>-1</v>
      </c>
      <c r="Q38" s="130">
        <f t="shared" ref="Q38:Q41" si="30">O38-L38</f>
        <v>-25.943758043758052</v>
      </c>
      <c r="R38" s="189">
        <f t="shared" si="25"/>
        <v>0.72321737506659267</v>
      </c>
      <c r="S38" s="457">
        <f>R48</f>
        <v>0.87512744058417868</v>
      </c>
      <c r="T38" s="151">
        <v>0.33055555555555555</v>
      </c>
      <c r="U38" s="151">
        <v>0.43333333333333335</v>
      </c>
      <c r="V38" s="148"/>
      <c r="W38" s="152">
        <f t="shared" si="15"/>
        <v>148.00000000000003</v>
      </c>
      <c r="X38" s="150"/>
      <c r="Y38" s="153"/>
      <c r="Z38" s="478" t="s">
        <v>219</v>
      </c>
      <c r="AA38" s="460"/>
      <c r="AB38" s="290">
        <f t="shared" si="26"/>
        <v>-456.94594594594605</v>
      </c>
      <c r="AC38" s="154">
        <f t="shared" si="27"/>
        <v>0.67500288339548642</v>
      </c>
      <c r="AD38" s="436">
        <f>AC48</f>
        <v>0.83225398400266482</v>
      </c>
    </row>
    <row r="39" spans="1:30" s="62" customFormat="1" ht="15" customHeight="1">
      <c r="A39" s="455"/>
      <c r="B39" s="56" t="s">
        <v>134</v>
      </c>
      <c r="C39" s="277"/>
      <c r="D39" s="279" t="s">
        <v>127</v>
      </c>
      <c r="E39" s="278"/>
      <c r="F39" s="56">
        <f>VLOOKUP(D39,廠價表!$C$1:$E$39,3,0)</f>
        <v>57.21</v>
      </c>
      <c r="G39" s="276">
        <v>2054</v>
      </c>
      <c r="H39" s="50">
        <f t="shared" si="23"/>
        <v>117509.34</v>
      </c>
      <c r="I39" s="64"/>
      <c r="J39" s="37">
        <v>15</v>
      </c>
      <c r="K39" s="36">
        <v>1565</v>
      </c>
      <c r="L39" s="38">
        <f t="shared" si="28"/>
        <v>104.33333333333333</v>
      </c>
      <c r="M39" s="65">
        <v>14</v>
      </c>
      <c r="N39" s="66">
        <f>G39/W39*60</f>
        <v>1433.0232558139533</v>
      </c>
      <c r="O39" s="67">
        <f t="shared" ref="O39:O41" si="31">N39/M39</f>
        <v>102.35880398671095</v>
      </c>
      <c r="P39" s="39">
        <f t="shared" si="29"/>
        <v>-1</v>
      </c>
      <c r="Q39" s="40">
        <f t="shared" si="30"/>
        <v>-1.9745293466223757</v>
      </c>
      <c r="R39" s="190">
        <f t="shared" si="25"/>
        <v>0.98107479859467372</v>
      </c>
      <c r="S39" s="458"/>
      <c r="T39" s="59">
        <v>0.4375</v>
      </c>
      <c r="U39" s="59">
        <v>0.49722222222222223</v>
      </c>
      <c r="V39" s="42">
        <f>(T39-U38)*24*60</f>
        <v>5.9999999999999787</v>
      </c>
      <c r="W39" s="69">
        <f t="shared" si="15"/>
        <v>86.000000000000014</v>
      </c>
      <c r="X39" s="22"/>
      <c r="Y39" s="22"/>
      <c r="Z39" s="439"/>
      <c r="AA39" s="440"/>
      <c r="AB39" s="271">
        <f t="shared" si="26"/>
        <v>-131.97674418604674</v>
      </c>
      <c r="AC39" s="61">
        <f t="shared" si="27"/>
        <v>0.9156698120216954</v>
      </c>
      <c r="AD39" s="437"/>
    </row>
    <row r="40" spans="1:30" s="62" customFormat="1" ht="15" customHeight="1">
      <c r="A40" s="455"/>
      <c r="B40" s="56" t="s">
        <v>134</v>
      </c>
      <c r="C40" s="275"/>
      <c r="D40" s="279" t="s">
        <v>154</v>
      </c>
      <c r="E40" s="243"/>
      <c r="F40" s="56">
        <f>VLOOKUP(D40,廠價表!$C$1:$E$39,3,0)</f>
        <v>57.3</v>
      </c>
      <c r="G40" s="276">
        <v>1557</v>
      </c>
      <c r="H40" s="50">
        <f t="shared" si="23"/>
        <v>89216.099999999991</v>
      </c>
      <c r="I40" s="64"/>
      <c r="J40" s="37">
        <f>VLOOKUP(D40,產線配置圖!$A$2:$C$38,2,0)</f>
        <v>15</v>
      </c>
      <c r="K40" s="36">
        <f>VLOOKUP(D40,產線配置圖!$A$2:$C$38,3,0)</f>
        <v>1385</v>
      </c>
      <c r="L40" s="38">
        <f t="shared" si="28"/>
        <v>92.333333333333329</v>
      </c>
      <c r="M40" s="65">
        <v>15</v>
      </c>
      <c r="N40" s="66">
        <f t="shared" ref="N40:N41" si="32">G40/W40*60</f>
        <v>1373.8235294117665</v>
      </c>
      <c r="O40" s="67">
        <f t="shared" si="31"/>
        <v>91.588235294117766</v>
      </c>
      <c r="P40" s="39">
        <f t="shared" si="29"/>
        <v>0</v>
      </c>
      <c r="Q40" s="40">
        <f t="shared" si="30"/>
        <v>-0.74509803921556284</v>
      </c>
      <c r="R40" s="190">
        <f t="shared" si="25"/>
        <v>0.99193034614567988</v>
      </c>
      <c r="S40" s="397"/>
      <c r="T40" s="59">
        <v>0.55555555555555558</v>
      </c>
      <c r="U40" s="59">
        <v>0.60277777777777775</v>
      </c>
      <c r="V40" s="42">
        <f t="shared" ref="V40:V41" si="33">(T40-U39)*24*60</f>
        <v>84.000000000000028</v>
      </c>
      <c r="W40" s="69">
        <f t="shared" si="15"/>
        <v>67.999999999999915</v>
      </c>
      <c r="X40" s="70">
        <v>0.5</v>
      </c>
      <c r="Y40" s="259">
        <v>0.54166666666666663</v>
      </c>
      <c r="Z40" s="439"/>
      <c r="AA40" s="440"/>
      <c r="AB40" s="271">
        <f t="shared" si="26"/>
        <v>-11.176470588233542</v>
      </c>
      <c r="AC40" s="61">
        <f t="shared" si="27"/>
        <v>0.99193034614567976</v>
      </c>
      <c r="AD40" s="437"/>
    </row>
    <row r="41" spans="1:30" s="62" customFormat="1" ht="15" customHeight="1">
      <c r="A41" s="455"/>
      <c r="B41" s="56" t="s">
        <v>134</v>
      </c>
      <c r="C41" s="275"/>
      <c r="D41" s="279" t="s">
        <v>127</v>
      </c>
      <c r="E41" s="243"/>
      <c r="F41" s="56">
        <f>VLOOKUP(D41,廠價表!$C$1:$E$39,3,0)</f>
        <v>57.21</v>
      </c>
      <c r="G41" s="276">
        <v>625</v>
      </c>
      <c r="H41" s="50">
        <f>F41*G41</f>
        <v>35756.25</v>
      </c>
      <c r="I41" s="64"/>
      <c r="J41" s="37">
        <v>15</v>
      </c>
      <c r="K41" s="36">
        <v>1565</v>
      </c>
      <c r="L41" s="38">
        <f t="shared" si="28"/>
        <v>104.33333333333333</v>
      </c>
      <c r="M41" s="65">
        <v>14</v>
      </c>
      <c r="N41" s="66">
        <f t="shared" si="32"/>
        <v>1171.8750000000043</v>
      </c>
      <c r="O41" s="67">
        <f t="shared" si="31"/>
        <v>83.705357142857451</v>
      </c>
      <c r="P41" s="39">
        <f t="shared" si="29"/>
        <v>-1</v>
      </c>
      <c r="Q41" s="40">
        <f t="shared" si="30"/>
        <v>-20.627976190475877</v>
      </c>
      <c r="R41" s="190">
        <f t="shared" si="25"/>
        <v>0.80228776814240377</v>
      </c>
      <c r="S41" s="397"/>
      <c r="T41" s="59">
        <v>0.60972222222222228</v>
      </c>
      <c r="U41" s="59">
        <v>0.63194444444444442</v>
      </c>
      <c r="V41" s="42">
        <f t="shared" si="33"/>
        <v>10.000000000000124</v>
      </c>
      <c r="W41" s="69">
        <f t="shared" si="15"/>
        <v>31.999999999999886</v>
      </c>
      <c r="X41" s="70"/>
      <c r="Y41" s="259"/>
      <c r="Z41" s="439"/>
      <c r="AA41" s="440"/>
      <c r="AB41" s="271"/>
      <c r="AC41" s="61"/>
      <c r="AD41" s="437"/>
    </row>
    <row r="42" spans="1:30" s="62" customFormat="1" ht="15" customHeight="1">
      <c r="A42" s="455"/>
      <c r="B42" s="56"/>
      <c r="C42" s="23"/>
      <c r="D42" s="279"/>
      <c r="E42" s="12"/>
      <c r="F42" s="56"/>
      <c r="G42" s="276"/>
      <c r="H42" s="63"/>
      <c r="I42" s="64"/>
      <c r="J42" s="37"/>
      <c r="K42" s="36"/>
      <c r="L42" s="38"/>
      <c r="M42" s="65"/>
      <c r="N42" s="66"/>
      <c r="O42" s="67"/>
      <c r="P42" s="39"/>
      <c r="Q42" s="40"/>
      <c r="R42" s="190"/>
      <c r="S42" s="397"/>
      <c r="T42" s="75"/>
      <c r="U42" s="75"/>
      <c r="V42" s="42"/>
      <c r="W42" s="69">
        <f t="shared" si="15"/>
        <v>0</v>
      </c>
      <c r="X42" s="70"/>
      <c r="Y42" s="60"/>
      <c r="Z42" s="445"/>
      <c r="AA42" s="446"/>
      <c r="AB42" s="271"/>
      <c r="AC42" s="61"/>
      <c r="AD42" s="437"/>
    </row>
    <row r="43" spans="1:30" s="62" customFormat="1" ht="15" customHeight="1">
      <c r="A43" s="455"/>
      <c r="B43" s="230"/>
      <c r="C43" s="23"/>
      <c r="D43" s="11"/>
      <c r="E43" s="12"/>
      <c r="F43" s="13"/>
      <c r="G43" s="100"/>
      <c r="H43" s="63">
        <f t="shared" ref="H43:H47" si="34">F43*G43</f>
        <v>0</v>
      </c>
      <c r="I43" s="64"/>
      <c r="J43" s="65"/>
      <c r="K43" s="66"/>
      <c r="L43" s="67"/>
      <c r="M43" s="65"/>
      <c r="N43" s="66"/>
      <c r="O43" s="67"/>
      <c r="P43" s="39"/>
      <c r="Q43" s="40"/>
      <c r="R43" s="68"/>
      <c r="S43" s="397"/>
      <c r="T43" s="75"/>
      <c r="U43" s="75"/>
      <c r="V43" s="64"/>
      <c r="W43" s="69">
        <f>(U43-T43)*24*60</f>
        <v>0</v>
      </c>
      <c r="X43" s="70"/>
      <c r="Y43" s="67"/>
      <c r="Z43" s="405"/>
      <c r="AA43" s="405"/>
      <c r="AB43" s="71"/>
      <c r="AC43" s="61"/>
      <c r="AD43" s="437"/>
    </row>
    <row r="44" spans="1:30" s="62" customFormat="1" ht="15" customHeight="1">
      <c r="A44" s="455"/>
      <c r="B44" s="230"/>
      <c r="C44" s="183"/>
      <c r="D44" s="11"/>
      <c r="E44" s="12"/>
      <c r="F44" s="13"/>
      <c r="G44" s="100"/>
      <c r="H44" s="63">
        <f t="shared" si="34"/>
        <v>0</v>
      </c>
      <c r="I44" s="64"/>
      <c r="J44" s="65"/>
      <c r="K44" s="66"/>
      <c r="L44" s="58"/>
      <c r="M44" s="65"/>
      <c r="N44" s="66"/>
      <c r="O44" s="67"/>
      <c r="P44" s="39"/>
      <c r="Q44" s="40"/>
      <c r="R44" s="68"/>
      <c r="S44" s="397"/>
      <c r="T44" s="59"/>
      <c r="U44" s="59"/>
      <c r="V44" s="64"/>
      <c r="W44" s="69">
        <f t="shared" ref="W44:W48" si="35">(U44-T44)*24*60</f>
        <v>0</v>
      </c>
      <c r="X44" s="70"/>
      <c r="Y44" s="67"/>
      <c r="Z44" s="405"/>
      <c r="AA44" s="405"/>
      <c r="AB44" s="71"/>
      <c r="AC44" s="61"/>
      <c r="AD44" s="437"/>
    </row>
    <row r="45" spans="1:30" s="62" customFormat="1" ht="15" customHeight="1">
      <c r="A45" s="455"/>
      <c r="B45" s="231"/>
      <c r="C45" s="27"/>
      <c r="D45" s="28"/>
      <c r="E45" s="29"/>
      <c r="F45" s="13"/>
      <c r="G45" s="66"/>
      <c r="H45" s="63">
        <f t="shared" si="34"/>
        <v>0</v>
      </c>
      <c r="I45" s="64"/>
      <c r="J45" s="65"/>
      <c r="K45" s="66"/>
      <c r="L45" s="67"/>
      <c r="M45" s="65"/>
      <c r="N45" s="66"/>
      <c r="O45" s="67"/>
      <c r="P45" s="39"/>
      <c r="Q45" s="40"/>
      <c r="R45" s="68"/>
      <c r="S45" s="397"/>
      <c r="T45" s="75"/>
      <c r="U45" s="75"/>
      <c r="V45" s="64"/>
      <c r="W45" s="69">
        <f t="shared" si="35"/>
        <v>0</v>
      </c>
      <c r="X45" s="70"/>
      <c r="Y45" s="67"/>
      <c r="Z45" s="405"/>
      <c r="AA45" s="405"/>
      <c r="AB45" s="71"/>
      <c r="AC45" s="61"/>
      <c r="AD45" s="437"/>
    </row>
    <row r="46" spans="1:30" s="62" customFormat="1" ht="15" customHeight="1">
      <c r="A46" s="455"/>
      <c r="B46" s="231"/>
      <c r="C46" s="27"/>
      <c r="D46" s="28"/>
      <c r="E46" s="29"/>
      <c r="F46" s="13"/>
      <c r="G46" s="66"/>
      <c r="H46" s="63">
        <f t="shared" si="34"/>
        <v>0</v>
      </c>
      <c r="I46" s="64"/>
      <c r="J46" s="65"/>
      <c r="K46" s="66"/>
      <c r="L46" s="67"/>
      <c r="M46" s="65"/>
      <c r="N46" s="66"/>
      <c r="O46" s="67"/>
      <c r="P46" s="39"/>
      <c r="Q46" s="40"/>
      <c r="R46" s="68"/>
      <c r="S46" s="397"/>
      <c r="T46" s="59"/>
      <c r="U46" s="59"/>
      <c r="V46" s="64"/>
      <c r="W46" s="69">
        <f t="shared" si="35"/>
        <v>0</v>
      </c>
      <c r="X46" s="70"/>
      <c r="Y46" s="67"/>
      <c r="Z46" s="405"/>
      <c r="AA46" s="405"/>
      <c r="AB46" s="71"/>
      <c r="AC46" s="61"/>
      <c r="AD46" s="437"/>
    </row>
    <row r="47" spans="1:30" s="62" customFormat="1" ht="15" customHeight="1">
      <c r="A47" s="455"/>
      <c r="B47" s="230"/>
      <c r="C47" s="27"/>
      <c r="D47" s="28"/>
      <c r="E47" s="29"/>
      <c r="F47" s="13"/>
      <c r="G47" s="66"/>
      <c r="H47" s="63">
        <f t="shared" si="34"/>
        <v>0</v>
      </c>
      <c r="I47" s="64"/>
      <c r="J47" s="65"/>
      <c r="K47" s="66"/>
      <c r="L47" s="67"/>
      <c r="M47" s="65"/>
      <c r="N47" s="66"/>
      <c r="O47" s="67"/>
      <c r="P47" s="39"/>
      <c r="Q47" s="40"/>
      <c r="R47" s="68"/>
      <c r="S47" s="397"/>
      <c r="T47" s="75"/>
      <c r="U47" s="75"/>
      <c r="V47" s="64"/>
      <c r="W47" s="69">
        <f t="shared" si="35"/>
        <v>0</v>
      </c>
      <c r="X47" s="70"/>
      <c r="Y47" s="67"/>
      <c r="Z47" s="405"/>
      <c r="AA47" s="405"/>
      <c r="AB47" s="71"/>
      <c r="AC47" s="61"/>
      <c r="AD47" s="437"/>
    </row>
    <row r="48" spans="1:30" ht="15" customHeight="1" thickBot="1">
      <c r="A48" s="456"/>
      <c r="B48" s="156"/>
      <c r="C48" s="1" t="s">
        <v>37</v>
      </c>
      <c r="D48" s="410" t="s">
        <v>7</v>
      </c>
      <c r="E48" s="410"/>
      <c r="F48" s="133"/>
      <c r="G48" s="145"/>
      <c r="H48" s="135"/>
      <c r="I48" s="136"/>
      <c r="J48" s="134">
        <f t="shared" ref="J48:O48" si="36">AVERAGE(J38:J47)</f>
        <v>15</v>
      </c>
      <c r="K48" s="134">
        <f t="shared" si="36"/>
        <v>1480.25</v>
      </c>
      <c r="L48" s="137">
        <f t="shared" si="36"/>
        <v>98.683333333333323</v>
      </c>
      <c r="M48" s="134">
        <f t="shared" si="36"/>
        <v>14.25</v>
      </c>
      <c r="N48" s="134">
        <f t="shared" si="36"/>
        <v>1231.9439598199447</v>
      </c>
      <c r="O48" s="137">
        <f t="shared" si="36"/>
        <v>86.360492928315352</v>
      </c>
      <c r="P48" s="157">
        <f>M48-J48</f>
        <v>-0.75</v>
      </c>
      <c r="Q48" s="158">
        <f>N48-K48</f>
        <v>-248.30604018005533</v>
      </c>
      <c r="R48" s="159">
        <f>O48/L48</f>
        <v>0.87512744058417868</v>
      </c>
      <c r="S48" s="399"/>
      <c r="T48" s="160"/>
      <c r="U48" s="160"/>
      <c r="V48" s="196"/>
      <c r="W48" s="161">
        <f t="shared" si="35"/>
        <v>0</v>
      </c>
      <c r="X48" s="162"/>
      <c r="Y48" s="162"/>
      <c r="Z48" s="391"/>
      <c r="AA48" s="391"/>
      <c r="AB48" s="163">
        <f>N48-K48</f>
        <v>-248.30604018005533</v>
      </c>
      <c r="AC48" s="191">
        <f>N48/K48</f>
        <v>0.83225398400266482</v>
      </c>
      <c r="AD48" s="438"/>
    </row>
    <row r="49" spans="1:30" ht="15" customHeight="1">
      <c r="A49" s="451" t="s">
        <v>56</v>
      </c>
      <c r="B49" s="199" t="str">
        <f>VLOOKUP(D49,廠價表!$C$1:$E$39,2,0)</f>
        <v>義大利麵</v>
      </c>
      <c r="C49" s="102"/>
      <c r="D49" s="103" t="s">
        <v>152</v>
      </c>
      <c r="E49" s="104"/>
      <c r="F49" s="199">
        <f>VLOOKUP(D49,廠價表!$C$1:$E$39,3,0)</f>
        <v>56.87</v>
      </c>
      <c r="G49" s="149">
        <v>2313</v>
      </c>
      <c r="H49" s="125">
        <f t="shared" ref="H49:H57" si="37">F49*G49</f>
        <v>131540.31</v>
      </c>
      <c r="I49" s="126"/>
      <c r="J49" s="16">
        <f>VLOOKUP(D49,產線配置圖!$A$2:$C$38,2,0)</f>
        <v>19</v>
      </c>
      <c r="K49" s="14">
        <f>VLOOKUP(D49,產線配置圖!$A$2:$C$38,3,0)</f>
        <v>1565</v>
      </c>
      <c r="L49" s="109">
        <f>K49/J49</f>
        <v>82.368421052631575</v>
      </c>
      <c r="M49" s="144">
        <v>15</v>
      </c>
      <c r="N49" s="127">
        <f>G49/W49*60</f>
        <v>1228.141592920354</v>
      </c>
      <c r="O49" s="128">
        <f>N49/M49</f>
        <v>81.876106194690266</v>
      </c>
      <c r="P49" s="164">
        <f>M49-J49</f>
        <v>-4</v>
      </c>
      <c r="Q49" s="112">
        <f>O49-L49</f>
        <v>-0.49231485794130947</v>
      </c>
      <c r="R49" s="184">
        <f>O49/L49</f>
        <v>0.99402301450422692</v>
      </c>
      <c r="S49" s="396">
        <f>R58</f>
        <v>0.95390109992150185</v>
      </c>
      <c r="T49" s="151">
        <v>0.29097222222222224</v>
      </c>
      <c r="U49" s="151">
        <v>0.36944444444444446</v>
      </c>
      <c r="V49" s="188"/>
      <c r="W49" s="152">
        <f t="shared" si="15"/>
        <v>113</v>
      </c>
      <c r="X49" s="188"/>
      <c r="Y49" s="188"/>
      <c r="Z49" s="400"/>
      <c r="AA49" s="400"/>
      <c r="AB49" s="111">
        <f>N49-K49</f>
        <v>-336.85840707964599</v>
      </c>
      <c r="AC49" s="184">
        <f>N49/K49</f>
        <v>0.78475501145070548</v>
      </c>
      <c r="AD49" s="401">
        <f>AC58</f>
        <v>0.7961344981680345</v>
      </c>
    </row>
    <row r="50" spans="1:30" ht="15" customHeight="1">
      <c r="A50" s="452"/>
      <c r="B50" s="56" t="str">
        <f>VLOOKUP(D50,廠價表!$C$1:$E$39,2,0)</f>
        <v>義大利麵</v>
      </c>
      <c r="C50" s="10"/>
      <c r="D50" s="11" t="s">
        <v>65</v>
      </c>
      <c r="E50" s="86"/>
      <c r="F50" s="56">
        <f>VLOOKUP(D50,廠價表!$C$1:$E$39,3,0)</f>
        <v>49.97</v>
      </c>
      <c r="G50" s="66">
        <v>3087</v>
      </c>
      <c r="H50" s="76">
        <f t="shared" si="37"/>
        <v>154257.38999999998</v>
      </c>
      <c r="I50" s="193"/>
      <c r="J50" s="16">
        <f>VLOOKUP(D50,產線配置圖!$A$2:$C$38,2,0)</f>
        <v>18</v>
      </c>
      <c r="K50" s="14">
        <f>VLOOKUP(D50,產線配置圖!$A$2:$C$38,3,0)</f>
        <v>1600</v>
      </c>
      <c r="L50" s="17">
        <f>K50/J50</f>
        <v>88.888888888888886</v>
      </c>
      <c r="M50" s="174">
        <v>15</v>
      </c>
      <c r="N50" s="77">
        <f>G50/W50*60</f>
        <v>1332.5179856115108</v>
      </c>
      <c r="O50" s="78">
        <f>N50/M50</f>
        <v>88.834532374100718</v>
      </c>
      <c r="P50" s="18">
        <f>M50-J50</f>
        <v>-3</v>
      </c>
      <c r="Q50" s="19">
        <f>O50-L50</f>
        <v>-5.4356514788167942E-2</v>
      </c>
      <c r="R50" s="185">
        <f>O50/L50</f>
        <v>0.9993884892086331</v>
      </c>
      <c r="S50" s="397"/>
      <c r="T50" s="79">
        <v>0.37569444444444444</v>
      </c>
      <c r="U50" s="79">
        <v>0.47222222222222221</v>
      </c>
      <c r="V50" s="177">
        <f t="shared" ref="V50:V52" si="38">(T50-U49)*24*60</f>
        <v>8.999999999999968</v>
      </c>
      <c r="W50" s="80">
        <f t="shared" si="15"/>
        <v>139</v>
      </c>
      <c r="X50" s="22"/>
      <c r="Y50" s="22"/>
      <c r="Z50" s="419"/>
      <c r="AA50" s="418"/>
      <c r="AB50" s="18">
        <f>N50-K50</f>
        <v>-267.48201438848923</v>
      </c>
      <c r="AC50" s="185">
        <f>N50/K50</f>
        <v>0.83282374100719425</v>
      </c>
      <c r="AD50" s="402"/>
    </row>
    <row r="51" spans="1:30" ht="15" customHeight="1">
      <c r="A51" s="452"/>
      <c r="B51" s="56" t="str">
        <f>VLOOKUP(D51,廠價表!$C$1:$E$39,2,0)</f>
        <v>義大利麵</v>
      </c>
      <c r="C51" s="10"/>
      <c r="D51" s="11" t="s">
        <v>65</v>
      </c>
      <c r="E51" s="86"/>
      <c r="F51" s="56">
        <f>VLOOKUP(D51,廠價表!$C$1:$E$39,3,0)</f>
        <v>49.97</v>
      </c>
      <c r="G51" s="66">
        <v>1000</v>
      </c>
      <c r="H51" s="76">
        <f t="shared" si="37"/>
        <v>49970</v>
      </c>
      <c r="I51" s="193"/>
      <c r="J51" s="16">
        <f>VLOOKUP(D51,產線配置圖!$A$2:$C$38,2,0)</f>
        <v>18</v>
      </c>
      <c r="K51" s="14">
        <f>VLOOKUP(D51,產線配置圖!$A$2:$C$38,3,0)</f>
        <v>1600</v>
      </c>
      <c r="L51" s="17">
        <f>K51/J51</f>
        <v>88.888888888888886</v>
      </c>
      <c r="M51" s="174">
        <v>15</v>
      </c>
      <c r="N51" s="77">
        <f>G51/W51*60</f>
        <v>1333.3333333333333</v>
      </c>
      <c r="O51" s="78">
        <f>N51/M51</f>
        <v>88.888888888888886</v>
      </c>
      <c r="P51" s="18">
        <f>M51-J51</f>
        <v>-3</v>
      </c>
      <c r="Q51" s="19">
        <f>O51-L51</f>
        <v>0</v>
      </c>
      <c r="R51" s="185">
        <f>O51/L51</f>
        <v>1</v>
      </c>
      <c r="S51" s="397"/>
      <c r="T51" s="79">
        <v>0.53472222222222221</v>
      </c>
      <c r="U51" s="44">
        <v>0.56597222222222221</v>
      </c>
      <c r="V51" s="177">
        <f t="shared" si="38"/>
        <v>90</v>
      </c>
      <c r="W51" s="80">
        <f t="shared" si="15"/>
        <v>45</v>
      </c>
      <c r="X51" s="22" t="s">
        <v>222</v>
      </c>
      <c r="Y51" s="22">
        <v>0.52083333333333337</v>
      </c>
      <c r="Z51" s="405"/>
      <c r="AA51" s="405"/>
      <c r="AB51" s="18">
        <f>N51-K51</f>
        <v>-266.66666666666674</v>
      </c>
      <c r="AC51" s="185">
        <f>N51/K51</f>
        <v>0.83333333333333326</v>
      </c>
      <c r="AD51" s="402"/>
    </row>
    <row r="52" spans="1:30" ht="15" customHeight="1">
      <c r="A52" s="452"/>
      <c r="B52" s="56" t="str">
        <f>VLOOKUP(D52,廠價表!$C$1:$E$39,2,0)</f>
        <v>熱乾麵</v>
      </c>
      <c r="C52" s="23"/>
      <c r="D52" s="11" t="s">
        <v>144</v>
      </c>
      <c r="E52" s="12"/>
      <c r="F52" s="56">
        <f>VLOOKUP(D52,廠價表!$C$1:$E$39,3,0)</f>
        <v>49.91</v>
      </c>
      <c r="G52" s="66">
        <v>1241</v>
      </c>
      <c r="H52" s="76">
        <f t="shared" si="37"/>
        <v>61938.31</v>
      </c>
      <c r="I52" s="193"/>
      <c r="J52" s="16">
        <f>VLOOKUP(D52,產線配置圖!$A$2:$C$38,2,0)</f>
        <v>17</v>
      </c>
      <c r="K52" s="14">
        <f>VLOOKUP(D52,產線配置圖!$A$2:$C$38,3,0)</f>
        <v>1565</v>
      </c>
      <c r="L52" s="17">
        <f>K52/J52</f>
        <v>92.058823529411768</v>
      </c>
      <c r="M52" s="174">
        <v>15</v>
      </c>
      <c r="N52" s="77">
        <f>G52/W52*60</f>
        <v>1145.5384615384601</v>
      </c>
      <c r="O52" s="78">
        <f>N52/M52</f>
        <v>76.369230769230668</v>
      </c>
      <c r="P52" s="18">
        <f>M52-J52</f>
        <v>-2</v>
      </c>
      <c r="Q52" s="19">
        <f>O52-L52</f>
        <v>-15.6895927601811</v>
      </c>
      <c r="R52" s="185">
        <f>O52/L52</f>
        <v>0.82956991889899123</v>
      </c>
      <c r="S52" s="397"/>
      <c r="T52" s="79">
        <v>0.57291666666666663</v>
      </c>
      <c r="U52" s="79">
        <v>0.61805555555555558</v>
      </c>
      <c r="V52" s="177">
        <f t="shared" si="38"/>
        <v>9.9999999999999645</v>
      </c>
      <c r="W52" s="80">
        <f t="shared" si="15"/>
        <v>65.000000000000085</v>
      </c>
      <c r="X52" s="22"/>
      <c r="Y52" s="22"/>
      <c r="Z52" s="405"/>
      <c r="AA52" s="405"/>
      <c r="AB52" s="18"/>
      <c r="AC52" s="185"/>
      <c r="AD52" s="402"/>
    </row>
    <row r="53" spans="1:30" ht="15" customHeight="1">
      <c r="A53" s="452"/>
      <c r="B53" s="56"/>
      <c r="C53" s="23"/>
      <c r="D53" s="11"/>
      <c r="E53" s="12"/>
      <c r="F53" s="56"/>
      <c r="G53" s="66"/>
      <c r="H53" s="76"/>
      <c r="I53" s="193"/>
      <c r="J53" s="16"/>
      <c r="K53" s="14"/>
      <c r="L53" s="17"/>
      <c r="M53" s="174"/>
      <c r="N53" s="77"/>
      <c r="O53" s="78"/>
      <c r="P53" s="18"/>
      <c r="Q53" s="19"/>
      <c r="R53" s="185"/>
      <c r="S53" s="397"/>
      <c r="T53" s="79"/>
      <c r="U53" s="79"/>
      <c r="V53" s="177"/>
      <c r="W53" s="80">
        <f t="shared" si="15"/>
        <v>0</v>
      </c>
      <c r="X53" s="177"/>
      <c r="Y53" s="177"/>
      <c r="Z53" s="419"/>
      <c r="AA53" s="418"/>
      <c r="AB53" s="18"/>
      <c r="AC53" s="185"/>
      <c r="AD53" s="402"/>
    </row>
    <row r="54" spans="1:30" ht="15" customHeight="1">
      <c r="A54" s="452"/>
      <c r="B54" s="177"/>
      <c r="C54" s="183"/>
      <c r="D54" s="11"/>
      <c r="E54" s="12"/>
      <c r="F54" s="13"/>
      <c r="G54" s="66"/>
      <c r="H54" s="76">
        <f t="shared" si="37"/>
        <v>0</v>
      </c>
      <c r="I54" s="177"/>
      <c r="J54" s="31"/>
      <c r="K54" s="30"/>
      <c r="L54" s="38"/>
      <c r="M54" s="181"/>
      <c r="N54" s="30"/>
      <c r="O54" s="35"/>
      <c r="P54" s="18"/>
      <c r="Q54" s="19"/>
      <c r="R54" s="185"/>
      <c r="S54" s="397"/>
      <c r="T54" s="79"/>
      <c r="U54" s="79"/>
      <c r="V54" s="197"/>
      <c r="W54" s="80">
        <f t="shared" si="15"/>
        <v>0</v>
      </c>
      <c r="X54" s="177"/>
      <c r="Y54" s="177"/>
      <c r="Z54" s="419"/>
      <c r="AA54" s="418"/>
      <c r="AB54" s="18"/>
      <c r="AC54" s="185"/>
      <c r="AD54" s="402"/>
    </row>
    <row r="55" spans="1:30" ht="15" customHeight="1">
      <c r="A55" s="452"/>
      <c r="B55" s="26"/>
      <c r="C55" s="27"/>
      <c r="D55" s="28"/>
      <c r="E55" s="29"/>
      <c r="F55" s="13"/>
      <c r="G55" s="66"/>
      <c r="H55" s="15">
        <f t="shared" si="37"/>
        <v>0</v>
      </c>
      <c r="I55" s="177"/>
      <c r="J55" s="31"/>
      <c r="K55" s="30"/>
      <c r="L55" s="38"/>
      <c r="M55" s="181"/>
      <c r="N55" s="30"/>
      <c r="O55" s="35"/>
      <c r="P55" s="18"/>
      <c r="Q55" s="19"/>
      <c r="R55" s="185"/>
      <c r="S55" s="397"/>
      <c r="T55" s="79"/>
      <c r="U55" s="79"/>
      <c r="V55" s="197"/>
      <c r="W55" s="80">
        <f t="shared" si="15"/>
        <v>0</v>
      </c>
      <c r="X55" s="177"/>
      <c r="Y55" s="177"/>
      <c r="Z55" s="419"/>
      <c r="AA55" s="418"/>
      <c r="AB55" s="18"/>
      <c r="AC55" s="185"/>
      <c r="AD55" s="402"/>
    </row>
    <row r="56" spans="1:30" ht="15" customHeight="1">
      <c r="A56" s="452"/>
      <c r="B56" s="26"/>
      <c r="C56" s="27"/>
      <c r="D56" s="28"/>
      <c r="E56" s="29"/>
      <c r="F56" s="13"/>
      <c r="G56" s="66"/>
      <c r="H56" s="15">
        <f t="shared" si="37"/>
        <v>0</v>
      </c>
      <c r="I56" s="177"/>
      <c r="J56" s="31"/>
      <c r="K56" s="30"/>
      <c r="L56" s="38"/>
      <c r="M56" s="181"/>
      <c r="N56" s="30"/>
      <c r="O56" s="35"/>
      <c r="P56" s="18"/>
      <c r="Q56" s="19"/>
      <c r="R56" s="185"/>
      <c r="S56" s="397"/>
      <c r="T56" s="79"/>
      <c r="U56" s="79"/>
      <c r="V56" s="197"/>
      <c r="W56" s="80">
        <f t="shared" si="15"/>
        <v>0</v>
      </c>
      <c r="X56" s="177"/>
      <c r="Y56" s="177"/>
      <c r="Z56" s="405"/>
      <c r="AA56" s="405"/>
      <c r="AB56" s="18"/>
      <c r="AC56" s="185"/>
      <c r="AD56" s="402"/>
    </row>
    <row r="57" spans="1:30" ht="15" customHeight="1">
      <c r="A57" s="452"/>
      <c r="B57" s="26"/>
      <c r="C57" s="27"/>
      <c r="D57" s="28"/>
      <c r="E57" s="29"/>
      <c r="F57" s="13"/>
      <c r="G57" s="66"/>
      <c r="H57" s="15">
        <f t="shared" si="37"/>
        <v>0</v>
      </c>
      <c r="I57" s="177"/>
      <c r="J57" s="31"/>
      <c r="K57" s="30"/>
      <c r="L57" s="38"/>
      <c r="M57" s="181"/>
      <c r="N57" s="30"/>
      <c r="O57" s="35"/>
      <c r="P57" s="18"/>
      <c r="Q57" s="19"/>
      <c r="R57" s="185"/>
      <c r="S57" s="397"/>
      <c r="T57" s="79"/>
      <c r="U57" s="79"/>
      <c r="V57" s="197"/>
      <c r="W57" s="80">
        <f t="shared" si="15"/>
        <v>0</v>
      </c>
      <c r="X57" s="177"/>
      <c r="Y57" s="177"/>
      <c r="Z57" s="405"/>
      <c r="AA57" s="405"/>
      <c r="AB57" s="18"/>
      <c r="AC57" s="185"/>
      <c r="AD57" s="402"/>
    </row>
    <row r="58" spans="1:30" ht="15" customHeight="1" thickBot="1">
      <c r="A58" s="453"/>
      <c r="B58" s="165"/>
      <c r="C58" s="1" t="s">
        <v>38</v>
      </c>
      <c r="D58" s="410" t="s">
        <v>7</v>
      </c>
      <c r="E58" s="410"/>
      <c r="F58" s="114"/>
      <c r="G58" s="166"/>
      <c r="H58" s="116"/>
      <c r="I58" s="115"/>
      <c r="J58" s="118">
        <f t="shared" ref="J58:O58" si="39">AVERAGE(J49:J57)</f>
        <v>18</v>
      </c>
      <c r="K58" s="118">
        <f t="shared" si="39"/>
        <v>1582.5</v>
      </c>
      <c r="L58" s="115">
        <f t="shared" si="39"/>
        <v>88.051255589955289</v>
      </c>
      <c r="M58" s="118">
        <f t="shared" si="39"/>
        <v>15</v>
      </c>
      <c r="N58" s="118">
        <f t="shared" si="39"/>
        <v>1259.8828433509145</v>
      </c>
      <c r="O58" s="115">
        <f t="shared" si="39"/>
        <v>83.992189556727638</v>
      </c>
      <c r="P58" s="119">
        <f>M58-J58</f>
        <v>-3</v>
      </c>
      <c r="Q58" s="120">
        <f>N58-K58</f>
        <v>-322.61715664908547</v>
      </c>
      <c r="R58" s="121">
        <f t="shared" ref="R58:R60" si="40">O58/L58</f>
        <v>0.95390109992150185</v>
      </c>
      <c r="S58" s="399"/>
      <c r="T58" s="167"/>
      <c r="U58" s="167"/>
      <c r="V58" s="195"/>
      <c r="W58" s="168"/>
      <c r="X58" s="124"/>
      <c r="Y58" s="124"/>
      <c r="Z58" s="391"/>
      <c r="AA58" s="391"/>
      <c r="AB58" s="119">
        <f t="shared" ref="AB58:AB62" si="41">N58-K58</f>
        <v>-322.61715664908547</v>
      </c>
      <c r="AC58" s="187">
        <f t="shared" ref="AC58:AC62" si="42">N58/K58</f>
        <v>0.7961344981680345</v>
      </c>
      <c r="AD58" s="404"/>
    </row>
    <row r="59" spans="1:30" ht="15" customHeight="1">
      <c r="A59" s="466" t="s">
        <v>57</v>
      </c>
      <c r="B59" s="199" t="str">
        <f>VLOOKUP(D59,廠價表!$C$1:$E$39,2,0)</f>
        <v>小吃、微波</v>
      </c>
      <c r="C59" s="102"/>
      <c r="D59" s="103" t="s">
        <v>125</v>
      </c>
      <c r="E59" s="104"/>
      <c r="F59" s="199">
        <f>VLOOKUP(D59,廠價表!$C$1:$E$39,3,0)</f>
        <v>26.99</v>
      </c>
      <c r="G59" s="188">
        <v>2938</v>
      </c>
      <c r="H59" s="106">
        <f t="shared" ref="H59:H68" si="43">F59*G59</f>
        <v>79296.62</v>
      </c>
      <c r="I59" s="188"/>
      <c r="J59" s="108">
        <f>VLOOKUP(D59,產線配置圖!$A$2:$C$38,2,0)</f>
        <v>13</v>
      </c>
      <c r="K59" s="105">
        <f>VLOOKUP(D59,產線配置圖!$A$2:$C$38,3,0)</f>
        <v>1565</v>
      </c>
      <c r="L59" s="109">
        <f>K59/J59</f>
        <v>120.38461538461539</v>
      </c>
      <c r="M59" s="110">
        <v>13</v>
      </c>
      <c r="N59" s="105">
        <f t="shared" ref="N59:N62" si="44">G59/W59*60</f>
        <v>1532.8695652173915</v>
      </c>
      <c r="O59" s="109">
        <f t="shared" ref="O59:O62" si="45">N59/M59</f>
        <v>117.91304347826089</v>
      </c>
      <c r="P59" s="111">
        <f t="shared" ref="P59:P62" si="46">M59-J59</f>
        <v>0</v>
      </c>
      <c r="Q59" s="112">
        <f t="shared" ref="Q59:Q62" si="47">O59-L59</f>
        <v>-2.4715719063544981</v>
      </c>
      <c r="R59" s="184">
        <f t="shared" si="40"/>
        <v>0.9794693707459371</v>
      </c>
      <c r="S59" s="396">
        <f>R69</f>
        <v>0.90213846367551043</v>
      </c>
      <c r="T59" s="169">
        <v>0.29166666666666669</v>
      </c>
      <c r="U59" s="169">
        <v>0.37152777777777779</v>
      </c>
      <c r="V59" s="188"/>
      <c r="W59" s="107">
        <f t="shared" si="15"/>
        <v>114.99999999999999</v>
      </c>
      <c r="X59" s="188"/>
      <c r="Y59" s="188"/>
      <c r="Z59" s="405"/>
      <c r="AA59" s="405"/>
      <c r="AB59" s="225">
        <f t="shared" si="41"/>
        <v>-32.130434782608518</v>
      </c>
      <c r="AC59" s="226">
        <f t="shared" si="42"/>
        <v>0.9794693707459371</v>
      </c>
      <c r="AD59" s="401">
        <f>AC69</f>
        <v>0.90362133629670782</v>
      </c>
    </row>
    <row r="60" spans="1:30" ht="15" customHeight="1">
      <c r="A60" s="467"/>
      <c r="B60" s="56" t="str">
        <f>VLOOKUP(D60,廠價表!$C$1:$E$39,2,0)</f>
        <v>小吃、微波</v>
      </c>
      <c r="C60" s="10"/>
      <c r="D60" s="11" t="s">
        <v>146</v>
      </c>
      <c r="E60" s="86"/>
      <c r="F60" s="56">
        <f>VLOOKUP(D60,廠價表!$C$1:$E$39,3,0)</f>
        <v>28.47</v>
      </c>
      <c r="G60" s="177">
        <v>865</v>
      </c>
      <c r="H60" s="15">
        <f t="shared" si="43"/>
        <v>24626.55</v>
      </c>
      <c r="I60" s="177"/>
      <c r="J60" s="16">
        <f>VLOOKUP(D60,產線配置圖!$A$2:$C$38,2,0)</f>
        <v>12</v>
      </c>
      <c r="K60" s="14">
        <f>VLOOKUP(D60,產線配置圖!$A$2:$C$38,3,0)</f>
        <v>1565</v>
      </c>
      <c r="L60" s="17">
        <f>K60/J60</f>
        <v>130.41666666666666</v>
      </c>
      <c r="M60" s="180">
        <v>12</v>
      </c>
      <c r="N60" s="14">
        <f t="shared" si="44"/>
        <v>1297.4999999999995</v>
      </c>
      <c r="O60" s="17">
        <f t="shared" si="45"/>
        <v>108.12499999999996</v>
      </c>
      <c r="P60" s="18">
        <f t="shared" si="46"/>
        <v>0</v>
      </c>
      <c r="Q60" s="19">
        <f t="shared" si="47"/>
        <v>-22.2916666666667</v>
      </c>
      <c r="R60" s="185">
        <f t="shared" si="40"/>
        <v>0.82907348242811474</v>
      </c>
      <c r="S60" s="470"/>
      <c r="T60" s="198">
        <v>0.38194444444444442</v>
      </c>
      <c r="U60" s="198">
        <v>0.40972222222222221</v>
      </c>
      <c r="V60" s="177">
        <f t="shared" ref="V60:V62" si="48">(T60-U59)*24*60</f>
        <v>14.999999999999947</v>
      </c>
      <c r="W60" s="90">
        <f t="shared" si="15"/>
        <v>40.000000000000014</v>
      </c>
      <c r="X60" s="193"/>
      <c r="Y60" s="193"/>
      <c r="Z60" s="405"/>
      <c r="AA60" s="405"/>
      <c r="AB60" s="227">
        <f t="shared" si="41"/>
        <v>-267.50000000000045</v>
      </c>
      <c r="AC60" s="228">
        <f t="shared" si="42"/>
        <v>0.82907348242811474</v>
      </c>
      <c r="AD60" s="473"/>
    </row>
    <row r="61" spans="1:30" ht="15" customHeight="1">
      <c r="A61" s="468"/>
      <c r="B61" s="56" t="str">
        <f>VLOOKUP(D61,廠價表!$C$1:$E$39,2,0)</f>
        <v>小吃、微波</v>
      </c>
      <c r="C61" s="10"/>
      <c r="D61" s="242" t="s">
        <v>135</v>
      </c>
      <c r="E61" s="86"/>
      <c r="F61" s="56">
        <f>VLOOKUP(D61,廠價表!$C$1:$E$39,3,0)</f>
        <v>28.26</v>
      </c>
      <c r="G61" s="177">
        <v>2358</v>
      </c>
      <c r="H61" s="15">
        <f t="shared" si="43"/>
        <v>66637.08</v>
      </c>
      <c r="I61" s="81"/>
      <c r="J61" s="16">
        <f>VLOOKUP(D61,產線配置圖!$A$2:$C$38,2,0)</f>
        <v>12</v>
      </c>
      <c r="K61" s="14">
        <f>VLOOKUP(D61,產線配置圖!$A$2:$C$38,3,0)</f>
        <v>1565</v>
      </c>
      <c r="L61" s="17">
        <f t="shared" ref="L61:L62" si="49">K61/J61</f>
        <v>130.41666666666666</v>
      </c>
      <c r="M61" s="180">
        <v>12</v>
      </c>
      <c r="N61" s="14">
        <f t="shared" si="44"/>
        <v>1414.8000000000004</v>
      </c>
      <c r="O61" s="17">
        <f t="shared" si="45"/>
        <v>117.90000000000003</v>
      </c>
      <c r="P61" s="18">
        <f t="shared" si="46"/>
        <v>0</v>
      </c>
      <c r="Q61" s="19">
        <f t="shared" si="47"/>
        <v>-12.516666666666623</v>
      </c>
      <c r="R61" s="185">
        <f>O61/L61</f>
        <v>0.90402555910543159</v>
      </c>
      <c r="S61" s="397"/>
      <c r="T61" s="20">
        <v>0.41666666666666669</v>
      </c>
      <c r="U61" s="20">
        <v>0.4861111111111111</v>
      </c>
      <c r="V61" s="177">
        <f t="shared" si="48"/>
        <v>10.000000000000044</v>
      </c>
      <c r="W61" s="88">
        <f t="shared" si="15"/>
        <v>99.999999999999972</v>
      </c>
      <c r="X61" s="22"/>
      <c r="Y61" s="22"/>
      <c r="Z61" s="405"/>
      <c r="AA61" s="405"/>
      <c r="AB61" s="51">
        <f t="shared" si="41"/>
        <v>-150.19999999999959</v>
      </c>
      <c r="AC61" s="52">
        <f t="shared" si="42"/>
        <v>0.90402555910543159</v>
      </c>
      <c r="AD61" s="402"/>
    </row>
    <row r="62" spans="1:30" ht="15" customHeight="1">
      <c r="A62" s="468"/>
      <c r="B62" s="56" t="str">
        <f>VLOOKUP(D62,廠價表!$C$1:$E$39,2,0)</f>
        <v>小吃、微波</v>
      </c>
      <c r="C62" s="23"/>
      <c r="D62" s="242" t="s">
        <v>125</v>
      </c>
      <c r="E62" s="12"/>
      <c r="F62" s="56">
        <f>VLOOKUP(D62,廠價表!$C$1:$E$39,3,0)</f>
        <v>26.99</v>
      </c>
      <c r="G62" s="177">
        <v>941</v>
      </c>
      <c r="H62" s="15">
        <f t="shared" si="43"/>
        <v>25397.59</v>
      </c>
      <c r="I62" s="81"/>
      <c r="J62" s="16">
        <f>VLOOKUP(D62,產線配置圖!$A$2:$C$38,2,0)</f>
        <v>13</v>
      </c>
      <c r="K62" s="14">
        <f>VLOOKUP(D62,產線配置圖!$A$2:$C$38,3,0)</f>
        <v>1565</v>
      </c>
      <c r="L62" s="17">
        <f t="shared" si="49"/>
        <v>120.38461538461539</v>
      </c>
      <c r="M62" s="180">
        <v>13</v>
      </c>
      <c r="N62" s="14">
        <f t="shared" si="44"/>
        <v>1411.4999999999995</v>
      </c>
      <c r="O62" s="17">
        <f t="shared" si="45"/>
        <v>108.57692307692304</v>
      </c>
      <c r="P62" s="18">
        <f t="shared" si="46"/>
        <v>0</v>
      </c>
      <c r="Q62" s="19">
        <f t="shared" si="47"/>
        <v>-11.807692307692349</v>
      </c>
      <c r="R62" s="185">
        <f>O62/L62</f>
        <v>0.90191693290734787</v>
      </c>
      <c r="S62" s="397"/>
      <c r="T62" s="20">
        <v>0.53819444444444442</v>
      </c>
      <c r="U62" s="20">
        <v>0.56597222222222221</v>
      </c>
      <c r="V62" s="177">
        <f t="shared" si="48"/>
        <v>74.999999999999972</v>
      </c>
      <c r="W62" s="90">
        <f t="shared" si="15"/>
        <v>40.000000000000014</v>
      </c>
      <c r="X62" s="22" t="s">
        <v>223</v>
      </c>
      <c r="Y62" s="22">
        <v>0.53125</v>
      </c>
      <c r="Z62" s="405"/>
      <c r="AA62" s="405"/>
      <c r="AB62" s="51">
        <f t="shared" si="41"/>
        <v>-153.50000000000045</v>
      </c>
      <c r="AC62" s="52">
        <f t="shared" si="42"/>
        <v>0.90191693290734798</v>
      </c>
      <c r="AD62" s="402"/>
    </row>
    <row r="63" spans="1:30" ht="15" customHeight="1">
      <c r="A63" s="468"/>
      <c r="B63" s="56"/>
      <c r="C63" s="10"/>
      <c r="D63" s="242"/>
      <c r="E63" s="86"/>
      <c r="F63" s="56"/>
      <c r="G63" s="177"/>
      <c r="H63" s="15"/>
      <c r="I63" s="81"/>
      <c r="J63" s="16"/>
      <c r="K63" s="14"/>
      <c r="L63" s="17"/>
      <c r="M63" s="180"/>
      <c r="N63" s="14"/>
      <c r="O63" s="17"/>
      <c r="P63" s="18"/>
      <c r="Q63" s="19"/>
      <c r="R63" s="185"/>
      <c r="S63" s="397"/>
      <c r="T63" s="20"/>
      <c r="U63" s="20"/>
      <c r="V63" s="177"/>
      <c r="W63" s="90">
        <f t="shared" si="15"/>
        <v>0</v>
      </c>
      <c r="X63" s="84"/>
      <c r="Y63" s="84"/>
      <c r="Z63" s="405"/>
      <c r="AA63" s="405"/>
      <c r="AB63" s="51"/>
      <c r="AC63" s="52"/>
      <c r="AD63" s="402"/>
    </row>
    <row r="64" spans="1:30" ht="15" customHeight="1">
      <c r="A64" s="468"/>
      <c r="B64" s="56"/>
      <c r="C64" s="10"/>
      <c r="D64" s="242"/>
      <c r="E64" s="86"/>
      <c r="F64" s="56"/>
      <c r="G64" s="177"/>
      <c r="H64" s="15"/>
      <c r="I64" s="81"/>
      <c r="J64" s="16"/>
      <c r="K64" s="14"/>
      <c r="L64" s="17"/>
      <c r="M64" s="180"/>
      <c r="N64" s="14"/>
      <c r="O64" s="17"/>
      <c r="P64" s="18"/>
      <c r="Q64" s="19"/>
      <c r="R64" s="185"/>
      <c r="S64" s="397"/>
      <c r="T64" s="20"/>
      <c r="U64" s="20"/>
      <c r="V64" s="177"/>
      <c r="W64" s="182">
        <f t="shared" si="15"/>
        <v>0</v>
      </c>
      <c r="X64" s="84"/>
      <c r="Y64" s="84"/>
      <c r="Z64" s="419"/>
      <c r="AA64" s="418"/>
      <c r="AB64" s="18"/>
      <c r="AC64" s="55"/>
      <c r="AD64" s="402"/>
    </row>
    <row r="65" spans="1:32" ht="15" customHeight="1">
      <c r="A65" s="468"/>
      <c r="B65" s="177"/>
      <c r="C65" s="183"/>
      <c r="D65" s="11"/>
      <c r="E65" s="12"/>
      <c r="F65" s="13"/>
      <c r="G65" s="177"/>
      <c r="H65" s="15"/>
      <c r="I65" s="177"/>
      <c r="J65" s="16"/>
      <c r="K65" s="82"/>
      <c r="L65" s="83"/>
      <c r="M65" s="180"/>
      <c r="N65" s="14"/>
      <c r="O65" s="17"/>
      <c r="P65" s="18"/>
      <c r="Q65" s="19"/>
      <c r="R65" s="185"/>
      <c r="S65" s="397"/>
      <c r="T65" s="20"/>
      <c r="U65" s="20"/>
      <c r="V65" s="177"/>
      <c r="W65" s="182">
        <f t="shared" si="15"/>
        <v>0</v>
      </c>
      <c r="X65" s="84"/>
      <c r="Y65" s="84"/>
      <c r="Z65" s="419"/>
      <c r="AA65" s="418"/>
      <c r="AB65" s="18"/>
      <c r="AC65" s="55"/>
      <c r="AD65" s="402"/>
    </row>
    <row r="66" spans="1:32" ht="15" customHeight="1">
      <c r="A66" s="468"/>
      <c r="B66" s="26"/>
      <c r="C66" s="27"/>
      <c r="D66" s="28"/>
      <c r="E66" s="29"/>
      <c r="F66" s="13"/>
      <c r="G66" s="183"/>
      <c r="H66" s="15">
        <f t="shared" si="43"/>
        <v>0</v>
      </c>
      <c r="I66" s="85"/>
      <c r="J66" s="16"/>
      <c r="K66" s="14"/>
      <c r="L66" s="17"/>
      <c r="M66" s="21"/>
      <c r="N66" s="36"/>
      <c r="O66" s="38"/>
      <c r="P66" s="39"/>
      <c r="Q66" s="40"/>
      <c r="R66" s="68"/>
      <c r="S66" s="397"/>
      <c r="T66" s="20"/>
      <c r="U66" s="20"/>
      <c r="V66" s="177"/>
      <c r="W66" s="182">
        <f t="shared" si="15"/>
        <v>0</v>
      </c>
      <c r="X66" s="84"/>
      <c r="Y66" s="84"/>
      <c r="Z66" s="405"/>
      <c r="AA66" s="405"/>
      <c r="AB66" s="18"/>
      <c r="AC66" s="55"/>
      <c r="AD66" s="402"/>
    </row>
    <row r="67" spans="1:32" ht="15" customHeight="1">
      <c r="A67" s="468"/>
      <c r="B67" s="26"/>
      <c r="C67" s="27"/>
      <c r="D67" s="28"/>
      <c r="E67" s="29"/>
      <c r="F67" s="13"/>
      <c r="G67" s="177"/>
      <c r="H67" s="15">
        <f t="shared" si="43"/>
        <v>0</v>
      </c>
      <c r="I67" s="177"/>
      <c r="J67" s="16"/>
      <c r="K67" s="14"/>
      <c r="L67" s="17"/>
      <c r="M67" s="21"/>
      <c r="N67" s="36"/>
      <c r="O67" s="38"/>
      <c r="P67" s="39"/>
      <c r="Q67" s="40"/>
      <c r="R67" s="68"/>
      <c r="S67" s="397"/>
      <c r="T67" s="20"/>
      <c r="U67" s="20"/>
      <c r="V67" s="177"/>
      <c r="W67" s="182">
        <f t="shared" si="15"/>
        <v>0</v>
      </c>
      <c r="X67" s="84"/>
      <c r="Y67" s="84"/>
      <c r="Z67" s="419"/>
      <c r="AA67" s="418"/>
      <c r="AB67" s="18"/>
      <c r="AC67" s="55"/>
      <c r="AD67" s="402"/>
    </row>
    <row r="68" spans="1:32" ht="15" customHeight="1">
      <c r="A68" s="468"/>
      <c r="B68" s="26"/>
      <c r="C68" s="27"/>
      <c r="D68" s="28"/>
      <c r="E68" s="29"/>
      <c r="F68" s="13"/>
      <c r="G68" s="183"/>
      <c r="H68" s="15">
        <f t="shared" si="43"/>
        <v>0</v>
      </c>
      <c r="I68" s="85"/>
      <c r="J68" s="16"/>
      <c r="K68" s="260"/>
      <c r="L68" s="261"/>
      <c r="M68" s="21"/>
      <c r="N68" s="36"/>
      <c r="O68" s="38"/>
      <c r="P68" s="39"/>
      <c r="Q68" s="40"/>
      <c r="R68" s="68"/>
      <c r="S68" s="397"/>
      <c r="T68" s="20"/>
      <c r="U68" s="20"/>
      <c r="V68" s="177"/>
      <c r="W68" s="182">
        <f t="shared" si="15"/>
        <v>0</v>
      </c>
      <c r="X68" s="84"/>
      <c r="Y68" s="84"/>
      <c r="Z68" s="419"/>
      <c r="AA68" s="418"/>
      <c r="AB68" s="18"/>
      <c r="AC68" s="55"/>
      <c r="AD68" s="402"/>
    </row>
    <row r="69" spans="1:32" ht="15" customHeight="1" thickBot="1">
      <c r="A69" s="469"/>
      <c r="B69" s="165"/>
      <c r="C69" s="1" t="s">
        <v>39</v>
      </c>
      <c r="D69" s="410" t="s">
        <v>7</v>
      </c>
      <c r="E69" s="410"/>
      <c r="F69" s="114"/>
      <c r="G69" s="115"/>
      <c r="H69" s="116"/>
      <c r="I69" s="170"/>
      <c r="J69" s="166">
        <f t="shared" ref="J69:O69" si="50">AVERAGE(J59:J68)</f>
        <v>12.5</v>
      </c>
      <c r="K69" s="166">
        <f t="shared" si="50"/>
        <v>1565</v>
      </c>
      <c r="L69" s="171">
        <f t="shared" si="50"/>
        <v>125.40064102564102</v>
      </c>
      <c r="M69" s="166">
        <f t="shared" si="50"/>
        <v>12.5</v>
      </c>
      <c r="N69" s="166">
        <f t="shared" si="50"/>
        <v>1414.1673913043478</v>
      </c>
      <c r="O69" s="171">
        <f t="shared" si="50"/>
        <v>113.12874163879597</v>
      </c>
      <c r="P69" s="172">
        <f>M69-J69</f>
        <v>0</v>
      </c>
      <c r="Q69" s="158">
        <f>N69-K69</f>
        <v>-150.8326086956522</v>
      </c>
      <c r="R69" s="121">
        <f>O69/L69</f>
        <v>0.90213846367551043</v>
      </c>
      <c r="S69" s="399"/>
      <c r="T69" s="122"/>
      <c r="U69" s="122"/>
      <c r="V69" s="195"/>
      <c r="W69" s="168"/>
      <c r="X69" s="124"/>
      <c r="Y69" s="124"/>
      <c r="Z69" s="405"/>
      <c r="AA69" s="405"/>
      <c r="AB69" s="119">
        <f>N69-K69</f>
        <v>-150.8326086956522</v>
      </c>
      <c r="AC69" s="187">
        <f>N69/K69</f>
        <v>0.90362133629670782</v>
      </c>
      <c r="AD69" s="404"/>
    </row>
    <row r="70" spans="1:32" ht="15" customHeight="1">
      <c r="A70" s="461" t="s">
        <v>58</v>
      </c>
      <c r="B70" s="199"/>
      <c r="C70" s="199"/>
      <c r="D70" s="103"/>
      <c r="E70" s="104"/>
      <c r="F70" s="199"/>
      <c r="G70" s="188"/>
      <c r="H70" s="106"/>
      <c r="I70" s="188"/>
      <c r="J70" s="108"/>
      <c r="K70" s="105"/>
      <c r="L70" s="109"/>
      <c r="M70" s="110"/>
      <c r="N70" s="105"/>
      <c r="O70" s="109"/>
      <c r="P70" s="111"/>
      <c r="Q70" s="112"/>
      <c r="R70" s="184"/>
      <c r="S70" s="396">
        <f>R79</f>
        <v>0</v>
      </c>
      <c r="T70" s="169"/>
      <c r="U70" s="169"/>
      <c r="V70" s="188"/>
      <c r="W70" s="107"/>
      <c r="X70" s="296"/>
      <c r="Y70" s="296"/>
      <c r="Z70" s="465"/>
      <c r="AA70" s="427"/>
      <c r="AB70" s="225">
        <f t="shared" ref="AB70:AB71" si="51">N70-K70</f>
        <v>0</v>
      </c>
      <c r="AC70" s="226" t="e">
        <f t="shared" ref="AC70:AC71" si="52">N70/K70</f>
        <v>#DIV/0!</v>
      </c>
      <c r="AD70" s="401" t="e">
        <f>AC79</f>
        <v>#DIV/0!</v>
      </c>
    </row>
    <row r="71" spans="1:32" ht="15" customHeight="1">
      <c r="A71" s="462"/>
      <c r="B71" s="56"/>
      <c r="C71" s="10"/>
      <c r="D71" s="11"/>
      <c r="E71" s="86"/>
      <c r="F71" s="56"/>
      <c r="G71" s="66"/>
      <c r="H71" s="76"/>
      <c r="I71" s="193"/>
      <c r="J71" s="16"/>
      <c r="K71" s="14"/>
      <c r="L71" s="17"/>
      <c r="M71" s="180"/>
      <c r="N71" s="14"/>
      <c r="O71" s="17"/>
      <c r="P71" s="18"/>
      <c r="Q71" s="19"/>
      <c r="R71" s="185"/>
      <c r="S71" s="397"/>
      <c r="T71" s="20"/>
      <c r="U71" s="20"/>
      <c r="V71" s="177"/>
      <c r="W71" s="182">
        <f t="shared" ref="W71:W78" si="53">(U71-T71)*24*60</f>
        <v>0</v>
      </c>
      <c r="X71" s="298"/>
      <c r="Y71" s="299"/>
      <c r="Z71" s="439" t="s">
        <v>211</v>
      </c>
      <c r="AA71" s="440"/>
      <c r="AB71" s="39">
        <f t="shared" si="51"/>
        <v>0</v>
      </c>
      <c r="AC71" s="190" t="e">
        <f t="shared" si="52"/>
        <v>#DIV/0!</v>
      </c>
      <c r="AD71" s="447"/>
    </row>
    <row r="72" spans="1:32" ht="15" customHeight="1">
      <c r="A72" s="462"/>
      <c r="B72" s="56"/>
      <c r="C72" s="10"/>
      <c r="D72" s="11"/>
      <c r="E72" s="86"/>
      <c r="F72" s="56"/>
      <c r="G72" s="66"/>
      <c r="H72" s="76"/>
      <c r="I72" s="193"/>
      <c r="J72" s="16"/>
      <c r="K72" s="14"/>
      <c r="L72" s="17"/>
      <c r="M72" s="180"/>
      <c r="N72" s="14"/>
      <c r="O72" s="17"/>
      <c r="P72" s="18"/>
      <c r="Q72" s="19"/>
      <c r="R72" s="185"/>
      <c r="S72" s="397"/>
      <c r="T72" s="20"/>
      <c r="U72" s="20"/>
      <c r="V72" s="177"/>
      <c r="W72" s="182">
        <f t="shared" si="53"/>
        <v>0</v>
      </c>
      <c r="X72" s="297"/>
      <c r="Y72" s="297"/>
      <c r="Z72" s="405"/>
      <c r="AA72" s="419"/>
      <c r="AB72" s="39"/>
      <c r="AC72" s="190"/>
      <c r="AD72" s="447"/>
    </row>
    <row r="73" spans="1:32" ht="15" customHeight="1">
      <c r="A73" s="462"/>
      <c r="B73" s="56"/>
      <c r="C73" s="23"/>
      <c r="D73" s="11"/>
      <c r="E73" s="12"/>
      <c r="F73" s="56"/>
      <c r="G73" s="66"/>
      <c r="H73" s="76"/>
      <c r="I73" s="193"/>
      <c r="J73" s="16"/>
      <c r="K73" s="14"/>
      <c r="L73" s="17"/>
      <c r="M73" s="180"/>
      <c r="N73" s="14"/>
      <c r="O73" s="17"/>
      <c r="P73" s="18"/>
      <c r="Q73" s="19"/>
      <c r="R73" s="185"/>
      <c r="S73" s="397"/>
      <c r="T73" s="20"/>
      <c r="U73" s="20"/>
      <c r="V73" s="177"/>
      <c r="W73" s="182">
        <f t="shared" si="53"/>
        <v>0</v>
      </c>
      <c r="X73" s="22"/>
      <c r="Y73" s="22"/>
      <c r="Z73" s="405"/>
      <c r="AA73" s="419"/>
      <c r="AB73" s="39"/>
      <c r="AC73" s="190"/>
      <c r="AD73" s="447"/>
    </row>
    <row r="74" spans="1:32" ht="15" customHeight="1">
      <c r="A74" s="462"/>
      <c r="B74" s="56"/>
      <c r="C74" s="249"/>
      <c r="D74" s="250"/>
      <c r="E74" s="251"/>
      <c r="F74" s="56"/>
      <c r="G74" s="238"/>
      <c r="H74" s="76">
        <f t="shared" ref="H74:H78" si="54">F74*G74</f>
        <v>0</v>
      </c>
      <c r="I74" s="81"/>
      <c r="J74" s="234"/>
      <c r="K74" s="36"/>
      <c r="L74" s="235"/>
      <c r="M74" s="21"/>
      <c r="N74" s="36"/>
      <c r="O74" s="38"/>
      <c r="P74" s="39"/>
      <c r="Q74" s="40"/>
      <c r="R74" s="190"/>
      <c r="S74" s="397"/>
      <c r="T74" s="20"/>
      <c r="U74" s="20"/>
      <c r="V74" s="177"/>
      <c r="W74" s="182">
        <f t="shared" si="53"/>
        <v>0</v>
      </c>
      <c r="X74" s="22"/>
      <c r="Y74" s="22"/>
      <c r="Z74" s="405"/>
      <c r="AA74" s="419"/>
      <c r="AB74" s="39"/>
      <c r="AC74" s="190"/>
      <c r="AD74" s="447"/>
    </row>
    <row r="75" spans="1:32" ht="15" customHeight="1">
      <c r="A75" s="462"/>
      <c r="B75" s="177"/>
      <c r="C75" s="183"/>
      <c r="D75" s="11"/>
      <c r="E75" s="12"/>
      <c r="F75" s="13"/>
      <c r="G75" s="177"/>
      <c r="H75" s="15">
        <f t="shared" si="54"/>
        <v>0</v>
      </c>
      <c r="I75" s="81"/>
      <c r="J75" s="87"/>
      <c r="K75" s="82"/>
      <c r="L75" s="83"/>
      <c r="M75" s="181"/>
      <c r="N75" s="82"/>
      <c r="O75" s="83"/>
      <c r="P75" s="73"/>
      <c r="Q75" s="74"/>
      <c r="R75" s="192"/>
      <c r="S75" s="397"/>
      <c r="T75" s="20"/>
      <c r="U75" s="20"/>
      <c r="V75" s="177"/>
      <c r="W75" s="88">
        <f t="shared" si="53"/>
        <v>0</v>
      </c>
      <c r="X75" s="89"/>
      <c r="Y75" s="89"/>
      <c r="Z75" s="406"/>
      <c r="AA75" s="406"/>
      <c r="AB75" s="306"/>
      <c r="AC75" s="307"/>
      <c r="AD75" s="402"/>
    </row>
    <row r="76" spans="1:32" ht="15" customHeight="1">
      <c r="A76" s="462"/>
      <c r="B76" s="26"/>
      <c r="C76" s="27"/>
      <c r="D76" s="28"/>
      <c r="E76" s="29"/>
      <c r="F76" s="13"/>
      <c r="G76" s="177"/>
      <c r="H76" s="15">
        <f t="shared" si="54"/>
        <v>0</v>
      </c>
      <c r="I76" s="81"/>
      <c r="J76" s="87"/>
      <c r="K76" s="82"/>
      <c r="L76" s="83"/>
      <c r="M76" s="181"/>
      <c r="N76" s="82"/>
      <c r="O76" s="83"/>
      <c r="P76" s="73"/>
      <c r="Q76" s="74"/>
      <c r="R76" s="192"/>
      <c r="S76" s="398"/>
      <c r="T76" s="20"/>
      <c r="U76" s="20"/>
      <c r="V76" s="177"/>
      <c r="W76" s="90">
        <f t="shared" si="53"/>
        <v>0</v>
      </c>
      <c r="X76" s="78"/>
      <c r="Y76" s="78"/>
      <c r="Z76" s="445"/>
      <c r="AA76" s="445"/>
      <c r="AB76" s="51"/>
      <c r="AC76" s="52"/>
      <c r="AD76" s="403"/>
    </row>
    <row r="77" spans="1:32" ht="15" customHeight="1">
      <c r="A77" s="462"/>
      <c r="B77" s="26"/>
      <c r="C77" s="27"/>
      <c r="D77" s="28"/>
      <c r="E77" s="29"/>
      <c r="F77" s="13"/>
      <c r="G77" s="177"/>
      <c r="H77" s="15">
        <f t="shared" si="54"/>
        <v>0</v>
      </c>
      <c r="I77" s="81"/>
      <c r="J77" s="87"/>
      <c r="K77" s="82"/>
      <c r="L77" s="83"/>
      <c r="M77" s="181"/>
      <c r="N77" s="82"/>
      <c r="O77" s="83"/>
      <c r="P77" s="73"/>
      <c r="Q77" s="74"/>
      <c r="R77" s="192"/>
      <c r="S77" s="398"/>
      <c r="T77" s="20"/>
      <c r="U77" s="20"/>
      <c r="V77" s="177"/>
      <c r="W77" s="182">
        <f t="shared" si="53"/>
        <v>0</v>
      </c>
      <c r="X77" s="84"/>
      <c r="Y77" s="84"/>
      <c r="Z77" s="405"/>
      <c r="AA77" s="405"/>
      <c r="AB77" s="18"/>
      <c r="AC77" s="55"/>
      <c r="AD77" s="403"/>
    </row>
    <row r="78" spans="1:32" ht="15" customHeight="1">
      <c r="A78" s="462"/>
      <c r="B78" s="26"/>
      <c r="C78" s="27"/>
      <c r="D78" s="28"/>
      <c r="E78" s="29"/>
      <c r="F78" s="13"/>
      <c r="G78" s="177"/>
      <c r="H78" s="15">
        <f t="shared" si="54"/>
        <v>0</v>
      </c>
      <c r="I78" s="85"/>
      <c r="J78" s="37"/>
      <c r="K78" s="36"/>
      <c r="L78" s="83"/>
      <c r="M78" s="21"/>
      <c r="N78" s="36"/>
      <c r="O78" s="38"/>
      <c r="P78" s="39"/>
      <c r="Q78" s="40"/>
      <c r="R78" s="190"/>
      <c r="S78" s="464"/>
      <c r="T78" s="32"/>
      <c r="U78" s="32"/>
      <c r="V78" s="178"/>
      <c r="W78" s="182">
        <f t="shared" si="53"/>
        <v>0</v>
      </c>
      <c r="X78" s="91"/>
      <c r="Y78" s="91"/>
      <c r="Z78" s="405"/>
      <c r="AA78" s="405"/>
      <c r="AB78" s="34"/>
      <c r="AC78" s="57"/>
      <c r="AD78" s="403"/>
    </row>
    <row r="79" spans="1:32" ht="15" customHeight="1" thickBot="1">
      <c r="A79" s="463"/>
      <c r="B79" s="165"/>
      <c r="C79" s="1" t="s">
        <v>40</v>
      </c>
      <c r="D79" s="410" t="s">
        <v>7</v>
      </c>
      <c r="E79" s="410"/>
      <c r="F79" s="114"/>
      <c r="G79" s="115"/>
      <c r="H79" s="173"/>
      <c r="I79" s="171"/>
      <c r="J79" s="166"/>
      <c r="K79" s="166"/>
      <c r="L79" s="171"/>
      <c r="M79" s="166"/>
      <c r="N79" s="166"/>
      <c r="O79" s="171"/>
      <c r="P79" s="172"/>
      <c r="Q79" s="158"/>
      <c r="R79" s="159"/>
      <c r="S79" s="399"/>
      <c r="T79" s="122"/>
      <c r="U79" s="122"/>
      <c r="V79" s="195"/>
      <c r="W79" s="168"/>
      <c r="X79" s="124"/>
      <c r="Y79" s="124"/>
      <c r="Z79" s="391"/>
      <c r="AA79" s="391"/>
      <c r="AB79" s="119">
        <f>N79-K79</f>
        <v>0</v>
      </c>
      <c r="AC79" s="187" t="e">
        <f>N79/K79</f>
        <v>#DIV/0!</v>
      </c>
      <c r="AD79" s="404"/>
    </row>
    <row r="80" spans="1:32">
      <c r="AF80" s="93" t="s">
        <v>41</v>
      </c>
    </row>
    <row r="81" spans="4:32">
      <c r="AF81" s="93" t="s">
        <v>42</v>
      </c>
    </row>
    <row r="82" spans="4:32">
      <c r="AF82" s="93" t="s">
        <v>43</v>
      </c>
    </row>
    <row r="83" spans="4:32">
      <c r="D83" s="220"/>
      <c r="W83" s="6"/>
      <c r="AF83" s="93" t="s">
        <v>44</v>
      </c>
    </row>
    <row r="84" spans="4:32">
      <c r="D84" s="224"/>
      <c r="W84" s="6"/>
      <c r="AF84" s="93" t="s">
        <v>45</v>
      </c>
    </row>
    <row r="85" spans="4:32">
      <c r="D85" s="224"/>
      <c r="W85" s="6"/>
      <c r="AF85" s="93" t="s">
        <v>46</v>
      </c>
    </row>
    <row r="86" spans="4:32">
      <c r="D86" s="155"/>
      <c r="W86" s="6"/>
      <c r="AF86" s="93" t="s">
        <v>47</v>
      </c>
    </row>
    <row r="87" spans="4:32">
      <c r="W87" s="6"/>
      <c r="AF87" s="93" t="s">
        <v>48</v>
      </c>
    </row>
    <row r="88" spans="4:32">
      <c r="W88" s="6"/>
      <c r="AF88" s="93" t="s">
        <v>49</v>
      </c>
    </row>
    <row r="89" spans="4:32">
      <c r="W89" s="6"/>
      <c r="AF89" s="93" t="s">
        <v>50</v>
      </c>
    </row>
    <row r="90" spans="4:32">
      <c r="W90" s="6"/>
      <c r="AF90" s="93" t="s">
        <v>51</v>
      </c>
    </row>
    <row r="91" spans="4:32">
      <c r="W91" s="6"/>
      <c r="AF91" s="93" t="s">
        <v>52</v>
      </c>
    </row>
    <row r="92" spans="4:32">
      <c r="W92" s="6"/>
      <c r="AF92" s="93" t="s">
        <v>53</v>
      </c>
    </row>
  </sheetData>
  <autoFilter ref="D1:D92" xr:uid="{EF5AD393-5A39-4C0E-A7B0-465235F2AB14}"/>
  <mergeCells count="135"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  <mergeCell ref="D69:E69"/>
    <mergeCell ref="Z69:AA69"/>
    <mergeCell ref="A70:A79"/>
    <mergeCell ref="S70:S79"/>
    <mergeCell ref="Z70:AA70"/>
    <mergeCell ref="D79:E79"/>
    <mergeCell ref="A59:A69"/>
    <mergeCell ref="S59:S69"/>
    <mergeCell ref="Z59:AA59"/>
    <mergeCell ref="AD59:AD69"/>
    <mergeCell ref="Z60:AA60"/>
    <mergeCell ref="Z61:AA61"/>
    <mergeCell ref="Z62:AA62"/>
    <mergeCell ref="Z63:AA63"/>
    <mergeCell ref="Z64:AA64"/>
    <mergeCell ref="Z65:AA65"/>
    <mergeCell ref="AD49:AD58"/>
    <mergeCell ref="Z50:AA50"/>
    <mergeCell ref="Z51:AA51"/>
    <mergeCell ref="Z52:AA52"/>
    <mergeCell ref="Z53:AA53"/>
    <mergeCell ref="Z54:AA54"/>
    <mergeCell ref="Z55:AA55"/>
    <mergeCell ref="Z56:AA56"/>
    <mergeCell ref="Z57:AA57"/>
    <mergeCell ref="Z58:AA58"/>
    <mergeCell ref="Z66:AA66"/>
    <mergeCell ref="Z67:AA67"/>
    <mergeCell ref="Z68:AA68"/>
    <mergeCell ref="D48:E48"/>
    <mergeCell ref="Z48:AA48"/>
    <mergeCell ref="A49:A58"/>
    <mergeCell ref="S49:S58"/>
    <mergeCell ref="Z49:AA49"/>
    <mergeCell ref="D58:E58"/>
    <mergeCell ref="A38:A48"/>
    <mergeCell ref="S38:S48"/>
    <mergeCell ref="Z38:AA38"/>
    <mergeCell ref="AD38:AD48"/>
    <mergeCell ref="Z39:AA39"/>
    <mergeCell ref="Z40:AA40"/>
    <mergeCell ref="Z41:AA41"/>
    <mergeCell ref="Z42:AA42"/>
    <mergeCell ref="Z43:AA43"/>
    <mergeCell ref="Z44:AA44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Z45:AA45"/>
    <mergeCell ref="Z46:AA46"/>
    <mergeCell ref="Z47:AA47"/>
    <mergeCell ref="D26:E26"/>
    <mergeCell ref="Z26:AA26"/>
    <mergeCell ref="A27:A37"/>
    <mergeCell ref="S27:S37"/>
    <mergeCell ref="Z27:AA27"/>
    <mergeCell ref="D37:E37"/>
    <mergeCell ref="Z37:AA37"/>
    <mergeCell ref="A16:A26"/>
    <mergeCell ref="S16:S26"/>
    <mergeCell ref="Z16:AA16"/>
    <mergeCell ref="AD16:AD26"/>
    <mergeCell ref="Z17:AA17"/>
    <mergeCell ref="Z18:AA18"/>
    <mergeCell ref="Z19:AA19"/>
    <mergeCell ref="Z20:AA20"/>
    <mergeCell ref="Z21:AA21"/>
    <mergeCell ref="Z22:AA22"/>
    <mergeCell ref="Z10:AA10"/>
    <mergeCell ref="Z11:AA11"/>
    <mergeCell ref="Z12:AA12"/>
    <mergeCell ref="Z13:AA13"/>
    <mergeCell ref="Z14:AA14"/>
    <mergeCell ref="Z23:AA23"/>
    <mergeCell ref="Z24:AA24"/>
    <mergeCell ref="Z25:AA25"/>
    <mergeCell ref="Z15:AA15"/>
    <mergeCell ref="S5:S15"/>
    <mergeCell ref="Z5:AA5"/>
    <mergeCell ref="AD5:AD15"/>
    <mergeCell ref="Z6:AA6"/>
    <mergeCell ref="Z7:AA7"/>
    <mergeCell ref="Z8:AA8"/>
    <mergeCell ref="Z9:AA9"/>
    <mergeCell ref="T3:U3"/>
    <mergeCell ref="V3:V4"/>
    <mergeCell ref="W3:W4"/>
    <mergeCell ref="X3:Y3"/>
    <mergeCell ref="Z3:AA4"/>
    <mergeCell ref="AB3:AB4"/>
    <mergeCell ref="S3:S4"/>
    <mergeCell ref="A2:B2"/>
    <mergeCell ref="A3:A4"/>
    <mergeCell ref="B3:B4"/>
    <mergeCell ref="D3:E4"/>
    <mergeCell ref="F3:F4"/>
    <mergeCell ref="G3:G4"/>
    <mergeCell ref="J1:L2"/>
    <mergeCell ref="M1:O2"/>
    <mergeCell ref="D15:E15"/>
    <mergeCell ref="A5:A15"/>
    <mergeCell ref="N3:N4"/>
    <mergeCell ref="O3:O4"/>
    <mergeCell ref="P1:S2"/>
    <mergeCell ref="T1:Y2"/>
    <mergeCell ref="Z1:AA2"/>
    <mergeCell ref="AB1:AD2"/>
    <mergeCell ref="H3:H4"/>
    <mergeCell ref="I3:I4"/>
    <mergeCell ref="J3:J4"/>
    <mergeCell ref="K3:K4"/>
    <mergeCell ref="L3:L4"/>
    <mergeCell ref="M3:M4"/>
    <mergeCell ref="AC3:AC4"/>
    <mergeCell ref="AD3:AD4"/>
    <mergeCell ref="P3:P4"/>
    <mergeCell ref="Q3:Q4"/>
    <mergeCell ref="R3:R4"/>
  </mergeCells>
  <phoneticPr fontId="2" type="noConversion"/>
  <conditionalFormatting sqref="P5:P79">
    <cfRule type="cellIs" dxfId="108" priority="1" operator="greaterThan">
      <formula>0</formula>
    </cfRule>
  </conditionalFormatting>
  <conditionalFormatting sqref="Q5:Q79 AB5:AB79">
    <cfRule type="cellIs" dxfId="107" priority="4" operator="lessThan">
      <formula>0</formula>
    </cfRule>
  </conditionalFormatting>
  <conditionalFormatting sqref="R5:R79 AC5:AC79">
    <cfRule type="cellIs" dxfId="106" priority="2" operator="greaterThan">
      <formula>1</formula>
    </cfRule>
    <cfRule type="cellIs" dxfId="105" priority="3" operator="lessThan">
      <formula>0.8</formula>
    </cfRule>
  </conditionalFormatting>
  <conditionalFormatting sqref="S5:S10 S37:S62 AD59:AD62 S69:S76 AD69:AD76">
    <cfRule type="cellIs" dxfId="104" priority="7" operator="lessThan">
      <formula>0.8</formula>
    </cfRule>
  </conditionalFormatting>
  <conditionalFormatting sqref="S19:S25 AD19:AD25">
    <cfRule type="cellIs" dxfId="103" priority="6" operator="lessThan">
      <formula>0.8</formula>
    </cfRule>
  </conditionalFormatting>
  <conditionalFormatting sqref="S79">
    <cfRule type="cellIs" dxfId="102" priority="5" operator="lessThan">
      <formula>0.8</formula>
    </cfRule>
  </conditionalFormatting>
  <conditionalFormatting sqref="AD5:AD8 S15:S16 AD15:AD16 AD49 AD79">
    <cfRule type="cellIs" dxfId="101" priority="9" operator="lessThan">
      <formula>0.8</formula>
    </cfRule>
  </conditionalFormatting>
  <conditionalFormatting sqref="AD27 S27:S28">
    <cfRule type="cellIs" dxfId="10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74127CA-27C5-4554-9AD1-68E7F05E91FD}">
          <x14:formula1>
            <xm:f>廠價表!$C$2:$C$37</xm:f>
          </x14:formula1>
          <xm:sqref>D1:D1048576</xm:sqref>
        </x14:dataValidation>
      </x14:dataValidation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EDB1E-1D61-4ACA-84E4-E53D28F3EE71}">
  <sheetPr>
    <pageSetUpPr fitToPage="1"/>
  </sheetPr>
  <dimension ref="B1:O22"/>
  <sheetViews>
    <sheetView topLeftCell="A2" zoomScale="70" zoomScaleNormal="70" workbookViewId="0">
      <selection activeCell="D3" sqref="D3:E4"/>
    </sheetView>
  </sheetViews>
  <sheetFormatPr defaultColWidth="8.125" defaultRowHeight="15.75"/>
  <cols>
    <col min="1" max="1" width="8.125" style="203"/>
    <col min="2" max="2" width="7.125" style="203" customWidth="1"/>
    <col min="3" max="3" width="7.125" style="218" customWidth="1"/>
    <col min="4" max="17" width="14.125" style="203" customWidth="1"/>
    <col min="18" max="21" width="9.625" style="203" customWidth="1"/>
    <col min="22" max="22" width="11.125" style="203" customWidth="1"/>
    <col min="23" max="23" width="11.5" style="203" customWidth="1"/>
    <col min="24" max="16384" width="8.125" style="203"/>
  </cols>
  <sheetData>
    <row r="1" spans="2:15" ht="27.75" customHeight="1">
      <c r="B1" s="345" t="s">
        <v>73</v>
      </c>
      <c r="C1" s="345"/>
      <c r="D1" s="345"/>
      <c r="E1" s="345"/>
      <c r="F1" s="345"/>
      <c r="G1" s="345"/>
      <c r="H1" s="345"/>
      <c r="I1" s="345"/>
      <c r="J1" s="345"/>
      <c r="K1" s="345"/>
      <c r="L1" s="202"/>
      <c r="M1" s="202"/>
    </row>
    <row r="2" spans="2:15" ht="27.75" customHeight="1"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202"/>
      <c r="M2" s="202"/>
    </row>
    <row r="3" spans="2:15" ht="46.5" customHeight="1">
      <c r="B3" s="342" t="s">
        <v>74</v>
      </c>
      <c r="C3" s="342"/>
      <c r="D3" s="346">
        <v>45982</v>
      </c>
      <c r="E3" s="346"/>
      <c r="F3" s="204" t="s">
        <v>75</v>
      </c>
      <c r="G3" s="347">
        <f>'1121'!E1</f>
        <v>38475</v>
      </c>
      <c r="H3" s="347"/>
      <c r="I3" s="204" t="s">
        <v>76</v>
      </c>
      <c r="J3" s="348">
        <f>'1121'!G1</f>
        <v>1859601.8399999999</v>
      </c>
      <c r="K3" s="348"/>
      <c r="L3" s="205"/>
    </row>
    <row r="4" spans="2:15" ht="24" customHeight="1">
      <c r="B4" s="342" t="s">
        <v>77</v>
      </c>
      <c r="C4" s="342"/>
      <c r="D4" s="343">
        <v>3</v>
      </c>
      <c r="E4" s="343"/>
      <c r="F4" s="344" t="s">
        <v>78</v>
      </c>
      <c r="G4" s="344"/>
      <c r="H4" s="344" t="s">
        <v>79</v>
      </c>
      <c r="I4" s="344"/>
      <c r="J4" s="343" t="s">
        <v>80</v>
      </c>
      <c r="K4" s="344"/>
      <c r="L4" s="206"/>
    </row>
    <row r="5" spans="2:15" ht="24" customHeight="1">
      <c r="B5" s="342" t="s">
        <v>81</v>
      </c>
      <c r="C5" s="342"/>
      <c r="D5" s="343" t="s">
        <v>82</v>
      </c>
      <c r="E5" s="343"/>
      <c r="F5" s="343" t="s">
        <v>83</v>
      </c>
      <c r="G5" s="343"/>
      <c r="H5" s="369" t="s">
        <v>62</v>
      </c>
      <c r="I5" s="369"/>
      <c r="J5" s="341" t="s">
        <v>84</v>
      </c>
      <c r="K5" s="341"/>
      <c r="L5" s="207"/>
    </row>
    <row r="6" spans="2:15" ht="39.6" customHeight="1">
      <c r="B6" s="342"/>
      <c r="C6" s="342"/>
      <c r="D6" s="342" t="s">
        <v>85</v>
      </c>
      <c r="E6" s="342"/>
      <c r="F6" s="356">
        <f>AVERAGE(D13:J13)</f>
        <v>112.10329012471685</v>
      </c>
      <c r="G6" s="356"/>
      <c r="H6" s="349">
        <f>AVERAGE(D13:H13)</f>
        <v>109.10941823513031</v>
      </c>
      <c r="I6" s="349"/>
      <c r="J6" s="349">
        <f>AVERAGE(I13:J13)</f>
        <v>127.07264957264958</v>
      </c>
      <c r="K6" s="349"/>
      <c r="L6" s="207"/>
    </row>
    <row r="7" spans="2:15" s="208" customFormat="1" ht="39.6" customHeight="1">
      <c r="B7" s="342"/>
      <c r="C7" s="342"/>
      <c r="D7" s="350" t="s">
        <v>86</v>
      </c>
      <c r="E7" s="350"/>
      <c r="F7" s="351">
        <f>AVERAGE(D14:J14)</f>
        <v>96.905824404030966</v>
      </c>
      <c r="G7" s="351"/>
      <c r="H7" s="352">
        <f>AVERAGE(D14:H14)</f>
        <v>94.257068390129021</v>
      </c>
      <c r="I7" s="352"/>
      <c r="J7" s="352">
        <f>AVERAGE(I14:J14)</f>
        <v>110.14960447354072</v>
      </c>
      <c r="K7" s="352"/>
    </row>
    <row r="8" spans="2:15" s="208" customFormat="1" ht="39.6" customHeight="1">
      <c r="B8" s="342"/>
      <c r="C8" s="342"/>
      <c r="D8" s="350" t="s">
        <v>87</v>
      </c>
      <c r="E8" s="350"/>
      <c r="F8" s="353">
        <f>AVERAGE(D15:J15)</f>
        <v>0.86393430115587</v>
      </c>
      <c r="G8" s="353"/>
      <c r="H8" s="353">
        <f>AVERAGE(D15:H15)</f>
        <v>0.86335638959078698</v>
      </c>
      <c r="I8" s="353"/>
      <c r="J8" s="353">
        <f>AVERAGE(I15:J15)</f>
        <v>0.86682385898128556</v>
      </c>
      <c r="K8" s="353"/>
      <c r="L8" s="209" t="s">
        <v>88</v>
      </c>
    </row>
    <row r="9" spans="2:15" ht="25.5" customHeight="1">
      <c r="B9" s="207"/>
      <c r="C9" s="207"/>
      <c r="D9" s="207"/>
      <c r="E9" s="207"/>
      <c r="F9" s="207"/>
      <c r="G9" s="207"/>
      <c r="H9" s="210"/>
      <c r="I9" s="211"/>
      <c r="J9" s="211"/>
      <c r="K9" s="211"/>
      <c r="L9" s="211"/>
      <c r="M9" s="211"/>
      <c r="N9" s="211"/>
      <c r="O9" s="207"/>
    </row>
    <row r="10" spans="2:15" ht="30" customHeight="1">
      <c r="B10" s="354" t="s">
        <v>0</v>
      </c>
      <c r="C10" s="355"/>
      <c r="D10" s="357" t="s">
        <v>89</v>
      </c>
      <c r="E10" s="358"/>
      <c r="F10" s="358"/>
      <c r="G10" s="358"/>
      <c r="H10" s="358"/>
      <c r="I10" s="358"/>
      <c r="J10" s="359"/>
    </row>
    <row r="11" spans="2:15" ht="17.25" customHeight="1">
      <c r="B11" s="360" t="s">
        <v>90</v>
      </c>
      <c r="C11" s="361"/>
      <c r="D11" s="212">
        <v>1</v>
      </c>
      <c r="E11" s="212">
        <v>2</v>
      </c>
      <c r="F11" s="212">
        <v>3</v>
      </c>
      <c r="G11" s="212">
        <v>4</v>
      </c>
      <c r="H11" s="212">
        <v>5</v>
      </c>
      <c r="I11" s="212">
        <v>6</v>
      </c>
      <c r="J11" s="212">
        <v>7</v>
      </c>
    </row>
    <row r="12" spans="2:15" ht="33.950000000000003" customHeight="1">
      <c r="B12" s="362"/>
      <c r="C12" s="363"/>
      <c r="D12" s="213" t="s">
        <v>91</v>
      </c>
      <c r="E12" s="213" t="s">
        <v>92</v>
      </c>
      <c r="F12" s="213" t="s">
        <v>93</v>
      </c>
      <c r="G12" s="213" t="s">
        <v>94</v>
      </c>
      <c r="H12" s="213" t="s">
        <v>95</v>
      </c>
      <c r="I12" s="213" t="s">
        <v>96</v>
      </c>
      <c r="J12" s="213" t="s">
        <v>97</v>
      </c>
    </row>
    <row r="13" spans="2:15" ht="39.950000000000003" customHeight="1">
      <c r="B13" s="364" t="s">
        <v>1</v>
      </c>
      <c r="C13" s="214" t="s">
        <v>98</v>
      </c>
      <c r="D13" s="215">
        <f>VALUE('1121'!L15)</f>
        <v>129.29621848739495</v>
      </c>
      <c r="E13" s="215">
        <f>VALUE('1121'!L26)</f>
        <v>133.46428571428572</v>
      </c>
      <c r="F13" s="215">
        <f>VALUE('1121'!L37)</f>
        <v>93.334150326797385</v>
      </c>
      <c r="G13" s="215">
        <f>VALUE('1121'!L48)</f>
        <v>99.033333333333331</v>
      </c>
      <c r="H13" s="215">
        <f>VALUE('1121'!L58)</f>
        <v>90.419103313840154</v>
      </c>
      <c r="I13" s="215">
        <f>VALUE('1121'!L69)</f>
        <v>127.07264957264958</v>
      </c>
      <c r="J13" s="215"/>
    </row>
    <row r="14" spans="2:15" ht="39.950000000000003" customHeight="1">
      <c r="B14" s="365"/>
      <c r="C14" s="214" t="s">
        <v>99</v>
      </c>
      <c r="D14" s="215">
        <f>VALUE('1121'!O15)</f>
        <v>106.83766776992428</v>
      </c>
      <c r="E14" s="215">
        <f>VALUE('1121'!O26)</f>
        <v>123.52612622185525</v>
      </c>
      <c r="F14" s="215">
        <f>VALUE('1121'!O37)</f>
        <v>79.620629370629416</v>
      </c>
      <c r="G14" s="215">
        <f>VALUE('1121'!O48)</f>
        <v>74.898659692710041</v>
      </c>
      <c r="H14" s="215">
        <f>VALUE('1121'!O58)</f>
        <v>86.402258895526089</v>
      </c>
      <c r="I14" s="215">
        <f>VALUE('1121'!O69)</f>
        <v>110.14960447354072</v>
      </c>
      <c r="J14" s="215"/>
    </row>
    <row r="15" spans="2:15" ht="39.950000000000003" customHeight="1">
      <c r="B15" s="366"/>
      <c r="C15" s="212" t="s">
        <v>100</v>
      </c>
      <c r="D15" s="233">
        <f>D14/D13</f>
        <v>0.82630156565901303</v>
      </c>
      <c r="E15" s="233">
        <f t="shared" ref="E15:I15" si="0">E14/E13</f>
        <v>0.92553693717204888</v>
      </c>
      <c r="F15" s="233">
        <f t="shared" si="0"/>
        <v>0.85307070447256594</v>
      </c>
      <c r="G15" s="233">
        <f t="shared" si="0"/>
        <v>0.75629747249454771</v>
      </c>
      <c r="H15" s="233">
        <f t="shared" si="0"/>
        <v>0.95557526815575911</v>
      </c>
      <c r="I15" s="233">
        <f t="shared" si="0"/>
        <v>0.86682385898128556</v>
      </c>
      <c r="J15" s="233"/>
    </row>
    <row r="16" spans="2:15" ht="17.25" customHeight="1">
      <c r="B16" s="367" t="s">
        <v>101</v>
      </c>
      <c r="C16" s="212" t="s">
        <v>102</v>
      </c>
      <c r="D16" s="95">
        <f>'1121'!T5</f>
        <v>0.2902777777777778</v>
      </c>
      <c r="E16" s="95">
        <f>'1121'!T16</f>
        <v>0.2902777777777778</v>
      </c>
      <c r="F16" s="95">
        <f>'1121'!T27</f>
        <v>0.29166666666666669</v>
      </c>
      <c r="G16" s="95">
        <f>'1121'!T38</f>
        <v>0.33055555555555555</v>
      </c>
      <c r="H16" s="95">
        <f>'1121'!T49</f>
        <v>0.28888888888888886</v>
      </c>
      <c r="I16" s="95">
        <f>'1121'!T59</f>
        <v>0.2902777777777778</v>
      </c>
      <c r="J16" s="272"/>
    </row>
    <row r="17" spans="2:10" ht="17.25" customHeight="1">
      <c r="B17" s="368"/>
      <c r="C17" s="212" t="s">
        <v>103</v>
      </c>
      <c r="D17" s="20">
        <v>0.5</v>
      </c>
      <c r="E17" s="79">
        <v>0.48958333333333331</v>
      </c>
      <c r="F17" s="41">
        <v>0.59027777777777779</v>
      </c>
      <c r="G17" s="75">
        <v>0.46527777777777779</v>
      </c>
      <c r="H17" s="44">
        <v>0.60555555555555551</v>
      </c>
      <c r="I17" s="20">
        <v>0.4861111111111111</v>
      </c>
      <c r="J17" s="20"/>
    </row>
    <row r="18" spans="2:10" ht="17.25" customHeight="1">
      <c r="B18" s="354" t="s">
        <v>104</v>
      </c>
      <c r="C18" s="355"/>
      <c r="D18" s="216">
        <f>VALUE('1121'!M15)</f>
        <v>15</v>
      </c>
      <c r="E18" s="216">
        <f>VALUE('1121'!M26)</f>
        <v>14.5</v>
      </c>
      <c r="F18" s="216">
        <f>VALUE('1121'!M37)</f>
        <v>15</v>
      </c>
      <c r="G18" s="216">
        <f>VALUE('1121'!M48)</f>
        <v>14</v>
      </c>
      <c r="H18" s="216">
        <f>VALUE('1121'!M58)</f>
        <v>16</v>
      </c>
      <c r="I18" s="216">
        <f>VALUE('1121'!M69)</f>
        <v>12.333333333333334</v>
      </c>
      <c r="J18" s="216"/>
    </row>
    <row r="19" spans="2:10" ht="17.25" customHeight="1">
      <c r="B19" s="354" t="s">
        <v>105</v>
      </c>
      <c r="C19" s="355"/>
      <c r="D19" s="213" t="s">
        <v>106</v>
      </c>
      <c r="E19" s="213" t="s">
        <v>106</v>
      </c>
      <c r="F19" s="213" t="s">
        <v>107</v>
      </c>
      <c r="G19" s="213" t="s">
        <v>107</v>
      </c>
      <c r="H19" s="213" t="s">
        <v>107</v>
      </c>
      <c r="I19" s="213" t="s">
        <v>108</v>
      </c>
      <c r="J19" s="213"/>
    </row>
    <row r="20" spans="2:10" ht="17.25" customHeight="1">
      <c r="B20" s="354" t="s">
        <v>110</v>
      </c>
      <c r="C20" s="355"/>
      <c r="D20" s="213"/>
      <c r="E20" s="213"/>
      <c r="F20" s="213"/>
      <c r="G20" s="217"/>
      <c r="H20" s="213" t="s">
        <v>109</v>
      </c>
      <c r="I20" s="213"/>
      <c r="J20" s="213"/>
    </row>
    <row r="21" spans="2:10" ht="17.25" customHeight="1">
      <c r="B21" s="354" t="s">
        <v>111</v>
      </c>
      <c r="C21" s="355"/>
      <c r="D21" s="273"/>
      <c r="E21" s="273"/>
      <c r="F21" s="273"/>
      <c r="G21" s="273"/>
      <c r="H21" s="273"/>
      <c r="I21" s="273"/>
      <c r="J21" s="273"/>
    </row>
    <row r="22" spans="2:10">
      <c r="B22" s="370"/>
      <c r="C22" s="370"/>
    </row>
  </sheetData>
  <mergeCells count="37">
    <mergeCell ref="J5:K5"/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J6:K6"/>
    <mergeCell ref="D7:E7"/>
    <mergeCell ref="F7:G7"/>
    <mergeCell ref="H7:I7"/>
    <mergeCell ref="J7:K7"/>
    <mergeCell ref="H8:I8"/>
    <mergeCell ref="B18:C18"/>
    <mergeCell ref="B19:C19"/>
    <mergeCell ref="D6:E6"/>
    <mergeCell ref="F6:G6"/>
    <mergeCell ref="H6:I6"/>
    <mergeCell ref="D10:J10"/>
    <mergeCell ref="B11:C12"/>
    <mergeCell ref="B13:B15"/>
    <mergeCell ref="B16:B17"/>
    <mergeCell ref="B10:C10"/>
    <mergeCell ref="J8:K8"/>
    <mergeCell ref="B5:C8"/>
    <mergeCell ref="D5:E5"/>
    <mergeCell ref="F5:G5"/>
    <mergeCell ref="H5:I5"/>
    <mergeCell ref="B20:C20"/>
    <mergeCell ref="B21:C21"/>
    <mergeCell ref="B22:C22"/>
    <mergeCell ref="D8:E8"/>
    <mergeCell ref="F8:G8"/>
  </mergeCells>
  <phoneticPr fontId="2" type="noConversion"/>
  <conditionalFormatting sqref="D15:J15">
    <cfRule type="cellIs" dxfId="99" priority="1" operator="lessThan">
      <formula>0.8</formula>
    </cfRule>
  </conditionalFormatting>
  <pageMargins left="0.7" right="0.7" top="0.75" bottom="0.75" header="0.3" footer="0.3"/>
  <pageSetup paperSize="8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7656C-F0F2-4D6B-A5DE-86C59E7C4B1D}">
  <sheetPr>
    <tabColor theme="9" tint="0.79998168889431442"/>
    <pageSetUpPr fitToPage="1"/>
  </sheetPr>
  <dimension ref="A1:AF92"/>
  <sheetViews>
    <sheetView zoomScale="69" zoomScaleNormal="69" workbookViewId="0">
      <pane xSplit="5" ySplit="4" topLeftCell="F62" activePane="bottomRight" state="frozen"/>
      <selection activeCell="D4" sqref="D4:E4"/>
      <selection pane="topRight" activeCell="D4" sqref="D4:E4"/>
      <selection pane="bottomLeft" activeCell="D4" sqref="D4:E4"/>
      <selection pane="bottomRight" activeCell="S70" sqref="S70:S79"/>
    </sheetView>
  </sheetViews>
  <sheetFormatPr defaultColWidth="7.875" defaultRowHeight="15.75"/>
  <cols>
    <col min="1" max="1" width="15" style="6" customWidth="1"/>
    <col min="2" max="2" width="12.875" style="6" customWidth="1"/>
    <col min="3" max="3" width="12.875" style="6" hidden="1" customWidth="1"/>
    <col min="4" max="4" width="26.125" style="6" bestFit="1" customWidth="1"/>
    <col min="5" max="5" width="15" style="6" customWidth="1"/>
    <col min="6" max="6" width="8.875" style="6" bestFit="1" customWidth="1"/>
    <col min="7" max="7" width="20.125" style="6" bestFit="1" customWidth="1"/>
    <col min="8" max="8" width="16.375" style="6" bestFit="1" customWidth="1"/>
    <col min="9" max="9" width="10.875" style="6" bestFit="1" customWidth="1"/>
    <col min="10" max="10" width="10.125" style="6" bestFit="1" customWidth="1"/>
    <col min="11" max="11" width="10.625" style="6" customWidth="1"/>
    <col min="12" max="12" width="14.5" style="6" customWidth="1"/>
    <col min="13" max="13" width="10.125" style="6" bestFit="1" customWidth="1"/>
    <col min="14" max="14" width="10.25" style="6" bestFit="1" customWidth="1"/>
    <col min="15" max="15" width="11.875" style="6" customWidth="1"/>
    <col min="16" max="17" width="9.125" style="6" bestFit="1" customWidth="1"/>
    <col min="18" max="18" width="9.125" style="6" customWidth="1"/>
    <col min="19" max="19" width="8.375" style="6" customWidth="1"/>
    <col min="20" max="21" width="9.375" style="6" bestFit="1" customWidth="1"/>
    <col min="22" max="22" width="10.625" style="6" customWidth="1"/>
    <col min="23" max="23" width="8.625" style="92" customWidth="1"/>
    <col min="24" max="24" width="7.5" style="6" bestFit="1" customWidth="1"/>
    <col min="25" max="25" width="6.875" style="6" customWidth="1"/>
    <col min="26" max="26" width="12.625" style="6" customWidth="1"/>
    <col min="27" max="27" width="33.375" style="6" customWidth="1"/>
    <col min="28" max="28" width="13.125" style="6" bestFit="1" customWidth="1"/>
    <col min="29" max="29" width="10.375" style="6" customWidth="1"/>
    <col min="30" max="30" width="9.125" style="6" customWidth="1"/>
    <col min="31" max="31" width="7.875" style="6"/>
    <col min="32" max="32" width="24.5" style="6" bestFit="1" customWidth="1"/>
    <col min="33" max="16384" width="7.875" style="6"/>
  </cols>
  <sheetData>
    <row r="1" spans="1:30" ht="21">
      <c r="A1" s="2" t="s">
        <v>72</v>
      </c>
      <c r="B1" s="2"/>
      <c r="C1" s="2"/>
      <c r="D1" s="176" t="s">
        <v>8</v>
      </c>
      <c r="E1" s="3">
        <f>SUM(G5:G79)</f>
        <v>38475</v>
      </c>
      <c r="F1" s="177" t="s">
        <v>9</v>
      </c>
      <c r="G1" s="4">
        <f>SUM(H5:H79)</f>
        <v>1859601.8399999999</v>
      </c>
      <c r="H1" s="175" t="s">
        <v>10</v>
      </c>
      <c r="I1" s="5">
        <f>M15+M26+M48+M58+M69+M79+M37</f>
        <v>86.833333333333329</v>
      </c>
      <c r="J1" s="371" t="s">
        <v>11</v>
      </c>
      <c r="K1" s="371"/>
      <c r="L1" s="371"/>
      <c r="M1" s="371" t="s">
        <v>12</v>
      </c>
      <c r="N1" s="371"/>
      <c r="O1" s="371"/>
      <c r="P1" s="371" t="s">
        <v>13</v>
      </c>
      <c r="Q1" s="371"/>
      <c r="R1" s="371"/>
      <c r="S1" s="371"/>
      <c r="T1" s="371" t="s">
        <v>14</v>
      </c>
      <c r="U1" s="371"/>
      <c r="V1" s="371"/>
      <c r="W1" s="371"/>
      <c r="X1" s="371"/>
      <c r="Y1" s="371"/>
      <c r="Z1" s="371" t="s">
        <v>15</v>
      </c>
      <c r="AA1" s="371"/>
      <c r="AB1" s="371" t="s">
        <v>16</v>
      </c>
      <c r="AC1" s="372"/>
      <c r="AD1" s="372"/>
    </row>
    <row r="2" spans="1:30" ht="18.75">
      <c r="A2" s="409" t="s">
        <v>230</v>
      </c>
      <c r="B2" s="409"/>
      <c r="C2" s="176"/>
      <c r="D2" s="176" t="s">
        <v>1</v>
      </c>
      <c r="E2" s="7">
        <f>AVERAGE(O15,O26,O37,O48,O58,O69,O79)</f>
        <v>96.905824404030966</v>
      </c>
      <c r="F2" s="8" t="s">
        <v>2</v>
      </c>
      <c r="G2" s="9">
        <f>G1/E1</f>
        <v>48.332731384015588</v>
      </c>
      <c r="H2" s="175" t="s">
        <v>17</v>
      </c>
      <c r="I2" s="175">
        <f>COUNT(I5:I79)</f>
        <v>0</v>
      </c>
      <c r="J2" s="371"/>
      <c r="K2" s="371"/>
      <c r="L2" s="371"/>
      <c r="M2" s="371"/>
      <c r="N2" s="371"/>
      <c r="O2" s="371"/>
      <c r="P2" s="371"/>
      <c r="Q2" s="371"/>
      <c r="R2" s="371"/>
      <c r="S2" s="371"/>
      <c r="T2" s="371"/>
      <c r="U2" s="371"/>
      <c r="V2" s="371"/>
      <c r="W2" s="371"/>
      <c r="X2" s="371"/>
      <c r="Y2" s="371"/>
      <c r="Z2" s="371"/>
      <c r="AA2" s="371"/>
      <c r="AB2" s="372"/>
      <c r="AC2" s="372"/>
      <c r="AD2" s="372"/>
    </row>
    <row r="3" spans="1:30">
      <c r="A3" s="405" t="s">
        <v>18</v>
      </c>
      <c r="B3" s="405" t="s">
        <v>19</v>
      </c>
      <c r="C3" s="177"/>
      <c r="D3" s="405" t="s">
        <v>20</v>
      </c>
      <c r="E3" s="405"/>
      <c r="F3" s="379" t="s">
        <v>21</v>
      </c>
      <c r="G3" s="389" t="s">
        <v>22</v>
      </c>
      <c r="H3" s="379" t="s">
        <v>23</v>
      </c>
      <c r="I3" s="381" t="s">
        <v>24</v>
      </c>
      <c r="J3" s="383" t="s">
        <v>25</v>
      </c>
      <c r="K3" s="385" t="s">
        <v>26</v>
      </c>
      <c r="L3" s="387" t="s">
        <v>1</v>
      </c>
      <c r="M3" s="389" t="s">
        <v>25</v>
      </c>
      <c r="N3" s="385" t="s">
        <v>26</v>
      </c>
      <c r="O3" s="387" t="s">
        <v>1</v>
      </c>
      <c r="P3" s="383" t="s">
        <v>25</v>
      </c>
      <c r="Q3" s="387" t="s">
        <v>1</v>
      </c>
      <c r="R3" s="392" t="s">
        <v>27</v>
      </c>
      <c r="S3" s="394" t="s">
        <v>28</v>
      </c>
      <c r="T3" s="389" t="s">
        <v>4</v>
      </c>
      <c r="U3" s="389"/>
      <c r="V3" s="408" t="s">
        <v>29</v>
      </c>
      <c r="W3" s="381" t="s">
        <v>30</v>
      </c>
      <c r="X3" s="389" t="s">
        <v>31</v>
      </c>
      <c r="Y3" s="389"/>
      <c r="Z3" s="415" t="s">
        <v>71</v>
      </c>
      <c r="AA3" s="416"/>
      <c r="AB3" s="385" t="s">
        <v>26</v>
      </c>
      <c r="AC3" s="392" t="s">
        <v>27</v>
      </c>
      <c r="AD3" s="394" t="s">
        <v>28</v>
      </c>
    </row>
    <row r="4" spans="1:30" ht="16.5" thickBot="1">
      <c r="A4" s="379"/>
      <c r="B4" s="379"/>
      <c r="C4" s="178"/>
      <c r="D4" s="379"/>
      <c r="E4" s="379"/>
      <c r="F4" s="380"/>
      <c r="G4" s="390"/>
      <c r="H4" s="380"/>
      <c r="I4" s="382"/>
      <c r="J4" s="384"/>
      <c r="K4" s="386"/>
      <c r="L4" s="388"/>
      <c r="M4" s="390"/>
      <c r="N4" s="386"/>
      <c r="O4" s="388"/>
      <c r="P4" s="384"/>
      <c r="Q4" s="388"/>
      <c r="R4" s="393"/>
      <c r="S4" s="395"/>
      <c r="T4" s="179" t="s">
        <v>5</v>
      </c>
      <c r="U4" s="179" t="s">
        <v>6</v>
      </c>
      <c r="V4" s="390"/>
      <c r="W4" s="382"/>
      <c r="X4" s="178" t="s">
        <v>32</v>
      </c>
      <c r="Y4" s="178" t="s">
        <v>33</v>
      </c>
      <c r="Z4" s="417"/>
      <c r="AA4" s="417"/>
      <c r="AB4" s="386"/>
      <c r="AC4" s="393"/>
      <c r="AD4" s="395"/>
    </row>
    <row r="5" spans="1:30" ht="15" customHeight="1">
      <c r="A5" s="411" t="s">
        <v>66</v>
      </c>
      <c r="B5" s="199" t="str">
        <f>VLOOKUP(D5,廠價表!$C$1:$E$39,2,0)</f>
        <v>義大利麵</v>
      </c>
      <c r="C5" s="102"/>
      <c r="D5" s="103" t="s">
        <v>206</v>
      </c>
      <c r="E5" s="104"/>
      <c r="F5" s="199">
        <f>VLOOKUP(D5,廠價表!$C$1:$E$39,3,0)</f>
        <v>56.43</v>
      </c>
      <c r="G5" s="105">
        <v>1144</v>
      </c>
      <c r="H5" s="106">
        <f>F5*G5</f>
        <v>64555.92</v>
      </c>
      <c r="I5" s="107"/>
      <c r="J5" s="16">
        <v>15</v>
      </c>
      <c r="K5" s="105">
        <v>1800</v>
      </c>
      <c r="L5" s="109">
        <f>K5/J5</f>
        <v>120</v>
      </c>
      <c r="M5" s="110">
        <v>15</v>
      </c>
      <c r="N5" s="105">
        <f t="shared" ref="N5:N8" si="0">G5/W5*60</f>
        <v>1560</v>
      </c>
      <c r="O5" s="109">
        <f t="shared" ref="O5:O8" si="1">N5/M5</f>
        <v>104</v>
      </c>
      <c r="P5" s="111">
        <f t="shared" ref="P5:P8" si="2">M5-J5</f>
        <v>0</v>
      </c>
      <c r="Q5" s="112">
        <f t="shared" ref="Q5:Q8" si="3">O5-L5</f>
        <v>-16</v>
      </c>
      <c r="R5" s="184">
        <f t="shared" ref="R5:R8" si="4">O5/L5</f>
        <v>0.8666666666666667</v>
      </c>
      <c r="S5" s="396">
        <f>R15</f>
        <v>0.82630156565901303</v>
      </c>
      <c r="T5" s="94">
        <v>0.2902777777777778</v>
      </c>
      <c r="U5" s="94">
        <v>0.32083333333333336</v>
      </c>
      <c r="V5" s="194"/>
      <c r="W5" s="107">
        <f t="shared" ref="W5:W14" si="5">(U5-T5)*24*60</f>
        <v>44</v>
      </c>
      <c r="X5" s="188"/>
      <c r="Y5" s="188"/>
      <c r="Z5" s="400"/>
      <c r="AA5" s="400"/>
      <c r="AB5" s="111">
        <f>N5-K5</f>
        <v>-240</v>
      </c>
      <c r="AC5" s="184">
        <f>N5/K5</f>
        <v>0.8666666666666667</v>
      </c>
      <c r="AD5" s="401">
        <f>AC15</f>
        <v>0.83169242313459868</v>
      </c>
    </row>
    <row r="6" spans="1:30" ht="15" customHeight="1">
      <c r="A6" s="412"/>
      <c r="B6" s="56" t="str">
        <f>VLOOKUP(D6,廠價表!$C$1:$E$39,2,0)</f>
        <v>義大利麵</v>
      </c>
      <c r="C6" s="10"/>
      <c r="D6" s="11" t="s">
        <v>139</v>
      </c>
      <c r="E6" s="86"/>
      <c r="F6" s="56">
        <f>VLOOKUP(D6,廠價表!$C$1:$E$39,3,0)</f>
        <v>57.21</v>
      </c>
      <c r="G6" s="25">
        <v>1537</v>
      </c>
      <c r="H6" s="15">
        <f t="shared" ref="H6:H14" si="6">F6*G6</f>
        <v>87931.77</v>
      </c>
      <c r="I6" s="182"/>
      <c r="J6" s="16">
        <f>VLOOKUP(D6,產線配置圖!$A$2:$C$38,2,0)</f>
        <v>17</v>
      </c>
      <c r="K6" s="14">
        <f>VLOOKUP(D6,產線配置圖!$A$2:$C$38,3,0)</f>
        <v>1895</v>
      </c>
      <c r="L6" s="17">
        <f>K6/J6</f>
        <v>111.47058823529412</v>
      </c>
      <c r="M6" s="180">
        <v>17</v>
      </c>
      <c r="N6" s="14">
        <f t="shared" si="0"/>
        <v>1773.4615384615395</v>
      </c>
      <c r="O6" s="17">
        <f t="shared" si="1"/>
        <v>104.32126696832586</v>
      </c>
      <c r="P6" s="18">
        <f t="shared" si="2"/>
        <v>0</v>
      </c>
      <c r="Q6" s="19">
        <f t="shared" si="3"/>
        <v>-7.1493212669682578</v>
      </c>
      <c r="R6" s="185">
        <f t="shared" si="4"/>
        <v>0.93586360868682827</v>
      </c>
      <c r="S6" s="397"/>
      <c r="T6" s="95">
        <v>0.32916666666666666</v>
      </c>
      <c r="U6" s="95">
        <v>0.36527777777777776</v>
      </c>
      <c r="V6" s="177">
        <f>(T6-U5)*24*60</f>
        <v>11.999999999999957</v>
      </c>
      <c r="W6" s="182">
        <f t="shared" si="5"/>
        <v>51.999999999999972</v>
      </c>
      <c r="X6" s="22"/>
      <c r="Y6" s="22"/>
      <c r="Z6" s="381"/>
      <c r="AA6" s="381"/>
      <c r="AB6" s="18">
        <f>N6-K6</f>
        <v>-121.53846153846052</v>
      </c>
      <c r="AC6" s="185">
        <f>N6/K6</f>
        <v>0.93586360868682827</v>
      </c>
      <c r="AD6" s="402"/>
    </row>
    <row r="7" spans="1:30" ht="15" customHeight="1">
      <c r="A7" s="412"/>
      <c r="B7" s="56" t="str">
        <f>VLOOKUP(D7,廠價表!$C$1:$E$39,2,0)</f>
        <v>義大利麵</v>
      </c>
      <c r="C7" s="10"/>
      <c r="D7" s="11" t="s">
        <v>141</v>
      </c>
      <c r="E7" s="86"/>
      <c r="F7" s="56">
        <f>VLOOKUP(D7,廠價表!$C$1:$E$39,3,0)</f>
        <v>49.14</v>
      </c>
      <c r="G7" s="25">
        <v>3572</v>
      </c>
      <c r="H7" s="15">
        <f t="shared" si="6"/>
        <v>175528.08000000002</v>
      </c>
      <c r="I7" s="182"/>
      <c r="J7" s="16">
        <v>14</v>
      </c>
      <c r="K7" s="14">
        <f>VLOOKUP(D7,產線配置圖!$A$2:$C$38,3,0)</f>
        <v>2000</v>
      </c>
      <c r="L7" s="17">
        <f>K7/J7</f>
        <v>142.85714285714286</v>
      </c>
      <c r="M7" s="180">
        <v>14</v>
      </c>
      <c r="N7" s="14">
        <f t="shared" si="0"/>
        <v>1984.4444444444441</v>
      </c>
      <c r="O7" s="17">
        <f t="shared" si="1"/>
        <v>141.74603174603172</v>
      </c>
      <c r="P7" s="18">
        <f t="shared" si="2"/>
        <v>0</v>
      </c>
      <c r="Q7" s="19">
        <f t="shared" si="3"/>
        <v>-1.1111111111111427</v>
      </c>
      <c r="R7" s="185">
        <f t="shared" si="4"/>
        <v>0.99222222222222201</v>
      </c>
      <c r="S7" s="397"/>
      <c r="T7" s="95">
        <v>0.37361111111111112</v>
      </c>
      <c r="U7" s="95">
        <v>0.44861111111111113</v>
      </c>
      <c r="V7" s="177">
        <f>(T7-U6)*24*60</f>
        <v>12.000000000000037</v>
      </c>
      <c r="W7" s="182">
        <f t="shared" si="5"/>
        <v>108.00000000000001</v>
      </c>
      <c r="X7" s="22"/>
      <c r="Y7" s="22"/>
      <c r="Z7" s="405"/>
      <c r="AA7" s="405"/>
      <c r="AB7" s="18">
        <f>N7-K7</f>
        <v>-15.555555555555884</v>
      </c>
      <c r="AC7" s="185">
        <f>N7/K7</f>
        <v>0.99222222222222201</v>
      </c>
      <c r="AD7" s="402"/>
    </row>
    <row r="8" spans="1:30" ht="15" customHeight="1">
      <c r="A8" s="412"/>
      <c r="B8" s="56" t="str">
        <f>VLOOKUP(D8,廠價表!$C$1:$E$39,2,0)</f>
        <v>義大利麵</v>
      </c>
      <c r="C8" s="10"/>
      <c r="D8" s="11" t="s">
        <v>153</v>
      </c>
      <c r="E8" s="86"/>
      <c r="F8" s="56">
        <f>VLOOKUP(D8,廠價表!$C$1:$E$39,3,0)</f>
        <v>50.67</v>
      </c>
      <c r="G8" s="25">
        <v>1100</v>
      </c>
      <c r="H8" s="15">
        <f t="shared" si="6"/>
        <v>55737</v>
      </c>
      <c r="I8" s="182"/>
      <c r="J8" s="16">
        <v>14</v>
      </c>
      <c r="K8" s="14">
        <f>VLOOKUP(D8,產線配置圖!$A$2:$C$38,3,0)</f>
        <v>2000</v>
      </c>
      <c r="L8" s="17">
        <f t="shared" ref="L8" si="7">K8/J8</f>
        <v>142.85714285714286</v>
      </c>
      <c r="M8" s="180">
        <v>14</v>
      </c>
      <c r="N8" s="14">
        <f t="shared" si="0"/>
        <v>1081.9672131147536</v>
      </c>
      <c r="O8" s="17">
        <f t="shared" si="1"/>
        <v>77.283372365339545</v>
      </c>
      <c r="P8" s="18">
        <f t="shared" si="2"/>
        <v>0</v>
      </c>
      <c r="Q8" s="19">
        <f t="shared" si="3"/>
        <v>-65.573770491803316</v>
      </c>
      <c r="R8" s="185">
        <f t="shared" si="4"/>
        <v>0.54098360655737676</v>
      </c>
      <c r="S8" s="397"/>
      <c r="T8" s="20">
        <v>0.45763888888888887</v>
      </c>
      <c r="U8" s="20">
        <v>0.5</v>
      </c>
      <c r="V8" s="177">
        <f>(T8-U7)*24*60</f>
        <v>12.999999999999954</v>
      </c>
      <c r="W8" s="182">
        <f t="shared" si="5"/>
        <v>61.000000000000021</v>
      </c>
      <c r="X8" s="22"/>
      <c r="Y8" s="22"/>
      <c r="Z8" s="406" t="s">
        <v>225</v>
      </c>
      <c r="AA8" s="406"/>
      <c r="AB8" s="18">
        <f>N8-K8</f>
        <v>-918.03278688524642</v>
      </c>
      <c r="AC8" s="185">
        <f>N8/K8</f>
        <v>0.54098360655737676</v>
      </c>
      <c r="AD8" s="402"/>
    </row>
    <row r="9" spans="1:30" ht="15" customHeight="1">
      <c r="A9" s="413"/>
      <c r="B9" s="56"/>
      <c r="C9" s="10"/>
      <c r="D9" s="11"/>
      <c r="E9" s="86"/>
      <c r="F9" s="56"/>
      <c r="G9" s="25"/>
      <c r="H9" s="15"/>
      <c r="I9" s="182"/>
      <c r="J9" s="16"/>
      <c r="K9" s="14"/>
      <c r="L9" s="17"/>
      <c r="M9" s="180"/>
      <c r="N9" s="14"/>
      <c r="O9" s="17"/>
      <c r="P9" s="18"/>
      <c r="Q9" s="19"/>
      <c r="R9" s="185"/>
      <c r="S9" s="398"/>
      <c r="T9" s="79"/>
      <c r="U9" s="79"/>
      <c r="V9" s="177"/>
      <c r="W9" s="24">
        <f t="shared" si="5"/>
        <v>0</v>
      </c>
      <c r="X9" s="22"/>
      <c r="Y9" s="263"/>
      <c r="Z9" s="407"/>
      <c r="AA9" s="407"/>
      <c r="AB9" s="18"/>
      <c r="AC9" s="185"/>
      <c r="AD9" s="403"/>
    </row>
    <row r="10" spans="1:30" ht="15" customHeight="1">
      <c r="A10" s="413"/>
      <c r="B10" s="56"/>
      <c r="C10" s="23"/>
      <c r="D10" s="11"/>
      <c r="E10" s="12"/>
      <c r="F10" s="56"/>
      <c r="G10" s="25"/>
      <c r="H10" s="15"/>
      <c r="I10" s="182"/>
      <c r="J10" s="16"/>
      <c r="K10" s="14"/>
      <c r="L10" s="17"/>
      <c r="M10" s="180"/>
      <c r="N10" s="14"/>
      <c r="O10" s="17"/>
      <c r="P10" s="18"/>
      <c r="Q10" s="19"/>
      <c r="R10" s="185"/>
      <c r="S10" s="398"/>
      <c r="T10" s="20"/>
      <c r="U10" s="20"/>
      <c r="V10" s="177"/>
      <c r="W10" s="182">
        <f t="shared" si="5"/>
        <v>0</v>
      </c>
      <c r="X10" s="22"/>
      <c r="Y10" s="263"/>
      <c r="Z10" s="419"/>
      <c r="AA10" s="418"/>
      <c r="AB10" s="264"/>
      <c r="AC10" s="185"/>
      <c r="AD10" s="403"/>
    </row>
    <row r="11" spans="1:30" ht="15" customHeight="1">
      <c r="A11" s="413"/>
      <c r="B11" s="56"/>
      <c r="C11" s="183"/>
      <c r="D11" s="11"/>
      <c r="E11" s="12"/>
      <c r="F11" s="56"/>
      <c r="G11" s="25"/>
      <c r="H11" s="15">
        <f t="shared" si="6"/>
        <v>0</v>
      </c>
      <c r="I11" s="182"/>
      <c r="J11" s="16"/>
      <c r="K11" s="14"/>
      <c r="L11" s="17"/>
      <c r="M11" s="180"/>
      <c r="N11" s="14"/>
      <c r="O11" s="17"/>
      <c r="P11" s="18"/>
      <c r="Q11" s="19"/>
      <c r="R11" s="185"/>
      <c r="S11" s="398"/>
      <c r="T11" s="20"/>
      <c r="U11" s="20"/>
      <c r="V11" s="177"/>
      <c r="W11" s="24">
        <f t="shared" si="5"/>
        <v>0</v>
      </c>
      <c r="X11" s="22"/>
      <c r="Y11" s="263"/>
      <c r="Z11" s="419"/>
      <c r="AA11" s="418"/>
      <c r="AB11" s="264"/>
      <c r="AC11" s="185"/>
      <c r="AD11" s="403"/>
    </row>
    <row r="12" spans="1:30" ht="15" customHeight="1">
      <c r="A12" s="413"/>
      <c r="B12" s="26"/>
      <c r="C12" s="27"/>
      <c r="D12" s="28"/>
      <c r="E12" s="29"/>
      <c r="F12" s="13"/>
      <c r="G12" s="30"/>
      <c r="H12" s="15">
        <f t="shared" si="6"/>
        <v>0</v>
      </c>
      <c r="I12" s="178"/>
      <c r="J12" s="31"/>
      <c r="K12" s="30"/>
      <c r="L12" s="17"/>
      <c r="M12" s="181"/>
      <c r="N12" s="25"/>
      <c r="O12" s="17"/>
      <c r="P12" s="18"/>
      <c r="Q12" s="19"/>
      <c r="R12" s="185"/>
      <c r="S12" s="398"/>
      <c r="T12" s="32"/>
      <c r="U12" s="32"/>
      <c r="V12" s="178"/>
      <c r="W12" s="24">
        <f t="shared" si="5"/>
        <v>0</v>
      </c>
      <c r="X12" s="33"/>
      <c r="Y12" s="33"/>
      <c r="Z12" s="407"/>
      <c r="AA12" s="407"/>
      <c r="AB12" s="34"/>
      <c r="AC12" s="186"/>
      <c r="AD12" s="403"/>
    </row>
    <row r="13" spans="1:30" ht="15" customHeight="1">
      <c r="A13" s="413"/>
      <c r="B13" s="56"/>
      <c r="C13" s="10"/>
      <c r="D13" s="11"/>
      <c r="E13" s="86"/>
      <c r="F13" s="56"/>
      <c r="G13" s="25"/>
      <c r="H13" s="15"/>
      <c r="I13" s="182"/>
      <c r="J13" s="16"/>
      <c r="K13" s="14"/>
      <c r="L13" s="17"/>
      <c r="M13" s="180"/>
      <c r="N13" s="14"/>
      <c r="O13" s="17"/>
      <c r="P13" s="18"/>
      <c r="Q13" s="19"/>
      <c r="R13" s="185"/>
      <c r="S13" s="479"/>
      <c r="T13" s="309"/>
      <c r="U13" s="309"/>
      <c r="V13" s="26"/>
      <c r="W13" s="24">
        <f t="shared" si="5"/>
        <v>0</v>
      </c>
      <c r="X13" s="33"/>
      <c r="Y13" s="33"/>
      <c r="Z13" s="419"/>
      <c r="AA13" s="418"/>
      <c r="AB13" s="34"/>
      <c r="AC13" s="186"/>
      <c r="AD13" s="403"/>
    </row>
    <row r="14" spans="1:30" ht="15" customHeight="1">
      <c r="A14" s="413"/>
      <c r="B14" s="26"/>
      <c r="C14" s="27"/>
      <c r="D14" s="28"/>
      <c r="E14" s="29"/>
      <c r="F14" s="13"/>
      <c r="G14" s="30"/>
      <c r="H14" s="15">
        <f t="shared" si="6"/>
        <v>0</v>
      </c>
      <c r="I14" s="178"/>
      <c r="J14" s="31"/>
      <c r="K14" s="30"/>
      <c r="L14" s="17"/>
      <c r="M14" s="181"/>
      <c r="N14" s="25"/>
      <c r="O14" s="17"/>
      <c r="P14" s="18"/>
      <c r="Q14" s="19"/>
      <c r="R14" s="185"/>
      <c r="S14" s="398"/>
      <c r="T14" s="308"/>
      <c r="U14" s="308"/>
      <c r="V14" s="178"/>
      <c r="W14" s="24">
        <f t="shared" si="5"/>
        <v>0</v>
      </c>
      <c r="X14" s="33"/>
      <c r="Y14" s="33"/>
      <c r="Z14" s="419"/>
      <c r="AA14" s="418"/>
      <c r="AB14" s="34"/>
      <c r="AC14" s="186"/>
      <c r="AD14" s="403"/>
    </row>
    <row r="15" spans="1:30" ht="15" customHeight="1" thickBot="1">
      <c r="A15" s="414"/>
      <c r="B15" s="113"/>
      <c r="C15" s="113" t="s">
        <v>34</v>
      </c>
      <c r="D15" s="410" t="s">
        <v>7</v>
      </c>
      <c r="E15" s="410"/>
      <c r="F15" s="114"/>
      <c r="G15" s="115"/>
      <c r="H15" s="116"/>
      <c r="I15" s="117"/>
      <c r="J15" s="118">
        <f t="shared" ref="J15:O15" si="8">AVERAGE(J5:J14)</f>
        <v>15</v>
      </c>
      <c r="K15" s="118">
        <f t="shared" si="8"/>
        <v>1923.75</v>
      </c>
      <c r="L15" s="115">
        <f t="shared" si="8"/>
        <v>129.29621848739495</v>
      </c>
      <c r="M15" s="118">
        <f t="shared" si="8"/>
        <v>15</v>
      </c>
      <c r="N15" s="118">
        <f t="shared" si="8"/>
        <v>1599.9682990051842</v>
      </c>
      <c r="O15" s="115">
        <f t="shared" si="8"/>
        <v>106.83766776992428</v>
      </c>
      <c r="P15" s="119">
        <f t="shared" ref="P15:P16" si="9">M15-J15</f>
        <v>0</v>
      </c>
      <c r="Q15" s="120">
        <f t="shared" ref="Q15:Q16" si="10">O15-L15</f>
        <v>-22.458550717470672</v>
      </c>
      <c r="R15" s="121">
        <f t="shared" ref="R15:R16" si="11">O15/L15</f>
        <v>0.82630156565901303</v>
      </c>
      <c r="S15" s="399"/>
      <c r="T15" s="122"/>
      <c r="U15" s="122"/>
      <c r="V15" s="195"/>
      <c r="W15" s="123"/>
      <c r="X15" s="124"/>
      <c r="Y15" s="124"/>
      <c r="Z15" s="391"/>
      <c r="AA15" s="391"/>
      <c r="AB15" s="119">
        <f>N15-K15</f>
        <v>-323.78170099481576</v>
      </c>
      <c r="AC15" s="187">
        <f>N15/K15</f>
        <v>0.83169242313459868</v>
      </c>
      <c r="AD15" s="404"/>
    </row>
    <row r="16" spans="1:30" ht="15" customHeight="1">
      <c r="A16" s="431" t="s">
        <v>67</v>
      </c>
      <c r="B16" s="199" t="s">
        <v>134</v>
      </c>
      <c r="C16" s="102"/>
      <c r="D16" s="103" t="s">
        <v>206</v>
      </c>
      <c r="E16" s="104"/>
      <c r="F16" s="199">
        <f>VLOOKUP(D16,廠價表!$C$1:$E$39,3,0)</f>
        <v>56.43</v>
      </c>
      <c r="G16" s="265">
        <v>901</v>
      </c>
      <c r="H16" s="125">
        <f t="shared" ref="H16:H25" si="12">F16*G16</f>
        <v>50843.43</v>
      </c>
      <c r="I16" s="126"/>
      <c r="J16" s="108">
        <f>VLOOKUP(D16,產線配置圖!$A$2:$C$38,2,0)</f>
        <v>15</v>
      </c>
      <c r="K16" s="105">
        <v>1800</v>
      </c>
      <c r="L16" s="109">
        <f>K16/J16</f>
        <v>120</v>
      </c>
      <c r="M16" s="267">
        <v>15</v>
      </c>
      <c r="N16" s="127">
        <f>G16/W16*60</f>
        <v>1689.3750000000018</v>
      </c>
      <c r="O16" s="128">
        <f>N16/M16</f>
        <v>112.62500000000013</v>
      </c>
      <c r="P16" s="129">
        <f t="shared" si="9"/>
        <v>0</v>
      </c>
      <c r="Q16" s="130">
        <f t="shared" si="10"/>
        <v>-7.3749999999998721</v>
      </c>
      <c r="R16" s="189">
        <f t="shared" si="11"/>
        <v>0.93854166666666772</v>
      </c>
      <c r="S16" s="424">
        <f>R26</f>
        <v>0.92553693717204888</v>
      </c>
      <c r="T16" s="268">
        <v>0.2902777777777778</v>
      </c>
      <c r="U16" s="268">
        <v>0.3125</v>
      </c>
      <c r="V16" s="126"/>
      <c r="W16" s="131">
        <f t="shared" ref="W16:W68" si="13">(U16-T16)*24*60</f>
        <v>31.999999999999964</v>
      </c>
      <c r="X16" s="128"/>
      <c r="Y16" s="128"/>
      <c r="Z16" s="400"/>
      <c r="AA16" s="400"/>
      <c r="AB16" s="111">
        <f>N16-K16</f>
        <v>-110.62499999999818</v>
      </c>
      <c r="AC16" s="184">
        <f>N16/K16</f>
        <v>0.93854166666666772</v>
      </c>
      <c r="AD16" s="401">
        <f>AC26</f>
        <v>0.9503649384396361</v>
      </c>
    </row>
    <row r="17" spans="1:30" ht="15" customHeight="1">
      <c r="A17" s="432"/>
      <c r="B17" s="56" t="s">
        <v>62</v>
      </c>
      <c r="C17" s="10"/>
      <c r="D17" s="11" t="s">
        <v>153</v>
      </c>
      <c r="E17" s="86"/>
      <c r="F17" s="56">
        <f>VLOOKUP(D17,廠價表!$C$1:$E$39,3,0)</f>
        <v>50.67</v>
      </c>
      <c r="G17" s="96">
        <v>2125</v>
      </c>
      <c r="H17" s="15">
        <f>F17*G17</f>
        <v>107673.75</v>
      </c>
      <c r="I17" s="177"/>
      <c r="J17" s="16">
        <v>14</v>
      </c>
      <c r="K17" s="14">
        <f>VLOOKUP(D17,產線配置圖!$A$2:$C$38,3,0)</f>
        <v>2000</v>
      </c>
      <c r="L17" s="17">
        <f>K17/J17</f>
        <v>142.85714285714286</v>
      </c>
      <c r="M17" s="37">
        <v>14</v>
      </c>
      <c r="N17" s="36">
        <f>G17/W17*60</f>
        <v>1677.631578947369</v>
      </c>
      <c r="O17" s="38">
        <f>N17/M17</f>
        <v>119.83082706766922</v>
      </c>
      <c r="P17" s="39">
        <f>M17-J17</f>
        <v>0</v>
      </c>
      <c r="Q17" s="40">
        <f>O17-L17</f>
        <v>-23.026315789473642</v>
      </c>
      <c r="R17" s="190">
        <f>O17/L17</f>
        <v>0.83881578947368451</v>
      </c>
      <c r="S17" s="425"/>
      <c r="T17" s="41">
        <v>0.32083333333333336</v>
      </c>
      <c r="U17" s="41">
        <v>0.37361111111111112</v>
      </c>
      <c r="V17" s="177">
        <f>(T17-U16)*24*60</f>
        <v>12.000000000000037</v>
      </c>
      <c r="W17" s="43">
        <f t="shared" si="13"/>
        <v>75.999999999999972</v>
      </c>
      <c r="X17" s="44"/>
      <c r="Y17" s="44"/>
      <c r="Z17" s="381"/>
      <c r="AA17" s="381"/>
      <c r="AB17" s="18">
        <f>N17-K17</f>
        <v>-322.36842105263099</v>
      </c>
      <c r="AC17" s="185">
        <f>N17/K17</f>
        <v>0.83881578947368451</v>
      </c>
      <c r="AD17" s="402"/>
    </row>
    <row r="18" spans="1:30" ht="15" customHeight="1">
      <c r="A18" s="432"/>
      <c r="B18" s="56" t="s">
        <v>62</v>
      </c>
      <c r="C18" s="10"/>
      <c r="D18" s="11" t="s">
        <v>127</v>
      </c>
      <c r="E18" s="86"/>
      <c r="F18" s="56">
        <f>VLOOKUP(D18,廠價表!$C$1:$E$39,3,0)</f>
        <v>57.21</v>
      </c>
      <c r="G18" s="96">
        <v>1005</v>
      </c>
      <c r="H18" s="15">
        <f>F18*G18</f>
        <v>57496.05</v>
      </c>
      <c r="I18" s="177"/>
      <c r="J18" s="16">
        <v>15</v>
      </c>
      <c r="K18" s="14">
        <v>1565</v>
      </c>
      <c r="L18" s="17">
        <f>K18/J18</f>
        <v>104.33333333333333</v>
      </c>
      <c r="M18" s="37">
        <v>17</v>
      </c>
      <c r="N18" s="36">
        <f>G18/W18*60</f>
        <v>1674.9999999999986</v>
      </c>
      <c r="O18" s="38">
        <f>N18/M18</f>
        <v>98.529411764705799</v>
      </c>
      <c r="P18" s="39">
        <f>M18-J18</f>
        <v>2</v>
      </c>
      <c r="Q18" s="40">
        <f>O18-L18</f>
        <v>-5.8039215686275298</v>
      </c>
      <c r="R18" s="190">
        <f>O18/L18</f>
        <v>0.94437135876714828</v>
      </c>
      <c r="S18" s="425"/>
      <c r="T18" s="41">
        <v>0.38055555555555554</v>
      </c>
      <c r="U18" s="41">
        <v>0.40555555555555556</v>
      </c>
      <c r="V18" s="177">
        <f>(T18-U17)*24*60</f>
        <v>9.9999999999999645</v>
      </c>
      <c r="W18" s="43">
        <f t="shared" si="13"/>
        <v>36.000000000000028</v>
      </c>
      <c r="X18" s="22"/>
      <c r="Y18" s="22"/>
      <c r="Z18" s="418" t="s">
        <v>226</v>
      </c>
      <c r="AA18" s="405"/>
      <c r="AB18" s="18">
        <f>N18-K18</f>
        <v>109.99999999999864</v>
      </c>
      <c r="AC18" s="185">
        <f>N18/K18</f>
        <v>1.0702875399361014</v>
      </c>
      <c r="AD18" s="402"/>
    </row>
    <row r="19" spans="1:30" ht="15" customHeight="1">
      <c r="A19" s="432"/>
      <c r="B19" s="56" t="s">
        <v>62</v>
      </c>
      <c r="C19" s="23"/>
      <c r="D19" s="11" t="s">
        <v>131</v>
      </c>
      <c r="E19" s="12"/>
      <c r="F19" s="56">
        <f>VLOOKUP(D19,廠價表!$C$1:$E$39,3,0)</f>
        <v>50.39</v>
      </c>
      <c r="G19" s="96">
        <v>3556</v>
      </c>
      <c r="H19" s="15">
        <f t="shared" ref="H19" si="14">F19*G19</f>
        <v>179186.84</v>
      </c>
      <c r="I19" s="177"/>
      <c r="J19" s="16">
        <f>VLOOKUP(D19,產線配置圖!$A$2:$C$38,2,0)</f>
        <v>12</v>
      </c>
      <c r="K19" s="14">
        <f>VLOOKUP(D19,產線配置圖!$A$2:$C$38,3,0)</f>
        <v>2000</v>
      </c>
      <c r="L19" s="17">
        <f t="shared" ref="L19" si="15">K19/J19</f>
        <v>166.66666666666666</v>
      </c>
      <c r="M19" s="37">
        <v>12</v>
      </c>
      <c r="N19" s="36">
        <f>G19/W19*60</f>
        <v>1957.4311926605501</v>
      </c>
      <c r="O19" s="38">
        <f>N19/M19</f>
        <v>163.11926605504584</v>
      </c>
      <c r="P19" s="39">
        <f>M19-J19</f>
        <v>0</v>
      </c>
      <c r="Q19" s="40">
        <f>O19-L19</f>
        <v>-3.5474006116208159</v>
      </c>
      <c r="R19" s="190">
        <f>O19/L19</f>
        <v>0.97871559633027505</v>
      </c>
      <c r="S19" s="425"/>
      <c r="T19" s="41">
        <v>0.41388888888888886</v>
      </c>
      <c r="U19" s="41">
        <v>0.48958333333333331</v>
      </c>
      <c r="V19" s="177">
        <f>(T19-U18)*24*60</f>
        <v>11.999999999999957</v>
      </c>
      <c r="W19" s="43">
        <f t="shared" si="13"/>
        <v>109.00000000000001</v>
      </c>
      <c r="X19" s="22"/>
      <c r="Y19" s="22"/>
      <c r="Z19" s="407"/>
      <c r="AA19" s="407"/>
      <c r="AB19" s="18">
        <f>N19-K19</f>
        <v>-42.568807339449904</v>
      </c>
      <c r="AC19" s="185">
        <f>N19/K19</f>
        <v>0.97871559633027505</v>
      </c>
      <c r="AD19" s="403"/>
    </row>
    <row r="20" spans="1:30" ht="15" customHeight="1">
      <c r="A20" s="432"/>
      <c r="B20" s="56"/>
      <c r="C20" s="23"/>
      <c r="D20" s="11"/>
      <c r="E20" s="12"/>
      <c r="F20" s="56"/>
      <c r="G20" s="96"/>
      <c r="H20" s="15"/>
      <c r="I20" s="177"/>
      <c r="J20" s="16"/>
      <c r="K20" s="14"/>
      <c r="L20" s="17"/>
      <c r="M20" s="37"/>
      <c r="N20" s="36"/>
      <c r="O20" s="38"/>
      <c r="P20" s="39"/>
      <c r="Q20" s="40"/>
      <c r="R20" s="190"/>
      <c r="S20" s="425"/>
      <c r="T20" s="41"/>
      <c r="U20" s="79"/>
      <c r="V20" s="177"/>
      <c r="W20" s="43">
        <f t="shared" si="13"/>
        <v>0</v>
      </c>
      <c r="X20" s="44"/>
      <c r="Y20" s="44"/>
      <c r="Z20" s="418"/>
      <c r="AA20" s="405"/>
      <c r="AB20" s="34"/>
      <c r="AC20" s="186"/>
      <c r="AD20" s="403"/>
    </row>
    <row r="21" spans="1:30" ht="15" customHeight="1">
      <c r="A21" s="433"/>
      <c r="B21" s="56"/>
      <c r="C21" s="23"/>
      <c r="D21" s="11"/>
      <c r="E21" s="12"/>
      <c r="F21" s="56"/>
      <c r="G21" s="36"/>
      <c r="H21" s="15"/>
      <c r="I21" s="43"/>
      <c r="J21" s="16"/>
      <c r="K21" s="14"/>
      <c r="L21" s="17"/>
      <c r="M21" s="37"/>
      <c r="N21" s="36"/>
      <c r="O21" s="38"/>
      <c r="P21" s="39"/>
      <c r="Q21" s="40"/>
      <c r="R21" s="190"/>
      <c r="S21" s="425"/>
      <c r="T21" s="41"/>
      <c r="U21" s="41"/>
      <c r="V21" s="177"/>
      <c r="W21" s="43">
        <f t="shared" si="13"/>
        <v>0</v>
      </c>
      <c r="X21" s="42"/>
      <c r="Y21" s="42"/>
      <c r="Z21" s="418"/>
      <c r="AA21" s="405"/>
      <c r="AB21" s="34"/>
      <c r="AC21" s="186"/>
      <c r="AD21" s="403"/>
    </row>
    <row r="22" spans="1:30" ht="15" customHeight="1">
      <c r="A22" s="433"/>
      <c r="B22" s="177"/>
      <c r="C22" s="183"/>
      <c r="D22" s="11"/>
      <c r="E22" s="12"/>
      <c r="F22" s="13"/>
      <c r="G22" s="36"/>
      <c r="H22" s="15">
        <f t="shared" si="12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90"/>
      <c r="S22" s="425"/>
      <c r="T22" s="41"/>
      <c r="U22" s="41"/>
      <c r="V22" s="42"/>
      <c r="W22" s="43">
        <v>0</v>
      </c>
      <c r="X22" s="42"/>
      <c r="Y22" s="42"/>
      <c r="Z22" s="418"/>
      <c r="AA22" s="405"/>
      <c r="AB22" s="34"/>
      <c r="AC22" s="186"/>
      <c r="AD22" s="403"/>
    </row>
    <row r="23" spans="1:30" ht="15" customHeight="1">
      <c r="A23" s="433"/>
      <c r="B23" s="26"/>
      <c r="C23" s="27"/>
      <c r="D23" s="28"/>
      <c r="E23" s="29"/>
      <c r="F23" s="13"/>
      <c r="G23" s="36"/>
      <c r="H23" s="15">
        <f t="shared" si="12"/>
        <v>0</v>
      </c>
      <c r="I23" s="43"/>
      <c r="J23" s="37"/>
      <c r="K23" s="36"/>
      <c r="L23" s="38"/>
      <c r="M23" s="37"/>
      <c r="N23" s="36"/>
      <c r="O23" s="38"/>
      <c r="P23" s="39"/>
      <c r="Q23" s="40"/>
      <c r="R23" s="190"/>
      <c r="S23" s="425"/>
      <c r="T23" s="41"/>
      <c r="U23" s="41"/>
      <c r="W23" s="43">
        <f t="shared" si="13"/>
        <v>0</v>
      </c>
      <c r="X23" s="42"/>
      <c r="Y23" s="42"/>
      <c r="Z23" s="418"/>
      <c r="AA23" s="405"/>
      <c r="AB23" s="34"/>
      <c r="AC23" s="186"/>
      <c r="AD23" s="403"/>
    </row>
    <row r="24" spans="1:30" ht="15" customHeight="1">
      <c r="A24" s="433"/>
      <c r="B24" s="26"/>
      <c r="C24" s="27"/>
      <c r="D24" s="28"/>
      <c r="E24" s="29"/>
      <c r="F24" s="13"/>
      <c r="G24" s="36"/>
      <c r="H24" s="15">
        <f t="shared" si="12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90"/>
      <c r="S24" s="425"/>
      <c r="T24" s="41"/>
      <c r="U24" s="41"/>
      <c r="V24" s="42"/>
      <c r="W24" s="43">
        <f t="shared" si="13"/>
        <v>0</v>
      </c>
      <c r="X24" s="42"/>
      <c r="Y24" s="42"/>
      <c r="Z24" s="418"/>
      <c r="AA24" s="405"/>
      <c r="AB24" s="34"/>
      <c r="AC24" s="186"/>
      <c r="AD24" s="403"/>
    </row>
    <row r="25" spans="1:30" ht="15" customHeight="1">
      <c r="A25" s="433"/>
      <c r="B25" s="26"/>
      <c r="C25" s="27"/>
      <c r="D25" s="28"/>
      <c r="E25" s="29"/>
      <c r="F25" s="13"/>
      <c r="G25" s="36"/>
      <c r="H25" s="50">
        <f t="shared" si="12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90"/>
      <c r="S25" s="425"/>
      <c r="T25" s="41"/>
      <c r="U25" s="41"/>
      <c r="V25" s="42"/>
      <c r="W25" s="43">
        <f t="shared" si="13"/>
        <v>0</v>
      </c>
      <c r="X25" s="42"/>
      <c r="Y25" s="42"/>
      <c r="Z25" s="418"/>
      <c r="AA25" s="405"/>
      <c r="AB25" s="34"/>
      <c r="AC25" s="186"/>
      <c r="AD25" s="403"/>
    </row>
    <row r="26" spans="1:30" ht="15" customHeight="1" thickBot="1">
      <c r="A26" s="434"/>
      <c r="B26" s="132"/>
      <c r="C26" s="1" t="s">
        <v>35</v>
      </c>
      <c r="D26" s="410" t="s">
        <v>7</v>
      </c>
      <c r="E26" s="410"/>
      <c r="F26" s="133"/>
      <c r="G26" s="134"/>
      <c r="H26" s="135"/>
      <c r="I26" s="136"/>
      <c r="J26" s="134">
        <f t="shared" ref="J26:O26" si="16">AVERAGE(J16:J25)</f>
        <v>14</v>
      </c>
      <c r="K26" s="134">
        <f t="shared" si="16"/>
        <v>1841.25</v>
      </c>
      <c r="L26" s="137">
        <f t="shared" si="16"/>
        <v>133.46428571428572</v>
      </c>
      <c r="M26" s="134">
        <f t="shared" si="16"/>
        <v>14.5</v>
      </c>
      <c r="N26" s="134">
        <f t="shared" si="16"/>
        <v>1749.8594429019799</v>
      </c>
      <c r="O26" s="137">
        <f t="shared" si="16"/>
        <v>123.52612622185525</v>
      </c>
      <c r="P26" s="138">
        <f t="shared" ref="P26:P30" si="17">M26-J26</f>
        <v>0.5</v>
      </c>
      <c r="Q26" s="139">
        <f t="shared" ref="Q26:Q30" si="18">O26-L26</f>
        <v>-9.9381594924304721</v>
      </c>
      <c r="R26" s="140">
        <f t="shared" ref="R26:R30" si="19">O26/L26</f>
        <v>0.92553693717204888</v>
      </c>
      <c r="S26" s="435"/>
      <c r="T26" s="141"/>
      <c r="U26" s="141"/>
      <c r="V26" s="146"/>
      <c r="W26" s="142"/>
      <c r="X26" s="143"/>
      <c r="Y26" s="143"/>
      <c r="Z26" s="420"/>
      <c r="AA26" s="391"/>
      <c r="AB26" s="119">
        <f>N26-K26</f>
        <v>-91.390557098020054</v>
      </c>
      <c r="AC26" s="187">
        <f>N26/K26</f>
        <v>0.9503649384396361</v>
      </c>
      <c r="AD26" s="404"/>
    </row>
    <row r="27" spans="1:30" ht="15" customHeight="1">
      <c r="A27" s="421" t="s">
        <v>54</v>
      </c>
      <c r="B27" s="229" t="s">
        <v>62</v>
      </c>
      <c r="C27" s="102"/>
      <c r="D27" s="103" t="s">
        <v>144</v>
      </c>
      <c r="E27" s="104"/>
      <c r="F27" s="199">
        <f>VLOOKUP(D27,廠價表!$C$1:$E$39,3,0)</f>
        <v>49.91</v>
      </c>
      <c r="G27" s="269">
        <v>2490</v>
      </c>
      <c r="H27" s="125">
        <f t="shared" ref="H27:H39" si="20">F27*G27</f>
        <v>124275.9</v>
      </c>
      <c r="I27" s="126"/>
      <c r="J27" s="16">
        <f>VLOOKUP(D27,產線配置圖!$A$2:$C$38,2,0)</f>
        <v>17</v>
      </c>
      <c r="K27" s="14">
        <f>VLOOKUP(D27,產線配置圖!$A$2:$C$38,3,0)</f>
        <v>1565</v>
      </c>
      <c r="L27" s="109">
        <f>K27/J27</f>
        <v>92.058823529411768</v>
      </c>
      <c r="M27" s="144">
        <v>15</v>
      </c>
      <c r="N27" s="127">
        <f>G27/W27*60</f>
        <v>1245.0000000000002</v>
      </c>
      <c r="O27" s="128">
        <f>N27/M27</f>
        <v>83.000000000000014</v>
      </c>
      <c r="P27" s="129">
        <f t="shared" si="17"/>
        <v>-2</v>
      </c>
      <c r="Q27" s="130">
        <f t="shared" si="18"/>
        <v>-9.0588235294117538</v>
      </c>
      <c r="R27" s="189">
        <f>O27/L27</f>
        <v>0.90159744408945697</v>
      </c>
      <c r="S27" s="424">
        <f>R37</f>
        <v>0.85307070447256594</v>
      </c>
      <c r="T27" s="94">
        <v>0.29166666666666669</v>
      </c>
      <c r="U27" s="94">
        <v>0.375</v>
      </c>
      <c r="V27" s="126"/>
      <c r="W27" s="131">
        <f t="shared" si="13"/>
        <v>119.99999999999997</v>
      </c>
      <c r="X27" s="126"/>
      <c r="Y27" s="126" t="s">
        <v>147</v>
      </c>
      <c r="Z27" s="427"/>
      <c r="AA27" s="400"/>
      <c r="AB27" s="225">
        <f>N27-K27</f>
        <v>-319.99999999999977</v>
      </c>
      <c r="AC27" s="291">
        <f>N27/K27</f>
        <v>0.79552715654952089</v>
      </c>
      <c r="AD27" s="401">
        <f>AC37</f>
        <v>0.79422074185166502</v>
      </c>
    </row>
    <row r="28" spans="1:30" ht="15" customHeight="1">
      <c r="A28" s="422"/>
      <c r="B28" s="56" t="str">
        <f>VLOOKUP(D28,廠價表!$C$1:$E$39,2,0)</f>
        <v>義大利麵</v>
      </c>
      <c r="C28" s="10"/>
      <c r="D28" s="11" t="s">
        <v>137</v>
      </c>
      <c r="E28" s="86"/>
      <c r="F28" s="56">
        <f>VLOOKUP(D28,廠價表!$C$1:$E$39,3,0)</f>
        <v>55.13</v>
      </c>
      <c r="G28" s="53">
        <v>1608</v>
      </c>
      <c r="H28" s="50">
        <f t="shared" si="20"/>
        <v>88649.040000000008</v>
      </c>
      <c r="I28" s="42"/>
      <c r="J28" s="16">
        <f>VLOOKUP(D28,產線配置圖!$A$2:$C$38,2,0)</f>
        <v>18</v>
      </c>
      <c r="K28" s="14">
        <f>VLOOKUP(D28,產線配置圖!$A$2:$C$38,3,0)</f>
        <v>1385</v>
      </c>
      <c r="L28" s="235">
        <f>K28/J28</f>
        <v>76.944444444444443</v>
      </c>
      <c r="M28" s="21">
        <v>15</v>
      </c>
      <c r="N28" s="36">
        <f>G28/W28*60</f>
        <v>974.54545454545473</v>
      </c>
      <c r="O28" s="38">
        <f>N28/M28</f>
        <v>64.969696969696983</v>
      </c>
      <c r="P28" s="39">
        <f t="shared" si="17"/>
        <v>-3</v>
      </c>
      <c r="Q28" s="40">
        <f t="shared" si="18"/>
        <v>-11.97474747474746</v>
      </c>
      <c r="R28" s="190">
        <f t="shared" si="19"/>
        <v>0.84437151296357094</v>
      </c>
      <c r="S28" s="425"/>
      <c r="T28" s="270">
        <v>0.38680555555555557</v>
      </c>
      <c r="U28" s="270">
        <v>0.45555555555555555</v>
      </c>
      <c r="V28" s="42">
        <f>(T28-U27)*24*60</f>
        <v>17.000000000000021</v>
      </c>
      <c r="W28" s="43">
        <f t="shared" si="13"/>
        <v>98.999999999999972</v>
      </c>
      <c r="X28" s="54"/>
      <c r="Y28" s="54"/>
      <c r="Z28" s="418"/>
      <c r="AA28" s="419"/>
      <c r="AB28" s="39">
        <f>N28-K28</f>
        <v>-410.45454545454527</v>
      </c>
      <c r="AC28" s="190">
        <f>N28/K28</f>
        <v>0.70364292746964241</v>
      </c>
      <c r="AD28" s="447"/>
    </row>
    <row r="29" spans="1:30" ht="15" customHeight="1">
      <c r="A29" s="422"/>
      <c r="B29" s="56" t="str">
        <f>VLOOKUP(D29,廠價表!$C$1:$E$39,2,0)</f>
        <v>義大利麵</v>
      </c>
      <c r="C29" s="10"/>
      <c r="D29" s="11" t="s">
        <v>158</v>
      </c>
      <c r="E29" s="86"/>
      <c r="F29" s="56">
        <f>VLOOKUP(D29,廠價表!$C$1:$E$39,3,0)</f>
        <v>47.71</v>
      </c>
      <c r="G29" s="53">
        <v>798</v>
      </c>
      <c r="H29" s="50">
        <f t="shared" si="20"/>
        <v>38072.58</v>
      </c>
      <c r="I29" s="42"/>
      <c r="J29" s="16">
        <f>VLOOKUP(D29,產線配置圖!$A$2:$C$38,2,0)</f>
        <v>15</v>
      </c>
      <c r="K29" s="14">
        <f>VLOOKUP(D29,產線配置圖!$A$2:$C$38,3,0)</f>
        <v>1500</v>
      </c>
      <c r="L29" s="235">
        <f>K29/J29</f>
        <v>100</v>
      </c>
      <c r="M29" s="21">
        <v>15</v>
      </c>
      <c r="N29" s="36">
        <f>G29/W29*60</f>
        <v>1227.6923076923094</v>
      </c>
      <c r="O29" s="38">
        <f>N29/M29</f>
        <v>81.846153846153967</v>
      </c>
      <c r="P29" s="39">
        <f t="shared" si="17"/>
        <v>0</v>
      </c>
      <c r="Q29" s="40">
        <f t="shared" si="18"/>
        <v>-18.153846153846033</v>
      </c>
      <c r="R29" s="190">
        <f t="shared" si="19"/>
        <v>0.81846153846153968</v>
      </c>
      <c r="S29" s="425"/>
      <c r="T29" s="41">
        <v>0.46250000000000002</v>
      </c>
      <c r="U29" s="41">
        <v>0.48958333333333331</v>
      </c>
      <c r="V29" s="42">
        <f>(T29-U28)*24*60</f>
        <v>10.000000000000044</v>
      </c>
      <c r="W29" s="43">
        <f t="shared" si="13"/>
        <v>38.999999999999943</v>
      </c>
      <c r="X29" s="22"/>
      <c r="Y29" s="22"/>
      <c r="Z29" s="418"/>
      <c r="AA29" s="419"/>
      <c r="AB29" s="292">
        <f>N29-K29</f>
        <v>-272.30769230769056</v>
      </c>
      <c r="AC29" s="190">
        <f>N29/K29</f>
        <v>0.81846153846153957</v>
      </c>
      <c r="AD29" s="447"/>
    </row>
    <row r="30" spans="1:30" ht="15" customHeight="1">
      <c r="A30" s="422"/>
      <c r="B30" s="56" t="str">
        <f>VLOOKUP(D30,廠價表!$C$1:$E$39,2,0)</f>
        <v>義大利麵</v>
      </c>
      <c r="C30" s="237"/>
      <c r="D30" s="11" t="s">
        <v>127</v>
      </c>
      <c r="E30" s="29"/>
      <c r="F30" s="56">
        <f>VLOOKUP(D30,廠價表!$C$1:$E$39,3,0)</f>
        <v>57.21</v>
      </c>
      <c r="G30" s="53">
        <v>1197</v>
      </c>
      <c r="H30" s="50">
        <f t="shared" si="20"/>
        <v>68480.37</v>
      </c>
      <c r="I30" s="42"/>
      <c r="J30" s="16">
        <v>15</v>
      </c>
      <c r="K30" s="14">
        <v>1565</v>
      </c>
      <c r="L30" s="235">
        <f>K30/J30</f>
        <v>104.33333333333333</v>
      </c>
      <c r="M30" s="21">
        <v>15</v>
      </c>
      <c r="N30" s="36">
        <f>G30/W30*60</f>
        <v>1330.0000000000007</v>
      </c>
      <c r="O30" s="38">
        <f>N30/M30</f>
        <v>88.666666666666714</v>
      </c>
      <c r="P30" s="39">
        <f t="shared" si="17"/>
        <v>0</v>
      </c>
      <c r="Q30" s="40">
        <f t="shared" si="18"/>
        <v>-15.666666666666615</v>
      </c>
      <c r="R30" s="190">
        <f t="shared" si="19"/>
        <v>0.84984025559105481</v>
      </c>
      <c r="S30" s="425"/>
      <c r="T30" s="41">
        <v>0.55277777777777781</v>
      </c>
      <c r="U30" s="41">
        <v>0.59027777777777779</v>
      </c>
      <c r="V30" s="42">
        <f>(T30-U29)*24*60</f>
        <v>91.000000000000071</v>
      </c>
      <c r="W30" s="43">
        <f t="shared" si="13"/>
        <v>53.999999999999972</v>
      </c>
      <c r="X30" s="54">
        <v>0.5</v>
      </c>
      <c r="Y30" s="54" t="s">
        <v>221</v>
      </c>
      <c r="Z30" s="449"/>
      <c r="AA30" s="450"/>
      <c r="AB30" s="292">
        <f>N30-K30</f>
        <v>-234.99999999999932</v>
      </c>
      <c r="AC30" s="190">
        <f>N30/K30</f>
        <v>0.84984025559105469</v>
      </c>
      <c r="AD30" s="448"/>
    </row>
    <row r="31" spans="1:30" ht="15" customHeight="1">
      <c r="A31" s="422"/>
      <c r="B31" s="56"/>
      <c r="C31" s="237"/>
      <c r="D31" s="11"/>
      <c r="E31" s="29"/>
      <c r="F31" s="56"/>
      <c r="G31" s="53"/>
      <c r="H31" s="50"/>
      <c r="I31" s="42"/>
      <c r="J31" s="16"/>
      <c r="K31" s="14"/>
      <c r="L31" s="235"/>
      <c r="M31" s="21"/>
      <c r="N31" s="36"/>
      <c r="O31" s="38"/>
      <c r="P31" s="39"/>
      <c r="Q31" s="40"/>
      <c r="R31" s="190"/>
      <c r="S31" s="425"/>
      <c r="T31" s="41"/>
      <c r="U31" s="41"/>
      <c r="V31" s="42"/>
      <c r="W31" s="43">
        <f t="shared" si="13"/>
        <v>0</v>
      </c>
      <c r="X31" s="54"/>
      <c r="Y31" s="54"/>
      <c r="Z31" s="449"/>
      <c r="AA31" s="450"/>
      <c r="AB31" s="257"/>
      <c r="AC31" s="258"/>
      <c r="AD31" s="403"/>
    </row>
    <row r="32" spans="1:30" ht="15" customHeight="1">
      <c r="A32" s="422"/>
      <c r="B32" s="56"/>
      <c r="C32" s="252"/>
      <c r="D32" s="253"/>
      <c r="E32" s="254"/>
      <c r="F32" s="56"/>
      <c r="G32" s="53"/>
      <c r="H32" s="50"/>
      <c r="I32" s="42"/>
      <c r="J32" s="255"/>
      <c r="K32" s="36"/>
      <c r="L32" s="256"/>
      <c r="M32" s="21"/>
      <c r="N32" s="36"/>
      <c r="O32" s="38"/>
      <c r="P32" s="39"/>
      <c r="Q32" s="40"/>
      <c r="R32" s="190"/>
      <c r="S32" s="425"/>
      <c r="T32" s="41"/>
      <c r="U32" s="41"/>
      <c r="V32" s="42"/>
      <c r="W32" s="43">
        <f t="shared" si="13"/>
        <v>0</v>
      </c>
      <c r="X32" s="54"/>
      <c r="Y32" s="54"/>
      <c r="Z32" s="418"/>
      <c r="AA32" s="405"/>
      <c r="AB32" s="18"/>
      <c r="AC32" s="185"/>
      <c r="AD32" s="403"/>
    </row>
    <row r="33" spans="1:30" ht="15" customHeight="1">
      <c r="A33" s="422"/>
      <c r="B33" s="240"/>
      <c r="C33" s="241"/>
      <c r="D33" s="242"/>
      <c r="E33" s="243"/>
      <c r="F33" s="223"/>
      <c r="G33" s="244"/>
      <c r="H33" s="245">
        <f t="shared" si="20"/>
        <v>0</v>
      </c>
      <c r="I33" s="246"/>
      <c r="J33" s="247"/>
      <c r="K33" s="45"/>
      <c r="M33" s="248"/>
      <c r="N33" s="45"/>
      <c r="O33" s="46"/>
      <c r="P33" s="47"/>
      <c r="Q33" s="48"/>
      <c r="R33" s="49"/>
      <c r="S33" s="425"/>
      <c r="T33" s="41"/>
      <c r="U33" s="41"/>
      <c r="V33" s="42"/>
      <c r="W33" s="43">
        <f t="shared" si="13"/>
        <v>0</v>
      </c>
      <c r="X33" s="54"/>
      <c r="Y33" s="54"/>
      <c r="Z33" s="418"/>
      <c r="AA33" s="405"/>
      <c r="AB33" s="18"/>
      <c r="AC33" s="57"/>
      <c r="AD33" s="403"/>
    </row>
    <row r="34" spans="1:30" ht="15" customHeight="1">
      <c r="A34" s="422"/>
      <c r="B34" s="231"/>
      <c r="C34" s="27"/>
      <c r="D34" s="28"/>
      <c r="E34" s="29"/>
      <c r="F34" s="13"/>
      <c r="G34" s="53"/>
      <c r="H34" s="50">
        <f t="shared" si="20"/>
        <v>0</v>
      </c>
      <c r="I34" s="42"/>
      <c r="J34" s="37"/>
      <c r="K34" s="36"/>
      <c r="L34" s="38"/>
      <c r="M34" s="21"/>
      <c r="N34" s="36"/>
      <c r="O34" s="38"/>
      <c r="P34" s="39"/>
      <c r="Q34" s="40"/>
      <c r="R34" s="190"/>
      <c r="S34" s="425"/>
      <c r="T34" s="41"/>
      <c r="U34" s="41"/>
      <c r="V34" s="42"/>
      <c r="W34" s="43">
        <f t="shared" si="13"/>
        <v>0</v>
      </c>
      <c r="X34" s="54"/>
      <c r="Y34" s="54"/>
      <c r="Z34" s="418"/>
      <c r="AA34" s="405"/>
      <c r="AB34" s="18"/>
      <c r="AC34" s="57"/>
      <c r="AD34" s="403"/>
    </row>
    <row r="35" spans="1:30" ht="15" customHeight="1">
      <c r="A35" s="422"/>
      <c r="B35" s="231"/>
      <c r="C35" s="27"/>
      <c r="D35" s="28"/>
      <c r="E35" s="29"/>
      <c r="F35" s="13"/>
      <c r="G35" s="53"/>
      <c r="H35" s="50">
        <f t="shared" si="20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90"/>
      <c r="S35" s="425"/>
      <c r="T35" s="41"/>
      <c r="U35" s="41"/>
      <c r="V35" s="42"/>
      <c r="W35" s="43">
        <f t="shared" si="13"/>
        <v>0</v>
      </c>
      <c r="X35" s="54"/>
      <c r="Y35" s="54"/>
      <c r="Z35" s="418"/>
      <c r="AA35" s="405"/>
      <c r="AB35" s="18"/>
      <c r="AC35" s="57"/>
      <c r="AD35" s="403"/>
    </row>
    <row r="36" spans="1:30" ht="15" customHeight="1">
      <c r="A36" s="422"/>
      <c r="B36" s="232"/>
      <c r="C36" s="27"/>
      <c r="D36" s="28"/>
      <c r="E36" s="29"/>
      <c r="F36" s="13"/>
      <c r="G36" s="53"/>
      <c r="H36" s="50">
        <f t="shared" si="20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90"/>
      <c r="S36" s="425"/>
      <c r="T36" s="41"/>
      <c r="U36" s="41"/>
      <c r="V36" s="42"/>
      <c r="W36" s="43">
        <f t="shared" si="13"/>
        <v>0</v>
      </c>
      <c r="X36" s="54"/>
      <c r="Y36" s="54"/>
      <c r="Z36" s="418"/>
      <c r="AA36" s="405"/>
      <c r="AB36" s="18"/>
      <c r="AC36" s="57"/>
      <c r="AD36" s="403"/>
    </row>
    <row r="37" spans="1:30" ht="15" customHeight="1" thickBot="1">
      <c r="A37" s="423"/>
      <c r="B37" s="300"/>
      <c r="C37" s="301" t="s">
        <v>36</v>
      </c>
      <c r="D37" s="428" t="s">
        <v>7</v>
      </c>
      <c r="E37" s="429"/>
      <c r="F37" s="281"/>
      <c r="G37" s="282"/>
      <c r="H37" s="283"/>
      <c r="I37" s="284"/>
      <c r="J37" s="285">
        <f t="shared" ref="J37:O37" si="21">AVERAGE(J27:J36)</f>
        <v>16.25</v>
      </c>
      <c r="K37" s="285">
        <f t="shared" si="21"/>
        <v>1503.75</v>
      </c>
      <c r="L37" s="286">
        <f t="shared" si="21"/>
        <v>93.334150326797385</v>
      </c>
      <c r="M37" s="285">
        <f t="shared" si="21"/>
        <v>15</v>
      </c>
      <c r="N37" s="285">
        <f t="shared" si="21"/>
        <v>1194.3094405594413</v>
      </c>
      <c r="O37" s="286">
        <f t="shared" si="21"/>
        <v>79.620629370629416</v>
      </c>
      <c r="P37" s="73">
        <f>M37-J37</f>
        <v>-1.25</v>
      </c>
      <c r="Q37" s="74">
        <f>N37-K37</f>
        <v>-309.44055944055867</v>
      </c>
      <c r="R37" s="287">
        <f t="shared" ref="R37:R39" si="22">O37/L37</f>
        <v>0.85307070447256594</v>
      </c>
      <c r="S37" s="426"/>
      <c r="T37" s="302"/>
      <c r="U37" s="302"/>
      <c r="V37" s="81"/>
      <c r="W37" s="81"/>
      <c r="X37" s="303"/>
      <c r="Y37" s="303"/>
      <c r="Z37" s="430"/>
      <c r="AA37" s="379"/>
      <c r="AB37" s="34">
        <f t="shared" ref="AB37:AB40" si="23">N37-K37</f>
        <v>-309.44055944055867</v>
      </c>
      <c r="AC37" s="186">
        <f t="shared" ref="AC37:AC40" si="24">N37/K37</f>
        <v>0.79422074185166502</v>
      </c>
      <c r="AD37" s="403"/>
    </row>
    <row r="38" spans="1:30" s="62" customFormat="1" ht="15" customHeight="1">
      <c r="A38" s="454" t="s">
        <v>55</v>
      </c>
      <c r="B38" s="229" t="s">
        <v>134</v>
      </c>
      <c r="C38" s="199"/>
      <c r="D38" s="304" t="s">
        <v>156</v>
      </c>
      <c r="E38" s="280"/>
      <c r="F38" s="305">
        <f>VLOOKUP(D38,廠價表!$C$1:$E$39,3,0)</f>
        <v>56.43</v>
      </c>
      <c r="G38" s="266">
        <v>1926</v>
      </c>
      <c r="H38" s="125">
        <f t="shared" si="20"/>
        <v>108684.18</v>
      </c>
      <c r="I38" s="126"/>
      <c r="J38" s="274">
        <f>VLOOKUP(D38,產線配置圖!$A$2:$C$38,2,0)</f>
        <v>15</v>
      </c>
      <c r="K38" s="236">
        <f>VLOOKUP(D38,產線配置圖!$A$2:$C$38,3,0)</f>
        <v>1406</v>
      </c>
      <c r="L38" s="288">
        <f t="shared" ref="L38:L39" si="25">K38/J38</f>
        <v>93.733333333333334</v>
      </c>
      <c r="M38" s="289">
        <v>14</v>
      </c>
      <c r="N38" s="127">
        <f>G38/W38*60</f>
        <v>1013.6842105263158</v>
      </c>
      <c r="O38" s="128">
        <f>N38/M38</f>
        <v>72.406015037593988</v>
      </c>
      <c r="P38" s="129">
        <f t="shared" ref="P38:P39" si="26">M38-J38</f>
        <v>-1</v>
      </c>
      <c r="Q38" s="130">
        <f t="shared" ref="Q38:Q39" si="27">O38-L38</f>
        <v>-21.327318295739346</v>
      </c>
      <c r="R38" s="189">
        <f t="shared" si="22"/>
        <v>0.77246815473962294</v>
      </c>
      <c r="S38" s="457">
        <f>R48</f>
        <v>0.75629747249454771</v>
      </c>
      <c r="T38" s="151">
        <v>0.33055555555555555</v>
      </c>
      <c r="U38" s="151">
        <v>0.40972222222222221</v>
      </c>
      <c r="V38" s="148"/>
      <c r="W38" s="152">
        <f t="shared" si="13"/>
        <v>114</v>
      </c>
      <c r="X38" s="150"/>
      <c r="Y38" s="153"/>
      <c r="Z38" s="478" t="s">
        <v>228</v>
      </c>
      <c r="AA38" s="460"/>
      <c r="AB38" s="290">
        <f t="shared" si="23"/>
        <v>-392.31578947368416</v>
      </c>
      <c r="AC38" s="154">
        <f t="shared" si="24"/>
        <v>0.72097027775698141</v>
      </c>
      <c r="AD38" s="436">
        <f>AC48</f>
        <v>0.70587764099491113</v>
      </c>
    </row>
    <row r="39" spans="1:30" s="62" customFormat="1" ht="15" customHeight="1">
      <c r="A39" s="455"/>
      <c r="B39" s="56" t="s">
        <v>134</v>
      </c>
      <c r="C39" s="277"/>
      <c r="D39" s="279" t="s">
        <v>154</v>
      </c>
      <c r="E39" s="278"/>
      <c r="F39" s="56">
        <f>VLOOKUP(D39,廠價表!$C$1:$E$39,3,0)</f>
        <v>57.3</v>
      </c>
      <c r="G39" s="276">
        <v>1246</v>
      </c>
      <c r="H39" s="50">
        <f t="shared" si="20"/>
        <v>71395.8</v>
      </c>
      <c r="I39" s="64"/>
      <c r="J39" s="37">
        <v>15</v>
      </c>
      <c r="K39" s="36">
        <v>1565</v>
      </c>
      <c r="L39" s="38">
        <f t="shared" si="25"/>
        <v>104.33333333333333</v>
      </c>
      <c r="M39" s="65">
        <v>14</v>
      </c>
      <c r="N39" s="66">
        <f>G39/W39*60</f>
        <v>1083.4782608695652</v>
      </c>
      <c r="O39" s="67">
        <f t="shared" ref="O39" si="28">N39/M39</f>
        <v>77.391304347826093</v>
      </c>
      <c r="P39" s="39">
        <f t="shared" si="26"/>
        <v>-1</v>
      </c>
      <c r="Q39" s="40">
        <f t="shared" si="27"/>
        <v>-26.942028985507235</v>
      </c>
      <c r="R39" s="190">
        <f t="shared" si="22"/>
        <v>0.74176969023475492</v>
      </c>
      <c r="S39" s="458"/>
      <c r="T39" s="59">
        <v>0.41736111111111113</v>
      </c>
      <c r="U39" s="59">
        <v>0.46527777777777779</v>
      </c>
      <c r="V39" s="42">
        <f>(T39-U38)*24*60</f>
        <v>11.000000000000041</v>
      </c>
      <c r="W39" s="69">
        <f t="shared" si="13"/>
        <v>69</v>
      </c>
      <c r="X39" s="22"/>
      <c r="Y39" s="22"/>
      <c r="Z39" s="439" t="s">
        <v>227</v>
      </c>
      <c r="AA39" s="440"/>
      <c r="AB39" s="271">
        <f t="shared" si="23"/>
        <v>-481.52173913043475</v>
      </c>
      <c r="AC39" s="61">
        <f t="shared" si="24"/>
        <v>0.69231837755243786</v>
      </c>
      <c r="AD39" s="437"/>
    </row>
    <row r="40" spans="1:30" s="62" customFormat="1" ht="15" customHeight="1">
      <c r="A40" s="455"/>
      <c r="B40" s="56"/>
      <c r="C40" s="275"/>
      <c r="D40" s="279"/>
      <c r="E40" s="243"/>
      <c r="F40" s="56"/>
      <c r="G40" s="276"/>
      <c r="H40" s="50"/>
      <c r="I40" s="64"/>
      <c r="J40" s="37"/>
      <c r="K40" s="36"/>
      <c r="L40" s="38"/>
      <c r="M40" s="65"/>
      <c r="N40" s="66"/>
      <c r="O40" s="67"/>
      <c r="P40" s="39"/>
      <c r="Q40" s="40"/>
      <c r="R40" s="190"/>
      <c r="S40" s="397"/>
      <c r="T40" s="59"/>
      <c r="U40" s="59"/>
      <c r="V40" s="42"/>
      <c r="W40" s="69">
        <f t="shared" si="13"/>
        <v>0</v>
      </c>
      <c r="X40" s="70"/>
      <c r="Y40" s="259"/>
      <c r="Z40" s="439"/>
      <c r="AA40" s="440"/>
      <c r="AB40" s="271">
        <f t="shared" si="23"/>
        <v>0</v>
      </c>
      <c r="AC40" s="61" t="e">
        <f t="shared" si="24"/>
        <v>#DIV/0!</v>
      </c>
      <c r="AD40" s="437"/>
    </row>
    <row r="41" spans="1:30" s="62" customFormat="1" ht="15" customHeight="1">
      <c r="A41" s="455"/>
      <c r="B41" s="56"/>
      <c r="C41" s="275"/>
      <c r="D41" s="279"/>
      <c r="E41" s="243"/>
      <c r="F41" s="56"/>
      <c r="G41" s="276"/>
      <c r="H41" s="50"/>
      <c r="I41" s="64"/>
      <c r="J41" s="37"/>
      <c r="K41" s="36"/>
      <c r="L41" s="38"/>
      <c r="M41" s="65"/>
      <c r="N41" s="66"/>
      <c r="O41" s="67"/>
      <c r="P41" s="39"/>
      <c r="Q41" s="40"/>
      <c r="R41" s="190"/>
      <c r="S41" s="397"/>
      <c r="T41" s="59"/>
      <c r="U41" s="59"/>
      <c r="V41" s="42"/>
      <c r="W41" s="69">
        <f t="shared" si="13"/>
        <v>0</v>
      </c>
      <c r="X41" s="70"/>
      <c r="Y41" s="259"/>
      <c r="Z41" s="439"/>
      <c r="AA41" s="440"/>
      <c r="AB41" s="271"/>
      <c r="AC41" s="61"/>
      <c r="AD41" s="437"/>
    </row>
    <row r="42" spans="1:30" s="62" customFormat="1" ht="15" customHeight="1">
      <c r="A42" s="455"/>
      <c r="B42" s="56"/>
      <c r="C42" s="23"/>
      <c r="D42" s="279"/>
      <c r="E42" s="12"/>
      <c r="F42" s="56"/>
      <c r="G42" s="276"/>
      <c r="H42" s="63"/>
      <c r="I42" s="64"/>
      <c r="J42" s="37"/>
      <c r="K42" s="36"/>
      <c r="L42" s="38"/>
      <c r="M42" s="65"/>
      <c r="N42" s="66"/>
      <c r="O42" s="67"/>
      <c r="P42" s="39"/>
      <c r="Q42" s="40"/>
      <c r="R42" s="190"/>
      <c r="S42" s="397"/>
      <c r="T42" s="75"/>
      <c r="U42" s="75"/>
      <c r="V42" s="42"/>
      <c r="W42" s="69">
        <f t="shared" si="13"/>
        <v>0</v>
      </c>
      <c r="X42" s="70"/>
      <c r="Y42" s="60"/>
      <c r="Z42" s="445"/>
      <c r="AA42" s="446"/>
      <c r="AB42" s="271"/>
      <c r="AC42" s="61"/>
      <c r="AD42" s="437"/>
    </row>
    <row r="43" spans="1:30" s="62" customFormat="1" ht="15" customHeight="1">
      <c r="A43" s="455"/>
      <c r="B43" s="230"/>
      <c r="C43" s="23"/>
      <c r="D43" s="11"/>
      <c r="E43" s="12"/>
      <c r="F43" s="13"/>
      <c r="G43" s="100"/>
      <c r="H43" s="63">
        <f t="shared" ref="H43:H47" si="29">F43*G43</f>
        <v>0</v>
      </c>
      <c r="I43" s="64"/>
      <c r="J43" s="65"/>
      <c r="K43" s="66"/>
      <c r="L43" s="67"/>
      <c r="M43" s="65"/>
      <c r="N43" s="66"/>
      <c r="O43" s="67"/>
      <c r="P43" s="39"/>
      <c r="Q43" s="40"/>
      <c r="R43" s="68"/>
      <c r="S43" s="397"/>
      <c r="T43" s="75"/>
      <c r="U43" s="75"/>
      <c r="V43" s="64"/>
      <c r="W43" s="69">
        <f>(U43-T43)*24*60</f>
        <v>0</v>
      </c>
      <c r="X43" s="70"/>
      <c r="Y43" s="67"/>
      <c r="Z43" s="405"/>
      <c r="AA43" s="405"/>
      <c r="AB43" s="71"/>
      <c r="AC43" s="61"/>
      <c r="AD43" s="437"/>
    </row>
    <row r="44" spans="1:30" s="62" customFormat="1" ht="15" customHeight="1">
      <c r="A44" s="455"/>
      <c r="B44" s="230"/>
      <c r="C44" s="183"/>
      <c r="D44" s="11"/>
      <c r="E44" s="12"/>
      <c r="F44" s="13"/>
      <c r="G44" s="100"/>
      <c r="H44" s="63">
        <f t="shared" si="29"/>
        <v>0</v>
      </c>
      <c r="I44" s="64"/>
      <c r="J44" s="65"/>
      <c r="K44" s="66"/>
      <c r="L44" s="58"/>
      <c r="M44" s="65"/>
      <c r="N44" s="66"/>
      <c r="O44" s="67"/>
      <c r="P44" s="39"/>
      <c r="Q44" s="40"/>
      <c r="R44" s="68"/>
      <c r="S44" s="397"/>
      <c r="T44" s="59"/>
      <c r="U44" s="59"/>
      <c r="V44" s="64"/>
      <c r="W44" s="69">
        <f t="shared" ref="W44:W48" si="30">(U44-T44)*24*60</f>
        <v>0</v>
      </c>
      <c r="X44" s="70"/>
      <c r="Y44" s="67"/>
      <c r="Z44" s="405"/>
      <c r="AA44" s="405"/>
      <c r="AB44" s="71"/>
      <c r="AC44" s="61"/>
      <c r="AD44" s="437"/>
    </row>
    <row r="45" spans="1:30" s="62" customFormat="1" ht="15" customHeight="1">
      <c r="A45" s="455"/>
      <c r="B45" s="231"/>
      <c r="C45" s="27"/>
      <c r="D45" s="28"/>
      <c r="E45" s="29"/>
      <c r="F45" s="13"/>
      <c r="G45" s="66"/>
      <c r="H45" s="63">
        <f t="shared" si="29"/>
        <v>0</v>
      </c>
      <c r="I45" s="64"/>
      <c r="J45" s="65"/>
      <c r="K45" s="66"/>
      <c r="L45" s="67"/>
      <c r="M45" s="65"/>
      <c r="N45" s="66"/>
      <c r="O45" s="67"/>
      <c r="P45" s="39"/>
      <c r="Q45" s="40"/>
      <c r="R45" s="68"/>
      <c r="S45" s="397"/>
      <c r="T45" s="75"/>
      <c r="U45" s="75"/>
      <c r="V45" s="64"/>
      <c r="W45" s="69">
        <f t="shared" si="30"/>
        <v>0</v>
      </c>
      <c r="X45" s="70"/>
      <c r="Y45" s="67"/>
      <c r="Z45" s="405"/>
      <c r="AA45" s="405"/>
      <c r="AB45" s="71"/>
      <c r="AC45" s="61"/>
      <c r="AD45" s="437"/>
    </row>
    <row r="46" spans="1:30" s="62" customFormat="1" ht="15" customHeight="1">
      <c r="A46" s="455"/>
      <c r="B46" s="231"/>
      <c r="C46" s="27"/>
      <c r="D46" s="28"/>
      <c r="E46" s="29"/>
      <c r="F46" s="13"/>
      <c r="G46" s="66"/>
      <c r="H46" s="63">
        <f t="shared" si="29"/>
        <v>0</v>
      </c>
      <c r="I46" s="64"/>
      <c r="J46" s="65"/>
      <c r="K46" s="66"/>
      <c r="L46" s="67"/>
      <c r="M46" s="65"/>
      <c r="N46" s="66"/>
      <c r="O46" s="67"/>
      <c r="P46" s="39"/>
      <c r="Q46" s="40"/>
      <c r="R46" s="68"/>
      <c r="S46" s="397"/>
      <c r="T46" s="59"/>
      <c r="U46" s="59"/>
      <c r="V46" s="64"/>
      <c r="W46" s="69">
        <f t="shared" si="30"/>
        <v>0</v>
      </c>
      <c r="X46" s="70"/>
      <c r="Y46" s="67"/>
      <c r="Z46" s="405"/>
      <c r="AA46" s="405"/>
      <c r="AB46" s="71"/>
      <c r="AC46" s="61"/>
      <c r="AD46" s="437"/>
    </row>
    <row r="47" spans="1:30" s="62" customFormat="1" ht="15" customHeight="1">
      <c r="A47" s="455"/>
      <c r="B47" s="230"/>
      <c r="C47" s="27"/>
      <c r="D47" s="28"/>
      <c r="E47" s="29"/>
      <c r="F47" s="13"/>
      <c r="G47" s="66"/>
      <c r="H47" s="63">
        <f t="shared" si="29"/>
        <v>0</v>
      </c>
      <c r="I47" s="64"/>
      <c r="J47" s="65"/>
      <c r="K47" s="66"/>
      <c r="L47" s="67"/>
      <c r="M47" s="65"/>
      <c r="N47" s="66"/>
      <c r="O47" s="67"/>
      <c r="P47" s="39"/>
      <c r="Q47" s="40"/>
      <c r="R47" s="68"/>
      <c r="S47" s="397"/>
      <c r="T47" s="75"/>
      <c r="U47" s="75"/>
      <c r="V47" s="64"/>
      <c r="W47" s="69">
        <f t="shared" si="30"/>
        <v>0</v>
      </c>
      <c r="X47" s="70"/>
      <c r="Y47" s="67"/>
      <c r="Z47" s="405"/>
      <c r="AA47" s="405"/>
      <c r="AB47" s="71"/>
      <c r="AC47" s="61"/>
      <c r="AD47" s="437"/>
    </row>
    <row r="48" spans="1:30" ht="15" customHeight="1" thickBot="1">
      <c r="A48" s="456"/>
      <c r="B48" s="156"/>
      <c r="C48" s="1" t="s">
        <v>37</v>
      </c>
      <c r="D48" s="410" t="s">
        <v>7</v>
      </c>
      <c r="E48" s="410"/>
      <c r="F48" s="133"/>
      <c r="G48" s="145"/>
      <c r="H48" s="135"/>
      <c r="I48" s="136"/>
      <c r="J48" s="134">
        <f t="shared" ref="J48:O48" si="31">AVERAGE(J38:J47)</f>
        <v>15</v>
      </c>
      <c r="K48" s="134">
        <f t="shared" si="31"/>
        <v>1485.5</v>
      </c>
      <c r="L48" s="137">
        <f t="shared" si="31"/>
        <v>99.033333333333331</v>
      </c>
      <c r="M48" s="134">
        <f t="shared" si="31"/>
        <v>14</v>
      </c>
      <c r="N48" s="134">
        <f t="shared" si="31"/>
        <v>1048.5812356979404</v>
      </c>
      <c r="O48" s="137">
        <f t="shared" si="31"/>
        <v>74.898659692710041</v>
      </c>
      <c r="P48" s="157">
        <f>M48-J48</f>
        <v>-1</v>
      </c>
      <c r="Q48" s="158">
        <f>N48-K48</f>
        <v>-436.91876430205957</v>
      </c>
      <c r="R48" s="159">
        <f>O48/L48</f>
        <v>0.75629747249454771</v>
      </c>
      <c r="S48" s="399"/>
      <c r="T48" s="160"/>
      <c r="U48" s="160"/>
      <c r="V48" s="196"/>
      <c r="W48" s="161">
        <f t="shared" si="30"/>
        <v>0</v>
      </c>
      <c r="X48" s="162"/>
      <c r="Y48" s="162"/>
      <c r="Z48" s="391"/>
      <c r="AA48" s="391"/>
      <c r="AB48" s="163">
        <f>N48-K48</f>
        <v>-436.91876430205957</v>
      </c>
      <c r="AC48" s="191">
        <f>N48/K48</f>
        <v>0.70587764099491113</v>
      </c>
      <c r="AD48" s="438"/>
    </row>
    <row r="49" spans="1:30" ht="15" customHeight="1">
      <c r="A49" s="451" t="s">
        <v>56</v>
      </c>
      <c r="B49" s="199" t="str">
        <f>VLOOKUP(D49,廠價表!$C$1:$E$39,2,0)</f>
        <v>義大利麵</v>
      </c>
      <c r="C49" s="102"/>
      <c r="D49" s="103" t="s">
        <v>152</v>
      </c>
      <c r="E49" s="104"/>
      <c r="F49" s="199">
        <f>VLOOKUP(D49,廠價表!$C$1:$E$39,3,0)</f>
        <v>56.87</v>
      </c>
      <c r="G49" s="149">
        <v>1825</v>
      </c>
      <c r="H49" s="125">
        <f t="shared" ref="H49:H57" si="32">F49*G49</f>
        <v>103787.75</v>
      </c>
      <c r="I49" s="126"/>
      <c r="J49" s="16">
        <f>VLOOKUP(D49,產線配置圖!$A$2:$C$38,2,0)</f>
        <v>19</v>
      </c>
      <c r="K49" s="14">
        <f>VLOOKUP(D49,產線配置圖!$A$2:$C$38,3,0)</f>
        <v>1565</v>
      </c>
      <c r="L49" s="109">
        <f>K49/J49</f>
        <v>82.368421052631575</v>
      </c>
      <c r="M49" s="144">
        <v>17</v>
      </c>
      <c r="N49" s="127">
        <f>G49/W49*60</f>
        <v>1319.2771084337344</v>
      </c>
      <c r="O49" s="128">
        <f>N49/M49</f>
        <v>77.604535790219671</v>
      </c>
      <c r="P49" s="164">
        <f>M49-J49</f>
        <v>-2</v>
      </c>
      <c r="Q49" s="112">
        <f>O49-L49</f>
        <v>-4.7638852624119039</v>
      </c>
      <c r="R49" s="184">
        <f>O49/L49</f>
        <v>0.94216369329979155</v>
      </c>
      <c r="S49" s="396">
        <f>R58</f>
        <v>0.95557526815575911</v>
      </c>
      <c r="T49" s="151">
        <v>0.28888888888888886</v>
      </c>
      <c r="U49" s="151">
        <v>0.34652777777777777</v>
      </c>
      <c r="V49" s="188"/>
      <c r="W49" s="152">
        <f t="shared" si="13"/>
        <v>83.000000000000028</v>
      </c>
      <c r="X49" s="188"/>
      <c r="Y49" s="188"/>
      <c r="Z49" s="400"/>
      <c r="AA49" s="400"/>
      <c r="AB49" s="111">
        <f>N49-K49</f>
        <v>-245.72289156626562</v>
      </c>
      <c r="AC49" s="184">
        <f>N49/K49</f>
        <v>0.84298856768928709</v>
      </c>
      <c r="AD49" s="401">
        <f>AC58</f>
        <v>0.88449471912888689</v>
      </c>
    </row>
    <row r="50" spans="1:30" ht="15" customHeight="1">
      <c r="A50" s="452"/>
      <c r="B50" s="56" t="str">
        <f>VLOOKUP(D50,廠價表!$C$1:$E$39,2,0)</f>
        <v>義大利麵</v>
      </c>
      <c r="C50" s="10"/>
      <c r="D50" s="11" t="s">
        <v>65</v>
      </c>
      <c r="E50" s="86"/>
      <c r="F50" s="56">
        <f>VLOOKUP(D50,廠價表!$C$1:$E$39,3,0)</f>
        <v>49.97</v>
      </c>
      <c r="G50" s="66">
        <v>3712</v>
      </c>
      <c r="H50" s="76">
        <f t="shared" si="32"/>
        <v>185488.63999999998</v>
      </c>
      <c r="I50" s="193"/>
      <c r="J50" s="16">
        <f>VLOOKUP(D50,產線配置圖!$A$2:$C$38,2,0)</f>
        <v>18</v>
      </c>
      <c r="K50" s="14">
        <f>VLOOKUP(D50,產線配置圖!$A$2:$C$38,3,0)</f>
        <v>1600</v>
      </c>
      <c r="L50" s="17">
        <f>K50/J50</f>
        <v>88.888888888888886</v>
      </c>
      <c r="M50" s="174">
        <v>16</v>
      </c>
      <c r="N50" s="77">
        <f>G50/W50*60</f>
        <v>1325.714285714286</v>
      </c>
      <c r="O50" s="78">
        <f>N50/M50</f>
        <v>82.857142857142875</v>
      </c>
      <c r="P50" s="18">
        <f>M50-J50</f>
        <v>-2</v>
      </c>
      <c r="Q50" s="19">
        <f>O50-L50</f>
        <v>-6.0317460317460103</v>
      </c>
      <c r="R50" s="185">
        <f>O50/L50</f>
        <v>0.93214285714285738</v>
      </c>
      <c r="S50" s="397"/>
      <c r="T50" s="79">
        <v>0.35208333333333336</v>
      </c>
      <c r="U50" s="79">
        <v>0.46875</v>
      </c>
      <c r="V50" s="177">
        <f t="shared" ref="V50:V51" si="33">(T50-U49)*24*60</f>
        <v>8.0000000000000515</v>
      </c>
      <c r="W50" s="80">
        <f t="shared" si="13"/>
        <v>167.99999999999997</v>
      </c>
      <c r="X50" s="22"/>
      <c r="Y50" s="22"/>
      <c r="Z50" s="419"/>
      <c r="AA50" s="418"/>
      <c r="AB50" s="18">
        <f>N50-K50</f>
        <v>-274.28571428571399</v>
      </c>
      <c r="AC50" s="185">
        <f>N50/K50</f>
        <v>0.82857142857142874</v>
      </c>
      <c r="AD50" s="402"/>
    </row>
    <row r="51" spans="1:30" ht="15" customHeight="1">
      <c r="A51" s="452"/>
      <c r="B51" s="56" t="str">
        <f>VLOOKUP(D51,廠價表!$C$1:$E$39,2,0)</f>
        <v>義大利麵</v>
      </c>
      <c r="C51" s="10"/>
      <c r="D51" s="11" t="s">
        <v>158</v>
      </c>
      <c r="E51" s="86"/>
      <c r="F51" s="56">
        <f>VLOOKUP(D51,廠價表!$C$1:$E$39,3,0)</f>
        <v>47.71</v>
      </c>
      <c r="G51" s="66">
        <v>2518</v>
      </c>
      <c r="H51" s="76">
        <f t="shared" si="32"/>
        <v>120133.78</v>
      </c>
      <c r="I51" s="193"/>
      <c r="J51" s="16">
        <f>VLOOKUP(D51,產線配置圖!$A$2:$C$38,2,0)</f>
        <v>15</v>
      </c>
      <c r="K51" s="14">
        <f>VLOOKUP(D51,產線配置圖!$A$2:$C$38,3,0)</f>
        <v>1500</v>
      </c>
      <c r="L51" s="17">
        <f>K51/J51</f>
        <v>100</v>
      </c>
      <c r="M51" s="174">
        <v>15</v>
      </c>
      <c r="N51" s="77">
        <f>G51/W51*60</f>
        <v>1481.176470588236</v>
      </c>
      <c r="O51" s="78">
        <f>N51/M51</f>
        <v>98.745098039215733</v>
      </c>
      <c r="P51" s="18">
        <f>M51-J51</f>
        <v>0</v>
      </c>
      <c r="Q51" s="19">
        <f>O51-L51</f>
        <v>-1.2549019607842666</v>
      </c>
      <c r="R51" s="185">
        <f>O51/L51</f>
        <v>0.98745098039215728</v>
      </c>
      <c r="S51" s="397"/>
      <c r="T51" s="79">
        <v>0.53472222222222221</v>
      </c>
      <c r="U51" s="44">
        <v>0.60555555555555551</v>
      </c>
      <c r="V51" s="177">
        <f t="shared" si="33"/>
        <v>94.999999999999986</v>
      </c>
      <c r="W51" s="80">
        <f t="shared" si="13"/>
        <v>101.99999999999996</v>
      </c>
      <c r="X51" s="22" t="s">
        <v>222</v>
      </c>
      <c r="Y51" s="22">
        <v>0.52083333333333337</v>
      </c>
      <c r="Z51" s="405"/>
      <c r="AA51" s="405"/>
      <c r="AB51" s="18">
        <f>N51-K51</f>
        <v>-18.823529411763957</v>
      </c>
      <c r="AC51" s="185">
        <f>N51/K51</f>
        <v>0.9874509803921574</v>
      </c>
      <c r="AD51" s="402"/>
    </row>
    <row r="52" spans="1:30" ht="15" customHeight="1">
      <c r="A52" s="452"/>
      <c r="B52" s="56"/>
      <c r="C52" s="23"/>
      <c r="D52" s="11"/>
      <c r="E52" s="12"/>
      <c r="F52" s="56"/>
      <c r="G52" s="66"/>
      <c r="H52" s="76"/>
      <c r="I52" s="193"/>
      <c r="J52" s="16"/>
      <c r="K52" s="14"/>
      <c r="L52" s="17"/>
      <c r="M52" s="174"/>
      <c r="N52" s="77"/>
      <c r="O52" s="78"/>
      <c r="P52" s="18"/>
      <c r="Q52" s="19"/>
      <c r="R52" s="185"/>
      <c r="S52" s="397"/>
      <c r="T52" s="79"/>
      <c r="U52" s="79"/>
      <c r="V52" s="177"/>
      <c r="W52" s="80">
        <f t="shared" si="13"/>
        <v>0</v>
      </c>
      <c r="X52" s="22"/>
      <c r="Y52" s="22"/>
      <c r="Z52" s="405"/>
      <c r="AA52" s="405"/>
      <c r="AB52" s="18"/>
      <c r="AC52" s="185"/>
      <c r="AD52" s="402"/>
    </row>
    <row r="53" spans="1:30" ht="15" customHeight="1">
      <c r="A53" s="452"/>
      <c r="B53" s="56"/>
      <c r="C53" s="23"/>
      <c r="D53" s="11"/>
      <c r="E53" s="12"/>
      <c r="F53" s="56"/>
      <c r="G53" s="66"/>
      <c r="H53" s="76"/>
      <c r="I53" s="193"/>
      <c r="J53" s="16"/>
      <c r="K53" s="14"/>
      <c r="L53" s="17"/>
      <c r="M53" s="174"/>
      <c r="N53" s="77"/>
      <c r="O53" s="78"/>
      <c r="P53" s="18"/>
      <c r="Q53" s="19"/>
      <c r="R53" s="185"/>
      <c r="S53" s="397"/>
      <c r="T53" s="79"/>
      <c r="U53" s="79"/>
      <c r="V53" s="177"/>
      <c r="W53" s="80">
        <f t="shared" si="13"/>
        <v>0</v>
      </c>
      <c r="X53" s="177"/>
      <c r="Y53" s="177"/>
      <c r="Z53" s="419"/>
      <c r="AA53" s="418"/>
      <c r="AB53" s="18"/>
      <c r="AC53" s="185"/>
      <c r="AD53" s="402"/>
    </row>
    <row r="54" spans="1:30" ht="15" customHeight="1">
      <c r="A54" s="452"/>
      <c r="B54" s="177"/>
      <c r="C54" s="183"/>
      <c r="D54" s="11"/>
      <c r="E54" s="12"/>
      <c r="F54" s="13"/>
      <c r="G54" s="66"/>
      <c r="H54" s="76">
        <f t="shared" si="32"/>
        <v>0</v>
      </c>
      <c r="I54" s="177"/>
      <c r="J54" s="31"/>
      <c r="K54" s="30"/>
      <c r="L54" s="38"/>
      <c r="M54" s="181"/>
      <c r="N54" s="30"/>
      <c r="O54" s="35"/>
      <c r="P54" s="18"/>
      <c r="Q54" s="19"/>
      <c r="R54" s="185"/>
      <c r="S54" s="397"/>
      <c r="T54" s="79"/>
      <c r="U54" s="79"/>
      <c r="V54" s="197"/>
      <c r="W54" s="80">
        <f t="shared" si="13"/>
        <v>0</v>
      </c>
      <c r="X54" s="177"/>
      <c r="Y54" s="177"/>
      <c r="Z54" s="419"/>
      <c r="AA54" s="418"/>
      <c r="AB54" s="18"/>
      <c r="AC54" s="185"/>
      <c r="AD54" s="402"/>
    </row>
    <row r="55" spans="1:30" ht="15" customHeight="1">
      <c r="A55" s="452"/>
      <c r="B55" s="26"/>
      <c r="C55" s="27"/>
      <c r="D55" s="28"/>
      <c r="E55" s="29"/>
      <c r="F55" s="13"/>
      <c r="G55" s="66"/>
      <c r="H55" s="15">
        <f t="shared" si="32"/>
        <v>0</v>
      </c>
      <c r="I55" s="177"/>
      <c r="J55" s="31"/>
      <c r="K55" s="30"/>
      <c r="L55" s="38"/>
      <c r="M55" s="181"/>
      <c r="N55" s="30"/>
      <c r="O55" s="35"/>
      <c r="P55" s="18"/>
      <c r="Q55" s="19"/>
      <c r="R55" s="185"/>
      <c r="S55" s="397"/>
      <c r="T55" s="79"/>
      <c r="U55" s="79"/>
      <c r="V55" s="197"/>
      <c r="W55" s="80">
        <f t="shared" si="13"/>
        <v>0</v>
      </c>
      <c r="X55" s="177"/>
      <c r="Y55" s="177"/>
      <c r="Z55" s="419"/>
      <c r="AA55" s="418"/>
      <c r="AB55" s="18"/>
      <c r="AC55" s="185"/>
      <c r="AD55" s="402"/>
    </row>
    <row r="56" spans="1:30" ht="15" customHeight="1">
      <c r="A56" s="452"/>
      <c r="B56" s="26"/>
      <c r="C56" s="27"/>
      <c r="D56" s="28"/>
      <c r="E56" s="29"/>
      <c r="F56" s="13"/>
      <c r="G56" s="66"/>
      <c r="H56" s="15">
        <f t="shared" si="32"/>
        <v>0</v>
      </c>
      <c r="I56" s="177"/>
      <c r="J56" s="31"/>
      <c r="K56" s="30"/>
      <c r="L56" s="38"/>
      <c r="M56" s="181"/>
      <c r="N56" s="30"/>
      <c r="O56" s="35"/>
      <c r="P56" s="18"/>
      <c r="Q56" s="19"/>
      <c r="R56" s="185"/>
      <c r="S56" s="397"/>
      <c r="T56" s="79"/>
      <c r="U56" s="79"/>
      <c r="V56" s="197"/>
      <c r="W56" s="80">
        <f t="shared" si="13"/>
        <v>0</v>
      </c>
      <c r="X56" s="177"/>
      <c r="Y56" s="177"/>
      <c r="Z56" s="405"/>
      <c r="AA56" s="405"/>
      <c r="AB56" s="18"/>
      <c r="AC56" s="185"/>
      <c r="AD56" s="402"/>
    </row>
    <row r="57" spans="1:30" ht="15" customHeight="1">
      <c r="A57" s="452"/>
      <c r="B57" s="26"/>
      <c r="C57" s="27"/>
      <c r="D57" s="28"/>
      <c r="E57" s="29"/>
      <c r="F57" s="13"/>
      <c r="G57" s="66"/>
      <c r="H57" s="15">
        <f t="shared" si="32"/>
        <v>0</v>
      </c>
      <c r="I57" s="177"/>
      <c r="J57" s="31"/>
      <c r="K57" s="30"/>
      <c r="L57" s="38"/>
      <c r="M57" s="181"/>
      <c r="N57" s="30"/>
      <c r="O57" s="35"/>
      <c r="P57" s="18"/>
      <c r="Q57" s="19"/>
      <c r="R57" s="185"/>
      <c r="S57" s="397"/>
      <c r="T57" s="79"/>
      <c r="U57" s="79"/>
      <c r="V57" s="197"/>
      <c r="W57" s="80">
        <f t="shared" si="13"/>
        <v>0</v>
      </c>
      <c r="X57" s="177"/>
      <c r="Y57" s="177"/>
      <c r="Z57" s="405"/>
      <c r="AA57" s="405"/>
      <c r="AB57" s="18"/>
      <c r="AC57" s="185"/>
      <c r="AD57" s="402"/>
    </row>
    <row r="58" spans="1:30" ht="15" customHeight="1" thickBot="1">
      <c r="A58" s="453"/>
      <c r="B58" s="165"/>
      <c r="C58" s="1" t="s">
        <v>38</v>
      </c>
      <c r="D58" s="410" t="s">
        <v>7</v>
      </c>
      <c r="E58" s="410"/>
      <c r="F58" s="114"/>
      <c r="G58" s="166"/>
      <c r="H58" s="116"/>
      <c r="I58" s="115"/>
      <c r="J58" s="118">
        <f t="shared" ref="J58:O58" si="34">AVERAGE(J49:J57)</f>
        <v>17.333333333333332</v>
      </c>
      <c r="K58" s="118">
        <f t="shared" si="34"/>
        <v>1555</v>
      </c>
      <c r="L58" s="115">
        <f t="shared" si="34"/>
        <v>90.419103313840154</v>
      </c>
      <c r="M58" s="118">
        <f t="shared" si="34"/>
        <v>16</v>
      </c>
      <c r="N58" s="118">
        <f t="shared" si="34"/>
        <v>1375.389288245419</v>
      </c>
      <c r="O58" s="115">
        <f t="shared" si="34"/>
        <v>86.402258895526089</v>
      </c>
      <c r="P58" s="119">
        <f>M58-J58</f>
        <v>-1.3333333333333321</v>
      </c>
      <c r="Q58" s="120">
        <f>N58-K58</f>
        <v>-179.61071175458096</v>
      </c>
      <c r="R58" s="121">
        <f t="shared" ref="R58:R60" si="35">O58/L58</f>
        <v>0.95557526815575911</v>
      </c>
      <c r="S58" s="399"/>
      <c r="T58" s="167"/>
      <c r="U58" s="167"/>
      <c r="V58" s="195"/>
      <c r="W58" s="168"/>
      <c r="X58" s="124"/>
      <c r="Y58" s="124"/>
      <c r="Z58" s="391"/>
      <c r="AA58" s="391"/>
      <c r="AB58" s="119">
        <f t="shared" ref="AB58:AB62" si="36">N58-K58</f>
        <v>-179.61071175458096</v>
      </c>
      <c r="AC58" s="187">
        <f t="shared" ref="AC58:AC62" si="37">N58/K58</f>
        <v>0.88449471912888689</v>
      </c>
      <c r="AD58" s="404"/>
    </row>
    <row r="59" spans="1:30" ht="15" customHeight="1">
      <c r="A59" s="466" t="s">
        <v>57</v>
      </c>
      <c r="B59" s="199" t="str">
        <f>VLOOKUP(D59,廠價表!$C$1:$E$39,2,0)</f>
        <v>小吃、微波</v>
      </c>
      <c r="C59" s="102"/>
      <c r="D59" s="103" t="s">
        <v>125</v>
      </c>
      <c r="E59" s="104"/>
      <c r="F59" s="199">
        <f>VLOOKUP(D59,廠價表!$C$1:$E$39,3,0)</f>
        <v>26.99</v>
      </c>
      <c r="G59" s="188">
        <v>3235</v>
      </c>
      <c r="H59" s="106">
        <f t="shared" ref="H59:H68" si="38">F59*G59</f>
        <v>87312.65</v>
      </c>
      <c r="I59" s="188"/>
      <c r="J59" s="108">
        <f>VLOOKUP(D59,產線配置圖!$A$2:$C$38,2,0)</f>
        <v>13</v>
      </c>
      <c r="K59" s="105">
        <f>VLOOKUP(D59,產線配置圖!$A$2:$C$38,3,0)</f>
        <v>1565</v>
      </c>
      <c r="L59" s="109">
        <f>K59/J59</f>
        <v>120.38461538461539</v>
      </c>
      <c r="M59" s="110">
        <v>13</v>
      </c>
      <c r="N59" s="105">
        <f t="shared" ref="N59:N61" si="39">G59/W59*60</f>
        <v>1552.8000000000006</v>
      </c>
      <c r="O59" s="109">
        <f t="shared" ref="O59:O61" si="40">N59/M59</f>
        <v>119.44615384615389</v>
      </c>
      <c r="P59" s="111">
        <f t="shared" ref="P59:P61" si="41">M59-J59</f>
        <v>0</v>
      </c>
      <c r="Q59" s="112">
        <f t="shared" ref="Q59:Q61" si="42">O59-L59</f>
        <v>-0.93846153846149605</v>
      </c>
      <c r="R59" s="184">
        <f t="shared" si="35"/>
        <v>0.99220447284345081</v>
      </c>
      <c r="S59" s="396">
        <f>R69</f>
        <v>0.86682385898128556</v>
      </c>
      <c r="T59" s="169">
        <v>0.2902777777777778</v>
      </c>
      <c r="U59" s="169">
        <v>0.37708333333333333</v>
      </c>
      <c r="V59" s="188"/>
      <c r="W59" s="107">
        <f t="shared" si="13"/>
        <v>124.99999999999996</v>
      </c>
      <c r="X59" s="188"/>
      <c r="Y59" s="188"/>
      <c r="Z59" s="405"/>
      <c r="AA59" s="405"/>
      <c r="AB59" s="225">
        <f t="shared" si="36"/>
        <v>-12.199999999999363</v>
      </c>
      <c r="AC59" s="226">
        <f t="shared" si="37"/>
        <v>0.99220447284345092</v>
      </c>
      <c r="AD59" s="401">
        <f>AC69</f>
        <v>0.87003874651621294</v>
      </c>
    </row>
    <row r="60" spans="1:30" ht="15" customHeight="1">
      <c r="A60" s="467"/>
      <c r="B60" s="56" t="str">
        <f>VLOOKUP(D60,廠價表!$C$1:$E$39,2,0)</f>
        <v>小吃、微波</v>
      </c>
      <c r="C60" s="10"/>
      <c r="D60" s="11" t="s">
        <v>146</v>
      </c>
      <c r="E60" s="86"/>
      <c r="F60" s="56">
        <f>VLOOKUP(D60,廠價表!$C$1:$E$39,3,0)</f>
        <v>28.47</v>
      </c>
      <c r="G60" s="177">
        <v>731</v>
      </c>
      <c r="H60" s="15">
        <f t="shared" si="38"/>
        <v>20811.57</v>
      </c>
      <c r="I60" s="177"/>
      <c r="J60" s="16">
        <f>VLOOKUP(D60,產線配置圖!$A$2:$C$38,2,0)</f>
        <v>12</v>
      </c>
      <c r="K60" s="14">
        <f>VLOOKUP(D60,產線配置圖!$A$2:$C$38,3,0)</f>
        <v>1565</v>
      </c>
      <c r="L60" s="17">
        <f>K60/J60</f>
        <v>130.41666666666666</v>
      </c>
      <c r="M60" s="180">
        <v>12</v>
      </c>
      <c r="N60" s="14">
        <f t="shared" si="39"/>
        <v>1096.5000000000018</v>
      </c>
      <c r="O60" s="17">
        <f t="shared" si="40"/>
        <v>91.375000000000156</v>
      </c>
      <c r="P60" s="18">
        <f t="shared" si="41"/>
        <v>0</v>
      </c>
      <c r="Q60" s="19">
        <f t="shared" si="42"/>
        <v>-39.041666666666501</v>
      </c>
      <c r="R60" s="185">
        <f t="shared" si="35"/>
        <v>0.70063897763578398</v>
      </c>
      <c r="S60" s="470"/>
      <c r="T60" s="198">
        <v>0.38541666666666669</v>
      </c>
      <c r="U60" s="198">
        <v>0.41319444444444442</v>
      </c>
      <c r="V60" s="177">
        <f t="shared" ref="V60:V61" si="43">(T60-U59)*24*60</f>
        <v>12.000000000000037</v>
      </c>
      <c r="W60" s="90">
        <f t="shared" si="13"/>
        <v>39.999999999999936</v>
      </c>
      <c r="X60" s="193"/>
      <c r="Y60" s="193"/>
      <c r="Z60" s="405" t="s">
        <v>229</v>
      </c>
      <c r="AA60" s="405"/>
      <c r="AB60" s="227">
        <f t="shared" si="36"/>
        <v>-468.49999999999818</v>
      </c>
      <c r="AC60" s="228">
        <f t="shared" si="37"/>
        <v>0.70063897763578387</v>
      </c>
      <c r="AD60" s="473"/>
    </row>
    <row r="61" spans="1:30" ht="15" customHeight="1">
      <c r="A61" s="468"/>
      <c r="B61" s="56" t="str">
        <f>VLOOKUP(D61,廠價表!$C$1:$E$39,2,0)</f>
        <v>小吃、微波</v>
      </c>
      <c r="C61" s="10"/>
      <c r="D61" s="242" t="s">
        <v>135</v>
      </c>
      <c r="E61" s="86"/>
      <c r="F61" s="56">
        <f>VLOOKUP(D61,廠價表!$C$1:$E$39,3,0)</f>
        <v>28.26</v>
      </c>
      <c r="G61" s="177">
        <v>2249</v>
      </c>
      <c r="H61" s="15">
        <f t="shared" si="38"/>
        <v>63556.740000000005</v>
      </c>
      <c r="I61" s="81"/>
      <c r="J61" s="16">
        <f>VLOOKUP(D61,產線配置圖!$A$2:$C$38,2,0)</f>
        <v>12</v>
      </c>
      <c r="K61" s="14">
        <f>VLOOKUP(D61,產線配置圖!$A$2:$C$38,3,0)</f>
        <v>1565</v>
      </c>
      <c r="L61" s="17">
        <f t="shared" ref="L61" si="44">K61/J61</f>
        <v>130.41666666666666</v>
      </c>
      <c r="M61" s="180">
        <v>12</v>
      </c>
      <c r="N61" s="14">
        <f t="shared" si="39"/>
        <v>1435.5319148936173</v>
      </c>
      <c r="O61" s="17">
        <f t="shared" si="40"/>
        <v>119.62765957446811</v>
      </c>
      <c r="P61" s="18">
        <f t="shared" si="41"/>
        <v>0</v>
      </c>
      <c r="Q61" s="19">
        <f t="shared" si="42"/>
        <v>-10.789007092198545</v>
      </c>
      <c r="R61" s="185">
        <f>O61/L61</f>
        <v>0.91727278906940413</v>
      </c>
      <c r="S61" s="397"/>
      <c r="T61" s="20">
        <v>0.42083333333333334</v>
      </c>
      <c r="U61" s="20">
        <v>0.4861111111111111</v>
      </c>
      <c r="V61" s="177">
        <f t="shared" si="43"/>
        <v>11.000000000000041</v>
      </c>
      <c r="W61" s="88">
        <f t="shared" si="13"/>
        <v>93.999999999999986</v>
      </c>
      <c r="X61" s="22"/>
      <c r="Y61" s="22"/>
      <c r="Z61" s="405"/>
      <c r="AA61" s="405"/>
      <c r="AB61" s="51">
        <f t="shared" si="36"/>
        <v>-129.46808510638266</v>
      </c>
      <c r="AC61" s="52">
        <f t="shared" si="37"/>
        <v>0.91727278906940402</v>
      </c>
      <c r="AD61" s="402"/>
    </row>
    <row r="62" spans="1:30" ht="15" customHeight="1">
      <c r="A62" s="468"/>
      <c r="B62" s="56"/>
      <c r="C62" s="23"/>
      <c r="D62" s="242"/>
      <c r="E62" s="12"/>
      <c r="F62" s="56"/>
      <c r="G62" s="177"/>
      <c r="H62" s="15"/>
      <c r="I62" s="81"/>
      <c r="J62" s="16"/>
      <c r="K62" s="14"/>
      <c r="L62" s="17"/>
      <c r="M62" s="180"/>
      <c r="N62" s="14"/>
      <c r="O62" s="17"/>
      <c r="P62" s="18"/>
      <c r="Q62" s="19"/>
      <c r="R62" s="185"/>
      <c r="S62" s="397"/>
      <c r="T62" s="20"/>
      <c r="U62" s="20"/>
      <c r="V62" s="177"/>
      <c r="W62" s="90">
        <f t="shared" si="13"/>
        <v>0</v>
      </c>
      <c r="X62" s="22"/>
      <c r="Y62" s="22"/>
      <c r="Z62" s="405"/>
      <c r="AA62" s="405"/>
      <c r="AB62" s="51">
        <f t="shared" si="36"/>
        <v>0</v>
      </c>
      <c r="AC62" s="52" t="e">
        <f t="shared" si="37"/>
        <v>#DIV/0!</v>
      </c>
      <c r="AD62" s="402"/>
    </row>
    <row r="63" spans="1:30" ht="15" customHeight="1">
      <c r="A63" s="468"/>
      <c r="B63" s="56"/>
      <c r="C63" s="10"/>
      <c r="D63" s="242"/>
      <c r="E63" s="86"/>
      <c r="F63" s="56"/>
      <c r="G63" s="177"/>
      <c r="H63" s="15"/>
      <c r="I63" s="81"/>
      <c r="J63" s="16"/>
      <c r="K63" s="14"/>
      <c r="L63" s="17"/>
      <c r="M63" s="180"/>
      <c r="N63" s="14"/>
      <c r="O63" s="17"/>
      <c r="P63" s="18"/>
      <c r="Q63" s="19"/>
      <c r="R63" s="185"/>
      <c r="S63" s="397"/>
      <c r="T63" s="20"/>
      <c r="U63" s="20"/>
      <c r="V63" s="177"/>
      <c r="W63" s="90">
        <f t="shared" si="13"/>
        <v>0</v>
      </c>
      <c r="X63" s="84"/>
      <c r="Y63" s="84"/>
      <c r="Z63" s="405"/>
      <c r="AA63" s="405"/>
      <c r="AB63" s="51"/>
      <c r="AC63" s="52"/>
      <c r="AD63" s="402"/>
    </row>
    <row r="64" spans="1:30" ht="15" customHeight="1">
      <c r="A64" s="468"/>
      <c r="B64" s="56"/>
      <c r="C64" s="10"/>
      <c r="D64" s="242"/>
      <c r="E64" s="86"/>
      <c r="F64" s="56"/>
      <c r="G64" s="177"/>
      <c r="H64" s="15"/>
      <c r="I64" s="81"/>
      <c r="J64" s="16"/>
      <c r="K64" s="14"/>
      <c r="L64" s="17"/>
      <c r="M64" s="180"/>
      <c r="N64" s="14"/>
      <c r="O64" s="17"/>
      <c r="P64" s="18"/>
      <c r="Q64" s="19"/>
      <c r="R64" s="185"/>
      <c r="S64" s="397"/>
      <c r="T64" s="20"/>
      <c r="U64" s="20"/>
      <c r="V64" s="177"/>
      <c r="W64" s="182">
        <f t="shared" si="13"/>
        <v>0</v>
      </c>
      <c r="X64" s="84"/>
      <c r="Y64" s="84"/>
      <c r="Z64" s="419"/>
      <c r="AA64" s="418"/>
      <c r="AB64" s="18"/>
      <c r="AC64" s="55"/>
      <c r="AD64" s="402"/>
    </row>
    <row r="65" spans="1:32" ht="15" customHeight="1">
      <c r="A65" s="468"/>
      <c r="B65" s="177"/>
      <c r="C65" s="183"/>
      <c r="D65" s="11"/>
      <c r="E65" s="12"/>
      <c r="F65" s="13"/>
      <c r="G65" s="177"/>
      <c r="H65" s="15"/>
      <c r="I65" s="177"/>
      <c r="J65" s="16"/>
      <c r="K65" s="82"/>
      <c r="L65" s="83"/>
      <c r="M65" s="180"/>
      <c r="N65" s="14"/>
      <c r="O65" s="17"/>
      <c r="P65" s="18"/>
      <c r="Q65" s="19"/>
      <c r="R65" s="185"/>
      <c r="S65" s="397"/>
      <c r="T65" s="20"/>
      <c r="U65" s="20"/>
      <c r="V65" s="177"/>
      <c r="W65" s="182">
        <f t="shared" si="13"/>
        <v>0</v>
      </c>
      <c r="X65" s="84"/>
      <c r="Y65" s="84"/>
      <c r="Z65" s="419"/>
      <c r="AA65" s="418"/>
      <c r="AB65" s="18"/>
      <c r="AC65" s="55"/>
      <c r="AD65" s="402"/>
    </row>
    <row r="66" spans="1:32" ht="15" customHeight="1">
      <c r="A66" s="468"/>
      <c r="B66" s="26"/>
      <c r="C66" s="27"/>
      <c r="D66" s="28"/>
      <c r="E66" s="29"/>
      <c r="F66" s="13"/>
      <c r="G66" s="183"/>
      <c r="H66" s="15">
        <f t="shared" si="38"/>
        <v>0</v>
      </c>
      <c r="I66" s="85"/>
      <c r="J66" s="16"/>
      <c r="K66" s="14"/>
      <c r="L66" s="17"/>
      <c r="M66" s="21"/>
      <c r="N66" s="36"/>
      <c r="O66" s="38"/>
      <c r="P66" s="39"/>
      <c r="Q66" s="40"/>
      <c r="R66" s="68"/>
      <c r="S66" s="397"/>
      <c r="T66" s="20"/>
      <c r="U66" s="20"/>
      <c r="V66" s="177"/>
      <c r="W66" s="182">
        <f t="shared" si="13"/>
        <v>0</v>
      </c>
      <c r="X66" s="84"/>
      <c r="Y66" s="84"/>
      <c r="Z66" s="405"/>
      <c r="AA66" s="405"/>
      <c r="AB66" s="18"/>
      <c r="AC66" s="55"/>
      <c r="AD66" s="402"/>
    </row>
    <row r="67" spans="1:32" ht="15" customHeight="1">
      <c r="A67" s="468"/>
      <c r="B67" s="26"/>
      <c r="C67" s="27"/>
      <c r="D67" s="28"/>
      <c r="E67" s="29"/>
      <c r="F67" s="13"/>
      <c r="G67" s="177"/>
      <c r="H67" s="15">
        <f t="shared" si="38"/>
        <v>0</v>
      </c>
      <c r="I67" s="177"/>
      <c r="J67" s="16"/>
      <c r="K67" s="14"/>
      <c r="L67" s="17"/>
      <c r="M67" s="21"/>
      <c r="N67" s="36"/>
      <c r="O67" s="38"/>
      <c r="P67" s="39"/>
      <c r="Q67" s="40"/>
      <c r="R67" s="68"/>
      <c r="S67" s="397"/>
      <c r="T67" s="20"/>
      <c r="U67" s="20"/>
      <c r="V67" s="177"/>
      <c r="W67" s="182">
        <f t="shared" si="13"/>
        <v>0</v>
      </c>
      <c r="X67" s="84"/>
      <c r="Y67" s="84"/>
      <c r="Z67" s="419"/>
      <c r="AA67" s="418"/>
      <c r="AB67" s="18"/>
      <c r="AC67" s="55"/>
      <c r="AD67" s="402"/>
    </row>
    <row r="68" spans="1:32" ht="15" customHeight="1">
      <c r="A68" s="468"/>
      <c r="B68" s="26"/>
      <c r="C68" s="27"/>
      <c r="D68" s="28"/>
      <c r="E68" s="29"/>
      <c r="F68" s="13"/>
      <c r="G68" s="183"/>
      <c r="H68" s="15">
        <f t="shared" si="38"/>
        <v>0</v>
      </c>
      <c r="I68" s="85"/>
      <c r="J68" s="16"/>
      <c r="K68" s="260"/>
      <c r="L68" s="261"/>
      <c r="M68" s="21"/>
      <c r="N68" s="36"/>
      <c r="O68" s="38"/>
      <c r="P68" s="39"/>
      <c r="Q68" s="40"/>
      <c r="R68" s="68"/>
      <c r="S68" s="397"/>
      <c r="T68" s="20"/>
      <c r="U68" s="20"/>
      <c r="V68" s="177"/>
      <c r="W68" s="182">
        <f t="shared" si="13"/>
        <v>0</v>
      </c>
      <c r="X68" s="84"/>
      <c r="Y68" s="84"/>
      <c r="Z68" s="419"/>
      <c r="AA68" s="418"/>
      <c r="AB68" s="18"/>
      <c r="AC68" s="55"/>
      <c r="AD68" s="402"/>
    </row>
    <row r="69" spans="1:32" ht="15" customHeight="1" thickBot="1">
      <c r="A69" s="469"/>
      <c r="B69" s="165"/>
      <c r="C69" s="1" t="s">
        <v>39</v>
      </c>
      <c r="D69" s="410" t="s">
        <v>7</v>
      </c>
      <c r="E69" s="410"/>
      <c r="F69" s="114"/>
      <c r="G69" s="115"/>
      <c r="H69" s="116"/>
      <c r="I69" s="170"/>
      <c r="J69" s="166">
        <f t="shared" ref="J69:O69" si="45">AVERAGE(J59:J68)</f>
        <v>12.333333333333334</v>
      </c>
      <c r="K69" s="166">
        <f t="shared" si="45"/>
        <v>1565</v>
      </c>
      <c r="L69" s="171">
        <f t="shared" si="45"/>
        <v>127.07264957264958</v>
      </c>
      <c r="M69" s="166">
        <f t="shared" si="45"/>
        <v>12.333333333333334</v>
      </c>
      <c r="N69" s="166">
        <f t="shared" si="45"/>
        <v>1361.6106382978733</v>
      </c>
      <c r="O69" s="171">
        <f t="shared" si="45"/>
        <v>110.14960447354072</v>
      </c>
      <c r="P69" s="172">
        <f>M69-J69</f>
        <v>0</v>
      </c>
      <c r="Q69" s="158">
        <f>N69-K69</f>
        <v>-203.38936170212673</v>
      </c>
      <c r="R69" s="121">
        <f>O69/L69</f>
        <v>0.86682385898128556</v>
      </c>
      <c r="S69" s="399"/>
      <c r="T69" s="122"/>
      <c r="U69" s="122"/>
      <c r="V69" s="195"/>
      <c r="W69" s="168"/>
      <c r="X69" s="124"/>
      <c r="Y69" s="124"/>
      <c r="Z69" s="405"/>
      <c r="AA69" s="405"/>
      <c r="AB69" s="119">
        <f>N69-K69</f>
        <v>-203.38936170212673</v>
      </c>
      <c r="AC69" s="187">
        <f>N69/K69</f>
        <v>0.87003874651621294</v>
      </c>
      <c r="AD69" s="404"/>
    </row>
    <row r="70" spans="1:32" ht="15" customHeight="1">
      <c r="A70" s="461" t="s">
        <v>58</v>
      </c>
      <c r="B70" s="199"/>
      <c r="C70" s="199"/>
      <c r="D70" s="103"/>
      <c r="E70" s="104"/>
      <c r="F70" s="199"/>
      <c r="G70" s="188"/>
      <c r="H70" s="106"/>
      <c r="I70" s="188"/>
      <c r="J70" s="108"/>
      <c r="K70" s="105"/>
      <c r="L70" s="109"/>
      <c r="M70" s="110"/>
      <c r="N70" s="105"/>
      <c r="O70" s="109"/>
      <c r="P70" s="111"/>
      <c r="Q70" s="112"/>
      <c r="R70" s="184"/>
      <c r="S70" s="396">
        <f>R79</f>
        <v>0</v>
      </c>
      <c r="T70" s="169"/>
      <c r="U70" s="169"/>
      <c r="V70" s="188"/>
      <c r="W70" s="107"/>
      <c r="X70" s="296"/>
      <c r="Y70" s="296"/>
      <c r="Z70" s="465"/>
      <c r="AA70" s="427"/>
      <c r="AB70" s="225">
        <f t="shared" ref="AB70:AB71" si="46">N70-K70</f>
        <v>0</v>
      </c>
      <c r="AC70" s="226" t="e">
        <f t="shared" ref="AC70:AC71" si="47">N70/K70</f>
        <v>#DIV/0!</v>
      </c>
      <c r="AD70" s="401" t="e">
        <f>AC79</f>
        <v>#DIV/0!</v>
      </c>
    </row>
    <row r="71" spans="1:32" ht="15" customHeight="1">
      <c r="A71" s="462"/>
      <c r="B71" s="56"/>
      <c r="C71" s="10"/>
      <c r="D71" s="11"/>
      <c r="E71" s="86"/>
      <c r="F71" s="56"/>
      <c r="G71" s="66"/>
      <c r="H71" s="76"/>
      <c r="I71" s="193"/>
      <c r="J71" s="16"/>
      <c r="K71" s="14"/>
      <c r="L71" s="17"/>
      <c r="M71" s="180"/>
      <c r="N71" s="14"/>
      <c r="O71" s="17"/>
      <c r="P71" s="18"/>
      <c r="Q71" s="19"/>
      <c r="R71" s="185"/>
      <c r="S71" s="397"/>
      <c r="T71" s="20"/>
      <c r="U71" s="20"/>
      <c r="V71" s="177"/>
      <c r="W71" s="182">
        <f t="shared" ref="W71:W78" si="48">(U71-T71)*24*60</f>
        <v>0</v>
      </c>
      <c r="X71" s="298"/>
      <c r="Y71" s="299"/>
      <c r="Z71" s="439" t="s">
        <v>211</v>
      </c>
      <c r="AA71" s="440"/>
      <c r="AB71" s="39">
        <f t="shared" si="46"/>
        <v>0</v>
      </c>
      <c r="AC71" s="190" t="e">
        <f t="shared" si="47"/>
        <v>#DIV/0!</v>
      </c>
      <c r="AD71" s="447"/>
    </row>
    <row r="72" spans="1:32" ht="15" customHeight="1">
      <c r="A72" s="462"/>
      <c r="B72" s="56"/>
      <c r="C72" s="10"/>
      <c r="D72" s="11"/>
      <c r="E72" s="86"/>
      <c r="F72" s="56"/>
      <c r="G72" s="66"/>
      <c r="H72" s="76"/>
      <c r="I72" s="193"/>
      <c r="J72" s="16"/>
      <c r="K72" s="14"/>
      <c r="L72" s="17"/>
      <c r="M72" s="180"/>
      <c r="N72" s="14"/>
      <c r="O72" s="17"/>
      <c r="P72" s="18"/>
      <c r="Q72" s="19"/>
      <c r="R72" s="185"/>
      <c r="S72" s="397"/>
      <c r="T72" s="20"/>
      <c r="U72" s="20"/>
      <c r="V72" s="177"/>
      <c r="W72" s="182">
        <f t="shared" si="48"/>
        <v>0</v>
      </c>
      <c r="X72" s="297"/>
      <c r="Y72" s="297"/>
      <c r="Z72" s="405"/>
      <c r="AA72" s="419"/>
      <c r="AB72" s="39"/>
      <c r="AC72" s="190"/>
      <c r="AD72" s="447"/>
    </row>
    <row r="73" spans="1:32" ht="15" customHeight="1">
      <c r="A73" s="462"/>
      <c r="B73" s="56"/>
      <c r="C73" s="23"/>
      <c r="D73" s="11"/>
      <c r="E73" s="12"/>
      <c r="F73" s="56"/>
      <c r="G73" s="66"/>
      <c r="H73" s="76"/>
      <c r="I73" s="193"/>
      <c r="J73" s="16"/>
      <c r="K73" s="14"/>
      <c r="L73" s="17"/>
      <c r="M73" s="180"/>
      <c r="N73" s="14"/>
      <c r="O73" s="17"/>
      <c r="P73" s="18"/>
      <c r="Q73" s="19"/>
      <c r="R73" s="185"/>
      <c r="S73" s="397"/>
      <c r="T73" s="20"/>
      <c r="U73" s="20"/>
      <c r="V73" s="177"/>
      <c r="W73" s="182">
        <f t="shared" si="48"/>
        <v>0</v>
      </c>
      <c r="X73" s="22"/>
      <c r="Y73" s="22"/>
      <c r="Z73" s="405"/>
      <c r="AA73" s="419"/>
      <c r="AB73" s="39"/>
      <c r="AC73" s="190"/>
      <c r="AD73" s="447"/>
    </row>
    <row r="74" spans="1:32" ht="15" customHeight="1">
      <c r="A74" s="462"/>
      <c r="B74" s="56"/>
      <c r="C74" s="249"/>
      <c r="D74" s="250"/>
      <c r="E74" s="251"/>
      <c r="F74" s="56"/>
      <c r="G74" s="238"/>
      <c r="H74" s="76">
        <f t="shared" ref="H74:H78" si="49">F74*G74</f>
        <v>0</v>
      </c>
      <c r="I74" s="81"/>
      <c r="J74" s="234"/>
      <c r="K74" s="36"/>
      <c r="L74" s="235"/>
      <c r="M74" s="21"/>
      <c r="N74" s="36"/>
      <c r="O74" s="38"/>
      <c r="P74" s="39"/>
      <c r="Q74" s="40"/>
      <c r="R74" s="190"/>
      <c r="S74" s="397"/>
      <c r="T74" s="20"/>
      <c r="U74" s="20"/>
      <c r="V74" s="177"/>
      <c r="W74" s="182">
        <f t="shared" si="48"/>
        <v>0</v>
      </c>
      <c r="X74" s="22"/>
      <c r="Y74" s="22"/>
      <c r="Z74" s="405"/>
      <c r="AA74" s="419"/>
      <c r="AB74" s="39"/>
      <c r="AC74" s="190"/>
      <c r="AD74" s="447"/>
    </row>
    <row r="75" spans="1:32" ht="15" customHeight="1">
      <c r="A75" s="462"/>
      <c r="B75" s="177"/>
      <c r="C75" s="183"/>
      <c r="D75" s="11"/>
      <c r="E75" s="12"/>
      <c r="F75" s="13"/>
      <c r="G75" s="177"/>
      <c r="H75" s="15">
        <f t="shared" si="49"/>
        <v>0</v>
      </c>
      <c r="I75" s="81"/>
      <c r="J75" s="87"/>
      <c r="K75" s="82"/>
      <c r="L75" s="83"/>
      <c r="M75" s="181"/>
      <c r="N75" s="82"/>
      <c r="O75" s="83"/>
      <c r="P75" s="73"/>
      <c r="Q75" s="74"/>
      <c r="R75" s="192"/>
      <c r="S75" s="397"/>
      <c r="T75" s="20"/>
      <c r="U75" s="20"/>
      <c r="V75" s="177"/>
      <c r="W75" s="88">
        <f t="shared" si="48"/>
        <v>0</v>
      </c>
      <c r="X75" s="89"/>
      <c r="Y75" s="89"/>
      <c r="Z75" s="406"/>
      <c r="AA75" s="406"/>
      <c r="AB75" s="306"/>
      <c r="AC75" s="307"/>
      <c r="AD75" s="402"/>
    </row>
    <row r="76" spans="1:32" ht="15" customHeight="1">
      <c r="A76" s="462"/>
      <c r="B76" s="26"/>
      <c r="C76" s="27"/>
      <c r="D76" s="28"/>
      <c r="E76" s="29"/>
      <c r="F76" s="13"/>
      <c r="G76" s="177"/>
      <c r="H76" s="15">
        <f t="shared" si="49"/>
        <v>0</v>
      </c>
      <c r="I76" s="81"/>
      <c r="J76" s="87"/>
      <c r="K76" s="82"/>
      <c r="L76" s="83"/>
      <c r="M76" s="181"/>
      <c r="N76" s="82"/>
      <c r="O76" s="83"/>
      <c r="P76" s="73"/>
      <c r="Q76" s="74"/>
      <c r="R76" s="192"/>
      <c r="S76" s="398"/>
      <c r="T76" s="20"/>
      <c r="U76" s="20"/>
      <c r="V76" s="177"/>
      <c r="W76" s="90">
        <f t="shared" si="48"/>
        <v>0</v>
      </c>
      <c r="X76" s="78"/>
      <c r="Y76" s="78"/>
      <c r="Z76" s="445"/>
      <c r="AA76" s="445"/>
      <c r="AB76" s="51"/>
      <c r="AC76" s="52"/>
      <c r="AD76" s="403"/>
    </row>
    <row r="77" spans="1:32" ht="15" customHeight="1">
      <c r="A77" s="462"/>
      <c r="B77" s="26"/>
      <c r="C77" s="27"/>
      <c r="D77" s="28"/>
      <c r="E77" s="29"/>
      <c r="F77" s="13"/>
      <c r="G77" s="177"/>
      <c r="H77" s="15">
        <f t="shared" si="49"/>
        <v>0</v>
      </c>
      <c r="I77" s="81"/>
      <c r="J77" s="87"/>
      <c r="K77" s="82"/>
      <c r="L77" s="83"/>
      <c r="M77" s="181"/>
      <c r="N77" s="82"/>
      <c r="O77" s="83"/>
      <c r="P77" s="73"/>
      <c r="Q77" s="74"/>
      <c r="R77" s="192"/>
      <c r="S77" s="398"/>
      <c r="T77" s="20"/>
      <c r="U77" s="20"/>
      <c r="V77" s="177"/>
      <c r="W77" s="182">
        <f t="shared" si="48"/>
        <v>0</v>
      </c>
      <c r="X77" s="84"/>
      <c r="Y77" s="84"/>
      <c r="Z77" s="405"/>
      <c r="AA77" s="405"/>
      <c r="AB77" s="18"/>
      <c r="AC77" s="55"/>
      <c r="AD77" s="403"/>
    </row>
    <row r="78" spans="1:32" ht="15" customHeight="1">
      <c r="A78" s="462"/>
      <c r="B78" s="26"/>
      <c r="C78" s="27"/>
      <c r="D78" s="28"/>
      <c r="E78" s="29"/>
      <c r="F78" s="13"/>
      <c r="G78" s="177"/>
      <c r="H78" s="15">
        <f t="shared" si="49"/>
        <v>0</v>
      </c>
      <c r="I78" s="85"/>
      <c r="J78" s="37"/>
      <c r="K78" s="36"/>
      <c r="L78" s="83"/>
      <c r="M78" s="21"/>
      <c r="N78" s="36"/>
      <c r="O78" s="38"/>
      <c r="P78" s="39"/>
      <c r="Q78" s="40"/>
      <c r="R78" s="190"/>
      <c r="S78" s="464"/>
      <c r="T78" s="32"/>
      <c r="U78" s="32"/>
      <c r="V78" s="178"/>
      <c r="W78" s="182">
        <f t="shared" si="48"/>
        <v>0</v>
      </c>
      <c r="X78" s="91"/>
      <c r="Y78" s="91"/>
      <c r="Z78" s="405"/>
      <c r="AA78" s="405"/>
      <c r="AB78" s="34"/>
      <c r="AC78" s="57"/>
      <c r="AD78" s="403"/>
    </row>
    <row r="79" spans="1:32" ht="15" customHeight="1" thickBot="1">
      <c r="A79" s="463"/>
      <c r="B79" s="165"/>
      <c r="C79" s="1" t="s">
        <v>40</v>
      </c>
      <c r="D79" s="410" t="s">
        <v>7</v>
      </c>
      <c r="E79" s="410"/>
      <c r="F79" s="114"/>
      <c r="G79" s="115"/>
      <c r="H79" s="173"/>
      <c r="I79" s="171"/>
      <c r="J79" s="166"/>
      <c r="K79" s="166"/>
      <c r="L79" s="171"/>
      <c r="M79" s="166"/>
      <c r="N79" s="166"/>
      <c r="O79" s="171"/>
      <c r="P79" s="172"/>
      <c r="Q79" s="158"/>
      <c r="R79" s="159"/>
      <c r="S79" s="399"/>
      <c r="T79" s="122"/>
      <c r="U79" s="122"/>
      <c r="V79" s="195"/>
      <c r="W79" s="168"/>
      <c r="X79" s="124"/>
      <c r="Y79" s="124"/>
      <c r="Z79" s="391"/>
      <c r="AA79" s="391"/>
      <c r="AB79" s="119">
        <f>N79-K79</f>
        <v>0</v>
      </c>
      <c r="AC79" s="187" t="e">
        <f>N79/K79</f>
        <v>#DIV/0!</v>
      </c>
      <c r="AD79" s="404"/>
    </row>
    <row r="80" spans="1:32">
      <c r="AF80" s="93" t="s">
        <v>41</v>
      </c>
    </row>
    <row r="81" spans="4:32">
      <c r="AF81" s="93" t="s">
        <v>42</v>
      </c>
    </row>
    <row r="82" spans="4:32">
      <c r="AF82" s="93" t="s">
        <v>43</v>
      </c>
    </row>
    <row r="83" spans="4:32">
      <c r="D83" s="220"/>
      <c r="W83" s="6"/>
      <c r="AF83" s="93" t="s">
        <v>44</v>
      </c>
    </row>
    <row r="84" spans="4:32">
      <c r="D84" s="224"/>
      <c r="W84" s="6"/>
      <c r="AF84" s="93" t="s">
        <v>45</v>
      </c>
    </row>
    <row r="85" spans="4:32">
      <c r="D85" s="224"/>
      <c r="W85" s="6"/>
      <c r="AF85" s="93" t="s">
        <v>46</v>
      </c>
    </row>
    <row r="86" spans="4:32">
      <c r="D86" s="155"/>
      <c r="W86" s="6"/>
      <c r="AF86" s="93" t="s">
        <v>47</v>
      </c>
    </row>
    <row r="87" spans="4:32">
      <c r="W87" s="6"/>
      <c r="AF87" s="93" t="s">
        <v>48</v>
      </c>
    </row>
    <row r="88" spans="4:32">
      <c r="W88" s="6"/>
      <c r="AF88" s="93" t="s">
        <v>49</v>
      </c>
    </row>
    <row r="89" spans="4:32">
      <c r="W89" s="6"/>
      <c r="AF89" s="93" t="s">
        <v>50</v>
      </c>
    </row>
    <row r="90" spans="4:32">
      <c r="W90" s="6"/>
      <c r="AF90" s="93" t="s">
        <v>51</v>
      </c>
    </row>
    <row r="91" spans="4:32">
      <c r="W91" s="6"/>
      <c r="AF91" s="93" t="s">
        <v>52</v>
      </c>
    </row>
    <row r="92" spans="4:32">
      <c r="W92" s="6"/>
      <c r="AF92" s="93" t="s">
        <v>53</v>
      </c>
    </row>
  </sheetData>
  <autoFilter ref="D1:D92" xr:uid="{EF5AD393-5A39-4C0E-A7B0-465235F2AB14}"/>
  <mergeCells count="135">
    <mergeCell ref="P1:S2"/>
    <mergeCell ref="T1:Y2"/>
    <mergeCell ref="Z1:AA2"/>
    <mergeCell ref="AB1:AD2"/>
    <mergeCell ref="H3:H4"/>
    <mergeCell ref="I3:I4"/>
    <mergeCell ref="J3:J4"/>
    <mergeCell ref="K3:K4"/>
    <mergeCell ref="L3:L4"/>
    <mergeCell ref="M3:M4"/>
    <mergeCell ref="AC3:AC4"/>
    <mergeCell ref="AD3:AD4"/>
    <mergeCell ref="P3:P4"/>
    <mergeCell ref="Q3:Q4"/>
    <mergeCell ref="R3:R4"/>
    <mergeCell ref="A2:B2"/>
    <mergeCell ref="A3:A4"/>
    <mergeCell ref="B3:B4"/>
    <mergeCell ref="D3:E4"/>
    <mergeCell ref="F3:F4"/>
    <mergeCell ref="G3:G4"/>
    <mergeCell ref="J1:L2"/>
    <mergeCell ref="M1:O2"/>
    <mergeCell ref="D15:E15"/>
    <mergeCell ref="A5:A15"/>
    <mergeCell ref="N3:N4"/>
    <mergeCell ref="O3:O4"/>
    <mergeCell ref="S5:S15"/>
    <mergeCell ref="Z5:AA5"/>
    <mergeCell ref="AD5:AD15"/>
    <mergeCell ref="Z6:AA6"/>
    <mergeCell ref="Z7:AA7"/>
    <mergeCell ref="Z8:AA8"/>
    <mergeCell ref="Z9:AA9"/>
    <mergeCell ref="T3:U3"/>
    <mergeCell ref="V3:V4"/>
    <mergeCell ref="W3:W4"/>
    <mergeCell ref="X3:Y3"/>
    <mergeCell ref="Z3:AA4"/>
    <mergeCell ref="AB3:AB4"/>
    <mergeCell ref="S3:S4"/>
    <mergeCell ref="AD16:AD26"/>
    <mergeCell ref="Z17:AA17"/>
    <mergeCell ref="Z18:AA18"/>
    <mergeCell ref="Z19:AA19"/>
    <mergeCell ref="Z20:AA20"/>
    <mergeCell ref="Z21:AA21"/>
    <mergeCell ref="Z22:AA22"/>
    <mergeCell ref="Z10:AA10"/>
    <mergeCell ref="Z11:AA11"/>
    <mergeCell ref="Z12:AA12"/>
    <mergeCell ref="Z13:AA13"/>
    <mergeCell ref="Z14:AA14"/>
    <mergeCell ref="Z23:AA23"/>
    <mergeCell ref="Z24:AA24"/>
    <mergeCell ref="Z25:AA25"/>
    <mergeCell ref="Z15:AA15"/>
    <mergeCell ref="D26:E26"/>
    <mergeCell ref="Z26:AA26"/>
    <mergeCell ref="A27:A37"/>
    <mergeCell ref="S27:S37"/>
    <mergeCell ref="Z27:AA27"/>
    <mergeCell ref="D37:E37"/>
    <mergeCell ref="Z37:AA37"/>
    <mergeCell ref="A16:A26"/>
    <mergeCell ref="S16:S26"/>
    <mergeCell ref="Z16:AA16"/>
    <mergeCell ref="AD38:AD48"/>
    <mergeCell ref="Z39:AA39"/>
    <mergeCell ref="Z40:AA40"/>
    <mergeCell ref="Z41:AA41"/>
    <mergeCell ref="Z42:AA42"/>
    <mergeCell ref="Z43:AA43"/>
    <mergeCell ref="Z44:AA44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Z45:AA45"/>
    <mergeCell ref="Z46:AA46"/>
    <mergeCell ref="Z47:AA47"/>
    <mergeCell ref="D48:E48"/>
    <mergeCell ref="Z48:AA48"/>
    <mergeCell ref="A49:A58"/>
    <mergeCell ref="S49:S58"/>
    <mergeCell ref="Z49:AA49"/>
    <mergeCell ref="D58:E58"/>
    <mergeCell ref="A38:A48"/>
    <mergeCell ref="S38:S48"/>
    <mergeCell ref="Z38:AA38"/>
    <mergeCell ref="AD59:AD69"/>
    <mergeCell ref="Z60:AA60"/>
    <mergeCell ref="Z61:AA61"/>
    <mergeCell ref="Z62:AA62"/>
    <mergeCell ref="Z63:AA63"/>
    <mergeCell ref="Z64:AA64"/>
    <mergeCell ref="Z65:AA65"/>
    <mergeCell ref="AD49:AD58"/>
    <mergeCell ref="Z50:AA50"/>
    <mergeCell ref="Z51:AA51"/>
    <mergeCell ref="Z52:AA52"/>
    <mergeCell ref="Z53:AA53"/>
    <mergeCell ref="Z54:AA54"/>
    <mergeCell ref="Z55:AA55"/>
    <mergeCell ref="Z56:AA56"/>
    <mergeCell ref="Z57:AA57"/>
    <mergeCell ref="Z58:AA58"/>
    <mergeCell ref="Z66:AA66"/>
    <mergeCell ref="Z67:AA67"/>
    <mergeCell ref="Z68:AA68"/>
    <mergeCell ref="D69:E69"/>
    <mergeCell ref="Z69:AA69"/>
    <mergeCell ref="A70:A79"/>
    <mergeCell ref="S70:S79"/>
    <mergeCell ref="Z70:AA70"/>
    <mergeCell ref="D79:E79"/>
    <mergeCell ref="A59:A69"/>
    <mergeCell ref="S59:S69"/>
    <mergeCell ref="Z59:AA59"/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</mergeCells>
  <phoneticPr fontId="2" type="noConversion"/>
  <conditionalFormatting sqref="P5:P79">
    <cfRule type="cellIs" dxfId="98" priority="1" operator="greaterThan">
      <formula>0</formula>
    </cfRule>
  </conditionalFormatting>
  <conditionalFormatting sqref="Q5:Q79 AB5:AB79">
    <cfRule type="cellIs" dxfId="97" priority="4" operator="lessThan">
      <formula>0</formula>
    </cfRule>
  </conditionalFormatting>
  <conditionalFormatting sqref="R5:R79 AC5:AC79">
    <cfRule type="cellIs" dxfId="96" priority="2" operator="greaterThan">
      <formula>1</formula>
    </cfRule>
    <cfRule type="cellIs" dxfId="95" priority="3" operator="lessThan">
      <formula>0.8</formula>
    </cfRule>
  </conditionalFormatting>
  <conditionalFormatting sqref="S5:S10 S37:S62 AD59:AD62 S69:S76 AD69:AD76">
    <cfRule type="cellIs" dxfId="94" priority="7" operator="lessThan">
      <formula>0.8</formula>
    </cfRule>
  </conditionalFormatting>
  <conditionalFormatting sqref="S19:S25 AD19:AD25">
    <cfRule type="cellIs" dxfId="93" priority="6" operator="lessThan">
      <formula>0.8</formula>
    </cfRule>
  </conditionalFormatting>
  <conditionalFormatting sqref="S79">
    <cfRule type="cellIs" dxfId="92" priority="5" operator="lessThan">
      <formula>0.8</formula>
    </cfRule>
  </conditionalFormatting>
  <conditionalFormatting sqref="AD5:AD8 S15:S16 AD15:AD16 AD49 AD79">
    <cfRule type="cellIs" dxfId="91" priority="9" operator="lessThan">
      <formula>0.8</formula>
    </cfRule>
  </conditionalFormatting>
  <conditionalFormatting sqref="AD27 S27:S28">
    <cfRule type="cellIs" dxfId="9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C1BA165-F8B9-42AC-93A2-49628D3D08A8}">
          <x14:formula1>
            <xm:f>廠價表!$C$2:$C$37</xm:f>
          </x14:formula1>
          <xm:sqref>D1:D1048576</xm:sqref>
        </x14:dataValidation>
      </x14:dataValidation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83814-F7CD-495D-BD77-E1CA90FE5318}">
  <sheetPr>
    <pageSetUpPr fitToPage="1"/>
  </sheetPr>
  <dimension ref="B1:O22"/>
  <sheetViews>
    <sheetView zoomScale="70" zoomScaleNormal="70" workbookViewId="0">
      <selection activeCell="E44" sqref="E44"/>
    </sheetView>
  </sheetViews>
  <sheetFormatPr defaultColWidth="8.125" defaultRowHeight="15.75"/>
  <cols>
    <col min="1" max="1" width="8.125" style="203"/>
    <col min="2" max="2" width="7.125" style="203" customWidth="1"/>
    <col min="3" max="3" width="7.125" style="218" customWidth="1"/>
    <col min="4" max="17" width="14.125" style="203" customWidth="1"/>
    <col min="18" max="21" width="9.625" style="203" customWidth="1"/>
    <col min="22" max="22" width="11.125" style="203" customWidth="1"/>
    <col min="23" max="23" width="11.5" style="203" customWidth="1"/>
    <col min="24" max="16384" width="8.125" style="203"/>
  </cols>
  <sheetData>
    <row r="1" spans="2:15" ht="27.75" customHeight="1">
      <c r="B1" s="345" t="s">
        <v>73</v>
      </c>
      <c r="C1" s="345"/>
      <c r="D1" s="345"/>
      <c r="E1" s="345"/>
      <c r="F1" s="345"/>
      <c r="G1" s="345"/>
      <c r="H1" s="345"/>
      <c r="I1" s="345"/>
      <c r="J1" s="345"/>
      <c r="K1" s="345"/>
      <c r="L1" s="202"/>
      <c r="M1" s="202"/>
    </row>
    <row r="2" spans="2:15" ht="27.75" customHeight="1"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202"/>
      <c r="M2" s="202"/>
    </row>
    <row r="3" spans="2:15" ht="46.5" customHeight="1">
      <c r="B3" s="342" t="s">
        <v>74</v>
      </c>
      <c r="C3" s="342"/>
      <c r="D3" s="346">
        <v>45983</v>
      </c>
      <c r="E3" s="346"/>
      <c r="F3" s="204" t="s">
        <v>75</v>
      </c>
      <c r="G3" s="347">
        <f>'1122'!E1</f>
        <v>41233</v>
      </c>
      <c r="H3" s="347"/>
      <c r="I3" s="204" t="s">
        <v>76</v>
      </c>
      <c r="J3" s="348">
        <f>'1122'!G1</f>
        <v>2002643.55</v>
      </c>
      <c r="K3" s="348"/>
      <c r="L3" s="205"/>
    </row>
    <row r="4" spans="2:15" ht="24" customHeight="1">
      <c r="B4" s="342" t="s">
        <v>77</v>
      </c>
      <c r="C4" s="342"/>
      <c r="D4" s="343">
        <v>3</v>
      </c>
      <c r="E4" s="343"/>
      <c r="F4" s="344" t="s">
        <v>78</v>
      </c>
      <c r="G4" s="344"/>
      <c r="H4" s="344" t="s">
        <v>79</v>
      </c>
      <c r="I4" s="344"/>
      <c r="J4" s="343" t="s">
        <v>80</v>
      </c>
      <c r="K4" s="344"/>
      <c r="L4" s="206"/>
    </row>
    <row r="5" spans="2:15" ht="24" customHeight="1">
      <c r="B5" s="342" t="s">
        <v>81</v>
      </c>
      <c r="C5" s="342"/>
      <c r="D5" s="343" t="s">
        <v>82</v>
      </c>
      <c r="E5" s="343"/>
      <c r="F5" s="343" t="s">
        <v>83</v>
      </c>
      <c r="G5" s="343"/>
      <c r="H5" s="369" t="s">
        <v>62</v>
      </c>
      <c r="I5" s="369"/>
      <c r="J5" s="341" t="s">
        <v>84</v>
      </c>
      <c r="K5" s="341"/>
      <c r="L5" s="207"/>
    </row>
    <row r="6" spans="2:15" ht="39.6" customHeight="1">
      <c r="B6" s="342"/>
      <c r="C6" s="342"/>
      <c r="D6" s="342" t="s">
        <v>85</v>
      </c>
      <c r="E6" s="342"/>
      <c r="F6" s="356">
        <f>AVERAGE(D13:J13)</f>
        <v>111.15419065511945</v>
      </c>
      <c r="G6" s="356"/>
      <c r="H6" s="349">
        <f>AVERAGE(D13:H13)</f>
        <v>110.20133700263732</v>
      </c>
      <c r="I6" s="349"/>
      <c r="J6" s="349">
        <f>AVERAGE(I13:J13)</f>
        <v>113.5363247863248</v>
      </c>
      <c r="K6" s="349"/>
      <c r="L6" s="207"/>
    </row>
    <row r="7" spans="2:15" s="208" customFormat="1" ht="39.6" customHeight="1">
      <c r="B7" s="342"/>
      <c r="C7" s="342"/>
      <c r="D7" s="350" t="s">
        <v>86</v>
      </c>
      <c r="E7" s="350"/>
      <c r="F7" s="351">
        <f>AVERAGE(D14:J14)</f>
        <v>100.45697032482974</v>
      </c>
      <c r="G7" s="351"/>
      <c r="H7" s="352">
        <f>AVERAGE(D14:H14)</f>
        <v>97.686929801932976</v>
      </c>
      <c r="I7" s="352"/>
      <c r="J7" s="352">
        <f>AVERAGE(I14:J14)</f>
        <v>107.38207163207164</v>
      </c>
      <c r="K7" s="352"/>
    </row>
    <row r="8" spans="2:15" s="208" customFormat="1" ht="39.6" customHeight="1">
      <c r="B8" s="342"/>
      <c r="C8" s="342"/>
      <c r="D8" s="350" t="s">
        <v>87</v>
      </c>
      <c r="E8" s="350"/>
      <c r="F8" s="353">
        <f>AVERAGE(D15:J15)</f>
        <v>0.89986181868502013</v>
      </c>
      <c r="G8" s="353"/>
      <c r="H8" s="353">
        <f>AVERAGE(D15:H15)</f>
        <v>0.87978764907606521</v>
      </c>
      <c r="I8" s="353"/>
      <c r="J8" s="353">
        <f>AVERAGE(I15:J15)</f>
        <v>0.95004724270740748</v>
      </c>
      <c r="K8" s="353"/>
      <c r="L8" s="209" t="s">
        <v>88</v>
      </c>
    </row>
    <row r="9" spans="2:15" ht="25.5" customHeight="1">
      <c r="B9" s="207"/>
      <c r="C9" s="207"/>
      <c r="D9" s="207"/>
      <c r="E9" s="207"/>
      <c r="F9" s="207"/>
      <c r="G9" s="207"/>
      <c r="H9" s="210"/>
      <c r="I9" s="211"/>
      <c r="J9" s="211"/>
      <c r="K9" s="211"/>
      <c r="L9" s="211"/>
      <c r="M9" s="211"/>
      <c r="N9" s="211"/>
      <c r="O9" s="207"/>
    </row>
    <row r="10" spans="2:15" ht="30" customHeight="1">
      <c r="B10" s="354" t="s">
        <v>0</v>
      </c>
      <c r="C10" s="355"/>
      <c r="D10" s="357" t="s">
        <v>89</v>
      </c>
      <c r="E10" s="358"/>
      <c r="F10" s="358"/>
      <c r="G10" s="358"/>
      <c r="H10" s="358"/>
      <c r="I10" s="358"/>
      <c r="J10" s="359"/>
    </row>
    <row r="11" spans="2:15" ht="17.25" customHeight="1">
      <c r="B11" s="360" t="s">
        <v>90</v>
      </c>
      <c r="C11" s="361"/>
      <c r="D11" s="212">
        <v>1</v>
      </c>
      <c r="E11" s="212">
        <v>2</v>
      </c>
      <c r="F11" s="212">
        <v>3</v>
      </c>
      <c r="G11" s="212">
        <v>4</v>
      </c>
      <c r="H11" s="212">
        <v>5</v>
      </c>
      <c r="I11" s="212">
        <v>6</v>
      </c>
      <c r="J11" s="212">
        <v>7</v>
      </c>
    </row>
    <row r="12" spans="2:15" ht="33.950000000000003" customHeight="1">
      <c r="B12" s="362"/>
      <c r="C12" s="363"/>
      <c r="D12" s="213" t="s">
        <v>91</v>
      </c>
      <c r="E12" s="213" t="s">
        <v>92</v>
      </c>
      <c r="F12" s="213" t="s">
        <v>93</v>
      </c>
      <c r="G12" s="213" t="s">
        <v>94</v>
      </c>
      <c r="H12" s="213" t="s">
        <v>95</v>
      </c>
      <c r="I12" s="213" t="s">
        <v>96</v>
      </c>
      <c r="J12" s="213" t="s">
        <v>232</v>
      </c>
    </row>
    <row r="13" spans="2:15" ht="39.950000000000003" customHeight="1">
      <c r="B13" s="364" t="s">
        <v>1</v>
      </c>
      <c r="C13" s="214" t="s">
        <v>98</v>
      </c>
      <c r="D13" s="215">
        <f>VALUE('1122'!L15)</f>
        <v>124.77591036414566</v>
      </c>
      <c r="E13" s="215">
        <f>VALUE('1122'!L26)</f>
        <v>149.04761904761904</v>
      </c>
      <c r="F13" s="215">
        <f>VALUE('1122'!L37)</f>
        <v>89.667755991285404</v>
      </c>
      <c r="G13" s="215">
        <f>VALUE('1122'!L48)</f>
        <v>100.8</v>
      </c>
      <c r="H13" s="215">
        <f>VALUE('1122'!L58)</f>
        <v>86.715399610136458</v>
      </c>
      <c r="I13" s="215">
        <f>VALUE('1122'!L69)</f>
        <v>127.07264957264958</v>
      </c>
      <c r="J13" s="215">
        <f>VALUE('1122'!L79)</f>
        <v>100</v>
      </c>
    </row>
    <row r="14" spans="2:15" ht="39.950000000000003" customHeight="1">
      <c r="B14" s="365"/>
      <c r="C14" s="214" t="s">
        <v>99</v>
      </c>
      <c r="D14" s="215">
        <f>VALUE('1122'!O15)</f>
        <v>117.1105169340464</v>
      </c>
      <c r="E14" s="215">
        <f>VALUE('1122'!O26)</f>
        <v>136.78970637387874</v>
      </c>
      <c r="F14" s="215">
        <f>VALUE('1122'!O37)</f>
        <v>76.78624553719203</v>
      </c>
      <c r="G14" s="215">
        <f>VALUE('1122'!O48)</f>
        <v>82.463592248207689</v>
      </c>
      <c r="H14" s="215">
        <f>VALUE('1122'!O58)</f>
        <v>75.284587916339987</v>
      </c>
      <c r="I14" s="215">
        <f>VALUE('1122'!O69)</f>
        <v>116.19271469271473</v>
      </c>
      <c r="J14" s="215">
        <f>VALUE('1122'!O79)</f>
        <v>98.571428571428541</v>
      </c>
    </row>
    <row r="15" spans="2:15" ht="39.950000000000003" customHeight="1">
      <c r="B15" s="366"/>
      <c r="C15" s="212" t="s">
        <v>100</v>
      </c>
      <c r="D15" s="233">
        <f>D14/D13</f>
        <v>0.93856672006857256</v>
      </c>
      <c r="E15" s="233">
        <f t="shared" ref="E15:J15" si="0">E14/E13</f>
        <v>0.91775841337107156</v>
      </c>
      <c r="F15" s="233">
        <f t="shared" si="0"/>
        <v>0.85634177735701011</v>
      </c>
      <c r="G15" s="233">
        <f t="shared" si="0"/>
        <v>0.81809119293856836</v>
      </c>
      <c r="H15" s="233">
        <f t="shared" si="0"/>
        <v>0.86818014164510304</v>
      </c>
      <c r="I15" s="233">
        <f t="shared" si="0"/>
        <v>0.91438019970052953</v>
      </c>
      <c r="J15" s="233">
        <f t="shared" si="0"/>
        <v>0.98571428571428543</v>
      </c>
    </row>
    <row r="16" spans="2:15" ht="17.25" customHeight="1">
      <c r="B16" s="367" t="s">
        <v>101</v>
      </c>
      <c r="C16" s="212" t="s">
        <v>102</v>
      </c>
      <c r="D16" s="95">
        <f>'1122'!T5</f>
        <v>0.2902777777777778</v>
      </c>
      <c r="E16" s="95">
        <f>'1122'!T16</f>
        <v>0.2902777777777778</v>
      </c>
      <c r="F16" s="95">
        <f>'1122'!T27</f>
        <v>0.29166666666666669</v>
      </c>
      <c r="G16" s="95">
        <f>'1122'!T38</f>
        <v>0.33194444444444443</v>
      </c>
      <c r="H16" s="95">
        <f>'1122'!T49</f>
        <v>0.29166666666666669</v>
      </c>
      <c r="I16" s="95">
        <f>'1122'!T59</f>
        <v>0.29166666666666669</v>
      </c>
      <c r="J16" s="272">
        <f>'1122'!T70</f>
        <v>0.34722222222222221</v>
      </c>
    </row>
    <row r="17" spans="2:10" ht="17.25" customHeight="1">
      <c r="B17" s="368"/>
      <c r="C17" s="212" t="s">
        <v>103</v>
      </c>
      <c r="D17" s="95">
        <v>0.47083333333333333</v>
      </c>
      <c r="E17" s="41">
        <v>0.56388888888888888</v>
      </c>
      <c r="F17" s="41">
        <v>0.61111111111111116</v>
      </c>
      <c r="G17" s="44">
        <v>0.57638888888888884</v>
      </c>
      <c r="H17" s="44">
        <v>0.57638888888888884</v>
      </c>
      <c r="I17" s="20">
        <v>0.49652777777777779</v>
      </c>
      <c r="J17" s="20">
        <v>0.37638888888888888</v>
      </c>
    </row>
    <row r="18" spans="2:10" ht="17.25" customHeight="1">
      <c r="B18" s="354" t="s">
        <v>104</v>
      </c>
      <c r="C18" s="355"/>
      <c r="D18" s="216">
        <f>VALUE('1122'!M15)</f>
        <v>15.333333333333334</v>
      </c>
      <c r="E18" s="216">
        <f>VALUE('1122'!M26)</f>
        <v>13.25</v>
      </c>
      <c r="F18" s="216">
        <f>VALUE('1122'!M37)</f>
        <v>15.333333333333334</v>
      </c>
      <c r="G18" s="216">
        <f>VALUE('1122'!M48)</f>
        <v>14.333333333333334</v>
      </c>
      <c r="H18" s="216">
        <f>VALUE('1122'!M58)</f>
        <v>15</v>
      </c>
      <c r="I18" s="216">
        <f>VALUE('1122'!M69)</f>
        <v>12.333333333333334</v>
      </c>
      <c r="J18" s="216">
        <f>VALUE('1122'!M79)</f>
        <v>12</v>
      </c>
    </row>
    <row r="19" spans="2:10" ht="17.25" customHeight="1">
      <c r="B19" s="354" t="s">
        <v>105</v>
      </c>
      <c r="C19" s="355"/>
      <c r="D19" s="213" t="s">
        <v>106</v>
      </c>
      <c r="E19" s="213" t="s">
        <v>106</v>
      </c>
      <c r="F19" s="213" t="s">
        <v>107</v>
      </c>
      <c r="G19" s="213" t="s">
        <v>107</v>
      </c>
      <c r="H19" s="213" t="s">
        <v>107</v>
      </c>
      <c r="I19" s="213" t="s">
        <v>108</v>
      </c>
      <c r="J19" s="213" t="s">
        <v>107</v>
      </c>
    </row>
    <row r="20" spans="2:10" ht="17.25" customHeight="1">
      <c r="B20" s="354" t="s">
        <v>110</v>
      </c>
      <c r="C20" s="355"/>
      <c r="D20" s="213"/>
      <c r="E20" s="213"/>
      <c r="F20" s="213"/>
      <c r="G20" s="217"/>
      <c r="H20" s="213" t="s">
        <v>109</v>
      </c>
      <c r="I20" s="213"/>
      <c r="J20" s="213"/>
    </row>
    <row r="21" spans="2:10" ht="17.25" customHeight="1">
      <c r="B21" s="354" t="s">
        <v>111</v>
      </c>
      <c r="C21" s="355"/>
      <c r="D21" s="273"/>
      <c r="E21" s="273"/>
      <c r="F21" s="273"/>
      <c r="G21" s="273"/>
      <c r="H21" s="273"/>
      <c r="I21" s="273"/>
      <c r="J21" s="273"/>
    </row>
    <row r="22" spans="2:10">
      <c r="B22" s="370"/>
      <c r="C22" s="370"/>
    </row>
  </sheetData>
  <mergeCells count="37">
    <mergeCell ref="J5:K5"/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J6:K6"/>
    <mergeCell ref="D7:E7"/>
    <mergeCell ref="F7:G7"/>
    <mergeCell ref="H7:I7"/>
    <mergeCell ref="J7:K7"/>
    <mergeCell ref="H8:I8"/>
    <mergeCell ref="B18:C18"/>
    <mergeCell ref="B19:C19"/>
    <mergeCell ref="D6:E6"/>
    <mergeCell ref="F6:G6"/>
    <mergeCell ref="H6:I6"/>
    <mergeCell ref="D10:J10"/>
    <mergeCell ref="B11:C12"/>
    <mergeCell ref="B13:B15"/>
    <mergeCell ref="B16:B17"/>
    <mergeCell ref="B10:C10"/>
    <mergeCell ref="J8:K8"/>
    <mergeCell ref="B5:C8"/>
    <mergeCell ref="D5:E5"/>
    <mergeCell ref="F5:G5"/>
    <mergeCell ref="H5:I5"/>
    <mergeCell ref="B20:C20"/>
    <mergeCell ref="B21:C21"/>
    <mergeCell ref="B22:C22"/>
    <mergeCell ref="D8:E8"/>
    <mergeCell ref="F8:G8"/>
  </mergeCells>
  <phoneticPr fontId="2" type="noConversion"/>
  <conditionalFormatting sqref="D15:J15">
    <cfRule type="cellIs" dxfId="89" priority="1" operator="lessThan">
      <formula>0.8</formula>
    </cfRule>
  </conditionalFormatting>
  <pageMargins left="0.7" right="0.7" top="0.75" bottom="0.75" header="0.3" footer="0.3"/>
  <pageSetup paperSize="8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B6D5F-0E1F-41EA-B1D0-7217FB869048}">
  <sheetPr>
    <tabColor theme="9" tint="0.79998168889431442"/>
    <pageSetUpPr fitToPage="1"/>
  </sheetPr>
  <dimension ref="A1:AF92"/>
  <sheetViews>
    <sheetView zoomScale="69" zoomScaleNormal="69" workbookViewId="0">
      <pane xSplit="5" ySplit="4" topLeftCell="F23" activePane="bottomRight" state="frozen"/>
      <selection activeCell="E44" sqref="E44"/>
      <selection pane="topRight" activeCell="E44" sqref="E44"/>
      <selection pane="bottomLeft" activeCell="E44" sqref="E44"/>
      <selection pane="bottomRight" activeCell="Z38" sqref="Z38:AA38"/>
    </sheetView>
  </sheetViews>
  <sheetFormatPr defaultColWidth="7.875" defaultRowHeight="15.75"/>
  <cols>
    <col min="1" max="1" width="15" style="6" customWidth="1"/>
    <col min="2" max="2" width="12.875" style="6" customWidth="1"/>
    <col min="3" max="3" width="12.875" style="6" hidden="1" customWidth="1"/>
    <col min="4" max="4" width="26.125" style="6" bestFit="1" customWidth="1"/>
    <col min="5" max="5" width="15" style="6" customWidth="1"/>
    <col min="6" max="6" width="8.875" style="6" bestFit="1" customWidth="1"/>
    <col min="7" max="7" width="20.125" style="6" bestFit="1" customWidth="1"/>
    <col min="8" max="8" width="16.375" style="6" bestFit="1" customWidth="1"/>
    <col min="9" max="9" width="10.875" style="6" bestFit="1" customWidth="1"/>
    <col min="10" max="10" width="10.125" style="6" bestFit="1" customWidth="1"/>
    <col min="11" max="11" width="10.625" style="6" customWidth="1"/>
    <col min="12" max="12" width="14.5" style="6" customWidth="1"/>
    <col min="13" max="13" width="10.125" style="6" bestFit="1" customWidth="1"/>
    <col min="14" max="14" width="10.25" style="6" bestFit="1" customWidth="1"/>
    <col min="15" max="15" width="11.875" style="6" customWidth="1"/>
    <col min="16" max="17" width="9.125" style="6" bestFit="1" customWidth="1"/>
    <col min="18" max="18" width="9.125" style="6" customWidth="1"/>
    <col min="19" max="19" width="8.375" style="6" customWidth="1"/>
    <col min="20" max="21" width="9.375" style="6" bestFit="1" customWidth="1"/>
    <col min="22" max="22" width="10.625" style="6" customWidth="1"/>
    <col min="23" max="23" width="8.625" style="92" customWidth="1"/>
    <col min="24" max="24" width="7.5" style="6" bestFit="1" customWidth="1"/>
    <col min="25" max="25" width="6.875" style="6" customWidth="1"/>
    <col min="26" max="26" width="12.625" style="6" customWidth="1"/>
    <col min="27" max="27" width="33.375" style="6" customWidth="1"/>
    <col min="28" max="28" width="13.125" style="6" bestFit="1" customWidth="1"/>
    <col min="29" max="29" width="10.375" style="6" customWidth="1"/>
    <col min="30" max="30" width="9.125" style="6" customWidth="1"/>
    <col min="31" max="31" width="7.875" style="6"/>
    <col min="32" max="32" width="24.5" style="6" bestFit="1" customWidth="1"/>
    <col min="33" max="16384" width="7.875" style="6"/>
  </cols>
  <sheetData>
    <row r="1" spans="1:30" ht="21">
      <c r="A1" s="2" t="s">
        <v>72</v>
      </c>
      <c r="B1" s="2"/>
      <c r="C1" s="2"/>
      <c r="D1" s="176" t="s">
        <v>8</v>
      </c>
      <c r="E1" s="3">
        <f>SUM(G5:G79)</f>
        <v>41233</v>
      </c>
      <c r="F1" s="177" t="s">
        <v>9</v>
      </c>
      <c r="G1" s="4">
        <f>SUM(H5:H79)</f>
        <v>2002643.55</v>
      </c>
      <c r="H1" s="175" t="s">
        <v>10</v>
      </c>
      <c r="I1" s="5">
        <f>M15+M26+M48+M58+M69+M79+M37</f>
        <v>97.583333333333329</v>
      </c>
      <c r="J1" s="371" t="s">
        <v>11</v>
      </c>
      <c r="K1" s="371"/>
      <c r="L1" s="371"/>
      <c r="M1" s="371" t="s">
        <v>12</v>
      </c>
      <c r="N1" s="371"/>
      <c r="O1" s="371"/>
      <c r="P1" s="371" t="s">
        <v>13</v>
      </c>
      <c r="Q1" s="371"/>
      <c r="R1" s="371"/>
      <c r="S1" s="371"/>
      <c r="T1" s="371" t="s">
        <v>14</v>
      </c>
      <c r="U1" s="371"/>
      <c r="V1" s="371"/>
      <c r="W1" s="371"/>
      <c r="X1" s="371"/>
      <c r="Y1" s="371"/>
      <c r="Z1" s="371" t="s">
        <v>15</v>
      </c>
      <c r="AA1" s="371"/>
      <c r="AB1" s="371" t="s">
        <v>16</v>
      </c>
      <c r="AC1" s="372"/>
      <c r="AD1" s="372"/>
    </row>
    <row r="2" spans="1:30" ht="18.75">
      <c r="A2" s="409" t="s">
        <v>231</v>
      </c>
      <c r="B2" s="409"/>
      <c r="C2" s="176"/>
      <c r="D2" s="176" t="s">
        <v>1</v>
      </c>
      <c r="E2" s="7">
        <f>AVERAGE(O15,O26,O37,O48,O58,O69,O79)</f>
        <v>100.45697032482974</v>
      </c>
      <c r="F2" s="8" t="s">
        <v>2</v>
      </c>
      <c r="G2" s="9">
        <f>G1/E1</f>
        <v>48.568950840346325</v>
      </c>
      <c r="H2" s="175" t="s">
        <v>17</v>
      </c>
      <c r="I2" s="175">
        <f>COUNT(I5:I79)</f>
        <v>0</v>
      </c>
      <c r="J2" s="371"/>
      <c r="K2" s="371"/>
      <c r="L2" s="371"/>
      <c r="M2" s="371"/>
      <c r="N2" s="371"/>
      <c r="O2" s="371"/>
      <c r="P2" s="371"/>
      <c r="Q2" s="371"/>
      <c r="R2" s="371"/>
      <c r="S2" s="371"/>
      <c r="T2" s="371"/>
      <c r="U2" s="371"/>
      <c r="V2" s="371"/>
      <c r="W2" s="371"/>
      <c r="X2" s="371"/>
      <c r="Y2" s="371"/>
      <c r="Z2" s="371"/>
      <c r="AA2" s="371"/>
      <c r="AB2" s="372"/>
      <c r="AC2" s="372"/>
      <c r="AD2" s="372"/>
    </row>
    <row r="3" spans="1:30">
      <c r="A3" s="405" t="s">
        <v>18</v>
      </c>
      <c r="B3" s="405" t="s">
        <v>19</v>
      </c>
      <c r="C3" s="177"/>
      <c r="D3" s="405" t="s">
        <v>20</v>
      </c>
      <c r="E3" s="405"/>
      <c r="F3" s="379" t="s">
        <v>21</v>
      </c>
      <c r="G3" s="389" t="s">
        <v>22</v>
      </c>
      <c r="H3" s="379" t="s">
        <v>23</v>
      </c>
      <c r="I3" s="381" t="s">
        <v>24</v>
      </c>
      <c r="J3" s="383" t="s">
        <v>25</v>
      </c>
      <c r="K3" s="385" t="s">
        <v>26</v>
      </c>
      <c r="L3" s="387" t="s">
        <v>1</v>
      </c>
      <c r="M3" s="389" t="s">
        <v>25</v>
      </c>
      <c r="N3" s="385" t="s">
        <v>26</v>
      </c>
      <c r="O3" s="387" t="s">
        <v>1</v>
      </c>
      <c r="P3" s="383" t="s">
        <v>25</v>
      </c>
      <c r="Q3" s="387" t="s">
        <v>1</v>
      </c>
      <c r="R3" s="392" t="s">
        <v>27</v>
      </c>
      <c r="S3" s="394" t="s">
        <v>28</v>
      </c>
      <c r="T3" s="389" t="s">
        <v>4</v>
      </c>
      <c r="U3" s="389"/>
      <c r="V3" s="408" t="s">
        <v>29</v>
      </c>
      <c r="W3" s="381" t="s">
        <v>30</v>
      </c>
      <c r="X3" s="389" t="s">
        <v>31</v>
      </c>
      <c r="Y3" s="389"/>
      <c r="Z3" s="415" t="s">
        <v>71</v>
      </c>
      <c r="AA3" s="416"/>
      <c r="AB3" s="385" t="s">
        <v>26</v>
      </c>
      <c r="AC3" s="392" t="s">
        <v>27</v>
      </c>
      <c r="AD3" s="394" t="s">
        <v>28</v>
      </c>
    </row>
    <row r="4" spans="1:30" ht="16.5" thickBot="1">
      <c r="A4" s="379"/>
      <c r="B4" s="379"/>
      <c r="C4" s="178"/>
      <c r="D4" s="379"/>
      <c r="E4" s="379"/>
      <c r="F4" s="380"/>
      <c r="G4" s="390"/>
      <c r="H4" s="380"/>
      <c r="I4" s="382"/>
      <c r="J4" s="384"/>
      <c r="K4" s="386"/>
      <c r="L4" s="388"/>
      <c r="M4" s="390"/>
      <c r="N4" s="386"/>
      <c r="O4" s="388"/>
      <c r="P4" s="384"/>
      <c r="Q4" s="388"/>
      <c r="R4" s="393"/>
      <c r="S4" s="395"/>
      <c r="T4" s="179" t="s">
        <v>5</v>
      </c>
      <c r="U4" s="179" t="s">
        <v>6</v>
      </c>
      <c r="V4" s="390"/>
      <c r="W4" s="382"/>
      <c r="X4" s="178" t="s">
        <v>32</v>
      </c>
      <c r="Y4" s="178" t="s">
        <v>33</v>
      </c>
      <c r="Z4" s="417"/>
      <c r="AA4" s="417"/>
      <c r="AB4" s="386"/>
      <c r="AC4" s="393"/>
      <c r="AD4" s="395"/>
    </row>
    <row r="5" spans="1:30" ht="15" customHeight="1">
      <c r="A5" s="411" t="s">
        <v>66</v>
      </c>
      <c r="B5" s="199" t="str">
        <f>VLOOKUP(D5,廠價表!$C$1:$E$39,2,0)</f>
        <v>義大利麵</v>
      </c>
      <c r="C5" s="102"/>
      <c r="D5" s="103" t="s">
        <v>206</v>
      </c>
      <c r="E5" s="104"/>
      <c r="F5" s="199">
        <f>VLOOKUP(D5,廠價表!$C$1:$E$39,3,0)</f>
        <v>56.43</v>
      </c>
      <c r="G5" s="105">
        <v>1462</v>
      </c>
      <c r="H5" s="106">
        <f>F5*G5</f>
        <v>82500.66</v>
      </c>
      <c r="I5" s="107"/>
      <c r="J5" s="16">
        <v>15</v>
      </c>
      <c r="K5" s="105">
        <v>1800</v>
      </c>
      <c r="L5" s="109">
        <f>K5/J5</f>
        <v>120</v>
      </c>
      <c r="M5" s="110">
        <v>15</v>
      </c>
      <c r="N5" s="105">
        <f t="shared" ref="N5:N7" si="0">G5/W5*60</f>
        <v>1566.4285714285725</v>
      </c>
      <c r="O5" s="109">
        <f t="shared" ref="O5:O7" si="1">N5/M5</f>
        <v>104.4285714285715</v>
      </c>
      <c r="P5" s="111">
        <f t="shared" ref="P5:P7" si="2">M5-J5</f>
        <v>0</v>
      </c>
      <c r="Q5" s="112">
        <f t="shared" ref="Q5:Q7" si="3">O5-L5</f>
        <v>-15.571428571428498</v>
      </c>
      <c r="R5" s="184">
        <f t="shared" ref="R5:R7" si="4">O5/L5</f>
        <v>0.87023809523809581</v>
      </c>
      <c r="S5" s="396">
        <f>R15</f>
        <v>0.93856672006857256</v>
      </c>
      <c r="T5" s="94">
        <v>0.2902777777777778</v>
      </c>
      <c r="U5" s="94">
        <v>0.32916666666666666</v>
      </c>
      <c r="V5" s="194"/>
      <c r="W5" s="107">
        <f t="shared" ref="W5:W14" si="5">(U5-T5)*24*60</f>
        <v>55.999999999999957</v>
      </c>
      <c r="X5" s="188"/>
      <c r="Y5" s="188"/>
      <c r="Z5" s="400"/>
      <c r="AA5" s="400"/>
      <c r="AB5" s="111">
        <f>N5-K5</f>
        <v>-233.57142857142753</v>
      </c>
      <c r="AC5" s="184">
        <f>N5/K5</f>
        <v>0.87023809523809581</v>
      </c>
      <c r="AD5" s="401">
        <f>AC15</f>
        <v>0.93802720545477414</v>
      </c>
    </row>
    <row r="6" spans="1:30" ht="15" customHeight="1">
      <c r="A6" s="412"/>
      <c r="B6" s="56" t="str">
        <f>VLOOKUP(D6,廠價表!$C$1:$E$39,2,0)</f>
        <v>義大利麵</v>
      </c>
      <c r="C6" s="10"/>
      <c r="D6" s="11" t="s">
        <v>139</v>
      </c>
      <c r="E6" s="86"/>
      <c r="F6" s="56">
        <f>VLOOKUP(D6,廠價表!$C$1:$E$39,3,0)</f>
        <v>57.21</v>
      </c>
      <c r="G6" s="25">
        <v>1657</v>
      </c>
      <c r="H6" s="15">
        <f t="shared" ref="H6:H14" si="6">F6*G6</f>
        <v>94796.97</v>
      </c>
      <c r="I6" s="182"/>
      <c r="J6" s="16">
        <f>VLOOKUP(D6,產線配置圖!$A$2:$C$38,2,0)</f>
        <v>17</v>
      </c>
      <c r="K6" s="14">
        <f>VLOOKUP(D6,產線配置圖!$A$2:$C$38,3,0)</f>
        <v>1895</v>
      </c>
      <c r="L6" s="17">
        <f>K6/J6</f>
        <v>111.47058823529412</v>
      </c>
      <c r="M6" s="180">
        <v>17</v>
      </c>
      <c r="N6" s="14">
        <f t="shared" si="0"/>
        <v>1807.6363636363649</v>
      </c>
      <c r="O6" s="17">
        <f t="shared" si="1"/>
        <v>106.33155080213911</v>
      </c>
      <c r="P6" s="18">
        <f t="shared" si="2"/>
        <v>0</v>
      </c>
      <c r="Q6" s="19">
        <f t="shared" si="3"/>
        <v>-5.1390374331550106</v>
      </c>
      <c r="R6" s="185">
        <f t="shared" si="4"/>
        <v>0.95389781722235611</v>
      </c>
      <c r="S6" s="397"/>
      <c r="T6" s="95">
        <v>0.33680555555555558</v>
      </c>
      <c r="U6" s="95">
        <v>0.375</v>
      </c>
      <c r="V6" s="177">
        <f>(T6-U5)*24*60</f>
        <v>11.000000000000041</v>
      </c>
      <c r="W6" s="182">
        <f t="shared" si="5"/>
        <v>54.999999999999964</v>
      </c>
      <c r="X6" s="22"/>
      <c r="Y6" s="22"/>
      <c r="Z6" s="381"/>
      <c r="AA6" s="381"/>
      <c r="AB6" s="18">
        <f>N6-K6</f>
        <v>-87.363636363635123</v>
      </c>
      <c r="AC6" s="185">
        <f>N6/K6</f>
        <v>0.95389781722235611</v>
      </c>
      <c r="AD6" s="402"/>
    </row>
    <row r="7" spans="1:30" ht="15" customHeight="1">
      <c r="A7" s="412"/>
      <c r="B7" s="56" t="str">
        <f>VLOOKUP(D7,廠價表!$C$1:$E$39,2,0)</f>
        <v>義大利麵</v>
      </c>
      <c r="C7" s="10"/>
      <c r="D7" s="11" t="s">
        <v>141</v>
      </c>
      <c r="E7" s="86"/>
      <c r="F7" s="56">
        <f>VLOOKUP(D7,廠價表!$C$1:$E$39,3,0)</f>
        <v>49.14</v>
      </c>
      <c r="G7" s="25">
        <v>4100</v>
      </c>
      <c r="H7" s="15">
        <f t="shared" si="6"/>
        <v>201474</v>
      </c>
      <c r="I7" s="182"/>
      <c r="J7" s="16">
        <v>14</v>
      </c>
      <c r="K7" s="14">
        <f>VLOOKUP(D7,產線配置圖!$A$2:$C$38,3,0)</f>
        <v>2000</v>
      </c>
      <c r="L7" s="17">
        <f>K7/J7</f>
        <v>142.85714285714286</v>
      </c>
      <c r="M7" s="180">
        <v>14</v>
      </c>
      <c r="N7" s="14">
        <f t="shared" si="0"/>
        <v>1968.0000000000007</v>
      </c>
      <c r="O7" s="17">
        <f t="shared" si="1"/>
        <v>140.57142857142861</v>
      </c>
      <c r="P7" s="18">
        <f t="shared" si="2"/>
        <v>0</v>
      </c>
      <c r="Q7" s="19">
        <f t="shared" si="3"/>
        <v>-2.2857142857142492</v>
      </c>
      <c r="R7" s="185">
        <f t="shared" si="4"/>
        <v>0.98400000000000021</v>
      </c>
      <c r="S7" s="397"/>
      <c r="T7" s="95">
        <v>0.3840277777777778</v>
      </c>
      <c r="U7" s="95">
        <v>0.47083333333333333</v>
      </c>
      <c r="V7" s="177">
        <f>(T7-U6)*24*60</f>
        <v>13.000000000000034</v>
      </c>
      <c r="W7" s="182">
        <f t="shared" si="5"/>
        <v>124.99999999999996</v>
      </c>
      <c r="X7" s="22"/>
      <c r="Y7" s="22"/>
      <c r="Z7" s="405"/>
      <c r="AA7" s="405"/>
      <c r="AB7" s="18">
        <f>N7-K7</f>
        <v>-31.999999999999318</v>
      </c>
      <c r="AC7" s="185">
        <f>N7/K7</f>
        <v>0.98400000000000032</v>
      </c>
      <c r="AD7" s="402"/>
    </row>
    <row r="8" spans="1:30" ht="15" customHeight="1">
      <c r="A8" s="412"/>
      <c r="B8" s="56"/>
      <c r="C8" s="10"/>
      <c r="D8" s="11"/>
      <c r="E8" s="86"/>
      <c r="F8" s="56"/>
      <c r="G8" s="25"/>
      <c r="H8" s="15"/>
      <c r="I8" s="182"/>
      <c r="J8" s="16"/>
      <c r="K8" s="14"/>
      <c r="L8" s="17"/>
      <c r="M8" s="180"/>
      <c r="N8" s="14"/>
      <c r="O8" s="17"/>
      <c r="P8" s="18"/>
      <c r="Q8" s="19"/>
      <c r="R8" s="185"/>
      <c r="S8" s="397"/>
      <c r="T8" s="20"/>
      <c r="U8" s="20"/>
      <c r="V8" s="177"/>
      <c r="W8" s="182">
        <f t="shared" si="5"/>
        <v>0</v>
      </c>
      <c r="X8" s="22"/>
      <c r="Y8" s="22"/>
      <c r="Z8" s="406" t="s">
        <v>225</v>
      </c>
      <c r="AA8" s="406"/>
      <c r="AB8" s="18">
        <f>N8-K8</f>
        <v>0</v>
      </c>
      <c r="AC8" s="185" t="e">
        <f>N8/K8</f>
        <v>#DIV/0!</v>
      </c>
      <c r="AD8" s="402"/>
    </row>
    <row r="9" spans="1:30" ht="15" customHeight="1">
      <c r="A9" s="413"/>
      <c r="B9" s="56"/>
      <c r="C9" s="10"/>
      <c r="D9" s="11"/>
      <c r="E9" s="86"/>
      <c r="F9" s="56"/>
      <c r="G9" s="25"/>
      <c r="H9" s="15"/>
      <c r="I9" s="182"/>
      <c r="J9" s="16"/>
      <c r="K9" s="14"/>
      <c r="L9" s="17"/>
      <c r="M9" s="180"/>
      <c r="N9" s="14"/>
      <c r="O9" s="17"/>
      <c r="P9" s="18"/>
      <c r="Q9" s="19"/>
      <c r="R9" s="185"/>
      <c r="S9" s="398"/>
      <c r="T9" s="79"/>
      <c r="U9" s="79"/>
      <c r="V9" s="177"/>
      <c r="W9" s="24">
        <f t="shared" si="5"/>
        <v>0</v>
      </c>
      <c r="X9" s="22"/>
      <c r="Y9" s="263"/>
      <c r="Z9" s="407"/>
      <c r="AA9" s="407"/>
      <c r="AB9" s="18"/>
      <c r="AC9" s="185"/>
      <c r="AD9" s="403"/>
    </row>
    <row r="10" spans="1:30" ht="15" customHeight="1">
      <c r="A10" s="413"/>
      <c r="B10" s="56"/>
      <c r="C10" s="23"/>
      <c r="D10" s="11"/>
      <c r="E10" s="12"/>
      <c r="F10" s="56"/>
      <c r="G10" s="25"/>
      <c r="H10" s="15"/>
      <c r="I10" s="182"/>
      <c r="J10" s="16"/>
      <c r="K10" s="14"/>
      <c r="L10" s="17"/>
      <c r="M10" s="180"/>
      <c r="N10" s="14"/>
      <c r="O10" s="17"/>
      <c r="P10" s="18"/>
      <c r="Q10" s="19"/>
      <c r="R10" s="185"/>
      <c r="S10" s="398"/>
      <c r="T10" s="20"/>
      <c r="U10" s="20"/>
      <c r="V10" s="177"/>
      <c r="W10" s="182">
        <f t="shared" si="5"/>
        <v>0</v>
      </c>
      <c r="X10" s="22"/>
      <c r="Y10" s="263"/>
      <c r="Z10" s="419"/>
      <c r="AA10" s="418"/>
      <c r="AB10" s="264"/>
      <c r="AC10" s="185"/>
      <c r="AD10" s="403"/>
    </row>
    <row r="11" spans="1:30" ht="15" customHeight="1">
      <c r="A11" s="413"/>
      <c r="B11" s="56"/>
      <c r="C11" s="183"/>
      <c r="D11" s="11"/>
      <c r="E11" s="12"/>
      <c r="F11" s="56"/>
      <c r="G11" s="25"/>
      <c r="H11" s="15">
        <f t="shared" si="6"/>
        <v>0</v>
      </c>
      <c r="I11" s="182"/>
      <c r="J11" s="16"/>
      <c r="K11" s="14"/>
      <c r="L11" s="17"/>
      <c r="M11" s="180"/>
      <c r="N11" s="14"/>
      <c r="O11" s="17"/>
      <c r="P11" s="18"/>
      <c r="Q11" s="19"/>
      <c r="R11" s="185"/>
      <c r="S11" s="398"/>
      <c r="T11" s="20"/>
      <c r="U11" s="20"/>
      <c r="V11" s="177"/>
      <c r="W11" s="24">
        <f t="shared" si="5"/>
        <v>0</v>
      </c>
      <c r="X11" s="22"/>
      <c r="Y11" s="263"/>
      <c r="Z11" s="419"/>
      <c r="AA11" s="418"/>
      <c r="AB11" s="264"/>
      <c r="AC11" s="185"/>
      <c r="AD11" s="403"/>
    </row>
    <row r="12" spans="1:30" ht="15" customHeight="1">
      <c r="A12" s="413"/>
      <c r="B12" s="26"/>
      <c r="C12" s="27"/>
      <c r="D12" s="28"/>
      <c r="E12" s="29"/>
      <c r="F12" s="13"/>
      <c r="G12" s="30"/>
      <c r="H12" s="15">
        <f t="shared" si="6"/>
        <v>0</v>
      </c>
      <c r="I12" s="178"/>
      <c r="J12" s="31"/>
      <c r="K12" s="30"/>
      <c r="L12" s="17"/>
      <c r="M12" s="181"/>
      <c r="N12" s="25"/>
      <c r="O12" s="17"/>
      <c r="P12" s="18"/>
      <c r="Q12" s="19"/>
      <c r="R12" s="185"/>
      <c r="S12" s="398"/>
      <c r="T12" s="32"/>
      <c r="U12" s="32"/>
      <c r="V12" s="178"/>
      <c r="W12" s="24">
        <f t="shared" si="5"/>
        <v>0</v>
      </c>
      <c r="X12" s="33"/>
      <c r="Y12" s="33"/>
      <c r="Z12" s="407"/>
      <c r="AA12" s="407"/>
      <c r="AB12" s="34"/>
      <c r="AC12" s="186"/>
      <c r="AD12" s="403"/>
    </row>
    <row r="13" spans="1:30" ht="15" customHeight="1">
      <c r="A13" s="413"/>
      <c r="B13" s="56"/>
      <c r="C13" s="10"/>
      <c r="D13" s="11"/>
      <c r="E13" s="86"/>
      <c r="F13" s="56"/>
      <c r="G13" s="25"/>
      <c r="H13" s="15"/>
      <c r="I13" s="182"/>
      <c r="J13" s="16"/>
      <c r="K13" s="14"/>
      <c r="L13" s="17"/>
      <c r="M13" s="180"/>
      <c r="N13" s="14"/>
      <c r="O13" s="17"/>
      <c r="P13" s="18"/>
      <c r="Q13" s="19"/>
      <c r="R13" s="185"/>
      <c r="S13" s="479"/>
      <c r="T13" s="309"/>
      <c r="U13" s="309"/>
      <c r="V13" s="26"/>
      <c r="W13" s="24">
        <f t="shared" si="5"/>
        <v>0</v>
      </c>
      <c r="X13" s="33"/>
      <c r="Y13" s="33"/>
      <c r="Z13" s="419"/>
      <c r="AA13" s="418"/>
      <c r="AB13" s="34"/>
      <c r="AC13" s="186"/>
      <c r="AD13" s="403"/>
    </row>
    <row r="14" spans="1:30" ht="15" customHeight="1">
      <c r="A14" s="413"/>
      <c r="B14" s="26"/>
      <c r="C14" s="27"/>
      <c r="D14" s="28"/>
      <c r="E14" s="29"/>
      <c r="F14" s="13"/>
      <c r="G14" s="30"/>
      <c r="H14" s="15">
        <f t="shared" si="6"/>
        <v>0</v>
      </c>
      <c r="I14" s="178"/>
      <c r="J14" s="31"/>
      <c r="K14" s="30"/>
      <c r="L14" s="17"/>
      <c r="M14" s="181"/>
      <c r="N14" s="25"/>
      <c r="O14" s="17"/>
      <c r="P14" s="18"/>
      <c r="Q14" s="19"/>
      <c r="R14" s="185"/>
      <c r="S14" s="398"/>
      <c r="T14" s="308"/>
      <c r="U14" s="308"/>
      <c r="V14" s="178"/>
      <c r="W14" s="24">
        <f t="shared" si="5"/>
        <v>0</v>
      </c>
      <c r="X14" s="33"/>
      <c r="Y14" s="33"/>
      <c r="Z14" s="419"/>
      <c r="AA14" s="418"/>
      <c r="AB14" s="34"/>
      <c r="AC14" s="186"/>
      <c r="AD14" s="403"/>
    </row>
    <row r="15" spans="1:30" ht="15" customHeight="1" thickBot="1">
      <c r="A15" s="414"/>
      <c r="B15" s="113"/>
      <c r="C15" s="113" t="s">
        <v>34</v>
      </c>
      <c r="D15" s="410" t="s">
        <v>7</v>
      </c>
      <c r="E15" s="410"/>
      <c r="F15" s="114"/>
      <c r="G15" s="115"/>
      <c r="H15" s="116"/>
      <c r="I15" s="117"/>
      <c r="J15" s="118">
        <f t="shared" ref="J15:O15" si="7">AVERAGE(J5:J14)</f>
        <v>15.333333333333334</v>
      </c>
      <c r="K15" s="118">
        <f t="shared" si="7"/>
        <v>1898.3333333333333</v>
      </c>
      <c r="L15" s="115">
        <f t="shared" si="7"/>
        <v>124.77591036414566</v>
      </c>
      <c r="M15" s="118">
        <f t="shared" si="7"/>
        <v>15.333333333333334</v>
      </c>
      <c r="N15" s="118">
        <f t="shared" si="7"/>
        <v>1780.6883116883128</v>
      </c>
      <c r="O15" s="115">
        <f t="shared" si="7"/>
        <v>117.1105169340464</v>
      </c>
      <c r="P15" s="119">
        <f t="shared" ref="P15:P16" si="8">M15-J15</f>
        <v>0</v>
      </c>
      <c r="Q15" s="120">
        <f t="shared" ref="Q15:Q16" si="9">O15-L15</f>
        <v>-7.6653934300992574</v>
      </c>
      <c r="R15" s="121">
        <f t="shared" ref="R15:R16" si="10">O15/L15</f>
        <v>0.93856672006857256</v>
      </c>
      <c r="S15" s="399"/>
      <c r="T15" s="122"/>
      <c r="U15" s="122"/>
      <c r="V15" s="195"/>
      <c r="W15" s="123"/>
      <c r="X15" s="124"/>
      <c r="Y15" s="124"/>
      <c r="Z15" s="391"/>
      <c r="AA15" s="391"/>
      <c r="AB15" s="119">
        <f>N15-K15</f>
        <v>-117.64502164502051</v>
      </c>
      <c r="AC15" s="187">
        <f>N15/K15</f>
        <v>0.93802720545477414</v>
      </c>
      <c r="AD15" s="404"/>
    </row>
    <row r="16" spans="1:30" ht="15" customHeight="1">
      <c r="A16" s="431" t="s">
        <v>67</v>
      </c>
      <c r="B16" s="199" t="s">
        <v>134</v>
      </c>
      <c r="C16" s="102"/>
      <c r="D16" s="103" t="s">
        <v>206</v>
      </c>
      <c r="E16" s="104"/>
      <c r="F16" s="199">
        <f>VLOOKUP(D16,廠價表!$C$1:$E$39,3,0)</f>
        <v>56.43</v>
      </c>
      <c r="G16" s="265">
        <v>1302</v>
      </c>
      <c r="H16" s="125">
        <f t="shared" ref="H16:H25" si="11">F16*G16</f>
        <v>73471.86</v>
      </c>
      <c r="I16" s="126"/>
      <c r="J16" s="108">
        <f>VLOOKUP(D16,產線配置圖!$A$2:$C$38,2,0)</f>
        <v>15</v>
      </c>
      <c r="K16" s="105">
        <v>1800</v>
      </c>
      <c r="L16" s="109">
        <f>K16/J16</f>
        <v>120</v>
      </c>
      <c r="M16" s="267">
        <v>15</v>
      </c>
      <c r="N16" s="127">
        <f>G16/W16*60</f>
        <v>1627.5000000000005</v>
      </c>
      <c r="O16" s="128">
        <f>N16/M16</f>
        <v>108.50000000000003</v>
      </c>
      <c r="P16" s="129">
        <f t="shared" si="8"/>
        <v>0</v>
      </c>
      <c r="Q16" s="130">
        <f t="shared" si="9"/>
        <v>-11.499999999999972</v>
      </c>
      <c r="R16" s="189">
        <f t="shared" si="10"/>
        <v>0.9041666666666669</v>
      </c>
      <c r="S16" s="424">
        <f>R26</f>
        <v>0.91775841337107156</v>
      </c>
      <c r="T16" s="268">
        <v>0.2902777777777778</v>
      </c>
      <c r="U16" s="268">
        <v>0.32361111111111113</v>
      </c>
      <c r="V16" s="126"/>
      <c r="W16" s="131">
        <f t="shared" ref="W16:W70" si="12">(U16-T16)*24*60</f>
        <v>47.999999999999986</v>
      </c>
      <c r="X16" s="128"/>
      <c r="Y16" s="128"/>
      <c r="Z16" s="400"/>
      <c r="AA16" s="400"/>
      <c r="AB16" s="111">
        <f>N16-K16</f>
        <v>-172.49999999999955</v>
      </c>
      <c r="AC16" s="184">
        <f>N16/K16</f>
        <v>0.9041666666666669</v>
      </c>
      <c r="AD16" s="401">
        <f>AC26</f>
        <v>0.91619859178635077</v>
      </c>
    </row>
    <row r="17" spans="1:30" ht="15" customHeight="1">
      <c r="A17" s="432"/>
      <c r="B17" s="56" t="s">
        <v>62</v>
      </c>
      <c r="C17" s="10"/>
      <c r="D17" s="11" t="s">
        <v>153</v>
      </c>
      <c r="E17" s="86"/>
      <c r="F17" s="56">
        <f>VLOOKUP(D17,廠價表!$C$1:$E$39,3,0)</f>
        <v>50.67</v>
      </c>
      <c r="G17" s="96">
        <v>3361</v>
      </c>
      <c r="H17" s="15">
        <f>F17*G17</f>
        <v>170301.87</v>
      </c>
      <c r="I17" s="177"/>
      <c r="J17" s="16">
        <v>14</v>
      </c>
      <c r="K17" s="14">
        <f>VLOOKUP(D17,產線配置圖!$A$2:$C$38,3,0)</f>
        <v>2000</v>
      </c>
      <c r="L17" s="17">
        <f>K17/J17</f>
        <v>142.85714285714286</v>
      </c>
      <c r="M17" s="37">
        <v>14</v>
      </c>
      <c r="N17" s="36">
        <f>G17/W17*60</f>
        <v>1784.6017699115043</v>
      </c>
      <c r="O17" s="38">
        <f>N17/M17</f>
        <v>127.47155499367888</v>
      </c>
      <c r="P17" s="39">
        <f>M17-J17</f>
        <v>0</v>
      </c>
      <c r="Q17" s="40">
        <f>O17-L17</f>
        <v>-15.385587863463982</v>
      </c>
      <c r="R17" s="190">
        <f>O17/L17</f>
        <v>0.8923008849557521</v>
      </c>
      <c r="S17" s="425"/>
      <c r="T17" s="41">
        <v>0.33194444444444443</v>
      </c>
      <c r="U17" s="41">
        <v>0.41041666666666665</v>
      </c>
      <c r="V17" s="177">
        <f>(T17-U16)*24*60</f>
        <v>11.999999999999957</v>
      </c>
      <c r="W17" s="43">
        <f t="shared" si="12"/>
        <v>113</v>
      </c>
      <c r="X17" s="44"/>
      <c r="Y17" s="44"/>
      <c r="Z17" s="381"/>
      <c r="AA17" s="381"/>
      <c r="AB17" s="18">
        <f>N17-K17</f>
        <v>-215.39823008849567</v>
      </c>
      <c r="AC17" s="185">
        <f>N17/K17</f>
        <v>0.89230088495575222</v>
      </c>
      <c r="AD17" s="402"/>
    </row>
    <row r="18" spans="1:30" ht="15" customHeight="1">
      <c r="A18" s="432"/>
      <c r="B18" s="56" t="s">
        <v>62</v>
      </c>
      <c r="C18" s="10"/>
      <c r="D18" s="11" t="s">
        <v>131</v>
      </c>
      <c r="E18" s="86"/>
      <c r="F18" s="56">
        <f>VLOOKUP(D18,廠價表!$C$1:$E$39,3,0)</f>
        <v>50.39</v>
      </c>
      <c r="G18" s="96">
        <v>2344</v>
      </c>
      <c r="H18" s="15">
        <f>F18*G18</f>
        <v>118114.16</v>
      </c>
      <c r="I18" s="177"/>
      <c r="J18" s="16">
        <v>12</v>
      </c>
      <c r="K18" s="14">
        <f>VLOOKUP(D18,產線配置圖!$A$2:$C$38,3,0)</f>
        <v>2000</v>
      </c>
      <c r="L18" s="17">
        <f>K18/J18</f>
        <v>166.66666666666666</v>
      </c>
      <c r="M18" s="37">
        <v>12</v>
      </c>
      <c r="N18" s="36">
        <f>G18/W18*60</f>
        <v>1850.5263157894744</v>
      </c>
      <c r="O18" s="38">
        <f>N18/M18</f>
        <v>154.21052631578954</v>
      </c>
      <c r="P18" s="39">
        <f>M18-J18</f>
        <v>0</v>
      </c>
      <c r="Q18" s="40">
        <f>O18-L18</f>
        <v>-12.456140350877121</v>
      </c>
      <c r="R18" s="190">
        <f>O18/L18</f>
        <v>0.92526315789473723</v>
      </c>
      <c r="S18" s="425"/>
      <c r="T18" s="41">
        <v>0.41875000000000001</v>
      </c>
      <c r="U18" s="41">
        <v>0.47152777777777777</v>
      </c>
      <c r="V18" s="177">
        <f>(T18-U17)*24*60</f>
        <v>12.000000000000037</v>
      </c>
      <c r="W18" s="43">
        <f t="shared" si="12"/>
        <v>75.999999999999972</v>
      </c>
      <c r="X18" s="22"/>
      <c r="Y18" s="22"/>
      <c r="Z18" s="418" t="s">
        <v>226</v>
      </c>
      <c r="AA18" s="405"/>
      <c r="AB18" s="18">
        <f>N18-K18</f>
        <v>-149.47368421052556</v>
      </c>
      <c r="AC18" s="185">
        <f>N18/K18</f>
        <v>0.92526315789473723</v>
      </c>
      <c r="AD18" s="402"/>
    </row>
    <row r="19" spans="1:30" ht="15" customHeight="1">
      <c r="A19" s="432"/>
      <c r="B19" s="56" t="s">
        <v>62</v>
      </c>
      <c r="C19" s="23"/>
      <c r="D19" s="11" t="s">
        <v>131</v>
      </c>
      <c r="E19" s="12"/>
      <c r="F19" s="56">
        <f>VLOOKUP(D19,廠價表!$C$1:$E$39,3,0)</f>
        <v>50.39</v>
      </c>
      <c r="G19" s="96">
        <v>1350</v>
      </c>
      <c r="H19" s="15">
        <f t="shared" ref="H19" si="13">F19*G19</f>
        <v>68026.5</v>
      </c>
      <c r="I19" s="177"/>
      <c r="J19" s="16">
        <f>VLOOKUP(D19,產線配置圖!$A$2:$C$38,2,0)</f>
        <v>12</v>
      </c>
      <c r="K19" s="14">
        <f>VLOOKUP(D19,產線配置圖!$A$2:$C$38,3,0)</f>
        <v>2000</v>
      </c>
      <c r="L19" s="17">
        <f t="shared" ref="L19" si="14">K19/J19</f>
        <v>166.66666666666666</v>
      </c>
      <c r="M19" s="37">
        <v>12</v>
      </c>
      <c r="N19" s="36">
        <f>G19/W19*60</f>
        <v>1883.7209302325577</v>
      </c>
      <c r="O19" s="38">
        <f>N19/M19</f>
        <v>156.97674418604649</v>
      </c>
      <c r="P19" s="39">
        <f>M19-J19</f>
        <v>0</v>
      </c>
      <c r="Q19" s="40">
        <f>O19-L19</f>
        <v>-9.6899224806201687</v>
      </c>
      <c r="R19" s="190">
        <f>O19/L19</f>
        <v>0.94186046511627897</v>
      </c>
      <c r="S19" s="425"/>
      <c r="T19" s="41">
        <v>0.53402777777777777</v>
      </c>
      <c r="U19" s="41">
        <v>0.56388888888888888</v>
      </c>
      <c r="V19" s="177">
        <f>(T19-U18)*24*60</f>
        <v>90</v>
      </c>
      <c r="W19" s="43">
        <f t="shared" si="12"/>
        <v>43.000000000000007</v>
      </c>
      <c r="X19" s="22"/>
      <c r="Y19" s="22"/>
      <c r="Z19" s="407"/>
      <c r="AA19" s="407"/>
      <c r="AB19" s="18">
        <f>N19-K19</f>
        <v>-116.27906976744225</v>
      </c>
      <c r="AC19" s="185">
        <f>N19/K19</f>
        <v>0.94186046511627886</v>
      </c>
      <c r="AD19" s="403"/>
    </row>
    <row r="20" spans="1:30" ht="15" customHeight="1">
      <c r="A20" s="432"/>
      <c r="B20" s="56"/>
      <c r="C20" s="23"/>
      <c r="D20" s="11"/>
      <c r="E20" s="12"/>
      <c r="F20" s="56"/>
      <c r="G20" s="96"/>
      <c r="H20" s="15"/>
      <c r="I20" s="177"/>
      <c r="J20" s="16"/>
      <c r="K20" s="14"/>
      <c r="L20" s="17"/>
      <c r="M20" s="37"/>
      <c r="N20" s="36"/>
      <c r="O20" s="38"/>
      <c r="P20" s="39"/>
      <c r="Q20" s="40"/>
      <c r="R20" s="190"/>
      <c r="S20" s="425"/>
      <c r="T20" s="41"/>
      <c r="U20" s="79"/>
      <c r="V20" s="177"/>
      <c r="W20" s="43">
        <f t="shared" si="12"/>
        <v>0</v>
      </c>
      <c r="X20" s="44"/>
      <c r="Y20" s="44"/>
      <c r="Z20" s="418"/>
      <c r="AA20" s="405"/>
      <c r="AB20" s="34"/>
      <c r="AC20" s="186"/>
      <c r="AD20" s="403"/>
    </row>
    <row r="21" spans="1:30" ht="15" customHeight="1">
      <c r="A21" s="433"/>
      <c r="B21" s="56"/>
      <c r="C21" s="23"/>
      <c r="D21" s="11"/>
      <c r="E21" s="12"/>
      <c r="F21" s="56"/>
      <c r="G21" s="36"/>
      <c r="H21" s="15"/>
      <c r="I21" s="43"/>
      <c r="J21" s="16"/>
      <c r="K21" s="14"/>
      <c r="L21" s="17"/>
      <c r="M21" s="37"/>
      <c r="N21" s="36"/>
      <c r="O21" s="38"/>
      <c r="P21" s="39"/>
      <c r="Q21" s="40"/>
      <c r="R21" s="190"/>
      <c r="S21" s="425"/>
      <c r="T21" s="41"/>
      <c r="U21" s="41"/>
      <c r="V21" s="177"/>
      <c r="W21" s="43">
        <f t="shared" si="12"/>
        <v>0</v>
      </c>
      <c r="X21" s="42"/>
      <c r="Y21" s="42"/>
      <c r="Z21" s="418"/>
      <c r="AA21" s="405"/>
      <c r="AB21" s="34"/>
      <c r="AC21" s="186"/>
      <c r="AD21" s="403"/>
    </row>
    <row r="22" spans="1:30" ht="15" customHeight="1">
      <c r="A22" s="433"/>
      <c r="B22" s="177"/>
      <c r="C22" s="183"/>
      <c r="D22" s="11"/>
      <c r="E22" s="12"/>
      <c r="F22" s="13"/>
      <c r="G22" s="36"/>
      <c r="H22" s="15">
        <f t="shared" si="11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90"/>
      <c r="S22" s="425"/>
      <c r="T22" s="41"/>
      <c r="U22" s="41"/>
      <c r="V22" s="42"/>
      <c r="W22" s="43">
        <v>0</v>
      </c>
      <c r="X22" s="42"/>
      <c r="Y22" s="42"/>
      <c r="Z22" s="418"/>
      <c r="AA22" s="405"/>
      <c r="AB22" s="34"/>
      <c r="AC22" s="186"/>
      <c r="AD22" s="403"/>
    </row>
    <row r="23" spans="1:30" ht="15" customHeight="1">
      <c r="A23" s="433"/>
      <c r="B23" s="26"/>
      <c r="C23" s="27"/>
      <c r="D23" s="28"/>
      <c r="E23" s="29"/>
      <c r="F23" s="13"/>
      <c r="G23" s="36"/>
      <c r="H23" s="15">
        <f t="shared" si="11"/>
        <v>0</v>
      </c>
      <c r="I23" s="43"/>
      <c r="J23" s="37"/>
      <c r="K23" s="36"/>
      <c r="L23" s="38"/>
      <c r="M23" s="37"/>
      <c r="N23" s="36"/>
      <c r="O23" s="38"/>
      <c r="P23" s="39"/>
      <c r="Q23" s="40"/>
      <c r="R23" s="190"/>
      <c r="S23" s="425"/>
      <c r="T23" s="41"/>
      <c r="U23" s="41"/>
      <c r="W23" s="43">
        <f t="shared" si="12"/>
        <v>0</v>
      </c>
      <c r="X23" s="42"/>
      <c r="Y23" s="42"/>
      <c r="Z23" s="418"/>
      <c r="AA23" s="405"/>
      <c r="AB23" s="34"/>
      <c r="AC23" s="186"/>
      <c r="AD23" s="403"/>
    </row>
    <row r="24" spans="1:30" ht="15" customHeight="1">
      <c r="A24" s="433"/>
      <c r="B24" s="26"/>
      <c r="C24" s="27"/>
      <c r="D24" s="28"/>
      <c r="E24" s="29"/>
      <c r="F24" s="13"/>
      <c r="G24" s="36"/>
      <c r="H24" s="15">
        <f t="shared" si="11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90"/>
      <c r="S24" s="425"/>
      <c r="T24" s="41"/>
      <c r="U24" s="41"/>
      <c r="V24" s="42"/>
      <c r="W24" s="43">
        <f t="shared" si="12"/>
        <v>0</v>
      </c>
      <c r="X24" s="42"/>
      <c r="Y24" s="42"/>
      <c r="Z24" s="418"/>
      <c r="AA24" s="405"/>
      <c r="AB24" s="34"/>
      <c r="AC24" s="186"/>
      <c r="AD24" s="403"/>
    </row>
    <row r="25" spans="1:30" ht="15" customHeight="1">
      <c r="A25" s="433"/>
      <c r="B25" s="26"/>
      <c r="C25" s="27"/>
      <c r="D25" s="28"/>
      <c r="E25" s="29"/>
      <c r="F25" s="13"/>
      <c r="G25" s="36"/>
      <c r="H25" s="50">
        <f t="shared" si="11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90"/>
      <c r="S25" s="425"/>
      <c r="T25" s="41"/>
      <c r="U25" s="41"/>
      <c r="V25" s="42"/>
      <c r="W25" s="43">
        <f t="shared" si="12"/>
        <v>0</v>
      </c>
      <c r="X25" s="42"/>
      <c r="Y25" s="42"/>
      <c r="Z25" s="418"/>
      <c r="AA25" s="405"/>
      <c r="AB25" s="34"/>
      <c r="AC25" s="186"/>
      <c r="AD25" s="403"/>
    </row>
    <row r="26" spans="1:30" ht="15" customHeight="1" thickBot="1">
      <c r="A26" s="434"/>
      <c r="B26" s="132"/>
      <c r="C26" s="1" t="s">
        <v>35</v>
      </c>
      <c r="D26" s="410" t="s">
        <v>7</v>
      </c>
      <c r="E26" s="410"/>
      <c r="F26" s="133"/>
      <c r="G26" s="134"/>
      <c r="H26" s="135"/>
      <c r="I26" s="136"/>
      <c r="J26" s="134">
        <f t="shared" ref="J26:O26" si="15">AVERAGE(J16:J25)</f>
        <v>13.25</v>
      </c>
      <c r="K26" s="134">
        <f t="shared" si="15"/>
        <v>1950</v>
      </c>
      <c r="L26" s="137">
        <f t="shared" si="15"/>
        <v>149.04761904761904</v>
      </c>
      <c r="M26" s="134">
        <f t="shared" si="15"/>
        <v>13.25</v>
      </c>
      <c r="N26" s="134">
        <f t="shared" si="15"/>
        <v>1786.587253983384</v>
      </c>
      <c r="O26" s="137">
        <f t="shared" si="15"/>
        <v>136.78970637387874</v>
      </c>
      <c r="P26" s="138">
        <f t="shared" ref="P26:P29" si="16">M26-J26</f>
        <v>0</v>
      </c>
      <c r="Q26" s="139">
        <f t="shared" ref="Q26:Q29" si="17">O26-L26</f>
        <v>-12.257912673740293</v>
      </c>
      <c r="R26" s="140">
        <f t="shared" ref="R26:R29" si="18">O26/L26</f>
        <v>0.91775841337107156</v>
      </c>
      <c r="S26" s="435"/>
      <c r="T26" s="141"/>
      <c r="U26" s="141"/>
      <c r="V26" s="146"/>
      <c r="W26" s="142"/>
      <c r="X26" s="143"/>
      <c r="Y26" s="143"/>
      <c r="Z26" s="420"/>
      <c r="AA26" s="391"/>
      <c r="AB26" s="119">
        <f>N26-K26</f>
        <v>-163.41274601661598</v>
      </c>
      <c r="AC26" s="187">
        <f>N26/K26</f>
        <v>0.91619859178635077</v>
      </c>
      <c r="AD26" s="404"/>
    </row>
    <row r="27" spans="1:30" ht="15" customHeight="1">
      <c r="A27" s="421" t="s">
        <v>54</v>
      </c>
      <c r="B27" s="229" t="s">
        <v>62</v>
      </c>
      <c r="C27" s="102"/>
      <c r="D27" s="103" t="s">
        <v>144</v>
      </c>
      <c r="E27" s="104"/>
      <c r="F27" s="199">
        <f>VLOOKUP(D27,廠價表!$C$1:$E$39,3,0)</f>
        <v>49.91</v>
      </c>
      <c r="G27" s="269">
        <v>2479</v>
      </c>
      <c r="H27" s="125">
        <f t="shared" ref="H27:H39" si="19">F27*G27</f>
        <v>123726.88999999998</v>
      </c>
      <c r="I27" s="126"/>
      <c r="J27" s="16">
        <f>VLOOKUP(D27,產線配置圖!$A$2:$C$38,2,0)</f>
        <v>17</v>
      </c>
      <c r="K27" s="14">
        <f>VLOOKUP(D27,產線配置圖!$A$2:$C$38,3,0)</f>
        <v>1565</v>
      </c>
      <c r="L27" s="109">
        <f>K27/J27</f>
        <v>92.058823529411768</v>
      </c>
      <c r="M27" s="144">
        <v>16</v>
      </c>
      <c r="N27" s="127">
        <f>G27/W27*60</f>
        <v>1328.0357142857144</v>
      </c>
      <c r="O27" s="128">
        <f>N27/M27</f>
        <v>83.002232142857153</v>
      </c>
      <c r="P27" s="129">
        <f t="shared" si="16"/>
        <v>-1</v>
      </c>
      <c r="Q27" s="130">
        <f t="shared" si="17"/>
        <v>-9.056591386554615</v>
      </c>
      <c r="R27" s="189">
        <f>O27/L27</f>
        <v>0.90162169100867195</v>
      </c>
      <c r="S27" s="424">
        <f>R37</f>
        <v>0.85634177735701011</v>
      </c>
      <c r="T27" s="94">
        <v>0.29166666666666669</v>
      </c>
      <c r="U27" s="94">
        <v>0.36944444444444446</v>
      </c>
      <c r="V27" s="126"/>
      <c r="W27" s="131">
        <f t="shared" si="12"/>
        <v>112</v>
      </c>
      <c r="X27" s="126"/>
      <c r="Y27" s="126" t="s">
        <v>147</v>
      </c>
      <c r="Z27" s="427"/>
      <c r="AA27" s="400"/>
      <c r="AB27" s="225">
        <f>N27-K27</f>
        <v>-236.96428571428555</v>
      </c>
      <c r="AC27" s="291">
        <f>N27/K27</f>
        <v>0.84858512094933836</v>
      </c>
      <c r="AD27" s="401">
        <f>AC37</f>
        <v>0.79514231040820205</v>
      </c>
    </row>
    <row r="28" spans="1:30" ht="15" customHeight="1">
      <c r="A28" s="422"/>
      <c r="B28" s="56" t="str">
        <f>VLOOKUP(D28,廠價表!$C$1:$E$39,2,0)</f>
        <v>義大利麵</v>
      </c>
      <c r="C28" s="10"/>
      <c r="D28" s="11" t="s">
        <v>137</v>
      </c>
      <c r="E28" s="86"/>
      <c r="F28" s="56">
        <f>VLOOKUP(D28,廠價表!$C$1:$E$39,3,0)</f>
        <v>55.13</v>
      </c>
      <c r="G28" s="53">
        <v>1718</v>
      </c>
      <c r="H28" s="50">
        <f t="shared" si="19"/>
        <v>94713.340000000011</v>
      </c>
      <c r="I28" s="42"/>
      <c r="J28" s="16">
        <f>VLOOKUP(D28,產線配置圖!$A$2:$C$38,2,0)</f>
        <v>18</v>
      </c>
      <c r="K28" s="14">
        <f>VLOOKUP(D28,產線配置圖!$A$2:$C$38,3,0)</f>
        <v>1385</v>
      </c>
      <c r="L28" s="235">
        <f>K28/J28</f>
        <v>76.944444444444443</v>
      </c>
      <c r="M28" s="21">
        <v>15</v>
      </c>
      <c r="N28" s="36">
        <f>G28/W28*60</f>
        <v>972.45283018867906</v>
      </c>
      <c r="O28" s="38">
        <f>N28/M28</f>
        <v>64.830188679245268</v>
      </c>
      <c r="P28" s="39">
        <f t="shared" si="16"/>
        <v>-3</v>
      </c>
      <c r="Q28" s="40">
        <f t="shared" si="17"/>
        <v>-12.114255765199175</v>
      </c>
      <c r="R28" s="190">
        <f t="shared" si="18"/>
        <v>0.84255840882773636</v>
      </c>
      <c r="S28" s="425"/>
      <c r="T28" s="270">
        <v>0.38194444444444442</v>
      </c>
      <c r="U28" s="270">
        <v>0.45555555555555555</v>
      </c>
      <c r="V28" s="42">
        <f>(T28-U27)*24*60</f>
        <v>17.999999999999936</v>
      </c>
      <c r="W28" s="43">
        <f t="shared" si="12"/>
        <v>106.00000000000003</v>
      </c>
      <c r="X28" s="54"/>
      <c r="Y28" s="54"/>
      <c r="Z28" s="418"/>
      <c r="AA28" s="419"/>
      <c r="AB28" s="39">
        <f>N28-K28</f>
        <v>-412.54716981132094</v>
      </c>
      <c r="AC28" s="190">
        <f>N28/K28</f>
        <v>0.70213200735644699</v>
      </c>
      <c r="AD28" s="447"/>
    </row>
    <row r="29" spans="1:30" ht="15" customHeight="1">
      <c r="A29" s="422"/>
      <c r="B29" s="56" t="str">
        <f>VLOOKUP(D29,廠價表!$C$1:$E$39,2,0)</f>
        <v>義大利麵</v>
      </c>
      <c r="C29" s="10"/>
      <c r="D29" s="11" t="s">
        <v>158</v>
      </c>
      <c r="E29" s="86"/>
      <c r="F29" s="56">
        <f>VLOOKUP(D29,廠價表!$C$1:$E$39,3,0)</f>
        <v>47.71</v>
      </c>
      <c r="G29" s="53">
        <v>2744</v>
      </c>
      <c r="H29" s="50">
        <f t="shared" si="19"/>
        <v>130916.24</v>
      </c>
      <c r="I29" s="42"/>
      <c r="J29" s="16">
        <f>VLOOKUP(D29,產線配置圖!$A$2:$C$38,2,0)</f>
        <v>15</v>
      </c>
      <c r="K29" s="14">
        <f>VLOOKUP(D29,產線配置圖!$A$2:$C$38,3,0)</f>
        <v>1500</v>
      </c>
      <c r="L29" s="235">
        <f>K29/J29</f>
        <v>100</v>
      </c>
      <c r="M29" s="21">
        <v>15</v>
      </c>
      <c r="N29" s="36">
        <f>G29/W29*60</f>
        <v>1237.8947368421052</v>
      </c>
      <c r="O29" s="38">
        <f>N29/M29</f>
        <v>82.526315789473685</v>
      </c>
      <c r="P29" s="39">
        <f t="shared" si="16"/>
        <v>0</v>
      </c>
      <c r="Q29" s="40">
        <f t="shared" si="17"/>
        <v>-17.473684210526315</v>
      </c>
      <c r="R29" s="190">
        <f t="shared" si="18"/>
        <v>0.82526315789473681</v>
      </c>
      <c r="S29" s="425"/>
      <c r="T29" s="41">
        <v>0.51875000000000004</v>
      </c>
      <c r="U29" s="41">
        <v>0.61111111111111116</v>
      </c>
      <c r="V29" s="42">
        <f>(T29-U28)*24*60</f>
        <v>91.000000000000071</v>
      </c>
      <c r="W29" s="43">
        <f t="shared" si="12"/>
        <v>133</v>
      </c>
      <c r="X29" s="22"/>
      <c r="Y29" s="22"/>
      <c r="Z29" s="418"/>
      <c r="AA29" s="419"/>
      <c r="AB29" s="292">
        <f>N29-K29</f>
        <v>-262.1052631578948</v>
      </c>
      <c r="AC29" s="190">
        <f>N29/K29</f>
        <v>0.82526315789473681</v>
      </c>
      <c r="AD29" s="447"/>
    </row>
    <row r="30" spans="1:30" ht="15" customHeight="1">
      <c r="A30" s="422"/>
      <c r="B30" s="56"/>
      <c r="C30" s="237"/>
      <c r="D30" s="11"/>
      <c r="E30" s="29"/>
      <c r="F30" s="56"/>
      <c r="G30" s="53"/>
      <c r="H30" s="50"/>
      <c r="I30" s="42"/>
      <c r="J30" s="16"/>
      <c r="K30" s="14"/>
      <c r="L30" s="235"/>
      <c r="M30" s="21"/>
      <c r="N30" s="36"/>
      <c r="O30" s="38"/>
      <c r="P30" s="39"/>
      <c r="Q30" s="40"/>
      <c r="R30" s="190"/>
      <c r="S30" s="425"/>
      <c r="T30" s="41"/>
      <c r="U30" s="41"/>
      <c r="V30" s="42"/>
      <c r="W30" s="43">
        <f t="shared" si="12"/>
        <v>0</v>
      </c>
      <c r="X30" s="54"/>
      <c r="Y30" s="54"/>
      <c r="Z30" s="449"/>
      <c r="AA30" s="450"/>
      <c r="AB30" s="292"/>
      <c r="AC30" s="190"/>
      <c r="AD30" s="448"/>
    </row>
    <row r="31" spans="1:30" ht="15" customHeight="1">
      <c r="A31" s="422"/>
      <c r="B31" s="56"/>
      <c r="C31" s="237"/>
      <c r="D31" s="11"/>
      <c r="E31" s="29"/>
      <c r="F31" s="56"/>
      <c r="G31" s="53"/>
      <c r="H31" s="50"/>
      <c r="I31" s="42"/>
      <c r="J31" s="16"/>
      <c r="K31" s="14"/>
      <c r="L31" s="235"/>
      <c r="M31" s="21"/>
      <c r="N31" s="36"/>
      <c r="O31" s="38"/>
      <c r="P31" s="39"/>
      <c r="Q31" s="40"/>
      <c r="R31" s="190"/>
      <c r="S31" s="425"/>
      <c r="T31" s="41"/>
      <c r="U31" s="41"/>
      <c r="V31" s="42"/>
      <c r="W31" s="43">
        <f t="shared" si="12"/>
        <v>0</v>
      </c>
      <c r="X31" s="54"/>
      <c r="Y31" s="54"/>
      <c r="Z31" s="449"/>
      <c r="AA31" s="450"/>
      <c r="AB31" s="257"/>
      <c r="AC31" s="258"/>
      <c r="AD31" s="403"/>
    </row>
    <row r="32" spans="1:30" ht="15" customHeight="1">
      <c r="A32" s="422"/>
      <c r="B32" s="56"/>
      <c r="C32" s="252"/>
      <c r="D32" s="253"/>
      <c r="E32" s="254"/>
      <c r="F32" s="56"/>
      <c r="G32" s="53"/>
      <c r="H32" s="50"/>
      <c r="I32" s="42"/>
      <c r="J32" s="255"/>
      <c r="K32" s="36"/>
      <c r="L32" s="256"/>
      <c r="M32" s="21"/>
      <c r="N32" s="36"/>
      <c r="O32" s="38"/>
      <c r="P32" s="39"/>
      <c r="Q32" s="40"/>
      <c r="R32" s="190"/>
      <c r="S32" s="425"/>
      <c r="T32" s="41"/>
      <c r="U32" s="41"/>
      <c r="V32" s="42"/>
      <c r="W32" s="43">
        <f t="shared" si="12"/>
        <v>0</v>
      </c>
      <c r="X32" s="54"/>
      <c r="Y32" s="54"/>
      <c r="Z32" s="418"/>
      <c r="AA32" s="405"/>
      <c r="AB32" s="18"/>
      <c r="AC32" s="185"/>
      <c r="AD32" s="403"/>
    </row>
    <row r="33" spans="1:30" ht="15" customHeight="1">
      <c r="A33" s="422"/>
      <c r="B33" s="240"/>
      <c r="C33" s="241"/>
      <c r="D33" s="242"/>
      <c r="E33" s="243"/>
      <c r="F33" s="223"/>
      <c r="G33" s="244"/>
      <c r="H33" s="245">
        <f t="shared" si="19"/>
        <v>0</v>
      </c>
      <c r="I33" s="246"/>
      <c r="J33" s="247"/>
      <c r="K33" s="45"/>
      <c r="M33" s="248"/>
      <c r="N33" s="45"/>
      <c r="O33" s="46"/>
      <c r="P33" s="47"/>
      <c r="Q33" s="48"/>
      <c r="R33" s="49"/>
      <c r="S33" s="425"/>
      <c r="T33" s="41"/>
      <c r="U33" s="41"/>
      <c r="V33" s="42"/>
      <c r="W33" s="43">
        <f t="shared" si="12"/>
        <v>0</v>
      </c>
      <c r="X33" s="54"/>
      <c r="Y33" s="54"/>
      <c r="Z33" s="418"/>
      <c r="AA33" s="405"/>
      <c r="AB33" s="18"/>
      <c r="AC33" s="57"/>
      <c r="AD33" s="403"/>
    </row>
    <row r="34" spans="1:30" ht="15" customHeight="1">
      <c r="A34" s="422"/>
      <c r="B34" s="231"/>
      <c r="C34" s="27"/>
      <c r="D34" s="28"/>
      <c r="E34" s="29"/>
      <c r="F34" s="13"/>
      <c r="G34" s="53"/>
      <c r="H34" s="50">
        <f t="shared" si="19"/>
        <v>0</v>
      </c>
      <c r="I34" s="42"/>
      <c r="J34" s="37"/>
      <c r="K34" s="36"/>
      <c r="L34" s="38"/>
      <c r="M34" s="21"/>
      <c r="N34" s="36"/>
      <c r="O34" s="38"/>
      <c r="P34" s="39"/>
      <c r="Q34" s="40"/>
      <c r="R34" s="190"/>
      <c r="S34" s="425"/>
      <c r="T34" s="41"/>
      <c r="U34" s="41"/>
      <c r="V34" s="42"/>
      <c r="W34" s="43">
        <f t="shared" si="12"/>
        <v>0</v>
      </c>
      <c r="X34" s="54"/>
      <c r="Y34" s="54"/>
      <c r="Z34" s="418"/>
      <c r="AA34" s="405"/>
      <c r="AB34" s="18"/>
      <c r="AC34" s="57"/>
      <c r="AD34" s="403"/>
    </row>
    <row r="35" spans="1:30" ht="15" customHeight="1">
      <c r="A35" s="422"/>
      <c r="B35" s="231"/>
      <c r="C35" s="27"/>
      <c r="D35" s="28"/>
      <c r="E35" s="29"/>
      <c r="F35" s="13"/>
      <c r="G35" s="53"/>
      <c r="H35" s="50">
        <f t="shared" si="19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90"/>
      <c r="S35" s="425"/>
      <c r="T35" s="41"/>
      <c r="U35" s="41"/>
      <c r="V35" s="42"/>
      <c r="W35" s="43">
        <f t="shared" si="12"/>
        <v>0</v>
      </c>
      <c r="X35" s="54"/>
      <c r="Y35" s="54"/>
      <c r="Z35" s="418"/>
      <c r="AA35" s="405"/>
      <c r="AB35" s="18"/>
      <c r="AC35" s="57"/>
      <c r="AD35" s="403"/>
    </row>
    <row r="36" spans="1:30" ht="15" customHeight="1">
      <c r="A36" s="422"/>
      <c r="B36" s="232"/>
      <c r="C36" s="27"/>
      <c r="D36" s="28"/>
      <c r="E36" s="29"/>
      <c r="F36" s="13"/>
      <c r="G36" s="53"/>
      <c r="H36" s="50">
        <f t="shared" si="19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90"/>
      <c r="S36" s="425"/>
      <c r="T36" s="41"/>
      <c r="U36" s="41"/>
      <c r="V36" s="42"/>
      <c r="W36" s="43">
        <f t="shared" si="12"/>
        <v>0</v>
      </c>
      <c r="X36" s="54"/>
      <c r="Y36" s="54"/>
      <c r="Z36" s="418"/>
      <c r="AA36" s="405"/>
      <c r="AB36" s="18"/>
      <c r="AC36" s="57"/>
      <c r="AD36" s="403"/>
    </row>
    <row r="37" spans="1:30" ht="15" customHeight="1" thickBot="1">
      <c r="A37" s="423"/>
      <c r="B37" s="300"/>
      <c r="C37" s="301" t="s">
        <v>36</v>
      </c>
      <c r="D37" s="428" t="s">
        <v>7</v>
      </c>
      <c r="E37" s="429"/>
      <c r="F37" s="281"/>
      <c r="G37" s="282"/>
      <c r="H37" s="283"/>
      <c r="I37" s="284"/>
      <c r="J37" s="285">
        <f t="shared" ref="J37:O37" si="20">AVERAGE(J27:J36)</f>
        <v>16.666666666666668</v>
      </c>
      <c r="K37" s="285">
        <f t="shared" si="20"/>
        <v>1483.3333333333333</v>
      </c>
      <c r="L37" s="286">
        <f t="shared" si="20"/>
        <v>89.667755991285404</v>
      </c>
      <c r="M37" s="285">
        <f t="shared" si="20"/>
        <v>15.333333333333334</v>
      </c>
      <c r="N37" s="285">
        <f t="shared" si="20"/>
        <v>1179.4610937721664</v>
      </c>
      <c r="O37" s="286">
        <f t="shared" si="20"/>
        <v>76.78624553719203</v>
      </c>
      <c r="P37" s="73">
        <f>M37-J37</f>
        <v>-1.3333333333333339</v>
      </c>
      <c r="Q37" s="74">
        <f>N37-K37</f>
        <v>-303.87223956116691</v>
      </c>
      <c r="R37" s="287">
        <f t="shared" ref="R37:R39" si="21">O37/L37</f>
        <v>0.85634177735701011</v>
      </c>
      <c r="S37" s="426"/>
      <c r="T37" s="302"/>
      <c r="U37" s="302"/>
      <c r="V37" s="81"/>
      <c r="W37" s="81"/>
      <c r="X37" s="303"/>
      <c r="Y37" s="303"/>
      <c r="Z37" s="430"/>
      <c r="AA37" s="379"/>
      <c r="AB37" s="34">
        <f t="shared" ref="AB37:AB40" si="22">N37-K37</f>
        <v>-303.87223956116691</v>
      </c>
      <c r="AC37" s="186">
        <f t="shared" ref="AC37:AC40" si="23">N37/K37</f>
        <v>0.79514231040820205</v>
      </c>
      <c r="AD37" s="403"/>
    </row>
    <row r="38" spans="1:30" s="62" customFormat="1" ht="15" customHeight="1">
      <c r="A38" s="454" t="s">
        <v>55</v>
      </c>
      <c r="B38" s="229" t="s">
        <v>134</v>
      </c>
      <c r="C38" s="199"/>
      <c r="D38" s="304" t="s">
        <v>156</v>
      </c>
      <c r="E38" s="280"/>
      <c r="F38" s="305">
        <f>VLOOKUP(D38,廠價表!$C$1:$E$39,3,0)</f>
        <v>56.43</v>
      </c>
      <c r="G38" s="266">
        <v>2015</v>
      </c>
      <c r="H38" s="125">
        <f t="shared" si="19"/>
        <v>113706.45</v>
      </c>
      <c r="I38" s="126"/>
      <c r="J38" s="274">
        <f>VLOOKUP(D38,產線配置圖!$A$2:$C$38,2,0)</f>
        <v>15</v>
      </c>
      <c r="K38" s="236">
        <f>VLOOKUP(D38,產線配置圖!$A$2:$C$38,3,0)</f>
        <v>1406</v>
      </c>
      <c r="L38" s="288">
        <f t="shared" ref="L38:L39" si="24">K38/J38</f>
        <v>93.733333333333334</v>
      </c>
      <c r="M38" s="289">
        <v>15</v>
      </c>
      <c r="N38" s="127">
        <f>G38/W38*60</f>
        <v>1033.3333333333335</v>
      </c>
      <c r="O38" s="128">
        <f>N38/M38</f>
        <v>68.8888888888889</v>
      </c>
      <c r="P38" s="129">
        <f t="shared" ref="P38:P39" si="25">M38-J38</f>
        <v>0</v>
      </c>
      <c r="Q38" s="130">
        <f t="shared" ref="Q38:Q39" si="26">O38-L38</f>
        <v>-24.844444444444434</v>
      </c>
      <c r="R38" s="189">
        <f t="shared" si="21"/>
        <v>0.73494547178757719</v>
      </c>
      <c r="S38" s="457">
        <f>R48</f>
        <v>0.81809119293856836</v>
      </c>
      <c r="T38" s="151">
        <v>0.33194444444444443</v>
      </c>
      <c r="U38" s="151">
        <v>0.41319444444444442</v>
      </c>
      <c r="V38" s="148"/>
      <c r="W38" s="152">
        <f t="shared" si="12"/>
        <v>116.99999999999999</v>
      </c>
      <c r="X38" s="150"/>
      <c r="Y38" s="153"/>
      <c r="Z38" s="478" t="s">
        <v>228</v>
      </c>
      <c r="AA38" s="460"/>
      <c r="AB38" s="290">
        <f t="shared" si="22"/>
        <v>-372.66666666666652</v>
      </c>
      <c r="AC38" s="154">
        <f t="shared" si="23"/>
        <v>0.73494547178757719</v>
      </c>
      <c r="AD38" s="436">
        <f>AC48</f>
        <v>0.77660845914814236</v>
      </c>
    </row>
    <row r="39" spans="1:30" s="62" customFormat="1" ht="15" customHeight="1">
      <c r="A39" s="455"/>
      <c r="B39" s="56" t="s">
        <v>134</v>
      </c>
      <c r="C39" s="277"/>
      <c r="D39" s="279" t="s">
        <v>127</v>
      </c>
      <c r="E39" s="278"/>
      <c r="F39" s="56">
        <f>VLOOKUP(D39,廠價表!$C$1:$E$39,3,0)</f>
        <v>57.21</v>
      </c>
      <c r="G39" s="276">
        <v>2216</v>
      </c>
      <c r="H39" s="50">
        <f t="shared" si="19"/>
        <v>126777.36</v>
      </c>
      <c r="I39" s="64"/>
      <c r="J39" s="37">
        <v>15</v>
      </c>
      <c r="K39" s="36">
        <v>1565</v>
      </c>
      <c r="L39" s="38">
        <f t="shared" si="24"/>
        <v>104.33333333333333</v>
      </c>
      <c r="M39" s="65">
        <v>15</v>
      </c>
      <c r="N39" s="66">
        <f>G39/W39*60</f>
        <v>1266.2857142857149</v>
      </c>
      <c r="O39" s="67">
        <f t="shared" ref="O39" si="27">N39/M39</f>
        <v>84.41904761904766</v>
      </c>
      <c r="P39" s="39">
        <f t="shared" si="25"/>
        <v>0</v>
      </c>
      <c r="Q39" s="40">
        <f t="shared" si="26"/>
        <v>-19.914285714285668</v>
      </c>
      <c r="R39" s="190">
        <f t="shared" si="21"/>
        <v>0.80912825193975402</v>
      </c>
      <c r="S39" s="458"/>
      <c r="T39" s="59">
        <v>0.41666666666666669</v>
      </c>
      <c r="U39" s="59">
        <v>0.48958333333333331</v>
      </c>
      <c r="V39" s="42">
        <f>(T39-U38)*24*60</f>
        <v>5.0000000000000622</v>
      </c>
      <c r="W39" s="69">
        <f t="shared" si="12"/>
        <v>104.99999999999994</v>
      </c>
      <c r="X39" s="22"/>
      <c r="Y39" s="22"/>
      <c r="Z39" s="439"/>
      <c r="AA39" s="440"/>
      <c r="AB39" s="271">
        <f t="shared" si="22"/>
        <v>-298.7142857142851</v>
      </c>
      <c r="AC39" s="61">
        <f t="shared" si="23"/>
        <v>0.80912825193975391</v>
      </c>
      <c r="AD39" s="437"/>
    </row>
    <row r="40" spans="1:30" s="62" customFormat="1" ht="15" customHeight="1">
      <c r="A40" s="455"/>
      <c r="B40" s="56" t="s">
        <v>134</v>
      </c>
      <c r="C40" s="275"/>
      <c r="D40" s="279" t="s">
        <v>154</v>
      </c>
      <c r="E40" s="243"/>
      <c r="F40" s="56">
        <f>VLOOKUP(D40,廠價表!$C$1:$E$39,3,0)</f>
        <v>57.3</v>
      </c>
      <c r="G40" s="276">
        <v>1325</v>
      </c>
      <c r="H40" s="50">
        <f t="shared" ref="H40" si="28">F40*G40</f>
        <v>75922.5</v>
      </c>
      <c r="I40" s="64"/>
      <c r="J40" s="37">
        <v>15</v>
      </c>
      <c r="K40" s="36">
        <v>1565</v>
      </c>
      <c r="L40" s="38">
        <f t="shared" ref="L40" si="29">K40/J40</f>
        <v>104.33333333333333</v>
      </c>
      <c r="M40" s="65">
        <v>13</v>
      </c>
      <c r="N40" s="66">
        <f>G40/W40*60</f>
        <v>1223.0769230769245</v>
      </c>
      <c r="O40" s="67">
        <f t="shared" ref="O40" si="30">N40/M40</f>
        <v>94.082840236686494</v>
      </c>
      <c r="P40" s="39">
        <f t="shared" ref="P40" si="31">M40-J40</f>
        <v>-2</v>
      </c>
      <c r="Q40" s="40">
        <f t="shared" ref="Q40" si="32">O40-L40</f>
        <v>-10.250493096646835</v>
      </c>
      <c r="R40" s="190">
        <f t="shared" ref="R40" si="33">O40/L40</f>
        <v>0.90175246233245843</v>
      </c>
      <c r="S40" s="397"/>
      <c r="T40" s="59">
        <v>0.53125</v>
      </c>
      <c r="U40" s="59">
        <v>0.57638888888888884</v>
      </c>
      <c r="V40" s="42">
        <f>(T40-U39)*24*60</f>
        <v>60.000000000000028</v>
      </c>
      <c r="W40" s="69">
        <f t="shared" si="12"/>
        <v>64.999999999999929</v>
      </c>
      <c r="X40" s="70"/>
      <c r="Y40" s="259"/>
      <c r="Z40" s="439"/>
      <c r="AA40" s="440"/>
      <c r="AB40" s="271">
        <f t="shared" si="22"/>
        <v>-341.92307692307554</v>
      </c>
      <c r="AC40" s="61">
        <f t="shared" si="23"/>
        <v>0.78151880068813062</v>
      </c>
      <c r="AD40" s="437"/>
    </row>
    <row r="41" spans="1:30" s="62" customFormat="1" ht="15" customHeight="1">
      <c r="A41" s="455"/>
      <c r="B41" s="56"/>
      <c r="C41" s="275"/>
      <c r="D41" s="279"/>
      <c r="E41" s="243"/>
      <c r="F41" s="56"/>
      <c r="G41" s="276"/>
      <c r="H41" s="50"/>
      <c r="I41" s="64"/>
      <c r="J41" s="37"/>
      <c r="K41" s="36"/>
      <c r="L41" s="38"/>
      <c r="M41" s="65"/>
      <c r="N41" s="66"/>
      <c r="O41" s="67"/>
      <c r="P41" s="39"/>
      <c r="Q41" s="40"/>
      <c r="R41" s="190"/>
      <c r="S41" s="397"/>
      <c r="T41" s="59"/>
      <c r="U41" s="59"/>
      <c r="V41" s="42"/>
      <c r="W41" s="69">
        <f t="shared" si="12"/>
        <v>0</v>
      </c>
      <c r="X41" s="70"/>
      <c r="Y41" s="259"/>
      <c r="Z41" s="439"/>
      <c r="AA41" s="440"/>
      <c r="AB41" s="271"/>
      <c r="AC41" s="61"/>
      <c r="AD41" s="437"/>
    </row>
    <row r="42" spans="1:30" s="62" customFormat="1" ht="15" customHeight="1">
      <c r="A42" s="455"/>
      <c r="B42" s="56"/>
      <c r="C42" s="23"/>
      <c r="D42" s="279"/>
      <c r="E42" s="12"/>
      <c r="F42" s="56"/>
      <c r="G42" s="276"/>
      <c r="H42" s="63"/>
      <c r="I42" s="64"/>
      <c r="J42" s="37"/>
      <c r="K42" s="36"/>
      <c r="L42" s="38"/>
      <c r="M42" s="65"/>
      <c r="N42" s="66"/>
      <c r="O42" s="67"/>
      <c r="P42" s="39"/>
      <c r="Q42" s="40"/>
      <c r="R42" s="190"/>
      <c r="S42" s="397"/>
      <c r="T42" s="75"/>
      <c r="U42" s="75"/>
      <c r="V42" s="42"/>
      <c r="W42" s="69">
        <f t="shared" si="12"/>
        <v>0</v>
      </c>
      <c r="X42" s="70"/>
      <c r="Y42" s="60"/>
      <c r="Z42" s="445"/>
      <c r="AA42" s="446"/>
      <c r="AB42" s="271"/>
      <c r="AC42" s="61"/>
      <c r="AD42" s="437"/>
    </row>
    <row r="43" spans="1:30" s="62" customFormat="1" ht="15" customHeight="1">
      <c r="A43" s="455"/>
      <c r="B43" s="230"/>
      <c r="C43" s="23"/>
      <c r="D43" s="11"/>
      <c r="E43" s="12"/>
      <c r="F43" s="13"/>
      <c r="G43" s="100"/>
      <c r="H43" s="63">
        <f t="shared" ref="H43:H47" si="34">F43*G43</f>
        <v>0</v>
      </c>
      <c r="I43" s="64"/>
      <c r="J43" s="65"/>
      <c r="K43" s="66"/>
      <c r="L43" s="67"/>
      <c r="M43" s="65"/>
      <c r="N43" s="66"/>
      <c r="O43" s="67"/>
      <c r="P43" s="39"/>
      <c r="Q43" s="40"/>
      <c r="R43" s="68"/>
      <c r="S43" s="397"/>
      <c r="T43" s="75"/>
      <c r="U43" s="75"/>
      <c r="V43" s="64"/>
      <c r="W43" s="69">
        <f>(U43-T43)*24*60</f>
        <v>0</v>
      </c>
      <c r="X43" s="70"/>
      <c r="Y43" s="67"/>
      <c r="Z43" s="405"/>
      <c r="AA43" s="405"/>
      <c r="AB43" s="71"/>
      <c r="AC43" s="61"/>
      <c r="AD43" s="437"/>
    </row>
    <row r="44" spans="1:30" s="62" customFormat="1" ht="15" customHeight="1">
      <c r="A44" s="455"/>
      <c r="B44" s="230"/>
      <c r="C44" s="183"/>
      <c r="D44" s="11"/>
      <c r="E44" s="12"/>
      <c r="F44" s="13"/>
      <c r="G44" s="100"/>
      <c r="H44" s="63">
        <f t="shared" si="34"/>
        <v>0</v>
      </c>
      <c r="I44" s="64"/>
      <c r="J44" s="65"/>
      <c r="K44" s="66"/>
      <c r="L44" s="58"/>
      <c r="M44" s="65"/>
      <c r="N44" s="66"/>
      <c r="O44" s="67"/>
      <c r="P44" s="39"/>
      <c r="Q44" s="40"/>
      <c r="R44" s="68"/>
      <c r="S44" s="397"/>
      <c r="T44" s="59"/>
      <c r="U44" s="59"/>
      <c r="V44" s="64"/>
      <c r="W44" s="69">
        <f t="shared" ref="W44:W48" si="35">(U44-T44)*24*60</f>
        <v>0</v>
      </c>
      <c r="X44" s="70"/>
      <c r="Y44" s="67"/>
      <c r="Z44" s="405"/>
      <c r="AA44" s="405"/>
      <c r="AB44" s="71"/>
      <c r="AC44" s="61"/>
      <c r="AD44" s="437"/>
    </row>
    <row r="45" spans="1:30" s="62" customFormat="1" ht="15" customHeight="1">
      <c r="A45" s="455"/>
      <c r="B45" s="231"/>
      <c r="C45" s="27"/>
      <c r="D45" s="28"/>
      <c r="E45" s="29"/>
      <c r="F45" s="13"/>
      <c r="G45" s="66"/>
      <c r="H45" s="63">
        <f t="shared" si="34"/>
        <v>0</v>
      </c>
      <c r="I45" s="64"/>
      <c r="J45" s="65"/>
      <c r="K45" s="66"/>
      <c r="L45" s="67"/>
      <c r="M45" s="65"/>
      <c r="N45" s="66"/>
      <c r="O45" s="67"/>
      <c r="P45" s="39"/>
      <c r="Q45" s="40"/>
      <c r="R45" s="68"/>
      <c r="S45" s="397"/>
      <c r="T45" s="75"/>
      <c r="U45" s="75"/>
      <c r="V45" s="64"/>
      <c r="W45" s="69">
        <f t="shared" si="35"/>
        <v>0</v>
      </c>
      <c r="X45" s="70"/>
      <c r="Y45" s="67"/>
      <c r="Z45" s="405"/>
      <c r="AA45" s="405"/>
      <c r="AB45" s="71"/>
      <c r="AC45" s="61"/>
      <c r="AD45" s="437"/>
    </row>
    <row r="46" spans="1:30" s="62" customFormat="1" ht="15" customHeight="1">
      <c r="A46" s="455"/>
      <c r="B46" s="231"/>
      <c r="C46" s="27"/>
      <c r="D46" s="28"/>
      <c r="E46" s="29"/>
      <c r="F46" s="13"/>
      <c r="G46" s="66"/>
      <c r="H46" s="63">
        <f t="shared" si="34"/>
        <v>0</v>
      </c>
      <c r="I46" s="64"/>
      <c r="J46" s="65"/>
      <c r="K46" s="66"/>
      <c r="L46" s="67"/>
      <c r="M46" s="65"/>
      <c r="N46" s="66"/>
      <c r="O46" s="67"/>
      <c r="P46" s="39"/>
      <c r="Q46" s="40"/>
      <c r="R46" s="68"/>
      <c r="S46" s="397"/>
      <c r="T46" s="59"/>
      <c r="U46" s="59"/>
      <c r="V46" s="64"/>
      <c r="W46" s="69">
        <f t="shared" si="35"/>
        <v>0</v>
      </c>
      <c r="X46" s="70"/>
      <c r="Y46" s="67"/>
      <c r="Z46" s="405"/>
      <c r="AA46" s="405"/>
      <c r="AB46" s="71"/>
      <c r="AC46" s="61"/>
      <c r="AD46" s="437"/>
    </row>
    <row r="47" spans="1:30" s="62" customFormat="1" ht="15" customHeight="1">
      <c r="A47" s="455"/>
      <c r="B47" s="230"/>
      <c r="C47" s="27"/>
      <c r="D47" s="28"/>
      <c r="E47" s="29"/>
      <c r="F47" s="13"/>
      <c r="G47" s="66"/>
      <c r="H47" s="63">
        <f t="shared" si="34"/>
        <v>0</v>
      </c>
      <c r="I47" s="64"/>
      <c r="J47" s="65"/>
      <c r="K47" s="66"/>
      <c r="L47" s="67"/>
      <c r="M47" s="65"/>
      <c r="N47" s="66"/>
      <c r="O47" s="67"/>
      <c r="P47" s="39"/>
      <c r="Q47" s="40"/>
      <c r="R47" s="68"/>
      <c r="S47" s="397"/>
      <c r="T47" s="75"/>
      <c r="U47" s="75"/>
      <c r="V47" s="64"/>
      <c r="W47" s="69">
        <f t="shared" si="35"/>
        <v>0</v>
      </c>
      <c r="X47" s="70"/>
      <c r="Y47" s="67"/>
      <c r="Z47" s="405"/>
      <c r="AA47" s="405"/>
      <c r="AB47" s="71"/>
      <c r="AC47" s="61"/>
      <c r="AD47" s="437"/>
    </row>
    <row r="48" spans="1:30" ht="15" customHeight="1" thickBot="1">
      <c r="A48" s="456"/>
      <c r="B48" s="156"/>
      <c r="C48" s="1" t="s">
        <v>37</v>
      </c>
      <c r="D48" s="410" t="s">
        <v>7</v>
      </c>
      <c r="E48" s="410"/>
      <c r="F48" s="133"/>
      <c r="G48" s="145"/>
      <c r="H48" s="135"/>
      <c r="I48" s="136"/>
      <c r="J48" s="134">
        <f t="shared" ref="J48:O48" si="36">AVERAGE(J38:J47)</f>
        <v>15</v>
      </c>
      <c r="K48" s="134">
        <f t="shared" si="36"/>
        <v>1512</v>
      </c>
      <c r="L48" s="137">
        <f t="shared" si="36"/>
        <v>100.8</v>
      </c>
      <c r="M48" s="134">
        <f t="shared" si="36"/>
        <v>14.333333333333334</v>
      </c>
      <c r="N48" s="134">
        <f t="shared" si="36"/>
        <v>1174.2319902319912</v>
      </c>
      <c r="O48" s="137">
        <f t="shared" si="36"/>
        <v>82.463592248207689</v>
      </c>
      <c r="P48" s="157">
        <f>M48-J48</f>
        <v>-0.66666666666666607</v>
      </c>
      <c r="Q48" s="158">
        <f>N48-K48</f>
        <v>-337.76800976800882</v>
      </c>
      <c r="R48" s="159">
        <f>O48/L48</f>
        <v>0.81809119293856836</v>
      </c>
      <c r="S48" s="399"/>
      <c r="T48" s="160"/>
      <c r="U48" s="160"/>
      <c r="V48" s="196"/>
      <c r="W48" s="161">
        <f t="shared" si="35"/>
        <v>0</v>
      </c>
      <c r="X48" s="162"/>
      <c r="Y48" s="162"/>
      <c r="Z48" s="391"/>
      <c r="AA48" s="391"/>
      <c r="AB48" s="163">
        <f>N48-K48</f>
        <v>-337.76800976800882</v>
      </c>
      <c r="AC48" s="191">
        <f>N48/K48</f>
        <v>0.77660845914814236</v>
      </c>
      <c r="AD48" s="438"/>
    </row>
    <row r="49" spans="1:30" ht="15" customHeight="1">
      <c r="A49" s="451" t="s">
        <v>56</v>
      </c>
      <c r="B49" s="199" t="str">
        <f>VLOOKUP(D49,廠價表!$C$1:$E$39,2,0)</f>
        <v>義大利麵</v>
      </c>
      <c r="C49" s="102"/>
      <c r="D49" s="103" t="s">
        <v>152</v>
      </c>
      <c r="E49" s="104"/>
      <c r="F49" s="199">
        <f>VLOOKUP(D49,廠價表!$C$1:$E$39,3,0)</f>
        <v>56.87</v>
      </c>
      <c r="G49" s="149">
        <v>1865</v>
      </c>
      <c r="H49" s="125">
        <f t="shared" ref="H49:H57" si="37">F49*G49</f>
        <v>106062.54999999999</v>
      </c>
      <c r="I49" s="126"/>
      <c r="J49" s="16">
        <f>VLOOKUP(D49,產線配置圖!$A$2:$C$38,2,0)</f>
        <v>19</v>
      </c>
      <c r="K49" s="14">
        <f>VLOOKUP(D49,產線配置圖!$A$2:$C$38,3,0)</f>
        <v>1565</v>
      </c>
      <c r="L49" s="109">
        <f>K49/J49</f>
        <v>82.368421052631575</v>
      </c>
      <c r="M49" s="144">
        <v>16</v>
      </c>
      <c r="N49" s="127">
        <f>G49/W49*60</f>
        <v>1141.836734693878</v>
      </c>
      <c r="O49" s="128">
        <f>N49/M49</f>
        <v>71.364795918367378</v>
      </c>
      <c r="P49" s="164">
        <f>M49-J49</f>
        <v>-3</v>
      </c>
      <c r="Q49" s="112">
        <f>O49-L49</f>
        <v>-11.003625134264198</v>
      </c>
      <c r="R49" s="184">
        <f>O49/L49</f>
        <v>0.86640966290669663</v>
      </c>
      <c r="S49" s="396">
        <f>R58</f>
        <v>0.86818014164510304</v>
      </c>
      <c r="T49" s="151">
        <v>0.29166666666666669</v>
      </c>
      <c r="U49" s="151">
        <v>0.35972222222222222</v>
      </c>
      <c r="V49" s="188"/>
      <c r="W49" s="152">
        <f t="shared" si="12"/>
        <v>97.999999999999972</v>
      </c>
      <c r="X49" s="188"/>
      <c r="Y49" s="188"/>
      <c r="Z49" s="400"/>
      <c r="AA49" s="400"/>
      <c r="AB49" s="111">
        <f>N49-K49</f>
        <v>-423.16326530612196</v>
      </c>
      <c r="AC49" s="184">
        <f>N49/K49</f>
        <v>0.72960813718458661</v>
      </c>
      <c r="AD49" s="401">
        <f>AC58</f>
        <v>0.71456512561062235</v>
      </c>
    </row>
    <row r="50" spans="1:30" ht="15" customHeight="1">
      <c r="A50" s="452"/>
      <c r="B50" s="56" t="str">
        <f>VLOOKUP(D50,廠價表!$C$1:$E$39,2,0)</f>
        <v>義大利麵</v>
      </c>
      <c r="C50" s="10"/>
      <c r="D50" s="11" t="s">
        <v>65</v>
      </c>
      <c r="E50" s="86"/>
      <c r="F50" s="56">
        <f>VLOOKUP(D50,廠價表!$C$1:$E$39,3,0)</f>
        <v>49.97</v>
      </c>
      <c r="G50" s="66">
        <v>3215</v>
      </c>
      <c r="H50" s="76">
        <f t="shared" si="37"/>
        <v>160653.54999999999</v>
      </c>
      <c r="I50" s="193"/>
      <c r="J50" s="16">
        <f>VLOOKUP(D50,產線配置圖!$A$2:$C$38,2,0)</f>
        <v>18</v>
      </c>
      <c r="K50" s="14">
        <f>VLOOKUP(D50,產線配置圖!$A$2:$C$38,3,0)</f>
        <v>1600</v>
      </c>
      <c r="L50" s="17">
        <f>K50/J50</f>
        <v>88.888888888888886</v>
      </c>
      <c r="M50" s="174">
        <v>16</v>
      </c>
      <c r="N50" s="77">
        <f>G50/W50*60</f>
        <v>1358.4507042253515</v>
      </c>
      <c r="O50" s="78">
        <f>N50/M50</f>
        <v>84.903169014084469</v>
      </c>
      <c r="P50" s="18">
        <f>M50-J50</f>
        <v>-2</v>
      </c>
      <c r="Q50" s="19">
        <f>O50-L50</f>
        <v>-3.9857198748044169</v>
      </c>
      <c r="R50" s="185">
        <f>O50/L50</f>
        <v>0.9551606514084503</v>
      </c>
      <c r="S50" s="397"/>
      <c r="T50" s="79">
        <v>0.36666666666666664</v>
      </c>
      <c r="U50" s="79">
        <v>0.46527777777777779</v>
      </c>
      <c r="V50" s="177">
        <f t="shared" ref="V50:V51" si="38">(T50-U49)*24*60</f>
        <v>9.9999999999999645</v>
      </c>
      <c r="W50" s="80">
        <f t="shared" si="12"/>
        <v>142.00000000000006</v>
      </c>
      <c r="X50" s="22"/>
      <c r="Y50" s="22"/>
      <c r="Z50" s="419"/>
      <c r="AA50" s="418"/>
      <c r="AB50" s="18">
        <f>N50-K50</f>
        <v>-241.5492957746485</v>
      </c>
      <c r="AC50" s="185">
        <f>N50/K50</f>
        <v>0.84903169014084467</v>
      </c>
      <c r="AD50" s="402"/>
    </row>
    <row r="51" spans="1:30" ht="15" customHeight="1">
      <c r="A51" s="452"/>
      <c r="B51" s="56" t="str">
        <f>VLOOKUP(D51,廠價表!$C$1:$E$39,2,0)</f>
        <v>義大利麵</v>
      </c>
      <c r="C51" s="10"/>
      <c r="D51" s="11" t="s">
        <v>65</v>
      </c>
      <c r="E51" s="86"/>
      <c r="F51" s="56">
        <f>VLOOKUP(D51,廠價表!$C$1:$E$39,3,0)</f>
        <v>49.97</v>
      </c>
      <c r="G51" s="66">
        <v>980</v>
      </c>
      <c r="H51" s="76">
        <f t="shared" si="37"/>
        <v>48970.6</v>
      </c>
      <c r="I51" s="193"/>
      <c r="J51" s="16">
        <f>VLOOKUP(D51,產線配置圖!$A$2:$C$38,2,0)</f>
        <v>18</v>
      </c>
      <c r="K51" s="14">
        <f>VLOOKUP(D51,產線配置圖!$A$2:$C$38,3,0)</f>
        <v>1600</v>
      </c>
      <c r="L51" s="17">
        <f>K51/J51</f>
        <v>88.888888888888886</v>
      </c>
      <c r="M51" s="174">
        <v>13</v>
      </c>
      <c r="N51" s="77">
        <f>G51/W51*60</f>
        <v>904.61538461538555</v>
      </c>
      <c r="O51" s="78">
        <f>N51/M51</f>
        <v>69.585798816568115</v>
      </c>
      <c r="P51" s="18">
        <f>M51-J51</f>
        <v>-5</v>
      </c>
      <c r="Q51" s="19">
        <f>O51-L51</f>
        <v>-19.303090072320771</v>
      </c>
      <c r="R51" s="185">
        <f>O51/L51</f>
        <v>0.78284023668639136</v>
      </c>
      <c r="S51" s="397"/>
      <c r="T51" s="79">
        <v>0.53125</v>
      </c>
      <c r="U51" s="44">
        <v>0.57638888888888884</v>
      </c>
      <c r="V51" s="177">
        <f t="shared" si="38"/>
        <v>94.999999999999986</v>
      </c>
      <c r="W51" s="80">
        <f t="shared" si="12"/>
        <v>64.999999999999929</v>
      </c>
      <c r="X51" s="22" t="s">
        <v>222</v>
      </c>
      <c r="Y51" s="22">
        <v>0.52083333333333337</v>
      </c>
      <c r="Z51" s="405" t="s">
        <v>229</v>
      </c>
      <c r="AA51" s="405"/>
      <c r="AB51" s="18">
        <f>N51-K51</f>
        <v>-695.38461538461445</v>
      </c>
      <c r="AC51" s="185">
        <f>N51/K51</f>
        <v>0.56538461538461593</v>
      </c>
      <c r="AD51" s="402"/>
    </row>
    <row r="52" spans="1:30" ht="15" customHeight="1">
      <c r="A52" s="452"/>
      <c r="B52" s="56"/>
      <c r="C52" s="23"/>
      <c r="D52" s="11"/>
      <c r="E52" s="12"/>
      <c r="F52" s="56"/>
      <c r="G52" s="66"/>
      <c r="H52" s="76"/>
      <c r="I52" s="193"/>
      <c r="J52" s="16"/>
      <c r="K52" s="14"/>
      <c r="L52" s="17"/>
      <c r="M52" s="174"/>
      <c r="N52" s="77"/>
      <c r="O52" s="78"/>
      <c r="P52" s="18"/>
      <c r="Q52" s="19"/>
      <c r="R52" s="185"/>
      <c r="S52" s="397"/>
      <c r="T52" s="79"/>
      <c r="U52" s="79"/>
      <c r="V52" s="177"/>
      <c r="W52" s="80">
        <f t="shared" si="12"/>
        <v>0</v>
      </c>
      <c r="X52" s="22"/>
      <c r="Y52" s="22"/>
      <c r="Z52" s="405"/>
      <c r="AA52" s="405"/>
      <c r="AB52" s="18"/>
      <c r="AC52" s="185"/>
      <c r="AD52" s="402"/>
    </row>
    <row r="53" spans="1:30" ht="15" customHeight="1">
      <c r="A53" s="452"/>
      <c r="B53" s="56"/>
      <c r="C53" s="23"/>
      <c r="D53" s="11"/>
      <c r="E53" s="12"/>
      <c r="F53" s="56"/>
      <c r="G53" s="66"/>
      <c r="H53" s="76"/>
      <c r="I53" s="193"/>
      <c r="J53" s="16"/>
      <c r="K53" s="14"/>
      <c r="L53" s="17"/>
      <c r="M53" s="174"/>
      <c r="N53" s="77"/>
      <c r="O53" s="78"/>
      <c r="P53" s="18"/>
      <c r="Q53" s="19"/>
      <c r="R53" s="185"/>
      <c r="S53" s="397"/>
      <c r="T53" s="79"/>
      <c r="U53" s="79"/>
      <c r="V53" s="177"/>
      <c r="W53" s="80">
        <f t="shared" si="12"/>
        <v>0</v>
      </c>
      <c r="X53" s="177"/>
      <c r="Y53" s="177"/>
      <c r="Z53" s="419"/>
      <c r="AA53" s="418"/>
      <c r="AB53" s="18"/>
      <c r="AC53" s="185"/>
      <c r="AD53" s="402"/>
    </row>
    <row r="54" spans="1:30" ht="15" customHeight="1">
      <c r="A54" s="452"/>
      <c r="B54" s="177"/>
      <c r="C54" s="183"/>
      <c r="D54" s="11"/>
      <c r="E54" s="12"/>
      <c r="F54" s="13"/>
      <c r="G54" s="66"/>
      <c r="H54" s="76">
        <f t="shared" si="37"/>
        <v>0</v>
      </c>
      <c r="I54" s="177"/>
      <c r="J54" s="31"/>
      <c r="K54" s="30"/>
      <c r="L54" s="38"/>
      <c r="M54" s="181"/>
      <c r="N54" s="30"/>
      <c r="O54" s="35"/>
      <c r="P54" s="18"/>
      <c r="Q54" s="19"/>
      <c r="R54" s="185"/>
      <c r="S54" s="397"/>
      <c r="T54" s="79"/>
      <c r="U54" s="79"/>
      <c r="V54" s="197"/>
      <c r="W54" s="80">
        <f t="shared" si="12"/>
        <v>0</v>
      </c>
      <c r="X54" s="177"/>
      <c r="Y54" s="177"/>
      <c r="Z54" s="419"/>
      <c r="AA54" s="418"/>
      <c r="AB54" s="18"/>
      <c r="AC54" s="185"/>
      <c r="AD54" s="402"/>
    </row>
    <row r="55" spans="1:30" ht="15" customHeight="1">
      <c r="A55" s="452"/>
      <c r="B55" s="26"/>
      <c r="C55" s="27"/>
      <c r="D55" s="28"/>
      <c r="E55" s="29"/>
      <c r="F55" s="13"/>
      <c r="G55" s="66"/>
      <c r="H55" s="15">
        <f t="shared" si="37"/>
        <v>0</v>
      </c>
      <c r="I55" s="177"/>
      <c r="J55" s="31"/>
      <c r="K55" s="30"/>
      <c r="L55" s="38"/>
      <c r="M55" s="181"/>
      <c r="N55" s="30"/>
      <c r="O55" s="35"/>
      <c r="P55" s="18"/>
      <c r="Q55" s="19"/>
      <c r="R55" s="185"/>
      <c r="S55" s="397"/>
      <c r="T55" s="79"/>
      <c r="U55" s="79"/>
      <c r="V55" s="197"/>
      <c r="W55" s="80">
        <f t="shared" si="12"/>
        <v>0</v>
      </c>
      <c r="X55" s="177"/>
      <c r="Y55" s="177"/>
      <c r="Z55" s="419"/>
      <c r="AA55" s="418"/>
      <c r="AB55" s="18"/>
      <c r="AC55" s="185"/>
      <c r="AD55" s="402"/>
    </row>
    <row r="56" spans="1:30" ht="15" customHeight="1">
      <c r="A56" s="452"/>
      <c r="B56" s="26"/>
      <c r="C56" s="27"/>
      <c r="D56" s="28"/>
      <c r="E56" s="29"/>
      <c r="F56" s="13"/>
      <c r="G56" s="66"/>
      <c r="H56" s="15">
        <f t="shared" si="37"/>
        <v>0</v>
      </c>
      <c r="I56" s="177"/>
      <c r="J56" s="31"/>
      <c r="K56" s="30"/>
      <c r="L56" s="38"/>
      <c r="M56" s="181"/>
      <c r="N56" s="30"/>
      <c r="O56" s="35"/>
      <c r="P56" s="18"/>
      <c r="Q56" s="19"/>
      <c r="R56" s="185"/>
      <c r="S56" s="397"/>
      <c r="T56" s="79"/>
      <c r="U56" s="79"/>
      <c r="V56" s="197"/>
      <c r="W56" s="80">
        <f t="shared" si="12"/>
        <v>0</v>
      </c>
      <c r="X56" s="177"/>
      <c r="Y56" s="177"/>
      <c r="Z56" s="405"/>
      <c r="AA56" s="405"/>
      <c r="AB56" s="18"/>
      <c r="AC56" s="185"/>
      <c r="AD56" s="402"/>
    </row>
    <row r="57" spans="1:30" ht="15" customHeight="1">
      <c r="A57" s="452"/>
      <c r="B57" s="26"/>
      <c r="C57" s="27"/>
      <c r="D57" s="28"/>
      <c r="E57" s="29"/>
      <c r="F57" s="13"/>
      <c r="G57" s="66"/>
      <c r="H57" s="15">
        <f t="shared" si="37"/>
        <v>0</v>
      </c>
      <c r="I57" s="177"/>
      <c r="J57" s="31"/>
      <c r="K57" s="30"/>
      <c r="L57" s="38"/>
      <c r="M57" s="181"/>
      <c r="N57" s="30"/>
      <c r="O57" s="35"/>
      <c r="P57" s="18"/>
      <c r="Q57" s="19"/>
      <c r="R57" s="185"/>
      <c r="S57" s="397"/>
      <c r="T57" s="79"/>
      <c r="U57" s="79"/>
      <c r="V57" s="197"/>
      <c r="W57" s="80">
        <f t="shared" si="12"/>
        <v>0</v>
      </c>
      <c r="X57" s="177"/>
      <c r="Y57" s="177"/>
      <c r="Z57" s="405"/>
      <c r="AA57" s="405"/>
      <c r="AB57" s="18"/>
      <c r="AC57" s="185"/>
      <c r="AD57" s="402"/>
    </row>
    <row r="58" spans="1:30" ht="15" customHeight="1" thickBot="1">
      <c r="A58" s="453"/>
      <c r="B58" s="165"/>
      <c r="C58" s="1" t="s">
        <v>38</v>
      </c>
      <c r="D58" s="410" t="s">
        <v>7</v>
      </c>
      <c r="E58" s="410"/>
      <c r="F58" s="114"/>
      <c r="G58" s="166"/>
      <c r="H58" s="116"/>
      <c r="I58" s="115"/>
      <c r="J58" s="118">
        <f t="shared" ref="J58:O58" si="39">AVERAGE(J49:J57)</f>
        <v>18.333333333333332</v>
      </c>
      <c r="K58" s="118">
        <f t="shared" si="39"/>
        <v>1588.3333333333333</v>
      </c>
      <c r="L58" s="115">
        <f t="shared" si="39"/>
        <v>86.715399610136458</v>
      </c>
      <c r="M58" s="118">
        <f t="shared" si="39"/>
        <v>15</v>
      </c>
      <c r="N58" s="118">
        <f t="shared" si="39"/>
        <v>1134.9676078448717</v>
      </c>
      <c r="O58" s="115">
        <f t="shared" si="39"/>
        <v>75.284587916339987</v>
      </c>
      <c r="P58" s="119">
        <f>M58-J58</f>
        <v>-3.3333333333333321</v>
      </c>
      <c r="Q58" s="120">
        <f>N58-K58</f>
        <v>-453.36572548846152</v>
      </c>
      <c r="R58" s="121">
        <f t="shared" ref="R58:R60" si="40">O58/L58</f>
        <v>0.86818014164510304</v>
      </c>
      <c r="S58" s="399"/>
      <c r="T58" s="167"/>
      <c r="U58" s="167"/>
      <c r="V58" s="195"/>
      <c r="W58" s="168"/>
      <c r="X58" s="124"/>
      <c r="Y58" s="124"/>
      <c r="Z58" s="391"/>
      <c r="AA58" s="391"/>
      <c r="AB58" s="119">
        <f t="shared" ref="AB58:AB61" si="41">N58-K58</f>
        <v>-453.36572548846152</v>
      </c>
      <c r="AC58" s="187">
        <f t="shared" ref="AC58:AC61" si="42">N58/K58</f>
        <v>0.71456512561062235</v>
      </c>
      <c r="AD58" s="404"/>
    </row>
    <row r="59" spans="1:30" ht="15" customHeight="1">
      <c r="A59" s="466" t="s">
        <v>57</v>
      </c>
      <c r="B59" s="199" t="str">
        <f>VLOOKUP(D59,廠價表!$C$1:$E$39,2,0)</f>
        <v>小吃、微波</v>
      </c>
      <c r="C59" s="102"/>
      <c r="D59" s="103" t="s">
        <v>125</v>
      </c>
      <c r="E59" s="104"/>
      <c r="F59" s="199">
        <f>VLOOKUP(D59,廠價表!$C$1:$E$39,3,0)</f>
        <v>26.99</v>
      </c>
      <c r="G59" s="188">
        <v>3457</v>
      </c>
      <c r="H59" s="106">
        <f t="shared" ref="H59:H68" si="43">F59*G59</f>
        <v>93304.43</v>
      </c>
      <c r="I59" s="188"/>
      <c r="J59" s="108">
        <f>VLOOKUP(D59,產線配置圖!$A$2:$C$38,2,0)</f>
        <v>13</v>
      </c>
      <c r="K59" s="105">
        <f>VLOOKUP(D59,產線配置圖!$A$2:$C$38,3,0)</f>
        <v>1565</v>
      </c>
      <c r="L59" s="109">
        <f>K59/J59</f>
        <v>120.38461538461539</v>
      </c>
      <c r="M59" s="110">
        <v>13</v>
      </c>
      <c r="N59" s="105">
        <f t="shared" ref="N59:N61" si="44">G59/W59*60</f>
        <v>1481.5714285714289</v>
      </c>
      <c r="O59" s="109">
        <f t="shared" ref="O59:O61" si="45">N59/M59</f>
        <v>113.96703296703299</v>
      </c>
      <c r="P59" s="111">
        <f t="shared" ref="P59:P61" si="46">M59-J59</f>
        <v>0</v>
      </c>
      <c r="Q59" s="112">
        <f t="shared" ref="Q59:Q61" si="47">O59-L59</f>
        <v>-6.4175824175823948</v>
      </c>
      <c r="R59" s="184">
        <f t="shared" si="40"/>
        <v>0.94669100867183953</v>
      </c>
      <c r="S59" s="396">
        <f>R69</f>
        <v>0.91438019970052953</v>
      </c>
      <c r="T59" s="169">
        <v>0.29166666666666669</v>
      </c>
      <c r="U59" s="169">
        <v>0.3888888888888889</v>
      </c>
      <c r="V59" s="188"/>
      <c r="W59" s="107">
        <f t="shared" si="12"/>
        <v>139.99999999999997</v>
      </c>
      <c r="X59" s="188"/>
      <c r="Y59" s="188"/>
      <c r="Z59" s="405"/>
      <c r="AA59" s="405"/>
      <c r="AB59" s="225">
        <f t="shared" si="41"/>
        <v>-83.428571428571104</v>
      </c>
      <c r="AC59" s="226">
        <f t="shared" si="42"/>
        <v>0.94669100867183953</v>
      </c>
      <c r="AD59" s="401">
        <f>AC69</f>
        <v>0.91520868198184513</v>
      </c>
    </row>
    <row r="60" spans="1:30" ht="15" customHeight="1">
      <c r="A60" s="467"/>
      <c r="B60" s="56" t="str">
        <f>VLOOKUP(D60,廠價表!$C$1:$E$39,2,0)</f>
        <v>小吃、微波</v>
      </c>
      <c r="C60" s="10"/>
      <c r="D60" s="11" t="s">
        <v>146</v>
      </c>
      <c r="E60" s="86"/>
      <c r="F60" s="56">
        <f>VLOOKUP(D60,廠價表!$C$1:$E$39,3,0)</f>
        <v>28.47</v>
      </c>
      <c r="G60" s="177">
        <v>704</v>
      </c>
      <c r="H60" s="15">
        <f t="shared" si="43"/>
        <v>20042.879999999997</v>
      </c>
      <c r="I60" s="177"/>
      <c r="J60" s="16">
        <f>VLOOKUP(D60,產線配置圖!$A$2:$C$38,2,0)</f>
        <v>12</v>
      </c>
      <c r="K60" s="14">
        <f>VLOOKUP(D60,產線配置圖!$A$2:$C$38,3,0)</f>
        <v>1565</v>
      </c>
      <c r="L60" s="17">
        <f>K60/J60</f>
        <v>130.41666666666666</v>
      </c>
      <c r="M60" s="180">
        <v>12</v>
      </c>
      <c r="N60" s="14">
        <f t="shared" si="44"/>
        <v>1408.0000000000014</v>
      </c>
      <c r="O60" s="17">
        <f t="shared" si="45"/>
        <v>117.33333333333344</v>
      </c>
      <c r="P60" s="18">
        <f t="shared" si="46"/>
        <v>0</v>
      </c>
      <c r="Q60" s="19">
        <f t="shared" si="47"/>
        <v>-13.083333333333215</v>
      </c>
      <c r="R60" s="185">
        <f t="shared" si="40"/>
        <v>0.89968051118210957</v>
      </c>
      <c r="S60" s="470"/>
      <c r="T60" s="198">
        <v>0.39930555555555558</v>
      </c>
      <c r="U60" s="198">
        <v>0.4201388888888889</v>
      </c>
      <c r="V60" s="177">
        <f t="shared" ref="V60:V61" si="48">(T60-U59)*24*60</f>
        <v>15.000000000000027</v>
      </c>
      <c r="W60" s="90">
        <f t="shared" si="12"/>
        <v>29.999999999999972</v>
      </c>
      <c r="X60" s="193"/>
      <c r="Y60" s="193"/>
      <c r="Z60" s="405" t="s">
        <v>229</v>
      </c>
      <c r="AA60" s="405"/>
      <c r="AB60" s="227">
        <f t="shared" si="41"/>
        <v>-156.99999999999864</v>
      </c>
      <c r="AC60" s="228">
        <f t="shared" si="42"/>
        <v>0.89968051118210945</v>
      </c>
      <c r="AD60" s="473"/>
    </row>
    <row r="61" spans="1:30" ht="15" customHeight="1">
      <c r="A61" s="468"/>
      <c r="B61" s="56" t="str">
        <f>VLOOKUP(D61,廠價表!$C$1:$E$39,2,0)</f>
        <v>小吃、微波</v>
      </c>
      <c r="C61" s="10"/>
      <c r="D61" s="242" t="s">
        <v>135</v>
      </c>
      <c r="E61" s="86"/>
      <c r="F61" s="56">
        <f>VLOOKUP(D61,廠價表!$C$1:$E$39,3,0)</f>
        <v>28.26</v>
      </c>
      <c r="G61" s="177">
        <v>2111</v>
      </c>
      <c r="H61" s="15">
        <f t="shared" si="43"/>
        <v>59656.86</v>
      </c>
      <c r="I61" s="81"/>
      <c r="J61" s="16">
        <f>VLOOKUP(D61,產線配置圖!$A$2:$C$38,2,0)</f>
        <v>12</v>
      </c>
      <c r="K61" s="14">
        <f>VLOOKUP(D61,產線配置圖!$A$2:$C$38,3,0)</f>
        <v>1565</v>
      </c>
      <c r="L61" s="17">
        <f t="shared" ref="L61" si="49">K61/J61</f>
        <v>130.41666666666666</v>
      </c>
      <c r="M61" s="180">
        <v>12</v>
      </c>
      <c r="N61" s="14">
        <f t="shared" si="44"/>
        <v>1407.3333333333333</v>
      </c>
      <c r="O61" s="17">
        <f t="shared" si="45"/>
        <v>117.27777777777777</v>
      </c>
      <c r="P61" s="18">
        <f t="shared" si="46"/>
        <v>0</v>
      </c>
      <c r="Q61" s="19">
        <f t="shared" si="47"/>
        <v>-13.138888888888886</v>
      </c>
      <c r="R61" s="185">
        <f>O61/L61</f>
        <v>0.89925452609158685</v>
      </c>
      <c r="S61" s="397"/>
      <c r="T61" s="20">
        <v>0.43402777777777779</v>
      </c>
      <c r="U61" s="20">
        <v>0.49652777777777779</v>
      </c>
      <c r="V61" s="177">
        <f t="shared" si="48"/>
        <v>20.000000000000007</v>
      </c>
      <c r="W61" s="88">
        <f t="shared" si="12"/>
        <v>90</v>
      </c>
      <c r="X61" s="22"/>
      <c r="Y61" s="22"/>
      <c r="Z61" s="405"/>
      <c r="AA61" s="405"/>
      <c r="AB61" s="51">
        <f t="shared" si="41"/>
        <v>-157.66666666666674</v>
      </c>
      <c r="AC61" s="52">
        <f t="shared" si="42"/>
        <v>0.89925452609158674</v>
      </c>
      <c r="AD61" s="402"/>
    </row>
    <row r="62" spans="1:30" ht="15" customHeight="1">
      <c r="A62" s="468"/>
      <c r="B62" s="56"/>
      <c r="C62" s="23"/>
      <c r="D62" s="242"/>
      <c r="E62" s="12"/>
      <c r="F62" s="56"/>
      <c r="G62" s="177"/>
      <c r="H62" s="15"/>
      <c r="I62" s="81"/>
      <c r="J62" s="16"/>
      <c r="K62" s="14"/>
      <c r="L62" s="17"/>
      <c r="M62" s="180"/>
      <c r="N62" s="14"/>
      <c r="O62" s="17"/>
      <c r="P62" s="18"/>
      <c r="Q62" s="19"/>
      <c r="R62" s="185"/>
      <c r="S62" s="397"/>
      <c r="T62" s="20"/>
      <c r="U62" s="20"/>
      <c r="V62" s="177"/>
      <c r="W62" s="90">
        <f t="shared" si="12"/>
        <v>0</v>
      </c>
      <c r="X62" s="22"/>
      <c r="Y62" s="22"/>
      <c r="Z62" s="405"/>
      <c r="AA62" s="405"/>
      <c r="AB62" s="51"/>
      <c r="AC62" s="52"/>
      <c r="AD62" s="402"/>
    </row>
    <row r="63" spans="1:30" ht="15" customHeight="1">
      <c r="A63" s="468"/>
      <c r="B63" s="56"/>
      <c r="C63" s="10"/>
      <c r="D63" s="242"/>
      <c r="E63" s="86"/>
      <c r="F63" s="56"/>
      <c r="G63" s="177"/>
      <c r="H63" s="15"/>
      <c r="I63" s="81"/>
      <c r="J63" s="16"/>
      <c r="K63" s="14"/>
      <c r="L63" s="17"/>
      <c r="M63" s="180"/>
      <c r="N63" s="14"/>
      <c r="O63" s="17"/>
      <c r="P63" s="18"/>
      <c r="Q63" s="19"/>
      <c r="R63" s="185"/>
      <c r="S63" s="397"/>
      <c r="T63" s="20"/>
      <c r="U63" s="20"/>
      <c r="V63" s="177"/>
      <c r="W63" s="90">
        <f t="shared" si="12"/>
        <v>0</v>
      </c>
      <c r="X63" s="84"/>
      <c r="Y63" s="84"/>
      <c r="Z63" s="405"/>
      <c r="AA63" s="405"/>
      <c r="AB63" s="51"/>
      <c r="AC63" s="52"/>
      <c r="AD63" s="402"/>
    </row>
    <row r="64" spans="1:30" ht="15" customHeight="1">
      <c r="A64" s="468"/>
      <c r="B64" s="56"/>
      <c r="C64" s="10"/>
      <c r="D64" s="242"/>
      <c r="E64" s="86"/>
      <c r="F64" s="56"/>
      <c r="G64" s="177"/>
      <c r="H64" s="15"/>
      <c r="I64" s="81"/>
      <c r="J64" s="16"/>
      <c r="K64" s="14"/>
      <c r="L64" s="17"/>
      <c r="M64" s="180"/>
      <c r="N64" s="14"/>
      <c r="O64" s="17"/>
      <c r="P64" s="18"/>
      <c r="Q64" s="19"/>
      <c r="R64" s="185"/>
      <c r="S64" s="397"/>
      <c r="T64" s="20"/>
      <c r="U64" s="20"/>
      <c r="V64" s="177"/>
      <c r="W64" s="182">
        <f t="shared" si="12"/>
        <v>0</v>
      </c>
      <c r="X64" s="84"/>
      <c r="Y64" s="84"/>
      <c r="Z64" s="419"/>
      <c r="AA64" s="418"/>
      <c r="AB64" s="18"/>
      <c r="AC64" s="55"/>
      <c r="AD64" s="402"/>
    </row>
    <row r="65" spans="1:32" ht="15" customHeight="1">
      <c r="A65" s="468"/>
      <c r="B65" s="177"/>
      <c r="C65" s="183"/>
      <c r="D65" s="11"/>
      <c r="E65" s="12"/>
      <c r="F65" s="13"/>
      <c r="G65" s="177"/>
      <c r="H65" s="15"/>
      <c r="I65" s="177"/>
      <c r="J65" s="16"/>
      <c r="K65" s="82"/>
      <c r="L65" s="83"/>
      <c r="M65" s="180"/>
      <c r="N65" s="14"/>
      <c r="O65" s="17"/>
      <c r="P65" s="18"/>
      <c r="Q65" s="19"/>
      <c r="R65" s="185"/>
      <c r="S65" s="397"/>
      <c r="T65" s="20"/>
      <c r="U65" s="20"/>
      <c r="V65" s="177"/>
      <c r="W65" s="182">
        <f t="shared" si="12"/>
        <v>0</v>
      </c>
      <c r="X65" s="84"/>
      <c r="Y65" s="84"/>
      <c r="Z65" s="419"/>
      <c r="AA65" s="418"/>
      <c r="AB65" s="18"/>
      <c r="AC65" s="55"/>
      <c r="AD65" s="402"/>
    </row>
    <row r="66" spans="1:32" ht="15" customHeight="1">
      <c r="A66" s="468"/>
      <c r="B66" s="26"/>
      <c r="C66" s="27"/>
      <c r="D66" s="28"/>
      <c r="E66" s="29"/>
      <c r="F66" s="13"/>
      <c r="G66" s="183"/>
      <c r="H66" s="15">
        <f t="shared" si="43"/>
        <v>0</v>
      </c>
      <c r="I66" s="85"/>
      <c r="J66" s="16"/>
      <c r="K66" s="14"/>
      <c r="L66" s="17"/>
      <c r="M66" s="21"/>
      <c r="N66" s="36"/>
      <c r="O66" s="38"/>
      <c r="P66" s="39"/>
      <c r="Q66" s="40"/>
      <c r="R66" s="68"/>
      <c r="S66" s="397"/>
      <c r="T66" s="20"/>
      <c r="U66" s="20"/>
      <c r="V66" s="177"/>
      <c r="W66" s="182">
        <f t="shared" si="12"/>
        <v>0</v>
      </c>
      <c r="X66" s="84"/>
      <c r="Y66" s="84"/>
      <c r="Z66" s="405"/>
      <c r="AA66" s="405"/>
      <c r="AB66" s="18"/>
      <c r="AC66" s="55"/>
      <c r="AD66" s="402"/>
    </row>
    <row r="67" spans="1:32" ht="15" customHeight="1">
      <c r="A67" s="468"/>
      <c r="B67" s="26"/>
      <c r="C67" s="27"/>
      <c r="D67" s="28"/>
      <c r="E67" s="29"/>
      <c r="F67" s="13"/>
      <c r="G67" s="177"/>
      <c r="H67" s="15">
        <f t="shared" si="43"/>
        <v>0</v>
      </c>
      <c r="I67" s="177"/>
      <c r="J67" s="16"/>
      <c r="K67" s="14"/>
      <c r="L67" s="17"/>
      <c r="M67" s="21"/>
      <c r="N67" s="36"/>
      <c r="O67" s="38"/>
      <c r="P67" s="39"/>
      <c r="Q67" s="40"/>
      <c r="R67" s="68"/>
      <c r="S67" s="397"/>
      <c r="T67" s="20"/>
      <c r="U67" s="20"/>
      <c r="V67" s="177"/>
      <c r="W67" s="182">
        <f t="shared" si="12"/>
        <v>0</v>
      </c>
      <c r="X67" s="84"/>
      <c r="Y67" s="84"/>
      <c r="Z67" s="419"/>
      <c r="AA67" s="418"/>
      <c r="AB67" s="18"/>
      <c r="AC67" s="55"/>
      <c r="AD67" s="402"/>
    </row>
    <row r="68" spans="1:32" ht="15" customHeight="1">
      <c r="A68" s="468"/>
      <c r="B68" s="26"/>
      <c r="C68" s="27"/>
      <c r="D68" s="28"/>
      <c r="E68" s="29"/>
      <c r="F68" s="13"/>
      <c r="G68" s="183"/>
      <c r="H68" s="15">
        <f t="shared" si="43"/>
        <v>0</v>
      </c>
      <c r="I68" s="85"/>
      <c r="J68" s="16"/>
      <c r="K68" s="260"/>
      <c r="L68" s="261"/>
      <c r="M68" s="21"/>
      <c r="N68" s="36"/>
      <c r="O68" s="38"/>
      <c r="P68" s="39"/>
      <c r="Q68" s="40"/>
      <c r="R68" s="68"/>
      <c r="S68" s="397"/>
      <c r="T68" s="20"/>
      <c r="U68" s="20"/>
      <c r="V68" s="177"/>
      <c r="W68" s="182">
        <f t="shared" si="12"/>
        <v>0</v>
      </c>
      <c r="X68" s="84"/>
      <c r="Y68" s="84"/>
      <c r="Z68" s="419"/>
      <c r="AA68" s="418"/>
      <c r="AB68" s="18"/>
      <c r="AC68" s="55"/>
      <c r="AD68" s="402"/>
    </row>
    <row r="69" spans="1:32" ht="15" customHeight="1" thickBot="1">
      <c r="A69" s="469"/>
      <c r="B69" s="165"/>
      <c r="C69" s="1" t="s">
        <v>39</v>
      </c>
      <c r="D69" s="410" t="s">
        <v>7</v>
      </c>
      <c r="E69" s="410"/>
      <c r="F69" s="114"/>
      <c r="G69" s="115"/>
      <c r="H69" s="116"/>
      <c r="I69" s="170"/>
      <c r="J69" s="166">
        <f t="shared" ref="J69:O69" si="50">AVERAGE(J59:J68)</f>
        <v>12.333333333333334</v>
      </c>
      <c r="K69" s="166">
        <f t="shared" si="50"/>
        <v>1565</v>
      </c>
      <c r="L69" s="171">
        <f t="shared" si="50"/>
        <v>127.07264957264958</v>
      </c>
      <c r="M69" s="166">
        <f t="shared" si="50"/>
        <v>12.333333333333334</v>
      </c>
      <c r="N69" s="166">
        <f t="shared" si="50"/>
        <v>1432.3015873015877</v>
      </c>
      <c r="O69" s="171">
        <f t="shared" si="50"/>
        <v>116.19271469271473</v>
      </c>
      <c r="P69" s="172">
        <f>M69-J69</f>
        <v>0</v>
      </c>
      <c r="Q69" s="158">
        <f>N69-K69</f>
        <v>-132.69841269841231</v>
      </c>
      <c r="R69" s="121">
        <f>O69/L69</f>
        <v>0.91438019970052953</v>
      </c>
      <c r="S69" s="399"/>
      <c r="T69" s="122"/>
      <c r="U69" s="122"/>
      <c r="V69" s="195"/>
      <c r="W69" s="168"/>
      <c r="X69" s="124"/>
      <c r="Y69" s="124"/>
      <c r="Z69" s="405"/>
      <c r="AA69" s="405"/>
      <c r="AB69" s="119">
        <f>N69-K69</f>
        <v>-132.69841269841231</v>
      </c>
      <c r="AC69" s="187">
        <f>N69/K69</f>
        <v>0.91520868198184513</v>
      </c>
      <c r="AD69" s="404"/>
    </row>
    <row r="70" spans="1:32" ht="15" customHeight="1">
      <c r="A70" s="461" t="s">
        <v>58</v>
      </c>
      <c r="B70" s="199" t="str">
        <f>VLOOKUP(D70,廠價表!$C$1:$E$39,2,0)</f>
        <v>義大利麵</v>
      </c>
      <c r="C70" s="199"/>
      <c r="D70" s="103" t="s">
        <v>158</v>
      </c>
      <c r="E70" s="104"/>
      <c r="F70" s="199">
        <f>VLOOKUP(D70,廠價表!$C$1:$E$39,3,0)</f>
        <v>47.71</v>
      </c>
      <c r="G70" s="188">
        <v>828</v>
      </c>
      <c r="H70" s="106">
        <f t="shared" ref="H70" si="51">F70*G70</f>
        <v>39503.879999999997</v>
      </c>
      <c r="I70" s="188"/>
      <c r="J70" s="108">
        <f>VLOOKUP(D70,產線配置圖!$A$2:$C$38,2,0)</f>
        <v>15</v>
      </c>
      <c r="K70" s="105">
        <f>VLOOKUP(D70,產線配置圖!$A$2:$C$38,3,0)</f>
        <v>1500</v>
      </c>
      <c r="L70" s="109">
        <f>K70/J70</f>
        <v>100</v>
      </c>
      <c r="M70" s="110">
        <v>12</v>
      </c>
      <c r="N70" s="105">
        <f>G70/W70*60</f>
        <v>1182.8571428571424</v>
      </c>
      <c r="O70" s="109">
        <f>N70/M70</f>
        <v>98.571428571428541</v>
      </c>
      <c r="P70" s="111">
        <f t="shared" ref="P70" si="52">M70-J70</f>
        <v>-3</v>
      </c>
      <c r="Q70" s="112">
        <f t="shared" ref="Q70" si="53">O70-L70</f>
        <v>-1.428571428571459</v>
      </c>
      <c r="R70" s="184">
        <f>O70/L70</f>
        <v>0.98571428571428543</v>
      </c>
      <c r="S70" s="396">
        <f>R79</f>
        <v>0.98571428571428543</v>
      </c>
      <c r="T70" s="169">
        <v>0.34722222222222221</v>
      </c>
      <c r="U70" s="169">
        <v>0.37638888888888888</v>
      </c>
      <c r="V70" s="188"/>
      <c r="W70" s="107">
        <f t="shared" si="12"/>
        <v>42.000000000000014</v>
      </c>
      <c r="X70" s="296"/>
      <c r="Y70" s="296"/>
      <c r="Z70" s="465"/>
      <c r="AA70" s="427"/>
      <c r="AB70" s="225">
        <f t="shared" ref="AB70" si="54">N70-K70</f>
        <v>-317.14285714285757</v>
      </c>
      <c r="AC70" s="226">
        <f t="shared" ref="AC70" si="55">N70/K70</f>
        <v>0.78857142857142826</v>
      </c>
      <c r="AD70" s="401">
        <f>AC79</f>
        <v>0.78857142857142826</v>
      </c>
    </row>
    <row r="71" spans="1:32" ht="15" customHeight="1">
      <c r="A71" s="462"/>
      <c r="B71" s="56"/>
      <c r="C71" s="10"/>
      <c r="D71" s="11"/>
      <c r="E71" s="86"/>
      <c r="F71" s="56"/>
      <c r="G71" s="66"/>
      <c r="H71" s="76"/>
      <c r="I71" s="193"/>
      <c r="J71" s="16"/>
      <c r="K71" s="14"/>
      <c r="L71" s="17"/>
      <c r="M71" s="180"/>
      <c r="N71" s="14"/>
      <c r="O71" s="17"/>
      <c r="P71" s="18"/>
      <c r="Q71" s="19"/>
      <c r="R71" s="185"/>
      <c r="S71" s="397"/>
      <c r="T71" s="20"/>
      <c r="U71" s="20"/>
      <c r="V71" s="177"/>
      <c r="W71" s="182">
        <f t="shared" ref="W71:W78" si="56">(U71-T71)*24*60</f>
        <v>0</v>
      </c>
      <c r="X71" s="298"/>
      <c r="Y71" s="299"/>
      <c r="Z71" s="439"/>
      <c r="AA71" s="440"/>
      <c r="AB71" s="39"/>
      <c r="AC71" s="190"/>
      <c r="AD71" s="447"/>
    </row>
    <row r="72" spans="1:32" ht="15" customHeight="1">
      <c r="A72" s="462"/>
      <c r="B72" s="56"/>
      <c r="C72" s="10"/>
      <c r="D72" s="11"/>
      <c r="E72" s="86"/>
      <c r="F72" s="56"/>
      <c r="G72" s="66"/>
      <c r="H72" s="76"/>
      <c r="I72" s="193"/>
      <c r="J72" s="16"/>
      <c r="K72" s="14"/>
      <c r="L72" s="17"/>
      <c r="M72" s="180"/>
      <c r="N72" s="14"/>
      <c r="O72" s="17"/>
      <c r="P72" s="18"/>
      <c r="Q72" s="19"/>
      <c r="R72" s="185"/>
      <c r="S72" s="397"/>
      <c r="T72" s="20"/>
      <c r="U72" s="20"/>
      <c r="V72" s="177"/>
      <c r="W72" s="182">
        <f t="shared" si="56"/>
        <v>0</v>
      </c>
      <c r="X72" s="297"/>
      <c r="Y72" s="297"/>
      <c r="Z72" s="405"/>
      <c r="AA72" s="419"/>
      <c r="AB72" s="39"/>
      <c r="AC72" s="190"/>
      <c r="AD72" s="447"/>
    </row>
    <row r="73" spans="1:32" ht="15" customHeight="1">
      <c r="A73" s="462"/>
      <c r="B73" s="56"/>
      <c r="C73" s="23"/>
      <c r="D73" s="11"/>
      <c r="E73" s="12"/>
      <c r="F73" s="56"/>
      <c r="G73" s="66"/>
      <c r="H73" s="76"/>
      <c r="I73" s="193"/>
      <c r="J73" s="16"/>
      <c r="K73" s="14"/>
      <c r="L73" s="17"/>
      <c r="M73" s="180"/>
      <c r="N73" s="14"/>
      <c r="O73" s="17"/>
      <c r="P73" s="18"/>
      <c r="Q73" s="19"/>
      <c r="R73" s="185"/>
      <c r="S73" s="397"/>
      <c r="T73" s="20"/>
      <c r="U73" s="20"/>
      <c r="V73" s="177"/>
      <c r="W73" s="182">
        <f t="shared" si="56"/>
        <v>0</v>
      </c>
      <c r="X73" s="22"/>
      <c r="Y73" s="22"/>
      <c r="Z73" s="405"/>
      <c r="AA73" s="419"/>
      <c r="AB73" s="39"/>
      <c r="AC73" s="190"/>
      <c r="AD73" s="447"/>
    </row>
    <row r="74" spans="1:32" ht="15" customHeight="1">
      <c r="A74" s="462"/>
      <c r="B74" s="56"/>
      <c r="C74" s="249"/>
      <c r="D74" s="250"/>
      <c r="E74" s="251"/>
      <c r="F74" s="56"/>
      <c r="G74" s="238"/>
      <c r="H74" s="76">
        <f t="shared" ref="H74:H78" si="57">F74*G74</f>
        <v>0</v>
      </c>
      <c r="I74" s="81"/>
      <c r="J74" s="234"/>
      <c r="K74" s="36"/>
      <c r="L74" s="235"/>
      <c r="M74" s="21"/>
      <c r="N74" s="36"/>
      <c r="O74" s="38"/>
      <c r="P74" s="39"/>
      <c r="Q74" s="40"/>
      <c r="R74" s="190"/>
      <c r="S74" s="397"/>
      <c r="T74" s="20"/>
      <c r="U74" s="20"/>
      <c r="V74" s="177"/>
      <c r="W74" s="182">
        <f t="shared" si="56"/>
        <v>0</v>
      </c>
      <c r="X74" s="22"/>
      <c r="Y74" s="22"/>
      <c r="Z74" s="405"/>
      <c r="AA74" s="419"/>
      <c r="AB74" s="39"/>
      <c r="AC74" s="190"/>
      <c r="AD74" s="447"/>
    </row>
    <row r="75" spans="1:32" ht="15" customHeight="1">
      <c r="A75" s="462"/>
      <c r="B75" s="177"/>
      <c r="C75" s="183"/>
      <c r="D75" s="11"/>
      <c r="E75" s="12"/>
      <c r="F75" s="13"/>
      <c r="G75" s="177"/>
      <c r="H75" s="15">
        <f t="shared" si="57"/>
        <v>0</v>
      </c>
      <c r="I75" s="81"/>
      <c r="J75" s="87"/>
      <c r="K75" s="82"/>
      <c r="L75" s="83"/>
      <c r="M75" s="181"/>
      <c r="N75" s="82"/>
      <c r="O75" s="83"/>
      <c r="P75" s="73"/>
      <c r="Q75" s="74"/>
      <c r="R75" s="192"/>
      <c r="S75" s="397"/>
      <c r="T75" s="20"/>
      <c r="U75" s="20"/>
      <c r="V75" s="177"/>
      <c r="W75" s="88">
        <f t="shared" si="56"/>
        <v>0</v>
      </c>
      <c r="X75" s="89"/>
      <c r="Y75" s="89"/>
      <c r="Z75" s="406"/>
      <c r="AA75" s="406"/>
      <c r="AB75" s="306"/>
      <c r="AC75" s="307"/>
      <c r="AD75" s="402"/>
    </row>
    <row r="76" spans="1:32" ht="15" customHeight="1">
      <c r="A76" s="462"/>
      <c r="B76" s="26"/>
      <c r="C76" s="27"/>
      <c r="D76" s="28"/>
      <c r="E76" s="29"/>
      <c r="F76" s="13"/>
      <c r="G76" s="177"/>
      <c r="H76" s="15">
        <f t="shared" si="57"/>
        <v>0</v>
      </c>
      <c r="I76" s="81"/>
      <c r="J76" s="87"/>
      <c r="K76" s="82"/>
      <c r="L76" s="83"/>
      <c r="M76" s="181"/>
      <c r="N76" s="82"/>
      <c r="O76" s="83"/>
      <c r="P76" s="73"/>
      <c r="Q76" s="74"/>
      <c r="R76" s="192"/>
      <c r="S76" s="398"/>
      <c r="T76" s="20"/>
      <c r="U76" s="20"/>
      <c r="V76" s="177"/>
      <c r="W76" s="90">
        <f t="shared" si="56"/>
        <v>0</v>
      </c>
      <c r="X76" s="78"/>
      <c r="Y76" s="78"/>
      <c r="Z76" s="445"/>
      <c r="AA76" s="445"/>
      <c r="AB76" s="51"/>
      <c r="AC76" s="52"/>
      <c r="AD76" s="403"/>
    </row>
    <row r="77" spans="1:32" ht="15" customHeight="1">
      <c r="A77" s="462"/>
      <c r="B77" s="26"/>
      <c r="C77" s="27"/>
      <c r="D77" s="28"/>
      <c r="E77" s="29"/>
      <c r="F77" s="13"/>
      <c r="G77" s="177"/>
      <c r="H77" s="15">
        <f t="shared" si="57"/>
        <v>0</v>
      </c>
      <c r="I77" s="81"/>
      <c r="J77" s="87"/>
      <c r="K77" s="82"/>
      <c r="L77" s="83"/>
      <c r="M77" s="181"/>
      <c r="N77" s="82"/>
      <c r="O77" s="83"/>
      <c r="P77" s="73"/>
      <c r="Q77" s="74"/>
      <c r="R77" s="192"/>
      <c r="S77" s="398"/>
      <c r="T77" s="20"/>
      <c r="U77" s="20"/>
      <c r="V77" s="177"/>
      <c r="W77" s="182">
        <f t="shared" si="56"/>
        <v>0</v>
      </c>
      <c r="X77" s="84"/>
      <c r="Y77" s="84"/>
      <c r="Z77" s="405"/>
      <c r="AA77" s="405"/>
      <c r="AB77" s="18"/>
      <c r="AC77" s="55"/>
      <c r="AD77" s="403"/>
    </row>
    <row r="78" spans="1:32" ht="15" customHeight="1">
      <c r="A78" s="462"/>
      <c r="B78" s="26"/>
      <c r="C78" s="27"/>
      <c r="D78" s="28"/>
      <c r="E78" s="29"/>
      <c r="F78" s="13"/>
      <c r="G78" s="177"/>
      <c r="H78" s="15">
        <f t="shared" si="57"/>
        <v>0</v>
      </c>
      <c r="I78" s="85"/>
      <c r="J78" s="37"/>
      <c r="K78" s="36"/>
      <c r="L78" s="83"/>
      <c r="M78" s="21"/>
      <c r="N78" s="36"/>
      <c r="O78" s="38"/>
      <c r="P78" s="39"/>
      <c r="Q78" s="40"/>
      <c r="R78" s="190"/>
      <c r="S78" s="464"/>
      <c r="T78" s="32"/>
      <c r="U78" s="32"/>
      <c r="V78" s="178"/>
      <c r="W78" s="182">
        <f t="shared" si="56"/>
        <v>0</v>
      </c>
      <c r="X78" s="91"/>
      <c r="Y78" s="91"/>
      <c r="Z78" s="405"/>
      <c r="AA78" s="405"/>
      <c r="AB78" s="34"/>
      <c r="AC78" s="57"/>
      <c r="AD78" s="403"/>
    </row>
    <row r="79" spans="1:32" ht="15" customHeight="1" thickBot="1">
      <c r="A79" s="463"/>
      <c r="B79" s="165"/>
      <c r="C79" s="1" t="s">
        <v>40</v>
      </c>
      <c r="D79" s="410" t="s">
        <v>7</v>
      </c>
      <c r="E79" s="410"/>
      <c r="F79" s="114"/>
      <c r="G79" s="115"/>
      <c r="H79" s="173"/>
      <c r="I79" s="171"/>
      <c r="J79" s="166">
        <f t="shared" ref="J79:O79" si="58">AVERAGE(J70:J78)</f>
        <v>15</v>
      </c>
      <c r="K79" s="166">
        <f t="shared" si="58"/>
        <v>1500</v>
      </c>
      <c r="L79" s="171">
        <f t="shared" si="58"/>
        <v>100</v>
      </c>
      <c r="M79" s="166">
        <f t="shared" si="58"/>
        <v>12</v>
      </c>
      <c r="N79" s="166">
        <f t="shared" si="58"/>
        <v>1182.8571428571424</v>
      </c>
      <c r="O79" s="171">
        <f t="shared" si="58"/>
        <v>98.571428571428541</v>
      </c>
      <c r="P79" s="172">
        <f>M79-J79</f>
        <v>-3</v>
      </c>
      <c r="Q79" s="158">
        <f>N79-K79</f>
        <v>-317.14285714285757</v>
      </c>
      <c r="R79" s="159">
        <f>O79/L79</f>
        <v>0.98571428571428543</v>
      </c>
      <c r="S79" s="399"/>
      <c r="T79" s="122"/>
      <c r="U79" s="122"/>
      <c r="V79" s="195"/>
      <c r="W79" s="168"/>
      <c r="X79" s="124"/>
      <c r="Y79" s="124"/>
      <c r="Z79" s="391"/>
      <c r="AA79" s="391"/>
      <c r="AB79" s="119">
        <f>N79-K79</f>
        <v>-317.14285714285757</v>
      </c>
      <c r="AC79" s="187">
        <f>N79/K79</f>
        <v>0.78857142857142826</v>
      </c>
      <c r="AD79" s="404"/>
    </row>
    <row r="80" spans="1:32">
      <c r="AF80" s="93" t="s">
        <v>41</v>
      </c>
    </row>
    <row r="81" spans="4:32">
      <c r="AF81" s="93" t="s">
        <v>42</v>
      </c>
    </row>
    <row r="82" spans="4:32">
      <c r="AF82" s="93" t="s">
        <v>43</v>
      </c>
    </row>
    <row r="83" spans="4:32">
      <c r="D83" s="220"/>
      <c r="W83" s="6"/>
      <c r="AF83" s="93" t="s">
        <v>44</v>
      </c>
    </row>
    <row r="84" spans="4:32">
      <c r="D84" s="224"/>
      <c r="W84" s="6"/>
      <c r="AF84" s="93" t="s">
        <v>45</v>
      </c>
    </row>
    <row r="85" spans="4:32">
      <c r="D85" s="224"/>
      <c r="W85" s="6"/>
      <c r="AF85" s="93" t="s">
        <v>46</v>
      </c>
    </row>
    <row r="86" spans="4:32">
      <c r="D86" s="155"/>
      <c r="W86" s="6"/>
      <c r="AF86" s="93" t="s">
        <v>47</v>
      </c>
    </row>
    <row r="87" spans="4:32">
      <c r="W87" s="6"/>
      <c r="AF87" s="93" t="s">
        <v>48</v>
      </c>
    </row>
    <row r="88" spans="4:32">
      <c r="W88" s="6"/>
      <c r="AF88" s="93" t="s">
        <v>49</v>
      </c>
    </row>
    <row r="89" spans="4:32">
      <c r="W89" s="6"/>
      <c r="AF89" s="93" t="s">
        <v>50</v>
      </c>
    </row>
    <row r="90" spans="4:32">
      <c r="W90" s="6"/>
      <c r="AF90" s="93" t="s">
        <v>51</v>
      </c>
    </row>
    <row r="91" spans="4:32">
      <c r="W91" s="6"/>
      <c r="AF91" s="93" t="s">
        <v>52</v>
      </c>
    </row>
    <row r="92" spans="4:32">
      <c r="W92" s="6"/>
      <c r="AF92" s="93" t="s">
        <v>53</v>
      </c>
    </row>
  </sheetData>
  <autoFilter ref="D1:D92" xr:uid="{EF5AD393-5A39-4C0E-A7B0-465235F2AB14}"/>
  <mergeCells count="135">
    <mergeCell ref="P1:S2"/>
    <mergeCell ref="T1:Y2"/>
    <mergeCell ref="Z1:AA2"/>
    <mergeCell ref="AB1:AD2"/>
    <mergeCell ref="H3:H4"/>
    <mergeCell ref="I3:I4"/>
    <mergeCell ref="J3:J4"/>
    <mergeCell ref="K3:K4"/>
    <mergeCell ref="L3:L4"/>
    <mergeCell ref="M3:M4"/>
    <mergeCell ref="AC3:AC4"/>
    <mergeCell ref="AD3:AD4"/>
    <mergeCell ref="P3:P4"/>
    <mergeCell ref="Q3:Q4"/>
    <mergeCell ref="R3:R4"/>
    <mergeCell ref="A2:B2"/>
    <mergeCell ref="A3:A4"/>
    <mergeCell ref="B3:B4"/>
    <mergeCell ref="D3:E4"/>
    <mergeCell ref="F3:F4"/>
    <mergeCell ref="G3:G4"/>
    <mergeCell ref="J1:L2"/>
    <mergeCell ref="M1:O2"/>
    <mergeCell ref="D15:E15"/>
    <mergeCell ref="A5:A15"/>
    <mergeCell ref="N3:N4"/>
    <mergeCell ref="O3:O4"/>
    <mergeCell ref="S5:S15"/>
    <mergeCell ref="Z5:AA5"/>
    <mergeCell ref="AD5:AD15"/>
    <mergeCell ref="Z6:AA6"/>
    <mergeCell ref="Z7:AA7"/>
    <mergeCell ref="Z8:AA8"/>
    <mergeCell ref="Z9:AA9"/>
    <mergeCell ref="T3:U3"/>
    <mergeCell ref="V3:V4"/>
    <mergeCell ref="W3:W4"/>
    <mergeCell ref="X3:Y3"/>
    <mergeCell ref="Z3:AA4"/>
    <mergeCell ref="AB3:AB4"/>
    <mergeCell ref="S3:S4"/>
    <mergeCell ref="AD16:AD26"/>
    <mergeCell ref="Z17:AA17"/>
    <mergeCell ref="Z18:AA18"/>
    <mergeCell ref="Z19:AA19"/>
    <mergeCell ref="Z20:AA20"/>
    <mergeCell ref="Z21:AA21"/>
    <mergeCell ref="Z22:AA22"/>
    <mergeCell ref="Z10:AA10"/>
    <mergeCell ref="Z11:AA11"/>
    <mergeCell ref="Z12:AA12"/>
    <mergeCell ref="Z13:AA13"/>
    <mergeCell ref="Z14:AA14"/>
    <mergeCell ref="Z23:AA23"/>
    <mergeCell ref="Z24:AA24"/>
    <mergeCell ref="Z25:AA25"/>
    <mergeCell ref="Z15:AA15"/>
    <mergeCell ref="D26:E26"/>
    <mergeCell ref="Z26:AA26"/>
    <mergeCell ref="A27:A37"/>
    <mergeCell ref="S27:S37"/>
    <mergeCell ref="Z27:AA27"/>
    <mergeCell ref="D37:E37"/>
    <mergeCell ref="Z37:AA37"/>
    <mergeCell ref="A16:A26"/>
    <mergeCell ref="S16:S26"/>
    <mergeCell ref="Z16:AA16"/>
    <mergeCell ref="AD38:AD48"/>
    <mergeCell ref="Z39:AA39"/>
    <mergeCell ref="Z40:AA40"/>
    <mergeCell ref="Z41:AA41"/>
    <mergeCell ref="Z42:AA42"/>
    <mergeCell ref="Z43:AA43"/>
    <mergeCell ref="Z44:AA44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Z45:AA45"/>
    <mergeCell ref="Z46:AA46"/>
    <mergeCell ref="Z47:AA47"/>
    <mergeCell ref="D48:E48"/>
    <mergeCell ref="Z48:AA48"/>
    <mergeCell ref="A49:A58"/>
    <mergeCell ref="S49:S58"/>
    <mergeCell ref="Z49:AA49"/>
    <mergeCell ref="D58:E58"/>
    <mergeCell ref="A38:A48"/>
    <mergeCell ref="S38:S48"/>
    <mergeCell ref="Z38:AA38"/>
    <mergeCell ref="AD59:AD69"/>
    <mergeCell ref="Z60:AA60"/>
    <mergeCell ref="Z61:AA61"/>
    <mergeCell ref="Z62:AA62"/>
    <mergeCell ref="Z63:AA63"/>
    <mergeCell ref="Z64:AA64"/>
    <mergeCell ref="Z65:AA65"/>
    <mergeCell ref="AD49:AD58"/>
    <mergeCell ref="Z50:AA50"/>
    <mergeCell ref="Z51:AA51"/>
    <mergeCell ref="Z52:AA52"/>
    <mergeCell ref="Z53:AA53"/>
    <mergeCell ref="Z54:AA54"/>
    <mergeCell ref="Z55:AA55"/>
    <mergeCell ref="Z56:AA56"/>
    <mergeCell ref="Z57:AA57"/>
    <mergeCell ref="Z58:AA58"/>
    <mergeCell ref="Z66:AA66"/>
    <mergeCell ref="Z67:AA67"/>
    <mergeCell ref="Z68:AA68"/>
    <mergeCell ref="D69:E69"/>
    <mergeCell ref="Z69:AA69"/>
    <mergeCell ref="A70:A79"/>
    <mergeCell ref="S70:S79"/>
    <mergeCell ref="Z70:AA70"/>
    <mergeCell ref="D79:E79"/>
    <mergeCell ref="A59:A69"/>
    <mergeCell ref="S59:S69"/>
    <mergeCell ref="Z59:AA59"/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</mergeCells>
  <phoneticPr fontId="2" type="noConversion"/>
  <conditionalFormatting sqref="P5:P79">
    <cfRule type="cellIs" dxfId="88" priority="1" operator="greaterThan">
      <formula>0</formula>
    </cfRule>
  </conditionalFormatting>
  <conditionalFormatting sqref="Q5:Q79 AB5:AB79">
    <cfRule type="cellIs" dxfId="87" priority="4" operator="lessThan">
      <formula>0</formula>
    </cfRule>
  </conditionalFormatting>
  <conditionalFormatting sqref="R5:R79 AC5:AC79">
    <cfRule type="cellIs" dxfId="86" priority="2" operator="greaterThan">
      <formula>1</formula>
    </cfRule>
    <cfRule type="cellIs" dxfId="85" priority="3" operator="lessThan">
      <formula>0.8</formula>
    </cfRule>
  </conditionalFormatting>
  <conditionalFormatting sqref="S5:S10 S37:S62 AD59:AD62 S69:S76 AD69:AD76">
    <cfRule type="cellIs" dxfId="84" priority="7" operator="lessThan">
      <formula>0.8</formula>
    </cfRule>
  </conditionalFormatting>
  <conditionalFormatting sqref="S19:S25 AD19:AD25">
    <cfRule type="cellIs" dxfId="83" priority="6" operator="lessThan">
      <formula>0.8</formula>
    </cfRule>
  </conditionalFormatting>
  <conditionalFormatting sqref="S79">
    <cfRule type="cellIs" dxfId="82" priority="5" operator="lessThan">
      <formula>0.8</formula>
    </cfRule>
  </conditionalFormatting>
  <conditionalFormatting sqref="AD5:AD8 S15:S16 AD15:AD16 AD49 AD79">
    <cfRule type="cellIs" dxfId="81" priority="9" operator="lessThan">
      <formula>0.8</formula>
    </cfRule>
  </conditionalFormatting>
  <conditionalFormatting sqref="AD27 S27:S28">
    <cfRule type="cellIs" dxfId="8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0AB31D5-DD1B-45F9-8558-75CF22645FDC}">
          <x14:formula1>
            <xm:f>廠價表!$C$2:$C$37</xm:f>
          </x14:formula1>
          <xm:sqref>D1:D1048576</xm:sqref>
        </x14:dataValidation>
      </x14:dataValidations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51B22-3CAE-46C5-800F-86347B24EE46}">
  <sheetPr>
    <pageSetUpPr fitToPage="1"/>
  </sheetPr>
  <dimension ref="B1:O22"/>
  <sheetViews>
    <sheetView zoomScale="70" zoomScaleNormal="70" workbookViewId="0">
      <selection activeCell="D3" sqref="D3:E4"/>
    </sheetView>
  </sheetViews>
  <sheetFormatPr defaultColWidth="8.125" defaultRowHeight="15.75"/>
  <cols>
    <col min="1" max="1" width="8.125" style="203"/>
    <col min="2" max="2" width="7.125" style="203" customWidth="1"/>
    <col min="3" max="3" width="7.125" style="218" customWidth="1"/>
    <col min="4" max="17" width="14.125" style="203" customWidth="1"/>
    <col min="18" max="21" width="9.625" style="203" customWidth="1"/>
    <col min="22" max="22" width="11.125" style="203" customWidth="1"/>
    <col min="23" max="23" width="11.5" style="203" customWidth="1"/>
    <col min="24" max="16384" width="8.125" style="203"/>
  </cols>
  <sheetData>
    <row r="1" spans="2:15" ht="27.75" customHeight="1">
      <c r="B1" s="345" t="s">
        <v>73</v>
      </c>
      <c r="C1" s="345"/>
      <c r="D1" s="345"/>
      <c r="E1" s="345"/>
      <c r="F1" s="345"/>
      <c r="G1" s="345"/>
      <c r="H1" s="345"/>
      <c r="I1" s="345"/>
      <c r="J1" s="345"/>
      <c r="K1" s="345"/>
      <c r="L1" s="202"/>
      <c r="M1" s="202"/>
    </row>
    <row r="2" spans="2:15" ht="27.75" customHeight="1"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202"/>
      <c r="M2" s="202"/>
    </row>
    <row r="3" spans="2:15" ht="46.5" customHeight="1">
      <c r="B3" s="342" t="s">
        <v>74</v>
      </c>
      <c r="C3" s="342"/>
      <c r="D3" s="346">
        <v>45984</v>
      </c>
      <c r="E3" s="346"/>
      <c r="F3" s="204" t="s">
        <v>75</v>
      </c>
      <c r="G3" s="347">
        <f>'1123'!E1</f>
        <v>56648</v>
      </c>
      <c r="H3" s="347"/>
      <c r="I3" s="204" t="s">
        <v>76</v>
      </c>
      <c r="J3" s="348">
        <f>'1123'!G1</f>
        <v>2773393.1099999989</v>
      </c>
      <c r="K3" s="348"/>
      <c r="L3" s="205"/>
    </row>
    <row r="4" spans="2:15" ht="24" customHeight="1">
      <c r="B4" s="342" t="s">
        <v>77</v>
      </c>
      <c r="C4" s="342"/>
      <c r="D4" s="343">
        <v>3</v>
      </c>
      <c r="E4" s="343"/>
      <c r="F4" s="344" t="s">
        <v>78</v>
      </c>
      <c r="G4" s="344"/>
      <c r="H4" s="344" t="s">
        <v>79</v>
      </c>
      <c r="I4" s="344"/>
      <c r="J4" s="343" t="s">
        <v>80</v>
      </c>
      <c r="K4" s="344"/>
      <c r="L4" s="206"/>
    </row>
    <row r="5" spans="2:15" ht="24" customHeight="1">
      <c r="B5" s="342" t="s">
        <v>81</v>
      </c>
      <c r="C5" s="342"/>
      <c r="D5" s="343" t="s">
        <v>82</v>
      </c>
      <c r="E5" s="343"/>
      <c r="F5" s="343" t="s">
        <v>83</v>
      </c>
      <c r="G5" s="343"/>
      <c r="H5" s="369" t="s">
        <v>62</v>
      </c>
      <c r="I5" s="369"/>
      <c r="J5" s="341" t="s">
        <v>84</v>
      </c>
      <c r="K5" s="341"/>
      <c r="L5" s="207"/>
    </row>
    <row r="6" spans="2:15" ht="39.6" customHeight="1">
      <c r="B6" s="342"/>
      <c r="C6" s="342"/>
      <c r="D6" s="342" t="s">
        <v>85</v>
      </c>
      <c r="E6" s="342"/>
      <c r="F6" s="356">
        <f>AVERAGE(D13:J13)</f>
        <v>115.79712144866943</v>
      </c>
      <c r="G6" s="356"/>
      <c r="H6" s="349">
        <f>AVERAGE(D13:H13)</f>
        <v>113.87641753327512</v>
      </c>
      <c r="I6" s="349"/>
      <c r="J6" s="349">
        <f>AVERAGE(I13:J13)</f>
        <v>125.40064102564102</v>
      </c>
      <c r="K6" s="349"/>
      <c r="L6" s="207"/>
    </row>
    <row r="7" spans="2:15" s="208" customFormat="1" ht="39.6" customHeight="1">
      <c r="B7" s="342"/>
      <c r="C7" s="342"/>
      <c r="D7" s="350" t="s">
        <v>86</v>
      </c>
      <c r="E7" s="350"/>
      <c r="F7" s="351">
        <f>AVERAGE(D14:J14)</f>
        <v>105.11231120554442</v>
      </c>
      <c r="G7" s="351"/>
      <c r="H7" s="352">
        <f>AVERAGE(D14:H14)</f>
        <v>104.07025210307017</v>
      </c>
      <c r="I7" s="352"/>
      <c r="J7" s="352">
        <f>AVERAGE(I14:J14)</f>
        <v>110.32260671791563</v>
      </c>
      <c r="K7" s="352"/>
    </row>
    <row r="8" spans="2:15" s="208" customFormat="1" ht="39.6" customHeight="1">
      <c r="B8" s="342"/>
      <c r="C8" s="342"/>
      <c r="D8" s="350" t="s">
        <v>87</v>
      </c>
      <c r="E8" s="350"/>
      <c r="F8" s="353">
        <f>AVERAGE(D15:J15)</f>
        <v>0.91004838010064637</v>
      </c>
      <c r="G8" s="353"/>
      <c r="H8" s="353">
        <f>AVERAGE(D15:H15)</f>
        <v>0.91610583479942276</v>
      </c>
      <c r="I8" s="353"/>
      <c r="J8" s="353">
        <f>AVERAGE(I15:J15)</f>
        <v>0.87976110660676499</v>
      </c>
      <c r="K8" s="353"/>
      <c r="L8" s="209" t="s">
        <v>88</v>
      </c>
    </row>
    <row r="9" spans="2:15" ht="25.5" customHeight="1">
      <c r="B9" s="207"/>
      <c r="C9" s="207"/>
      <c r="D9" s="207"/>
      <c r="E9" s="207"/>
      <c r="F9" s="207"/>
      <c r="G9" s="207"/>
      <c r="H9" s="210"/>
      <c r="I9" s="211"/>
      <c r="J9" s="211"/>
      <c r="K9" s="211"/>
      <c r="L9" s="211"/>
      <c r="M9" s="211"/>
      <c r="N9" s="211"/>
      <c r="O9" s="207"/>
    </row>
    <row r="10" spans="2:15" ht="30" customHeight="1">
      <c r="B10" s="354" t="s">
        <v>0</v>
      </c>
      <c r="C10" s="355"/>
      <c r="D10" s="357" t="s">
        <v>89</v>
      </c>
      <c r="E10" s="358"/>
      <c r="F10" s="358"/>
      <c r="G10" s="358"/>
      <c r="H10" s="358"/>
      <c r="I10" s="358"/>
      <c r="J10" s="359"/>
    </row>
    <row r="11" spans="2:15" ht="17.25" customHeight="1">
      <c r="B11" s="360" t="s">
        <v>90</v>
      </c>
      <c r="C11" s="361"/>
      <c r="D11" s="212">
        <v>1</v>
      </c>
      <c r="E11" s="212">
        <v>2</v>
      </c>
      <c r="F11" s="212">
        <v>3</v>
      </c>
      <c r="G11" s="212">
        <v>4</v>
      </c>
      <c r="H11" s="212">
        <v>5</v>
      </c>
      <c r="I11" s="212">
        <v>6</v>
      </c>
      <c r="J11" s="212">
        <v>7</v>
      </c>
    </row>
    <row r="12" spans="2:15" ht="33.950000000000003" customHeight="1">
      <c r="B12" s="362"/>
      <c r="C12" s="363"/>
      <c r="D12" s="213" t="s">
        <v>91</v>
      </c>
      <c r="E12" s="213" t="s">
        <v>92</v>
      </c>
      <c r="F12" s="213" t="s">
        <v>93</v>
      </c>
      <c r="G12" s="213" t="s">
        <v>94</v>
      </c>
      <c r="H12" s="213" t="s">
        <v>95</v>
      </c>
      <c r="I12" s="213" t="s">
        <v>96</v>
      </c>
      <c r="J12" s="213" t="s">
        <v>232</v>
      </c>
    </row>
    <row r="13" spans="2:15" ht="39.950000000000003" customHeight="1">
      <c r="B13" s="364" t="s">
        <v>1</v>
      </c>
      <c r="C13" s="214" t="s">
        <v>98</v>
      </c>
      <c r="D13" s="215">
        <f>VALUE('1123'!L15)</f>
        <v>138.6018099547511</v>
      </c>
      <c r="E13" s="215">
        <f>VALUE('1123'!L26)</f>
        <v>151.79487179487177</v>
      </c>
      <c r="F13" s="215">
        <f>VALUE('1123'!L37)</f>
        <v>92.250816993464056</v>
      </c>
      <c r="G13" s="215">
        <f>VALUE('1123'!L48)</f>
        <v>98.683333333333323</v>
      </c>
      <c r="H13" s="215">
        <f>VALUE('1123'!L58)</f>
        <v>88.051255589955289</v>
      </c>
      <c r="I13" s="215">
        <f>VALUE('1123'!L69)</f>
        <v>125.40064102564102</v>
      </c>
      <c r="J13" s="215"/>
    </row>
    <row r="14" spans="2:15" ht="39.950000000000003" customHeight="1">
      <c r="B14" s="365"/>
      <c r="C14" s="214" t="s">
        <v>99</v>
      </c>
      <c r="D14" s="215">
        <f>VALUE('1123'!O15)</f>
        <v>126.32790782148454</v>
      </c>
      <c r="E14" s="215">
        <f>VALUE('1123'!O26)</f>
        <v>137.56379001433351</v>
      </c>
      <c r="F14" s="215">
        <f>VALUE('1123'!O37)</f>
        <v>86.328656750056368</v>
      </c>
      <c r="G14" s="215">
        <f>VALUE('1123'!O48)</f>
        <v>85.933195660567094</v>
      </c>
      <c r="H14" s="215">
        <f>VALUE('1123'!O58)</f>
        <v>84.197710268909333</v>
      </c>
      <c r="I14" s="215">
        <f>VALUE('1123'!O69)</f>
        <v>110.32260671791563</v>
      </c>
      <c r="J14" s="215"/>
    </row>
    <row r="15" spans="2:15" ht="39.950000000000003" customHeight="1">
      <c r="B15" s="366"/>
      <c r="C15" s="212" t="s">
        <v>100</v>
      </c>
      <c r="D15" s="233">
        <f>D14/D13</f>
        <v>0.91144486397923963</v>
      </c>
      <c r="E15" s="233">
        <f t="shared" ref="E15:I15" si="0">E14/E13</f>
        <v>0.90624794097280537</v>
      </c>
      <c r="F15" s="233">
        <f t="shared" si="0"/>
        <v>0.93580370953433101</v>
      </c>
      <c r="G15" s="233">
        <f t="shared" si="0"/>
        <v>0.87079745644891504</v>
      </c>
      <c r="H15" s="233">
        <f t="shared" si="0"/>
        <v>0.95623520306182253</v>
      </c>
      <c r="I15" s="233">
        <f t="shared" si="0"/>
        <v>0.87976110660676499</v>
      </c>
      <c r="J15" s="233"/>
    </row>
    <row r="16" spans="2:15" ht="17.25" customHeight="1">
      <c r="B16" s="367" t="s">
        <v>101</v>
      </c>
      <c r="C16" s="212" t="s">
        <v>102</v>
      </c>
      <c r="D16" s="95">
        <f>'1123'!T5</f>
        <v>0.2902777777777778</v>
      </c>
      <c r="E16" s="95">
        <f>'1123'!T16</f>
        <v>0.2902777777777778</v>
      </c>
      <c r="F16" s="95">
        <f>'1123'!T27</f>
        <v>0.29166666666666669</v>
      </c>
      <c r="G16" s="95">
        <f>'1123'!T38</f>
        <v>0.33263888888888887</v>
      </c>
      <c r="H16" s="95">
        <f>'1123'!T49</f>
        <v>0.29097222222222224</v>
      </c>
      <c r="I16" s="95">
        <f>'1123'!T59</f>
        <v>0.28819444444444442</v>
      </c>
      <c r="J16" s="272"/>
    </row>
    <row r="17" spans="2:10" ht="17.25" customHeight="1">
      <c r="B17" s="368"/>
      <c r="C17" s="212" t="s">
        <v>103</v>
      </c>
      <c r="D17" s="95">
        <v>0.63472222222222219</v>
      </c>
      <c r="E17" s="41">
        <v>0.63194444444444442</v>
      </c>
      <c r="F17" s="41">
        <v>0.65902777777777777</v>
      </c>
      <c r="G17" s="59">
        <v>0.65138888888888891</v>
      </c>
      <c r="H17" s="44">
        <v>0.65208333333333335</v>
      </c>
      <c r="I17" s="20">
        <v>0.58680555555555558</v>
      </c>
      <c r="J17" s="20"/>
    </row>
    <row r="18" spans="2:10" ht="17.25" customHeight="1">
      <c r="B18" s="354" t="s">
        <v>104</v>
      </c>
      <c r="C18" s="355"/>
      <c r="D18" s="216">
        <f>VALUE('1123'!M15)</f>
        <v>14.2</v>
      </c>
      <c r="E18" s="216">
        <f>VALUE('1123'!M26)</f>
        <v>13</v>
      </c>
      <c r="F18" s="216">
        <f>VALUE('1123'!M37)</f>
        <v>15.5</v>
      </c>
      <c r="G18" s="216">
        <f>VALUE('1123'!M48)</f>
        <v>15</v>
      </c>
      <c r="H18" s="216">
        <f>VALUE('1123'!M58)</f>
        <v>17.25</v>
      </c>
      <c r="I18" s="216">
        <f>VALUE('1123'!M69)</f>
        <v>12.5</v>
      </c>
      <c r="J18" s="216"/>
    </row>
    <row r="19" spans="2:10" ht="17.25" customHeight="1">
      <c r="B19" s="354" t="s">
        <v>105</v>
      </c>
      <c r="C19" s="355"/>
      <c r="D19" s="213" t="s">
        <v>106</v>
      </c>
      <c r="E19" s="213" t="s">
        <v>106</v>
      </c>
      <c r="F19" s="213" t="s">
        <v>107</v>
      </c>
      <c r="G19" s="213" t="s">
        <v>107</v>
      </c>
      <c r="H19" s="213" t="s">
        <v>107</v>
      </c>
      <c r="I19" s="213" t="s">
        <v>108</v>
      </c>
      <c r="J19" s="213"/>
    </row>
    <row r="20" spans="2:10" ht="17.25" customHeight="1">
      <c r="B20" s="354" t="s">
        <v>110</v>
      </c>
      <c r="C20" s="355"/>
      <c r="D20" s="213"/>
      <c r="E20" s="213"/>
      <c r="F20" s="213"/>
      <c r="G20" s="217"/>
      <c r="H20" s="213" t="s">
        <v>109</v>
      </c>
      <c r="I20" s="213"/>
      <c r="J20" s="213"/>
    </row>
    <row r="21" spans="2:10" ht="17.25" customHeight="1">
      <c r="B21" s="354" t="s">
        <v>111</v>
      </c>
      <c r="C21" s="355"/>
      <c r="D21" s="273"/>
      <c r="E21" s="273"/>
      <c r="F21" s="273"/>
      <c r="G21" s="273"/>
      <c r="H21" s="273"/>
      <c r="I21" s="273"/>
      <c r="J21" s="273"/>
    </row>
    <row r="22" spans="2:10">
      <c r="B22" s="370"/>
      <c r="C22" s="370"/>
    </row>
  </sheetData>
  <mergeCells count="37">
    <mergeCell ref="B20:C20"/>
    <mergeCell ref="B21:C21"/>
    <mergeCell ref="B22:C22"/>
    <mergeCell ref="D8:E8"/>
    <mergeCell ref="F8:G8"/>
    <mergeCell ref="H8:I8"/>
    <mergeCell ref="B18:C18"/>
    <mergeCell ref="B19:C19"/>
    <mergeCell ref="D6:E6"/>
    <mergeCell ref="F6:G6"/>
    <mergeCell ref="H6:I6"/>
    <mergeCell ref="D10:J10"/>
    <mergeCell ref="B11:C12"/>
    <mergeCell ref="B13:B15"/>
    <mergeCell ref="B16:B17"/>
    <mergeCell ref="B10:C10"/>
    <mergeCell ref="J8:K8"/>
    <mergeCell ref="B5:C8"/>
    <mergeCell ref="D5:E5"/>
    <mergeCell ref="F5:G5"/>
    <mergeCell ref="H5:I5"/>
    <mergeCell ref="J6:K6"/>
    <mergeCell ref="D7:E7"/>
    <mergeCell ref="F7:G7"/>
    <mergeCell ref="H7:I7"/>
    <mergeCell ref="J7:K7"/>
    <mergeCell ref="B1:K2"/>
    <mergeCell ref="B3:C3"/>
    <mergeCell ref="D3:E3"/>
    <mergeCell ref="G3:H3"/>
    <mergeCell ref="J3:K3"/>
    <mergeCell ref="J5:K5"/>
    <mergeCell ref="B4:C4"/>
    <mergeCell ref="D4:E4"/>
    <mergeCell ref="F4:G4"/>
    <mergeCell ref="H4:I4"/>
    <mergeCell ref="J4:K4"/>
  </mergeCells>
  <phoneticPr fontId="2" type="noConversion"/>
  <conditionalFormatting sqref="D15:J15">
    <cfRule type="cellIs" dxfId="79" priority="1" operator="lessThan">
      <formula>0.8</formula>
    </cfRule>
  </conditionalFormatting>
  <pageMargins left="0.7" right="0.7" top="0.75" bottom="0.75" header="0.3" footer="0.3"/>
  <pageSetup paperSize="8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D5C65-BF97-468B-B26A-2FCB82EE3829}">
  <sheetPr>
    <tabColor theme="9" tint="0.79998168889431442"/>
    <pageSetUpPr fitToPage="1"/>
  </sheetPr>
  <dimension ref="A1:AF92"/>
  <sheetViews>
    <sheetView zoomScale="69" zoomScaleNormal="69" workbookViewId="0">
      <pane xSplit="5" ySplit="4" topLeftCell="G29" activePane="bottomRight" state="frozen"/>
      <selection activeCell="D4" sqref="D4:E4"/>
      <selection pane="topRight" activeCell="D4" sqref="D4:E4"/>
      <selection pane="bottomLeft" activeCell="D4" sqref="D4:E4"/>
      <selection pane="bottomRight" activeCell="J8" sqref="J8"/>
    </sheetView>
  </sheetViews>
  <sheetFormatPr defaultColWidth="7.875" defaultRowHeight="15.75"/>
  <cols>
    <col min="1" max="1" width="15" style="6" customWidth="1"/>
    <col min="2" max="2" width="12.875" style="6" customWidth="1"/>
    <col min="3" max="3" width="12.875" style="6" hidden="1" customWidth="1"/>
    <col min="4" max="4" width="26.125" style="6" bestFit="1" customWidth="1"/>
    <col min="5" max="5" width="15" style="6" customWidth="1"/>
    <col min="6" max="6" width="8.875" style="6" bestFit="1" customWidth="1"/>
    <col min="7" max="7" width="20.125" style="6" bestFit="1" customWidth="1"/>
    <col min="8" max="8" width="16.375" style="6" bestFit="1" customWidth="1"/>
    <col min="9" max="9" width="10.875" style="6" bestFit="1" customWidth="1"/>
    <col min="10" max="10" width="10.125" style="6" bestFit="1" customWidth="1"/>
    <col min="11" max="11" width="10.625" style="6" customWidth="1"/>
    <col min="12" max="12" width="14.5" style="6" customWidth="1"/>
    <col min="13" max="13" width="10.125" style="6" bestFit="1" customWidth="1"/>
    <col min="14" max="14" width="10.25" style="6" bestFit="1" customWidth="1"/>
    <col min="15" max="15" width="11.875" style="6" customWidth="1"/>
    <col min="16" max="17" width="9.125" style="6" bestFit="1" customWidth="1"/>
    <col min="18" max="18" width="9.125" style="6" customWidth="1"/>
    <col min="19" max="19" width="8.375" style="6" customWidth="1"/>
    <col min="20" max="21" width="9.375" style="6" bestFit="1" customWidth="1"/>
    <col min="22" max="22" width="10.625" style="6" customWidth="1"/>
    <col min="23" max="23" width="8.625" style="92" customWidth="1"/>
    <col min="24" max="24" width="7.5" style="6" bestFit="1" customWidth="1"/>
    <col min="25" max="25" width="6.875" style="6" customWidth="1"/>
    <col min="26" max="26" width="12.625" style="6" customWidth="1"/>
    <col min="27" max="27" width="33.375" style="6" customWidth="1"/>
    <col min="28" max="28" width="13.125" style="6" bestFit="1" customWidth="1"/>
    <col min="29" max="29" width="10.375" style="6" customWidth="1"/>
    <col min="30" max="30" width="9.125" style="6" customWidth="1"/>
    <col min="31" max="31" width="7.875" style="6"/>
    <col min="32" max="32" width="24.5" style="6" bestFit="1" customWidth="1"/>
    <col min="33" max="16384" width="7.875" style="6"/>
  </cols>
  <sheetData>
    <row r="1" spans="1:30" ht="21">
      <c r="A1" s="2" t="s">
        <v>72</v>
      </c>
      <c r="B1" s="2"/>
      <c r="C1" s="2"/>
      <c r="D1" s="176" t="s">
        <v>8</v>
      </c>
      <c r="E1" s="3">
        <f>SUM(G5:G79)</f>
        <v>56648</v>
      </c>
      <c r="F1" s="177" t="s">
        <v>9</v>
      </c>
      <c r="G1" s="4">
        <f>SUM(H5:H79)</f>
        <v>2773393.1099999989</v>
      </c>
      <c r="H1" s="175" t="s">
        <v>10</v>
      </c>
      <c r="I1" s="5">
        <f>M15+M26+M48+M58+M69+M79+M37</f>
        <v>87.45</v>
      </c>
      <c r="J1" s="371" t="s">
        <v>11</v>
      </c>
      <c r="K1" s="371"/>
      <c r="L1" s="371"/>
      <c r="M1" s="371" t="s">
        <v>12</v>
      </c>
      <c r="N1" s="371"/>
      <c r="O1" s="371"/>
      <c r="P1" s="371" t="s">
        <v>13</v>
      </c>
      <c r="Q1" s="371"/>
      <c r="R1" s="371"/>
      <c r="S1" s="371"/>
      <c r="T1" s="371" t="s">
        <v>14</v>
      </c>
      <c r="U1" s="371"/>
      <c r="V1" s="371"/>
      <c r="W1" s="371"/>
      <c r="X1" s="371"/>
      <c r="Y1" s="371"/>
      <c r="Z1" s="371" t="s">
        <v>15</v>
      </c>
      <c r="AA1" s="371"/>
      <c r="AB1" s="371" t="s">
        <v>16</v>
      </c>
      <c r="AC1" s="372"/>
      <c r="AD1" s="372"/>
    </row>
    <row r="2" spans="1:30" ht="18.75">
      <c r="A2" s="409" t="s">
        <v>233</v>
      </c>
      <c r="B2" s="409"/>
      <c r="C2" s="176"/>
      <c r="D2" s="176" t="s">
        <v>1</v>
      </c>
      <c r="E2" s="7">
        <f>AVERAGE(O15,O26,O37,O48,O58,O69,O79)</f>
        <v>105.11231120554442</v>
      </c>
      <c r="F2" s="8" t="s">
        <v>2</v>
      </c>
      <c r="G2" s="9">
        <f>G1/E1</f>
        <v>48.958358812314628</v>
      </c>
      <c r="H2" s="175" t="s">
        <v>17</v>
      </c>
      <c r="I2" s="175">
        <f>COUNT(I5:I79)</f>
        <v>0</v>
      </c>
      <c r="J2" s="371"/>
      <c r="K2" s="371"/>
      <c r="L2" s="371"/>
      <c r="M2" s="371"/>
      <c r="N2" s="371"/>
      <c r="O2" s="371"/>
      <c r="P2" s="371"/>
      <c r="Q2" s="371"/>
      <c r="R2" s="371"/>
      <c r="S2" s="371"/>
      <c r="T2" s="371"/>
      <c r="U2" s="371"/>
      <c r="V2" s="371"/>
      <c r="W2" s="371"/>
      <c r="X2" s="371"/>
      <c r="Y2" s="371"/>
      <c r="Z2" s="371"/>
      <c r="AA2" s="371"/>
      <c r="AB2" s="372"/>
      <c r="AC2" s="372"/>
      <c r="AD2" s="372"/>
    </row>
    <row r="3" spans="1:30">
      <c r="A3" s="405" t="s">
        <v>18</v>
      </c>
      <c r="B3" s="405" t="s">
        <v>19</v>
      </c>
      <c r="C3" s="177"/>
      <c r="D3" s="405" t="s">
        <v>20</v>
      </c>
      <c r="E3" s="405"/>
      <c r="F3" s="379" t="s">
        <v>21</v>
      </c>
      <c r="G3" s="389" t="s">
        <v>22</v>
      </c>
      <c r="H3" s="379" t="s">
        <v>23</v>
      </c>
      <c r="I3" s="381" t="s">
        <v>24</v>
      </c>
      <c r="J3" s="383" t="s">
        <v>25</v>
      </c>
      <c r="K3" s="385" t="s">
        <v>26</v>
      </c>
      <c r="L3" s="387" t="s">
        <v>1</v>
      </c>
      <c r="M3" s="389" t="s">
        <v>25</v>
      </c>
      <c r="N3" s="385" t="s">
        <v>26</v>
      </c>
      <c r="O3" s="387" t="s">
        <v>1</v>
      </c>
      <c r="P3" s="383" t="s">
        <v>25</v>
      </c>
      <c r="Q3" s="387" t="s">
        <v>1</v>
      </c>
      <c r="R3" s="392" t="s">
        <v>27</v>
      </c>
      <c r="S3" s="394" t="s">
        <v>28</v>
      </c>
      <c r="T3" s="389" t="s">
        <v>4</v>
      </c>
      <c r="U3" s="389"/>
      <c r="V3" s="408" t="s">
        <v>29</v>
      </c>
      <c r="W3" s="381" t="s">
        <v>30</v>
      </c>
      <c r="X3" s="389" t="s">
        <v>31</v>
      </c>
      <c r="Y3" s="389"/>
      <c r="Z3" s="415" t="s">
        <v>71</v>
      </c>
      <c r="AA3" s="416"/>
      <c r="AB3" s="385" t="s">
        <v>26</v>
      </c>
      <c r="AC3" s="392" t="s">
        <v>27</v>
      </c>
      <c r="AD3" s="394" t="s">
        <v>28</v>
      </c>
    </row>
    <row r="4" spans="1:30" ht="16.5" thickBot="1">
      <c r="A4" s="379"/>
      <c r="B4" s="379"/>
      <c r="C4" s="178"/>
      <c r="D4" s="379"/>
      <c r="E4" s="379"/>
      <c r="F4" s="380"/>
      <c r="G4" s="390"/>
      <c r="H4" s="380"/>
      <c r="I4" s="382"/>
      <c r="J4" s="384"/>
      <c r="K4" s="386"/>
      <c r="L4" s="388"/>
      <c r="M4" s="390"/>
      <c r="N4" s="386"/>
      <c r="O4" s="388"/>
      <c r="P4" s="384"/>
      <c r="Q4" s="388"/>
      <c r="R4" s="393"/>
      <c r="S4" s="395"/>
      <c r="T4" s="179" t="s">
        <v>5</v>
      </c>
      <c r="U4" s="179" t="s">
        <v>6</v>
      </c>
      <c r="V4" s="390"/>
      <c r="W4" s="382"/>
      <c r="X4" s="178" t="s">
        <v>32</v>
      </c>
      <c r="Y4" s="178" t="s">
        <v>33</v>
      </c>
      <c r="Z4" s="417"/>
      <c r="AA4" s="417"/>
      <c r="AB4" s="386"/>
      <c r="AC4" s="393"/>
      <c r="AD4" s="395"/>
    </row>
    <row r="5" spans="1:30" ht="15" customHeight="1">
      <c r="A5" s="411" t="s">
        <v>66</v>
      </c>
      <c r="B5" s="199" t="str">
        <f>VLOOKUP(D5,廠價表!$C$1:$E$39,2,0)</f>
        <v>義大利麵</v>
      </c>
      <c r="C5" s="102"/>
      <c r="D5" s="103" t="s">
        <v>206</v>
      </c>
      <c r="E5" s="104"/>
      <c r="F5" s="199">
        <f>VLOOKUP(D5,廠價表!$C$1:$E$39,3,0)</f>
        <v>56.43</v>
      </c>
      <c r="G5" s="105">
        <v>2536</v>
      </c>
      <c r="H5" s="106">
        <f>F5*G5</f>
        <v>143106.48000000001</v>
      </c>
      <c r="I5" s="107"/>
      <c r="J5" s="16">
        <v>15</v>
      </c>
      <c r="K5" s="105">
        <v>1800</v>
      </c>
      <c r="L5" s="109">
        <f>K5/J5</f>
        <v>120</v>
      </c>
      <c r="M5" s="110">
        <v>15</v>
      </c>
      <c r="N5" s="105">
        <f t="shared" ref="N5:N7" si="0">G5/W5*60</f>
        <v>1769.3023255813969</v>
      </c>
      <c r="O5" s="109">
        <f t="shared" ref="O5:O7" si="1">N5/M5</f>
        <v>117.95348837209312</v>
      </c>
      <c r="P5" s="111">
        <f t="shared" ref="P5:P7" si="2">M5-J5</f>
        <v>0</v>
      </c>
      <c r="Q5" s="112">
        <f t="shared" ref="Q5:Q7" si="3">O5-L5</f>
        <v>-2.0465116279068809</v>
      </c>
      <c r="R5" s="184">
        <f t="shared" ref="R5:R7" si="4">O5/L5</f>
        <v>0.98294573643410932</v>
      </c>
      <c r="S5" s="396">
        <f>R15</f>
        <v>0.91144486397923963</v>
      </c>
      <c r="T5" s="94">
        <v>0.2902777777777778</v>
      </c>
      <c r="U5" s="94">
        <v>0.35</v>
      </c>
      <c r="V5" s="194"/>
      <c r="W5" s="107">
        <f t="shared" ref="W5:W14" si="5">(U5-T5)*24*60</f>
        <v>85.999999999999929</v>
      </c>
      <c r="X5" s="188"/>
      <c r="Y5" s="188"/>
      <c r="Z5" s="400"/>
      <c r="AA5" s="400"/>
      <c r="AB5" s="111">
        <f>N5-K5</f>
        <v>-30.697674418603128</v>
      </c>
      <c r="AC5" s="184">
        <f>N5/K5</f>
        <v>0.98294573643410932</v>
      </c>
      <c r="AD5" s="401">
        <f>AC15</f>
        <v>0.91718974435053557</v>
      </c>
    </row>
    <row r="6" spans="1:30" ht="15" customHeight="1">
      <c r="A6" s="412"/>
      <c r="B6" s="56" t="str">
        <f>VLOOKUP(D6,廠價表!$C$1:$E$39,2,0)</f>
        <v>義大利麵</v>
      </c>
      <c r="C6" s="10"/>
      <c r="D6" s="11" t="s">
        <v>153</v>
      </c>
      <c r="E6" s="86"/>
      <c r="F6" s="56">
        <f>VLOOKUP(D6,廠價表!$C$1:$E$39,3,0)</f>
        <v>50.67</v>
      </c>
      <c r="G6" s="25">
        <v>1062</v>
      </c>
      <c r="H6" s="15">
        <f t="shared" ref="H6:H14" si="6">F6*G6</f>
        <v>53811.54</v>
      </c>
      <c r="I6" s="182"/>
      <c r="J6" s="16">
        <f>VLOOKUP(D6,產線配置圖!$A$2:$C$38,2,0)</f>
        <v>13</v>
      </c>
      <c r="K6" s="14">
        <f>VLOOKUP(D6,產線配置圖!$A$2:$C$38,3,0)</f>
        <v>2000</v>
      </c>
      <c r="L6" s="17">
        <f>K6/J6</f>
        <v>153.84615384615384</v>
      </c>
      <c r="M6" s="180">
        <v>13</v>
      </c>
      <c r="N6" s="14">
        <f t="shared" si="0"/>
        <v>1722.1621621621643</v>
      </c>
      <c r="O6" s="17">
        <f t="shared" si="1"/>
        <v>132.47401247401265</v>
      </c>
      <c r="P6" s="18">
        <f t="shared" si="2"/>
        <v>0</v>
      </c>
      <c r="Q6" s="19">
        <f t="shared" si="3"/>
        <v>-21.372141372141186</v>
      </c>
      <c r="R6" s="185">
        <f t="shared" si="4"/>
        <v>0.86108108108108228</v>
      </c>
      <c r="S6" s="397"/>
      <c r="T6" s="95">
        <v>0.35694444444444445</v>
      </c>
      <c r="U6" s="95">
        <v>0.38263888888888886</v>
      </c>
      <c r="V6" s="177">
        <f>(T6-U5)*24*60</f>
        <v>10.000000000000044</v>
      </c>
      <c r="W6" s="182">
        <f t="shared" si="5"/>
        <v>36.99999999999995</v>
      </c>
      <c r="X6" s="22"/>
      <c r="Y6" s="22"/>
      <c r="Z6" s="381"/>
      <c r="AA6" s="381"/>
      <c r="AB6" s="18">
        <f>N6-K6</f>
        <v>-277.83783783783565</v>
      </c>
      <c r="AC6" s="185">
        <f>N6/K6</f>
        <v>0.86108108108108217</v>
      </c>
      <c r="AD6" s="402"/>
    </row>
    <row r="7" spans="1:30" ht="15" customHeight="1">
      <c r="A7" s="412"/>
      <c r="B7" s="56" t="str">
        <f>VLOOKUP(D7,廠價表!$C$1:$E$39,2,0)</f>
        <v>義大利麵</v>
      </c>
      <c r="C7" s="10"/>
      <c r="D7" s="11" t="s">
        <v>139</v>
      </c>
      <c r="E7" s="86"/>
      <c r="F7" s="56">
        <f>VLOOKUP(D7,廠價表!$C$1:$E$39,3,0)</f>
        <v>57.21</v>
      </c>
      <c r="G7" s="25">
        <v>1954</v>
      </c>
      <c r="H7" s="15">
        <f t="shared" si="6"/>
        <v>111788.34</v>
      </c>
      <c r="I7" s="182"/>
      <c r="J7" s="16">
        <f>VLOOKUP(D7,產線配置圖!$A$2:$C$38,2,0)</f>
        <v>17</v>
      </c>
      <c r="K7" s="14">
        <f>VLOOKUP(D7,產線配置圖!$A$2:$C$38,3,0)</f>
        <v>1895</v>
      </c>
      <c r="L7" s="17">
        <f>K7/J7</f>
        <v>111.47058823529412</v>
      </c>
      <c r="M7" s="180">
        <v>17</v>
      </c>
      <c r="N7" s="14">
        <f t="shared" si="0"/>
        <v>1890.9677419354832</v>
      </c>
      <c r="O7" s="17">
        <f t="shared" si="1"/>
        <v>111.23339658444019</v>
      </c>
      <c r="P7" s="18">
        <f t="shared" si="2"/>
        <v>0</v>
      </c>
      <c r="Q7" s="19">
        <f t="shared" si="3"/>
        <v>-0.23719165085393001</v>
      </c>
      <c r="R7" s="185">
        <f t="shared" si="4"/>
        <v>0.99787215933270879</v>
      </c>
      <c r="S7" s="397"/>
      <c r="T7" s="95">
        <v>0.3888888888888889</v>
      </c>
      <c r="U7" s="95">
        <v>0.43194444444444446</v>
      </c>
      <c r="V7" s="177">
        <f>(T7-U6)*24*60</f>
        <v>9.000000000000048</v>
      </c>
      <c r="W7" s="182">
        <f t="shared" si="5"/>
        <v>62.000000000000021</v>
      </c>
      <c r="X7" s="22"/>
      <c r="Y7" s="22"/>
      <c r="Z7" s="405"/>
      <c r="AA7" s="405"/>
      <c r="AB7" s="18">
        <f>N7-K7</f>
        <v>-4.0322580645167818</v>
      </c>
      <c r="AC7" s="185">
        <f>N7/K7</f>
        <v>0.99787215933270879</v>
      </c>
      <c r="AD7" s="402"/>
    </row>
    <row r="8" spans="1:30" ht="15" customHeight="1">
      <c r="A8" s="412"/>
      <c r="B8" s="56" t="str">
        <f>VLOOKUP(D8,廠價表!$C$1:$E$39,2,0)</f>
        <v>義大利麵</v>
      </c>
      <c r="C8" s="10"/>
      <c r="D8" s="11" t="s">
        <v>141</v>
      </c>
      <c r="E8" s="86"/>
      <c r="F8" s="56">
        <f>VLOOKUP(D8,廠價表!$C$1:$E$39,3,0)</f>
        <v>49.14</v>
      </c>
      <c r="G8" s="25">
        <v>2423</v>
      </c>
      <c r="H8" s="15">
        <f t="shared" ref="H8:H9" si="7">F8*G8</f>
        <v>119066.22</v>
      </c>
      <c r="I8" s="182"/>
      <c r="J8" s="16">
        <f>VLOOKUP(D8,產線配置圖!$A$2:$C$38,2,0)</f>
        <v>13</v>
      </c>
      <c r="K8" s="14">
        <f>VLOOKUP(D8,產線配置圖!$A$2:$C$38,3,0)</f>
        <v>2000</v>
      </c>
      <c r="L8" s="17">
        <f t="shared" ref="L8:L9" si="8">K8/J8</f>
        <v>153.84615384615384</v>
      </c>
      <c r="M8" s="180">
        <v>13</v>
      </c>
      <c r="N8" s="14">
        <f t="shared" ref="N8:N9" si="9">G8/W8*60</f>
        <v>1580.2173913043478</v>
      </c>
      <c r="O8" s="17">
        <f t="shared" ref="O8:O9" si="10">N8/M8</f>
        <v>121.55518394648828</v>
      </c>
      <c r="P8" s="18">
        <f t="shared" ref="P8:P9" si="11">M8-J8</f>
        <v>0</v>
      </c>
      <c r="Q8" s="19">
        <f t="shared" ref="Q8:Q9" si="12">O8-L8</f>
        <v>-32.290969899665555</v>
      </c>
      <c r="R8" s="185">
        <f t="shared" ref="R8:R9" si="13">O8/L8</f>
        <v>0.7901086956521739</v>
      </c>
      <c r="S8" s="397"/>
      <c r="T8" s="20">
        <v>0.43958333333333333</v>
      </c>
      <c r="U8" s="20">
        <v>0.50347222222222221</v>
      </c>
      <c r="V8" s="177">
        <f t="shared" ref="V8:V9" si="14">(T8-U7)*24*60</f>
        <v>10.999999999999961</v>
      </c>
      <c r="W8" s="182">
        <f t="shared" si="5"/>
        <v>92</v>
      </c>
      <c r="X8" s="22"/>
      <c r="Y8" s="22"/>
      <c r="Z8" s="406" t="s">
        <v>234</v>
      </c>
      <c r="AA8" s="406"/>
      <c r="AB8" s="18">
        <f>N8-K8</f>
        <v>-419.78260869565224</v>
      </c>
      <c r="AC8" s="185">
        <f>N8/K8</f>
        <v>0.7901086956521739</v>
      </c>
      <c r="AD8" s="402"/>
    </row>
    <row r="9" spans="1:30" ht="15" customHeight="1">
      <c r="A9" s="413"/>
      <c r="B9" s="56" t="str">
        <f>VLOOKUP(D9,廠價表!$C$1:$E$39,2,0)</f>
        <v>義大利麵</v>
      </c>
      <c r="C9" s="10"/>
      <c r="D9" s="11" t="s">
        <v>141</v>
      </c>
      <c r="E9" s="86"/>
      <c r="F9" s="56">
        <f>VLOOKUP(D9,廠價表!$C$1:$E$39,3,0)</f>
        <v>49.14</v>
      </c>
      <c r="G9" s="25">
        <v>3248</v>
      </c>
      <c r="H9" s="15">
        <f t="shared" si="7"/>
        <v>159606.72</v>
      </c>
      <c r="I9" s="182"/>
      <c r="J9" s="16">
        <f>VLOOKUP(D9,產線配置圖!$A$2:$C$38,2,0)</f>
        <v>13</v>
      </c>
      <c r="K9" s="14">
        <f>VLOOKUP(D9,產線配置圖!$A$2:$C$38,3,0)</f>
        <v>2000</v>
      </c>
      <c r="L9" s="17">
        <f t="shared" si="8"/>
        <v>153.84615384615384</v>
      </c>
      <c r="M9" s="180">
        <v>13</v>
      </c>
      <c r="N9" s="14">
        <f t="shared" si="9"/>
        <v>1929.5049504950503</v>
      </c>
      <c r="O9" s="17">
        <f t="shared" si="10"/>
        <v>148.42345773038849</v>
      </c>
      <c r="P9" s="18">
        <f t="shared" si="11"/>
        <v>0</v>
      </c>
      <c r="Q9" s="19">
        <f t="shared" si="12"/>
        <v>-5.4226961157653477</v>
      </c>
      <c r="R9" s="185">
        <f t="shared" si="13"/>
        <v>0.96475247524752528</v>
      </c>
      <c r="S9" s="398"/>
      <c r="T9" s="79">
        <v>0.56458333333333333</v>
      </c>
      <c r="U9" s="79">
        <v>0.63472222222222219</v>
      </c>
      <c r="V9" s="177">
        <f t="shared" si="14"/>
        <v>88</v>
      </c>
      <c r="W9" s="24">
        <f t="shared" si="5"/>
        <v>100.99999999999996</v>
      </c>
      <c r="X9" s="22"/>
      <c r="Y9" s="263"/>
      <c r="Z9" s="407"/>
      <c r="AA9" s="407"/>
      <c r="AB9" s="18"/>
      <c r="AC9" s="185"/>
      <c r="AD9" s="403"/>
    </row>
    <row r="10" spans="1:30" ht="15" customHeight="1">
      <c r="A10" s="413"/>
      <c r="B10" s="56"/>
      <c r="C10" s="23"/>
      <c r="D10" s="11"/>
      <c r="E10" s="12"/>
      <c r="F10" s="56"/>
      <c r="G10" s="25"/>
      <c r="H10" s="15"/>
      <c r="I10" s="182"/>
      <c r="J10" s="16"/>
      <c r="K10" s="14"/>
      <c r="L10" s="17"/>
      <c r="M10" s="180"/>
      <c r="N10" s="14"/>
      <c r="O10" s="17"/>
      <c r="P10" s="18"/>
      <c r="Q10" s="19"/>
      <c r="R10" s="185"/>
      <c r="S10" s="398"/>
      <c r="T10" s="20"/>
      <c r="U10" s="20"/>
      <c r="V10" s="177"/>
      <c r="W10" s="182">
        <f t="shared" si="5"/>
        <v>0</v>
      </c>
      <c r="X10" s="22"/>
      <c r="Y10" s="263"/>
      <c r="Z10" s="419"/>
      <c r="AA10" s="418"/>
      <c r="AB10" s="264"/>
      <c r="AC10" s="185"/>
      <c r="AD10" s="403"/>
    </row>
    <row r="11" spans="1:30" ht="15" customHeight="1">
      <c r="A11" s="413"/>
      <c r="B11" s="56"/>
      <c r="C11" s="183"/>
      <c r="D11" s="11"/>
      <c r="E11" s="12"/>
      <c r="F11" s="56"/>
      <c r="G11" s="25"/>
      <c r="H11" s="15">
        <f t="shared" si="6"/>
        <v>0</v>
      </c>
      <c r="I11" s="182"/>
      <c r="J11" s="16"/>
      <c r="K11" s="14"/>
      <c r="L11" s="17"/>
      <c r="M11" s="180"/>
      <c r="N11" s="14"/>
      <c r="O11" s="17"/>
      <c r="P11" s="18"/>
      <c r="Q11" s="19"/>
      <c r="R11" s="185"/>
      <c r="S11" s="398"/>
      <c r="T11" s="20"/>
      <c r="U11" s="20"/>
      <c r="V11" s="177"/>
      <c r="W11" s="24">
        <f t="shared" si="5"/>
        <v>0</v>
      </c>
      <c r="X11" s="22"/>
      <c r="Y11" s="263"/>
      <c r="Z11" s="419"/>
      <c r="AA11" s="418"/>
      <c r="AB11" s="264"/>
      <c r="AC11" s="185"/>
      <c r="AD11" s="403"/>
    </row>
    <row r="12" spans="1:30" ht="15" customHeight="1">
      <c r="A12" s="413"/>
      <c r="B12" s="26"/>
      <c r="C12" s="27"/>
      <c r="D12" s="28"/>
      <c r="E12" s="29"/>
      <c r="F12" s="13"/>
      <c r="G12" s="30"/>
      <c r="H12" s="15">
        <f t="shared" si="6"/>
        <v>0</v>
      </c>
      <c r="I12" s="178"/>
      <c r="J12" s="31"/>
      <c r="K12" s="30"/>
      <c r="L12" s="17"/>
      <c r="M12" s="181"/>
      <c r="N12" s="25"/>
      <c r="O12" s="17"/>
      <c r="P12" s="18"/>
      <c r="Q12" s="19"/>
      <c r="R12" s="185"/>
      <c r="S12" s="398"/>
      <c r="T12" s="32"/>
      <c r="U12" s="32"/>
      <c r="V12" s="178"/>
      <c r="W12" s="24">
        <f t="shared" si="5"/>
        <v>0</v>
      </c>
      <c r="X12" s="33"/>
      <c r="Y12" s="33"/>
      <c r="Z12" s="407"/>
      <c r="AA12" s="407"/>
      <c r="AB12" s="34"/>
      <c r="AC12" s="186"/>
      <c r="AD12" s="403"/>
    </row>
    <row r="13" spans="1:30" ht="15" customHeight="1">
      <c r="A13" s="413"/>
      <c r="B13" s="56"/>
      <c r="C13" s="10"/>
      <c r="D13" s="11"/>
      <c r="E13" s="86"/>
      <c r="F13" s="56"/>
      <c r="G13" s="25"/>
      <c r="H13" s="15"/>
      <c r="I13" s="182"/>
      <c r="J13" s="16"/>
      <c r="K13" s="14"/>
      <c r="L13" s="17"/>
      <c r="M13" s="180"/>
      <c r="N13" s="14"/>
      <c r="O13" s="17"/>
      <c r="P13" s="18"/>
      <c r="Q13" s="19"/>
      <c r="R13" s="185"/>
      <c r="S13" s="479"/>
      <c r="T13" s="309"/>
      <c r="U13" s="309"/>
      <c r="V13" s="26"/>
      <c r="W13" s="24">
        <f t="shared" si="5"/>
        <v>0</v>
      </c>
      <c r="X13" s="33"/>
      <c r="Y13" s="33"/>
      <c r="Z13" s="419"/>
      <c r="AA13" s="418"/>
      <c r="AB13" s="34"/>
      <c r="AC13" s="186"/>
      <c r="AD13" s="403"/>
    </row>
    <row r="14" spans="1:30" ht="15" customHeight="1">
      <c r="A14" s="413"/>
      <c r="B14" s="26"/>
      <c r="C14" s="27"/>
      <c r="D14" s="28"/>
      <c r="E14" s="29"/>
      <c r="F14" s="13"/>
      <c r="G14" s="30"/>
      <c r="H14" s="15">
        <f t="shared" si="6"/>
        <v>0</v>
      </c>
      <c r="I14" s="178"/>
      <c r="J14" s="31"/>
      <c r="K14" s="30"/>
      <c r="L14" s="17"/>
      <c r="M14" s="181"/>
      <c r="N14" s="25"/>
      <c r="O14" s="17"/>
      <c r="P14" s="18"/>
      <c r="Q14" s="19"/>
      <c r="R14" s="185"/>
      <c r="S14" s="398"/>
      <c r="T14" s="308"/>
      <c r="U14" s="308"/>
      <c r="V14" s="178"/>
      <c r="W14" s="24">
        <f t="shared" si="5"/>
        <v>0</v>
      </c>
      <c r="X14" s="33"/>
      <c r="Y14" s="33"/>
      <c r="Z14" s="419"/>
      <c r="AA14" s="418"/>
      <c r="AB14" s="34"/>
      <c r="AC14" s="186"/>
      <c r="AD14" s="403"/>
    </row>
    <row r="15" spans="1:30" ht="15" customHeight="1" thickBot="1">
      <c r="A15" s="414"/>
      <c r="B15" s="113"/>
      <c r="C15" s="113" t="s">
        <v>34</v>
      </c>
      <c r="D15" s="410" t="s">
        <v>7</v>
      </c>
      <c r="E15" s="410"/>
      <c r="F15" s="114"/>
      <c r="G15" s="115"/>
      <c r="H15" s="116"/>
      <c r="I15" s="117"/>
      <c r="J15" s="118">
        <f t="shared" ref="J15:O15" si="15">AVERAGE(J5:J14)</f>
        <v>14.2</v>
      </c>
      <c r="K15" s="118">
        <f t="shared" si="15"/>
        <v>1939</v>
      </c>
      <c r="L15" s="115">
        <f t="shared" si="15"/>
        <v>138.6018099547511</v>
      </c>
      <c r="M15" s="118">
        <f t="shared" si="15"/>
        <v>14.2</v>
      </c>
      <c r="N15" s="118">
        <f t="shared" si="15"/>
        <v>1778.4309142956886</v>
      </c>
      <c r="O15" s="115">
        <f t="shared" si="15"/>
        <v>126.32790782148454</v>
      </c>
      <c r="P15" s="119">
        <f t="shared" ref="P15:P16" si="16">M15-J15</f>
        <v>0</v>
      </c>
      <c r="Q15" s="120">
        <f t="shared" ref="Q15:Q16" si="17">O15-L15</f>
        <v>-12.27390213326656</v>
      </c>
      <c r="R15" s="121">
        <f t="shared" ref="R15:R16" si="18">O15/L15</f>
        <v>0.91144486397923963</v>
      </c>
      <c r="S15" s="399"/>
      <c r="T15" s="122"/>
      <c r="U15" s="122"/>
      <c r="V15" s="195"/>
      <c r="W15" s="123"/>
      <c r="X15" s="124"/>
      <c r="Y15" s="124"/>
      <c r="Z15" s="391"/>
      <c r="AA15" s="391"/>
      <c r="AB15" s="119">
        <f>N15-K15</f>
        <v>-160.56908570431142</v>
      </c>
      <c r="AC15" s="187">
        <f>N15/K15</f>
        <v>0.91718974435053557</v>
      </c>
      <c r="AD15" s="404"/>
    </row>
    <row r="16" spans="1:30" ht="15" customHeight="1">
      <c r="A16" s="431" t="s">
        <v>67</v>
      </c>
      <c r="B16" s="199" t="s">
        <v>134</v>
      </c>
      <c r="C16" s="102"/>
      <c r="D16" s="103" t="s">
        <v>206</v>
      </c>
      <c r="E16" s="104"/>
      <c r="F16" s="199">
        <f>VLOOKUP(D16,廠價表!$C$1:$E$39,3,0)</f>
        <v>56.43</v>
      </c>
      <c r="G16" s="265">
        <v>2429</v>
      </c>
      <c r="H16" s="125">
        <f t="shared" ref="H16:H25" si="19">F16*G16</f>
        <v>137068.47</v>
      </c>
      <c r="I16" s="126"/>
      <c r="J16" s="108">
        <f>VLOOKUP(D16,產線配置圖!$A$2:$C$38,2,0)</f>
        <v>15</v>
      </c>
      <c r="K16" s="105">
        <v>1800</v>
      </c>
      <c r="L16" s="109">
        <f>K16/J16</f>
        <v>120</v>
      </c>
      <c r="M16" s="267">
        <v>15</v>
      </c>
      <c r="N16" s="127">
        <f>G16/W16*60</f>
        <v>1584.1304347826085</v>
      </c>
      <c r="O16" s="128">
        <f>N16/M16</f>
        <v>105.60869565217391</v>
      </c>
      <c r="P16" s="129">
        <f t="shared" si="16"/>
        <v>0</v>
      </c>
      <c r="Q16" s="130">
        <f t="shared" si="17"/>
        <v>-14.391304347826093</v>
      </c>
      <c r="R16" s="189">
        <f t="shared" si="18"/>
        <v>0.88007246376811588</v>
      </c>
      <c r="S16" s="424">
        <f>R26</f>
        <v>0.90624794097280537</v>
      </c>
      <c r="T16" s="268">
        <v>0.2902777777777778</v>
      </c>
      <c r="U16" s="268">
        <v>0.35416666666666669</v>
      </c>
      <c r="V16" s="126"/>
      <c r="W16" s="131">
        <f t="shared" ref="W16:W78" si="20">(U16-T16)*24*60</f>
        <v>92</v>
      </c>
      <c r="X16" s="128"/>
      <c r="Y16" s="128"/>
      <c r="Z16" s="400"/>
      <c r="AA16" s="400"/>
      <c r="AB16" s="111">
        <f>N16-K16</f>
        <v>-215.86956521739148</v>
      </c>
      <c r="AC16" s="184">
        <f>N16/K16</f>
        <v>0.88007246376811588</v>
      </c>
      <c r="AD16" s="401">
        <f>AC26</f>
        <v>0.90593024366937425</v>
      </c>
    </row>
    <row r="17" spans="1:30" ht="15" customHeight="1">
      <c r="A17" s="432"/>
      <c r="B17" s="56" t="s">
        <v>62</v>
      </c>
      <c r="C17" s="10"/>
      <c r="D17" s="11" t="s">
        <v>153</v>
      </c>
      <c r="E17" s="86"/>
      <c r="F17" s="56">
        <f>VLOOKUP(D17,廠價表!$C$1:$E$39,3,0)</f>
        <v>50.67</v>
      </c>
      <c r="G17" s="96">
        <v>3647</v>
      </c>
      <c r="H17" s="15">
        <f>F17*G17</f>
        <v>184793.49000000002</v>
      </c>
      <c r="I17" s="177"/>
      <c r="J17" s="16">
        <f>VLOOKUP(D17,產線配置圖!$A$2:$C$38,2,0)</f>
        <v>13</v>
      </c>
      <c r="K17" s="14">
        <f>VLOOKUP(D17,產線配置圖!$A$2:$C$38,3,0)</f>
        <v>2000</v>
      </c>
      <c r="L17" s="17">
        <f>K17/J17</f>
        <v>153.84615384615384</v>
      </c>
      <c r="M17" s="37">
        <v>13</v>
      </c>
      <c r="N17" s="36">
        <f>G17/W17*60</f>
        <v>1902.7826086956525</v>
      </c>
      <c r="O17" s="38">
        <f>N17/M17</f>
        <v>146.36789297658865</v>
      </c>
      <c r="P17" s="39">
        <f>M17-J17</f>
        <v>0</v>
      </c>
      <c r="Q17" s="40">
        <f>O17-L17</f>
        <v>-7.4782608695651902</v>
      </c>
      <c r="R17" s="190">
        <f>O17/L17</f>
        <v>0.95139130434782626</v>
      </c>
      <c r="S17" s="425"/>
      <c r="T17" s="41">
        <v>0.3611111111111111</v>
      </c>
      <c r="U17" s="41">
        <v>0.44097222222222221</v>
      </c>
      <c r="V17" s="177">
        <f>(T17-U16)*24*60</f>
        <v>9.9999999999999645</v>
      </c>
      <c r="W17" s="43">
        <f t="shared" si="20"/>
        <v>114.99999999999999</v>
      </c>
      <c r="X17" s="44"/>
      <c r="Y17" s="44"/>
      <c r="Z17" s="381"/>
      <c r="AA17" s="381"/>
      <c r="AB17" s="18">
        <f>N17-K17</f>
        <v>-97.21739130434753</v>
      </c>
      <c r="AC17" s="185">
        <f>N17/K17</f>
        <v>0.95139130434782626</v>
      </c>
      <c r="AD17" s="402"/>
    </row>
    <row r="18" spans="1:30" ht="15" customHeight="1">
      <c r="A18" s="432"/>
      <c r="B18" s="56" t="s">
        <v>62</v>
      </c>
      <c r="C18" s="10"/>
      <c r="D18" s="11" t="s">
        <v>131</v>
      </c>
      <c r="E18" s="86"/>
      <c r="F18" s="56">
        <f>VLOOKUP(D18,廠價表!$C$1:$E$39,3,0)</f>
        <v>50.39</v>
      </c>
      <c r="G18" s="96">
        <v>2015</v>
      </c>
      <c r="H18" s="15">
        <f>F18*G18</f>
        <v>101535.85</v>
      </c>
      <c r="I18" s="177"/>
      <c r="J18" s="16">
        <f>VLOOKUP(D18,產線配置圖!$A$2:$C$38,2,0)</f>
        <v>12</v>
      </c>
      <c r="K18" s="14">
        <f>VLOOKUP(D18,產線配置圖!$A$2:$C$38,3,0)</f>
        <v>2000</v>
      </c>
      <c r="L18" s="17">
        <f>K18/J18</f>
        <v>166.66666666666666</v>
      </c>
      <c r="M18" s="37">
        <v>12</v>
      </c>
      <c r="N18" s="36">
        <f>G18/W18*60</f>
        <v>1727.1428571428576</v>
      </c>
      <c r="O18" s="38">
        <f>N18/M18</f>
        <v>143.92857142857147</v>
      </c>
      <c r="P18" s="39">
        <f>M18-J18</f>
        <v>0</v>
      </c>
      <c r="Q18" s="40">
        <f>O18-L18</f>
        <v>-22.738095238095184</v>
      </c>
      <c r="R18" s="190">
        <f>O18/L18</f>
        <v>0.86357142857142888</v>
      </c>
      <c r="S18" s="425"/>
      <c r="T18" s="41">
        <v>0.4548611111111111</v>
      </c>
      <c r="U18" s="41">
        <v>0.50347222222222221</v>
      </c>
      <c r="V18" s="177">
        <f>(T18-U17)*24*60</f>
        <v>20.000000000000007</v>
      </c>
      <c r="W18" s="43">
        <f t="shared" si="20"/>
        <v>69.999999999999986</v>
      </c>
      <c r="X18" s="22"/>
      <c r="Y18" s="22"/>
      <c r="Z18" s="406" t="s">
        <v>234</v>
      </c>
      <c r="AA18" s="406"/>
      <c r="AB18" s="18">
        <f>N18-K18</f>
        <v>-272.85714285714243</v>
      </c>
      <c r="AC18" s="185">
        <f>N18/K18</f>
        <v>0.86357142857142877</v>
      </c>
      <c r="AD18" s="402"/>
    </row>
    <row r="19" spans="1:30" ht="15" customHeight="1">
      <c r="A19" s="432"/>
      <c r="B19" s="56" t="s">
        <v>62</v>
      </c>
      <c r="C19" s="23"/>
      <c r="D19" s="11" t="s">
        <v>131</v>
      </c>
      <c r="E19" s="12"/>
      <c r="F19" s="56">
        <f>VLOOKUP(D19,廠價表!$C$1:$E$39,3,0)</f>
        <v>50.39</v>
      </c>
      <c r="G19" s="96">
        <v>3087</v>
      </c>
      <c r="H19" s="15">
        <f t="shared" ref="H19" si="21">F19*G19</f>
        <v>155553.93</v>
      </c>
      <c r="I19" s="177"/>
      <c r="J19" s="16">
        <f>VLOOKUP(D19,產線配置圖!$A$2:$C$38,2,0)</f>
        <v>12</v>
      </c>
      <c r="K19" s="14">
        <f>VLOOKUP(D19,產線配置圖!$A$2:$C$38,3,0)</f>
        <v>2000</v>
      </c>
      <c r="L19" s="17">
        <f t="shared" ref="L19" si="22">K19/J19</f>
        <v>166.66666666666666</v>
      </c>
      <c r="M19" s="37">
        <v>12</v>
      </c>
      <c r="N19" s="36">
        <f>G19/W19*60</f>
        <v>1852.2000000000005</v>
      </c>
      <c r="O19" s="38">
        <f>N19/M19</f>
        <v>154.35000000000005</v>
      </c>
      <c r="P19" s="39">
        <f>M19-J19</f>
        <v>0</v>
      </c>
      <c r="Q19" s="40">
        <f>O19-L19</f>
        <v>-12.316666666666606</v>
      </c>
      <c r="R19" s="190">
        <f>O19/L19</f>
        <v>0.92610000000000037</v>
      </c>
      <c r="S19" s="425"/>
      <c r="T19" s="41">
        <v>0.5625</v>
      </c>
      <c r="U19" s="41">
        <v>0.63194444444444442</v>
      </c>
      <c r="V19" s="177">
        <f>(T19-U18)*24*60</f>
        <v>85.000000000000014</v>
      </c>
      <c r="W19" s="43">
        <f t="shared" si="20"/>
        <v>99.999999999999972</v>
      </c>
      <c r="X19" s="22"/>
      <c r="Y19" s="22"/>
      <c r="Z19" s="407"/>
      <c r="AA19" s="407"/>
      <c r="AB19" s="18">
        <f>N19-K19</f>
        <v>-147.7999999999995</v>
      </c>
      <c r="AC19" s="185">
        <f>N19/K19</f>
        <v>0.92610000000000026</v>
      </c>
      <c r="AD19" s="403"/>
    </row>
    <row r="20" spans="1:30" ht="15" customHeight="1">
      <c r="A20" s="432"/>
      <c r="B20" s="56"/>
      <c r="C20" s="23"/>
      <c r="D20" s="11"/>
      <c r="E20" s="12"/>
      <c r="F20" s="56"/>
      <c r="G20" s="96"/>
      <c r="H20" s="15"/>
      <c r="I20" s="177"/>
      <c r="J20" s="16"/>
      <c r="K20" s="14"/>
      <c r="L20" s="17"/>
      <c r="M20" s="37"/>
      <c r="N20" s="36"/>
      <c r="O20" s="38"/>
      <c r="P20" s="39"/>
      <c r="Q20" s="40"/>
      <c r="R20" s="190"/>
      <c r="S20" s="425"/>
      <c r="T20" s="41"/>
      <c r="U20" s="79"/>
      <c r="V20" s="177"/>
      <c r="W20" s="43">
        <f t="shared" si="20"/>
        <v>0</v>
      </c>
      <c r="X20" s="44"/>
      <c r="Y20" s="44"/>
      <c r="Z20" s="418"/>
      <c r="AA20" s="405"/>
      <c r="AB20" s="34"/>
      <c r="AC20" s="186"/>
      <c r="AD20" s="403"/>
    </row>
    <row r="21" spans="1:30" ht="15" customHeight="1">
      <c r="A21" s="433"/>
      <c r="B21" s="56"/>
      <c r="C21" s="23"/>
      <c r="D21" s="11"/>
      <c r="E21" s="12"/>
      <c r="F21" s="56"/>
      <c r="G21" s="36"/>
      <c r="H21" s="15"/>
      <c r="I21" s="43"/>
      <c r="J21" s="16"/>
      <c r="K21" s="14"/>
      <c r="L21" s="17"/>
      <c r="M21" s="37"/>
      <c r="N21" s="36"/>
      <c r="O21" s="38"/>
      <c r="P21" s="39"/>
      <c r="Q21" s="40"/>
      <c r="R21" s="190"/>
      <c r="S21" s="425"/>
      <c r="T21" s="41"/>
      <c r="U21" s="41"/>
      <c r="V21" s="177"/>
      <c r="W21" s="43">
        <f t="shared" si="20"/>
        <v>0</v>
      </c>
      <c r="X21" s="42"/>
      <c r="Y21" s="42"/>
      <c r="Z21" s="418"/>
      <c r="AA21" s="405"/>
      <c r="AB21" s="34"/>
      <c r="AC21" s="186"/>
      <c r="AD21" s="403"/>
    </row>
    <row r="22" spans="1:30" ht="15" customHeight="1">
      <c r="A22" s="433"/>
      <c r="B22" s="177"/>
      <c r="C22" s="183"/>
      <c r="D22" s="11"/>
      <c r="E22" s="12"/>
      <c r="F22" s="13"/>
      <c r="G22" s="36"/>
      <c r="H22" s="15">
        <f t="shared" si="19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90"/>
      <c r="S22" s="425"/>
      <c r="T22" s="41"/>
      <c r="U22" s="41"/>
      <c r="V22" s="42"/>
      <c r="W22" s="43">
        <v>0</v>
      </c>
      <c r="X22" s="42"/>
      <c r="Y22" s="42"/>
      <c r="Z22" s="418"/>
      <c r="AA22" s="405"/>
      <c r="AB22" s="34"/>
      <c r="AC22" s="186"/>
      <c r="AD22" s="403"/>
    </row>
    <row r="23" spans="1:30" ht="15" customHeight="1">
      <c r="A23" s="433"/>
      <c r="B23" s="26"/>
      <c r="C23" s="27"/>
      <c r="D23" s="28"/>
      <c r="E23" s="29"/>
      <c r="F23" s="13"/>
      <c r="G23" s="36"/>
      <c r="H23" s="15">
        <f t="shared" si="19"/>
        <v>0</v>
      </c>
      <c r="I23" s="43"/>
      <c r="J23" s="37"/>
      <c r="K23" s="36"/>
      <c r="L23" s="38"/>
      <c r="M23" s="37"/>
      <c r="N23" s="36"/>
      <c r="O23" s="38"/>
      <c r="P23" s="39"/>
      <c r="Q23" s="40"/>
      <c r="R23" s="190"/>
      <c r="S23" s="425"/>
      <c r="T23" s="41"/>
      <c r="U23" s="41"/>
      <c r="W23" s="43">
        <f t="shared" si="20"/>
        <v>0</v>
      </c>
      <c r="X23" s="42"/>
      <c r="Y23" s="42"/>
      <c r="Z23" s="418"/>
      <c r="AA23" s="405"/>
      <c r="AB23" s="34"/>
      <c r="AC23" s="186"/>
      <c r="AD23" s="403"/>
    </row>
    <row r="24" spans="1:30" ht="15" customHeight="1">
      <c r="A24" s="433"/>
      <c r="B24" s="26"/>
      <c r="C24" s="27"/>
      <c r="D24" s="28"/>
      <c r="E24" s="29"/>
      <c r="F24" s="13"/>
      <c r="G24" s="36"/>
      <c r="H24" s="15">
        <f t="shared" si="19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90"/>
      <c r="S24" s="425"/>
      <c r="T24" s="41"/>
      <c r="U24" s="41"/>
      <c r="V24" s="42"/>
      <c r="W24" s="43">
        <f t="shared" si="20"/>
        <v>0</v>
      </c>
      <c r="X24" s="42"/>
      <c r="Y24" s="42"/>
      <c r="Z24" s="418"/>
      <c r="AA24" s="405"/>
      <c r="AB24" s="34"/>
      <c r="AC24" s="186"/>
      <c r="AD24" s="403"/>
    </row>
    <row r="25" spans="1:30" ht="15" customHeight="1">
      <c r="A25" s="433"/>
      <c r="B25" s="26"/>
      <c r="C25" s="27"/>
      <c r="D25" s="28"/>
      <c r="E25" s="29"/>
      <c r="F25" s="13"/>
      <c r="G25" s="36"/>
      <c r="H25" s="50">
        <f t="shared" si="19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90"/>
      <c r="S25" s="425"/>
      <c r="T25" s="41"/>
      <c r="U25" s="41"/>
      <c r="V25" s="42"/>
      <c r="W25" s="43">
        <f t="shared" si="20"/>
        <v>0</v>
      </c>
      <c r="X25" s="42"/>
      <c r="Y25" s="42"/>
      <c r="Z25" s="418"/>
      <c r="AA25" s="405"/>
      <c r="AB25" s="34"/>
      <c r="AC25" s="186"/>
      <c r="AD25" s="403"/>
    </row>
    <row r="26" spans="1:30" ht="15" customHeight="1" thickBot="1">
      <c r="A26" s="434"/>
      <c r="B26" s="132"/>
      <c r="C26" s="1" t="s">
        <v>35</v>
      </c>
      <c r="D26" s="410" t="s">
        <v>7</v>
      </c>
      <c r="E26" s="410"/>
      <c r="F26" s="133"/>
      <c r="G26" s="134"/>
      <c r="H26" s="135"/>
      <c r="I26" s="136"/>
      <c r="J26" s="134">
        <f t="shared" ref="J26:O26" si="23">AVERAGE(J16:J25)</f>
        <v>13</v>
      </c>
      <c r="K26" s="134">
        <f t="shared" si="23"/>
        <v>1950</v>
      </c>
      <c r="L26" s="137">
        <f t="shared" si="23"/>
        <v>151.79487179487177</v>
      </c>
      <c r="M26" s="134">
        <f t="shared" si="23"/>
        <v>13</v>
      </c>
      <c r="N26" s="134">
        <f t="shared" si="23"/>
        <v>1766.5639751552799</v>
      </c>
      <c r="O26" s="137">
        <f t="shared" si="23"/>
        <v>137.56379001433351</v>
      </c>
      <c r="P26" s="138">
        <f t="shared" ref="P26:P29" si="24">M26-J26</f>
        <v>0</v>
      </c>
      <c r="Q26" s="139">
        <f t="shared" ref="Q26:Q29" si="25">O26-L26</f>
        <v>-14.231081780538261</v>
      </c>
      <c r="R26" s="140">
        <f t="shared" ref="R26:R29" si="26">O26/L26</f>
        <v>0.90624794097280537</v>
      </c>
      <c r="S26" s="435"/>
      <c r="T26" s="141"/>
      <c r="U26" s="141"/>
      <c r="V26" s="146"/>
      <c r="W26" s="142"/>
      <c r="X26" s="143"/>
      <c r="Y26" s="143"/>
      <c r="Z26" s="420"/>
      <c r="AA26" s="391"/>
      <c r="AB26" s="119">
        <f>N26-K26</f>
        <v>-183.43602484472012</v>
      </c>
      <c r="AC26" s="187">
        <f>N26/K26</f>
        <v>0.90593024366937425</v>
      </c>
      <c r="AD26" s="404"/>
    </row>
    <row r="27" spans="1:30" ht="15" customHeight="1">
      <c r="A27" s="421" t="s">
        <v>54</v>
      </c>
      <c r="B27" s="229" t="s">
        <v>62</v>
      </c>
      <c r="C27" s="102"/>
      <c r="D27" s="103" t="s">
        <v>144</v>
      </c>
      <c r="E27" s="104"/>
      <c r="F27" s="199">
        <f>VLOOKUP(D27,廠價表!$C$1:$E$39,3,0)</f>
        <v>49.91</v>
      </c>
      <c r="G27" s="269">
        <v>1997</v>
      </c>
      <c r="H27" s="125">
        <f t="shared" ref="H27:H40" si="27">F27*G27</f>
        <v>99670.26999999999</v>
      </c>
      <c r="I27" s="126"/>
      <c r="J27" s="16">
        <f>VLOOKUP(D27,產線配置圖!$A$2:$C$38,2,0)</f>
        <v>17</v>
      </c>
      <c r="K27" s="14">
        <f>VLOOKUP(D27,產線配置圖!$A$2:$C$38,3,0)</f>
        <v>1565</v>
      </c>
      <c r="L27" s="109">
        <f>K27/J27</f>
        <v>92.058823529411768</v>
      </c>
      <c r="M27" s="144">
        <v>16</v>
      </c>
      <c r="N27" s="127">
        <f>G27/W27*60</f>
        <v>1409.6470588235304</v>
      </c>
      <c r="O27" s="128">
        <f>N27/M27</f>
        <v>88.102941176470651</v>
      </c>
      <c r="P27" s="129">
        <f t="shared" si="24"/>
        <v>-1</v>
      </c>
      <c r="Q27" s="130">
        <f t="shared" si="25"/>
        <v>-3.9558823529411171</v>
      </c>
      <c r="R27" s="189">
        <f>O27/L27</f>
        <v>0.95702875399361087</v>
      </c>
      <c r="S27" s="424">
        <f>R37</f>
        <v>0.93580370953433101</v>
      </c>
      <c r="T27" s="94">
        <v>0.29166666666666669</v>
      </c>
      <c r="U27" s="94">
        <v>0.35069444444444442</v>
      </c>
      <c r="V27" s="126"/>
      <c r="W27" s="131">
        <f t="shared" si="20"/>
        <v>84.999999999999943</v>
      </c>
      <c r="X27" s="126"/>
      <c r="Y27" s="126" t="s">
        <v>147</v>
      </c>
      <c r="Z27" s="427"/>
      <c r="AA27" s="400"/>
      <c r="AB27" s="225">
        <f>N27-K27</f>
        <v>-155.35294117646959</v>
      </c>
      <c r="AC27" s="291">
        <f>N27/K27</f>
        <v>0.9007329449351632</v>
      </c>
      <c r="AD27" s="401">
        <f>AC37</f>
        <v>0.89741001471582571</v>
      </c>
    </row>
    <row r="28" spans="1:30" ht="15" customHeight="1">
      <c r="A28" s="422"/>
      <c r="B28" s="56" t="str">
        <f>VLOOKUP(D28,廠價表!$C$1:$E$39,2,0)</f>
        <v>義大利麵</v>
      </c>
      <c r="C28" s="10"/>
      <c r="D28" s="11" t="s">
        <v>137</v>
      </c>
      <c r="E28" s="86"/>
      <c r="F28" s="56">
        <f>VLOOKUP(D28,廠價表!$C$1:$E$39,3,0)</f>
        <v>55.13</v>
      </c>
      <c r="G28" s="53">
        <v>2220</v>
      </c>
      <c r="H28" s="50">
        <f t="shared" si="27"/>
        <v>122388.6</v>
      </c>
      <c r="I28" s="42"/>
      <c r="J28" s="16">
        <f>VLOOKUP(D28,產線配置圖!$A$2:$C$38,2,0)</f>
        <v>18</v>
      </c>
      <c r="K28" s="14">
        <f>VLOOKUP(D28,產線配置圖!$A$2:$C$38,3,0)</f>
        <v>1385</v>
      </c>
      <c r="L28" s="235">
        <f>K28/J28</f>
        <v>76.944444444444443</v>
      </c>
      <c r="M28" s="21">
        <v>16</v>
      </c>
      <c r="N28" s="36">
        <f>G28/W28*60</f>
        <v>1148.2758620689656</v>
      </c>
      <c r="O28" s="38">
        <f>N28/M28</f>
        <v>71.767241379310349</v>
      </c>
      <c r="P28" s="39">
        <f t="shared" si="24"/>
        <v>-2</v>
      </c>
      <c r="Q28" s="40">
        <f t="shared" si="25"/>
        <v>-5.1772030651340941</v>
      </c>
      <c r="R28" s="190">
        <f t="shared" si="26"/>
        <v>0.93271505041702985</v>
      </c>
      <c r="S28" s="425"/>
      <c r="T28" s="270">
        <v>0.3611111111111111</v>
      </c>
      <c r="U28" s="270">
        <v>0.44166666666666665</v>
      </c>
      <c r="V28" s="42">
        <f>(T28-U27)*24*60</f>
        <v>15.000000000000027</v>
      </c>
      <c r="W28" s="43">
        <f t="shared" si="20"/>
        <v>115.99999999999999</v>
      </c>
      <c r="X28" s="54"/>
      <c r="Y28" s="54"/>
      <c r="Z28" s="418"/>
      <c r="AA28" s="419"/>
      <c r="AB28" s="39">
        <f>N28-K28</f>
        <v>-236.72413793103442</v>
      </c>
      <c r="AC28" s="190">
        <f>N28/K28</f>
        <v>0.82908004481513764</v>
      </c>
      <c r="AD28" s="447"/>
    </row>
    <row r="29" spans="1:30" ht="15" customHeight="1">
      <c r="A29" s="422"/>
      <c r="B29" s="56" t="str">
        <f>VLOOKUP(D29,廠價表!$C$1:$E$39,2,0)</f>
        <v>義大利麵</v>
      </c>
      <c r="C29" s="10"/>
      <c r="D29" s="11" t="s">
        <v>158</v>
      </c>
      <c r="E29" s="86"/>
      <c r="F29" s="56">
        <f>VLOOKUP(D29,廠價表!$C$1:$E$39,3,0)</f>
        <v>47.71</v>
      </c>
      <c r="G29" s="53">
        <v>1633</v>
      </c>
      <c r="H29" s="50">
        <f t="shared" si="27"/>
        <v>77910.430000000008</v>
      </c>
      <c r="I29" s="42"/>
      <c r="J29" s="16">
        <f>VLOOKUP(D29,產線配置圖!$A$2:$C$38,2,0)</f>
        <v>15</v>
      </c>
      <c r="K29" s="14">
        <f>VLOOKUP(D29,產線配置圖!$A$2:$C$38,3,0)</f>
        <v>1500</v>
      </c>
      <c r="L29" s="235">
        <f>K29/J29</f>
        <v>100</v>
      </c>
      <c r="M29" s="21">
        <v>15</v>
      </c>
      <c r="N29" s="36">
        <f>G29/W29*60</f>
        <v>1380.0000000000002</v>
      </c>
      <c r="O29" s="38">
        <f>N29/M29</f>
        <v>92.000000000000014</v>
      </c>
      <c r="P29" s="39">
        <f t="shared" si="24"/>
        <v>0</v>
      </c>
      <c r="Q29" s="40">
        <f t="shared" si="25"/>
        <v>-7.9999999999999858</v>
      </c>
      <c r="R29" s="190">
        <f t="shared" si="26"/>
        <v>0.92000000000000015</v>
      </c>
      <c r="S29" s="425"/>
      <c r="T29" s="41">
        <v>0.44861111111111113</v>
      </c>
      <c r="U29" s="41">
        <v>0.49791666666666667</v>
      </c>
      <c r="V29" s="42">
        <f>(T29-U28)*24*60</f>
        <v>10.000000000000044</v>
      </c>
      <c r="W29" s="43">
        <f t="shared" si="20"/>
        <v>70.999999999999986</v>
      </c>
      <c r="X29" s="22"/>
      <c r="Y29" s="22"/>
      <c r="Z29" s="418"/>
      <c r="AA29" s="419"/>
      <c r="AB29" s="292">
        <f>N29-K29</f>
        <v>-119.99999999999977</v>
      </c>
      <c r="AC29" s="190">
        <f>N29/K29</f>
        <v>0.92000000000000015</v>
      </c>
      <c r="AD29" s="447"/>
    </row>
    <row r="30" spans="1:30" ht="15" customHeight="1">
      <c r="A30" s="422"/>
      <c r="B30" s="56" t="str">
        <f>VLOOKUP(D30,廠價表!$C$1:$E$39,2,0)</f>
        <v>義大利麵</v>
      </c>
      <c r="C30" s="237"/>
      <c r="D30" s="11" t="s">
        <v>158</v>
      </c>
      <c r="E30" s="29"/>
      <c r="F30" s="56">
        <f>VLOOKUP(D30,廠價表!$C$1:$E$39,3,0)</f>
        <v>47.71</v>
      </c>
      <c r="G30" s="53">
        <v>3364</v>
      </c>
      <c r="H30" s="50">
        <f t="shared" si="27"/>
        <v>160496.44</v>
      </c>
      <c r="I30" s="42"/>
      <c r="J30" s="16">
        <f>VLOOKUP(D30,產線配置圖!$A$2:$C$38,2,0)</f>
        <v>15</v>
      </c>
      <c r="K30" s="14">
        <f>VLOOKUP(D30,產線配置圖!$A$2:$C$38,3,0)</f>
        <v>1500</v>
      </c>
      <c r="L30" s="235">
        <f>K30/J30</f>
        <v>100</v>
      </c>
      <c r="M30" s="21">
        <v>15</v>
      </c>
      <c r="N30" s="36">
        <f>G30/W30*60</f>
        <v>1401.666666666667</v>
      </c>
      <c r="O30" s="38">
        <f>N30/M30</f>
        <v>93.444444444444471</v>
      </c>
      <c r="P30" s="39">
        <f t="shared" ref="P30" si="28">M30-J30</f>
        <v>0</v>
      </c>
      <c r="Q30" s="40">
        <f t="shared" ref="Q30" si="29">O30-L30</f>
        <v>-6.5555555555555287</v>
      </c>
      <c r="R30" s="190">
        <f t="shared" ref="R30" si="30">O30/L30</f>
        <v>0.93444444444444474</v>
      </c>
      <c r="S30" s="425"/>
      <c r="T30" s="41">
        <v>0.55902777777777779</v>
      </c>
      <c r="U30" s="41">
        <v>0.65902777777777777</v>
      </c>
      <c r="V30" s="42">
        <f>(T30-U29)*24*60</f>
        <v>88</v>
      </c>
      <c r="W30" s="43">
        <f t="shared" si="20"/>
        <v>143.99999999999997</v>
      </c>
      <c r="X30" s="54"/>
      <c r="Y30" s="54"/>
      <c r="Z30" s="449"/>
      <c r="AA30" s="450"/>
      <c r="AB30" s="292"/>
      <c r="AC30" s="190"/>
      <c r="AD30" s="448"/>
    </row>
    <row r="31" spans="1:30" ht="15" customHeight="1">
      <c r="A31" s="422"/>
      <c r="B31" s="56"/>
      <c r="C31" s="237"/>
      <c r="D31" s="11"/>
      <c r="E31" s="29"/>
      <c r="F31" s="56"/>
      <c r="G31" s="53"/>
      <c r="H31" s="50"/>
      <c r="I31" s="42"/>
      <c r="J31" s="16"/>
      <c r="K31" s="14"/>
      <c r="L31" s="235"/>
      <c r="M31" s="21"/>
      <c r="N31" s="36"/>
      <c r="O31" s="38"/>
      <c r="P31" s="39"/>
      <c r="Q31" s="40"/>
      <c r="R31" s="190"/>
      <c r="S31" s="425"/>
      <c r="T31" s="41"/>
      <c r="U31" s="41"/>
      <c r="V31" s="42"/>
      <c r="W31" s="43">
        <f t="shared" si="20"/>
        <v>0</v>
      </c>
      <c r="X31" s="54"/>
      <c r="Y31" s="54"/>
      <c r="Z31" s="449"/>
      <c r="AA31" s="450"/>
      <c r="AB31" s="257"/>
      <c r="AC31" s="258"/>
      <c r="AD31" s="403"/>
    </row>
    <row r="32" spans="1:30" ht="15" customHeight="1">
      <c r="A32" s="422"/>
      <c r="B32" s="56"/>
      <c r="C32" s="252"/>
      <c r="D32" s="253"/>
      <c r="E32" s="254"/>
      <c r="F32" s="56"/>
      <c r="G32" s="53"/>
      <c r="H32" s="50"/>
      <c r="I32" s="42"/>
      <c r="J32" s="255"/>
      <c r="K32" s="36"/>
      <c r="L32" s="256"/>
      <c r="M32" s="21"/>
      <c r="N32" s="36"/>
      <c r="O32" s="38"/>
      <c r="P32" s="39"/>
      <c r="Q32" s="40"/>
      <c r="R32" s="190"/>
      <c r="S32" s="425"/>
      <c r="T32" s="41"/>
      <c r="U32" s="41"/>
      <c r="V32" s="42"/>
      <c r="W32" s="43">
        <f t="shared" si="20"/>
        <v>0</v>
      </c>
      <c r="X32" s="54"/>
      <c r="Y32" s="54"/>
      <c r="Z32" s="418"/>
      <c r="AA32" s="405"/>
      <c r="AB32" s="18"/>
      <c r="AC32" s="185"/>
      <c r="AD32" s="403"/>
    </row>
    <row r="33" spans="1:30" ht="15" customHeight="1">
      <c r="A33" s="422"/>
      <c r="B33" s="240"/>
      <c r="C33" s="241"/>
      <c r="D33" s="242"/>
      <c r="E33" s="243"/>
      <c r="F33" s="223"/>
      <c r="G33" s="244"/>
      <c r="H33" s="245">
        <f t="shared" si="27"/>
        <v>0</v>
      </c>
      <c r="I33" s="246"/>
      <c r="J33" s="247"/>
      <c r="K33" s="45"/>
      <c r="M33" s="248"/>
      <c r="N33" s="45"/>
      <c r="O33" s="46"/>
      <c r="P33" s="47"/>
      <c r="Q33" s="48"/>
      <c r="R33" s="49"/>
      <c r="S33" s="425"/>
      <c r="T33" s="41"/>
      <c r="U33" s="41"/>
      <c r="V33" s="42"/>
      <c r="W33" s="43">
        <f t="shared" si="20"/>
        <v>0</v>
      </c>
      <c r="X33" s="54"/>
      <c r="Y33" s="54"/>
      <c r="Z33" s="418"/>
      <c r="AA33" s="405"/>
      <c r="AB33" s="18"/>
      <c r="AC33" s="57"/>
      <c r="AD33" s="403"/>
    </row>
    <row r="34" spans="1:30" ht="15" customHeight="1">
      <c r="A34" s="422"/>
      <c r="B34" s="231"/>
      <c r="C34" s="27"/>
      <c r="D34" s="28"/>
      <c r="E34" s="29"/>
      <c r="F34" s="13"/>
      <c r="G34" s="53"/>
      <c r="H34" s="50">
        <f t="shared" si="27"/>
        <v>0</v>
      </c>
      <c r="I34" s="42"/>
      <c r="J34" s="37"/>
      <c r="K34" s="36"/>
      <c r="L34" s="38"/>
      <c r="M34" s="21"/>
      <c r="N34" s="36"/>
      <c r="O34" s="38"/>
      <c r="P34" s="39"/>
      <c r="Q34" s="40"/>
      <c r="R34" s="190"/>
      <c r="S34" s="425"/>
      <c r="T34" s="41"/>
      <c r="U34" s="41"/>
      <c r="V34" s="42"/>
      <c r="W34" s="43">
        <f t="shared" si="20"/>
        <v>0</v>
      </c>
      <c r="X34" s="54"/>
      <c r="Y34" s="54"/>
      <c r="Z34" s="418"/>
      <c r="AA34" s="405"/>
      <c r="AB34" s="18"/>
      <c r="AC34" s="57"/>
      <c r="AD34" s="403"/>
    </row>
    <row r="35" spans="1:30" ht="15" customHeight="1">
      <c r="A35" s="422"/>
      <c r="B35" s="231"/>
      <c r="C35" s="27"/>
      <c r="D35" s="28"/>
      <c r="E35" s="29"/>
      <c r="F35" s="13"/>
      <c r="G35" s="53"/>
      <c r="H35" s="50">
        <f t="shared" si="27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90"/>
      <c r="S35" s="425"/>
      <c r="T35" s="41"/>
      <c r="U35" s="41"/>
      <c r="V35" s="42"/>
      <c r="W35" s="43">
        <f t="shared" si="20"/>
        <v>0</v>
      </c>
      <c r="X35" s="54"/>
      <c r="Y35" s="54"/>
      <c r="Z35" s="418"/>
      <c r="AA35" s="405"/>
      <c r="AB35" s="18"/>
      <c r="AC35" s="57"/>
      <c r="AD35" s="403"/>
    </row>
    <row r="36" spans="1:30" ht="15" customHeight="1">
      <c r="A36" s="422"/>
      <c r="B36" s="232"/>
      <c r="C36" s="27"/>
      <c r="D36" s="28"/>
      <c r="E36" s="29"/>
      <c r="F36" s="13"/>
      <c r="G36" s="53"/>
      <c r="H36" s="50">
        <f t="shared" si="27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90"/>
      <c r="S36" s="425"/>
      <c r="T36" s="41"/>
      <c r="U36" s="41"/>
      <c r="V36" s="42"/>
      <c r="W36" s="43">
        <f t="shared" si="20"/>
        <v>0</v>
      </c>
      <c r="X36" s="54"/>
      <c r="Y36" s="54"/>
      <c r="Z36" s="418"/>
      <c r="AA36" s="405"/>
      <c r="AB36" s="18"/>
      <c r="AC36" s="57"/>
      <c r="AD36" s="403"/>
    </row>
    <row r="37" spans="1:30" ht="15" customHeight="1" thickBot="1">
      <c r="A37" s="423"/>
      <c r="B37" s="300"/>
      <c r="C37" s="301" t="s">
        <v>36</v>
      </c>
      <c r="D37" s="428" t="s">
        <v>7</v>
      </c>
      <c r="E37" s="429"/>
      <c r="F37" s="281"/>
      <c r="G37" s="282"/>
      <c r="H37" s="283"/>
      <c r="I37" s="284"/>
      <c r="J37" s="285">
        <f t="shared" ref="J37:O37" si="31">AVERAGE(J27:J36)</f>
        <v>16.25</v>
      </c>
      <c r="K37" s="285">
        <f t="shared" si="31"/>
        <v>1487.5</v>
      </c>
      <c r="L37" s="286">
        <f t="shared" si="31"/>
        <v>92.250816993464056</v>
      </c>
      <c r="M37" s="285">
        <f t="shared" si="31"/>
        <v>15.5</v>
      </c>
      <c r="N37" s="285">
        <f t="shared" si="31"/>
        <v>1334.8973968897908</v>
      </c>
      <c r="O37" s="286">
        <f t="shared" si="31"/>
        <v>86.328656750056368</v>
      </c>
      <c r="P37" s="73">
        <f>M37-J37</f>
        <v>-0.75</v>
      </c>
      <c r="Q37" s="74">
        <f>N37-K37</f>
        <v>-152.6026031102092</v>
      </c>
      <c r="R37" s="287">
        <f t="shared" ref="R37:R40" si="32">O37/L37</f>
        <v>0.93580370953433101</v>
      </c>
      <c r="S37" s="426"/>
      <c r="T37" s="302"/>
      <c r="U37" s="302"/>
      <c r="V37" s="81"/>
      <c r="W37" s="81"/>
      <c r="X37" s="303"/>
      <c r="Y37" s="303"/>
      <c r="Z37" s="430"/>
      <c r="AA37" s="379"/>
      <c r="AB37" s="34">
        <f t="shared" ref="AB37:AB40" si="33">N37-K37</f>
        <v>-152.6026031102092</v>
      </c>
      <c r="AC37" s="186">
        <f t="shared" ref="AC37:AC40" si="34">N37/K37</f>
        <v>0.89741001471582571</v>
      </c>
      <c r="AD37" s="403"/>
    </row>
    <row r="38" spans="1:30" s="62" customFormat="1" ht="15" customHeight="1">
      <c r="A38" s="454" t="s">
        <v>55</v>
      </c>
      <c r="B38" s="229" t="s">
        <v>134</v>
      </c>
      <c r="C38" s="199"/>
      <c r="D38" s="304" t="s">
        <v>156</v>
      </c>
      <c r="E38" s="280"/>
      <c r="F38" s="305">
        <f>VLOOKUP(D38,廠價表!$C$1:$E$39,3,0)</f>
        <v>56.43</v>
      </c>
      <c r="G38" s="266">
        <v>2570</v>
      </c>
      <c r="H38" s="125">
        <f t="shared" si="27"/>
        <v>145025.1</v>
      </c>
      <c r="I38" s="126"/>
      <c r="J38" s="274">
        <f>VLOOKUP(D38,產線配置圖!$A$2:$C$38,2,0)</f>
        <v>15</v>
      </c>
      <c r="K38" s="236">
        <f>VLOOKUP(D38,產線配置圖!$A$2:$C$38,3,0)</f>
        <v>1406</v>
      </c>
      <c r="L38" s="288">
        <f t="shared" ref="L38:L40" si="35">K38/J38</f>
        <v>93.733333333333334</v>
      </c>
      <c r="M38" s="289">
        <v>15</v>
      </c>
      <c r="N38" s="127">
        <f>G38/W38*60</f>
        <v>1295.7983193277305</v>
      </c>
      <c r="O38" s="128">
        <f>N38/M38</f>
        <v>86.386554621848703</v>
      </c>
      <c r="P38" s="129">
        <f t="shared" ref="P38:P40" si="36">M38-J38</f>
        <v>0</v>
      </c>
      <c r="Q38" s="130">
        <f t="shared" ref="Q38:Q40" si="37">O38-L38</f>
        <v>-7.3467787114846317</v>
      </c>
      <c r="R38" s="189">
        <f t="shared" si="32"/>
        <v>0.92162042626438867</v>
      </c>
      <c r="S38" s="457">
        <f>R48</f>
        <v>0.87079745644891504</v>
      </c>
      <c r="T38" s="151">
        <v>0.33263888888888887</v>
      </c>
      <c r="U38" s="151">
        <v>0.4152777777777778</v>
      </c>
      <c r="V38" s="148"/>
      <c r="W38" s="152">
        <f t="shared" si="20"/>
        <v>119.00000000000006</v>
      </c>
      <c r="X38" s="150"/>
      <c r="Y38" s="153"/>
      <c r="Z38" s="478"/>
      <c r="AA38" s="460"/>
      <c r="AB38" s="290">
        <f t="shared" si="33"/>
        <v>-110.2016806722695</v>
      </c>
      <c r="AC38" s="154">
        <f t="shared" si="34"/>
        <v>0.92162042626438867</v>
      </c>
      <c r="AD38" s="436">
        <f>AC48</f>
        <v>0.87079745644891493</v>
      </c>
    </row>
    <row r="39" spans="1:30" s="62" customFormat="1" ht="15" customHeight="1">
      <c r="A39" s="455"/>
      <c r="B39" s="56" t="s">
        <v>134</v>
      </c>
      <c r="C39" s="277"/>
      <c r="D39" s="279" t="s">
        <v>127</v>
      </c>
      <c r="E39" s="278"/>
      <c r="F39" s="56">
        <f>VLOOKUP(D39,廠價表!$C$1:$E$39,3,0)</f>
        <v>57.21</v>
      </c>
      <c r="G39" s="276">
        <v>2145</v>
      </c>
      <c r="H39" s="50">
        <f t="shared" si="27"/>
        <v>122715.45</v>
      </c>
      <c r="I39" s="64"/>
      <c r="J39" s="37">
        <v>15</v>
      </c>
      <c r="K39" s="36">
        <v>1565</v>
      </c>
      <c r="L39" s="38">
        <f t="shared" si="35"/>
        <v>104.33333333333333</v>
      </c>
      <c r="M39" s="65">
        <v>15</v>
      </c>
      <c r="N39" s="66">
        <f>G39/W39*60</f>
        <v>1286.9999999999995</v>
      </c>
      <c r="O39" s="67">
        <f t="shared" ref="O39:O40" si="38">N39/M39</f>
        <v>85.799999999999969</v>
      </c>
      <c r="P39" s="39">
        <f t="shared" si="36"/>
        <v>0</v>
      </c>
      <c r="Q39" s="40">
        <f t="shared" si="37"/>
        <v>-18.53333333333336</v>
      </c>
      <c r="R39" s="190">
        <f t="shared" si="32"/>
        <v>0.82236421725239595</v>
      </c>
      <c r="S39" s="458"/>
      <c r="T39" s="59">
        <v>0.42708333333333331</v>
      </c>
      <c r="U39" s="59">
        <v>0.49652777777777779</v>
      </c>
      <c r="V39" s="42">
        <f>(T39-U38)*24*60</f>
        <v>16.99999999999994</v>
      </c>
      <c r="W39" s="69">
        <f t="shared" si="20"/>
        <v>100.00000000000004</v>
      </c>
      <c r="X39" s="22"/>
      <c r="Y39" s="22"/>
      <c r="Z39" s="439"/>
      <c r="AA39" s="440"/>
      <c r="AB39" s="271">
        <f t="shared" si="33"/>
        <v>-278.00000000000045</v>
      </c>
      <c r="AC39" s="61">
        <f t="shared" si="34"/>
        <v>0.82236421725239583</v>
      </c>
      <c r="AD39" s="437"/>
    </row>
    <row r="40" spans="1:30" s="62" customFormat="1" ht="15" customHeight="1">
      <c r="A40" s="455"/>
      <c r="B40" s="56" t="s">
        <v>134</v>
      </c>
      <c r="C40" s="275"/>
      <c r="D40" s="279" t="s">
        <v>154</v>
      </c>
      <c r="E40" s="243"/>
      <c r="F40" s="56">
        <f>VLOOKUP(D40,廠價表!$C$1:$E$39,3,0)</f>
        <v>57.3</v>
      </c>
      <c r="G40" s="276">
        <v>1834</v>
      </c>
      <c r="H40" s="50">
        <f t="shared" si="27"/>
        <v>105088.2</v>
      </c>
      <c r="I40" s="64"/>
      <c r="J40" s="37">
        <f>VLOOKUP(D40,產線配置圖!$A$2:$C$38,2,0)</f>
        <v>15</v>
      </c>
      <c r="K40" s="36">
        <f>VLOOKUP(D40,產線配置圖!$A$2:$C$38,3,0)</f>
        <v>1385</v>
      </c>
      <c r="L40" s="38">
        <f t="shared" si="35"/>
        <v>92.333333333333329</v>
      </c>
      <c r="M40" s="65">
        <v>15</v>
      </c>
      <c r="N40" s="66">
        <f>G40/W40*60</f>
        <v>1279.5348837209301</v>
      </c>
      <c r="O40" s="67">
        <f t="shared" si="38"/>
        <v>85.302325581395337</v>
      </c>
      <c r="P40" s="39">
        <f t="shared" si="36"/>
        <v>0</v>
      </c>
      <c r="Q40" s="40">
        <f t="shared" si="37"/>
        <v>-7.0310077519379917</v>
      </c>
      <c r="R40" s="190">
        <f t="shared" si="32"/>
        <v>0.92385190160355968</v>
      </c>
      <c r="S40" s="397"/>
      <c r="T40" s="59">
        <v>0.55555555555555558</v>
      </c>
      <c r="U40" s="59">
        <v>0.61527777777777781</v>
      </c>
      <c r="V40" s="42">
        <f>(T40-U39)*24*60</f>
        <v>85.000000000000014</v>
      </c>
      <c r="W40" s="69">
        <f t="shared" si="20"/>
        <v>86.000000000000014</v>
      </c>
      <c r="X40" s="70"/>
      <c r="Y40" s="259"/>
      <c r="Z40" s="439"/>
      <c r="AA40" s="440"/>
      <c r="AB40" s="271">
        <f t="shared" si="33"/>
        <v>-105.46511627906989</v>
      </c>
      <c r="AC40" s="61">
        <f t="shared" si="34"/>
        <v>0.92385190160355968</v>
      </c>
      <c r="AD40" s="437"/>
    </row>
    <row r="41" spans="1:30" s="62" customFormat="1" ht="15" customHeight="1">
      <c r="A41" s="455"/>
      <c r="B41" s="56" t="s">
        <v>134</v>
      </c>
      <c r="C41" s="275"/>
      <c r="D41" s="279" t="s">
        <v>127</v>
      </c>
      <c r="E41" s="243"/>
      <c r="F41" s="56">
        <f>VLOOKUP(D41,廠價表!$C$1:$E$39,3,0)</f>
        <v>57.21</v>
      </c>
      <c r="G41" s="276">
        <v>884</v>
      </c>
      <c r="H41" s="50">
        <f t="shared" ref="H41" si="39">F41*G41</f>
        <v>50573.64</v>
      </c>
      <c r="I41" s="64"/>
      <c r="J41" s="37">
        <v>15</v>
      </c>
      <c r="K41" s="36">
        <v>1565</v>
      </c>
      <c r="L41" s="38">
        <f t="shared" ref="L41" si="40">K41/J41</f>
        <v>104.33333333333333</v>
      </c>
      <c r="M41" s="65">
        <v>15</v>
      </c>
      <c r="N41" s="66">
        <f>G41/W41*60</f>
        <v>1293.6585365853655</v>
      </c>
      <c r="O41" s="67">
        <f t="shared" ref="O41" si="41">N41/M41</f>
        <v>86.243902439024367</v>
      </c>
      <c r="P41" s="39">
        <f t="shared" ref="P41" si="42">M41-J41</f>
        <v>0</v>
      </c>
      <c r="Q41" s="40">
        <f t="shared" ref="Q41" si="43">O41-L41</f>
        <v>-18.089430894308961</v>
      </c>
      <c r="R41" s="190">
        <f t="shared" ref="R41" si="44">O41/L41</f>
        <v>0.82661887321748595</v>
      </c>
      <c r="S41" s="397"/>
      <c r="T41" s="59">
        <v>0.62291666666666667</v>
      </c>
      <c r="U41" s="59">
        <v>0.65138888888888891</v>
      </c>
      <c r="V41" s="42">
        <f>(T41-U40)*24*60</f>
        <v>10.999999999999961</v>
      </c>
      <c r="W41" s="69">
        <f t="shared" si="20"/>
        <v>41.000000000000014</v>
      </c>
      <c r="X41" s="70"/>
      <c r="Y41" s="259"/>
      <c r="Z41" s="439"/>
      <c r="AA41" s="440"/>
      <c r="AB41" s="271"/>
      <c r="AC41" s="61"/>
      <c r="AD41" s="437"/>
    </row>
    <row r="42" spans="1:30" s="62" customFormat="1" ht="15" customHeight="1">
      <c r="A42" s="455"/>
      <c r="B42" s="56"/>
      <c r="C42" s="23"/>
      <c r="D42" s="279"/>
      <c r="E42" s="12"/>
      <c r="F42" s="56"/>
      <c r="G42" s="276"/>
      <c r="H42" s="63"/>
      <c r="I42" s="64"/>
      <c r="J42" s="37"/>
      <c r="K42" s="36"/>
      <c r="L42" s="38"/>
      <c r="M42" s="65"/>
      <c r="N42" s="66"/>
      <c r="O42" s="67"/>
      <c r="P42" s="39"/>
      <c r="Q42" s="40"/>
      <c r="R42" s="190"/>
      <c r="S42" s="397"/>
      <c r="T42" s="75"/>
      <c r="U42" s="75"/>
      <c r="V42" s="42"/>
      <c r="W42" s="69">
        <f t="shared" si="20"/>
        <v>0</v>
      </c>
      <c r="X42" s="70"/>
      <c r="Y42" s="60"/>
      <c r="Z42" s="445"/>
      <c r="AA42" s="446"/>
      <c r="AB42" s="271"/>
      <c r="AC42" s="61"/>
      <c r="AD42" s="437"/>
    </row>
    <row r="43" spans="1:30" s="62" customFormat="1" ht="15" customHeight="1">
      <c r="A43" s="455"/>
      <c r="B43" s="230"/>
      <c r="C43" s="23"/>
      <c r="D43" s="11"/>
      <c r="E43" s="12"/>
      <c r="F43" s="13"/>
      <c r="G43" s="100"/>
      <c r="H43" s="63">
        <f t="shared" ref="H43:H47" si="45">F43*G43</f>
        <v>0</v>
      </c>
      <c r="I43" s="64"/>
      <c r="J43" s="65"/>
      <c r="K43" s="66"/>
      <c r="L43" s="67"/>
      <c r="M43" s="65"/>
      <c r="N43" s="66"/>
      <c r="O43" s="67"/>
      <c r="P43" s="39"/>
      <c r="Q43" s="40"/>
      <c r="R43" s="68"/>
      <c r="S43" s="397"/>
      <c r="T43" s="75"/>
      <c r="U43" s="75"/>
      <c r="V43" s="64"/>
      <c r="W43" s="69">
        <f>(U43-T43)*24*60</f>
        <v>0</v>
      </c>
      <c r="X43" s="70"/>
      <c r="Y43" s="67"/>
      <c r="Z43" s="405"/>
      <c r="AA43" s="405"/>
      <c r="AB43" s="71"/>
      <c r="AC43" s="61"/>
      <c r="AD43" s="437"/>
    </row>
    <row r="44" spans="1:30" s="62" customFormat="1" ht="15" customHeight="1">
      <c r="A44" s="455"/>
      <c r="B44" s="230"/>
      <c r="C44" s="183"/>
      <c r="D44" s="11"/>
      <c r="E44" s="12"/>
      <c r="F44" s="13"/>
      <c r="G44" s="100"/>
      <c r="H44" s="63">
        <f t="shared" si="45"/>
        <v>0</v>
      </c>
      <c r="I44" s="64"/>
      <c r="J44" s="65"/>
      <c r="K44" s="66"/>
      <c r="L44" s="58"/>
      <c r="M44" s="65"/>
      <c r="N44" s="66"/>
      <c r="O44" s="67"/>
      <c r="P44" s="39"/>
      <c r="Q44" s="40"/>
      <c r="R44" s="68"/>
      <c r="S44" s="397"/>
      <c r="T44" s="59"/>
      <c r="U44" s="59"/>
      <c r="V44" s="64"/>
      <c r="W44" s="69">
        <f t="shared" ref="W44:W48" si="46">(U44-T44)*24*60</f>
        <v>0</v>
      </c>
      <c r="X44" s="70"/>
      <c r="Y44" s="67"/>
      <c r="Z44" s="405"/>
      <c r="AA44" s="405"/>
      <c r="AB44" s="71"/>
      <c r="AC44" s="61"/>
      <c r="AD44" s="437"/>
    </row>
    <row r="45" spans="1:30" s="62" customFormat="1" ht="15" customHeight="1">
      <c r="A45" s="455"/>
      <c r="B45" s="231"/>
      <c r="C45" s="27"/>
      <c r="D45" s="28"/>
      <c r="E45" s="29"/>
      <c r="F45" s="13"/>
      <c r="G45" s="66"/>
      <c r="H45" s="63">
        <f t="shared" si="45"/>
        <v>0</v>
      </c>
      <c r="I45" s="64"/>
      <c r="J45" s="65"/>
      <c r="K45" s="66"/>
      <c r="L45" s="67"/>
      <c r="M45" s="65"/>
      <c r="N45" s="66"/>
      <c r="O45" s="67"/>
      <c r="P45" s="39"/>
      <c r="Q45" s="40"/>
      <c r="R45" s="68"/>
      <c r="S45" s="397"/>
      <c r="T45" s="75"/>
      <c r="U45" s="75"/>
      <c r="V45" s="64"/>
      <c r="W45" s="69">
        <f t="shared" si="46"/>
        <v>0</v>
      </c>
      <c r="X45" s="70"/>
      <c r="Y45" s="67"/>
      <c r="Z45" s="405"/>
      <c r="AA45" s="405"/>
      <c r="AB45" s="71"/>
      <c r="AC45" s="61"/>
      <c r="AD45" s="437"/>
    </row>
    <row r="46" spans="1:30" s="62" customFormat="1" ht="15" customHeight="1">
      <c r="A46" s="455"/>
      <c r="B46" s="231"/>
      <c r="C46" s="27"/>
      <c r="D46" s="28"/>
      <c r="E46" s="29"/>
      <c r="F46" s="13"/>
      <c r="G46" s="66"/>
      <c r="H46" s="63">
        <f t="shared" si="45"/>
        <v>0</v>
      </c>
      <c r="I46" s="64"/>
      <c r="J46" s="65"/>
      <c r="K46" s="66"/>
      <c r="L46" s="67"/>
      <c r="M46" s="65"/>
      <c r="N46" s="66"/>
      <c r="O46" s="67"/>
      <c r="P46" s="39"/>
      <c r="Q46" s="40"/>
      <c r="R46" s="68"/>
      <c r="S46" s="397"/>
      <c r="T46" s="59"/>
      <c r="U46" s="59"/>
      <c r="V46" s="64"/>
      <c r="W46" s="69">
        <f t="shared" si="46"/>
        <v>0</v>
      </c>
      <c r="X46" s="70"/>
      <c r="Y46" s="67"/>
      <c r="Z46" s="405"/>
      <c r="AA46" s="405"/>
      <c r="AB46" s="71"/>
      <c r="AC46" s="61"/>
      <c r="AD46" s="437"/>
    </row>
    <row r="47" spans="1:30" s="62" customFormat="1" ht="15" customHeight="1">
      <c r="A47" s="455"/>
      <c r="B47" s="230"/>
      <c r="C47" s="27"/>
      <c r="D47" s="28"/>
      <c r="E47" s="29"/>
      <c r="F47" s="13"/>
      <c r="G47" s="66"/>
      <c r="H47" s="63">
        <f t="shared" si="45"/>
        <v>0</v>
      </c>
      <c r="I47" s="64"/>
      <c r="J47" s="65"/>
      <c r="K47" s="66"/>
      <c r="L47" s="67"/>
      <c r="M47" s="65"/>
      <c r="N47" s="66"/>
      <c r="O47" s="67"/>
      <c r="P47" s="39"/>
      <c r="Q47" s="40"/>
      <c r="R47" s="68"/>
      <c r="S47" s="397"/>
      <c r="T47" s="75"/>
      <c r="U47" s="75"/>
      <c r="V47" s="64"/>
      <c r="W47" s="69">
        <f t="shared" si="46"/>
        <v>0</v>
      </c>
      <c r="X47" s="70"/>
      <c r="Y47" s="67"/>
      <c r="Z47" s="405"/>
      <c r="AA47" s="405"/>
      <c r="AB47" s="71"/>
      <c r="AC47" s="61"/>
      <c r="AD47" s="437"/>
    </row>
    <row r="48" spans="1:30" ht="15" customHeight="1" thickBot="1">
      <c r="A48" s="456"/>
      <c r="B48" s="156"/>
      <c r="C48" s="1" t="s">
        <v>37</v>
      </c>
      <c r="D48" s="410" t="s">
        <v>7</v>
      </c>
      <c r="E48" s="410"/>
      <c r="F48" s="133"/>
      <c r="G48" s="145"/>
      <c r="H48" s="135"/>
      <c r="I48" s="136"/>
      <c r="J48" s="134">
        <f t="shared" ref="J48:O48" si="47">AVERAGE(J38:J47)</f>
        <v>15</v>
      </c>
      <c r="K48" s="134">
        <f t="shared" si="47"/>
        <v>1480.25</v>
      </c>
      <c r="L48" s="137">
        <f t="shared" si="47"/>
        <v>98.683333333333323</v>
      </c>
      <c r="M48" s="134">
        <f t="shared" si="47"/>
        <v>15</v>
      </c>
      <c r="N48" s="134">
        <f t="shared" si="47"/>
        <v>1288.9979349085063</v>
      </c>
      <c r="O48" s="137">
        <f t="shared" si="47"/>
        <v>85.933195660567094</v>
      </c>
      <c r="P48" s="157">
        <f>M48-J48</f>
        <v>0</v>
      </c>
      <c r="Q48" s="158">
        <f>N48-K48</f>
        <v>-191.25206509149371</v>
      </c>
      <c r="R48" s="159">
        <f>O48/L48</f>
        <v>0.87079745644891504</v>
      </c>
      <c r="S48" s="399"/>
      <c r="T48" s="160"/>
      <c r="U48" s="160"/>
      <c r="V48" s="196"/>
      <c r="W48" s="161">
        <f t="shared" si="46"/>
        <v>0</v>
      </c>
      <c r="X48" s="162"/>
      <c r="Y48" s="162"/>
      <c r="Z48" s="391"/>
      <c r="AA48" s="391"/>
      <c r="AB48" s="163">
        <f>N48-K48</f>
        <v>-191.25206509149371</v>
      </c>
      <c r="AC48" s="191">
        <f>N48/K48</f>
        <v>0.87079745644891493</v>
      </c>
      <c r="AD48" s="438"/>
    </row>
    <row r="49" spans="1:30" ht="15" customHeight="1">
      <c r="A49" s="451" t="s">
        <v>56</v>
      </c>
      <c r="B49" s="199" t="str">
        <f>VLOOKUP(D49,廠價表!$C$1:$E$39,2,0)</f>
        <v>義大利麵</v>
      </c>
      <c r="C49" s="102"/>
      <c r="D49" s="103" t="s">
        <v>152</v>
      </c>
      <c r="E49" s="104"/>
      <c r="F49" s="199">
        <f>VLOOKUP(D49,廠價表!$C$1:$E$39,3,0)</f>
        <v>56.87</v>
      </c>
      <c r="G49" s="149">
        <v>2596</v>
      </c>
      <c r="H49" s="125">
        <f t="shared" ref="H49:H57" si="48">F49*G49</f>
        <v>147634.51999999999</v>
      </c>
      <c r="I49" s="126"/>
      <c r="J49" s="16">
        <v>19</v>
      </c>
      <c r="K49" s="14">
        <f>VLOOKUP(D49,產線配置圖!$A$2:$C$38,3,0)</f>
        <v>1565</v>
      </c>
      <c r="L49" s="109">
        <f>K49/J49</f>
        <v>82.368421052631575</v>
      </c>
      <c r="M49" s="144">
        <v>17</v>
      </c>
      <c r="N49" s="127">
        <f>G49/W49*60</f>
        <v>1390.7142857142856</v>
      </c>
      <c r="O49" s="128">
        <f>N49/M49</f>
        <v>81.806722689075627</v>
      </c>
      <c r="P49" s="164">
        <f>M49-J49</f>
        <v>-2</v>
      </c>
      <c r="Q49" s="112">
        <f>O49-L49</f>
        <v>-0.56169836355594782</v>
      </c>
      <c r="R49" s="184">
        <f>O49/L49</f>
        <v>0.99318065884500761</v>
      </c>
      <c r="S49" s="396">
        <f>R58</f>
        <v>0.95623520306182253</v>
      </c>
      <c r="T49" s="151">
        <v>0.29097222222222224</v>
      </c>
      <c r="U49" s="151">
        <v>0.36875000000000002</v>
      </c>
      <c r="V49" s="188"/>
      <c r="W49" s="152">
        <f t="shared" si="20"/>
        <v>112</v>
      </c>
      <c r="X49" s="188"/>
      <c r="Y49" s="188"/>
      <c r="Z49" s="400"/>
      <c r="AA49" s="400"/>
      <c r="AB49" s="111">
        <f>N49-K49</f>
        <v>-174.28571428571445</v>
      </c>
      <c r="AC49" s="184">
        <f>N49/K49</f>
        <v>0.88863532633500675</v>
      </c>
      <c r="AD49" s="401">
        <f>AC58</f>
        <v>0.918384196691863</v>
      </c>
    </row>
    <row r="50" spans="1:30" ht="15" customHeight="1">
      <c r="A50" s="452"/>
      <c r="B50" s="56" t="str">
        <f>VLOOKUP(D50,廠價表!$C$1:$E$39,2,0)</f>
        <v>義大利麵</v>
      </c>
      <c r="C50" s="10"/>
      <c r="D50" s="11" t="s">
        <v>65</v>
      </c>
      <c r="E50" s="86"/>
      <c r="F50" s="56">
        <f>VLOOKUP(D50,廠價表!$C$1:$E$39,3,0)</f>
        <v>49.97</v>
      </c>
      <c r="G50" s="66">
        <v>3531</v>
      </c>
      <c r="H50" s="76">
        <f t="shared" si="48"/>
        <v>176444.07</v>
      </c>
      <c r="I50" s="193"/>
      <c r="J50" s="16">
        <f>VLOOKUP(D50,產線配置圖!$A$2:$C$38,2,0)</f>
        <v>18</v>
      </c>
      <c r="K50" s="14">
        <f>VLOOKUP(D50,產線配置圖!$A$2:$C$38,3,0)</f>
        <v>1600</v>
      </c>
      <c r="L50" s="17">
        <f>K50/J50</f>
        <v>88.888888888888886</v>
      </c>
      <c r="M50" s="174">
        <v>18</v>
      </c>
      <c r="N50" s="77">
        <f>G50/W50*60</f>
        <v>1581.044776119403</v>
      </c>
      <c r="O50" s="78">
        <f>N50/M50</f>
        <v>87.835820895522389</v>
      </c>
      <c r="P50" s="18">
        <f>M50-J50</f>
        <v>0</v>
      </c>
      <c r="Q50" s="19">
        <f>O50-L50</f>
        <v>-1.053067993366497</v>
      </c>
      <c r="R50" s="185">
        <f>O50/L50</f>
        <v>0.9881529850746269</v>
      </c>
      <c r="S50" s="397"/>
      <c r="T50" s="79">
        <v>0.37916666666666665</v>
      </c>
      <c r="U50" s="79">
        <v>0.47222222222222221</v>
      </c>
      <c r="V50" s="177">
        <f t="shared" ref="V50:V51" si="49">(T50-U49)*24*60</f>
        <v>14.999999999999947</v>
      </c>
      <c r="W50" s="80">
        <f t="shared" si="20"/>
        <v>134</v>
      </c>
      <c r="X50" s="22"/>
      <c r="Y50" s="22"/>
      <c r="Z50" s="419"/>
      <c r="AA50" s="418"/>
      <c r="AB50" s="18">
        <f>N50-K50</f>
        <v>-18.955223880597032</v>
      </c>
      <c r="AC50" s="185">
        <f>N50/K50</f>
        <v>0.9881529850746269</v>
      </c>
      <c r="AD50" s="402"/>
    </row>
    <row r="51" spans="1:30" ht="15" customHeight="1">
      <c r="A51" s="452"/>
      <c r="B51" s="56" t="str">
        <f>VLOOKUP(D51,廠價表!$C$1:$E$39,2,0)</f>
        <v>義大利麵</v>
      </c>
      <c r="C51" s="10"/>
      <c r="D51" s="11" t="s">
        <v>65</v>
      </c>
      <c r="E51" s="86"/>
      <c r="F51" s="56">
        <f>VLOOKUP(D51,廠價表!$C$1:$E$39,3,0)</f>
        <v>49.97</v>
      </c>
      <c r="G51" s="66">
        <v>2333</v>
      </c>
      <c r="H51" s="76">
        <f t="shared" si="48"/>
        <v>116580.01</v>
      </c>
      <c r="I51" s="193"/>
      <c r="J51" s="16">
        <f>VLOOKUP(D51,產線配置圖!$A$2:$C$38,2,0)</f>
        <v>18</v>
      </c>
      <c r="K51" s="14">
        <f>VLOOKUP(D51,產線配置圖!$A$2:$C$38,3,0)</f>
        <v>1600</v>
      </c>
      <c r="L51" s="17">
        <f>K51/J51</f>
        <v>88.888888888888886</v>
      </c>
      <c r="M51" s="174">
        <v>18</v>
      </c>
      <c r="N51" s="77">
        <f>G51/W51*60</f>
        <v>1505.161290322581</v>
      </c>
      <c r="O51" s="78">
        <f>N51/M51</f>
        <v>83.620071684587828</v>
      </c>
      <c r="P51" s="18">
        <f>M51-J51</f>
        <v>0</v>
      </c>
      <c r="Q51" s="19">
        <f>O51-L51</f>
        <v>-5.2688172043010582</v>
      </c>
      <c r="R51" s="185">
        <f>O51/L51</f>
        <v>0.94072580645161308</v>
      </c>
      <c r="S51" s="397"/>
      <c r="T51" s="79">
        <v>0.53611111111111109</v>
      </c>
      <c r="U51" s="44">
        <v>0.60069444444444442</v>
      </c>
      <c r="V51" s="177">
        <f t="shared" si="49"/>
        <v>92</v>
      </c>
      <c r="W51" s="80">
        <f t="shared" si="20"/>
        <v>92.999999999999986</v>
      </c>
      <c r="X51" s="22" t="s">
        <v>222</v>
      </c>
      <c r="Y51" s="22">
        <v>0.52083333333333337</v>
      </c>
      <c r="Z51" s="405"/>
      <c r="AA51" s="405"/>
      <c r="AB51" s="18">
        <f>N51-K51</f>
        <v>-94.838709677419047</v>
      </c>
      <c r="AC51" s="185">
        <f>N51/K51</f>
        <v>0.94072580645161308</v>
      </c>
      <c r="AD51" s="402"/>
    </row>
    <row r="52" spans="1:30" ht="15" customHeight="1">
      <c r="A52" s="452"/>
      <c r="B52" s="56" t="str">
        <f>VLOOKUP(D52,廠價表!$C$1:$E$39,2,0)</f>
        <v>熱乾麵</v>
      </c>
      <c r="C52" s="23"/>
      <c r="D52" s="11" t="s">
        <v>144</v>
      </c>
      <c r="E52" s="12"/>
      <c r="F52" s="56">
        <f>VLOOKUP(D52,廠價表!$C$1:$E$39,3,0)</f>
        <v>49.91</v>
      </c>
      <c r="G52" s="66">
        <v>1381</v>
      </c>
      <c r="H52" s="76">
        <f t="shared" ref="H52" si="50">F52*G52</f>
        <v>68925.709999999992</v>
      </c>
      <c r="I52" s="193"/>
      <c r="J52" s="16">
        <f>VLOOKUP(D52,產線配置圖!$A$2:$C$38,2,0)</f>
        <v>17</v>
      </c>
      <c r="K52" s="14">
        <f>VLOOKUP(D52,產線配置圖!$A$2:$C$38,3,0)</f>
        <v>1565</v>
      </c>
      <c r="L52" s="17">
        <f>K52/J52</f>
        <v>92.058823529411768</v>
      </c>
      <c r="M52" s="174">
        <v>16</v>
      </c>
      <c r="N52" s="77">
        <f>G52/W52*60</f>
        <v>1336.4516129032236</v>
      </c>
      <c r="O52" s="78">
        <f>N52/M52</f>
        <v>83.528225806451474</v>
      </c>
      <c r="P52" s="18">
        <f>M52-J52</f>
        <v>-1</v>
      </c>
      <c r="Q52" s="19">
        <f>O52-L52</f>
        <v>-8.5305977229602945</v>
      </c>
      <c r="R52" s="185">
        <f>O52/L52</f>
        <v>0.90733536019787542</v>
      </c>
      <c r="S52" s="397"/>
      <c r="T52" s="79">
        <v>0.60902777777777772</v>
      </c>
      <c r="U52" s="79">
        <v>0.65208333333333335</v>
      </c>
      <c r="V52" s="177"/>
      <c r="W52" s="80">
        <f t="shared" si="20"/>
        <v>62.000000000000099</v>
      </c>
      <c r="X52" s="22"/>
      <c r="Y52" s="22"/>
      <c r="Z52" s="405"/>
      <c r="AA52" s="405"/>
      <c r="AB52" s="18"/>
      <c r="AC52" s="185"/>
      <c r="AD52" s="402"/>
    </row>
    <row r="53" spans="1:30" ht="15" customHeight="1">
      <c r="A53" s="452"/>
      <c r="B53" s="56"/>
      <c r="C53" s="23"/>
      <c r="D53" s="11"/>
      <c r="E53" s="12"/>
      <c r="F53" s="56"/>
      <c r="G53" s="66"/>
      <c r="H53" s="76"/>
      <c r="I53" s="193"/>
      <c r="J53" s="16"/>
      <c r="K53" s="14"/>
      <c r="L53" s="17"/>
      <c r="M53" s="174"/>
      <c r="N53" s="77"/>
      <c r="O53" s="78"/>
      <c r="P53" s="18"/>
      <c r="Q53" s="19"/>
      <c r="R53" s="185"/>
      <c r="S53" s="397"/>
      <c r="T53" s="79"/>
      <c r="U53" s="79"/>
      <c r="V53" s="177"/>
      <c r="W53" s="80">
        <f t="shared" si="20"/>
        <v>0</v>
      </c>
      <c r="X53" s="177"/>
      <c r="Y53" s="177"/>
      <c r="Z53" s="419"/>
      <c r="AA53" s="418"/>
      <c r="AB53" s="18"/>
      <c r="AC53" s="185"/>
      <c r="AD53" s="402"/>
    </row>
    <row r="54" spans="1:30" ht="15" customHeight="1">
      <c r="A54" s="452"/>
      <c r="B54" s="177"/>
      <c r="C54" s="183"/>
      <c r="D54" s="11"/>
      <c r="E54" s="12"/>
      <c r="F54" s="13"/>
      <c r="G54" s="66"/>
      <c r="H54" s="76">
        <f t="shared" si="48"/>
        <v>0</v>
      </c>
      <c r="I54" s="177"/>
      <c r="J54" s="31"/>
      <c r="K54" s="30"/>
      <c r="L54" s="38"/>
      <c r="M54" s="181"/>
      <c r="N54" s="30"/>
      <c r="O54" s="35"/>
      <c r="P54" s="18"/>
      <c r="Q54" s="19"/>
      <c r="R54" s="185"/>
      <c r="S54" s="397"/>
      <c r="T54" s="79"/>
      <c r="U54" s="79"/>
      <c r="V54" s="197"/>
      <c r="W54" s="80">
        <f t="shared" si="20"/>
        <v>0</v>
      </c>
      <c r="X54" s="177"/>
      <c r="Y54" s="177"/>
      <c r="Z54" s="419"/>
      <c r="AA54" s="418"/>
      <c r="AB54" s="18"/>
      <c r="AC54" s="185"/>
      <c r="AD54" s="402"/>
    </row>
    <row r="55" spans="1:30" ht="15" customHeight="1">
      <c r="A55" s="452"/>
      <c r="B55" s="26"/>
      <c r="C55" s="27"/>
      <c r="D55" s="28"/>
      <c r="E55" s="29"/>
      <c r="F55" s="13"/>
      <c r="G55" s="66"/>
      <c r="H55" s="15">
        <f t="shared" si="48"/>
        <v>0</v>
      </c>
      <c r="I55" s="177"/>
      <c r="J55" s="31"/>
      <c r="K55" s="30"/>
      <c r="L55" s="38"/>
      <c r="M55" s="181"/>
      <c r="N55" s="30"/>
      <c r="O55" s="35"/>
      <c r="P55" s="18"/>
      <c r="Q55" s="19"/>
      <c r="R55" s="185"/>
      <c r="S55" s="397"/>
      <c r="T55" s="79"/>
      <c r="U55" s="79"/>
      <c r="V55" s="197"/>
      <c r="W55" s="80">
        <f t="shared" si="20"/>
        <v>0</v>
      </c>
      <c r="X55" s="177"/>
      <c r="Y55" s="177"/>
      <c r="Z55" s="419"/>
      <c r="AA55" s="418"/>
      <c r="AB55" s="18"/>
      <c r="AC55" s="185"/>
      <c r="AD55" s="402"/>
    </row>
    <row r="56" spans="1:30" ht="15" customHeight="1">
      <c r="A56" s="452"/>
      <c r="B56" s="26"/>
      <c r="C56" s="27"/>
      <c r="D56" s="28"/>
      <c r="E56" s="29"/>
      <c r="F56" s="13"/>
      <c r="G56" s="66"/>
      <c r="H56" s="15">
        <f t="shared" si="48"/>
        <v>0</v>
      </c>
      <c r="I56" s="177"/>
      <c r="J56" s="31"/>
      <c r="K56" s="30"/>
      <c r="L56" s="38"/>
      <c r="M56" s="181"/>
      <c r="N56" s="30"/>
      <c r="O56" s="35"/>
      <c r="P56" s="18"/>
      <c r="Q56" s="19"/>
      <c r="R56" s="185"/>
      <c r="S56" s="397"/>
      <c r="T56" s="79"/>
      <c r="U56" s="79"/>
      <c r="V56" s="197"/>
      <c r="W56" s="80">
        <f t="shared" si="20"/>
        <v>0</v>
      </c>
      <c r="X56" s="177"/>
      <c r="Y56" s="177"/>
      <c r="Z56" s="405"/>
      <c r="AA56" s="405"/>
      <c r="AB56" s="18"/>
      <c r="AC56" s="185"/>
      <c r="AD56" s="402"/>
    </row>
    <row r="57" spans="1:30" ht="15" customHeight="1">
      <c r="A57" s="452"/>
      <c r="B57" s="26"/>
      <c r="C57" s="27"/>
      <c r="D57" s="28"/>
      <c r="E57" s="29"/>
      <c r="F57" s="13"/>
      <c r="G57" s="66"/>
      <c r="H57" s="15">
        <f t="shared" si="48"/>
        <v>0</v>
      </c>
      <c r="I57" s="177"/>
      <c r="J57" s="31"/>
      <c r="K57" s="30"/>
      <c r="L57" s="38"/>
      <c r="M57" s="181"/>
      <c r="N57" s="30"/>
      <c r="O57" s="35"/>
      <c r="P57" s="18"/>
      <c r="Q57" s="19"/>
      <c r="R57" s="185"/>
      <c r="S57" s="397"/>
      <c r="T57" s="79"/>
      <c r="U57" s="79"/>
      <c r="V57" s="197"/>
      <c r="W57" s="80">
        <f t="shared" si="20"/>
        <v>0</v>
      </c>
      <c r="X57" s="177"/>
      <c r="Y57" s="177"/>
      <c r="Z57" s="405"/>
      <c r="AA57" s="405"/>
      <c r="AB57" s="18"/>
      <c r="AC57" s="185"/>
      <c r="AD57" s="402"/>
    </row>
    <row r="58" spans="1:30" ht="15" customHeight="1" thickBot="1">
      <c r="A58" s="453"/>
      <c r="B58" s="165"/>
      <c r="C58" s="1" t="s">
        <v>38</v>
      </c>
      <c r="D58" s="410" t="s">
        <v>7</v>
      </c>
      <c r="E58" s="410"/>
      <c r="F58" s="114"/>
      <c r="G58" s="166"/>
      <c r="H58" s="116"/>
      <c r="I58" s="115"/>
      <c r="J58" s="118">
        <f t="shared" ref="J58:O58" si="51">AVERAGE(J49:J57)</f>
        <v>18</v>
      </c>
      <c r="K58" s="118">
        <f t="shared" si="51"/>
        <v>1582.5</v>
      </c>
      <c r="L58" s="115">
        <f t="shared" si="51"/>
        <v>88.051255589955289</v>
      </c>
      <c r="M58" s="118">
        <f t="shared" si="51"/>
        <v>17.25</v>
      </c>
      <c r="N58" s="118">
        <f t="shared" si="51"/>
        <v>1453.3429912648733</v>
      </c>
      <c r="O58" s="115">
        <f t="shared" si="51"/>
        <v>84.197710268909333</v>
      </c>
      <c r="P58" s="119">
        <f>M58-J58</f>
        <v>-0.75</v>
      </c>
      <c r="Q58" s="120">
        <f>N58-K58</f>
        <v>-129.15700873512674</v>
      </c>
      <c r="R58" s="121">
        <f t="shared" ref="R58:R60" si="52">O58/L58</f>
        <v>0.95623520306182253</v>
      </c>
      <c r="S58" s="399"/>
      <c r="T58" s="167"/>
      <c r="U58" s="167"/>
      <c r="V58" s="195"/>
      <c r="W58" s="168"/>
      <c r="X58" s="124"/>
      <c r="Y58" s="124"/>
      <c r="Z58" s="391"/>
      <c r="AA58" s="391"/>
      <c r="AB58" s="119">
        <f t="shared" ref="AB58:AB61" si="53">N58-K58</f>
        <v>-129.15700873512674</v>
      </c>
      <c r="AC58" s="187">
        <f t="shared" ref="AC58:AC61" si="54">N58/K58</f>
        <v>0.918384196691863</v>
      </c>
      <c r="AD58" s="404"/>
    </row>
    <row r="59" spans="1:30" ht="15" customHeight="1">
      <c r="A59" s="466" t="s">
        <v>57</v>
      </c>
      <c r="B59" s="199" t="str">
        <f>VLOOKUP(D59,廠價表!$C$1:$E$39,2,0)</f>
        <v>小吃、微波</v>
      </c>
      <c r="C59" s="102"/>
      <c r="D59" s="103" t="s">
        <v>125</v>
      </c>
      <c r="E59" s="104"/>
      <c r="F59" s="199">
        <f>VLOOKUP(D59,廠價表!$C$1:$E$39,3,0)</f>
        <v>26.99</v>
      </c>
      <c r="G59" s="188">
        <v>3447</v>
      </c>
      <c r="H59" s="106">
        <f t="shared" ref="H59:H68" si="55">F59*G59</f>
        <v>93034.53</v>
      </c>
      <c r="I59" s="188"/>
      <c r="J59" s="108">
        <f>VLOOKUP(D59,產線配置圖!$A$2:$C$38,2,0)</f>
        <v>13</v>
      </c>
      <c r="K59" s="105">
        <f>VLOOKUP(D59,產線配置圖!$A$2:$C$38,3,0)</f>
        <v>1565</v>
      </c>
      <c r="L59" s="109">
        <f>K59/J59</f>
        <v>120.38461538461539</v>
      </c>
      <c r="M59" s="110">
        <v>13</v>
      </c>
      <c r="N59" s="105">
        <f t="shared" ref="N59:N61" si="56">G59/W59*60</f>
        <v>1555.0375939849623</v>
      </c>
      <c r="O59" s="109">
        <f t="shared" ref="O59:O61" si="57">N59/M59</f>
        <v>119.61827646038172</v>
      </c>
      <c r="P59" s="111">
        <f t="shared" ref="P59:P61" si="58">M59-J59</f>
        <v>0</v>
      </c>
      <c r="Q59" s="112">
        <f t="shared" ref="Q59:Q61" si="59">O59-L59</f>
        <v>-0.7663389242336649</v>
      </c>
      <c r="R59" s="184">
        <f t="shared" si="52"/>
        <v>0.99363424535780343</v>
      </c>
      <c r="S59" s="396">
        <f>R69</f>
        <v>0.87976110660676499</v>
      </c>
      <c r="T59" s="169">
        <v>0.28819444444444442</v>
      </c>
      <c r="U59" s="169">
        <v>0.38055555555555554</v>
      </c>
      <c r="V59" s="188"/>
      <c r="W59" s="107">
        <f t="shared" si="20"/>
        <v>133</v>
      </c>
      <c r="X59" s="188"/>
      <c r="Y59" s="188"/>
      <c r="Z59" s="405"/>
      <c r="AA59" s="405"/>
      <c r="AB59" s="225">
        <f t="shared" si="53"/>
        <v>-9.9624060150376863</v>
      </c>
      <c r="AC59" s="226">
        <f t="shared" si="54"/>
        <v>0.99363424535780343</v>
      </c>
      <c r="AD59" s="401">
        <f>AC69</f>
        <v>0.88356284327800827</v>
      </c>
    </row>
    <row r="60" spans="1:30" ht="15" customHeight="1">
      <c r="A60" s="467"/>
      <c r="B60" s="56" t="str">
        <f>VLOOKUP(D60,廠價表!$C$1:$E$39,2,0)</f>
        <v>小吃、微波</v>
      </c>
      <c r="C60" s="10"/>
      <c r="D60" s="11" t="s">
        <v>146</v>
      </c>
      <c r="E60" s="86"/>
      <c r="F60" s="56">
        <f>VLOOKUP(D60,廠價表!$C$1:$E$39,3,0)</f>
        <v>28.47</v>
      </c>
      <c r="G60" s="177">
        <v>735</v>
      </c>
      <c r="H60" s="15">
        <f t="shared" si="55"/>
        <v>20925.45</v>
      </c>
      <c r="I60" s="177"/>
      <c r="J60" s="16">
        <f>VLOOKUP(D60,產線配置圖!$A$2:$C$38,2,0)</f>
        <v>12</v>
      </c>
      <c r="K60" s="14">
        <f>VLOOKUP(D60,產線配置圖!$A$2:$C$38,3,0)</f>
        <v>1565</v>
      </c>
      <c r="L60" s="17">
        <f>K60/J60</f>
        <v>130.41666666666666</v>
      </c>
      <c r="M60" s="180">
        <v>12</v>
      </c>
      <c r="N60" s="14">
        <f t="shared" si="56"/>
        <v>1191.891891891891</v>
      </c>
      <c r="O60" s="17">
        <f t="shared" si="57"/>
        <v>99.324324324324252</v>
      </c>
      <c r="P60" s="18">
        <f t="shared" si="58"/>
        <v>0</v>
      </c>
      <c r="Q60" s="19">
        <f t="shared" si="59"/>
        <v>-31.092342342342405</v>
      </c>
      <c r="R60" s="185">
        <f t="shared" si="52"/>
        <v>0.76159226318970674</v>
      </c>
      <c r="S60" s="470"/>
      <c r="T60" s="198">
        <v>0.39097222222222222</v>
      </c>
      <c r="U60" s="198">
        <v>0.41666666666666669</v>
      </c>
      <c r="V60" s="177">
        <f t="shared" ref="V60:V61" si="60">(T60-U59)*24*60</f>
        <v>15.000000000000027</v>
      </c>
      <c r="W60" s="90">
        <f t="shared" si="20"/>
        <v>37.000000000000028</v>
      </c>
      <c r="X60" s="193"/>
      <c r="Y60" s="193"/>
      <c r="Z60" s="405" t="s">
        <v>229</v>
      </c>
      <c r="AA60" s="405"/>
      <c r="AB60" s="227">
        <f t="shared" si="53"/>
        <v>-373.10810810810904</v>
      </c>
      <c r="AC60" s="228">
        <f t="shared" si="54"/>
        <v>0.76159226318970663</v>
      </c>
      <c r="AD60" s="473"/>
    </row>
    <row r="61" spans="1:30" ht="15" customHeight="1">
      <c r="A61" s="468"/>
      <c r="B61" s="56" t="str">
        <f>VLOOKUP(D61,廠價表!$C$1:$E$39,2,0)</f>
        <v>小吃、微波</v>
      </c>
      <c r="C61" s="10"/>
      <c r="D61" s="242" t="s">
        <v>135</v>
      </c>
      <c r="E61" s="86"/>
      <c r="F61" s="56">
        <f>VLOOKUP(D61,廠價表!$C$1:$E$39,3,0)</f>
        <v>28.26</v>
      </c>
      <c r="G61" s="177">
        <v>2446</v>
      </c>
      <c r="H61" s="15">
        <f t="shared" si="55"/>
        <v>69123.960000000006</v>
      </c>
      <c r="I61" s="81"/>
      <c r="J61" s="16">
        <f>VLOOKUP(D61,產線配置圖!$A$2:$C$38,2,0)</f>
        <v>12</v>
      </c>
      <c r="K61" s="14">
        <f>VLOOKUP(D61,產線配置圖!$A$2:$C$38,3,0)</f>
        <v>1565</v>
      </c>
      <c r="L61" s="17">
        <f t="shared" ref="L61" si="61">K61/J61</f>
        <v>130.41666666666666</v>
      </c>
      <c r="M61" s="180">
        <v>12</v>
      </c>
      <c r="N61" s="14">
        <f t="shared" si="56"/>
        <v>1276.1739130434785</v>
      </c>
      <c r="O61" s="17">
        <f t="shared" si="57"/>
        <v>106.34782608695654</v>
      </c>
      <c r="P61" s="18">
        <f t="shared" si="58"/>
        <v>0</v>
      </c>
      <c r="Q61" s="19">
        <f t="shared" si="59"/>
        <v>-24.068840579710113</v>
      </c>
      <c r="R61" s="185">
        <f>O61/L61</f>
        <v>0.81544658980413964</v>
      </c>
      <c r="S61" s="397"/>
      <c r="T61" s="20">
        <v>0.4201388888888889</v>
      </c>
      <c r="U61" s="20">
        <v>0.5</v>
      </c>
      <c r="V61" s="177">
        <f t="shared" si="60"/>
        <v>4.9999999999999822</v>
      </c>
      <c r="W61" s="88">
        <f t="shared" si="20"/>
        <v>114.99999999999999</v>
      </c>
      <c r="X61" s="22"/>
      <c r="Y61" s="22"/>
      <c r="Z61" s="405"/>
      <c r="AA61" s="405"/>
      <c r="AB61" s="51">
        <f t="shared" si="53"/>
        <v>-288.82608695652152</v>
      </c>
      <c r="AC61" s="52">
        <f t="shared" si="54"/>
        <v>0.81544658980413964</v>
      </c>
      <c r="AD61" s="402"/>
    </row>
    <row r="62" spans="1:30" ht="15" customHeight="1">
      <c r="A62" s="468"/>
      <c r="B62" s="56" t="str">
        <f>VLOOKUP(D62,廠價表!$C$1:$E$39,2,0)</f>
        <v>小吃、微波</v>
      </c>
      <c r="C62" s="23"/>
      <c r="D62" s="242" t="s">
        <v>125</v>
      </c>
      <c r="E62" s="12"/>
      <c r="F62" s="56">
        <f>VLOOKUP(D62,廠價表!$C$1:$E$39,3,0)</f>
        <v>26.99</v>
      </c>
      <c r="G62" s="177">
        <v>1131</v>
      </c>
      <c r="H62" s="15">
        <f t="shared" ref="H62" si="62">F62*G62</f>
        <v>30525.69</v>
      </c>
      <c r="I62" s="81"/>
      <c r="J62" s="16">
        <f>VLOOKUP(D62,產線配置圖!$A$2:$C$38,2,0)</f>
        <v>13</v>
      </c>
      <c r="K62" s="14">
        <f>VLOOKUP(D62,產線配置圖!$A$2:$C$38,3,0)</f>
        <v>1565</v>
      </c>
      <c r="L62" s="17">
        <f t="shared" ref="L62" si="63">K62/J62</f>
        <v>120.38461538461539</v>
      </c>
      <c r="M62" s="180">
        <v>13</v>
      </c>
      <c r="N62" s="14">
        <f t="shared" ref="N62" si="64">G62/W62*60</f>
        <v>1508</v>
      </c>
      <c r="O62" s="17">
        <f t="shared" ref="O62" si="65">N62/M62</f>
        <v>116</v>
      </c>
      <c r="P62" s="18">
        <f t="shared" ref="P62" si="66">M62-J62</f>
        <v>0</v>
      </c>
      <c r="Q62" s="19">
        <f t="shared" ref="Q62" si="67">O62-L62</f>
        <v>-4.3846153846153868</v>
      </c>
      <c r="R62" s="185">
        <f>O62/L62</f>
        <v>0.96357827476038338</v>
      </c>
      <c r="S62" s="397"/>
      <c r="T62" s="20">
        <v>0.55555555555555558</v>
      </c>
      <c r="U62" s="20">
        <v>0.58680555555555558</v>
      </c>
      <c r="V62" s="177"/>
      <c r="W62" s="90">
        <f t="shared" si="20"/>
        <v>45</v>
      </c>
      <c r="X62" s="22"/>
      <c r="Y62" s="22"/>
      <c r="Z62" s="405"/>
      <c r="AA62" s="405"/>
      <c r="AB62" s="51"/>
      <c r="AC62" s="52"/>
      <c r="AD62" s="402"/>
    </row>
    <row r="63" spans="1:30" ht="15" customHeight="1">
      <c r="A63" s="468"/>
      <c r="B63" s="56"/>
      <c r="C63" s="10"/>
      <c r="D63" s="242"/>
      <c r="E63" s="86"/>
      <c r="F63" s="56"/>
      <c r="G63" s="177"/>
      <c r="H63" s="15"/>
      <c r="I63" s="81"/>
      <c r="J63" s="16"/>
      <c r="K63" s="14"/>
      <c r="L63" s="17"/>
      <c r="M63" s="180"/>
      <c r="N63" s="14"/>
      <c r="O63" s="17"/>
      <c r="P63" s="18"/>
      <c r="Q63" s="19"/>
      <c r="R63" s="185"/>
      <c r="S63" s="397"/>
      <c r="T63" s="20"/>
      <c r="U63" s="20"/>
      <c r="V63" s="177"/>
      <c r="W63" s="90">
        <f t="shared" si="20"/>
        <v>0</v>
      </c>
      <c r="X63" s="84"/>
      <c r="Y63" s="84"/>
      <c r="Z63" s="405"/>
      <c r="AA63" s="405"/>
      <c r="AB63" s="51"/>
      <c r="AC63" s="52"/>
      <c r="AD63" s="402"/>
    </row>
    <row r="64" spans="1:30" ht="15" customHeight="1">
      <c r="A64" s="468"/>
      <c r="B64" s="56"/>
      <c r="C64" s="10"/>
      <c r="D64" s="242"/>
      <c r="E64" s="86"/>
      <c r="F64" s="56"/>
      <c r="G64" s="177"/>
      <c r="H64" s="15"/>
      <c r="I64" s="81"/>
      <c r="J64" s="16"/>
      <c r="K64" s="14"/>
      <c r="L64" s="17"/>
      <c r="M64" s="180"/>
      <c r="N64" s="14"/>
      <c r="O64" s="17"/>
      <c r="P64" s="18"/>
      <c r="Q64" s="19"/>
      <c r="R64" s="185"/>
      <c r="S64" s="397"/>
      <c r="T64" s="20"/>
      <c r="U64" s="20"/>
      <c r="V64" s="177"/>
      <c r="W64" s="182">
        <f t="shared" si="20"/>
        <v>0</v>
      </c>
      <c r="X64" s="84"/>
      <c r="Y64" s="84"/>
      <c r="Z64" s="419"/>
      <c r="AA64" s="418"/>
      <c r="AB64" s="18"/>
      <c r="AC64" s="55"/>
      <c r="AD64" s="402"/>
    </row>
    <row r="65" spans="1:32" ht="15" customHeight="1">
      <c r="A65" s="468"/>
      <c r="B65" s="177"/>
      <c r="C65" s="183"/>
      <c r="D65" s="11"/>
      <c r="E65" s="12"/>
      <c r="F65" s="13"/>
      <c r="G65" s="177"/>
      <c r="H65" s="15"/>
      <c r="I65" s="177"/>
      <c r="J65" s="16"/>
      <c r="K65" s="82"/>
      <c r="L65" s="83"/>
      <c r="M65" s="180"/>
      <c r="N65" s="14"/>
      <c r="O65" s="17"/>
      <c r="P65" s="18"/>
      <c r="Q65" s="19"/>
      <c r="R65" s="185"/>
      <c r="S65" s="397"/>
      <c r="T65" s="20"/>
      <c r="U65" s="20"/>
      <c r="V65" s="177"/>
      <c r="W65" s="182">
        <f t="shared" si="20"/>
        <v>0</v>
      </c>
      <c r="X65" s="84"/>
      <c r="Y65" s="84"/>
      <c r="Z65" s="419"/>
      <c r="AA65" s="418"/>
      <c r="AB65" s="18"/>
      <c r="AC65" s="55"/>
      <c r="AD65" s="402"/>
    </row>
    <row r="66" spans="1:32" ht="15" customHeight="1">
      <c r="A66" s="468"/>
      <c r="B66" s="26"/>
      <c r="C66" s="27"/>
      <c r="D66" s="28"/>
      <c r="E66" s="29"/>
      <c r="F66" s="13"/>
      <c r="G66" s="183"/>
      <c r="H66" s="15">
        <f t="shared" si="55"/>
        <v>0</v>
      </c>
      <c r="I66" s="85"/>
      <c r="J66" s="16"/>
      <c r="K66" s="14"/>
      <c r="L66" s="17"/>
      <c r="M66" s="21"/>
      <c r="N66" s="36"/>
      <c r="O66" s="38"/>
      <c r="P66" s="39"/>
      <c r="Q66" s="40"/>
      <c r="R66" s="68"/>
      <c r="S66" s="397"/>
      <c r="T66" s="20"/>
      <c r="U66" s="20"/>
      <c r="V66" s="177"/>
      <c r="W66" s="182">
        <f t="shared" si="20"/>
        <v>0</v>
      </c>
      <c r="X66" s="84"/>
      <c r="Y66" s="84"/>
      <c r="Z66" s="405"/>
      <c r="AA66" s="405"/>
      <c r="AB66" s="18"/>
      <c r="AC66" s="55"/>
      <c r="AD66" s="402"/>
    </row>
    <row r="67" spans="1:32" ht="15" customHeight="1">
      <c r="A67" s="468"/>
      <c r="B67" s="26"/>
      <c r="C67" s="27"/>
      <c r="D67" s="28"/>
      <c r="E67" s="29"/>
      <c r="F67" s="13"/>
      <c r="G67" s="177"/>
      <c r="H67" s="15">
        <f t="shared" si="55"/>
        <v>0</v>
      </c>
      <c r="I67" s="177"/>
      <c r="J67" s="16"/>
      <c r="K67" s="14"/>
      <c r="L67" s="17"/>
      <c r="M67" s="21"/>
      <c r="N67" s="36"/>
      <c r="O67" s="38"/>
      <c r="P67" s="39"/>
      <c r="Q67" s="40"/>
      <c r="R67" s="68"/>
      <c r="S67" s="397"/>
      <c r="T67" s="20"/>
      <c r="U67" s="20"/>
      <c r="V67" s="177"/>
      <c r="W67" s="182">
        <f t="shared" si="20"/>
        <v>0</v>
      </c>
      <c r="X67" s="84"/>
      <c r="Y67" s="84"/>
      <c r="Z67" s="419"/>
      <c r="AA67" s="418"/>
      <c r="AB67" s="18"/>
      <c r="AC67" s="55"/>
      <c r="AD67" s="402"/>
    </row>
    <row r="68" spans="1:32" ht="15" customHeight="1">
      <c r="A68" s="468"/>
      <c r="B68" s="26"/>
      <c r="C68" s="27"/>
      <c r="D68" s="28"/>
      <c r="E68" s="29"/>
      <c r="F68" s="13"/>
      <c r="G68" s="183"/>
      <c r="H68" s="15">
        <f t="shared" si="55"/>
        <v>0</v>
      </c>
      <c r="I68" s="85"/>
      <c r="J68" s="16"/>
      <c r="K68" s="260"/>
      <c r="L68" s="261"/>
      <c r="M68" s="21"/>
      <c r="N68" s="36"/>
      <c r="O68" s="38"/>
      <c r="P68" s="39"/>
      <c r="Q68" s="40"/>
      <c r="R68" s="68"/>
      <c r="S68" s="397"/>
      <c r="T68" s="20"/>
      <c r="U68" s="20"/>
      <c r="V68" s="177"/>
      <c r="W68" s="182">
        <f t="shared" si="20"/>
        <v>0</v>
      </c>
      <c r="X68" s="84"/>
      <c r="Y68" s="84"/>
      <c r="Z68" s="419"/>
      <c r="AA68" s="418"/>
      <c r="AB68" s="18"/>
      <c r="AC68" s="55"/>
      <c r="AD68" s="402"/>
    </row>
    <row r="69" spans="1:32" ht="15" customHeight="1" thickBot="1">
      <c r="A69" s="469"/>
      <c r="B69" s="165"/>
      <c r="C69" s="1" t="s">
        <v>39</v>
      </c>
      <c r="D69" s="410" t="s">
        <v>7</v>
      </c>
      <c r="E69" s="410"/>
      <c r="F69" s="114"/>
      <c r="G69" s="115"/>
      <c r="H69" s="116"/>
      <c r="I69" s="170"/>
      <c r="J69" s="166">
        <f t="shared" ref="J69:O69" si="68">AVERAGE(J59:J68)</f>
        <v>12.5</v>
      </c>
      <c r="K69" s="166">
        <f t="shared" si="68"/>
        <v>1565</v>
      </c>
      <c r="L69" s="171">
        <f t="shared" si="68"/>
        <v>125.40064102564102</v>
      </c>
      <c r="M69" s="166">
        <f t="shared" si="68"/>
        <v>12.5</v>
      </c>
      <c r="N69" s="166">
        <f t="shared" si="68"/>
        <v>1382.7758497300829</v>
      </c>
      <c r="O69" s="171">
        <f t="shared" si="68"/>
        <v>110.32260671791563</v>
      </c>
      <c r="P69" s="172">
        <f>M69-J69</f>
        <v>0</v>
      </c>
      <c r="Q69" s="158">
        <f>N69-K69</f>
        <v>-182.22415026991712</v>
      </c>
      <c r="R69" s="121">
        <f>O69/L69</f>
        <v>0.87976110660676499</v>
      </c>
      <c r="S69" s="399"/>
      <c r="T69" s="122"/>
      <c r="U69" s="122"/>
      <c r="V69" s="195"/>
      <c r="W69" s="168"/>
      <c r="X69" s="124"/>
      <c r="Y69" s="124"/>
      <c r="Z69" s="405"/>
      <c r="AA69" s="405"/>
      <c r="AB69" s="119">
        <f>N69-K69</f>
        <v>-182.22415026991712</v>
      </c>
      <c r="AC69" s="187">
        <f>N69/K69</f>
        <v>0.88356284327800827</v>
      </c>
      <c r="AD69" s="404"/>
    </row>
    <row r="70" spans="1:32" ht="15" customHeight="1">
      <c r="A70" s="461" t="s">
        <v>58</v>
      </c>
      <c r="B70" s="199"/>
      <c r="C70" s="199"/>
      <c r="D70" s="103"/>
      <c r="E70" s="104"/>
      <c r="F70" s="199"/>
      <c r="G70" s="188"/>
      <c r="H70" s="106"/>
      <c r="I70" s="188"/>
      <c r="J70" s="108"/>
      <c r="K70" s="105"/>
      <c r="L70" s="109"/>
      <c r="M70" s="110"/>
      <c r="N70" s="105"/>
      <c r="O70" s="109"/>
      <c r="P70" s="111"/>
      <c r="Q70" s="112"/>
      <c r="R70" s="184"/>
      <c r="S70" s="396">
        <f>R79</f>
        <v>0</v>
      </c>
      <c r="T70" s="169"/>
      <c r="U70" s="169"/>
      <c r="V70" s="188"/>
      <c r="W70" s="107">
        <f t="shared" si="20"/>
        <v>0</v>
      </c>
      <c r="X70" s="296"/>
      <c r="Y70" s="296"/>
      <c r="Z70" s="465"/>
      <c r="AA70" s="427"/>
      <c r="AB70" s="225">
        <f t="shared" ref="AB70" si="69">N70-K70</f>
        <v>0</v>
      </c>
      <c r="AC70" s="226" t="e">
        <f t="shared" ref="AC70" si="70">N70/K70</f>
        <v>#DIV/0!</v>
      </c>
      <c r="AD70" s="401" t="e">
        <f>AC79</f>
        <v>#DIV/0!</v>
      </c>
    </row>
    <row r="71" spans="1:32" ht="15" customHeight="1">
      <c r="A71" s="462"/>
      <c r="B71" s="56"/>
      <c r="C71" s="10"/>
      <c r="D71" s="11"/>
      <c r="E71" s="86"/>
      <c r="F71" s="56"/>
      <c r="G71" s="66"/>
      <c r="H71" s="76"/>
      <c r="I71" s="193"/>
      <c r="J71" s="16"/>
      <c r="K71" s="14"/>
      <c r="L71" s="17"/>
      <c r="M71" s="180"/>
      <c r="N71" s="14"/>
      <c r="O71" s="17"/>
      <c r="P71" s="18"/>
      <c r="Q71" s="19"/>
      <c r="R71" s="185"/>
      <c r="S71" s="397"/>
      <c r="T71" s="20"/>
      <c r="U71" s="20"/>
      <c r="V71" s="177"/>
      <c r="W71" s="182">
        <f t="shared" si="20"/>
        <v>0</v>
      </c>
      <c r="X71" s="298"/>
      <c r="Y71" s="299"/>
      <c r="Z71" s="439"/>
      <c r="AA71" s="440"/>
      <c r="AB71" s="39"/>
      <c r="AC71" s="190"/>
      <c r="AD71" s="447"/>
    </row>
    <row r="72" spans="1:32" ht="15" customHeight="1">
      <c r="A72" s="462"/>
      <c r="B72" s="56"/>
      <c r="C72" s="10"/>
      <c r="D72" s="11"/>
      <c r="E72" s="86"/>
      <c r="F72" s="56"/>
      <c r="G72" s="66"/>
      <c r="H72" s="76"/>
      <c r="I72" s="193"/>
      <c r="J72" s="16"/>
      <c r="K72" s="14"/>
      <c r="L72" s="17"/>
      <c r="M72" s="180"/>
      <c r="N72" s="14"/>
      <c r="O72" s="17"/>
      <c r="P72" s="18"/>
      <c r="Q72" s="19"/>
      <c r="R72" s="185"/>
      <c r="S72" s="397"/>
      <c r="T72" s="20"/>
      <c r="U72" s="20"/>
      <c r="V72" s="177"/>
      <c r="W72" s="182">
        <f t="shared" si="20"/>
        <v>0</v>
      </c>
      <c r="X72" s="297"/>
      <c r="Y72" s="297"/>
      <c r="Z72" s="405"/>
      <c r="AA72" s="419"/>
      <c r="AB72" s="39"/>
      <c r="AC72" s="190"/>
      <c r="AD72" s="447"/>
    </row>
    <row r="73" spans="1:32" ht="15" customHeight="1">
      <c r="A73" s="462"/>
      <c r="B73" s="56"/>
      <c r="C73" s="23"/>
      <c r="D73" s="11"/>
      <c r="E73" s="12"/>
      <c r="F73" s="56"/>
      <c r="G73" s="66"/>
      <c r="H73" s="76"/>
      <c r="I73" s="193"/>
      <c r="J73" s="16"/>
      <c r="K73" s="14"/>
      <c r="L73" s="17"/>
      <c r="M73" s="180"/>
      <c r="N73" s="14"/>
      <c r="O73" s="17"/>
      <c r="P73" s="18"/>
      <c r="Q73" s="19"/>
      <c r="R73" s="185"/>
      <c r="S73" s="397"/>
      <c r="T73" s="20"/>
      <c r="U73" s="20"/>
      <c r="V73" s="177"/>
      <c r="W73" s="182">
        <f t="shared" si="20"/>
        <v>0</v>
      </c>
      <c r="X73" s="22"/>
      <c r="Y73" s="22"/>
      <c r="Z73" s="405"/>
      <c r="AA73" s="419"/>
      <c r="AB73" s="39"/>
      <c r="AC73" s="190"/>
      <c r="AD73" s="447"/>
    </row>
    <row r="74" spans="1:32" ht="15" customHeight="1">
      <c r="A74" s="462"/>
      <c r="B74" s="56"/>
      <c r="C74" s="249"/>
      <c r="D74" s="250"/>
      <c r="E74" s="251"/>
      <c r="F74" s="56"/>
      <c r="G74" s="238"/>
      <c r="H74" s="76">
        <f t="shared" ref="H74:H78" si="71">F74*G74</f>
        <v>0</v>
      </c>
      <c r="I74" s="81"/>
      <c r="J74" s="234"/>
      <c r="K74" s="36"/>
      <c r="L74" s="235"/>
      <c r="M74" s="21"/>
      <c r="N74" s="36"/>
      <c r="O74" s="38"/>
      <c r="P74" s="39"/>
      <c r="Q74" s="40"/>
      <c r="R74" s="190"/>
      <c r="S74" s="397"/>
      <c r="T74" s="20"/>
      <c r="U74" s="20"/>
      <c r="V74" s="177"/>
      <c r="W74" s="182">
        <f t="shared" si="20"/>
        <v>0</v>
      </c>
      <c r="X74" s="22"/>
      <c r="Y74" s="22"/>
      <c r="Z74" s="405"/>
      <c r="AA74" s="419"/>
      <c r="AB74" s="39"/>
      <c r="AC74" s="190"/>
      <c r="AD74" s="447"/>
    </row>
    <row r="75" spans="1:32" ht="15" customHeight="1">
      <c r="A75" s="462"/>
      <c r="B75" s="177"/>
      <c r="C75" s="183"/>
      <c r="D75" s="11"/>
      <c r="E75" s="12"/>
      <c r="F75" s="13"/>
      <c r="G75" s="177"/>
      <c r="H75" s="15">
        <f t="shared" si="71"/>
        <v>0</v>
      </c>
      <c r="I75" s="81"/>
      <c r="J75" s="87"/>
      <c r="K75" s="82"/>
      <c r="L75" s="83"/>
      <c r="M75" s="181"/>
      <c r="N75" s="82"/>
      <c r="O75" s="83"/>
      <c r="P75" s="73"/>
      <c r="Q75" s="74"/>
      <c r="R75" s="192"/>
      <c r="S75" s="397"/>
      <c r="T75" s="20"/>
      <c r="U75" s="20"/>
      <c r="V75" s="177"/>
      <c r="W75" s="88">
        <f t="shared" si="20"/>
        <v>0</v>
      </c>
      <c r="X75" s="89"/>
      <c r="Y75" s="89"/>
      <c r="Z75" s="406"/>
      <c r="AA75" s="406"/>
      <c r="AB75" s="306"/>
      <c r="AC75" s="307"/>
      <c r="AD75" s="402"/>
    </row>
    <row r="76" spans="1:32" ht="15" customHeight="1">
      <c r="A76" s="462"/>
      <c r="B76" s="26"/>
      <c r="C76" s="27"/>
      <c r="D76" s="28"/>
      <c r="E76" s="29"/>
      <c r="F76" s="13"/>
      <c r="G76" s="177"/>
      <c r="H76" s="15">
        <f t="shared" si="71"/>
        <v>0</v>
      </c>
      <c r="I76" s="81"/>
      <c r="J76" s="87"/>
      <c r="K76" s="82"/>
      <c r="L76" s="83"/>
      <c r="M76" s="181"/>
      <c r="N76" s="82"/>
      <c r="O76" s="83"/>
      <c r="P76" s="73"/>
      <c r="Q76" s="74"/>
      <c r="R76" s="192"/>
      <c r="S76" s="398"/>
      <c r="T76" s="20"/>
      <c r="U76" s="20"/>
      <c r="V76" s="177"/>
      <c r="W76" s="90">
        <f t="shared" si="20"/>
        <v>0</v>
      </c>
      <c r="X76" s="78"/>
      <c r="Y76" s="78"/>
      <c r="Z76" s="445"/>
      <c r="AA76" s="445"/>
      <c r="AB76" s="51"/>
      <c r="AC76" s="52"/>
      <c r="AD76" s="403"/>
    </row>
    <row r="77" spans="1:32" ht="15" customHeight="1">
      <c r="A77" s="462"/>
      <c r="B77" s="26"/>
      <c r="C77" s="27"/>
      <c r="D77" s="28"/>
      <c r="E77" s="29"/>
      <c r="F77" s="13"/>
      <c r="G77" s="177"/>
      <c r="H77" s="15">
        <f t="shared" si="71"/>
        <v>0</v>
      </c>
      <c r="I77" s="81"/>
      <c r="J77" s="87"/>
      <c r="K77" s="82"/>
      <c r="L77" s="83"/>
      <c r="M77" s="181"/>
      <c r="N77" s="82"/>
      <c r="O77" s="83"/>
      <c r="P77" s="73"/>
      <c r="Q77" s="74"/>
      <c r="R77" s="192"/>
      <c r="S77" s="398"/>
      <c r="T77" s="20"/>
      <c r="U77" s="20"/>
      <c r="V77" s="177"/>
      <c r="W77" s="182">
        <f t="shared" si="20"/>
        <v>0</v>
      </c>
      <c r="X77" s="84"/>
      <c r="Y77" s="84"/>
      <c r="Z77" s="405"/>
      <c r="AA77" s="405"/>
      <c r="AB77" s="18"/>
      <c r="AC77" s="55"/>
      <c r="AD77" s="403"/>
    </row>
    <row r="78" spans="1:32" ht="15" customHeight="1">
      <c r="A78" s="462"/>
      <c r="B78" s="26"/>
      <c r="C78" s="27"/>
      <c r="D78" s="28"/>
      <c r="E78" s="29"/>
      <c r="F78" s="13"/>
      <c r="G78" s="177"/>
      <c r="H78" s="15">
        <f t="shared" si="71"/>
        <v>0</v>
      </c>
      <c r="I78" s="85"/>
      <c r="J78" s="37"/>
      <c r="K78" s="36"/>
      <c r="L78" s="83"/>
      <c r="M78" s="21"/>
      <c r="N78" s="36"/>
      <c r="O78" s="38"/>
      <c r="P78" s="39"/>
      <c r="Q78" s="40"/>
      <c r="R78" s="190"/>
      <c r="S78" s="464"/>
      <c r="T78" s="32"/>
      <c r="U78" s="32"/>
      <c r="V78" s="178"/>
      <c r="W78" s="182">
        <f t="shared" si="20"/>
        <v>0</v>
      </c>
      <c r="X78" s="91"/>
      <c r="Y78" s="91"/>
      <c r="Z78" s="405"/>
      <c r="AA78" s="405"/>
      <c r="AB78" s="34"/>
      <c r="AC78" s="57"/>
      <c r="AD78" s="403"/>
    </row>
    <row r="79" spans="1:32" ht="15" customHeight="1" thickBot="1">
      <c r="A79" s="463"/>
      <c r="B79" s="165"/>
      <c r="C79" s="1" t="s">
        <v>40</v>
      </c>
      <c r="D79" s="410" t="s">
        <v>7</v>
      </c>
      <c r="E79" s="410"/>
      <c r="F79" s="114"/>
      <c r="G79" s="115"/>
      <c r="H79" s="173"/>
      <c r="I79" s="171"/>
      <c r="J79" s="166" t="e">
        <f t="shared" ref="J79" si="72">AVERAGE(J70:J78)</f>
        <v>#DIV/0!</v>
      </c>
      <c r="K79" s="166"/>
      <c r="L79" s="171"/>
      <c r="M79" s="166"/>
      <c r="N79" s="166"/>
      <c r="O79" s="171"/>
      <c r="P79" s="172"/>
      <c r="Q79" s="158"/>
      <c r="R79" s="159"/>
      <c r="S79" s="399"/>
      <c r="T79" s="122"/>
      <c r="U79" s="122"/>
      <c r="V79" s="195"/>
      <c r="W79" s="168"/>
      <c r="X79" s="124"/>
      <c r="Y79" s="124"/>
      <c r="Z79" s="391"/>
      <c r="AA79" s="391"/>
      <c r="AB79" s="119">
        <f>N79-K79</f>
        <v>0</v>
      </c>
      <c r="AC79" s="187" t="e">
        <f>N79/K79</f>
        <v>#DIV/0!</v>
      </c>
      <c r="AD79" s="404"/>
    </row>
    <row r="80" spans="1:32">
      <c r="AF80" s="93" t="s">
        <v>41</v>
      </c>
    </row>
    <row r="81" spans="4:32">
      <c r="AF81" s="93" t="s">
        <v>42</v>
      </c>
    </row>
    <row r="82" spans="4:32">
      <c r="AF82" s="93" t="s">
        <v>43</v>
      </c>
    </row>
    <row r="83" spans="4:32">
      <c r="D83" s="220"/>
      <c r="W83" s="6"/>
      <c r="AF83" s="93" t="s">
        <v>44</v>
      </c>
    </row>
    <row r="84" spans="4:32">
      <c r="D84" s="224"/>
      <c r="W84" s="6"/>
      <c r="AF84" s="93" t="s">
        <v>45</v>
      </c>
    </row>
    <row r="85" spans="4:32">
      <c r="D85" s="224"/>
      <c r="W85" s="6"/>
      <c r="AF85" s="93" t="s">
        <v>46</v>
      </c>
    </row>
    <row r="86" spans="4:32">
      <c r="D86" s="155"/>
      <c r="W86" s="6"/>
      <c r="AF86" s="93" t="s">
        <v>47</v>
      </c>
    </row>
    <row r="87" spans="4:32">
      <c r="W87" s="6"/>
      <c r="AF87" s="93" t="s">
        <v>48</v>
      </c>
    </row>
    <row r="88" spans="4:32">
      <c r="W88" s="6"/>
      <c r="AF88" s="93" t="s">
        <v>49</v>
      </c>
    </row>
    <row r="89" spans="4:32">
      <c r="W89" s="6"/>
      <c r="AF89" s="93" t="s">
        <v>50</v>
      </c>
    </row>
    <row r="90" spans="4:32">
      <c r="W90" s="6"/>
      <c r="AF90" s="93" t="s">
        <v>51</v>
      </c>
    </row>
    <row r="91" spans="4:32">
      <c r="W91" s="6"/>
      <c r="AF91" s="93" t="s">
        <v>52</v>
      </c>
    </row>
    <row r="92" spans="4:32">
      <c r="W92" s="6"/>
      <c r="AF92" s="93" t="s">
        <v>53</v>
      </c>
    </row>
  </sheetData>
  <autoFilter ref="D1:D92" xr:uid="{EF5AD393-5A39-4C0E-A7B0-465235F2AB14}"/>
  <mergeCells count="135"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  <mergeCell ref="D69:E69"/>
    <mergeCell ref="Z69:AA69"/>
    <mergeCell ref="A70:A79"/>
    <mergeCell ref="S70:S79"/>
    <mergeCell ref="Z70:AA70"/>
    <mergeCell ref="D79:E79"/>
    <mergeCell ref="A59:A69"/>
    <mergeCell ref="S59:S69"/>
    <mergeCell ref="Z59:AA59"/>
    <mergeCell ref="AD59:AD69"/>
    <mergeCell ref="Z60:AA60"/>
    <mergeCell ref="Z61:AA61"/>
    <mergeCell ref="Z62:AA62"/>
    <mergeCell ref="Z63:AA63"/>
    <mergeCell ref="Z64:AA64"/>
    <mergeCell ref="Z65:AA65"/>
    <mergeCell ref="AD49:AD58"/>
    <mergeCell ref="Z50:AA50"/>
    <mergeCell ref="Z51:AA51"/>
    <mergeCell ref="Z52:AA52"/>
    <mergeCell ref="Z53:AA53"/>
    <mergeCell ref="Z54:AA54"/>
    <mergeCell ref="Z55:AA55"/>
    <mergeCell ref="Z56:AA56"/>
    <mergeCell ref="Z57:AA57"/>
    <mergeCell ref="Z58:AA58"/>
    <mergeCell ref="Z66:AA66"/>
    <mergeCell ref="Z67:AA67"/>
    <mergeCell ref="Z68:AA68"/>
    <mergeCell ref="D48:E48"/>
    <mergeCell ref="Z48:AA48"/>
    <mergeCell ref="A49:A58"/>
    <mergeCell ref="S49:S58"/>
    <mergeCell ref="Z49:AA49"/>
    <mergeCell ref="D58:E58"/>
    <mergeCell ref="A38:A48"/>
    <mergeCell ref="S38:S48"/>
    <mergeCell ref="Z38:AA38"/>
    <mergeCell ref="AD38:AD48"/>
    <mergeCell ref="Z39:AA39"/>
    <mergeCell ref="Z40:AA40"/>
    <mergeCell ref="Z41:AA41"/>
    <mergeCell ref="Z42:AA42"/>
    <mergeCell ref="Z43:AA43"/>
    <mergeCell ref="Z44:AA44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Z45:AA45"/>
    <mergeCell ref="Z46:AA46"/>
    <mergeCell ref="Z47:AA47"/>
    <mergeCell ref="D26:E26"/>
    <mergeCell ref="Z26:AA26"/>
    <mergeCell ref="A27:A37"/>
    <mergeCell ref="S27:S37"/>
    <mergeCell ref="Z27:AA27"/>
    <mergeCell ref="D37:E37"/>
    <mergeCell ref="Z37:AA37"/>
    <mergeCell ref="A16:A26"/>
    <mergeCell ref="S16:S26"/>
    <mergeCell ref="Z16:AA16"/>
    <mergeCell ref="AD16:AD26"/>
    <mergeCell ref="Z17:AA17"/>
    <mergeCell ref="Z18:AA18"/>
    <mergeCell ref="Z19:AA19"/>
    <mergeCell ref="Z20:AA20"/>
    <mergeCell ref="Z21:AA21"/>
    <mergeCell ref="Z22:AA22"/>
    <mergeCell ref="Z10:AA10"/>
    <mergeCell ref="Z11:AA11"/>
    <mergeCell ref="Z12:AA12"/>
    <mergeCell ref="Z13:AA13"/>
    <mergeCell ref="Z14:AA14"/>
    <mergeCell ref="Z23:AA23"/>
    <mergeCell ref="Z24:AA24"/>
    <mergeCell ref="Z25:AA25"/>
    <mergeCell ref="Z15:AA15"/>
    <mergeCell ref="S5:S15"/>
    <mergeCell ref="Z5:AA5"/>
    <mergeCell ref="AD5:AD15"/>
    <mergeCell ref="Z6:AA6"/>
    <mergeCell ref="Z7:AA7"/>
    <mergeCell ref="Z8:AA8"/>
    <mergeCell ref="Z9:AA9"/>
    <mergeCell ref="T3:U3"/>
    <mergeCell ref="V3:V4"/>
    <mergeCell ref="W3:W4"/>
    <mergeCell ref="X3:Y3"/>
    <mergeCell ref="Z3:AA4"/>
    <mergeCell ref="AB3:AB4"/>
    <mergeCell ref="S3:S4"/>
    <mergeCell ref="A2:B2"/>
    <mergeCell ref="A3:A4"/>
    <mergeCell ref="B3:B4"/>
    <mergeCell ref="D3:E4"/>
    <mergeCell ref="F3:F4"/>
    <mergeCell ref="G3:G4"/>
    <mergeCell ref="J1:L2"/>
    <mergeCell ref="M1:O2"/>
    <mergeCell ref="D15:E15"/>
    <mergeCell ref="A5:A15"/>
    <mergeCell ref="N3:N4"/>
    <mergeCell ref="O3:O4"/>
    <mergeCell ref="P1:S2"/>
    <mergeCell ref="T1:Y2"/>
    <mergeCell ref="Z1:AA2"/>
    <mergeCell ref="AB1:AD2"/>
    <mergeCell ref="H3:H4"/>
    <mergeCell ref="I3:I4"/>
    <mergeCell ref="J3:J4"/>
    <mergeCell ref="K3:K4"/>
    <mergeCell ref="L3:L4"/>
    <mergeCell ref="M3:M4"/>
    <mergeCell ref="AC3:AC4"/>
    <mergeCell ref="AD3:AD4"/>
    <mergeCell ref="P3:P4"/>
    <mergeCell ref="Q3:Q4"/>
    <mergeCell ref="R3:R4"/>
  </mergeCells>
  <phoneticPr fontId="2" type="noConversion"/>
  <conditionalFormatting sqref="P5:P79">
    <cfRule type="cellIs" dxfId="78" priority="1" operator="greaterThan">
      <formula>0</formula>
    </cfRule>
  </conditionalFormatting>
  <conditionalFormatting sqref="Q5:Q79 AB5:AB79">
    <cfRule type="cellIs" dxfId="77" priority="4" operator="lessThan">
      <formula>0</formula>
    </cfRule>
  </conditionalFormatting>
  <conditionalFormatting sqref="R5:R79 AC5:AC79">
    <cfRule type="cellIs" dxfId="76" priority="2" operator="greaterThan">
      <formula>1</formula>
    </cfRule>
    <cfRule type="cellIs" dxfId="75" priority="3" operator="lessThan">
      <formula>0.8</formula>
    </cfRule>
  </conditionalFormatting>
  <conditionalFormatting sqref="S5:S10 S37:S62 AD59:AD62 S69:S76 AD69:AD76">
    <cfRule type="cellIs" dxfId="74" priority="7" operator="lessThan">
      <formula>0.8</formula>
    </cfRule>
  </conditionalFormatting>
  <conditionalFormatting sqref="S19:S25 AD19:AD25">
    <cfRule type="cellIs" dxfId="73" priority="6" operator="lessThan">
      <formula>0.8</formula>
    </cfRule>
  </conditionalFormatting>
  <conditionalFormatting sqref="S79">
    <cfRule type="cellIs" dxfId="72" priority="5" operator="lessThan">
      <formula>0.8</formula>
    </cfRule>
  </conditionalFormatting>
  <conditionalFormatting sqref="AD5:AD8 S15:S16 AD15:AD16 AD49 AD79">
    <cfRule type="cellIs" dxfId="71" priority="9" operator="lessThan">
      <formula>0.8</formula>
    </cfRule>
  </conditionalFormatting>
  <conditionalFormatting sqref="AD27 S27:S28">
    <cfRule type="cellIs" dxfId="7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D588E3D-9B52-457A-B79A-03D15BB39578}">
          <x14:formula1>
            <xm:f>廠價表!$C$2:$C$37</xm:f>
          </x14:formula1>
          <xm:sqref>D1:D1048576</xm:sqref>
        </x14:dataValidation>
      </x14:dataValidations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0451D-D70C-4BE3-A100-491225CF917D}">
  <sheetPr>
    <pageSetUpPr fitToPage="1"/>
  </sheetPr>
  <dimension ref="B1:O22"/>
  <sheetViews>
    <sheetView zoomScale="70" zoomScaleNormal="70" workbookViewId="0">
      <selection activeCell="I18" sqref="I18"/>
    </sheetView>
  </sheetViews>
  <sheetFormatPr defaultColWidth="8.125" defaultRowHeight="15.75"/>
  <cols>
    <col min="1" max="1" width="8.125" style="203"/>
    <col min="2" max="2" width="7.125" style="203" customWidth="1"/>
    <col min="3" max="3" width="7.125" style="218" customWidth="1"/>
    <col min="4" max="17" width="14.125" style="203" customWidth="1"/>
    <col min="18" max="21" width="9.625" style="203" customWidth="1"/>
    <col min="22" max="22" width="11.125" style="203" customWidth="1"/>
    <col min="23" max="23" width="11.5" style="203" customWidth="1"/>
    <col min="24" max="16384" width="8.125" style="203"/>
  </cols>
  <sheetData>
    <row r="1" spans="2:15" ht="27.75" customHeight="1">
      <c r="B1" s="345" t="s">
        <v>73</v>
      </c>
      <c r="C1" s="345"/>
      <c r="D1" s="345"/>
      <c r="E1" s="345"/>
      <c r="F1" s="345"/>
      <c r="G1" s="345"/>
      <c r="H1" s="345"/>
      <c r="I1" s="345"/>
      <c r="J1" s="345"/>
      <c r="K1" s="345"/>
      <c r="L1" s="202"/>
      <c r="M1" s="202"/>
    </row>
    <row r="2" spans="2:15" ht="27.75" customHeight="1"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202"/>
      <c r="M2" s="202"/>
    </row>
    <row r="3" spans="2:15" ht="46.5" customHeight="1">
      <c r="B3" s="342" t="s">
        <v>74</v>
      </c>
      <c r="C3" s="342"/>
      <c r="D3" s="346">
        <v>45985</v>
      </c>
      <c r="E3" s="346"/>
      <c r="F3" s="204" t="s">
        <v>75</v>
      </c>
      <c r="G3" s="347">
        <f>'1124'!E1</f>
        <v>53327</v>
      </c>
      <c r="H3" s="347"/>
      <c r="I3" s="204" t="s">
        <v>76</v>
      </c>
      <c r="J3" s="348">
        <f>'1124'!G1</f>
        <v>2587642.2800000003</v>
      </c>
      <c r="K3" s="348"/>
      <c r="L3" s="205"/>
    </row>
    <row r="4" spans="2:15" ht="24" customHeight="1">
      <c r="B4" s="342" t="s">
        <v>77</v>
      </c>
      <c r="C4" s="342"/>
      <c r="D4" s="343">
        <v>3</v>
      </c>
      <c r="E4" s="343"/>
      <c r="F4" s="344" t="s">
        <v>78</v>
      </c>
      <c r="G4" s="344"/>
      <c r="H4" s="344" t="s">
        <v>79</v>
      </c>
      <c r="I4" s="344"/>
      <c r="J4" s="343" t="s">
        <v>80</v>
      </c>
      <c r="K4" s="344"/>
      <c r="L4" s="206"/>
    </row>
    <row r="5" spans="2:15" ht="24" customHeight="1">
      <c r="B5" s="342" t="s">
        <v>81</v>
      </c>
      <c r="C5" s="342"/>
      <c r="D5" s="343" t="s">
        <v>82</v>
      </c>
      <c r="E5" s="343"/>
      <c r="F5" s="343" t="s">
        <v>83</v>
      </c>
      <c r="G5" s="343"/>
      <c r="H5" s="369" t="s">
        <v>62</v>
      </c>
      <c r="I5" s="369"/>
      <c r="J5" s="341" t="s">
        <v>84</v>
      </c>
      <c r="K5" s="341"/>
      <c r="L5" s="207"/>
    </row>
    <row r="6" spans="2:15" ht="39.6" customHeight="1">
      <c r="B6" s="342"/>
      <c r="C6" s="342"/>
      <c r="D6" s="342" t="s">
        <v>85</v>
      </c>
      <c r="E6" s="342"/>
      <c r="F6" s="356">
        <f>AVERAGE(D13:J13)</f>
        <v>114.26936916196978</v>
      </c>
      <c r="G6" s="356"/>
      <c r="H6" s="349">
        <f>AVERAGE(D13:H13)</f>
        <v>112.04311478923553</v>
      </c>
      <c r="I6" s="349"/>
      <c r="J6" s="349">
        <f>AVERAGE(I13:J13)</f>
        <v>125.40064102564102</v>
      </c>
      <c r="K6" s="349"/>
      <c r="L6" s="207"/>
    </row>
    <row r="7" spans="2:15" s="208" customFormat="1" ht="39.6" customHeight="1">
      <c r="B7" s="342"/>
      <c r="C7" s="342"/>
      <c r="D7" s="350" t="s">
        <v>86</v>
      </c>
      <c r="E7" s="350"/>
      <c r="F7" s="351">
        <f>AVERAGE(D14:J14)</f>
        <v>105.77777952612233</v>
      </c>
      <c r="G7" s="351"/>
      <c r="H7" s="352">
        <f>AVERAGE(D14:H14)</f>
        <v>105.29726579446194</v>
      </c>
      <c r="I7" s="352"/>
      <c r="J7" s="352">
        <f>AVERAGE(I14:J14)</f>
        <v>108.18034818442429</v>
      </c>
      <c r="K7" s="352"/>
    </row>
    <row r="8" spans="2:15" s="208" customFormat="1" ht="39.6" customHeight="1">
      <c r="B8" s="342"/>
      <c r="C8" s="342"/>
      <c r="D8" s="350" t="s">
        <v>87</v>
      </c>
      <c r="E8" s="350"/>
      <c r="F8" s="353">
        <f>AVERAGE(D15:J15)</f>
        <v>0.9253955911160836</v>
      </c>
      <c r="G8" s="353"/>
      <c r="H8" s="353">
        <f>AVERAGE(D15:H15)</f>
        <v>0.93793915082918977</v>
      </c>
      <c r="I8" s="353"/>
      <c r="J8" s="353">
        <f>AVERAGE(I15:J15)</f>
        <v>0.86267779255055288</v>
      </c>
      <c r="K8" s="353"/>
      <c r="L8" s="209" t="s">
        <v>88</v>
      </c>
    </row>
    <row r="9" spans="2:15" ht="25.5" customHeight="1">
      <c r="B9" s="207"/>
      <c r="C9" s="207"/>
      <c r="D9" s="207"/>
      <c r="E9" s="207"/>
      <c r="F9" s="207"/>
      <c r="G9" s="207"/>
      <c r="H9" s="210"/>
      <c r="I9" s="211"/>
      <c r="J9" s="211"/>
      <c r="K9" s="211"/>
      <c r="L9" s="211"/>
      <c r="M9" s="211"/>
      <c r="N9" s="211"/>
      <c r="O9" s="207"/>
    </row>
    <row r="10" spans="2:15" ht="30" customHeight="1">
      <c r="B10" s="354" t="s">
        <v>0</v>
      </c>
      <c r="C10" s="355"/>
      <c r="D10" s="357" t="s">
        <v>89</v>
      </c>
      <c r="E10" s="358"/>
      <c r="F10" s="358"/>
      <c r="G10" s="358"/>
      <c r="H10" s="358"/>
      <c r="I10" s="358"/>
      <c r="J10" s="359"/>
    </row>
    <row r="11" spans="2:15" ht="17.25" customHeight="1">
      <c r="B11" s="360" t="s">
        <v>90</v>
      </c>
      <c r="C11" s="361"/>
      <c r="D11" s="212">
        <v>1</v>
      </c>
      <c r="E11" s="212">
        <v>2</v>
      </c>
      <c r="F11" s="212">
        <v>3</v>
      </c>
      <c r="G11" s="212">
        <v>4</v>
      </c>
      <c r="H11" s="212">
        <v>5</v>
      </c>
      <c r="I11" s="212">
        <v>6</v>
      </c>
      <c r="J11" s="212">
        <v>7</v>
      </c>
    </row>
    <row r="12" spans="2:15" ht="33.950000000000003" customHeight="1">
      <c r="B12" s="362"/>
      <c r="C12" s="363"/>
      <c r="D12" s="213" t="s">
        <v>91</v>
      </c>
      <c r="E12" s="213" t="s">
        <v>92</v>
      </c>
      <c r="F12" s="213" t="s">
        <v>93</v>
      </c>
      <c r="G12" s="213" t="s">
        <v>94</v>
      </c>
      <c r="H12" s="213" t="s">
        <v>95</v>
      </c>
      <c r="I12" s="213" t="s">
        <v>96</v>
      </c>
      <c r="J12" s="213" t="s">
        <v>232</v>
      </c>
    </row>
    <row r="13" spans="2:15" ht="39.950000000000003" customHeight="1">
      <c r="B13" s="364" t="s">
        <v>1</v>
      </c>
      <c r="C13" s="214" t="s">
        <v>98</v>
      </c>
      <c r="D13" s="215">
        <f>VALUE('1124'!L15)</f>
        <v>133.33822021116137</v>
      </c>
      <c r="E13" s="215">
        <f>VALUE('1124'!L26)</f>
        <v>149.06153846153845</v>
      </c>
      <c r="F13" s="215">
        <f>VALUE('1124'!L37)</f>
        <v>92.250816993464056</v>
      </c>
      <c r="G13" s="215">
        <f>VALUE('1124'!L48)</f>
        <v>98.683333333333323</v>
      </c>
      <c r="H13" s="215">
        <f>VALUE('1124'!L58)</f>
        <v>86.881664946680417</v>
      </c>
      <c r="I13" s="215">
        <f>VALUE('1124'!L69)</f>
        <v>125.40064102564102</v>
      </c>
      <c r="J13" s="215"/>
    </row>
    <row r="14" spans="2:15" ht="39.950000000000003" customHeight="1">
      <c r="B14" s="365"/>
      <c r="C14" s="214" t="s">
        <v>99</v>
      </c>
      <c r="D14" s="215">
        <f>VALUE('1124'!O15)</f>
        <v>125.21290260096052</v>
      </c>
      <c r="E14" s="215">
        <f>VALUE('1124'!O26)</f>
        <v>143.7422874681767</v>
      </c>
      <c r="F14" s="215">
        <f>VALUE('1124'!O37)</f>
        <v>84.422934595524978</v>
      </c>
      <c r="G14" s="215">
        <f>VALUE('1124'!O48)</f>
        <v>88.113486634357741</v>
      </c>
      <c r="H14" s="215">
        <f>VALUE('1124'!O58)</f>
        <v>84.994717673289855</v>
      </c>
      <c r="I14" s="215">
        <f>VALUE('1124'!O69)</f>
        <v>108.18034818442429</v>
      </c>
      <c r="J14" s="215"/>
    </row>
    <row r="15" spans="2:15" ht="39.950000000000003" customHeight="1">
      <c r="B15" s="366"/>
      <c r="C15" s="212" t="s">
        <v>100</v>
      </c>
      <c r="D15" s="233">
        <f>D14/D13</f>
        <v>0.93906235138482297</v>
      </c>
      <c r="E15" s="233">
        <f t="shared" ref="E15:I15" si="0">E14/E13</f>
        <v>0.9643150671309203</v>
      </c>
      <c r="F15" s="233">
        <f t="shared" si="0"/>
        <v>0.91514565775072021</v>
      </c>
      <c r="G15" s="233">
        <f t="shared" si="0"/>
        <v>0.89289126803942998</v>
      </c>
      <c r="H15" s="233">
        <f t="shared" si="0"/>
        <v>0.97828140984005563</v>
      </c>
      <c r="I15" s="233">
        <f t="shared" si="0"/>
        <v>0.86267779255055288</v>
      </c>
      <c r="J15" s="233"/>
    </row>
    <row r="16" spans="2:15" ht="17.25" customHeight="1">
      <c r="B16" s="367" t="s">
        <v>101</v>
      </c>
      <c r="C16" s="212" t="s">
        <v>102</v>
      </c>
      <c r="D16" s="95">
        <f>'1124'!T5</f>
        <v>0.2902777777777778</v>
      </c>
      <c r="E16" s="95">
        <f>'1124'!T16</f>
        <v>0.2902777777777778</v>
      </c>
      <c r="F16" s="95">
        <f>'1124'!T27</f>
        <v>0.29166666666666669</v>
      </c>
      <c r="G16" s="95">
        <f>'1124'!T38</f>
        <v>0.33124999999999999</v>
      </c>
      <c r="H16" s="95">
        <f>'1124'!T49</f>
        <v>0.2902777777777778</v>
      </c>
      <c r="I16" s="95">
        <f>'1124'!T59</f>
        <v>0.29166666666666669</v>
      </c>
      <c r="J16" s="272"/>
    </row>
    <row r="17" spans="2:10" ht="17.25" customHeight="1">
      <c r="B17" s="368"/>
      <c r="C17" s="212" t="s">
        <v>103</v>
      </c>
      <c r="D17" s="20">
        <v>0.60902777777777772</v>
      </c>
      <c r="E17" s="41">
        <v>0.58333333333333337</v>
      </c>
      <c r="F17" s="41">
        <v>0.65625</v>
      </c>
      <c r="G17" s="59">
        <v>0.64930555555555558</v>
      </c>
      <c r="H17" s="79">
        <v>0.63402777777777775</v>
      </c>
      <c r="I17" s="20">
        <v>0.59791666666666665</v>
      </c>
      <c r="J17" s="20"/>
    </row>
    <row r="18" spans="2:10" ht="17.25" customHeight="1">
      <c r="B18" s="354" t="s">
        <v>104</v>
      </c>
      <c r="C18" s="355"/>
      <c r="D18" s="216">
        <f>VALUE('1124'!M15)</f>
        <v>13.8</v>
      </c>
      <c r="E18" s="216">
        <f>VALUE('1124'!M26)</f>
        <v>13</v>
      </c>
      <c r="F18" s="216">
        <f>VALUE('1124'!M37)</f>
        <v>15</v>
      </c>
      <c r="G18" s="216">
        <f>VALUE('1124'!M48)</f>
        <v>15</v>
      </c>
      <c r="H18" s="216">
        <f>VALUE('1124'!M58)</f>
        <v>18</v>
      </c>
      <c r="I18" s="216">
        <f>VALUE('1124'!M69)</f>
        <v>12.5</v>
      </c>
      <c r="J18" s="216"/>
    </row>
    <row r="19" spans="2:10" ht="17.25" customHeight="1">
      <c r="B19" s="354" t="s">
        <v>105</v>
      </c>
      <c r="C19" s="355"/>
      <c r="D19" s="213" t="s">
        <v>106</v>
      </c>
      <c r="E19" s="213" t="s">
        <v>106</v>
      </c>
      <c r="F19" s="213" t="s">
        <v>107</v>
      </c>
      <c r="G19" s="213" t="s">
        <v>107</v>
      </c>
      <c r="H19" s="213" t="s">
        <v>107</v>
      </c>
      <c r="I19" s="213" t="s">
        <v>108</v>
      </c>
      <c r="J19" s="213"/>
    </row>
    <row r="20" spans="2:10" ht="17.25" customHeight="1">
      <c r="B20" s="354" t="s">
        <v>110</v>
      </c>
      <c r="C20" s="355"/>
      <c r="D20" s="213"/>
      <c r="E20" s="213"/>
      <c r="F20" s="213"/>
      <c r="G20" s="217"/>
      <c r="H20" s="213" t="s">
        <v>109</v>
      </c>
      <c r="I20" s="213"/>
      <c r="J20" s="213"/>
    </row>
    <row r="21" spans="2:10" ht="17.25" customHeight="1">
      <c r="B21" s="354" t="s">
        <v>111</v>
      </c>
      <c r="C21" s="355"/>
      <c r="D21" s="273"/>
      <c r="E21" s="273"/>
      <c r="F21" s="273"/>
      <c r="G21" s="273"/>
      <c r="H21" s="273"/>
      <c r="I21" s="273"/>
      <c r="J21" s="273"/>
    </row>
    <row r="22" spans="2:10">
      <c r="B22" s="370"/>
      <c r="C22" s="370"/>
    </row>
  </sheetData>
  <mergeCells count="37">
    <mergeCell ref="J5:K5"/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J6:K6"/>
    <mergeCell ref="D7:E7"/>
    <mergeCell ref="F7:G7"/>
    <mergeCell ref="H7:I7"/>
    <mergeCell ref="J7:K7"/>
    <mergeCell ref="H8:I8"/>
    <mergeCell ref="B18:C18"/>
    <mergeCell ref="B19:C19"/>
    <mergeCell ref="D6:E6"/>
    <mergeCell ref="F6:G6"/>
    <mergeCell ref="H6:I6"/>
    <mergeCell ref="D10:J10"/>
    <mergeCell ref="B11:C12"/>
    <mergeCell ref="B13:B15"/>
    <mergeCell ref="B16:B17"/>
    <mergeCell ref="B10:C10"/>
    <mergeCell ref="J8:K8"/>
    <mergeCell ref="B5:C8"/>
    <mergeCell ref="D5:E5"/>
    <mergeCell ref="F5:G5"/>
    <mergeCell ref="H5:I5"/>
    <mergeCell ref="B20:C20"/>
    <mergeCell ref="B21:C21"/>
    <mergeCell ref="B22:C22"/>
    <mergeCell ref="D8:E8"/>
    <mergeCell ref="F8:G8"/>
  </mergeCells>
  <phoneticPr fontId="2" type="noConversion"/>
  <conditionalFormatting sqref="D15:J15">
    <cfRule type="cellIs" dxfId="69" priority="1" operator="lessThan">
      <formula>0.8</formula>
    </cfRule>
  </conditionalFormatting>
  <pageMargins left="0.7" right="0.7" top="0.75" bottom="0.75" header="0.3" footer="0.3"/>
  <pageSetup paperSize="8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E429A-E1DB-4D1C-B366-B0A58613D45F}">
  <sheetPr>
    <tabColor theme="9" tint="0.79998168889431442"/>
    <pageSetUpPr fitToPage="1"/>
  </sheetPr>
  <dimension ref="A1:AF92"/>
  <sheetViews>
    <sheetView zoomScale="69" zoomScaleNormal="69" workbookViewId="0">
      <pane xSplit="5" ySplit="4" topLeftCell="F8" activePane="bottomRight" state="frozen"/>
      <selection activeCell="D4" sqref="D4:E4"/>
      <selection pane="topRight" activeCell="D4" sqref="D4:E4"/>
      <selection pane="bottomLeft" activeCell="D4" sqref="D4:E4"/>
      <selection pane="bottomRight" activeCell="O59" sqref="O59"/>
    </sheetView>
  </sheetViews>
  <sheetFormatPr defaultColWidth="7.875" defaultRowHeight="15.75"/>
  <cols>
    <col min="1" max="1" width="15" style="6" customWidth="1"/>
    <col min="2" max="2" width="12.875" style="6" customWidth="1"/>
    <col min="3" max="3" width="12.875" style="6" hidden="1" customWidth="1"/>
    <col min="4" max="4" width="26.125" style="6" bestFit="1" customWidth="1"/>
    <col min="5" max="5" width="15" style="6" customWidth="1"/>
    <col min="6" max="6" width="8.875" style="6" bestFit="1" customWidth="1"/>
    <col min="7" max="7" width="20.125" style="6" bestFit="1" customWidth="1"/>
    <col min="8" max="8" width="16.375" style="6" bestFit="1" customWidth="1"/>
    <col min="9" max="9" width="10.875" style="6" bestFit="1" customWidth="1"/>
    <col min="10" max="10" width="10.125" style="6" bestFit="1" customWidth="1"/>
    <col min="11" max="11" width="10.625" style="6" customWidth="1"/>
    <col min="12" max="12" width="14.5" style="6" customWidth="1"/>
    <col min="13" max="13" width="10.125" style="6" bestFit="1" customWidth="1"/>
    <col min="14" max="14" width="10.25" style="6" bestFit="1" customWidth="1"/>
    <col min="15" max="15" width="11.875" style="6" customWidth="1"/>
    <col min="16" max="17" width="9.125" style="6" bestFit="1" customWidth="1"/>
    <col min="18" max="18" width="9.125" style="6" customWidth="1"/>
    <col min="19" max="19" width="8.375" style="6" customWidth="1"/>
    <col min="20" max="21" width="9.375" style="6" bestFit="1" customWidth="1"/>
    <col min="22" max="22" width="10.625" style="6" customWidth="1"/>
    <col min="23" max="23" width="8.625" style="92" customWidth="1"/>
    <col min="24" max="24" width="7.5" style="6" bestFit="1" customWidth="1"/>
    <col min="25" max="25" width="6.875" style="6" customWidth="1"/>
    <col min="26" max="26" width="12.625" style="6" customWidth="1"/>
    <col min="27" max="27" width="33.375" style="6" customWidth="1"/>
    <col min="28" max="28" width="13.125" style="6" bestFit="1" customWidth="1"/>
    <col min="29" max="29" width="10.375" style="6" customWidth="1"/>
    <col min="30" max="30" width="9.125" style="6" customWidth="1"/>
    <col min="31" max="31" width="7.875" style="6"/>
    <col min="32" max="32" width="24.5" style="6" bestFit="1" customWidth="1"/>
    <col min="33" max="16384" width="7.875" style="6"/>
  </cols>
  <sheetData>
    <row r="1" spans="1:30" ht="21">
      <c r="A1" s="2" t="s">
        <v>72</v>
      </c>
      <c r="B1" s="2"/>
      <c r="C1" s="2"/>
      <c r="D1" s="176" t="s">
        <v>8</v>
      </c>
      <c r="E1" s="3">
        <f>SUM(G5:G79)</f>
        <v>53327</v>
      </c>
      <c r="F1" s="177" t="s">
        <v>9</v>
      </c>
      <c r="G1" s="4">
        <f>SUM(H5:H79)</f>
        <v>2587642.2800000003</v>
      </c>
      <c r="H1" s="175" t="s">
        <v>10</v>
      </c>
      <c r="I1" s="5">
        <f>M15+M26+M48+M58+M69+M79+M37</f>
        <v>87.3</v>
      </c>
      <c r="J1" s="371" t="s">
        <v>11</v>
      </c>
      <c r="K1" s="371"/>
      <c r="L1" s="371"/>
      <c r="M1" s="371" t="s">
        <v>12</v>
      </c>
      <c r="N1" s="371"/>
      <c r="O1" s="371"/>
      <c r="P1" s="371" t="s">
        <v>13</v>
      </c>
      <c r="Q1" s="371"/>
      <c r="R1" s="371"/>
      <c r="S1" s="371"/>
      <c r="T1" s="371" t="s">
        <v>14</v>
      </c>
      <c r="U1" s="371"/>
      <c r="V1" s="371"/>
      <c r="W1" s="371"/>
      <c r="X1" s="371"/>
      <c r="Y1" s="371"/>
      <c r="Z1" s="371" t="s">
        <v>15</v>
      </c>
      <c r="AA1" s="371"/>
      <c r="AB1" s="371" t="s">
        <v>16</v>
      </c>
      <c r="AC1" s="372"/>
      <c r="AD1" s="372"/>
    </row>
    <row r="2" spans="1:30" ht="18.75">
      <c r="A2" s="409" t="s">
        <v>235</v>
      </c>
      <c r="B2" s="409"/>
      <c r="C2" s="176"/>
      <c r="D2" s="176" t="s">
        <v>1</v>
      </c>
      <c r="E2" s="7">
        <f>AVERAGE(O15,O26,O37,O48,O58,O69,O79)</f>
        <v>105.77777952612233</v>
      </c>
      <c r="F2" s="8" t="s">
        <v>2</v>
      </c>
      <c r="G2" s="9">
        <f>G1/E1</f>
        <v>48.524054981529062</v>
      </c>
      <c r="H2" s="175" t="s">
        <v>17</v>
      </c>
      <c r="I2" s="175">
        <f>COUNT(I5:I79)</f>
        <v>0</v>
      </c>
      <c r="J2" s="371"/>
      <c r="K2" s="371"/>
      <c r="L2" s="371"/>
      <c r="M2" s="371"/>
      <c r="N2" s="371"/>
      <c r="O2" s="371"/>
      <c r="P2" s="371"/>
      <c r="Q2" s="371"/>
      <c r="R2" s="371"/>
      <c r="S2" s="371"/>
      <c r="T2" s="371"/>
      <c r="U2" s="371"/>
      <c r="V2" s="371"/>
      <c r="W2" s="371"/>
      <c r="X2" s="371"/>
      <c r="Y2" s="371"/>
      <c r="Z2" s="371"/>
      <c r="AA2" s="371"/>
      <c r="AB2" s="372"/>
      <c r="AC2" s="372"/>
      <c r="AD2" s="372"/>
    </row>
    <row r="3" spans="1:30">
      <c r="A3" s="405" t="s">
        <v>18</v>
      </c>
      <c r="B3" s="405" t="s">
        <v>19</v>
      </c>
      <c r="C3" s="177"/>
      <c r="D3" s="405" t="s">
        <v>20</v>
      </c>
      <c r="E3" s="405"/>
      <c r="F3" s="379" t="s">
        <v>21</v>
      </c>
      <c r="G3" s="389" t="s">
        <v>22</v>
      </c>
      <c r="H3" s="379" t="s">
        <v>23</v>
      </c>
      <c r="I3" s="381" t="s">
        <v>24</v>
      </c>
      <c r="J3" s="383" t="s">
        <v>25</v>
      </c>
      <c r="K3" s="385" t="s">
        <v>26</v>
      </c>
      <c r="L3" s="387" t="s">
        <v>1</v>
      </c>
      <c r="M3" s="389" t="s">
        <v>25</v>
      </c>
      <c r="N3" s="385" t="s">
        <v>26</v>
      </c>
      <c r="O3" s="387" t="s">
        <v>1</v>
      </c>
      <c r="P3" s="383" t="s">
        <v>25</v>
      </c>
      <c r="Q3" s="387" t="s">
        <v>1</v>
      </c>
      <c r="R3" s="392" t="s">
        <v>27</v>
      </c>
      <c r="S3" s="394" t="s">
        <v>28</v>
      </c>
      <c r="T3" s="389" t="s">
        <v>4</v>
      </c>
      <c r="U3" s="389"/>
      <c r="V3" s="408" t="s">
        <v>29</v>
      </c>
      <c r="W3" s="381" t="s">
        <v>30</v>
      </c>
      <c r="X3" s="389" t="s">
        <v>31</v>
      </c>
      <c r="Y3" s="389"/>
      <c r="Z3" s="415" t="s">
        <v>71</v>
      </c>
      <c r="AA3" s="416"/>
      <c r="AB3" s="385" t="s">
        <v>26</v>
      </c>
      <c r="AC3" s="392" t="s">
        <v>27</v>
      </c>
      <c r="AD3" s="394" t="s">
        <v>28</v>
      </c>
    </row>
    <row r="4" spans="1:30" ht="16.5" thickBot="1">
      <c r="A4" s="379"/>
      <c r="B4" s="379"/>
      <c r="C4" s="178"/>
      <c r="D4" s="379"/>
      <c r="E4" s="379"/>
      <c r="F4" s="380"/>
      <c r="G4" s="390"/>
      <c r="H4" s="380"/>
      <c r="I4" s="382"/>
      <c r="J4" s="384"/>
      <c r="K4" s="386"/>
      <c r="L4" s="388"/>
      <c r="M4" s="390"/>
      <c r="N4" s="386"/>
      <c r="O4" s="388"/>
      <c r="P4" s="384"/>
      <c r="Q4" s="388"/>
      <c r="R4" s="393"/>
      <c r="S4" s="395"/>
      <c r="T4" s="179" t="s">
        <v>5</v>
      </c>
      <c r="U4" s="179" t="s">
        <v>6</v>
      </c>
      <c r="V4" s="390"/>
      <c r="W4" s="382"/>
      <c r="X4" s="178" t="s">
        <v>32</v>
      </c>
      <c r="Y4" s="178" t="s">
        <v>33</v>
      </c>
      <c r="Z4" s="417"/>
      <c r="AA4" s="417"/>
      <c r="AB4" s="386"/>
      <c r="AC4" s="393"/>
      <c r="AD4" s="395"/>
    </row>
    <row r="5" spans="1:30" ht="15" customHeight="1">
      <c r="A5" s="411" t="s">
        <v>66</v>
      </c>
      <c r="B5" s="305" t="str">
        <f>VLOOKUP(D5,廠價表!$C$1:$E$39,2,0)</f>
        <v>義大利麵</v>
      </c>
      <c r="C5" s="324"/>
      <c r="D5" s="325" t="s">
        <v>206</v>
      </c>
      <c r="E5" s="326"/>
      <c r="F5" s="305">
        <f>VLOOKUP(D5,廠價表!$C$1:$E$39,3,0)</f>
        <v>56.43</v>
      </c>
      <c r="G5" s="327">
        <v>737</v>
      </c>
      <c r="H5" s="328">
        <f t="shared" ref="H5" si="0">F5*G5</f>
        <v>41588.909999999996</v>
      </c>
      <c r="I5" s="329"/>
      <c r="J5" s="330">
        <f>VLOOKUP(D5,產線配置圖!$A$2:$C$38,2,0)</f>
        <v>15</v>
      </c>
      <c r="K5" s="331">
        <f>VLOOKUP(D5,產線配置圖!$A$2:$C$38,3,0)</f>
        <v>1636</v>
      </c>
      <c r="L5" s="332">
        <f t="shared" ref="L5" si="1">K5/J5</f>
        <v>109.06666666666666</v>
      </c>
      <c r="M5" s="333">
        <v>15</v>
      </c>
      <c r="N5" s="331">
        <f t="shared" ref="N5" si="2">G5/W5*60</f>
        <v>1524.8275862068976</v>
      </c>
      <c r="O5" s="332">
        <f t="shared" ref="O5" si="3">N5/M5</f>
        <v>101.65517241379318</v>
      </c>
      <c r="P5" s="334">
        <f t="shared" ref="P5" si="4">M5-J5</f>
        <v>0</v>
      </c>
      <c r="Q5" s="335">
        <f t="shared" ref="Q5" si="5">O5-L5</f>
        <v>-7.4114942528734815</v>
      </c>
      <c r="R5" s="336">
        <f t="shared" ref="R5" si="6">O5/L5</f>
        <v>0.93204620183795706</v>
      </c>
      <c r="S5" s="396">
        <f>R15</f>
        <v>0.93906235138482297</v>
      </c>
      <c r="T5" s="337">
        <v>0.2902777777777778</v>
      </c>
      <c r="U5" s="338">
        <v>0.31041666666666667</v>
      </c>
      <c r="V5" s="194"/>
      <c r="W5" s="107">
        <f t="shared" ref="W5:W14" si="7">(U5-T5)*24*60</f>
        <v>28.999999999999979</v>
      </c>
      <c r="X5" s="188"/>
      <c r="Y5" s="188"/>
      <c r="Z5" s="400"/>
      <c r="AA5" s="400"/>
      <c r="AB5" s="111">
        <f>N5-K5</f>
        <v>-111.17241379310235</v>
      </c>
      <c r="AC5" s="184">
        <f>N5/K5</f>
        <v>0.93204620183795694</v>
      </c>
      <c r="AD5" s="401">
        <f>AC15</f>
        <v>0.91493461539416576</v>
      </c>
    </row>
    <row r="6" spans="1:30" ht="15" customHeight="1">
      <c r="A6" s="412"/>
      <c r="B6" s="313" t="str">
        <f>VLOOKUP(D6,廠價表!$C$1:$E$39,2,0)</f>
        <v>義大利麵</v>
      </c>
      <c r="C6" s="249"/>
      <c r="D6" s="250" t="s">
        <v>153</v>
      </c>
      <c r="E6" s="251"/>
      <c r="F6" s="314">
        <f>VLOOKUP(D6,廠價表!$C$1:$E$39,3,0)</f>
        <v>50.67</v>
      </c>
      <c r="G6" s="315">
        <v>1060</v>
      </c>
      <c r="H6" s="316">
        <f>F6*G6</f>
        <v>53710.200000000004</v>
      </c>
      <c r="I6" s="317"/>
      <c r="J6" s="318">
        <f>VLOOKUP(D6,產線配置圖!$A$2:$C$38,2,0)</f>
        <v>13</v>
      </c>
      <c r="K6" s="315">
        <v>1800</v>
      </c>
      <c r="L6" s="319">
        <f>K6/J6</f>
        <v>138.46153846153845</v>
      </c>
      <c r="M6" s="320">
        <v>13</v>
      </c>
      <c r="N6" s="315">
        <f t="shared" ref="N6" si="8">G6/W6*60</f>
        <v>1766.6666666666654</v>
      </c>
      <c r="O6" s="319">
        <f t="shared" ref="O6" si="9">N6/M6</f>
        <v>135.8974358974358</v>
      </c>
      <c r="P6" s="321">
        <f t="shared" ref="P6" si="10">M6-J6</f>
        <v>0</v>
      </c>
      <c r="Q6" s="322">
        <f t="shared" ref="Q6" si="11">O6-L6</f>
        <v>-2.5641025641026545</v>
      </c>
      <c r="R6" s="323">
        <f t="shared" ref="R6" si="12">O6/L6</f>
        <v>0.98148148148148084</v>
      </c>
      <c r="S6" s="397"/>
      <c r="T6" s="270">
        <v>0.31874999999999998</v>
      </c>
      <c r="U6" s="270">
        <v>0.34375</v>
      </c>
      <c r="V6" s="177">
        <f>(T6-U5)*24*60</f>
        <v>11.999999999999957</v>
      </c>
      <c r="W6" s="182">
        <f t="shared" si="7"/>
        <v>36.000000000000028</v>
      </c>
      <c r="X6" s="22"/>
      <c r="Y6" s="22"/>
      <c r="Z6" s="381"/>
      <c r="AA6" s="381"/>
      <c r="AB6" s="18">
        <f>N6-K6</f>
        <v>-33.333333333334622</v>
      </c>
      <c r="AC6" s="185">
        <f>N6/K6</f>
        <v>0.98148148148148073</v>
      </c>
      <c r="AD6" s="402"/>
    </row>
    <row r="7" spans="1:30" ht="15" customHeight="1">
      <c r="A7" s="412"/>
      <c r="B7" s="56" t="str">
        <f>VLOOKUP(D7,廠價表!$C$1:$E$39,2,0)</f>
        <v>義大利麵</v>
      </c>
      <c r="C7" s="10"/>
      <c r="D7" s="11" t="s">
        <v>139</v>
      </c>
      <c r="E7" s="86"/>
      <c r="F7" s="56">
        <f>VLOOKUP(D7,廠價表!$C$1:$E$39,3,0)</f>
        <v>57.21</v>
      </c>
      <c r="G7" s="25">
        <v>2073</v>
      </c>
      <c r="H7" s="15">
        <f t="shared" ref="H7" si="13">F7*G7</f>
        <v>118596.33</v>
      </c>
      <c r="I7" s="182"/>
      <c r="J7" s="16">
        <f>VLOOKUP(D7,產線配置圖!$A$2:$C$38,2,0)</f>
        <v>17</v>
      </c>
      <c r="K7" s="14">
        <f>VLOOKUP(D7,產線配置圖!$A$2:$C$38,3,0)</f>
        <v>1895</v>
      </c>
      <c r="L7" s="17">
        <f>K7/J7</f>
        <v>111.47058823529412</v>
      </c>
      <c r="M7" s="180">
        <v>15</v>
      </c>
      <c r="N7" s="14">
        <f t="shared" ref="N7" si="14">G7/W7*60</f>
        <v>1463.2941176470586</v>
      </c>
      <c r="O7" s="17">
        <f t="shared" ref="O7" si="15">N7/M7</f>
        <v>97.552941176470569</v>
      </c>
      <c r="P7" s="18">
        <f t="shared" ref="P7" si="16">M7-J7</f>
        <v>-2</v>
      </c>
      <c r="Q7" s="19">
        <f t="shared" ref="Q7" si="17">O7-L7</f>
        <v>-13.917647058823547</v>
      </c>
      <c r="R7" s="185">
        <f t="shared" ref="R7" si="18">O7/L7</f>
        <v>0.87514511873350909</v>
      </c>
      <c r="S7" s="397"/>
      <c r="T7" s="95">
        <v>0.34930555555555554</v>
      </c>
      <c r="U7" s="95">
        <v>0.40833333333333333</v>
      </c>
      <c r="V7" s="177">
        <f>(T7-U6)*24*60</f>
        <v>7.9999999999999716</v>
      </c>
      <c r="W7" s="182">
        <f t="shared" si="7"/>
        <v>85.000000000000014</v>
      </c>
      <c r="X7" s="22"/>
      <c r="Y7" s="22"/>
      <c r="Z7" s="405"/>
      <c r="AA7" s="405"/>
      <c r="AB7" s="18">
        <f>N7-K7</f>
        <v>-431.70588235294144</v>
      </c>
      <c r="AC7" s="185">
        <f>N7/K7</f>
        <v>0.77218686947074333</v>
      </c>
      <c r="AD7" s="402"/>
    </row>
    <row r="8" spans="1:30" ht="15" customHeight="1">
      <c r="A8" s="412"/>
      <c r="B8" s="56" t="str">
        <f>VLOOKUP(D8,廠價表!$C$1:$E$39,2,0)</f>
        <v>義大利麵</v>
      </c>
      <c r="C8" s="10"/>
      <c r="D8" s="11" t="s">
        <v>141</v>
      </c>
      <c r="E8" s="86"/>
      <c r="F8" s="56">
        <f>VLOOKUP(D8,廠價表!$C$1:$E$39,3,0)</f>
        <v>49.14</v>
      </c>
      <c r="G8" s="25">
        <v>2640</v>
      </c>
      <c r="H8" s="15">
        <f t="shared" ref="H8" si="19">F8*G8</f>
        <v>129729.60000000001</v>
      </c>
      <c r="I8" s="182"/>
      <c r="J8" s="16">
        <f>VLOOKUP(D8,產線配置圖!$A$2:$C$38,2,0)</f>
        <v>13</v>
      </c>
      <c r="K8" s="14">
        <f>VLOOKUP(D8,產線配置圖!$A$2:$C$38,3,0)</f>
        <v>2000</v>
      </c>
      <c r="L8" s="17">
        <f>K8/J8</f>
        <v>153.84615384615384</v>
      </c>
      <c r="M8" s="180">
        <v>13</v>
      </c>
      <c r="N8" s="14">
        <f t="shared" ref="N8" si="20">G8/W8*60</f>
        <v>1841.8604651162786</v>
      </c>
      <c r="O8" s="17">
        <f t="shared" ref="O8" si="21">N8/M8</f>
        <v>141.68157423971374</v>
      </c>
      <c r="P8" s="18">
        <f t="shared" ref="P8" si="22">M8-J8</f>
        <v>0</v>
      </c>
      <c r="Q8" s="19">
        <f t="shared" ref="Q8" si="23">O8-L8</f>
        <v>-12.1645796064401</v>
      </c>
      <c r="R8" s="185">
        <f t="shared" ref="R8" si="24">O8/L8</f>
        <v>0.92093023255813933</v>
      </c>
      <c r="S8" s="397"/>
      <c r="T8" s="95">
        <v>0.41805555555555557</v>
      </c>
      <c r="U8" s="95">
        <v>0.4777777777777778</v>
      </c>
      <c r="V8" s="177">
        <f t="shared" ref="V8:V9" si="25">(T8-U7)*24*60</f>
        <v>14.00000000000003</v>
      </c>
      <c r="W8" s="182">
        <f t="shared" si="7"/>
        <v>86.000000000000014</v>
      </c>
      <c r="X8" s="22"/>
      <c r="Y8" s="22"/>
      <c r="Z8" s="406"/>
      <c r="AA8" s="406"/>
      <c r="AB8" s="18">
        <f>N8-K8</f>
        <v>-158.13953488372135</v>
      </c>
      <c r="AC8" s="185">
        <f>N8/K8</f>
        <v>0.92093023255813933</v>
      </c>
      <c r="AD8" s="402"/>
    </row>
    <row r="9" spans="1:30" ht="15" customHeight="1">
      <c r="A9" s="413"/>
      <c r="B9" s="56" t="str">
        <f>VLOOKUP(D9,廠價表!$C$1:$E$39,2,0)</f>
        <v>義大利麵</v>
      </c>
      <c r="C9" s="10"/>
      <c r="D9" s="11" t="s">
        <v>141</v>
      </c>
      <c r="E9" s="86"/>
      <c r="F9" s="56">
        <f>VLOOKUP(D9,廠價表!$C$1:$E$39,3,0)</f>
        <v>49.14</v>
      </c>
      <c r="G9" s="25">
        <v>3202</v>
      </c>
      <c r="H9" s="15">
        <f t="shared" ref="H9" si="26">F9*G9</f>
        <v>157346.28</v>
      </c>
      <c r="I9" s="182"/>
      <c r="J9" s="16">
        <f>VLOOKUP(D9,產線配置圖!$A$2:$C$38,2,0)</f>
        <v>13</v>
      </c>
      <c r="K9" s="14">
        <f>VLOOKUP(D9,產線配置圖!$A$2:$C$38,3,0)</f>
        <v>2000</v>
      </c>
      <c r="L9" s="17">
        <f t="shared" ref="L9" si="27">K9/J9</f>
        <v>153.84615384615384</v>
      </c>
      <c r="M9" s="180">
        <v>13</v>
      </c>
      <c r="N9" s="14">
        <f t="shared" ref="N9" si="28">G9/W9*60</f>
        <v>1940.6060606060612</v>
      </c>
      <c r="O9" s="17">
        <f t="shared" ref="O9" si="29">N9/M9</f>
        <v>149.27738927738932</v>
      </c>
      <c r="P9" s="18">
        <f t="shared" ref="P9" si="30">M9-J9</f>
        <v>0</v>
      </c>
      <c r="Q9" s="19">
        <f t="shared" ref="Q9" si="31">O9-L9</f>
        <v>-4.5687645687645215</v>
      </c>
      <c r="R9" s="185">
        <f t="shared" ref="R9" si="32">O9/L9</f>
        <v>0.97030303030303056</v>
      </c>
      <c r="S9" s="398"/>
      <c r="T9" s="20">
        <v>0.54027777777777775</v>
      </c>
      <c r="U9" s="20">
        <v>0.60902777777777772</v>
      </c>
      <c r="V9" s="177">
        <f t="shared" si="25"/>
        <v>89.999999999999915</v>
      </c>
      <c r="W9" s="24">
        <f t="shared" si="7"/>
        <v>98.999999999999972</v>
      </c>
      <c r="X9" s="22">
        <v>0.4861111111111111</v>
      </c>
      <c r="Y9" s="263">
        <v>0.52777777777777779</v>
      </c>
      <c r="Z9" s="407"/>
      <c r="AA9" s="407"/>
      <c r="AB9" s="18"/>
      <c r="AC9" s="185"/>
      <c r="AD9" s="403"/>
    </row>
    <row r="10" spans="1:30" ht="15" customHeight="1">
      <c r="A10" s="413"/>
      <c r="B10" s="56"/>
      <c r="C10" s="23"/>
      <c r="D10" s="11"/>
      <c r="E10" s="12"/>
      <c r="F10" s="56"/>
      <c r="G10" s="25"/>
      <c r="H10" s="15"/>
      <c r="I10" s="182"/>
      <c r="J10" s="16"/>
      <c r="K10" s="14"/>
      <c r="L10" s="17"/>
      <c r="M10" s="180"/>
      <c r="N10" s="14"/>
      <c r="O10" s="17"/>
      <c r="P10" s="18"/>
      <c r="Q10" s="19"/>
      <c r="R10" s="185"/>
      <c r="S10" s="398"/>
      <c r="T10" s="20"/>
      <c r="U10" s="20"/>
      <c r="V10" s="177"/>
      <c r="W10" s="182">
        <f t="shared" si="7"/>
        <v>0</v>
      </c>
      <c r="X10" s="22"/>
      <c r="Y10" s="263"/>
      <c r="Z10" s="419"/>
      <c r="AA10" s="418"/>
      <c r="AB10" s="264"/>
      <c r="AC10" s="185"/>
      <c r="AD10" s="403"/>
    </row>
    <row r="11" spans="1:30" ht="15" customHeight="1">
      <c r="A11" s="413"/>
      <c r="B11" s="56"/>
      <c r="C11" s="183"/>
      <c r="D11" s="11"/>
      <c r="E11" s="12"/>
      <c r="F11" s="56"/>
      <c r="G11" s="25"/>
      <c r="H11" s="15">
        <f t="shared" ref="H11:H12" si="33">F11*G11</f>
        <v>0</v>
      </c>
      <c r="I11" s="182"/>
      <c r="J11" s="16"/>
      <c r="K11" s="14"/>
      <c r="L11" s="17"/>
      <c r="M11" s="180"/>
      <c r="N11" s="14"/>
      <c r="O11" s="17"/>
      <c r="P11" s="18"/>
      <c r="Q11" s="19"/>
      <c r="R11" s="185"/>
      <c r="S11" s="398"/>
      <c r="T11" s="20"/>
      <c r="U11" s="20"/>
      <c r="V11" s="177"/>
      <c r="W11" s="24">
        <f t="shared" si="7"/>
        <v>0</v>
      </c>
      <c r="X11" s="22"/>
      <c r="Y11" s="263"/>
      <c r="Z11" s="419"/>
      <c r="AA11" s="418"/>
      <c r="AB11" s="264"/>
      <c r="AC11" s="185"/>
      <c r="AD11" s="403"/>
    </row>
    <row r="12" spans="1:30" ht="15" customHeight="1">
      <c r="A12" s="413"/>
      <c r="B12" s="26"/>
      <c r="C12" s="27"/>
      <c r="D12" s="28"/>
      <c r="E12" s="29"/>
      <c r="F12" s="13"/>
      <c r="G12" s="30"/>
      <c r="H12" s="15">
        <f t="shared" si="33"/>
        <v>0</v>
      </c>
      <c r="I12" s="178"/>
      <c r="J12" s="31"/>
      <c r="K12" s="30"/>
      <c r="L12" s="17"/>
      <c r="M12" s="181"/>
      <c r="N12" s="25"/>
      <c r="O12" s="17"/>
      <c r="P12" s="18"/>
      <c r="Q12" s="19"/>
      <c r="R12" s="185"/>
      <c r="S12" s="398"/>
      <c r="T12" s="32"/>
      <c r="U12" s="32"/>
      <c r="V12" s="178"/>
      <c r="W12" s="24">
        <f t="shared" si="7"/>
        <v>0</v>
      </c>
      <c r="X12" s="33"/>
      <c r="Y12" s="33"/>
      <c r="Z12" s="407"/>
      <c r="AA12" s="407"/>
      <c r="AB12" s="34"/>
      <c r="AC12" s="186"/>
      <c r="AD12" s="403"/>
    </row>
    <row r="13" spans="1:30" ht="15" customHeight="1">
      <c r="A13" s="413"/>
      <c r="B13" s="56"/>
      <c r="C13" s="10"/>
      <c r="D13" s="11"/>
      <c r="E13" s="86"/>
      <c r="F13" s="56"/>
      <c r="G13" s="25"/>
      <c r="H13" s="15"/>
      <c r="I13" s="182"/>
      <c r="J13" s="16"/>
      <c r="K13" s="14"/>
      <c r="L13" s="17"/>
      <c r="M13" s="180"/>
      <c r="N13" s="14"/>
      <c r="O13" s="17"/>
      <c r="P13" s="18"/>
      <c r="Q13" s="19"/>
      <c r="R13" s="185"/>
      <c r="S13" s="479"/>
      <c r="T13" s="309"/>
      <c r="U13" s="309"/>
      <c r="V13" s="26"/>
      <c r="W13" s="24">
        <f t="shared" si="7"/>
        <v>0</v>
      </c>
      <c r="X13" s="33"/>
      <c r="Y13" s="33"/>
      <c r="Z13" s="419"/>
      <c r="AA13" s="418"/>
      <c r="AB13" s="34"/>
      <c r="AC13" s="186"/>
      <c r="AD13" s="403"/>
    </row>
    <row r="14" spans="1:30" ht="15" customHeight="1">
      <c r="A14" s="413"/>
      <c r="B14" s="56"/>
      <c r="C14" s="10"/>
      <c r="D14" s="11"/>
      <c r="E14" s="86"/>
      <c r="F14" s="56"/>
      <c r="G14" s="25"/>
      <c r="H14" s="15"/>
      <c r="I14" s="182"/>
      <c r="J14" s="16"/>
      <c r="K14" s="14"/>
      <c r="L14" s="17"/>
      <c r="M14" s="180"/>
      <c r="N14" s="14"/>
      <c r="O14" s="17"/>
      <c r="P14" s="18"/>
      <c r="Q14" s="19"/>
      <c r="R14" s="185"/>
      <c r="S14" s="398"/>
      <c r="T14" s="79"/>
      <c r="U14" s="79"/>
      <c r="V14" s="178"/>
      <c r="W14" s="24">
        <f t="shared" si="7"/>
        <v>0</v>
      </c>
      <c r="X14" s="33"/>
      <c r="Y14" s="33"/>
      <c r="Z14" s="419"/>
      <c r="AA14" s="418"/>
      <c r="AB14" s="34"/>
      <c r="AC14" s="186"/>
      <c r="AD14" s="403"/>
    </row>
    <row r="15" spans="1:30" ht="15" customHeight="1" thickBot="1">
      <c r="A15" s="414"/>
      <c r="B15" s="113"/>
      <c r="C15" s="113" t="s">
        <v>34</v>
      </c>
      <c r="D15" s="410" t="s">
        <v>7</v>
      </c>
      <c r="E15" s="410"/>
      <c r="F15" s="114"/>
      <c r="G15" s="115"/>
      <c r="H15" s="116"/>
      <c r="I15" s="117"/>
      <c r="J15" s="118">
        <f t="shared" ref="J15:O15" si="34">AVERAGE(J5:J14)</f>
        <v>14.2</v>
      </c>
      <c r="K15" s="118">
        <f t="shared" si="34"/>
        <v>1866.2</v>
      </c>
      <c r="L15" s="115">
        <f t="shared" si="34"/>
        <v>133.33822021116137</v>
      </c>
      <c r="M15" s="118">
        <f t="shared" si="34"/>
        <v>13.8</v>
      </c>
      <c r="N15" s="118">
        <f t="shared" si="34"/>
        <v>1707.4509792485921</v>
      </c>
      <c r="O15" s="115">
        <f t="shared" si="34"/>
        <v>125.21290260096052</v>
      </c>
      <c r="P15" s="119">
        <f t="shared" ref="P15:P19" si="35">M15-J15</f>
        <v>-0.39999999999999858</v>
      </c>
      <c r="Q15" s="120">
        <f t="shared" ref="Q15:Q19" si="36">O15-L15</f>
        <v>-8.1253176102008524</v>
      </c>
      <c r="R15" s="121">
        <f t="shared" ref="R15:R19" si="37">O15/L15</f>
        <v>0.93906235138482297</v>
      </c>
      <c r="S15" s="399"/>
      <c r="T15" s="122"/>
      <c r="U15" s="122"/>
      <c r="V15" s="195"/>
      <c r="W15" s="123"/>
      <c r="X15" s="124"/>
      <c r="Y15" s="124"/>
      <c r="Z15" s="391"/>
      <c r="AA15" s="391"/>
      <c r="AB15" s="119">
        <f>N15-K15</f>
        <v>-158.7490207514079</v>
      </c>
      <c r="AC15" s="187">
        <f>N15/K15</f>
        <v>0.91493461539416576</v>
      </c>
      <c r="AD15" s="404"/>
    </row>
    <row r="16" spans="1:30" ht="15" customHeight="1">
      <c r="A16" s="431" t="s">
        <v>67</v>
      </c>
      <c r="B16" s="199" t="str">
        <f>VLOOKUP(D16,廠價表!$C$1:$E$39,2,0)</f>
        <v>義大利麵</v>
      </c>
      <c r="C16" s="102"/>
      <c r="D16" s="103" t="s">
        <v>206</v>
      </c>
      <c r="E16" s="104"/>
      <c r="F16" s="199">
        <f>VLOOKUP(D16,廠價表!$C$1:$E$39,3,0)</f>
        <v>56.43</v>
      </c>
      <c r="G16" s="265">
        <v>777</v>
      </c>
      <c r="H16" s="125">
        <f t="shared" ref="H16:H19" si="38">F16*G16</f>
        <v>43846.11</v>
      </c>
      <c r="I16" s="126"/>
      <c r="J16" s="108">
        <v>15</v>
      </c>
      <c r="K16" s="105">
        <v>1636</v>
      </c>
      <c r="L16" s="109">
        <v>109.06666666666666</v>
      </c>
      <c r="M16" s="267">
        <v>15</v>
      </c>
      <c r="N16" s="127">
        <f t="shared" ref="N16:N19" si="39">G16/W16*60</f>
        <v>1554.0000000000014</v>
      </c>
      <c r="O16" s="128">
        <f t="shared" ref="O16:O19" si="40">N16/M16</f>
        <v>103.60000000000009</v>
      </c>
      <c r="P16" s="129">
        <f>M16-J16</f>
        <v>0</v>
      </c>
      <c r="Q16" s="130">
        <f t="shared" si="36"/>
        <v>-5.4666666666665691</v>
      </c>
      <c r="R16" s="189">
        <f t="shared" si="37"/>
        <v>0.9498777506112478</v>
      </c>
      <c r="S16" s="424">
        <f>R26</f>
        <v>0.9643150671309203</v>
      </c>
      <c r="T16" s="268">
        <v>0.2902777777777778</v>
      </c>
      <c r="U16" s="268">
        <v>0.31111111111111112</v>
      </c>
      <c r="V16" s="126"/>
      <c r="W16" s="131">
        <f t="shared" ref="W16:W78" si="41">(U16-T16)*24*60</f>
        <v>29.999999999999972</v>
      </c>
      <c r="X16" s="128"/>
      <c r="Y16" s="128"/>
      <c r="Z16" s="400"/>
      <c r="AA16" s="400"/>
      <c r="AB16" s="111">
        <f>N16-K16</f>
        <v>-81.999999999998636</v>
      </c>
      <c r="AC16" s="184">
        <f>N16/K16</f>
        <v>0.9498777506112478</v>
      </c>
      <c r="AD16" s="401">
        <f>AC26</f>
        <v>0.96409303481627773</v>
      </c>
    </row>
    <row r="17" spans="1:30" ht="15" customHeight="1">
      <c r="A17" s="432"/>
      <c r="B17" s="56" t="str">
        <f>VLOOKUP(D17,廠價表!$C$1:$E$39,2,0)</f>
        <v>義大利麵</v>
      </c>
      <c r="C17" s="10"/>
      <c r="D17" s="11" t="s">
        <v>153</v>
      </c>
      <c r="E17" s="86"/>
      <c r="F17" s="56">
        <f>VLOOKUP(D17,廠價表!$C$1:$E$39,3,0)</f>
        <v>50.67</v>
      </c>
      <c r="G17" s="96">
        <v>3608</v>
      </c>
      <c r="H17" s="15">
        <f t="shared" si="38"/>
        <v>182817.36000000002</v>
      </c>
      <c r="I17" s="177"/>
      <c r="J17" s="16">
        <f>VLOOKUP(D17,產線配置圖!$A$2:$C$38,2,0)</f>
        <v>13</v>
      </c>
      <c r="K17" s="14">
        <f>VLOOKUP(D17,產線配置圖!$A$2:$C$38,3,0)</f>
        <v>2000</v>
      </c>
      <c r="L17" s="17">
        <f t="shared" ref="L17:L18" si="42">K17/J17</f>
        <v>153.84615384615384</v>
      </c>
      <c r="M17" s="37">
        <v>13</v>
      </c>
      <c r="N17" s="36">
        <f t="shared" si="39"/>
        <v>1967.9999999999998</v>
      </c>
      <c r="O17" s="38">
        <f t="shared" si="40"/>
        <v>151.38461538461536</v>
      </c>
      <c r="P17" s="39">
        <f t="shared" si="35"/>
        <v>0</v>
      </c>
      <c r="Q17" s="40">
        <f t="shared" si="36"/>
        <v>-2.4615384615384812</v>
      </c>
      <c r="R17" s="190">
        <f t="shared" si="37"/>
        <v>0.98399999999999987</v>
      </c>
      <c r="S17" s="425"/>
      <c r="T17" s="41">
        <v>0.31944444444444442</v>
      </c>
      <c r="U17" s="41">
        <v>0.39583333333333331</v>
      </c>
      <c r="V17" s="177">
        <f>(T17-U16)*24*60</f>
        <v>11.999999999999957</v>
      </c>
      <c r="W17" s="43">
        <f t="shared" si="41"/>
        <v>110.00000000000001</v>
      </c>
      <c r="X17" s="44"/>
      <c r="Y17" s="44"/>
      <c r="Z17" s="381"/>
      <c r="AA17" s="381"/>
      <c r="AB17" s="18">
        <f>N17-K17</f>
        <v>-32.000000000000227</v>
      </c>
      <c r="AC17" s="185">
        <f>N17/K17</f>
        <v>0.98399999999999987</v>
      </c>
      <c r="AD17" s="402"/>
    </row>
    <row r="18" spans="1:30" ht="15" customHeight="1">
      <c r="A18" s="432"/>
      <c r="B18" s="56" t="str">
        <f>VLOOKUP(D18,廠價表!$C$1:$E$39,2,0)</f>
        <v>義大利麵</v>
      </c>
      <c r="C18" s="10"/>
      <c r="D18" s="11" t="s">
        <v>131</v>
      </c>
      <c r="E18" s="86"/>
      <c r="F18" s="56">
        <f>VLOOKUP(D18,廠價表!$C$1:$E$39,3,0)</f>
        <v>50.39</v>
      </c>
      <c r="G18" s="96">
        <v>3416</v>
      </c>
      <c r="H18" s="15">
        <f t="shared" si="38"/>
        <v>172132.24</v>
      </c>
      <c r="I18" s="177"/>
      <c r="J18" s="16">
        <f>VLOOKUP(D18,產線配置圖!$A$2:$C$38,2,0)</f>
        <v>12</v>
      </c>
      <c r="K18" s="14">
        <f>VLOOKUP(D18,產線配置圖!$A$2:$C$38,3,0)</f>
        <v>2000</v>
      </c>
      <c r="L18" s="17">
        <f t="shared" si="42"/>
        <v>166.66666666666666</v>
      </c>
      <c r="M18" s="37">
        <v>12</v>
      </c>
      <c r="N18" s="36">
        <f t="shared" si="39"/>
        <v>1933.584905660377</v>
      </c>
      <c r="O18" s="38">
        <f t="shared" si="40"/>
        <v>161.13207547169807</v>
      </c>
      <c r="P18" s="39">
        <f t="shared" si="35"/>
        <v>0</v>
      </c>
      <c r="Q18" s="40">
        <f t="shared" si="36"/>
        <v>-5.5345911949685842</v>
      </c>
      <c r="R18" s="190">
        <f t="shared" si="37"/>
        <v>0.96679245283018844</v>
      </c>
      <c r="S18" s="425"/>
      <c r="T18" s="41">
        <v>0.40416666666666667</v>
      </c>
      <c r="U18" s="41">
        <v>0.4777777777777778</v>
      </c>
      <c r="V18" s="177">
        <f>(T18-U17)*24*60</f>
        <v>12.000000000000037</v>
      </c>
      <c r="W18" s="43">
        <f t="shared" si="41"/>
        <v>106.00000000000003</v>
      </c>
      <c r="X18" s="22"/>
      <c r="Y18" s="22"/>
      <c r="Z18" s="406"/>
      <c r="AA18" s="406"/>
      <c r="AB18" s="18">
        <f>N18-K18</f>
        <v>-66.41509433962301</v>
      </c>
      <c r="AC18" s="185">
        <f>N18/K18</f>
        <v>0.96679245283018844</v>
      </c>
      <c r="AD18" s="402"/>
    </row>
    <row r="19" spans="1:30" ht="15" customHeight="1">
      <c r="A19" s="432"/>
      <c r="B19" s="56" t="str">
        <f>VLOOKUP(D19,廠價表!$C$1:$E$39,2,0)</f>
        <v>義大利麵</v>
      </c>
      <c r="C19" s="10"/>
      <c r="D19" s="11" t="s">
        <v>131</v>
      </c>
      <c r="E19" s="86"/>
      <c r="F19" s="56">
        <f>VLOOKUP(D19,廠價表!$C$1:$E$39,3,0)</f>
        <v>50.39</v>
      </c>
      <c r="G19" s="96">
        <v>1938</v>
      </c>
      <c r="H19" s="15">
        <f t="shared" si="38"/>
        <v>97655.82</v>
      </c>
      <c r="I19" s="177"/>
      <c r="J19" s="16">
        <f>VLOOKUP(D19,產線配置圖!$A$2:$C$38,2,0)</f>
        <v>12</v>
      </c>
      <c r="K19" s="14">
        <f>VLOOKUP(D19,產線配置圖!$A$2:$C$38,3,0)</f>
        <v>2000</v>
      </c>
      <c r="L19" s="17">
        <f>K19/J19</f>
        <v>166.66666666666666</v>
      </c>
      <c r="M19" s="37">
        <v>12</v>
      </c>
      <c r="N19" s="36">
        <f t="shared" si="39"/>
        <v>1906.2295081967184</v>
      </c>
      <c r="O19" s="38">
        <f t="shared" si="40"/>
        <v>158.8524590163932</v>
      </c>
      <c r="P19" s="39">
        <f t="shared" si="35"/>
        <v>0</v>
      </c>
      <c r="Q19" s="40">
        <f t="shared" si="36"/>
        <v>-7.8142076502734596</v>
      </c>
      <c r="R19" s="190">
        <f t="shared" si="37"/>
        <v>0.95311475409835922</v>
      </c>
      <c r="S19" s="425"/>
      <c r="T19" s="41">
        <v>0.54097222222222219</v>
      </c>
      <c r="U19" s="41">
        <v>0.58333333333333337</v>
      </c>
      <c r="V19" s="177">
        <f>(T19-U18)*24*60</f>
        <v>90.999999999999915</v>
      </c>
      <c r="W19" s="43">
        <f t="shared" si="41"/>
        <v>61.000000000000099</v>
      </c>
      <c r="X19" s="22">
        <v>0.4861111111111111</v>
      </c>
      <c r="Y19" s="22">
        <v>0.52777777777777779</v>
      </c>
      <c r="Z19" s="407"/>
      <c r="AA19" s="407"/>
      <c r="AB19" s="18">
        <f>N19-K19</f>
        <v>-93.770491803281629</v>
      </c>
      <c r="AC19" s="185">
        <f>N19/K19</f>
        <v>0.95311475409835922</v>
      </c>
      <c r="AD19" s="403"/>
    </row>
    <row r="20" spans="1:30" ht="15" customHeight="1">
      <c r="A20" s="432"/>
      <c r="B20" s="56"/>
      <c r="C20" s="23"/>
      <c r="D20" s="11"/>
      <c r="E20" s="12"/>
      <c r="F20" s="56"/>
      <c r="G20" s="96"/>
      <c r="H20" s="15"/>
      <c r="I20" s="177"/>
      <c r="J20" s="16"/>
      <c r="K20" s="14"/>
      <c r="L20" s="17"/>
      <c r="M20" s="37"/>
      <c r="N20" s="36"/>
      <c r="O20" s="38"/>
      <c r="P20" s="39"/>
      <c r="Q20" s="40"/>
      <c r="R20" s="190"/>
      <c r="S20" s="425"/>
      <c r="T20" s="41"/>
      <c r="U20" s="79"/>
      <c r="V20" s="177"/>
      <c r="W20" s="43">
        <f t="shared" si="41"/>
        <v>0</v>
      </c>
      <c r="X20" s="44"/>
      <c r="Y20" s="44"/>
      <c r="Z20" s="418"/>
      <c r="AA20" s="405"/>
      <c r="AB20" s="34"/>
      <c r="AC20" s="186"/>
      <c r="AD20" s="403"/>
    </row>
    <row r="21" spans="1:30" ht="15" customHeight="1">
      <c r="A21" s="433"/>
      <c r="B21" s="56"/>
      <c r="C21" s="23"/>
      <c r="D21" s="11"/>
      <c r="E21" s="12"/>
      <c r="F21" s="56"/>
      <c r="G21" s="36"/>
      <c r="H21" s="15"/>
      <c r="I21" s="43"/>
      <c r="J21" s="16"/>
      <c r="K21" s="14"/>
      <c r="L21" s="17"/>
      <c r="M21" s="37"/>
      <c r="N21" s="36"/>
      <c r="O21" s="38"/>
      <c r="P21" s="39"/>
      <c r="Q21" s="40"/>
      <c r="R21" s="190"/>
      <c r="S21" s="425"/>
      <c r="T21" s="41"/>
      <c r="U21" s="41"/>
      <c r="V21" s="177"/>
      <c r="W21" s="43">
        <f t="shared" si="41"/>
        <v>0</v>
      </c>
      <c r="X21" s="42"/>
      <c r="Y21" s="42"/>
      <c r="Z21" s="418"/>
      <c r="AA21" s="405"/>
      <c r="AB21" s="34"/>
      <c r="AC21" s="186"/>
      <c r="AD21" s="403"/>
    </row>
    <row r="22" spans="1:30" ht="15" customHeight="1">
      <c r="A22" s="433"/>
      <c r="B22" s="177"/>
      <c r="C22" s="183"/>
      <c r="D22" s="11"/>
      <c r="E22" s="12"/>
      <c r="F22" s="13"/>
      <c r="G22" s="36"/>
      <c r="H22" s="15">
        <f t="shared" ref="H22:H25" si="43">F22*G22</f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90"/>
      <c r="S22" s="425"/>
      <c r="T22" s="41"/>
      <c r="U22" s="41"/>
      <c r="V22" s="42"/>
      <c r="W22" s="43">
        <v>0</v>
      </c>
      <c r="X22" s="42"/>
      <c r="Y22" s="42"/>
      <c r="Z22" s="418"/>
      <c r="AA22" s="405"/>
      <c r="AB22" s="34"/>
      <c r="AC22" s="186"/>
      <c r="AD22" s="403"/>
    </row>
    <row r="23" spans="1:30" ht="15" customHeight="1">
      <c r="A23" s="433"/>
      <c r="B23" s="56"/>
      <c r="C23" s="23"/>
      <c r="D23" s="11"/>
      <c r="E23" s="12"/>
      <c r="F23" s="56"/>
      <c r="G23" s="96"/>
      <c r="H23" s="15"/>
      <c r="I23" s="177"/>
      <c r="J23" s="16"/>
      <c r="K23" s="14"/>
      <c r="L23" s="17"/>
      <c r="M23" s="37"/>
      <c r="N23" s="36"/>
      <c r="O23" s="38"/>
      <c r="P23" s="39"/>
      <c r="Q23" s="40"/>
      <c r="R23" s="190"/>
      <c r="S23" s="425"/>
      <c r="T23" s="41"/>
      <c r="U23" s="41"/>
      <c r="W23" s="43">
        <f t="shared" si="41"/>
        <v>0</v>
      </c>
      <c r="X23" s="42"/>
      <c r="Y23" s="42"/>
      <c r="Z23" s="418"/>
      <c r="AA23" s="405"/>
      <c r="AB23" s="34"/>
      <c r="AC23" s="186"/>
      <c r="AD23" s="403"/>
    </row>
    <row r="24" spans="1:30" ht="15" customHeight="1">
      <c r="A24" s="433"/>
      <c r="B24" s="26"/>
      <c r="C24" s="27"/>
      <c r="D24" s="28"/>
      <c r="E24" s="29"/>
      <c r="F24" s="13"/>
      <c r="G24" s="36"/>
      <c r="H24" s="15">
        <f t="shared" si="43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90"/>
      <c r="S24" s="425"/>
      <c r="T24" s="41"/>
      <c r="U24" s="41"/>
      <c r="V24" s="42"/>
      <c r="W24" s="43">
        <f t="shared" si="41"/>
        <v>0</v>
      </c>
      <c r="X24" s="42"/>
      <c r="Y24" s="42"/>
      <c r="Z24" s="418"/>
      <c r="AA24" s="405"/>
      <c r="AB24" s="34"/>
      <c r="AC24" s="186"/>
      <c r="AD24" s="403"/>
    </row>
    <row r="25" spans="1:30" ht="15" customHeight="1">
      <c r="A25" s="433"/>
      <c r="B25" s="26"/>
      <c r="C25" s="27"/>
      <c r="D25" s="28"/>
      <c r="E25" s="29"/>
      <c r="F25" s="13"/>
      <c r="G25" s="36"/>
      <c r="H25" s="50">
        <f t="shared" si="43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90"/>
      <c r="S25" s="425"/>
      <c r="T25" s="41"/>
      <c r="U25" s="41"/>
      <c r="V25" s="42"/>
      <c r="W25" s="43">
        <f t="shared" si="41"/>
        <v>0</v>
      </c>
      <c r="X25" s="42"/>
      <c r="Y25" s="42"/>
      <c r="Z25" s="418"/>
      <c r="AA25" s="405"/>
      <c r="AB25" s="34"/>
      <c r="AC25" s="186"/>
      <c r="AD25" s="403"/>
    </row>
    <row r="26" spans="1:30" ht="15" customHeight="1" thickBot="1">
      <c r="A26" s="434"/>
      <c r="B26" s="132"/>
      <c r="C26" s="1" t="s">
        <v>35</v>
      </c>
      <c r="D26" s="410" t="s">
        <v>7</v>
      </c>
      <c r="E26" s="410"/>
      <c r="F26" s="133"/>
      <c r="G26" s="134"/>
      <c r="H26" s="135"/>
      <c r="I26" s="136"/>
      <c r="J26" s="134">
        <f t="shared" ref="J26:O26" si="44">AVERAGE(J16:J25)</f>
        <v>13</v>
      </c>
      <c r="K26" s="134">
        <f t="shared" si="44"/>
        <v>1909</v>
      </c>
      <c r="L26" s="137">
        <f t="shared" si="44"/>
        <v>149.06153846153845</v>
      </c>
      <c r="M26" s="134">
        <f t="shared" si="44"/>
        <v>13</v>
      </c>
      <c r="N26" s="134">
        <f t="shared" si="44"/>
        <v>1840.4536034642742</v>
      </c>
      <c r="O26" s="137">
        <f t="shared" si="44"/>
        <v>143.7422874681767</v>
      </c>
      <c r="P26" s="138">
        <f t="shared" ref="P26:P30" si="45">M26-J26</f>
        <v>0</v>
      </c>
      <c r="Q26" s="139">
        <f t="shared" ref="Q26:Q30" si="46">O26-L26</f>
        <v>-5.3192509933617487</v>
      </c>
      <c r="R26" s="140">
        <f t="shared" ref="R26:R30" si="47">O26/L26</f>
        <v>0.9643150671309203</v>
      </c>
      <c r="S26" s="435"/>
      <c r="T26" s="141"/>
      <c r="U26" s="141"/>
      <c r="V26" s="146"/>
      <c r="W26" s="142"/>
      <c r="X26" s="143"/>
      <c r="Y26" s="143"/>
      <c r="Z26" s="420"/>
      <c r="AA26" s="391"/>
      <c r="AB26" s="119">
        <f>N26-K26</f>
        <v>-68.546396535725762</v>
      </c>
      <c r="AC26" s="187">
        <f>N26/K26</f>
        <v>0.96409303481627773</v>
      </c>
      <c r="AD26" s="404"/>
    </row>
    <row r="27" spans="1:30" ht="15" customHeight="1">
      <c r="A27" s="421" t="s">
        <v>54</v>
      </c>
      <c r="B27" s="229" t="s">
        <v>62</v>
      </c>
      <c r="C27" s="102"/>
      <c r="D27" s="103" t="s">
        <v>144</v>
      </c>
      <c r="E27" s="104"/>
      <c r="F27" s="199">
        <f>VLOOKUP(D27,廠價表!$C$1:$E$39,3,0)</f>
        <v>49.91</v>
      </c>
      <c r="G27" s="269">
        <v>1830</v>
      </c>
      <c r="H27" s="125">
        <f t="shared" ref="H27:H41" si="48">F27*G27</f>
        <v>91335.299999999988</v>
      </c>
      <c r="I27" s="126"/>
      <c r="J27" s="16">
        <f>VLOOKUP(D27,產線配置圖!$A$2:$C$38,2,0)</f>
        <v>17</v>
      </c>
      <c r="K27" s="14">
        <f>VLOOKUP(D27,產線配置圖!$A$2:$C$38,3,0)</f>
        <v>1565</v>
      </c>
      <c r="L27" s="109">
        <f>K27/J27</f>
        <v>92.058823529411768</v>
      </c>
      <c r="M27" s="144">
        <v>15</v>
      </c>
      <c r="N27" s="127">
        <f>G27/W27*60</f>
        <v>1372.5000000000007</v>
      </c>
      <c r="O27" s="128">
        <f>N27/M27</f>
        <v>91.500000000000043</v>
      </c>
      <c r="P27" s="129">
        <f t="shared" si="45"/>
        <v>-2</v>
      </c>
      <c r="Q27" s="130">
        <f t="shared" si="46"/>
        <v>-0.55882352941172542</v>
      </c>
      <c r="R27" s="189">
        <f>O27/L27</f>
        <v>0.99392971246006434</v>
      </c>
      <c r="S27" s="424">
        <f>R37</f>
        <v>0.91514565775072021</v>
      </c>
      <c r="T27" s="94">
        <v>0.29166666666666669</v>
      </c>
      <c r="U27" s="94">
        <v>0.34722222222222221</v>
      </c>
      <c r="V27" s="126"/>
      <c r="W27" s="131">
        <f t="shared" si="41"/>
        <v>79.999999999999957</v>
      </c>
      <c r="X27" s="126"/>
      <c r="Y27" s="126" t="s">
        <v>147</v>
      </c>
      <c r="Z27" s="427"/>
      <c r="AA27" s="400"/>
      <c r="AB27" s="225">
        <f>N27-K27</f>
        <v>-192.49999999999932</v>
      </c>
      <c r="AC27" s="291">
        <f>N27/K27</f>
        <v>0.87699680511182154</v>
      </c>
      <c r="AD27" s="401">
        <f>AC37</f>
        <v>0.85132371020697473</v>
      </c>
    </row>
    <row r="28" spans="1:30" ht="15" customHeight="1">
      <c r="A28" s="422"/>
      <c r="B28" s="56" t="str">
        <f>VLOOKUP(D28,廠價表!$C$1:$E$39,2,0)</f>
        <v>義大利麵</v>
      </c>
      <c r="C28" s="10"/>
      <c r="D28" s="11" t="s">
        <v>137</v>
      </c>
      <c r="E28" s="86"/>
      <c r="F28" s="56">
        <f>VLOOKUP(D28,廠價表!$C$1:$E$39,3,0)</f>
        <v>55.13</v>
      </c>
      <c r="G28" s="53">
        <v>2196</v>
      </c>
      <c r="H28" s="50">
        <f t="shared" si="48"/>
        <v>121065.48000000001</v>
      </c>
      <c r="I28" s="42"/>
      <c r="J28" s="16">
        <f>VLOOKUP(D28,產線配置圖!$A$2:$C$38,2,0)</f>
        <v>18</v>
      </c>
      <c r="K28" s="14">
        <f>VLOOKUP(D28,產線配置圖!$A$2:$C$38,3,0)</f>
        <v>1385</v>
      </c>
      <c r="L28" s="235">
        <f>K28/J28</f>
        <v>76.944444444444443</v>
      </c>
      <c r="M28" s="21">
        <v>15</v>
      </c>
      <c r="N28" s="36">
        <f>G28/W28*60</f>
        <v>1045.7142857142853</v>
      </c>
      <c r="O28" s="38">
        <f>N28/M28</f>
        <v>69.714285714285694</v>
      </c>
      <c r="P28" s="39">
        <f t="shared" si="45"/>
        <v>-3</v>
      </c>
      <c r="Q28" s="40">
        <f t="shared" si="46"/>
        <v>-7.2301587301587489</v>
      </c>
      <c r="R28" s="190">
        <f t="shared" si="47"/>
        <v>0.90603403816400185</v>
      </c>
      <c r="S28" s="425"/>
      <c r="T28" s="270">
        <v>0.35138888888888886</v>
      </c>
      <c r="U28" s="270">
        <v>0.43888888888888888</v>
      </c>
      <c r="V28" s="42">
        <f>(T28-U27)*24*60</f>
        <v>5.9999999999999787</v>
      </c>
      <c r="W28" s="43">
        <f t="shared" si="41"/>
        <v>126.00000000000003</v>
      </c>
      <c r="X28" s="54"/>
      <c r="Y28" s="54"/>
      <c r="Z28" s="418"/>
      <c r="AA28" s="419"/>
      <c r="AB28" s="39">
        <f>N28-K28</f>
        <v>-339.28571428571468</v>
      </c>
      <c r="AC28" s="190">
        <f>N28/K28</f>
        <v>0.75502836513666816</v>
      </c>
      <c r="AD28" s="447"/>
    </row>
    <row r="29" spans="1:30" ht="15" customHeight="1">
      <c r="A29" s="422"/>
      <c r="B29" s="56" t="str">
        <f>VLOOKUP(D29,廠價表!$C$1:$E$39,2,0)</f>
        <v>義大利麵</v>
      </c>
      <c r="C29" s="10"/>
      <c r="D29" s="11" t="s">
        <v>158</v>
      </c>
      <c r="E29" s="86"/>
      <c r="F29" s="56">
        <f>VLOOKUP(D29,廠價表!$C$1:$E$39,3,0)</f>
        <v>47.71</v>
      </c>
      <c r="G29" s="53">
        <v>1712</v>
      </c>
      <c r="H29" s="50">
        <f t="shared" si="48"/>
        <v>81679.520000000004</v>
      </c>
      <c r="I29" s="42"/>
      <c r="J29" s="16">
        <f>VLOOKUP(D29,產線配置圖!$A$2:$C$38,2,0)</f>
        <v>15</v>
      </c>
      <c r="K29" s="14">
        <f>VLOOKUP(D29,產線配置圖!$A$2:$C$38,3,0)</f>
        <v>1500</v>
      </c>
      <c r="L29" s="235">
        <f>K29/J29</f>
        <v>100</v>
      </c>
      <c r="M29" s="21">
        <v>15</v>
      </c>
      <c r="N29" s="36">
        <f>G29/W29*60</f>
        <v>1237.5903614457841</v>
      </c>
      <c r="O29" s="38">
        <f>N29/M29</f>
        <v>82.506024096385602</v>
      </c>
      <c r="P29" s="39">
        <f t="shared" si="45"/>
        <v>0</v>
      </c>
      <c r="Q29" s="40">
        <f t="shared" si="46"/>
        <v>-17.493975903614398</v>
      </c>
      <c r="R29" s="190">
        <f t="shared" si="47"/>
        <v>0.825060240963856</v>
      </c>
      <c r="S29" s="425"/>
      <c r="T29" s="41">
        <v>0.44583333333333336</v>
      </c>
      <c r="U29" s="41">
        <v>0.50347222222222221</v>
      </c>
      <c r="V29" s="42">
        <f>(T29-U28)*24*60</f>
        <v>10.000000000000044</v>
      </c>
      <c r="W29" s="43">
        <f t="shared" si="41"/>
        <v>82.999999999999943</v>
      </c>
      <c r="X29" s="22"/>
      <c r="Y29" s="22"/>
      <c r="Z29" s="418"/>
      <c r="AA29" s="419"/>
      <c r="AB29" s="292">
        <f>N29-K29</f>
        <v>-262.40963855421592</v>
      </c>
      <c r="AC29" s="190">
        <f>N29/K29</f>
        <v>0.82506024096385611</v>
      </c>
      <c r="AD29" s="447"/>
    </row>
    <row r="30" spans="1:30" ht="15" customHeight="1">
      <c r="A30" s="422"/>
      <c r="B30" s="56" t="str">
        <f>VLOOKUP(D30,廠價表!$C$1:$E$39,2,0)</f>
        <v>義大利麵</v>
      </c>
      <c r="C30" s="237"/>
      <c r="D30" s="11" t="s">
        <v>158</v>
      </c>
      <c r="E30" s="29"/>
      <c r="F30" s="56">
        <f>VLOOKUP(D30,廠價表!$C$1:$E$39,3,0)</f>
        <v>47.71</v>
      </c>
      <c r="G30" s="53">
        <v>3289</v>
      </c>
      <c r="H30" s="50">
        <f t="shared" si="48"/>
        <v>156918.19</v>
      </c>
      <c r="I30" s="42"/>
      <c r="J30" s="16">
        <f>VLOOKUP(D30,產線配置圖!$A$2:$C$38,2,0)</f>
        <v>15</v>
      </c>
      <c r="K30" s="14">
        <f>VLOOKUP(D30,產線配置圖!$A$2:$C$38,3,0)</f>
        <v>1500</v>
      </c>
      <c r="L30" s="235">
        <f>K30/J30</f>
        <v>100</v>
      </c>
      <c r="M30" s="21">
        <v>15</v>
      </c>
      <c r="N30" s="36">
        <f>G30/W30*60</f>
        <v>1409.5714285714289</v>
      </c>
      <c r="O30" s="38">
        <f>N30/M30</f>
        <v>93.971428571428589</v>
      </c>
      <c r="P30" s="39">
        <f t="shared" si="45"/>
        <v>0</v>
      </c>
      <c r="Q30" s="40">
        <f t="shared" si="46"/>
        <v>-6.0285714285714107</v>
      </c>
      <c r="R30" s="190">
        <f t="shared" si="47"/>
        <v>0.93971428571428595</v>
      </c>
      <c r="S30" s="425"/>
      <c r="T30" s="41">
        <v>0.55902777777777779</v>
      </c>
      <c r="U30" s="41">
        <v>0.65625</v>
      </c>
      <c r="V30" s="42">
        <f>(T30-U29)*24*60</f>
        <v>80.000000000000028</v>
      </c>
      <c r="W30" s="43">
        <f t="shared" si="41"/>
        <v>139.99999999999997</v>
      </c>
      <c r="X30" s="54">
        <v>0.50694444444444442</v>
      </c>
      <c r="Y30" s="54">
        <v>0.54861111111111116</v>
      </c>
      <c r="Z30" s="449"/>
      <c r="AA30" s="450"/>
      <c r="AB30" s="292"/>
      <c r="AC30" s="190"/>
      <c r="AD30" s="448"/>
    </row>
    <row r="31" spans="1:30" ht="15" customHeight="1">
      <c r="A31" s="422"/>
      <c r="B31" s="56"/>
      <c r="C31" s="237"/>
      <c r="D31" s="11"/>
      <c r="E31" s="29"/>
      <c r="F31" s="56"/>
      <c r="G31" s="53"/>
      <c r="H31" s="50"/>
      <c r="I31" s="42"/>
      <c r="J31" s="16"/>
      <c r="K31" s="14"/>
      <c r="L31" s="235"/>
      <c r="M31" s="21"/>
      <c r="N31" s="36"/>
      <c r="O31" s="38"/>
      <c r="P31" s="39"/>
      <c r="Q31" s="40"/>
      <c r="R31" s="190"/>
      <c r="S31" s="425"/>
      <c r="T31" s="41"/>
      <c r="U31" s="41"/>
      <c r="V31" s="42"/>
      <c r="W31" s="43">
        <f t="shared" si="41"/>
        <v>0</v>
      </c>
      <c r="X31" s="54"/>
      <c r="Y31" s="54"/>
      <c r="Z31" s="449"/>
      <c r="AA31" s="450"/>
      <c r="AB31" s="257"/>
      <c r="AC31" s="258"/>
      <c r="AD31" s="403"/>
    </row>
    <row r="32" spans="1:30" ht="15" customHeight="1">
      <c r="A32" s="422"/>
      <c r="B32" s="56"/>
      <c r="C32" s="252"/>
      <c r="D32" s="253"/>
      <c r="E32" s="254"/>
      <c r="F32" s="56"/>
      <c r="G32" s="53"/>
      <c r="H32" s="50"/>
      <c r="I32" s="42"/>
      <c r="J32" s="255"/>
      <c r="K32" s="36"/>
      <c r="L32" s="256"/>
      <c r="M32" s="21"/>
      <c r="N32" s="36"/>
      <c r="O32" s="38"/>
      <c r="P32" s="39"/>
      <c r="Q32" s="40"/>
      <c r="R32" s="190"/>
      <c r="S32" s="425"/>
      <c r="T32" s="41"/>
      <c r="U32" s="41"/>
      <c r="V32" s="42"/>
      <c r="W32" s="43">
        <f t="shared" si="41"/>
        <v>0</v>
      </c>
      <c r="X32" s="54"/>
      <c r="Y32" s="54"/>
      <c r="Z32" s="418"/>
      <c r="AA32" s="405"/>
      <c r="AB32" s="18"/>
      <c r="AC32" s="185"/>
      <c r="AD32" s="403"/>
    </row>
    <row r="33" spans="1:30" ht="15" customHeight="1">
      <c r="A33" s="422"/>
      <c r="B33" s="240"/>
      <c r="C33" s="241"/>
      <c r="D33" s="242"/>
      <c r="E33" s="243"/>
      <c r="F33" s="223"/>
      <c r="G33" s="244"/>
      <c r="H33" s="245">
        <f t="shared" si="48"/>
        <v>0</v>
      </c>
      <c r="I33" s="246"/>
      <c r="J33" s="247"/>
      <c r="K33" s="45"/>
      <c r="M33" s="248"/>
      <c r="N33" s="45"/>
      <c r="O33" s="46"/>
      <c r="P33" s="47"/>
      <c r="Q33" s="48"/>
      <c r="R33" s="49"/>
      <c r="S33" s="425"/>
      <c r="T33" s="41"/>
      <c r="U33" s="41"/>
      <c r="V33" s="42"/>
      <c r="W33" s="43">
        <f t="shared" si="41"/>
        <v>0</v>
      </c>
      <c r="X33" s="54"/>
      <c r="Y33" s="54"/>
      <c r="Z33" s="418"/>
      <c r="AA33" s="405"/>
      <c r="AB33" s="18"/>
      <c r="AC33" s="57"/>
      <c r="AD33" s="403"/>
    </row>
    <row r="34" spans="1:30" ht="15" customHeight="1">
      <c r="A34" s="422"/>
      <c r="B34" s="231"/>
      <c r="C34" s="27"/>
      <c r="D34" s="28"/>
      <c r="E34" s="29"/>
      <c r="F34" s="13"/>
      <c r="G34" s="53"/>
      <c r="H34" s="50">
        <f t="shared" si="48"/>
        <v>0</v>
      </c>
      <c r="I34" s="42"/>
      <c r="J34" s="37"/>
      <c r="K34" s="36"/>
      <c r="L34" s="38"/>
      <c r="M34" s="21"/>
      <c r="N34" s="36"/>
      <c r="O34" s="38"/>
      <c r="P34" s="39"/>
      <c r="Q34" s="40"/>
      <c r="R34" s="190"/>
      <c r="S34" s="425"/>
      <c r="T34" s="41"/>
      <c r="U34" s="41"/>
      <c r="V34" s="42"/>
      <c r="W34" s="43">
        <f t="shared" si="41"/>
        <v>0</v>
      </c>
      <c r="X34" s="54"/>
      <c r="Y34" s="54"/>
      <c r="Z34" s="418"/>
      <c r="AA34" s="405"/>
      <c r="AB34" s="18"/>
      <c r="AC34" s="57"/>
      <c r="AD34" s="403"/>
    </row>
    <row r="35" spans="1:30" ht="15" customHeight="1">
      <c r="A35" s="422"/>
      <c r="B35" s="231"/>
      <c r="C35" s="27"/>
      <c r="D35" s="28"/>
      <c r="E35" s="29"/>
      <c r="F35" s="13"/>
      <c r="G35" s="53"/>
      <c r="H35" s="50">
        <f t="shared" si="48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90"/>
      <c r="S35" s="425"/>
      <c r="T35" s="41"/>
      <c r="U35" s="41"/>
      <c r="V35" s="42"/>
      <c r="W35" s="43">
        <f t="shared" si="41"/>
        <v>0</v>
      </c>
      <c r="X35" s="54"/>
      <c r="Y35" s="54"/>
      <c r="Z35" s="418"/>
      <c r="AA35" s="405"/>
      <c r="AB35" s="18"/>
      <c r="AC35" s="57"/>
      <c r="AD35" s="403"/>
    </row>
    <row r="36" spans="1:30" ht="15" customHeight="1">
      <c r="A36" s="422"/>
      <c r="B36" s="232"/>
      <c r="C36" s="27"/>
      <c r="D36" s="28"/>
      <c r="E36" s="29"/>
      <c r="F36" s="13"/>
      <c r="G36" s="53"/>
      <c r="H36" s="50">
        <f t="shared" si="48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90"/>
      <c r="S36" s="425"/>
      <c r="T36" s="41"/>
      <c r="U36" s="41"/>
      <c r="V36" s="42"/>
      <c r="W36" s="43">
        <f t="shared" si="41"/>
        <v>0</v>
      </c>
      <c r="X36" s="54"/>
      <c r="Y36" s="54"/>
      <c r="Z36" s="418"/>
      <c r="AA36" s="405"/>
      <c r="AB36" s="18"/>
      <c r="AC36" s="57"/>
      <c r="AD36" s="403"/>
    </row>
    <row r="37" spans="1:30" ht="15" customHeight="1" thickBot="1">
      <c r="A37" s="423"/>
      <c r="B37" s="300"/>
      <c r="C37" s="301" t="s">
        <v>36</v>
      </c>
      <c r="D37" s="428" t="s">
        <v>7</v>
      </c>
      <c r="E37" s="429"/>
      <c r="F37" s="281"/>
      <c r="G37" s="282"/>
      <c r="H37" s="283"/>
      <c r="I37" s="284"/>
      <c r="J37" s="285">
        <f t="shared" ref="J37:O37" si="49">AVERAGE(J27:J36)</f>
        <v>16.25</v>
      </c>
      <c r="K37" s="285">
        <f t="shared" si="49"/>
        <v>1487.5</v>
      </c>
      <c r="L37" s="286">
        <f t="shared" si="49"/>
        <v>92.250816993464056</v>
      </c>
      <c r="M37" s="285">
        <f t="shared" si="49"/>
        <v>15</v>
      </c>
      <c r="N37" s="285">
        <f t="shared" si="49"/>
        <v>1266.3440189328749</v>
      </c>
      <c r="O37" s="286">
        <f t="shared" si="49"/>
        <v>84.422934595524978</v>
      </c>
      <c r="P37" s="73">
        <f>M37-J37</f>
        <v>-1.25</v>
      </c>
      <c r="Q37" s="74">
        <f>N37-K37</f>
        <v>-221.15598106712514</v>
      </c>
      <c r="R37" s="287">
        <f t="shared" ref="R37:R41" si="50">O37/L37</f>
        <v>0.91514565775072021</v>
      </c>
      <c r="S37" s="426"/>
      <c r="T37" s="302"/>
      <c r="U37" s="302"/>
      <c r="V37" s="81"/>
      <c r="W37" s="81"/>
      <c r="X37" s="303"/>
      <c r="Y37" s="303"/>
      <c r="Z37" s="430"/>
      <c r="AA37" s="379"/>
      <c r="AB37" s="34">
        <f t="shared" ref="AB37:AB40" si="51">N37-K37</f>
        <v>-221.15598106712514</v>
      </c>
      <c r="AC37" s="186">
        <f t="shared" ref="AC37:AC40" si="52">N37/K37</f>
        <v>0.85132371020697473</v>
      </c>
      <c r="AD37" s="403"/>
    </row>
    <row r="38" spans="1:30" s="62" customFormat="1" ht="15" customHeight="1">
      <c r="A38" s="454" t="s">
        <v>55</v>
      </c>
      <c r="B38" s="229" t="s">
        <v>134</v>
      </c>
      <c r="C38" s="199"/>
      <c r="D38" s="304" t="s">
        <v>156</v>
      </c>
      <c r="E38" s="280"/>
      <c r="F38" s="305">
        <f>VLOOKUP(D38,廠價表!$C$1:$E$39,3,0)</f>
        <v>56.43</v>
      </c>
      <c r="G38" s="266">
        <v>2530</v>
      </c>
      <c r="H38" s="125">
        <f t="shared" si="48"/>
        <v>142767.9</v>
      </c>
      <c r="I38" s="126"/>
      <c r="J38" s="274">
        <f>VLOOKUP(D38,產線配置圖!$A$2:$C$38,2,0)</f>
        <v>15</v>
      </c>
      <c r="K38" s="236">
        <f>VLOOKUP(D38,產線配置圖!$A$2:$C$38,3,0)</f>
        <v>1406</v>
      </c>
      <c r="L38" s="288">
        <f t="shared" ref="L38:L41" si="53">K38/J38</f>
        <v>93.733333333333334</v>
      </c>
      <c r="M38" s="289">
        <v>15</v>
      </c>
      <c r="N38" s="127">
        <f>G38/W38*60</f>
        <v>1141.3533834586465</v>
      </c>
      <c r="O38" s="128">
        <f>N38/M38</f>
        <v>76.090225563909769</v>
      </c>
      <c r="P38" s="129">
        <f t="shared" ref="P38:P41" si="54">M38-J38</f>
        <v>0</v>
      </c>
      <c r="Q38" s="130">
        <f t="shared" ref="Q38:Q41" si="55">O38-L38</f>
        <v>-17.643107769423565</v>
      </c>
      <c r="R38" s="189">
        <f t="shared" si="50"/>
        <v>0.81177338795067322</v>
      </c>
      <c r="S38" s="457">
        <f>R48</f>
        <v>0.89289126803942998</v>
      </c>
      <c r="T38" s="151">
        <v>0.33124999999999999</v>
      </c>
      <c r="U38" s="151">
        <v>0.4236111111111111</v>
      </c>
      <c r="V38" s="148"/>
      <c r="W38" s="152">
        <f t="shared" si="41"/>
        <v>133</v>
      </c>
      <c r="X38" s="150"/>
      <c r="Y38" s="153"/>
      <c r="Z38" s="478" t="s">
        <v>236</v>
      </c>
      <c r="AA38" s="460"/>
      <c r="AB38" s="290">
        <f t="shared" si="51"/>
        <v>-264.64661654135352</v>
      </c>
      <c r="AC38" s="154">
        <f t="shared" si="52"/>
        <v>0.81177338795067322</v>
      </c>
      <c r="AD38" s="436">
        <f>AC48</f>
        <v>0.89289126803942986</v>
      </c>
    </row>
    <row r="39" spans="1:30" s="62" customFormat="1" ht="15" customHeight="1">
      <c r="A39" s="455"/>
      <c r="B39" s="56" t="s">
        <v>134</v>
      </c>
      <c r="C39" s="277"/>
      <c r="D39" s="279" t="s">
        <v>127</v>
      </c>
      <c r="E39" s="278"/>
      <c r="F39" s="56">
        <f>VLOOKUP(D39,廠價表!$C$1:$E$39,3,0)</f>
        <v>57.21</v>
      </c>
      <c r="G39" s="276">
        <v>2197</v>
      </c>
      <c r="H39" s="50">
        <f t="shared" si="48"/>
        <v>125690.37</v>
      </c>
      <c r="I39" s="64"/>
      <c r="J39" s="37">
        <v>15</v>
      </c>
      <c r="K39" s="36">
        <v>1565</v>
      </c>
      <c r="L39" s="38">
        <f t="shared" si="53"/>
        <v>104.33333333333333</v>
      </c>
      <c r="M39" s="65">
        <v>15</v>
      </c>
      <c r="N39" s="66">
        <f>G39/W39*60</f>
        <v>1515.1724137931033</v>
      </c>
      <c r="O39" s="67">
        <f t="shared" ref="O39:O41" si="56">N39/M39</f>
        <v>101.01149425287355</v>
      </c>
      <c r="P39" s="39">
        <f t="shared" si="54"/>
        <v>0</v>
      </c>
      <c r="Q39" s="40">
        <f t="shared" si="55"/>
        <v>-3.3218390804597817</v>
      </c>
      <c r="R39" s="190">
        <f t="shared" si="50"/>
        <v>0.96816128676875612</v>
      </c>
      <c r="S39" s="458"/>
      <c r="T39" s="59">
        <v>0.42916666666666664</v>
      </c>
      <c r="U39" s="59">
        <v>0.48958333333333331</v>
      </c>
      <c r="V39" s="42">
        <f>(T39-U38)*24*60</f>
        <v>7.9999999999999716</v>
      </c>
      <c r="W39" s="69">
        <f t="shared" si="41"/>
        <v>87.000000000000014</v>
      </c>
      <c r="X39" s="22"/>
      <c r="Y39" s="22"/>
      <c r="Z39" s="439"/>
      <c r="AA39" s="440"/>
      <c r="AB39" s="271">
        <f t="shared" si="51"/>
        <v>-49.82758620689674</v>
      </c>
      <c r="AC39" s="61">
        <f t="shared" si="52"/>
        <v>0.96816128676875612</v>
      </c>
      <c r="AD39" s="437"/>
    </row>
    <row r="40" spans="1:30" s="62" customFormat="1" ht="15" customHeight="1">
      <c r="A40" s="455"/>
      <c r="B40" s="56" t="s">
        <v>134</v>
      </c>
      <c r="C40" s="275"/>
      <c r="D40" s="279" t="s">
        <v>154</v>
      </c>
      <c r="E40" s="243"/>
      <c r="F40" s="56">
        <f>VLOOKUP(D40,廠價表!$C$1:$E$39,3,0)</f>
        <v>57.3</v>
      </c>
      <c r="G40" s="276">
        <v>1728</v>
      </c>
      <c r="H40" s="50">
        <f t="shared" si="48"/>
        <v>99014.399999999994</v>
      </c>
      <c r="I40" s="64"/>
      <c r="J40" s="37">
        <f>VLOOKUP(D40,產線配置圖!$A$2:$C$38,2,0)</f>
        <v>15</v>
      </c>
      <c r="K40" s="36">
        <f>VLOOKUP(D40,產線配置圖!$A$2:$C$38,3,0)</f>
        <v>1385</v>
      </c>
      <c r="L40" s="38">
        <f t="shared" si="53"/>
        <v>92.333333333333329</v>
      </c>
      <c r="M40" s="65">
        <v>15</v>
      </c>
      <c r="N40" s="66">
        <f>G40/W40*60</f>
        <v>1329.2307692307686</v>
      </c>
      <c r="O40" s="67">
        <f t="shared" si="56"/>
        <v>88.615384615384571</v>
      </c>
      <c r="P40" s="39">
        <f t="shared" si="54"/>
        <v>0</v>
      </c>
      <c r="Q40" s="40">
        <f t="shared" si="55"/>
        <v>-3.717948717948758</v>
      </c>
      <c r="R40" s="190">
        <f t="shared" si="50"/>
        <v>0.95973340738683655</v>
      </c>
      <c r="S40" s="397"/>
      <c r="T40" s="59">
        <v>0.56388888888888888</v>
      </c>
      <c r="U40" s="59">
        <v>0.61805555555555558</v>
      </c>
      <c r="V40" s="42">
        <f>(T40-U39)*24*60</f>
        <v>107.00000000000001</v>
      </c>
      <c r="W40" s="69">
        <f t="shared" si="41"/>
        <v>78.000000000000043</v>
      </c>
      <c r="X40" s="70">
        <v>0.5</v>
      </c>
      <c r="Y40" s="259">
        <v>0.54166666666666663</v>
      </c>
      <c r="Z40" s="439"/>
      <c r="AA40" s="440"/>
      <c r="AB40" s="271">
        <f t="shared" si="51"/>
        <v>-55.769230769231399</v>
      </c>
      <c r="AC40" s="61">
        <f t="shared" si="52"/>
        <v>0.95973340738683655</v>
      </c>
      <c r="AD40" s="437"/>
    </row>
    <row r="41" spans="1:30" s="62" customFormat="1" ht="15" customHeight="1">
      <c r="A41" s="455"/>
      <c r="B41" s="56" t="s">
        <v>134</v>
      </c>
      <c r="C41" s="275"/>
      <c r="D41" s="279" t="s">
        <v>127</v>
      </c>
      <c r="E41" s="243"/>
      <c r="F41" s="56">
        <f>VLOOKUP(D41,廠價表!$C$1:$E$39,3,0)</f>
        <v>57.21</v>
      </c>
      <c r="G41" s="276">
        <v>824</v>
      </c>
      <c r="H41" s="50">
        <f t="shared" si="48"/>
        <v>47141.04</v>
      </c>
      <c r="I41" s="64"/>
      <c r="J41" s="37">
        <v>15</v>
      </c>
      <c r="K41" s="36">
        <v>1565</v>
      </c>
      <c r="L41" s="38">
        <f t="shared" si="53"/>
        <v>104.33333333333333</v>
      </c>
      <c r="M41" s="65">
        <v>15</v>
      </c>
      <c r="N41" s="66">
        <f>G41/W41*60</f>
        <v>1301.0526315789464</v>
      </c>
      <c r="O41" s="67">
        <f t="shared" si="56"/>
        <v>86.736842105263094</v>
      </c>
      <c r="P41" s="39">
        <f t="shared" si="54"/>
        <v>0</v>
      </c>
      <c r="Q41" s="40">
        <f t="shared" si="55"/>
        <v>-17.596491228070235</v>
      </c>
      <c r="R41" s="190">
        <f t="shared" si="50"/>
        <v>0.83134353455523735</v>
      </c>
      <c r="S41" s="397"/>
      <c r="T41" s="59">
        <v>0.62291666666666667</v>
      </c>
      <c r="U41" s="59">
        <v>0.64930555555555558</v>
      </c>
      <c r="V41" s="42">
        <f>(T41-U40)*24*60</f>
        <v>6.9999999999999751</v>
      </c>
      <c r="W41" s="69">
        <f t="shared" si="41"/>
        <v>38.000000000000028</v>
      </c>
      <c r="X41" s="70"/>
      <c r="Y41" s="259"/>
      <c r="Z41" s="439"/>
      <c r="AA41" s="440"/>
      <c r="AB41" s="271"/>
      <c r="AC41" s="61"/>
      <c r="AD41" s="437"/>
    </row>
    <row r="42" spans="1:30" s="62" customFormat="1" ht="15" customHeight="1">
      <c r="A42" s="455"/>
      <c r="B42" s="56"/>
      <c r="C42" s="23"/>
      <c r="D42" s="279"/>
      <c r="E42" s="12"/>
      <c r="F42" s="56"/>
      <c r="G42" s="276"/>
      <c r="H42" s="63"/>
      <c r="I42" s="64"/>
      <c r="J42" s="37"/>
      <c r="K42" s="36"/>
      <c r="L42" s="38"/>
      <c r="M42" s="65"/>
      <c r="N42" s="66"/>
      <c r="O42" s="67"/>
      <c r="P42" s="39"/>
      <c r="Q42" s="40"/>
      <c r="R42" s="190"/>
      <c r="S42" s="397"/>
      <c r="T42" s="75"/>
      <c r="U42" s="75"/>
      <c r="V42" s="42"/>
      <c r="W42" s="69">
        <f t="shared" si="41"/>
        <v>0</v>
      </c>
      <c r="X42" s="70"/>
      <c r="Y42" s="60"/>
      <c r="Z42" s="445"/>
      <c r="AA42" s="446"/>
      <c r="AB42" s="271"/>
      <c r="AC42" s="61"/>
      <c r="AD42" s="437"/>
    </row>
    <row r="43" spans="1:30" s="62" customFormat="1" ht="15" customHeight="1">
      <c r="A43" s="455"/>
      <c r="B43" s="230"/>
      <c r="C43" s="23"/>
      <c r="D43" s="11"/>
      <c r="E43" s="12"/>
      <c r="F43" s="13"/>
      <c r="G43" s="100"/>
      <c r="H43" s="63">
        <f t="shared" ref="H43:H47" si="57">F43*G43</f>
        <v>0</v>
      </c>
      <c r="I43" s="64"/>
      <c r="J43" s="65"/>
      <c r="K43" s="66"/>
      <c r="L43" s="67"/>
      <c r="M43" s="65"/>
      <c r="N43" s="66"/>
      <c r="O43" s="67"/>
      <c r="P43" s="39"/>
      <c r="Q43" s="40"/>
      <c r="R43" s="68"/>
      <c r="S43" s="397"/>
      <c r="T43" s="75"/>
      <c r="U43" s="75"/>
      <c r="V43" s="64"/>
      <c r="W43" s="69">
        <f>(U43-T43)*24*60</f>
        <v>0</v>
      </c>
      <c r="X43" s="70"/>
      <c r="Y43" s="67"/>
      <c r="Z43" s="405"/>
      <c r="AA43" s="405"/>
      <c r="AB43" s="71"/>
      <c r="AC43" s="61"/>
      <c r="AD43" s="437"/>
    </row>
    <row r="44" spans="1:30" s="62" customFormat="1" ht="15" customHeight="1">
      <c r="A44" s="455"/>
      <c r="B44" s="230"/>
      <c r="C44" s="183"/>
      <c r="D44" s="11"/>
      <c r="E44" s="12"/>
      <c r="F44" s="13"/>
      <c r="G44" s="100"/>
      <c r="H44" s="63">
        <f t="shared" si="57"/>
        <v>0</v>
      </c>
      <c r="I44" s="64"/>
      <c r="J44" s="65"/>
      <c r="K44" s="66"/>
      <c r="L44" s="58"/>
      <c r="M44" s="65"/>
      <c r="N44" s="66"/>
      <c r="O44" s="67"/>
      <c r="P44" s="39"/>
      <c r="Q44" s="40"/>
      <c r="R44" s="68"/>
      <c r="S44" s="397"/>
      <c r="T44" s="59"/>
      <c r="U44" s="59"/>
      <c r="V44" s="64"/>
      <c r="W44" s="69">
        <f t="shared" ref="W44:W48" si="58">(U44-T44)*24*60</f>
        <v>0</v>
      </c>
      <c r="X44" s="70"/>
      <c r="Y44" s="67"/>
      <c r="Z44" s="405"/>
      <c r="AA44" s="405"/>
      <c r="AB44" s="71"/>
      <c r="AC44" s="61"/>
      <c r="AD44" s="437"/>
    </row>
    <row r="45" spans="1:30" s="62" customFormat="1" ht="15" customHeight="1">
      <c r="A45" s="455"/>
      <c r="B45" s="231"/>
      <c r="C45" s="27"/>
      <c r="D45" s="28"/>
      <c r="E45" s="29"/>
      <c r="F45" s="13"/>
      <c r="G45" s="66"/>
      <c r="H45" s="63">
        <f t="shared" si="57"/>
        <v>0</v>
      </c>
      <c r="I45" s="64"/>
      <c r="J45" s="65"/>
      <c r="K45" s="66"/>
      <c r="L45" s="67"/>
      <c r="M45" s="65"/>
      <c r="N45" s="66"/>
      <c r="O45" s="67"/>
      <c r="P45" s="39"/>
      <c r="Q45" s="40"/>
      <c r="R45" s="68"/>
      <c r="S45" s="397"/>
      <c r="T45" s="75"/>
      <c r="U45" s="75"/>
      <c r="V45" s="64"/>
      <c r="W45" s="69">
        <f t="shared" si="58"/>
        <v>0</v>
      </c>
      <c r="X45" s="70"/>
      <c r="Y45" s="67"/>
      <c r="Z45" s="405"/>
      <c r="AA45" s="405"/>
      <c r="AB45" s="71"/>
      <c r="AC45" s="61"/>
      <c r="AD45" s="437"/>
    </row>
    <row r="46" spans="1:30" s="62" customFormat="1" ht="15" customHeight="1">
      <c r="A46" s="455"/>
      <c r="B46" s="231"/>
      <c r="C46" s="27"/>
      <c r="D46" s="28"/>
      <c r="E46" s="29"/>
      <c r="F46" s="13"/>
      <c r="G46" s="66"/>
      <c r="H46" s="63">
        <f t="shared" si="57"/>
        <v>0</v>
      </c>
      <c r="I46" s="64"/>
      <c r="J46" s="65"/>
      <c r="K46" s="66"/>
      <c r="L46" s="67"/>
      <c r="M46" s="65"/>
      <c r="N46" s="66"/>
      <c r="O46" s="67"/>
      <c r="P46" s="39"/>
      <c r="Q46" s="40"/>
      <c r="R46" s="68"/>
      <c r="S46" s="397"/>
      <c r="T46" s="59"/>
      <c r="U46" s="59"/>
      <c r="V46" s="64"/>
      <c r="W46" s="69">
        <f t="shared" si="58"/>
        <v>0</v>
      </c>
      <c r="X46" s="70"/>
      <c r="Y46" s="67"/>
      <c r="Z46" s="405"/>
      <c r="AA46" s="405"/>
      <c r="AB46" s="71"/>
      <c r="AC46" s="61"/>
      <c r="AD46" s="437"/>
    </row>
    <row r="47" spans="1:30" s="62" customFormat="1" ht="15" customHeight="1">
      <c r="A47" s="455"/>
      <c r="B47" s="230"/>
      <c r="C47" s="27"/>
      <c r="D47" s="28"/>
      <c r="E47" s="29"/>
      <c r="F47" s="13"/>
      <c r="G47" s="66"/>
      <c r="H47" s="63">
        <f t="shared" si="57"/>
        <v>0</v>
      </c>
      <c r="I47" s="64"/>
      <c r="J47" s="65"/>
      <c r="K47" s="66"/>
      <c r="L47" s="67"/>
      <c r="M47" s="65"/>
      <c r="N47" s="66"/>
      <c r="O47" s="67"/>
      <c r="P47" s="39"/>
      <c r="Q47" s="40"/>
      <c r="R47" s="68"/>
      <c r="S47" s="397"/>
      <c r="T47" s="75"/>
      <c r="U47" s="75"/>
      <c r="V47" s="64"/>
      <c r="W47" s="69">
        <f t="shared" si="58"/>
        <v>0</v>
      </c>
      <c r="X47" s="70"/>
      <c r="Y47" s="67"/>
      <c r="Z47" s="405"/>
      <c r="AA47" s="405"/>
      <c r="AB47" s="71"/>
      <c r="AC47" s="61"/>
      <c r="AD47" s="437"/>
    </row>
    <row r="48" spans="1:30" ht="15" customHeight="1" thickBot="1">
      <c r="A48" s="456"/>
      <c r="B48" s="156"/>
      <c r="C48" s="1" t="s">
        <v>37</v>
      </c>
      <c r="D48" s="410" t="s">
        <v>7</v>
      </c>
      <c r="E48" s="410"/>
      <c r="F48" s="133"/>
      <c r="G48" s="145"/>
      <c r="H48" s="135"/>
      <c r="I48" s="136"/>
      <c r="J48" s="134">
        <f t="shared" ref="J48:O48" si="59">AVERAGE(J38:J47)</f>
        <v>15</v>
      </c>
      <c r="K48" s="134">
        <f t="shared" si="59"/>
        <v>1480.25</v>
      </c>
      <c r="L48" s="137">
        <f t="shared" si="59"/>
        <v>98.683333333333323</v>
      </c>
      <c r="M48" s="134">
        <f t="shared" si="59"/>
        <v>15</v>
      </c>
      <c r="N48" s="134">
        <f t="shared" si="59"/>
        <v>1321.7022995153661</v>
      </c>
      <c r="O48" s="137">
        <f t="shared" si="59"/>
        <v>88.113486634357741</v>
      </c>
      <c r="P48" s="157">
        <f>M48-J48</f>
        <v>0</v>
      </c>
      <c r="Q48" s="158">
        <f>N48-K48</f>
        <v>-158.54770048463388</v>
      </c>
      <c r="R48" s="159">
        <f>O48/L48</f>
        <v>0.89289126803942998</v>
      </c>
      <c r="S48" s="399"/>
      <c r="T48" s="160"/>
      <c r="U48" s="160"/>
      <c r="V48" s="196"/>
      <c r="W48" s="161">
        <f t="shared" si="58"/>
        <v>0</v>
      </c>
      <c r="X48" s="162"/>
      <c r="Y48" s="162"/>
      <c r="Z48" s="391"/>
      <c r="AA48" s="391"/>
      <c r="AB48" s="163">
        <f>N48-K48</f>
        <v>-158.54770048463388</v>
      </c>
      <c r="AC48" s="191">
        <f>N48/K48</f>
        <v>0.89289126803942986</v>
      </c>
      <c r="AD48" s="438"/>
    </row>
    <row r="49" spans="1:30" ht="15" customHeight="1">
      <c r="A49" s="451" t="s">
        <v>56</v>
      </c>
      <c r="B49" s="199" t="str">
        <f>VLOOKUP(D49,廠價表!$C$1:$E$39,2,0)</f>
        <v>義大利麵</v>
      </c>
      <c r="C49" s="102"/>
      <c r="D49" s="103" t="s">
        <v>65</v>
      </c>
      <c r="E49" s="104"/>
      <c r="F49" s="199">
        <f>VLOOKUP(D49,廠價表!$C$1:$E$39,3,0)</f>
        <v>49.97</v>
      </c>
      <c r="G49" s="149">
        <v>4022</v>
      </c>
      <c r="H49" s="125">
        <f t="shared" ref="H49:H57" si="60">F49*G49</f>
        <v>200979.34</v>
      </c>
      <c r="I49" s="126"/>
      <c r="J49" s="16">
        <v>19</v>
      </c>
      <c r="K49" s="14">
        <f>VLOOKUP(D49,產線配置圖!$A$2:$C$38,3,0)</f>
        <v>1600</v>
      </c>
      <c r="L49" s="109">
        <f>K49/J49</f>
        <v>84.21052631578948</v>
      </c>
      <c r="M49" s="144">
        <v>19</v>
      </c>
      <c r="N49" s="127">
        <f>G49/W49*60</f>
        <v>1598.1456953642391</v>
      </c>
      <c r="O49" s="128">
        <f>N49/M49</f>
        <v>84.112931334959953</v>
      </c>
      <c r="P49" s="164">
        <f>M49-J49</f>
        <v>0</v>
      </c>
      <c r="Q49" s="112">
        <f>O49-L49</f>
        <v>-9.7594980829526889E-2</v>
      </c>
      <c r="R49" s="184">
        <f>O49/L49</f>
        <v>0.99884105960264935</v>
      </c>
      <c r="S49" s="396">
        <f>R58</f>
        <v>0.97828140984005563</v>
      </c>
      <c r="T49" s="151">
        <v>0.2902777777777778</v>
      </c>
      <c r="U49" s="151">
        <v>0.39513888888888887</v>
      </c>
      <c r="V49" s="188"/>
      <c r="W49" s="152">
        <f t="shared" si="41"/>
        <v>150.99999999999994</v>
      </c>
      <c r="X49" s="188"/>
      <c r="Y49" s="188"/>
      <c r="Z49" s="400"/>
      <c r="AA49" s="400"/>
      <c r="AB49" s="111">
        <f>N49-K49</f>
        <v>-1.8543046357608546</v>
      </c>
      <c r="AC49" s="184">
        <f>N49/K49</f>
        <v>0.99884105960264946</v>
      </c>
      <c r="AD49" s="401">
        <f>AC58</f>
        <v>0.96579051596223253</v>
      </c>
    </row>
    <row r="50" spans="1:30" ht="15" customHeight="1">
      <c r="A50" s="452"/>
      <c r="B50" s="56" t="str">
        <f>VLOOKUP(D50,廠價表!$C$1:$E$39,2,0)</f>
        <v>義大利麵</v>
      </c>
      <c r="C50" s="10"/>
      <c r="D50" s="11" t="s">
        <v>152</v>
      </c>
      <c r="E50" s="86"/>
      <c r="F50" s="56">
        <f>VLOOKUP(D50,廠價表!$C$1:$E$39,3,0)</f>
        <v>56.87</v>
      </c>
      <c r="G50" s="66">
        <v>2486</v>
      </c>
      <c r="H50" s="76">
        <f t="shared" si="60"/>
        <v>141378.82</v>
      </c>
      <c r="I50" s="193"/>
      <c r="J50" s="16">
        <f>VLOOKUP(D50,產線配置圖!$A$2:$C$38,2,0)</f>
        <v>19</v>
      </c>
      <c r="K50" s="14">
        <f>VLOOKUP(D50,產線配置圖!$A$2:$C$38,3,0)</f>
        <v>1565</v>
      </c>
      <c r="L50" s="17">
        <f>K50/J50</f>
        <v>82.368421052631575</v>
      </c>
      <c r="M50" s="174">
        <v>18</v>
      </c>
      <c r="N50" s="77">
        <f>G50/W50*60</f>
        <v>1420.5714285714294</v>
      </c>
      <c r="O50" s="78">
        <f>N50/M50</f>
        <v>78.920634920634967</v>
      </c>
      <c r="P50" s="18">
        <f>M50-J50</f>
        <v>-1</v>
      </c>
      <c r="Q50" s="19">
        <f>O50-L50</f>
        <v>-3.4477861319966081</v>
      </c>
      <c r="R50" s="185">
        <f>O50/L50</f>
        <v>0.95814189360515301</v>
      </c>
      <c r="S50" s="397"/>
      <c r="T50" s="79">
        <v>0.40069444444444446</v>
      </c>
      <c r="U50" s="79">
        <v>0.47361111111111109</v>
      </c>
      <c r="V50" s="177">
        <f t="shared" ref="V50:V52" si="61">(T50-U49)*24*60</f>
        <v>8.0000000000000515</v>
      </c>
      <c r="W50" s="80">
        <f t="shared" si="41"/>
        <v>104.99999999999994</v>
      </c>
      <c r="X50" s="22"/>
      <c r="Y50" s="22"/>
      <c r="Z50" s="419"/>
      <c r="AA50" s="418"/>
      <c r="AB50" s="18">
        <f>N50-K50</f>
        <v>-144.42857142857065</v>
      </c>
      <c r="AC50" s="185">
        <f>N50/K50</f>
        <v>0.90771337288909226</v>
      </c>
      <c r="AD50" s="402"/>
    </row>
    <row r="51" spans="1:30" ht="15" customHeight="1">
      <c r="A51" s="452"/>
      <c r="B51" s="56" t="str">
        <f>VLOOKUP(D51,廠價表!$C$1:$E$39,2,0)</f>
        <v>義大利麵</v>
      </c>
      <c r="C51" s="10"/>
      <c r="D51" s="11" t="s">
        <v>65</v>
      </c>
      <c r="E51" s="86"/>
      <c r="F51" s="56">
        <f>VLOOKUP(D51,廠價表!$C$1:$E$39,3,0)</f>
        <v>49.97</v>
      </c>
      <c r="G51" s="66">
        <v>2002</v>
      </c>
      <c r="H51" s="76">
        <f t="shared" si="60"/>
        <v>100039.94</v>
      </c>
      <c r="I51" s="193"/>
      <c r="J51" s="16">
        <f>VLOOKUP(D51,產線配置圖!$A$2:$C$38,2,0)</f>
        <v>18</v>
      </c>
      <c r="K51" s="14">
        <f>VLOOKUP(D51,產線配置圖!$A$2:$C$38,3,0)</f>
        <v>1600</v>
      </c>
      <c r="L51" s="17">
        <f>K51/J51</f>
        <v>88.888888888888886</v>
      </c>
      <c r="M51" s="174">
        <v>18</v>
      </c>
      <c r="N51" s="77">
        <f>G51/W51*60</f>
        <v>1559.9999999999991</v>
      </c>
      <c r="O51" s="78">
        <f>N51/M51</f>
        <v>86.666666666666615</v>
      </c>
      <c r="P51" s="18">
        <f>M51-J51</f>
        <v>0</v>
      </c>
      <c r="Q51" s="19">
        <f>O51-L51</f>
        <v>-2.2222222222222712</v>
      </c>
      <c r="R51" s="185">
        <f>O51/L51</f>
        <v>0.97499999999999942</v>
      </c>
      <c r="S51" s="397"/>
      <c r="T51" s="79">
        <v>0.53680555555555554</v>
      </c>
      <c r="U51" s="44">
        <v>0.59027777777777779</v>
      </c>
      <c r="V51" s="177">
        <f t="shared" si="61"/>
        <v>91</v>
      </c>
      <c r="W51" s="80">
        <f t="shared" si="41"/>
        <v>77.000000000000043</v>
      </c>
      <c r="X51" s="22">
        <v>0.47916666666666669</v>
      </c>
      <c r="Y51" s="22">
        <v>0.52083333333333337</v>
      </c>
      <c r="Z51" s="405"/>
      <c r="AA51" s="405"/>
      <c r="AB51" s="18">
        <f>N51-K51</f>
        <v>-40.000000000000909</v>
      </c>
      <c r="AC51" s="185">
        <f>N51/K51</f>
        <v>0.97499999999999942</v>
      </c>
      <c r="AD51" s="402"/>
    </row>
    <row r="52" spans="1:30" ht="15" customHeight="1">
      <c r="A52" s="452"/>
      <c r="B52" s="56" t="str">
        <f>VLOOKUP(D52,廠價表!$C$1:$E$39,2,0)</f>
        <v>熱乾麵</v>
      </c>
      <c r="C52" s="23"/>
      <c r="D52" s="11" t="s">
        <v>144</v>
      </c>
      <c r="E52" s="12"/>
      <c r="F52" s="56">
        <f>VLOOKUP(D52,廠價表!$C$1:$E$39,3,0)</f>
        <v>49.91</v>
      </c>
      <c r="G52" s="66">
        <v>1458</v>
      </c>
      <c r="H52" s="76">
        <f t="shared" si="60"/>
        <v>72768.78</v>
      </c>
      <c r="I52" s="193"/>
      <c r="J52" s="16">
        <f>VLOOKUP(D52,產線配置圖!$A$2:$C$38,2,0)</f>
        <v>17</v>
      </c>
      <c r="K52" s="14">
        <f>VLOOKUP(D52,產線配置圖!$A$2:$C$38,3,0)</f>
        <v>1565</v>
      </c>
      <c r="L52" s="17">
        <f>K52/J52</f>
        <v>92.058823529411768</v>
      </c>
      <c r="M52" s="174">
        <v>17</v>
      </c>
      <c r="N52" s="77">
        <f>G52/W52*60</f>
        <v>1534.7368421052643</v>
      </c>
      <c r="O52" s="78">
        <f>N52/M52</f>
        <v>90.278637770897902</v>
      </c>
      <c r="P52" s="18">
        <f>M52-J52</f>
        <v>0</v>
      </c>
      <c r="Q52" s="19">
        <f>O52-L52</f>
        <v>-1.7801857585138663</v>
      </c>
      <c r="R52" s="185">
        <f>O52/L52</f>
        <v>0.98066251891710177</v>
      </c>
      <c r="S52" s="397"/>
      <c r="T52" s="79">
        <v>0.59444444444444444</v>
      </c>
      <c r="U52" s="79">
        <v>0.63402777777777775</v>
      </c>
      <c r="V52" s="177">
        <f t="shared" si="61"/>
        <v>5.9999999999999787</v>
      </c>
      <c r="W52" s="80">
        <f t="shared" si="41"/>
        <v>56.999999999999957</v>
      </c>
      <c r="X52" s="22"/>
      <c r="Y52" s="22"/>
      <c r="Z52" s="405"/>
      <c r="AA52" s="405"/>
      <c r="AB52" s="18"/>
      <c r="AC52" s="185"/>
      <c r="AD52" s="402"/>
    </row>
    <row r="53" spans="1:30" ht="15" customHeight="1">
      <c r="A53" s="452"/>
      <c r="B53" s="56"/>
      <c r="C53" s="23"/>
      <c r="D53" s="11"/>
      <c r="E53" s="12"/>
      <c r="F53" s="56"/>
      <c r="G53" s="66"/>
      <c r="H53" s="76"/>
      <c r="I53" s="193"/>
      <c r="J53" s="16"/>
      <c r="K53" s="14"/>
      <c r="L53" s="17"/>
      <c r="M53" s="174"/>
      <c r="N53" s="77"/>
      <c r="O53" s="78"/>
      <c r="P53" s="18"/>
      <c r="Q53" s="19"/>
      <c r="R53" s="185"/>
      <c r="S53" s="397"/>
      <c r="T53" s="79"/>
      <c r="U53" s="79"/>
      <c r="V53" s="177"/>
      <c r="W53" s="80">
        <f t="shared" si="41"/>
        <v>0</v>
      </c>
      <c r="X53" s="177"/>
      <c r="Y53" s="177"/>
      <c r="Z53" s="419"/>
      <c r="AA53" s="418"/>
      <c r="AB53" s="18"/>
      <c r="AC53" s="185"/>
      <c r="AD53" s="402"/>
    </row>
    <row r="54" spans="1:30" ht="15" customHeight="1">
      <c r="A54" s="452"/>
      <c r="B54" s="177"/>
      <c r="C54" s="183"/>
      <c r="D54" s="11"/>
      <c r="E54" s="12"/>
      <c r="F54" s="13"/>
      <c r="G54" s="66"/>
      <c r="H54" s="76">
        <f t="shared" si="60"/>
        <v>0</v>
      </c>
      <c r="I54" s="177"/>
      <c r="J54" s="31"/>
      <c r="K54" s="30"/>
      <c r="L54" s="38"/>
      <c r="M54" s="181"/>
      <c r="N54" s="30"/>
      <c r="O54" s="35"/>
      <c r="P54" s="18"/>
      <c r="Q54" s="19"/>
      <c r="R54" s="185"/>
      <c r="S54" s="397"/>
      <c r="T54" s="79"/>
      <c r="U54" s="79"/>
      <c r="V54" s="197"/>
      <c r="W54" s="80">
        <f t="shared" si="41"/>
        <v>0</v>
      </c>
      <c r="X54" s="177"/>
      <c r="Y54" s="177"/>
      <c r="Z54" s="419"/>
      <c r="AA54" s="418"/>
      <c r="AB54" s="18"/>
      <c r="AC54" s="185"/>
      <c r="AD54" s="402"/>
    </row>
    <row r="55" spans="1:30" ht="15" customHeight="1">
      <c r="A55" s="452"/>
      <c r="B55" s="26"/>
      <c r="C55" s="27"/>
      <c r="D55" s="28"/>
      <c r="E55" s="29"/>
      <c r="F55" s="13"/>
      <c r="G55" s="66"/>
      <c r="H55" s="15">
        <f t="shared" si="60"/>
        <v>0</v>
      </c>
      <c r="I55" s="177"/>
      <c r="J55" s="31"/>
      <c r="K55" s="30"/>
      <c r="L55" s="38"/>
      <c r="M55" s="181"/>
      <c r="N55" s="30"/>
      <c r="O55" s="35"/>
      <c r="P55" s="18"/>
      <c r="Q55" s="19"/>
      <c r="R55" s="185"/>
      <c r="S55" s="397"/>
      <c r="T55" s="79"/>
      <c r="U55" s="79"/>
      <c r="V55" s="197"/>
      <c r="W55" s="80">
        <f t="shared" si="41"/>
        <v>0</v>
      </c>
      <c r="X55" s="177"/>
      <c r="Y55" s="177"/>
      <c r="Z55" s="419"/>
      <c r="AA55" s="418"/>
      <c r="AB55" s="18"/>
      <c r="AC55" s="185"/>
      <c r="AD55" s="402"/>
    </row>
    <row r="56" spans="1:30" ht="15" customHeight="1">
      <c r="A56" s="452"/>
      <c r="B56" s="26"/>
      <c r="C56" s="27"/>
      <c r="D56" s="28"/>
      <c r="E56" s="29"/>
      <c r="F56" s="13"/>
      <c r="G56" s="66"/>
      <c r="H56" s="15">
        <f t="shared" si="60"/>
        <v>0</v>
      </c>
      <c r="I56" s="177"/>
      <c r="J56" s="31"/>
      <c r="K56" s="30"/>
      <c r="L56" s="38"/>
      <c r="M56" s="181"/>
      <c r="N56" s="30"/>
      <c r="O56" s="35"/>
      <c r="P56" s="18"/>
      <c r="Q56" s="19"/>
      <c r="R56" s="185"/>
      <c r="S56" s="397"/>
      <c r="T56" s="79"/>
      <c r="U56" s="79"/>
      <c r="V56" s="197"/>
      <c r="W56" s="80">
        <f t="shared" si="41"/>
        <v>0</v>
      </c>
      <c r="X56" s="177"/>
      <c r="Y56" s="177"/>
      <c r="Z56" s="405"/>
      <c r="AA56" s="405"/>
      <c r="AB56" s="18"/>
      <c r="AC56" s="185"/>
      <c r="AD56" s="402"/>
    </row>
    <row r="57" spans="1:30" ht="15" customHeight="1">
      <c r="A57" s="452"/>
      <c r="B57" s="26"/>
      <c r="C57" s="27"/>
      <c r="D57" s="28"/>
      <c r="E57" s="29"/>
      <c r="F57" s="13"/>
      <c r="G57" s="66"/>
      <c r="H57" s="15">
        <f t="shared" si="60"/>
        <v>0</v>
      </c>
      <c r="I57" s="177"/>
      <c r="J57" s="31"/>
      <c r="K57" s="30"/>
      <c r="L57" s="38"/>
      <c r="M57" s="181"/>
      <c r="N57" s="30"/>
      <c r="O57" s="35"/>
      <c r="P57" s="18"/>
      <c r="Q57" s="19"/>
      <c r="R57" s="185"/>
      <c r="S57" s="397"/>
      <c r="T57" s="79"/>
      <c r="U57" s="79"/>
      <c r="V57" s="197"/>
      <c r="W57" s="80">
        <f t="shared" si="41"/>
        <v>0</v>
      </c>
      <c r="X57" s="177"/>
      <c r="Y57" s="177"/>
      <c r="Z57" s="405"/>
      <c r="AA57" s="405"/>
      <c r="AB57" s="18"/>
      <c r="AC57" s="185"/>
      <c r="AD57" s="402"/>
    </row>
    <row r="58" spans="1:30" ht="15" customHeight="1" thickBot="1">
      <c r="A58" s="453"/>
      <c r="B58" s="165"/>
      <c r="C58" s="1" t="s">
        <v>38</v>
      </c>
      <c r="D58" s="410" t="s">
        <v>7</v>
      </c>
      <c r="E58" s="410"/>
      <c r="F58" s="114"/>
      <c r="G58" s="166"/>
      <c r="H58" s="116"/>
      <c r="I58" s="115"/>
      <c r="J58" s="118">
        <f t="shared" ref="J58:O58" si="62">AVERAGE(J49:J57)</f>
        <v>18.25</v>
      </c>
      <c r="K58" s="118">
        <f t="shared" si="62"/>
        <v>1582.5</v>
      </c>
      <c r="L58" s="115">
        <f t="shared" si="62"/>
        <v>86.881664946680417</v>
      </c>
      <c r="M58" s="118">
        <f t="shared" si="62"/>
        <v>18</v>
      </c>
      <c r="N58" s="118">
        <f t="shared" si="62"/>
        <v>1528.363491510233</v>
      </c>
      <c r="O58" s="115">
        <f t="shared" si="62"/>
        <v>84.994717673289855</v>
      </c>
      <c r="P58" s="119">
        <f>M58-J58</f>
        <v>-0.25</v>
      </c>
      <c r="Q58" s="120">
        <f>N58-K58</f>
        <v>-54.136508489767039</v>
      </c>
      <c r="R58" s="121">
        <f t="shared" ref="R58:R60" si="63">O58/L58</f>
        <v>0.97828140984005563</v>
      </c>
      <c r="S58" s="399"/>
      <c r="T58" s="167"/>
      <c r="U58" s="167"/>
      <c r="V58" s="195"/>
      <c r="W58" s="168"/>
      <c r="X58" s="124"/>
      <c r="Y58" s="124"/>
      <c r="Z58" s="391"/>
      <c r="AA58" s="391"/>
      <c r="AB58" s="119">
        <f t="shared" ref="AB58:AB61" si="64">N58-K58</f>
        <v>-54.136508489767039</v>
      </c>
      <c r="AC58" s="187">
        <f t="shared" ref="AC58:AC61" si="65">N58/K58</f>
        <v>0.96579051596223253</v>
      </c>
      <c r="AD58" s="404"/>
    </row>
    <row r="59" spans="1:30" ht="15" customHeight="1">
      <c r="A59" s="466" t="s">
        <v>57</v>
      </c>
      <c r="B59" s="199" t="str">
        <f>VLOOKUP(D59,廠價表!$C$1:$E$39,2,0)</f>
        <v>小吃、微波</v>
      </c>
      <c r="C59" s="102"/>
      <c r="D59" s="103" t="s">
        <v>125</v>
      </c>
      <c r="E59" s="104"/>
      <c r="F59" s="199">
        <f>VLOOKUP(D59,廠價表!$C$1:$E$39,3,0)</f>
        <v>26.99</v>
      </c>
      <c r="G59" s="188">
        <v>2915</v>
      </c>
      <c r="H59" s="106">
        <f t="shared" ref="H59:H68" si="66">F59*G59</f>
        <v>78675.849999999991</v>
      </c>
      <c r="I59" s="188"/>
      <c r="J59" s="108">
        <f>VLOOKUP(D59,產線配置圖!$A$2:$C$38,2,0)</f>
        <v>13</v>
      </c>
      <c r="K59" s="105">
        <f>VLOOKUP(D59,產線配置圖!$A$2:$C$38,3,0)</f>
        <v>1565</v>
      </c>
      <c r="L59" s="109">
        <f>K59/J59</f>
        <v>120.38461538461539</v>
      </c>
      <c r="M59" s="110">
        <v>13</v>
      </c>
      <c r="N59" s="105">
        <f t="shared" ref="N59:N62" si="67">G59/W59*60</f>
        <v>1457.5000000000002</v>
      </c>
      <c r="O59" s="109">
        <f t="shared" ref="O59:O62" si="68">N59/M59</f>
        <v>112.11538461538463</v>
      </c>
      <c r="P59" s="111">
        <f t="shared" ref="P59:P62" si="69">M59-J59</f>
        <v>0</v>
      </c>
      <c r="Q59" s="112">
        <f t="shared" ref="Q59:Q62" si="70">O59-L59</f>
        <v>-8.2692307692307594</v>
      </c>
      <c r="R59" s="184">
        <f t="shared" si="63"/>
        <v>0.93130990415335468</v>
      </c>
      <c r="S59" s="396">
        <f>R69</f>
        <v>0.86267779255055288</v>
      </c>
      <c r="T59" s="169">
        <v>0.29166666666666669</v>
      </c>
      <c r="U59" s="169">
        <v>0.375</v>
      </c>
      <c r="V59" s="188"/>
      <c r="W59" s="107">
        <f t="shared" si="41"/>
        <v>119.99999999999997</v>
      </c>
      <c r="X59" s="188"/>
      <c r="Y59" s="188"/>
      <c r="Z59" s="405"/>
      <c r="AA59" s="405"/>
      <c r="AB59" s="225">
        <f t="shared" si="64"/>
        <v>-107.49999999999977</v>
      </c>
      <c r="AC59" s="226">
        <f t="shared" si="65"/>
        <v>0.9313099041533548</v>
      </c>
      <c r="AD59" s="401">
        <f>AC69</f>
        <v>0.86653751513107002</v>
      </c>
    </row>
    <row r="60" spans="1:30" ht="15" customHeight="1">
      <c r="A60" s="467"/>
      <c r="B60" s="56" t="str">
        <f>VLOOKUP(D60,廠價表!$C$1:$E$39,2,0)</f>
        <v>小吃、微波</v>
      </c>
      <c r="C60" s="10"/>
      <c r="D60" s="11" t="s">
        <v>146</v>
      </c>
      <c r="E60" s="86"/>
      <c r="F60" s="56">
        <f>VLOOKUP(D60,廠價表!$C$1:$E$39,3,0)</f>
        <v>28.47</v>
      </c>
      <c r="G60" s="177">
        <v>739</v>
      </c>
      <c r="H60" s="15">
        <f t="shared" si="66"/>
        <v>21039.329999999998</v>
      </c>
      <c r="I60" s="177"/>
      <c r="J60" s="16">
        <f>VLOOKUP(D60,產線配置圖!$A$2:$C$38,2,0)</f>
        <v>12</v>
      </c>
      <c r="K60" s="14">
        <f>VLOOKUP(D60,產線配置圖!$A$2:$C$38,3,0)</f>
        <v>1565</v>
      </c>
      <c r="L60" s="17">
        <f>K60/J60</f>
        <v>130.41666666666666</v>
      </c>
      <c r="M60" s="180">
        <v>12</v>
      </c>
      <c r="N60" s="14">
        <f t="shared" si="67"/>
        <v>1108.4999999999995</v>
      </c>
      <c r="O60" s="17">
        <f t="shared" si="68"/>
        <v>92.374999999999957</v>
      </c>
      <c r="P60" s="18">
        <f t="shared" si="69"/>
        <v>0</v>
      </c>
      <c r="Q60" s="19">
        <f t="shared" si="70"/>
        <v>-38.0416666666667</v>
      </c>
      <c r="R60" s="185">
        <f t="shared" si="63"/>
        <v>0.70830670926517547</v>
      </c>
      <c r="S60" s="470"/>
      <c r="T60" s="198">
        <v>0.3888888888888889</v>
      </c>
      <c r="U60" s="198">
        <v>0.41666666666666669</v>
      </c>
      <c r="V60" s="177">
        <f t="shared" ref="V60:V62" si="71">(T60-U59)*24*60</f>
        <v>20.000000000000007</v>
      </c>
      <c r="W60" s="90">
        <f t="shared" si="41"/>
        <v>40.000000000000014</v>
      </c>
      <c r="X60" s="193"/>
      <c r="Y60" s="193"/>
      <c r="Z60" s="405" t="s">
        <v>229</v>
      </c>
      <c r="AA60" s="405"/>
      <c r="AB60" s="227">
        <f t="shared" si="64"/>
        <v>-456.50000000000045</v>
      </c>
      <c r="AC60" s="228">
        <f t="shared" si="65"/>
        <v>0.70830670926517547</v>
      </c>
      <c r="AD60" s="473"/>
    </row>
    <row r="61" spans="1:30" ht="15" customHeight="1">
      <c r="A61" s="468"/>
      <c r="B61" s="56" t="str">
        <f>VLOOKUP(D61,廠價表!$C$1:$E$39,2,0)</f>
        <v>小吃、微波</v>
      </c>
      <c r="C61" s="10"/>
      <c r="D61" s="242" t="s">
        <v>135</v>
      </c>
      <c r="E61" s="86"/>
      <c r="F61" s="56">
        <f>VLOOKUP(D61,廠價表!$C$1:$E$39,3,0)</f>
        <v>28.26</v>
      </c>
      <c r="G61" s="177">
        <v>2495</v>
      </c>
      <c r="H61" s="15">
        <f t="shared" si="66"/>
        <v>70508.7</v>
      </c>
      <c r="I61" s="81"/>
      <c r="J61" s="16">
        <f>VLOOKUP(D61,產線配置圖!$A$2:$C$38,2,0)</f>
        <v>12</v>
      </c>
      <c r="K61" s="14">
        <f>VLOOKUP(D61,產線配置圖!$A$2:$C$38,3,0)</f>
        <v>1565</v>
      </c>
      <c r="L61" s="17">
        <f t="shared" ref="L61:L62" si="72">K61/J61</f>
        <v>130.41666666666666</v>
      </c>
      <c r="M61" s="180">
        <v>12</v>
      </c>
      <c r="N61" s="14">
        <f t="shared" si="67"/>
        <v>1301.7391304347827</v>
      </c>
      <c r="O61" s="17">
        <f t="shared" si="68"/>
        <v>108.47826086956523</v>
      </c>
      <c r="P61" s="18">
        <f t="shared" si="69"/>
        <v>0</v>
      </c>
      <c r="Q61" s="19">
        <f t="shared" si="70"/>
        <v>-21.938405797101424</v>
      </c>
      <c r="R61" s="185">
        <f>O61/L61</f>
        <v>0.83178219197110725</v>
      </c>
      <c r="S61" s="397"/>
      <c r="T61" s="20">
        <v>0.42708333333333331</v>
      </c>
      <c r="U61" s="20">
        <v>0.50694444444444442</v>
      </c>
      <c r="V61" s="177">
        <f t="shared" si="71"/>
        <v>14.999999999999947</v>
      </c>
      <c r="W61" s="88">
        <f t="shared" si="41"/>
        <v>114.99999999999999</v>
      </c>
      <c r="X61" s="22"/>
      <c r="Y61" s="22"/>
      <c r="Z61" s="405"/>
      <c r="AA61" s="405"/>
      <c r="AB61" s="51">
        <f t="shared" si="64"/>
        <v>-263.26086956521726</v>
      </c>
      <c r="AC61" s="52">
        <f t="shared" si="65"/>
        <v>0.83178219197110714</v>
      </c>
      <c r="AD61" s="402"/>
    </row>
    <row r="62" spans="1:30" ht="15" customHeight="1">
      <c r="A62" s="468"/>
      <c r="B62" s="56" t="str">
        <f>VLOOKUP(D62,廠價表!$C$1:$E$39,2,0)</f>
        <v>小吃、微波</v>
      </c>
      <c r="C62" s="23"/>
      <c r="D62" s="242" t="s">
        <v>125</v>
      </c>
      <c r="E62" s="12"/>
      <c r="F62" s="56">
        <f>VLOOKUP(D62,廠價表!$C$1:$E$39,3,0)</f>
        <v>26.99</v>
      </c>
      <c r="G62" s="177">
        <v>1453</v>
      </c>
      <c r="H62" s="15">
        <f t="shared" si="66"/>
        <v>39216.47</v>
      </c>
      <c r="I62" s="81"/>
      <c r="J62" s="16">
        <f>VLOOKUP(D62,產線配置圖!$A$2:$C$38,2,0)</f>
        <v>13</v>
      </c>
      <c r="K62" s="14">
        <f>VLOOKUP(D62,產線配置圖!$A$2:$C$38,3,0)</f>
        <v>1565</v>
      </c>
      <c r="L62" s="17">
        <f t="shared" si="72"/>
        <v>120.38461538461539</v>
      </c>
      <c r="M62" s="180">
        <v>13</v>
      </c>
      <c r="N62" s="14">
        <f t="shared" si="67"/>
        <v>1556.7857142857154</v>
      </c>
      <c r="O62" s="17">
        <f t="shared" si="68"/>
        <v>119.75274725274734</v>
      </c>
      <c r="P62" s="18">
        <f t="shared" si="69"/>
        <v>0</v>
      </c>
      <c r="Q62" s="19">
        <f t="shared" si="70"/>
        <v>-0.63186813186804613</v>
      </c>
      <c r="R62" s="185">
        <f>O62/L62</f>
        <v>0.99475125513464246</v>
      </c>
      <c r="S62" s="397"/>
      <c r="T62" s="20">
        <v>0.55902777777777779</v>
      </c>
      <c r="U62" s="20">
        <v>0.59791666666666665</v>
      </c>
      <c r="V62" s="177">
        <f t="shared" si="71"/>
        <v>75.000000000000057</v>
      </c>
      <c r="W62" s="90">
        <f t="shared" si="41"/>
        <v>55.999999999999957</v>
      </c>
      <c r="X62" s="22">
        <v>0.51388888888888884</v>
      </c>
      <c r="Y62" s="22">
        <v>0.55555555555555558</v>
      </c>
      <c r="Z62" s="405"/>
      <c r="AA62" s="405"/>
      <c r="AB62" s="51"/>
      <c r="AC62" s="52"/>
      <c r="AD62" s="402"/>
    </row>
    <row r="63" spans="1:30" ht="15" customHeight="1">
      <c r="A63" s="468"/>
      <c r="B63" s="56"/>
      <c r="C63" s="10"/>
      <c r="D63" s="242"/>
      <c r="E63" s="86"/>
      <c r="F63" s="56"/>
      <c r="G63" s="177"/>
      <c r="H63" s="15"/>
      <c r="I63" s="81"/>
      <c r="J63" s="16"/>
      <c r="K63" s="14"/>
      <c r="L63" s="17"/>
      <c r="M63" s="180"/>
      <c r="N63" s="14"/>
      <c r="O63" s="17"/>
      <c r="P63" s="18"/>
      <c r="Q63" s="19"/>
      <c r="R63" s="185"/>
      <c r="S63" s="397"/>
      <c r="T63" s="20"/>
      <c r="U63" s="20"/>
      <c r="V63" s="177"/>
      <c r="W63" s="90">
        <f t="shared" si="41"/>
        <v>0</v>
      </c>
      <c r="X63" s="84"/>
      <c r="Y63" s="84"/>
      <c r="Z63" s="405"/>
      <c r="AA63" s="405"/>
      <c r="AB63" s="51"/>
      <c r="AC63" s="52"/>
      <c r="AD63" s="402"/>
    </row>
    <row r="64" spans="1:30" ht="15" customHeight="1">
      <c r="A64" s="468"/>
      <c r="B64" s="56"/>
      <c r="C64" s="10"/>
      <c r="D64" s="242"/>
      <c r="E64" s="86"/>
      <c r="F64" s="56"/>
      <c r="G64" s="177"/>
      <c r="H64" s="15"/>
      <c r="I64" s="81"/>
      <c r="J64" s="16"/>
      <c r="K64" s="14"/>
      <c r="L64" s="17"/>
      <c r="M64" s="180"/>
      <c r="N64" s="14"/>
      <c r="O64" s="17"/>
      <c r="P64" s="18"/>
      <c r="Q64" s="19"/>
      <c r="R64" s="185"/>
      <c r="S64" s="397"/>
      <c r="T64" s="20"/>
      <c r="U64" s="20"/>
      <c r="V64" s="177"/>
      <c r="W64" s="182">
        <f t="shared" si="41"/>
        <v>0</v>
      </c>
      <c r="X64" s="84"/>
      <c r="Y64" s="84"/>
      <c r="Z64" s="419"/>
      <c r="AA64" s="418"/>
      <c r="AB64" s="18"/>
      <c r="AC64" s="55"/>
      <c r="AD64" s="402"/>
    </row>
    <row r="65" spans="1:32" ht="15" customHeight="1">
      <c r="A65" s="468"/>
      <c r="B65" s="177"/>
      <c r="C65" s="183"/>
      <c r="D65" s="11"/>
      <c r="E65" s="12"/>
      <c r="F65" s="13"/>
      <c r="G65" s="177"/>
      <c r="H65" s="15"/>
      <c r="I65" s="177"/>
      <c r="J65" s="16"/>
      <c r="K65" s="82"/>
      <c r="L65" s="83"/>
      <c r="M65" s="180"/>
      <c r="N65" s="14"/>
      <c r="O65" s="17"/>
      <c r="P65" s="18"/>
      <c r="Q65" s="19"/>
      <c r="R65" s="185"/>
      <c r="S65" s="397"/>
      <c r="T65" s="20"/>
      <c r="U65" s="20"/>
      <c r="V65" s="177"/>
      <c r="W65" s="182">
        <f t="shared" si="41"/>
        <v>0</v>
      </c>
      <c r="X65" s="84"/>
      <c r="Y65" s="84"/>
      <c r="Z65" s="419"/>
      <c r="AA65" s="418"/>
      <c r="AB65" s="18"/>
      <c r="AC65" s="55"/>
      <c r="AD65" s="402"/>
    </row>
    <row r="66" spans="1:32" ht="15" customHeight="1">
      <c r="A66" s="468"/>
      <c r="B66" s="26"/>
      <c r="C66" s="27"/>
      <c r="D66" s="28"/>
      <c r="E66" s="29"/>
      <c r="F66" s="13"/>
      <c r="G66" s="183"/>
      <c r="H66" s="15">
        <f t="shared" si="66"/>
        <v>0</v>
      </c>
      <c r="I66" s="85"/>
      <c r="J66" s="16"/>
      <c r="K66" s="14"/>
      <c r="L66" s="17"/>
      <c r="M66" s="21"/>
      <c r="N66" s="36"/>
      <c r="O66" s="38"/>
      <c r="P66" s="39"/>
      <c r="Q66" s="40"/>
      <c r="R66" s="68"/>
      <c r="S66" s="397"/>
      <c r="T66" s="20"/>
      <c r="U66" s="20"/>
      <c r="V66" s="177"/>
      <c r="W66" s="182">
        <f t="shared" si="41"/>
        <v>0</v>
      </c>
      <c r="X66" s="84"/>
      <c r="Y66" s="84"/>
      <c r="Z66" s="405"/>
      <c r="AA66" s="405"/>
      <c r="AB66" s="18"/>
      <c r="AC66" s="55"/>
      <c r="AD66" s="402"/>
    </row>
    <row r="67" spans="1:32" ht="15" customHeight="1">
      <c r="A67" s="468"/>
      <c r="B67" s="26"/>
      <c r="C67" s="27"/>
      <c r="D67" s="28"/>
      <c r="E67" s="29"/>
      <c r="F67" s="13"/>
      <c r="G67" s="177"/>
      <c r="H67" s="15">
        <f t="shared" si="66"/>
        <v>0</v>
      </c>
      <c r="I67" s="177"/>
      <c r="J67" s="16"/>
      <c r="K67" s="14"/>
      <c r="L67" s="17"/>
      <c r="M67" s="21"/>
      <c r="N67" s="36"/>
      <c r="O67" s="38"/>
      <c r="P67" s="39"/>
      <c r="Q67" s="40"/>
      <c r="R67" s="68"/>
      <c r="S67" s="397"/>
      <c r="T67" s="20"/>
      <c r="U67" s="20"/>
      <c r="V67" s="177"/>
      <c r="W67" s="182">
        <f t="shared" si="41"/>
        <v>0</v>
      </c>
      <c r="X67" s="84"/>
      <c r="Y67" s="84"/>
      <c r="Z67" s="419"/>
      <c r="AA67" s="418"/>
      <c r="AB67" s="18"/>
      <c r="AC67" s="55"/>
      <c r="AD67" s="402"/>
    </row>
    <row r="68" spans="1:32" ht="15" customHeight="1">
      <c r="A68" s="468"/>
      <c r="B68" s="26"/>
      <c r="C68" s="27"/>
      <c r="D68" s="28"/>
      <c r="E68" s="29"/>
      <c r="F68" s="13"/>
      <c r="G68" s="183"/>
      <c r="H68" s="15">
        <f t="shared" si="66"/>
        <v>0</v>
      </c>
      <c r="I68" s="85"/>
      <c r="J68" s="16"/>
      <c r="K68" s="260"/>
      <c r="L68" s="261"/>
      <c r="M68" s="21"/>
      <c r="N68" s="36"/>
      <c r="O68" s="38"/>
      <c r="P68" s="39"/>
      <c r="Q68" s="40"/>
      <c r="R68" s="68"/>
      <c r="S68" s="397"/>
      <c r="T68" s="20"/>
      <c r="U68" s="20"/>
      <c r="V68" s="177"/>
      <c r="W68" s="182">
        <f t="shared" si="41"/>
        <v>0</v>
      </c>
      <c r="X68" s="84"/>
      <c r="Y68" s="84"/>
      <c r="Z68" s="419"/>
      <c r="AA68" s="418"/>
      <c r="AB68" s="18"/>
      <c r="AC68" s="55"/>
      <c r="AD68" s="402"/>
    </row>
    <row r="69" spans="1:32" ht="15" customHeight="1" thickBot="1">
      <c r="A69" s="469"/>
      <c r="B69" s="165"/>
      <c r="C69" s="1" t="s">
        <v>39</v>
      </c>
      <c r="D69" s="410" t="s">
        <v>7</v>
      </c>
      <c r="E69" s="410"/>
      <c r="F69" s="114"/>
      <c r="G69" s="115"/>
      <c r="H69" s="116"/>
      <c r="I69" s="170"/>
      <c r="J69" s="166">
        <f t="shared" ref="J69:O69" si="73">AVERAGE(J59:J68)</f>
        <v>12.5</v>
      </c>
      <c r="K69" s="166">
        <f t="shared" si="73"/>
        <v>1565</v>
      </c>
      <c r="L69" s="171">
        <f t="shared" si="73"/>
        <v>125.40064102564102</v>
      </c>
      <c r="M69" s="166">
        <f t="shared" si="73"/>
        <v>12.5</v>
      </c>
      <c r="N69" s="166">
        <f t="shared" si="73"/>
        <v>1356.1312111801246</v>
      </c>
      <c r="O69" s="171">
        <f t="shared" si="73"/>
        <v>108.18034818442429</v>
      </c>
      <c r="P69" s="172">
        <f>M69-J69</f>
        <v>0</v>
      </c>
      <c r="Q69" s="158">
        <f>N69-K69</f>
        <v>-208.86878881987536</v>
      </c>
      <c r="R69" s="121">
        <f>O69/L69</f>
        <v>0.86267779255055288</v>
      </c>
      <c r="S69" s="399"/>
      <c r="T69" s="122"/>
      <c r="U69" s="122"/>
      <c r="V69" s="195"/>
      <c r="W69" s="168"/>
      <c r="X69" s="124"/>
      <c r="Y69" s="124"/>
      <c r="Z69" s="405"/>
      <c r="AA69" s="405"/>
      <c r="AB69" s="119">
        <f>N69-K69</f>
        <v>-208.86878881987536</v>
      </c>
      <c r="AC69" s="187">
        <f>N69/K69</f>
        <v>0.86653751513107002</v>
      </c>
      <c r="AD69" s="404"/>
    </row>
    <row r="70" spans="1:32" ht="15" customHeight="1">
      <c r="A70" s="461" t="s">
        <v>58</v>
      </c>
      <c r="B70" s="199"/>
      <c r="C70" s="199"/>
      <c r="D70" s="103"/>
      <c r="E70" s="104"/>
      <c r="F70" s="199"/>
      <c r="G70" s="188"/>
      <c r="H70" s="106"/>
      <c r="I70" s="188"/>
      <c r="J70" s="108"/>
      <c r="K70" s="105"/>
      <c r="L70" s="109"/>
      <c r="M70" s="110"/>
      <c r="N70" s="105"/>
      <c r="O70" s="109"/>
      <c r="P70" s="111"/>
      <c r="Q70" s="112"/>
      <c r="R70" s="184"/>
      <c r="S70" s="396">
        <f>R79</f>
        <v>0</v>
      </c>
      <c r="T70" s="169"/>
      <c r="U70" s="169"/>
      <c r="V70" s="188"/>
      <c r="W70" s="107">
        <f t="shared" si="41"/>
        <v>0</v>
      </c>
      <c r="X70" s="296"/>
      <c r="Y70" s="296"/>
      <c r="Z70" s="465"/>
      <c r="AA70" s="427"/>
      <c r="AB70" s="225">
        <f t="shared" ref="AB70" si="74">N70-K70</f>
        <v>0</v>
      </c>
      <c r="AC70" s="226" t="e">
        <f t="shared" ref="AC70" si="75">N70/K70</f>
        <v>#DIV/0!</v>
      </c>
      <c r="AD70" s="401" t="e">
        <f>AC79</f>
        <v>#DIV/0!</v>
      </c>
    </row>
    <row r="71" spans="1:32" ht="15" customHeight="1">
      <c r="A71" s="462"/>
      <c r="B71" s="56"/>
      <c r="C71" s="10"/>
      <c r="D71" s="11"/>
      <c r="E71" s="86"/>
      <c r="F71" s="56"/>
      <c r="G71" s="66"/>
      <c r="H71" s="76"/>
      <c r="I71" s="193"/>
      <c r="J71" s="16"/>
      <c r="K71" s="14"/>
      <c r="L71" s="17"/>
      <c r="M71" s="180"/>
      <c r="N71" s="14"/>
      <c r="O71" s="17"/>
      <c r="P71" s="18"/>
      <c r="Q71" s="19"/>
      <c r="R71" s="185"/>
      <c r="S71" s="397"/>
      <c r="T71" s="20"/>
      <c r="U71" s="20"/>
      <c r="V71" s="177"/>
      <c r="W71" s="182">
        <f t="shared" si="41"/>
        <v>0</v>
      </c>
      <c r="X71" s="298"/>
      <c r="Y71" s="299"/>
      <c r="Z71" s="439"/>
      <c r="AA71" s="440"/>
      <c r="AB71" s="39"/>
      <c r="AC71" s="190"/>
      <c r="AD71" s="447"/>
    </row>
    <row r="72" spans="1:32" ht="15" customHeight="1">
      <c r="A72" s="462"/>
      <c r="B72" s="56"/>
      <c r="C72" s="10"/>
      <c r="D72" s="11"/>
      <c r="E72" s="86"/>
      <c r="F72" s="56"/>
      <c r="G72" s="66"/>
      <c r="H72" s="76"/>
      <c r="I72" s="193"/>
      <c r="J72" s="16"/>
      <c r="K72" s="14"/>
      <c r="L72" s="17"/>
      <c r="M72" s="180"/>
      <c r="N72" s="14"/>
      <c r="O72" s="17"/>
      <c r="P72" s="18"/>
      <c r="Q72" s="19"/>
      <c r="R72" s="185"/>
      <c r="S72" s="397"/>
      <c r="T72" s="20"/>
      <c r="U72" s="20"/>
      <c r="V72" s="177"/>
      <c r="W72" s="182">
        <f t="shared" si="41"/>
        <v>0</v>
      </c>
      <c r="X72" s="297"/>
      <c r="Y72" s="297"/>
      <c r="Z72" s="405"/>
      <c r="AA72" s="419"/>
      <c r="AB72" s="39"/>
      <c r="AC72" s="190"/>
      <c r="AD72" s="447"/>
    </row>
    <row r="73" spans="1:32" ht="15" customHeight="1">
      <c r="A73" s="462"/>
      <c r="B73" s="56"/>
      <c r="C73" s="23"/>
      <c r="D73" s="11"/>
      <c r="E73" s="12"/>
      <c r="F73" s="56"/>
      <c r="G73" s="66"/>
      <c r="H73" s="76"/>
      <c r="I73" s="193"/>
      <c r="J73" s="16"/>
      <c r="K73" s="14"/>
      <c r="L73" s="17"/>
      <c r="M73" s="180"/>
      <c r="N73" s="14"/>
      <c r="O73" s="17"/>
      <c r="P73" s="18"/>
      <c r="Q73" s="19"/>
      <c r="R73" s="185"/>
      <c r="S73" s="397"/>
      <c r="T73" s="20"/>
      <c r="U73" s="20"/>
      <c r="V73" s="177"/>
      <c r="W73" s="182">
        <f t="shared" si="41"/>
        <v>0</v>
      </c>
      <c r="X73" s="22"/>
      <c r="Y73" s="22"/>
      <c r="Z73" s="405"/>
      <c r="AA73" s="419"/>
      <c r="AB73" s="39"/>
      <c r="AC73" s="190"/>
      <c r="AD73" s="447"/>
    </row>
    <row r="74" spans="1:32" ht="15" customHeight="1">
      <c r="A74" s="462"/>
      <c r="B74" s="56"/>
      <c r="C74" s="249"/>
      <c r="D74" s="250"/>
      <c r="E74" s="251"/>
      <c r="F74" s="56"/>
      <c r="G74" s="238"/>
      <c r="H74" s="76">
        <f t="shared" ref="H74:H78" si="76">F74*G74</f>
        <v>0</v>
      </c>
      <c r="I74" s="81"/>
      <c r="J74" s="234"/>
      <c r="K74" s="36"/>
      <c r="L74" s="235"/>
      <c r="M74" s="21"/>
      <c r="N74" s="36"/>
      <c r="O74" s="38"/>
      <c r="P74" s="39"/>
      <c r="Q74" s="40"/>
      <c r="R74" s="190"/>
      <c r="S74" s="397"/>
      <c r="T74" s="20"/>
      <c r="U74" s="20"/>
      <c r="V74" s="177"/>
      <c r="W74" s="182">
        <f t="shared" si="41"/>
        <v>0</v>
      </c>
      <c r="X74" s="22"/>
      <c r="Y74" s="22"/>
      <c r="Z74" s="405"/>
      <c r="AA74" s="419"/>
      <c r="AB74" s="39"/>
      <c r="AC74" s="190"/>
      <c r="AD74" s="447"/>
    </row>
    <row r="75" spans="1:32" ht="15" customHeight="1">
      <c r="A75" s="462"/>
      <c r="B75" s="177"/>
      <c r="C75" s="183"/>
      <c r="D75" s="11"/>
      <c r="E75" s="12"/>
      <c r="F75" s="13"/>
      <c r="G75" s="177"/>
      <c r="H75" s="15">
        <f t="shared" si="76"/>
        <v>0</v>
      </c>
      <c r="I75" s="81"/>
      <c r="J75" s="87"/>
      <c r="K75" s="82"/>
      <c r="L75" s="83"/>
      <c r="M75" s="181"/>
      <c r="N75" s="82"/>
      <c r="O75" s="83"/>
      <c r="P75" s="73"/>
      <c r="Q75" s="74"/>
      <c r="R75" s="192"/>
      <c r="S75" s="397"/>
      <c r="T75" s="20"/>
      <c r="U75" s="20"/>
      <c r="V75" s="177"/>
      <c r="W75" s="88">
        <f t="shared" si="41"/>
        <v>0</v>
      </c>
      <c r="X75" s="89"/>
      <c r="Y75" s="89"/>
      <c r="Z75" s="406"/>
      <c r="AA75" s="406"/>
      <c r="AB75" s="306"/>
      <c r="AC75" s="307"/>
      <c r="AD75" s="402"/>
    </row>
    <row r="76" spans="1:32" ht="15" customHeight="1">
      <c r="A76" s="462"/>
      <c r="B76" s="26"/>
      <c r="C76" s="27"/>
      <c r="D76" s="28"/>
      <c r="E76" s="29"/>
      <c r="F76" s="13"/>
      <c r="G76" s="177"/>
      <c r="H76" s="15">
        <f t="shared" si="76"/>
        <v>0</v>
      </c>
      <c r="I76" s="81"/>
      <c r="J76" s="87"/>
      <c r="K76" s="82"/>
      <c r="L76" s="83"/>
      <c r="M76" s="181"/>
      <c r="N76" s="82"/>
      <c r="O76" s="83"/>
      <c r="P76" s="73"/>
      <c r="Q76" s="74"/>
      <c r="R76" s="192"/>
      <c r="S76" s="398"/>
      <c r="T76" s="20"/>
      <c r="U76" s="20"/>
      <c r="V76" s="177"/>
      <c r="W76" s="90">
        <f t="shared" si="41"/>
        <v>0</v>
      </c>
      <c r="X76" s="78"/>
      <c r="Y76" s="78"/>
      <c r="Z76" s="445"/>
      <c r="AA76" s="445"/>
      <c r="AB76" s="51"/>
      <c r="AC76" s="52"/>
      <c r="AD76" s="403"/>
    </row>
    <row r="77" spans="1:32" ht="15" customHeight="1">
      <c r="A77" s="462"/>
      <c r="B77" s="26"/>
      <c r="C77" s="27"/>
      <c r="D77" s="28"/>
      <c r="E77" s="29"/>
      <c r="F77" s="13"/>
      <c r="G77" s="177"/>
      <c r="H77" s="15">
        <f t="shared" si="76"/>
        <v>0</v>
      </c>
      <c r="I77" s="81"/>
      <c r="J77" s="87"/>
      <c r="K77" s="82"/>
      <c r="L77" s="83"/>
      <c r="M77" s="181"/>
      <c r="N77" s="82"/>
      <c r="O77" s="83"/>
      <c r="P77" s="73"/>
      <c r="Q77" s="74"/>
      <c r="R77" s="192"/>
      <c r="S77" s="398"/>
      <c r="T77" s="20"/>
      <c r="U77" s="20"/>
      <c r="V77" s="177"/>
      <c r="W77" s="182">
        <f t="shared" si="41"/>
        <v>0</v>
      </c>
      <c r="X77" s="84"/>
      <c r="Y77" s="84"/>
      <c r="Z77" s="405"/>
      <c r="AA77" s="405"/>
      <c r="AB77" s="18"/>
      <c r="AC77" s="55"/>
      <c r="AD77" s="403"/>
    </row>
    <row r="78" spans="1:32" ht="15" customHeight="1">
      <c r="A78" s="462"/>
      <c r="B78" s="26"/>
      <c r="C78" s="27"/>
      <c r="D78" s="28"/>
      <c r="E78" s="29"/>
      <c r="F78" s="13"/>
      <c r="G78" s="177"/>
      <c r="H78" s="15">
        <f t="shared" si="76"/>
        <v>0</v>
      </c>
      <c r="I78" s="85"/>
      <c r="J78" s="37"/>
      <c r="K78" s="36"/>
      <c r="L78" s="83"/>
      <c r="M78" s="21"/>
      <c r="N78" s="36"/>
      <c r="O78" s="38"/>
      <c r="P78" s="39"/>
      <c r="Q78" s="40"/>
      <c r="R78" s="190"/>
      <c r="S78" s="464"/>
      <c r="T78" s="32"/>
      <c r="U78" s="32"/>
      <c r="V78" s="178"/>
      <c r="W78" s="182">
        <f t="shared" si="41"/>
        <v>0</v>
      </c>
      <c r="X78" s="91"/>
      <c r="Y78" s="91"/>
      <c r="Z78" s="405"/>
      <c r="AA78" s="405"/>
      <c r="AB78" s="34"/>
      <c r="AC78" s="57"/>
      <c r="AD78" s="403"/>
    </row>
    <row r="79" spans="1:32" ht="15" customHeight="1" thickBot="1">
      <c r="A79" s="463"/>
      <c r="B79" s="165"/>
      <c r="C79" s="1" t="s">
        <v>40</v>
      </c>
      <c r="D79" s="410" t="s">
        <v>7</v>
      </c>
      <c r="E79" s="410"/>
      <c r="F79" s="114"/>
      <c r="G79" s="115"/>
      <c r="H79" s="173"/>
      <c r="I79" s="171"/>
      <c r="J79" s="166" t="e">
        <f t="shared" ref="J79" si="77">AVERAGE(J70:J78)</f>
        <v>#DIV/0!</v>
      </c>
      <c r="K79" s="166"/>
      <c r="L79" s="171"/>
      <c r="M79" s="166"/>
      <c r="N79" s="166"/>
      <c r="O79" s="171"/>
      <c r="P79" s="172"/>
      <c r="Q79" s="158"/>
      <c r="R79" s="159"/>
      <c r="S79" s="399"/>
      <c r="T79" s="122"/>
      <c r="U79" s="122"/>
      <c r="V79" s="195"/>
      <c r="W79" s="168"/>
      <c r="X79" s="124"/>
      <c r="Y79" s="124"/>
      <c r="Z79" s="391"/>
      <c r="AA79" s="391"/>
      <c r="AB79" s="119">
        <f>N79-K79</f>
        <v>0</v>
      </c>
      <c r="AC79" s="187" t="e">
        <f>N79/K79</f>
        <v>#DIV/0!</v>
      </c>
      <c r="AD79" s="404"/>
    </row>
    <row r="80" spans="1:32">
      <c r="AF80" s="93" t="s">
        <v>41</v>
      </c>
    </row>
    <row r="81" spans="4:32">
      <c r="AF81" s="93" t="s">
        <v>42</v>
      </c>
    </row>
    <row r="82" spans="4:32">
      <c r="AF82" s="93" t="s">
        <v>43</v>
      </c>
    </row>
    <row r="83" spans="4:32">
      <c r="D83" s="220"/>
      <c r="W83" s="6"/>
      <c r="AF83" s="93" t="s">
        <v>44</v>
      </c>
    </row>
    <row r="84" spans="4:32">
      <c r="D84" s="224"/>
      <c r="W84" s="6"/>
      <c r="AF84" s="93" t="s">
        <v>45</v>
      </c>
    </row>
    <row r="85" spans="4:32">
      <c r="D85" s="224"/>
      <c r="W85" s="6"/>
      <c r="AF85" s="93" t="s">
        <v>46</v>
      </c>
    </row>
    <row r="86" spans="4:32">
      <c r="D86" s="155"/>
      <c r="W86" s="6"/>
      <c r="AF86" s="93" t="s">
        <v>47</v>
      </c>
    </row>
    <row r="87" spans="4:32">
      <c r="W87" s="6"/>
      <c r="AF87" s="93" t="s">
        <v>48</v>
      </c>
    </row>
    <row r="88" spans="4:32">
      <c r="W88" s="6"/>
      <c r="AF88" s="93" t="s">
        <v>49</v>
      </c>
    </row>
    <row r="89" spans="4:32">
      <c r="W89" s="6"/>
      <c r="AF89" s="93" t="s">
        <v>50</v>
      </c>
    </row>
    <row r="90" spans="4:32">
      <c r="W90" s="6"/>
      <c r="AF90" s="93" t="s">
        <v>51</v>
      </c>
    </row>
    <row r="91" spans="4:32">
      <c r="W91" s="6"/>
      <c r="AF91" s="93" t="s">
        <v>52</v>
      </c>
    </row>
    <row r="92" spans="4:32">
      <c r="W92" s="6"/>
      <c r="AF92" s="93" t="s">
        <v>53</v>
      </c>
    </row>
  </sheetData>
  <autoFilter ref="D1:D92" xr:uid="{EF5AD393-5A39-4C0E-A7B0-465235F2AB14}"/>
  <mergeCells count="135">
    <mergeCell ref="P1:S2"/>
    <mergeCell ref="T1:Y2"/>
    <mergeCell ref="Z1:AA2"/>
    <mergeCell ref="AB1:AD2"/>
    <mergeCell ref="H3:H4"/>
    <mergeCell ref="I3:I4"/>
    <mergeCell ref="J3:J4"/>
    <mergeCell ref="K3:K4"/>
    <mergeCell ref="L3:L4"/>
    <mergeCell ref="M3:M4"/>
    <mergeCell ref="AC3:AC4"/>
    <mergeCell ref="AD3:AD4"/>
    <mergeCell ref="P3:P4"/>
    <mergeCell ref="Q3:Q4"/>
    <mergeCell ref="R3:R4"/>
    <mergeCell ref="A2:B2"/>
    <mergeCell ref="A3:A4"/>
    <mergeCell ref="B3:B4"/>
    <mergeCell ref="D3:E4"/>
    <mergeCell ref="F3:F4"/>
    <mergeCell ref="G3:G4"/>
    <mergeCell ref="J1:L2"/>
    <mergeCell ref="M1:O2"/>
    <mergeCell ref="D15:E15"/>
    <mergeCell ref="A5:A15"/>
    <mergeCell ref="N3:N4"/>
    <mergeCell ref="O3:O4"/>
    <mergeCell ref="S5:S15"/>
    <mergeCell ref="Z5:AA5"/>
    <mergeCell ref="AD5:AD15"/>
    <mergeCell ref="Z6:AA6"/>
    <mergeCell ref="Z7:AA7"/>
    <mergeCell ref="Z8:AA8"/>
    <mergeCell ref="Z9:AA9"/>
    <mergeCell ref="T3:U3"/>
    <mergeCell ref="V3:V4"/>
    <mergeCell ref="W3:W4"/>
    <mergeCell ref="X3:Y3"/>
    <mergeCell ref="Z3:AA4"/>
    <mergeCell ref="AB3:AB4"/>
    <mergeCell ref="S3:S4"/>
    <mergeCell ref="AD16:AD26"/>
    <mergeCell ref="Z17:AA17"/>
    <mergeCell ref="Z18:AA18"/>
    <mergeCell ref="Z19:AA19"/>
    <mergeCell ref="Z20:AA20"/>
    <mergeCell ref="Z21:AA21"/>
    <mergeCell ref="Z22:AA22"/>
    <mergeCell ref="Z10:AA10"/>
    <mergeCell ref="Z11:AA11"/>
    <mergeCell ref="Z12:AA12"/>
    <mergeCell ref="Z13:AA13"/>
    <mergeCell ref="Z14:AA14"/>
    <mergeCell ref="Z23:AA23"/>
    <mergeCell ref="Z24:AA24"/>
    <mergeCell ref="Z25:AA25"/>
    <mergeCell ref="Z15:AA15"/>
    <mergeCell ref="D26:E26"/>
    <mergeCell ref="Z26:AA26"/>
    <mergeCell ref="A27:A37"/>
    <mergeCell ref="S27:S37"/>
    <mergeCell ref="Z27:AA27"/>
    <mergeCell ref="D37:E37"/>
    <mergeCell ref="Z37:AA37"/>
    <mergeCell ref="A16:A26"/>
    <mergeCell ref="S16:S26"/>
    <mergeCell ref="Z16:AA16"/>
    <mergeCell ref="AD38:AD48"/>
    <mergeCell ref="Z39:AA39"/>
    <mergeCell ref="Z40:AA40"/>
    <mergeCell ref="Z41:AA41"/>
    <mergeCell ref="Z42:AA42"/>
    <mergeCell ref="Z43:AA43"/>
    <mergeCell ref="Z44:AA44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Z45:AA45"/>
    <mergeCell ref="Z46:AA46"/>
    <mergeCell ref="Z47:AA47"/>
    <mergeCell ref="D48:E48"/>
    <mergeCell ref="Z48:AA48"/>
    <mergeCell ref="A49:A58"/>
    <mergeCell ref="S49:S58"/>
    <mergeCell ref="Z49:AA49"/>
    <mergeCell ref="D58:E58"/>
    <mergeCell ref="A38:A48"/>
    <mergeCell ref="S38:S48"/>
    <mergeCell ref="Z38:AA38"/>
    <mergeCell ref="AD59:AD69"/>
    <mergeCell ref="Z60:AA60"/>
    <mergeCell ref="Z61:AA61"/>
    <mergeCell ref="Z62:AA62"/>
    <mergeCell ref="Z63:AA63"/>
    <mergeCell ref="Z64:AA64"/>
    <mergeCell ref="Z65:AA65"/>
    <mergeCell ref="AD49:AD58"/>
    <mergeCell ref="Z50:AA50"/>
    <mergeCell ref="Z51:AA51"/>
    <mergeCell ref="Z52:AA52"/>
    <mergeCell ref="Z53:AA53"/>
    <mergeCell ref="Z54:AA54"/>
    <mergeCell ref="Z55:AA55"/>
    <mergeCell ref="Z56:AA56"/>
    <mergeCell ref="Z57:AA57"/>
    <mergeCell ref="Z58:AA58"/>
    <mergeCell ref="Z66:AA66"/>
    <mergeCell ref="Z67:AA67"/>
    <mergeCell ref="Z68:AA68"/>
    <mergeCell ref="D69:E69"/>
    <mergeCell ref="Z69:AA69"/>
    <mergeCell ref="A70:A79"/>
    <mergeCell ref="S70:S79"/>
    <mergeCell ref="Z70:AA70"/>
    <mergeCell ref="D79:E79"/>
    <mergeCell ref="A59:A69"/>
    <mergeCell ref="S59:S69"/>
    <mergeCell ref="Z59:AA59"/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</mergeCells>
  <phoneticPr fontId="2" type="noConversion"/>
  <conditionalFormatting sqref="P5:P79">
    <cfRule type="cellIs" dxfId="68" priority="1" operator="greaterThan">
      <formula>0</formula>
    </cfRule>
  </conditionalFormatting>
  <conditionalFormatting sqref="Q5:Q79 AB5:AB79">
    <cfRule type="cellIs" dxfId="67" priority="4" operator="lessThan">
      <formula>0</formula>
    </cfRule>
  </conditionalFormatting>
  <conditionalFormatting sqref="R5:R79 AC5:AC79">
    <cfRule type="cellIs" dxfId="66" priority="2" operator="greaterThan">
      <formula>1</formula>
    </cfRule>
    <cfRule type="cellIs" dxfId="65" priority="3" operator="lessThan">
      <formula>0.8</formula>
    </cfRule>
  </conditionalFormatting>
  <conditionalFormatting sqref="S5:S10 S37:S62 AD59:AD62 S69:S76 AD69:AD76">
    <cfRule type="cellIs" dxfId="64" priority="7" operator="lessThan">
      <formula>0.8</formula>
    </cfRule>
  </conditionalFormatting>
  <conditionalFormatting sqref="S19:S25 AD19:AD25">
    <cfRule type="cellIs" dxfId="63" priority="6" operator="lessThan">
      <formula>0.8</formula>
    </cfRule>
  </conditionalFormatting>
  <conditionalFormatting sqref="S79">
    <cfRule type="cellIs" dxfId="62" priority="5" operator="lessThan">
      <formula>0.8</formula>
    </cfRule>
  </conditionalFormatting>
  <conditionalFormatting sqref="AD5:AD8 S15:S16 AD15:AD16 AD49 AD79">
    <cfRule type="cellIs" dxfId="61" priority="9" operator="lessThan">
      <formula>0.8</formula>
    </cfRule>
  </conditionalFormatting>
  <conditionalFormatting sqref="AD27 S27:S28">
    <cfRule type="cellIs" dxfId="6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F893CF5-7FC1-4129-9F41-8421DC388368}">
          <x14:formula1>
            <xm:f>廠價表!$C$2:$C$37</xm:f>
          </x14:formula1>
          <xm:sqref>D1:D1048576</xm:sqref>
        </x14:dataValidation>
      </x14:dataValidations>
    </ext>
  </extLst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21DED-9681-4E15-880A-E79D52A0D91B}">
  <sheetPr>
    <pageSetUpPr fitToPage="1"/>
  </sheetPr>
  <dimension ref="B1:O22"/>
  <sheetViews>
    <sheetView zoomScale="70" zoomScaleNormal="70" workbookViewId="0">
      <selection activeCell="F6" sqref="F6:G6"/>
    </sheetView>
  </sheetViews>
  <sheetFormatPr defaultColWidth="8.125" defaultRowHeight="15.75"/>
  <cols>
    <col min="1" max="1" width="8.125" style="203"/>
    <col min="2" max="2" width="7.125" style="203" customWidth="1"/>
    <col min="3" max="3" width="7.125" style="218" customWidth="1"/>
    <col min="4" max="17" width="14.125" style="203" customWidth="1"/>
    <col min="18" max="21" width="9.625" style="203" customWidth="1"/>
    <col min="22" max="22" width="11.125" style="203" customWidth="1"/>
    <col min="23" max="23" width="11.5" style="203" customWidth="1"/>
    <col min="24" max="16384" width="8.125" style="203"/>
  </cols>
  <sheetData>
    <row r="1" spans="2:15" ht="27.75" customHeight="1">
      <c r="B1" s="345" t="s">
        <v>73</v>
      </c>
      <c r="C1" s="345"/>
      <c r="D1" s="345"/>
      <c r="E1" s="345"/>
      <c r="F1" s="345"/>
      <c r="G1" s="345"/>
      <c r="H1" s="345"/>
      <c r="I1" s="345"/>
      <c r="J1" s="345"/>
      <c r="K1" s="345"/>
      <c r="L1" s="202"/>
      <c r="M1" s="202"/>
    </row>
    <row r="2" spans="2:15" ht="27.75" customHeight="1"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202"/>
      <c r="M2" s="202"/>
    </row>
    <row r="3" spans="2:15" ht="46.5" customHeight="1">
      <c r="B3" s="342" t="s">
        <v>74</v>
      </c>
      <c r="C3" s="342"/>
      <c r="D3" s="346">
        <v>45986</v>
      </c>
      <c r="E3" s="346"/>
      <c r="F3" s="204" t="s">
        <v>75</v>
      </c>
      <c r="G3" s="347">
        <f>'1125'!E1</f>
        <v>50050</v>
      </c>
      <c r="H3" s="347"/>
      <c r="I3" s="204" t="s">
        <v>76</v>
      </c>
      <c r="J3" s="348">
        <f>'1125'!G1</f>
        <v>2421327.5000000005</v>
      </c>
      <c r="K3" s="348"/>
      <c r="L3" s="205"/>
    </row>
    <row r="4" spans="2:15" ht="24" customHeight="1">
      <c r="B4" s="342" t="s">
        <v>77</v>
      </c>
      <c r="C4" s="342"/>
      <c r="D4" s="343">
        <v>3</v>
      </c>
      <c r="E4" s="343"/>
      <c r="F4" s="344" t="s">
        <v>78</v>
      </c>
      <c r="G4" s="344"/>
      <c r="H4" s="344" t="s">
        <v>79</v>
      </c>
      <c r="I4" s="344"/>
      <c r="J4" s="343" t="s">
        <v>80</v>
      </c>
      <c r="K4" s="344"/>
      <c r="L4" s="206"/>
    </row>
    <row r="5" spans="2:15" ht="24" customHeight="1">
      <c r="B5" s="342" t="s">
        <v>81</v>
      </c>
      <c r="C5" s="342"/>
      <c r="D5" s="343" t="s">
        <v>82</v>
      </c>
      <c r="E5" s="343"/>
      <c r="F5" s="343" t="s">
        <v>83</v>
      </c>
      <c r="G5" s="343"/>
      <c r="H5" s="369" t="s">
        <v>62</v>
      </c>
      <c r="I5" s="369"/>
      <c r="J5" s="341" t="s">
        <v>84</v>
      </c>
      <c r="K5" s="341"/>
      <c r="L5" s="207"/>
    </row>
    <row r="6" spans="2:15" ht="39.6" customHeight="1">
      <c r="B6" s="342"/>
      <c r="C6" s="342"/>
      <c r="D6" s="342" t="s">
        <v>85</v>
      </c>
      <c r="E6" s="342"/>
      <c r="F6" s="356">
        <f>AVERAGE(D13:J13)</f>
        <v>115.72298852019441</v>
      </c>
      <c r="G6" s="356"/>
      <c r="H6" s="349">
        <f>AVERAGE(D13:H13)</f>
        <v>113.58681699346405</v>
      </c>
      <c r="I6" s="349"/>
      <c r="J6" s="349">
        <f>AVERAGE(I13:J13)</f>
        <v>126.40384615384615</v>
      </c>
      <c r="K6" s="349"/>
      <c r="L6" s="207"/>
    </row>
    <row r="7" spans="2:15" s="208" customFormat="1" ht="39.6" customHeight="1">
      <c r="B7" s="342"/>
      <c r="C7" s="342"/>
      <c r="D7" s="350" t="s">
        <v>86</v>
      </c>
      <c r="E7" s="350"/>
      <c r="F7" s="351">
        <f>AVERAGE(D14:J14)</f>
        <v>104.998317831519</v>
      </c>
      <c r="G7" s="351"/>
      <c r="H7" s="352">
        <f>AVERAGE(D14:H14)</f>
        <v>104.15436272752382</v>
      </c>
      <c r="I7" s="352"/>
      <c r="J7" s="352">
        <f>AVERAGE(I14:J14)</f>
        <v>109.21809335149494</v>
      </c>
      <c r="K7" s="352"/>
    </row>
    <row r="8" spans="2:15" s="208" customFormat="1" ht="39.6" customHeight="1">
      <c r="B8" s="342"/>
      <c r="C8" s="342"/>
      <c r="D8" s="350" t="s">
        <v>87</v>
      </c>
      <c r="E8" s="350"/>
      <c r="F8" s="353">
        <f>AVERAGE(D15:J15)</f>
        <v>0.90806915107922082</v>
      </c>
      <c r="G8" s="353"/>
      <c r="H8" s="353">
        <f>AVERAGE(D15:H15)</f>
        <v>0.91687480072979066</v>
      </c>
      <c r="I8" s="353"/>
      <c r="J8" s="353">
        <f>AVERAGE(I15:J15)</f>
        <v>0.86404090282637114</v>
      </c>
      <c r="K8" s="353"/>
      <c r="L8" s="209" t="s">
        <v>88</v>
      </c>
    </row>
    <row r="9" spans="2:15" ht="25.5" customHeight="1">
      <c r="B9" s="207"/>
      <c r="C9" s="207"/>
      <c r="D9" s="207"/>
      <c r="E9" s="207"/>
      <c r="F9" s="207"/>
      <c r="G9" s="207"/>
      <c r="H9" s="210"/>
      <c r="I9" s="211"/>
      <c r="J9" s="211"/>
      <c r="K9" s="211"/>
      <c r="L9" s="211"/>
      <c r="M9" s="211"/>
      <c r="N9" s="211"/>
      <c r="O9" s="207"/>
    </row>
    <row r="10" spans="2:15" ht="30" customHeight="1">
      <c r="B10" s="354" t="s">
        <v>0</v>
      </c>
      <c r="C10" s="355"/>
      <c r="D10" s="357" t="s">
        <v>89</v>
      </c>
      <c r="E10" s="358"/>
      <c r="F10" s="358"/>
      <c r="G10" s="358"/>
      <c r="H10" s="358"/>
      <c r="I10" s="358"/>
      <c r="J10" s="359"/>
    </row>
    <row r="11" spans="2:15" ht="17.25" customHeight="1">
      <c r="B11" s="360" t="s">
        <v>90</v>
      </c>
      <c r="C11" s="361"/>
      <c r="D11" s="212">
        <v>1</v>
      </c>
      <c r="E11" s="212">
        <v>2</v>
      </c>
      <c r="F11" s="212">
        <v>3</v>
      </c>
      <c r="G11" s="212">
        <v>4</v>
      </c>
      <c r="H11" s="212">
        <v>5</v>
      </c>
      <c r="I11" s="212">
        <v>6</v>
      </c>
      <c r="J11" s="212">
        <v>7</v>
      </c>
    </row>
    <row r="12" spans="2:15" ht="33.950000000000003" customHeight="1">
      <c r="B12" s="362"/>
      <c r="C12" s="363"/>
      <c r="D12" s="213" t="s">
        <v>91</v>
      </c>
      <c r="E12" s="213" t="s">
        <v>92</v>
      </c>
      <c r="F12" s="213" t="s">
        <v>93</v>
      </c>
      <c r="G12" s="213" t="s">
        <v>94</v>
      </c>
      <c r="H12" s="213" t="s">
        <v>95</v>
      </c>
      <c r="I12" s="213" t="s">
        <v>96</v>
      </c>
      <c r="J12" s="213" t="s">
        <v>232</v>
      </c>
    </row>
    <row r="13" spans="2:15" ht="39.950000000000003" customHeight="1">
      <c r="B13" s="364" t="s">
        <v>1</v>
      </c>
      <c r="C13" s="214" t="s">
        <v>98</v>
      </c>
      <c r="D13" s="215">
        <f>VALUE('1125'!L15)</f>
        <v>133.33822021116137</v>
      </c>
      <c r="E13" s="215">
        <f>VALUE('1125'!L26)</f>
        <v>152.00256410256409</v>
      </c>
      <c r="F13" s="215">
        <f>VALUE('1125'!L37)</f>
        <v>92.250816993464056</v>
      </c>
      <c r="G13" s="215">
        <f>VALUE('1125'!L48)</f>
        <v>96.8</v>
      </c>
      <c r="H13" s="215">
        <f>VALUE('1125'!L58)</f>
        <v>93.542483660130713</v>
      </c>
      <c r="I13" s="215">
        <f>VALUE('1125'!L69)</f>
        <v>126.40384615384615</v>
      </c>
      <c r="J13" s="215"/>
    </row>
    <row r="14" spans="2:15" ht="39.950000000000003" customHeight="1">
      <c r="B14" s="365"/>
      <c r="C14" s="214" t="s">
        <v>99</v>
      </c>
      <c r="D14" s="215">
        <f>VALUE('1125'!O15)</f>
        <v>121.13987782805421</v>
      </c>
      <c r="E14" s="215">
        <f>VALUE('1125'!O26)</f>
        <v>139.88647276876802</v>
      </c>
      <c r="F14" s="215">
        <f>VALUE('1125'!O37)</f>
        <v>81.340404426764621</v>
      </c>
      <c r="G14" s="215">
        <f>VALUE('1125'!O48)</f>
        <v>92.763824884792641</v>
      </c>
      <c r="H14" s="215">
        <f>VALUE('1125'!O58)</f>
        <v>85.641233729239502</v>
      </c>
      <c r="I14" s="215">
        <f>VALUE('1125'!O69)</f>
        <v>109.21809335149494</v>
      </c>
      <c r="J14" s="215"/>
    </row>
    <row r="15" spans="2:15" ht="39.950000000000003" customHeight="1">
      <c r="B15" s="366"/>
      <c r="C15" s="212" t="s">
        <v>100</v>
      </c>
      <c r="D15" s="233">
        <f>D14/D13</f>
        <v>0.90851578516805442</v>
      </c>
      <c r="E15" s="233">
        <f t="shared" ref="E15:I15" si="0">E14/E13</f>
        <v>0.92029021743593276</v>
      </c>
      <c r="F15" s="233">
        <f t="shared" si="0"/>
        <v>0.88173099250196951</v>
      </c>
      <c r="G15" s="233">
        <f t="shared" si="0"/>
        <v>0.95830397608256868</v>
      </c>
      <c r="H15" s="233">
        <f t="shared" si="0"/>
        <v>0.91553303246042794</v>
      </c>
      <c r="I15" s="233">
        <f t="shared" si="0"/>
        <v>0.86404090282637114</v>
      </c>
      <c r="J15" s="233"/>
    </row>
    <row r="16" spans="2:15" ht="17.25" customHeight="1">
      <c r="B16" s="367" t="s">
        <v>101</v>
      </c>
      <c r="C16" s="212" t="s">
        <v>102</v>
      </c>
      <c r="D16" s="95">
        <f>'1125'!T5</f>
        <v>0.2902777777777778</v>
      </c>
      <c r="E16" s="95">
        <f>'1125'!T16</f>
        <v>0.2902777777777778</v>
      </c>
      <c r="F16" s="95">
        <f>'1125'!T27</f>
        <v>0.29166666666666669</v>
      </c>
      <c r="G16" s="95">
        <f>'1125'!T38</f>
        <v>0.33194444444444443</v>
      </c>
      <c r="H16" s="95">
        <f>'1125'!T49</f>
        <v>0.29166666666666669</v>
      </c>
      <c r="I16" s="95">
        <f>'1125'!T59</f>
        <v>0.29166666666666669</v>
      </c>
      <c r="J16" s="272"/>
    </row>
    <row r="17" spans="2:10" ht="17.25" customHeight="1">
      <c r="B17" s="368"/>
      <c r="C17" s="212" t="s">
        <v>103</v>
      </c>
      <c r="D17" s="20">
        <v>0.58888888888888891</v>
      </c>
      <c r="E17" s="41">
        <v>0.63888888888888884</v>
      </c>
      <c r="F17" s="41">
        <v>0.63194444444444442</v>
      </c>
      <c r="G17" s="59">
        <v>0.60833333333333328</v>
      </c>
      <c r="H17" s="79">
        <v>0.64722222222222225</v>
      </c>
      <c r="I17" s="20">
        <v>0.59722222222222221</v>
      </c>
      <c r="J17" s="20"/>
    </row>
    <row r="18" spans="2:10" ht="17.25" customHeight="1">
      <c r="B18" s="354" t="s">
        <v>104</v>
      </c>
      <c r="C18" s="355"/>
      <c r="D18" s="216">
        <f>VALUE('1125'!M15)</f>
        <v>14.2</v>
      </c>
      <c r="E18" s="216">
        <f>VALUE('1125'!M26)</f>
        <v>13</v>
      </c>
      <c r="F18" s="216">
        <f>VALUE('1125'!M37)</f>
        <v>15.25</v>
      </c>
      <c r="G18" s="216">
        <f>VALUE('1125'!M48)</f>
        <v>12</v>
      </c>
      <c r="H18" s="216">
        <f>VALUE('1125'!M58)</f>
        <v>16.25</v>
      </c>
      <c r="I18" s="216">
        <f>VALUE('1125'!M69)</f>
        <v>12.4</v>
      </c>
      <c r="J18" s="216"/>
    </row>
    <row r="19" spans="2:10" ht="17.25" customHeight="1">
      <c r="B19" s="354" t="s">
        <v>105</v>
      </c>
      <c r="C19" s="355"/>
      <c r="D19" s="213" t="s">
        <v>106</v>
      </c>
      <c r="E19" s="213" t="s">
        <v>106</v>
      </c>
      <c r="F19" s="213" t="s">
        <v>107</v>
      </c>
      <c r="G19" s="213" t="s">
        <v>107</v>
      </c>
      <c r="H19" s="213" t="s">
        <v>107</v>
      </c>
      <c r="I19" s="213" t="s">
        <v>108</v>
      </c>
      <c r="J19" s="213"/>
    </row>
    <row r="20" spans="2:10" ht="17.25" customHeight="1">
      <c r="B20" s="354" t="s">
        <v>110</v>
      </c>
      <c r="C20" s="355"/>
      <c r="D20" s="213"/>
      <c r="E20" s="213"/>
      <c r="F20" s="213"/>
      <c r="G20" s="217"/>
      <c r="H20" s="213" t="s">
        <v>109</v>
      </c>
      <c r="I20" s="213"/>
      <c r="J20" s="213"/>
    </row>
    <row r="21" spans="2:10" ht="17.25" customHeight="1">
      <c r="B21" s="354" t="s">
        <v>111</v>
      </c>
      <c r="C21" s="355"/>
      <c r="D21" s="273"/>
      <c r="E21" s="273"/>
      <c r="F21" s="273"/>
      <c r="G21" s="273"/>
      <c r="H21" s="273"/>
      <c r="I21" s="273"/>
      <c r="J21" s="273"/>
    </row>
    <row r="22" spans="2:10">
      <c r="B22" s="370"/>
      <c r="C22" s="370"/>
    </row>
  </sheetData>
  <mergeCells count="37">
    <mergeCell ref="B20:C20"/>
    <mergeCell ref="B21:C21"/>
    <mergeCell ref="B22:C22"/>
    <mergeCell ref="D8:E8"/>
    <mergeCell ref="F8:G8"/>
    <mergeCell ref="H8:I8"/>
    <mergeCell ref="B18:C18"/>
    <mergeCell ref="B19:C19"/>
    <mergeCell ref="D6:E6"/>
    <mergeCell ref="F6:G6"/>
    <mergeCell ref="H6:I6"/>
    <mergeCell ref="D10:J10"/>
    <mergeCell ref="B11:C12"/>
    <mergeCell ref="B13:B15"/>
    <mergeCell ref="B16:B17"/>
    <mergeCell ref="B10:C10"/>
    <mergeCell ref="J8:K8"/>
    <mergeCell ref="B5:C8"/>
    <mergeCell ref="D5:E5"/>
    <mergeCell ref="F5:G5"/>
    <mergeCell ref="H5:I5"/>
    <mergeCell ref="J6:K6"/>
    <mergeCell ref="D7:E7"/>
    <mergeCell ref="F7:G7"/>
    <mergeCell ref="H7:I7"/>
    <mergeCell ref="J7:K7"/>
    <mergeCell ref="B1:K2"/>
    <mergeCell ref="B3:C3"/>
    <mergeCell ref="D3:E3"/>
    <mergeCell ref="G3:H3"/>
    <mergeCell ref="J3:K3"/>
    <mergeCell ref="J5:K5"/>
    <mergeCell ref="B4:C4"/>
    <mergeCell ref="D4:E4"/>
    <mergeCell ref="F4:G4"/>
    <mergeCell ref="H4:I4"/>
    <mergeCell ref="J4:K4"/>
  </mergeCells>
  <phoneticPr fontId="2" type="noConversion"/>
  <conditionalFormatting sqref="D15:J15">
    <cfRule type="cellIs" dxfId="59" priority="1" operator="lessThan">
      <formula>0.8</formula>
    </cfRule>
  </conditionalFormatting>
  <pageMargins left="0.7" right="0.7" top="0.75" bottom="0.75" header="0.3" footer="0.3"/>
  <pageSetup paperSize="8" orientation="landscape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6E4F6-0AAB-4EFD-9767-10DA12EB296F}">
  <sheetPr>
    <tabColor theme="9" tint="0.79998168889431442"/>
    <pageSetUpPr fitToPage="1"/>
  </sheetPr>
  <dimension ref="A1:AF92"/>
  <sheetViews>
    <sheetView zoomScale="69" zoomScaleNormal="69" workbookViewId="0">
      <pane xSplit="5" ySplit="4" topLeftCell="F23" activePane="bottomRight" state="frozen"/>
      <selection activeCell="F6" sqref="F6:G6"/>
      <selection pane="topRight" activeCell="F6" sqref="F6:G6"/>
      <selection pane="bottomLeft" activeCell="F6" sqref="F6:G6"/>
      <selection pane="bottomRight" activeCell="F6" sqref="F6:G6"/>
    </sheetView>
  </sheetViews>
  <sheetFormatPr defaultColWidth="7.875" defaultRowHeight="15.75"/>
  <cols>
    <col min="1" max="1" width="15" style="6" customWidth="1"/>
    <col min="2" max="2" width="12.875" style="6" customWidth="1"/>
    <col min="3" max="3" width="12.875" style="6" hidden="1" customWidth="1"/>
    <col min="4" max="4" width="26.125" style="6" bestFit="1" customWidth="1"/>
    <col min="5" max="5" width="15" style="6" customWidth="1"/>
    <col min="6" max="6" width="8.875" style="6" bestFit="1" customWidth="1"/>
    <col min="7" max="7" width="20.125" style="6" bestFit="1" customWidth="1"/>
    <col min="8" max="8" width="16.375" style="6" bestFit="1" customWidth="1"/>
    <col min="9" max="9" width="10.875" style="6" bestFit="1" customWidth="1"/>
    <col min="10" max="10" width="10.125" style="6" bestFit="1" customWidth="1"/>
    <col min="11" max="11" width="10.625" style="6" customWidth="1"/>
    <col min="12" max="12" width="14.5" style="6" customWidth="1"/>
    <col min="13" max="13" width="10.125" style="6" bestFit="1" customWidth="1"/>
    <col min="14" max="14" width="10.25" style="6" bestFit="1" customWidth="1"/>
    <col min="15" max="15" width="11.875" style="6" customWidth="1"/>
    <col min="16" max="17" width="9.125" style="6" bestFit="1" customWidth="1"/>
    <col min="18" max="18" width="9.125" style="6" customWidth="1"/>
    <col min="19" max="19" width="8.375" style="6" customWidth="1"/>
    <col min="20" max="21" width="9.375" style="6" bestFit="1" customWidth="1"/>
    <col min="22" max="22" width="10.625" style="6" customWidth="1"/>
    <col min="23" max="23" width="8.625" style="92" customWidth="1"/>
    <col min="24" max="24" width="7.5" style="6" bestFit="1" customWidth="1"/>
    <col min="25" max="25" width="6.875" style="6" customWidth="1"/>
    <col min="26" max="26" width="12.625" style="6" customWidth="1"/>
    <col min="27" max="27" width="33.375" style="6" customWidth="1"/>
    <col min="28" max="28" width="13.125" style="6" bestFit="1" customWidth="1"/>
    <col min="29" max="29" width="10.375" style="6" customWidth="1"/>
    <col min="30" max="30" width="9.125" style="6" customWidth="1"/>
    <col min="31" max="31" width="7.875" style="6"/>
    <col min="32" max="32" width="24.5" style="6" bestFit="1" customWidth="1"/>
    <col min="33" max="16384" width="7.875" style="6"/>
  </cols>
  <sheetData>
    <row r="1" spans="1:30" ht="21">
      <c r="A1" s="2" t="s">
        <v>72</v>
      </c>
      <c r="B1" s="2"/>
      <c r="C1" s="2"/>
      <c r="D1" s="176" t="s">
        <v>8</v>
      </c>
      <c r="E1" s="3">
        <f>SUM(G5:G79)</f>
        <v>50050</v>
      </c>
      <c r="F1" s="177" t="s">
        <v>9</v>
      </c>
      <c r="G1" s="4">
        <f>SUM(H5:H79)</f>
        <v>2421327.5000000005</v>
      </c>
      <c r="H1" s="175" t="s">
        <v>10</v>
      </c>
      <c r="I1" s="5">
        <f>M15+M26+M48+M58+M69+M79+M37</f>
        <v>83.100000000000009</v>
      </c>
      <c r="J1" s="371" t="s">
        <v>11</v>
      </c>
      <c r="K1" s="371"/>
      <c r="L1" s="371"/>
      <c r="M1" s="371" t="s">
        <v>12</v>
      </c>
      <c r="N1" s="371"/>
      <c r="O1" s="371"/>
      <c r="P1" s="371" t="s">
        <v>13</v>
      </c>
      <c r="Q1" s="371"/>
      <c r="R1" s="371"/>
      <c r="S1" s="371"/>
      <c r="T1" s="371" t="s">
        <v>14</v>
      </c>
      <c r="U1" s="371"/>
      <c r="V1" s="371"/>
      <c r="W1" s="371"/>
      <c r="X1" s="371"/>
      <c r="Y1" s="371"/>
      <c r="Z1" s="371" t="s">
        <v>15</v>
      </c>
      <c r="AA1" s="371"/>
      <c r="AB1" s="371" t="s">
        <v>16</v>
      </c>
      <c r="AC1" s="372"/>
      <c r="AD1" s="372"/>
    </row>
    <row r="2" spans="1:30" ht="18.75">
      <c r="A2" s="409" t="s">
        <v>237</v>
      </c>
      <c r="B2" s="409"/>
      <c r="C2" s="176"/>
      <c r="D2" s="176" t="s">
        <v>1</v>
      </c>
      <c r="E2" s="7">
        <f>AVERAGE(O15,O26,O37,O48,O58,O69,O79)</f>
        <v>104.998317831519</v>
      </c>
      <c r="F2" s="8" t="s">
        <v>2</v>
      </c>
      <c r="G2" s="9">
        <f>G1/E1</f>
        <v>48.378171828171837</v>
      </c>
      <c r="H2" s="175" t="s">
        <v>17</v>
      </c>
      <c r="I2" s="175">
        <f>COUNT(I5:I79)</f>
        <v>0</v>
      </c>
      <c r="J2" s="371"/>
      <c r="K2" s="371"/>
      <c r="L2" s="371"/>
      <c r="M2" s="371"/>
      <c r="N2" s="371"/>
      <c r="O2" s="371"/>
      <c r="P2" s="371"/>
      <c r="Q2" s="371"/>
      <c r="R2" s="371"/>
      <c r="S2" s="371"/>
      <c r="T2" s="371"/>
      <c r="U2" s="371"/>
      <c r="V2" s="371"/>
      <c r="W2" s="371"/>
      <c r="X2" s="371"/>
      <c r="Y2" s="371"/>
      <c r="Z2" s="371"/>
      <c r="AA2" s="371"/>
      <c r="AB2" s="372"/>
      <c r="AC2" s="372"/>
      <c r="AD2" s="372"/>
    </row>
    <row r="3" spans="1:30">
      <c r="A3" s="405" t="s">
        <v>18</v>
      </c>
      <c r="B3" s="405" t="s">
        <v>19</v>
      </c>
      <c r="C3" s="177"/>
      <c r="D3" s="405" t="s">
        <v>20</v>
      </c>
      <c r="E3" s="405"/>
      <c r="F3" s="379" t="s">
        <v>21</v>
      </c>
      <c r="G3" s="389" t="s">
        <v>22</v>
      </c>
      <c r="H3" s="379" t="s">
        <v>23</v>
      </c>
      <c r="I3" s="381" t="s">
        <v>24</v>
      </c>
      <c r="J3" s="383" t="s">
        <v>25</v>
      </c>
      <c r="K3" s="385" t="s">
        <v>26</v>
      </c>
      <c r="L3" s="387" t="s">
        <v>1</v>
      </c>
      <c r="M3" s="389" t="s">
        <v>25</v>
      </c>
      <c r="N3" s="385" t="s">
        <v>26</v>
      </c>
      <c r="O3" s="387" t="s">
        <v>1</v>
      </c>
      <c r="P3" s="383" t="s">
        <v>25</v>
      </c>
      <c r="Q3" s="387" t="s">
        <v>1</v>
      </c>
      <c r="R3" s="392" t="s">
        <v>27</v>
      </c>
      <c r="S3" s="394" t="s">
        <v>28</v>
      </c>
      <c r="T3" s="389" t="s">
        <v>4</v>
      </c>
      <c r="U3" s="389"/>
      <c r="V3" s="408" t="s">
        <v>29</v>
      </c>
      <c r="W3" s="381" t="s">
        <v>30</v>
      </c>
      <c r="X3" s="389" t="s">
        <v>31</v>
      </c>
      <c r="Y3" s="389"/>
      <c r="Z3" s="415" t="s">
        <v>71</v>
      </c>
      <c r="AA3" s="416"/>
      <c r="AB3" s="385" t="s">
        <v>26</v>
      </c>
      <c r="AC3" s="392" t="s">
        <v>27</v>
      </c>
      <c r="AD3" s="394" t="s">
        <v>28</v>
      </c>
    </row>
    <row r="4" spans="1:30" ht="16.5" thickBot="1">
      <c r="A4" s="379"/>
      <c r="B4" s="379"/>
      <c r="C4" s="178"/>
      <c r="D4" s="379"/>
      <c r="E4" s="379"/>
      <c r="F4" s="380"/>
      <c r="G4" s="390"/>
      <c r="H4" s="380"/>
      <c r="I4" s="382"/>
      <c r="J4" s="384"/>
      <c r="K4" s="386"/>
      <c r="L4" s="388"/>
      <c r="M4" s="390"/>
      <c r="N4" s="386"/>
      <c r="O4" s="388"/>
      <c r="P4" s="384"/>
      <c r="Q4" s="388"/>
      <c r="R4" s="393"/>
      <c r="S4" s="395"/>
      <c r="T4" s="179" t="s">
        <v>5</v>
      </c>
      <c r="U4" s="179" t="s">
        <v>6</v>
      </c>
      <c r="V4" s="390"/>
      <c r="W4" s="382"/>
      <c r="X4" s="178" t="s">
        <v>32</v>
      </c>
      <c r="Y4" s="178" t="s">
        <v>33</v>
      </c>
      <c r="Z4" s="417"/>
      <c r="AA4" s="417"/>
      <c r="AB4" s="386"/>
      <c r="AC4" s="393"/>
      <c r="AD4" s="395"/>
    </row>
    <row r="5" spans="1:30" ht="15" customHeight="1">
      <c r="A5" s="411" t="s">
        <v>66</v>
      </c>
      <c r="B5" s="305" t="str">
        <f>VLOOKUP(D5,廠價表!$C$1:$E$39,2,0)</f>
        <v>義大利麵</v>
      </c>
      <c r="C5" s="324"/>
      <c r="D5" s="340" t="s">
        <v>238</v>
      </c>
      <c r="E5" s="326"/>
      <c r="F5" s="305">
        <f>VLOOKUP(D5,廠價表!$C$1:$E$39,3,0)</f>
        <v>56.43</v>
      </c>
      <c r="G5" s="327">
        <v>509</v>
      </c>
      <c r="H5" s="328">
        <f t="shared" ref="H5" si="0">F5*G5</f>
        <v>28722.87</v>
      </c>
      <c r="I5" s="329"/>
      <c r="J5" s="330">
        <f>VLOOKUP(D5,產線配置圖!$A$2:$C$38,2,0)</f>
        <v>15</v>
      </c>
      <c r="K5" s="331">
        <f>VLOOKUP(D5,產線配置圖!$A$2:$C$38,3,0)</f>
        <v>1636</v>
      </c>
      <c r="L5" s="332">
        <f t="shared" ref="L5" si="1">K5/J5</f>
        <v>109.06666666666666</v>
      </c>
      <c r="M5" s="333">
        <v>15</v>
      </c>
      <c r="N5" s="331">
        <f t="shared" ref="N5:N9" si="2">G5/W5*60</f>
        <v>1221.6000000000004</v>
      </c>
      <c r="O5" s="332">
        <f t="shared" ref="O5:O9" si="3">N5/M5</f>
        <v>81.440000000000026</v>
      </c>
      <c r="P5" s="334">
        <f t="shared" ref="P5:P9" si="4">M5-J5</f>
        <v>0</v>
      </c>
      <c r="Q5" s="335">
        <f t="shared" ref="Q5:Q9" si="5">O5-L5</f>
        <v>-27.626666666666637</v>
      </c>
      <c r="R5" s="336">
        <f t="shared" ref="R5:R9" si="6">O5/L5</f>
        <v>0.7466992665036678</v>
      </c>
      <c r="S5" s="396">
        <f>R15</f>
        <v>0.90851578516805442</v>
      </c>
      <c r="T5" s="337">
        <v>0.2902777777777778</v>
      </c>
      <c r="U5" s="338">
        <v>0.30763888888888891</v>
      </c>
      <c r="V5" s="194"/>
      <c r="W5" s="107">
        <f t="shared" ref="W5:W14" si="7">(U5-T5)*24*60</f>
        <v>24.999999999999993</v>
      </c>
      <c r="X5" s="188"/>
      <c r="Y5" s="188"/>
      <c r="Z5" s="400" t="s">
        <v>241</v>
      </c>
      <c r="AA5" s="400"/>
      <c r="AB5" s="111">
        <f>N5-K5</f>
        <v>-414.39999999999964</v>
      </c>
      <c r="AC5" s="184">
        <f>N5/K5</f>
        <v>0.74669926650366769</v>
      </c>
      <c r="AD5" s="401">
        <f>AC15</f>
        <v>0.90571608238193935</v>
      </c>
    </row>
    <row r="6" spans="1:30" ht="15" customHeight="1">
      <c r="A6" s="412"/>
      <c r="B6" s="313" t="str">
        <f>VLOOKUP(D6,廠價表!$C$1:$E$39,2,0)</f>
        <v>義大利麵</v>
      </c>
      <c r="C6" s="249"/>
      <c r="D6" s="339" t="s">
        <v>127</v>
      </c>
      <c r="E6" s="251"/>
      <c r="F6" s="314">
        <f>VLOOKUP(D6,廠價表!$C$1:$E$39,3,0)</f>
        <v>57.21</v>
      </c>
      <c r="G6" s="315">
        <v>1438</v>
      </c>
      <c r="H6" s="316">
        <f>F6*G6</f>
        <v>82267.98</v>
      </c>
      <c r="I6" s="317"/>
      <c r="J6" s="318">
        <f>VLOOKUP(D6,產線配置圖!$A$2:$C$38,2,0)</f>
        <v>13</v>
      </c>
      <c r="K6" s="315">
        <v>1800</v>
      </c>
      <c r="L6" s="319">
        <f>K6/J6</f>
        <v>138.46153846153845</v>
      </c>
      <c r="M6" s="320">
        <v>13</v>
      </c>
      <c r="N6" s="315">
        <f t="shared" si="2"/>
        <v>1725.5999999999976</v>
      </c>
      <c r="O6" s="319">
        <f t="shared" si="3"/>
        <v>132.73846153846137</v>
      </c>
      <c r="P6" s="321">
        <f t="shared" si="4"/>
        <v>0</v>
      </c>
      <c r="Q6" s="322">
        <f t="shared" si="5"/>
        <v>-5.7230769230770875</v>
      </c>
      <c r="R6" s="323">
        <f t="shared" si="6"/>
        <v>0.95866666666666545</v>
      </c>
      <c r="S6" s="397"/>
      <c r="T6" s="270">
        <v>0.31805555555555554</v>
      </c>
      <c r="U6" s="270">
        <v>0.3527777777777778</v>
      </c>
      <c r="V6" s="177">
        <f>(T6-U5)*24*60</f>
        <v>14.999999999999947</v>
      </c>
      <c r="W6" s="182">
        <f t="shared" si="7"/>
        <v>50.000000000000064</v>
      </c>
      <c r="X6" s="22"/>
      <c r="Y6" s="22"/>
      <c r="Z6" s="381"/>
      <c r="AA6" s="381"/>
      <c r="AB6" s="18">
        <f>N6-K6</f>
        <v>-74.400000000002365</v>
      </c>
      <c r="AC6" s="185">
        <f>N6/K6</f>
        <v>0.95866666666666533</v>
      </c>
      <c r="AD6" s="402"/>
    </row>
    <row r="7" spans="1:30" ht="15" customHeight="1">
      <c r="A7" s="412"/>
      <c r="B7" s="56" t="str">
        <f>VLOOKUP(D7,廠價表!$C$1:$E$39,2,0)</f>
        <v>義大利麵</v>
      </c>
      <c r="C7" s="10"/>
      <c r="D7" s="250" t="s">
        <v>139</v>
      </c>
      <c r="E7" s="86"/>
      <c r="F7" s="56">
        <f>VLOOKUP(D7,廠價表!$C$1:$E$39,3,0)</f>
        <v>57.21</v>
      </c>
      <c r="G7" s="25">
        <v>1878</v>
      </c>
      <c r="H7" s="15">
        <f t="shared" ref="H7:H9" si="8">F7*G7</f>
        <v>107440.38</v>
      </c>
      <c r="I7" s="182"/>
      <c r="J7" s="16">
        <f>VLOOKUP(D7,產線配置圖!$A$2:$C$38,2,0)</f>
        <v>17</v>
      </c>
      <c r="K7" s="14">
        <f>VLOOKUP(D7,產線配置圖!$A$2:$C$38,3,0)</f>
        <v>1895</v>
      </c>
      <c r="L7" s="17">
        <f>K7/J7</f>
        <v>111.47058823529412</v>
      </c>
      <c r="M7" s="180">
        <v>17</v>
      </c>
      <c r="N7" s="14">
        <f t="shared" si="2"/>
        <v>1760.6249999999995</v>
      </c>
      <c r="O7" s="17">
        <f t="shared" si="3"/>
        <v>103.5661764705882</v>
      </c>
      <c r="P7" s="18">
        <f t="shared" si="4"/>
        <v>0</v>
      </c>
      <c r="Q7" s="19">
        <f t="shared" si="5"/>
        <v>-7.9044117647059124</v>
      </c>
      <c r="R7" s="185">
        <f t="shared" si="6"/>
        <v>0.92908970976253269</v>
      </c>
      <c r="S7" s="397"/>
      <c r="T7" s="95">
        <v>0.3576388888888889</v>
      </c>
      <c r="U7" s="95">
        <v>0.40208333333333335</v>
      </c>
      <c r="V7" s="177">
        <f>(T7-U6)*24*60</f>
        <v>6.9999999999999751</v>
      </c>
      <c r="W7" s="182">
        <f t="shared" si="7"/>
        <v>64.000000000000014</v>
      </c>
      <c r="X7" s="22"/>
      <c r="Y7" s="22"/>
      <c r="Z7" s="405"/>
      <c r="AA7" s="405"/>
      <c r="AB7" s="18">
        <f>N7-K7</f>
        <v>-134.37500000000045</v>
      </c>
      <c r="AC7" s="185">
        <f>N7/K7</f>
        <v>0.92908970976253269</v>
      </c>
      <c r="AD7" s="402"/>
    </row>
    <row r="8" spans="1:30" ht="15" customHeight="1">
      <c r="A8" s="412"/>
      <c r="B8" s="56" t="str">
        <f>VLOOKUP(D8,廠價表!$C$1:$E$39,2,0)</f>
        <v>義大利麵</v>
      </c>
      <c r="C8" s="10"/>
      <c r="D8" s="11" t="s">
        <v>141</v>
      </c>
      <c r="E8" s="86"/>
      <c r="F8" s="56">
        <f>VLOOKUP(D8,廠價表!$C$1:$E$39,3,0)</f>
        <v>49.14</v>
      </c>
      <c r="G8" s="25">
        <v>3212</v>
      </c>
      <c r="H8" s="15">
        <f t="shared" si="8"/>
        <v>157837.68</v>
      </c>
      <c r="I8" s="182"/>
      <c r="J8" s="16">
        <f>VLOOKUP(D8,產線配置圖!$A$2:$C$38,2,0)</f>
        <v>13</v>
      </c>
      <c r="K8" s="14">
        <f>VLOOKUP(D8,產線配置圖!$A$2:$C$38,3,0)</f>
        <v>2000</v>
      </c>
      <c r="L8" s="17">
        <f>K8/J8</f>
        <v>153.84615384615384</v>
      </c>
      <c r="M8" s="180">
        <v>13</v>
      </c>
      <c r="N8" s="14">
        <f t="shared" si="2"/>
        <v>1889.4117647058815</v>
      </c>
      <c r="O8" s="17">
        <f t="shared" si="3"/>
        <v>145.33936651583704</v>
      </c>
      <c r="P8" s="18">
        <f t="shared" si="4"/>
        <v>0</v>
      </c>
      <c r="Q8" s="19">
        <f t="shared" si="5"/>
        <v>-8.5067873303167971</v>
      </c>
      <c r="R8" s="185">
        <f t="shared" si="6"/>
        <v>0.94470588235294084</v>
      </c>
      <c r="S8" s="397"/>
      <c r="T8" s="95">
        <v>0.40833333333333333</v>
      </c>
      <c r="U8" s="95">
        <v>0.47916666666666669</v>
      </c>
      <c r="V8" s="177">
        <f t="shared" ref="V8:V9" si="9">(T8-U7)*24*60</f>
        <v>8.999999999999968</v>
      </c>
      <c r="W8" s="182">
        <f t="shared" si="7"/>
        <v>102.00000000000004</v>
      </c>
      <c r="X8" s="22"/>
      <c r="Y8" s="22"/>
      <c r="Z8" s="406"/>
      <c r="AA8" s="406"/>
      <c r="AB8" s="18">
        <f>N8-K8</f>
        <v>-110.58823529411848</v>
      </c>
      <c r="AC8" s="185">
        <f>N8/K8</f>
        <v>0.94470588235294073</v>
      </c>
      <c r="AD8" s="402"/>
    </row>
    <row r="9" spans="1:30" ht="15" customHeight="1">
      <c r="A9" s="413"/>
      <c r="B9" s="56" t="str">
        <f>VLOOKUP(D9,廠價表!$C$1:$E$39,2,0)</f>
        <v>義大利麵</v>
      </c>
      <c r="C9" s="10"/>
      <c r="D9" s="11" t="s">
        <v>141</v>
      </c>
      <c r="E9" s="86"/>
      <c r="F9" s="56">
        <f>VLOOKUP(D9,廠價表!$C$1:$E$39,3,0)</f>
        <v>49.14</v>
      </c>
      <c r="G9" s="25">
        <v>2163</v>
      </c>
      <c r="H9" s="15">
        <f t="shared" si="8"/>
        <v>106289.82</v>
      </c>
      <c r="I9" s="182"/>
      <c r="J9" s="16">
        <f>VLOOKUP(D9,產線配置圖!$A$2:$C$38,2,0)</f>
        <v>13</v>
      </c>
      <c r="K9" s="14">
        <f>VLOOKUP(D9,產線配置圖!$A$2:$C$38,3,0)</f>
        <v>2000</v>
      </c>
      <c r="L9" s="17">
        <f t="shared" ref="L9" si="10">K9/J9</f>
        <v>153.84615384615384</v>
      </c>
      <c r="M9" s="180">
        <v>13</v>
      </c>
      <c r="N9" s="14">
        <f t="shared" si="2"/>
        <v>1853.9999999999982</v>
      </c>
      <c r="O9" s="17">
        <f t="shared" si="3"/>
        <v>142.61538461538447</v>
      </c>
      <c r="P9" s="18">
        <f t="shared" si="4"/>
        <v>0</v>
      </c>
      <c r="Q9" s="19">
        <f t="shared" si="5"/>
        <v>-11.230769230769369</v>
      </c>
      <c r="R9" s="185">
        <f t="shared" si="6"/>
        <v>0.92699999999999905</v>
      </c>
      <c r="S9" s="398"/>
      <c r="T9" s="20">
        <v>0.54027777777777775</v>
      </c>
      <c r="U9" s="20">
        <v>0.58888888888888891</v>
      </c>
      <c r="V9" s="177">
        <f t="shared" si="9"/>
        <v>87.999999999999929</v>
      </c>
      <c r="W9" s="24">
        <f t="shared" si="7"/>
        <v>70.000000000000071</v>
      </c>
      <c r="X9" s="22">
        <v>0.4861111111111111</v>
      </c>
      <c r="Y9" s="263">
        <v>0.52777777777777779</v>
      </c>
      <c r="Z9" s="407"/>
      <c r="AA9" s="407"/>
      <c r="AB9" s="18"/>
      <c r="AC9" s="185"/>
      <c r="AD9" s="403"/>
    </row>
    <row r="10" spans="1:30" ht="15" customHeight="1">
      <c r="A10" s="413"/>
      <c r="B10" s="56"/>
      <c r="C10" s="23"/>
      <c r="D10" s="11"/>
      <c r="E10" s="12"/>
      <c r="F10" s="56"/>
      <c r="G10" s="25"/>
      <c r="H10" s="15"/>
      <c r="I10" s="182"/>
      <c r="J10" s="16"/>
      <c r="K10" s="14"/>
      <c r="L10" s="17"/>
      <c r="M10" s="180"/>
      <c r="N10" s="14"/>
      <c r="O10" s="17"/>
      <c r="P10" s="18"/>
      <c r="Q10" s="19"/>
      <c r="R10" s="185"/>
      <c r="S10" s="398"/>
      <c r="T10" s="20"/>
      <c r="U10" s="20"/>
      <c r="V10" s="177"/>
      <c r="W10" s="182">
        <f t="shared" si="7"/>
        <v>0</v>
      </c>
      <c r="X10" s="22"/>
      <c r="Y10" s="263"/>
      <c r="Z10" s="419"/>
      <c r="AA10" s="418"/>
      <c r="AB10" s="264"/>
      <c r="AC10" s="185"/>
      <c r="AD10" s="403"/>
    </row>
    <row r="11" spans="1:30" ht="15" customHeight="1">
      <c r="A11" s="413"/>
      <c r="B11" s="56"/>
      <c r="C11" s="183"/>
      <c r="D11" s="11"/>
      <c r="E11" s="12"/>
      <c r="F11" s="56"/>
      <c r="G11" s="25"/>
      <c r="H11" s="15">
        <f t="shared" ref="H11:H12" si="11">F11*G11</f>
        <v>0</v>
      </c>
      <c r="I11" s="182"/>
      <c r="J11" s="16"/>
      <c r="K11" s="14"/>
      <c r="L11" s="17"/>
      <c r="M11" s="180"/>
      <c r="N11" s="14"/>
      <c r="O11" s="17"/>
      <c r="P11" s="18"/>
      <c r="Q11" s="19"/>
      <c r="R11" s="185"/>
      <c r="S11" s="398"/>
      <c r="T11" s="20"/>
      <c r="U11" s="20"/>
      <c r="V11" s="177"/>
      <c r="W11" s="24">
        <f t="shared" si="7"/>
        <v>0</v>
      </c>
      <c r="X11" s="22"/>
      <c r="Y11" s="263"/>
      <c r="Z11" s="419"/>
      <c r="AA11" s="418"/>
      <c r="AB11" s="264"/>
      <c r="AC11" s="185"/>
      <c r="AD11" s="403"/>
    </row>
    <row r="12" spans="1:30" ht="15" customHeight="1">
      <c r="A12" s="413"/>
      <c r="B12" s="26"/>
      <c r="C12" s="27"/>
      <c r="D12" s="28"/>
      <c r="E12" s="29"/>
      <c r="F12" s="13"/>
      <c r="G12" s="30"/>
      <c r="H12" s="15">
        <f t="shared" si="11"/>
        <v>0</v>
      </c>
      <c r="I12" s="178"/>
      <c r="J12" s="31"/>
      <c r="K12" s="30"/>
      <c r="L12" s="17"/>
      <c r="M12" s="181"/>
      <c r="N12" s="25"/>
      <c r="O12" s="17"/>
      <c r="P12" s="18"/>
      <c r="Q12" s="19"/>
      <c r="R12" s="185"/>
      <c r="S12" s="398"/>
      <c r="T12" s="32"/>
      <c r="U12" s="32"/>
      <c r="V12" s="178"/>
      <c r="W12" s="24">
        <f t="shared" si="7"/>
        <v>0</v>
      </c>
      <c r="X12" s="33"/>
      <c r="Y12" s="33"/>
      <c r="Z12" s="407"/>
      <c r="AA12" s="407"/>
      <c r="AB12" s="34"/>
      <c r="AC12" s="186"/>
      <c r="AD12" s="403"/>
    </row>
    <row r="13" spans="1:30" ht="15" customHeight="1">
      <c r="A13" s="413"/>
      <c r="B13" s="56"/>
      <c r="C13" s="10"/>
      <c r="D13" s="11"/>
      <c r="E13" s="86"/>
      <c r="F13" s="56"/>
      <c r="G13" s="25"/>
      <c r="H13" s="15"/>
      <c r="I13" s="182"/>
      <c r="J13" s="16"/>
      <c r="K13" s="14"/>
      <c r="L13" s="17"/>
      <c r="M13" s="180"/>
      <c r="N13" s="14"/>
      <c r="O13" s="17"/>
      <c r="P13" s="18"/>
      <c r="Q13" s="19"/>
      <c r="R13" s="185"/>
      <c r="S13" s="479"/>
      <c r="T13" s="309"/>
      <c r="U13" s="309"/>
      <c r="V13" s="26"/>
      <c r="W13" s="24">
        <f t="shared" si="7"/>
        <v>0</v>
      </c>
      <c r="X13" s="33"/>
      <c r="Y13" s="33"/>
      <c r="Z13" s="419"/>
      <c r="AA13" s="418"/>
      <c r="AB13" s="34"/>
      <c r="AC13" s="186"/>
      <c r="AD13" s="403"/>
    </row>
    <row r="14" spans="1:30" ht="15" customHeight="1">
      <c r="A14" s="413"/>
      <c r="B14" s="56"/>
      <c r="C14" s="10"/>
      <c r="D14" s="11"/>
      <c r="E14" s="86"/>
      <c r="F14" s="56"/>
      <c r="G14" s="25"/>
      <c r="H14" s="15"/>
      <c r="I14" s="182"/>
      <c r="J14" s="16"/>
      <c r="K14" s="14"/>
      <c r="L14" s="17"/>
      <c r="M14" s="180"/>
      <c r="N14" s="14"/>
      <c r="O14" s="17"/>
      <c r="P14" s="18"/>
      <c r="Q14" s="19"/>
      <c r="R14" s="185"/>
      <c r="S14" s="398"/>
      <c r="T14" s="79"/>
      <c r="U14" s="79"/>
      <c r="V14" s="178"/>
      <c r="W14" s="24">
        <f t="shared" si="7"/>
        <v>0</v>
      </c>
      <c r="X14" s="33"/>
      <c r="Y14" s="33"/>
      <c r="Z14" s="419"/>
      <c r="AA14" s="418"/>
      <c r="AB14" s="34"/>
      <c r="AC14" s="186"/>
      <c r="AD14" s="403"/>
    </row>
    <row r="15" spans="1:30" ht="15" customHeight="1" thickBot="1">
      <c r="A15" s="414"/>
      <c r="B15" s="113"/>
      <c r="C15" s="113" t="s">
        <v>34</v>
      </c>
      <c r="D15" s="410" t="s">
        <v>7</v>
      </c>
      <c r="E15" s="410"/>
      <c r="F15" s="114"/>
      <c r="G15" s="115"/>
      <c r="H15" s="116"/>
      <c r="I15" s="117"/>
      <c r="J15" s="118">
        <f t="shared" ref="J15:O15" si="12">AVERAGE(J5:J14)</f>
        <v>14.2</v>
      </c>
      <c r="K15" s="118">
        <f t="shared" si="12"/>
        <v>1866.2</v>
      </c>
      <c r="L15" s="115">
        <f t="shared" si="12"/>
        <v>133.33822021116137</v>
      </c>
      <c r="M15" s="118">
        <f t="shared" si="12"/>
        <v>14.2</v>
      </c>
      <c r="N15" s="118">
        <f t="shared" si="12"/>
        <v>1690.2473529411752</v>
      </c>
      <c r="O15" s="115">
        <f t="shared" si="12"/>
        <v>121.13987782805421</v>
      </c>
      <c r="P15" s="119">
        <f t="shared" ref="P15:P17" si="13">M15-J15</f>
        <v>0</v>
      </c>
      <c r="Q15" s="120">
        <f t="shared" ref="Q15:Q17" si="14">O15-L15</f>
        <v>-12.19834238310716</v>
      </c>
      <c r="R15" s="121">
        <f t="shared" ref="R15:R17" si="15">O15/L15</f>
        <v>0.90851578516805442</v>
      </c>
      <c r="S15" s="399"/>
      <c r="T15" s="122"/>
      <c r="U15" s="122"/>
      <c r="V15" s="195"/>
      <c r="W15" s="123"/>
      <c r="X15" s="124"/>
      <c r="Y15" s="124"/>
      <c r="Z15" s="391"/>
      <c r="AA15" s="391"/>
      <c r="AB15" s="119">
        <f>N15-K15</f>
        <v>-175.95264705882482</v>
      </c>
      <c r="AC15" s="187">
        <f>N15/K15</f>
        <v>0.90571608238193935</v>
      </c>
      <c r="AD15" s="404"/>
    </row>
    <row r="16" spans="1:30" ht="15" customHeight="1">
      <c r="A16" s="431" t="s">
        <v>67</v>
      </c>
      <c r="B16" s="199" t="str">
        <f>VLOOKUP(D16,廠價表!$C$1:$E$39,2,0)</f>
        <v>義大利麵</v>
      </c>
      <c r="C16" s="102"/>
      <c r="D16" s="103" t="s">
        <v>206</v>
      </c>
      <c r="E16" s="104"/>
      <c r="F16" s="199">
        <f>VLOOKUP(D16,廠價表!$C$1:$E$39,3,0)</f>
        <v>56.43</v>
      </c>
      <c r="G16" s="265">
        <v>493</v>
      </c>
      <c r="H16" s="125">
        <f t="shared" ref="H16:H17" si="16">F16*G16</f>
        <v>27819.99</v>
      </c>
      <c r="I16" s="126"/>
      <c r="J16" s="108">
        <v>15</v>
      </c>
      <c r="K16" s="105">
        <v>1636</v>
      </c>
      <c r="L16" s="109">
        <v>109.06666666666666</v>
      </c>
      <c r="M16" s="267">
        <v>15</v>
      </c>
      <c r="N16" s="127">
        <f t="shared" ref="N16:N17" si="17">G16/W16*60</f>
        <v>1344.5454545454545</v>
      </c>
      <c r="O16" s="128">
        <f t="shared" ref="O16:O17" si="18">N16/M16</f>
        <v>89.63636363636364</v>
      </c>
      <c r="P16" s="129">
        <f>M16-J16</f>
        <v>0</v>
      </c>
      <c r="Q16" s="130">
        <f t="shared" si="14"/>
        <v>-19.430303030303023</v>
      </c>
      <c r="R16" s="189">
        <f t="shared" si="15"/>
        <v>0.82184929984440991</v>
      </c>
      <c r="S16" s="424">
        <f>R26</f>
        <v>0.92029021743593276</v>
      </c>
      <c r="T16" s="268">
        <v>0.2902777777777778</v>
      </c>
      <c r="U16" s="268">
        <v>0.30555555555555558</v>
      </c>
      <c r="V16" s="126"/>
      <c r="W16" s="131">
        <f t="shared" ref="W16:W78" si="19">(U16-T16)*24*60</f>
        <v>22</v>
      </c>
      <c r="X16" s="128"/>
      <c r="Y16" s="128"/>
      <c r="Z16" s="400"/>
      <c r="AA16" s="400"/>
      <c r="AB16" s="111">
        <f>N16-K16</f>
        <v>-291.4545454545455</v>
      </c>
      <c r="AC16" s="184">
        <f>N16/K16</f>
        <v>0.8218492998444098</v>
      </c>
      <c r="AD16" s="401">
        <f>AC26</f>
        <v>0.91764755610065674</v>
      </c>
    </row>
    <row r="17" spans="1:30" ht="15" customHeight="1">
      <c r="A17" s="432"/>
      <c r="B17" s="56" t="str">
        <f>VLOOKUP(D17,廠價表!$C$1:$E$39,2,0)</f>
        <v>義大利麵</v>
      </c>
      <c r="C17" s="10"/>
      <c r="D17" s="11" t="s">
        <v>127</v>
      </c>
      <c r="E17" s="86"/>
      <c r="F17" s="56">
        <f>VLOOKUP(D17,廠價表!$C$1:$E$39,3,0)</f>
        <v>57.21</v>
      </c>
      <c r="G17" s="96">
        <v>1384</v>
      </c>
      <c r="H17" s="15">
        <f t="shared" si="16"/>
        <v>79178.64</v>
      </c>
      <c r="I17" s="177"/>
      <c r="J17" s="16">
        <f>VLOOKUP(D17,產線配置圖!$A$2:$C$38,2,0)</f>
        <v>13</v>
      </c>
      <c r="K17" s="14">
        <f>VLOOKUP(D17,產線配置圖!$A$2:$C$38,3,0)</f>
        <v>2105</v>
      </c>
      <c r="L17" s="17">
        <f t="shared" ref="L17" si="20">K17/J17</f>
        <v>161.92307692307693</v>
      </c>
      <c r="M17" s="37">
        <v>13</v>
      </c>
      <c r="N17" s="36">
        <f t="shared" si="17"/>
        <v>1805.2173913043478</v>
      </c>
      <c r="O17" s="38">
        <f t="shared" si="18"/>
        <v>138.86287625418061</v>
      </c>
      <c r="P17" s="39">
        <f t="shared" si="13"/>
        <v>0</v>
      </c>
      <c r="Q17" s="40">
        <f t="shared" si="14"/>
        <v>-23.060200668896329</v>
      </c>
      <c r="R17" s="190">
        <f t="shared" si="15"/>
        <v>0.85758545905194672</v>
      </c>
      <c r="S17" s="425"/>
      <c r="T17" s="41">
        <v>0.31388888888888888</v>
      </c>
      <c r="U17" s="41">
        <v>0.34583333333333333</v>
      </c>
      <c r="V17" s="177">
        <f>(T17-U16)*24*60</f>
        <v>11.999999999999957</v>
      </c>
      <c r="W17" s="43">
        <f t="shared" si="19"/>
        <v>46</v>
      </c>
      <c r="X17" s="44"/>
      <c r="Y17" s="44"/>
      <c r="Z17" s="381"/>
      <c r="AA17" s="381"/>
      <c r="AB17" s="18">
        <f>N17-K17</f>
        <v>-299.78260869565224</v>
      </c>
      <c r="AC17" s="185">
        <f>N17/K17</f>
        <v>0.85758545905194672</v>
      </c>
      <c r="AD17" s="402"/>
    </row>
    <row r="18" spans="1:30" ht="15" customHeight="1">
      <c r="A18" s="432"/>
      <c r="B18" s="56" t="str">
        <f>VLOOKUP(D18,廠價表!$C$1:$E$39,2,0)</f>
        <v>義大利麵</v>
      </c>
      <c r="C18" s="10"/>
      <c r="D18" s="11" t="s">
        <v>153</v>
      </c>
      <c r="E18" s="86"/>
      <c r="F18" s="56">
        <f>VLOOKUP(D18,廠價表!$C$1:$E$39,3,0)</f>
        <v>50.67</v>
      </c>
      <c r="G18" s="96">
        <v>3080</v>
      </c>
      <c r="H18" s="15">
        <f t="shared" ref="H18:H21" si="21">F18*G18</f>
        <v>156063.6</v>
      </c>
      <c r="I18" s="177"/>
      <c r="J18" s="16">
        <f>VLOOKUP(D18,產線配置圖!$A$2:$C$38,2,0)</f>
        <v>13</v>
      </c>
      <c r="K18" s="14">
        <f>VLOOKUP(D18,產線配置圖!$A$2:$C$38,3,0)</f>
        <v>2000</v>
      </c>
      <c r="L18" s="17">
        <f t="shared" ref="L18:L21" si="22">K18/J18</f>
        <v>153.84615384615384</v>
      </c>
      <c r="M18" s="37">
        <v>13</v>
      </c>
      <c r="N18" s="36">
        <f t="shared" ref="N18:N21" si="23">G18/W18*60</f>
        <v>1987.0967741935488</v>
      </c>
      <c r="O18" s="38">
        <f t="shared" ref="O18:O21" si="24">N18/M18</f>
        <v>152.85359801488838</v>
      </c>
      <c r="P18" s="39">
        <f t="shared" ref="P18:P21" si="25">M18-J18</f>
        <v>0</v>
      </c>
      <c r="Q18" s="40">
        <f t="shared" ref="Q18:Q21" si="26">O18-L18</f>
        <v>-0.99255583126546298</v>
      </c>
      <c r="R18" s="190">
        <f t="shared" ref="R18:R21" si="27">O18/L18</f>
        <v>0.99354838709677451</v>
      </c>
      <c r="S18" s="425"/>
      <c r="T18" s="41">
        <v>0.35416666666666669</v>
      </c>
      <c r="U18" s="41">
        <v>0.41875000000000001</v>
      </c>
      <c r="V18" s="177">
        <f>(T18-U17)*24*60</f>
        <v>12.000000000000037</v>
      </c>
      <c r="W18" s="43">
        <f t="shared" si="19"/>
        <v>92.999999999999986</v>
      </c>
      <c r="X18" s="22"/>
      <c r="Y18" s="22"/>
      <c r="Z18" s="406"/>
      <c r="AA18" s="406"/>
      <c r="AB18" s="18">
        <f>N18-K18</f>
        <v>-12.903225806451246</v>
      </c>
      <c r="AC18" s="185">
        <f>N18/K18</f>
        <v>0.9935483870967744</v>
      </c>
      <c r="AD18" s="402"/>
    </row>
    <row r="19" spans="1:30" ht="15" customHeight="1">
      <c r="A19" s="432"/>
      <c r="B19" s="56" t="str">
        <f>VLOOKUP(D19,廠價表!$C$1:$E$39,2,0)</f>
        <v>義大利麵</v>
      </c>
      <c r="C19" s="10"/>
      <c r="D19" s="11" t="s">
        <v>239</v>
      </c>
      <c r="E19" s="86"/>
      <c r="F19" s="56">
        <f>VLOOKUP(D19,廠價表!$C$1:$E$39,3,0)</f>
        <v>50.39</v>
      </c>
      <c r="G19" s="96">
        <v>2298</v>
      </c>
      <c r="H19" s="15">
        <f t="shared" si="21"/>
        <v>115796.22</v>
      </c>
      <c r="I19" s="177"/>
      <c r="J19" s="16">
        <f>VLOOKUP(D19,產線配置圖!$A$2:$C$38,2,0)</f>
        <v>12</v>
      </c>
      <c r="K19" s="14">
        <f>VLOOKUP(D19,產線配置圖!$A$2:$C$38,3,0)</f>
        <v>2000</v>
      </c>
      <c r="L19" s="17">
        <f t="shared" si="22"/>
        <v>166.66666666666666</v>
      </c>
      <c r="M19" s="37">
        <v>12</v>
      </c>
      <c r="N19" s="36">
        <f t="shared" si="23"/>
        <v>1838.3999999999985</v>
      </c>
      <c r="O19" s="38">
        <f t="shared" si="24"/>
        <v>153.19999999999987</v>
      </c>
      <c r="P19" s="39">
        <f t="shared" si="25"/>
        <v>0</v>
      </c>
      <c r="Q19" s="40">
        <f t="shared" si="26"/>
        <v>-13.466666666666782</v>
      </c>
      <c r="R19" s="190">
        <f t="shared" si="27"/>
        <v>0.91919999999999935</v>
      </c>
      <c r="S19" s="425"/>
      <c r="T19" s="41">
        <v>0.42708333333333331</v>
      </c>
      <c r="U19" s="41">
        <v>0.47916666666666669</v>
      </c>
      <c r="V19" s="177">
        <f>(T19-U18)*24*60</f>
        <v>11.999999999999957</v>
      </c>
      <c r="W19" s="43">
        <f t="shared" si="19"/>
        <v>75.000000000000057</v>
      </c>
      <c r="X19" s="22">
        <v>0.4861111111111111</v>
      </c>
      <c r="Y19" s="22">
        <v>0.52777777777777779</v>
      </c>
      <c r="Z19" s="407"/>
      <c r="AA19" s="407"/>
      <c r="AB19" s="18">
        <f>N19-K19</f>
        <v>-161.6000000000015</v>
      </c>
      <c r="AC19" s="185">
        <f>N19/K19</f>
        <v>0.91919999999999924</v>
      </c>
      <c r="AD19" s="403"/>
    </row>
    <row r="20" spans="1:30" ht="15" customHeight="1">
      <c r="A20" s="432"/>
      <c r="B20" s="56" t="str">
        <f>VLOOKUP(D20,廠價表!$C$1:$E$39,2,0)</f>
        <v>義大利麵</v>
      </c>
      <c r="C20" s="10"/>
      <c r="D20" s="11" t="s">
        <v>239</v>
      </c>
      <c r="E20" s="86"/>
      <c r="F20" s="56">
        <f>VLOOKUP(D20,廠價表!$C$1:$E$39,3,0)</f>
        <v>50.39</v>
      </c>
      <c r="G20" s="96">
        <v>2773</v>
      </c>
      <c r="H20" s="15">
        <f t="shared" si="21"/>
        <v>139731.47</v>
      </c>
      <c r="I20" s="177"/>
      <c r="J20" s="16">
        <f>VLOOKUP(D20,產線配置圖!$A$2:$C$38,2,0)</f>
        <v>12</v>
      </c>
      <c r="K20" s="14">
        <f>VLOOKUP(D20,產線配置圖!$A$2:$C$38,3,0)</f>
        <v>2000</v>
      </c>
      <c r="L20" s="17">
        <f t="shared" si="22"/>
        <v>166.66666666666666</v>
      </c>
      <c r="M20" s="37">
        <v>12</v>
      </c>
      <c r="N20" s="36">
        <f t="shared" si="23"/>
        <v>1957.411764705882</v>
      </c>
      <c r="O20" s="38">
        <f t="shared" si="24"/>
        <v>163.11764705882351</v>
      </c>
      <c r="P20" s="39">
        <f t="shared" si="25"/>
        <v>0</v>
      </c>
      <c r="Q20" s="40">
        <f t="shared" si="26"/>
        <v>-3.5490196078431495</v>
      </c>
      <c r="R20" s="190">
        <f t="shared" si="27"/>
        <v>0.97870588235294109</v>
      </c>
      <c r="S20" s="425"/>
      <c r="T20" s="41">
        <v>0.54166666666666663</v>
      </c>
      <c r="U20" s="79">
        <v>0.60069444444444442</v>
      </c>
      <c r="V20" s="177"/>
      <c r="W20" s="43">
        <f t="shared" si="19"/>
        <v>85.000000000000014</v>
      </c>
      <c r="X20" s="44"/>
      <c r="Y20" s="44"/>
      <c r="Z20" s="418"/>
      <c r="AA20" s="405"/>
      <c r="AB20" s="34"/>
      <c r="AC20" s="186"/>
      <c r="AD20" s="403"/>
    </row>
    <row r="21" spans="1:30" ht="15" customHeight="1">
      <c r="A21" s="433"/>
      <c r="B21" s="56" t="str">
        <f>VLOOKUP(D21,廠價表!$C$1:$E$39,2,0)</f>
        <v>義大利麵</v>
      </c>
      <c r="C21" s="10"/>
      <c r="D21" s="11" t="s">
        <v>153</v>
      </c>
      <c r="E21" s="86"/>
      <c r="F21" s="56">
        <f>VLOOKUP(D21,廠價表!$C$1:$E$39,3,0)</f>
        <v>50.67</v>
      </c>
      <c r="G21" s="96">
        <v>1289</v>
      </c>
      <c r="H21" s="15">
        <f t="shared" si="21"/>
        <v>65313.630000000005</v>
      </c>
      <c r="I21" s="177"/>
      <c r="J21" s="16">
        <f>VLOOKUP(D21,產線配置圖!$A$2:$C$38,2,0)</f>
        <v>13</v>
      </c>
      <c r="K21" s="14">
        <f>VLOOKUP(D21,產線配置圖!$A$2:$C$38,3,0)</f>
        <v>2000</v>
      </c>
      <c r="L21" s="17">
        <f t="shared" si="22"/>
        <v>153.84615384615384</v>
      </c>
      <c r="M21" s="37">
        <v>13</v>
      </c>
      <c r="N21" s="36">
        <f t="shared" si="23"/>
        <v>1841.4285714285779</v>
      </c>
      <c r="O21" s="38">
        <f t="shared" si="24"/>
        <v>141.64835164835216</v>
      </c>
      <c r="P21" s="39">
        <f t="shared" si="25"/>
        <v>0</v>
      </c>
      <c r="Q21" s="40">
        <f t="shared" si="26"/>
        <v>-12.197802197801678</v>
      </c>
      <c r="R21" s="190">
        <f t="shared" si="27"/>
        <v>0.92071428571428904</v>
      </c>
      <c r="S21" s="425"/>
      <c r="T21" s="41">
        <v>0.60972222222222228</v>
      </c>
      <c r="U21" s="41">
        <v>0.63888888888888884</v>
      </c>
      <c r="V21" s="177"/>
      <c r="W21" s="43">
        <f t="shared" si="19"/>
        <v>41.999999999999851</v>
      </c>
      <c r="X21" s="42"/>
      <c r="Y21" s="42"/>
      <c r="Z21" s="418"/>
      <c r="AA21" s="405"/>
      <c r="AB21" s="34"/>
      <c r="AC21" s="186"/>
      <c r="AD21" s="403"/>
    </row>
    <row r="22" spans="1:30" ht="15" customHeight="1">
      <c r="A22" s="433"/>
      <c r="B22" s="177"/>
      <c r="C22" s="183"/>
      <c r="D22" s="11"/>
      <c r="E22" s="12"/>
      <c r="F22" s="13"/>
      <c r="G22" s="36"/>
      <c r="H22" s="15">
        <f t="shared" ref="H22:H25" si="28">F22*G22</f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90"/>
      <c r="S22" s="425"/>
      <c r="T22" s="41"/>
      <c r="U22" s="41"/>
      <c r="V22" s="42"/>
      <c r="W22" s="43">
        <v>0</v>
      </c>
      <c r="X22" s="42"/>
      <c r="Y22" s="42"/>
      <c r="Z22" s="418"/>
      <c r="AA22" s="405"/>
      <c r="AB22" s="34"/>
      <c r="AC22" s="186"/>
      <c r="AD22" s="403"/>
    </row>
    <row r="23" spans="1:30" ht="15" customHeight="1">
      <c r="A23" s="433"/>
      <c r="B23" s="56"/>
      <c r="C23" s="23"/>
      <c r="D23" s="11"/>
      <c r="E23" s="12"/>
      <c r="F23" s="56"/>
      <c r="G23" s="96"/>
      <c r="H23" s="15"/>
      <c r="I23" s="177"/>
      <c r="J23" s="16"/>
      <c r="K23" s="14"/>
      <c r="L23" s="17"/>
      <c r="M23" s="37"/>
      <c r="N23" s="36"/>
      <c r="O23" s="38"/>
      <c r="P23" s="39"/>
      <c r="Q23" s="40"/>
      <c r="R23" s="190"/>
      <c r="S23" s="425"/>
      <c r="T23" s="41"/>
      <c r="U23" s="41"/>
      <c r="W23" s="43">
        <f t="shared" si="19"/>
        <v>0</v>
      </c>
      <c r="X23" s="42"/>
      <c r="Y23" s="42"/>
      <c r="Z23" s="418"/>
      <c r="AA23" s="405"/>
      <c r="AB23" s="34"/>
      <c r="AC23" s="186"/>
      <c r="AD23" s="403"/>
    </row>
    <row r="24" spans="1:30" ht="15" customHeight="1">
      <c r="A24" s="433"/>
      <c r="B24" s="26"/>
      <c r="C24" s="27"/>
      <c r="D24" s="28"/>
      <c r="E24" s="29"/>
      <c r="F24" s="13"/>
      <c r="G24" s="36"/>
      <c r="H24" s="15">
        <f t="shared" si="28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90"/>
      <c r="S24" s="425"/>
      <c r="T24" s="41"/>
      <c r="U24" s="41"/>
      <c r="V24" s="42"/>
      <c r="W24" s="43">
        <f t="shared" si="19"/>
        <v>0</v>
      </c>
      <c r="X24" s="42"/>
      <c r="Y24" s="42"/>
      <c r="Z24" s="418"/>
      <c r="AA24" s="405"/>
      <c r="AB24" s="34"/>
      <c r="AC24" s="186"/>
      <c r="AD24" s="403"/>
    </row>
    <row r="25" spans="1:30" ht="15" customHeight="1">
      <c r="A25" s="433"/>
      <c r="B25" s="26"/>
      <c r="C25" s="27"/>
      <c r="D25" s="28"/>
      <c r="E25" s="29"/>
      <c r="F25" s="13"/>
      <c r="G25" s="36"/>
      <c r="H25" s="50">
        <f t="shared" si="28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90"/>
      <c r="S25" s="425"/>
      <c r="T25" s="41"/>
      <c r="U25" s="41"/>
      <c r="V25" s="42"/>
      <c r="W25" s="43">
        <f t="shared" si="19"/>
        <v>0</v>
      </c>
      <c r="X25" s="42"/>
      <c r="Y25" s="42"/>
      <c r="Z25" s="418"/>
      <c r="AA25" s="405"/>
      <c r="AB25" s="34"/>
      <c r="AC25" s="186"/>
      <c r="AD25" s="403"/>
    </row>
    <row r="26" spans="1:30" ht="15" customHeight="1" thickBot="1">
      <c r="A26" s="434"/>
      <c r="B26" s="132"/>
      <c r="C26" s="1" t="s">
        <v>35</v>
      </c>
      <c r="D26" s="410" t="s">
        <v>7</v>
      </c>
      <c r="E26" s="410"/>
      <c r="F26" s="133"/>
      <c r="G26" s="134"/>
      <c r="H26" s="135"/>
      <c r="I26" s="136"/>
      <c r="J26" s="134">
        <f t="shared" ref="J26:O26" si="29">AVERAGE(J16:J25)</f>
        <v>13</v>
      </c>
      <c r="K26" s="134">
        <f t="shared" si="29"/>
        <v>1956.8333333333333</v>
      </c>
      <c r="L26" s="137">
        <f t="shared" si="29"/>
        <v>152.00256410256409</v>
      </c>
      <c r="M26" s="134">
        <f t="shared" si="29"/>
        <v>13</v>
      </c>
      <c r="N26" s="134">
        <f t="shared" si="29"/>
        <v>1795.6833260296351</v>
      </c>
      <c r="O26" s="137">
        <f t="shared" si="29"/>
        <v>139.88647276876802</v>
      </c>
      <c r="P26" s="138">
        <f t="shared" ref="P26:P30" si="30">M26-J26</f>
        <v>0</v>
      </c>
      <c r="Q26" s="139">
        <f t="shared" ref="Q26:Q30" si="31">O26-L26</f>
        <v>-12.116091333796078</v>
      </c>
      <c r="R26" s="140">
        <f t="shared" ref="R26:R30" si="32">O26/L26</f>
        <v>0.92029021743593276</v>
      </c>
      <c r="S26" s="435"/>
      <c r="T26" s="141"/>
      <c r="U26" s="141"/>
      <c r="V26" s="146"/>
      <c r="W26" s="142"/>
      <c r="X26" s="143"/>
      <c r="Y26" s="143"/>
      <c r="Z26" s="420"/>
      <c r="AA26" s="391"/>
      <c r="AB26" s="119">
        <f>N26-K26</f>
        <v>-161.1500073036982</v>
      </c>
      <c r="AC26" s="187">
        <f>N26/K26</f>
        <v>0.91764755610065674</v>
      </c>
      <c r="AD26" s="404"/>
    </row>
    <row r="27" spans="1:30" ht="15" customHeight="1">
      <c r="A27" s="421" t="s">
        <v>54</v>
      </c>
      <c r="B27" s="229" t="s">
        <v>62</v>
      </c>
      <c r="C27" s="102"/>
      <c r="D27" s="103" t="s">
        <v>144</v>
      </c>
      <c r="E27" s="104"/>
      <c r="F27" s="199">
        <f>VLOOKUP(D27,廠價表!$C$1:$E$39,3,0)</f>
        <v>49.91</v>
      </c>
      <c r="G27" s="269">
        <v>1682</v>
      </c>
      <c r="H27" s="125">
        <f t="shared" ref="H27:H40" si="33">F27*G27</f>
        <v>83948.62</v>
      </c>
      <c r="I27" s="126"/>
      <c r="J27" s="16">
        <f>VLOOKUP(D27,產線配置圖!$A$2:$C$38,2,0)</f>
        <v>17</v>
      </c>
      <c r="K27" s="14">
        <f>VLOOKUP(D27,產線配置圖!$A$2:$C$38,3,0)</f>
        <v>1565</v>
      </c>
      <c r="L27" s="109">
        <f>K27/J27</f>
        <v>92.058823529411768</v>
      </c>
      <c r="M27" s="144">
        <v>15</v>
      </c>
      <c r="N27" s="127">
        <f>G27/W27*60</f>
        <v>1261.5000000000007</v>
      </c>
      <c r="O27" s="128">
        <f>N27/M27</f>
        <v>84.100000000000051</v>
      </c>
      <c r="P27" s="129">
        <f t="shared" si="30"/>
        <v>-2</v>
      </c>
      <c r="Q27" s="130">
        <f t="shared" si="31"/>
        <v>-7.9588235294117169</v>
      </c>
      <c r="R27" s="189">
        <f>O27/L27</f>
        <v>0.91354632587859474</v>
      </c>
      <c r="S27" s="424">
        <f>R37</f>
        <v>0.88173099250196951</v>
      </c>
      <c r="T27" s="94">
        <v>0.29166666666666669</v>
      </c>
      <c r="U27" s="94">
        <v>0.34722222222222221</v>
      </c>
      <c r="V27" s="126"/>
      <c r="W27" s="131">
        <f t="shared" si="19"/>
        <v>79.999999999999957</v>
      </c>
      <c r="X27" s="126"/>
      <c r="Y27" s="126" t="s">
        <v>147</v>
      </c>
      <c r="Z27" s="427"/>
      <c r="AA27" s="400"/>
      <c r="AB27" s="225">
        <f>N27-K27</f>
        <v>-303.49999999999932</v>
      </c>
      <c r="AC27" s="291">
        <f>N27/K27</f>
        <v>0.80607028753993659</v>
      </c>
      <c r="AD27" s="401">
        <f>AC37</f>
        <v>0.83374582146200016</v>
      </c>
    </row>
    <row r="28" spans="1:30" ht="15" customHeight="1">
      <c r="A28" s="422"/>
      <c r="B28" s="56" t="str">
        <f>VLOOKUP(D28,廠價表!$C$1:$E$39,2,0)</f>
        <v>義大利麵</v>
      </c>
      <c r="C28" s="10"/>
      <c r="D28" s="11" t="s">
        <v>137</v>
      </c>
      <c r="E28" s="86"/>
      <c r="F28" s="56">
        <f>VLOOKUP(D28,廠價表!$C$1:$E$39,3,0)</f>
        <v>55.13</v>
      </c>
      <c r="G28" s="53">
        <v>2024</v>
      </c>
      <c r="H28" s="50">
        <f t="shared" si="33"/>
        <v>111583.12000000001</v>
      </c>
      <c r="I28" s="42"/>
      <c r="J28" s="16">
        <f>VLOOKUP(D28,產線配置圖!$A$2:$C$38,2,0)</f>
        <v>18</v>
      </c>
      <c r="K28" s="14">
        <f>VLOOKUP(D28,產線配置圖!$A$2:$C$38,3,0)</f>
        <v>1385</v>
      </c>
      <c r="L28" s="235">
        <f>K28/J28</f>
        <v>76.944444444444443</v>
      </c>
      <c r="M28" s="21">
        <v>15</v>
      </c>
      <c r="N28" s="36">
        <f>G28/W28*60</f>
        <v>1104</v>
      </c>
      <c r="O28" s="38">
        <f>N28/M28</f>
        <v>73.599999999999994</v>
      </c>
      <c r="P28" s="39">
        <f t="shared" si="30"/>
        <v>-3</v>
      </c>
      <c r="Q28" s="40">
        <f t="shared" si="31"/>
        <v>-3.3444444444444485</v>
      </c>
      <c r="R28" s="190">
        <f t="shared" si="32"/>
        <v>0.95653429602888085</v>
      </c>
      <c r="S28" s="425"/>
      <c r="T28" s="270">
        <v>0.35416666666666669</v>
      </c>
      <c r="U28" s="270">
        <v>0.43055555555555558</v>
      </c>
      <c r="V28" s="42">
        <f>(T28-U27)*24*60</f>
        <v>10.000000000000044</v>
      </c>
      <c r="W28" s="43">
        <f t="shared" si="19"/>
        <v>110.00000000000001</v>
      </c>
      <c r="X28" s="54"/>
      <c r="Y28" s="54"/>
      <c r="Z28" s="418"/>
      <c r="AA28" s="419"/>
      <c r="AB28" s="39">
        <f>N28-K28</f>
        <v>-281</v>
      </c>
      <c r="AC28" s="190">
        <f>N28/K28</f>
        <v>0.79711191335740073</v>
      </c>
      <c r="AD28" s="447"/>
    </row>
    <row r="29" spans="1:30" ht="15" customHeight="1">
      <c r="A29" s="422"/>
      <c r="B29" s="56" t="str">
        <f>VLOOKUP(D29,廠價表!$C$1:$E$39,2,0)</f>
        <v>義大利麵</v>
      </c>
      <c r="C29" s="10"/>
      <c r="D29" s="11" t="s">
        <v>158</v>
      </c>
      <c r="E29" s="86"/>
      <c r="F29" s="56">
        <f>VLOOKUP(D29,廠價表!$C$1:$E$39,3,0)</f>
        <v>47.71</v>
      </c>
      <c r="G29" s="53">
        <v>1843</v>
      </c>
      <c r="H29" s="50">
        <f t="shared" si="33"/>
        <v>87929.53</v>
      </c>
      <c r="I29" s="42"/>
      <c r="J29" s="16">
        <f>VLOOKUP(D29,產線配置圖!$A$2:$C$38,2,0)</f>
        <v>15</v>
      </c>
      <c r="K29" s="14">
        <f>VLOOKUP(D29,產線配置圖!$A$2:$C$38,3,0)</f>
        <v>1500</v>
      </c>
      <c r="L29" s="235">
        <f>K29/J29</f>
        <v>100</v>
      </c>
      <c r="M29" s="21">
        <v>16</v>
      </c>
      <c r="N29" s="36">
        <f>G29/W29*60</f>
        <v>1285.8139534883719</v>
      </c>
      <c r="O29" s="38">
        <f>N29/M29</f>
        <v>80.363372093023244</v>
      </c>
      <c r="P29" s="39">
        <f t="shared" si="30"/>
        <v>1</v>
      </c>
      <c r="Q29" s="40">
        <f t="shared" si="31"/>
        <v>-19.636627906976756</v>
      </c>
      <c r="R29" s="190">
        <f t="shared" si="32"/>
        <v>0.80363372093023244</v>
      </c>
      <c r="S29" s="425"/>
      <c r="T29" s="41">
        <v>0.43611111111111112</v>
      </c>
      <c r="U29" s="41">
        <v>0.49583333333333335</v>
      </c>
      <c r="V29" s="42">
        <f>(T29-U28)*24*60</f>
        <v>7.9999999999999716</v>
      </c>
      <c r="W29" s="43">
        <f t="shared" si="19"/>
        <v>86.000000000000014</v>
      </c>
      <c r="X29" s="22"/>
      <c r="Y29" s="22"/>
      <c r="Z29" s="418"/>
      <c r="AA29" s="419"/>
      <c r="AB29" s="292">
        <f>N29-K29</f>
        <v>-214.18604651162809</v>
      </c>
      <c r="AC29" s="190">
        <f>N29/K29</f>
        <v>0.85720930232558123</v>
      </c>
      <c r="AD29" s="447"/>
    </row>
    <row r="30" spans="1:30" ht="15" customHeight="1">
      <c r="A30" s="422"/>
      <c r="B30" s="56" t="str">
        <f>VLOOKUP(D30,廠價表!$C$1:$E$39,2,0)</f>
        <v>義大利麵</v>
      </c>
      <c r="C30" s="237"/>
      <c r="D30" s="11" t="s">
        <v>158</v>
      </c>
      <c r="E30" s="29"/>
      <c r="F30" s="56">
        <f>VLOOKUP(D30,廠價表!$C$1:$E$39,3,0)</f>
        <v>47.71</v>
      </c>
      <c r="G30" s="53">
        <v>2488</v>
      </c>
      <c r="H30" s="50">
        <f t="shared" si="33"/>
        <v>118702.48</v>
      </c>
      <c r="I30" s="42"/>
      <c r="J30" s="16">
        <f>VLOOKUP(D30,產線配置圖!$A$2:$C$38,2,0)</f>
        <v>15</v>
      </c>
      <c r="K30" s="14">
        <f>VLOOKUP(D30,產線配置圖!$A$2:$C$38,3,0)</f>
        <v>1500</v>
      </c>
      <c r="L30" s="235">
        <f>K30/J30</f>
        <v>100</v>
      </c>
      <c r="M30" s="21">
        <v>15</v>
      </c>
      <c r="N30" s="36">
        <f>G30/W30*60</f>
        <v>1309.4736842105274</v>
      </c>
      <c r="O30" s="38">
        <f>N30/M30</f>
        <v>87.298245614035153</v>
      </c>
      <c r="P30" s="39">
        <f t="shared" si="30"/>
        <v>0</v>
      </c>
      <c r="Q30" s="40">
        <f t="shared" si="31"/>
        <v>-12.701754385964847</v>
      </c>
      <c r="R30" s="190">
        <f t="shared" si="32"/>
        <v>0.87298245614035153</v>
      </c>
      <c r="S30" s="425"/>
      <c r="T30" s="41">
        <v>0.55277777777777781</v>
      </c>
      <c r="U30" s="41">
        <v>0.63194444444444442</v>
      </c>
      <c r="V30" s="42">
        <f>(T30-U29)*24*60</f>
        <v>82.000000000000028</v>
      </c>
      <c r="W30" s="43">
        <f t="shared" si="19"/>
        <v>113.99999999999991</v>
      </c>
      <c r="X30" s="54">
        <v>0.50694444444444442</v>
      </c>
      <c r="Y30" s="54">
        <v>0.54861111111111116</v>
      </c>
      <c r="Z30" s="449"/>
      <c r="AA30" s="450"/>
      <c r="AB30" s="292"/>
      <c r="AC30" s="190"/>
      <c r="AD30" s="448"/>
    </row>
    <row r="31" spans="1:30" ht="15" customHeight="1">
      <c r="A31" s="422"/>
      <c r="B31" s="56"/>
      <c r="C31" s="237"/>
      <c r="D31" s="11"/>
      <c r="E31" s="29"/>
      <c r="F31" s="56"/>
      <c r="G31" s="53"/>
      <c r="H31" s="50"/>
      <c r="I31" s="42"/>
      <c r="J31" s="16"/>
      <c r="K31" s="14"/>
      <c r="L31" s="235"/>
      <c r="M31" s="21"/>
      <c r="N31" s="36"/>
      <c r="O31" s="38"/>
      <c r="P31" s="39"/>
      <c r="Q31" s="40"/>
      <c r="R31" s="190"/>
      <c r="S31" s="425"/>
      <c r="T31" s="41"/>
      <c r="U31" s="41"/>
      <c r="V31" s="42"/>
      <c r="W31" s="43">
        <f t="shared" si="19"/>
        <v>0</v>
      </c>
      <c r="X31" s="54"/>
      <c r="Y31" s="54"/>
      <c r="Z31" s="449"/>
      <c r="AA31" s="450"/>
      <c r="AB31" s="257"/>
      <c r="AC31" s="258"/>
      <c r="AD31" s="403"/>
    </row>
    <row r="32" spans="1:30" ht="15" customHeight="1">
      <c r="A32" s="422"/>
      <c r="B32" s="56"/>
      <c r="C32" s="252"/>
      <c r="D32" s="253"/>
      <c r="E32" s="254"/>
      <c r="F32" s="56"/>
      <c r="G32" s="53"/>
      <c r="H32" s="50"/>
      <c r="I32" s="42"/>
      <c r="J32" s="255"/>
      <c r="K32" s="36"/>
      <c r="L32" s="256"/>
      <c r="M32" s="21"/>
      <c r="N32" s="36"/>
      <c r="O32" s="38"/>
      <c r="P32" s="39"/>
      <c r="Q32" s="40"/>
      <c r="R32" s="190"/>
      <c r="S32" s="425"/>
      <c r="T32" s="41"/>
      <c r="U32" s="41"/>
      <c r="V32" s="42"/>
      <c r="W32" s="43">
        <f t="shared" si="19"/>
        <v>0</v>
      </c>
      <c r="X32" s="54"/>
      <c r="Y32" s="54"/>
      <c r="Z32" s="418"/>
      <c r="AA32" s="405"/>
      <c r="AB32" s="18"/>
      <c r="AC32" s="185"/>
      <c r="AD32" s="403"/>
    </row>
    <row r="33" spans="1:30" ht="15" customHeight="1">
      <c r="A33" s="422"/>
      <c r="B33" s="240"/>
      <c r="C33" s="241"/>
      <c r="D33" s="242"/>
      <c r="E33" s="243"/>
      <c r="F33" s="223"/>
      <c r="G33" s="244"/>
      <c r="H33" s="245">
        <f t="shared" si="33"/>
        <v>0</v>
      </c>
      <c r="I33" s="246"/>
      <c r="J33" s="247"/>
      <c r="K33" s="45"/>
      <c r="M33" s="248"/>
      <c r="N33" s="45"/>
      <c r="O33" s="46"/>
      <c r="P33" s="47"/>
      <c r="Q33" s="48"/>
      <c r="R33" s="49"/>
      <c r="S33" s="425"/>
      <c r="T33" s="41"/>
      <c r="U33" s="41"/>
      <c r="V33" s="42"/>
      <c r="W33" s="43">
        <f t="shared" si="19"/>
        <v>0</v>
      </c>
      <c r="X33" s="54"/>
      <c r="Y33" s="54"/>
      <c r="Z33" s="418"/>
      <c r="AA33" s="405"/>
      <c r="AB33" s="18"/>
      <c r="AC33" s="57"/>
      <c r="AD33" s="403"/>
    </row>
    <row r="34" spans="1:30" ht="15" customHeight="1">
      <c r="A34" s="422"/>
      <c r="B34" s="231"/>
      <c r="C34" s="27"/>
      <c r="D34" s="28"/>
      <c r="E34" s="29"/>
      <c r="F34" s="13"/>
      <c r="G34" s="53"/>
      <c r="H34" s="50">
        <f t="shared" si="33"/>
        <v>0</v>
      </c>
      <c r="I34" s="42"/>
      <c r="J34" s="37"/>
      <c r="K34" s="36"/>
      <c r="L34" s="38"/>
      <c r="M34" s="21"/>
      <c r="N34" s="36"/>
      <c r="O34" s="38"/>
      <c r="P34" s="39"/>
      <c r="Q34" s="40"/>
      <c r="R34" s="190"/>
      <c r="S34" s="425"/>
      <c r="T34" s="41"/>
      <c r="U34" s="41"/>
      <c r="V34" s="42"/>
      <c r="W34" s="43">
        <f t="shared" si="19"/>
        <v>0</v>
      </c>
      <c r="X34" s="54"/>
      <c r="Y34" s="54"/>
      <c r="Z34" s="418"/>
      <c r="AA34" s="405"/>
      <c r="AB34" s="18"/>
      <c r="AC34" s="57"/>
      <c r="AD34" s="403"/>
    </row>
    <row r="35" spans="1:30" ht="15" customHeight="1">
      <c r="A35" s="422"/>
      <c r="B35" s="231"/>
      <c r="C35" s="27"/>
      <c r="D35" s="28"/>
      <c r="E35" s="29"/>
      <c r="F35" s="13"/>
      <c r="G35" s="53"/>
      <c r="H35" s="50">
        <f t="shared" si="33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90"/>
      <c r="S35" s="425"/>
      <c r="T35" s="41"/>
      <c r="U35" s="41"/>
      <c r="V35" s="42"/>
      <c r="W35" s="43">
        <f t="shared" si="19"/>
        <v>0</v>
      </c>
      <c r="X35" s="54"/>
      <c r="Y35" s="54"/>
      <c r="Z35" s="418"/>
      <c r="AA35" s="405"/>
      <c r="AB35" s="18"/>
      <c r="AC35" s="57"/>
      <c r="AD35" s="403"/>
    </row>
    <row r="36" spans="1:30" ht="15" customHeight="1">
      <c r="A36" s="422"/>
      <c r="B36" s="232"/>
      <c r="C36" s="27"/>
      <c r="D36" s="28"/>
      <c r="E36" s="29"/>
      <c r="F36" s="13"/>
      <c r="G36" s="53"/>
      <c r="H36" s="50">
        <f t="shared" si="33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90"/>
      <c r="S36" s="425"/>
      <c r="T36" s="41"/>
      <c r="U36" s="41"/>
      <c r="V36" s="42"/>
      <c r="W36" s="43">
        <f t="shared" si="19"/>
        <v>0</v>
      </c>
      <c r="X36" s="54"/>
      <c r="Y36" s="54"/>
      <c r="Z36" s="418"/>
      <c r="AA36" s="405"/>
      <c r="AB36" s="18"/>
      <c r="AC36" s="57"/>
      <c r="AD36" s="403"/>
    </row>
    <row r="37" spans="1:30" ht="15" customHeight="1" thickBot="1">
      <c r="A37" s="423"/>
      <c r="B37" s="300"/>
      <c r="C37" s="301" t="s">
        <v>36</v>
      </c>
      <c r="D37" s="428" t="s">
        <v>7</v>
      </c>
      <c r="E37" s="429"/>
      <c r="F37" s="281"/>
      <c r="G37" s="282"/>
      <c r="H37" s="283"/>
      <c r="I37" s="284"/>
      <c r="J37" s="285">
        <f t="shared" ref="J37:O37" si="34">AVERAGE(J27:J36)</f>
        <v>16.25</v>
      </c>
      <c r="K37" s="285">
        <f t="shared" si="34"/>
        <v>1487.5</v>
      </c>
      <c r="L37" s="286">
        <f t="shared" si="34"/>
        <v>92.250816993464056</v>
      </c>
      <c r="M37" s="285">
        <f t="shared" si="34"/>
        <v>15.25</v>
      </c>
      <c r="N37" s="285">
        <f t="shared" si="34"/>
        <v>1240.1969094247252</v>
      </c>
      <c r="O37" s="286">
        <f t="shared" si="34"/>
        <v>81.340404426764621</v>
      </c>
      <c r="P37" s="73">
        <f>M37-J37</f>
        <v>-1</v>
      </c>
      <c r="Q37" s="74">
        <f>N37-K37</f>
        <v>-247.30309057527484</v>
      </c>
      <c r="R37" s="287">
        <f t="shared" ref="R37:R40" si="35">O37/L37</f>
        <v>0.88173099250196951</v>
      </c>
      <c r="S37" s="426"/>
      <c r="T37" s="302"/>
      <c r="U37" s="302"/>
      <c r="V37" s="81"/>
      <c r="W37" s="81"/>
      <c r="X37" s="303"/>
      <c r="Y37" s="303"/>
      <c r="Z37" s="430"/>
      <c r="AA37" s="379"/>
      <c r="AB37" s="34">
        <f t="shared" ref="AB37:AB40" si="36">N37-K37</f>
        <v>-247.30309057527484</v>
      </c>
      <c r="AC37" s="186">
        <f t="shared" ref="AC37:AC40" si="37">N37/K37</f>
        <v>0.83374582146200016</v>
      </c>
      <c r="AD37" s="403"/>
    </row>
    <row r="38" spans="1:30" s="62" customFormat="1" ht="15" customHeight="1">
      <c r="A38" s="454" t="s">
        <v>55</v>
      </c>
      <c r="B38" s="229" t="s">
        <v>134</v>
      </c>
      <c r="C38" s="199"/>
      <c r="D38" s="304" t="s">
        <v>156</v>
      </c>
      <c r="E38" s="280"/>
      <c r="F38" s="305">
        <f>VLOOKUP(D38,廠價表!$C$1:$E$39,3,0)</f>
        <v>56.43</v>
      </c>
      <c r="G38" s="266">
        <v>2303</v>
      </c>
      <c r="H38" s="125">
        <f t="shared" si="33"/>
        <v>129958.29</v>
      </c>
      <c r="I38" s="126"/>
      <c r="J38" s="274">
        <f>VLOOKUP(D38,產線配置圖!$A$2:$C$38,2,0)</f>
        <v>15</v>
      </c>
      <c r="K38" s="236">
        <f>VLOOKUP(D38,產線配置圖!$A$2:$C$38,3,0)</f>
        <v>1406</v>
      </c>
      <c r="L38" s="288">
        <f t="shared" ref="L38:L40" si="38">K38/J38</f>
        <v>93.733333333333334</v>
      </c>
      <c r="M38" s="289">
        <v>12</v>
      </c>
      <c r="N38" s="127">
        <f>G38/W38*60</f>
        <v>1114.3548387096771</v>
      </c>
      <c r="O38" s="128">
        <f>N38/M38</f>
        <v>92.86290322580642</v>
      </c>
      <c r="P38" s="129">
        <f t="shared" ref="P38:P40" si="39">M38-J38</f>
        <v>-3</v>
      </c>
      <c r="Q38" s="130">
        <f t="shared" ref="Q38:Q40" si="40">O38-L38</f>
        <v>-0.8704301075269143</v>
      </c>
      <c r="R38" s="189">
        <f t="shared" si="35"/>
        <v>0.99071376129949951</v>
      </c>
      <c r="S38" s="457">
        <f>R48</f>
        <v>0.95830397608256868</v>
      </c>
      <c r="T38" s="151">
        <v>0.33194444444444443</v>
      </c>
      <c r="U38" s="151">
        <v>0.41805555555555557</v>
      </c>
      <c r="V38" s="148"/>
      <c r="W38" s="152">
        <f t="shared" si="19"/>
        <v>124.00000000000004</v>
      </c>
      <c r="X38" s="150"/>
      <c r="Y38" s="153"/>
      <c r="Z38" s="478"/>
      <c r="AA38" s="460"/>
      <c r="AB38" s="290">
        <f t="shared" si="36"/>
        <v>-291.6451612903229</v>
      </c>
      <c r="AC38" s="154">
        <f t="shared" si="37"/>
        <v>0.79257100903959965</v>
      </c>
      <c r="AD38" s="436">
        <f>AC48</f>
        <v>0.76664318086605499</v>
      </c>
    </row>
    <row r="39" spans="1:30" s="62" customFormat="1" ht="15" customHeight="1">
      <c r="A39" s="455"/>
      <c r="B39" s="56" t="s">
        <v>134</v>
      </c>
      <c r="C39" s="277"/>
      <c r="D39" s="279" t="s">
        <v>154</v>
      </c>
      <c r="E39" s="278"/>
      <c r="F39" s="56">
        <f>VLOOKUP(D39,廠價表!$C$1:$E$39,3,0)</f>
        <v>57.3</v>
      </c>
      <c r="G39" s="276">
        <v>1406</v>
      </c>
      <c r="H39" s="50">
        <f t="shared" si="33"/>
        <v>80563.8</v>
      </c>
      <c r="I39" s="64"/>
      <c r="J39" s="37">
        <v>15</v>
      </c>
      <c r="K39" s="36">
        <v>1565</v>
      </c>
      <c r="L39" s="38">
        <f t="shared" si="38"/>
        <v>104.33333333333333</v>
      </c>
      <c r="M39" s="65">
        <v>12</v>
      </c>
      <c r="N39" s="66">
        <f>G39/W39*60</f>
        <v>1205.1428571428573</v>
      </c>
      <c r="O39" s="67">
        <f t="shared" ref="O39:O40" si="41">N39/M39</f>
        <v>100.42857142857144</v>
      </c>
      <c r="P39" s="39">
        <f t="shared" si="39"/>
        <v>-3</v>
      </c>
      <c r="Q39" s="40">
        <f t="shared" si="40"/>
        <v>-3.9047619047618838</v>
      </c>
      <c r="R39" s="190">
        <f t="shared" si="35"/>
        <v>0.96257416704701071</v>
      </c>
      <c r="S39" s="458"/>
      <c r="T39" s="59">
        <v>0.4548611111111111</v>
      </c>
      <c r="U39" s="59">
        <v>0.50347222222222221</v>
      </c>
      <c r="V39" s="42">
        <f>(T39-U38)*24*60</f>
        <v>52.999999999999972</v>
      </c>
      <c r="W39" s="69">
        <f t="shared" si="19"/>
        <v>69.999999999999986</v>
      </c>
      <c r="X39" s="22"/>
      <c r="Y39" s="22"/>
      <c r="Z39" s="439"/>
      <c r="AA39" s="440"/>
      <c r="AB39" s="271">
        <f t="shared" si="36"/>
        <v>-359.85714285714266</v>
      </c>
      <c r="AC39" s="61">
        <f t="shared" si="37"/>
        <v>0.77005933363760848</v>
      </c>
      <c r="AD39" s="437"/>
    </row>
    <row r="40" spans="1:30" s="62" customFormat="1" ht="15" customHeight="1">
      <c r="A40" s="455"/>
      <c r="B40" s="56" t="s">
        <v>134</v>
      </c>
      <c r="C40" s="275"/>
      <c r="D40" s="279" t="s">
        <v>154</v>
      </c>
      <c r="E40" s="243"/>
      <c r="F40" s="56">
        <f>VLOOKUP(D40,廠價表!$C$1:$E$39,3,0)</f>
        <v>57.3</v>
      </c>
      <c r="G40" s="276">
        <v>1037</v>
      </c>
      <c r="H40" s="50">
        <f t="shared" si="33"/>
        <v>59420.1</v>
      </c>
      <c r="I40" s="64"/>
      <c r="J40" s="37">
        <f>VLOOKUP(D40,產線配置圖!$A$2:$C$38,2,0)</f>
        <v>15</v>
      </c>
      <c r="K40" s="36">
        <f>VLOOKUP(D40,產線配置圖!$A$2:$C$38,3,0)</f>
        <v>1385</v>
      </c>
      <c r="L40" s="38">
        <f t="shared" si="38"/>
        <v>92.333333333333329</v>
      </c>
      <c r="M40" s="65">
        <v>12</v>
      </c>
      <c r="N40" s="66">
        <f>G40/W40*60</f>
        <v>1020.0000000000009</v>
      </c>
      <c r="O40" s="67">
        <f t="shared" si="41"/>
        <v>85.000000000000071</v>
      </c>
      <c r="P40" s="39">
        <f t="shared" si="39"/>
        <v>-3</v>
      </c>
      <c r="Q40" s="40">
        <f t="shared" si="40"/>
        <v>-7.3333333333332575</v>
      </c>
      <c r="R40" s="190">
        <f t="shared" si="35"/>
        <v>0.92057761732852073</v>
      </c>
      <c r="S40" s="397"/>
      <c r="T40" s="59">
        <v>0.56597222222222221</v>
      </c>
      <c r="U40" s="59">
        <v>0.60833333333333328</v>
      </c>
      <c r="V40" s="42">
        <f>(T40-U39)*24*60</f>
        <v>90</v>
      </c>
      <c r="W40" s="69">
        <f t="shared" si="19"/>
        <v>60.999999999999943</v>
      </c>
      <c r="X40" s="70">
        <v>0.51041666666666663</v>
      </c>
      <c r="Y40" s="259">
        <v>0.55208333333333337</v>
      </c>
      <c r="Z40" s="439"/>
      <c r="AA40" s="440"/>
      <c r="AB40" s="271">
        <f t="shared" si="36"/>
        <v>-364.99999999999909</v>
      </c>
      <c r="AC40" s="61">
        <f t="shared" si="37"/>
        <v>0.73646209386281658</v>
      </c>
      <c r="AD40" s="437"/>
    </row>
    <row r="41" spans="1:30" s="62" customFormat="1" ht="15" customHeight="1">
      <c r="A41" s="455"/>
      <c r="B41" s="56"/>
      <c r="C41" s="275"/>
      <c r="D41" s="279"/>
      <c r="E41" s="243"/>
      <c r="F41" s="56"/>
      <c r="G41" s="276"/>
      <c r="H41" s="50"/>
      <c r="I41" s="64"/>
      <c r="J41" s="37"/>
      <c r="K41" s="36"/>
      <c r="L41" s="38"/>
      <c r="M41" s="65"/>
      <c r="N41" s="66"/>
      <c r="O41" s="67"/>
      <c r="P41" s="39"/>
      <c r="Q41" s="40"/>
      <c r="R41" s="190"/>
      <c r="S41" s="397"/>
      <c r="T41" s="59"/>
      <c r="U41" s="59"/>
      <c r="V41" s="42"/>
      <c r="W41" s="69">
        <f t="shared" si="19"/>
        <v>0</v>
      </c>
      <c r="X41" s="70"/>
      <c r="Y41" s="259"/>
      <c r="Z41" s="439"/>
      <c r="AA41" s="440"/>
      <c r="AB41" s="271"/>
      <c r="AC41" s="61"/>
      <c r="AD41" s="437"/>
    </row>
    <row r="42" spans="1:30" s="62" customFormat="1" ht="15" customHeight="1">
      <c r="A42" s="455"/>
      <c r="B42" s="56"/>
      <c r="C42" s="23"/>
      <c r="D42" s="279"/>
      <c r="E42" s="12"/>
      <c r="F42" s="56"/>
      <c r="G42" s="276"/>
      <c r="H42" s="63"/>
      <c r="I42" s="64"/>
      <c r="J42" s="37"/>
      <c r="K42" s="36"/>
      <c r="L42" s="38"/>
      <c r="M42" s="65"/>
      <c r="N42" s="66"/>
      <c r="O42" s="67"/>
      <c r="P42" s="39"/>
      <c r="Q42" s="40"/>
      <c r="R42" s="190"/>
      <c r="S42" s="397"/>
      <c r="T42" s="75"/>
      <c r="U42" s="75"/>
      <c r="V42" s="42"/>
      <c r="W42" s="69">
        <f t="shared" si="19"/>
        <v>0</v>
      </c>
      <c r="X42" s="70"/>
      <c r="Y42" s="60"/>
      <c r="Z42" s="445"/>
      <c r="AA42" s="446"/>
      <c r="AB42" s="271"/>
      <c r="AC42" s="61"/>
      <c r="AD42" s="437"/>
    </row>
    <row r="43" spans="1:30" s="62" customFormat="1" ht="15" customHeight="1">
      <c r="A43" s="455"/>
      <c r="B43" s="230"/>
      <c r="C43" s="23"/>
      <c r="D43" s="11"/>
      <c r="E43" s="12"/>
      <c r="F43" s="13"/>
      <c r="G43" s="100"/>
      <c r="H43" s="63">
        <f t="shared" ref="H43:H47" si="42">F43*G43</f>
        <v>0</v>
      </c>
      <c r="I43" s="64"/>
      <c r="J43" s="65"/>
      <c r="K43" s="66"/>
      <c r="L43" s="67"/>
      <c r="M43" s="65"/>
      <c r="N43" s="66"/>
      <c r="O43" s="67"/>
      <c r="P43" s="39"/>
      <c r="Q43" s="40"/>
      <c r="R43" s="68"/>
      <c r="S43" s="397"/>
      <c r="T43" s="75"/>
      <c r="U43" s="75"/>
      <c r="V43" s="64"/>
      <c r="W43" s="69">
        <f>(U43-T43)*24*60</f>
        <v>0</v>
      </c>
      <c r="X43" s="70"/>
      <c r="Y43" s="67"/>
      <c r="Z43" s="405"/>
      <c r="AA43" s="405"/>
      <c r="AB43" s="71"/>
      <c r="AC43" s="61"/>
      <c r="AD43" s="437"/>
    </row>
    <row r="44" spans="1:30" s="62" customFormat="1" ht="15" customHeight="1">
      <c r="A44" s="455"/>
      <c r="B44" s="230"/>
      <c r="C44" s="183"/>
      <c r="D44" s="11"/>
      <c r="E44" s="12"/>
      <c r="F44" s="13"/>
      <c r="G44" s="100"/>
      <c r="H44" s="63">
        <f t="shared" si="42"/>
        <v>0</v>
      </c>
      <c r="I44" s="64"/>
      <c r="J44" s="65"/>
      <c r="K44" s="66"/>
      <c r="L44" s="58"/>
      <c r="M44" s="65"/>
      <c r="N44" s="66"/>
      <c r="O44" s="67"/>
      <c r="P44" s="39"/>
      <c r="Q44" s="40"/>
      <c r="R44" s="68"/>
      <c r="S44" s="397"/>
      <c r="T44" s="59"/>
      <c r="U44" s="59"/>
      <c r="V44" s="64"/>
      <c r="W44" s="69">
        <f t="shared" ref="W44:W48" si="43">(U44-T44)*24*60</f>
        <v>0</v>
      </c>
      <c r="X44" s="70"/>
      <c r="Y44" s="67"/>
      <c r="Z44" s="405"/>
      <c r="AA44" s="405"/>
      <c r="AB44" s="71"/>
      <c r="AC44" s="61"/>
      <c r="AD44" s="437"/>
    </row>
    <row r="45" spans="1:30" s="62" customFormat="1" ht="15" customHeight="1">
      <c r="A45" s="455"/>
      <c r="B45" s="231"/>
      <c r="C45" s="27"/>
      <c r="D45" s="28"/>
      <c r="E45" s="29"/>
      <c r="F45" s="13"/>
      <c r="G45" s="66"/>
      <c r="H45" s="63">
        <f t="shared" si="42"/>
        <v>0</v>
      </c>
      <c r="I45" s="64"/>
      <c r="J45" s="65"/>
      <c r="K45" s="66"/>
      <c r="L45" s="67"/>
      <c r="M45" s="65"/>
      <c r="N45" s="66"/>
      <c r="O45" s="67"/>
      <c r="P45" s="39"/>
      <c r="Q45" s="40"/>
      <c r="R45" s="68"/>
      <c r="S45" s="397"/>
      <c r="T45" s="75"/>
      <c r="U45" s="75"/>
      <c r="V45" s="64"/>
      <c r="W45" s="69">
        <f t="shared" si="43"/>
        <v>0</v>
      </c>
      <c r="X45" s="70"/>
      <c r="Y45" s="67"/>
      <c r="Z45" s="405"/>
      <c r="AA45" s="405"/>
      <c r="AB45" s="71"/>
      <c r="AC45" s="61"/>
      <c r="AD45" s="437"/>
    </row>
    <row r="46" spans="1:30" s="62" customFormat="1" ht="15" customHeight="1">
      <c r="A46" s="455"/>
      <c r="B46" s="231"/>
      <c r="C46" s="27"/>
      <c r="D46" s="28"/>
      <c r="E46" s="29"/>
      <c r="F46" s="13"/>
      <c r="G46" s="66"/>
      <c r="H46" s="63">
        <f t="shared" si="42"/>
        <v>0</v>
      </c>
      <c r="I46" s="64"/>
      <c r="J46" s="65"/>
      <c r="K46" s="66"/>
      <c r="L46" s="67"/>
      <c r="M46" s="65"/>
      <c r="N46" s="66"/>
      <c r="O46" s="67"/>
      <c r="P46" s="39"/>
      <c r="Q46" s="40"/>
      <c r="R46" s="68"/>
      <c r="S46" s="397"/>
      <c r="T46" s="59"/>
      <c r="U46" s="59"/>
      <c r="V46" s="64"/>
      <c r="W46" s="69">
        <f t="shared" si="43"/>
        <v>0</v>
      </c>
      <c r="X46" s="70"/>
      <c r="Y46" s="67"/>
      <c r="Z46" s="405"/>
      <c r="AA46" s="405"/>
      <c r="AB46" s="71"/>
      <c r="AC46" s="61"/>
      <c r="AD46" s="437"/>
    </row>
    <row r="47" spans="1:30" s="62" customFormat="1" ht="15" customHeight="1">
      <c r="A47" s="455"/>
      <c r="B47" s="230"/>
      <c r="C47" s="27"/>
      <c r="D47" s="28"/>
      <c r="E47" s="29"/>
      <c r="F47" s="13"/>
      <c r="G47" s="66"/>
      <c r="H47" s="63">
        <f t="shared" si="42"/>
        <v>0</v>
      </c>
      <c r="I47" s="64"/>
      <c r="J47" s="65"/>
      <c r="K47" s="66"/>
      <c r="L47" s="67"/>
      <c r="M47" s="65"/>
      <c r="N47" s="66"/>
      <c r="O47" s="67"/>
      <c r="P47" s="39"/>
      <c r="Q47" s="40"/>
      <c r="R47" s="68"/>
      <c r="S47" s="397"/>
      <c r="T47" s="75"/>
      <c r="U47" s="75"/>
      <c r="V47" s="64"/>
      <c r="W47" s="69">
        <f t="shared" si="43"/>
        <v>0</v>
      </c>
      <c r="X47" s="70"/>
      <c r="Y47" s="67"/>
      <c r="Z47" s="405"/>
      <c r="AA47" s="405"/>
      <c r="AB47" s="71"/>
      <c r="AC47" s="61"/>
      <c r="AD47" s="437"/>
    </row>
    <row r="48" spans="1:30" ht="15" customHeight="1" thickBot="1">
      <c r="A48" s="456"/>
      <c r="B48" s="156"/>
      <c r="C48" s="1" t="s">
        <v>37</v>
      </c>
      <c r="D48" s="410" t="s">
        <v>7</v>
      </c>
      <c r="E48" s="410"/>
      <c r="F48" s="133"/>
      <c r="G48" s="145"/>
      <c r="H48" s="135"/>
      <c r="I48" s="136"/>
      <c r="J48" s="134">
        <f t="shared" ref="J48:O48" si="44">AVERAGE(J38:J47)</f>
        <v>15</v>
      </c>
      <c r="K48" s="134">
        <f t="shared" si="44"/>
        <v>1452</v>
      </c>
      <c r="L48" s="137">
        <f t="shared" si="44"/>
        <v>96.8</v>
      </c>
      <c r="M48" s="134">
        <f t="shared" si="44"/>
        <v>12</v>
      </c>
      <c r="N48" s="134">
        <f t="shared" si="44"/>
        <v>1113.1658986175119</v>
      </c>
      <c r="O48" s="137">
        <f t="shared" si="44"/>
        <v>92.763824884792641</v>
      </c>
      <c r="P48" s="157">
        <f>M48-J48</f>
        <v>-3</v>
      </c>
      <c r="Q48" s="158">
        <f>N48-K48</f>
        <v>-338.83410138248814</v>
      </c>
      <c r="R48" s="159">
        <f>O48/L48</f>
        <v>0.95830397608256868</v>
      </c>
      <c r="S48" s="399"/>
      <c r="T48" s="160"/>
      <c r="U48" s="160"/>
      <c r="V48" s="196"/>
      <c r="W48" s="161">
        <f t="shared" si="43"/>
        <v>0</v>
      </c>
      <c r="X48" s="162"/>
      <c r="Y48" s="162"/>
      <c r="Z48" s="391"/>
      <c r="AA48" s="391"/>
      <c r="AB48" s="163">
        <f>N48-K48</f>
        <v>-338.83410138248814</v>
      </c>
      <c r="AC48" s="191">
        <f>N48/K48</f>
        <v>0.76664318086605499</v>
      </c>
      <c r="AD48" s="438"/>
    </row>
    <row r="49" spans="1:30" ht="15" customHeight="1">
      <c r="A49" s="451" t="s">
        <v>56</v>
      </c>
      <c r="B49" s="199" t="str">
        <f>VLOOKUP(D49,廠價表!$C$1:$E$39,2,0)</f>
        <v>義大利麵</v>
      </c>
      <c r="C49" s="102"/>
      <c r="D49" s="103" t="s">
        <v>152</v>
      </c>
      <c r="E49" s="104"/>
      <c r="F49" s="199">
        <f>VLOOKUP(D49,廠價表!$C$1:$E$39,3,0)</f>
        <v>56.87</v>
      </c>
      <c r="G49" s="149">
        <v>2296</v>
      </c>
      <c r="H49" s="125">
        <f t="shared" ref="H49:H57" si="45">F49*G49</f>
        <v>130573.51999999999</v>
      </c>
      <c r="I49" s="126"/>
      <c r="J49" s="16">
        <v>15</v>
      </c>
      <c r="K49" s="14">
        <f>VLOOKUP(D49,產線配置圖!$A$2:$C$38,3,0)</f>
        <v>1565</v>
      </c>
      <c r="L49" s="109">
        <f>K49/J49</f>
        <v>104.33333333333333</v>
      </c>
      <c r="M49" s="144">
        <v>15</v>
      </c>
      <c r="N49" s="127">
        <f>G49/W49*60</f>
        <v>1337.4757281553402</v>
      </c>
      <c r="O49" s="128">
        <f>N49/M49</f>
        <v>89.165048543689352</v>
      </c>
      <c r="P49" s="164">
        <f>M49-J49</f>
        <v>0</v>
      </c>
      <c r="Q49" s="112">
        <f>O49-L49</f>
        <v>-15.168284789643977</v>
      </c>
      <c r="R49" s="184">
        <f>O49/L49</f>
        <v>0.85461707869350823</v>
      </c>
      <c r="S49" s="396">
        <f>R58</f>
        <v>0.91553303246042794</v>
      </c>
      <c r="T49" s="151">
        <v>0.29166666666666669</v>
      </c>
      <c r="U49" s="151">
        <v>0.36319444444444443</v>
      </c>
      <c r="V49" s="188"/>
      <c r="W49" s="152">
        <f t="shared" si="19"/>
        <v>102.99999999999996</v>
      </c>
      <c r="X49" s="188"/>
      <c r="Y49" s="188"/>
      <c r="Z49" s="400"/>
      <c r="AA49" s="400"/>
      <c r="AB49" s="111">
        <f>N49-K49</f>
        <v>-227.52427184465978</v>
      </c>
      <c r="AC49" s="184">
        <f>N49/K49</f>
        <v>0.85461707869350811</v>
      </c>
      <c r="AD49" s="401">
        <f>AC58</f>
        <v>0.87832330305929129</v>
      </c>
    </row>
    <row r="50" spans="1:30" ht="15" customHeight="1">
      <c r="A50" s="452"/>
      <c r="B50" s="56" t="str">
        <f>VLOOKUP(D50,廠價表!$C$1:$E$39,2,0)</f>
        <v>義大利麵</v>
      </c>
      <c r="C50" s="10"/>
      <c r="D50" s="11" t="s">
        <v>65</v>
      </c>
      <c r="E50" s="86"/>
      <c r="F50" s="56">
        <f>VLOOKUP(D50,廠價表!$C$1:$E$39,3,0)</f>
        <v>49.97</v>
      </c>
      <c r="G50" s="66">
        <v>3727</v>
      </c>
      <c r="H50" s="76">
        <f t="shared" si="45"/>
        <v>186238.19</v>
      </c>
      <c r="I50" s="193"/>
      <c r="J50" s="16">
        <f>VLOOKUP(D50,產線配置圖!$A$2:$C$38,2,0)</f>
        <v>18</v>
      </c>
      <c r="K50" s="14">
        <f>VLOOKUP(D50,產線配置圖!$A$2:$C$38,3,0)</f>
        <v>1600</v>
      </c>
      <c r="L50" s="17">
        <f>K50/J50</f>
        <v>88.888888888888886</v>
      </c>
      <c r="M50" s="174">
        <v>17</v>
      </c>
      <c r="N50" s="77">
        <f>G50/W50*60</f>
        <v>1433.4615384615386</v>
      </c>
      <c r="O50" s="78">
        <f>N50/M50</f>
        <v>84.321266968325801</v>
      </c>
      <c r="P50" s="18">
        <f>M50-J50</f>
        <v>-1</v>
      </c>
      <c r="Q50" s="19">
        <f>O50-L50</f>
        <v>-4.5676219205630844</v>
      </c>
      <c r="R50" s="185">
        <f>O50/L50</f>
        <v>0.94861425339366534</v>
      </c>
      <c r="S50" s="397"/>
      <c r="T50" s="79">
        <v>0.37083333333333335</v>
      </c>
      <c r="U50" s="79">
        <v>0.47916666666666669</v>
      </c>
      <c r="V50" s="177">
        <f t="shared" ref="V50:V52" si="46">(T50-U49)*24*60</f>
        <v>11.000000000000041</v>
      </c>
      <c r="W50" s="80">
        <f t="shared" si="19"/>
        <v>156</v>
      </c>
      <c r="X50" s="22"/>
      <c r="Y50" s="22"/>
      <c r="Z50" s="419"/>
      <c r="AA50" s="418"/>
      <c r="AB50" s="18">
        <f>N50-K50</f>
        <v>-166.53846153846143</v>
      </c>
      <c r="AC50" s="185">
        <f>N50/K50</f>
        <v>0.89591346153846163</v>
      </c>
      <c r="AD50" s="402"/>
    </row>
    <row r="51" spans="1:30" ht="15" customHeight="1">
      <c r="A51" s="452"/>
      <c r="B51" s="56" t="str">
        <f>VLOOKUP(D51,廠價表!$C$1:$E$39,2,0)</f>
        <v>義大利麵</v>
      </c>
      <c r="C51" s="10"/>
      <c r="D51" s="11" t="s">
        <v>65</v>
      </c>
      <c r="E51" s="86"/>
      <c r="F51" s="56">
        <f>VLOOKUP(D51,廠價表!$C$1:$E$39,3,0)</f>
        <v>49.97</v>
      </c>
      <c r="G51" s="66">
        <v>1800</v>
      </c>
      <c r="H51" s="76">
        <f t="shared" si="45"/>
        <v>89946</v>
      </c>
      <c r="I51" s="193"/>
      <c r="J51" s="16">
        <f>VLOOKUP(D51,產線配置圖!$A$2:$C$38,2,0)</f>
        <v>18</v>
      </c>
      <c r="K51" s="14">
        <f>VLOOKUP(D51,產線配置圖!$A$2:$C$38,3,0)</f>
        <v>1600</v>
      </c>
      <c r="L51" s="17">
        <f>K51/J51</f>
        <v>88.888888888888886</v>
      </c>
      <c r="M51" s="174">
        <v>17</v>
      </c>
      <c r="N51" s="77">
        <f>G51/W51*60</f>
        <v>1421.0526315789464</v>
      </c>
      <c r="O51" s="78">
        <f>N51/M51</f>
        <v>83.59133126934978</v>
      </c>
      <c r="P51" s="18">
        <f>M51-J51</f>
        <v>-1</v>
      </c>
      <c r="Q51" s="19">
        <f>O51-L51</f>
        <v>-5.2975576195391056</v>
      </c>
      <c r="R51" s="185">
        <f>O51/L51</f>
        <v>0.94040247678018507</v>
      </c>
      <c r="S51" s="397"/>
      <c r="T51" s="79">
        <v>0.54652777777777772</v>
      </c>
      <c r="U51" s="44">
        <v>0.59930555555555554</v>
      </c>
      <c r="V51" s="177">
        <f t="shared" si="46"/>
        <v>96.999999999999901</v>
      </c>
      <c r="W51" s="80">
        <f t="shared" si="19"/>
        <v>76.000000000000057</v>
      </c>
      <c r="X51" s="22">
        <v>0.4861111111111111</v>
      </c>
      <c r="Y51" s="22">
        <v>0.52777777777777779</v>
      </c>
      <c r="Z51" s="405"/>
      <c r="AA51" s="405"/>
      <c r="AB51" s="18">
        <f>N51-K51</f>
        <v>-178.94736842105362</v>
      </c>
      <c r="AC51" s="185">
        <f>N51/K51</f>
        <v>0.88815789473684148</v>
      </c>
      <c r="AD51" s="402"/>
    </row>
    <row r="52" spans="1:30" ht="15" customHeight="1">
      <c r="A52" s="452"/>
      <c r="B52" s="56" t="str">
        <f>VLOOKUP(D52,廠價表!$C$1:$E$39,2,0)</f>
        <v>熱乾麵</v>
      </c>
      <c r="C52" s="23"/>
      <c r="D52" s="11" t="s">
        <v>144</v>
      </c>
      <c r="E52" s="12"/>
      <c r="F52" s="56">
        <f>VLOOKUP(D52,廠價表!$C$1:$E$39,3,0)</f>
        <v>49.91</v>
      </c>
      <c r="G52" s="66">
        <v>1345</v>
      </c>
      <c r="H52" s="76">
        <f t="shared" si="45"/>
        <v>67128.95</v>
      </c>
      <c r="I52" s="193"/>
      <c r="J52" s="16">
        <f>VLOOKUP(D52,產線配置圖!$A$2:$C$38,2,0)</f>
        <v>17</v>
      </c>
      <c r="K52" s="14">
        <f>VLOOKUP(D52,產線配置圖!$A$2:$C$38,3,0)</f>
        <v>1565</v>
      </c>
      <c r="L52" s="17">
        <f>K52/J52</f>
        <v>92.058823529411768</v>
      </c>
      <c r="M52" s="174">
        <v>16</v>
      </c>
      <c r="N52" s="77">
        <f>G52/W52*60</f>
        <v>1367.7966101694888</v>
      </c>
      <c r="O52" s="78">
        <f>N52/M52</f>
        <v>85.487288135593047</v>
      </c>
      <c r="P52" s="18">
        <f>M52-J52</f>
        <v>-1</v>
      </c>
      <c r="Q52" s="19">
        <f>O52-L52</f>
        <v>-6.5715353938187206</v>
      </c>
      <c r="R52" s="185">
        <f>O52/L52</f>
        <v>0.92861590946011618</v>
      </c>
      <c r="S52" s="397"/>
      <c r="T52" s="79">
        <v>0.60624999999999996</v>
      </c>
      <c r="U52" s="79">
        <v>0.64722222222222225</v>
      </c>
      <c r="V52" s="177">
        <f t="shared" si="46"/>
        <v>9.9999999999999645</v>
      </c>
      <c r="W52" s="80">
        <f t="shared" si="19"/>
        <v>59.000000000000114</v>
      </c>
      <c r="X52" s="22"/>
      <c r="Y52" s="22"/>
      <c r="Z52" s="405"/>
      <c r="AA52" s="405"/>
      <c r="AB52" s="18">
        <f>N52-K52</f>
        <v>-197.20338983051124</v>
      </c>
      <c r="AC52" s="185">
        <f>N52/K52</f>
        <v>0.87399144419775643</v>
      </c>
      <c r="AD52" s="402"/>
    </row>
    <row r="53" spans="1:30" ht="15" customHeight="1">
      <c r="A53" s="452"/>
      <c r="B53" s="56"/>
      <c r="C53" s="23"/>
      <c r="D53" s="11"/>
      <c r="E53" s="12"/>
      <c r="F53" s="56"/>
      <c r="G53" s="66"/>
      <c r="H53" s="76"/>
      <c r="I53" s="193"/>
      <c r="J53" s="16"/>
      <c r="K53" s="14"/>
      <c r="L53" s="17"/>
      <c r="M53" s="174"/>
      <c r="N53" s="77"/>
      <c r="O53" s="78"/>
      <c r="P53" s="18"/>
      <c r="Q53" s="19"/>
      <c r="R53" s="185"/>
      <c r="S53" s="397"/>
      <c r="T53" s="79"/>
      <c r="U53" s="79"/>
      <c r="V53" s="177"/>
      <c r="W53" s="80">
        <f t="shared" si="19"/>
        <v>0</v>
      </c>
      <c r="X53" s="177"/>
      <c r="Y53" s="177"/>
      <c r="Z53" s="419"/>
      <c r="AA53" s="418"/>
      <c r="AB53" s="18"/>
      <c r="AC53" s="185"/>
      <c r="AD53" s="402"/>
    </row>
    <row r="54" spans="1:30" ht="15" customHeight="1">
      <c r="A54" s="452"/>
      <c r="B54" s="177"/>
      <c r="C54" s="183"/>
      <c r="D54" s="11"/>
      <c r="E54" s="12"/>
      <c r="F54" s="13"/>
      <c r="G54" s="66"/>
      <c r="H54" s="76">
        <f t="shared" si="45"/>
        <v>0</v>
      </c>
      <c r="I54" s="177"/>
      <c r="J54" s="31"/>
      <c r="K54" s="30"/>
      <c r="L54" s="38"/>
      <c r="M54" s="181"/>
      <c r="N54" s="30"/>
      <c r="O54" s="35"/>
      <c r="P54" s="18"/>
      <c r="Q54" s="19"/>
      <c r="R54" s="185"/>
      <c r="S54" s="397"/>
      <c r="T54" s="79"/>
      <c r="U54" s="79"/>
      <c r="V54" s="197"/>
      <c r="W54" s="80">
        <f t="shared" si="19"/>
        <v>0</v>
      </c>
      <c r="X54" s="177"/>
      <c r="Y54" s="177"/>
      <c r="Z54" s="419"/>
      <c r="AA54" s="418"/>
      <c r="AB54" s="18"/>
      <c r="AC54" s="185"/>
      <c r="AD54" s="402"/>
    </row>
    <row r="55" spans="1:30" ht="15" customHeight="1">
      <c r="A55" s="452"/>
      <c r="B55" s="26"/>
      <c r="C55" s="27"/>
      <c r="D55" s="28"/>
      <c r="E55" s="29"/>
      <c r="F55" s="13"/>
      <c r="G55" s="66"/>
      <c r="H55" s="15">
        <f t="shared" si="45"/>
        <v>0</v>
      </c>
      <c r="I55" s="177"/>
      <c r="J55" s="31"/>
      <c r="K55" s="30"/>
      <c r="L55" s="38"/>
      <c r="M55" s="181"/>
      <c r="N55" s="30"/>
      <c r="O55" s="35"/>
      <c r="P55" s="18"/>
      <c r="Q55" s="19"/>
      <c r="R55" s="185"/>
      <c r="S55" s="397"/>
      <c r="T55" s="79"/>
      <c r="U55" s="79"/>
      <c r="V55" s="197"/>
      <c r="W55" s="80">
        <f t="shared" si="19"/>
        <v>0</v>
      </c>
      <c r="X55" s="177"/>
      <c r="Y55" s="177"/>
      <c r="Z55" s="419"/>
      <c r="AA55" s="418"/>
      <c r="AB55" s="18"/>
      <c r="AC55" s="185"/>
      <c r="AD55" s="402"/>
    </row>
    <row r="56" spans="1:30" ht="15" customHeight="1">
      <c r="A56" s="452"/>
      <c r="B56" s="26"/>
      <c r="C56" s="27"/>
      <c r="D56" s="28"/>
      <c r="E56" s="29"/>
      <c r="F56" s="13"/>
      <c r="G56" s="66"/>
      <c r="H56" s="15">
        <f t="shared" si="45"/>
        <v>0</v>
      </c>
      <c r="I56" s="177"/>
      <c r="J56" s="31"/>
      <c r="K56" s="30"/>
      <c r="L56" s="38"/>
      <c r="M56" s="181"/>
      <c r="N56" s="30"/>
      <c r="O56" s="35"/>
      <c r="P56" s="18"/>
      <c r="Q56" s="19"/>
      <c r="R56" s="185"/>
      <c r="S56" s="397"/>
      <c r="T56" s="79"/>
      <c r="U56" s="79"/>
      <c r="V56" s="197"/>
      <c r="W56" s="80">
        <f t="shared" si="19"/>
        <v>0</v>
      </c>
      <c r="X56" s="177"/>
      <c r="Y56" s="177"/>
      <c r="Z56" s="405"/>
      <c r="AA56" s="405"/>
      <c r="AB56" s="18"/>
      <c r="AC56" s="185"/>
      <c r="AD56" s="402"/>
    </row>
    <row r="57" spans="1:30" ht="15" customHeight="1">
      <c r="A57" s="452"/>
      <c r="B57" s="26"/>
      <c r="C57" s="27"/>
      <c r="D57" s="28"/>
      <c r="E57" s="29"/>
      <c r="F57" s="13"/>
      <c r="G57" s="66"/>
      <c r="H57" s="15">
        <f t="shared" si="45"/>
        <v>0</v>
      </c>
      <c r="I57" s="177"/>
      <c r="J57" s="31"/>
      <c r="K57" s="30"/>
      <c r="L57" s="38"/>
      <c r="M57" s="181"/>
      <c r="N57" s="30"/>
      <c r="O57" s="35"/>
      <c r="P57" s="18"/>
      <c r="Q57" s="19"/>
      <c r="R57" s="185"/>
      <c r="S57" s="397"/>
      <c r="T57" s="79"/>
      <c r="U57" s="79"/>
      <c r="V57" s="197"/>
      <c r="W57" s="80">
        <f t="shared" si="19"/>
        <v>0</v>
      </c>
      <c r="X57" s="177"/>
      <c r="Y57" s="177"/>
      <c r="Z57" s="405"/>
      <c r="AA57" s="405"/>
      <c r="AB57" s="18"/>
      <c r="AC57" s="185"/>
      <c r="AD57" s="402"/>
    </row>
    <row r="58" spans="1:30" ht="15" customHeight="1" thickBot="1">
      <c r="A58" s="453"/>
      <c r="B58" s="165"/>
      <c r="C58" s="1" t="s">
        <v>38</v>
      </c>
      <c r="D58" s="410" t="s">
        <v>7</v>
      </c>
      <c r="E58" s="410"/>
      <c r="F58" s="114"/>
      <c r="G58" s="166"/>
      <c r="H58" s="116"/>
      <c r="I58" s="115"/>
      <c r="J58" s="118">
        <f t="shared" ref="J58:O58" si="47">AVERAGE(J49:J57)</f>
        <v>17</v>
      </c>
      <c r="K58" s="118">
        <f t="shared" si="47"/>
        <v>1582.5</v>
      </c>
      <c r="L58" s="115">
        <f t="shared" si="47"/>
        <v>93.542483660130713</v>
      </c>
      <c r="M58" s="118">
        <f t="shared" si="47"/>
        <v>16.25</v>
      </c>
      <c r="N58" s="118">
        <f t="shared" si="47"/>
        <v>1389.9466270913285</v>
      </c>
      <c r="O58" s="115">
        <f t="shared" si="47"/>
        <v>85.641233729239502</v>
      </c>
      <c r="P58" s="119">
        <f>M58-J58</f>
        <v>-0.75</v>
      </c>
      <c r="Q58" s="120">
        <f>N58-K58</f>
        <v>-192.55337290867146</v>
      </c>
      <c r="R58" s="121">
        <f t="shared" ref="R58:R60" si="48">O58/L58</f>
        <v>0.91553303246042794</v>
      </c>
      <c r="S58" s="399"/>
      <c r="T58" s="167"/>
      <c r="U58" s="167"/>
      <c r="V58" s="195"/>
      <c r="W58" s="168"/>
      <c r="X58" s="124"/>
      <c r="Y58" s="124"/>
      <c r="Z58" s="391"/>
      <c r="AA58" s="391"/>
      <c r="AB58" s="119">
        <f t="shared" ref="AB58:AB63" si="49">N58-K58</f>
        <v>-192.55337290867146</v>
      </c>
      <c r="AC58" s="187">
        <f t="shared" ref="AC58:AC63" si="50">N58/K58</f>
        <v>0.87832330305929129</v>
      </c>
      <c r="AD58" s="404"/>
    </row>
    <row r="59" spans="1:30" ht="15" customHeight="1">
      <c r="A59" s="466" t="s">
        <v>57</v>
      </c>
      <c r="B59" s="199" t="str">
        <f>VLOOKUP(D59,廠價表!$C$1:$E$39,2,0)</f>
        <v>小吃、微波</v>
      </c>
      <c r="C59" s="102"/>
      <c r="D59" s="103" t="s">
        <v>125</v>
      </c>
      <c r="E59" s="104"/>
      <c r="F59" s="199">
        <f>VLOOKUP(D59,廠價表!$C$1:$E$39,3,0)</f>
        <v>26.99</v>
      </c>
      <c r="G59" s="188">
        <v>3304</v>
      </c>
      <c r="H59" s="106">
        <f t="shared" ref="H59:H68" si="51">F59*G59</f>
        <v>89174.959999999992</v>
      </c>
      <c r="I59" s="188"/>
      <c r="J59" s="108">
        <f>VLOOKUP(D59,產線配置圖!$A$2:$C$38,2,0)</f>
        <v>13</v>
      </c>
      <c r="K59" s="105">
        <f>VLOOKUP(D59,產線配置圖!$A$2:$C$38,3,0)</f>
        <v>1565</v>
      </c>
      <c r="L59" s="109">
        <f>K59/J59</f>
        <v>120.38461538461539</v>
      </c>
      <c r="M59" s="110">
        <v>13</v>
      </c>
      <c r="N59" s="105">
        <f t="shared" ref="N59:N62" si="52">G59/W59*60</f>
        <v>1560.9448818897645</v>
      </c>
      <c r="O59" s="109">
        <f t="shared" ref="O59:O62" si="53">N59/M59</f>
        <v>120.07268322228957</v>
      </c>
      <c r="P59" s="111">
        <f t="shared" ref="P59:P62" si="54">M59-J59</f>
        <v>0</v>
      </c>
      <c r="Q59" s="112">
        <f t="shared" ref="Q59:Q62" si="55">O59-L59</f>
        <v>-0.31193216232581733</v>
      </c>
      <c r="R59" s="184">
        <f t="shared" si="48"/>
        <v>0.99740887021710178</v>
      </c>
      <c r="S59" s="396">
        <f>R69</f>
        <v>0.86404090282637114</v>
      </c>
      <c r="T59" s="169">
        <v>0.29166666666666669</v>
      </c>
      <c r="U59" s="169">
        <v>0.37986111111111109</v>
      </c>
      <c r="V59" s="188"/>
      <c r="W59" s="107">
        <f t="shared" si="19"/>
        <v>126.99999999999994</v>
      </c>
      <c r="X59" s="188"/>
      <c r="Y59" s="188"/>
      <c r="Z59" s="405"/>
      <c r="AA59" s="405"/>
      <c r="AB59" s="225">
        <f t="shared" si="49"/>
        <v>-4.0551181102355258</v>
      </c>
      <c r="AC59" s="226">
        <f t="shared" si="50"/>
        <v>0.99740887021710189</v>
      </c>
      <c r="AD59" s="401">
        <f>AC69</f>
        <v>0.86740824976833342</v>
      </c>
    </row>
    <row r="60" spans="1:30" ht="15" customHeight="1">
      <c r="A60" s="467"/>
      <c r="B60" s="56" t="str">
        <f>VLOOKUP(D60,廠價表!$C$1:$E$39,2,0)</f>
        <v>小吃、微波</v>
      </c>
      <c r="C60" s="10"/>
      <c r="D60" s="11" t="s">
        <v>146</v>
      </c>
      <c r="E60" s="86"/>
      <c r="F60" s="56">
        <f>VLOOKUP(D60,廠價表!$C$1:$E$39,3,0)</f>
        <v>28.47</v>
      </c>
      <c r="G60" s="177">
        <v>733</v>
      </c>
      <c r="H60" s="15">
        <f t="shared" si="51"/>
        <v>20868.509999999998</v>
      </c>
      <c r="I60" s="177"/>
      <c r="J60" s="16">
        <f>VLOOKUP(D60,產線配置圖!$A$2:$C$38,2,0)</f>
        <v>12</v>
      </c>
      <c r="K60" s="14">
        <f>VLOOKUP(D60,產線配置圖!$A$2:$C$38,3,0)</f>
        <v>1565</v>
      </c>
      <c r="L60" s="17">
        <f>K60/J60</f>
        <v>130.41666666666666</v>
      </c>
      <c r="M60" s="180">
        <v>12</v>
      </c>
      <c r="N60" s="14">
        <f t="shared" si="52"/>
        <v>977.33333333333326</v>
      </c>
      <c r="O60" s="17">
        <f t="shared" si="53"/>
        <v>81.444444444444443</v>
      </c>
      <c r="P60" s="18">
        <f t="shared" si="54"/>
        <v>0</v>
      </c>
      <c r="Q60" s="19">
        <f t="shared" si="55"/>
        <v>-48.972222222222214</v>
      </c>
      <c r="R60" s="185">
        <f t="shared" si="48"/>
        <v>0.62449414270500536</v>
      </c>
      <c r="S60" s="470"/>
      <c r="T60" s="198">
        <v>0.3888888888888889</v>
      </c>
      <c r="U60" s="198">
        <v>0.4201388888888889</v>
      </c>
      <c r="V60" s="177">
        <f t="shared" ref="V60:V63" si="56">(T60-U59)*24*60</f>
        <v>13.000000000000034</v>
      </c>
      <c r="W60" s="90">
        <f t="shared" si="19"/>
        <v>45</v>
      </c>
      <c r="X60" s="193"/>
      <c r="Y60" s="193"/>
      <c r="Z60" s="405" t="s">
        <v>229</v>
      </c>
      <c r="AA60" s="405"/>
      <c r="AB60" s="227">
        <f t="shared" si="49"/>
        <v>-587.66666666666674</v>
      </c>
      <c r="AC60" s="228">
        <f t="shared" si="50"/>
        <v>0.62449414270500525</v>
      </c>
      <c r="AD60" s="473"/>
    </row>
    <row r="61" spans="1:30" ht="15" customHeight="1">
      <c r="A61" s="468"/>
      <c r="B61" s="56" t="str">
        <f>VLOOKUP(D61,廠價表!$C$1:$E$39,2,0)</f>
        <v>小吃、微波</v>
      </c>
      <c r="C61" s="10"/>
      <c r="D61" s="242" t="s">
        <v>135</v>
      </c>
      <c r="E61" s="86"/>
      <c r="F61" s="56">
        <f>VLOOKUP(D61,廠價表!$C$1:$E$39,3,0)</f>
        <v>28.26</v>
      </c>
      <c r="G61" s="177">
        <v>1866</v>
      </c>
      <c r="H61" s="15">
        <f t="shared" si="51"/>
        <v>52733.16</v>
      </c>
      <c r="I61" s="81"/>
      <c r="J61" s="16">
        <f>VLOOKUP(D61,產線配置圖!$A$2:$C$38,2,0)</f>
        <v>12</v>
      </c>
      <c r="K61" s="14">
        <f>VLOOKUP(D61,產線配置圖!$A$2:$C$38,3,0)</f>
        <v>1565</v>
      </c>
      <c r="L61" s="17">
        <f t="shared" ref="L61:L62" si="57">K61/J61</f>
        <v>130.41666666666666</v>
      </c>
      <c r="M61" s="180">
        <v>12</v>
      </c>
      <c r="N61" s="14">
        <f t="shared" si="52"/>
        <v>1492.8000000000006</v>
      </c>
      <c r="O61" s="17">
        <f t="shared" si="53"/>
        <v>124.40000000000005</v>
      </c>
      <c r="P61" s="18">
        <f t="shared" si="54"/>
        <v>0</v>
      </c>
      <c r="Q61" s="19">
        <f t="shared" si="55"/>
        <v>-6.0166666666666089</v>
      </c>
      <c r="R61" s="185">
        <f>O61/L61</f>
        <v>0.95386581469648601</v>
      </c>
      <c r="S61" s="397"/>
      <c r="T61" s="20">
        <v>0.43055555555555558</v>
      </c>
      <c r="U61" s="20">
        <v>0.4826388888888889</v>
      </c>
      <c r="V61" s="177">
        <f t="shared" si="56"/>
        <v>15.000000000000027</v>
      </c>
      <c r="W61" s="88">
        <f t="shared" si="19"/>
        <v>74.999999999999972</v>
      </c>
      <c r="X61" s="22"/>
      <c r="Y61" s="22"/>
      <c r="Z61" s="405"/>
      <c r="AA61" s="405"/>
      <c r="AB61" s="51">
        <f t="shared" si="49"/>
        <v>-72.199999999999363</v>
      </c>
      <c r="AC61" s="52">
        <f t="shared" si="50"/>
        <v>0.95386581469648601</v>
      </c>
      <c r="AD61" s="402"/>
    </row>
    <row r="62" spans="1:30" ht="15" customHeight="1">
      <c r="A62" s="468"/>
      <c r="B62" s="56" t="str">
        <f>VLOOKUP(D62,廠價表!$C$1:$E$39,2,0)</f>
        <v>小吃、微波</v>
      </c>
      <c r="C62" s="23"/>
      <c r="D62" s="242" t="s">
        <v>135</v>
      </c>
      <c r="E62" s="12"/>
      <c r="F62" s="56">
        <f>VLOOKUP(D62,廠價表!$C$1:$E$39,3,0)</f>
        <v>28.26</v>
      </c>
      <c r="G62" s="177">
        <v>614</v>
      </c>
      <c r="H62" s="15">
        <f t="shared" si="51"/>
        <v>17351.64</v>
      </c>
      <c r="I62" s="81"/>
      <c r="J62" s="16">
        <f>VLOOKUP(D62,產線配置圖!$A$2:$C$38,2,0)</f>
        <v>12</v>
      </c>
      <c r="K62" s="14">
        <f>VLOOKUP(D62,產線配置圖!$A$2:$C$38,3,0)</f>
        <v>1565</v>
      </c>
      <c r="L62" s="17">
        <f t="shared" si="57"/>
        <v>130.41666666666666</v>
      </c>
      <c r="M62" s="180">
        <v>12</v>
      </c>
      <c r="N62" s="14">
        <f t="shared" si="52"/>
        <v>1270.3448275862042</v>
      </c>
      <c r="O62" s="17">
        <f t="shared" si="53"/>
        <v>105.86206896551703</v>
      </c>
      <c r="P62" s="18">
        <f t="shared" si="54"/>
        <v>0</v>
      </c>
      <c r="Q62" s="19">
        <f t="shared" si="55"/>
        <v>-24.554597701149632</v>
      </c>
      <c r="R62" s="185">
        <f>O62/L62</f>
        <v>0.81172193455987496</v>
      </c>
      <c r="S62" s="397"/>
      <c r="T62" s="20">
        <v>0.53680555555555554</v>
      </c>
      <c r="U62" s="20">
        <v>0.55694444444444446</v>
      </c>
      <c r="V62" s="177">
        <f t="shared" si="56"/>
        <v>77.999999999999957</v>
      </c>
      <c r="W62" s="90">
        <f t="shared" si="19"/>
        <v>29.000000000000057</v>
      </c>
      <c r="X62" s="22">
        <v>0.51388888888888884</v>
      </c>
      <c r="Y62" s="22">
        <v>0.55555555555555558</v>
      </c>
      <c r="Z62" s="405"/>
      <c r="AA62" s="405"/>
      <c r="AB62" s="51">
        <f t="shared" si="49"/>
        <v>-294.65517241379575</v>
      </c>
      <c r="AC62" s="52">
        <f t="shared" si="50"/>
        <v>0.81172193455987496</v>
      </c>
      <c r="AD62" s="402"/>
    </row>
    <row r="63" spans="1:30" ht="15" customHeight="1">
      <c r="A63" s="468"/>
      <c r="B63" s="56" t="str">
        <f>VLOOKUP(D63,廠價表!$C$1:$E$39,2,0)</f>
        <v>小吃、微波</v>
      </c>
      <c r="C63" s="10"/>
      <c r="D63" s="242" t="s">
        <v>125</v>
      </c>
      <c r="E63" s="86"/>
      <c r="F63" s="56">
        <f>VLOOKUP(D63,廠價表!$C$1:$E$39,3,0)</f>
        <v>26.99</v>
      </c>
      <c r="G63" s="177">
        <v>1065</v>
      </c>
      <c r="H63" s="15">
        <f t="shared" ref="H63" si="58">F63*G63</f>
        <v>28744.35</v>
      </c>
      <c r="I63" s="81"/>
      <c r="J63" s="16">
        <f>VLOOKUP(D63,產線配置圖!$A$2:$C$38,2,0)</f>
        <v>13</v>
      </c>
      <c r="K63" s="14">
        <f>VLOOKUP(D63,產線配置圖!$A$2:$C$38,3,0)</f>
        <v>1565</v>
      </c>
      <c r="L63" s="17">
        <f>K63/J63</f>
        <v>120.38461538461539</v>
      </c>
      <c r="M63" s="180">
        <v>13</v>
      </c>
      <c r="N63" s="14">
        <f t="shared" ref="N63" si="59">G63/W63*60</f>
        <v>1486.0465116279067</v>
      </c>
      <c r="O63" s="17">
        <f t="shared" ref="O63" si="60">N63/M63</f>
        <v>114.3112701252236</v>
      </c>
      <c r="P63" s="18">
        <f t="shared" ref="P63" si="61">M63-J63</f>
        <v>0</v>
      </c>
      <c r="Q63" s="19">
        <f t="shared" ref="Q63" si="62">O63-L63</f>
        <v>-6.073345259391786</v>
      </c>
      <c r="R63" s="185">
        <f t="shared" ref="R63" si="63">O63/L63</f>
        <v>0.94955048666319919</v>
      </c>
      <c r="S63" s="397"/>
      <c r="T63" s="20">
        <v>0.56736111111111109</v>
      </c>
      <c r="U63" s="20">
        <v>0.59722222222222221</v>
      </c>
      <c r="V63" s="177">
        <f t="shared" si="56"/>
        <v>14.999999999999947</v>
      </c>
      <c r="W63" s="90">
        <f t="shared" si="19"/>
        <v>43.000000000000007</v>
      </c>
      <c r="X63" s="84"/>
      <c r="Y63" s="84"/>
      <c r="Z63" s="405"/>
      <c r="AA63" s="405"/>
      <c r="AB63" s="51">
        <f t="shared" si="49"/>
        <v>-78.953488372093261</v>
      </c>
      <c r="AC63" s="52">
        <f t="shared" si="50"/>
        <v>0.94955048666319919</v>
      </c>
      <c r="AD63" s="402"/>
    </row>
    <row r="64" spans="1:30" ht="15" customHeight="1">
      <c r="A64" s="468"/>
      <c r="B64" s="56"/>
      <c r="C64" s="10"/>
      <c r="D64" s="242"/>
      <c r="E64" s="86"/>
      <c r="F64" s="56"/>
      <c r="G64" s="177"/>
      <c r="H64" s="15"/>
      <c r="I64" s="81"/>
      <c r="J64" s="16"/>
      <c r="K64" s="14"/>
      <c r="L64" s="17"/>
      <c r="M64" s="180"/>
      <c r="N64" s="14"/>
      <c r="O64" s="17"/>
      <c r="P64" s="18"/>
      <c r="Q64" s="19"/>
      <c r="R64" s="185"/>
      <c r="S64" s="397"/>
      <c r="T64" s="20"/>
      <c r="U64" s="20"/>
      <c r="V64" s="177"/>
      <c r="W64" s="182">
        <f t="shared" si="19"/>
        <v>0</v>
      </c>
      <c r="X64" s="84"/>
      <c r="Y64" s="84"/>
      <c r="Z64" s="419"/>
      <c r="AA64" s="418"/>
      <c r="AB64" s="18"/>
      <c r="AC64" s="55"/>
      <c r="AD64" s="402"/>
    </row>
    <row r="65" spans="1:32" ht="15" customHeight="1">
      <c r="A65" s="468"/>
      <c r="B65" s="177"/>
      <c r="C65" s="183"/>
      <c r="D65" s="11"/>
      <c r="E65" s="12"/>
      <c r="F65" s="13"/>
      <c r="G65" s="177"/>
      <c r="H65" s="15"/>
      <c r="I65" s="177"/>
      <c r="J65" s="16"/>
      <c r="K65" s="82"/>
      <c r="L65" s="83"/>
      <c r="M65" s="180"/>
      <c r="N65" s="14"/>
      <c r="O65" s="17"/>
      <c r="P65" s="18"/>
      <c r="Q65" s="19"/>
      <c r="R65" s="185"/>
      <c r="S65" s="397"/>
      <c r="T65" s="20"/>
      <c r="U65" s="20"/>
      <c r="V65" s="177"/>
      <c r="W65" s="182">
        <f t="shared" si="19"/>
        <v>0</v>
      </c>
      <c r="X65" s="84"/>
      <c r="Y65" s="84"/>
      <c r="Z65" s="419"/>
      <c r="AA65" s="418"/>
      <c r="AB65" s="18"/>
      <c r="AC65" s="55"/>
      <c r="AD65" s="402"/>
    </row>
    <row r="66" spans="1:32" ht="15" customHeight="1">
      <c r="A66" s="468"/>
      <c r="B66" s="26"/>
      <c r="C66" s="27"/>
      <c r="D66" s="28"/>
      <c r="E66" s="29"/>
      <c r="F66" s="13"/>
      <c r="G66" s="183"/>
      <c r="H66" s="15">
        <f t="shared" si="51"/>
        <v>0</v>
      </c>
      <c r="I66" s="85"/>
      <c r="J66" s="16"/>
      <c r="K66" s="14"/>
      <c r="L66" s="17"/>
      <c r="M66" s="21"/>
      <c r="N66" s="36"/>
      <c r="O66" s="38"/>
      <c r="P66" s="39"/>
      <c r="Q66" s="40"/>
      <c r="R66" s="68"/>
      <c r="S66" s="397"/>
      <c r="T66" s="20"/>
      <c r="U66" s="20"/>
      <c r="V66" s="177"/>
      <c r="W66" s="182">
        <f t="shared" si="19"/>
        <v>0</v>
      </c>
      <c r="X66" s="84"/>
      <c r="Y66" s="84"/>
      <c r="Z66" s="405"/>
      <c r="AA66" s="405"/>
      <c r="AB66" s="18"/>
      <c r="AC66" s="55"/>
      <c r="AD66" s="402"/>
    </row>
    <row r="67" spans="1:32" ht="15" customHeight="1">
      <c r="A67" s="468"/>
      <c r="B67" s="26"/>
      <c r="C67" s="27"/>
      <c r="D67" s="28"/>
      <c r="E67" s="29"/>
      <c r="F67" s="13"/>
      <c r="G67" s="177"/>
      <c r="H67" s="15">
        <f t="shared" si="51"/>
        <v>0</v>
      </c>
      <c r="I67" s="177"/>
      <c r="J67" s="16"/>
      <c r="K67" s="14"/>
      <c r="L67" s="17"/>
      <c r="M67" s="21"/>
      <c r="N67" s="36"/>
      <c r="O67" s="38"/>
      <c r="P67" s="39"/>
      <c r="Q67" s="40"/>
      <c r="R67" s="68"/>
      <c r="S67" s="397"/>
      <c r="T67" s="20"/>
      <c r="U67" s="20"/>
      <c r="V67" s="177"/>
      <c r="W67" s="182">
        <f t="shared" si="19"/>
        <v>0</v>
      </c>
      <c r="X67" s="84"/>
      <c r="Y67" s="84"/>
      <c r="Z67" s="419"/>
      <c r="AA67" s="418"/>
      <c r="AB67" s="18"/>
      <c r="AC67" s="55"/>
      <c r="AD67" s="402"/>
    </row>
    <row r="68" spans="1:32" ht="15" customHeight="1">
      <c r="A68" s="468"/>
      <c r="B68" s="26"/>
      <c r="C68" s="27"/>
      <c r="D68" s="28"/>
      <c r="E68" s="29"/>
      <c r="F68" s="13"/>
      <c r="G68" s="183"/>
      <c r="H68" s="15">
        <f t="shared" si="51"/>
        <v>0</v>
      </c>
      <c r="I68" s="85"/>
      <c r="J68" s="16"/>
      <c r="K68" s="260"/>
      <c r="L68" s="261"/>
      <c r="M68" s="21"/>
      <c r="N68" s="36"/>
      <c r="O68" s="38"/>
      <c r="P68" s="39"/>
      <c r="Q68" s="40"/>
      <c r="R68" s="68"/>
      <c r="S68" s="397"/>
      <c r="T68" s="20"/>
      <c r="U68" s="20"/>
      <c r="V68" s="177"/>
      <c r="W68" s="182">
        <f t="shared" si="19"/>
        <v>0</v>
      </c>
      <c r="X68" s="84"/>
      <c r="Y68" s="84"/>
      <c r="Z68" s="419" t="s">
        <v>240</v>
      </c>
      <c r="AA68" s="418"/>
      <c r="AB68" s="18"/>
      <c r="AC68" s="55"/>
      <c r="AD68" s="402"/>
    </row>
    <row r="69" spans="1:32" ht="15" customHeight="1" thickBot="1">
      <c r="A69" s="469"/>
      <c r="B69" s="165"/>
      <c r="C69" s="1" t="s">
        <v>39</v>
      </c>
      <c r="D69" s="410" t="s">
        <v>7</v>
      </c>
      <c r="E69" s="410"/>
      <c r="F69" s="114"/>
      <c r="G69" s="115"/>
      <c r="H69" s="116"/>
      <c r="I69" s="170"/>
      <c r="J69" s="166">
        <f t="shared" ref="J69:O69" si="64">AVERAGE(J59:J68)</f>
        <v>12.4</v>
      </c>
      <c r="K69" s="166">
        <f t="shared" si="64"/>
        <v>1565</v>
      </c>
      <c r="L69" s="171">
        <f t="shared" si="64"/>
        <v>126.40384615384615</v>
      </c>
      <c r="M69" s="166">
        <f t="shared" si="64"/>
        <v>12.4</v>
      </c>
      <c r="N69" s="166">
        <f t="shared" si="64"/>
        <v>1357.4939108874419</v>
      </c>
      <c r="O69" s="171">
        <f t="shared" si="64"/>
        <v>109.21809335149494</v>
      </c>
      <c r="P69" s="172">
        <f>M69-J69</f>
        <v>0</v>
      </c>
      <c r="Q69" s="158">
        <f>N69-K69</f>
        <v>-207.50608911255813</v>
      </c>
      <c r="R69" s="121">
        <f>O69/L69</f>
        <v>0.86404090282637114</v>
      </c>
      <c r="S69" s="399"/>
      <c r="T69" s="122"/>
      <c r="U69" s="122"/>
      <c r="V69" s="195"/>
      <c r="W69" s="168"/>
      <c r="X69" s="124"/>
      <c r="Y69" s="124"/>
      <c r="Z69" s="405"/>
      <c r="AA69" s="405"/>
      <c r="AB69" s="119">
        <f>N69-K69</f>
        <v>-207.50608911255813</v>
      </c>
      <c r="AC69" s="187">
        <f>N69/K69</f>
        <v>0.86740824976833342</v>
      </c>
      <c r="AD69" s="404"/>
    </row>
    <row r="70" spans="1:32" ht="15" customHeight="1">
      <c r="A70" s="461" t="s">
        <v>58</v>
      </c>
      <c r="B70" s="199"/>
      <c r="C70" s="199"/>
      <c r="D70" s="103"/>
      <c r="E70" s="104"/>
      <c r="F70" s="199"/>
      <c r="G70" s="188"/>
      <c r="H70" s="106"/>
      <c r="I70" s="188"/>
      <c r="J70" s="108"/>
      <c r="K70" s="105"/>
      <c r="L70" s="109"/>
      <c r="M70" s="110"/>
      <c r="N70" s="105"/>
      <c r="O70" s="109"/>
      <c r="P70" s="111"/>
      <c r="Q70" s="112"/>
      <c r="R70" s="184"/>
      <c r="S70" s="396">
        <f>R79</f>
        <v>0</v>
      </c>
      <c r="T70" s="169"/>
      <c r="U70" s="169"/>
      <c r="V70" s="188"/>
      <c r="W70" s="107">
        <f t="shared" si="19"/>
        <v>0</v>
      </c>
      <c r="X70" s="296"/>
      <c r="Y70" s="296"/>
      <c r="Z70" s="465"/>
      <c r="AA70" s="427"/>
      <c r="AB70" s="225">
        <f t="shared" ref="AB70" si="65">N70-K70</f>
        <v>0</v>
      </c>
      <c r="AC70" s="226" t="e">
        <f t="shared" ref="AC70" si="66">N70/K70</f>
        <v>#DIV/0!</v>
      </c>
      <c r="AD70" s="401" t="e">
        <f>AC79</f>
        <v>#DIV/0!</v>
      </c>
    </row>
    <row r="71" spans="1:32" ht="15" customHeight="1">
      <c r="A71" s="462"/>
      <c r="B71" s="56"/>
      <c r="C71" s="10"/>
      <c r="D71" s="11"/>
      <c r="E71" s="86"/>
      <c r="F71" s="56"/>
      <c r="G71" s="66"/>
      <c r="H71" s="76"/>
      <c r="I71" s="193"/>
      <c r="J71" s="16"/>
      <c r="K71" s="14"/>
      <c r="L71" s="17"/>
      <c r="M71" s="180"/>
      <c r="N71" s="14"/>
      <c r="O71" s="17"/>
      <c r="P71" s="18"/>
      <c r="Q71" s="19"/>
      <c r="R71" s="185"/>
      <c r="S71" s="397"/>
      <c r="T71" s="20"/>
      <c r="U71" s="20"/>
      <c r="V71" s="177"/>
      <c r="W71" s="182">
        <f t="shared" si="19"/>
        <v>0</v>
      </c>
      <c r="X71" s="298"/>
      <c r="Y71" s="299"/>
      <c r="Z71" s="439"/>
      <c r="AA71" s="440"/>
      <c r="AB71" s="39"/>
      <c r="AC71" s="190"/>
      <c r="AD71" s="447"/>
    </row>
    <row r="72" spans="1:32" ht="15" customHeight="1">
      <c r="A72" s="462"/>
      <c r="B72" s="56"/>
      <c r="C72" s="10"/>
      <c r="D72" s="11"/>
      <c r="E72" s="86"/>
      <c r="F72" s="56"/>
      <c r="G72" s="66"/>
      <c r="H72" s="76"/>
      <c r="I72" s="193"/>
      <c r="J72" s="16"/>
      <c r="K72" s="14"/>
      <c r="L72" s="17"/>
      <c r="M72" s="180"/>
      <c r="N72" s="14"/>
      <c r="O72" s="17"/>
      <c r="P72" s="18"/>
      <c r="Q72" s="19"/>
      <c r="R72" s="185"/>
      <c r="S72" s="397"/>
      <c r="T72" s="20"/>
      <c r="U72" s="20"/>
      <c r="V72" s="177"/>
      <c r="W72" s="182">
        <f t="shared" si="19"/>
        <v>0</v>
      </c>
      <c r="X72" s="297"/>
      <c r="Y72" s="297"/>
      <c r="Z72" s="405"/>
      <c r="AA72" s="419"/>
      <c r="AB72" s="39"/>
      <c r="AC72" s="190"/>
      <c r="AD72" s="447"/>
    </row>
    <row r="73" spans="1:32" ht="15" customHeight="1">
      <c r="A73" s="462"/>
      <c r="B73" s="56"/>
      <c r="C73" s="23"/>
      <c r="D73" s="11"/>
      <c r="E73" s="12"/>
      <c r="F73" s="56"/>
      <c r="G73" s="66"/>
      <c r="H73" s="76"/>
      <c r="I73" s="193"/>
      <c r="J73" s="16"/>
      <c r="K73" s="14"/>
      <c r="L73" s="17"/>
      <c r="M73" s="180"/>
      <c r="N73" s="14"/>
      <c r="O73" s="17"/>
      <c r="P73" s="18"/>
      <c r="Q73" s="19"/>
      <c r="R73" s="185"/>
      <c r="S73" s="397"/>
      <c r="T73" s="20"/>
      <c r="U73" s="20"/>
      <c r="V73" s="177"/>
      <c r="W73" s="182">
        <f t="shared" si="19"/>
        <v>0</v>
      </c>
      <c r="X73" s="22"/>
      <c r="Y73" s="22"/>
      <c r="Z73" s="405"/>
      <c r="AA73" s="419"/>
      <c r="AB73" s="39"/>
      <c r="AC73" s="190"/>
      <c r="AD73" s="447"/>
    </row>
    <row r="74" spans="1:32" ht="15" customHeight="1">
      <c r="A74" s="462"/>
      <c r="B74" s="56"/>
      <c r="C74" s="249"/>
      <c r="D74" s="250"/>
      <c r="E74" s="251"/>
      <c r="F74" s="56"/>
      <c r="G74" s="238"/>
      <c r="H74" s="76">
        <f t="shared" ref="H74:H78" si="67">F74*G74</f>
        <v>0</v>
      </c>
      <c r="I74" s="81"/>
      <c r="J74" s="234"/>
      <c r="K74" s="36"/>
      <c r="L74" s="235"/>
      <c r="M74" s="21"/>
      <c r="N74" s="36"/>
      <c r="O74" s="38"/>
      <c r="P74" s="39"/>
      <c r="Q74" s="40"/>
      <c r="R74" s="190"/>
      <c r="S74" s="397"/>
      <c r="T74" s="20"/>
      <c r="U74" s="20"/>
      <c r="V74" s="177"/>
      <c r="W74" s="182">
        <f t="shared" si="19"/>
        <v>0</v>
      </c>
      <c r="X74" s="22"/>
      <c r="Y74" s="22"/>
      <c r="Z74" s="405"/>
      <c r="AA74" s="419"/>
      <c r="AB74" s="39"/>
      <c r="AC74" s="190"/>
      <c r="AD74" s="447"/>
    </row>
    <row r="75" spans="1:32" ht="15" customHeight="1">
      <c r="A75" s="462"/>
      <c r="B75" s="177"/>
      <c r="C75" s="183"/>
      <c r="D75" s="11"/>
      <c r="E75" s="12"/>
      <c r="F75" s="13"/>
      <c r="G75" s="177"/>
      <c r="H75" s="15">
        <f t="shared" si="67"/>
        <v>0</v>
      </c>
      <c r="I75" s="81"/>
      <c r="J75" s="87"/>
      <c r="K75" s="82"/>
      <c r="L75" s="83"/>
      <c r="M75" s="181"/>
      <c r="N75" s="82"/>
      <c r="O75" s="83"/>
      <c r="P75" s="73"/>
      <c r="Q75" s="74"/>
      <c r="R75" s="192"/>
      <c r="S75" s="397"/>
      <c r="T75" s="20"/>
      <c r="U75" s="20"/>
      <c r="V75" s="177"/>
      <c r="W75" s="88">
        <f t="shared" si="19"/>
        <v>0</v>
      </c>
      <c r="X75" s="89"/>
      <c r="Y75" s="89"/>
      <c r="Z75" s="406"/>
      <c r="AA75" s="406"/>
      <c r="AB75" s="306"/>
      <c r="AC75" s="307"/>
      <c r="AD75" s="402"/>
    </row>
    <row r="76" spans="1:32" ht="15" customHeight="1">
      <c r="A76" s="462"/>
      <c r="B76" s="26"/>
      <c r="C76" s="27"/>
      <c r="D76" s="28"/>
      <c r="E76" s="29"/>
      <c r="F76" s="13"/>
      <c r="G76" s="177"/>
      <c r="H76" s="15">
        <f t="shared" si="67"/>
        <v>0</v>
      </c>
      <c r="I76" s="81"/>
      <c r="J76" s="87"/>
      <c r="K76" s="82"/>
      <c r="L76" s="83"/>
      <c r="M76" s="181"/>
      <c r="N76" s="82"/>
      <c r="O76" s="83"/>
      <c r="P76" s="73"/>
      <c r="Q76" s="74"/>
      <c r="R76" s="192"/>
      <c r="S76" s="398"/>
      <c r="T76" s="20"/>
      <c r="U76" s="20"/>
      <c r="V76" s="177"/>
      <c r="W76" s="90">
        <f t="shared" si="19"/>
        <v>0</v>
      </c>
      <c r="X76" s="78"/>
      <c r="Y76" s="78"/>
      <c r="Z76" s="445"/>
      <c r="AA76" s="445"/>
      <c r="AB76" s="51"/>
      <c r="AC76" s="52"/>
      <c r="AD76" s="403"/>
    </row>
    <row r="77" spans="1:32" ht="15" customHeight="1">
      <c r="A77" s="462"/>
      <c r="B77" s="26"/>
      <c r="C77" s="27"/>
      <c r="D77" s="28"/>
      <c r="E77" s="29"/>
      <c r="F77" s="13"/>
      <c r="G77" s="177"/>
      <c r="H77" s="15">
        <f t="shared" si="67"/>
        <v>0</v>
      </c>
      <c r="I77" s="81"/>
      <c r="J77" s="87"/>
      <c r="K77" s="82"/>
      <c r="L77" s="83"/>
      <c r="M77" s="181"/>
      <c r="N77" s="82"/>
      <c r="O77" s="83"/>
      <c r="P77" s="73"/>
      <c r="Q77" s="74"/>
      <c r="R77" s="192"/>
      <c r="S77" s="398"/>
      <c r="T77" s="20"/>
      <c r="U77" s="20"/>
      <c r="V77" s="177"/>
      <c r="W77" s="182">
        <f t="shared" si="19"/>
        <v>0</v>
      </c>
      <c r="X77" s="84"/>
      <c r="Y77" s="84"/>
      <c r="Z77" s="405"/>
      <c r="AA77" s="405"/>
      <c r="AB77" s="18"/>
      <c r="AC77" s="55"/>
      <c r="AD77" s="403"/>
    </row>
    <row r="78" spans="1:32" ht="15" customHeight="1">
      <c r="A78" s="462"/>
      <c r="B78" s="26"/>
      <c r="C78" s="27"/>
      <c r="D78" s="28"/>
      <c r="E78" s="29"/>
      <c r="F78" s="13"/>
      <c r="G78" s="177"/>
      <c r="H78" s="15">
        <f t="shared" si="67"/>
        <v>0</v>
      </c>
      <c r="I78" s="85"/>
      <c r="J78" s="37"/>
      <c r="K78" s="36"/>
      <c r="L78" s="83"/>
      <c r="M78" s="21"/>
      <c r="N78" s="36"/>
      <c r="O78" s="38"/>
      <c r="P78" s="39"/>
      <c r="Q78" s="40"/>
      <c r="R78" s="190"/>
      <c r="S78" s="464"/>
      <c r="T78" s="32"/>
      <c r="U78" s="32"/>
      <c r="V78" s="178"/>
      <c r="W78" s="182">
        <f t="shared" si="19"/>
        <v>0</v>
      </c>
      <c r="X78" s="91"/>
      <c r="Y78" s="91"/>
      <c r="Z78" s="405"/>
      <c r="AA78" s="405"/>
      <c r="AB78" s="34"/>
      <c r="AC78" s="57"/>
      <c r="AD78" s="403"/>
    </row>
    <row r="79" spans="1:32" ht="15" customHeight="1" thickBot="1">
      <c r="A79" s="463"/>
      <c r="B79" s="165"/>
      <c r="C79" s="1" t="s">
        <v>40</v>
      </c>
      <c r="D79" s="410" t="s">
        <v>7</v>
      </c>
      <c r="E79" s="410"/>
      <c r="F79" s="114"/>
      <c r="G79" s="115"/>
      <c r="H79" s="173"/>
      <c r="I79" s="171"/>
      <c r="J79" s="166" t="e">
        <f t="shared" ref="J79" si="68">AVERAGE(J70:J78)</f>
        <v>#DIV/0!</v>
      </c>
      <c r="K79" s="166"/>
      <c r="L79" s="171"/>
      <c r="M79" s="166"/>
      <c r="N79" s="166"/>
      <c r="O79" s="171"/>
      <c r="P79" s="172"/>
      <c r="Q79" s="158"/>
      <c r="R79" s="159"/>
      <c r="S79" s="399"/>
      <c r="T79" s="122"/>
      <c r="U79" s="122"/>
      <c r="V79" s="195"/>
      <c r="W79" s="168"/>
      <c r="X79" s="124"/>
      <c r="Y79" s="124"/>
      <c r="Z79" s="391"/>
      <c r="AA79" s="391"/>
      <c r="AB79" s="119">
        <f>N79-K79</f>
        <v>0</v>
      </c>
      <c r="AC79" s="187" t="e">
        <f>N79/K79</f>
        <v>#DIV/0!</v>
      </c>
      <c r="AD79" s="404"/>
    </row>
    <row r="80" spans="1:32">
      <c r="AF80" s="93" t="s">
        <v>41</v>
      </c>
    </row>
    <row r="81" spans="4:32">
      <c r="AF81" s="93" t="s">
        <v>42</v>
      </c>
    </row>
    <row r="82" spans="4:32">
      <c r="AF82" s="93" t="s">
        <v>43</v>
      </c>
    </row>
    <row r="83" spans="4:32">
      <c r="D83" s="220"/>
      <c r="W83" s="6"/>
      <c r="AF83" s="93" t="s">
        <v>44</v>
      </c>
    </row>
    <row r="84" spans="4:32">
      <c r="D84" s="224"/>
      <c r="W84" s="6"/>
      <c r="AF84" s="93" t="s">
        <v>45</v>
      </c>
    </row>
    <row r="85" spans="4:32">
      <c r="D85" s="224"/>
      <c r="W85" s="6"/>
      <c r="AF85" s="93" t="s">
        <v>46</v>
      </c>
    </row>
    <row r="86" spans="4:32">
      <c r="D86" s="155"/>
      <c r="W86" s="6"/>
      <c r="AF86" s="93" t="s">
        <v>47</v>
      </c>
    </row>
    <row r="87" spans="4:32">
      <c r="W87" s="6"/>
      <c r="AF87" s="93" t="s">
        <v>48</v>
      </c>
    </row>
    <row r="88" spans="4:32">
      <c r="W88" s="6"/>
      <c r="AF88" s="93" t="s">
        <v>49</v>
      </c>
    </row>
    <row r="89" spans="4:32">
      <c r="W89" s="6"/>
      <c r="AF89" s="93" t="s">
        <v>50</v>
      </c>
    </row>
    <row r="90" spans="4:32">
      <c r="W90" s="6"/>
      <c r="AF90" s="93" t="s">
        <v>51</v>
      </c>
    </row>
    <row r="91" spans="4:32">
      <c r="W91" s="6"/>
      <c r="AF91" s="93" t="s">
        <v>52</v>
      </c>
    </row>
    <row r="92" spans="4:32">
      <c r="W92" s="6"/>
      <c r="AF92" s="93" t="s">
        <v>53</v>
      </c>
    </row>
  </sheetData>
  <autoFilter ref="D1:D92" xr:uid="{EF5AD393-5A39-4C0E-A7B0-465235F2AB14}"/>
  <mergeCells count="135"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  <mergeCell ref="D69:E69"/>
    <mergeCell ref="Z69:AA69"/>
    <mergeCell ref="A70:A79"/>
    <mergeCell ref="S70:S79"/>
    <mergeCell ref="Z70:AA70"/>
    <mergeCell ref="D79:E79"/>
    <mergeCell ref="A59:A69"/>
    <mergeCell ref="S59:S69"/>
    <mergeCell ref="Z59:AA59"/>
    <mergeCell ref="AD59:AD69"/>
    <mergeCell ref="Z60:AA60"/>
    <mergeCell ref="Z61:AA61"/>
    <mergeCell ref="Z62:AA62"/>
    <mergeCell ref="Z63:AA63"/>
    <mergeCell ref="Z64:AA64"/>
    <mergeCell ref="Z65:AA65"/>
    <mergeCell ref="AD49:AD58"/>
    <mergeCell ref="Z50:AA50"/>
    <mergeCell ref="Z51:AA51"/>
    <mergeCell ref="Z52:AA52"/>
    <mergeCell ref="Z53:AA53"/>
    <mergeCell ref="Z54:AA54"/>
    <mergeCell ref="Z55:AA55"/>
    <mergeCell ref="Z56:AA56"/>
    <mergeCell ref="Z57:AA57"/>
    <mergeCell ref="Z58:AA58"/>
    <mergeCell ref="Z66:AA66"/>
    <mergeCell ref="Z67:AA67"/>
    <mergeCell ref="Z68:AA68"/>
    <mergeCell ref="D48:E48"/>
    <mergeCell ref="Z48:AA48"/>
    <mergeCell ref="A49:A58"/>
    <mergeCell ref="S49:S58"/>
    <mergeCell ref="Z49:AA49"/>
    <mergeCell ref="D58:E58"/>
    <mergeCell ref="A38:A48"/>
    <mergeCell ref="S38:S48"/>
    <mergeCell ref="Z38:AA38"/>
    <mergeCell ref="AD38:AD48"/>
    <mergeCell ref="Z39:AA39"/>
    <mergeCell ref="Z40:AA40"/>
    <mergeCell ref="Z41:AA41"/>
    <mergeCell ref="Z42:AA42"/>
    <mergeCell ref="Z43:AA43"/>
    <mergeCell ref="Z44:AA44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Z45:AA45"/>
    <mergeCell ref="Z46:AA46"/>
    <mergeCell ref="Z47:AA47"/>
    <mergeCell ref="D26:E26"/>
    <mergeCell ref="Z26:AA26"/>
    <mergeCell ref="A27:A37"/>
    <mergeCell ref="S27:S37"/>
    <mergeCell ref="Z27:AA27"/>
    <mergeCell ref="D37:E37"/>
    <mergeCell ref="Z37:AA37"/>
    <mergeCell ref="A16:A26"/>
    <mergeCell ref="S16:S26"/>
    <mergeCell ref="Z16:AA16"/>
    <mergeCell ref="AD16:AD26"/>
    <mergeCell ref="Z17:AA17"/>
    <mergeCell ref="Z18:AA18"/>
    <mergeCell ref="Z19:AA19"/>
    <mergeCell ref="Z20:AA20"/>
    <mergeCell ref="Z21:AA21"/>
    <mergeCell ref="Z22:AA22"/>
    <mergeCell ref="Z10:AA10"/>
    <mergeCell ref="Z11:AA11"/>
    <mergeCell ref="Z12:AA12"/>
    <mergeCell ref="Z13:AA13"/>
    <mergeCell ref="Z14:AA14"/>
    <mergeCell ref="Z23:AA23"/>
    <mergeCell ref="Z24:AA24"/>
    <mergeCell ref="Z25:AA25"/>
    <mergeCell ref="Z15:AA15"/>
    <mergeCell ref="S5:S15"/>
    <mergeCell ref="Z5:AA5"/>
    <mergeCell ref="AD5:AD15"/>
    <mergeCell ref="Z6:AA6"/>
    <mergeCell ref="Z7:AA7"/>
    <mergeCell ref="Z8:AA8"/>
    <mergeCell ref="Z9:AA9"/>
    <mergeCell ref="T3:U3"/>
    <mergeCell ref="V3:V4"/>
    <mergeCell ref="W3:W4"/>
    <mergeCell ref="X3:Y3"/>
    <mergeCell ref="Z3:AA4"/>
    <mergeCell ref="AB3:AB4"/>
    <mergeCell ref="S3:S4"/>
    <mergeCell ref="A2:B2"/>
    <mergeCell ref="A3:A4"/>
    <mergeCell ref="B3:B4"/>
    <mergeCell ref="D3:E4"/>
    <mergeCell ref="F3:F4"/>
    <mergeCell ref="G3:G4"/>
    <mergeCell ref="J1:L2"/>
    <mergeCell ref="M1:O2"/>
    <mergeCell ref="D15:E15"/>
    <mergeCell ref="A5:A15"/>
    <mergeCell ref="N3:N4"/>
    <mergeCell ref="O3:O4"/>
    <mergeCell ref="P1:S2"/>
    <mergeCell ref="T1:Y2"/>
    <mergeCell ref="Z1:AA2"/>
    <mergeCell ref="AB1:AD2"/>
    <mergeCell ref="H3:H4"/>
    <mergeCell ref="I3:I4"/>
    <mergeCell ref="J3:J4"/>
    <mergeCell ref="K3:K4"/>
    <mergeCell ref="L3:L4"/>
    <mergeCell ref="M3:M4"/>
    <mergeCell ref="AC3:AC4"/>
    <mergeCell ref="AD3:AD4"/>
    <mergeCell ref="P3:P4"/>
    <mergeCell ref="Q3:Q4"/>
    <mergeCell ref="R3:R4"/>
  </mergeCells>
  <phoneticPr fontId="2" type="noConversion"/>
  <conditionalFormatting sqref="P5:P79">
    <cfRule type="cellIs" dxfId="58" priority="1" operator="greaterThan">
      <formula>0</formula>
    </cfRule>
  </conditionalFormatting>
  <conditionalFormatting sqref="Q5:Q79 AB5:AB79">
    <cfRule type="cellIs" dxfId="57" priority="4" operator="lessThan">
      <formula>0</formula>
    </cfRule>
  </conditionalFormatting>
  <conditionalFormatting sqref="R5:R79 AC5:AC79">
    <cfRule type="cellIs" dxfId="56" priority="2" operator="greaterThan">
      <formula>1</formula>
    </cfRule>
    <cfRule type="cellIs" dxfId="55" priority="3" operator="lessThan">
      <formula>0.8</formula>
    </cfRule>
  </conditionalFormatting>
  <conditionalFormatting sqref="S5:S10 S37:S62 AD59:AD62 S69:S76 AD69:AD76">
    <cfRule type="cellIs" dxfId="54" priority="7" operator="lessThan">
      <formula>0.8</formula>
    </cfRule>
  </conditionalFormatting>
  <conditionalFormatting sqref="S19:S25 AD19:AD25">
    <cfRule type="cellIs" dxfId="53" priority="6" operator="lessThan">
      <formula>0.8</formula>
    </cfRule>
  </conditionalFormatting>
  <conditionalFormatting sqref="S79">
    <cfRule type="cellIs" dxfId="52" priority="5" operator="lessThan">
      <formula>0.8</formula>
    </cfRule>
  </conditionalFormatting>
  <conditionalFormatting sqref="AD5:AD8 S15:S16 AD15:AD16 AD49 AD79">
    <cfRule type="cellIs" dxfId="51" priority="9" operator="lessThan">
      <formula>0.8</formula>
    </cfRule>
  </conditionalFormatting>
  <conditionalFormatting sqref="AD27 S27:S28">
    <cfRule type="cellIs" dxfId="5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BCC6FFC-D124-477B-8BEF-B13E842675A2}">
          <x14:formula1>
            <xm:f>廠價表!$C$2:$C$37</xm:f>
          </x14:formula1>
          <xm:sqref>D1:D1048576</xm:sqref>
        </x14:dataValidation>
      </x14:dataValidations>
    </ext>
  </extLst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A2AD9-C7FD-4DFA-AA52-93D4746B2B2C}">
  <sheetPr>
    <pageSetUpPr fitToPage="1"/>
  </sheetPr>
  <dimension ref="B1:O22"/>
  <sheetViews>
    <sheetView zoomScale="70" zoomScaleNormal="70" workbookViewId="0">
      <selection activeCell="J7" sqref="J7:K7"/>
    </sheetView>
  </sheetViews>
  <sheetFormatPr defaultColWidth="8.125" defaultRowHeight="15.75"/>
  <cols>
    <col min="1" max="1" width="8.125" style="203"/>
    <col min="2" max="2" width="7.125" style="203" customWidth="1"/>
    <col min="3" max="3" width="7.125" style="218" customWidth="1"/>
    <col min="4" max="17" width="14.125" style="203" customWidth="1"/>
    <col min="18" max="21" width="9.625" style="203" customWidth="1"/>
    <col min="22" max="22" width="11.125" style="203" customWidth="1"/>
    <col min="23" max="23" width="11.5" style="203" customWidth="1"/>
    <col min="24" max="16384" width="8.125" style="203"/>
  </cols>
  <sheetData>
    <row r="1" spans="2:15" ht="27.75" customHeight="1">
      <c r="B1" s="345" t="s">
        <v>73</v>
      </c>
      <c r="C1" s="345"/>
      <c r="D1" s="345"/>
      <c r="E1" s="345"/>
      <c r="F1" s="345"/>
      <c r="G1" s="345"/>
      <c r="H1" s="345"/>
      <c r="I1" s="345"/>
      <c r="J1" s="345"/>
      <c r="K1" s="345"/>
      <c r="L1" s="202"/>
      <c r="M1" s="202"/>
    </row>
    <row r="2" spans="2:15" ht="27.75" customHeight="1"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202"/>
      <c r="M2" s="202"/>
    </row>
    <row r="3" spans="2:15" ht="46.5" customHeight="1">
      <c r="B3" s="342" t="s">
        <v>74</v>
      </c>
      <c r="C3" s="342"/>
      <c r="D3" s="346">
        <v>45987</v>
      </c>
      <c r="E3" s="346"/>
      <c r="F3" s="204" t="s">
        <v>75</v>
      </c>
      <c r="G3" s="347">
        <f>'1126'!E1</f>
        <v>47992</v>
      </c>
      <c r="H3" s="347"/>
      <c r="I3" s="204" t="s">
        <v>76</v>
      </c>
      <c r="J3" s="348">
        <f>'1126'!G1</f>
        <v>2326809.3000000003</v>
      </c>
      <c r="K3" s="348"/>
      <c r="L3" s="205"/>
    </row>
    <row r="4" spans="2:15" ht="24" customHeight="1">
      <c r="B4" s="342" t="s">
        <v>77</v>
      </c>
      <c r="C4" s="342"/>
      <c r="D4" s="343">
        <v>3</v>
      </c>
      <c r="E4" s="343"/>
      <c r="F4" s="344" t="s">
        <v>78</v>
      </c>
      <c r="G4" s="344"/>
      <c r="H4" s="344" t="s">
        <v>79</v>
      </c>
      <c r="I4" s="344"/>
      <c r="J4" s="343" t="s">
        <v>80</v>
      </c>
      <c r="K4" s="344"/>
      <c r="L4" s="206"/>
    </row>
    <row r="5" spans="2:15" ht="24" customHeight="1">
      <c r="B5" s="342" t="s">
        <v>81</v>
      </c>
      <c r="C5" s="342"/>
      <c r="D5" s="343" t="s">
        <v>82</v>
      </c>
      <c r="E5" s="343"/>
      <c r="F5" s="343" t="s">
        <v>83</v>
      </c>
      <c r="G5" s="343"/>
      <c r="H5" s="369" t="s">
        <v>62</v>
      </c>
      <c r="I5" s="369"/>
      <c r="J5" s="341" t="s">
        <v>84</v>
      </c>
      <c r="K5" s="341"/>
      <c r="L5" s="207"/>
    </row>
    <row r="6" spans="2:15" ht="39.6" customHeight="1">
      <c r="B6" s="342"/>
      <c r="C6" s="342"/>
      <c r="D6" s="342" t="s">
        <v>85</v>
      </c>
      <c r="E6" s="342"/>
      <c r="F6" s="356">
        <f>AVERAGE(D13:J13)</f>
        <v>116.20767386194245</v>
      </c>
      <c r="G6" s="356"/>
      <c r="H6" s="349">
        <f>AVERAGE(D13:H13)</f>
        <v>114.16843940356171</v>
      </c>
      <c r="I6" s="349"/>
      <c r="J6" s="349">
        <f>AVERAGE(I13:J13)</f>
        <v>126.40384615384615</v>
      </c>
      <c r="K6" s="349"/>
      <c r="L6" s="207"/>
    </row>
    <row r="7" spans="2:15" s="208" customFormat="1" ht="39.6" customHeight="1">
      <c r="B7" s="342"/>
      <c r="C7" s="342"/>
      <c r="D7" s="350" t="s">
        <v>86</v>
      </c>
      <c r="E7" s="350"/>
      <c r="F7" s="351">
        <f>AVERAGE(D14:J14)</f>
        <v>98.307486262112477</v>
      </c>
      <c r="G7" s="351"/>
      <c r="H7" s="352">
        <f>AVERAGE(D14:H14)</f>
        <v>95.400610523889242</v>
      </c>
      <c r="I7" s="352"/>
      <c r="J7" s="352">
        <f>AVERAGE(I14:J14)</f>
        <v>112.84186495322861</v>
      </c>
      <c r="K7" s="352"/>
    </row>
    <row r="8" spans="2:15" s="208" customFormat="1" ht="39.6" customHeight="1">
      <c r="B8" s="342"/>
      <c r="C8" s="342"/>
      <c r="D8" s="350" t="s">
        <v>87</v>
      </c>
      <c r="E8" s="350"/>
      <c r="F8" s="353">
        <f>AVERAGE(D15:J15)</f>
        <v>0.85041978670595009</v>
      </c>
      <c r="G8" s="353"/>
      <c r="H8" s="353">
        <f>AVERAGE(D15:H15)</f>
        <v>0.84196192212205589</v>
      </c>
      <c r="I8" s="353"/>
      <c r="J8" s="353">
        <f>AVERAGE(I15:J15)</f>
        <v>0.89270910962542038</v>
      </c>
      <c r="K8" s="353"/>
      <c r="L8" s="209" t="s">
        <v>88</v>
      </c>
    </row>
    <row r="9" spans="2:15" ht="25.5" customHeight="1">
      <c r="B9" s="207"/>
      <c r="C9" s="207"/>
      <c r="D9" s="207"/>
      <c r="E9" s="207"/>
      <c r="F9" s="207"/>
      <c r="G9" s="207"/>
      <c r="H9" s="210"/>
      <c r="I9" s="211"/>
      <c r="J9" s="211"/>
      <c r="K9" s="211"/>
      <c r="L9" s="211"/>
      <c r="M9" s="211"/>
      <c r="N9" s="211"/>
      <c r="O9" s="207"/>
    </row>
    <row r="10" spans="2:15" ht="30" customHeight="1">
      <c r="B10" s="354" t="s">
        <v>0</v>
      </c>
      <c r="C10" s="355"/>
      <c r="D10" s="357" t="s">
        <v>89</v>
      </c>
      <c r="E10" s="358"/>
      <c r="F10" s="358"/>
      <c r="G10" s="358"/>
      <c r="H10" s="358"/>
      <c r="I10" s="358"/>
      <c r="J10" s="359"/>
    </row>
    <row r="11" spans="2:15" ht="17.25" customHeight="1">
      <c r="B11" s="360" t="s">
        <v>90</v>
      </c>
      <c r="C11" s="361"/>
      <c r="D11" s="212">
        <v>1</v>
      </c>
      <c r="E11" s="212">
        <v>2</v>
      </c>
      <c r="F11" s="212">
        <v>3</v>
      </c>
      <c r="G11" s="212">
        <v>4</v>
      </c>
      <c r="H11" s="212">
        <v>5</v>
      </c>
      <c r="I11" s="212">
        <v>6</v>
      </c>
      <c r="J11" s="212">
        <v>7</v>
      </c>
    </row>
    <row r="12" spans="2:15" ht="33.950000000000003" customHeight="1">
      <c r="B12" s="362"/>
      <c r="C12" s="363"/>
      <c r="D12" s="213" t="s">
        <v>91</v>
      </c>
      <c r="E12" s="213" t="s">
        <v>92</v>
      </c>
      <c r="F12" s="213" t="s">
        <v>93</v>
      </c>
      <c r="G12" s="213" t="s">
        <v>94</v>
      </c>
      <c r="H12" s="213" t="s">
        <v>95</v>
      </c>
      <c r="I12" s="213" t="s">
        <v>96</v>
      </c>
      <c r="J12" s="213" t="s">
        <v>232</v>
      </c>
    </row>
    <row r="13" spans="2:15" ht="39.950000000000003" customHeight="1">
      <c r="B13" s="364" t="s">
        <v>1</v>
      </c>
      <c r="C13" s="214" t="s">
        <v>98</v>
      </c>
      <c r="D13" s="215">
        <f>VALUE('1126'!L15)</f>
        <v>136.91288084464554</v>
      </c>
      <c r="E13" s="215">
        <f>VALUE('1126'!L26)</f>
        <v>160.58974358974359</v>
      </c>
      <c r="F13" s="215">
        <f>VALUE('1126'!L37)</f>
        <v>92.250816993464056</v>
      </c>
      <c r="G13" s="215">
        <f>VALUE('1126'!L48)</f>
        <v>93.037499999999994</v>
      </c>
      <c r="H13" s="215">
        <f>VALUE('1126'!L58)</f>
        <v>88.051255589955289</v>
      </c>
      <c r="I13" s="215">
        <f>VALUE('1126'!L69)</f>
        <v>126.40384615384615</v>
      </c>
      <c r="J13" s="215"/>
    </row>
    <row r="14" spans="2:15" ht="39.950000000000003" customHeight="1">
      <c r="B14" s="365"/>
      <c r="C14" s="214" t="s">
        <v>99</v>
      </c>
      <c r="D14" s="215">
        <f>VALUE('1126'!O15)</f>
        <v>114.54128701724906</v>
      </c>
      <c r="E14" s="215">
        <f>VALUE('1126'!O26)</f>
        <v>127.51721525130222</v>
      </c>
      <c r="F14" s="215">
        <f>VALUE('1126'!O37)</f>
        <v>86.487275145697112</v>
      </c>
      <c r="G14" s="215">
        <f>VALUE('1126'!O48)</f>
        <v>72.948817466041575</v>
      </c>
      <c r="H14" s="215">
        <f>VALUE('1126'!O58)</f>
        <v>75.508457739156256</v>
      </c>
      <c r="I14" s="215">
        <f>VALUE('1126'!O69)</f>
        <v>112.84186495322861</v>
      </c>
      <c r="J14" s="215"/>
    </row>
    <row r="15" spans="2:15" ht="39.950000000000003" customHeight="1">
      <c r="B15" s="366"/>
      <c r="C15" s="212" t="s">
        <v>100</v>
      </c>
      <c r="D15" s="233">
        <f>D14/D13</f>
        <v>0.83659978747520891</v>
      </c>
      <c r="E15" s="233">
        <f t="shared" ref="E15:I15" si="0">E14/E13</f>
        <v>0.79405578713089353</v>
      </c>
      <c r="F15" s="233">
        <f t="shared" si="0"/>
        <v>0.93752313490973971</v>
      </c>
      <c r="G15" s="233">
        <f t="shared" si="0"/>
        <v>0.78407972555197181</v>
      </c>
      <c r="H15" s="233">
        <f t="shared" si="0"/>
        <v>0.85755117554246563</v>
      </c>
      <c r="I15" s="233">
        <f t="shared" si="0"/>
        <v>0.89270910962542038</v>
      </c>
      <c r="J15" s="233"/>
    </row>
    <row r="16" spans="2:15" ht="17.25" customHeight="1">
      <c r="B16" s="367" t="s">
        <v>101</v>
      </c>
      <c r="C16" s="212" t="s">
        <v>102</v>
      </c>
      <c r="D16" s="95">
        <f>'1126'!T5</f>
        <v>0.2902777777777778</v>
      </c>
      <c r="E16" s="95">
        <f>'1126'!T16</f>
        <v>0.28958333333333336</v>
      </c>
      <c r="F16" s="95">
        <f>'1126'!T27</f>
        <v>0.29236111111111113</v>
      </c>
      <c r="G16" s="95">
        <f>'1126'!T38</f>
        <v>0.33263888888888887</v>
      </c>
      <c r="H16" s="95">
        <f>'1126'!T49</f>
        <v>0.29166666666666669</v>
      </c>
      <c r="I16" s="95">
        <f>'1126'!T59</f>
        <v>0.29166666666666669</v>
      </c>
      <c r="J16" s="272"/>
    </row>
    <row r="17" spans="2:10" ht="17.25" customHeight="1">
      <c r="B17" s="368"/>
      <c r="C17" s="212" t="s">
        <v>103</v>
      </c>
      <c r="D17" s="20">
        <v>0.61388888888888893</v>
      </c>
      <c r="E17" s="79">
        <v>0.62430555555555556</v>
      </c>
      <c r="F17" s="41">
        <v>0.63263888888888886</v>
      </c>
      <c r="G17" s="59">
        <v>0.61805555555555558</v>
      </c>
      <c r="H17" s="79">
        <v>0.64236111111111116</v>
      </c>
      <c r="I17" s="20">
        <v>0.59027777777777779</v>
      </c>
      <c r="J17" s="20"/>
    </row>
    <row r="18" spans="2:10" ht="17.25" customHeight="1">
      <c r="B18" s="354" t="s">
        <v>104</v>
      </c>
      <c r="C18" s="355"/>
      <c r="D18" s="216">
        <f>VALUE('1126'!M15)</f>
        <v>14.2</v>
      </c>
      <c r="E18" s="216">
        <f>VALUE('1126'!M26)</f>
        <v>13</v>
      </c>
      <c r="F18" s="216">
        <f>VALUE('1126'!M37)</f>
        <v>13.75</v>
      </c>
      <c r="G18" s="216">
        <f>VALUE('1126'!M48)</f>
        <v>15.25</v>
      </c>
      <c r="H18" s="216">
        <f>VALUE('1126'!M58)</f>
        <v>16.25</v>
      </c>
      <c r="I18" s="216">
        <f>VALUE('1126'!M69)</f>
        <v>12.4</v>
      </c>
      <c r="J18" s="216"/>
    </row>
    <row r="19" spans="2:10" ht="17.25" customHeight="1">
      <c r="B19" s="354" t="s">
        <v>105</v>
      </c>
      <c r="C19" s="355"/>
      <c r="D19" s="213" t="s">
        <v>106</v>
      </c>
      <c r="E19" s="213" t="s">
        <v>106</v>
      </c>
      <c r="F19" s="213" t="s">
        <v>107</v>
      </c>
      <c r="G19" s="213" t="s">
        <v>107</v>
      </c>
      <c r="H19" s="213" t="s">
        <v>107</v>
      </c>
      <c r="I19" s="213" t="s">
        <v>108</v>
      </c>
      <c r="J19" s="213"/>
    </row>
    <row r="20" spans="2:10" ht="17.25" customHeight="1">
      <c r="B20" s="354" t="s">
        <v>110</v>
      </c>
      <c r="C20" s="355"/>
      <c r="D20" s="213"/>
      <c r="E20" s="213"/>
      <c r="F20" s="213"/>
      <c r="G20" s="217"/>
      <c r="H20" s="213" t="s">
        <v>109</v>
      </c>
      <c r="I20" s="213"/>
      <c r="J20" s="213"/>
    </row>
    <row r="21" spans="2:10" ht="17.25" customHeight="1">
      <c r="B21" s="354" t="s">
        <v>111</v>
      </c>
      <c r="C21" s="355"/>
      <c r="D21" s="273"/>
      <c r="E21" s="273"/>
      <c r="F21" s="273"/>
      <c r="G21" s="273"/>
      <c r="H21" s="273"/>
      <c r="I21" s="273"/>
      <c r="J21" s="273"/>
    </row>
    <row r="22" spans="2:10">
      <c r="B22" s="370"/>
      <c r="C22" s="370"/>
    </row>
  </sheetData>
  <mergeCells count="37">
    <mergeCell ref="B20:C20"/>
    <mergeCell ref="B21:C21"/>
    <mergeCell ref="B22:C22"/>
    <mergeCell ref="D8:E8"/>
    <mergeCell ref="F8:G8"/>
    <mergeCell ref="H8:I8"/>
    <mergeCell ref="B18:C18"/>
    <mergeCell ref="B19:C19"/>
    <mergeCell ref="D6:E6"/>
    <mergeCell ref="F6:G6"/>
    <mergeCell ref="H6:I6"/>
    <mergeCell ref="J6:K6"/>
    <mergeCell ref="D7:E7"/>
    <mergeCell ref="F7:G7"/>
    <mergeCell ref="H7:I7"/>
    <mergeCell ref="J7:K7"/>
    <mergeCell ref="D10:J10"/>
    <mergeCell ref="B11:C12"/>
    <mergeCell ref="B13:B15"/>
    <mergeCell ref="B16:B17"/>
    <mergeCell ref="B10:C10"/>
    <mergeCell ref="J8:K8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  <mergeCell ref="B5:C8"/>
    <mergeCell ref="D5:E5"/>
    <mergeCell ref="F5:G5"/>
    <mergeCell ref="H5:I5"/>
    <mergeCell ref="J5:K5"/>
  </mergeCells>
  <phoneticPr fontId="2" type="noConversion"/>
  <conditionalFormatting sqref="D15:J15">
    <cfRule type="cellIs" dxfId="49" priority="1" operator="lessThan">
      <formula>0.8</formula>
    </cfRule>
  </conditionalFormatting>
  <pageMargins left="0.7" right="0.7" top="0.75" bottom="0.75" header="0.3" footer="0.3"/>
  <pageSetup paperSize="8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18F5F-2492-4841-92FC-E17655542663}">
  <sheetPr>
    <tabColor theme="9" tint="0.79998168889431442"/>
    <pageSetUpPr fitToPage="1"/>
  </sheetPr>
  <dimension ref="A1:AF92"/>
  <sheetViews>
    <sheetView zoomScale="69" zoomScaleNormal="69" workbookViewId="0">
      <pane xSplit="5" ySplit="4" topLeftCell="F5" activePane="bottomRight" state="frozen"/>
      <selection activeCell="J7" sqref="J7:K7"/>
      <selection pane="topRight" activeCell="J7" sqref="J7:K7"/>
      <selection pane="bottomLeft" activeCell="J7" sqref="J7:K7"/>
      <selection pane="bottomRight" activeCell="Z17" sqref="Z17:AA17"/>
    </sheetView>
  </sheetViews>
  <sheetFormatPr defaultColWidth="7.875" defaultRowHeight="15.75"/>
  <cols>
    <col min="1" max="1" width="15" style="6" customWidth="1"/>
    <col min="2" max="2" width="12.875" style="6" customWidth="1"/>
    <col min="3" max="3" width="12.875" style="6" hidden="1" customWidth="1"/>
    <col min="4" max="4" width="26.125" style="6" bestFit="1" customWidth="1"/>
    <col min="5" max="5" width="15" style="6" customWidth="1"/>
    <col min="6" max="6" width="8.875" style="6" bestFit="1" customWidth="1"/>
    <col min="7" max="7" width="20.125" style="6" bestFit="1" customWidth="1"/>
    <col min="8" max="8" width="16.375" style="6" bestFit="1" customWidth="1"/>
    <col min="9" max="9" width="10.875" style="6" bestFit="1" customWidth="1"/>
    <col min="10" max="10" width="10.125" style="6" bestFit="1" customWidth="1"/>
    <col min="11" max="11" width="10.625" style="6" customWidth="1"/>
    <col min="12" max="12" width="14.5" style="6" customWidth="1"/>
    <col min="13" max="13" width="10.125" style="6" bestFit="1" customWidth="1"/>
    <col min="14" max="14" width="10.25" style="6" bestFit="1" customWidth="1"/>
    <col min="15" max="15" width="11.875" style="6" customWidth="1"/>
    <col min="16" max="17" width="9.125" style="6" bestFit="1" customWidth="1"/>
    <col min="18" max="18" width="9.125" style="6" customWidth="1"/>
    <col min="19" max="19" width="8.375" style="6" customWidth="1"/>
    <col min="20" max="21" width="9.375" style="6" bestFit="1" customWidth="1"/>
    <col min="22" max="22" width="10.625" style="6" customWidth="1"/>
    <col min="23" max="23" width="8.625" style="92" customWidth="1"/>
    <col min="24" max="24" width="7.5" style="6" bestFit="1" customWidth="1"/>
    <col min="25" max="25" width="6.875" style="6" customWidth="1"/>
    <col min="26" max="26" width="12.625" style="6" customWidth="1"/>
    <col min="27" max="27" width="33.375" style="6" customWidth="1"/>
    <col min="28" max="28" width="13.125" style="6" bestFit="1" customWidth="1"/>
    <col min="29" max="29" width="10.375" style="6" customWidth="1"/>
    <col min="30" max="30" width="9.125" style="6" customWidth="1"/>
    <col min="31" max="31" width="7.875" style="6"/>
    <col min="32" max="32" width="24.5" style="6" bestFit="1" customWidth="1"/>
    <col min="33" max="16384" width="7.875" style="6"/>
  </cols>
  <sheetData>
    <row r="1" spans="1:30" ht="21">
      <c r="A1" s="2" t="s">
        <v>72</v>
      </c>
      <c r="B1" s="2"/>
      <c r="C1" s="2"/>
      <c r="D1" s="176" t="s">
        <v>8</v>
      </c>
      <c r="E1" s="3">
        <f>SUM(G5:G79)</f>
        <v>47992</v>
      </c>
      <c r="F1" s="177" t="s">
        <v>9</v>
      </c>
      <c r="G1" s="4">
        <f>SUM(H5:H79)</f>
        <v>2326809.3000000003</v>
      </c>
      <c r="H1" s="175" t="s">
        <v>10</v>
      </c>
      <c r="I1" s="5">
        <f>M15+M26+M48+M58+M69+M79+M37</f>
        <v>84.850000000000009</v>
      </c>
      <c r="J1" s="371" t="s">
        <v>11</v>
      </c>
      <c r="K1" s="371"/>
      <c r="L1" s="371"/>
      <c r="M1" s="371" t="s">
        <v>12</v>
      </c>
      <c r="N1" s="371"/>
      <c r="O1" s="371"/>
      <c r="P1" s="371" t="s">
        <v>13</v>
      </c>
      <c r="Q1" s="371"/>
      <c r="R1" s="371"/>
      <c r="S1" s="371"/>
      <c r="T1" s="371" t="s">
        <v>14</v>
      </c>
      <c r="U1" s="371"/>
      <c r="V1" s="371"/>
      <c r="W1" s="371"/>
      <c r="X1" s="371"/>
      <c r="Y1" s="371"/>
      <c r="Z1" s="371" t="s">
        <v>15</v>
      </c>
      <c r="AA1" s="371"/>
      <c r="AB1" s="371" t="s">
        <v>16</v>
      </c>
      <c r="AC1" s="372"/>
      <c r="AD1" s="372"/>
    </row>
    <row r="2" spans="1:30" ht="18.75">
      <c r="A2" s="409" t="s">
        <v>242</v>
      </c>
      <c r="B2" s="409"/>
      <c r="C2" s="176"/>
      <c r="D2" s="176" t="s">
        <v>1</v>
      </c>
      <c r="E2" s="7">
        <f>AVERAGE(O15,O26,O37,O48,O58,O69,O79)</f>
        <v>98.307486262112477</v>
      </c>
      <c r="F2" s="8" t="s">
        <v>2</v>
      </c>
      <c r="G2" s="9">
        <f>G1/E1</f>
        <v>48.483274295715958</v>
      </c>
      <c r="H2" s="175" t="s">
        <v>17</v>
      </c>
      <c r="I2" s="175">
        <f>COUNT(I5:I79)</f>
        <v>0</v>
      </c>
      <c r="J2" s="371"/>
      <c r="K2" s="371"/>
      <c r="L2" s="371"/>
      <c r="M2" s="371"/>
      <c r="N2" s="371"/>
      <c r="O2" s="371"/>
      <c r="P2" s="371"/>
      <c r="Q2" s="371"/>
      <c r="R2" s="371"/>
      <c r="S2" s="371"/>
      <c r="T2" s="371"/>
      <c r="U2" s="371"/>
      <c r="V2" s="371"/>
      <c r="W2" s="371"/>
      <c r="X2" s="371"/>
      <c r="Y2" s="371"/>
      <c r="Z2" s="371"/>
      <c r="AA2" s="371"/>
      <c r="AB2" s="372"/>
      <c r="AC2" s="372"/>
      <c r="AD2" s="372"/>
    </row>
    <row r="3" spans="1:30">
      <c r="A3" s="405" t="s">
        <v>18</v>
      </c>
      <c r="B3" s="405" t="s">
        <v>19</v>
      </c>
      <c r="C3" s="177"/>
      <c r="D3" s="405" t="s">
        <v>20</v>
      </c>
      <c r="E3" s="405"/>
      <c r="F3" s="379" t="s">
        <v>21</v>
      </c>
      <c r="G3" s="389" t="s">
        <v>22</v>
      </c>
      <c r="H3" s="379" t="s">
        <v>23</v>
      </c>
      <c r="I3" s="381" t="s">
        <v>24</v>
      </c>
      <c r="J3" s="383" t="s">
        <v>25</v>
      </c>
      <c r="K3" s="385" t="s">
        <v>26</v>
      </c>
      <c r="L3" s="387" t="s">
        <v>1</v>
      </c>
      <c r="M3" s="389" t="s">
        <v>25</v>
      </c>
      <c r="N3" s="385" t="s">
        <v>26</v>
      </c>
      <c r="O3" s="387" t="s">
        <v>1</v>
      </c>
      <c r="P3" s="383" t="s">
        <v>25</v>
      </c>
      <c r="Q3" s="387" t="s">
        <v>1</v>
      </c>
      <c r="R3" s="392" t="s">
        <v>27</v>
      </c>
      <c r="S3" s="394" t="s">
        <v>28</v>
      </c>
      <c r="T3" s="389" t="s">
        <v>4</v>
      </c>
      <c r="U3" s="389"/>
      <c r="V3" s="408" t="s">
        <v>29</v>
      </c>
      <c r="W3" s="381" t="s">
        <v>30</v>
      </c>
      <c r="X3" s="389" t="s">
        <v>31</v>
      </c>
      <c r="Y3" s="389"/>
      <c r="Z3" s="415"/>
      <c r="AA3" s="416"/>
      <c r="AB3" s="385" t="s">
        <v>26</v>
      </c>
      <c r="AC3" s="392" t="s">
        <v>27</v>
      </c>
      <c r="AD3" s="394" t="s">
        <v>28</v>
      </c>
    </row>
    <row r="4" spans="1:30" ht="16.5" thickBot="1">
      <c r="A4" s="379"/>
      <c r="B4" s="379"/>
      <c r="C4" s="178"/>
      <c r="D4" s="379"/>
      <c r="E4" s="379"/>
      <c r="F4" s="380"/>
      <c r="G4" s="390"/>
      <c r="H4" s="380"/>
      <c r="I4" s="382"/>
      <c r="J4" s="384"/>
      <c r="K4" s="386"/>
      <c r="L4" s="388"/>
      <c r="M4" s="390"/>
      <c r="N4" s="386"/>
      <c r="O4" s="388"/>
      <c r="P4" s="384"/>
      <c r="Q4" s="388"/>
      <c r="R4" s="393"/>
      <c r="S4" s="395"/>
      <c r="T4" s="179" t="s">
        <v>5</v>
      </c>
      <c r="U4" s="179" t="s">
        <v>6</v>
      </c>
      <c r="V4" s="390"/>
      <c r="W4" s="382"/>
      <c r="X4" s="178" t="s">
        <v>32</v>
      </c>
      <c r="Y4" s="178" t="s">
        <v>33</v>
      </c>
      <c r="Z4" s="417"/>
      <c r="AA4" s="417"/>
      <c r="AB4" s="386"/>
      <c r="AC4" s="393"/>
      <c r="AD4" s="395"/>
    </row>
    <row r="5" spans="1:30" ht="15" customHeight="1">
      <c r="A5" s="411" t="s">
        <v>66</v>
      </c>
      <c r="B5" s="305" t="str">
        <f>VLOOKUP(D5,廠價表!$C$1:$E$39,2,0)</f>
        <v>義大利麵</v>
      </c>
      <c r="C5" s="324"/>
      <c r="D5" s="339" t="s">
        <v>127</v>
      </c>
      <c r="E5" s="326"/>
      <c r="F5" s="305">
        <f>VLOOKUP(D5,廠價表!$C$1:$E$39,3,0)</f>
        <v>57.21</v>
      </c>
      <c r="G5" s="327">
        <v>1866</v>
      </c>
      <c r="H5" s="328">
        <f t="shared" ref="H5" si="0">F5*G5</f>
        <v>106753.86</v>
      </c>
      <c r="I5" s="329"/>
      <c r="J5" s="330">
        <f>VLOOKUP(D5,產線配置圖!$A$2:$C$38,2,0)</f>
        <v>13</v>
      </c>
      <c r="K5" s="331">
        <f>VLOOKUP(D5,產線配置圖!$A$2:$C$38,3,0)</f>
        <v>2105</v>
      </c>
      <c r="L5" s="332">
        <f t="shared" ref="L5" si="1">K5/J5</f>
        <v>161.92307692307693</v>
      </c>
      <c r="M5" s="333">
        <v>13</v>
      </c>
      <c r="N5" s="331">
        <f t="shared" ref="N5:N9" si="2">G5/W5*60</f>
        <v>1749.3750000000018</v>
      </c>
      <c r="O5" s="332">
        <f t="shared" ref="O5:O9" si="3">N5/M5</f>
        <v>134.56730769230782</v>
      </c>
      <c r="P5" s="334">
        <f t="shared" ref="P5:P9" si="4">M5-J5</f>
        <v>0</v>
      </c>
      <c r="Q5" s="335">
        <f t="shared" ref="Q5:Q9" si="5">O5-L5</f>
        <v>-27.355769230769113</v>
      </c>
      <c r="R5" s="336">
        <f t="shared" ref="R5:R9" si="6">O5/L5</f>
        <v>0.83105700712589148</v>
      </c>
      <c r="S5" s="396">
        <f>R15</f>
        <v>0.83659978747520891</v>
      </c>
      <c r="T5" s="337">
        <v>0.2902777777777778</v>
      </c>
      <c r="U5" s="338">
        <v>0.3347222222222222</v>
      </c>
      <c r="V5" s="194"/>
      <c r="W5" s="107">
        <f t="shared" ref="W5:W14" si="7">(U5-T5)*24*60</f>
        <v>63.999999999999929</v>
      </c>
      <c r="X5" s="188"/>
      <c r="Y5" s="188"/>
      <c r="Z5" s="400"/>
      <c r="AA5" s="400"/>
      <c r="AB5" s="111">
        <f>N5-K5</f>
        <v>-355.62499999999818</v>
      </c>
      <c r="AC5" s="184">
        <f>N5/K5</f>
        <v>0.83105700712589159</v>
      </c>
      <c r="AD5" s="401">
        <f>AC15</f>
        <v>0.8319303055296986</v>
      </c>
    </row>
    <row r="6" spans="1:30" ht="15" customHeight="1">
      <c r="A6" s="412"/>
      <c r="B6" s="313" t="str">
        <f>VLOOKUP(D6,廠價表!$C$1:$E$39,2,0)</f>
        <v>義大利麵</v>
      </c>
      <c r="C6" s="249"/>
      <c r="D6" s="250" t="s">
        <v>139</v>
      </c>
      <c r="E6" s="251"/>
      <c r="F6" s="314">
        <f>VLOOKUP(D6,廠價表!$C$1:$E$39,3,0)</f>
        <v>57.21</v>
      </c>
      <c r="G6" s="315">
        <v>1760</v>
      </c>
      <c r="H6" s="316">
        <f>F6*G6</f>
        <v>100689.60000000001</v>
      </c>
      <c r="I6" s="317"/>
      <c r="J6" s="318">
        <f>VLOOKUP(D6,產線配置圖!$A$2:$C$38,2,0)</f>
        <v>17</v>
      </c>
      <c r="K6" s="315">
        <v>1800</v>
      </c>
      <c r="L6" s="319">
        <f>K6/J6</f>
        <v>105.88235294117646</v>
      </c>
      <c r="M6" s="320">
        <v>17</v>
      </c>
      <c r="N6" s="315">
        <f t="shared" si="2"/>
        <v>1576.1194029850747</v>
      </c>
      <c r="O6" s="319">
        <f t="shared" si="3"/>
        <v>92.712906057945574</v>
      </c>
      <c r="P6" s="321">
        <f t="shared" si="4"/>
        <v>0</v>
      </c>
      <c r="Q6" s="322">
        <f t="shared" si="5"/>
        <v>-13.16944688323089</v>
      </c>
      <c r="R6" s="323">
        <f t="shared" si="6"/>
        <v>0.8756218905472638</v>
      </c>
      <c r="S6" s="397"/>
      <c r="T6" s="270">
        <v>0.34027777777777779</v>
      </c>
      <c r="U6" s="270">
        <v>0.38680555555555557</v>
      </c>
      <c r="V6" s="177">
        <f>(T6-U5)*24*60</f>
        <v>8.0000000000000515</v>
      </c>
      <c r="W6" s="182">
        <f t="shared" si="7"/>
        <v>67</v>
      </c>
      <c r="X6" s="22"/>
      <c r="Y6" s="22"/>
      <c r="Z6" s="381"/>
      <c r="AA6" s="381"/>
      <c r="AB6" s="18">
        <f>N6-K6</f>
        <v>-223.88059701492534</v>
      </c>
      <c r="AC6" s="185">
        <f>N6/K6</f>
        <v>0.87562189054726369</v>
      </c>
      <c r="AD6" s="402"/>
    </row>
    <row r="7" spans="1:30" ht="15" customHeight="1">
      <c r="A7" s="412"/>
      <c r="B7" s="56" t="str">
        <f>VLOOKUP(D7,廠價表!$C$1:$E$39,2,0)</f>
        <v>義大利麵</v>
      </c>
      <c r="C7" s="10"/>
      <c r="D7" s="11" t="s">
        <v>141</v>
      </c>
      <c r="E7" s="86"/>
      <c r="F7" s="56">
        <f>VLOOKUP(D7,廠價表!$C$1:$E$39,3,0)</f>
        <v>49.14</v>
      </c>
      <c r="G7" s="25">
        <v>3819</v>
      </c>
      <c r="H7" s="15">
        <f t="shared" ref="H7:H9" si="8">F7*G7</f>
        <v>187665.66</v>
      </c>
      <c r="I7" s="182"/>
      <c r="J7" s="16">
        <f>VLOOKUP(D7,產線配置圖!$A$2:$C$38,2,0)</f>
        <v>13</v>
      </c>
      <c r="K7" s="14">
        <f>VLOOKUP(D7,產線配置圖!$A$2:$C$38,3,0)</f>
        <v>2000</v>
      </c>
      <c r="L7" s="17">
        <f>K7/J7</f>
        <v>153.84615384615384</v>
      </c>
      <c r="M7" s="180">
        <v>13</v>
      </c>
      <c r="N7" s="14">
        <f t="shared" si="2"/>
        <v>1941.8644067796602</v>
      </c>
      <c r="O7" s="17">
        <f t="shared" si="3"/>
        <v>149.37418513689693</v>
      </c>
      <c r="P7" s="18">
        <f t="shared" si="4"/>
        <v>0</v>
      </c>
      <c r="Q7" s="19">
        <f t="shared" si="5"/>
        <v>-4.4719687092569131</v>
      </c>
      <c r="R7" s="185">
        <f t="shared" si="6"/>
        <v>0.97093220338983011</v>
      </c>
      <c r="S7" s="397"/>
      <c r="T7" s="95">
        <v>0.39513888888888887</v>
      </c>
      <c r="U7" s="95">
        <v>0.47708333333333336</v>
      </c>
      <c r="V7" s="177">
        <f>(T7-U6)*24*60</f>
        <v>11.999999999999957</v>
      </c>
      <c r="W7" s="182">
        <f t="shared" si="7"/>
        <v>118.00000000000006</v>
      </c>
      <c r="X7" s="22"/>
      <c r="Y7" s="22"/>
      <c r="Z7" s="405"/>
      <c r="AA7" s="405"/>
      <c r="AB7" s="18">
        <f>N7-K7</f>
        <v>-58.135593220339842</v>
      </c>
      <c r="AC7" s="185">
        <f>N7/K7</f>
        <v>0.97093220338983011</v>
      </c>
      <c r="AD7" s="402"/>
    </row>
    <row r="8" spans="1:30" ht="15" customHeight="1">
      <c r="A8" s="412"/>
      <c r="B8" s="56" t="str">
        <f>VLOOKUP(D8,廠價表!$C$1:$E$39,2,0)</f>
        <v>義大利麵</v>
      </c>
      <c r="C8" s="10"/>
      <c r="D8" s="11" t="s">
        <v>141</v>
      </c>
      <c r="E8" s="86"/>
      <c r="F8" s="56">
        <f>VLOOKUP(D8,廠價表!$C$1:$E$39,3,0)</f>
        <v>49.14</v>
      </c>
      <c r="G8" s="25">
        <v>1173</v>
      </c>
      <c r="H8" s="15">
        <f t="shared" si="8"/>
        <v>57641.22</v>
      </c>
      <c r="I8" s="182"/>
      <c r="J8" s="16">
        <f>VLOOKUP(D8,產線配置圖!$A$2:$C$38,2,0)</f>
        <v>13</v>
      </c>
      <c r="K8" s="14">
        <f>VLOOKUP(D8,產線配置圖!$A$2:$C$38,3,0)</f>
        <v>2000</v>
      </c>
      <c r="L8" s="17">
        <f>K8/J8</f>
        <v>153.84615384615384</v>
      </c>
      <c r="M8" s="180">
        <v>13</v>
      </c>
      <c r="N8" s="14">
        <f t="shared" si="2"/>
        <v>1759.4999999999993</v>
      </c>
      <c r="O8" s="17">
        <f t="shared" si="3"/>
        <v>135.34615384615378</v>
      </c>
      <c r="P8" s="18">
        <f t="shared" si="4"/>
        <v>0</v>
      </c>
      <c r="Q8" s="19">
        <f t="shared" si="5"/>
        <v>-18.500000000000057</v>
      </c>
      <c r="R8" s="185">
        <f t="shared" si="6"/>
        <v>0.87974999999999959</v>
      </c>
      <c r="S8" s="397"/>
      <c r="T8" s="95">
        <v>0.54027777777777775</v>
      </c>
      <c r="U8" s="95">
        <v>0.56805555555555554</v>
      </c>
      <c r="V8" s="177">
        <f t="shared" ref="V8:V9" si="9">(T8-U7)*24*60</f>
        <v>90.999999999999915</v>
      </c>
      <c r="W8" s="182">
        <f t="shared" si="7"/>
        <v>40.000000000000014</v>
      </c>
      <c r="X8" s="22">
        <v>0.4861111111111111</v>
      </c>
      <c r="Y8" s="263">
        <v>0.52777777777777779</v>
      </c>
      <c r="Z8" s="406"/>
      <c r="AA8" s="406"/>
      <c r="AB8" s="18">
        <f>N8-K8</f>
        <v>-240.50000000000068</v>
      </c>
      <c r="AC8" s="185">
        <f>N8/K8</f>
        <v>0.8797499999999997</v>
      </c>
      <c r="AD8" s="402"/>
    </row>
    <row r="9" spans="1:30" ht="15" customHeight="1">
      <c r="A9" s="413"/>
      <c r="B9" s="56" t="str">
        <f>VLOOKUP(D9,廠價表!$C$1:$E$39,2,0)</f>
        <v>義大利麵</v>
      </c>
      <c r="C9" s="10"/>
      <c r="D9" s="11" t="s">
        <v>206</v>
      </c>
      <c r="E9" s="86"/>
      <c r="F9" s="56">
        <f>VLOOKUP(D9,廠價表!$C$1:$E$39,3,0)</f>
        <v>56.43</v>
      </c>
      <c r="G9" s="25">
        <v>774</v>
      </c>
      <c r="H9" s="15">
        <f t="shared" si="8"/>
        <v>43676.82</v>
      </c>
      <c r="I9" s="182"/>
      <c r="J9" s="16">
        <f>VLOOKUP(D9,產線配置圖!$A$2:$C$38,2,0)</f>
        <v>15</v>
      </c>
      <c r="K9" s="14">
        <f>VLOOKUP(D9,產線配置圖!$A$2:$C$38,3,0)</f>
        <v>1636</v>
      </c>
      <c r="L9" s="17">
        <f t="shared" ref="L9" si="10">K9/J9</f>
        <v>109.06666666666666</v>
      </c>
      <c r="M9" s="180">
        <v>15</v>
      </c>
      <c r="N9" s="14">
        <f t="shared" si="2"/>
        <v>910.58823529411802</v>
      </c>
      <c r="O9" s="17">
        <f t="shared" si="3"/>
        <v>60.705882352941202</v>
      </c>
      <c r="P9" s="18">
        <f t="shared" si="4"/>
        <v>0</v>
      </c>
      <c r="Q9" s="19">
        <f t="shared" si="5"/>
        <v>-48.36078431372546</v>
      </c>
      <c r="R9" s="185">
        <f t="shared" si="6"/>
        <v>0.55659427585215038</v>
      </c>
      <c r="S9" s="398"/>
      <c r="T9" s="20">
        <v>0.57847222222222228</v>
      </c>
      <c r="U9" s="20">
        <v>0.61388888888888893</v>
      </c>
      <c r="V9" s="177">
        <f t="shared" si="9"/>
        <v>15.000000000000107</v>
      </c>
      <c r="W9" s="24">
        <f t="shared" si="7"/>
        <v>50.999999999999979</v>
      </c>
      <c r="X9" s="22"/>
      <c r="Y9" s="263"/>
      <c r="Z9" s="407" t="s">
        <v>229</v>
      </c>
      <c r="AA9" s="407"/>
      <c r="AB9" s="18"/>
      <c r="AC9" s="185"/>
      <c r="AD9" s="403"/>
    </row>
    <row r="10" spans="1:30" ht="15" customHeight="1">
      <c r="A10" s="413"/>
      <c r="B10" s="56"/>
      <c r="C10" s="23"/>
      <c r="D10" s="11"/>
      <c r="E10" s="12"/>
      <c r="F10" s="56"/>
      <c r="G10" s="25"/>
      <c r="H10" s="15"/>
      <c r="I10" s="182"/>
      <c r="J10" s="16"/>
      <c r="K10" s="14"/>
      <c r="L10" s="17"/>
      <c r="M10" s="180"/>
      <c r="N10" s="14"/>
      <c r="O10" s="17"/>
      <c r="P10" s="18"/>
      <c r="Q10" s="19"/>
      <c r="R10" s="185"/>
      <c r="S10" s="398"/>
      <c r="T10" s="20"/>
      <c r="U10" s="20"/>
      <c r="V10" s="177"/>
      <c r="W10" s="182">
        <f t="shared" si="7"/>
        <v>0</v>
      </c>
      <c r="X10" s="22"/>
      <c r="Y10" s="263"/>
      <c r="Z10" s="419"/>
      <c r="AA10" s="418"/>
      <c r="AB10" s="264"/>
      <c r="AC10" s="185"/>
      <c r="AD10" s="403"/>
    </row>
    <row r="11" spans="1:30" ht="15" customHeight="1">
      <c r="A11" s="413"/>
      <c r="B11" s="56"/>
      <c r="C11" s="183"/>
      <c r="D11" s="11"/>
      <c r="E11" s="12"/>
      <c r="F11" s="56"/>
      <c r="G11" s="25"/>
      <c r="H11" s="15">
        <f t="shared" ref="H11:H12" si="11">F11*G11</f>
        <v>0</v>
      </c>
      <c r="I11" s="182"/>
      <c r="J11" s="16"/>
      <c r="K11" s="14"/>
      <c r="L11" s="17"/>
      <c r="M11" s="180"/>
      <c r="N11" s="14"/>
      <c r="O11" s="17"/>
      <c r="P11" s="18"/>
      <c r="Q11" s="19"/>
      <c r="R11" s="185"/>
      <c r="S11" s="398"/>
      <c r="T11" s="20"/>
      <c r="U11" s="20"/>
      <c r="V11" s="177"/>
      <c r="W11" s="24">
        <f t="shared" si="7"/>
        <v>0</v>
      </c>
      <c r="X11" s="22"/>
      <c r="Y11" s="263"/>
      <c r="Z11" s="419"/>
      <c r="AA11" s="418"/>
      <c r="AB11" s="264"/>
      <c r="AC11" s="185"/>
      <c r="AD11" s="403"/>
    </row>
    <row r="12" spans="1:30" ht="15" customHeight="1">
      <c r="A12" s="413"/>
      <c r="B12" s="26"/>
      <c r="C12" s="27"/>
      <c r="D12" s="28"/>
      <c r="E12" s="29"/>
      <c r="F12" s="13"/>
      <c r="G12" s="30"/>
      <c r="H12" s="15">
        <f t="shared" si="11"/>
        <v>0</v>
      </c>
      <c r="I12" s="178"/>
      <c r="J12" s="31"/>
      <c r="K12" s="30"/>
      <c r="L12" s="17"/>
      <c r="M12" s="181"/>
      <c r="N12" s="25"/>
      <c r="O12" s="17"/>
      <c r="P12" s="18"/>
      <c r="Q12" s="19"/>
      <c r="R12" s="185"/>
      <c r="S12" s="398"/>
      <c r="T12" s="32"/>
      <c r="U12" s="32"/>
      <c r="V12" s="178"/>
      <c r="W12" s="24">
        <f t="shared" si="7"/>
        <v>0</v>
      </c>
      <c r="X12" s="33"/>
      <c r="Y12" s="33"/>
      <c r="Z12" s="407"/>
      <c r="AA12" s="407"/>
      <c r="AB12" s="34"/>
      <c r="AC12" s="186"/>
      <c r="AD12" s="403"/>
    </row>
    <row r="13" spans="1:30" ht="15" customHeight="1">
      <c r="A13" s="413"/>
      <c r="B13" s="56"/>
      <c r="C13" s="10"/>
      <c r="D13" s="11"/>
      <c r="E13" s="86"/>
      <c r="F13" s="56"/>
      <c r="G13" s="25"/>
      <c r="H13" s="15"/>
      <c r="I13" s="182"/>
      <c r="J13" s="16"/>
      <c r="K13" s="14"/>
      <c r="L13" s="17"/>
      <c r="M13" s="180"/>
      <c r="N13" s="14"/>
      <c r="O13" s="17"/>
      <c r="P13" s="18"/>
      <c r="Q13" s="19"/>
      <c r="R13" s="185"/>
      <c r="S13" s="479"/>
      <c r="T13" s="309"/>
      <c r="U13" s="309"/>
      <c r="V13" s="26"/>
      <c r="W13" s="24">
        <f t="shared" si="7"/>
        <v>0</v>
      </c>
      <c r="X13" s="33"/>
      <c r="Y13" s="33"/>
      <c r="Z13" s="419"/>
      <c r="AA13" s="418"/>
      <c r="AB13" s="34"/>
      <c r="AC13" s="186"/>
      <c r="AD13" s="403"/>
    </row>
    <row r="14" spans="1:30" ht="15" customHeight="1">
      <c r="A14" s="413"/>
      <c r="B14" s="56"/>
      <c r="C14" s="10"/>
      <c r="D14" s="11"/>
      <c r="E14" s="86"/>
      <c r="F14" s="56"/>
      <c r="G14" s="25"/>
      <c r="H14" s="15"/>
      <c r="I14" s="182"/>
      <c r="J14" s="16"/>
      <c r="K14" s="14"/>
      <c r="L14" s="17"/>
      <c r="M14" s="180"/>
      <c r="N14" s="14"/>
      <c r="O14" s="17"/>
      <c r="P14" s="18"/>
      <c r="Q14" s="19"/>
      <c r="R14" s="185"/>
      <c r="S14" s="398"/>
      <c r="T14" s="79"/>
      <c r="U14" s="79"/>
      <c r="V14" s="178"/>
      <c r="W14" s="24">
        <f t="shared" si="7"/>
        <v>0</v>
      </c>
      <c r="X14" s="33"/>
      <c r="Y14" s="33"/>
      <c r="Z14" s="419"/>
      <c r="AA14" s="418"/>
      <c r="AB14" s="34"/>
      <c r="AC14" s="186"/>
      <c r="AD14" s="403"/>
    </row>
    <row r="15" spans="1:30" ht="15" customHeight="1" thickBot="1">
      <c r="A15" s="414"/>
      <c r="B15" s="113"/>
      <c r="C15" s="113" t="s">
        <v>34</v>
      </c>
      <c r="D15" s="410" t="s">
        <v>7</v>
      </c>
      <c r="E15" s="410"/>
      <c r="F15" s="114"/>
      <c r="G15" s="115"/>
      <c r="H15" s="116"/>
      <c r="I15" s="117"/>
      <c r="J15" s="118">
        <f t="shared" ref="J15:O15" si="12">AVERAGE(J5:J14)</f>
        <v>14.2</v>
      </c>
      <c r="K15" s="118">
        <f t="shared" si="12"/>
        <v>1908.2</v>
      </c>
      <c r="L15" s="115">
        <f t="shared" si="12"/>
        <v>136.91288084464554</v>
      </c>
      <c r="M15" s="118">
        <f t="shared" si="12"/>
        <v>14.2</v>
      </c>
      <c r="N15" s="118">
        <f t="shared" si="12"/>
        <v>1587.4894090117709</v>
      </c>
      <c r="O15" s="115">
        <f t="shared" si="12"/>
        <v>114.54128701724906</v>
      </c>
      <c r="P15" s="119">
        <f t="shared" ref="P15:P20" si="13">M15-J15</f>
        <v>0</v>
      </c>
      <c r="Q15" s="120">
        <f t="shared" ref="Q15:Q20" si="14">O15-L15</f>
        <v>-22.371593827396481</v>
      </c>
      <c r="R15" s="121">
        <f t="shared" ref="R15:R20" si="15">O15/L15</f>
        <v>0.83659978747520891</v>
      </c>
      <c r="S15" s="399"/>
      <c r="T15" s="122"/>
      <c r="U15" s="122"/>
      <c r="V15" s="195"/>
      <c r="W15" s="123"/>
      <c r="X15" s="124"/>
      <c r="Y15" s="124"/>
      <c r="Z15" s="391"/>
      <c r="AA15" s="391"/>
      <c r="AB15" s="119">
        <f>N15-K15</f>
        <v>-320.71059098822911</v>
      </c>
      <c r="AC15" s="187">
        <f>N15/K15</f>
        <v>0.8319303055296986</v>
      </c>
      <c r="AD15" s="404"/>
    </row>
    <row r="16" spans="1:30" ht="15" customHeight="1">
      <c r="A16" s="431" t="s">
        <v>67</v>
      </c>
      <c r="B16" s="199" t="str">
        <f>VLOOKUP(D16,廠價表!$C$1:$E$39,2,0)</f>
        <v>義大利麵</v>
      </c>
      <c r="C16" s="102"/>
      <c r="D16" s="103" t="s">
        <v>127</v>
      </c>
      <c r="E16" s="104"/>
      <c r="F16" s="199">
        <f>VLOOKUP(D16,廠價表!$C$1:$E$39,3,0)</f>
        <v>57.21</v>
      </c>
      <c r="G16" s="265">
        <v>794</v>
      </c>
      <c r="H16" s="125">
        <f t="shared" ref="H16:H25" si="16">F16*G16</f>
        <v>45424.74</v>
      </c>
      <c r="I16" s="126"/>
      <c r="J16" s="108">
        <f>VLOOKUP(D16,產線配置圖!$A$2:$C$38,2,0)</f>
        <v>13</v>
      </c>
      <c r="K16" s="105">
        <f>VLOOKUP(D16,產線配置圖!$A$2:$C$38,3,0)</f>
        <v>2105</v>
      </c>
      <c r="L16" s="109">
        <f t="shared" ref="L16:L20" si="17">K16/J16</f>
        <v>161.92307692307693</v>
      </c>
      <c r="M16" s="267">
        <v>15</v>
      </c>
      <c r="N16" s="127">
        <f t="shared" ref="N16:N20" si="18">G16/W16*60</f>
        <v>780.98360655737781</v>
      </c>
      <c r="O16" s="128">
        <f t="shared" ref="O16:O20" si="19">N16/M16</f>
        <v>52.065573770491852</v>
      </c>
      <c r="P16" s="129">
        <f>M16-J16</f>
        <v>2</v>
      </c>
      <c r="Q16" s="130">
        <f t="shared" si="14"/>
        <v>-109.85750315258508</v>
      </c>
      <c r="R16" s="189">
        <f t="shared" si="15"/>
        <v>0.32154511117168361</v>
      </c>
      <c r="S16" s="424">
        <f>R26</f>
        <v>0.79405578713089353</v>
      </c>
      <c r="T16" s="268">
        <v>0.28958333333333336</v>
      </c>
      <c r="U16" s="268">
        <v>0.33194444444444443</v>
      </c>
      <c r="V16" s="126"/>
      <c r="W16" s="131">
        <f t="shared" ref="W16:W78" si="20">(U16-T16)*24*60</f>
        <v>60.999999999999943</v>
      </c>
      <c r="X16" s="128"/>
      <c r="Y16" s="128"/>
      <c r="Z16" s="400" t="s">
        <v>247</v>
      </c>
      <c r="AA16" s="400"/>
      <c r="AB16" s="111">
        <f>N16-K16</f>
        <v>-1324.0163934426223</v>
      </c>
      <c r="AC16" s="184">
        <f>N16/K16</f>
        <v>0.37101358981348115</v>
      </c>
      <c r="AD16" s="401">
        <f>AC26</f>
        <v>0.80008655922812189</v>
      </c>
    </row>
    <row r="17" spans="1:30" ht="15" customHeight="1">
      <c r="A17" s="432"/>
      <c r="B17" s="56" t="str">
        <f>VLOOKUP(D17,廠價表!$C$1:$E$39,2,0)</f>
        <v>義大利麵</v>
      </c>
      <c r="C17" s="10"/>
      <c r="D17" s="11" t="s">
        <v>153</v>
      </c>
      <c r="E17" s="86"/>
      <c r="F17" s="56">
        <f>VLOOKUP(D17,廠價表!$C$1:$E$39,3,0)</f>
        <v>50.67</v>
      </c>
      <c r="G17" s="96">
        <v>3321</v>
      </c>
      <c r="H17" s="15">
        <f t="shared" si="16"/>
        <v>168275.07</v>
      </c>
      <c r="I17" s="177"/>
      <c r="J17" s="16">
        <f>VLOOKUP(D17,產線配置圖!$A$2:$C$38,2,0)</f>
        <v>13</v>
      </c>
      <c r="K17" s="14">
        <f>VLOOKUP(D17,產線配置圖!$A$2:$C$38,3,0)</f>
        <v>2000</v>
      </c>
      <c r="L17" s="17">
        <f t="shared" si="17"/>
        <v>153.84615384615384</v>
      </c>
      <c r="M17" s="37">
        <v>13</v>
      </c>
      <c r="N17" s="36">
        <f t="shared" si="18"/>
        <v>1811.4545454545453</v>
      </c>
      <c r="O17" s="38">
        <f t="shared" si="19"/>
        <v>139.34265734265733</v>
      </c>
      <c r="P17" s="39">
        <f t="shared" si="13"/>
        <v>0</v>
      </c>
      <c r="Q17" s="40">
        <f t="shared" si="14"/>
        <v>-14.503496503496507</v>
      </c>
      <c r="R17" s="190">
        <f t="shared" si="15"/>
        <v>0.90572727272727271</v>
      </c>
      <c r="S17" s="425"/>
      <c r="T17" s="41">
        <v>0.34027777777777779</v>
      </c>
      <c r="U17" s="41">
        <v>0.41666666666666669</v>
      </c>
      <c r="V17" s="177">
        <f>(T17-U16)*24*60</f>
        <v>12.000000000000037</v>
      </c>
      <c r="W17" s="43">
        <f t="shared" si="20"/>
        <v>110.00000000000001</v>
      </c>
      <c r="X17" s="44"/>
      <c r="Y17" s="44"/>
      <c r="Z17" s="381"/>
      <c r="AA17" s="381"/>
      <c r="AB17" s="18">
        <f>N17-K17</f>
        <v>-188.54545454545473</v>
      </c>
      <c r="AC17" s="185">
        <f>N17/K17</f>
        <v>0.9057272727272726</v>
      </c>
      <c r="AD17" s="402"/>
    </row>
    <row r="18" spans="1:30" ht="15" customHeight="1">
      <c r="A18" s="432"/>
      <c r="B18" s="56" t="str">
        <f>VLOOKUP(D18,廠價表!$C$1:$E$39,2,0)</f>
        <v>義大利麵</v>
      </c>
      <c r="C18" s="10"/>
      <c r="D18" s="11" t="s">
        <v>239</v>
      </c>
      <c r="E18" s="86"/>
      <c r="F18" s="56">
        <f>VLOOKUP(D18,廠價表!$C$1:$E$39,3,0)</f>
        <v>50.39</v>
      </c>
      <c r="G18" s="96">
        <v>2376</v>
      </c>
      <c r="H18" s="15">
        <f t="shared" si="16"/>
        <v>119726.64</v>
      </c>
      <c r="I18" s="177"/>
      <c r="J18" s="16">
        <f>VLOOKUP(D18,產線配置圖!$A$2:$C$38,2,0)</f>
        <v>12</v>
      </c>
      <c r="K18" s="14">
        <f>VLOOKUP(D18,產線配置圖!$A$2:$C$38,3,0)</f>
        <v>2000</v>
      </c>
      <c r="L18" s="17">
        <f t="shared" si="17"/>
        <v>166.66666666666666</v>
      </c>
      <c r="M18" s="37">
        <v>12</v>
      </c>
      <c r="N18" s="36">
        <f t="shared" si="18"/>
        <v>1851.4285714285704</v>
      </c>
      <c r="O18" s="38">
        <f t="shared" si="19"/>
        <v>154.28571428571419</v>
      </c>
      <c r="P18" s="39">
        <f t="shared" si="13"/>
        <v>0</v>
      </c>
      <c r="Q18" s="40">
        <f t="shared" si="14"/>
        <v>-12.380952380952465</v>
      </c>
      <c r="R18" s="190">
        <f t="shared" si="15"/>
        <v>0.92571428571428516</v>
      </c>
      <c r="S18" s="425"/>
      <c r="T18" s="41">
        <v>0.42499999999999999</v>
      </c>
      <c r="U18" s="41">
        <v>0.47847222222222224</v>
      </c>
      <c r="V18" s="177">
        <f>(T18-U17)*24*60</f>
        <v>11.999999999999957</v>
      </c>
      <c r="W18" s="43">
        <f t="shared" si="20"/>
        <v>77.000000000000043</v>
      </c>
      <c r="X18" s="22"/>
      <c r="Y18" s="22"/>
      <c r="Z18" s="406"/>
      <c r="AA18" s="406"/>
      <c r="AB18" s="18">
        <f>N18-K18</f>
        <v>-148.57142857142958</v>
      </c>
      <c r="AC18" s="185">
        <f>N18/K18</f>
        <v>0.92571428571428516</v>
      </c>
      <c r="AD18" s="402"/>
    </row>
    <row r="19" spans="1:30" ht="15" customHeight="1">
      <c r="A19" s="432"/>
      <c r="B19" s="56" t="str">
        <f>VLOOKUP(D19,廠價表!$C$1:$E$39,2,0)</f>
        <v>義大利麵</v>
      </c>
      <c r="C19" s="10"/>
      <c r="D19" s="11" t="s">
        <v>239</v>
      </c>
      <c r="E19" s="86"/>
      <c r="F19" s="56">
        <f>VLOOKUP(D19,廠價表!$C$1:$E$39,3,0)</f>
        <v>50.39</v>
      </c>
      <c r="G19" s="96">
        <v>2396</v>
      </c>
      <c r="H19" s="15">
        <f t="shared" si="16"/>
        <v>120734.44</v>
      </c>
      <c r="I19" s="177"/>
      <c r="J19" s="16">
        <f>VLOOKUP(D19,產線配置圖!$A$2:$C$38,2,0)</f>
        <v>12</v>
      </c>
      <c r="K19" s="14">
        <f>VLOOKUP(D19,產線配置圖!$A$2:$C$38,3,0)</f>
        <v>2000</v>
      </c>
      <c r="L19" s="17">
        <f t="shared" si="17"/>
        <v>166.66666666666666</v>
      </c>
      <c r="M19" s="37">
        <v>12</v>
      </c>
      <c r="N19" s="36">
        <f t="shared" si="18"/>
        <v>1843.076923076922</v>
      </c>
      <c r="O19" s="38">
        <f t="shared" si="19"/>
        <v>153.58974358974351</v>
      </c>
      <c r="P19" s="39">
        <f t="shared" si="13"/>
        <v>0</v>
      </c>
      <c r="Q19" s="40">
        <f t="shared" si="14"/>
        <v>-13.076923076923151</v>
      </c>
      <c r="R19" s="190">
        <f t="shared" si="15"/>
        <v>0.92153846153846108</v>
      </c>
      <c r="S19" s="425"/>
      <c r="T19" s="41">
        <v>0.54166666666666663</v>
      </c>
      <c r="U19" s="41">
        <v>0.59583333333333333</v>
      </c>
      <c r="V19" s="177">
        <f>(T19-U18)*24*60</f>
        <v>90.999999999999915</v>
      </c>
      <c r="W19" s="43">
        <f t="shared" si="20"/>
        <v>78.000000000000043</v>
      </c>
      <c r="X19" s="22">
        <v>0.4861111111111111</v>
      </c>
      <c r="Y19" s="22">
        <v>0.52777777777777779</v>
      </c>
      <c r="Z19" s="407"/>
      <c r="AA19" s="407"/>
      <c r="AB19" s="18">
        <f>N19-K19</f>
        <v>-156.92307692307804</v>
      </c>
      <c r="AC19" s="185">
        <f>N19/K19</f>
        <v>0.92153846153846097</v>
      </c>
      <c r="AD19" s="403"/>
    </row>
    <row r="20" spans="1:30" ht="15" customHeight="1">
      <c r="A20" s="432"/>
      <c r="B20" s="56" t="str">
        <f>VLOOKUP(D20,廠價表!$C$1:$E$39,2,0)</f>
        <v>義大利麵</v>
      </c>
      <c r="C20" s="10"/>
      <c r="D20" s="11" t="s">
        <v>153</v>
      </c>
      <c r="E20" s="86"/>
      <c r="F20" s="56">
        <f>VLOOKUP(D20,廠價表!$C$1:$E$39,3,0)</f>
        <v>50.67</v>
      </c>
      <c r="G20" s="96">
        <v>869</v>
      </c>
      <c r="H20" s="15">
        <f t="shared" si="16"/>
        <v>44032.23</v>
      </c>
      <c r="I20" s="177"/>
      <c r="J20" s="16">
        <f>VLOOKUP(D20,產線配置圖!$A$2:$C$38,2,0)</f>
        <v>13</v>
      </c>
      <c r="K20" s="14">
        <f>VLOOKUP(D20,產線配置圖!$A$2:$C$38,3,0)</f>
        <v>2000</v>
      </c>
      <c r="L20" s="17">
        <f t="shared" si="17"/>
        <v>153.84615384615384</v>
      </c>
      <c r="M20" s="37">
        <v>13</v>
      </c>
      <c r="N20" s="36">
        <f t="shared" si="18"/>
        <v>1797.9310344827552</v>
      </c>
      <c r="O20" s="38">
        <f t="shared" si="19"/>
        <v>138.30238726790424</v>
      </c>
      <c r="P20" s="39">
        <f t="shared" si="13"/>
        <v>0</v>
      </c>
      <c r="Q20" s="40">
        <f t="shared" si="14"/>
        <v>-15.543766578249603</v>
      </c>
      <c r="R20" s="190">
        <f t="shared" si="15"/>
        <v>0.89896551724137763</v>
      </c>
      <c r="S20" s="425"/>
      <c r="T20" s="41">
        <v>0.60416666666666663</v>
      </c>
      <c r="U20" s="79">
        <v>0.62430555555555556</v>
      </c>
      <c r="V20" s="177">
        <f>(T20-U19)*24*60</f>
        <v>11.999999999999957</v>
      </c>
      <c r="W20" s="43">
        <f t="shared" si="20"/>
        <v>29.000000000000057</v>
      </c>
      <c r="X20" s="44"/>
      <c r="Y20" s="44"/>
      <c r="Z20" s="418"/>
      <c r="AA20" s="405"/>
      <c r="AB20" s="34"/>
      <c r="AC20" s="186"/>
      <c r="AD20" s="403"/>
    </row>
    <row r="21" spans="1:30" ht="15" customHeight="1">
      <c r="A21" s="433"/>
      <c r="B21" s="56"/>
      <c r="C21" s="10"/>
      <c r="D21" s="11"/>
      <c r="E21" s="86"/>
      <c r="F21" s="56"/>
      <c r="G21" s="96"/>
      <c r="H21" s="15"/>
      <c r="I21" s="177"/>
      <c r="J21" s="16"/>
      <c r="K21" s="14"/>
      <c r="L21" s="17"/>
      <c r="M21" s="37"/>
      <c r="N21" s="36"/>
      <c r="O21" s="38"/>
      <c r="P21" s="39"/>
      <c r="Q21" s="40"/>
      <c r="R21" s="190"/>
      <c r="S21" s="425"/>
      <c r="T21" s="41"/>
      <c r="U21" s="41"/>
      <c r="V21" s="177"/>
      <c r="W21" s="43">
        <f t="shared" si="20"/>
        <v>0</v>
      </c>
      <c r="X21" s="42"/>
      <c r="Y21" s="42"/>
      <c r="Z21" s="418"/>
      <c r="AA21" s="405"/>
      <c r="AB21" s="34"/>
      <c r="AC21" s="186"/>
      <c r="AD21" s="403"/>
    </row>
    <row r="22" spans="1:30" ht="15" customHeight="1">
      <c r="A22" s="433"/>
      <c r="B22" s="177"/>
      <c r="C22" s="183"/>
      <c r="D22" s="11"/>
      <c r="E22" s="12"/>
      <c r="F22" s="13"/>
      <c r="G22" s="36"/>
      <c r="H22" s="15">
        <f t="shared" si="16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90"/>
      <c r="S22" s="425"/>
      <c r="T22" s="41"/>
      <c r="U22" s="41"/>
      <c r="V22" s="42"/>
      <c r="W22" s="43">
        <v>0</v>
      </c>
      <c r="X22" s="42"/>
      <c r="Y22" s="42"/>
      <c r="Z22" s="418"/>
      <c r="AA22" s="405"/>
      <c r="AB22" s="34"/>
      <c r="AC22" s="186"/>
      <c r="AD22" s="403"/>
    </row>
    <row r="23" spans="1:30" ht="15" customHeight="1">
      <c r="A23" s="433"/>
      <c r="B23" s="56"/>
      <c r="C23" s="23"/>
      <c r="D23" s="11"/>
      <c r="E23" s="12"/>
      <c r="F23" s="56"/>
      <c r="G23" s="96"/>
      <c r="H23" s="15"/>
      <c r="I23" s="177"/>
      <c r="J23" s="16"/>
      <c r="K23" s="14"/>
      <c r="L23" s="17"/>
      <c r="M23" s="37"/>
      <c r="N23" s="36"/>
      <c r="O23" s="38"/>
      <c r="P23" s="39"/>
      <c r="Q23" s="40"/>
      <c r="R23" s="190"/>
      <c r="S23" s="425"/>
      <c r="T23" s="41"/>
      <c r="U23" s="41"/>
      <c r="W23" s="43">
        <f t="shared" si="20"/>
        <v>0</v>
      </c>
      <c r="X23" s="42"/>
      <c r="Y23" s="42"/>
      <c r="Z23" s="418"/>
      <c r="AA23" s="405"/>
      <c r="AB23" s="34"/>
      <c r="AC23" s="186"/>
      <c r="AD23" s="403"/>
    </row>
    <row r="24" spans="1:30" ht="15" customHeight="1">
      <c r="A24" s="433"/>
      <c r="B24" s="26"/>
      <c r="C24" s="27"/>
      <c r="D24" s="28"/>
      <c r="E24" s="29"/>
      <c r="F24" s="13"/>
      <c r="G24" s="36"/>
      <c r="H24" s="15">
        <f t="shared" si="16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90"/>
      <c r="S24" s="425"/>
      <c r="T24" s="41"/>
      <c r="U24" s="41"/>
      <c r="V24" s="42"/>
      <c r="W24" s="43">
        <f t="shared" si="20"/>
        <v>0</v>
      </c>
      <c r="X24" s="42"/>
      <c r="Y24" s="42"/>
      <c r="Z24" s="418"/>
      <c r="AA24" s="405"/>
      <c r="AB24" s="34"/>
      <c r="AC24" s="186"/>
      <c r="AD24" s="403"/>
    </row>
    <row r="25" spans="1:30" ht="15" customHeight="1">
      <c r="A25" s="433"/>
      <c r="B25" s="26"/>
      <c r="C25" s="27"/>
      <c r="D25" s="28"/>
      <c r="E25" s="29"/>
      <c r="F25" s="13"/>
      <c r="G25" s="36"/>
      <c r="H25" s="50">
        <f t="shared" si="16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90"/>
      <c r="S25" s="425"/>
      <c r="T25" s="41"/>
      <c r="U25" s="41"/>
      <c r="V25" s="42"/>
      <c r="W25" s="43">
        <f t="shared" si="20"/>
        <v>0</v>
      </c>
      <c r="X25" s="42"/>
      <c r="Y25" s="42"/>
      <c r="Z25" s="418"/>
      <c r="AA25" s="405"/>
      <c r="AB25" s="34"/>
      <c r="AC25" s="186"/>
      <c r="AD25" s="403"/>
    </row>
    <row r="26" spans="1:30" ht="15" customHeight="1" thickBot="1">
      <c r="A26" s="434"/>
      <c r="B26" s="132"/>
      <c r="C26" s="1" t="s">
        <v>35</v>
      </c>
      <c r="D26" s="410" t="s">
        <v>7</v>
      </c>
      <c r="E26" s="410"/>
      <c r="F26" s="133"/>
      <c r="G26" s="134"/>
      <c r="H26" s="135"/>
      <c r="I26" s="136"/>
      <c r="J26" s="134">
        <f t="shared" ref="J26:O26" si="21">AVERAGE(J16:J25)</f>
        <v>12.6</v>
      </c>
      <c r="K26" s="134">
        <f t="shared" si="21"/>
        <v>2021</v>
      </c>
      <c r="L26" s="137">
        <f t="shared" si="21"/>
        <v>160.58974358974359</v>
      </c>
      <c r="M26" s="134">
        <f t="shared" si="21"/>
        <v>13</v>
      </c>
      <c r="N26" s="134">
        <f t="shared" si="21"/>
        <v>1616.9749362000343</v>
      </c>
      <c r="O26" s="137">
        <f t="shared" si="21"/>
        <v>127.51721525130222</v>
      </c>
      <c r="P26" s="138">
        <f t="shared" ref="P26:P30" si="22">M26-J26</f>
        <v>0.40000000000000036</v>
      </c>
      <c r="Q26" s="139">
        <f t="shared" ref="Q26:Q30" si="23">O26-L26</f>
        <v>-33.072528338441373</v>
      </c>
      <c r="R26" s="140">
        <f t="shared" ref="R26:R30" si="24">O26/L26</f>
        <v>0.79405578713089353</v>
      </c>
      <c r="S26" s="435"/>
      <c r="T26" s="141"/>
      <c r="U26" s="141"/>
      <c r="V26" s="146"/>
      <c r="W26" s="142"/>
      <c r="X26" s="143"/>
      <c r="Y26" s="143"/>
      <c r="Z26" s="420"/>
      <c r="AA26" s="391"/>
      <c r="AB26" s="119">
        <f>N26-K26</f>
        <v>-404.02506379996566</v>
      </c>
      <c r="AC26" s="187">
        <f>N26/K26</f>
        <v>0.80008655922812189</v>
      </c>
      <c r="AD26" s="404"/>
    </row>
    <row r="27" spans="1:30" ht="15" customHeight="1">
      <c r="A27" s="421" t="s">
        <v>54</v>
      </c>
      <c r="B27" s="229" t="s">
        <v>62</v>
      </c>
      <c r="C27" s="102"/>
      <c r="D27" s="103" t="s">
        <v>144</v>
      </c>
      <c r="E27" s="104"/>
      <c r="F27" s="199">
        <f>VLOOKUP(D27,廠價表!$C$1:$E$39,3,0)</f>
        <v>49.91</v>
      </c>
      <c r="G27" s="269">
        <v>1601</v>
      </c>
      <c r="H27" s="125">
        <f t="shared" ref="H27:H40" si="25">F27*G27</f>
        <v>79905.909999999989</v>
      </c>
      <c r="I27" s="126"/>
      <c r="J27" s="16">
        <f>VLOOKUP(D27,產線配置圖!$A$2:$C$38,2,0)</f>
        <v>17</v>
      </c>
      <c r="K27" s="14">
        <f>VLOOKUP(D27,產線配置圖!$A$2:$C$38,3,0)</f>
        <v>1565</v>
      </c>
      <c r="L27" s="109">
        <f>K27/J27</f>
        <v>92.058823529411768</v>
      </c>
      <c r="M27" s="144">
        <v>13</v>
      </c>
      <c r="N27" s="127">
        <f>G27/W27*60</f>
        <v>1079.3258426966293</v>
      </c>
      <c r="O27" s="128">
        <f>N27/M27</f>
        <v>83.02506482281764</v>
      </c>
      <c r="P27" s="129">
        <f t="shared" si="22"/>
        <v>-4</v>
      </c>
      <c r="Q27" s="130">
        <f t="shared" si="23"/>
        <v>-9.0337587065941278</v>
      </c>
      <c r="R27" s="189">
        <f>O27/L27</f>
        <v>0.90186971373028746</v>
      </c>
      <c r="S27" s="424">
        <f>R37</f>
        <v>0.93752313490973971</v>
      </c>
      <c r="T27" s="94">
        <v>0.29236111111111113</v>
      </c>
      <c r="U27" s="94">
        <v>0.35416666666666669</v>
      </c>
      <c r="V27" s="126"/>
      <c r="W27" s="131">
        <f t="shared" si="20"/>
        <v>89</v>
      </c>
      <c r="X27" s="126"/>
      <c r="Y27" s="126" t="s">
        <v>147</v>
      </c>
      <c r="Z27" s="427"/>
      <c r="AA27" s="400"/>
      <c r="AB27" s="225">
        <f>N27-K27</f>
        <v>-485.67415730337075</v>
      </c>
      <c r="AC27" s="291">
        <f>N27/K27</f>
        <v>0.6896650752055139</v>
      </c>
      <c r="AD27" s="401">
        <f>AC37</f>
        <v>0.80004409131701182</v>
      </c>
    </row>
    <row r="28" spans="1:30" ht="15" customHeight="1">
      <c r="A28" s="422"/>
      <c r="B28" s="56" t="str">
        <f>VLOOKUP(D28,廠價表!$C$1:$E$39,2,0)</f>
        <v>義大利麵</v>
      </c>
      <c r="C28" s="10"/>
      <c r="D28" s="11" t="s">
        <v>137</v>
      </c>
      <c r="E28" s="86"/>
      <c r="F28" s="56">
        <f>VLOOKUP(D28,廠價表!$C$1:$E$39,3,0)</f>
        <v>55.13</v>
      </c>
      <c r="G28" s="53">
        <v>1864</v>
      </c>
      <c r="H28" s="50">
        <f t="shared" si="25"/>
        <v>102762.32</v>
      </c>
      <c r="I28" s="42"/>
      <c r="J28" s="16">
        <f>VLOOKUP(D28,產線配置圖!$A$2:$C$38,2,0)</f>
        <v>18</v>
      </c>
      <c r="K28" s="14">
        <f>VLOOKUP(D28,產線配置圖!$A$2:$C$38,3,0)</f>
        <v>1385</v>
      </c>
      <c r="L28" s="235">
        <f>K28/J28</f>
        <v>76.944444444444443</v>
      </c>
      <c r="M28" s="21">
        <v>14</v>
      </c>
      <c r="N28" s="36">
        <f>G28/W28*60</f>
        <v>1055.0943396226414</v>
      </c>
      <c r="O28" s="38">
        <f>N28/M28</f>
        <v>75.363881401617249</v>
      </c>
      <c r="P28" s="39">
        <f t="shared" si="22"/>
        <v>-4</v>
      </c>
      <c r="Q28" s="40">
        <f t="shared" si="23"/>
        <v>-1.580563042827194</v>
      </c>
      <c r="R28" s="190">
        <f t="shared" si="24"/>
        <v>0.97945838644701122</v>
      </c>
      <c r="S28" s="425"/>
      <c r="T28" s="270">
        <v>0.3611111111111111</v>
      </c>
      <c r="U28" s="270">
        <v>0.43472222222222223</v>
      </c>
      <c r="V28" s="42">
        <f>(T28-U27)*24*60</f>
        <v>9.9999999999999645</v>
      </c>
      <c r="W28" s="43">
        <f t="shared" si="20"/>
        <v>106.00000000000003</v>
      </c>
      <c r="X28" s="54"/>
      <c r="Y28" s="54"/>
      <c r="Z28" s="418"/>
      <c r="AA28" s="419"/>
      <c r="AB28" s="39">
        <f>N28-K28</f>
        <v>-329.90566037735857</v>
      </c>
      <c r="AC28" s="190">
        <f>N28/K28</f>
        <v>0.76180096723656421</v>
      </c>
      <c r="AD28" s="447"/>
    </row>
    <row r="29" spans="1:30" ht="15" customHeight="1">
      <c r="A29" s="422"/>
      <c r="B29" s="56" t="str">
        <f>VLOOKUP(D29,廠價表!$C$1:$E$39,2,0)</f>
        <v>義大利麵</v>
      </c>
      <c r="C29" s="10"/>
      <c r="D29" s="11" t="s">
        <v>158</v>
      </c>
      <c r="E29" s="86"/>
      <c r="F29" s="56">
        <f>VLOOKUP(D29,廠價表!$C$1:$E$39,3,0)</f>
        <v>47.71</v>
      </c>
      <c r="G29" s="53">
        <v>1375</v>
      </c>
      <c r="H29" s="50">
        <f t="shared" si="25"/>
        <v>65601.25</v>
      </c>
      <c r="I29" s="42"/>
      <c r="J29" s="16">
        <f>VLOOKUP(D29,產線配置圖!$A$2:$C$38,2,0)</f>
        <v>15</v>
      </c>
      <c r="K29" s="14">
        <f>VLOOKUP(D29,產線配置圖!$A$2:$C$38,3,0)</f>
        <v>1500</v>
      </c>
      <c r="L29" s="235">
        <f>K29/J29</f>
        <v>100</v>
      </c>
      <c r="M29" s="21">
        <v>14</v>
      </c>
      <c r="N29" s="36">
        <f>G29/W29*60</f>
        <v>1289.0624999999998</v>
      </c>
      <c r="O29" s="38">
        <f>N29/M29</f>
        <v>92.075892857142847</v>
      </c>
      <c r="P29" s="39">
        <f t="shared" si="22"/>
        <v>-1</v>
      </c>
      <c r="Q29" s="40">
        <f t="shared" si="23"/>
        <v>-7.924107142857153</v>
      </c>
      <c r="R29" s="190">
        <f t="shared" si="24"/>
        <v>0.92075892857142849</v>
      </c>
      <c r="S29" s="425"/>
      <c r="T29" s="41">
        <v>0.44166666666666665</v>
      </c>
      <c r="U29" s="41">
        <v>0.4861111111111111</v>
      </c>
      <c r="V29" s="42">
        <f>(T29-U28)*24*60</f>
        <v>9.9999999999999645</v>
      </c>
      <c r="W29" s="43">
        <f t="shared" si="20"/>
        <v>64.000000000000014</v>
      </c>
      <c r="X29" s="22"/>
      <c r="Y29" s="22"/>
      <c r="Z29" s="418"/>
      <c r="AA29" s="419"/>
      <c r="AB29" s="292">
        <f>N29-K29</f>
        <v>-210.93750000000023</v>
      </c>
      <c r="AC29" s="190">
        <f>N29/K29</f>
        <v>0.85937499999999989</v>
      </c>
      <c r="AD29" s="447"/>
    </row>
    <row r="30" spans="1:30" ht="15" customHeight="1">
      <c r="A30" s="422"/>
      <c r="B30" s="56" t="str">
        <f>VLOOKUP(D30,廠價表!$C$1:$E$39,2,0)</f>
        <v>義大利麵</v>
      </c>
      <c r="C30" s="237"/>
      <c r="D30" s="11" t="s">
        <v>158</v>
      </c>
      <c r="E30" s="29"/>
      <c r="F30" s="56">
        <f>VLOOKUP(D30,廠價表!$C$1:$E$39,3,0)</f>
        <v>47.71</v>
      </c>
      <c r="G30" s="53">
        <v>2629</v>
      </c>
      <c r="H30" s="50">
        <f t="shared" si="25"/>
        <v>125429.59</v>
      </c>
      <c r="I30" s="42"/>
      <c r="J30" s="16">
        <f>VLOOKUP(D30,產線配置圖!$A$2:$C$38,2,0)</f>
        <v>15</v>
      </c>
      <c r="K30" s="14">
        <f>VLOOKUP(D30,產線配置圖!$A$2:$C$38,3,0)</f>
        <v>1500</v>
      </c>
      <c r="L30" s="235">
        <f>K30/J30</f>
        <v>100</v>
      </c>
      <c r="M30" s="21">
        <v>14</v>
      </c>
      <c r="N30" s="36">
        <f>G30/W30*60</f>
        <v>1336.7796610169503</v>
      </c>
      <c r="O30" s="38">
        <f>N30/M30</f>
        <v>95.484261501210739</v>
      </c>
      <c r="P30" s="39">
        <f t="shared" si="22"/>
        <v>-1</v>
      </c>
      <c r="Q30" s="40">
        <f t="shared" si="23"/>
        <v>-4.5157384987892613</v>
      </c>
      <c r="R30" s="190">
        <f t="shared" si="24"/>
        <v>0.95484261501210743</v>
      </c>
      <c r="S30" s="425"/>
      <c r="T30" s="41">
        <v>0.55069444444444449</v>
      </c>
      <c r="U30" s="41">
        <v>0.63263888888888886</v>
      </c>
      <c r="V30" s="42">
        <f>(T30-U29)*24*60</f>
        <v>93.000000000000071</v>
      </c>
      <c r="W30" s="43">
        <f t="shared" si="20"/>
        <v>117.9999999999999</v>
      </c>
      <c r="X30" s="54">
        <v>0.5</v>
      </c>
      <c r="Y30" s="54">
        <v>0.54166666666666663</v>
      </c>
      <c r="Z30" s="449"/>
      <c r="AA30" s="450"/>
      <c r="AB30" s="292"/>
      <c r="AC30" s="190"/>
      <c r="AD30" s="448"/>
    </row>
    <row r="31" spans="1:30" ht="15" customHeight="1">
      <c r="A31" s="422"/>
      <c r="B31" s="56"/>
      <c r="C31" s="237"/>
      <c r="D31" s="11"/>
      <c r="E31" s="29"/>
      <c r="F31" s="56"/>
      <c r="G31" s="53"/>
      <c r="H31" s="50"/>
      <c r="I31" s="42"/>
      <c r="J31" s="16"/>
      <c r="K31" s="14"/>
      <c r="L31" s="235"/>
      <c r="M31" s="21"/>
      <c r="N31" s="36"/>
      <c r="O31" s="38"/>
      <c r="P31" s="39"/>
      <c r="Q31" s="40"/>
      <c r="R31" s="190"/>
      <c r="S31" s="425"/>
      <c r="T31" s="41"/>
      <c r="U31" s="41"/>
      <c r="V31" s="42"/>
      <c r="W31" s="43">
        <f t="shared" si="20"/>
        <v>0</v>
      </c>
      <c r="X31" s="54"/>
      <c r="Y31" s="54"/>
      <c r="Z31" s="449"/>
      <c r="AA31" s="450"/>
      <c r="AB31" s="257"/>
      <c r="AC31" s="258"/>
      <c r="AD31" s="403"/>
    </row>
    <row r="32" spans="1:30" ht="15" customHeight="1">
      <c r="A32" s="422"/>
      <c r="B32" s="56"/>
      <c r="C32" s="252"/>
      <c r="D32" s="253"/>
      <c r="E32" s="254"/>
      <c r="F32" s="56"/>
      <c r="G32" s="53"/>
      <c r="H32" s="50"/>
      <c r="I32" s="42"/>
      <c r="J32" s="255"/>
      <c r="K32" s="36"/>
      <c r="L32" s="256"/>
      <c r="M32" s="21"/>
      <c r="N32" s="36"/>
      <c r="O32" s="38"/>
      <c r="P32" s="39"/>
      <c r="Q32" s="40"/>
      <c r="R32" s="190"/>
      <c r="S32" s="425"/>
      <c r="T32" s="41"/>
      <c r="U32" s="41"/>
      <c r="V32" s="42"/>
      <c r="W32" s="43">
        <f t="shared" si="20"/>
        <v>0</v>
      </c>
      <c r="X32" s="54"/>
      <c r="Y32" s="54"/>
      <c r="Z32" s="418"/>
      <c r="AA32" s="405"/>
      <c r="AB32" s="18"/>
      <c r="AC32" s="185"/>
      <c r="AD32" s="403"/>
    </row>
    <row r="33" spans="1:30" ht="15" customHeight="1">
      <c r="A33" s="422"/>
      <c r="B33" s="240"/>
      <c r="C33" s="241"/>
      <c r="D33" s="242"/>
      <c r="E33" s="243"/>
      <c r="F33" s="223"/>
      <c r="G33" s="244"/>
      <c r="H33" s="245">
        <f t="shared" si="25"/>
        <v>0</v>
      </c>
      <c r="I33" s="246"/>
      <c r="J33" s="247"/>
      <c r="K33" s="45"/>
      <c r="M33" s="248"/>
      <c r="N33" s="45"/>
      <c r="O33" s="46"/>
      <c r="P33" s="47"/>
      <c r="Q33" s="48"/>
      <c r="R33" s="49"/>
      <c r="S33" s="425"/>
      <c r="T33" s="41"/>
      <c r="U33" s="41"/>
      <c r="V33" s="42"/>
      <c r="W33" s="43">
        <f t="shared" si="20"/>
        <v>0</v>
      </c>
      <c r="X33" s="54"/>
      <c r="Y33" s="54"/>
      <c r="Z33" s="418"/>
      <c r="AA33" s="405"/>
      <c r="AB33" s="18"/>
      <c r="AC33" s="57"/>
      <c r="AD33" s="403"/>
    </row>
    <row r="34" spans="1:30" ht="15" customHeight="1">
      <c r="A34" s="422"/>
      <c r="B34" s="231"/>
      <c r="C34" s="27"/>
      <c r="D34" s="28"/>
      <c r="E34" s="29"/>
      <c r="F34" s="13"/>
      <c r="G34" s="53"/>
      <c r="H34" s="50">
        <f t="shared" si="25"/>
        <v>0</v>
      </c>
      <c r="I34" s="42"/>
      <c r="J34" s="37"/>
      <c r="K34" s="36"/>
      <c r="L34" s="38"/>
      <c r="M34" s="21"/>
      <c r="N34" s="36"/>
      <c r="O34" s="38"/>
      <c r="P34" s="39"/>
      <c r="Q34" s="40"/>
      <c r="R34" s="190"/>
      <c r="S34" s="425"/>
      <c r="T34" s="41"/>
      <c r="U34" s="41"/>
      <c r="V34" s="42"/>
      <c r="W34" s="43">
        <f t="shared" si="20"/>
        <v>0</v>
      </c>
      <c r="X34" s="54"/>
      <c r="Y34" s="54"/>
      <c r="Z34" s="418"/>
      <c r="AA34" s="405"/>
      <c r="AB34" s="18"/>
      <c r="AC34" s="57"/>
      <c r="AD34" s="403"/>
    </row>
    <row r="35" spans="1:30" ht="15" customHeight="1">
      <c r="A35" s="422"/>
      <c r="B35" s="231"/>
      <c r="C35" s="27"/>
      <c r="D35" s="28"/>
      <c r="E35" s="29"/>
      <c r="F35" s="13"/>
      <c r="G35" s="53"/>
      <c r="H35" s="50">
        <f t="shared" si="25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90"/>
      <c r="S35" s="425"/>
      <c r="T35" s="41"/>
      <c r="U35" s="41"/>
      <c r="V35" s="42"/>
      <c r="W35" s="43">
        <f t="shared" si="20"/>
        <v>0</v>
      </c>
      <c r="X35" s="54"/>
      <c r="Y35" s="54"/>
      <c r="Z35" s="418"/>
      <c r="AA35" s="405"/>
      <c r="AB35" s="18"/>
      <c r="AC35" s="57"/>
      <c r="AD35" s="403"/>
    </row>
    <row r="36" spans="1:30" ht="15" customHeight="1">
      <c r="A36" s="422"/>
      <c r="B36" s="232"/>
      <c r="C36" s="27"/>
      <c r="D36" s="28"/>
      <c r="E36" s="29"/>
      <c r="F36" s="13"/>
      <c r="G36" s="53"/>
      <c r="H36" s="50">
        <f t="shared" si="25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90"/>
      <c r="S36" s="425"/>
      <c r="T36" s="41"/>
      <c r="U36" s="41"/>
      <c r="V36" s="42"/>
      <c r="W36" s="43">
        <f t="shared" si="20"/>
        <v>0</v>
      </c>
      <c r="X36" s="54"/>
      <c r="Y36" s="54"/>
      <c r="Z36" s="418"/>
      <c r="AA36" s="405"/>
      <c r="AB36" s="18"/>
      <c r="AC36" s="57"/>
      <c r="AD36" s="403"/>
    </row>
    <row r="37" spans="1:30" ht="15" customHeight="1" thickBot="1">
      <c r="A37" s="423"/>
      <c r="B37" s="300"/>
      <c r="C37" s="301" t="s">
        <v>36</v>
      </c>
      <c r="D37" s="428" t="s">
        <v>7</v>
      </c>
      <c r="E37" s="429"/>
      <c r="F37" s="281"/>
      <c r="G37" s="282"/>
      <c r="H37" s="283"/>
      <c r="I37" s="284"/>
      <c r="J37" s="285">
        <f t="shared" ref="J37:O37" si="26">AVERAGE(J27:J36)</f>
        <v>16.25</v>
      </c>
      <c r="K37" s="285">
        <f t="shared" si="26"/>
        <v>1487.5</v>
      </c>
      <c r="L37" s="286">
        <f t="shared" si="26"/>
        <v>92.250816993464056</v>
      </c>
      <c r="M37" s="285">
        <f t="shared" si="26"/>
        <v>13.75</v>
      </c>
      <c r="N37" s="285">
        <f t="shared" si="26"/>
        <v>1190.0655858340551</v>
      </c>
      <c r="O37" s="286">
        <f t="shared" si="26"/>
        <v>86.487275145697112</v>
      </c>
      <c r="P37" s="73">
        <f>M37-J37</f>
        <v>-2.5</v>
      </c>
      <c r="Q37" s="74">
        <f>N37-K37</f>
        <v>-297.43441416594487</v>
      </c>
      <c r="R37" s="287">
        <f t="shared" ref="R37:R40" si="27">O37/L37</f>
        <v>0.93752313490973971</v>
      </c>
      <c r="S37" s="426"/>
      <c r="T37" s="302"/>
      <c r="U37" s="302"/>
      <c r="V37" s="81"/>
      <c r="W37" s="81"/>
      <c r="X37" s="303"/>
      <c r="Y37" s="303"/>
      <c r="Z37" s="480"/>
      <c r="AA37" s="481"/>
      <c r="AB37" s="34">
        <f t="shared" ref="AB37:AB40" si="28">N37-K37</f>
        <v>-297.43441416594487</v>
      </c>
      <c r="AC37" s="186">
        <f t="shared" ref="AC37:AC40" si="29">N37/K37</f>
        <v>0.80004409131701182</v>
      </c>
      <c r="AD37" s="403"/>
    </row>
    <row r="38" spans="1:30" s="62" customFormat="1" ht="15" customHeight="1">
      <c r="A38" s="454" t="s">
        <v>55</v>
      </c>
      <c r="B38" s="229" t="s">
        <v>134</v>
      </c>
      <c r="C38" s="199"/>
      <c r="D38" s="304" t="s">
        <v>206</v>
      </c>
      <c r="E38" s="280"/>
      <c r="F38" s="305">
        <f>VLOOKUP(D38,廠價表!$C$1:$E$39,3,0)</f>
        <v>56.43</v>
      </c>
      <c r="G38" s="266">
        <v>1128</v>
      </c>
      <c r="H38" s="125">
        <f t="shared" si="25"/>
        <v>63653.04</v>
      </c>
      <c r="I38" s="126"/>
      <c r="J38" s="274">
        <v>16</v>
      </c>
      <c r="K38" s="236">
        <v>1500</v>
      </c>
      <c r="L38" s="288">
        <f t="shared" ref="L38:L40" si="30">K38/J38</f>
        <v>93.75</v>
      </c>
      <c r="M38" s="289">
        <v>16</v>
      </c>
      <c r="N38" s="127">
        <f>G38/W38*60</f>
        <v>1147.1186440677961</v>
      </c>
      <c r="O38" s="128">
        <f>N38/M38</f>
        <v>71.694915254237259</v>
      </c>
      <c r="P38" s="129">
        <f t="shared" ref="P38:P40" si="31">M38-J38</f>
        <v>0</v>
      </c>
      <c r="Q38" s="130">
        <f t="shared" ref="Q38:Q40" si="32">O38-L38</f>
        <v>-22.055084745762741</v>
      </c>
      <c r="R38" s="189">
        <f t="shared" si="27"/>
        <v>0.76474576271186412</v>
      </c>
      <c r="S38" s="457">
        <f>R48</f>
        <v>0.78407972555197181</v>
      </c>
      <c r="T38" s="151">
        <v>0.33263888888888887</v>
      </c>
      <c r="U38" s="151">
        <v>0.37361111111111112</v>
      </c>
      <c r="V38" s="148"/>
      <c r="W38" s="152">
        <f t="shared" si="20"/>
        <v>59.000000000000028</v>
      </c>
      <c r="X38" s="150"/>
      <c r="Y38" s="153"/>
      <c r="Z38" s="478" t="s">
        <v>244</v>
      </c>
      <c r="AA38" s="460"/>
      <c r="AB38" s="290">
        <f t="shared" si="28"/>
        <v>-352.88135593220386</v>
      </c>
      <c r="AC38" s="154">
        <f t="shared" si="29"/>
        <v>0.76474576271186412</v>
      </c>
      <c r="AD38" s="436">
        <f>AC48</f>
        <v>0.78376038816362437</v>
      </c>
    </row>
    <row r="39" spans="1:30" s="62" customFormat="1" ht="15" customHeight="1">
      <c r="A39" s="455"/>
      <c r="B39" s="56" t="s">
        <v>134</v>
      </c>
      <c r="C39" s="277"/>
      <c r="D39" s="279" t="s">
        <v>156</v>
      </c>
      <c r="E39" s="278"/>
      <c r="F39" s="56">
        <f>VLOOKUP(D39,廠價表!$C$1:$E$39,3,0)</f>
        <v>56.43</v>
      </c>
      <c r="G39" s="276">
        <v>2179</v>
      </c>
      <c r="H39" s="50">
        <f t="shared" si="25"/>
        <v>122960.97</v>
      </c>
      <c r="I39" s="64"/>
      <c r="J39" s="37">
        <f>VLOOKUP(D39,產線配置圖!$A$2:$C$38,2,0)</f>
        <v>15</v>
      </c>
      <c r="K39" s="36">
        <f>VLOOKUP(D39,產線配置圖!$A$2:$C$38,3,0)</f>
        <v>1406</v>
      </c>
      <c r="L39" s="38">
        <f t="shared" si="30"/>
        <v>93.733333333333334</v>
      </c>
      <c r="M39" s="65">
        <v>15</v>
      </c>
      <c r="N39" s="66">
        <f>G39/W39*60</f>
        <v>1089.4999999999995</v>
      </c>
      <c r="O39" s="67">
        <f t="shared" ref="O39:O40" si="33">N39/M39</f>
        <v>72.633333333333297</v>
      </c>
      <c r="P39" s="39">
        <f t="shared" si="31"/>
        <v>0</v>
      </c>
      <c r="Q39" s="40">
        <f t="shared" si="32"/>
        <v>-21.100000000000037</v>
      </c>
      <c r="R39" s="190">
        <f t="shared" si="27"/>
        <v>0.77489331436699815</v>
      </c>
      <c r="S39" s="458"/>
      <c r="T39" s="59">
        <v>0.38194444444444442</v>
      </c>
      <c r="U39" s="59">
        <v>0.46527777777777779</v>
      </c>
      <c r="V39" s="42">
        <f>(T39-U38)*24*60</f>
        <v>11.999999999999957</v>
      </c>
      <c r="W39" s="69">
        <f t="shared" si="20"/>
        <v>120.00000000000006</v>
      </c>
      <c r="X39" s="22"/>
      <c r="Y39" s="22"/>
      <c r="Z39" s="439" t="s">
        <v>228</v>
      </c>
      <c r="AA39" s="440"/>
      <c r="AB39" s="271">
        <f t="shared" si="28"/>
        <v>-316.50000000000045</v>
      </c>
      <c r="AC39" s="61">
        <f t="shared" si="29"/>
        <v>0.77489331436699826</v>
      </c>
      <c r="AD39" s="437"/>
    </row>
    <row r="40" spans="1:30" s="62" customFormat="1" ht="15" customHeight="1">
      <c r="A40" s="455"/>
      <c r="B40" s="56" t="s">
        <v>134</v>
      </c>
      <c r="C40" s="275"/>
      <c r="D40" s="279" t="s">
        <v>154</v>
      </c>
      <c r="E40" s="243"/>
      <c r="F40" s="56">
        <f>VLOOKUP(D40,廠價表!$C$1:$E$39,3,0)</f>
        <v>57.3</v>
      </c>
      <c r="G40" s="276">
        <v>865</v>
      </c>
      <c r="H40" s="50">
        <f t="shared" si="25"/>
        <v>49564.5</v>
      </c>
      <c r="I40" s="64"/>
      <c r="J40" s="37">
        <f>VLOOKUP(D40,產線配置圖!$A$2:$C$38,2,0)</f>
        <v>15</v>
      </c>
      <c r="K40" s="36">
        <f>VLOOKUP(D40,產線配置圖!$A$2:$C$38,3,0)</f>
        <v>1385</v>
      </c>
      <c r="L40" s="38">
        <f t="shared" si="30"/>
        <v>92.333333333333329</v>
      </c>
      <c r="M40" s="65">
        <v>15</v>
      </c>
      <c r="N40" s="66">
        <f>G40/W40*60</f>
        <v>1104.2553191489362</v>
      </c>
      <c r="O40" s="67">
        <f t="shared" si="33"/>
        <v>73.61702127659575</v>
      </c>
      <c r="P40" s="39">
        <f t="shared" si="31"/>
        <v>0</v>
      </c>
      <c r="Q40" s="40">
        <f t="shared" si="32"/>
        <v>-18.716312056737578</v>
      </c>
      <c r="R40" s="190">
        <f t="shared" si="27"/>
        <v>0.79729625931331138</v>
      </c>
      <c r="S40" s="397"/>
      <c r="T40" s="59">
        <v>0.47430555555555554</v>
      </c>
      <c r="U40" s="59">
        <v>0.50694444444444442</v>
      </c>
      <c r="V40" s="42">
        <f>(T40-U39)*24*60</f>
        <v>12.999999999999954</v>
      </c>
      <c r="W40" s="69">
        <f t="shared" si="20"/>
        <v>46.999999999999993</v>
      </c>
      <c r="X40" s="70"/>
      <c r="Y40" s="259"/>
      <c r="Z40" s="439" t="s">
        <v>228</v>
      </c>
      <c r="AA40" s="440"/>
      <c r="AB40" s="271">
        <f t="shared" si="28"/>
        <v>-280.74468085106378</v>
      </c>
      <c r="AC40" s="61">
        <f t="shared" si="29"/>
        <v>0.79729625931331138</v>
      </c>
      <c r="AD40" s="437"/>
    </row>
    <row r="41" spans="1:30" s="62" customFormat="1" ht="15" customHeight="1">
      <c r="A41" s="455"/>
      <c r="B41" s="56" t="s">
        <v>134</v>
      </c>
      <c r="C41" s="275"/>
      <c r="D41" s="279" t="s">
        <v>154</v>
      </c>
      <c r="E41" s="243"/>
      <c r="F41" s="56">
        <f>VLOOKUP(D41,廠價表!$C$1:$E$39,3,0)</f>
        <v>57.3</v>
      </c>
      <c r="G41" s="276">
        <v>1477</v>
      </c>
      <c r="H41" s="50">
        <f t="shared" ref="H41" si="34">F41*G41</f>
        <v>84632.099999999991</v>
      </c>
      <c r="I41" s="64"/>
      <c r="J41" s="37">
        <f>VLOOKUP(D41,產線配置圖!$A$2:$C$38,2,0)</f>
        <v>15</v>
      </c>
      <c r="K41" s="36">
        <f>VLOOKUP(D41,產線配置圖!$A$2:$C$38,3,0)</f>
        <v>1385</v>
      </c>
      <c r="L41" s="38">
        <f t="shared" ref="L41" si="35">K41/J41</f>
        <v>92.333333333333329</v>
      </c>
      <c r="M41" s="65">
        <v>15</v>
      </c>
      <c r="N41" s="66">
        <f>G41/W41*60</f>
        <v>1107.7499999999998</v>
      </c>
      <c r="O41" s="67">
        <f t="shared" ref="O41" si="36">N41/M41</f>
        <v>73.84999999999998</v>
      </c>
      <c r="P41" s="39">
        <f t="shared" ref="P41" si="37">M41-J41</f>
        <v>0</v>
      </c>
      <c r="Q41" s="40">
        <f t="shared" ref="Q41" si="38">O41-L41</f>
        <v>-18.483333333333348</v>
      </c>
      <c r="R41" s="190">
        <f t="shared" ref="R41" si="39">O41/L41</f>
        <v>0.79981949458483736</v>
      </c>
      <c r="S41" s="397"/>
      <c r="T41" s="59">
        <v>0.5625</v>
      </c>
      <c r="U41" s="59">
        <v>0.61805555555555558</v>
      </c>
      <c r="V41" s="42">
        <f>(T41-U40)*24*60</f>
        <v>80.000000000000028</v>
      </c>
      <c r="W41" s="69">
        <f t="shared" si="20"/>
        <v>80.000000000000028</v>
      </c>
      <c r="X41" s="70">
        <v>0.51041666666666663</v>
      </c>
      <c r="Y41" s="259">
        <v>0.55208333333333337</v>
      </c>
      <c r="Z41" s="439" t="s">
        <v>228</v>
      </c>
      <c r="AA41" s="440"/>
      <c r="AB41" s="271"/>
      <c r="AC41" s="61"/>
      <c r="AD41" s="437"/>
    </row>
    <row r="42" spans="1:30" s="62" customFormat="1" ht="15" customHeight="1">
      <c r="A42" s="455"/>
      <c r="B42" s="56"/>
      <c r="C42" s="23"/>
      <c r="D42" s="279"/>
      <c r="E42" s="12"/>
      <c r="F42" s="56"/>
      <c r="G42" s="276"/>
      <c r="H42" s="63"/>
      <c r="I42" s="64"/>
      <c r="J42" s="37"/>
      <c r="K42" s="36"/>
      <c r="L42" s="38"/>
      <c r="M42" s="65"/>
      <c r="N42" s="66"/>
      <c r="O42" s="67"/>
      <c r="P42" s="39"/>
      <c r="Q42" s="40"/>
      <c r="R42" s="190"/>
      <c r="S42" s="397"/>
      <c r="T42" s="75"/>
      <c r="U42" s="75"/>
      <c r="V42" s="42"/>
      <c r="W42" s="69">
        <f t="shared" si="20"/>
        <v>0</v>
      </c>
      <c r="X42" s="70"/>
      <c r="Y42" s="60"/>
      <c r="Z42" s="445"/>
      <c r="AA42" s="446"/>
      <c r="AB42" s="271"/>
      <c r="AC42" s="61"/>
      <c r="AD42" s="437"/>
    </row>
    <row r="43" spans="1:30" s="62" customFormat="1" ht="15" customHeight="1">
      <c r="A43" s="455"/>
      <c r="B43" s="230"/>
      <c r="C43" s="23"/>
      <c r="D43" s="11"/>
      <c r="E43" s="12"/>
      <c r="F43" s="13"/>
      <c r="G43" s="100"/>
      <c r="H43" s="63">
        <f t="shared" ref="H43:H47" si="40">F43*G43</f>
        <v>0</v>
      </c>
      <c r="I43" s="64"/>
      <c r="J43" s="65"/>
      <c r="K43" s="66"/>
      <c r="L43" s="67"/>
      <c r="M43" s="65"/>
      <c r="N43" s="66"/>
      <c r="O43" s="67"/>
      <c r="P43" s="39"/>
      <c r="Q43" s="40"/>
      <c r="R43" s="68"/>
      <c r="S43" s="397"/>
      <c r="T43" s="75"/>
      <c r="U43" s="75"/>
      <c r="V43" s="64"/>
      <c r="W43" s="69">
        <f>(U43-T43)*24*60</f>
        <v>0</v>
      </c>
      <c r="X43" s="70"/>
      <c r="Y43" s="67"/>
      <c r="Z43" s="405"/>
      <c r="AA43" s="405"/>
      <c r="AB43" s="71"/>
      <c r="AC43" s="61"/>
      <c r="AD43" s="437"/>
    </row>
    <row r="44" spans="1:30" s="62" customFormat="1" ht="15" customHeight="1">
      <c r="A44" s="455"/>
      <c r="B44" s="230"/>
      <c r="C44" s="183"/>
      <c r="D44" s="11"/>
      <c r="E44" s="12"/>
      <c r="F44" s="13"/>
      <c r="G44" s="100"/>
      <c r="H44" s="63">
        <f t="shared" si="40"/>
        <v>0</v>
      </c>
      <c r="I44" s="64"/>
      <c r="J44" s="65"/>
      <c r="K44" s="66"/>
      <c r="L44" s="58"/>
      <c r="M44" s="65"/>
      <c r="N44" s="66"/>
      <c r="O44" s="67"/>
      <c r="P44" s="39"/>
      <c r="Q44" s="40"/>
      <c r="R44" s="68"/>
      <c r="S44" s="397"/>
      <c r="T44" s="59"/>
      <c r="U44" s="59"/>
      <c r="V44" s="64"/>
      <c r="W44" s="69">
        <f t="shared" ref="W44:W48" si="41">(U44-T44)*24*60</f>
        <v>0</v>
      </c>
      <c r="X44" s="70"/>
      <c r="Y44" s="67"/>
      <c r="Z44" s="405"/>
      <c r="AA44" s="405"/>
      <c r="AB44" s="71"/>
      <c r="AC44" s="61"/>
      <c r="AD44" s="437"/>
    </row>
    <row r="45" spans="1:30" s="62" customFormat="1" ht="15" customHeight="1">
      <c r="A45" s="455"/>
      <c r="B45" s="231"/>
      <c r="C45" s="27"/>
      <c r="D45" s="28"/>
      <c r="E45" s="29"/>
      <c r="F45" s="13"/>
      <c r="G45" s="66"/>
      <c r="H45" s="63">
        <f t="shared" si="40"/>
        <v>0</v>
      </c>
      <c r="I45" s="64"/>
      <c r="J45" s="65"/>
      <c r="K45" s="66"/>
      <c r="L45" s="67"/>
      <c r="M45" s="65"/>
      <c r="N45" s="66"/>
      <c r="O45" s="67"/>
      <c r="P45" s="39"/>
      <c r="Q45" s="40"/>
      <c r="R45" s="68"/>
      <c r="S45" s="397"/>
      <c r="T45" s="75"/>
      <c r="U45" s="75"/>
      <c r="V45" s="64"/>
      <c r="W45" s="69">
        <f t="shared" si="41"/>
        <v>0</v>
      </c>
      <c r="X45" s="70"/>
      <c r="Y45" s="67"/>
      <c r="Z45" s="405"/>
      <c r="AA45" s="405"/>
      <c r="AB45" s="71"/>
      <c r="AC45" s="61"/>
      <c r="AD45" s="437"/>
    </row>
    <row r="46" spans="1:30" s="62" customFormat="1" ht="15" customHeight="1">
      <c r="A46" s="455"/>
      <c r="B46" s="231"/>
      <c r="C46" s="27"/>
      <c r="D46" s="28"/>
      <c r="E46" s="29"/>
      <c r="F46" s="13"/>
      <c r="G46" s="66"/>
      <c r="H46" s="63">
        <f t="shared" si="40"/>
        <v>0</v>
      </c>
      <c r="I46" s="64"/>
      <c r="J46" s="65"/>
      <c r="K46" s="66"/>
      <c r="L46" s="67"/>
      <c r="M46" s="65"/>
      <c r="N46" s="66"/>
      <c r="O46" s="67"/>
      <c r="P46" s="39"/>
      <c r="Q46" s="40"/>
      <c r="R46" s="68"/>
      <c r="S46" s="397"/>
      <c r="T46" s="59"/>
      <c r="U46" s="59"/>
      <c r="V46" s="64"/>
      <c r="W46" s="69">
        <f t="shared" si="41"/>
        <v>0</v>
      </c>
      <c r="X46" s="70"/>
      <c r="Y46" s="67"/>
      <c r="Z46" s="405"/>
      <c r="AA46" s="405"/>
      <c r="AB46" s="71"/>
      <c r="AC46" s="61"/>
      <c r="AD46" s="437"/>
    </row>
    <row r="47" spans="1:30" s="62" customFormat="1" ht="15" customHeight="1">
      <c r="A47" s="455"/>
      <c r="B47" s="230"/>
      <c r="C47" s="27"/>
      <c r="D47" s="28"/>
      <c r="E47" s="29"/>
      <c r="F47" s="13"/>
      <c r="G47" s="66"/>
      <c r="H47" s="63">
        <f t="shared" si="40"/>
        <v>0</v>
      </c>
      <c r="I47" s="64"/>
      <c r="J47" s="65"/>
      <c r="K47" s="66"/>
      <c r="L47" s="67"/>
      <c r="M47" s="65"/>
      <c r="N47" s="66"/>
      <c r="O47" s="67"/>
      <c r="P47" s="39"/>
      <c r="Q47" s="40"/>
      <c r="R47" s="68"/>
      <c r="S47" s="397"/>
      <c r="T47" s="75"/>
      <c r="U47" s="75"/>
      <c r="V47" s="64"/>
      <c r="W47" s="69">
        <f t="shared" si="41"/>
        <v>0</v>
      </c>
      <c r="X47" s="70"/>
      <c r="Y47" s="67"/>
      <c r="Z47" s="405"/>
      <c r="AA47" s="405"/>
      <c r="AB47" s="71"/>
      <c r="AC47" s="61"/>
      <c r="AD47" s="437"/>
    </row>
    <row r="48" spans="1:30" ht="15" customHeight="1" thickBot="1">
      <c r="A48" s="456"/>
      <c r="B48" s="156"/>
      <c r="C48" s="1" t="s">
        <v>37</v>
      </c>
      <c r="D48" s="410" t="s">
        <v>7</v>
      </c>
      <c r="E48" s="410"/>
      <c r="F48" s="133"/>
      <c r="G48" s="145"/>
      <c r="H48" s="135"/>
      <c r="I48" s="136"/>
      <c r="J48" s="134">
        <f t="shared" ref="J48:O48" si="42">AVERAGE(J38:J47)</f>
        <v>15.25</v>
      </c>
      <c r="K48" s="134">
        <f t="shared" si="42"/>
        <v>1419</v>
      </c>
      <c r="L48" s="137">
        <f t="shared" si="42"/>
        <v>93.037499999999994</v>
      </c>
      <c r="M48" s="134">
        <f t="shared" si="42"/>
        <v>15.25</v>
      </c>
      <c r="N48" s="134">
        <f t="shared" si="42"/>
        <v>1112.1559908041829</v>
      </c>
      <c r="O48" s="137">
        <f t="shared" si="42"/>
        <v>72.948817466041575</v>
      </c>
      <c r="P48" s="157">
        <f>M48-J48</f>
        <v>0</v>
      </c>
      <c r="Q48" s="158">
        <f>N48-K48</f>
        <v>-306.84400919581708</v>
      </c>
      <c r="R48" s="159">
        <f>O48/L48</f>
        <v>0.78407972555197181</v>
      </c>
      <c r="S48" s="399"/>
      <c r="T48" s="160"/>
      <c r="U48" s="160"/>
      <c r="V48" s="196"/>
      <c r="W48" s="161">
        <f t="shared" si="41"/>
        <v>0</v>
      </c>
      <c r="X48" s="162"/>
      <c r="Y48" s="162"/>
      <c r="Z48" s="391"/>
      <c r="AA48" s="391"/>
      <c r="AB48" s="163">
        <f>N48-K48</f>
        <v>-306.84400919581708</v>
      </c>
      <c r="AC48" s="191">
        <f>N48/K48</f>
        <v>0.78376038816362437</v>
      </c>
      <c r="AD48" s="438"/>
    </row>
    <row r="49" spans="1:30" ht="15" customHeight="1">
      <c r="A49" s="451" t="s">
        <v>56</v>
      </c>
      <c r="B49" s="199" t="str">
        <f>VLOOKUP(D49,廠價表!$C$1:$E$39,2,0)</f>
        <v>義大利麵</v>
      </c>
      <c r="C49" s="102"/>
      <c r="D49" s="103" t="s">
        <v>152</v>
      </c>
      <c r="E49" s="104"/>
      <c r="F49" s="199">
        <f>VLOOKUP(D49,廠價表!$C$1:$E$39,3,0)</f>
        <v>56.87</v>
      </c>
      <c r="G49" s="149">
        <v>2185</v>
      </c>
      <c r="H49" s="125">
        <f t="shared" ref="H49:H57" si="43">F49*G49</f>
        <v>124260.95</v>
      </c>
      <c r="I49" s="126"/>
      <c r="J49" s="16">
        <f>VLOOKUP(D49,產線配置圖!$A$2:$C$38,2,0)</f>
        <v>19</v>
      </c>
      <c r="K49" s="14">
        <f>VLOOKUP(D49,產線配置圖!$A$2:$C$38,3,0)</f>
        <v>1565</v>
      </c>
      <c r="L49" s="109">
        <f>K49/J49</f>
        <v>82.368421052631575</v>
      </c>
      <c r="M49" s="144">
        <v>16</v>
      </c>
      <c r="N49" s="127">
        <f>G49/W49*60</f>
        <v>1213.8888888888896</v>
      </c>
      <c r="O49" s="128">
        <f>N49/M49</f>
        <v>75.8680555555556</v>
      </c>
      <c r="P49" s="164">
        <f>M49-J49</f>
        <v>-3</v>
      </c>
      <c r="Q49" s="112">
        <f>O49-L49</f>
        <v>-6.5003654970759754</v>
      </c>
      <c r="R49" s="184">
        <f>O49/L49</f>
        <v>0.9210818246361383</v>
      </c>
      <c r="S49" s="396">
        <f>R58</f>
        <v>0.85755117554246563</v>
      </c>
      <c r="T49" s="151">
        <v>0.29166666666666669</v>
      </c>
      <c r="U49" s="151">
        <v>0.36666666666666664</v>
      </c>
      <c r="V49" s="188"/>
      <c r="W49" s="152">
        <f t="shared" si="20"/>
        <v>107.99999999999994</v>
      </c>
      <c r="X49" s="188"/>
      <c r="Y49" s="188"/>
      <c r="Z49" s="400"/>
      <c r="AA49" s="400"/>
      <c r="AB49" s="111">
        <f>N49-K49</f>
        <v>-351.1111111111104</v>
      </c>
      <c r="AC49" s="184">
        <f>N49/K49</f>
        <v>0.77564785232516908</v>
      </c>
      <c r="AD49" s="401">
        <f>AC58</f>
        <v>0.77869646590025732</v>
      </c>
    </row>
    <row r="50" spans="1:30" ht="15" customHeight="1">
      <c r="A50" s="452"/>
      <c r="B50" s="56" t="str">
        <f>VLOOKUP(D50,廠價表!$C$1:$E$39,2,0)</f>
        <v>義大利麵</v>
      </c>
      <c r="C50" s="10"/>
      <c r="D50" s="11" t="s">
        <v>65</v>
      </c>
      <c r="E50" s="86"/>
      <c r="F50" s="56">
        <f>VLOOKUP(D50,廠價表!$C$1:$E$39,3,0)</f>
        <v>49.97</v>
      </c>
      <c r="G50" s="66">
        <v>3415</v>
      </c>
      <c r="H50" s="76">
        <f t="shared" si="43"/>
        <v>170647.55</v>
      </c>
      <c r="I50" s="193"/>
      <c r="J50" s="16">
        <f>VLOOKUP(D50,產線配置圖!$A$2:$C$38,2,0)</f>
        <v>18</v>
      </c>
      <c r="K50" s="14">
        <f>VLOOKUP(D50,產線配置圖!$A$2:$C$38,3,0)</f>
        <v>1600</v>
      </c>
      <c r="L50" s="17">
        <f>K50/J50</f>
        <v>88.888888888888886</v>
      </c>
      <c r="M50" s="174">
        <v>17</v>
      </c>
      <c r="N50" s="77">
        <f>G50/W50*60</f>
        <v>1463.5714285714289</v>
      </c>
      <c r="O50" s="78">
        <f>N50/M50</f>
        <v>86.092436974789933</v>
      </c>
      <c r="P50" s="18">
        <f>M50-J50</f>
        <v>-1</v>
      </c>
      <c r="Q50" s="19">
        <f>O50-L50</f>
        <v>-2.7964519140989523</v>
      </c>
      <c r="R50" s="185">
        <f>O50/L50</f>
        <v>0.96853991596638678</v>
      </c>
      <c r="S50" s="397"/>
      <c r="T50" s="79">
        <v>0.375</v>
      </c>
      <c r="U50" s="79">
        <v>0.47222222222222221</v>
      </c>
      <c r="V50" s="177">
        <f t="shared" ref="V50:V52" si="44">(T50-U49)*24*60</f>
        <v>12.000000000000037</v>
      </c>
      <c r="W50" s="80">
        <f t="shared" si="20"/>
        <v>139.99999999999997</v>
      </c>
      <c r="X50" s="22"/>
      <c r="Y50" s="22"/>
      <c r="Z50" s="419"/>
      <c r="AA50" s="418"/>
      <c r="AB50" s="18">
        <f>N50-K50</f>
        <v>-136.4285714285711</v>
      </c>
      <c r="AC50" s="185">
        <f>N50/K50</f>
        <v>0.9147321428571431</v>
      </c>
      <c r="AD50" s="402"/>
    </row>
    <row r="51" spans="1:30" ht="15" customHeight="1">
      <c r="A51" s="452"/>
      <c r="B51" s="56" t="str">
        <f>VLOOKUP(D51,廠價表!$C$1:$E$39,2,0)</f>
        <v>義大利麵</v>
      </c>
      <c r="C51" s="10"/>
      <c r="D51" s="11" t="s">
        <v>65</v>
      </c>
      <c r="E51" s="86"/>
      <c r="F51" s="56">
        <f>VLOOKUP(D51,廠價表!$C$1:$E$39,3,0)</f>
        <v>49.97</v>
      </c>
      <c r="G51" s="66">
        <v>1600</v>
      </c>
      <c r="H51" s="76">
        <f t="shared" si="43"/>
        <v>79952</v>
      </c>
      <c r="I51" s="193"/>
      <c r="J51" s="16">
        <f>VLOOKUP(D51,產線配置圖!$A$2:$C$38,2,0)</f>
        <v>18</v>
      </c>
      <c r="K51" s="14">
        <f>VLOOKUP(D51,產線配置圖!$A$2:$C$38,3,0)</f>
        <v>1600</v>
      </c>
      <c r="L51" s="17">
        <f>K51/J51</f>
        <v>88.888888888888886</v>
      </c>
      <c r="M51" s="174">
        <v>17</v>
      </c>
      <c r="N51" s="77">
        <f>G51/W51*60</f>
        <v>1279.9999999999991</v>
      </c>
      <c r="O51" s="78">
        <f>N51/M51</f>
        <v>75.294117647058769</v>
      </c>
      <c r="P51" s="18">
        <f>M51-J51</f>
        <v>-1</v>
      </c>
      <c r="Q51" s="19">
        <f>O51-L51</f>
        <v>-13.594771241830117</v>
      </c>
      <c r="R51" s="185">
        <f>O51/L51</f>
        <v>0.8470588235294112</v>
      </c>
      <c r="S51" s="397"/>
      <c r="T51" s="79">
        <v>0.53125</v>
      </c>
      <c r="U51" s="44">
        <v>0.58333333333333337</v>
      </c>
      <c r="V51" s="177">
        <f t="shared" si="44"/>
        <v>85.000000000000014</v>
      </c>
      <c r="W51" s="80">
        <f t="shared" si="20"/>
        <v>75.000000000000057</v>
      </c>
      <c r="X51" s="22">
        <v>0.47916666666666669</v>
      </c>
      <c r="Y51" s="22">
        <v>0.52083333333333337</v>
      </c>
      <c r="Z51" s="405"/>
      <c r="AA51" s="405"/>
      <c r="AB51" s="18">
        <f>N51-K51</f>
        <v>-320.00000000000091</v>
      </c>
      <c r="AC51" s="185">
        <f>N51/K51</f>
        <v>0.79999999999999938</v>
      </c>
      <c r="AD51" s="402"/>
    </row>
    <row r="52" spans="1:30" ht="15" customHeight="1">
      <c r="A52" s="452"/>
      <c r="B52" s="56" t="str">
        <f>VLOOKUP(D52,廠價表!$C$1:$E$39,2,0)</f>
        <v>熱乾麵</v>
      </c>
      <c r="C52" s="23"/>
      <c r="D52" s="11" t="s">
        <v>144</v>
      </c>
      <c r="E52" s="12"/>
      <c r="F52" s="56">
        <f>VLOOKUP(D52,廠價表!$C$1:$E$39,3,0)</f>
        <v>49.91</v>
      </c>
      <c r="G52" s="66">
        <v>1247</v>
      </c>
      <c r="H52" s="76">
        <f t="shared" si="43"/>
        <v>62237.77</v>
      </c>
      <c r="I52" s="193"/>
      <c r="J52" s="16">
        <f>VLOOKUP(D52,產線配置圖!$A$2:$C$38,2,0)</f>
        <v>17</v>
      </c>
      <c r="K52" s="14">
        <f>VLOOKUP(D52,產線配置圖!$A$2:$C$38,3,0)</f>
        <v>1565</v>
      </c>
      <c r="L52" s="17">
        <f>K52/J52</f>
        <v>92.058823529411768</v>
      </c>
      <c r="M52" s="174">
        <v>15</v>
      </c>
      <c r="N52" s="77">
        <f>G52/W52*60</f>
        <v>971.68831168831105</v>
      </c>
      <c r="O52" s="78">
        <f>N52/M52</f>
        <v>64.779220779220736</v>
      </c>
      <c r="P52" s="18">
        <f>M52-J52</f>
        <v>-2</v>
      </c>
      <c r="Q52" s="19">
        <f>O52-L52</f>
        <v>-27.279602750191032</v>
      </c>
      <c r="R52" s="185">
        <f>O52/L52</f>
        <v>0.70367204680303674</v>
      </c>
      <c r="S52" s="397"/>
      <c r="T52" s="79">
        <v>0.58888888888888891</v>
      </c>
      <c r="U52" s="79">
        <v>0.64236111111111116</v>
      </c>
      <c r="V52" s="177">
        <f t="shared" si="44"/>
        <v>7.9999999999999716</v>
      </c>
      <c r="W52" s="80">
        <f t="shared" si="20"/>
        <v>77.000000000000043</v>
      </c>
      <c r="X52" s="22"/>
      <c r="Y52" s="22"/>
      <c r="Z52" s="405" t="s">
        <v>245</v>
      </c>
      <c r="AA52" s="405"/>
      <c r="AB52" s="18">
        <f>N52-K52</f>
        <v>-593.31168831168895</v>
      </c>
      <c r="AC52" s="185">
        <f>N52/K52</f>
        <v>0.62088710012032655</v>
      </c>
      <c r="AD52" s="402"/>
    </row>
    <row r="53" spans="1:30" ht="15" customHeight="1">
      <c r="A53" s="452"/>
      <c r="B53" s="56"/>
      <c r="C53" s="23"/>
      <c r="D53" s="11"/>
      <c r="E53" s="12"/>
      <c r="F53" s="56"/>
      <c r="G53" s="66"/>
      <c r="H53" s="76"/>
      <c r="I53" s="193"/>
      <c r="J53" s="16"/>
      <c r="K53" s="14"/>
      <c r="L53" s="17"/>
      <c r="M53" s="174"/>
      <c r="N53" s="77"/>
      <c r="O53" s="78"/>
      <c r="P53" s="18"/>
      <c r="Q53" s="19"/>
      <c r="R53" s="185"/>
      <c r="S53" s="397"/>
      <c r="T53" s="79"/>
      <c r="U53" s="79"/>
      <c r="V53" s="177"/>
      <c r="W53" s="80">
        <f t="shared" si="20"/>
        <v>0</v>
      </c>
      <c r="X53" s="177"/>
      <c r="Y53" s="177"/>
      <c r="Z53" s="419"/>
      <c r="AA53" s="418"/>
      <c r="AB53" s="18"/>
      <c r="AC53" s="185"/>
      <c r="AD53" s="402"/>
    </row>
    <row r="54" spans="1:30" ht="15" customHeight="1">
      <c r="A54" s="452"/>
      <c r="B54" s="177"/>
      <c r="C54" s="183"/>
      <c r="D54" s="11"/>
      <c r="E54" s="12"/>
      <c r="F54" s="13"/>
      <c r="G54" s="66"/>
      <c r="H54" s="76">
        <f t="shared" si="43"/>
        <v>0</v>
      </c>
      <c r="I54" s="177"/>
      <c r="J54" s="31"/>
      <c r="K54" s="30"/>
      <c r="L54" s="38"/>
      <c r="M54" s="181"/>
      <c r="N54" s="30"/>
      <c r="O54" s="35"/>
      <c r="P54" s="18"/>
      <c r="Q54" s="19"/>
      <c r="R54" s="185"/>
      <c r="S54" s="397"/>
      <c r="T54" s="79"/>
      <c r="U54" s="79"/>
      <c r="V54" s="197"/>
      <c r="W54" s="80">
        <f t="shared" si="20"/>
        <v>0</v>
      </c>
      <c r="X54" s="177"/>
      <c r="Y54" s="177"/>
      <c r="Z54" s="419"/>
      <c r="AA54" s="418"/>
      <c r="AB54" s="18"/>
      <c r="AC54" s="185"/>
      <c r="AD54" s="402"/>
    </row>
    <row r="55" spans="1:30" ht="15" customHeight="1">
      <c r="A55" s="452"/>
      <c r="B55" s="26"/>
      <c r="C55" s="27"/>
      <c r="D55" s="28"/>
      <c r="E55" s="29"/>
      <c r="F55" s="13"/>
      <c r="G55" s="66"/>
      <c r="H55" s="15">
        <f t="shared" si="43"/>
        <v>0</v>
      </c>
      <c r="I55" s="177"/>
      <c r="J55" s="31"/>
      <c r="K55" s="30"/>
      <c r="L55" s="38"/>
      <c r="M55" s="181"/>
      <c r="N55" s="30"/>
      <c r="O55" s="35"/>
      <c r="P55" s="18"/>
      <c r="Q55" s="19"/>
      <c r="R55" s="185"/>
      <c r="S55" s="397"/>
      <c r="T55" s="79"/>
      <c r="U55" s="79"/>
      <c r="V55" s="197"/>
      <c r="W55" s="80">
        <f t="shared" si="20"/>
        <v>0</v>
      </c>
      <c r="X55" s="177"/>
      <c r="Y55" s="177"/>
      <c r="Z55" s="419"/>
      <c r="AA55" s="418"/>
      <c r="AB55" s="18"/>
      <c r="AC55" s="185"/>
      <c r="AD55" s="402"/>
    </row>
    <row r="56" spans="1:30" ht="15" customHeight="1">
      <c r="A56" s="452"/>
      <c r="B56" s="26"/>
      <c r="C56" s="27"/>
      <c r="D56" s="28"/>
      <c r="E56" s="29"/>
      <c r="F56" s="13"/>
      <c r="G56" s="66"/>
      <c r="H56" s="15">
        <f t="shared" si="43"/>
        <v>0</v>
      </c>
      <c r="I56" s="177"/>
      <c r="J56" s="31"/>
      <c r="K56" s="30"/>
      <c r="L56" s="38"/>
      <c r="M56" s="181"/>
      <c r="N56" s="30"/>
      <c r="O56" s="35"/>
      <c r="P56" s="18"/>
      <c r="Q56" s="19"/>
      <c r="R56" s="185"/>
      <c r="S56" s="397"/>
      <c r="T56" s="79"/>
      <c r="U56" s="79"/>
      <c r="V56" s="197"/>
      <c r="W56" s="80">
        <f t="shared" si="20"/>
        <v>0</v>
      </c>
      <c r="X56" s="177"/>
      <c r="Y56" s="177"/>
      <c r="Z56" s="405"/>
      <c r="AA56" s="405"/>
      <c r="AB56" s="18"/>
      <c r="AC56" s="185"/>
      <c r="AD56" s="402"/>
    </row>
    <row r="57" spans="1:30" ht="15" customHeight="1">
      <c r="A57" s="452"/>
      <c r="B57" s="26"/>
      <c r="C57" s="27"/>
      <c r="D57" s="28"/>
      <c r="E57" s="29"/>
      <c r="F57" s="13"/>
      <c r="G57" s="66"/>
      <c r="H57" s="15">
        <f t="shared" si="43"/>
        <v>0</v>
      </c>
      <c r="I57" s="177"/>
      <c r="J57" s="31"/>
      <c r="K57" s="30"/>
      <c r="L57" s="38"/>
      <c r="M57" s="181"/>
      <c r="N57" s="30"/>
      <c r="O57" s="35"/>
      <c r="P57" s="18"/>
      <c r="Q57" s="19"/>
      <c r="R57" s="185"/>
      <c r="S57" s="397"/>
      <c r="T57" s="79"/>
      <c r="U57" s="79"/>
      <c r="V57" s="197"/>
      <c r="W57" s="80">
        <f t="shared" si="20"/>
        <v>0</v>
      </c>
      <c r="X57" s="177"/>
      <c r="Y57" s="177"/>
      <c r="Z57" s="405"/>
      <c r="AA57" s="405"/>
      <c r="AB57" s="18"/>
      <c r="AC57" s="185"/>
      <c r="AD57" s="402"/>
    </row>
    <row r="58" spans="1:30" ht="15" customHeight="1" thickBot="1">
      <c r="A58" s="453"/>
      <c r="B58" s="165"/>
      <c r="C58" s="1" t="s">
        <v>38</v>
      </c>
      <c r="D58" s="410" t="s">
        <v>7</v>
      </c>
      <c r="E58" s="410"/>
      <c r="F58" s="114"/>
      <c r="G58" s="166"/>
      <c r="H58" s="116"/>
      <c r="I58" s="115"/>
      <c r="J58" s="118">
        <f t="shared" ref="J58:O58" si="45">AVERAGE(J49:J57)</f>
        <v>18</v>
      </c>
      <c r="K58" s="118">
        <f t="shared" si="45"/>
        <v>1582.5</v>
      </c>
      <c r="L58" s="115">
        <f t="shared" si="45"/>
        <v>88.051255589955289</v>
      </c>
      <c r="M58" s="118">
        <f t="shared" si="45"/>
        <v>16.25</v>
      </c>
      <c r="N58" s="118">
        <f t="shared" si="45"/>
        <v>1232.2871572871572</v>
      </c>
      <c r="O58" s="115">
        <f t="shared" si="45"/>
        <v>75.508457739156256</v>
      </c>
      <c r="P58" s="119">
        <f>M58-J58</f>
        <v>-1.75</v>
      </c>
      <c r="Q58" s="120">
        <f>N58-K58</f>
        <v>-350.21284271284276</v>
      </c>
      <c r="R58" s="121">
        <f t="shared" ref="R58:R60" si="46">O58/L58</f>
        <v>0.85755117554246563</v>
      </c>
      <c r="S58" s="399"/>
      <c r="T58" s="167"/>
      <c r="U58" s="167"/>
      <c r="V58" s="195"/>
      <c r="W58" s="168"/>
      <c r="X58" s="124"/>
      <c r="Y58" s="124"/>
      <c r="Z58" s="391"/>
      <c r="AA58" s="391"/>
      <c r="AB58" s="119">
        <f t="shared" ref="AB58:AB63" si="47">N58-K58</f>
        <v>-350.21284271284276</v>
      </c>
      <c r="AC58" s="187">
        <f t="shared" ref="AC58:AC63" si="48">N58/K58</f>
        <v>0.77869646590025732</v>
      </c>
      <c r="AD58" s="404"/>
    </row>
    <row r="59" spans="1:30" ht="15" customHeight="1">
      <c r="A59" s="466" t="s">
        <v>57</v>
      </c>
      <c r="B59" s="199" t="str">
        <f>VLOOKUP(D59,廠價表!$C$1:$E$39,2,0)</f>
        <v>小吃、微波</v>
      </c>
      <c r="C59" s="102"/>
      <c r="D59" s="103" t="s">
        <v>125</v>
      </c>
      <c r="E59" s="104"/>
      <c r="F59" s="199">
        <f>VLOOKUP(D59,廠價表!$C$1:$E$39,3,0)</f>
        <v>26.99</v>
      </c>
      <c r="G59" s="188">
        <v>3140</v>
      </c>
      <c r="H59" s="106">
        <f t="shared" ref="H59:H68" si="49">F59*G59</f>
        <v>84748.599999999991</v>
      </c>
      <c r="I59" s="188"/>
      <c r="J59" s="108">
        <f>VLOOKUP(D59,產線配置圖!$A$2:$C$38,2,0)</f>
        <v>13</v>
      </c>
      <c r="K59" s="105">
        <f>VLOOKUP(D59,產線配置圖!$A$2:$C$38,3,0)</f>
        <v>1565</v>
      </c>
      <c r="L59" s="109">
        <f>K59/J59</f>
        <v>120.38461538461539</v>
      </c>
      <c r="M59" s="110">
        <v>13</v>
      </c>
      <c r="N59" s="105">
        <f t="shared" ref="N59:N63" si="50">G59/W59*60</f>
        <v>1557.02479338843</v>
      </c>
      <c r="O59" s="109">
        <f t="shared" ref="O59:O63" si="51">N59/M59</f>
        <v>119.77113795295615</v>
      </c>
      <c r="P59" s="111">
        <f t="shared" ref="P59:P63" si="52">M59-J59</f>
        <v>0</v>
      </c>
      <c r="Q59" s="112">
        <f t="shared" ref="Q59:Q63" si="53">O59-L59</f>
        <v>-0.61347743165923418</v>
      </c>
      <c r="R59" s="184">
        <f t="shared" si="46"/>
        <v>0.99490402133445999</v>
      </c>
      <c r="S59" s="396">
        <f>R69</f>
        <v>0.89270910962542038</v>
      </c>
      <c r="T59" s="169">
        <v>0.29166666666666669</v>
      </c>
      <c r="U59" s="169">
        <v>0.37569444444444444</v>
      </c>
      <c r="V59" s="188"/>
      <c r="W59" s="107">
        <f t="shared" si="20"/>
        <v>120.99999999999997</v>
      </c>
      <c r="X59" s="188"/>
      <c r="Y59" s="188"/>
      <c r="Z59" s="405"/>
      <c r="AA59" s="405"/>
      <c r="AB59" s="225">
        <f t="shared" si="47"/>
        <v>-7.9752066115700018</v>
      </c>
      <c r="AC59" s="226">
        <f t="shared" si="48"/>
        <v>0.9949040213344601</v>
      </c>
      <c r="AD59" s="401">
        <f>AC69</f>
        <v>0.89539620994747326</v>
      </c>
    </row>
    <row r="60" spans="1:30" ht="15" customHeight="1">
      <c r="A60" s="467"/>
      <c r="B60" s="56" t="str">
        <f>VLOOKUP(D60,廠價表!$C$1:$E$39,2,0)</f>
        <v>小吃、微波</v>
      </c>
      <c r="C60" s="10"/>
      <c r="D60" s="11" t="s">
        <v>146</v>
      </c>
      <c r="E60" s="86"/>
      <c r="F60" s="56">
        <f>VLOOKUP(D60,廠價表!$C$1:$E$39,3,0)</f>
        <v>28.47</v>
      </c>
      <c r="G60" s="177">
        <v>682</v>
      </c>
      <c r="H60" s="15">
        <f t="shared" si="49"/>
        <v>19416.54</v>
      </c>
      <c r="I60" s="177"/>
      <c r="J60" s="16">
        <f>VLOOKUP(D60,產線配置圖!$A$2:$C$38,2,0)</f>
        <v>12</v>
      </c>
      <c r="K60" s="14">
        <f>VLOOKUP(D60,產線配置圖!$A$2:$C$38,3,0)</f>
        <v>1565</v>
      </c>
      <c r="L60" s="17">
        <f>K60/J60</f>
        <v>130.41666666666666</v>
      </c>
      <c r="M60" s="180">
        <v>12</v>
      </c>
      <c r="N60" s="14">
        <f t="shared" si="50"/>
        <v>1169.1428571428585</v>
      </c>
      <c r="O60" s="17">
        <f t="shared" si="51"/>
        <v>97.428571428571544</v>
      </c>
      <c r="P60" s="18">
        <f t="shared" si="52"/>
        <v>0</v>
      </c>
      <c r="Q60" s="19">
        <f t="shared" si="53"/>
        <v>-32.988095238095113</v>
      </c>
      <c r="R60" s="185">
        <f t="shared" si="46"/>
        <v>0.74705613874943044</v>
      </c>
      <c r="S60" s="470"/>
      <c r="T60" s="198">
        <v>0.38541666666666669</v>
      </c>
      <c r="U60" s="198">
        <v>0.40972222222222221</v>
      </c>
      <c r="V60" s="177">
        <f t="shared" ref="V60:V63" si="54">(T60-U59)*24*60</f>
        <v>14.00000000000003</v>
      </c>
      <c r="W60" s="90">
        <f t="shared" si="20"/>
        <v>34.999999999999957</v>
      </c>
      <c r="X60" s="193"/>
      <c r="Y60" s="193"/>
      <c r="Z60" s="405" t="s">
        <v>229</v>
      </c>
      <c r="AA60" s="405"/>
      <c r="AB60" s="227">
        <f t="shared" si="47"/>
        <v>-395.85714285714153</v>
      </c>
      <c r="AC60" s="228">
        <f t="shared" si="48"/>
        <v>0.74705613874943033</v>
      </c>
      <c r="AD60" s="473"/>
    </row>
    <row r="61" spans="1:30" ht="15" customHeight="1">
      <c r="A61" s="468"/>
      <c r="B61" s="56" t="str">
        <f>VLOOKUP(D61,廠價表!$C$1:$E$39,2,0)</f>
        <v>小吃、微波</v>
      </c>
      <c r="C61" s="10"/>
      <c r="D61" s="242" t="s">
        <v>135</v>
      </c>
      <c r="E61" s="86"/>
      <c r="F61" s="56">
        <f>VLOOKUP(D61,廠價表!$C$1:$E$39,3,0)</f>
        <v>28.26</v>
      </c>
      <c r="G61" s="177">
        <v>1569</v>
      </c>
      <c r="H61" s="15">
        <f t="shared" si="49"/>
        <v>44339.94</v>
      </c>
      <c r="I61" s="81"/>
      <c r="J61" s="16">
        <f>VLOOKUP(D61,產線配置圖!$A$2:$C$38,2,0)</f>
        <v>12</v>
      </c>
      <c r="K61" s="14">
        <f>VLOOKUP(D61,產線配置圖!$A$2:$C$38,3,0)</f>
        <v>1565</v>
      </c>
      <c r="L61" s="17">
        <f t="shared" ref="L61:L62" si="55">K61/J61</f>
        <v>130.41666666666666</v>
      </c>
      <c r="M61" s="180">
        <v>12</v>
      </c>
      <c r="N61" s="14">
        <f t="shared" si="50"/>
        <v>1448.3076923076922</v>
      </c>
      <c r="O61" s="17">
        <f t="shared" si="51"/>
        <v>120.69230769230768</v>
      </c>
      <c r="P61" s="18">
        <f t="shared" si="52"/>
        <v>0</v>
      </c>
      <c r="Q61" s="19">
        <f t="shared" si="53"/>
        <v>-9.724358974358978</v>
      </c>
      <c r="R61" s="185">
        <f>O61/L61</f>
        <v>0.92543622511673629</v>
      </c>
      <c r="S61" s="397"/>
      <c r="T61" s="20">
        <v>0.42708333333333331</v>
      </c>
      <c r="U61" s="20">
        <v>0.47222222222222221</v>
      </c>
      <c r="V61" s="177">
        <f t="shared" si="54"/>
        <v>24.999999999999993</v>
      </c>
      <c r="W61" s="88">
        <f t="shared" si="20"/>
        <v>65.000000000000014</v>
      </c>
      <c r="X61" s="22"/>
      <c r="Y61" s="22"/>
      <c r="Z61" s="405"/>
      <c r="AA61" s="405"/>
      <c r="AB61" s="51">
        <f t="shared" si="47"/>
        <v>-116.69230769230785</v>
      </c>
      <c r="AC61" s="52">
        <f t="shared" si="48"/>
        <v>0.92543622511673618</v>
      </c>
      <c r="AD61" s="402"/>
    </row>
    <row r="62" spans="1:30" ht="15" customHeight="1">
      <c r="A62" s="468"/>
      <c r="B62" s="56" t="str">
        <f>VLOOKUP(D62,廠價表!$C$1:$E$39,2,0)</f>
        <v>小吃、微波</v>
      </c>
      <c r="C62" s="23"/>
      <c r="D62" s="242" t="s">
        <v>135</v>
      </c>
      <c r="E62" s="12"/>
      <c r="F62" s="56">
        <f>VLOOKUP(D62,廠價表!$C$1:$E$39,3,0)</f>
        <v>28.26</v>
      </c>
      <c r="G62" s="177">
        <v>881</v>
      </c>
      <c r="H62" s="15">
        <f t="shared" si="49"/>
        <v>24897.06</v>
      </c>
      <c r="I62" s="81"/>
      <c r="J62" s="16">
        <f>VLOOKUP(D62,產線配置圖!$A$2:$C$38,2,0)</f>
        <v>12</v>
      </c>
      <c r="K62" s="14">
        <f>VLOOKUP(D62,產線配置圖!$A$2:$C$38,3,0)</f>
        <v>1565</v>
      </c>
      <c r="L62" s="17">
        <f t="shared" si="55"/>
        <v>130.41666666666666</v>
      </c>
      <c r="M62" s="180">
        <v>12</v>
      </c>
      <c r="N62" s="14">
        <f t="shared" si="50"/>
        <v>1321.4999999999995</v>
      </c>
      <c r="O62" s="17">
        <f t="shared" si="51"/>
        <v>110.12499999999996</v>
      </c>
      <c r="P62" s="18">
        <f t="shared" si="52"/>
        <v>0</v>
      </c>
      <c r="Q62" s="19">
        <f t="shared" si="53"/>
        <v>-20.2916666666667</v>
      </c>
      <c r="R62" s="185">
        <f>O62/L62</f>
        <v>0.84440894568690072</v>
      </c>
      <c r="S62" s="397"/>
      <c r="T62" s="20">
        <v>0.52430555555555558</v>
      </c>
      <c r="U62" s="20">
        <v>0.55208333333333337</v>
      </c>
      <c r="V62" s="177">
        <f t="shared" si="54"/>
        <v>75.000000000000057</v>
      </c>
      <c r="W62" s="90">
        <f t="shared" si="20"/>
        <v>40.000000000000014</v>
      </c>
      <c r="X62" s="22">
        <v>0.47916666666666669</v>
      </c>
      <c r="Y62" s="22">
        <v>0.52083333333333337</v>
      </c>
      <c r="Z62" s="405"/>
      <c r="AA62" s="405"/>
      <c r="AB62" s="51">
        <f t="shared" si="47"/>
        <v>-243.50000000000045</v>
      </c>
      <c r="AC62" s="52">
        <f t="shared" si="48"/>
        <v>0.84440894568690061</v>
      </c>
      <c r="AD62" s="402"/>
    </row>
    <row r="63" spans="1:30" ht="15" customHeight="1">
      <c r="A63" s="468"/>
      <c r="B63" s="56" t="str">
        <f>VLOOKUP(D63,廠價表!$C$1:$E$39,2,0)</f>
        <v>小吃、微波</v>
      </c>
      <c r="C63" s="10"/>
      <c r="D63" s="242" t="s">
        <v>125</v>
      </c>
      <c r="E63" s="86"/>
      <c r="F63" s="56">
        <f>VLOOKUP(D63,廠價表!$C$1:$E$39,3,0)</f>
        <v>26.99</v>
      </c>
      <c r="G63" s="177">
        <v>1007</v>
      </c>
      <c r="H63" s="15">
        <f t="shared" si="49"/>
        <v>27178.929999999997</v>
      </c>
      <c r="I63" s="81"/>
      <c r="J63" s="16">
        <f>VLOOKUP(D63,產線配置圖!$A$2:$C$38,2,0)</f>
        <v>13</v>
      </c>
      <c r="K63" s="14">
        <f>VLOOKUP(D63,產線配置圖!$A$2:$C$38,3,0)</f>
        <v>1565</v>
      </c>
      <c r="L63" s="17">
        <f>K63/J63</f>
        <v>120.38461538461539</v>
      </c>
      <c r="M63" s="180">
        <v>13</v>
      </c>
      <c r="N63" s="14">
        <f t="shared" si="50"/>
        <v>1510.4999999999993</v>
      </c>
      <c r="O63" s="17">
        <f t="shared" si="51"/>
        <v>116.19230769230764</v>
      </c>
      <c r="P63" s="18">
        <f t="shared" si="52"/>
        <v>0</v>
      </c>
      <c r="Q63" s="19">
        <f t="shared" si="53"/>
        <v>-4.1923076923077502</v>
      </c>
      <c r="R63" s="185">
        <f t="shared" ref="R63" si="56">O63/L63</f>
        <v>0.96517571884983977</v>
      </c>
      <c r="S63" s="397"/>
      <c r="T63" s="20">
        <v>0.5625</v>
      </c>
      <c r="U63" s="20">
        <v>0.59027777777777779</v>
      </c>
      <c r="V63" s="177">
        <f t="shared" si="54"/>
        <v>14.999999999999947</v>
      </c>
      <c r="W63" s="90">
        <f t="shared" si="20"/>
        <v>40.000000000000014</v>
      </c>
      <c r="X63" s="84"/>
      <c r="Y63" s="84"/>
      <c r="Z63" s="405"/>
      <c r="AA63" s="405"/>
      <c r="AB63" s="51">
        <f t="shared" si="47"/>
        <v>-54.500000000000682</v>
      </c>
      <c r="AC63" s="52">
        <f t="shared" si="48"/>
        <v>0.96517571884983977</v>
      </c>
      <c r="AD63" s="402"/>
    </row>
    <row r="64" spans="1:30" ht="15" customHeight="1">
      <c r="A64" s="468"/>
      <c r="B64" s="56"/>
      <c r="C64" s="10"/>
      <c r="D64" s="242"/>
      <c r="E64" s="86"/>
      <c r="F64" s="56"/>
      <c r="G64" s="177"/>
      <c r="H64" s="15"/>
      <c r="I64" s="81"/>
      <c r="J64" s="16"/>
      <c r="K64" s="14"/>
      <c r="L64" s="17"/>
      <c r="M64" s="180"/>
      <c r="N64" s="14"/>
      <c r="O64" s="17"/>
      <c r="P64" s="18"/>
      <c r="Q64" s="19"/>
      <c r="R64" s="185"/>
      <c r="S64" s="397"/>
      <c r="T64" s="20"/>
      <c r="U64" s="20"/>
      <c r="V64" s="177"/>
      <c r="W64" s="182">
        <f t="shared" si="20"/>
        <v>0</v>
      </c>
      <c r="X64" s="84"/>
      <c r="Y64" s="84"/>
      <c r="Z64" s="419"/>
      <c r="AA64" s="418"/>
      <c r="AB64" s="18"/>
      <c r="AC64" s="55"/>
      <c r="AD64" s="402"/>
    </row>
    <row r="65" spans="1:32" ht="15" customHeight="1">
      <c r="A65" s="468"/>
      <c r="B65" s="177"/>
      <c r="C65" s="183"/>
      <c r="D65" s="11"/>
      <c r="E65" s="12"/>
      <c r="F65" s="13"/>
      <c r="G65" s="177"/>
      <c r="H65" s="15"/>
      <c r="I65" s="177"/>
      <c r="J65" s="16"/>
      <c r="K65" s="82"/>
      <c r="L65" s="83"/>
      <c r="M65" s="180"/>
      <c r="N65" s="14"/>
      <c r="O65" s="17"/>
      <c r="P65" s="18"/>
      <c r="Q65" s="19"/>
      <c r="R65" s="185"/>
      <c r="S65" s="397"/>
      <c r="T65" s="20"/>
      <c r="U65" s="20"/>
      <c r="V65" s="177"/>
      <c r="W65" s="182">
        <f t="shared" si="20"/>
        <v>0</v>
      </c>
      <c r="X65" s="84"/>
      <c r="Y65" s="84"/>
      <c r="Z65" s="419"/>
      <c r="AA65" s="418"/>
      <c r="AB65" s="18"/>
      <c r="AC65" s="55"/>
      <c r="AD65" s="402"/>
    </row>
    <row r="66" spans="1:32" ht="15" customHeight="1">
      <c r="A66" s="468"/>
      <c r="B66" s="26"/>
      <c r="C66" s="27"/>
      <c r="D66" s="28"/>
      <c r="E66" s="29"/>
      <c r="F66" s="13"/>
      <c r="G66" s="183"/>
      <c r="H66" s="15">
        <f t="shared" si="49"/>
        <v>0</v>
      </c>
      <c r="I66" s="85"/>
      <c r="J66" s="16"/>
      <c r="K66" s="14"/>
      <c r="L66" s="17"/>
      <c r="M66" s="21"/>
      <c r="N66" s="36"/>
      <c r="O66" s="38"/>
      <c r="P66" s="39"/>
      <c r="Q66" s="40"/>
      <c r="R66" s="68"/>
      <c r="S66" s="397"/>
      <c r="T66" s="20"/>
      <c r="U66" s="20"/>
      <c r="V66" s="177"/>
      <c r="W66" s="182">
        <f t="shared" si="20"/>
        <v>0</v>
      </c>
      <c r="X66" s="84"/>
      <c r="Y66" s="84"/>
      <c r="Z66" s="405"/>
      <c r="AA66" s="405"/>
      <c r="AB66" s="18"/>
      <c r="AC66" s="55"/>
      <c r="AD66" s="402"/>
    </row>
    <row r="67" spans="1:32" ht="15" customHeight="1">
      <c r="A67" s="468"/>
      <c r="B67" s="26"/>
      <c r="C67" s="27"/>
      <c r="D67" s="28"/>
      <c r="E67" s="29"/>
      <c r="F67" s="13"/>
      <c r="G67" s="177"/>
      <c r="H67" s="15">
        <f t="shared" si="49"/>
        <v>0</v>
      </c>
      <c r="I67" s="177"/>
      <c r="J67" s="16"/>
      <c r="K67" s="14"/>
      <c r="L67" s="17"/>
      <c r="M67" s="21"/>
      <c r="N67" s="36"/>
      <c r="O67" s="38"/>
      <c r="P67" s="39"/>
      <c r="Q67" s="40"/>
      <c r="R67" s="68"/>
      <c r="S67" s="397"/>
      <c r="T67" s="20"/>
      <c r="U67" s="20"/>
      <c r="V67" s="177"/>
      <c r="W67" s="182">
        <f t="shared" si="20"/>
        <v>0</v>
      </c>
      <c r="X67" s="84"/>
      <c r="Y67" s="84"/>
      <c r="Z67" s="419"/>
      <c r="AA67" s="418"/>
      <c r="AB67" s="18"/>
      <c r="AC67" s="55"/>
      <c r="AD67" s="402"/>
    </row>
    <row r="68" spans="1:32" ht="15" customHeight="1">
      <c r="A68" s="468"/>
      <c r="B68" s="26"/>
      <c r="C68" s="27"/>
      <c r="D68" s="28"/>
      <c r="E68" s="29"/>
      <c r="F68" s="13"/>
      <c r="G68" s="183"/>
      <c r="H68" s="15">
        <f t="shared" si="49"/>
        <v>0</v>
      </c>
      <c r="I68" s="85"/>
      <c r="J68" s="16"/>
      <c r="K68" s="260"/>
      <c r="L68" s="261"/>
      <c r="M68" s="21"/>
      <c r="N68" s="36"/>
      <c r="O68" s="38"/>
      <c r="P68" s="39"/>
      <c r="Q68" s="40"/>
      <c r="R68" s="68"/>
      <c r="S68" s="397"/>
      <c r="T68" s="20"/>
      <c r="U68" s="20"/>
      <c r="V68" s="177"/>
      <c r="W68" s="182">
        <f t="shared" si="20"/>
        <v>0</v>
      </c>
      <c r="X68" s="84"/>
      <c r="Y68" s="84"/>
      <c r="Z68" s="419" t="s">
        <v>240</v>
      </c>
      <c r="AA68" s="418"/>
      <c r="AB68" s="18"/>
      <c r="AC68" s="55"/>
      <c r="AD68" s="402"/>
    </row>
    <row r="69" spans="1:32" ht="15" customHeight="1" thickBot="1">
      <c r="A69" s="469"/>
      <c r="B69" s="165"/>
      <c r="C69" s="1" t="s">
        <v>39</v>
      </c>
      <c r="D69" s="410" t="s">
        <v>7</v>
      </c>
      <c r="E69" s="410"/>
      <c r="F69" s="114"/>
      <c r="G69" s="115"/>
      <c r="H69" s="116"/>
      <c r="I69" s="170"/>
      <c r="J69" s="166">
        <f t="shared" ref="J69:O69" si="57">AVERAGE(J59:J68)</f>
        <v>12.4</v>
      </c>
      <c r="K69" s="166">
        <f t="shared" si="57"/>
        <v>1565</v>
      </c>
      <c r="L69" s="171">
        <f t="shared" si="57"/>
        <v>126.40384615384615</v>
      </c>
      <c r="M69" s="166">
        <f t="shared" si="57"/>
        <v>12.4</v>
      </c>
      <c r="N69" s="166">
        <f t="shared" si="57"/>
        <v>1401.2950685677956</v>
      </c>
      <c r="O69" s="171">
        <f t="shared" si="57"/>
        <v>112.84186495322861</v>
      </c>
      <c r="P69" s="172">
        <f>M69-J69</f>
        <v>0</v>
      </c>
      <c r="Q69" s="158">
        <f>N69-K69</f>
        <v>-163.70493143220438</v>
      </c>
      <c r="R69" s="121">
        <f>O69/L69</f>
        <v>0.89270910962542038</v>
      </c>
      <c r="S69" s="399"/>
      <c r="T69" s="122"/>
      <c r="U69" s="122"/>
      <c r="V69" s="195"/>
      <c r="W69" s="168"/>
      <c r="X69" s="124"/>
      <c r="Y69" s="124"/>
      <c r="Z69" s="405"/>
      <c r="AA69" s="405"/>
      <c r="AB69" s="119">
        <f>N69-K69</f>
        <v>-163.70493143220438</v>
      </c>
      <c r="AC69" s="187">
        <f>N69/K69</f>
        <v>0.89539620994747326</v>
      </c>
      <c r="AD69" s="404"/>
    </row>
    <row r="70" spans="1:32" ht="15" customHeight="1">
      <c r="A70" s="461" t="s">
        <v>58</v>
      </c>
      <c r="B70" s="199"/>
      <c r="C70" s="199"/>
      <c r="D70" s="103"/>
      <c r="E70" s="104"/>
      <c r="F70" s="199"/>
      <c r="G70" s="188"/>
      <c r="H70" s="106"/>
      <c r="I70" s="188"/>
      <c r="J70" s="108"/>
      <c r="K70" s="105"/>
      <c r="L70" s="109"/>
      <c r="M70" s="110"/>
      <c r="N70" s="105"/>
      <c r="O70" s="109"/>
      <c r="P70" s="111"/>
      <c r="Q70" s="112"/>
      <c r="R70" s="184"/>
      <c r="S70" s="396">
        <f>R79</f>
        <v>0</v>
      </c>
      <c r="T70" s="169"/>
      <c r="U70" s="169"/>
      <c r="V70" s="188"/>
      <c r="W70" s="107">
        <f t="shared" si="20"/>
        <v>0</v>
      </c>
      <c r="X70" s="296"/>
      <c r="Y70" s="296"/>
      <c r="Z70" s="465"/>
      <c r="AA70" s="427"/>
      <c r="AB70" s="225">
        <f t="shared" ref="AB70" si="58">N70-K70</f>
        <v>0</v>
      </c>
      <c r="AC70" s="226" t="e">
        <f t="shared" ref="AC70" si="59">N70/K70</f>
        <v>#DIV/0!</v>
      </c>
      <c r="AD70" s="401" t="e">
        <f>AC79</f>
        <v>#DIV/0!</v>
      </c>
    </row>
    <row r="71" spans="1:32" ht="15" customHeight="1">
      <c r="A71" s="462"/>
      <c r="B71" s="56"/>
      <c r="C71" s="10"/>
      <c r="D71" s="11"/>
      <c r="E71" s="86"/>
      <c r="F71" s="56"/>
      <c r="G71" s="66"/>
      <c r="H71" s="76"/>
      <c r="I71" s="193"/>
      <c r="J71" s="16"/>
      <c r="K71" s="14"/>
      <c r="L71" s="17"/>
      <c r="M71" s="180"/>
      <c r="N71" s="14"/>
      <c r="O71" s="17"/>
      <c r="P71" s="18"/>
      <c r="Q71" s="19"/>
      <c r="R71" s="185"/>
      <c r="S71" s="397"/>
      <c r="T71" s="20"/>
      <c r="U71" s="20"/>
      <c r="V71" s="177"/>
      <c r="W71" s="182">
        <f t="shared" si="20"/>
        <v>0</v>
      </c>
      <c r="X71" s="298"/>
      <c r="Y71" s="299"/>
      <c r="Z71" s="439"/>
      <c r="AA71" s="440"/>
      <c r="AB71" s="39"/>
      <c r="AC71" s="190"/>
      <c r="AD71" s="447"/>
    </row>
    <row r="72" spans="1:32" ht="15" customHeight="1">
      <c r="A72" s="462"/>
      <c r="B72" s="56"/>
      <c r="C72" s="10"/>
      <c r="D72" s="11"/>
      <c r="E72" s="86"/>
      <c r="F72" s="56"/>
      <c r="G72" s="66"/>
      <c r="H72" s="76"/>
      <c r="I72" s="193"/>
      <c r="J72" s="16"/>
      <c r="K72" s="14"/>
      <c r="L72" s="17"/>
      <c r="M72" s="180"/>
      <c r="N72" s="14"/>
      <c r="O72" s="17"/>
      <c r="P72" s="18"/>
      <c r="Q72" s="19"/>
      <c r="R72" s="185"/>
      <c r="S72" s="397"/>
      <c r="T72" s="20"/>
      <c r="U72" s="20"/>
      <c r="V72" s="177"/>
      <c r="W72" s="182">
        <f t="shared" si="20"/>
        <v>0</v>
      </c>
      <c r="X72" s="297"/>
      <c r="Y72" s="297"/>
      <c r="Z72" s="405"/>
      <c r="AA72" s="419"/>
      <c r="AB72" s="39"/>
      <c r="AC72" s="190"/>
      <c r="AD72" s="447"/>
    </row>
    <row r="73" spans="1:32" ht="15" customHeight="1">
      <c r="A73" s="462"/>
      <c r="B73" s="56"/>
      <c r="C73" s="23"/>
      <c r="D73" s="11"/>
      <c r="E73" s="12"/>
      <c r="F73" s="56"/>
      <c r="G73" s="66"/>
      <c r="H73" s="76"/>
      <c r="I73" s="193"/>
      <c r="J73" s="16"/>
      <c r="K73" s="14"/>
      <c r="L73" s="17"/>
      <c r="M73" s="180"/>
      <c r="N73" s="14"/>
      <c r="O73" s="17"/>
      <c r="P73" s="18"/>
      <c r="Q73" s="19"/>
      <c r="R73" s="185"/>
      <c r="S73" s="397"/>
      <c r="T73" s="20"/>
      <c r="U73" s="20"/>
      <c r="V73" s="177"/>
      <c r="W73" s="182">
        <f t="shared" si="20"/>
        <v>0</v>
      </c>
      <c r="X73" s="22"/>
      <c r="Y73" s="22"/>
      <c r="Z73" s="405"/>
      <c r="AA73" s="419"/>
      <c r="AB73" s="39"/>
      <c r="AC73" s="190"/>
      <c r="AD73" s="447"/>
    </row>
    <row r="74" spans="1:32" ht="15" customHeight="1">
      <c r="A74" s="462"/>
      <c r="B74" s="56"/>
      <c r="C74" s="249"/>
      <c r="D74" s="250"/>
      <c r="E74" s="251"/>
      <c r="F74" s="56"/>
      <c r="G74" s="238"/>
      <c r="H74" s="76">
        <f t="shared" ref="H74:H78" si="60">F74*G74</f>
        <v>0</v>
      </c>
      <c r="I74" s="81"/>
      <c r="J74" s="234"/>
      <c r="K74" s="36"/>
      <c r="L74" s="235"/>
      <c r="M74" s="21"/>
      <c r="N74" s="36"/>
      <c r="O74" s="38"/>
      <c r="P74" s="39"/>
      <c r="Q74" s="40"/>
      <c r="R74" s="190"/>
      <c r="S74" s="397"/>
      <c r="T74" s="20"/>
      <c r="U74" s="20"/>
      <c r="V74" s="177"/>
      <c r="W74" s="182">
        <f t="shared" si="20"/>
        <v>0</v>
      </c>
      <c r="X74" s="22"/>
      <c r="Y74" s="22"/>
      <c r="Z74" s="405"/>
      <c r="AA74" s="419"/>
      <c r="AB74" s="39"/>
      <c r="AC74" s="190"/>
      <c r="AD74" s="447"/>
    </row>
    <row r="75" spans="1:32" ht="15" customHeight="1">
      <c r="A75" s="462"/>
      <c r="B75" s="177"/>
      <c r="C75" s="183"/>
      <c r="D75" s="11"/>
      <c r="E75" s="12"/>
      <c r="F75" s="13"/>
      <c r="G75" s="177"/>
      <c r="H75" s="15">
        <f t="shared" si="60"/>
        <v>0</v>
      </c>
      <c r="I75" s="81"/>
      <c r="J75" s="87"/>
      <c r="K75" s="82"/>
      <c r="L75" s="83"/>
      <c r="M75" s="181"/>
      <c r="N75" s="82"/>
      <c r="O75" s="83"/>
      <c r="P75" s="73"/>
      <c r="Q75" s="74"/>
      <c r="R75" s="192"/>
      <c r="S75" s="397"/>
      <c r="T75" s="20"/>
      <c r="U75" s="20"/>
      <c r="V75" s="177"/>
      <c r="W75" s="88">
        <f t="shared" si="20"/>
        <v>0</v>
      </c>
      <c r="X75" s="89"/>
      <c r="Y75" s="89"/>
      <c r="Z75" s="406"/>
      <c r="AA75" s="406"/>
      <c r="AB75" s="306"/>
      <c r="AC75" s="307"/>
      <c r="AD75" s="402"/>
    </row>
    <row r="76" spans="1:32" ht="15" customHeight="1">
      <c r="A76" s="462"/>
      <c r="B76" s="26"/>
      <c r="C76" s="27"/>
      <c r="D76" s="28"/>
      <c r="E76" s="29"/>
      <c r="F76" s="13"/>
      <c r="G76" s="177"/>
      <c r="H76" s="15">
        <f t="shared" si="60"/>
        <v>0</v>
      </c>
      <c r="I76" s="81"/>
      <c r="J76" s="87"/>
      <c r="K76" s="82"/>
      <c r="L76" s="83"/>
      <c r="M76" s="181"/>
      <c r="N76" s="82"/>
      <c r="O76" s="83"/>
      <c r="P76" s="73"/>
      <c r="Q76" s="74"/>
      <c r="R76" s="192"/>
      <c r="S76" s="398"/>
      <c r="T76" s="20"/>
      <c r="U76" s="20"/>
      <c r="V76" s="177"/>
      <c r="W76" s="90">
        <f t="shared" si="20"/>
        <v>0</v>
      </c>
      <c r="X76" s="78"/>
      <c r="Y76" s="78"/>
      <c r="Z76" s="445"/>
      <c r="AA76" s="445"/>
      <c r="AB76" s="51"/>
      <c r="AC76" s="52"/>
      <c r="AD76" s="403"/>
    </row>
    <row r="77" spans="1:32" ht="15" customHeight="1">
      <c r="A77" s="462"/>
      <c r="B77" s="26"/>
      <c r="C77" s="27"/>
      <c r="D77" s="28"/>
      <c r="E77" s="29"/>
      <c r="F77" s="13"/>
      <c r="G77" s="177"/>
      <c r="H77" s="15">
        <f t="shared" si="60"/>
        <v>0</v>
      </c>
      <c r="I77" s="81"/>
      <c r="J77" s="87"/>
      <c r="K77" s="82"/>
      <c r="L77" s="83"/>
      <c r="M77" s="181"/>
      <c r="N77" s="82"/>
      <c r="O77" s="83"/>
      <c r="P77" s="73"/>
      <c r="Q77" s="74"/>
      <c r="R77" s="192"/>
      <c r="S77" s="398"/>
      <c r="T77" s="20"/>
      <c r="U77" s="20"/>
      <c r="V77" s="177"/>
      <c r="W77" s="182">
        <f t="shared" si="20"/>
        <v>0</v>
      </c>
      <c r="X77" s="84"/>
      <c r="Y77" s="84"/>
      <c r="Z77" s="405"/>
      <c r="AA77" s="405"/>
      <c r="AB77" s="18"/>
      <c r="AC77" s="55"/>
      <c r="AD77" s="403"/>
    </row>
    <row r="78" spans="1:32" ht="15" customHeight="1">
      <c r="A78" s="462"/>
      <c r="B78" s="26"/>
      <c r="C78" s="27"/>
      <c r="D78" s="28"/>
      <c r="E78" s="29"/>
      <c r="F78" s="13"/>
      <c r="G78" s="177"/>
      <c r="H78" s="15">
        <f t="shared" si="60"/>
        <v>0</v>
      </c>
      <c r="I78" s="85"/>
      <c r="J78" s="37"/>
      <c r="K78" s="36"/>
      <c r="L78" s="83"/>
      <c r="M78" s="21"/>
      <c r="N78" s="36"/>
      <c r="O78" s="38"/>
      <c r="P78" s="39"/>
      <c r="Q78" s="40"/>
      <c r="R78" s="190"/>
      <c r="S78" s="464"/>
      <c r="T78" s="32"/>
      <c r="U78" s="32"/>
      <c r="V78" s="178"/>
      <c r="W78" s="182">
        <f t="shared" si="20"/>
        <v>0</v>
      </c>
      <c r="X78" s="91"/>
      <c r="Y78" s="91"/>
      <c r="Z78" s="405"/>
      <c r="AA78" s="405"/>
      <c r="AB78" s="34"/>
      <c r="AC78" s="57"/>
      <c r="AD78" s="403"/>
    </row>
    <row r="79" spans="1:32" ht="15" customHeight="1" thickBot="1">
      <c r="A79" s="463"/>
      <c r="B79" s="165"/>
      <c r="C79" s="1" t="s">
        <v>40</v>
      </c>
      <c r="D79" s="410" t="s">
        <v>7</v>
      </c>
      <c r="E79" s="410"/>
      <c r="F79" s="114"/>
      <c r="G79" s="115"/>
      <c r="H79" s="173"/>
      <c r="I79" s="171"/>
      <c r="J79" s="166" t="e">
        <f t="shared" ref="J79" si="61">AVERAGE(J70:J78)</f>
        <v>#DIV/0!</v>
      </c>
      <c r="K79" s="166"/>
      <c r="L79" s="171"/>
      <c r="M79" s="166"/>
      <c r="N79" s="166"/>
      <c r="O79" s="171"/>
      <c r="P79" s="172"/>
      <c r="Q79" s="158"/>
      <c r="R79" s="159"/>
      <c r="S79" s="399"/>
      <c r="T79" s="122"/>
      <c r="U79" s="122"/>
      <c r="V79" s="195"/>
      <c r="W79" s="168"/>
      <c r="X79" s="124"/>
      <c r="Y79" s="124"/>
      <c r="Z79" s="391"/>
      <c r="AA79" s="391"/>
      <c r="AB79" s="119">
        <f>N79-K79</f>
        <v>0</v>
      </c>
      <c r="AC79" s="187" t="e">
        <f>N79/K79</f>
        <v>#DIV/0!</v>
      </c>
      <c r="AD79" s="404"/>
    </row>
    <row r="80" spans="1:32">
      <c r="AF80" s="93" t="s">
        <v>41</v>
      </c>
    </row>
    <row r="81" spans="4:32">
      <c r="AF81" s="93" t="s">
        <v>42</v>
      </c>
    </row>
    <row r="82" spans="4:32">
      <c r="AF82" s="93" t="s">
        <v>43</v>
      </c>
    </row>
    <row r="83" spans="4:32">
      <c r="D83" s="220"/>
      <c r="W83" s="6"/>
      <c r="AF83" s="93" t="s">
        <v>44</v>
      </c>
    </row>
    <row r="84" spans="4:32">
      <c r="D84" s="224"/>
      <c r="W84" s="6"/>
      <c r="AF84" s="93" t="s">
        <v>45</v>
      </c>
    </row>
    <row r="85" spans="4:32">
      <c r="D85" s="224"/>
      <c r="W85" s="6"/>
      <c r="AF85" s="93" t="s">
        <v>46</v>
      </c>
    </row>
    <row r="86" spans="4:32">
      <c r="D86" s="155"/>
      <c r="W86" s="6"/>
      <c r="AF86" s="93" t="s">
        <v>47</v>
      </c>
    </row>
    <row r="87" spans="4:32">
      <c r="W87" s="6"/>
      <c r="AF87" s="93" t="s">
        <v>48</v>
      </c>
    </row>
    <row r="88" spans="4:32">
      <c r="W88" s="6"/>
      <c r="AF88" s="93" t="s">
        <v>49</v>
      </c>
    </row>
    <row r="89" spans="4:32">
      <c r="W89" s="6"/>
      <c r="AF89" s="93" t="s">
        <v>50</v>
      </c>
    </row>
    <row r="90" spans="4:32">
      <c r="W90" s="6"/>
      <c r="AF90" s="93" t="s">
        <v>51</v>
      </c>
    </row>
    <row r="91" spans="4:32">
      <c r="W91" s="6"/>
      <c r="AF91" s="93" t="s">
        <v>52</v>
      </c>
    </row>
    <row r="92" spans="4:32">
      <c r="W92" s="6"/>
      <c r="AF92" s="93" t="s">
        <v>53</v>
      </c>
    </row>
  </sheetData>
  <autoFilter ref="D1:D92" xr:uid="{EF5AD393-5A39-4C0E-A7B0-465235F2AB14}"/>
  <mergeCells count="135"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  <mergeCell ref="D69:E69"/>
    <mergeCell ref="Z69:AA69"/>
    <mergeCell ref="A70:A79"/>
    <mergeCell ref="S70:S79"/>
    <mergeCell ref="Z70:AA70"/>
    <mergeCell ref="D79:E79"/>
    <mergeCell ref="A59:A69"/>
    <mergeCell ref="S59:S69"/>
    <mergeCell ref="Z59:AA59"/>
    <mergeCell ref="AD59:AD69"/>
    <mergeCell ref="Z60:AA60"/>
    <mergeCell ref="Z61:AA61"/>
    <mergeCell ref="Z62:AA62"/>
    <mergeCell ref="Z63:AA63"/>
    <mergeCell ref="Z64:AA64"/>
    <mergeCell ref="Z65:AA65"/>
    <mergeCell ref="AD49:AD58"/>
    <mergeCell ref="Z50:AA50"/>
    <mergeCell ref="Z51:AA51"/>
    <mergeCell ref="Z52:AA52"/>
    <mergeCell ref="Z53:AA53"/>
    <mergeCell ref="Z54:AA54"/>
    <mergeCell ref="Z55:AA55"/>
    <mergeCell ref="Z56:AA56"/>
    <mergeCell ref="Z57:AA57"/>
    <mergeCell ref="Z58:AA58"/>
    <mergeCell ref="Z66:AA66"/>
    <mergeCell ref="Z67:AA67"/>
    <mergeCell ref="Z68:AA68"/>
    <mergeCell ref="D48:E48"/>
    <mergeCell ref="Z48:AA48"/>
    <mergeCell ref="A49:A58"/>
    <mergeCell ref="S49:S58"/>
    <mergeCell ref="Z49:AA49"/>
    <mergeCell ref="D58:E58"/>
    <mergeCell ref="A38:A48"/>
    <mergeCell ref="S38:S48"/>
    <mergeCell ref="Z38:AA38"/>
    <mergeCell ref="AD38:AD48"/>
    <mergeCell ref="Z39:AA39"/>
    <mergeCell ref="Z40:AA40"/>
    <mergeCell ref="Z41:AA41"/>
    <mergeCell ref="Z42:AA42"/>
    <mergeCell ref="Z43:AA43"/>
    <mergeCell ref="Z44:AA44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Z45:AA45"/>
    <mergeCell ref="Z46:AA46"/>
    <mergeCell ref="Z47:AA47"/>
    <mergeCell ref="D26:E26"/>
    <mergeCell ref="Z26:AA26"/>
    <mergeCell ref="A27:A37"/>
    <mergeCell ref="S27:S37"/>
    <mergeCell ref="Z27:AA27"/>
    <mergeCell ref="D37:E37"/>
    <mergeCell ref="Z37:AA37"/>
    <mergeCell ref="A16:A26"/>
    <mergeCell ref="S16:S26"/>
    <mergeCell ref="Z16:AA16"/>
    <mergeCell ref="AD16:AD26"/>
    <mergeCell ref="Z17:AA17"/>
    <mergeCell ref="Z18:AA18"/>
    <mergeCell ref="Z19:AA19"/>
    <mergeCell ref="Z20:AA20"/>
    <mergeCell ref="Z21:AA21"/>
    <mergeCell ref="Z22:AA22"/>
    <mergeCell ref="Z10:AA10"/>
    <mergeCell ref="Z11:AA11"/>
    <mergeCell ref="Z12:AA12"/>
    <mergeCell ref="Z13:AA13"/>
    <mergeCell ref="Z14:AA14"/>
    <mergeCell ref="Z23:AA23"/>
    <mergeCell ref="Z24:AA24"/>
    <mergeCell ref="Z25:AA25"/>
    <mergeCell ref="Z15:AA15"/>
    <mergeCell ref="S5:S15"/>
    <mergeCell ref="Z5:AA5"/>
    <mergeCell ref="AD5:AD15"/>
    <mergeCell ref="Z6:AA6"/>
    <mergeCell ref="Z7:AA7"/>
    <mergeCell ref="Z8:AA8"/>
    <mergeCell ref="Z9:AA9"/>
    <mergeCell ref="T3:U3"/>
    <mergeCell ref="V3:V4"/>
    <mergeCell ref="W3:W4"/>
    <mergeCell ref="X3:Y3"/>
    <mergeCell ref="Z3:AA4"/>
    <mergeCell ref="AB3:AB4"/>
    <mergeCell ref="S3:S4"/>
    <mergeCell ref="A2:B2"/>
    <mergeCell ref="A3:A4"/>
    <mergeCell ref="B3:B4"/>
    <mergeCell ref="D3:E4"/>
    <mergeCell ref="F3:F4"/>
    <mergeCell ref="G3:G4"/>
    <mergeCell ref="J1:L2"/>
    <mergeCell ref="M1:O2"/>
    <mergeCell ref="D15:E15"/>
    <mergeCell ref="A5:A15"/>
    <mergeCell ref="N3:N4"/>
    <mergeCell ref="O3:O4"/>
    <mergeCell ref="P1:S2"/>
    <mergeCell ref="T1:Y2"/>
    <mergeCell ref="Z1:AA2"/>
    <mergeCell ref="AB1:AD2"/>
    <mergeCell ref="H3:H4"/>
    <mergeCell ref="I3:I4"/>
    <mergeCell ref="J3:J4"/>
    <mergeCell ref="K3:K4"/>
    <mergeCell ref="L3:L4"/>
    <mergeCell ref="M3:M4"/>
    <mergeCell ref="AC3:AC4"/>
    <mergeCell ref="AD3:AD4"/>
    <mergeCell ref="P3:P4"/>
    <mergeCell ref="Q3:Q4"/>
    <mergeCell ref="R3:R4"/>
  </mergeCells>
  <phoneticPr fontId="2" type="noConversion"/>
  <conditionalFormatting sqref="P5:P79">
    <cfRule type="cellIs" dxfId="48" priority="1" operator="greaterThan">
      <formula>0</formula>
    </cfRule>
  </conditionalFormatting>
  <conditionalFormatting sqref="Q5:Q79 AB5:AB79">
    <cfRule type="cellIs" dxfId="47" priority="4" operator="lessThan">
      <formula>0</formula>
    </cfRule>
  </conditionalFormatting>
  <conditionalFormatting sqref="R5:R79 AC5:AC79">
    <cfRule type="cellIs" dxfId="46" priority="2" operator="greaterThan">
      <formula>1</formula>
    </cfRule>
    <cfRule type="cellIs" dxfId="45" priority="3" operator="lessThan">
      <formula>0.8</formula>
    </cfRule>
  </conditionalFormatting>
  <conditionalFormatting sqref="S5:S10 S37:S62 AD59:AD62 S69:S76 AD69:AD76">
    <cfRule type="cellIs" dxfId="44" priority="7" operator="lessThan">
      <formula>0.8</formula>
    </cfRule>
  </conditionalFormatting>
  <conditionalFormatting sqref="S19:S25 AD19:AD25">
    <cfRule type="cellIs" dxfId="43" priority="6" operator="lessThan">
      <formula>0.8</formula>
    </cfRule>
  </conditionalFormatting>
  <conditionalFormatting sqref="S79">
    <cfRule type="cellIs" dxfId="42" priority="5" operator="lessThan">
      <formula>0.8</formula>
    </cfRule>
  </conditionalFormatting>
  <conditionalFormatting sqref="AD5:AD8 S15:S16 AD15:AD16 AD49 AD79">
    <cfRule type="cellIs" dxfId="41" priority="9" operator="lessThan">
      <formula>0.8</formula>
    </cfRule>
  </conditionalFormatting>
  <conditionalFormatting sqref="AD27 S27:S28">
    <cfRule type="cellIs" dxfId="4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D087604-E15F-487A-804A-B05C0BEDE5D8}">
          <x14:formula1>
            <xm:f>廠價表!$C$2:$C$37</xm:f>
          </x14:formula1>
          <xm:sqref>D1:D1048576</xm:sqref>
        </x14:dataValidation>
      </x14:dataValidations>
    </ext>
  </extLst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D3834-D52D-45ED-A899-22AF9B6C6BC2}">
  <sheetPr>
    <pageSetUpPr fitToPage="1"/>
  </sheetPr>
  <dimension ref="B1:O22"/>
  <sheetViews>
    <sheetView zoomScale="70" zoomScaleNormal="70" workbookViewId="0">
      <selection activeCell="D10" sqref="D10:J10"/>
    </sheetView>
  </sheetViews>
  <sheetFormatPr defaultColWidth="8.125" defaultRowHeight="15.75"/>
  <cols>
    <col min="1" max="1" width="8.125" style="203"/>
    <col min="2" max="2" width="7.125" style="203" customWidth="1"/>
    <col min="3" max="3" width="7.125" style="218" customWidth="1"/>
    <col min="4" max="17" width="14.125" style="203" customWidth="1"/>
    <col min="18" max="21" width="9.625" style="203" customWidth="1"/>
    <col min="22" max="22" width="11.125" style="203" customWidth="1"/>
    <col min="23" max="23" width="11.5" style="203" customWidth="1"/>
    <col min="24" max="16384" width="8.125" style="203"/>
  </cols>
  <sheetData>
    <row r="1" spans="2:15" ht="27.75" customHeight="1">
      <c r="B1" s="345" t="s">
        <v>73</v>
      </c>
      <c r="C1" s="345"/>
      <c r="D1" s="345"/>
      <c r="E1" s="345"/>
      <c r="F1" s="345"/>
      <c r="G1" s="345"/>
      <c r="H1" s="345"/>
      <c r="I1" s="345"/>
      <c r="J1" s="345"/>
      <c r="K1" s="345"/>
      <c r="L1" s="202"/>
      <c r="M1" s="202"/>
    </row>
    <row r="2" spans="2:15" ht="27.75" customHeight="1"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202"/>
      <c r="M2" s="202"/>
    </row>
    <row r="3" spans="2:15" ht="46.5" customHeight="1">
      <c r="B3" s="342" t="s">
        <v>74</v>
      </c>
      <c r="C3" s="342"/>
      <c r="D3" s="346">
        <v>45988</v>
      </c>
      <c r="E3" s="346"/>
      <c r="F3" s="204" t="s">
        <v>75</v>
      </c>
      <c r="G3" s="347">
        <f>'1127'!E1</f>
        <v>43640</v>
      </c>
      <c r="H3" s="347"/>
      <c r="I3" s="204" t="s">
        <v>76</v>
      </c>
      <c r="J3" s="348">
        <f>'1127'!G1</f>
        <v>2122530.0300000003</v>
      </c>
      <c r="K3" s="348"/>
      <c r="L3" s="205"/>
    </row>
    <row r="4" spans="2:15" ht="24" customHeight="1">
      <c r="B4" s="342" t="s">
        <v>77</v>
      </c>
      <c r="C4" s="342"/>
      <c r="D4" s="343">
        <v>3</v>
      </c>
      <c r="E4" s="343"/>
      <c r="F4" s="344" t="s">
        <v>78</v>
      </c>
      <c r="G4" s="344"/>
      <c r="H4" s="344" t="s">
        <v>79</v>
      </c>
      <c r="I4" s="344"/>
      <c r="J4" s="343" t="s">
        <v>80</v>
      </c>
      <c r="K4" s="344"/>
      <c r="L4" s="206"/>
    </row>
    <row r="5" spans="2:15" ht="24" customHeight="1">
      <c r="B5" s="342" t="s">
        <v>81</v>
      </c>
      <c r="C5" s="342"/>
      <c r="D5" s="343" t="s">
        <v>82</v>
      </c>
      <c r="E5" s="343"/>
      <c r="F5" s="343" t="s">
        <v>83</v>
      </c>
      <c r="G5" s="343"/>
      <c r="H5" s="369" t="s">
        <v>62</v>
      </c>
      <c r="I5" s="369"/>
      <c r="J5" s="341" t="s">
        <v>84</v>
      </c>
      <c r="K5" s="341"/>
      <c r="L5" s="207"/>
    </row>
    <row r="6" spans="2:15" ht="39.6" customHeight="1">
      <c r="B6" s="342"/>
      <c r="C6" s="342"/>
      <c r="D6" s="342" t="s">
        <v>85</v>
      </c>
      <c r="E6" s="342"/>
      <c r="F6" s="356">
        <f>AVERAGE(D13:J13)</f>
        <v>116.2726059151356</v>
      </c>
      <c r="G6" s="356"/>
      <c r="H6" s="349">
        <f>AVERAGE(D13:H13)</f>
        <v>114.1125971836328</v>
      </c>
      <c r="I6" s="349"/>
      <c r="J6" s="349">
        <f>AVERAGE(I13:J13)</f>
        <v>127.07264957264958</v>
      </c>
      <c r="K6" s="349"/>
      <c r="L6" s="207"/>
    </row>
    <row r="7" spans="2:15" s="208" customFormat="1" ht="39.6" customHeight="1">
      <c r="B7" s="342"/>
      <c r="C7" s="342"/>
      <c r="D7" s="350" t="s">
        <v>86</v>
      </c>
      <c r="E7" s="350"/>
      <c r="F7" s="351">
        <f>AVERAGE(D14:J14)</f>
        <v>102.25269128206595</v>
      </c>
      <c r="G7" s="351"/>
      <c r="H7" s="352">
        <f>AVERAGE(D14:H14)</f>
        <v>101.39397940164278</v>
      </c>
      <c r="I7" s="352"/>
      <c r="J7" s="352">
        <f>AVERAGE(I14:J14)</f>
        <v>106.5462506841818</v>
      </c>
      <c r="K7" s="352"/>
    </row>
    <row r="8" spans="2:15" s="208" customFormat="1" ht="39.6" customHeight="1">
      <c r="B8" s="342"/>
      <c r="C8" s="342"/>
      <c r="D8" s="350" t="s">
        <v>87</v>
      </c>
      <c r="E8" s="350"/>
      <c r="F8" s="353">
        <f>AVERAGE(D15:J15)</f>
        <v>0.87917553370006407</v>
      </c>
      <c r="G8" s="353"/>
      <c r="H8" s="353">
        <f>AVERAGE(D15:H15)</f>
        <v>0.88731719729160852</v>
      </c>
      <c r="I8" s="353"/>
      <c r="J8" s="353">
        <f>AVERAGE(I15:J15)</f>
        <v>0.83846721574234195</v>
      </c>
      <c r="K8" s="353"/>
      <c r="L8" s="209" t="s">
        <v>88</v>
      </c>
    </row>
    <row r="9" spans="2:15" ht="25.5" customHeight="1">
      <c r="B9" s="207"/>
      <c r="C9" s="207"/>
      <c r="D9" s="207"/>
      <c r="E9" s="207"/>
      <c r="F9" s="207"/>
      <c r="G9" s="207"/>
      <c r="H9" s="210"/>
      <c r="I9" s="211"/>
      <c r="J9" s="211"/>
      <c r="K9" s="211"/>
      <c r="L9" s="211"/>
      <c r="M9" s="211"/>
      <c r="N9" s="211"/>
      <c r="O9" s="207"/>
    </row>
    <row r="10" spans="2:15" ht="30" customHeight="1">
      <c r="B10" s="354" t="s">
        <v>0</v>
      </c>
      <c r="C10" s="355"/>
      <c r="D10" s="357" t="s">
        <v>89</v>
      </c>
      <c r="E10" s="358"/>
      <c r="F10" s="358"/>
      <c r="G10" s="358"/>
      <c r="H10" s="358"/>
      <c r="I10" s="358"/>
      <c r="J10" s="359"/>
    </row>
    <row r="11" spans="2:15" ht="17.25" customHeight="1">
      <c r="B11" s="360" t="s">
        <v>90</v>
      </c>
      <c r="C11" s="361"/>
      <c r="D11" s="212">
        <v>1</v>
      </c>
      <c r="E11" s="212">
        <v>2</v>
      </c>
      <c r="F11" s="212">
        <v>3</v>
      </c>
      <c r="G11" s="212">
        <v>4</v>
      </c>
      <c r="H11" s="212">
        <v>5</v>
      </c>
      <c r="I11" s="212">
        <v>6</v>
      </c>
      <c r="J11" s="212">
        <v>7</v>
      </c>
    </row>
    <row r="12" spans="2:15" ht="33.950000000000003" customHeight="1">
      <c r="B12" s="362"/>
      <c r="C12" s="363"/>
      <c r="D12" s="213" t="s">
        <v>91</v>
      </c>
      <c r="E12" s="213" t="s">
        <v>92</v>
      </c>
      <c r="F12" s="213" t="s">
        <v>93</v>
      </c>
      <c r="G12" s="213" t="s">
        <v>94</v>
      </c>
      <c r="H12" s="213" t="s">
        <v>95</v>
      </c>
      <c r="I12" s="213" t="s">
        <v>96</v>
      </c>
      <c r="J12" s="213" t="s">
        <v>232</v>
      </c>
    </row>
    <row r="13" spans="2:15" ht="39.950000000000003" customHeight="1">
      <c r="B13" s="364" t="s">
        <v>1</v>
      </c>
      <c r="C13" s="214" t="s">
        <v>98</v>
      </c>
      <c r="D13" s="215">
        <f>VALUE('1127'!L15)</f>
        <v>136.91288084464554</v>
      </c>
      <c r="E13" s="215">
        <f>VALUE('1127'!L26)</f>
        <v>160.58974358974359</v>
      </c>
      <c r="F13" s="215">
        <f>VALUE('1127'!L37)</f>
        <v>92.250816993464056</v>
      </c>
      <c r="G13" s="215">
        <f>VALUE('1127'!L48)</f>
        <v>93.037499999999994</v>
      </c>
      <c r="H13" s="215">
        <f>VALUE('1127'!L58)</f>
        <v>87.772044490310748</v>
      </c>
      <c r="I13" s="215">
        <f>VALUE('1127'!L69)</f>
        <v>127.07264957264958</v>
      </c>
      <c r="J13" s="215"/>
    </row>
    <row r="14" spans="2:15" ht="39.950000000000003" customHeight="1">
      <c r="B14" s="365"/>
      <c r="C14" s="214" t="s">
        <v>99</v>
      </c>
      <c r="D14" s="215">
        <f>VALUE('1127'!O15)</f>
        <v>117.11351017464563</v>
      </c>
      <c r="E14" s="215">
        <f>VALUE('1127'!O26)</f>
        <v>147.8701871706964</v>
      </c>
      <c r="F14" s="215">
        <f>VALUE('1127'!O37)</f>
        <v>77.119283496141222</v>
      </c>
      <c r="G14" s="215">
        <f>VALUE('1127'!O48)</f>
        <v>83.628402309887235</v>
      </c>
      <c r="H14" s="215">
        <f>VALUE('1127'!O58)</f>
        <v>81.23851385684344</v>
      </c>
      <c r="I14" s="215">
        <f>VALUE('1127'!O69)</f>
        <v>106.5462506841818</v>
      </c>
      <c r="J14" s="215"/>
    </row>
    <row r="15" spans="2:15" ht="39.950000000000003" customHeight="1">
      <c r="B15" s="366"/>
      <c r="C15" s="212" t="s">
        <v>100</v>
      </c>
      <c r="D15" s="233">
        <f>D14/D13</f>
        <v>0.85538708594945001</v>
      </c>
      <c r="E15" s="233">
        <f t="shared" ref="E15:I15" si="0">E14/E13</f>
        <v>0.9207947149380743</v>
      </c>
      <c r="F15" s="233">
        <f t="shared" si="0"/>
        <v>0.83597398927757027</v>
      </c>
      <c r="G15" s="233">
        <f t="shared" si="0"/>
        <v>0.89886768571691245</v>
      </c>
      <c r="H15" s="233">
        <f t="shared" si="0"/>
        <v>0.92556251057603478</v>
      </c>
      <c r="I15" s="233">
        <f t="shared" si="0"/>
        <v>0.83846721574234195</v>
      </c>
      <c r="J15" s="233"/>
    </row>
    <row r="16" spans="2:15" ht="17.25" customHeight="1">
      <c r="B16" s="367" t="s">
        <v>101</v>
      </c>
      <c r="C16" s="212" t="s">
        <v>102</v>
      </c>
      <c r="D16" s="95">
        <f>'1127'!T5</f>
        <v>0.2902777777777778</v>
      </c>
      <c r="E16" s="95">
        <f>'1127'!T16</f>
        <v>0.2902777777777778</v>
      </c>
      <c r="F16" s="95">
        <f>'1127'!T27</f>
        <v>0.29166666666666669</v>
      </c>
      <c r="G16" s="95">
        <f>'1127'!T38</f>
        <v>0.33402777777777776</v>
      </c>
      <c r="H16" s="95">
        <f>'1127'!T49</f>
        <v>0.2902777777777778</v>
      </c>
      <c r="I16" s="95">
        <f>'1127'!T59</f>
        <v>0.29166666666666669</v>
      </c>
      <c r="J16" s="272"/>
    </row>
    <row r="17" spans="2:10" ht="17.25" customHeight="1">
      <c r="B17" s="368"/>
      <c r="C17" s="212" t="s">
        <v>103</v>
      </c>
      <c r="D17" s="20">
        <v>0.60624999999999996</v>
      </c>
      <c r="E17" s="79">
        <v>0.61527777777777781</v>
      </c>
      <c r="F17" s="41">
        <v>0.6381944444444444</v>
      </c>
      <c r="G17" s="59">
        <v>0.59027777777777779</v>
      </c>
      <c r="H17" s="79">
        <v>0.57777777777777772</v>
      </c>
      <c r="I17" s="20">
        <v>0.51041666666666663</v>
      </c>
      <c r="J17" s="20"/>
    </row>
    <row r="18" spans="2:10" ht="17.25" customHeight="1">
      <c r="B18" s="354" t="s">
        <v>104</v>
      </c>
      <c r="C18" s="355"/>
      <c r="D18" s="216">
        <f>VALUE('1127'!M15)</f>
        <v>14.2</v>
      </c>
      <c r="E18" s="216">
        <f>VALUE('1127'!M26)</f>
        <v>12.6</v>
      </c>
      <c r="F18" s="216">
        <f>VALUE('1127'!M37)</f>
        <v>14.5</v>
      </c>
      <c r="G18" s="216">
        <f>VALUE('1127'!M48)</f>
        <v>15.25</v>
      </c>
      <c r="H18" s="216">
        <f>VALUE('1127'!M58)</f>
        <v>17.666666666666668</v>
      </c>
      <c r="I18" s="216">
        <f>VALUE('1127'!M69)</f>
        <v>12.333333333333334</v>
      </c>
      <c r="J18" s="216"/>
    </row>
    <row r="19" spans="2:10" ht="17.25" customHeight="1">
      <c r="B19" s="354" t="s">
        <v>105</v>
      </c>
      <c r="C19" s="355"/>
      <c r="D19" s="213" t="s">
        <v>106</v>
      </c>
      <c r="E19" s="213" t="s">
        <v>106</v>
      </c>
      <c r="F19" s="213" t="s">
        <v>107</v>
      </c>
      <c r="G19" s="213" t="s">
        <v>107</v>
      </c>
      <c r="H19" s="213" t="s">
        <v>107</v>
      </c>
      <c r="I19" s="213" t="s">
        <v>108</v>
      </c>
      <c r="J19" s="213"/>
    </row>
    <row r="20" spans="2:10" ht="17.25" customHeight="1">
      <c r="B20" s="354" t="s">
        <v>110</v>
      </c>
      <c r="C20" s="355"/>
      <c r="D20" s="213"/>
      <c r="E20" s="213"/>
      <c r="F20" s="213"/>
      <c r="G20" s="217"/>
      <c r="H20" s="213" t="s">
        <v>109</v>
      </c>
      <c r="I20" s="213"/>
      <c r="J20" s="213"/>
    </row>
    <row r="21" spans="2:10" ht="17.25" customHeight="1">
      <c r="B21" s="354" t="s">
        <v>111</v>
      </c>
      <c r="C21" s="355"/>
      <c r="D21" s="273"/>
      <c r="E21" s="273"/>
      <c r="F21" s="273"/>
      <c r="G21" s="273"/>
      <c r="H21" s="273"/>
      <c r="I21" s="273"/>
      <c r="J21" s="273"/>
    </row>
    <row r="22" spans="2:10">
      <c r="B22" s="370"/>
      <c r="C22" s="370"/>
    </row>
  </sheetData>
  <mergeCells count="37">
    <mergeCell ref="J8:K8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  <mergeCell ref="D10:J10"/>
    <mergeCell ref="B11:C12"/>
    <mergeCell ref="B13:B15"/>
    <mergeCell ref="B16:B17"/>
    <mergeCell ref="B10:C10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F7:G7"/>
    <mergeCell ref="H7:I7"/>
    <mergeCell ref="J7:K7"/>
    <mergeCell ref="D8:E8"/>
    <mergeCell ref="F8:G8"/>
    <mergeCell ref="H8:I8"/>
    <mergeCell ref="B18:C18"/>
    <mergeCell ref="B19:C19"/>
    <mergeCell ref="B20:C20"/>
    <mergeCell ref="B21:C21"/>
    <mergeCell ref="B22:C22"/>
  </mergeCells>
  <phoneticPr fontId="2" type="noConversion"/>
  <conditionalFormatting sqref="D15:J15">
    <cfRule type="cellIs" dxfId="39" priority="1" operator="lessThan">
      <formula>0.8</formula>
    </cfRule>
  </conditionalFormatting>
  <pageMargins left="0.7" right="0.7" top="0.75" bottom="0.75" header="0.3" footer="0.3"/>
  <pageSetup paperSize="8" orientation="landscape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67DF3-EC32-41FC-BDB5-573B637779A3}">
  <sheetPr>
    <tabColor theme="9" tint="0.79998168889431442"/>
    <pageSetUpPr fitToPage="1"/>
  </sheetPr>
  <dimension ref="A1:AF92"/>
  <sheetViews>
    <sheetView zoomScale="69" zoomScaleNormal="69" workbookViewId="0">
      <pane xSplit="5" ySplit="4" topLeftCell="F17" activePane="bottomRight" state="frozen"/>
      <selection activeCell="D10" sqref="D10:J10"/>
      <selection pane="topRight" activeCell="D10" sqref="D10:J10"/>
      <selection pane="bottomLeft" activeCell="D10" sqref="D10:J10"/>
      <selection pane="bottomRight" activeCell="D10" sqref="D10:J10"/>
    </sheetView>
  </sheetViews>
  <sheetFormatPr defaultColWidth="7.875" defaultRowHeight="15.75"/>
  <cols>
    <col min="1" max="1" width="15" style="6" customWidth="1"/>
    <col min="2" max="2" width="12.875" style="6" customWidth="1"/>
    <col min="3" max="3" width="12.875" style="6" hidden="1" customWidth="1"/>
    <col min="4" max="4" width="26.125" style="6" bestFit="1" customWidth="1"/>
    <col min="5" max="5" width="15" style="6" customWidth="1"/>
    <col min="6" max="6" width="8.875" style="6" bestFit="1" customWidth="1"/>
    <col min="7" max="7" width="20.125" style="6" bestFit="1" customWidth="1"/>
    <col min="8" max="8" width="16.375" style="6" bestFit="1" customWidth="1"/>
    <col min="9" max="9" width="10.875" style="6" bestFit="1" customWidth="1"/>
    <col min="10" max="10" width="10.125" style="6" bestFit="1" customWidth="1"/>
    <col min="11" max="11" width="10.625" style="6" customWidth="1"/>
    <col min="12" max="12" width="14.5" style="6" customWidth="1"/>
    <col min="13" max="13" width="10.125" style="6" bestFit="1" customWidth="1"/>
    <col min="14" max="14" width="10.25" style="6" bestFit="1" customWidth="1"/>
    <col min="15" max="15" width="11.875" style="6" customWidth="1"/>
    <col min="16" max="17" width="9.125" style="6" bestFit="1" customWidth="1"/>
    <col min="18" max="18" width="9.125" style="6" customWidth="1"/>
    <col min="19" max="19" width="8.375" style="6" customWidth="1"/>
    <col min="20" max="21" width="9.375" style="6" bestFit="1" customWidth="1"/>
    <col min="22" max="22" width="10.625" style="6" customWidth="1"/>
    <col min="23" max="23" width="8.625" style="92" customWidth="1"/>
    <col min="24" max="24" width="7.5" style="6" bestFit="1" customWidth="1"/>
    <col min="25" max="25" width="6.875" style="6" customWidth="1"/>
    <col min="26" max="26" width="12.625" style="6" customWidth="1"/>
    <col min="27" max="27" width="33.375" style="6" customWidth="1"/>
    <col min="28" max="28" width="13.125" style="6" bestFit="1" customWidth="1"/>
    <col min="29" max="29" width="10.375" style="6" customWidth="1"/>
    <col min="30" max="30" width="9.125" style="6" customWidth="1"/>
    <col min="31" max="31" width="7.875" style="6"/>
    <col min="32" max="32" width="24.5" style="6" bestFit="1" customWidth="1"/>
    <col min="33" max="16384" width="7.875" style="6"/>
  </cols>
  <sheetData>
    <row r="1" spans="1:30" ht="21">
      <c r="A1" s="2" t="s">
        <v>72</v>
      </c>
      <c r="B1" s="2"/>
      <c r="C1" s="2"/>
      <c r="D1" s="176" t="s">
        <v>8</v>
      </c>
      <c r="E1" s="3">
        <f>SUM(G5:G79)</f>
        <v>43640</v>
      </c>
      <c r="F1" s="177" t="s">
        <v>9</v>
      </c>
      <c r="G1" s="4">
        <f>SUM(H5:H79)</f>
        <v>2122530.0300000003</v>
      </c>
      <c r="H1" s="175" t="s">
        <v>10</v>
      </c>
      <c r="I1" s="5">
        <f>M15+M26+M48+M58+M69+M79+M37</f>
        <v>86.55</v>
      </c>
      <c r="J1" s="371" t="s">
        <v>11</v>
      </c>
      <c r="K1" s="371"/>
      <c r="L1" s="371"/>
      <c r="M1" s="371" t="s">
        <v>12</v>
      </c>
      <c r="N1" s="371"/>
      <c r="O1" s="371"/>
      <c r="P1" s="371" t="s">
        <v>13</v>
      </c>
      <c r="Q1" s="371"/>
      <c r="R1" s="371"/>
      <c r="S1" s="371"/>
      <c r="T1" s="371" t="s">
        <v>14</v>
      </c>
      <c r="U1" s="371"/>
      <c r="V1" s="371"/>
      <c r="W1" s="371"/>
      <c r="X1" s="371"/>
      <c r="Y1" s="371"/>
      <c r="Z1" s="371" t="s">
        <v>15</v>
      </c>
      <c r="AA1" s="371"/>
      <c r="AB1" s="371" t="s">
        <v>16</v>
      </c>
      <c r="AC1" s="372"/>
      <c r="AD1" s="372"/>
    </row>
    <row r="2" spans="1:30" ht="18.75">
      <c r="A2" s="409" t="s">
        <v>248</v>
      </c>
      <c r="B2" s="409"/>
      <c r="C2" s="176"/>
      <c r="D2" s="176" t="s">
        <v>1</v>
      </c>
      <c r="E2" s="7">
        <f>AVERAGE(O15,O26,O37,O48,O58,O69,O79)</f>
        <v>102.25269128206595</v>
      </c>
      <c r="F2" s="8" t="s">
        <v>2</v>
      </c>
      <c r="G2" s="9">
        <f>G1/E1</f>
        <v>48.637260082493128</v>
      </c>
      <c r="H2" s="175" t="s">
        <v>17</v>
      </c>
      <c r="I2" s="175">
        <f>COUNT(I5:I79)</f>
        <v>0</v>
      </c>
      <c r="J2" s="371"/>
      <c r="K2" s="371"/>
      <c r="L2" s="371"/>
      <c r="M2" s="371"/>
      <c r="N2" s="371"/>
      <c r="O2" s="371"/>
      <c r="P2" s="371"/>
      <c r="Q2" s="371"/>
      <c r="R2" s="371"/>
      <c r="S2" s="371"/>
      <c r="T2" s="371"/>
      <c r="U2" s="371"/>
      <c r="V2" s="371"/>
      <c r="W2" s="371"/>
      <c r="X2" s="371"/>
      <c r="Y2" s="371"/>
      <c r="Z2" s="371"/>
      <c r="AA2" s="371"/>
      <c r="AB2" s="372"/>
      <c r="AC2" s="372"/>
      <c r="AD2" s="372"/>
    </row>
    <row r="3" spans="1:30">
      <c r="A3" s="405" t="s">
        <v>18</v>
      </c>
      <c r="B3" s="405" t="s">
        <v>19</v>
      </c>
      <c r="C3" s="177"/>
      <c r="D3" s="405" t="s">
        <v>20</v>
      </c>
      <c r="E3" s="405"/>
      <c r="F3" s="379" t="s">
        <v>21</v>
      </c>
      <c r="G3" s="389" t="s">
        <v>22</v>
      </c>
      <c r="H3" s="379" t="s">
        <v>23</v>
      </c>
      <c r="I3" s="381" t="s">
        <v>24</v>
      </c>
      <c r="J3" s="383" t="s">
        <v>25</v>
      </c>
      <c r="K3" s="385" t="s">
        <v>26</v>
      </c>
      <c r="L3" s="387" t="s">
        <v>1</v>
      </c>
      <c r="M3" s="389" t="s">
        <v>25</v>
      </c>
      <c r="N3" s="385" t="s">
        <v>26</v>
      </c>
      <c r="O3" s="387" t="s">
        <v>1</v>
      </c>
      <c r="P3" s="383" t="s">
        <v>25</v>
      </c>
      <c r="Q3" s="387" t="s">
        <v>1</v>
      </c>
      <c r="R3" s="392" t="s">
        <v>27</v>
      </c>
      <c r="S3" s="394" t="s">
        <v>28</v>
      </c>
      <c r="T3" s="389" t="s">
        <v>4</v>
      </c>
      <c r="U3" s="389"/>
      <c r="V3" s="408" t="s">
        <v>29</v>
      </c>
      <c r="W3" s="381" t="s">
        <v>30</v>
      </c>
      <c r="X3" s="389" t="s">
        <v>31</v>
      </c>
      <c r="Y3" s="389"/>
      <c r="Z3" s="415"/>
      <c r="AA3" s="416"/>
      <c r="AB3" s="385" t="s">
        <v>26</v>
      </c>
      <c r="AC3" s="392" t="s">
        <v>27</v>
      </c>
      <c r="AD3" s="394" t="s">
        <v>28</v>
      </c>
    </row>
    <row r="4" spans="1:30" ht="16.5" thickBot="1">
      <c r="A4" s="379"/>
      <c r="B4" s="379"/>
      <c r="C4" s="178"/>
      <c r="D4" s="379"/>
      <c r="E4" s="379"/>
      <c r="F4" s="380"/>
      <c r="G4" s="390"/>
      <c r="H4" s="380"/>
      <c r="I4" s="382"/>
      <c r="J4" s="384"/>
      <c r="K4" s="386"/>
      <c r="L4" s="388"/>
      <c r="M4" s="390"/>
      <c r="N4" s="386"/>
      <c r="O4" s="388"/>
      <c r="P4" s="384"/>
      <c r="Q4" s="388"/>
      <c r="R4" s="393"/>
      <c r="S4" s="395"/>
      <c r="T4" s="179" t="s">
        <v>5</v>
      </c>
      <c r="U4" s="179" t="s">
        <v>6</v>
      </c>
      <c r="V4" s="390"/>
      <c r="W4" s="382"/>
      <c r="X4" s="178" t="s">
        <v>32</v>
      </c>
      <c r="Y4" s="178" t="s">
        <v>33</v>
      </c>
      <c r="Z4" s="417"/>
      <c r="AA4" s="417"/>
      <c r="AB4" s="386"/>
      <c r="AC4" s="393"/>
      <c r="AD4" s="395"/>
    </row>
    <row r="5" spans="1:30" ht="15" customHeight="1">
      <c r="A5" s="411" t="s">
        <v>66</v>
      </c>
      <c r="B5" s="305" t="str">
        <f>VLOOKUP(D5,廠價表!$C$1:$E$39,2,0)</f>
        <v>義大利麵</v>
      </c>
      <c r="C5" s="324"/>
      <c r="D5" s="339" t="s">
        <v>127</v>
      </c>
      <c r="E5" s="326"/>
      <c r="F5" s="305">
        <f>VLOOKUP(D5,廠價表!$C$1:$E$39,3,0)</f>
        <v>57.21</v>
      </c>
      <c r="G5" s="327">
        <v>1460</v>
      </c>
      <c r="H5" s="328">
        <f t="shared" ref="H5" si="0">F5*G5</f>
        <v>83526.600000000006</v>
      </c>
      <c r="I5" s="329"/>
      <c r="J5" s="330">
        <f>VLOOKUP(D5,產線配置圖!$A$2:$C$38,2,0)</f>
        <v>13</v>
      </c>
      <c r="K5" s="331">
        <f>VLOOKUP(D5,產線配置圖!$A$2:$C$38,3,0)</f>
        <v>2105</v>
      </c>
      <c r="L5" s="332">
        <f t="shared" ref="L5" si="1">K5/J5</f>
        <v>161.92307692307693</v>
      </c>
      <c r="M5" s="333">
        <v>13</v>
      </c>
      <c r="N5" s="331">
        <f t="shared" ref="N5:N9" si="2">G5/W5*60</f>
        <v>1904.3478260869565</v>
      </c>
      <c r="O5" s="332">
        <f t="shared" ref="O5:O9" si="3">N5/M5</f>
        <v>146.48829431438128</v>
      </c>
      <c r="P5" s="334">
        <f t="shared" ref="P5:P9" si="4">M5-J5</f>
        <v>0</v>
      </c>
      <c r="Q5" s="335">
        <f t="shared" ref="Q5:Q9" si="5">O5-L5</f>
        <v>-15.434782608695656</v>
      </c>
      <c r="R5" s="336">
        <f t="shared" ref="R5:R9" si="6">O5/L5</f>
        <v>0.90467830217907674</v>
      </c>
      <c r="S5" s="396">
        <f>R15</f>
        <v>0.85538708594945001</v>
      </c>
      <c r="T5" s="337">
        <v>0.2902777777777778</v>
      </c>
      <c r="U5" s="338">
        <v>0.32222222222222224</v>
      </c>
      <c r="V5" s="194"/>
      <c r="W5" s="107">
        <f t="shared" ref="W5:W14" si="7">(U5-T5)*24*60</f>
        <v>46</v>
      </c>
      <c r="X5" s="188"/>
      <c r="Y5" s="188"/>
      <c r="Z5" s="400"/>
      <c r="AA5" s="400"/>
      <c r="AB5" s="111">
        <f>N5-K5</f>
        <v>-200.6521739130435</v>
      </c>
      <c r="AC5" s="184">
        <f>N5/K5</f>
        <v>0.90467830217907674</v>
      </c>
      <c r="AD5" s="401">
        <f>AC15</f>
        <v>0.85399934442042713</v>
      </c>
    </row>
    <row r="6" spans="1:30" ht="15" customHeight="1">
      <c r="A6" s="412"/>
      <c r="B6" s="313" t="str">
        <f>VLOOKUP(D6,廠價表!$C$1:$E$39,2,0)</f>
        <v>義大利麵</v>
      </c>
      <c r="C6" s="249"/>
      <c r="D6" s="250" t="s">
        <v>139</v>
      </c>
      <c r="E6" s="251"/>
      <c r="F6" s="314">
        <f>VLOOKUP(D6,廠價表!$C$1:$E$39,3,0)</f>
        <v>57.21</v>
      </c>
      <c r="G6" s="315">
        <v>1686</v>
      </c>
      <c r="H6" s="316">
        <f>F6*G6</f>
        <v>96456.06</v>
      </c>
      <c r="I6" s="317"/>
      <c r="J6" s="318">
        <f>VLOOKUP(D6,產線配置圖!$A$2:$C$38,2,0)</f>
        <v>17</v>
      </c>
      <c r="K6" s="315">
        <v>1800</v>
      </c>
      <c r="L6" s="319">
        <f>K6/J6</f>
        <v>105.88235294117646</v>
      </c>
      <c r="M6" s="320">
        <v>17</v>
      </c>
      <c r="N6" s="315">
        <f t="shared" si="2"/>
        <v>1774.7368421052645</v>
      </c>
      <c r="O6" s="319">
        <f t="shared" si="3"/>
        <v>104.39628482972144</v>
      </c>
      <c r="P6" s="321">
        <f t="shared" si="4"/>
        <v>0</v>
      </c>
      <c r="Q6" s="322">
        <f t="shared" si="5"/>
        <v>-1.486068111455026</v>
      </c>
      <c r="R6" s="323">
        <f t="shared" si="6"/>
        <v>0.98596491228070249</v>
      </c>
      <c r="S6" s="397"/>
      <c r="T6" s="270">
        <v>0.35833333333333334</v>
      </c>
      <c r="U6" s="270">
        <v>0.39791666666666664</v>
      </c>
      <c r="V6" s="177">
        <f>(T6-U5)*24*60</f>
        <v>51.999999999999972</v>
      </c>
      <c r="W6" s="182">
        <f t="shared" si="7"/>
        <v>56.999999999999957</v>
      </c>
      <c r="X6" s="22"/>
      <c r="Y6" s="22"/>
      <c r="Z6" s="381" t="s">
        <v>246</v>
      </c>
      <c r="AA6" s="381"/>
      <c r="AB6" s="18">
        <f>N6-K6</f>
        <v>-25.263157894735514</v>
      </c>
      <c r="AC6" s="185">
        <f>N6/K6</f>
        <v>0.98596491228070249</v>
      </c>
      <c r="AD6" s="402"/>
    </row>
    <row r="7" spans="1:30" ht="15" customHeight="1">
      <c r="A7" s="412"/>
      <c r="B7" s="56" t="str">
        <f>VLOOKUP(D7,廠價表!$C$1:$E$39,2,0)</f>
        <v>義大利麵</v>
      </c>
      <c r="C7" s="10"/>
      <c r="D7" s="11" t="s">
        <v>141</v>
      </c>
      <c r="E7" s="86"/>
      <c r="F7" s="56">
        <f>VLOOKUP(D7,廠價表!$C$1:$E$39,3,0)</f>
        <v>49.14</v>
      </c>
      <c r="G7" s="25">
        <v>3366</v>
      </c>
      <c r="H7" s="15">
        <f t="shared" ref="H7:H9" si="8">F7*G7</f>
        <v>165405.24</v>
      </c>
      <c r="I7" s="182"/>
      <c r="J7" s="16">
        <f>VLOOKUP(D7,產線配置圖!$A$2:$C$38,2,0)</f>
        <v>13</v>
      </c>
      <c r="K7" s="14">
        <f>VLOOKUP(D7,產線配置圖!$A$2:$C$38,3,0)</f>
        <v>2000</v>
      </c>
      <c r="L7" s="17">
        <f>K7/J7</f>
        <v>153.84615384615384</v>
      </c>
      <c r="M7" s="180">
        <v>13</v>
      </c>
      <c r="N7" s="14">
        <f t="shared" si="2"/>
        <v>1941.9230769230765</v>
      </c>
      <c r="O7" s="17">
        <f t="shared" si="3"/>
        <v>149.37869822485203</v>
      </c>
      <c r="P7" s="18">
        <f t="shared" si="4"/>
        <v>0</v>
      </c>
      <c r="Q7" s="19">
        <f t="shared" si="5"/>
        <v>-4.4674556213018093</v>
      </c>
      <c r="R7" s="185">
        <f t="shared" si="6"/>
        <v>0.97096153846153821</v>
      </c>
      <c r="S7" s="397"/>
      <c r="T7" s="95">
        <v>0.40694444444444444</v>
      </c>
      <c r="U7" s="95">
        <v>0.47916666666666669</v>
      </c>
      <c r="V7" s="177">
        <f>(T7-U6)*24*60</f>
        <v>13.000000000000034</v>
      </c>
      <c r="W7" s="182">
        <f t="shared" si="7"/>
        <v>104.00000000000003</v>
      </c>
      <c r="X7" s="22"/>
      <c r="Y7" s="22"/>
      <c r="Z7" s="405"/>
      <c r="AA7" s="405"/>
      <c r="AB7" s="18">
        <f>N7-K7</f>
        <v>-58.076923076923549</v>
      </c>
      <c r="AC7" s="185">
        <f>N7/K7</f>
        <v>0.97096153846153821</v>
      </c>
      <c r="AD7" s="402"/>
    </row>
    <row r="8" spans="1:30" ht="15" customHeight="1">
      <c r="A8" s="412"/>
      <c r="B8" s="56" t="str">
        <f>VLOOKUP(D8,廠價表!$C$1:$E$39,2,0)</f>
        <v>義大利麵</v>
      </c>
      <c r="C8" s="10"/>
      <c r="D8" s="11" t="s">
        <v>141</v>
      </c>
      <c r="E8" s="86"/>
      <c r="F8" s="56">
        <f>VLOOKUP(D8,廠價表!$C$1:$E$39,3,0)</f>
        <v>49.14</v>
      </c>
      <c r="G8" s="25">
        <v>985</v>
      </c>
      <c r="H8" s="15">
        <f t="shared" si="8"/>
        <v>48402.9</v>
      </c>
      <c r="I8" s="182"/>
      <c r="J8" s="16">
        <f>VLOOKUP(D8,產線配置圖!$A$2:$C$38,2,0)</f>
        <v>13</v>
      </c>
      <c r="K8" s="14">
        <f>VLOOKUP(D8,產線配置圖!$A$2:$C$38,3,0)</f>
        <v>2000</v>
      </c>
      <c r="L8" s="17">
        <f>K8/J8</f>
        <v>153.84615384615384</v>
      </c>
      <c r="M8" s="180">
        <v>13</v>
      </c>
      <c r="N8" s="14">
        <f t="shared" si="2"/>
        <v>1641.6666666666654</v>
      </c>
      <c r="O8" s="17">
        <f t="shared" si="3"/>
        <v>126.28205128205119</v>
      </c>
      <c r="P8" s="18">
        <f t="shared" si="4"/>
        <v>0</v>
      </c>
      <c r="Q8" s="19">
        <f t="shared" si="5"/>
        <v>-27.564102564102654</v>
      </c>
      <c r="R8" s="185">
        <f t="shared" si="6"/>
        <v>0.82083333333333275</v>
      </c>
      <c r="S8" s="397"/>
      <c r="T8" s="95">
        <v>0.54027777777777775</v>
      </c>
      <c r="U8" s="95">
        <v>0.56527777777777777</v>
      </c>
      <c r="V8" s="177">
        <f t="shared" ref="V8:V9" si="9">(T8-U7)*24*60</f>
        <v>87.999999999999929</v>
      </c>
      <c r="W8" s="182">
        <f t="shared" si="7"/>
        <v>36.000000000000028</v>
      </c>
      <c r="X8" s="22">
        <v>0.4861111111111111</v>
      </c>
      <c r="Y8" s="263">
        <v>0.52777777777777779</v>
      </c>
      <c r="Z8" s="406"/>
      <c r="AA8" s="406"/>
      <c r="AB8" s="18">
        <f>N8-K8</f>
        <v>-358.33333333333462</v>
      </c>
      <c r="AC8" s="185">
        <f>N8/K8</f>
        <v>0.82083333333333264</v>
      </c>
      <c r="AD8" s="402"/>
    </row>
    <row r="9" spans="1:30" ht="15" customHeight="1">
      <c r="A9" s="413"/>
      <c r="B9" s="56" t="str">
        <f>VLOOKUP(D9,廠價表!$C$1:$E$39,2,0)</f>
        <v>義大利麵</v>
      </c>
      <c r="C9" s="10"/>
      <c r="D9" s="11" t="s">
        <v>206</v>
      </c>
      <c r="E9" s="86"/>
      <c r="F9" s="56">
        <f>VLOOKUP(D9,廠價表!$C$1:$E$39,3,0)</f>
        <v>56.43</v>
      </c>
      <c r="G9" s="25">
        <v>664</v>
      </c>
      <c r="H9" s="15">
        <f t="shared" si="8"/>
        <v>37469.519999999997</v>
      </c>
      <c r="I9" s="182"/>
      <c r="J9" s="16">
        <f>VLOOKUP(D9,產線配置圖!$A$2:$C$38,2,0)</f>
        <v>15</v>
      </c>
      <c r="K9" s="14">
        <f>VLOOKUP(D9,產線配置圖!$A$2:$C$38,3,0)</f>
        <v>1636</v>
      </c>
      <c r="L9" s="17">
        <f t="shared" ref="L9" si="10">K9/J9</f>
        <v>109.06666666666666</v>
      </c>
      <c r="M9" s="180">
        <v>15</v>
      </c>
      <c r="N9" s="14">
        <f t="shared" si="2"/>
        <v>885.33333333333337</v>
      </c>
      <c r="O9" s="17">
        <f t="shared" si="3"/>
        <v>59.022222222222226</v>
      </c>
      <c r="P9" s="18">
        <f t="shared" si="4"/>
        <v>0</v>
      </c>
      <c r="Q9" s="19">
        <f t="shared" si="5"/>
        <v>-50.044444444444437</v>
      </c>
      <c r="R9" s="185">
        <f t="shared" si="6"/>
        <v>0.54115729421352898</v>
      </c>
      <c r="S9" s="398"/>
      <c r="T9" s="20">
        <v>0.57499999999999996</v>
      </c>
      <c r="U9" s="20">
        <v>0.60624999999999996</v>
      </c>
      <c r="V9" s="177">
        <f t="shared" si="9"/>
        <v>13.99999999999995</v>
      </c>
      <c r="W9" s="24">
        <f t="shared" si="7"/>
        <v>45</v>
      </c>
      <c r="X9" s="22"/>
      <c r="Y9" s="263"/>
      <c r="Z9" s="407" t="s">
        <v>229</v>
      </c>
      <c r="AA9" s="407"/>
      <c r="AB9" s="18"/>
      <c r="AC9" s="185"/>
      <c r="AD9" s="403"/>
    </row>
    <row r="10" spans="1:30" ht="15" customHeight="1">
      <c r="A10" s="413"/>
      <c r="B10" s="56"/>
      <c r="C10" s="23"/>
      <c r="D10" s="11"/>
      <c r="E10" s="12"/>
      <c r="F10" s="56"/>
      <c r="G10" s="25"/>
      <c r="H10" s="15"/>
      <c r="I10" s="182"/>
      <c r="J10" s="16"/>
      <c r="K10" s="14"/>
      <c r="L10" s="17"/>
      <c r="M10" s="180"/>
      <c r="N10" s="14"/>
      <c r="O10" s="17"/>
      <c r="P10" s="18"/>
      <c r="Q10" s="19"/>
      <c r="R10" s="185"/>
      <c r="S10" s="398"/>
      <c r="T10" s="20"/>
      <c r="U10" s="20"/>
      <c r="V10" s="177"/>
      <c r="W10" s="182">
        <f t="shared" si="7"/>
        <v>0</v>
      </c>
      <c r="X10" s="22"/>
      <c r="Y10" s="263"/>
      <c r="Z10" s="419"/>
      <c r="AA10" s="418"/>
      <c r="AB10" s="264"/>
      <c r="AC10" s="185"/>
      <c r="AD10" s="403"/>
    </row>
    <row r="11" spans="1:30" ht="15" customHeight="1">
      <c r="A11" s="413"/>
      <c r="B11" s="56"/>
      <c r="C11" s="183"/>
      <c r="D11" s="11"/>
      <c r="E11" s="12"/>
      <c r="F11" s="56"/>
      <c r="G11" s="25"/>
      <c r="H11" s="15">
        <f t="shared" ref="H11:H12" si="11">F11*G11</f>
        <v>0</v>
      </c>
      <c r="I11" s="182"/>
      <c r="J11" s="16"/>
      <c r="K11" s="14"/>
      <c r="L11" s="17"/>
      <c r="M11" s="180"/>
      <c r="N11" s="14"/>
      <c r="O11" s="17"/>
      <c r="P11" s="18"/>
      <c r="Q11" s="19"/>
      <c r="R11" s="185"/>
      <c r="S11" s="398"/>
      <c r="T11" s="20"/>
      <c r="U11" s="20"/>
      <c r="V11" s="177"/>
      <c r="W11" s="24">
        <f t="shared" si="7"/>
        <v>0</v>
      </c>
      <c r="X11" s="22"/>
      <c r="Y11" s="263"/>
      <c r="Z11" s="419"/>
      <c r="AA11" s="418"/>
      <c r="AB11" s="264"/>
      <c r="AC11" s="185"/>
      <c r="AD11" s="403"/>
    </row>
    <row r="12" spans="1:30" ht="15" customHeight="1">
      <c r="A12" s="413"/>
      <c r="B12" s="26"/>
      <c r="C12" s="27"/>
      <c r="D12" s="28"/>
      <c r="E12" s="29"/>
      <c r="F12" s="13"/>
      <c r="G12" s="30"/>
      <c r="H12" s="15">
        <f t="shared" si="11"/>
        <v>0</v>
      </c>
      <c r="I12" s="178"/>
      <c r="J12" s="31"/>
      <c r="K12" s="30"/>
      <c r="L12" s="17"/>
      <c r="M12" s="181"/>
      <c r="N12" s="25"/>
      <c r="O12" s="17"/>
      <c r="P12" s="18"/>
      <c r="Q12" s="19"/>
      <c r="R12" s="185"/>
      <c r="S12" s="398"/>
      <c r="T12" s="32"/>
      <c r="U12" s="32"/>
      <c r="V12" s="178"/>
      <c r="W12" s="24">
        <f t="shared" si="7"/>
        <v>0</v>
      </c>
      <c r="X12" s="33"/>
      <c r="Y12" s="33"/>
      <c r="Z12" s="407"/>
      <c r="AA12" s="407"/>
      <c r="AB12" s="34"/>
      <c r="AC12" s="186"/>
      <c r="AD12" s="403"/>
    </row>
    <row r="13" spans="1:30" ht="15" customHeight="1">
      <c r="A13" s="413"/>
      <c r="B13" s="56"/>
      <c r="C13" s="10"/>
      <c r="D13" s="11"/>
      <c r="E13" s="86"/>
      <c r="F13" s="56"/>
      <c r="G13" s="25"/>
      <c r="H13" s="15"/>
      <c r="I13" s="182"/>
      <c r="J13" s="16"/>
      <c r="K13" s="14"/>
      <c r="L13" s="17"/>
      <c r="M13" s="180"/>
      <c r="N13" s="14"/>
      <c r="O13" s="17"/>
      <c r="P13" s="18"/>
      <c r="Q13" s="19"/>
      <c r="R13" s="185"/>
      <c r="S13" s="479"/>
      <c r="T13" s="309"/>
      <c r="U13" s="309"/>
      <c r="V13" s="26"/>
      <c r="W13" s="24">
        <f t="shared" si="7"/>
        <v>0</v>
      </c>
      <c r="X13" s="33"/>
      <c r="Y13" s="33"/>
      <c r="Z13" s="419"/>
      <c r="AA13" s="418"/>
      <c r="AB13" s="34"/>
      <c r="AC13" s="186"/>
      <c r="AD13" s="403"/>
    </row>
    <row r="14" spans="1:30" ht="15" customHeight="1">
      <c r="A14" s="413"/>
      <c r="B14" s="56"/>
      <c r="C14" s="10"/>
      <c r="D14" s="11"/>
      <c r="E14" s="86"/>
      <c r="F14" s="56"/>
      <c r="G14" s="25"/>
      <c r="H14" s="15"/>
      <c r="I14" s="182"/>
      <c r="J14" s="16"/>
      <c r="K14" s="14"/>
      <c r="L14" s="17"/>
      <c r="M14" s="180"/>
      <c r="N14" s="14"/>
      <c r="O14" s="17"/>
      <c r="P14" s="18"/>
      <c r="Q14" s="19"/>
      <c r="R14" s="185"/>
      <c r="S14" s="398"/>
      <c r="T14" s="79"/>
      <c r="U14" s="79"/>
      <c r="V14" s="178"/>
      <c r="W14" s="24">
        <f t="shared" si="7"/>
        <v>0</v>
      </c>
      <c r="X14" s="33"/>
      <c r="Y14" s="33"/>
      <c r="Z14" s="419"/>
      <c r="AA14" s="418"/>
      <c r="AB14" s="34"/>
      <c r="AC14" s="186"/>
      <c r="AD14" s="403"/>
    </row>
    <row r="15" spans="1:30" ht="15" customHeight="1" thickBot="1">
      <c r="A15" s="414"/>
      <c r="B15" s="113"/>
      <c r="C15" s="113" t="s">
        <v>34</v>
      </c>
      <c r="D15" s="410" t="s">
        <v>7</v>
      </c>
      <c r="E15" s="410"/>
      <c r="F15" s="114"/>
      <c r="G15" s="115"/>
      <c r="H15" s="116"/>
      <c r="I15" s="117"/>
      <c r="J15" s="118">
        <f t="shared" ref="J15:O15" si="12">AVERAGE(J5:J14)</f>
        <v>14.2</v>
      </c>
      <c r="K15" s="118">
        <f t="shared" si="12"/>
        <v>1908.2</v>
      </c>
      <c r="L15" s="115">
        <f t="shared" si="12"/>
        <v>136.91288084464554</v>
      </c>
      <c r="M15" s="118">
        <f t="shared" si="12"/>
        <v>14.2</v>
      </c>
      <c r="N15" s="118">
        <f t="shared" si="12"/>
        <v>1629.6015490230591</v>
      </c>
      <c r="O15" s="115">
        <f t="shared" si="12"/>
        <v>117.11351017464563</v>
      </c>
      <c r="P15" s="119">
        <f t="shared" ref="P15:P20" si="13">M15-J15</f>
        <v>0</v>
      </c>
      <c r="Q15" s="120">
        <f t="shared" ref="Q15:Q20" si="14">O15-L15</f>
        <v>-19.799370669999917</v>
      </c>
      <c r="R15" s="121">
        <f t="shared" ref="R15:R20" si="15">O15/L15</f>
        <v>0.85538708594945001</v>
      </c>
      <c r="S15" s="399"/>
      <c r="T15" s="122"/>
      <c r="U15" s="122"/>
      <c r="V15" s="195"/>
      <c r="W15" s="123"/>
      <c r="X15" s="124"/>
      <c r="Y15" s="124"/>
      <c r="Z15" s="391"/>
      <c r="AA15" s="391"/>
      <c r="AB15" s="119">
        <f>N15-K15</f>
        <v>-278.59845097694097</v>
      </c>
      <c r="AC15" s="187">
        <f>N15/K15</f>
        <v>0.85399934442042713</v>
      </c>
      <c r="AD15" s="404"/>
    </row>
    <row r="16" spans="1:30" ht="15" customHeight="1">
      <c r="A16" s="431" t="s">
        <v>67</v>
      </c>
      <c r="B16" s="199" t="str">
        <f>VLOOKUP(D16,廠價表!$C$1:$E$39,2,0)</f>
        <v>義大利麵</v>
      </c>
      <c r="C16" s="102"/>
      <c r="D16" s="103" t="s">
        <v>127</v>
      </c>
      <c r="E16" s="104"/>
      <c r="F16" s="199">
        <f>VLOOKUP(D16,廠價表!$C$1:$E$39,3,0)</f>
        <v>57.21</v>
      </c>
      <c r="G16" s="265">
        <v>1169</v>
      </c>
      <c r="H16" s="125">
        <f t="shared" ref="H16:H25" si="16">F16*G16</f>
        <v>66878.490000000005</v>
      </c>
      <c r="I16" s="126"/>
      <c r="J16" s="108">
        <f>VLOOKUP(D16,產線配置圖!$A$2:$C$38,2,0)</f>
        <v>13</v>
      </c>
      <c r="K16" s="105">
        <f>VLOOKUP(D16,產線配置圖!$A$2:$C$38,3,0)</f>
        <v>2105</v>
      </c>
      <c r="L16" s="109">
        <f t="shared" ref="L16:L20" si="17">K16/J16</f>
        <v>161.92307692307693</v>
      </c>
      <c r="M16" s="267">
        <v>13</v>
      </c>
      <c r="N16" s="127">
        <f t="shared" ref="N16:N20" si="18">G16/W16*60</f>
        <v>1895.6756756756781</v>
      </c>
      <c r="O16" s="128">
        <f>N16/M16</f>
        <v>145.82120582120601</v>
      </c>
      <c r="P16" s="129">
        <f>M16-J16</f>
        <v>0</v>
      </c>
      <c r="Q16" s="130">
        <f t="shared" si="14"/>
        <v>-16.101871101870927</v>
      </c>
      <c r="R16" s="189">
        <f>O16/L16</f>
        <v>0.90055851576041712</v>
      </c>
      <c r="S16" s="424">
        <f>R26</f>
        <v>0.9207947149380743</v>
      </c>
      <c r="T16" s="268">
        <v>0.2902777777777778</v>
      </c>
      <c r="U16" s="268">
        <v>0.31597222222222221</v>
      </c>
      <c r="V16" s="126"/>
      <c r="W16" s="131">
        <f t="shared" ref="W16:W78" si="19">(U16-T16)*24*60</f>
        <v>36.99999999999995</v>
      </c>
      <c r="X16" s="128"/>
      <c r="Y16" s="128"/>
      <c r="Z16" s="400"/>
      <c r="AA16" s="400"/>
      <c r="AB16" s="111">
        <f>N16-K16</f>
        <v>-209.32432432432188</v>
      </c>
      <c r="AC16" s="184">
        <f>N16/K16</f>
        <v>0.90055851576041712</v>
      </c>
      <c r="AD16" s="401">
        <f>AC26</f>
        <v>0.92103050904649353</v>
      </c>
    </row>
    <row r="17" spans="1:30" ht="15" customHeight="1">
      <c r="A17" s="432"/>
      <c r="B17" s="56" t="str">
        <f>VLOOKUP(D17,廠價表!$C$1:$E$39,2,0)</f>
        <v>義大利麵</v>
      </c>
      <c r="C17" s="10"/>
      <c r="D17" s="11" t="s">
        <v>153</v>
      </c>
      <c r="E17" s="86"/>
      <c r="F17" s="56">
        <f>VLOOKUP(D17,廠價表!$C$1:$E$39,3,0)</f>
        <v>50.67</v>
      </c>
      <c r="G17" s="96">
        <v>2669</v>
      </c>
      <c r="H17" s="15">
        <f t="shared" si="16"/>
        <v>135238.23000000001</v>
      </c>
      <c r="I17" s="177"/>
      <c r="J17" s="16">
        <f>VLOOKUP(D17,產線配置圖!$A$2:$C$38,2,0)</f>
        <v>13</v>
      </c>
      <c r="K17" s="14">
        <f>VLOOKUP(D17,產線配置圖!$A$2:$C$38,3,0)</f>
        <v>2000</v>
      </c>
      <c r="L17" s="17">
        <f t="shared" si="17"/>
        <v>153.84615384615384</v>
      </c>
      <c r="M17" s="37">
        <v>13</v>
      </c>
      <c r="N17" s="36">
        <f t="shared" si="18"/>
        <v>1906.4285714285706</v>
      </c>
      <c r="O17" s="38">
        <f t="shared" ref="O17:O20" si="20">N17/M17</f>
        <v>146.64835164835159</v>
      </c>
      <c r="P17" s="39">
        <f t="shared" si="13"/>
        <v>0</v>
      </c>
      <c r="Q17" s="40">
        <f t="shared" si="14"/>
        <v>-7.1978021978022468</v>
      </c>
      <c r="R17" s="190">
        <f t="shared" si="15"/>
        <v>0.95321428571428535</v>
      </c>
      <c r="S17" s="425"/>
      <c r="T17" s="41">
        <v>0.35833333333333334</v>
      </c>
      <c r="U17" s="41">
        <v>0.41666666666666669</v>
      </c>
      <c r="V17" s="177">
        <f>(T17-U16)*24*60</f>
        <v>61.000000000000021</v>
      </c>
      <c r="W17" s="43">
        <f t="shared" si="19"/>
        <v>84.000000000000028</v>
      </c>
      <c r="X17" s="44"/>
      <c r="Y17" s="44"/>
      <c r="Z17" s="381" t="s">
        <v>246</v>
      </c>
      <c r="AA17" s="381"/>
      <c r="AB17" s="18">
        <f>N17-K17</f>
        <v>-93.571428571429351</v>
      </c>
      <c r="AC17" s="185">
        <f>N17/K17</f>
        <v>0.95321428571428535</v>
      </c>
      <c r="AD17" s="402"/>
    </row>
    <row r="18" spans="1:30" ht="15" customHeight="1">
      <c r="A18" s="432"/>
      <c r="B18" s="56" t="str">
        <f>VLOOKUP(D18,廠價表!$C$1:$E$39,2,0)</f>
        <v>義大利麵</v>
      </c>
      <c r="C18" s="10"/>
      <c r="D18" s="11" t="s">
        <v>239</v>
      </c>
      <c r="E18" s="86"/>
      <c r="F18" s="56">
        <f>VLOOKUP(D18,廠價表!$C$1:$E$39,3,0)</f>
        <v>50.39</v>
      </c>
      <c r="G18" s="96">
        <v>2284</v>
      </c>
      <c r="H18" s="15">
        <f t="shared" si="16"/>
        <v>115090.76</v>
      </c>
      <c r="I18" s="177"/>
      <c r="J18" s="16">
        <f>VLOOKUP(D18,產線配置圖!$A$2:$C$38,2,0)</f>
        <v>12</v>
      </c>
      <c r="K18" s="14">
        <f>VLOOKUP(D18,產線配置圖!$A$2:$C$38,3,0)</f>
        <v>2000</v>
      </c>
      <c r="L18" s="17">
        <f t="shared" si="17"/>
        <v>166.66666666666666</v>
      </c>
      <c r="M18" s="37">
        <v>12</v>
      </c>
      <c r="N18" s="36">
        <f t="shared" si="18"/>
        <v>1803.1578947368407</v>
      </c>
      <c r="O18" s="38">
        <f t="shared" si="20"/>
        <v>150.26315789473674</v>
      </c>
      <c r="P18" s="39">
        <f t="shared" si="13"/>
        <v>0</v>
      </c>
      <c r="Q18" s="40">
        <f t="shared" si="14"/>
        <v>-16.403508771929921</v>
      </c>
      <c r="R18" s="190">
        <f t="shared" si="15"/>
        <v>0.90157894736842048</v>
      </c>
      <c r="S18" s="425"/>
      <c r="T18" s="41">
        <v>0.42499999999999999</v>
      </c>
      <c r="U18" s="41">
        <v>0.4777777777777778</v>
      </c>
      <c r="V18" s="177">
        <f>(T18-U17)*24*60</f>
        <v>11.999999999999957</v>
      </c>
      <c r="W18" s="43">
        <f t="shared" si="19"/>
        <v>76.000000000000057</v>
      </c>
      <c r="X18" s="22"/>
      <c r="Y18" s="22"/>
      <c r="Z18" s="406"/>
      <c r="AA18" s="406"/>
      <c r="AB18" s="18">
        <f>N18-K18</f>
        <v>-196.84210526315928</v>
      </c>
      <c r="AC18" s="185">
        <f>N18/K18</f>
        <v>0.90157894736842037</v>
      </c>
      <c r="AD18" s="402"/>
    </row>
    <row r="19" spans="1:30" ht="15" customHeight="1">
      <c r="A19" s="432"/>
      <c r="B19" s="56" t="str">
        <f>VLOOKUP(D19,廠價表!$C$1:$E$39,2,0)</f>
        <v>義大利麵</v>
      </c>
      <c r="C19" s="10"/>
      <c r="D19" s="11" t="s">
        <v>239</v>
      </c>
      <c r="E19" s="86"/>
      <c r="F19" s="56">
        <f>VLOOKUP(D19,廠價表!$C$1:$E$39,3,0)</f>
        <v>50.39</v>
      </c>
      <c r="G19" s="96">
        <v>1944</v>
      </c>
      <c r="H19" s="15">
        <f t="shared" si="16"/>
        <v>97958.16</v>
      </c>
      <c r="I19" s="177"/>
      <c r="J19" s="16">
        <f>VLOOKUP(D19,產線配置圖!$A$2:$C$38,2,0)</f>
        <v>12</v>
      </c>
      <c r="K19" s="14">
        <f>VLOOKUP(D19,產線配置圖!$A$2:$C$38,3,0)</f>
        <v>2000</v>
      </c>
      <c r="L19" s="17">
        <f t="shared" si="17"/>
        <v>166.66666666666666</v>
      </c>
      <c r="M19" s="37">
        <v>12</v>
      </c>
      <c r="N19" s="36">
        <f t="shared" si="18"/>
        <v>1851.4285714285684</v>
      </c>
      <c r="O19" s="38">
        <f t="shared" si="20"/>
        <v>154.28571428571402</v>
      </c>
      <c r="P19" s="39">
        <f t="shared" si="13"/>
        <v>0</v>
      </c>
      <c r="Q19" s="40">
        <f t="shared" si="14"/>
        <v>-12.380952380952635</v>
      </c>
      <c r="R19" s="190">
        <f t="shared" si="15"/>
        <v>0.92571428571428416</v>
      </c>
      <c r="S19" s="425"/>
      <c r="T19" s="41">
        <v>0.54166666666666663</v>
      </c>
      <c r="U19" s="41">
        <v>0.5854166666666667</v>
      </c>
      <c r="V19" s="177">
        <f>(T19-U18)*24*60</f>
        <v>91.999999999999915</v>
      </c>
      <c r="W19" s="43">
        <f t="shared" si="19"/>
        <v>63.000000000000099</v>
      </c>
      <c r="X19" s="22">
        <v>0.4861111111111111</v>
      </c>
      <c r="Y19" s="22">
        <v>0.52777777777777779</v>
      </c>
      <c r="Z19" s="407"/>
      <c r="AA19" s="407"/>
      <c r="AB19" s="18">
        <f>N19-K19</f>
        <v>-148.57142857143162</v>
      </c>
      <c r="AC19" s="185">
        <f>N19/K19</f>
        <v>0.92571428571428416</v>
      </c>
      <c r="AD19" s="403"/>
    </row>
    <row r="20" spans="1:30" ht="15" customHeight="1">
      <c r="A20" s="432"/>
      <c r="B20" s="56" t="str">
        <f>VLOOKUP(D20,廠價表!$C$1:$E$39,2,0)</f>
        <v>義大利麵</v>
      </c>
      <c r="C20" s="10"/>
      <c r="D20" s="11" t="s">
        <v>153</v>
      </c>
      <c r="E20" s="86"/>
      <c r="F20" s="56">
        <f>VLOOKUP(D20,廠價表!$C$1:$E$39,3,0)</f>
        <v>50.67</v>
      </c>
      <c r="G20" s="96">
        <v>956</v>
      </c>
      <c r="H20" s="15">
        <f t="shared" si="16"/>
        <v>48440.520000000004</v>
      </c>
      <c r="I20" s="177"/>
      <c r="J20" s="16">
        <f>VLOOKUP(D20,產線配置圖!$A$2:$C$38,2,0)</f>
        <v>13</v>
      </c>
      <c r="K20" s="14">
        <f>VLOOKUP(D20,產線配置圖!$A$2:$C$38,3,0)</f>
        <v>2000</v>
      </c>
      <c r="L20" s="17">
        <f t="shared" si="17"/>
        <v>153.84615384615384</v>
      </c>
      <c r="M20" s="37">
        <v>13</v>
      </c>
      <c r="N20" s="36">
        <f t="shared" si="18"/>
        <v>1850.3225806451583</v>
      </c>
      <c r="O20" s="38">
        <f t="shared" si="20"/>
        <v>142.33250620347371</v>
      </c>
      <c r="P20" s="39">
        <f t="shared" si="13"/>
        <v>0</v>
      </c>
      <c r="Q20" s="40">
        <f t="shared" si="14"/>
        <v>-11.513647642680127</v>
      </c>
      <c r="R20" s="190">
        <f t="shared" si="15"/>
        <v>0.92516129032257921</v>
      </c>
      <c r="S20" s="425"/>
      <c r="T20" s="41">
        <v>0.59375</v>
      </c>
      <c r="U20" s="79">
        <v>0.61527777777777781</v>
      </c>
      <c r="V20" s="177">
        <f>(T20-U19)*24*60</f>
        <v>11.999999999999957</v>
      </c>
      <c r="W20" s="43">
        <f t="shared" si="19"/>
        <v>31.00000000000005</v>
      </c>
      <c r="X20" s="44"/>
      <c r="Y20" s="44"/>
      <c r="Z20" s="418"/>
      <c r="AA20" s="405"/>
      <c r="AB20" s="34"/>
      <c r="AC20" s="186"/>
      <c r="AD20" s="403"/>
    </row>
    <row r="21" spans="1:30" ht="15" customHeight="1">
      <c r="A21" s="433"/>
      <c r="B21" s="56"/>
      <c r="C21" s="10"/>
      <c r="D21" s="11"/>
      <c r="E21" s="86"/>
      <c r="F21" s="56"/>
      <c r="G21" s="96"/>
      <c r="H21" s="15"/>
      <c r="I21" s="177"/>
      <c r="J21" s="16"/>
      <c r="K21" s="14"/>
      <c r="L21" s="17"/>
      <c r="M21" s="37"/>
      <c r="N21" s="36"/>
      <c r="O21" s="38"/>
      <c r="P21" s="39"/>
      <c r="Q21" s="40"/>
      <c r="R21" s="190"/>
      <c r="S21" s="425"/>
      <c r="T21" s="41"/>
      <c r="U21" s="41"/>
      <c r="V21" s="177"/>
      <c r="W21" s="43">
        <f t="shared" si="19"/>
        <v>0</v>
      </c>
      <c r="X21" s="42"/>
      <c r="Y21" s="42"/>
      <c r="Z21" s="418"/>
      <c r="AA21" s="405"/>
      <c r="AB21" s="34"/>
      <c r="AC21" s="186"/>
      <c r="AD21" s="403"/>
    </row>
    <row r="22" spans="1:30" ht="15" customHeight="1">
      <c r="A22" s="433"/>
      <c r="B22" s="177"/>
      <c r="C22" s="183"/>
      <c r="D22" s="11"/>
      <c r="E22" s="12"/>
      <c r="F22" s="13"/>
      <c r="G22" s="36"/>
      <c r="H22" s="15">
        <f t="shared" si="16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90"/>
      <c r="S22" s="425"/>
      <c r="T22" s="41"/>
      <c r="U22" s="41"/>
      <c r="V22" s="42"/>
      <c r="W22" s="43">
        <v>0</v>
      </c>
      <c r="X22" s="42"/>
      <c r="Y22" s="42"/>
      <c r="Z22" s="418"/>
      <c r="AA22" s="405"/>
      <c r="AB22" s="34"/>
      <c r="AC22" s="186"/>
      <c r="AD22" s="403"/>
    </row>
    <row r="23" spans="1:30" ht="15" customHeight="1">
      <c r="A23" s="433"/>
      <c r="B23" s="56"/>
      <c r="C23" s="23"/>
      <c r="D23" s="11"/>
      <c r="E23" s="12"/>
      <c r="F23" s="56"/>
      <c r="G23" s="96"/>
      <c r="H23" s="15"/>
      <c r="I23" s="177"/>
      <c r="J23" s="16"/>
      <c r="K23" s="14"/>
      <c r="L23" s="17"/>
      <c r="M23" s="37"/>
      <c r="N23" s="36"/>
      <c r="O23" s="38"/>
      <c r="P23" s="39"/>
      <c r="Q23" s="40"/>
      <c r="R23" s="190"/>
      <c r="S23" s="425"/>
      <c r="T23" s="41"/>
      <c r="U23" s="41"/>
      <c r="W23" s="43">
        <f t="shared" si="19"/>
        <v>0</v>
      </c>
      <c r="X23" s="42"/>
      <c r="Y23" s="42"/>
      <c r="Z23" s="418"/>
      <c r="AA23" s="405"/>
      <c r="AB23" s="34"/>
      <c r="AC23" s="186"/>
      <c r="AD23" s="403"/>
    </row>
    <row r="24" spans="1:30" ht="15" customHeight="1">
      <c r="A24" s="433"/>
      <c r="B24" s="26"/>
      <c r="C24" s="27"/>
      <c r="D24" s="28"/>
      <c r="E24" s="29"/>
      <c r="F24" s="13"/>
      <c r="G24" s="36"/>
      <c r="H24" s="15">
        <f t="shared" si="16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90"/>
      <c r="S24" s="425"/>
      <c r="T24" s="41"/>
      <c r="U24" s="41"/>
      <c r="V24" s="42"/>
      <c r="W24" s="43">
        <f t="shared" si="19"/>
        <v>0</v>
      </c>
      <c r="X24" s="42"/>
      <c r="Y24" s="42"/>
      <c r="Z24" s="418"/>
      <c r="AA24" s="405"/>
      <c r="AB24" s="34"/>
      <c r="AC24" s="186"/>
      <c r="AD24" s="403"/>
    </row>
    <row r="25" spans="1:30" ht="15" customHeight="1">
      <c r="A25" s="433"/>
      <c r="B25" s="26"/>
      <c r="C25" s="27"/>
      <c r="D25" s="28"/>
      <c r="E25" s="29"/>
      <c r="F25" s="13"/>
      <c r="G25" s="36"/>
      <c r="H25" s="50">
        <f t="shared" si="16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90"/>
      <c r="S25" s="425"/>
      <c r="T25" s="41"/>
      <c r="U25" s="41"/>
      <c r="V25" s="42"/>
      <c r="W25" s="43">
        <f t="shared" si="19"/>
        <v>0</v>
      </c>
      <c r="X25" s="42"/>
      <c r="Y25" s="42"/>
      <c r="Z25" s="418"/>
      <c r="AA25" s="405"/>
      <c r="AB25" s="34"/>
      <c r="AC25" s="186"/>
      <c r="AD25" s="403"/>
    </row>
    <row r="26" spans="1:30" ht="15" customHeight="1" thickBot="1">
      <c r="A26" s="434"/>
      <c r="B26" s="132"/>
      <c r="C26" s="1" t="s">
        <v>35</v>
      </c>
      <c r="D26" s="410" t="s">
        <v>7</v>
      </c>
      <c r="E26" s="410"/>
      <c r="F26" s="133"/>
      <c r="G26" s="134"/>
      <c r="H26" s="135"/>
      <c r="I26" s="136"/>
      <c r="J26" s="134">
        <f t="shared" ref="J26:O26" si="21">AVERAGE(J16:J25)</f>
        <v>12.6</v>
      </c>
      <c r="K26" s="134">
        <f t="shared" si="21"/>
        <v>2021</v>
      </c>
      <c r="L26" s="137">
        <f t="shared" si="21"/>
        <v>160.58974358974359</v>
      </c>
      <c r="M26" s="134">
        <f t="shared" si="21"/>
        <v>12.6</v>
      </c>
      <c r="N26" s="134">
        <f t="shared" si="21"/>
        <v>1861.4026587829635</v>
      </c>
      <c r="O26" s="137">
        <f t="shared" si="21"/>
        <v>147.8701871706964</v>
      </c>
      <c r="P26" s="138">
        <f t="shared" ref="P26:P30" si="22">M26-J26</f>
        <v>0</v>
      </c>
      <c r="Q26" s="139">
        <f t="shared" ref="Q26:Q30" si="23">O26-L26</f>
        <v>-12.719556419047194</v>
      </c>
      <c r="R26" s="140">
        <f t="shared" ref="R26:R30" si="24">O26/L26</f>
        <v>0.9207947149380743</v>
      </c>
      <c r="S26" s="435"/>
      <c r="T26" s="141"/>
      <c r="U26" s="141"/>
      <c r="V26" s="146"/>
      <c r="W26" s="142"/>
      <c r="X26" s="143"/>
      <c r="Y26" s="143"/>
      <c r="Z26" s="420"/>
      <c r="AA26" s="391"/>
      <c r="AB26" s="119">
        <f>N26-K26</f>
        <v>-159.5973412170365</v>
      </c>
      <c r="AC26" s="187">
        <f>N26/K26</f>
        <v>0.92103050904649353</v>
      </c>
      <c r="AD26" s="404"/>
    </row>
    <row r="27" spans="1:30" ht="15" customHeight="1">
      <c r="A27" s="421" t="s">
        <v>54</v>
      </c>
      <c r="B27" s="229" t="s">
        <v>62</v>
      </c>
      <c r="C27" s="102"/>
      <c r="D27" s="103" t="s">
        <v>144</v>
      </c>
      <c r="E27" s="104"/>
      <c r="F27" s="199">
        <f>VLOOKUP(D27,廠價表!$C$1:$E$39,3,0)</f>
        <v>49.91</v>
      </c>
      <c r="G27" s="269">
        <v>1586</v>
      </c>
      <c r="H27" s="125">
        <f t="shared" ref="H27:H41" si="25">F27*G27</f>
        <v>79157.259999999995</v>
      </c>
      <c r="I27" s="126"/>
      <c r="J27" s="16">
        <f>VLOOKUP(D27,產線配置圖!$A$2:$C$38,2,0)</f>
        <v>17</v>
      </c>
      <c r="K27" s="14">
        <f>VLOOKUP(D27,產線配置圖!$A$2:$C$38,3,0)</f>
        <v>1565</v>
      </c>
      <c r="L27" s="109">
        <f>K27/J27</f>
        <v>92.058823529411768</v>
      </c>
      <c r="M27" s="144">
        <v>13</v>
      </c>
      <c r="N27" s="127">
        <f>G27/W27*60</f>
        <v>1106.5116279069778</v>
      </c>
      <c r="O27" s="128">
        <f>N27/M27</f>
        <v>85.116279069767515</v>
      </c>
      <c r="P27" s="129">
        <f t="shared" si="22"/>
        <v>-4</v>
      </c>
      <c r="Q27" s="130">
        <f t="shared" si="23"/>
        <v>-6.9425444596442532</v>
      </c>
      <c r="R27" s="189">
        <f>O27/L27</f>
        <v>0.92458577903261829</v>
      </c>
      <c r="S27" s="424">
        <f>R37</f>
        <v>0.83597398927757027</v>
      </c>
      <c r="T27" s="94">
        <v>0.29166666666666669</v>
      </c>
      <c r="U27" s="94">
        <v>0.35138888888888886</v>
      </c>
      <c r="V27" s="126"/>
      <c r="W27" s="131">
        <f t="shared" si="19"/>
        <v>85.999999999999929</v>
      </c>
      <c r="X27" s="126"/>
      <c r="Y27" s="126" t="s">
        <v>147</v>
      </c>
      <c r="Z27" s="427"/>
      <c r="AA27" s="400"/>
      <c r="AB27" s="225">
        <f>N27-K27</f>
        <v>-458.48837209302224</v>
      </c>
      <c r="AC27" s="291">
        <f>N27/K27</f>
        <v>0.70703618396612</v>
      </c>
      <c r="AD27" s="401">
        <f>AC37</f>
        <v>0.74906293304688032</v>
      </c>
    </row>
    <row r="28" spans="1:30" ht="15" customHeight="1">
      <c r="A28" s="422"/>
      <c r="B28" s="56" t="str">
        <f>VLOOKUP(D28,廠價表!$C$1:$E$39,2,0)</f>
        <v>義大利麵</v>
      </c>
      <c r="C28" s="10"/>
      <c r="D28" s="11" t="s">
        <v>137</v>
      </c>
      <c r="E28" s="86"/>
      <c r="F28" s="56">
        <f>VLOOKUP(D28,廠價表!$C$1:$E$39,3,0)</f>
        <v>55.13</v>
      </c>
      <c r="G28" s="53">
        <v>1876</v>
      </c>
      <c r="H28" s="50">
        <f t="shared" si="25"/>
        <v>103423.88</v>
      </c>
      <c r="I28" s="42"/>
      <c r="J28" s="16">
        <f>VLOOKUP(D28,產線配置圖!$A$2:$C$38,2,0)</f>
        <v>18</v>
      </c>
      <c r="K28" s="14">
        <f>VLOOKUP(D28,產線配置圖!$A$2:$C$38,3,0)</f>
        <v>1385</v>
      </c>
      <c r="L28" s="235">
        <f>K28/J28</f>
        <v>76.944444444444443</v>
      </c>
      <c r="M28" s="21">
        <v>15</v>
      </c>
      <c r="N28" s="36">
        <f>G28/W28*60</f>
        <v>1082.3076923076919</v>
      </c>
      <c r="O28" s="38">
        <f>N28/M28</f>
        <v>72.153846153846132</v>
      </c>
      <c r="P28" s="39">
        <f t="shared" si="22"/>
        <v>-3</v>
      </c>
      <c r="Q28" s="40">
        <f t="shared" si="23"/>
        <v>-4.7905982905983109</v>
      </c>
      <c r="R28" s="190">
        <f t="shared" si="24"/>
        <v>0.93773951680088841</v>
      </c>
      <c r="S28" s="425"/>
      <c r="T28" s="270">
        <v>0.36527777777777776</v>
      </c>
      <c r="U28" s="270">
        <v>0.4375</v>
      </c>
      <c r="V28" s="42">
        <f>(T28-U27)*24*60</f>
        <v>20.000000000000007</v>
      </c>
      <c r="W28" s="43">
        <f t="shared" si="19"/>
        <v>104.00000000000003</v>
      </c>
      <c r="X28" s="54"/>
      <c r="Y28" s="54"/>
      <c r="Z28" s="418"/>
      <c r="AA28" s="419"/>
      <c r="AB28" s="39">
        <f>N28-K28</f>
        <v>-302.69230769230808</v>
      </c>
      <c r="AC28" s="190">
        <f>N28/K28</f>
        <v>0.7814495973340736</v>
      </c>
      <c r="AD28" s="447"/>
    </row>
    <row r="29" spans="1:30" ht="15" customHeight="1">
      <c r="A29" s="422"/>
      <c r="B29" s="56" t="str">
        <f>VLOOKUP(D29,廠價表!$C$1:$E$39,2,0)</f>
        <v>義大利麵</v>
      </c>
      <c r="C29" s="10"/>
      <c r="D29" s="11" t="s">
        <v>158</v>
      </c>
      <c r="E29" s="86"/>
      <c r="F29" s="56">
        <f>VLOOKUP(D29,廠價表!$C$1:$E$39,3,0)</f>
        <v>47.71</v>
      </c>
      <c r="G29" s="53">
        <v>1524</v>
      </c>
      <c r="H29" s="50">
        <f t="shared" si="25"/>
        <v>72710.040000000008</v>
      </c>
      <c r="I29" s="42"/>
      <c r="J29" s="16">
        <f>VLOOKUP(D29,產線配置圖!$A$2:$C$38,2,0)</f>
        <v>15</v>
      </c>
      <c r="K29" s="14">
        <f>VLOOKUP(D29,產線配置圖!$A$2:$C$38,3,0)</f>
        <v>1500</v>
      </c>
      <c r="L29" s="235">
        <f>K29/J29</f>
        <v>100</v>
      </c>
      <c r="M29" s="21">
        <v>15</v>
      </c>
      <c r="N29" s="36">
        <f>G29/W29*60</f>
        <v>1075.7647058823536</v>
      </c>
      <c r="O29" s="38">
        <f>N29/M29</f>
        <v>71.717647058823573</v>
      </c>
      <c r="P29" s="39">
        <f t="shared" si="22"/>
        <v>0</v>
      </c>
      <c r="Q29" s="40">
        <f t="shared" si="23"/>
        <v>-28.282352941176427</v>
      </c>
      <c r="R29" s="190">
        <f t="shared" si="24"/>
        <v>0.71717647058823575</v>
      </c>
      <c r="S29" s="425"/>
      <c r="T29" s="41">
        <v>0.44861111111111113</v>
      </c>
      <c r="U29" s="41">
        <v>0.50763888888888886</v>
      </c>
      <c r="V29" s="42">
        <f>(T29-U28)*24*60</f>
        <v>16.000000000000021</v>
      </c>
      <c r="W29" s="43">
        <f t="shared" si="19"/>
        <v>84.999999999999943</v>
      </c>
      <c r="X29" s="22"/>
      <c r="Y29" s="22"/>
      <c r="Z29" s="418"/>
      <c r="AA29" s="419"/>
      <c r="AB29" s="292">
        <f>N29-K29</f>
        <v>-424.23529411764639</v>
      </c>
      <c r="AC29" s="190">
        <f>N29/K29</f>
        <v>0.71717647058823575</v>
      </c>
      <c r="AD29" s="447"/>
    </row>
    <row r="30" spans="1:30" ht="15" customHeight="1">
      <c r="A30" s="422"/>
      <c r="B30" s="56" t="str">
        <f>VLOOKUP(D30,廠價表!$C$1:$E$39,2,0)</f>
        <v>義大利麵</v>
      </c>
      <c r="C30" s="237"/>
      <c r="D30" s="11" t="s">
        <v>158</v>
      </c>
      <c r="E30" s="29"/>
      <c r="F30" s="56">
        <f>VLOOKUP(D30,廠價表!$C$1:$E$39,3,0)</f>
        <v>47.71</v>
      </c>
      <c r="G30" s="53">
        <v>1868</v>
      </c>
      <c r="H30" s="50">
        <f t="shared" si="25"/>
        <v>89122.28</v>
      </c>
      <c r="I30" s="42"/>
      <c r="J30" s="16">
        <f>VLOOKUP(D30,產線配置圖!$A$2:$C$38,2,0)</f>
        <v>15</v>
      </c>
      <c r="K30" s="14">
        <f>VLOOKUP(D30,產線配置圖!$A$2:$C$38,3,0)</f>
        <v>1500</v>
      </c>
      <c r="L30" s="235">
        <f>K30/J30</f>
        <v>100</v>
      </c>
      <c r="M30" s="21">
        <v>15</v>
      </c>
      <c r="N30" s="36">
        <f>G30/W30*60</f>
        <v>1192.3404255319151</v>
      </c>
      <c r="O30" s="38">
        <f>N30/M30</f>
        <v>79.489361702127681</v>
      </c>
      <c r="P30" s="39">
        <f t="shared" si="22"/>
        <v>0</v>
      </c>
      <c r="Q30" s="40">
        <f t="shared" si="23"/>
        <v>-20.510638297872319</v>
      </c>
      <c r="R30" s="190">
        <f t="shared" si="24"/>
        <v>0.79489361702127681</v>
      </c>
      <c r="S30" s="425"/>
      <c r="T30" s="41">
        <v>0.57291666666666663</v>
      </c>
      <c r="U30" s="41">
        <v>0.6381944444444444</v>
      </c>
      <c r="V30" s="42">
        <f>(T30-U29)*24*60</f>
        <v>93.999999999999986</v>
      </c>
      <c r="W30" s="43">
        <f t="shared" si="19"/>
        <v>93.999999999999986</v>
      </c>
      <c r="X30" s="54">
        <v>0.52083333333333337</v>
      </c>
      <c r="Y30" s="54">
        <v>0.5625</v>
      </c>
      <c r="Z30" s="449"/>
      <c r="AA30" s="450"/>
      <c r="AB30" s="292"/>
      <c r="AC30" s="190"/>
      <c r="AD30" s="448"/>
    </row>
    <row r="31" spans="1:30" ht="15" customHeight="1">
      <c r="A31" s="422"/>
      <c r="B31" s="56"/>
      <c r="C31" s="237"/>
      <c r="D31" s="11"/>
      <c r="E31" s="29"/>
      <c r="F31" s="56"/>
      <c r="G31" s="53"/>
      <c r="H31" s="50"/>
      <c r="I31" s="42"/>
      <c r="J31" s="16"/>
      <c r="K31" s="14"/>
      <c r="L31" s="235"/>
      <c r="M31" s="21"/>
      <c r="N31" s="36"/>
      <c r="O31" s="38"/>
      <c r="P31" s="39"/>
      <c r="Q31" s="40"/>
      <c r="R31" s="190"/>
      <c r="S31" s="425"/>
      <c r="T31" s="41"/>
      <c r="U31" s="41"/>
      <c r="V31" s="42"/>
      <c r="W31" s="43">
        <f t="shared" si="19"/>
        <v>0</v>
      </c>
      <c r="X31" s="54"/>
      <c r="Y31" s="54"/>
      <c r="Z31" s="449"/>
      <c r="AA31" s="450"/>
      <c r="AB31" s="257"/>
      <c r="AC31" s="258"/>
      <c r="AD31" s="403"/>
    </row>
    <row r="32" spans="1:30" ht="15" customHeight="1">
      <c r="A32" s="422"/>
      <c r="B32" s="56"/>
      <c r="C32" s="252"/>
      <c r="D32" s="253"/>
      <c r="E32" s="254"/>
      <c r="F32" s="56"/>
      <c r="G32" s="53"/>
      <c r="H32" s="50"/>
      <c r="I32" s="42"/>
      <c r="J32" s="255"/>
      <c r="K32" s="36"/>
      <c r="L32" s="256"/>
      <c r="M32" s="21"/>
      <c r="N32" s="36"/>
      <c r="O32" s="38"/>
      <c r="P32" s="39"/>
      <c r="Q32" s="40"/>
      <c r="R32" s="190"/>
      <c r="S32" s="425"/>
      <c r="T32" s="41"/>
      <c r="U32" s="41"/>
      <c r="V32" s="42"/>
      <c r="W32" s="43">
        <f t="shared" si="19"/>
        <v>0</v>
      </c>
      <c r="X32" s="54"/>
      <c r="Y32" s="54"/>
      <c r="Z32" s="418"/>
      <c r="AA32" s="405"/>
      <c r="AB32" s="18"/>
      <c r="AC32" s="185"/>
      <c r="AD32" s="403"/>
    </row>
    <row r="33" spans="1:30" ht="15" customHeight="1">
      <c r="A33" s="422"/>
      <c r="B33" s="240"/>
      <c r="C33" s="241"/>
      <c r="D33" s="242"/>
      <c r="E33" s="243"/>
      <c r="F33" s="223"/>
      <c r="G33" s="244"/>
      <c r="H33" s="245">
        <f t="shared" si="25"/>
        <v>0</v>
      </c>
      <c r="I33" s="246"/>
      <c r="J33" s="247"/>
      <c r="K33" s="45"/>
      <c r="M33" s="248"/>
      <c r="N33" s="45"/>
      <c r="O33" s="46"/>
      <c r="P33" s="47"/>
      <c r="Q33" s="48"/>
      <c r="R33" s="49"/>
      <c r="S33" s="425"/>
      <c r="T33" s="41"/>
      <c r="U33" s="41"/>
      <c r="V33" s="42"/>
      <c r="W33" s="43">
        <f t="shared" si="19"/>
        <v>0</v>
      </c>
      <c r="X33" s="54"/>
      <c r="Y33" s="54"/>
      <c r="Z33" s="418"/>
      <c r="AA33" s="405"/>
      <c r="AB33" s="18"/>
      <c r="AC33" s="57"/>
      <c r="AD33" s="403"/>
    </row>
    <row r="34" spans="1:30" ht="15" customHeight="1">
      <c r="A34" s="422"/>
      <c r="B34" s="231"/>
      <c r="C34" s="27"/>
      <c r="D34" s="28"/>
      <c r="E34" s="29"/>
      <c r="F34" s="13"/>
      <c r="G34" s="53"/>
      <c r="H34" s="50">
        <f t="shared" si="25"/>
        <v>0</v>
      </c>
      <c r="I34" s="42"/>
      <c r="J34" s="37"/>
      <c r="K34" s="36"/>
      <c r="L34" s="38"/>
      <c r="M34" s="21"/>
      <c r="N34" s="36"/>
      <c r="O34" s="38"/>
      <c r="P34" s="39"/>
      <c r="Q34" s="40"/>
      <c r="R34" s="190"/>
      <c r="S34" s="425"/>
      <c r="T34" s="41"/>
      <c r="U34" s="41"/>
      <c r="V34" s="42"/>
      <c r="W34" s="43">
        <f t="shared" si="19"/>
        <v>0</v>
      </c>
      <c r="X34" s="54"/>
      <c r="Y34" s="54"/>
      <c r="Z34" s="418"/>
      <c r="AA34" s="405"/>
      <c r="AB34" s="18"/>
      <c r="AC34" s="57"/>
      <c r="AD34" s="403"/>
    </row>
    <row r="35" spans="1:30" ht="15" customHeight="1">
      <c r="A35" s="422"/>
      <c r="B35" s="231"/>
      <c r="C35" s="27"/>
      <c r="D35" s="28"/>
      <c r="E35" s="29"/>
      <c r="F35" s="13"/>
      <c r="G35" s="53"/>
      <c r="H35" s="50">
        <f t="shared" si="25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90"/>
      <c r="S35" s="425"/>
      <c r="T35" s="41"/>
      <c r="U35" s="41"/>
      <c r="V35" s="42"/>
      <c r="W35" s="43">
        <f t="shared" si="19"/>
        <v>0</v>
      </c>
      <c r="X35" s="54"/>
      <c r="Y35" s="54"/>
      <c r="Z35" s="418"/>
      <c r="AA35" s="405"/>
      <c r="AB35" s="18"/>
      <c r="AC35" s="57"/>
      <c r="AD35" s="403"/>
    </row>
    <row r="36" spans="1:30" ht="15" customHeight="1">
      <c r="A36" s="422"/>
      <c r="B36" s="232"/>
      <c r="C36" s="27"/>
      <c r="D36" s="28"/>
      <c r="E36" s="29"/>
      <c r="F36" s="13"/>
      <c r="G36" s="53"/>
      <c r="H36" s="50">
        <f t="shared" si="25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90"/>
      <c r="S36" s="425"/>
      <c r="T36" s="41"/>
      <c r="U36" s="41"/>
      <c r="V36" s="42"/>
      <c r="W36" s="43">
        <f t="shared" si="19"/>
        <v>0</v>
      </c>
      <c r="X36" s="54"/>
      <c r="Y36" s="54"/>
      <c r="Z36" s="418"/>
      <c r="AA36" s="405"/>
      <c r="AB36" s="18"/>
      <c r="AC36" s="57"/>
      <c r="AD36" s="403"/>
    </row>
    <row r="37" spans="1:30" ht="15" customHeight="1" thickBot="1">
      <c r="A37" s="423"/>
      <c r="B37" s="300"/>
      <c r="C37" s="301" t="s">
        <v>36</v>
      </c>
      <c r="D37" s="428" t="s">
        <v>7</v>
      </c>
      <c r="E37" s="429"/>
      <c r="F37" s="281"/>
      <c r="G37" s="282"/>
      <c r="H37" s="283"/>
      <c r="I37" s="284"/>
      <c r="J37" s="285">
        <f t="shared" ref="J37:O37" si="26">AVERAGE(J27:J36)</f>
        <v>16.25</v>
      </c>
      <c r="K37" s="285">
        <f t="shared" si="26"/>
        <v>1487.5</v>
      </c>
      <c r="L37" s="286">
        <f t="shared" si="26"/>
        <v>92.250816993464056</v>
      </c>
      <c r="M37" s="285">
        <f t="shared" si="26"/>
        <v>14.5</v>
      </c>
      <c r="N37" s="285">
        <f t="shared" si="26"/>
        <v>1114.2311129072345</v>
      </c>
      <c r="O37" s="286">
        <f t="shared" si="26"/>
        <v>77.119283496141222</v>
      </c>
      <c r="P37" s="73">
        <f>M37-J37</f>
        <v>-1.75</v>
      </c>
      <c r="Q37" s="74">
        <f>N37-K37</f>
        <v>-373.26888709276545</v>
      </c>
      <c r="R37" s="287">
        <f t="shared" ref="R37:R41" si="27">O37/L37</f>
        <v>0.83597398927757027</v>
      </c>
      <c r="S37" s="426"/>
      <c r="T37" s="302"/>
      <c r="U37" s="302"/>
      <c r="V37" s="81"/>
      <c r="W37" s="81"/>
      <c r="X37" s="303"/>
      <c r="Y37" s="303"/>
      <c r="Z37" s="480"/>
      <c r="AA37" s="481"/>
      <c r="AB37" s="34">
        <f t="shared" ref="AB37:AB40" si="28">N37-K37</f>
        <v>-373.26888709276545</v>
      </c>
      <c r="AC37" s="186">
        <f t="shared" ref="AC37:AC40" si="29">N37/K37</f>
        <v>0.74906293304688032</v>
      </c>
      <c r="AD37" s="403"/>
    </row>
    <row r="38" spans="1:30" s="62" customFormat="1" ht="15" customHeight="1">
      <c r="A38" s="454" t="s">
        <v>55</v>
      </c>
      <c r="B38" s="229" t="s">
        <v>134</v>
      </c>
      <c r="C38" s="199"/>
      <c r="D38" s="304" t="s">
        <v>206</v>
      </c>
      <c r="E38" s="280"/>
      <c r="F38" s="305">
        <f>VLOOKUP(D38,廠價表!$C$1:$E$39,3,0)</f>
        <v>56.43</v>
      </c>
      <c r="G38" s="266">
        <v>1139</v>
      </c>
      <c r="H38" s="125">
        <f t="shared" si="25"/>
        <v>64273.77</v>
      </c>
      <c r="I38" s="126"/>
      <c r="J38" s="274">
        <v>16</v>
      </c>
      <c r="K38" s="236">
        <v>1500</v>
      </c>
      <c r="L38" s="288">
        <f t="shared" ref="L38:L41" si="30">K38/J38</f>
        <v>93.75</v>
      </c>
      <c r="M38" s="289">
        <v>16</v>
      </c>
      <c r="N38" s="127">
        <f>G38/W38*60</f>
        <v>1394.6938775510187</v>
      </c>
      <c r="O38" s="128">
        <f>N38/M38</f>
        <v>87.168367346938666</v>
      </c>
      <c r="P38" s="129">
        <f t="shared" ref="P38:P41" si="31">M38-J38</f>
        <v>0</v>
      </c>
      <c r="Q38" s="130">
        <f t="shared" ref="Q38:Q41" si="32">O38-L38</f>
        <v>-6.5816326530613338</v>
      </c>
      <c r="R38" s="189">
        <f t="shared" si="27"/>
        <v>0.92979591836734576</v>
      </c>
      <c r="S38" s="457">
        <f>R48</f>
        <v>0.89886768571691245</v>
      </c>
      <c r="T38" s="151">
        <v>0.33402777777777776</v>
      </c>
      <c r="U38" s="151">
        <v>0.36805555555555558</v>
      </c>
      <c r="V38" s="148"/>
      <c r="W38" s="152">
        <f t="shared" si="19"/>
        <v>49.000000000000064</v>
      </c>
      <c r="X38" s="150"/>
      <c r="Y38" s="153"/>
      <c r="Z38" s="478"/>
      <c r="AA38" s="460"/>
      <c r="AB38" s="290">
        <f t="shared" si="28"/>
        <v>-105.30612244898134</v>
      </c>
      <c r="AC38" s="154">
        <f t="shared" si="29"/>
        <v>0.92979591836734576</v>
      </c>
      <c r="AD38" s="436">
        <f>AC48</f>
        <v>0.89937852465471679</v>
      </c>
    </row>
    <row r="39" spans="1:30" s="62" customFormat="1" ht="15" customHeight="1">
      <c r="A39" s="455"/>
      <c r="B39" s="56" t="s">
        <v>134</v>
      </c>
      <c r="C39" s="277"/>
      <c r="D39" s="279" t="s">
        <v>156</v>
      </c>
      <c r="E39" s="278"/>
      <c r="F39" s="56">
        <f>VLOOKUP(D39,廠價表!$C$1:$E$39,3,0)</f>
        <v>56.43</v>
      </c>
      <c r="G39" s="276">
        <v>2191</v>
      </c>
      <c r="H39" s="50">
        <f t="shared" si="25"/>
        <v>123638.13</v>
      </c>
      <c r="I39" s="64"/>
      <c r="J39" s="37">
        <f>VLOOKUP(D39,產線配置圖!$A$2:$C$38,2,0)</f>
        <v>15</v>
      </c>
      <c r="K39" s="36">
        <f>VLOOKUP(D39,產線配置圖!$A$2:$C$38,3,0)</f>
        <v>1406</v>
      </c>
      <c r="L39" s="38">
        <f t="shared" si="30"/>
        <v>93.733333333333334</v>
      </c>
      <c r="M39" s="65">
        <v>15</v>
      </c>
      <c r="N39" s="66">
        <f>G39/W39*60</f>
        <v>1195.0909090909088</v>
      </c>
      <c r="O39" s="67">
        <f t="shared" ref="O39:O41" si="33">N39/M39</f>
        <v>79.672727272727258</v>
      </c>
      <c r="P39" s="39">
        <f t="shared" si="31"/>
        <v>0</v>
      </c>
      <c r="Q39" s="40">
        <f t="shared" si="32"/>
        <v>-14.060606060606077</v>
      </c>
      <c r="R39" s="190">
        <f t="shared" si="27"/>
        <v>0.84999353420406032</v>
      </c>
      <c r="S39" s="458"/>
      <c r="T39" s="59">
        <v>0.37291666666666667</v>
      </c>
      <c r="U39" s="59">
        <v>0.44930555555555557</v>
      </c>
      <c r="V39" s="42">
        <f>(T39-U38)*24*60</f>
        <v>6.9999999999999751</v>
      </c>
      <c r="W39" s="69">
        <f t="shared" si="19"/>
        <v>110.00000000000001</v>
      </c>
      <c r="X39" s="22"/>
      <c r="Y39" s="22"/>
      <c r="Z39" s="439"/>
      <c r="AA39" s="440"/>
      <c r="AB39" s="271">
        <f t="shared" si="28"/>
        <v>-210.90909090909122</v>
      </c>
      <c r="AC39" s="61">
        <f t="shared" si="29"/>
        <v>0.84999353420406032</v>
      </c>
      <c r="AD39" s="437"/>
    </row>
    <row r="40" spans="1:30" s="62" customFormat="1" ht="15" customHeight="1">
      <c r="A40" s="455"/>
      <c r="B40" s="56" t="s">
        <v>134</v>
      </c>
      <c r="C40" s="275"/>
      <c r="D40" s="279" t="s">
        <v>154</v>
      </c>
      <c r="E40" s="243"/>
      <c r="F40" s="56">
        <f>VLOOKUP(D40,廠價表!$C$1:$E$39,3,0)</f>
        <v>57.3</v>
      </c>
      <c r="G40" s="276">
        <v>1300</v>
      </c>
      <c r="H40" s="50">
        <f t="shared" si="25"/>
        <v>74490</v>
      </c>
      <c r="I40" s="64"/>
      <c r="J40" s="37">
        <f>VLOOKUP(D40,產線配置圖!$A$2:$C$38,2,0)</f>
        <v>15</v>
      </c>
      <c r="K40" s="36">
        <f>VLOOKUP(D40,產線配置圖!$A$2:$C$38,3,0)</f>
        <v>1385</v>
      </c>
      <c r="L40" s="38">
        <f t="shared" si="30"/>
        <v>92.333333333333329</v>
      </c>
      <c r="M40" s="65">
        <v>15</v>
      </c>
      <c r="N40" s="66">
        <f>G40/W40*60</f>
        <v>1368.4210526315783</v>
      </c>
      <c r="O40" s="67">
        <f t="shared" si="33"/>
        <v>91.228070175438546</v>
      </c>
      <c r="P40" s="39">
        <f t="shared" si="31"/>
        <v>0</v>
      </c>
      <c r="Q40" s="40">
        <f t="shared" si="32"/>
        <v>-1.1052631578947825</v>
      </c>
      <c r="R40" s="190">
        <f t="shared" si="27"/>
        <v>0.98802964088922618</v>
      </c>
      <c r="S40" s="397"/>
      <c r="T40" s="59">
        <v>0.45694444444444443</v>
      </c>
      <c r="U40" s="59">
        <v>0.49652777777777779</v>
      </c>
      <c r="V40" s="42">
        <f>(T40-U39)*24*60</f>
        <v>10.999999999999961</v>
      </c>
      <c r="W40" s="69">
        <f t="shared" si="19"/>
        <v>57.000000000000036</v>
      </c>
      <c r="X40" s="70"/>
      <c r="Y40" s="259"/>
      <c r="Z40" s="439"/>
      <c r="AA40" s="440"/>
      <c r="AB40" s="271">
        <f t="shared" si="28"/>
        <v>-16.578947368421723</v>
      </c>
      <c r="AC40" s="61">
        <f t="shared" si="29"/>
        <v>0.98802964088922618</v>
      </c>
      <c r="AD40" s="437"/>
    </row>
    <row r="41" spans="1:30" s="62" customFormat="1" ht="15" customHeight="1">
      <c r="A41" s="455"/>
      <c r="B41" s="56" t="s">
        <v>134</v>
      </c>
      <c r="C41" s="275"/>
      <c r="D41" s="279" t="s">
        <v>154</v>
      </c>
      <c r="E41" s="243"/>
      <c r="F41" s="56">
        <f>VLOOKUP(D41,廠價表!$C$1:$E$39,3,0)</f>
        <v>57.3</v>
      </c>
      <c r="G41" s="276">
        <v>860</v>
      </c>
      <c r="H41" s="50">
        <f t="shared" si="25"/>
        <v>49278</v>
      </c>
      <c r="I41" s="64"/>
      <c r="J41" s="37">
        <f>VLOOKUP(D41,產線配置圖!$A$2:$C$38,2,0)</f>
        <v>15</v>
      </c>
      <c r="K41" s="36">
        <f>VLOOKUP(D41,產線配置圖!$A$2:$C$38,3,0)</f>
        <v>1385</v>
      </c>
      <c r="L41" s="38">
        <f t="shared" si="30"/>
        <v>92.333333333333329</v>
      </c>
      <c r="M41" s="65">
        <v>15</v>
      </c>
      <c r="N41" s="66">
        <f>G41/W41*60</f>
        <v>1146.6666666666667</v>
      </c>
      <c r="O41" s="67">
        <f t="shared" si="33"/>
        <v>76.444444444444443</v>
      </c>
      <c r="P41" s="39">
        <f t="shared" si="31"/>
        <v>0</v>
      </c>
      <c r="Q41" s="40">
        <f t="shared" si="32"/>
        <v>-15.888888888888886</v>
      </c>
      <c r="R41" s="190">
        <f t="shared" si="27"/>
        <v>0.82791817087845976</v>
      </c>
      <c r="S41" s="397"/>
      <c r="T41" s="59">
        <v>0.55902777777777779</v>
      </c>
      <c r="U41" s="59">
        <v>0.59027777777777779</v>
      </c>
      <c r="V41" s="42">
        <f>(T41-U40)*24*60</f>
        <v>90</v>
      </c>
      <c r="W41" s="69">
        <f t="shared" si="19"/>
        <v>45</v>
      </c>
      <c r="X41" s="70">
        <v>0.5</v>
      </c>
      <c r="Y41" s="259">
        <v>0.54166666666666663</v>
      </c>
      <c r="Z41" s="439"/>
      <c r="AA41" s="440"/>
      <c r="AB41" s="271"/>
      <c r="AC41" s="61"/>
      <c r="AD41" s="437"/>
    </row>
    <row r="42" spans="1:30" s="62" customFormat="1" ht="15" customHeight="1">
      <c r="A42" s="455"/>
      <c r="B42" s="56"/>
      <c r="C42" s="23"/>
      <c r="D42" s="279"/>
      <c r="E42" s="12"/>
      <c r="F42" s="56"/>
      <c r="G42" s="276"/>
      <c r="H42" s="63"/>
      <c r="I42" s="64"/>
      <c r="J42" s="37"/>
      <c r="K42" s="36"/>
      <c r="L42" s="38"/>
      <c r="M42" s="65"/>
      <c r="N42" s="66"/>
      <c r="O42" s="67"/>
      <c r="P42" s="39"/>
      <c r="Q42" s="40"/>
      <c r="R42" s="190"/>
      <c r="S42" s="397"/>
      <c r="T42" s="75"/>
      <c r="U42" s="75"/>
      <c r="V42" s="42"/>
      <c r="W42" s="69">
        <f t="shared" si="19"/>
        <v>0</v>
      </c>
      <c r="X42" s="70"/>
      <c r="Y42" s="60"/>
      <c r="Z42" s="445"/>
      <c r="AA42" s="446"/>
      <c r="AB42" s="271"/>
      <c r="AC42" s="61"/>
      <c r="AD42" s="437"/>
    </row>
    <row r="43" spans="1:30" s="62" customFormat="1" ht="15" customHeight="1">
      <c r="A43" s="455"/>
      <c r="B43" s="230"/>
      <c r="C43" s="23"/>
      <c r="D43" s="11"/>
      <c r="E43" s="12"/>
      <c r="F43" s="13"/>
      <c r="G43" s="100"/>
      <c r="H43" s="63">
        <f t="shared" ref="H43:H47" si="34">F43*G43</f>
        <v>0</v>
      </c>
      <c r="I43" s="64"/>
      <c r="J43" s="65"/>
      <c r="K43" s="66"/>
      <c r="L43" s="67"/>
      <c r="M43" s="65"/>
      <c r="N43" s="66"/>
      <c r="O43" s="67"/>
      <c r="P43" s="39"/>
      <c r="Q43" s="40"/>
      <c r="R43" s="68"/>
      <c r="S43" s="397"/>
      <c r="T43" s="75"/>
      <c r="U43" s="75"/>
      <c r="V43" s="64"/>
      <c r="W43" s="69">
        <f>(U43-T43)*24*60</f>
        <v>0</v>
      </c>
      <c r="X43" s="70"/>
      <c r="Y43" s="67"/>
      <c r="Z43" s="405"/>
      <c r="AA43" s="405"/>
      <c r="AB43" s="71"/>
      <c r="AC43" s="61"/>
      <c r="AD43" s="437"/>
    </row>
    <row r="44" spans="1:30" s="62" customFormat="1" ht="15" customHeight="1">
      <c r="A44" s="455"/>
      <c r="B44" s="230"/>
      <c r="C44" s="183"/>
      <c r="D44" s="11"/>
      <c r="E44" s="12"/>
      <c r="F44" s="13"/>
      <c r="G44" s="100"/>
      <c r="H44" s="63">
        <f t="shared" si="34"/>
        <v>0</v>
      </c>
      <c r="I44" s="64"/>
      <c r="J44" s="65"/>
      <c r="K44" s="66"/>
      <c r="L44" s="58"/>
      <c r="M44" s="65"/>
      <c r="N44" s="66"/>
      <c r="O44" s="67"/>
      <c r="P44" s="39"/>
      <c r="Q44" s="40"/>
      <c r="R44" s="68"/>
      <c r="S44" s="397"/>
      <c r="T44" s="59"/>
      <c r="U44" s="59"/>
      <c r="V44" s="64"/>
      <c r="W44" s="69">
        <f t="shared" ref="W44:W48" si="35">(U44-T44)*24*60</f>
        <v>0</v>
      </c>
      <c r="X44" s="70"/>
      <c r="Y44" s="67"/>
      <c r="Z44" s="405"/>
      <c r="AA44" s="405"/>
      <c r="AB44" s="71"/>
      <c r="AC44" s="61"/>
      <c r="AD44" s="437"/>
    </row>
    <row r="45" spans="1:30" s="62" customFormat="1" ht="15" customHeight="1">
      <c r="A45" s="455"/>
      <c r="B45" s="231"/>
      <c r="C45" s="27"/>
      <c r="D45" s="28"/>
      <c r="E45" s="29"/>
      <c r="F45" s="13"/>
      <c r="G45" s="66"/>
      <c r="H45" s="63">
        <f t="shared" si="34"/>
        <v>0</v>
      </c>
      <c r="I45" s="64"/>
      <c r="J45" s="65"/>
      <c r="K45" s="66"/>
      <c r="L45" s="67"/>
      <c r="M45" s="65"/>
      <c r="N45" s="66"/>
      <c r="O45" s="67"/>
      <c r="P45" s="39"/>
      <c r="Q45" s="40"/>
      <c r="R45" s="68"/>
      <c r="S45" s="397"/>
      <c r="T45" s="75"/>
      <c r="U45" s="75"/>
      <c r="V45" s="64"/>
      <c r="W45" s="69">
        <f t="shared" si="35"/>
        <v>0</v>
      </c>
      <c r="X45" s="70"/>
      <c r="Y45" s="67"/>
      <c r="Z45" s="405"/>
      <c r="AA45" s="405"/>
      <c r="AB45" s="71"/>
      <c r="AC45" s="61"/>
      <c r="AD45" s="437"/>
    </row>
    <row r="46" spans="1:30" s="62" customFormat="1" ht="15" customHeight="1">
      <c r="A46" s="455"/>
      <c r="B46" s="231"/>
      <c r="C46" s="27"/>
      <c r="D46" s="28"/>
      <c r="E46" s="29"/>
      <c r="F46" s="13"/>
      <c r="G46" s="66"/>
      <c r="H46" s="63">
        <f t="shared" si="34"/>
        <v>0</v>
      </c>
      <c r="I46" s="64"/>
      <c r="J46" s="65"/>
      <c r="K46" s="66"/>
      <c r="L46" s="67"/>
      <c r="M46" s="65"/>
      <c r="N46" s="66"/>
      <c r="O46" s="67"/>
      <c r="P46" s="39"/>
      <c r="Q46" s="40"/>
      <c r="R46" s="68"/>
      <c r="S46" s="397"/>
      <c r="T46" s="59"/>
      <c r="U46" s="59"/>
      <c r="V46" s="64"/>
      <c r="W46" s="69">
        <f t="shared" si="35"/>
        <v>0</v>
      </c>
      <c r="X46" s="70"/>
      <c r="Y46" s="67"/>
      <c r="Z46" s="405"/>
      <c r="AA46" s="405"/>
      <c r="AB46" s="71"/>
      <c r="AC46" s="61"/>
      <c r="AD46" s="437"/>
    </row>
    <row r="47" spans="1:30" s="62" customFormat="1" ht="15" customHeight="1">
      <c r="A47" s="455"/>
      <c r="B47" s="230"/>
      <c r="C47" s="27"/>
      <c r="D47" s="28"/>
      <c r="E47" s="29"/>
      <c r="F47" s="13"/>
      <c r="G47" s="66"/>
      <c r="H47" s="63">
        <f t="shared" si="34"/>
        <v>0</v>
      </c>
      <c r="I47" s="64"/>
      <c r="J47" s="65"/>
      <c r="K47" s="66"/>
      <c r="L47" s="67"/>
      <c r="M47" s="65"/>
      <c r="N47" s="66"/>
      <c r="O47" s="67"/>
      <c r="P47" s="39"/>
      <c r="Q47" s="40"/>
      <c r="R47" s="68"/>
      <c r="S47" s="397"/>
      <c r="T47" s="75"/>
      <c r="U47" s="75"/>
      <c r="V47" s="64"/>
      <c r="W47" s="69">
        <f t="shared" si="35"/>
        <v>0</v>
      </c>
      <c r="X47" s="70"/>
      <c r="Y47" s="67"/>
      <c r="Z47" s="405"/>
      <c r="AA47" s="405"/>
      <c r="AB47" s="71"/>
      <c r="AC47" s="61"/>
      <c r="AD47" s="437"/>
    </row>
    <row r="48" spans="1:30" ht="15" customHeight="1" thickBot="1">
      <c r="A48" s="456"/>
      <c r="B48" s="156"/>
      <c r="C48" s="1" t="s">
        <v>37</v>
      </c>
      <c r="D48" s="410" t="s">
        <v>7</v>
      </c>
      <c r="E48" s="410"/>
      <c r="F48" s="133"/>
      <c r="G48" s="145"/>
      <c r="H48" s="135"/>
      <c r="I48" s="136"/>
      <c r="J48" s="134">
        <f t="shared" ref="J48:O48" si="36">AVERAGE(J38:J47)</f>
        <v>15.25</v>
      </c>
      <c r="K48" s="134">
        <f t="shared" si="36"/>
        <v>1419</v>
      </c>
      <c r="L48" s="137">
        <f t="shared" si="36"/>
        <v>93.037499999999994</v>
      </c>
      <c r="M48" s="134">
        <f t="shared" si="36"/>
        <v>15.25</v>
      </c>
      <c r="N48" s="134">
        <f t="shared" si="36"/>
        <v>1276.2181264850431</v>
      </c>
      <c r="O48" s="137">
        <f t="shared" si="36"/>
        <v>83.628402309887235</v>
      </c>
      <c r="P48" s="157">
        <f>M48-J48</f>
        <v>0</v>
      </c>
      <c r="Q48" s="158">
        <f>N48-K48</f>
        <v>-142.78187351495694</v>
      </c>
      <c r="R48" s="159">
        <f>O48/L48</f>
        <v>0.89886768571691245</v>
      </c>
      <c r="S48" s="399"/>
      <c r="T48" s="160"/>
      <c r="U48" s="160"/>
      <c r="V48" s="196"/>
      <c r="W48" s="161">
        <f t="shared" si="35"/>
        <v>0</v>
      </c>
      <c r="X48" s="162"/>
      <c r="Y48" s="162"/>
      <c r="Z48" s="391"/>
      <c r="AA48" s="391"/>
      <c r="AB48" s="163">
        <f>N48-K48</f>
        <v>-142.78187351495694</v>
      </c>
      <c r="AC48" s="191">
        <f>N48/K48</f>
        <v>0.89937852465471679</v>
      </c>
      <c r="AD48" s="438"/>
    </row>
    <row r="49" spans="1:30" ht="15" customHeight="1">
      <c r="A49" s="451" t="s">
        <v>56</v>
      </c>
      <c r="B49" s="199" t="str">
        <f>VLOOKUP(D49,廠價表!$C$1:$E$39,2,0)</f>
        <v>義大利麵</v>
      </c>
      <c r="C49" s="102"/>
      <c r="D49" s="103" t="s">
        <v>152</v>
      </c>
      <c r="E49" s="104"/>
      <c r="F49" s="199">
        <f>VLOOKUP(D49,廠價表!$C$1:$E$39,3,0)</f>
        <v>56.87</v>
      </c>
      <c r="G49" s="149">
        <v>2100</v>
      </c>
      <c r="H49" s="125">
        <f t="shared" ref="H49:H57" si="37">F49*G49</f>
        <v>119427</v>
      </c>
      <c r="I49" s="126"/>
      <c r="J49" s="16">
        <f>VLOOKUP(D49,產線配置圖!$A$2:$C$38,2,0)</f>
        <v>19</v>
      </c>
      <c r="K49" s="14">
        <f>VLOOKUP(D49,產線配置圖!$A$2:$C$38,3,0)</f>
        <v>1565</v>
      </c>
      <c r="L49" s="109">
        <f>K49/J49</f>
        <v>82.368421052631575</v>
      </c>
      <c r="M49" s="144">
        <v>19</v>
      </c>
      <c r="N49" s="127">
        <f>G49/W49*60</f>
        <v>1448.2758620689667</v>
      </c>
      <c r="O49" s="128">
        <f>N49/M49</f>
        <v>76.225045372050886</v>
      </c>
      <c r="P49" s="164">
        <f>M49-J49</f>
        <v>0</v>
      </c>
      <c r="Q49" s="112">
        <f>O49-L49</f>
        <v>-6.1433756805806894</v>
      </c>
      <c r="R49" s="184">
        <f>O49/L49</f>
        <v>0.9254158863060491</v>
      </c>
      <c r="S49" s="396">
        <f>R58</f>
        <v>0.92556251057603478</v>
      </c>
      <c r="T49" s="151">
        <v>0.2902777777777778</v>
      </c>
      <c r="U49" s="151">
        <v>0.35069444444444442</v>
      </c>
      <c r="V49" s="188"/>
      <c r="W49" s="152">
        <f t="shared" si="19"/>
        <v>86.999999999999929</v>
      </c>
      <c r="X49" s="188"/>
      <c r="Y49" s="188"/>
      <c r="Z49" s="400"/>
      <c r="AA49" s="400"/>
      <c r="AB49" s="111">
        <f>N49-K49</f>
        <v>-116.72413793103328</v>
      </c>
      <c r="AC49" s="184">
        <f>N49/K49</f>
        <v>0.92541588630604898</v>
      </c>
      <c r="AD49" s="401">
        <f>AC58</f>
        <v>0.9085284328793124</v>
      </c>
    </row>
    <row r="50" spans="1:30" ht="15" customHeight="1">
      <c r="A50" s="452"/>
      <c r="B50" s="56" t="str">
        <f>VLOOKUP(D50,廠價表!$C$1:$E$39,2,0)</f>
        <v>義大利麵</v>
      </c>
      <c r="C50" s="10"/>
      <c r="D50" s="11" t="s">
        <v>65</v>
      </c>
      <c r="E50" s="86"/>
      <c r="F50" s="56">
        <f>VLOOKUP(D50,廠價表!$C$1:$E$39,3,0)</f>
        <v>49.97</v>
      </c>
      <c r="G50" s="66">
        <v>4315</v>
      </c>
      <c r="H50" s="76">
        <f t="shared" si="37"/>
        <v>215620.55</v>
      </c>
      <c r="I50" s="193"/>
      <c r="J50" s="16">
        <f>VLOOKUP(D50,產線配置圖!$A$2:$C$38,2,0)</f>
        <v>18</v>
      </c>
      <c r="K50" s="14">
        <f>VLOOKUP(D50,產線配置圖!$A$2:$C$38,3,0)</f>
        <v>1600</v>
      </c>
      <c r="L50" s="17">
        <f>K50/J50</f>
        <v>88.888888888888886</v>
      </c>
      <c r="M50" s="174">
        <v>18</v>
      </c>
      <c r="N50" s="77">
        <f>G50/W50*60</f>
        <v>1522.9411764705887</v>
      </c>
      <c r="O50" s="78">
        <f>N50/M50</f>
        <v>84.607843137254932</v>
      </c>
      <c r="P50" s="18">
        <f>M50-J50</f>
        <v>0</v>
      </c>
      <c r="Q50" s="19">
        <f>O50-L50</f>
        <v>-4.281045751633954</v>
      </c>
      <c r="R50" s="185">
        <f>O50/L50</f>
        <v>0.95183823529411804</v>
      </c>
      <c r="S50" s="397"/>
      <c r="T50" s="79">
        <v>0.3576388888888889</v>
      </c>
      <c r="U50" s="79">
        <v>0.47569444444444442</v>
      </c>
      <c r="V50" s="177">
        <f t="shared" ref="V50:V51" si="38">(T50-U49)*24*60</f>
        <v>10.000000000000044</v>
      </c>
      <c r="W50" s="80">
        <f t="shared" si="19"/>
        <v>169.99999999999994</v>
      </c>
      <c r="X50" s="22"/>
      <c r="Y50" s="22"/>
      <c r="Z50" s="419"/>
      <c r="AA50" s="418"/>
      <c r="AB50" s="18">
        <f>N50-K50</f>
        <v>-77.058823529411256</v>
      </c>
      <c r="AC50" s="185">
        <f>N50/K50</f>
        <v>0.95183823529411793</v>
      </c>
      <c r="AD50" s="402"/>
    </row>
    <row r="51" spans="1:30" ht="15" customHeight="1">
      <c r="A51" s="452"/>
      <c r="B51" s="56" t="str">
        <f>VLOOKUP(D51,廠價表!$C$1:$E$39,2,0)</f>
        <v>熱乾麵</v>
      </c>
      <c r="C51" s="10"/>
      <c r="D51" s="11" t="s">
        <v>144</v>
      </c>
      <c r="E51" s="86"/>
      <c r="F51" s="56">
        <f>VLOOKUP(D51,廠價表!$C$1:$E$39,3,0)</f>
        <v>49.91</v>
      </c>
      <c r="G51" s="66">
        <v>1083</v>
      </c>
      <c r="H51" s="76">
        <f t="shared" si="37"/>
        <v>54052.53</v>
      </c>
      <c r="I51" s="193"/>
      <c r="J51" s="16">
        <f>VLOOKUP(D51,產線配置圖!$A$2:$C$38,2,0)</f>
        <v>17</v>
      </c>
      <c r="K51" s="14">
        <f>VLOOKUP(D51,產線配置圖!$A$2:$C$38,3,0)</f>
        <v>1565</v>
      </c>
      <c r="L51" s="17">
        <f>K51/J51</f>
        <v>92.058823529411768</v>
      </c>
      <c r="M51" s="174">
        <v>16</v>
      </c>
      <c r="N51" s="77">
        <f>G51/W51*60</f>
        <v>1326.1224489795923</v>
      </c>
      <c r="O51" s="78">
        <f>N51/M51</f>
        <v>82.882653061224516</v>
      </c>
      <c r="P51" s="18">
        <f>M51-J51</f>
        <v>-1</v>
      </c>
      <c r="Q51" s="19">
        <f>O51-L51</f>
        <v>-9.1761704681872516</v>
      </c>
      <c r="R51" s="185">
        <f>O51/L51</f>
        <v>0.90032274890787012</v>
      </c>
      <c r="S51" s="397"/>
      <c r="T51" s="79">
        <v>0.54374999999999996</v>
      </c>
      <c r="U51" s="44">
        <v>0.57777777777777772</v>
      </c>
      <c r="V51" s="177">
        <f t="shared" si="38"/>
        <v>97.999999999999972</v>
      </c>
      <c r="W51" s="80">
        <f t="shared" si="19"/>
        <v>48.999999999999986</v>
      </c>
      <c r="X51" s="22">
        <v>0.47916666666666669</v>
      </c>
      <c r="Y51" s="22">
        <v>0.52083333333333337</v>
      </c>
      <c r="Z51" s="405"/>
      <c r="AA51" s="405"/>
      <c r="AB51" s="18">
        <f>N51-K51</f>
        <v>-238.87755102040774</v>
      </c>
      <c r="AC51" s="185">
        <f>N51/K51</f>
        <v>0.8473625872074072</v>
      </c>
      <c r="AD51" s="402"/>
    </row>
    <row r="52" spans="1:30" ht="15" customHeight="1">
      <c r="A52" s="452"/>
      <c r="B52" s="56"/>
      <c r="C52" s="23"/>
      <c r="D52" s="11"/>
      <c r="E52" s="12"/>
      <c r="F52" s="56"/>
      <c r="G52" s="66"/>
      <c r="H52" s="76"/>
      <c r="I52" s="193"/>
      <c r="J52" s="16"/>
      <c r="K52" s="14"/>
      <c r="L52" s="17"/>
      <c r="M52" s="174"/>
      <c r="N52" s="77"/>
      <c r="O52" s="78"/>
      <c r="P52" s="18"/>
      <c r="Q52" s="19"/>
      <c r="R52" s="185"/>
      <c r="S52" s="397"/>
      <c r="T52" s="79"/>
      <c r="U52" s="79"/>
      <c r="V52" s="177"/>
      <c r="W52" s="80">
        <f t="shared" si="19"/>
        <v>0</v>
      </c>
      <c r="X52" s="22"/>
      <c r="Y52" s="22"/>
      <c r="Z52" s="405"/>
      <c r="AA52" s="405"/>
      <c r="AB52" s="18">
        <f>N52-K52</f>
        <v>0</v>
      </c>
      <c r="AC52" s="185" t="e">
        <f>N52/K52</f>
        <v>#DIV/0!</v>
      </c>
      <c r="AD52" s="402"/>
    </row>
    <row r="53" spans="1:30" ht="15" customHeight="1">
      <c r="A53" s="452"/>
      <c r="B53" s="56"/>
      <c r="C53" s="23"/>
      <c r="D53" s="11"/>
      <c r="E53" s="12"/>
      <c r="F53" s="56"/>
      <c r="G53" s="66"/>
      <c r="H53" s="76"/>
      <c r="I53" s="193"/>
      <c r="J53" s="16"/>
      <c r="K53" s="14"/>
      <c r="L53" s="17"/>
      <c r="M53" s="174"/>
      <c r="N53" s="77"/>
      <c r="O53" s="78"/>
      <c r="P53" s="18"/>
      <c r="Q53" s="19"/>
      <c r="R53" s="185"/>
      <c r="S53" s="397"/>
      <c r="T53" s="79"/>
      <c r="U53" s="79"/>
      <c r="V53" s="177"/>
      <c r="W53" s="80">
        <f t="shared" si="19"/>
        <v>0</v>
      </c>
      <c r="X53" s="177"/>
      <c r="Y53" s="177"/>
      <c r="Z53" s="419"/>
      <c r="AA53" s="418"/>
      <c r="AB53" s="18"/>
      <c r="AC53" s="185"/>
      <c r="AD53" s="402"/>
    </row>
    <row r="54" spans="1:30" ht="15" customHeight="1">
      <c r="A54" s="452"/>
      <c r="B54" s="177"/>
      <c r="C54" s="183"/>
      <c r="D54" s="11"/>
      <c r="E54" s="12"/>
      <c r="F54" s="13"/>
      <c r="G54" s="66"/>
      <c r="H54" s="76">
        <f t="shared" si="37"/>
        <v>0</v>
      </c>
      <c r="I54" s="177"/>
      <c r="J54" s="31"/>
      <c r="K54" s="30"/>
      <c r="L54" s="38"/>
      <c r="M54" s="181"/>
      <c r="N54" s="30"/>
      <c r="O54" s="35"/>
      <c r="P54" s="18"/>
      <c r="Q54" s="19"/>
      <c r="R54" s="185"/>
      <c r="S54" s="397"/>
      <c r="T54" s="79"/>
      <c r="U54" s="79"/>
      <c r="V54" s="197"/>
      <c r="W54" s="80">
        <f t="shared" si="19"/>
        <v>0</v>
      </c>
      <c r="X54" s="177"/>
      <c r="Y54" s="177"/>
      <c r="Z54" s="419"/>
      <c r="AA54" s="418"/>
      <c r="AB54" s="18"/>
      <c r="AC54" s="185"/>
      <c r="AD54" s="402"/>
    </row>
    <row r="55" spans="1:30" ht="15" customHeight="1">
      <c r="A55" s="452"/>
      <c r="B55" s="26"/>
      <c r="C55" s="27"/>
      <c r="D55" s="28"/>
      <c r="E55" s="29"/>
      <c r="F55" s="13"/>
      <c r="G55" s="66"/>
      <c r="H55" s="15">
        <f t="shared" si="37"/>
        <v>0</v>
      </c>
      <c r="I55" s="177"/>
      <c r="J55" s="31"/>
      <c r="K55" s="30"/>
      <c r="L55" s="38"/>
      <c r="M55" s="181"/>
      <c r="N55" s="30"/>
      <c r="O55" s="35"/>
      <c r="P55" s="18"/>
      <c r="Q55" s="19"/>
      <c r="R55" s="185"/>
      <c r="S55" s="397"/>
      <c r="T55" s="79"/>
      <c r="U55" s="79"/>
      <c r="V55" s="197"/>
      <c r="W55" s="80">
        <f t="shared" si="19"/>
        <v>0</v>
      </c>
      <c r="X55" s="177"/>
      <c r="Y55" s="177"/>
      <c r="Z55" s="419"/>
      <c r="AA55" s="418"/>
      <c r="AB55" s="18"/>
      <c r="AC55" s="185"/>
      <c r="AD55" s="402"/>
    </row>
    <row r="56" spans="1:30" ht="15" customHeight="1">
      <c r="A56" s="452"/>
      <c r="B56" s="26"/>
      <c r="C56" s="27"/>
      <c r="D56" s="28"/>
      <c r="E56" s="29"/>
      <c r="F56" s="13"/>
      <c r="G56" s="66"/>
      <c r="H56" s="15">
        <f t="shared" si="37"/>
        <v>0</v>
      </c>
      <c r="I56" s="177"/>
      <c r="J56" s="31"/>
      <c r="K56" s="30"/>
      <c r="L56" s="38"/>
      <c r="M56" s="181"/>
      <c r="N56" s="30"/>
      <c r="O56" s="35"/>
      <c r="P56" s="18"/>
      <c r="Q56" s="19"/>
      <c r="R56" s="185"/>
      <c r="S56" s="397"/>
      <c r="T56" s="79"/>
      <c r="U56" s="79"/>
      <c r="V56" s="197"/>
      <c r="W56" s="80">
        <f t="shared" si="19"/>
        <v>0</v>
      </c>
      <c r="X56" s="177"/>
      <c r="Y56" s="177"/>
      <c r="Z56" s="405"/>
      <c r="AA56" s="405"/>
      <c r="AB56" s="18"/>
      <c r="AC56" s="185"/>
      <c r="AD56" s="402"/>
    </row>
    <row r="57" spans="1:30" ht="15" customHeight="1">
      <c r="A57" s="452"/>
      <c r="B57" s="26"/>
      <c r="C57" s="27"/>
      <c r="D57" s="28"/>
      <c r="E57" s="29"/>
      <c r="F57" s="13"/>
      <c r="G57" s="66"/>
      <c r="H57" s="15">
        <f t="shared" si="37"/>
        <v>0</v>
      </c>
      <c r="I57" s="177"/>
      <c r="J57" s="31"/>
      <c r="K57" s="30"/>
      <c r="L57" s="38"/>
      <c r="M57" s="181"/>
      <c r="N57" s="30"/>
      <c r="O57" s="35"/>
      <c r="P57" s="18"/>
      <c r="Q57" s="19"/>
      <c r="R57" s="185"/>
      <c r="S57" s="397"/>
      <c r="T57" s="79"/>
      <c r="U57" s="79"/>
      <c r="V57" s="197"/>
      <c r="W57" s="80">
        <f t="shared" si="19"/>
        <v>0</v>
      </c>
      <c r="X57" s="177"/>
      <c r="Y57" s="177"/>
      <c r="Z57" s="405"/>
      <c r="AA57" s="405"/>
      <c r="AB57" s="18"/>
      <c r="AC57" s="185"/>
      <c r="AD57" s="402"/>
    </row>
    <row r="58" spans="1:30" ht="15" customHeight="1" thickBot="1">
      <c r="A58" s="453"/>
      <c r="B58" s="165"/>
      <c r="C58" s="1" t="s">
        <v>38</v>
      </c>
      <c r="D58" s="410" t="s">
        <v>7</v>
      </c>
      <c r="E58" s="410"/>
      <c r="F58" s="114"/>
      <c r="G58" s="166"/>
      <c r="H58" s="116"/>
      <c r="I58" s="115"/>
      <c r="J58" s="118">
        <f t="shared" ref="J58:O58" si="39">AVERAGE(J49:J57)</f>
        <v>18</v>
      </c>
      <c r="K58" s="118">
        <f t="shared" si="39"/>
        <v>1576.6666666666667</v>
      </c>
      <c r="L58" s="115">
        <f t="shared" si="39"/>
        <v>87.772044490310748</v>
      </c>
      <c r="M58" s="118">
        <f t="shared" si="39"/>
        <v>17.666666666666668</v>
      </c>
      <c r="N58" s="118">
        <f t="shared" si="39"/>
        <v>1432.4464958397159</v>
      </c>
      <c r="O58" s="115">
        <f t="shared" si="39"/>
        <v>81.23851385684344</v>
      </c>
      <c r="P58" s="119">
        <f>M58-J58</f>
        <v>-0.33333333333333215</v>
      </c>
      <c r="Q58" s="120">
        <f>N58-K58</f>
        <v>-144.22017082695083</v>
      </c>
      <c r="R58" s="121">
        <f t="shared" ref="R58:R60" si="40">O58/L58</f>
        <v>0.92556251057603478</v>
      </c>
      <c r="S58" s="399"/>
      <c r="T58" s="167"/>
      <c r="U58" s="167"/>
      <c r="V58" s="195"/>
      <c r="W58" s="168"/>
      <c r="X58" s="124"/>
      <c r="Y58" s="124"/>
      <c r="Z58" s="391"/>
      <c r="AA58" s="391"/>
      <c r="AB58" s="119">
        <f t="shared" ref="AB58:AB63" si="41">N58-K58</f>
        <v>-144.22017082695083</v>
      </c>
      <c r="AC58" s="187">
        <f t="shared" ref="AC58:AC63" si="42">N58/K58</f>
        <v>0.9085284328793124</v>
      </c>
      <c r="AD58" s="404"/>
    </row>
    <row r="59" spans="1:30" ht="15" customHeight="1">
      <c r="A59" s="466" t="s">
        <v>57</v>
      </c>
      <c r="B59" s="199" t="str">
        <f>VLOOKUP(D59,廠價表!$C$1:$E$39,2,0)</f>
        <v>小吃、微波</v>
      </c>
      <c r="C59" s="102"/>
      <c r="D59" s="103" t="s">
        <v>125</v>
      </c>
      <c r="E59" s="104"/>
      <c r="F59" s="199">
        <f>VLOOKUP(D59,廠價表!$C$1:$E$39,3,0)</f>
        <v>26.99</v>
      </c>
      <c r="G59" s="188">
        <v>3627</v>
      </c>
      <c r="H59" s="106">
        <f t="shared" ref="H59:H68" si="43">F59*G59</f>
        <v>97892.73</v>
      </c>
      <c r="I59" s="188"/>
      <c r="J59" s="108">
        <f>VLOOKUP(D59,產線配置圖!$A$2:$C$38,2,0)</f>
        <v>13</v>
      </c>
      <c r="K59" s="105">
        <f>VLOOKUP(D59,產線配置圖!$A$2:$C$38,3,0)</f>
        <v>1565</v>
      </c>
      <c r="L59" s="109">
        <f>K59/J59</f>
        <v>120.38461538461539</v>
      </c>
      <c r="M59" s="110">
        <v>13</v>
      </c>
      <c r="N59" s="105">
        <f t="shared" ref="N59:N61" si="44">G59/W59*60</f>
        <v>1500.8275862068967</v>
      </c>
      <c r="O59" s="109">
        <f t="shared" ref="O59:O61" si="45">N59/M59</f>
        <v>115.44827586206898</v>
      </c>
      <c r="P59" s="111">
        <f t="shared" ref="P59:P61" si="46">M59-J59</f>
        <v>0</v>
      </c>
      <c r="Q59" s="112">
        <f t="shared" ref="Q59:Q61" si="47">O59-L59</f>
        <v>-4.9363395225464046</v>
      </c>
      <c r="R59" s="184">
        <f t="shared" si="40"/>
        <v>0.95899526275201075</v>
      </c>
      <c r="S59" s="396">
        <f>R69</f>
        <v>0.83846721574234195</v>
      </c>
      <c r="T59" s="169">
        <v>0.29166666666666669</v>
      </c>
      <c r="U59" s="169">
        <v>0.3923611111111111</v>
      </c>
      <c r="V59" s="188"/>
      <c r="W59" s="107">
        <f t="shared" si="19"/>
        <v>144.99999999999997</v>
      </c>
      <c r="X59" s="188"/>
      <c r="Y59" s="188"/>
      <c r="Z59" s="405"/>
      <c r="AA59" s="405"/>
      <c r="AB59" s="225">
        <f t="shared" si="41"/>
        <v>-64.17241379310326</v>
      </c>
      <c r="AC59" s="226">
        <f t="shared" si="42"/>
        <v>0.95899526275201075</v>
      </c>
      <c r="AD59" s="401">
        <f>AC69</f>
        <v>0.84155767848617957</v>
      </c>
    </row>
    <row r="60" spans="1:30" ht="15" customHeight="1">
      <c r="A60" s="467"/>
      <c r="B60" s="56" t="str">
        <f>VLOOKUP(D60,廠價表!$C$1:$E$39,2,0)</f>
        <v>小吃、微波</v>
      </c>
      <c r="C60" s="10"/>
      <c r="D60" s="11" t="s">
        <v>146</v>
      </c>
      <c r="E60" s="86"/>
      <c r="F60" s="56">
        <f>VLOOKUP(D60,廠價表!$C$1:$E$39,3,0)</f>
        <v>28.47</v>
      </c>
      <c r="G60" s="177">
        <v>650</v>
      </c>
      <c r="H60" s="15">
        <f t="shared" si="43"/>
        <v>18505.5</v>
      </c>
      <c r="I60" s="177"/>
      <c r="J60" s="16">
        <f>VLOOKUP(D60,產線配置圖!$A$2:$C$38,2,0)</f>
        <v>12</v>
      </c>
      <c r="K60" s="14">
        <f>VLOOKUP(D60,產線配置圖!$A$2:$C$38,3,0)</f>
        <v>1565</v>
      </c>
      <c r="L60" s="17">
        <f>K60/J60</f>
        <v>130.41666666666666</v>
      </c>
      <c r="M60" s="180">
        <v>12</v>
      </c>
      <c r="N60" s="14">
        <f t="shared" si="44"/>
        <v>1114.2857142857156</v>
      </c>
      <c r="O60" s="17">
        <f t="shared" si="45"/>
        <v>92.857142857142961</v>
      </c>
      <c r="P60" s="18">
        <f t="shared" si="46"/>
        <v>0</v>
      </c>
      <c r="Q60" s="19">
        <f t="shared" si="47"/>
        <v>-37.559523809523697</v>
      </c>
      <c r="R60" s="185">
        <f t="shared" si="40"/>
        <v>0.7120036513007767</v>
      </c>
      <c r="S60" s="470"/>
      <c r="T60" s="198">
        <v>0.40277777777777779</v>
      </c>
      <c r="U60" s="198">
        <v>0.42708333333333331</v>
      </c>
      <c r="V60" s="177">
        <f t="shared" ref="V60:V61" si="48">(T60-U59)*24*60</f>
        <v>15.000000000000027</v>
      </c>
      <c r="W60" s="90">
        <f t="shared" si="19"/>
        <v>34.999999999999957</v>
      </c>
      <c r="X60" s="193"/>
      <c r="Y60" s="193"/>
      <c r="Z60" s="405" t="s">
        <v>229</v>
      </c>
      <c r="AA60" s="405"/>
      <c r="AB60" s="227">
        <f t="shared" si="41"/>
        <v>-450.71428571428442</v>
      </c>
      <c r="AC60" s="228">
        <f t="shared" si="42"/>
        <v>0.7120036513007767</v>
      </c>
      <c r="AD60" s="473"/>
    </row>
    <row r="61" spans="1:30" ht="15" customHeight="1">
      <c r="A61" s="468"/>
      <c r="B61" s="56" t="str">
        <f>VLOOKUP(D61,廠價表!$C$1:$E$39,2,0)</f>
        <v>小吃、微波</v>
      </c>
      <c r="C61" s="10"/>
      <c r="D61" s="242" t="s">
        <v>135</v>
      </c>
      <c r="E61" s="86"/>
      <c r="F61" s="56">
        <f>VLOOKUP(D61,廠價表!$C$1:$E$39,3,0)</f>
        <v>28.26</v>
      </c>
      <c r="G61" s="177">
        <v>2338</v>
      </c>
      <c r="H61" s="15">
        <f t="shared" si="43"/>
        <v>66071.88</v>
      </c>
      <c r="I61" s="81"/>
      <c r="J61" s="16">
        <f>VLOOKUP(D61,產線配置圖!$A$2:$C$38,2,0)</f>
        <v>12</v>
      </c>
      <c r="K61" s="14">
        <f>VLOOKUP(D61,產線配置圖!$A$2:$C$38,3,0)</f>
        <v>1565</v>
      </c>
      <c r="L61" s="17">
        <f t="shared" ref="L61" si="49">K61/J61</f>
        <v>130.41666666666666</v>
      </c>
      <c r="M61" s="180">
        <v>12</v>
      </c>
      <c r="N61" s="14">
        <f t="shared" si="44"/>
        <v>1336.0000000000009</v>
      </c>
      <c r="O61" s="17">
        <f t="shared" si="45"/>
        <v>111.33333333333341</v>
      </c>
      <c r="P61" s="18">
        <f t="shared" si="46"/>
        <v>0</v>
      </c>
      <c r="Q61" s="19">
        <f t="shared" si="47"/>
        <v>-19.083333333333243</v>
      </c>
      <c r="R61" s="185">
        <f>O61/L61</f>
        <v>0.8536741214057515</v>
      </c>
      <c r="S61" s="397"/>
      <c r="T61" s="20">
        <v>0.4375</v>
      </c>
      <c r="U61" s="20">
        <v>0.51041666666666663</v>
      </c>
      <c r="V61" s="177">
        <f t="shared" si="48"/>
        <v>15.000000000000027</v>
      </c>
      <c r="W61" s="88">
        <f t="shared" si="19"/>
        <v>104.99999999999994</v>
      </c>
      <c r="X61" s="22"/>
      <c r="Y61" s="22"/>
      <c r="Z61" s="405"/>
      <c r="AA61" s="405"/>
      <c r="AB61" s="51">
        <f t="shared" si="41"/>
        <v>-228.99999999999909</v>
      </c>
      <c r="AC61" s="52">
        <f t="shared" si="42"/>
        <v>0.85367412140575138</v>
      </c>
      <c r="AD61" s="402"/>
    </row>
    <row r="62" spans="1:30" ht="15" customHeight="1">
      <c r="A62" s="468"/>
      <c r="B62" s="56"/>
      <c r="C62" s="23"/>
      <c r="D62" s="242"/>
      <c r="E62" s="12"/>
      <c r="F62" s="56"/>
      <c r="G62" s="177"/>
      <c r="H62" s="15"/>
      <c r="I62" s="81"/>
      <c r="J62" s="16"/>
      <c r="K62" s="14"/>
      <c r="L62" s="17"/>
      <c r="M62" s="180"/>
      <c r="N62" s="14"/>
      <c r="O62" s="17"/>
      <c r="P62" s="18"/>
      <c r="Q62" s="19"/>
      <c r="R62" s="185"/>
      <c r="S62" s="397"/>
      <c r="T62" s="20"/>
      <c r="U62" s="20"/>
      <c r="V62" s="177"/>
      <c r="W62" s="90">
        <f t="shared" si="19"/>
        <v>0</v>
      </c>
      <c r="X62" s="22"/>
      <c r="Y62" s="22"/>
      <c r="Z62" s="405"/>
      <c r="AA62" s="405"/>
      <c r="AB62" s="51">
        <f t="shared" si="41"/>
        <v>0</v>
      </c>
      <c r="AC62" s="52" t="e">
        <f t="shared" si="42"/>
        <v>#DIV/0!</v>
      </c>
      <c r="AD62" s="402"/>
    </row>
    <row r="63" spans="1:30" ht="15" customHeight="1">
      <c r="A63" s="468"/>
      <c r="B63" s="56"/>
      <c r="C63" s="10"/>
      <c r="D63" s="242"/>
      <c r="E63" s="86"/>
      <c r="F63" s="56"/>
      <c r="G63" s="177"/>
      <c r="H63" s="15"/>
      <c r="I63" s="81"/>
      <c r="J63" s="16"/>
      <c r="K63" s="14"/>
      <c r="L63" s="17"/>
      <c r="M63" s="180"/>
      <c r="N63" s="14"/>
      <c r="O63" s="17"/>
      <c r="P63" s="18"/>
      <c r="Q63" s="19"/>
      <c r="R63" s="185"/>
      <c r="S63" s="397"/>
      <c r="T63" s="20"/>
      <c r="U63" s="20"/>
      <c r="V63" s="177"/>
      <c r="W63" s="90">
        <f t="shared" si="19"/>
        <v>0</v>
      </c>
      <c r="X63" s="84"/>
      <c r="Y63" s="84"/>
      <c r="Z63" s="405"/>
      <c r="AA63" s="405"/>
      <c r="AB63" s="51">
        <f t="shared" si="41"/>
        <v>0</v>
      </c>
      <c r="AC63" s="52" t="e">
        <f t="shared" si="42"/>
        <v>#DIV/0!</v>
      </c>
      <c r="AD63" s="402"/>
    </row>
    <row r="64" spans="1:30" ht="15" customHeight="1">
      <c r="A64" s="468"/>
      <c r="B64" s="56"/>
      <c r="C64" s="10"/>
      <c r="D64" s="242"/>
      <c r="E64" s="86"/>
      <c r="F64" s="56"/>
      <c r="G64" s="177"/>
      <c r="H64" s="15"/>
      <c r="I64" s="81"/>
      <c r="J64" s="16"/>
      <c r="K64" s="14"/>
      <c r="L64" s="17"/>
      <c r="M64" s="180"/>
      <c r="N64" s="14"/>
      <c r="O64" s="17"/>
      <c r="P64" s="18"/>
      <c r="Q64" s="19"/>
      <c r="R64" s="185"/>
      <c r="S64" s="397"/>
      <c r="T64" s="20"/>
      <c r="U64" s="20"/>
      <c r="V64" s="177"/>
      <c r="W64" s="182">
        <f t="shared" si="19"/>
        <v>0</v>
      </c>
      <c r="X64" s="84"/>
      <c r="Y64" s="84"/>
      <c r="Z64" s="419"/>
      <c r="AA64" s="418"/>
      <c r="AB64" s="18"/>
      <c r="AC64" s="55"/>
      <c r="AD64" s="402"/>
    </row>
    <row r="65" spans="1:32" ht="15" customHeight="1">
      <c r="A65" s="468"/>
      <c r="B65" s="177"/>
      <c r="C65" s="183"/>
      <c r="D65" s="11"/>
      <c r="E65" s="12"/>
      <c r="F65" s="13"/>
      <c r="G65" s="177"/>
      <c r="H65" s="15"/>
      <c r="I65" s="177"/>
      <c r="J65" s="16"/>
      <c r="K65" s="82"/>
      <c r="L65" s="83"/>
      <c r="M65" s="180"/>
      <c r="N65" s="14"/>
      <c r="O65" s="17"/>
      <c r="P65" s="18"/>
      <c r="Q65" s="19"/>
      <c r="R65" s="185"/>
      <c r="S65" s="397"/>
      <c r="T65" s="20"/>
      <c r="U65" s="20"/>
      <c r="V65" s="177"/>
      <c r="W65" s="182">
        <f t="shared" si="19"/>
        <v>0</v>
      </c>
      <c r="X65" s="84"/>
      <c r="Y65" s="84"/>
      <c r="Z65" s="419"/>
      <c r="AA65" s="418"/>
      <c r="AB65" s="18"/>
      <c r="AC65" s="55"/>
      <c r="AD65" s="402"/>
    </row>
    <row r="66" spans="1:32" ht="15" customHeight="1">
      <c r="A66" s="468"/>
      <c r="B66" s="26"/>
      <c r="C66" s="27"/>
      <c r="D66" s="28"/>
      <c r="E66" s="29"/>
      <c r="F66" s="13"/>
      <c r="G66" s="183"/>
      <c r="H66" s="15">
        <f t="shared" si="43"/>
        <v>0</v>
      </c>
      <c r="I66" s="85"/>
      <c r="J66" s="16"/>
      <c r="K66" s="14"/>
      <c r="L66" s="17"/>
      <c r="M66" s="21"/>
      <c r="N66" s="36"/>
      <c r="O66" s="38"/>
      <c r="P66" s="39"/>
      <c r="Q66" s="40"/>
      <c r="R66" s="68"/>
      <c r="S66" s="397"/>
      <c r="T66" s="20"/>
      <c r="U66" s="20"/>
      <c r="V66" s="177"/>
      <c r="W66" s="182">
        <f t="shared" si="19"/>
        <v>0</v>
      </c>
      <c r="X66" s="84"/>
      <c r="Y66" s="84"/>
      <c r="Z66" s="405"/>
      <c r="AA66" s="405"/>
      <c r="AB66" s="18"/>
      <c r="AC66" s="55"/>
      <c r="AD66" s="402"/>
    </row>
    <row r="67" spans="1:32" ht="15" customHeight="1">
      <c r="A67" s="468"/>
      <c r="B67" s="26"/>
      <c r="C67" s="27"/>
      <c r="D67" s="28"/>
      <c r="E67" s="29"/>
      <c r="F67" s="13"/>
      <c r="G67" s="177"/>
      <c r="H67" s="15">
        <f t="shared" si="43"/>
        <v>0</v>
      </c>
      <c r="I67" s="177"/>
      <c r="J67" s="16"/>
      <c r="K67" s="14"/>
      <c r="L67" s="17"/>
      <c r="M67" s="21"/>
      <c r="N67" s="36"/>
      <c r="O67" s="38"/>
      <c r="P67" s="39"/>
      <c r="Q67" s="40"/>
      <c r="R67" s="68"/>
      <c r="S67" s="397"/>
      <c r="T67" s="20"/>
      <c r="U67" s="20"/>
      <c r="V67" s="177"/>
      <c r="W67" s="182">
        <f t="shared" si="19"/>
        <v>0</v>
      </c>
      <c r="X67" s="84"/>
      <c r="Y67" s="84"/>
      <c r="Z67" s="419"/>
      <c r="AA67" s="418"/>
      <c r="AB67" s="18"/>
      <c r="AC67" s="55"/>
      <c r="AD67" s="402"/>
    </row>
    <row r="68" spans="1:32" ht="15" customHeight="1">
      <c r="A68" s="468"/>
      <c r="B68" s="26"/>
      <c r="C68" s="27"/>
      <c r="D68" s="28"/>
      <c r="E68" s="29"/>
      <c r="F68" s="13"/>
      <c r="G68" s="183"/>
      <c r="H68" s="15">
        <f t="shared" si="43"/>
        <v>0</v>
      </c>
      <c r="I68" s="85"/>
      <c r="J68" s="16"/>
      <c r="K68" s="260"/>
      <c r="L68" s="261"/>
      <c r="M68" s="21"/>
      <c r="N68" s="36"/>
      <c r="O68" s="38"/>
      <c r="P68" s="39"/>
      <c r="Q68" s="40"/>
      <c r="R68" s="68"/>
      <c r="S68" s="397"/>
      <c r="T68" s="20"/>
      <c r="U68" s="20"/>
      <c r="V68" s="177"/>
      <c r="W68" s="182">
        <f t="shared" si="19"/>
        <v>0</v>
      </c>
      <c r="X68" s="84"/>
      <c r="Y68" s="84"/>
      <c r="Z68" s="419" t="s">
        <v>240</v>
      </c>
      <c r="AA68" s="418"/>
      <c r="AB68" s="18"/>
      <c r="AC68" s="55"/>
      <c r="AD68" s="402"/>
    </row>
    <row r="69" spans="1:32" ht="15" customHeight="1" thickBot="1">
      <c r="A69" s="469"/>
      <c r="B69" s="165"/>
      <c r="C69" s="1" t="s">
        <v>39</v>
      </c>
      <c r="D69" s="410" t="s">
        <v>7</v>
      </c>
      <c r="E69" s="410"/>
      <c r="F69" s="114"/>
      <c r="G69" s="115"/>
      <c r="H69" s="116"/>
      <c r="I69" s="170"/>
      <c r="J69" s="166">
        <f t="shared" ref="J69:O69" si="50">AVERAGE(J59:J68)</f>
        <v>12.333333333333334</v>
      </c>
      <c r="K69" s="166">
        <f t="shared" si="50"/>
        <v>1565</v>
      </c>
      <c r="L69" s="171">
        <f t="shared" si="50"/>
        <v>127.07264957264958</v>
      </c>
      <c r="M69" s="166">
        <f t="shared" si="50"/>
        <v>12.333333333333334</v>
      </c>
      <c r="N69" s="166">
        <f t="shared" si="50"/>
        <v>1317.0377668308711</v>
      </c>
      <c r="O69" s="171">
        <f t="shared" si="50"/>
        <v>106.5462506841818</v>
      </c>
      <c r="P69" s="172">
        <f>M69-J69</f>
        <v>0</v>
      </c>
      <c r="Q69" s="158">
        <f>N69-K69</f>
        <v>-247.96223316912892</v>
      </c>
      <c r="R69" s="121">
        <f>O69/L69</f>
        <v>0.83846721574234195</v>
      </c>
      <c r="S69" s="399"/>
      <c r="T69" s="122"/>
      <c r="U69" s="122"/>
      <c r="V69" s="195"/>
      <c r="W69" s="168"/>
      <c r="X69" s="124"/>
      <c r="Y69" s="124"/>
      <c r="Z69" s="405"/>
      <c r="AA69" s="405"/>
      <c r="AB69" s="119">
        <f>N69-K69</f>
        <v>-247.96223316912892</v>
      </c>
      <c r="AC69" s="187">
        <f>N69/K69</f>
        <v>0.84155767848617957</v>
      </c>
      <c r="AD69" s="404"/>
    </row>
    <row r="70" spans="1:32" ht="15" customHeight="1">
      <c r="A70" s="461" t="s">
        <v>58</v>
      </c>
      <c r="B70" s="199"/>
      <c r="C70" s="199"/>
      <c r="D70" s="103"/>
      <c r="E70" s="104"/>
      <c r="F70" s="199"/>
      <c r="G70" s="188"/>
      <c r="H70" s="106"/>
      <c r="I70" s="188"/>
      <c r="J70" s="108"/>
      <c r="K70" s="105"/>
      <c r="L70" s="109"/>
      <c r="M70" s="110"/>
      <c r="N70" s="105"/>
      <c r="O70" s="109"/>
      <c r="P70" s="111"/>
      <c r="Q70" s="112"/>
      <c r="R70" s="184"/>
      <c r="S70" s="396">
        <f>R79</f>
        <v>0</v>
      </c>
      <c r="T70" s="169"/>
      <c r="U70" s="169"/>
      <c r="V70" s="188"/>
      <c r="W70" s="107">
        <f t="shared" si="19"/>
        <v>0</v>
      </c>
      <c r="X70" s="296"/>
      <c r="Y70" s="296"/>
      <c r="Z70" s="465"/>
      <c r="AA70" s="427"/>
      <c r="AB70" s="225">
        <f t="shared" ref="AB70" si="51">N70-K70</f>
        <v>0</v>
      </c>
      <c r="AC70" s="226" t="e">
        <f t="shared" ref="AC70" si="52">N70/K70</f>
        <v>#DIV/0!</v>
      </c>
      <c r="AD70" s="401" t="e">
        <f>AC79</f>
        <v>#DIV/0!</v>
      </c>
    </row>
    <row r="71" spans="1:32" ht="15" customHeight="1">
      <c r="A71" s="462"/>
      <c r="B71" s="56"/>
      <c r="C71" s="10"/>
      <c r="D71" s="11"/>
      <c r="E71" s="86"/>
      <c r="F71" s="56"/>
      <c r="G71" s="66"/>
      <c r="H71" s="76"/>
      <c r="I71" s="193"/>
      <c r="J71" s="16"/>
      <c r="K71" s="14"/>
      <c r="L71" s="17"/>
      <c r="M71" s="180"/>
      <c r="N71" s="14"/>
      <c r="O71" s="17"/>
      <c r="P71" s="18"/>
      <c r="Q71" s="19"/>
      <c r="R71" s="185"/>
      <c r="S71" s="397"/>
      <c r="T71" s="20"/>
      <c r="U71" s="20"/>
      <c r="V71" s="177"/>
      <c r="W71" s="182">
        <f t="shared" si="19"/>
        <v>0</v>
      </c>
      <c r="X71" s="298"/>
      <c r="Y71" s="299"/>
      <c r="Z71" s="439"/>
      <c r="AA71" s="440"/>
      <c r="AB71" s="39"/>
      <c r="AC71" s="190"/>
      <c r="AD71" s="447"/>
    </row>
    <row r="72" spans="1:32" ht="15" customHeight="1">
      <c r="A72" s="462"/>
      <c r="B72" s="56"/>
      <c r="C72" s="10"/>
      <c r="D72" s="11"/>
      <c r="E72" s="86"/>
      <c r="F72" s="56"/>
      <c r="G72" s="66"/>
      <c r="H72" s="76"/>
      <c r="I72" s="193"/>
      <c r="J72" s="16"/>
      <c r="K72" s="14"/>
      <c r="L72" s="17"/>
      <c r="M72" s="180"/>
      <c r="N72" s="14"/>
      <c r="O72" s="17"/>
      <c r="P72" s="18"/>
      <c r="Q72" s="19"/>
      <c r="R72" s="185"/>
      <c r="S72" s="397"/>
      <c r="T72" s="20"/>
      <c r="U72" s="20"/>
      <c r="V72" s="177"/>
      <c r="W72" s="182">
        <f t="shared" si="19"/>
        <v>0</v>
      </c>
      <c r="X72" s="297"/>
      <c r="Y72" s="297"/>
      <c r="Z72" s="405"/>
      <c r="AA72" s="419"/>
      <c r="AB72" s="39"/>
      <c r="AC72" s="190"/>
      <c r="AD72" s="447"/>
    </row>
    <row r="73" spans="1:32" ht="15" customHeight="1">
      <c r="A73" s="462"/>
      <c r="B73" s="56"/>
      <c r="C73" s="23"/>
      <c r="D73" s="11"/>
      <c r="E73" s="12"/>
      <c r="F73" s="56"/>
      <c r="G73" s="66"/>
      <c r="H73" s="76"/>
      <c r="I73" s="193"/>
      <c r="J73" s="16"/>
      <c r="K73" s="14"/>
      <c r="L73" s="17"/>
      <c r="M73" s="180"/>
      <c r="N73" s="14"/>
      <c r="O73" s="17"/>
      <c r="P73" s="18"/>
      <c r="Q73" s="19"/>
      <c r="R73" s="185"/>
      <c r="S73" s="397"/>
      <c r="T73" s="20"/>
      <c r="U73" s="20"/>
      <c r="V73" s="177"/>
      <c r="W73" s="182">
        <f t="shared" si="19"/>
        <v>0</v>
      </c>
      <c r="X73" s="22"/>
      <c r="Y73" s="22"/>
      <c r="Z73" s="405"/>
      <c r="AA73" s="419"/>
      <c r="AB73" s="39"/>
      <c r="AC73" s="190"/>
      <c r="AD73" s="447"/>
    </row>
    <row r="74" spans="1:32" ht="15" customHeight="1">
      <c r="A74" s="462"/>
      <c r="B74" s="56"/>
      <c r="C74" s="249"/>
      <c r="D74" s="250"/>
      <c r="E74" s="251"/>
      <c r="F74" s="56"/>
      <c r="G74" s="238"/>
      <c r="H74" s="76">
        <f t="shared" ref="H74:H78" si="53">F74*G74</f>
        <v>0</v>
      </c>
      <c r="I74" s="81"/>
      <c r="J74" s="234"/>
      <c r="K74" s="36"/>
      <c r="L74" s="235"/>
      <c r="M74" s="21"/>
      <c r="N74" s="36"/>
      <c r="O74" s="38"/>
      <c r="P74" s="39"/>
      <c r="Q74" s="40"/>
      <c r="R74" s="190"/>
      <c r="S74" s="397"/>
      <c r="T74" s="20"/>
      <c r="U74" s="20"/>
      <c r="V74" s="177"/>
      <c r="W74" s="182">
        <f t="shared" si="19"/>
        <v>0</v>
      </c>
      <c r="X74" s="22"/>
      <c r="Y74" s="22"/>
      <c r="Z74" s="405"/>
      <c r="AA74" s="419"/>
      <c r="AB74" s="39"/>
      <c r="AC74" s="190"/>
      <c r="AD74" s="447"/>
    </row>
    <row r="75" spans="1:32" ht="15" customHeight="1">
      <c r="A75" s="462"/>
      <c r="B75" s="177"/>
      <c r="C75" s="183"/>
      <c r="D75" s="11"/>
      <c r="E75" s="12"/>
      <c r="F75" s="13"/>
      <c r="G75" s="177"/>
      <c r="H75" s="15">
        <f t="shared" si="53"/>
        <v>0</v>
      </c>
      <c r="I75" s="81"/>
      <c r="J75" s="87"/>
      <c r="K75" s="82"/>
      <c r="L75" s="83"/>
      <c r="M75" s="181"/>
      <c r="N75" s="82"/>
      <c r="O75" s="83"/>
      <c r="P75" s="73"/>
      <c r="Q75" s="74"/>
      <c r="R75" s="192"/>
      <c r="S75" s="397"/>
      <c r="T75" s="20"/>
      <c r="U75" s="20"/>
      <c r="V75" s="177"/>
      <c r="W75" s="88">
        <f t="shared" si="19"/>
        <v>0</v>
      </c>
      <c r="X75" s="89"/>
      <c r="Y75" s="89"/>
      <c r="Z75" s="406"/>
      <c r="AA75" s="406"/>
      <c r="AB75" s="306"/>
      <c r="AC75" s="307"/>
      <c r="AD75" s="402"/>
    </row>
    <row r="76" spans="1:32" ht="15" customHeight="1">
      <c r="A76" s="462"/>
      <c r="B76" s="26"/>
      <c r="C76" s="27"/>
      <c r="D76" s="28"/>
      <c r="E76" s="29"/>
      <c r="F76" s="13"/>
      <c r="G76" s="177"/>
      <c r="H76" s="15">
        <f t="shared" si="53"/>
        <v>0</v>
      </c>
      <c r="I76" s="81"/>
      <c r="J76" s="87"/>
      <c r="K76" s="82"/>
      <c r="L76" s="83"/>
      <c r="M76" s="181"/>
      <c r="N76" s="82"/>
      <c r="O76" s="83"/>
      <c r="P76" s="73"/>
      <c r="Q76" s="74"/>
      <c r="R76" s="192"/>
      <c r="S76" s="398"/>
      <c r="T76" s="20"/>
      <c r="U76" s="20"/>
      <c r="V76" s="177"/>
      <c r="W76" s="90">
        <f t="shared" si="19"/>
        <v>0</v>
      </c>
      <c r="X76" s="78"/>
      <c r="Y76" s="78"/>
      <c r="Z76" s="445"/>
      <c r="AA76" s="445"/>
      <c r="AB76" s="51"/>
      <c r="AC76" s="52"/>
      <c r="AD76" s="403"/>
    </row>
    <row r="77" spans="1:32" ht="15" customHeight="1">
      <c r="A77" s="462"/>
      <c r="B77" s="26"/>
      <c r="C77" s="27"/>
      <c r="D77" s="28"/>
      <c r="E77" s="29"/>
      <c r="F77" s="13"/>
      <c r="G77" s="177"/>
      <c r="H77" s="15">
        <f t="shared" si="53"/>
        <v>0</v>
      </c>
      <c r="I77" s="81"/>
      <c r="J77" s="87"/>
      <c r="K77" s="82"/>
      <c r="L77" s="83"/>
      <c r="M77" s="181"/>
      <c r="N77" s="82"/>
      <c r="O77" s="83"/>
      <c r="P77" s="73"/>
      <c r="Q77" s="74"/>
      <c r="R77" s="192"/>
      <c r="S77" s="398"/>
      <c r="T77" s="20"/>
      <c r="U77" s="20"/>
      <c r="V77" s="177"/>
      <c r="W77" s="182">
        <f t="shared" si="19"/>
        <v>0</v>
      </c>
      <c r="X77" s="84"/>
      <c r="Y77" s="84"/>
      <c r="Z77" s="405"/>
      <c r="AA77" s="405"/>
      <c r="AB77" s="18"/>
      <c r="AC77" s="55"/>
      <c r="AD77" s="403"/>
    </row>
    <row r="78" spans="1:32" ht="15" customHeight="1">
      <c r="A78" s="462"/>
      <c r="B78" s="26"/>
      <c r="C78" s="27"/>
      <c r="D78" s="28"/>
      <c r="E78" s="29"/>
      <c r="F78" s="13"/>
      <c r="G78" s="177"/>
      <c r="H78" s="15">
        <f t="shared" si="53"/>
        <v>0</v>
      </c>
      <c r="I78" s="85"/>
      <c r="J78" s="37"/>
      <c r="K78" s="36"/>
      <c r="L78" s="83"/>
      <c r="M78" s="21"/>
      <c r="N78" s="36"/>
      <c r="O78" s="38"/>
      <c r="P78" s="39"/>
      <c r="Q78" s="40"/>
      <c r="R78" s="190"/>
      <c r="S78" s="464"/>
      <c r="T78" s="32"/>
      <c r="U78" s="32"/>
      <c r="V78" s="178"/>
      <c r="W78" s="182">
        <f t="shared" si="19"/>
        <v>0</v>
      </c>
      <c r="X78" s="91"/>
      <c r="Y78" s="91"/>
      <c r="Z78" s="405"/>
      <c r="AA78" s="405"/>
      <c r="AB78" s="34"/>
      <c r="AC78" s="57"/>
      <c r="AD78" s="403"/>
    </row>
    <row r="79" spans="1:32" ht="15" customHeight="1" thickBot="1">
      <c r="A79" s="463"/>
      <c r="B79" s="165"/>
      <c r="C79" s="1" t="s">
        <v>40</v>
      </c>
      <c r="D79" s="410" t="s">
        <v>7</v>
      </c>
      <c r="E79" s="410"/>
      <c r="F79" s="114"/>
      <c r="G79" s="115"/>
      <c r="H79" s="173"/>
      <c r="I79" s="171"/>
      <c r="J79" s="166" t="e">
        <f t="shared" ref="J79" si="54">AVERAGE(J70:J78)</f>
        <v>#DIV/0!</v>
      </c>
      <c r="K79" s="166"/>
      <c r="L79" s="171"/>
      <c r="M79" s="166"/>
      <c r="N79" s="166"/>
      <c r="O79" s="171"/>
      <c r="P79" s="172"/>
      <c r="Q79" s="158"/>
      <c r="R79" s="159"/>
      <c r="S79" s="399"/>
      <c r="T79" s="122"/>
      <c r="U79" s="122"/>
      <c r="V79" s="195"/>
      <c r="W79" s="168"/>
      <c r="X79" s="124"/>
      <c r="Y79" s="124"/>
      <c r="Z79" s="391"/>
      <c r="AA79" s="391"/>
      <c r="AB79" s="119">
        <f>N79-K79</f>
        <v>0</v>
      </c>
      <c r="AC79" s="187" t="e">
        <f>N79/K79</f>
        <v>#DIV/0!</v>
      </c>
      <c r="AD79" s="404"/>
    </row>
    <row r="80" spans="1:32">
      <c r="AF80" s="93" t="s">
        <v>41</v>
      </c>
    </row>
    <row r="81" spans="4:32">
      <c r="AF81" s="93" t="s">
        <v>42</v>
      </c>
    </row>
    <row r="82" spans="4:32">
      <c r="AF82" s="93" t="s">
        <v>43</v>
      </c>
    </row>
    <row r="83" spans="4:32">
      <c r="D83" s="220"/>
      <c r="W83" s="6"/>
      <c r="AF83" s="93" t="s">
        <v>44</v>
      </c>
    </row>
    <row r="84" spans="4:32">
      <c r="D84" s="224"/>
      <c r="W84" s="6"/>
      <c r="AF84" s="93" t="s">
        <v>45</v>
      </c>
    </row>
    <row r="85" spans="4:32">
      <c r="D85" s="224"/>
      <c r="W85" s="6"/>
      <c r="AF85" s="93" t="s">
        <v>46</v>
      </c>
    </row>
    <row r="86" spans="4:32">
      <c r="D86" s="155"/>
      <c r="W86" s="6"/>
      <c r="AF86" s="93" t="s">
        <v>47</v>
      </c>
    </row>
    <row r="87" spans="4:32">
      <c r="W87" s="6"/>
      <c r="AF87" s="93" t="s">
        <v>48</v>
      </c>
    </row>
    <row r="88" spans="4:32">
      <c r="W88" s="6"/>
      <c r="AF88" s="93" t="s">
        <v>49</v>
      </c>
    </row>
    <row r="89" spans="4:32">
      <c r="W89" s="6"/>
      <c r="AF89" s="93" t="s">
        <v>50</v>
      </c>
    </row>
    <row r="90" spans="4:32">
      <c r="W90" s="6"/>
      <c r="AF90" s="93" t="s">
        <v>51</v>
      </c>
    </row>
    <row r="91" spans="4:32">
      <c r="W91" s="6"/>
      <c r="AF91" s="93" t="s">
        <v>52</v>
      </c>
    </row>
    <row r="92" spans="4:32">
      <c r="W92" s="6"/>
      <c r="AF92" s="93" t="s">
        <v>53</v>
      </c>
    </row>
  </sheetData>
  <autoFilter ref="D1:D92" xr:uid="{EF5AD393-5A39-4C0E-A7B0-465235F2AB14}"/>
  <mergeCells count="135">
    <mergeCell ref="P1:S2"/>
    <mergeCell ref="T1:Y2"/>
    <mergeCell ref="Z1:AA2"/>
    <mergeCell ref="AB1:AD2"/>
    <mergeCell ref="H3:H4"/>
    <mergeCell ref="I3:I4"/>
    <mergeCell ref="J3:J4"/>
    <mergeCell ref="K3:K4"/>
    <mergeCell ref="L3:L4"/>
    <mergeCell ref="M3:M4"/>
    <mergeCell ref="AC3:AC4"/>
    <mergeCell ref="AD3:AD4"/>
    <mergeCell ref="P3:P4"/>
    <mergeCell ref="Q3:Q4"/>
    <mergeCell ref="R3:R4"/>
    <mergeCell ref="A2:B2"/>
    <mergeCell ref="A3:A4"/>
    <mergeCell ref="B3:B4"/>
    <mergeCell ref="D3:E4"/>
    <mergeCell ref="F3:F4"/>
    <mergeCell ref="G3:G4"/>
    <mergeCell ref="J1:L2"/>
    <mergeCell ref="M1:O2"/>
    <mergeCell ref="D15:E15"/>
    <mergeCell ref="A5:A15"/>
    <mergeCell ref="N3:N4"/>
    <mergeCell ref="O3:O4"/>
    <mergeCell ref="S5:S15"/>
    <mergeCell ref="Z5:AA5"/>
    <mergeCell ref="AD5:AD15"/>
    <mergeCell ref="Z6:AA6"/>
    <mergeCell ref="Z7:AA7"/>
    <mergeCell ref="Z8:AA8"/>
    <mergeCell ref="Z9:AA9"/>
    <mergeCell ref="T3:U3"/>
    <mergeCell ref="V3:V4"/>
    <mergeCell ref="W3:W4"/>
    <mergeCell ref="X3:Y3"/>
    <mergeCell ref="Z3:AA4"/>
    <mergeCell ref="AB3:AB4"/>
    <mergeCell ref="S3:S4"/>
    <mergeCell ref="AD16:AD26"/>
    <mergeCell ref="Z17:AA17"/>
    <mergeCell ref="Z18:AA18"/>
    <mergeCell ref="Z19:AA19"/>
    <mergeCell ref="Z20:AA20"/>
    <mergeCell ref="Z21:AA21"/>
    <mergeCell ref="Z22:AA22"/>
    <mergeCell ref="Z10:AA10"/>
    <mergeCell ref="Z11:AA11"/>
    <mergeCell ref="Z12:AA12"/>
    <mergeCell ref="Z13:AA13"/>
    <mergeCell ref="Z14:AA14"/>
    <mergeCell ref="Z23:AA23"/>
    <mergeCell ref="Z24:AA24"/>
    <mergeCell ref="Z25:AA25"/>
    <mergeCell ref="Z15:AA15"/>
    <mergeCell ref="D26:E26"/>
    <mergeCell ref="Z26:AA26"/>
    <mergeCell ref="A27:A37"/>
    <mergeCell ref="S27:S37"/>
    <mergeCell ref="Z27:AA27"/>
    <mergeCell ref="D37:E37"/>
    <mergeCell ref="Z37:AA37"/>
    <mergeCell ref="A16:A26"/>
    <mergeCell ref="S16:S26"/>
    <mergeCell ref="Z16:AA16"/>
    <mergeCell ref="AD38:AD48"/>
    <mergeCell ref="Z39:AA39"/>
    <mergeCell ref="Z40:AA40"/>
    <mergeCell ref="Z41:AA41"/>
    <mergeCell ref="Z42:AA42"/>
    <mergeCell ref="Z43:AA43"/>
    <mergeCell ref="Z44:AA44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Z45:AA45"/>
    <mergeCell ref="Z46:AA46"/>
    <mergeCell ref="Z47:AA47"/>
    <mergeCell ref="D48:E48"/>
    <mergeCell ref="Z48:AA48"/>
    <mergeCell ref="A49:A58"/>
    <mergeCell ref="S49:S58"/>
    <mergeCell ref="Z49:AA49"/>
    <mergeCell ref="D58:E58"/>
    <mergeCell ref="A38:A48"/>
    <mergeCell ref="S38:S48"/>
    <mergeCell ref="Z38:AA38"/>
    <mergeCell ref="AD59:AD69"/>
    <mergeCell ref="Z60:AA60"/>
    <mergeCell ref="Z61:AA61"/>
    <mergeCell ref="Z62:AA62"/>
    <mergeCell ref="Z63:AA63"/>
    <mergeCell ref="Z64:AA64"/>
    <mergeCell ref="Z65:AA65"/>
    <mergeCell ref="AD49:AD58"/>
    <mergeCell ref="Z50:AA50"/>
    <mergeCell ref="Z51:AA51"/>
    <mergeCell ref="Z52:AA52"/>
    <mergeCell ref="Z53:AA53"/>
    <mergeCell ref="Z54:AA54"/>
    <mergeCell ref="Z55:AA55"/>
    <mergeCell ref="Z56:AA56"/>
    <mergeCell ref="Z57:AA57"/>
    <mergeCell ref="Z58:AA58"/>
    <mergeCell ref="Z66:AA66"/>
    <mergeCell ref="Z67:AA67"/>
    <mergeCell ref="Z68:AA68"/>
    <mergeCell ref="D69:E69"/>
    <mergeCell ref="Z69:AA69"/>
    <mergeCell ref="A70:A79"/>
    <mergeCell ref="S70:S79"/>
    <mergeCell ref="Z70:AA70"/>
    <mergeCell ref="D79:E79"/>
    <mergeCell ref="A59:A69"/>
    <mergeCell ref="S59:S69"/>
    <mergeCell ref="Z59:AA59"/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</mergeCells>
  <phoneticPr fontId="2" type="noConversion"/>
  <conditionalFormatting sqref="P5:P79">
    <cfRule type="cellIs" dxfId="38" priority="1" operator="greaterThan">
      <formula>0</formula>
    </cfRule>
  </conditionalFormatting>
  <conditionalFormatting sqref="Q5:Q79 AB5:AB79">
    <cfRule type="cellIs" dxfId="37" priority="4" operator="lessThan">
      <formula>0</formula>
    </cfRule>
  </conditionalFormatting>
  <conditionalFormatting sqref="R5:R79 AC5:AC79">
    <cfRule type="cellIs" dxfId="36" priority="2" operator="greaterThan">
      <formula>1</formula>
    </cfRule>
    <cfRule type="cellIs" dxfId="35" priority="3" operator="lessThan">
      <formula>0.8</formula>
    </cfRule>
  </conditionalFormatting>
  <conditionalFormatting sqref="S5:S10 S37:S62 AD59:AD62 S69:S76 AD69:AD76">
    <cfRule type="cellIs" dxfId="34" priority="7" operator="lessThan">
      <formula>0.8</formula>
    </cfRule>
  </conditionalFormatting>
  <conditionalFormatting sqref="S19:S25 AD19:AD25">
    <cfRule type="cellIs" dxfId="33" priority="6" operator="lessThan">
      <formula>0.8</formula>
    </cfRule>
  </conditionalFormatting>
  <conditionalFormatting sqref="S79">
    <cfRule type="cellIs" dxfId="32" priority="5" operator="lessThan">
      <formula>0.8</formula>
    </cfRule>
  </conditionalFormatting>
  <conditionalFormatting sqref="AD5:AD8 S15:S16 AD15:AD16 AD49 AD79">
    <cfRule type="cellIs" dxfId="31" priority="9" operator="lessThan">
      <formula>0.8</formula>
    </cfRule>
  </conditionalFormatting>
  <conditionalFormatting sqref="AD27 S27:S28">
    <cfRule type="cellIs" dxfId="3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F0F2B7F-30DD-4096-A832-1B92DD758B26}">
          <x14:formula1>
            <xm:f>廠價表!$C$2:$C$37</xm:f>
          </x14:formula1>
          <xm:sqref>D1:D1048576</xm:sqref>
        </x14:dataValidation>
      </x14:dataValidations>
    </ext>
  </extLst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F9371-1B78-4D52-B371-7CA9B18C4BD9}">
  <sheetPr>
    <pageSetUpPr fitToPage="1"/>
  </sheetPr>
  <dimension ref="B1:O22"/>
  <sheetViews>
    <sheetView zoomScale="70" zoomScaleNormal="70" workbookViewId="0">
      <selection activeCell="U61" sqref="U61"/>
    </sheetView>
  </sheetViews>
  <sheetFormatPr defaultColWidth="8.125" defaultRowHeight="15.75"/>
  <cols>
    <col min="1" max="1" width="8.125" style="203"/>
    <col min="2" max="2" width="7.125" style="203" customWidth="1"/>
    <col min="3" max="3" width="7.125" style="218" customWidth="1"/>
    <col min="4" max="17" width="14.125" style="203" customWidth="1"/>
    <col min="18" max="21" width="9.625" style="203" customWidth="1"/>
    <col min="22" max="22" width="11.125" style="203" customWidth="1"/>
    <col min="23" max="23" width="11.5" style="203" customWidth="1"/>
    <col min="24" max="16384" width="8.125" style="203"/>
  </cols>
  <sheetData>
    <row r="1" spans="2:15" ht="27.75" customHeight="1">
      <c r="B1" s="345" t="s">
        <v>73</v>
      </c>
      <c r="C1" s="345"/>
      <c r="D1" s="345"/>
      <c r="E1" s="345"/>
      <c r="F1" s="345"/>
      <c r="G1" s="345"/>
      <c r="H1" s="345"/>
      <c r="I1" s="345"/>
      <c r="J1" s="345"/>
      <c r="K1" s="345"/>
      <c r="L1" s="202"/>
      <c r="M1" s="202"/>
    </row>
    <row r="2" spans="2:15" ht="27.75" customHeight="1"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202"/>
      <c r="M2" s="202"/>
    </row>
    <row r="3" spans="2:15" ht="46.5" customHeight="1">
      <c r="B3" s="342" t="s">
        <v>74</v>
      </c>
      <c r="C3" s="342"/>
      <c r="D3" s="346">
        <v>45989</v>
      </c>
      <c r="E3" s="346"/>
      <c r="F3" s="204" t="s">
        <v>75</v>
      </c>
      <c r="G3" s="347">
        <f>'1128'!E1</f>
        <v>37278</v>
      </c>
      <c r="H3" s="347"/>
      <c r="I3" s="204" t="s">
        <v>76</v>
      </c>
      <c r="J3" s="348">
        <f>'1128'!G1</f>
        <v>1815465.6400000001</v>
      </c>
      <c r="K3" s="348"/>
      <c r="L3" s="205"/>
    </row>
    <row r="4" spans="2:15" ht="24" customHeight="1">
      <c r="B4" s="342" t="s">
        <v>77</v>
      </c>
      <c r="C4" s="342"/>
      <c r="D4" s="343">
        <v>3</v>
      </c>
      <c r="E4" s="343"/>
      <c r="F4" s="344" t="s">
        <v>78</v>
      </c>
      <c r="G4" s="344"/>
      <c r="H4" s="344" t="s">
        <v>79</v>
      </c>
      <c r="I4" s="344"/>
      <c r="J4" s="343" t="s">
        <v>80</v>
      </c>
      <c r="K4" s="344"/>
      <c r="L4" s="206"/>
    </row>
    <row r="5" spans="2:15" ht="24" customHeight="1">
      <c r="B5" s="342" t="s">
        <v>81</v>
      </c>
      <c r="C5" s="342"/>
      <c r="D5" s="343" t="s">
        <v>82</v>
      </c>
      <c r="E5" s="343"/>
      <c r="F5" s="343" t="s">
        <v>83</v>
      </c>
      <c r="G5" s="343"/>
      <c r="H5" s="369" t="s">
        <v>62</v>
      </c>
      <c r="I5" s="369"/>
      <c r="J5" s="341" t="s">
        <v>84</v>
      </c>
      <c r="K5" s="341"/>
      <c r="L5" s="207"/>
    </row>
    <row r="6" spans="2:15" ht="39.6" customHeight="1">
      <c r="B6" s="342"/>
      <c r="C6" s="342"/>
      <c r="D6" s="342" t="s">
        <v>85</v>
      </c>
      <c r="E6" s="342"/>
      <c r="F6" s="356">
        <f>AVERAGE(D13:J13)</f>
        <v>115.22926308512609</v>
      </c>
      <c r="G6" s="356"/>
      <c r="H6" s="349">
        <f>AVERAGE(D13:H13)</f>
        <v>112.8605857876214</v>
      </c>
      <c r="I6" s="349"/>
      <c r="J6" s="349">
        <f>AVERAGE(I13:J13)</f>
        <v>127.07264957264958</v>
      </c>
      <c r="K6" s="349"/>
      <c r="L6" s="207"/>
    </row>
    <row r="7" spans="2:15" s="208" customFormat="1" ht="39.6" customHeight="1">
      <c r="B7" s="342"/>
      <c r="C7" s="342"/>
      <c r="D7" s="350" t="s">
        <v>86</v>
      </c>
      <c r="E7" s="350"/>
      <c r="F7" s="351">
        <f>AVERAGE(D14:J14)</f>
        <v>95.600093951969356</v>
      </c>
      <c r="G7" s="351"/>
      <c r="H7" s="352">
        <f>AVERAGE(D14:H14)</f>
        <v>96.157434679685167</v>
      </c>
      <c r="I7" s="352"/>
      <c r="J7" s="352">
        <f>AVERAGE(I14:J14)</f>
        <v>92.813390313390315</v>
      </c>
      <c r="K7" s="352"/>
    </row>
    <row r="8" spans="2:15" s="208" customFormat="1" ht="39.6" customHeight="1">
      <c r="B8" s="342"/>
      <c r="C8" s="342"/>
      <c r="D8" s="350" t="s">
        <v>87</v>
      </c>
      <c r="E8" s="350"/>
      <c r="F8" s="353">
        <f>AVERAGE(D15:J15)</f>
        <v>0.83015494319732286</v>
      </c>
      <c r="G8" s="353"/>
      <c r="H8" s="353">
        <f>AVERAGE(D15:H15)</f>
        <v>0.8501066761896825</v>
      </c>
      <c r="I8" s="353"/>
      <c r="J8" s="353">
        <f>AVERAGE(I15:J15)</f>
        <v>0.73039627823552489</v>
      </c>
      <c r="K8" s="353"/>
      <c r="L8" s="209" t="s">
        <v>88</v>
      </c>
    </row>
    <row r="9" spans="2:15" ht="25.5" customHeight="1">
      <c r="B9" s="207"/>
      <c r="C9" s="207"/>
      <c r="D9" s="207"/>
      <c r="E9" s="207"/>
      <c r="F9" s="207"/>
      <c r="G9" s="207"/>
      <c r="H9" s="210"/>
      <c r="I9" s="211"/>
      <c r="J9" s="211"/>
      <c r="K9" s="211"/>
      <c r="L9" s="211"/>
      <c r="M9" s="211"/>
      <c r="N9" s="211"/>
      <c r="O9" s="207"/>
    </row>
    <row r="10" spans="2:15" ht="30" customHeight="1">
      <c r="B10" s="354" t="s">
        <v>0</v>
      </c>
      <c r="C10" s="355"/>
      <c r="D10" s="357" t="s">
        <v>89</v>
      </c>
      <c r="E10" s="358"/>
      <c r="F10" s="358"/>
      <c r="G10" s="358"/>
      <c r="H10" s="358"/>
      <c r="I10" s="358"/>
      <c r="J10" s="359"/>
    </row>
    <row r="11" spans="2:15" ht="17.25" customHeight="1">
      <c r="B11" s="360" t="s">
        <v>90</v>
      </c>
      <c r="C11" s="361"/>
      <c r="D11" s="212">
        <v>1</v>
      </c>
      <c r="E11" s="212">
        <v>2</v>
      </c>
      <c r="F11" s="212">
        <v>3</v>
      </c>
      <c r="G11" s="212">
        <v>4</v>
      </c>
      <c r="H11" s="212">
        <v>5</v>
      </c>
      <c r="I11" s="212">
        <v>6</v>
      </c>
      <c r="J11" s="212">
        <v>7</v>
      </c>
    </row>
    <row r="12" spans="2:15" ht="33.950000000000003" customHeight="1">
      <c r="B12" s="362"/>
      <c r="C12" s="363"/>
      <c r="D12" s="213" t="s">
        <v>91</v>
      </c>
      <c r="E12" s="213" t="s">
        <v>92</v>
      </c>
      <c r="F12" s="213" t="s">
        <v>93</v>
      </c>
      <c r="G12" s="213" t="s">
        <v>94</v>
      </c>
      <c r="H12" s="213" t="s">
        <v>95</v>
      </c>
      <c r="I12" s="213" t="s">
        <v>96</v>
      </c>
      <c r="J12" s="213" t="s">
        <v>232</v>
      </c>
    </row>
    <row r="13" spans="2:15" ht="39.950000000000003" customHeight="1">
      <c r="B13" s="364" t="s">
        <v>1</v>
      </c>
      <c r="C13" s="214" t="s">
        <v>98</v>
      </c>
      <c r="D13" s="215">
        <f>VALUE('1128'!L15)</f>
        <v>132.67956259426848</v>
      </c>
      <c r="E13" s="215">
        <f>VALUE('1128'!L26)</f>
        <v>162.27564102564102</v>
      </c>
      <c r="F13" s="215">
        <f>VALUE('1128'!L37)</f>
        <v>92.250816993464056</v>
      </c>
      <c r="G13" s="215">
        <f>VALUE('1128'!L48)</f>
        <v>94.362990196078442</v>
      </c>
      <c r="H13" s="215">
        <f>VALUE('1128'!L58)</f>
        <v>82.733918128654977</v>
      </c>
      <c r="I13" s="215">
        <f>VALUE('1128'!L69)</f>
        <v>127.07264957264958</v>
      </c>
      <c r="J13" s="215"/>
    </row>
    <row r="14" spans="2:15" ht="39.950000000000003" customHeight="1">
      <c r="B14" s="365"/>
      <c r="C14" s="214" t="s">
        <v>99</v>
      </c>
      <c r="D14" s="215">
        <f>VALUE('1128'!O15)</f>
        <v>111.54909578606643</v>
      </c>
      <c r="E14" s="215">
        <f>VALUE('1128'!O26)</f>
        <v>142.06852150950743</v>
      </c>
      <c r="F14" s="215">
        <f>VALUE('1128'!O37)</f>
        <v>82.327881818530599</v>
      </c>
      <c r="G14" s="215">
        <f>VALUE('1128'!O48)</f>
        <v>73.049358974358995</v>
      </c>
      <c r="H14" s="215">
        <f>VALUE('1128'!O58)</f>
        <v>71.792315309962348</v>
      </c>
      <c r="I14" s="215">
        <f>VALUE('1128'!O69)</f>
        <v>92.813390313390315</v>
      </c>
      <c r="J14" s="215"/>
    </row>
    <row r="15" spans="2:15" ht="39.950000000000003" customHeight="1">
      <c r="B15" s="366"/>
      <c r="C15" s="212" t="s">
        <v>100</v>
      </c>
      <c r="D15" s="233">
        <f>D14/D13</f>
        <v>0.84074060544788953</v>
      </c>
      <c r="E15" s="233">
        <f t="shared" ref="E15:I15" si="0">E14/E13</f>
        <v>0.87547656944432783</v>
      </c>
      <c r="F15" s="233">
        <f t="shared" si="0"/>
        <v>0.89243525967215565</v>
      </c>
      <c r="G15" s="233">
        <f t="shared" si="0"/>
        <v>0.7741314558024126</v>
      </c>
      <c r="H15" s="233">
        <f t="shared" si="0"/>
        <v>0.86774949058162643</v>
      </c>
      <c r="I15" s="233">
        <f t="shared" si="0"/>
        <v>0.73039627823552489</v>
      </c>
      <c r="J15" s="233"/>
    </row>
    <row r="16" spans="2:15" ht="17.25" customHeight="1">
      <c r="B16" s="367" t="s">
        <v>101</v>
      </c>
      <c r="C16" s="212" t="s">
        <v>102</v>
      </c>
      <c r="D16" s="95">
        <f>'1128'!T5</f>
        <v>0.2902777777777778</v>
      </c>
      <c r="E16" s="95">
        <f>'1128'!T16</f>
        <v>0.2902777777777778</v>
      </c>
      <c r="F16" s="95">
        <f>'1128'!T27</f>
        <v>0.29166666666666669</v>
      </c>
      <c r="G16" s="95">
        <f>'1128'!T38</f>
        <v>0.33333333333333331</v>
      </c>
      <c r="H16" s="95">
        <f>'1128'!T49</f>
        <v>0.29166666666666669</v>
      </c>
      <c r="I16" s="95">
        <f>'1128'!T59</f>
        <v>0.29166666666666669</v>
      </c>
      <c r="J16" s="272"/>
    </row>
    <row r="17" spans="2:10" ht="17.25" customHeight="1">
      <c r="B17" s="368"/>
      <c r="C17" s="212" t="s">
        <v>103</v>
      </c>
      <c r="D17" s="95">
        <v>0.57291666666666663</v>
      </c>
      <c r="E17" s="41">
        <v>0.54722222222222228</v>
      </c>
      <c r="F17" s="41">
        <v>0.6</v>
      </c>
      <c r="G17" s="59">
        <v>0.60416666666666663</v>
      </c>
      <c r="H17" s="79">
        <v>0.56111111111111112</v>
      </c>
      <c r="I17" s="198">
        <v>0.4826388888888889</v>
      </c>
      <c r="J17" s="20"/>
    </row>
    <row r="18" spans="2:10" ht="17.25" customHeight="1">
      <c r="B18" s="354" t="s">
        <v>104</v>
      </c>
      <c r="C18" s="355"/>
      <c r="D18" s="216">
        <f>VALUE('1128'!M15)</f>
        <v>14</v>
      </c>
      <c r="E18" s="216">
        <f>VALUE('1128'!M26)</f>
        <v>12.5</v>
      </c>
      <c r="F18" s="216">
        <f>VALUE('1128'!M37)</f>
        <v>15</v>
      </c>
      <c r="G18" s="216">
        <f>VALUE('1128'!M48)</f>
        <v>13.5</v>
      </c>
      <c r="H18" s="216">
        <f>VALUE('1128'!M58)</f>
        <v>15.666666666666666</v>
      </c>
      <c r="I18" s="216">
        <f>VALUE('1128'!M69)</f>
        <v>12.333333333333334</v>
      </c>
      <c r="J18" s="216"/>
    </row>
    <row r="19" spans="2:10" ht="17.25" customHeight="1">
      <c r="B19" s="354" t="s">
        <v>105</v>
      </c>
      <c r="C19" s="355"/>
      <c r="D19" s="213" t="s">
        <v>106</v>
      </c>
      <c r="E19" s="213" t="s">
        <v>106</v>
      </c>
      <c r="F19" s="213" t="s">
        <v>107</v>
      </c>
      <c r="G19" s="213" t="s">
        <v>107</v>
      </c>
      <c r="H19" s="213" t="s">
        <v>107</v>
      </c>
      <c r="I19" s="213" t="s">
        <v>108</v>
      </c>
      <c r="J19" s="213"/>
    </row>
    <row r="20" spans="2:10" ht="17.25" customHeight="1">
      <c r="B20" s="354" t="s">
        <v>110</v>
      </c>
      <c r="C20" s="355"/>
      <c r="D20" s="213"/>
      <c r="E20" s="213"/>
      <c r="F20" s="213"/>
      <c r="G20" s="217"/>
      <c r="H20" s="213" t="s">
        <v>109</v>
      </c>
      <c r="I20" s="213"/>
      <c r="J20" s="213"/>
    </row>
    <row r="21" spans="2:10" ht="17.25" customHeight="1">
      <c r="B21" s="354" t="s">
        <v>111</v>
      </c>
      <c r="C21" s="355"/>
      <c r="D21" s="273"/>
      <c r="E21" s="273"/>
      <c r="F21" s="273"/>
      <c r="G21" s="273"/>
      <c r="H21" s="273"/>
      <c r="I21" s="273"/>
      <c r="J21" s="273"/>
    </row>
    <row r="22" spans="2:10">
      <c r="B22" s="370"/>
      <c r="C22" s="370"/>
    </row>
  </sheetData>
  <mergeCells count="37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F7:G7"/>
    <mergeCell ref="H7:I7"/>
    <mergeCell ref="J7:K7"/>
    <mergeCell ref="D8:E8"/>
    <mergeCell ref="F8:G8"/>
    <mergeCell ref="H8:I8"/>
    <mergeCell ref="J8:K8"/>
    <mergeCell ref="D10:J10"/>
    <mergeCell ref="B11:C12"/>
    <mergeCell ref="B13:B15"/>
    <mergeCell ref="B16:B17"/>
    <mergeCell ref="B10:C10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8:C18"/>
    <mergeCell ref="B19:C19"/>
    <mergeCell ref="B20:C20"/>
    <mergeCell ref="B21:C21"/>
    <mergeCell ref="B22:C22"/>
  </mergeCells>
  <phoneticPr fontId="2" type="noConversion"/>
  <conditionalFormatting sqref="D15:J15">
    <cfRule type="cellIs" dxfId="29" priority="1" operator="lessThan">
      <formula>0.8</formula>
    </cfRule>
  </conditionalFormatting>
  <pageMargins left="0.7" right="0.7" top="0.75" bottom="0.75" header="0.3" footer="0.3"/>
  <pageSetup paperSize="8" orientation="landscape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512E3-C1E5-4C59-AC8D-56BAE7DE887B}">
  <sheetPr>
    <tabColor theme="9" tint="0.79998168889431442"/>
    <pageSetUpPr fitToPage="1"/>
  </sheetPr>
  <dimension ref="A1:AF92"/>
  <sheetViews>
    <sheetView zoomScale="69" zoomScaleNormal="69" workbookViewId="0">
      <pane xSplit="5" ySplit="4" topLeftCell="F50" activePane="bottomRight" state="frozen"/>
      <selection activeCell="U61" sqref="U61"/>
      <selection pane="topRight" activeCell="U61" sqref="U61"/>
      <selection pane="bottomLeft" activeCell="U61" sqref="U61"/>
      <selection pane="bottomRight" activeCell="X51" sqref="X51"/>
    </sheetView>
  </sheetViews>
  <sheetFormatPr defaultColWidth="7.875" defaultRowHeight="15.75"/>
  <cols>
    <col min="1" max="1" width="15" style="6" customWidth="1"/>
    <col min="2" max="2" width="12.875" style="6" customWidth="1"/>
    <col min="3" max="3" width="12.875" style="6" hidden="1" customWidth="1"/>
    <col min="4" max="4" width="26.125" style="6" bestFit="1" customWidth="1"/>
    <col min="5" max="5" width="15" style="6" customWidth="1"/>
    <col min="6" max="6" width="8.875" style="6" bestFit="1" customWidth="1"/>
    <col min="7" max="7" width="20.125" style="6" bestFit="1" customWidth="1"/>
    <col min="8" max="8" width="16.375" style="6" bestFit="1" customWidth="1"/>
    <col min="9" max="9" width="10.875" style="6" bestFit="1" customWidth="1"/>
    <col min="10" max="10" width="10.125" style="6" bestFit="1" customWidth="1"/>
    <col min="11" max="11" width="10.625" style="6" customWidth="1"/>
    <col min="12" max="12" width="14.5" style="6" customWidth="1"/>
    <col min="13" max="13" width="10.125" style="6" bestFit="1" customWidth="1"/>
    <col min="14" max="14" width="10.25" style="6" bestFit="1" customWidth="1"/>
    <col min="15" max="15" width="11.875" style="6" customWidth="1"/>
    <col min="16" max="17" width="9.125" style="6" bestFit="1" customWidth="1"/>
    <col min="18" max="18" width="9.125" style="6" customWidth="1"/>
    <col min="19" max="19" width="8.375" style="6" customWidth="1"/>
    <col min="20" max="21" width="9.375" style="6" bestFit="1" customWidth="1"/>
    <col min="22" max="22" width="10.625" style="6" customWidth="1"/>
    <col min="23" max="23" width="8.625" style="92" customWidth="1"/>
    <col min="24" max="24" width="7.5" style="6" bestFit="1" customWidth="1"/>
    <col min="25" max="25" width="6.875" style="6" customWidth="1"/>
    <col min="26" max="26" width="12.625" style="6" customWidth="1"/>
    <col min="27" max="27" width="33.375" style="6" customWidth="1"/>
    <col min="28" max="28" width="13.125" style="6" bestFit="1" customWidth="1"/>
    <col min="29" max="29" width="10.375" style="6" customWidth="1"/>
    <col min="30" max="30" width="9.125" style="6" customWidth="1"/>
    <col min="31" max="31" width="7.875" style="6"/>
    <col min="32" max="32" width="24.5" style="6" bestFit="1" customWidth="1"/>
    <col min="33" max="16384" width="7.875" style="6"/>
  </cols>
  <sheetData>
    <row r="1" spans="1:30" ht="21">
      <c r="A1" s="2" t="s">
        <v>72</v>
      </c>
      <c r="B1" s="2"/>
      <c r="C1" s="2"/>
      <c r="D1" s="176" t="s">
        <v>8</v>
      </c>
      <c r="E1" s="3">
        <f>SUM(G5:G79)</f>
        <v>37278</v>
      </c>
      <c r="F1" s="177" t="s">
        <v>9</v>
      </c>
      <c r="G1" s="4">
        <f>SUM(H5:H79)</f>
        <v>1815465.6400000001</v>
      </c>
      <c r="H1" s="175" t="s">
        <v>10</v>
      </c>
      <c r="I1" s="5">
        <f>M15+M26+M48+M58+M69+M79+M37</f>
        <v>83</v>
      </c>
      <c r="J1" s="371" t="s">
        <v>11</v>
      </c>
      <c r="K1" s="371"/>
      <c r="L1" s="371"/>
      <c r="M1" s="371" t="s">
        <v>12</v>
      </c>
      <c r="N1" s="371"/>
      <c r="O1" s="371"/>
      <c r="P1" s="371" t="s">
        <v>13</v>
      </c>
      <c r="Q1" s="371"/>
      <c r="R1" s="371"/>
      <c r="S1" s="371"/>
      <c r="T1" s="371" t="s">
        <v>14</v>
      </c>
      <c r="U1" s="371"/>
      <c r="V1" s="371"/>
      <c r="W1" s="371"/>
      <c r="X1" s="371"/>
      <c r="Y1" s="371"/>
      <c r="Z1" s="371" t="s">
        <v>15</v>
      </c>
      <c r="AA1" s="371"/>
      <c r="AB1" s="371" t="s">
        <v>16</v>
      </c>
      <c r="AC1" s="372"/>
      <c r="AD1" s="372"/>
    </row>
    <row r="2" spans="1:30" ht="18.75">
      <c r="A2" s="409" t="s">
        <v>249</v>
      </c>
      <c r="B2" s="409"/>
      <c r="C2" s="176"/>
      <c r="D2" s="176" t="s">
        <v>1</v>
      </c>
      <c r="E2" s="7">
        <f>AVERAGE(O15,O26,O37,O48,O58,O69,O79)</f>
        <v>95.600093951969356</v>
      </c>
      <c r="F2" s="8" t="s">
        <v>2</v>
      </c>
      <c r="G2" s="9">
        <f>G1/E1</f>
        <v>48.700725360802622</v>
      </c>
      <c r="H2" s="175" t="s">
        <v>17</v>
      </c>
      <c r="I2" s="175">
        <f>COUNT(I5:I79)</f>
        <v>0</v>
      </c>
      <c r="J2" s="371"/>
      <c r="K2" s="371"/>
      <c r="L2" s="371"/>
      <c r="M2" s="371"/>
      <c r="N2" s="371"/>
      <c r="O2" s="371"/>
      <c r="P2" s="371"/>
      <c r="Q2" s="371"/>
      <c r="R2" s="371"/>
      <c r="S2" s="371"/>
      <c r="T2" s="371"/>
      <c r="U2" s="371"/>
      <c r="V2" s="371"/>
      <c r="W2" s="371"/>
      <c r="X2" s="371"/>
      <c r="Y2" s="371"/>
      <c r="Z2" s="371"/>
      <c r="AA2" s="371"/>
      <c r="AB2" s="372"/>
      <c r="AC2" s="372"/>
      <c r="AD2" s="372"/>
    </row>
    <row r="3" spans="1:30">
      <c r="A3" s="405" t="s">
        <v>18</v>
      </c>
      <c r="B3" s="405" t="s">
        <v>19</v>
      </c>
      <c r="C3" s="177"/>
      <c r="D3" s="405" t="s">
        <v>20</v>
      </c>
      <c r="E3" s="405"/>
      <c r="F3" s="379" t="s">
        <v>21</v>
      </c>
      <c r="G3" s="389" t="s">
        <v>22</v>
      </c>
      <c r="H3" s="379" t="s">
        <v>23</v>
      </c>
      <c r="I3" s="381" t="s">
        <v>24</v>
      </c>
      <c r="J3" s="383" t="s">
        <v>25</v>
      </c>
      <c r="K3" s="385" t="s">
        <v>26</v>
      </c>
      <c r="L3" s="387" t="s">
        <v>1</v>
      </c>
      <c r="M3" s="389" t="s">
        <v>25</v>
      </c>
      <c r="N3" s="385" t="s">
        <v>26</v>
      </c>
      <c r="O3" s="387" t="s">
        <v>1</v>
      </c>
      <c r="P3" s="383" t="s">
        <v>25</v>
      </c>
      <c r="Q3" s="387" t="s">
        <v>1</v>
      </c>
      <c r="R3" s="392" t="s">
        <v>27</v>
      </c>
      <c r="S3" s="394" t="s">
        <v>28</v>
      </c>
      <c r="T3" s="389" t="s">
        <v>4</v>
      </c>
      <c r="U3" s="389"/>
      <c r="V3" s="408" t="s">
        <v>29</v>
      </c>
      <c r="W3" s="381" t="s">
        <v>30</v>
      </c>
      <c r="X3" s="389" t="s">
        <v>31</v>
      </c>
      <c r="Y3" s="389"/>
      <c r="Z3" s="415"/>
      <c r="AA3" s="416"/>
      <c r="AB3" s="385" t="s">
        <v>26</v>
      </c>
      <c r="AC3" s="392" t="s">
        <v>27</v>
      </c>
      <c r="AD3" s="394" t="s">
        <v>28</v>
      </c>
    </row>
    <row r="4" spans="1:30" ht="16.5" thickBot="1">
      <c r="A4" s="379"/>
      <c r="B4" s="379"/>
      <c r="C4" s="178"/>
      <c r="D4" s="379"/>
      <c r="E4" s="379"/>
      <c r="F4" s="380"/>
      <c r="G4" s="390"/>
      <c r="H4" s="380"/>
      <c r="I4" s="382"/>
      <c r="J4" s="384"/>
      <c r="K4" s="386"/>
      <c r="L4" s="388"/>
      <c r="M4" s="390"/>
      <c r="N4" s="386"/>
      <c r="O4" s="388"/>
      <c r="P4" s="384"/>
      <c r="Q4" s="388"/>
      <c r="R4" s="393"/>
      <c r="S4" s="395"/>
      <c r="T4" s="179" t="s">
        <v>5</v>
      </c>
      <c r="U4" s="179" t="s">
        <v>6</v>
      </c>
      <c r="V4" s="390"/>
      <c r="W4" s="382"/>
      <c r="X4" s="178" t="s">
        <v>32</v>
      </c>
      <c r="Y4" s="178" t="s">
        <v>33</v>
      </c>
      <c r="Z4" s="417"/>
      <c r="AA4" s="417"/>
      <c r="AB4" s="386"/>
      <c r="AC4" s="393"/>
      <c r="AD4" s="395"/>
    </row>
    <row r="5" spans="1:30" ht="15" customHeight="1">
      <c r="A5" s="411" t="s">
        <v>66</v>
      </c>
      <c r="B5" s="305" t="str">
        <f>VLOOKUP(D5,廠價表!$C$1:$E$39,2,0)</f>
        <v>義大利麵</v>
      </c>
      <c r="C5" s="324"/>
      <c r="D5" s="339" t="s">
        <v>127</v>
      </c>
      <c r="E5" s="326"/>
      <c r="F5" s="305">
        <f>VLOOKUP(D5,廠價表!$C$1:$E$39,3,0)</f>
        <v>57.21</v>
      </c>
      <c r="G5" s="327">
        <v>1033</v>
      </c>
      <c r="H5" s="328">
        <f t="shared" ref="H5" si="0">F5*G5</f>
        <v>59097.93</v>
      </c>
      <c r="I5" s="329"/>
      <c r="J5" s="330">
        <f>VLOOKUP(D5,產線配置圖!$A$2:$C$38,2,0)</f>
        <v>13</v>
      </c>
      <c r="K5" s="331">
        <f>VLOOKUP(D5,產線配置圖!$A$2:$C$38,3,0)</f>
        <v>2105</v>
      </c>
      <c r="L5" s="332">
        <f t="shared" ref="L5" si="1">K5/J5</f>
        <v>161.92307692307693</v>
      </c>
      <c r="M5" s="333">
        <v>13</v>
      </c>
      <c r="N5" s="331">
        <f t="shared" ref="N5:N8" si="2">G5/W5*60</f>
        <v>1721.6666666666692</v>
      </c>
      <c r="O5" s="332">
        <f t="shared" ref="O5:O8" si="3">N5/M5</f>
        <v>132.43589743589763</v>
      </c>
      <c r="P5" s="334">
        <f t="shared" ref="P5:P8" si="4">M5-J5</f>
        <v>0</v>
      </c>
      <c r="Q5" s="335">
        <f t="shared" ref="Q5:Q8" si="5">O5-L5</f>
        <v>-29.487179487179304</v>
      </c>
      <c r="R5" s="336">
        <f t="shared" ref="R5:R8" si="6">O5/L5</f>
        <v>0.81789390340459334</v>
      </c>
      <c r="S5" s="396">
        <f>R15</f>
        <v>0.84074060544788953</v>
      </c>
      <c r="T5" s="337">
        <v>0.2902777777777778</v>
      </c>
      <c r="U5" s="338">
        <v>0.31527777777777777</v>
      </c>
      <c r="V5" s="194"/>
      <c r="W5" s="107">
        <f t="shared" ref="W5:W14" si="7">(U5-T5)*24*60</f>
        <v>35.99999999999995</v>
      </c>
      <c r="X5" s="188"/>
      <c r="Y5" s="188"/>
      <c r="Z5" s="400"/>
      <c r="AA5" s="400"/>
      <c r="AB5" s="111">
        <f>N5-K5</f>
        <v>-383.33333333333076</v>
      </c>
      <c r="AC5" s="184">
        <f>N5/K5</f>
        <v>0.81789390340459345</v>
      </c>
      <c r="AD5" s="401">
        <f>AC15</f>
        <v>0.82212844820770159</v>
      </c>
    </row>
    <row r="6" spans="1:30" ht="15" customHeight="1">
      <c r="A6" s="412"/>
      <c r="B6" s="313" t="str">
        <f>VLOOKUP(D6,廠價表!$C$1:$E$39,2,0)</f>
        <v>義大利麵</v>
      </c>
      <c r="C6" s="249"/>
      <c r="D6" s="250" t="s">
        <v>139</v>
      </c>
      <c r="E6" s="251"/>
      <c r="F6" s="314">
        <f>VLOOKUP(D6,廠價表!$C$1:$E$39,3,0)</f>
        <v>57.21</v>
      </c>
      <c r="G6" s="315">
        <v>1357</v>
      </c>
      <c r="H6" s="316">
        <f>F6*G6</f>
        <v>77633.97</v>
      </c>
      <c r="I6" s="317"/>
      <c r="J6" s="318">
        <f>VLOOKUP(D6,產線配置圖!$A$2:$C$38,2,0)</f>
        <v>17</v>
      </c>
      <c r="K6" s="315">
        <v>1800</v>
      </c>
      <c r="L6" s="319">
        <f>K6/J6</f>
        <v>105.88235294117646</v>
      </c>
      <c r="M6" s="320">
        <v>17</v>
      </c>
      <c r="N6" s="315">
        <f t="shared" si="2"/>
        <v>1696.2500000000005</v>
      </c>
      <c r="O6" s="319">
        <f t="shared" si="3"/>
        <v>99.779411764705912</v>
      </c>
      <c r="P6" s="321">
        <f t="shared" si="4"/>
        <v>0</v>
      </c>
      <c r="Q6" s="322">
        <f t="shared" si="5"/>
        <v>-6.1029411764705515</v>
      </c>
      <c r="R6" s="323">
        <f t="shared" si="6"/>
        <v>0.94236111111111143</v>
      </c>
      <c r="S6" s="397"/>
      <c r="T6" s="270">
        <v>0.32777777777777778</v>
      </c>
      <c r="U6" s="270">
        <v>0.3611111111111111</v>
      </c>
      <c r="V6" s="177">
        <f>(T6-U5)*24*60</f>
        <v>18.000000000000014</v>
      </c>
      <c r="W6" s="182">
        <f t="shared" si="7"/>
        <v>47.999999999999986</v>
      </c>
      <c r="X6" s="22"/>
      <c r="Y6" s="22"/>
      <c r="Z6" s="381" t="s">
        <v>250</v>
      </c>
      <c r="AA6" s="381"/>
      <c r="AB6" s="18">
        <f>N6-K6</f>
        <v>-103.74999999999955</v>
      </c>
      <c r="AC6" s="185">
        <f>N6/K6</f>
        <v>0.94236111111111132</v>
      </c>
      <c r="AD6" s="402"/>
    </row>
    <row r="7" spans="1:30" ht="15" customHeight="1">
      <c r="A7" s="412"/>
      <c r="B7" s="56" t="str">
        <f>VLOOKUP(D7,廠價表!$C$1:$E$39,2,0)</f>
        <v>義大利麵</v>
      </c>
      <c r="C7" s="10"/>
      <c r="D7" s="11" t="s">
        <v>141</v>
      </c>
      <c r="E7" s="86"/>
      <c r="F7" s="56">
        <f>VLOOKUP(D7,廠價表!$C$1:$E$39,3,0)</f>
        <v>49.14</v>
      </c>
      <c r="G7" s="25">
        <v>3881</v>
      </c>
      <c r="H7" s="15">
        <f t="shared" ref="H7:H8" si="8">F7*G7</f>
        <v>190712.34</v>
      </c>
      <c r="I7" s="182"/>
      <c r="J7" s="16">
        <f>VLOOKUP(D7,產線配置圖!$A$2:$C$38,2,0)</f>
        <v>13</v>
      </c>
      <c r="K7" s="14">
        <f>VLOOKUP(D7,產線配置圖!$A$2:$C$38,3,0)</f>
        <v>2000</v>
      </c>
      <c r="L7" s="17">
        <f>K7/J7</f>
        <v>153.84615384615384</v>
      </c>
      <c r="M7" s="180">
        <v>13</v>
      </c>
      <c r="N7" s="14">
        <f t="shared" si="2"/>
        <v>1819.2187500000009</v>
      </c>
      <c r="O7" s="17">
        <f t="shared" si="3"/>
        <v>139.93990384615392</v>
      </c>
      <c r="P7" s="18">
        <f t="shared" si="4"/>
        <v>0</v>
      </c>
      <c r="Q7" s="19">
        <f t="shared" si="5"/>
        <v>-13.906249999999915</v>
      </c>
      <c r="R7" s="185">
        <f t="shared" si="6"/>
        <v>0.9096093750000005</v>
      </c>
      <c r="S7" s="397"/>
      <c r="T7" s="95">
        <v>0.36944444444444446</v>
      </c>
      <c r="U7" s="95">
        <v>0.45833333333333331</v>
      </c>
      <c r="V7" s="177">
        <f>(T7-U6)*24*60</f>
        <v>12.000000000000037</v>
      </c>
      <c r="W7" s="182">
        <f t="shared" si="7"/>
        <v>127.99999999999994</v>
      </c>
      <c r="X7" s="22"/>
      <c r="Y7" s="22"/>
      <c r="Z7" s="405"/>
      <c r="AA7" s="405"/>
      <c r="AB7" s="18">
        <f>N7-K7</f>
        <v>-180.78124999999909</v>
      </c>
      <c r="AC7" s="185">
        <f>N7/K7</f>
        <v>0.9096093750000005</v>
      </c>
      <c r="AD7" s="402"/>
    </row>
    <row r="8" spans="1:30" ht="15" customHeight="1">
      <c r="A8" s="412"/>
      <c r="B8" s="56" t="str">
        <f>VLOOKUP(D8,廠價表!$C$1:$E$39,2,0)</f>
        <v>義大利麵</v>
      </c>
      <c r="C8" s="10"/>
      <c r="D8" s="11" t="s">
        <v>206</v>
      </c>
      <c r="E8" s="86"/>
      <c r="F8" s="56">
        <f>VLOOKUP(D8,廠價表!$C$1:$E$39,3,0)</f>
        <v>56.43</v>
      </c>
      <c r="G8" s="25">
        <v>1139</v>
      </c>
      <c r="H8" s="15">
        <f t="shared" si="8"/>
        <v>64273.77</v>
      </c>
      <c r="I8" s="182"/>
      <c r="J8" s="16">
        <f>VLOOKUP(D8,產線配置圖!$A$2:$C$38,2,0)</f>
        <v>15</v>
      </c>
      <c r="K8" s="14">
        <f>VLOOKUP(D8,產線配置圖!$A$2:$C$38,3,0)</f>
        <v>1636</v>
      </c>
      <c r="L8" s="17">
        <f>K8/J8</f>
        <v>109.06666666666666</v>
      </c>
      <c r="M8" s="180">
        <v>13</v>
      </c>
      <c r="N8" s="14">
        <f t="shared" si="2"/>
        <v>962.53521126760688</v>
      </c>
      <c r="O8" s="17">
        <f t="shared" si="3"/>
        <v>74.041170097508228</v>
      </c>
      <c r="P8" s="18">
        <f t="shared" si="4"/>
        <v>-2</v>
      </c>
      <c r="Q8" s="19">
        <f t="shared" si="5"/>
        <v>-35.025496569158435</v>
      </c>
      <c r="R8" s="185">
        <f t="shared" si="6"/>
        <v>0.67886158402360852</v>
      </c>
      <c r="S8" s="397"/>
      <c r="T8" s="95">
        <v>0.52361111111111114</v>
      </c>
      <c r="U8" s="95">
        <v>0.57291666666666663</v>
      </c>
      <c r="V8" s="177">
        <f t="shared" ref="V8" si="9">(T8-U7)*24*60</f>
        <v>94.000000000000071</v>
      </c>
      <c r="W8" s="182">
        <f t="shared" si="7"/>
        <v>70.999999999999915</v>
      </c>
      <c r="X8" s="22">
        <v>0.47916666666666669</v>
      </c>
      <c r="Y8" s="263">
        <v>0.52083333333333337</v>
      </c>
      <c r="Z8" s="406" t="s">
        <v>256</v>
      </c>
      <c r="AA8" s="406"/>
      <c r="AB8" s="18">
        <f>N8-K8</f>
        <v>-673.46478873239312</v>
      </c>
      <c r="AC8" s="185">
        <f>N8/K8</f>
        <v>0.58834670615379392</v>
      </c>
      <c r="AD8" s="402"/>
    </row>
    <row r="9" spans="1:30" ht="15" customHeight="1">
      <c r="A9" s="413"/>
      <c r="B9" s="56"/>
      <c r="C9" s="10"/>
      <c r="D9" s="11"/>
      <c r="E9" s="86"/>
      <c r="F9" s="56"/>
      <c r="G9" s="25"/>
      <c r="H9" s="15"/>
      <c r="I9" s="182"/>
      <c r="J9" s="16"/>
      <c r="K9" s="14"/>
      <c r="L9" s="17"/>
      <c r="M9" s="180"/>
      <c r="N9" s="14"/>
      <c r="O9" s="17"/>
      <c r="P9" s="18"/>
      <c r="Q9" s="19"/>
      <c r="R9" s="185"/>
      <c r="S9" s="398"/>
      <c r="T9" s="20"/>
      <c r="U9" s="20"/>
      <c r="V9" s="177"/>
      <c r="W9" s="24">
        <f t="shared" si="7"/>
        <v>0</v>
      </c>
      <c r="X9" s="22"/>
      <c r="Y9" s="263"/>
      <c r="Z9" s="407"/>
      <c r="AA9" s="407"/>
      <c r="AB9" s="18"/>
      <c r="AC9" s="185"/>
      <c r="AD9" s="403"/>
    </row>
    <row r="10" spans="1:30" ht="15" customHeight="1">
      <c r="A10" s="413"/>
      <c r="B10" s="56"/>
      <c r="C10" s="23"/>
      <c r="D10" s="11"/>
      <c r="E10" s="12"/>
      <c r="F10" s="56"/>
      <c r="G10" s="25"/>
      <c r="H10" s="15"/>
      <c r="I10" s="182"/>
      <c r="J10" s="16"/>
      <c r="K10" s="14"/>
      <c r="L10" s="17"/>
      <c r="M10" s="180"/>
      <c r="N10" s="14"/>
      <c r="O10" s="17"/>
      <c r="P10" s="18"/>
      <c r="Q10" s="19"/>
      <c r="R10" s="185"/>
      <c r="S10" s="398"/>
      <c r="T10" s="20"/>
      <c r="U10" s="20"/>
      <c r="V10" s="177"/>
      <c r="W10" s="182">
        <f t="shared" si="7"/>
        <v>0</v>
      </c>
      <c r="X10" s="22"/>
      <c r="Y10" s="263"/>
      <c r="Z10" s="419"/>
      <c r="AA10" s="418"/>
      <c r="AB10" s="264"/>
      <c r="AC10" s="185"/>
      <c r="AD10" s="403"/>
    </row>
    <row r="11" spans="1:30" ht="15" customHeight="1">
      <c r="A11" s="413"/>
      <c r="B11" s="56"/>
      <c r="C11" s="183"/>
      <c r="D11" s="11"/>
      <c r="E11" s="12"/>
      <c r="F11" s="56"/>
      <c r="G11" s="25"/>
      <c r="H11" s="15">
        <f t="shared" ref="H11:H12" si="10">F11*G11</f>
        <v>0</v>
      </c>
      <c r="I11" s="182"/>
      <c r="J11" s="16"/>
      <c r="K11" s="14"/>
      <c r="L11" s="17"/>
      <c r="M11" s="180"/>
      <c r="N11" s="14"/>
      <c r="O11" s="17"/>
      <c r="P11" s="18"/>
      <c r="Q11" s="19"/>
      <c r="R11" s="185"/>
      <c r="S11" s="398"/>
      <c r="T11" s="20"/>
      <c r="U11" s="20"/>
      <c r="V11" s="177"/>
      <c r="W11" s="24">
        <f t="shared" si="7"/>
        <v>0</v>
      </c>
      <c r="X11" s="22"/>
      <c r="Y11" s="263"/>
      <c r="Z11" s="419"/>
      <c r="AA11" s="418"/>
      <c r="AB11" s="264"/>
      <c r="AC11" s="185"/>
      <c r="AD11" s="403"/>
    </row>
    <row r="12" spans="1:30" ht="15" customHeight="1">
      <c r="A12" s="413"/>
      <c r="B12" s="26"/>
      <c r="C12" s="27"/>
      <c r="D12" s="28"/>
      <c r="E12" s="29"/>
      <c r="F12" s="13"/>
      <c r="G12" s="30"/>
      <c r="H12" s="15">
        <f t="shared" si="10"/>
        <v>0</v>
      </c>
      <c r="I12" s="178"/>
      <c r="J12" s="31"/>
      <c r="K12" s="30"/>
      <c r="L12" s="17"/>
      <c r="M12" s="181"/>
      <c r="N12" s="25"/>
      <c r="O12" s="17"/>
      <c r="P12" s="18"/>
      <c r="Q12" s="19"/>
      <c r="R12" s="185"/>
      <c r="S12" s="398"/>
      <c r="T12" s="32"/>
      <c r="U12" s="32"/>
      <c r="V12" s="178"/>
      <c r="W12" s="24">
        <f t="shared" si="7"/>
        <v>0</v>
      </c>
      <c r="X12" s="33"/>
      <c r="Y12" s="33"/>
      <c r="Z12" s="407"/>
      <c r="AA12" s="407"/>
      <c r="AB12" s="34"/>
      <c r="AC12" s="186"/>
      <c r="AD12" s="403"/>
    </row>
    <row r="13" spans="1:30" ht="15" customHeight="1">
      <c r="A13" s="413"/>
      <c r="B13" s="56"/>
      <c r="C13" s="10"/>
      <c r="D13" s="11"/>
      <c r="E13" s="86"/>
      <c r="F13" s="56"/>
      <c r="G13" s="25"/>
      <c r="H13" s="15"/>
      <c r="I13" s="182"/>
      <c r="J13" s="16"/>
      <c r="K13" s="14"/>
      <c r="L13" s="17"/>
      <c r="M13" s="180"/>
      <c r="N13" s="14"/>
      <c r="O13" s="17"/>
      <c r="P13" s="18"/>
      <c r="Q13" s="19"/>
      <c r="R13" s="185"/>
      <c r="S13" s="479"/>
      <c r="T13" s="309"/>
      <c r="U13" s="309"/>
      <c r="V13" s="26"/>
      <c r="W13" s="24">
        <f t="shared" si="7"/>
        <v>0</v>
      </c>
      <c r="X13" s="33"/>
      <c r="Y13" s="33"/>
      <c r="Z13" s="419"/>
      <c r="AA13" s="418"/>
      <c r="AB13" s="34"/>
      <c r="AC13" s="186"/>
      <c r="AD13" s="403"/>
    </row>
    <row r="14" spans="1:30" ht="15" customHeight="1">
      <c r="A14" s="413"/>
      <c r="B14" s="56"/>
      <c r="C14" s="10"/>
      <c r="D14" s="11"/>
      <c r="E14" s="86"/>
      <c r="F14" s="56"/>
      <c r="G14" s="25"/>
      <c r="H14" s="15"/>
      <c r="I14" s="182"/>
      <c r="J14" s="16"/>
      <c r="K14" s="14"/>
      <c r="L14" s="17"/>
      <c r="M14" s="180"/>
      <c r="N14" s="14"/>
      <c r="O14" s="17"/>
      <c r="P14" s="18"/>
      <c r="Q14" s="19"/>
      <c r="R14" s="185"/>
      <c r="S14" s="398"/>
      <c r="T14" s="79"/>
      <c r="U14" s="79"/>
      <c r="V14" s="178"/>
      <c r="W14" s="24">
        <f t="shared" si="7"/>
        <v>0</v>
      </c>
      <c r="X14" s="33"/>
      <c r="Y14" s="33"/>
      <c r="Z14" s="419"/>
      <c r="AA14" s="418"/>
      <c r="AB14" s="34"/>
      <c r="AC14" s="186"/>
      <c r="AD14" s="403"/>
    </row>
    <row r="15" spans="1:30" ht="15" customHeight="1" thickBot="1">
      <c r="A15" s="414"/>
      <c r="B15" s="113"/>
      <c r="C15" s="113" t="s">
        <v>34</v>
      </c>
      <c r="D15" s="410" t="s">
        <v>7</v>
      </c>
      <c r="E15" s="410"/>
      <c r="F15" s="114"/>
      <c r="G15" s="115"/>
      <c r="H15" s="116"/>
      <c r="I15" s="117"/>
      <c r="J15" s="118">
        <f t="shared" ref="J15:O15" si="11">AVERAGE(J5:J14)</f>
        <v>14.5</v>
      </c>
      <c r="K15" s="118">
        <f t="shared" si="11"/>
        <v>1885.25</v>
      </c>
      <c r="L15" s="115">
        <f t="shared" si="11"/>
        <v>132.67956259426848</v>
      </c>
      <c r="M15" s="118">
        <f t="shared" si="11"/>
        <v>14</v>
      </c>
      <c r="N15" s="118">
        <f t="shared" si="11"/>
        <v>1549.9176569835695</v>
      </c>
      <c r="O15" s="115">
        <f t="shared" si="11"/>
        <v>111.54909578606643</v>
      </c>
      <c r="P15" s="119">
        <f t="shared" ref="P15:P19" si="12">M15-J15</f>
        <v>-0.5</v>
      </c>
      <c r="Q15" s="120">
        <f t="shared" ref="Q15:Q19" si="13">O15-L15</f>
        <v>-21.130466808202044</v>
      </c>
      <c r="R15" s="121">
        <f t="shared" ref="R15:R19" si="14">O15/L15</f>
        <v>0.84074060544788953</v>
      </c>
      <c r="S15" s="399"/>
      <c r="T15" s="122"/>
      <c r="U15" s="122"/>
      <c r="V15" s="195"/>
      <c r="W15" s="123"/>
      <c r="X15" s="124"/>
      <c r="Y15" s="124"/>
      <c r="Z15" s="391"/>
      <c r="AA15" s="391"/>
      <c r="AB15" s="119">
        <f>N15-K15</f>
        <v>-335.33234301643051</v>
      </c>
      <c r="AC15" s="187">
        <f>N15/K15</f>
        <v>0.82212844820770159</v>
      </c>
      <c r="AD15" s="404"/>
    </row>
    <row r="16" spans="1:30" ht="15" customHeight="1">
      <c r="A16" s="431" t="s">
        <v>67</v>
      </c>
      <c r="B16" s="199" t="str">
        <f>VLOOKUP(D16,廠價表!$C$1:$E$39,2,0)</f>
        <v>義大利麵</v>
      </c>
      <c r="C16" s="102"/>
      <c r="D16" s="103" t="s">
        <v>127</v>
      </c>
      <c r="E16" s="104"/>
      <c r="F16" s="199">
        <f>VLOOKUP(D16,廠價表!$C$1:$E$39,3,0)</f>
        <v>57.21</v>
      </c>
      <c r="G16" s="265">
        <v>990</v>
      </c>
      <c r="H16" s="125">
        <f t="shared" ref="H16:H25" si="15">F16*G16</f>
        <v>56637.9</v>
      </c>
      <c r="I16" s="126"/>
      <c r="J16" s="108">
        <f>VLOOKUP(D16,產線配置圖!$A$2:$C$38,2,0)</f>
        <v>13</v>
      </c>
      <c r="K16" s="105">
        <f>VLOOKUP(D16,產線配置圖!$A$2:$C$38,3,0)</f>
        <v>2105</v>
      </c>
      <c r="L16" s="109">
        <f t="shared" ref="L16:L19" si="16">K16/J16</f>
        <v>161.92307692307693</v>
      </c>
      <c r="M16" s="267">
        <v>13</v>
      </c>
      <c r="N16" s="127">
        <f t="shared" ref="N16:N19" si="17">G16/W16*60</f>
        <v>1747.058823529414</v>
      </c>
      <c r="O16" s="128">
        <f>N16/M16</f>
        <v>134.38914027149337</v>
      </c>
      <c r="P16" s="129">
        <f>M16-J16</f>
        <v>0</v>
      </c>
      <c r="Q16" s="130">
        <f t="shared" si="13"/>
        <v>-27.533936651583559</v>
      </c>
      <c r="R16" s="189">
        <f>O16/L16</f>
        <v>0.82995668576219184</v>
      </c>
      <c r="S16" s="424">
        <f>R26</f>
        <v>0.87547656944432783</v>
      </c>
      <c r="T16" s="268">
        <v>0.2902777777777778</v>
      </c>
      <c r="U16" s="268">
        <v>0.31388888888888888</v>
      </c>
      <c r="V16" s="126"/>
      <c r="W16" s="131">
        <f t="shared" ref="W16:W78" si="18">(U16-T16)*24*60</f>
        <v>33.999999999999957</v>
      </c>
      <c r="X16" s="128"/>
      <c r="Y16" s="128"/>
      <c r="Z16" s="400"/>
      <c r="AA16" s="400"/>
      <c r="AB16" s="111">
        <f>N16-K16</f>
        <v>-357.94117647058602</v>
      </c>
      <c r="AC16" s="184">
        <f>N16/K16</f>
        <v>0.82995668576219195</v>
      </c>
      <c r="AD16" s="401">
        <f>AC26</f>
        <v>0.87392347250267799</v>
      </c>
    </row>
    <row r="17" spans="1:30" ht="15" customHeight="1">
      <c r="A17" s="432"/>
      <c r="B17" s="56" t="str">
        <f>VLOOKUP(D17,廠價表!$C$1:$E$39,2,0)</f>
        <v>義大利麵</v>
      </c>
      <c r="C17" s="10"/>
      <c r="D17" s="11" t="s">
        <v>153</v>
      </c>
      <c r="E17" s="86"/>
      <c r="F17" s="56">
        <f>VLOOKUP(D17,廠價表!$C$1:$E$39,3,0)</f>
        <v>50.67</v>
      </c>
      <c r="G17" s="96">
        <v>3226</v>
      </c>
      <c r="H17" s="15">
        <f t="shared" si="15"/>
        <v>163461.42000000001</v>
      </c>
      <c r="I17" s="177"/>
      <c r="J17" s="16">
        <f>VLOOKUP(D17,產線配置圖!$A$2:$C$38,2,0)</f>
        <v>13</v>
      </c>
      <c r="K17" s="14">
        <f>VLOOKUP(D17,產線配置圖!$A$2:$C$38,3,0)</f>
        <v>2000</v>
      </c>
      <c r="L17" s="17">
        <f t="shared" si="16"/>
        <v>153.84615384615384</v>
      </c>
      <c r="M17" s="37">
        <v>13</v>
      </c>
      <c r="N17" s="36">
        <f t="shared" si="17"/>
        <v>1683.130434782609</v>
      </c>
      <c r="O17" s="38">
        <f t="shared" ref="O17:O19" si="19">N17/M17</f>
        <v>129.47157190635454</v>
      </c>
      <c r="P17" s="39">
        <f t="shared" si="12"/>
        <v>0</v>
      </c>
      <c r="Q17" s="40">
        <f t="shared" si="13"/>
        <v>-24.374581939799299</v>
      </c>
      <c r="R17" s="190">
        <f t="shared" si="14"/>
        <v>0.84156521739130452</v>
      </c>
      <c r="S17" s="425"/>
      <c r="T17" s="41">
        <v>0.32222222222222224</v>
      </c>
      <c r="U17" s="41">
        <v>0.40208333333333335</v>
      </c>
      <c r="V17" s="177">
        <f>(T17-U16)*24*60</f>
        <v>12.000000000000037</v>
      </c>
      <c r="W17" s="43">
        <f t="shared" si="18"/>
        <v>114.99999999999999</v>
      </c>
      <c r="X17" s="44"/>
      <c r="Y17" s="44"/>
      <c r="Z17" s="381" t="s">
        <v>251</v>
      </c>
      <c r="AA17" s="381"/>
      <c r="AB17" s="18">
        <f>N17-K17</f>
        <v>-316.86956521739103</v>
      </c>
      <c r="AC17" s="185">
        <f>N17/K17</f>
        <v>0.84156521739130452</v>
      </c>
      <c r="AD17" s="402"/>
    </row>
    <row r="18" spans="1:30" ht="15" customHeight="1">
      <c r="A18" s="432"/>
      <c r="B18" s="56" t="str">
        <f>VLOOKUP(D18,廠價表!$C$1:$E$39,2,0)</f>
        <v>義大利麵</v>
      </c>
      <c r="C18" s="10"/>
      <c r="D18" s="11" t="s">
        <v>239</v>
      </c>
      <c r="E18" s="86"/>
      <c r="F18" s="56">
        <f>VLOOKUP(D18,廠價表!$C$1:$E$39,3,0)</f>
        <v>50.39</v>
      </c>
      <c r="G18" s="96">
        <v>2132</v>
      </c>
      <c r="H18" s="15">
        <f t="shared" si="15"/>
        <v>107431.48</v>
      </c>
      <c r="I18" s="177"/>
      <c r="J18" s="16">
        <f>VLOOKUP(D18,產線配置圖!$A$2:$C$38,2,0)</f>
        <v>12</v>
      </c>
      <c r="K18" s="14">
        <f>VLOOKUP(D18,產線配置圖!$A$2:$C$38,3,0)</f>
        <v>2000</v>
      </c>
      <c r="L18" s="17">
        <f t="shared" si="16"/>
        <v>166.66666666666666</v>
      </c>
      <c r="M18" s="37">
        <v>12</v>
      </c>
      <c r="N18" s="36">
        <f t="shared" si="17"/>
        <v>1827.4285714285718</v>
      </c>
      <c r="O18" s="38">
        <f t="shared" si="19"/>
        <v>152.28571428571431</v>
      </c>
      <c r="P18" s="39">
        <f t="shared" si="12"/>
        <v>0</v>
      </c>
      <c r="Q18" s="40">
        <f t="shared" si="13"/>
        <v>-14.380952380952351</v>
      </c>
      <c r="R18" s="190">
        <f t="shared" si="14"/>
        <v>0.91371428571428592</v>
      </c>
      <c r="S18" s="425"/>
      <c r="T18" s="41">
        <v>0.40972222222222221</v>
      </c>
      <c r="U18" s="41">
        <v>0.45833333333333331</v>
      </c>
      <c r="V18" s="177">
        <f>(T18-U17)*24*60</f>
        <v>10.999999999999961</v>
      </c>
      <c r="W18" s="43">
        <f t="shared" si="18"/>
        <v>69.999999999999986</v>
      </c>
      <c r="X18" s="22"/>
      <c r="Y18" s="22"/>
      <c r="Z18" s="406"/>
      <c r="AA18" s="406"/>
      <c r="AB18" s="18">
        <f>N18-K18</f>
        <v>-172.57142857142821</v>
      </c>
      <c r="AC18" s="185">
        <f>N18/K18</f>
        <v>0.91371428571428592</v>
      </c>
      <c r="AD18" s="402"/>
    </row>
    <row r="19" spans="1:30" ht="15" customHeight="1">
      <c r="A19" s="432"/>
      <c r="B19" s="56" t="str">
        <f>VLOOKUP(D19,廠價表!$C$1:$E$39,2,0)</f>
        <v>義大利麵</v>
      </c>
      <c r="C19" s="10"/>
      <c r="D19" s="11" t="s">
        <v>239</v>
      </c>
      <c r="E19" s="86"/>
      <c r="F19" s="56">
        <f>VLOOKUP(D19,廠價表!$C$1:$E$39,3,0)</f>
        <v>50.39</v>
      </c>
      <c r="G19" s="96">
        <v>1430</v>
      </c>
      <c r="H19" s="15">
        <f t="shared" si="15"/>
        <v>72057.7</v>
      </c>
      <c r="I19" s="177"/>
      <c r="J19" s="16">
        <f>VLOOKUP(D19,產線配置圖!$A$2:$C$38,2,0)</f>
        <v>12</v>
      </c>
      <c r="K19" s="14">
        <f>VLOOKUP(D19,產線配置圖!$A$2:$C$38,3,0)</f>
        <v>2000</v>
      </c>
      <c r="L19" s="17">
        <f t="shared" si="16"/>
        <v>166.66666666666666</v>
      </c>
      <c r="M19" s="37">
        <v>12</v>
      </c>
      <c r="N19" s="36">
        <f t="shared" si="17"/>
        <v>1825.531914893611</v>
      </c>
      <c r="O19" s="38">
        <f t="shared" si="19"/>
        <v>152.12765957446757</v>
      </c>
      <c r="P19" s="39">
        <f t="shared" si="12"/>
        <v>0</v>
      </c>
      <c r="Q19" s="40">
        <f t="shared" si="13"/>
        <v>-14.539007092199085</v>
      </c>
      <c r="R19" s="190">
        <f t="shared" si="14"/>
        <v>0.91276595744680544</v>
      </c>
      <c r="S19" s="425"/>
      <c r="T19" s="41">
        <v>0.51458333333333328</v>
      </c>
      <c r="U19" s="41">
        <v>0.54722222222222228</v>
      </c>
      <c r="V19" s="177">
        <f>(T19-U18)*24*60</f>
        <v>80.999999999999957</v>
      </c>
      <c r="W19" s="43">
        <f t="shared" si="18"/>
        <v>47.000000000000156</v>
      </c>
      <c r="X19" s="22">
        <v>0.46527777777777779</v>
      </c>
      <c r="Y19" s="22">
        <v>0.50694444444444442</v>
      </c>
      <c r="Z19" s="407"/>
      <c r="AA19" s="407"/>
      <c r="AB19" s="18">
        <f>N19-K19</f>
        <v>-174.46808510638903</v>
      </c>
      <c r="AC19" s="185">
        <f>N19/K19</f>
        <v>0.91276595744680544</v>
      </c>
      <c r="AD19" s="403"/>
    </row>
    <row r="20" spans="1:30" ht="15" customHeight="1">
      <c r="A20" s="432"/>
      <c r="B20" s="56"/>
      <c r="C20" s="10"/>
      <c r="D20" s="11"/>
      <c r="E20" s="86"/>
      <c r="F20" s="56"/>
      <c r="G20" s="96"/>
      <c r="H20" s="15"/>
      <c r="I20" s="177"/>
      <c r="J20" s="16"/>
      <c r="K20" s="14"/>
      <c r="L20" s="17"/>
      <c r="M20" s="37"/>
      <c r="N20" s="36"/>
      <c r="O20" s="38"/>
      <c r="P20" s="39"/>
      <c r="Q20" s="40"/>
      <c r="R20" s="190"/>
      <c r="S20" s="425"/>
      <c r="T20" s="41"/>
      <c r="U20" s="79"/>
      <c r="V20" s="177"/>
      <c r="W20" s="43">
        <f t="shared" si="18"/>
        <v>0</v>
      </c>
      <c r="X20" s="44"/>
      <c r="Y20" s="44"/>
      <c r="Z20" s="418"/>
      <c r="AA20" s="405"/>
      <c r="AB20" s="34"/>
      <c r="AC20" s="186"/>
      <c r="AD20" s="403"/>
    </row>
    <row r="21" spans="1:30" ht="15" customHeight="1">
      <c r="A21" s="433"/>
      <c r="B21" s="56"/>
      <c r="C21" s="10"/>
      <c r="D21" s="11"/>
      <c r="E21" s="86"/>
      <c r="F21" s="56"/>
      <c r="G21" s="96"/>
      <c r="H21" s="15"/>
      <c r="I21" s="177"/>
      <c r="J21" s="16"/>
      <c r="K21" s="14"/>
      <c r="L21" s="17"/>
      <c r="M21" s="37"/>
      <c r="N21" s="36"/>
      <c r="O21" s="38"/>
      <c r="P21" s="39"/>
      <c r="Q21" s="40"/>
      <c r="R21" s="190"/>
      <c r="S21" s="425"/>
      <c r="T21" s="41"/>
      <c r="U21" s="41"/>
      <c r="V21" s="177"/>
      <c r="W21" s="43">
        <f t="shared" si="18"/>
        <v>0</v>
      </c>
      <c r="X21" s="42"/>
      <c r="Y21" s="42"/>
      <c r="Z21" s="418"/>
      <c r="AA21" s="405"/>
      <c r="AB21" s="34"/>
      <c r="AC21" s="186"/>
      <c r="AD21" s="403"/>
    </row>
    <row r="22" spans="1:30" ht="15" customHeight="1">
      <c r="A22" s="433"/>
      <c r="B22" s="177"/>
      <c r="C22" s="183"/>
      <c r="D22" s="11"/>
      <c r="E22" s="12"/>
      <c r="F22" s="13"/>
      <c r="G22" s="36"/>
      <c r="H22" s="15">
        <f t="shared" si="15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90"/>
      <c r="S22" s="425"/>
      <c r="T22" s="41"/>
      <c r="U22" s="41"/>
      <c r="V22" s="42"/>
      <c r="W22" s="43">
        <v>0</v>
      </c>
      <c r="X22" s="42"/>
      <c r="Y22" s="42"/>
      <c r="Z22" s="418"/>
      <c r="AA22" s="405"/>
      <c r="AB22" s="34"/>
      <c r="AC22" s="186"/>
      <c r="AD22" s="403"/>
    </row>
    <row r="23" spans="1:30" ht="15" customHeight="1">
      <c r="A23" s="433"/>
      <c r="B23" s="56"/>
      <c r="C23" s="23"/>
      <c r="D23" s="11"/>
      <c r="E23" s="12"/>
      <c r="F23" s="56"/>
      <c r="G23" s="96"/>
      <c r="H23" s="15"/>
      <c r="I23" s="177"/>
      <c r="J23" s="16"/>
      <c r="K23" s="14"/>
      <c r="L23" s="17"/>
      <c r="M23" s="37"/>
      <c r="N23" s="36"/>
      <c r="O23" s="38"/>
      <c r="P23" s="39"/>
      <c r="Q23" s="40"/>
      <c r="R23" s="190"/>
      <c r="S23" s="425"/>
      <c r="T23" s="41"/>
      <c r="U23" s="41"/>
      <c r="W23" s="43">
        <f t="shared" si="18"/>
        <v>0</v>
      </c>
      <c r="X23" s="42"/>
      <c r="Y23" s="42"/>
      <c r="Z23" s="418"/>
      <c r="AA23" s="405"/>
      <c r="AB23" s="34"/>
      <c r="AC23" s="186"/>
      <c r="AD23" s="403"/>
    </row>
    <row r="24" spans="1:30" ht="15" customHeight="1">
      <c r="A24" s="433"/>
      <c r="B24" s="26"/>
      <c r="C24" s="27"/>
      <c r="D24" s="28"/>
      <c r="E24" s="29"/>
      <c r="F24" s="13"/>
      <c r="G24" s="36"/>
      <c r="H24" s="15">
        <f t="shared" si="15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90"/>
      <c r="S24" s="425"/>
      <c r="T24" s="41"/>
      <c r="U24" s="41"/>
      <c r="V24" s="42"/>
      <c r="W24" s="43">
        <f t="shared" si="18"/>
        <v>0</v>
      </c>
      <c r="X24" s="42"/>
      <c r="Y24" s="42"/>
      <c r="Z24" s="418"/>
      <c r="AA24" s="405"/>
      <c r="AB24" s="34"/>
      <c r="AC24" s="186"/>
      <c r="AD24" s="403"/>
    </row>
    <row r="25" spans="1:30" ht="15" customHeight="1">
      <c r="A25" s="433"/>
      <c r="B25" s="26"/>
      <c r="C25" s="27"/>
      <c r="D25" s="28"/>
      <c r="E25" s="29"/>
      <c r="F25" s="13"/>
      <c r="G25" s="36"/>
      <c r="H25" s="50">
        <f t="shared" si="15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90"/>
      <c r="S25" s="425"/>
      <c r="T25" s="41"/>
      <c r="U25" s="41"/>
      <c r="V25" s="42"/>
      <c r="W25" s="43">
        <f t="shared" si="18"/>
        <v>0</v>
      </c>
      <c r="X25" s="42"/>
      <c r="Y25" s="42"/>
      <c r="Z25" s="418"/>
      <c r="AA25" s="405"/>
      <c r="AB25" s="34"/>
      <c r="AC25" s="186"/>
      <c r="AD25" s="403"/>
    </row>
    <row r="26" spans="1:30" ht="15" customHeight="1" thickBot="1">
      <c r="A26" s="434"/>
      <c r="B26" s="132"/>
      <c r="C26" s="1" t="s">
        <v>35</v>
      </c>
      <c r="D26" s="410" t="s">
        <v>7</v>
      </c>
      <c r="E26" s="410"/>
      <c r="F26" s="133"/>
      <c r="G26" s="134"/>
      <c r="H26" s="135"/>
      <c r="I26" s="136"/>
      <c r="J26" s="134">
        <f t="shared" ref="J26:O26" si="20">AVERAGE(J16:J25)</f>
        <v>12.5</v>
      </c>
      <c r="K26" s="134">
        <f t="shared" si="20"/>
        <v>2026.25</v>
      </c>
      <c r="L26" s="137">
        <f t="shared" si="20"/>
        <v>162.27564102564102</v>
      </c>
      <c r="M26" s="134">
        <f t="shared" si="20"/>
        <v>12.5</v>
      </c>
      <c r="N26" s="134">
        <f t="shared" si="20"/>
        <v>1770.7874361585514</v>
      </c>
      <c r="O26" s="137">
        <f t="shared" si="20"/>
        <v>142.06852150950743</v>
      </c>
      <c r="P26" s="138">
        <f t="shared" ref="P26:P30" si="21">M26-J26</f>
        <v>0</v>
      </c>
      <c r="Q26" s="139">
        <f t="shared" ref="Q26:Q30" si="22">O26-L26</f>
        <v>-20.207119516133588</v>
      </c>
      <c r="R26" s="140">
        <f t="shared" ref="R26:R30" si="23">O26/L26</f>
        <v>0.87547656944432783</v>
      </c>
      <c r="S26" s="435"/>
      <c r="T26" s="141"/>
      <c r="U26" s="141"/>
      <c r="V26" s="146"/>
      <c r="W26" s="142"/>
      <c r="X26" s="143"/>
      <c r="Y26" s="143"/>
      <c r="Z26" s="420"/>
      <c r="AA26" s="391"/>
      <c r="AB26" s="119">
        <f>N26-K26</f>
        <v>-255.46256384144863</v>
      </c>
      <c r="AC26" s="187">
        <f>N26/K26</f>
        <v>0.87392347250267799</v>
      </c>
      <c r="AD26" s="404"/>
    </row>
    <row r="27" spans="1:30" ht="15" customHeight="1">
      <c r="A27" s="421" t="s">
        <v>54</v>
      </c>
      <c r="B27" s="229" t="s">
        <v>62</v>
      </c>
      <c r="C27" s="102"/>
      <c r="D27" s="103" t="s">
        <v>144</v>
      </c>
      <c r="E27" s="104"/>
      <c r="F27" s="199">
        <f>VLOOKUP(D27,廠價表!$C$1:$E$39,3,0)</f>
        <v>49.91</v>
      </c>
      <c r="G27" s="269">
        <v>2154</v>
      </c>
      <c r="H27" s="125">
        <f t="shared" ref="H27:H41" si="24">F27*G27</f>
        <v>107506.14</v>
      </c>
      <c r="I27" s="126"/>
      <c r="J27" s="16">
        <f>VLOOKUP(D27,產線配置圖!$A$2:$C$38,2,0)</f>
        <v>17</v>
      </c>
      <c r="K27" s="14">
        <f>VLOOKUP(D27,產線配置圖!$A$2:$C$38,3,0)</f>
        <v>1565</v>
      </c>
      <c r="L27" s="109">
        <f>K27/J27</f>
        <v>92.058823529411768</v>
      </c>
      <c r="M27" s="144">
        <v>15</v>
      </c>
      <c r="N27" s="127">
        <f>G27/W27*60</f>
        <v>1114.1379310344828</v>
      </c>
      <c r="O27" s="128">
        <f>N27/M27</f>
        <v>74.275862068965523</v>
      </c>
      <c r="P27" s="129">
        <f t="shared" si="21"/>
        <v>-2</v>
      </c>
      <c r="Q27" s="130">
        <f t="shared" si="22"/>
        <v>-17.782961460446245</v>
      </c>
      <c r="R27" s="189">
        <f>O27/L27</f>
        <v>0.80683045058940184</v>
      </c>
      <c r="S27" s="424">
        <f>R37</f>
        <v>0.89243525967215565</v>
      </c>
      <c r="T27" s="94">
        <v>0.29166666666666669</v>
      </c>
      <c r="U27" s="94">
        <v>0.37222222222222223</v>
      </c>
      <c r="V27" s="126"/>
      <c r="W27" s="131">
        <f t="shared" si="18"/>
        <v>115.99999999999999</v>
      </c>
      <c r="X27" s="126"/>
      <c r="Y27" s="126" t="s">
        <v>147</v>
      </c>
      <c r="Z27" s="427"/>
      <c r="AA27" s="400"/>
      <c r="AB27" s="225">
        <f>N27-K27</f>
        <v>-450.86206896551721</v>
      </c>
      <c r="AC27" s="291">
        <f>N27/K27</f>
        <v>0.71190922110829569</v>
      </c>
      <c r="AD27" s="401">
        <f>AC37</f>
        <v>0.83019712758182118</v>
      </c>
    </row>
    <row r="28" spans="1:30" ht="15" customHeight="1">
      <c r="A28" s="422"/>
      <c r="B28" s="56" t="str">
        <f>VLOOKUP(D28,廠價表!$C$1:$E$39,2,0)</f>
        <v>義大利麵</v>
      </c>
      <c r="C28" s="10"/>
      <c r="D28" s="11" t="s">
        <v>137</v>
      </c>
      <c r="E28" s="86"/>
      <c r="F28" s="56">
        <f>VLOOKUP(D28,廠價表!$C$1:$E$39,3,0)</f>
        <v>55.13</v>
      </c>
      <c r="G28" s="53">
        <v>968</v>
      </c>
      <c r="H28" s="50">
        <f t="shared" si="24"/>
        <v>53365.840000000004</v>
      </c>
      <c r="I28" s="42"/>
      <c r="J28" s="16">
        <f>VLOOKUP(D28,產線配置圖!$A$2:$C$38,2,0)</f>
        <v>18</v>
      </c>
      <c r="K28" s="14">
        <f>VLOOKUP(D28,產線配置圖!$A$2:$C$38,3,0)</f>
        <v>1385</v>
      </c>
      <c r="L28" s="235">
        <f>K28/J28</f>
        <v>76.944444444444443</v>
      </c>
      <c r="M28" s="21">
        <v>15</v>
      </c>
      <c r="N28" s="36">
        <f>G28/W28*60</f>
        <v>1037.142857142858</v>
      </c>
      <c r="O28" s="38">
        <f>N28/M28</f>
        <v>69.142857142857196</v>
      </c>
      <c r="P28" s="39">
        <f t="shared" si="21"/>
        <v>-3</v>
      </c>
      <c r="Q28" s="40">
        <f t="shared" si="22"/>
        <v>-7.8015873015872472</v>
      </c>
      <c r="R28" s="190">
        <f t="shared" si="23"/>
        <v>0.89860752965446178</v>
      </c>
      <c r="S28" s="425"/>
      <c r="T28" s="270">
        <v>0.38472222222222224</v>
      </c>
      <c r="U28" s="270">
        <v>0.4236111111111111</v>
      </c>
      <c r="V28" s="42">
        <f>(T28-U27)*24*60</f>
        <v>18.000000000000014</v>
      </c>
      <c r="W28" s="43">
        <f t="shared" si="18"/>
        <v>55.999999999999957</v>
      </c>
      <c r="X28" s="54"/>
      <c r="Y28" s="54"/>
      <c r="Z28" s="418"/>
      <c r="AA28" s="419"/>
      <c r="AB28" s="39">
        <f>N28-K28</f>
        <v>-347.85714285714198</v>
      </c>
      <c r="AC28" s="190">
        <f>N28/K28</f>
        <v>0.74883960804538485</v>
      </c>
      <c r="AD28" s="447"/>
    </row>
    <row r="29" spans="1:30" ht="15" customHeight="1">
      <c r="A29" s="422"/>
      <c r="B29" s="56" t="str">
        <f>VLOOKUP(D29,廠價表!$C$1:$E$39,2,0)</f>
        <v>義大利麵</v>
      </c>
      <c r="C29" s="10"/>
      <c r="D29" s="11" t="s">
        <v>158</v>
      </c>
      <c r="E29" s="86"/>
      <c r="F29" s="56">
        <f>VLOOKUP(D29,廠價表!$C$1:$E$39,3,0)</f>
        <v>47.71</v>
      </c>
      <c r="G29" s="53">
        <v>1420</v>
      </c>
      <c r="H29" s="50">
        <f t="shared" si="24"/>
        <v>67748.2</v>
      </c>
      <c r="I29" s="42"/>
      <c r="J29" s="16">
        <f>VLOOKUP(D29,產線配置圖!$A$2:$C$38,2,0)</f>
        <v>15</v>
      </c>
      <c r="K29" s="14">
        <f>VLOOKUP(D29,產線配置圖!$A$2:$C$38,3,0)</f>
        <v>1500</v>
      </c>
      <c r="L29" s="235">
        <f>K29/J29</f>
        <v>100</v>
      </c>
      <c r="M29" s="21">
        <v>15</v>
      </c>
      <c r="N29" s="36">
        <f>G29/W29*60</f>
        <v>1444.0677966101689</v>
      </c>
      <c r="O29" s="38">
        <f>N29/M29</f>
        <v>96.271186440677923</v>
      </c>
      <c r="P29" s="39">
        <f t="shared" si="21"/>
        <v>0</v>
      </c>
      <c r="Q29" s="40">
        <f t="shared" si="22"/>
        <v>-3.7288135593220773</v>
      </c>
      <c r="R29" s="190">
        <f t="shared" si="23"/>
        <v>0.96271186440677925</v>
      </c>
      <c r="S29" s="425"/>
      <c r="T29" s="41">
        <v>0.44166666666666665</v>
      </c>
      <c r="U29" s="41">
        <v>0.4826388888888889</v>
      </c>
      <c r="V29" s="42">
        <f>(T29-U28)*24*60</f>
        <v>25.999999999999986</v>
      </c>
      <c r="W29" s="43">
        <f t="shared" si="18"/>
        <v>59.000000000000028</v>
      </c>
      <c r="X29" s="22"/>
      <c r="Y29" s="22"/>
      <c r="Z29" s="418" t="s">
        <v>252</v>
      </c>
      <c r="AA29" s="419"/>
      <c r="AB29" s="292">
        <f>N29-K29</f>
        <v>-55.932203389831102</v>
      </c>
      <c r="AC29" s="190">
        <f>N29/K29</f>
        <v>0.96271186440677925</v>
      </c>
      <c r="AD29" s="447"/>
    </row>
    <row r="30" spans="1:30" ht="15" customHeight="1">
      <c r="A30" s="422"/>
      <c r="B30" s="56" t="str">
        <f>VLOOKUP(D30,廠價表!$C$1:$E$39,2,0)</f>
        <v>義大利麵</v>
      </c>
      <c r="C30" s="237"/>
      <c r="D30" s="11" t="s">
        <v>158</v>
      </c>
      <c r="E30" s="29"/>
      <c r="F30" s="56">
        <f>VLOOKUP(D30,廠價表!$C$1:$E$39,3,0)</f>
        <v>47.71</v>
      </c>
      <c r="G30" s="53">
        <v>1658</v>
      </c>
      <c r="H30" s="50">
        <f t="shared" si="24"/>
        <v>79103.180000000008</v>
      </c>
      <c r="I30" s="42"/>
      <c r="J30" s="16">
        <f>VLOOKUP(D30,產線配置圖!$A$2:$C$38,2,0)</f>
        <v>15</v>
      </c>
      <c r="K30" s="14">
        <f>VLOOKUP(D30,產線配置圖!$A$2:$C$38,3,0)</f>
        <v>1500</v>
      </c>
      <c r="L30" s="235">
        <f>K30/J30</f>
        <v>100</v>
      </c>
      <c r="M30" s="21">
        <v>15</v>
      </c>
      <c r="N30" s="36">
        <f>G30/W30*60</f>
        <v>1344.3243243243262</v>
      </c>
      <c r="O30" s="38">
        <f>N30/M30</f>
        <v>89.621621621621742</v>
      </c>
      <c r="P30" s="39">
        <f t="shared" si="21"/>
        <v>0</v>
      </c>
      <c r="Q30" s="40">
        <f t="shared" si="22"/>
        <v>-10.378378378378258</v>
      </c>
      <c r="R30" s="190">
        <f t="shared" si="23"/>
        <v>0.89621621621621739</v>
      </c>
      <c r="S30" s="425"/>
      <c r="T30" s="41">
        <v>0.54861111111111116</v>
      </c>
      <c r="U30" s="41">
        <v>0.6</v>
      </c>
      <c r="V30" s="42">
        <f>(T30-U29)*24*60</f>
        <v>95.000000000000057</v>
      </c>
      <c r="W30" s="43">
        <f t="shared" si="18"/>
        <v>73.999999999999901</v>
      </c>
      <c r="X30" s="54">
        <v>0.4861111111111111</v>
      </c>
      <c r="Y30" s="54">
        <v>0.52777777777777779</v>
      </c>
      <c r="Z30" s="449"/>
      <c r="AA30" s="450"/>
      <c r="AB30" s="292"/>
      <c r="AC30" s="190"/>
      <c r="AD30" s="448"/>
    </row>
    <row r="31" spans="1:30" ht="15" customHeight="1">
      <c r="A31" s="422"/>
      <c r="B31" s="56"/>
      <c r="C31" s="237"/>
      <c r="D31" s="11"/>
      <c r="E31" s="29"/>
      <c r="F31" s="56"/>
      <c r="G31" s="53"/>
      <c r="H31" s="50"/>
      <c r="I31" s="42"/>
      <c r="J31" s="16"/>
      <c r="K31" s="14"/>
      <c r="L31" s="235"/>
      <c r="M31" s="21"/>
      <c r="N31" s="36"/>
      <c r="O31" s="38"/>
      <c r="P31" s="39"/>
      <c r="Q31" s="40"/>
      <c r="R31" s="190"/>
      <c r="S31" s="425"/>
      <c r="T31" s="41"/>
      <c r="U31" s="41"/>
      <c r="V31" s="42"/>
      <c r="W31" s="43">
        <f t="shared" si="18"/>
        <v>0</v>
      </c>
      <c r="X31" s="54"/>
      <c r="Y31" s="54"/>
      <c r="Z31" s="449"/>
      <c r="AA31" s="450"/>
      <c r="AB31" s="257"/>
      <c r="AC31" s="258"/>
      <c r="AD31" s="403"/>
    </row>
    <row r="32" spans="1:30" ht="15" customHeight="1">
      <c r="A32" s="422"/>
      <c r="B32" s="56"/>
      <c r="C32" s="252"/>
      <c r="D32" s="253"/>
      <c r="E32" s="254"/>
      <c r="F32" s="56"/>
      <c r="G32" s="53"/>
      <c r="H32" s="50"/>
      <c r="I32" s="42"/>
      <c r="J32" s="255"/>
      <c r="K32" s="36"/>
      <c r="L32" s="256"/>
      <c r="M32" s="21"/>
      <c r="N32" s="36"/>
      <c r="O32" s="38"/>
      <c r="P32" s="39"/>
      <c r="Q32" s="40"/>
      <c r="R32" s="190"/>
      <c r="S32" s="425"/>
      <c r="T32" s="41"/>
      <c r="U32" s="41"/>
      <c r="V32" s="42"/>
      <c r="W32" s="43">
        <f t="shared" si="18"/>
        <v>0</v>
      </c>
      <c r="X32" s="54"/>
      <c r="Y32" s="54"/>
      <c r="Z32" s="418"/>
      <c r="AA32" s="405"/>
      <c r="AB32" s="18"/>
      <c r="AC32" s="185"/>
      <c r="AD32" s="403"/>
    </row>
    <row r="33" spans="1:30" ht="15" customHeight="1">
      <c r="A33" s="422"/>
      <c r="B33" s="240"/>
      <c r="C33" s="241"/>
      <c r="D33" s="242"/>
      <c r="E33" s="243"/>
      <c r="F33" s="223"/>
      <c r="G33" s="244"/>
      <c r="H33" s="245">
        <f t="shared" si="24"/>
        <v>0</v>
      </c>
      <c r="I33" s="246"/>
      <c r="J33" s="247"/>
      <c r="K33" s="45"/>
      <c r="M33" s="248"/>
      <c r="N33" s="45"/>
      <c r="O33" s="46"/>
      <c r="P33" s="47"/>
      <c r="Q33" s="48"/>
      <c r="R33" s="49"/>
      <c r="S33" s="425"/>
      <c r="T33" s="41"/>
      <c r="U33" s="41"/>
      <c r="V33" s="42"/>
      <c r="W33" s="43">
        <f t="shared" si="18"/>
        <v>0</v>
      </c>
      <c r="X33" s="54"/>
      <c r="Y33" s="54"/>
      <c r="Z33" s="418"/>
      <c r="AA33" s="405"/>
      <c r="AB33" s="18"/>
      <c r="AC33" s="57"/>
      <c r="AD33" s="403"/>
    </row>
    <row r="34" spans="1:30" ht="15" customHeight="1">
      <c r="A34" s="422"/>
      <c r="B34" s="231"/>
      <c r="C34" s="27"/>
      <c r="D34" s="28"/>
      <c r="E34" s="29"/>
      <c r="F34" s="13"/>
      <c r="G34" s="53"/>
      <c r="H34" s="50">
        <f t="shared" si="24"/>
        <v>0</v>
      </c>
      <c r="I34" s="42"/>
      <c r="J34" s="37"/>
      <c r="K34" s="36"/>
      <c r="L34" s="38"/>
      <c r="M34" s="21"/>
      <c r="N34" s="36"/>
      <c r="O34" s="38"/>
      <c r="P34" s="39"/>
      <c r="Q34" s="40"/>
      <c r="R34" s="190"/>
      <c r="S34" s="425"/>
      <c r="T34" s="41"/>
      <c r="U34" s="41"/>
      <c r="V34" s="42"/>
      <c r="W34" s="43">
        <f t="shared" si="18"/>
        <v>0</v>
      </c>
      <c r="X34" s="54"/>
      <c r="Y34" s="54"/>
      <c r="Z34" s="418"/>
      <c r="AA34" s="405"/>
      <c r="AB34" s="18"/>
      <c r="AC34" s="57"/>
      <c r="AD34" s="403"/>
    </row>
    <row r="35" spans="1:30" ht="15" customHeight="1">
      <c r="A35" s="422"/>
      <c r="B35" s="231"/>
      <c r="C35" s="27"/>
      <c r="D35" s="28"/>
      <c r="E35" s="29"/>
      <c r="F35" s="13"/>
      <c r="G35" s="53"/>
      <c r="H35" s="50">
        <f t="shared" si="24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90"/>
      <c r="S35" s="425"/>
      <c r="T35" s="41"/>
      <c r="U35" s="41"/>
      <c r="V35" s="42"/>
      <c r="W35" s="43">
        <f t="shared" si="18"/>
        <v>0</v>
      </c>
      <c r="X35" s="54"/>
      <c r="Y35" s="54"/>
      <c r="Z35" s="418"/>
      <c r="AA35" s="405"/>
      <c r="AB35" s="18"/>
      <c r="AC35" s="57"/>
      <c r="AD35" s="403"/>
    </row>
    <row r="36" spans="1:30" ht="15" customHeight="1">
      <c r="A36" s="422"/>
      <c r="B36" s="232"/>
      <c r="C36" s="27"/>
      <c r="D36" s="28"/>
      <c r="E36" s="29"/>
      <c r="F36" s="13"/>
      <c r="G36" s="53"/>
      <c r="H36" s="50">
        <f t="shared" si="24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90"/>
      <c r="S36" s="425"/>
      <c r="T36" s="41"/>
      <c r="U36" s="41"/>
      <c r="V36" s="42"/>
      <c r="W36" s="43">
        <f t="shared" si="18"/>
        <v>0</v>
      </c>
      <c r="X36" s="54"/>
      <c r="Y36" s="54"/>
      <c r="Z36" s="418"/>
      <c r="AA36" s="405"/>
      <c r="AB36" s="18"/>
      <c r="AC36" s="57"/>
      <c r="AD36" s="403"/>
    </row>
    <row r="37" spans="1:30" ht="15" customHeight="1" thickBot="1">
      <c r="A37" s="423"/>
      <c r="B37" s="300"/>
      <c r="C37" s="301" t="s">
        <v>36</v>
      </c>
      <c r="D37" s="428" t="s">
        <v>7</v>
      </c>
      <c r="E37" s="429"/>
      <c r="F37" s="281"/>
      <c r="G37" s="282"/>
      <c r="H37" s="283"/>
      <c r="I37" s="284"/>
      <c r="J37" s="285">
        <f t="shared" ref="J37:O37" si="25">AVERAGE(J27:J36)</f>
        <v>16.25</v>
      </c>
      <c r="K37" s="285">
        <f t="shared" si="25"/>
        <v>1487.5</v>
      </c>
      <c r="L37" s="286">
        <f t="shared" si="25"/>
        <v>92.250816993464056</v>
      </c>
      <c r="M37" s="285">
        <f t="shared" si="25"/>
        <v>15</v>
      </c>
      <c r="N37" s="285">
        <f t="shared" si="25"/>
        <v>1234.918227277959</v>
      </c>
      <c r="O37" s="286">
        <f t="shared" si="25"/>
        <v>82.327881818530599</v>
      </c>
      <c r="P37" s="73">
        <f>M37-J37</f>
        <v>-1.25</v>
      </c>
      <c r="Q37" s="74">
        <f>N37-K37</f>
        <v>-252.58177272204102</v>
      </c>
      <c r="R37" s="287">
        <f t="shared" ref="R37:R41" si="26">O37/L37</f>
        <v>0.89243525967215565</v>
      </c>
      <c r="S37" s="426"/>
      <c r="T37" s="302"/>
      <c r="U37" s="302"/>
      <c r="V37" s="81"/>
      <c r="W37" s="81"/>
      <c r="X37" s="303"/>
      <c r="Y37" s="303"/>
      <c r="Z37" s="480"/>
      <c r="AA37" s="481"/>
      <c r="AB37" s="34">
        <f t="shared" ref="AB37:AB40" si="27">N37-K37</f>
        <v>-252.58177272204102</v>
      </c>
      <c r="AC37" s="186">
        <f t="shared" ref="AC37:AC40" si="28">N37/K37</f>
        <v>0.83019712758182118</v>
      </c>
      <c r="AD37" s="403"/>
    </row>
    <row r="38" spans="1:30" s="62" customFormat="1" ht="15" customHeight="1">
      <c r="A38" s="454" t="s">
        <v>55</v>
      </c>
      <c r="B38" s="229" t="s">
        <v>134</v>
      </c>
      <c r="C38" s="199"/>
      <c r="D38" s="304" t="s">
        <v>154</v>
      </c>
      <c r="E38" s="280"/>
      <c r="F38" s="305">
        <f>VLOOKUP(D38,廠價表!$C$1:$E$39,3,0)</f>
        <v>57.3</v>
      </c>
      <c r="G38" s="266">
        <v>1869</v>
      </c>
      <c r="H38" s="125">
        <f t="shared" si="24"/>
        <v>107093.7</v>
      </c>
      <c r="I38" s="126"/>
      <c r="J38" s="274">
        <v>16</v>
      </c>
      <c r="K38" s="236">
        <v>1500</v>
      </c>
      <c r="L38" s="288">
        <f t="shared" ref="L38:L41" si="29">K38/J38</f>
        <v>93.75</v>
      </c>
      <c r="M38" s="289">
        <v>13</v>
      </c>
      <c r="N38" s="127">
        <f>G38/W38*60</f>
        <v>934.49999999999955</v>
      </c>
      <c r="O38" s="128">
        <f>N38/M38</f>
        <v>71.884615384615344</v>
      </c>
      <c r="P38" s="129">
        <f t="shared" ref="P38:P41" si="30">M38-J38</f>
        <v>-3</v>
      </c>
      <c r="Q38" s="130">
        <f t="shared" ref="Q38:Q41" si="31">O38-L38</f>
        <v>-21.865384615384656</v>
      </c>
      <c r="R38" s="189">
        <f t="shared" si="26"/>
        <v>0.76676923076923031</v>
      </c>
      <c r="S38" s="457">
        <f>R48</f>
        <v>0.7741314558024126</v>
      </c>
      <c r="T38" s="151">
        <v>0.33333333333333331</v>
      </c>
      <c r="U38" s="151">
        <v>0.41666666666666669</v>
      </c>
      <c r="V38" s="148"/>
      <c r="W38" s="152">
        <f t="shared" si="18"/>
        <v>120.00000000000006</v>
      </c>
      <c r="X38" s="150"/>
      <c r="Y38" s="153"/>
      <c r="Z38" s="478" t="s">
        <v>253</v>
      </c>
      <c r="AA38" s="460"/>
      <c r="AB38" s="290">
        <f t="shared" si="27"/>
        <v>-565.50000000000045</v>
      </c>
      <c r="AC38" s="154">
        <f t="shared" si="28"/>
        <v>0.62299999999999967</v>
      </c>
      <c r="AD38" s="436">
        <f>AC48</f>
        <v>0.66803967720242119</v>
      </c>
    </row>
    <row r="39" spans="1:30" s="62" customFormat="1" ht="15" customHeight="1">
      <c r="A39" s="455"/>
      <c r="B39" s="56" t="s">
        <v>134</v>
      </c>
      <c r="C39" s="277"/>
      <c r="D39" s="279" t="s">
        <v>206</v>
      </c>
      <c r="E39" s="278"/>
      <c r="F39" s="56">
        <f>VLOOKUP(D39,廠價表!$C$1:$E$39,3,0)</f>
        <v>56.43</v>
      </c>
      <c r="G39" s="276">
        <v>984</v>
      </c>
      <c r="H39" s="50">
        <f t="shared" si="24"/>
        <v>55527.12</v>
      </c>
      <c r="I39" s="64"/>
      <c r="J39" s="37">
        <v>17</v>
      </c>
      <c r="K39" s="36">
        <f>VLOOKUP(D39,產線配置圖!$A$2:$C$38,3,0)</f>
        <v>1636</v>
      </c>
      <c r="L39" s="38">
        <f t="shared" si="29"/>
        <v>96.235294117647058</v>
      </c>
      <c r="M39" s="65">
        <v>15</v>
      </c>
      <c r="N39" s="66">
        <f>G39/W39*60</f>
        <v>1312</v>
      </c>
      <c r="O39" s="67">
        <f t="shared" ref="O39:O41" si="32">N39/M39</f>
        <v>87.466666666666669</v>
      </c>
      <c r="P39" s="39">
        <f t="shared" si="30"/>
        <v>-2</v>
      </c>
      <c r="Q39" s="40">
        <f t="shared" si="31"/>
        <v>-8.7686274509803894</v>
      </c>
      <c r="R39" s="190">
        <f t="shared" si="26"/>
        <v>0.9088834555827221</v>
      </c>
      <c r="S39" s="458"/>
      <c r="T39" s="59">
        <v>0.42708333333333331</v>
      </c>
      <c r="U39" s="59">
        <v>0.45833333333333331</v>
      </c>
      <c r="V39" s="42">
        <f>(T39-U38)*24*60</f>
        <v>14.999999999999947</v>
      </c>
      <c r="W39" s="69">
        <f t="shared" si="18"/>
        <v>45</v>
      </c>
      <c r="X39" s="22"/>
      <c r="Y39" s="22"/>
      <c r="Z39" s="439"/>
      <c r="AA39" s="440"/>
      <c r="AB39" s="271">
        <f t="shared" si="27"/>
        <v>-324</v>
      </c>
      <c r="AC39" s="61">
        <f t="shared" si="28"/>
        <v>0.80195599022004893</v>
      </c>
      <c r="AD39" s="437"/>
    </row>
    <row r="40" spans="1:30" s="62" customFormat="1" ht="15" customHeight="1">
      <c r="A40" s="455"/>
      <c r="B40" s="56" t="s">
        <v>134</v>
      </c>
      <c r="C40" s="275"/>
      <c r="D40" s="279" t="s">
        <v>156</v>
      </c>
      <c r="E40" s="243"/>
      <c r="F40" s="56">
        <f>VLOOKUP(D40,廠價表!$C$1:$E$39,3,0)</f>
        <v>56.43</v>
      </c>
      <c r="G40" s="276">
        <v>692</v>
      </c>
      <c r="H40" s="50">
        <f t="shared" si="24"/>
        <v>39049.56</v>
      </c>
      <c r="I40" s="64"/>
      <c r="J40" s="37">
        <f>VLOOKUP(D40,產線配置圖!$A$2:$C$38,2,0)</f>
        <v>15</v>
      </c>
      <c r="K40" s="36">
        <f>VLOOKUP(D40,產線配置圖!$A$2:$C$38,3,0)</f>
        <v>1406</v>
      </c>
      <c r="L40" s="38">
        <f t="shared" si="29"/>
        <v>93.733333333333334</v>
      </c>
      <c r="M40" s="65">
        <v>13</v>
      </c>
      <c r="N40" s="66">
        <f>G40/W40*60</f>
        <v>692.00000000000068</v>
      </c>
      <c r="O40" s="67">
        <f t="shared" si="32"/>
        <v>53.230769230769283</v>
      </c>
      <c r="P40" s="39">
        <f t="shared" si="30"/>
        <v>-2</v>
      </c>
      <c r="Q40" s="40">
        <f t="shared" si="31"/>
        <v>-40.502564102564051</v>
      </c>
      <c r="R40" s="190">
        <f t="shared" si="26"/>
        <v>0.56789583105372632</v>
      </c>
      <c r="S40" s="397"/>
      <c r="T40" s="59">
        <v>0.46875</v>
      </c>
      <c r="U40" s="59">
        <v>0.51041666666666663</v>
      </c>
      <c r="V40" s="42">
        <f>(T40-U39)*24*60</f>
        <v>15.000000000000027</v>
      </c>
      <c r="W40" s="69">
        <f t="shared" si="18"/>
        <v>59.999999999999943</v>
      </c>
      <c r="X40" s="70"/>
      <c r="Y40" s="259"/>
      <c r="Z40" s="439" t="s">
        <v>253</v>
      </c>
      <c r="AA40" s="440"/>
      <c r="AB40" s="271">
        <f t="shared" si="27"/>
        <v>-713.99999999999932</v>
      </c>
      <c r="AC40" s="61">
        <f t="shared" si="28"/>
        <v>0.49217638691322951</v>
      </c>
      <c r="AD40" s="437"/>
    </row>
    <row r="41" spans="1:30" s="62" customFormat="1" ht="15" customHeight="1">
      <c r="A41" s="455"/>
      <c r="B41" s="56" t="s">
        <v>134</v>
      </c>
      <c r="C41" s="275"/>
      <c r="D41" s="279" t="s">
        <v>156</v>
      </c>
      <c r="E41" s="243"/>
      <c r="F41" s="56">
        <f>VLOOKUP(D41,廠價表!$C$1:$E$39,3,0)</f>
        <v>56.43</v>
      </c>
      <c r="G41" s="276">
        <v>1035</v>
      </c>
      <c r="H41" s="50">
        <f t="shared" si="24"/>
        <v>58405.05</v>
      </c>
      <c r="I41" s="64"/>
      <c r="J41" s="37">
        <f>VLOOKUP(D41,產線配置圖!$A$2:$C$38,2,0)</f>
        <v>15</v>
      </c>
      <c r="K41" s="36">
        <f>VLOOKUP(D41,產線配置圖!$A$2:$C$38,3,0)</f>
        <v>1406</v>
      </c>
      <c r="L41" s="38">
        <f t="shared" si="29"/>
        <v>93.733333333333334</v>
      </c>
      <c r="M41" s="65">
        <v>13</v>
      </c>
      <c r="N41" s="66">
        <f>G41/W41*60</f>
        <v>1035.0000000000011</v>
      </c>
      <c r="O41" s="67">
        <f t="shared" si="32"/>
        <v>79.615384615384698</v>
      </c>
      <c r="P41" s="39">
        <f t="shared" si="30"/>
        <v>-2</v>
      </c>
      <c r="Q41" s="40">
        <f t="shared" si="31"/>
        <v>-14.117948717948636</v>
      </c>
      <c r="R41" s="190">
        <f t="shared" si="26"/>
        <v>0.84938177043440288</v>
      </c>
      <c r="S41" s="397"/>
      <c r="T41" s="59">
        <v>0.5625</v>
      </c>
      <c r="U41" s="59">
        <v>0.60416666666666663</v>
      </c>
      <c r="V41" s="42">
        <f>(T41-U40)*24*60</f>
        <v>75.000000000000057</v>
      </c>
      <c r="W41" s="69">
        <f t="shared" si="18"/>
        <v>59.999999999999943</v>
      </c>
      <c r="X41" s="70">
        <v>0.52083333333333337</v>
      </c>
      <c r="Y41" s="259">
        <v>0.5625</v>
      </c>
      <c r="Z41" s="439" t="s">
        <v>253</v>
      </c>
      <c r="AA41" s="440"/>
      <c r="AB41" s="271"/>
      <c r="AC41" s="61"/>
      <c r="AD41" s="437"/>
    </row>
    <row r="42" spans="1:30" s="62" customFormat="1" ht="15" customHeight="1">
      <c r="A42" s="455"/>
      <c r="B42" s="56"/>
      <c r="C42" s="23"/>
      <c r="D42" s="279"/>
      <c r="E42" s="12"/>
      <c r="F42" s="56"/>
      <c r="G42" s="276"/>
      <c r="H42" s="63"/>
      <c r="I42" s="64"/>
      <c r="J42" s="37"/>
      <c r="K42" s="36"/>
      <c r="L42" s="38"/>
      <c r="M42" s="65"/>
      <c r="N42" s="66"/>
      <c r="O42" s="67"/>
      <c r="P42" s="39"/>
      <c r="Q42" s="40"/>
      <c r="R42" s="190"/>
      <c r="S42" s="397"/>
      <c r="T42" s="75"/>
      <c r="U42" s="75"/>
      <c r="V42" s="42"/>
      <c r="W42" s="69">
        <f t="shared" si="18"/>
        <v>0</v>
      </c>
      <c r="X42" s="70"/>
      <c r="Y42" s="60"/>
      <c r="Z42" s="445"/>
      <c r="AA42" s="446"/>
      <c r="AB42" s="271"/>
      <c r="AC42" s="61"/>
      <c r="AD42" s="437"/>
    </row>
    <row r="43" spans="1:30" s="62" customFormat="1" ht="15" customHeight="1">
      <c r="A43" s="455"/>
      <c r="B43" s="230"/>
      <c r="C43" s="23"/>
      <c r="D43" s="11"/>
      <c r="E43" s="12"/>
      <c r="F43" s="13"/>
      <c r="G43" s="100"/>
      <c r="H43" s="63">
        <f t="shared" ref="H43:H47" si="33">F43*G43</f>
        <v>0</v>
      </c>
      <c r="I43" s="64"/>
      <c r="J43" s="65"/>
      <c r="K43" s="66"/>
      <c r="L43" s="67"/>
      <c r="M43" s="65"/>
      <c r="N43" s="66"/>
      <c r="O43" s="67"/>
      <c r="P43" s="39"/>
      <c r="Q43" s="40"/>
      <c r="R43" s="68"/>
      <c r="S43" s="397"/>
      <c r="T43" s="75"/>
      <c r="U43" s="75"/>
      <c r="V43" s="64"/>
      <c r="W43" s="69">
        <f>(U43-T43)*24*60</f>
        <v>0</v>
      </c>
      <c r="X43" s="70"/>
      <c r="Y43" s="67"/>
      <c r="Z43" s="405"/>
      <c r="AA43" s="405"/>
      <c r="AB43" s="71"/>
      <c r="AC43" s="61"/>
      <c r="AD43" s="437"/>
    </row>
    <row r="44" spans="1:30" s="62" customFormat="1" ht="15" customHeight="1">
      <c r="A44" s="455"/>
      <c r="B44" s="230"/>
      <c r="C44" s="183"/>
      <c r="D44" s="11"/>
      <c r="E44" s="12"/>
      <c r="F44" s="13"/>
      <c r="G44" s="100"/>
      <c r="H44" s="63">
        <f t="shared" si="33"/>
        <v>0</v>
      </c>
      <c r="I44" s="64"/>
      <c r="J44" s="65"/>
      <c r="K44" s="66"/>
      <c r="L44" s="58"/>
      <c r="M44" s="65"/>
      <c r="N44" s="66"/>
      <c r="O44" s="67"/>
      <c r="P44" s="39"/>
      <c r="Q44" s="40"/>
      <c r="R44" s="68"/>
      <c r="S44" s="397"/>
      <c r="T44" s="59"/>
      <c r="U44" s="59"/>
      <c r="V44" s="64"/>
      <c r="W44" s="69">
        <f t="shared" ref="W44:W48" si="34">(U44-T44)*24*60</f>
        <v>0</v>
      </c>
      <c r="X44" s="70"/>
      <c r="Y44" s="67"/>
      <c r="Z44" s="405"/>
      <c r="AA44" s="405"/>
      <c r="AB44" s="71"/>
      <c r="AC44" s="61"/>
      <c r="AD44" s="437"/>
    </row>
    <row r="45" spans="1:30" s="62" customFormat="1" ht="15" customHeight="1">
      <c r="A45" s="455"/>
      <c r="B45" s="231"/>
      <c r="C45" s="27"/>
      <c r="D45" s="28"/>
      <c r="E45" s="29"/>
      <c r="F45" s="13"/>
      <c r="G45" s="66"/>
      <c r="H45" s="63">
        <f t="shared" si="33"/>
        <v>0</v>
      </c>
      <c r="I45" s="64"/>
      <c r="J45" s="65"/>
      <c r="K45" s="66"/>
      <c r="L45" s="67"/>
      <c r="M45" s="65"/>
      <c r="N45" s="66"/>
      <c r="O45" s="67"/>
      <c r="P45" s="39"/>
      <c r="Q45" s="40"/>
      <c r="R45" s="68"/>
      <c r="S45" s="397"/>
      <c r="T45" s="75"/>
      <c r="U45" s="75"/>
      <c r="V45" s="64"/>
      <c r="W45" s="69">
        <f t="shared" si="34"/>
        <v>0</v>
      </c>
      <c r="X45" s="70"/>
      <c r="Y45" s="67"/>
      <c r="Z45" s="405"/>
      <c r="AA45" s="405"/>
      <c r="AB45" s="71"/>
      <c r="AC45" s="61"/>
      <c r="AD45" s="437"/>
    </row>
    <row r="46" spans="1:30" s="62" customFormat="1" ht="15" customHeight="1">
      <c r="A46" s="455"/>
      <c r="B46" s="231"/>
      <c r="C46" s="27"/>
      <c r="D46" s="28"/>
      <c r="E46" s="29"/>
      <c r="F46" s="13"/>
      <c r="G46" s="66"/>
      <c r="H46" s="63">
        <f t="shared" si="33"/>
        <v>0</v>
      </c>
      <c r="I46" s="64"/>
      <c r="J46" s="65"/>
      <c r="K46" s="66"/>
      <c r="L46" s="67"/>
      <c r="M46" s="65"/>
      <c r="N46" s="66"/>
      <c r="O46" s="67"/>
      <c r="P46" s="39"/>
      <c r="Q46" s="40"/>
      <c r="R46" s="68"/>
      <c r="S46" s="397"/>
      <c r="T46" s="59"/>
      <c r="U46" s="59"/>
      <c r="V46" s="64"/>
      <c r="W46" s="69">
        <f t="shared" si="34"/>
        <v>0</v>
      </c>
      <c r="X46" s="70"/>
      <c r="Y46" s="67"/>
      <c r="Z46" s="405"/>
      <c r="AA46" s="405"/>
      <c r="AB46" s="71"/>
      <c r="AC46" s="61"/>
      <c r="AD46" s="437"/>
    </row>
    <row r="47" spans="1:30" s="62" customFormat="1" ht="15" customHeight="1">
      <c r="A47" s="455"/>
      <c r="B47" s="230"/>
      <c r="C47" s="27"/>
      <c r="D47" s="28"/>
      <c r="E47" s="29"/>
      <c r="F47" s="13"/>
      <c r="G47" s="66"/>
      <c r="H47" s="63">
        <f t="shared" si="33"/>
        <v>0</v>
      </c>
      <c r="I47" s="64"/>
      <c r="J47" s="65"/>
      <c r="K47" s="66"/>
      <c r="L47" s="67"/>
      <c r="M47" s="65"/>
      <c r="N47" s="66"/>
      <c r="O47" s="67"/>
      <c r="P47" s="39"/>
      <c r="Q47" s="40"/>
      <c r="R47" s="68"/>
      <c r="S47" s="397"/>
      <c r="T47" s="75"/>
      <c r="U47" s="75"/>
      <c r="V47" s="64"/>
      <c r="W47" s="69">
        <f t="shared" si="34"/>
        <v>0</v>
      </c>
      <c r="X47" s="70"/>
      <c r="Y47" s="67"/>
      <c r="Z47" s="405"/>
      <c r="AA47" s="405"/>
      <c r="AB47" s="71"/>
      <c r="AC47" s="61"/>
      <c r="AD47" s="437"/>
    </row>
    <row r="48" spans="1:30" ht="15" customHeight="1" thickBot="1">
      <c r="A48" s="456"/>
      <c r="B48" s="156"/>
      <c r="C48" s="1" t="s">
        <v>37</v>
      </c>
      <c r="D48" s="410" t="s">
        <v>7</v>
      </c>
      <c r="E48" s="410"/>
      <c r="F48" s="133"/>
      <c r="G48" s="145"/>
      <c r="H48" s="135"/>
      <c r="I48" s="136"/>
      <c r="J48" s="134">
        <f t="shared" ref="J48:O48" si="35">AVERAGE(J38:J47)</f>
        <v>15.75</v>
      </c>
      <c r="K48" s="134">
        <f t="shared" si="35"/>
        <v>1487</v>
      </c>
      <c r="L48" s="137">
        <f t="shared" si="35"/>
        <v>94.362990196078442</v>
      </c>
      <c r="M48" s="134">
        <f t="shared" si="35"/>
        <v>13.5</v>
      </c>
      <c r="N48" s="134">
        <f t="shared" si="35"/>
        <v>993.37500000000023</v>
      </c>
      <c r="O48" s="137">
        <f t="shared" si="35"/>
        <v>73.049358974358995</v>
      </c>
      <c r="P48" s="157">
        <f>M48-J48</f>
        <v>-2.25</v>
      </c>
      <c r="Q48" s="158">
        <f>N48-K48</f>
        <v>-493.62499999999977</v>
      </c>
      <c r="R48" s="159">
        <f>O48/L48</f>
        <v>0.7741314558024126</v>
      </c>
      <c r="S48" s="399"/>
      <c r="T48" s="160"/>
      <c r="U48" s="160"/>
      <c r="V48" s="196"/>
      <c r="W48" s="161">
        <f t="shared" si="34"/>
        <v>0</v>
      </c>
      <c r="X48" s="162"/>
      <c r="Y48" s="162"/>
      <c r="Z48" s="391"/>
      <c r="AA48" s="391"/>
      <c r="AB48" s="163">
        <f>N48-K48</f>
        <v>-493.62499999999977</v>
      </c>
      <c r="AC48" s="191">
        <f>N48/K48</f>
        <v>0.66803967720242119</v>
      </c>
      <c r="AD48" s="438"/>
    </row>
    <row r="49" spans="1:30" ht="15" customHeight="1">
      <c r="A49" s="451" t="s">
        <v>56</v>
      </c>
      <c r="B49" s="199" t="str">
        <f>VLOOKUP(D49,廠價表!$C$1:$E$39,2,0)</f>
        <v>義大利麵</v>
      </c>
      <c r="C49" s="102"/>
      <c r="D49" s="103" t="s">
        <v>152</v>
      </c>
      <c r="E49" s="104"/>
      <c r="F49" s="199">
        <f>VLOOKUP(D49,廠價表!$C$1:$E$39,3,0)</f>
        <v>56.87</v>
      </c>
      <c r="G49" s="149">
        <v>1617</v>
      </c>
      <c r="H49" s="125">
        <f t="shared" ref="H49:H57" si="36">F49*G49</f>
        <v>91958.79</v>
      </c>
      <c r="I49" s="126"/>
      <c r="J49" s="16">
        <f>VLOOKUP(D49,產線配置圖!$A$2:$C$38,2,0)</f>
        <v>19</v>
      </c>
      <c r="K49" s="14">
        <f>VLOOKUP(D49,產線配置圖!$A$2:$C$38,3,0)</f>
        <v>1565</v>
      </c>
      <c r="L49" s="109">
        <f>K49/J49</f>
        <v>82.368421052631575</v>
      </c>
      <c r="M49" s="144">
        <v>17</v>
      </c>
      <c r="N49" s="127">
        <f>G49/W49*60</f>
        <v>1293.6000000000006</v>
      </c>
      <c r="O49" s="128">
        <f>N49/M49</f>
        <v>76.094117647058852</v>
      </c>
      <c r="P49" s="164">
        <f>M49-J49</f>
        <v>-2</v>
      </c>
      <c r="Q49" s="112">
        <f>O49-L49</f>
        <v>-6.2743034055727236</v>
      </c>
      <c r="R49" s="184">
        <f>O49/L49</f>
        <v>0.92382634843074651</v>
      </c>
      <c r="S49" s="396">
        <f>R58</f>
        <v>0.86774949058162643</v>
      </c>
      <c r="T49" s="151">
        <v>0.29166666666666669</v>
      </c>
      <c r="U49" s="151">
        <v>0.34375</v>
      </c>
      <c r="V49" s="188"/>
      <c r="W49" s="152">
        <f t="shared" si="18"/>
        <v>74.999999999999972</v>
      </c>
      <c r="X49" s="188"/>
      <c r="Y49" s="188"/>
      <c r="Z49" s="400"/>
      <c r="AA49" s="400"/>
      <c r="AB49" s="111">
        <f>N49-K49</f>
        <v>-271.39999999999941</v>
      </c>
      <c r="AC49" s="184">
        <f>N49/K49</f>
        <v>0.82658146964856272</v>
      </c>
      <c r="AD49" s="401">
        <f>AC58</f>
        <v>0.74348185148185131</v>
      </c>
    </row>
    <row r="50" spans="1:30" ht="15" customHeight="1">
      <c r="A50" s="452"/>
      <c r="B50" s="56" t="str">
        <f>VLOOKUP(D50,廠價表!$C$1:$E$39,2,0)</f>
        <v>義大利麵</v>
      </c>
      <c r="C50" s="10"/>
      <c r="D50" s="11" t="s">
        <v>65</v>
      </c>
      <c r="E50" s="86"/>
      <c r="F50" s="56">
        <f>VLOOKUP(D50,廠價表!$C$1:$E$39,3,0)</f>
        <v>49.97</v>
      </c>
      <c r="G50" s="66">
        <v>3775</v>
      </c>
      <c r="H50" s="76">
        <f t="shared" si="36"/>
        <v>188636.75</v>
      </c>
      <c r="I50" s="193"/>
      <c r="J50" s="16">
        <f>VLOOKUP(D50,產線配置圖!$A$2:$C$38,2,0)</f>
        <v>18</v>
      </c>
      <c r="K50" s="14">
        <f>VLOOKUP(D50,產線配置圖!$A$2:$C$38,3,0)</f>
        <v>1600</v>
      </c>
      <c r="L50" s="17">
        <f>K50/J50</f>
        <v>88.888888888888886</v>
      </c>
      <c r="M50" s="174">
        <v>15</v>
      </c>
      <c r="N50" s="77">
        <f>G50/W50*60</f>
        <v>1258.3333333333333</v>
      </c>
      <c r="O50" s="78">
        <f>N50/M50</f>
        <v>83.888888888888886</v>
      </c>
      <c r="P50" s="18">
        <f>M50-J50</f>
        <v>-3</v>
      </c>
      <c r="Q50" s="19">
        <f>O50-L50</f>
        <v>-5</v>
      </c>
      <c r="R50" s="185">
        <f>O50/L50</f>
        <v>0.94374999999999998</v>
      </c>
      <c r="S50" s="397"/>
      <c r="T50" s="79">
        <v>0.34930555555555554</v>
      </c>
      <c r="U50" s="79">
        <v>0.47430555555555554</v>
      </c>
      <c r="V50" s="177">
        <f t="shared" ref="V50:V51" si="37">(T50-U49)*24*60</f>
        <v>7.9999999999999716</v>
      </c>
      <c r="W50" s="80">
        <f t="shared" si="18"/>
        <v>180</v>
      </c>
      <c r="X50" s="22"/>
      <c r="Y50" s="22"/>
      <c r="Z50" s="419"/>
      <c r="AA50" s="418"/>
      <c r="AB50" s="18">
        <f>N50-K50</f>
        <v>-341.66666666666674</v>
      </c>
      <c r="AC50" s="185">
        <f>N50/K50</f>
        <v>0.78645833333333326</v>
      </c>
      <c r="AD50" s="402"/>
    </row>
    <row r="51" spans="1:30" ht="15" customHeight="1">
      <c r="A51" s="452"/>
      <c r="B51" s="56" t="str">
        <f>VLOOKUP(D51,廠價表!$C$1:$E$39,2,0)</f>
        <v>義大利麵</v>
      </c>
      <c r="C51" s="10"/>
      <c r="D51" s="11" t="s">
        <v>137</v>
      </c>
      <c r="E51" s="86"/>
      <c r="F51" s="56">
        <f>VLOOKUP(D51,廠價表!$C$1:$E$39,3,0)</f>
        <v>55.13</v>
      </c>
      <c r="G51" s="66">
        <v>457</v>
      </c>
      <c r="H51" s="76">
        <f t="shared" si="36"/>
        <v>25194.41</v>
      </c>
      <c r="I51" s="193"/>
      <c r="J51" s="16">
        <f>VLOOKUP(D51,產線配置圖!$A$2:$C$38,2,0)</f>
        <v>18</v>
      </c>
      <c r="K51" s="14">
        <f>VLOOKUP(D51,產線配置圖!$A$2:$C$38,3,0)</f>
        <v>1385</v>
      </c>
      <c r="L51" s="17">
        <f>K51/J51</f>
        <v>76.944444444444443</v>
      </c>
      <c r="M51" s="174">
        <v>15</v>
      </c>
      <c r="N51" s="77">
        <f>G51/W51*60</f>
        <v>830.90909090908985</v>
      </c>
      <c r="O51" s="78">
        <f>N51/M51</f>
        <v>55.393939393939327</v>
      </c>
      <c r="P51" s="18">
        <f>M51-J51</f>
        <v>-3</v>
      </c>
      <c r="Q51" s="19">
        <f>O51-L51</f>
        <v>-21.550505050505116</v>
      </c>
      <c r="R51" s="185">
        <f>O51/L51</f>
        <v>0.71992123400065555</v>
      </c>
      <c r="S51" s="397"/>
      <c r="T51" s="79">
        <v>0.53819444444444442</v>
      </c>
      <c r="U51" s="44">
        <v>0.56111111111111112</v>
      </c>
      <c r="V51" s="177">
        <f t="shared" si="37"/>
        <v>92</v>
      </c>
      <c r="W51" s="80">
        <f t="shared" si="18"/>
        <v>33.000000000000043</v>
      </c>
      <c r="X51" s="22">
        <v>0.47916666666666669</v>
      </c>
      <c r="Y51" s="22">
        <v>0.52083333333333337</v>
      </c>
      <c r="Z51" s="405" t="s">
        <v>256</v>
      </c>
      <c r="AA51" s="405"/>
      <c r="AB51" s="18">
        <f>N51-K51</f>
        <v>-554.09090909091015</v>
      </c>
      <c r="AC51" s="185">
        <f>N51/K51</f>
        <v>0.59993436166721292</v>
      </c>
      <c r="AD51" s="402"/>
    </row>
    <row r="52" spans="1:30" ht="15" customHeight="1">
      <c r="A52" s="452"/>
      <c r="B52" s="56"/>
      <c r="C52" s="23"/>
      <c r="D52" s="11"/>
      <c r="E52" s="12"/>
      <c r="F52" s="56"/>
      <c r="G52" s="66"/>
      <c r="H52" s="76"/>
      <c r="I52" s="193"/>
      <c r="J52" s="16"/>
      <c r="K52" s="14"/>
      <c r="L52" s="17"/>
      <c r="M52" s="174"/>
      <c r="N52" s="77"/>
      <c r="O52" s="78"/>
      <c r="P52" s="18"/>
      <c r="Q52" s="19"/>
      <c r="R52" s="185"/>
      <c r="S52" s="397"/>
      <c r="T52" s="79"/>
      <c r="U52" s="79"/>
      <c r="V52" s="177"/>
      <c r="W52" s="80">
        <f t="shared" si="18"/>
        <v>0</v>
      </c>
      <c r="X52" s="22"/>
      <c r="Y52" s="22"/>
      <c r="Z52" s="405"/>
      <c r="AA52" s="405"/>
      <c r="AB52" s="18">
        <f>N52-K52</f>
        <v>0</v>
      </c>
      <c r="AC52" s="185" t="e">
        <f>N52/K52</f>
        <v>#DIV/0!</v>
      </c>
      <c r="AD52" s="402"/>
    </row>
    <row r="53" spans="1:30" ht="15" customHeight="1">
      <c r="A53" s="452"/>
      <c r="B53" s="56"/>
      <c r="C53" s="23"/>
      <c r="D53" s="11"/>
      <c r="E53" s="12"/>
      <c r="F53" s="56"/>
      <c r="G53" s="66"/>
      <c r="H53" s="76"/>
      <c r="I53" s="193"/>
      <c r="J53" s="16"/>
      <c r="K53" s="14"/>
      <c r="L53" s="17"/>
      <c r="M53" s="174"/>
      <c r="N53" s="77"/>
      <c r="O53" s="78"/>
      <c r="P53" s="18"/>
      <c r="Q53" s="19"/>
      <c r="R53" s="185"/>
      <c r="S53" s="397"/>
      <c r="T53" s="79"/>
      <c r="U53" s="79"/>
      <c r="V53" s="177"/>
      <c r="W53" s="80">
        <f t="shared" si="18"/>
        <v>0</v>
      </c>
      <c r="X53" s="177"/>
      <c r="Y53" s="177"/>
      <c r="Z53" s="419"/>
      <c r="AA53" s="418"/>
      <c r="AB53" s="18"/>
      <c r="AC53" s="185"/>
      <c r="AD53" s="402"/>
    </row>
    <row r="54" spans="1:30" ht="15" customHeight="1">
      <c r="A54" s="452"/>
      <c r="B54" s="177"/>
      <c r="C54" s="183"/>
      <c r="D54" s="11"/>
      <c r="E54" s="12"/>
      <c r="F54" s="13"/>
      <c r="G54" s="66"/>
      <c r="H54" s="76">
        <f t="shared" si="36"/>
        <v>0</v>
      </c>
      <c r="I54" s="177"/>
      <c r="J54" s="31"/>
      <c r="K54" s="30"/>
      <c r="L54" s="38"/>
      <c r="M54" s="181"/>
      <c r="N54" s="30"/>
      <c r="O54" s="35"/>
      <c r="P54" s="18"/>
      <c r="Q54" s="19"/>
      <c r="R54" s="185"/>
      <c r="S54" s="397"/>
      <c r="T54" s="79"/>
      <c r="U54" s="79"/>
      <c r="V54" s="197"/>
      <c r="W54" s="80">
        <f t="shared" si="18"/>
        <v>0</v>
      </c>
      <c r="X54" s="177"/>
      <c r="Y54" s="177"/>
      <c r="Z54" s="419"/>
      <c r="AA54" s="418"/>
      <c r="AB54" s="18"/>
      <c r="AC54" s="185"/>
      <c r="AD54" s="402"/>
    </row>
    <row r="55" spans="1:30" ht="15" customHeight="1">
      <c r="A55" s="452"/>
      <c r="B55" s="26"/>
      <c r="C55" s="27"/>
      <c r="D55" s="28"/>
      <c r="E55" s="29"/>
      <c r="F55" s="13"/>
      <c r="G55" s="66"/>
      <c r="H55" s="15">
        <f t="shared" si="36"/>
        <v>0</v>
      </c>
      <c r="I55" s="177"/>
      <c r="J55" s="31"/>
      <c r="K55" s="30"/>
      <c r="L55" s="38"/>
      <c r="M55" s="181"/>
      <c r="N55" s="30"/>
      <c r="O55" s="35"/>
      <c r="P55" s="18"/>
      <c r="Q55" s="19"/>
      <c r="R55" s="185"/>
      <c r="S55" s="397"/>
      <c r="T55" s="79"/>
      <c r="U55" s="79"/>
      <c r="V55" s="197"/>
      <c r="W55" s="80">
        <f t="shared" si="18"/>
        <v>0</v>
      </c>
      <c r="X55" s="177"/>
      <c r="Y55" s="177"/>
      <c r="Z55" s="419"/>
      <c r="AA55" s="418"/>
      <c r="AB55" s="18"/>
      <c r="AC55" s="185"/>
      <c r="AD55" s="402"/>
    </row>
    <row r="56" spans="1:30" ht="15" customHeight="1">
      <c r="A56" s="452"/>
      <c r="B56" s="26"/>
      <c r="C56" s="27"/>
      <c r="D56" s="28"/>
      <c r="E56" s="29"/>
      <c r="F56" s="13"/>
      <c r="G56" s="66"/>
      <c r="H56" s="15">
        <f t="shared" si="36"/>
        <v>0</v>
      </c>
      <c r="I56" s="177"/>
      <c r="J56" s="31"/>
      <c r="K56" s="30"/>
      <c r="L56" s="38"/>
      <c r="M56" s="181"/>
      <c r="N56" s="30"/>
      <c r="O56" s="35"/>
      <c r="P56" s="18"/>
      <c r="Q56" s="19"/>
      <c r="R56" s="185"/>
      <c r="S56" s="397"/>
      <c r="T56" s="79"/>
      <c r="U56" s="79"/>
      <c r="V56" s="197"/>
      <c r="W56" s="80">
        <f t="shared" si="18"/>
        <v>0</v>
      </c>
      <c r="X56" s="177"/>
      <c r="Y56" s="177"/>
      <c r="Z56" s="405"/>
      <c r="AA56" s="405"/>
      <c r="AB56" s="18"/>
      <c r="AC56" s="185"/>
      <c r="AD56" s="402"/>
    </row>
    <row r="57" spans="1:30" ht="15" customHeight="1">
      <c r="A57" s="452"/>
      <c r="B57" s="26"/>
      <c r="C57" s="27"/>
      <c r="D57" s="28"/>
      <c r="E57" s="29"/>
      <c r="F57" s="13"/>
      <c r="G57" s="66"/>
      <c r="H57" s="15">
        <f t="shared" si="36"/>
        <v>0</v>
      </c>
      <c r="I57" s="177"/>
      <c r="J57" s="31"/>
      <c r="K57" s="30"/>
      <c r="L57" s="38"/>
      <c r="M57" s="181"/>
      <c r="N57" s="30"/>
      <c r="O57" s="35"/>
      <c r="P57" s="18"/>
      <c r="Q57" s="19"/>
      <c r="R57" s="185"/>
      <c r="S57" s="397"/>
      <c r="T57" s="79"/>
      <c r="U57" s="79"/>
      <c r="V57" s="197"/>
      <c r="W57" s="80">
        <f t="shared" si="18"/>
        <v>0</v>
      </c>
      <c r="X57" s="177"/>
      <c r="Y57" s="177"/>
      <c r="Z57" s="405"/>
      <c r="AA57" s="405"/>
      <c r="AB57" s="18"/>
      <c r="AC57" s="185"/>
      <c r="AD57" s="402"/>
    </row>
    <row r="58" spans="1:30" ht="15" customHeight="1" thickBot="1">
      <c r="A58" s="453"/>
      <c r="B58" s="165"/>
      <c r="C58" s="1" t="s">
        <v>38</v>
      </c>
      <c r="D58" s="410" t="s">
        <v>7</v>
      </c>
      <c r="E58" s="410"/>
      <c r="F58" s="114"/>
      <c r="G58" s="166"/>
      <c r="H58" s="116"/>
      <c r="I58" s="115"/>
      <c r="J58" s="118">
        <f t="shared" ref="J58:O58" si="38">AVERAGE(J49:J57)</f>
        <v>18.333333333333332</v>
      </c>
      <c r="K58" s="118">
        <f t="shared" si="38"/>
        <v>1516.6666666666667</v>
      </c>
      <c r="L58" s="115">
        <f t="shared" si="38"/>
        <v>82.733918128654977</v>
      </c>
      <c r="M58" s="118">
        <f t="shared" si="38"/>
        <v>15.666666666666666</v>
      </c>
      <c r="N58" s="118">
        <f t="shared" si="38"/>
        <v>1127.6141414141412</v>
      </c>
      <c r="O58" s="115">
        <f t="shared" si="38"/>
        <v>71.792315309962348</v>
      </c>
      <c r="P58" s="119">
        <f>M58-J58</f>
        <v>-2.6666666666666661</v>
      </c>
      <c r="Q58" s="120">
        <f>N58-K58</f>
        <v>-389.05252525252558</v>
      </c>
      <c r="R58" s="121">
        <f t="shared" ref="R58:R59" si="39">O58/L58</f>
        <v>0.86774949058162643</v>
      </c>
      <c r="S58" s="399"/>
      <c r="T58" s="167"/>
      <c r="U58" s="167"/>
      <c r="V58" s="195"/>
      <c r="W58" s="168"/>
      <c r="X58" s="124"/>
      <c r="Y58" s="124"/>
      <c r="Z58" s="391"/>
      <c r="AA58" s="391"/>
      <c r="AB58" s="119">
        <f t="shared" ref="AB58:AB63" si="40">N58-K58</f>
        <v>-389.05252525252558</v>
      </c>
      <c r="AC58" s="187">
        <f t="shared" ref="AC58:AC63" si="41">N58/K58</f>
        <v>0.74348185148185131</v>
      </c>
      <c r="AD58" s="404"/>
    </row>
    <row r="59" spans="1:30" ht="15" customHeight="1">
      <c r="A59" s="466" t="s">
        <v>57</v>
      </c>
      <c r="B59" s="199" t="str">
        <f>VLOOKUP(D59,廠價表!$C$1:$E$39,2,0)</f>
        <v>小吃、微波</v>
      </c>
      <c r="C59" s="102"/>
      <c r="D59" s="103" t="s">
        <v>125</v>
      </c>
      <c r="E59" s="104"/>
      <c r="F59" s="199">
        <f>VLOOKUP(D59,廠價表!$C$1:$E$39,3,0)</f>
        <v>26.99</v>
      </c>
      <c r="G59" s="188">
        <v>3039</v>
      </c>
      <c r="H59" s="106">
        <f t="shared" ref="H59:H68" si="42">F59*G59</f>
        <v>82022.61</v>
      </c>
      <c r="I59" s="188"/>
      <c r="J59" s="108">
        <f>VLOOKUP(D59,產線配置圖!$A$2:$C$38,2,0)</f>
        <v>13</v>
      </c>
      <c r="K59" s="105">
        <f>VLOOKUP(D59,產線配置圖!$A$2:$C$38,3,0)</f>
        <v>1565</v>
      </c>
      <c r="L59" s="109">
        <f>K59/J59</f>
        <v>120.38461538461539</v>
      </c>
      <c r="M59" s="110">
        <v>13</v>
      </c>
      <c r="N59" s="105">
        <f t="shared" ref="N59:N60" si="43">G59/W59*60</f>
        <v>1519.5000000000005</v>
      </c>
      <c r="O59" s="109">
        <f t="shared" ref="O59:O60" si="44">N59/M59</f>
        <v>116.88461538461542</v>
      </c>
      <c r="P59" s="111">
        <f t="shared" ref="P59:P60" si="45">M59-J59</f>
        <v>0</v>
      </c>
      <c r="Q59" s="112">
        <f t="shared" ref="Q59:Q60" si="46">O59-L59</f>
        <v>-3.4999999999999716</v>
      </c>
      <c r="R59" s="184">
        <f t="shared" si="39"/>
        <v>0.97092651757188519</v>
      </c>
      <c r="S59" s="396">
        <f>R69</f>
        <v>0.73039627823552489</v>
      </c>
      <c r="T59" s="169">
        <v>0.29166666666666669</v>
      </c>
      <c r="U59" s="169">
        <v>0.375</v>
      </c>
      <c r="V59" s="188"/>
      <c r="W59" s="107">
        <f t="shared" si="18"/>
        <v>119.99999999999997</v>
      </c>
      <c r="X59" s="188"/>
      <c r="Y59" s="188"/>
      <c r="Z59" s="405"/>
      <c r="AA59" s="405"/>
      <c r="AB59" s="225">
        <f t="shared" si="40"/>
        <v>-45.499999999999545</v>
      </c>
      <c r="AC59" s="226">
        <f t="shared" si="41"/>
        <v>0.97092651757188531</v>
      </c>
      <c r="AD59" s="401">
        <f>AC69</f>
        <v>0.73656372026979067</v>
      </c>
    </row>
    <row r="60" spans="1:30" ht="15" customHeight="1">
      <c r="A60" s="467"/>
      <c r="B60" s="56" t="str">
        <f>VLOOKUP(D60,廠價表!$C$1:$E$39,2,0)</f>
        <v>小吃、微波</v>
      </c>
      <c r="C60" s="10"/>
      <c r="D60" s="242" t="s">
        <v>146</v>
      </c>
      <c r="E60" s="86"/>
      <c r="F60" s="56">
        <f>VLOOKUP(D60,廠價表!$C$1:$E$39,3,0)</f>
        <v>28.47</v>
      </c>
      <c r="G60" s="177">
        <v>486</v>
      </c>
      <c r="H60" s="15">
        <f t="shared" si="42"/>
        <v>13836.42</v>
      </c>
      <c r="I60" s="81"/>
      <c r="J60" s="16">
        <f>VLOOKUP(D60,產線配置圖!$A$2:$C$38,2,0)</f>
        <v>12</v>
      </c>
      <c r="K60" s="14">
        <f>VLOOKUP(D60,產線配置圖!$A$2:$C$38,3,0)</f>
        <v>1565</v>
      </c>
      <c r="L60" s="17">
        <f t="shared" ref="L60" si="47">K60/J60</f>
        <v>130.41666666666666</v>
      </c>
      <c r="M60" s="180">
        <v>12</v>
      </c>
      <c r="N60" s="14">
        <f t="shared" si="43"/>
        <v>648</v>
      </c>
      <c r="O60" s="17">
        <f t="shared" si="44"/>
        <v>54</v>
      </c>
      <c r="P60" s="18">
        <f t="shared" si="45"/>
        <v>0</v>
      </c>
      <c r="Q60" s="19">
        <f t="shared" si="46"/>
        <v>-76.416666666666657</v>
      </c>
      <c r="R60" s="185">
        <f>O60/L60</f>
        <v>0.41405750798722046</v>
      </c>
      <c r="S60" s="470"/>
      <c r="T60" s="20">
        <v>0.38541666666666669</v>
      </c>
      <c r="U60" s="20">
        <v>0.41666666666666669</v>
      </c>
      <c r="V60" s="177">
        <f t="shared" ref="V60:V61" si="48">(T60-U59)*24*60</f>
        <v>15.000000000000027</v>
      </c>
      <c r="W60" s="90">
        <f t="shared" si="18"/>
        <v>45</v>
      </c>
      <c r="X60" s="193"/>
      <c r="Y60" s="193"/>
      <c r="Z60" s="405" t="s">
        <v>255</v>
      </c>
      <c r="AA60" s="405"/>
      <c r="AB60" s="227">
        <f t="shared" si="40"/>
        <v>-917</v>
      </c>
      <c r="AC60" s="228">
        <f t="shared" si="41"/>
        <v>0.41405750798722046</v>
      </c>
      <c r="AD60" s="473"/>
    </row>
    <row r="61" spans="1:30" ht="15" customHeight="1">
      <c r="A61" s="468"/>
      <c r="B61" s="56" t="str">
        <f>VLOOKUP(D61,廠價表!$C$1:$E$39,2,0)</f>
        <v>小吃、微波</v>
      </c>
      <c r="C61" s="10"/>
      <c r="D61" s="242" t="s">
        <v>135</v>
      </c>
      <c r="E61" s="86"/>
      <c r="F61" s="56">
        <f>VLOOKUP(D61,廠價表!$C$1:$E$39,3,0)</f>
        <v>28.26</v>
      </c>
      <c r="G61" s="177">
        <v>1936</v>
      </c>
      <c r="H61" s="15">
        <f t="shared" ref="H61" si="49">F61*G61</f>
        <v>54711.360000000001</v>
      </c>
      <c r="I61" s="177"/>
      <c r="J61" s="16">
        <f>VLOOKUP(D61,產線配置圖!$A$2:$C$38,2,0)</f>
        <v>12</v>
      </c>
      <c r="K61" s="14">
        <f>VLOOKUP(D61,產線配置圖!$A$2:$C$38,3,0)</f>
        <v>1565</v>
      </c>
      <c r="L61" s="17">
        <f>K61/J61</f>
        <v>130.41666666666666</v>
      </c>
      <c r="M61" s="180">
        <v>12</v>
      </c>
      <c r="N61" s="14">
        <f t="shared" ref="N61" si="50">G61/W61*60</f>
        <v>1290.6666666666667</v>
      </c>
      <c r="O61" s="17">
        <f t="shared" ref="O61" si="51">N61/M61</f>
        <v>107.55555555555556</v>
      </c>
      <c r="P61" s="18">
        <f t="shared" ref="P61" si="52">M61-J61</f>
        <v>0</v>
      </c>
      <c r="Q61" s="19">
        <f t="shared" ref="Q61" si="53">O61-L61</f>
        <v>-22.8611111111111</v>
      </c>
      <c r="R61" s="185">
        <f t="shared" ref="R61" si="54">O61/L61</f>
        <v>0.82470713525026629</v>
      </c>
      <c r="S61" s="397"/>
      <c r="T61" s="198">
        <v>0.4201388888888889</v>
      </c>
      <c r="U61" s="198">
        <v>0.4826388888888889</v>
      </c>
      <c r="V61" s="177">
        <f t="shared" si="48"/>
        <v>4.9999999999999822</v>
      </c>
      <c r="W61" s="88">
        <f t="shared" si="18"/>
        <v>90</v>
      </c>
      <c r="X61" s="22"/>
      <c r="Y61" s="22"/>
      <c r="Z61" s="405" t="s">
        <v>254</v>
      </c>
      <c r="AA61" s="405"/>
      <c r="AB61" s="51">
        <f t="shared" si="40"/>
        <v>-274.33333333333326</v>
      </c>
      <c r="AC61" s="52">
        <f t="shared" si="41"/>
        <v>0.82470713525026629</v>
      </c>
      <c r="AD61" s="402"/>
    </row>
    <row r="62" spans="1:30" ht="15" customHeight="1">
      <c r="A62" s="468"/>
      <c r="B62" s="56"/>
      <c r="C62" s="23"/>
      <c r="D62" s="242"/>
      <c r="E62" s="12"/>
      <c r="F62" s="56"/>
      <c r="G62" s="177"/>
      <c r="H62" s="15"/>
      <c r="I62" s="81"/>
      <c r="J62" s="16"/>
      <c r="K62" s="14"/>
      <c r="L62" s="17"/>
      <c r="M62" s="180"/>
      <c r="N62" s="14"/>
      <c r="O62" s="17"/>
      <c r="P62" s="18"/>
      <c r="Q62" s="19"/>
      <c r="R62" s="185"/>
      <c r="S62" s="397"/>
      <c r="T62" s="20"/>
      <c r="U62" s="20"/>
      <c r="V62" s="177"/>
      <c r="W62" s="90">
        <f t="shared" si="18"/>
        <v>0</v>
      </c>
      <c r="X62" s="22"/>
      <c r="Y62" s="22"/>
      <c r="Z62" s="405"/>
      <c r="AA62" s="405"/>
      <c r="AB62" s="51">
        <f t="shared" si="40"/>
        <v>0</v>
      </c>
      <c r="AC62" s="52" t="e">
        <f t="shared" si="41"/>
        <v>#DIV/0!</v>
      </c>
      <c r="AD62" s="402"/>
    </row>
    <row r="63" spans="1:30" ht="15" customHeight="1">
      <c r="A63" s="468"/>
      <c r="B63" s="56"/>
      <c r="C63" s="10"/>
      <c r="D63" s="242"/>
      <c r="E63" s="86"/>
      <c r="F63" s="56"/>
      <c r="G63" s="177"/>
      <c r="H63" s="15"/>
      <c r="I63" s="81"/>
      <c r="J63" s="16"/>
      <c r="K63" s="14"/>
      <c r="L63" s="17"/>
      <c r="M63" s="180"/>
      <c r="N63" s="14"/>
      <c r="O63" s="17"/>
      <c r="P63" s="18"/>
      <c r="Q63" s="19"/>
      <c r="R63" s="185"/>
      <c r="S63" s="397"/>
      <c r="T63" s="20"/>
      <c r="U63" s="20"/>
      <c r="V63" s="177"/>
      <c r="W63" s="90">
        <f t="shared" si="18"/>
        <v>0</v>
      </c>
      <c r="X63" s="84"/>
      <c r="Y63" s="84"/>
      <c r="Z63" s="405"/>
      <c r="AA63" s="405"/>
      <c r="AB63" s="51">
        <f t="shared" si="40"/>
        <v>0</v>
      </c>
      <c r="AC63" s="52" t="e">
        <f t="shared" si="41"/>
        <v>#DIV/0!</v>
      </c>
      <c r="AD63" s="402"/>
    </row>
    <row r="64" spans="1:30" ht="15" customHeight="1">
      <c r="A64" s="468"/>
      <c r="B64" s="56"/>
      <c r="C64" s="10"/>
      <c r="D64" s="242"/>
      <c r="E64" s="86"/>
      <c r="F64" s="56"/>
      <c r="G64" s="177"/>
      <c r="H64" s="15"/>
      <c r="I64" s="81"/>
      <c r="J64" s="16"/>
      <c r="K64" s="14"/>
      <c r="L64" s="17"/>
      <c r="M64" s="180"/>
      <c r="N64" s="14"/>
      <c r="O64" s="17"/>
      <c r="P64" s="18"/>
      <c r="Q64" s="19"/>
      <c r="R64" s="185"/>
      <c r="S64" s="397"/>
      <c r="T64" s="20"/>
      <c r="U64" s="20"/>
      <c r="V64" s="177"/>
      <c r="W64" s="182">
        <f t="shared" si="18"/>
        <v>0</v>
      </c>
      <c r="X64" s="84"/>
      <c r="Y64" s="84"/>
      <c r="Z64" s="419"/>
      <c r="AA64" s="418"/>
      <c r="AB64" s="18"/>
      <c r="AC64" s="55"/>
      <c r="AD64" s="402"/>
    </row>
    <row r="65" spans="1:32" ht="15" customHeight="1">
      <c r="A65" s="468"/>
      <c r="B65" s="177"/>
      <c r="C65" s="183"/>
      <c r="D65" s="11"/>
      <c r="E65" s="12"/>
      <c r="F65" s="13"/>
      <c r="G65" s="177"/>
      <c r="H65" s="15"/>
      <c r="I65" s="177"/>
      <c r="J65" s="16"/>
      <c r="K65" s="82"/>
      <c r="L65" s="83"/>
      <c r="M65" s="180"/>
      <c r="N65" s="14"/>
      <c r="O65" s="17"/>
      <c r="P65" s="18"/>
      <c r="Q65" s="19"/>
      <c r="R65" s="185"/>
      <c r="S65" s="397"/>
      <c r="T65" s="20"/>
      <c r="U65" s="20"/>
      <c r="V65" s="177"/>
      <c r="W65" s="182">
        <f t="shared" si="18"/>
        <v>0</v>
      </c>
      <c r="X65" s="84"/>
      <c r="Y65" s="84"/>
      <c r="Z65" s="419"/>
      <c r="AA65" s="418"/>
      <c r="AB65" s="18"/>
      <c r="AC65" s="55"/>
      <c r="AD65" s="402"/>
    </row>
    <row r="66" spans="1:32" ht="15" customHeight="1">
      <c r="A66" s="468"/>
      <c r="B66" s="26"/>
      <c r="C66" s="27"/>
      <c r="D66" s="28"/>
      <c r="E66" s="29"/>
      <c r="F66" s="13"/>
      <c r="G66" s="183"/>
      <c r="H66" s="15">
        <f t="shared" si="42"/>
        <v>0</v>
      </c>
      <c r="I66" s="85"/>
      <c r="J66" s="16"/>
      <c r="K66" s="14"/>
      <c r="L66" s="17"/>
      <c r="M66" s="21"/>
      <c r="N66" s="36"/>
      <c r="O66" s="38"/>
      <c r="P66" s="39"/>
      <c r="Q66" s="40"/>
      <c r="R66" s="68"/>
      <c r="S66" s="397"/>
      <c r="T66" s="20"/>
      <c r="U66" s="20"/>
      <c r="V66" s="177"/>
      <c r="W66" s="182">
        <f t="shared" si="18"/>
        <v>0</v>
      </c>
      <c r="X66" s="84"/>
      <c r="Y66" s="84"/>
      <c r="Z66" s="405"/>
      <c r="AA66" s="405"/>
      <c r="AB66" s="18"/>
      <c r="AC66" s="55"/>
      <c r="AD66" s="402"/>
    </row>
    <row r="67" spans="1:32" ht="15" customHeight="1">
      <c r="A67" s="468"/>
      <c r="B67" s="26"/>
      <c r="C67" s="27"/>
      <c r="D67" s="28"/>
      <c r="E67" s="29"/>
      <c r="F67" s="13"/>
      <c r="G67" s="177"/>
      <c r="H67" s="15">
        <f t="shared" si="42"/>
        <v>0</v>
      </c>
      <c r="I67" s="177"/>
      <c r="J67" s="16"/>
      <c r="K67" s="14"/>
      <c r="L67" s="17"/>
      <c r="M67" s="21"/>
      <c r="N67" s="36"/>
      <c r="O67" s="38"/>
      <c r="P67" s="39"/>
      <c r="Q67" s="40"/>
      <c r="R67" s="68"/>
      <c r="S67" s="397"/>
      <c r="T67" s="20"/>
      <c r="U67" s="20"/>
      <c r="V67" s="177"/>
      <c r="W67" s="182">
        <f t="shared" si="18"/>
        <v>0</v>
      </c>
      <c r="X67" s="84"/>
      <c r="Y67" s="84"/>
      <c r="Z67" s="419"/>
      <c r="AA67" s="418"/>
      <c r="AB67" s="18"/>
      <c r="AC67" s="55"/>
      <c r="AD67" s="402"/>
    </row>
    <row r="68" spans="1:32" ht="15" customHeight="1">
      <c r="A68" s="468"/>
      <c r="B68" s="26"/>
      <c r="C68" s="27"/>
      <c r="D68" s="28"/>
      <c r="E68" s="29"/>
      <c r="F68" s="13"/>
      <c r="G68" s="183"/>
      <c r="H68" s="15">
        <f t="shared" si="42"/>
        <v>0</v>
      </c>
      <c r="I68" s="85"/>
      <c r="J68" s="16"/>
      <c r="K68" s="260"/>
      <c r="L68" s="261"/>
      <c r="M68" s="21"/>
      <c r="N68" s="36"/>
      <c r="O68" s="38"/>
      <c r="P68" s="39"/>
      <c r="Q68" s="40"/>
      <c r="R68" s="68"/>
      <c r="S68" s="397"/>
      <c r="T68" s="20"/>
      <c r="U68" s="20"/>
      <c r="V68" s="177"/>
      <c r="W68" s="182">
        <f t="shared" si="18"/>
        <v>0</v>
      </c>
      <c r="X68" s="84"/>
      <c r="Y68" s="84"/>
      <c r="Z68" s="419" t="s">
        <v>240</v>
      </c>
      <c r="AA68" s="418"/>
      <c r="AB68" s="18"/>
      <c r="AC68" s="55"/>
      <c r="AD68" s="402"/>
    </row>
    <row r="69" spans="1:32" ht="15" customHeight="1" thickBot="1">
      <c r="A69" s="469"/>
      <c r="B69" s="165"/>
      <c r="C69" s="1" t="s">
        <v>39</v>
      </c>
      <c r="D69" s="410" t="s">
        <v>7</v>
      </c>
      <c r="E69" s="410"/>
      <c r="F69" s="114"/>
      <c r="G69" s="115"/>
      <c r="H69" s="116"/>
      <c r="I69" s="170"/>
      <c r="J69" s="166">
        <f t="shared" ref="J69:O69" si="55">AVERAGE(J59:J68)</f>
        <v>12.333333333333334</v>
      </c>
      <c r="K69" s="166">
        <f t="shared" si="55"/>
        <v>1565</v>
      </c>
      <c r="L69" s="171">
        <f t="shared" si="55"/>
        <v>127.07264957264958</v>
      </c>
      <c r="M69" s="166">
        <f t="shared" si="55"/>
        <v>12.333333333333334</v>
      </c>
      <c r="N69" s="166">
        <f t="shared" si="55"/>
        <v>1152.7222222222224</v>
      </c>
      <c r="O69" s="171">
        <f t="shared" si="55"/>
        <v>92.813390313390315</v>
      </c>
      <c r="P69" s="172">
        <f>M69-J69</f>
        <v>0</v>
      </c>
      <c r="Q69" s="158">
        <f>N69-K69</f>
        <v>-412.2777777777776</v>
      </c>
      <c r="R69" s="121">
        <f>O69/L69</f>
        <v>0.73039627823552489</v>
      </c>
      <c r="S69" s="399"/>
      <c r="T69" s="122"/>
      <c r="U69" s="122"/>
      <c r="V69" s="195"/>
      <c r="W69" s="168"/>
      <c r="X69" s="124"/>
      <c r="Y69" s="124"/>
      <c r="Z69" s="405"/>
      <c r="AA69" s="405"/>
      <c r="AB69" s="119">
        <f>N69-K69</f>
        <v>-412.2777777777776</v>
      </c>
      <c r="AC69" s="187">
        <f>N69/K69</f>
        <v>0.73656372026979067</v>
      </c>
      <c r="AD69" s="404"/>
    </row>
    <row r="70" spans="1:32" ht="15" customHeight="1">
      <c r="A70" s="461" t="s">
        <v>58</v>
      </c>
      <c r="B70" s="199"/>
      <c r="C70" s="199"/>
      <c r="D70" s="103"/>
      <c r="E70" s="104"/>
      <c r="F70" s="199"/>
      <c r="G70" s="188"/>
      <c r="H70" s="106"/>
      <c r="I70" s="188"/>
      <c r="J70" s="108"/>
      <c r="K70" s="105"/>
      <c r="L70" s="109"/>
      <c r="M70" s="110"/>
      <c r="N70" s="105"/>
      <c r="O70" s="109"/>
      <c r="P70" s="111"/>
      <c r="Q70" s="112"/>
      <c r="R70" s="184"/>
      <c r="S70" s="396">
        <f>R79</f>
        <v>0</v>
      </c>
      <c r="T70" s="169"/>
      <c r="U70" s="169"/>
      <c r="V70" s="188"/>
      <c r="W70" s="107">
        <f t="shared" si="18"/>
        <v>0</v>
      </c>
      <c r="X70" s="296"/>
      <c r="Y70" s="296"/>
      <c r="Z70" s="465"/>
      <c r="AA70" s="427"/>
      <c r="AB70" s="225">
        <f t="shared" ref="AB70" si="56">N70-K70</f>
        <v>0</v>
      </c>
      <c r="AC70" s="226" t="e">
        <f t="shared" ref="AC70" si="57">N70/K70</f>
        <v>#DIV/0!</v>
      </c>
      <c r="AD70" s="401" t="e">
        <f>AC79</f>
        <v>#DIV/0!</v>
      </c>
    </row>
    <row r="71" spans="1:32" ht="15" customHeight="1">
      <c r="A71" s="462"/>
      <c r="B71" s="56"/>
      <c r="C71" s="10"/>
      <c r="D71" s="11"/>
      <c r="E71" s="86"/>
      <c r="F71" s="56"/>
      <c r="G71" s="66"/>
      <c r="H71" s="76"/>
      <c r="I71" s="193"/>
      <c r="J71" s="16"/>
      <c r="K71" s="14"/>
      <c r="L71" s="17"/>
      <c r="M71" s="180"/>
      <c r="N71" s="14"/>
      <c r="O71" s="17"/>
      <c r="P71" s="18"/>
      <c r="Q71" s="19"/>
      <c r="R71" s="185"/>
      <c r="S71" s="397"/>
      <c r="T71" s="20"/>
      <c r="U71" s="20"/>
      <c r="V71" s="177"/>
      <c r="W71" s="182">
        <f t="shared" si="18"/>
        <v>0</v>
      </c>
      <c r="X71" s="298"/>
      <c r="Y71" s="299"/>
      <c r="Z71" s="439"/>
      <c r="AA71" s="440"/>
      <c r="AB71" s="39"/>
      <c r="AC71" s="190"/>
      <c r="AD71" s="447"/>
    </row>
    <row r="72" spans="1:32" ht="15" customHeight="1">
      <c r="A72" s="462"/>
      <c r="B72" s="56"/>
      <c r="C72" s="10"/>
      <c r="D72" s="11"/>
      <c r="E72" s="86"/>
      <c r="F72" s="56"/>
      <c r="G72" s="66"/>
      <c r="H72" s="76"/>
      <c r="I72" s="193"/>
      <c r="J72" s="16"/>
      <c r="K72" s="14"/>
      <c r="L72" s="17"/>
      <c r="M72" s="180"/>
      <c r="N72" s="14"/>
      <c r="O72" s="17"/>
      <c r="P72" s="18"/>
      <c r="Q72" s="19"/>
      <c r="R72" s="185"/>
      <c r="S72" s="397"/>
      <c r="T72" s="20"/>
      <c r="U72" s="20"/>
      <c r="V72" s="177"/>
      <c r="W72" s="182">
        <f t="shared" si="18"/>
        <v>0</v>
      </c>
      <c r="X72" s="297"/>
      <c r="Y72" s="297"/>
      <c r="Z72" s="405"/>
      <c r="AA72" s="419"/>
      <c r="AB72" s="39"/>
      <c r="AC72" s="190"/>
      <c r="AD72" s="447"/>
    </row>
    <row r="73" spans="1:32" ht="15" customHeight="1">
      <c r="A73" s="462"/>
      <c r="B73" s="56"/>
      <c r="C73" s="23"/>
      <c r="D73" s="11"/>
      <c r="E73" s="12"/>
      <c r="F73" s="56"/>
      <c r="G73" s="66"/>
      <c r="H73" s="76"/>
      <c r="I73" s="193"/>
      <c r="J73" s="16"/>
      <c r="K73" s="14"/>
      <c r="L73" s="17"/>
      <c r="M73" s="180"/>
      <c r="N73" s="14"/>
      <c r="O73" s="17"/>
      <c r="P73" s="18"/>
      <c r="Q73" s="19"/>
      <c r="R73" s="185"/>
      <c r="S73" s="397"/>
      <c r="T73" s="20"/>
      <c r="U73" s="20"/>
      <c r="V73" s="177"/>
      <c r="W73" s="182">
        <f t="shared" si="18"/>
        <v>0</v>
      </c>
      <c r="X73" s="22"/>
      <c r="Y73" s="22"/>
      <c r="Z73" s="405"/>
      <c r="AA73" s="419"/>
      <c r="AB73" s="39"/>
      <c r="AC73" s="190"/>
      <c r="AD73" s="447"/>
    </row>
    <row r="74" spans="1:32" ht="15" customHeight="1">
      <c r="A74" s="462"/>
      <c r="B74" s="56"/>
      <c r="C74" s="249"/>
      <c r="D74" s="250"/>
      <c r="E74" s="251"/>
      <c r="F74" s="56"/>
      <c r="G74" s="238"/>
      <c r="H74" s="76">
        <f t="shared" ref="H74:H78" si="58">F74*G74</f>
        <v>0</v>
      </c>
      <c r="I74" s="81"/>
      <c r="J74" s="234"/>
      <c r="K74" s="36"/>
      <c r="L74" s="235"/>
      <c r="M74" s="21"/>
      <c r="N74" s="36"/>
      <c r="O74" s="38"/>
      <c r="P74" s="39"/>
      <c r="Q74" s="40"/>
      <c r="R74" s="190"/>
      <c r="S74" s="397"/>
      <c r="T74" s="20"/>
      <c r="U74" s="20"/>
      <c r="V74" s="177"/>
      <c r="W74" s="182">
        <f t="shared" si="18"/>
        <v>0</v>
      </c>
      <c r="X74" s="22"/>
      <c r="Y74" s="22"/>
      <c r="Z74" s="405"/>
      <c r="AA74" s="419"/>
      <c r="AB74" s="39"/>
      <c r="AC74" s="190"/>
      <c r="AD74" s="447"/>
    </row>
    <row r="75" spans="1:32" ht="15" customHeight="1">
      <c r="A75" s="462"/>
      <c r="B75" s="177"/>
      <c r="C75" s="183"/>
      <c r="D75" s="11"/>
      <c r="E75" s="12"/>
      <c r="F75" s="13"/>
      <c r="G75" s="177"/>
      <c r="H75" s="15">
        <f t="shared" si="58"/>
        <v>0</v>
      </c>
      <c r="I75" s="81"/>
      <c r="J75" s="87"/>
      <c r="K75" s="82"/>
      <c r="L75" s="83"/>
      <c r="M75" s="181"/>
      <c r="N75" s="82"/>
      <c r="O75" s="83"/>
      <c r="P75" s="73"/>
      <c r="Q75" s="74"/>
      <c r="R75" s="192"/>
      <c r="S75" s="397"/>
      <c r="T75" s="20"/>
      <c r="U75" s="20"/>
      <c r="V75" s="177"/>
      <c r="W75" s="88">
        <f t="shared" si="18"/>
        <v>0</v>
      </c>
      <c r="X75" s="89"/>
      <c r="Y75" s="89"/>
      <c r="Z75" s="406"/>
      <c r="AA75" s="406"/>
      <c r="AB75" s="306"/>
      <c r="AC75" s="307"/>
      <c r="AD75" s="402"/>
    </row>
    <row r="76" spans="1:32" ht="15" customHeight="1">
      <c r="A76" s="462"/>
      <c r="B76" s="26"/>
      <c r="C76" s="27"/>
      <c r="D76" s="28"/>
      <c r="E76" s="29"/>
      <c r="F76" s="13"/>
      <c r="G76" s="177"/>
      <c r="H76" s="15">
        <f t="shared" si="58"/>
        <v>0</v>
      </c>
      <c r="I76" s="81"/>
      <c r="J76" s="87"/>
      <c r="K76" s="82"/>
      <c r="L76" s="83"/>
      <c r="M76" s="181"/>
      <c r="N76" s="82"/>
      <c r="O76" s="83"/>
      <c r="P76" s="73"/>
      <c r="Q76" s="74"/>
      <c r="R76" s="192"/>
      <c r="S76" s="398"/>
      <c r="T76" s="20"/>
      <c r="U76" s="20"/>
      <c r="V76" s="177"/>
      <c r="W76" s="90">
        <f t="shared" si="18"/>
        <v>0</v>
      </c>
      <c r="X76" s="78"/>
      <c r="Y76" s="78"/>
      <c r="Z76" s="445"/>
      <c r="AA76" s="445"/>
      <c r="AB76" s="51"/>
      <c r="AC76" s="52"/>
      <c r="AD76" s="403"/>
    </row>
    <row r="77" spans="1:32" ht="15" customHeight="1">
      <c r="A77" s="462"/>
      <c r="B77" s="26"/>
      <c r="C77" s="27"/>
      <c r="D77" s="28"/>
      <c r="E77" s="29"/>
      <c r="F77" s="13"/>
      <c r="G77" s="177"/>
      <c r="H77" s="15">
        <f t="shared" si="58"/>
        <v>0</v>
      </c>
      <c r="I77" s="81"/>
      <c r="J77" s="87"/>
      <c r="K77" s="82"/>
      <c r="L77" s="83"/>
      <c r="M77" s="181"/>
      <c r="N77" s="82"/>
      <c r="O77" s="83"/>
      <c r="P77" s="73"/>
      <c r="Q77" s="74"/>
      <c r="R77" s="192"/>
      <c r="S77" s="398"/>
      <c r="T77" s="20"/>
      <c r="U77" s="20"/>
      <c r="V77" s="177"/>
      <c r="W77" s="182">
        <f t="shared" si="18"/>
        <v>0</v>
      </c>
      <c r="X77" s="84"/>
      <c r="Y77" s="84"/>
      <c r="Z77" s="405"/>
      <c r="AA77" s="405"/>
      <c r="AB77" s="18"/>
      <c r="AC77" s="55"/>
      <c r="AD77" s="403"/>
    </row>
    <row r="78" spans="1:32" ht="15" customHeight="1">
      <c r="A78" s="462"/>
      <c r="B78" s="26"/>
      <c r="C78" s="27"/>
      <c r="D78" s="28"/>
      <c r="E78" s="29"/>
      <c r="F78" s="13"/>
      <c r="G78" s="177"/>
      <c r="H78" s="15">
        <f t="shared" si="58"/>
        <v>0</v>
      </c>
      <c r="I78" s="85"/>
      <c r="J78" s="37"/>
      <c r="K78" s="36"/>
      <c r="L78" s="83"/>
      <c r="M78" s="21"/>
      <c r="N78" s="36"/>
      <c r="O78" s="38"/>
      <c r="P78" s="39"/>
      <c r="Q78" s="40"/>
      <c r="R78" s="190"/>
      <c r="S78" s="464"/>
      <c r="T78" s="32"/>
      <c r="U78" s="32"/>
      <c r="V78" s="178"/>
      <c r="W78" s="182">
        <f t="shared" si="18"/>
        <v>0</v>
      </c>
      <c r="X78" s="91"/>
      <c r="Y78" s="91"/>
      <c r="Z78" s="405"/>
      <c r="AA78" s="405"/>
      <c r="AB78" s="34"/>
      <c r="AC78" s="57"/>
      <c r="AD78" s="403"/>
    </row>
    <row r="79" spans="1:32" ht="15" customHeight="1" thickBot="1">
      <c r="A79" s="463"/>
      <c r="B79" s="165"/>
      <c r="C79" s="1" t="s">
        <v>40</v>
      </c>
      <c r="D79" s="410" t="s">
        <v>7</v>
      </c>
      <c r="E79" s="410"/>
      <c r="F79" s="114"/>
      <c r="G79" s="115"/>
      <c r="H79" s="173"/>
      <c r="I79" s="171"/>
      <c r="J79" s="166" t="e">
        <f t="shared" ref="J79" si="59">AVERAGE(J70:J78)</f>
        <v>#DIV/0!</v>
      </c>
      <c r="K79" s="166"/>
      <c r="L79" s="171"/>
      <c r="M79" s="166"/>
      <c r="N79" s="166"/>
      <c r="O79" s="171"/>
      <c r="P79" s="172"/>
      <c r="Q79" s="158"/>
      <c r="R79" s="159"/>
      <c r="S79" s="399"/>
      <c r="T79" s="122"/>
      <c r="U79" s="122"/>
      <c r="V79" s="195"/>
      <c r="W79" s="168"/>
      <c r="X79" s="124"/>
      <c r="Y79" s="124"/>
      <c r="Z79" s="391"/>
      <c r="AA79" s="391"/>
      <c r="AB79" s="119">
        <f>N79-K79</f>
        <v>0</v>
      </c>
      <c r="AC79" s="187" t="e">
        <f>N79/K79</f>
        <v>#DIV/0!</v>
      </c>
      <c r="AD79" s="404"/>
    </row>
    <row r="80" spans="1:32">
      <c r="AF80" s="93" t="s">
        <v>41</v>
      </c>
    </row>
    <row r="81" spans="4:32">
      <c r="AF81" s="93" t="s">
        <v>42</v>
      </c>
    </row>
    <row r="82" spans="4:32">
      <c r="AF82" s="93" t="s">
        <v>43</v>
      </c>
    </row>
    <row r="83" spans="4:32">
      <c r="D83" s="220"/>
      <c r="W83" s="6"/>
      <c r="AF83" s="93" t="s">
        <v>44</v>
      </c>
    </row>
    <row r="84" spans="4:32">
      <c r="D84" s="224"/>
      <c r="W84" s="6"/>
      <c r="AF84" s="93" t="s">
        <v>45</v>
      </c>
    </row>
    <row r="85" spans="4:32">
      <c r="D85" s="224"/>
      <c r="W85" s="6"/>
      <c r="AF85" s="93" t="s">
        <v>46</v>
      </c>
    </row>
    <row r="86" spans="4:32">
      <c r="D86" s="155"/>
      <c r="W86" s="6"/>
      <c r="AF86" s="93" t="s">
        <v>47</v>
      </c>
    </row>
    <row r="87" spans="4:32">
      <c r="W87" s="6"/>
      <c r="AF87" s="93" t="s">
        <v>48</v>
      </c>
    </row>
    <row r="88" spans="4:32">
      <c r="W88" s="6"/>
      <c r="AF88" s="93" t="s">
        <v>49</v>
      </c>
    </row>
    <row r="89" spans="4:32">
      <c r="W89" s="6"/>
      <c r="AF89" s="93" t="s">
        <v>50</v>
      </c>
    </row>
    <row r="90" spans="4:32">
      <c r="W90" s="6"/>
      <c r="AF90" s="93" t="s">
        <v>51</v>
      </c>
    </row>
    <row r="91" spans="4:32">
      <c r="W91" s="6"/>
      <c r="AF91" s="93" t="s">
        <v>52</v>
      </c>
    </row>
    <row r="92" spans="4:32">
      <c r="W92" s="6"/>
      <c r="AF92" s="93" t="s">
        <v>53</v>
      </c>
    </row>
  </sheetData>
  <autoFilter ref="D1:D92" xr:uid="{EF5AD393-5A39-4C0E-A7B0-465235F2AB14}"/>
  <mergeCells count="135">
    <mergeCell ref="P1:S2"/>
    <mergeCell ref="T1:Y2"/>
    <mergeCell ref="Z1:AA2"/>
    <mergeCell ref="AB1:AD2"/>
    <mergeCell ref="H3:H4"/>
    <mergeCell ref="I3:I4"/>
    <mergeCell ref="J3:J4"/>
    <mergeCell ref="K3:K4"/>
    <mergeCell ref="L3:L4"/>
    <mergeCell ref="M3:M4"/>
    <mergeCell ref="A2:B2"/>
    <mergeCell ref="A3:A4"/>
    <mergeCell ref="B3:B4"/>
    <mergeCell ref="D3:E4"/>
    <mergeCell ref="F3:F4"/>
    <mergeCell ref="G3:G4"/>
    <mergeCell ref="J1:L2"/>
    <mergeCell ref="M1:O2"/>
    <mergeCell ref="D15:E15"/>
    <mergeCell ref="AC3:AC4"/>
    <mergeCell ref="AD3:AD4"/>
    <mergeCell ref="A5:A15"/>
    <mergeCell ref="S5:S15"/>
    <mergeCell ref="Z5:AA5"/>
    <mergeCell ref="AD5:AD15"/>
    <mergeCell ref="Z6:AA6"/>
    <mergeCell ref="Z7:AA7"/>
    <mergeCell ref="Z8:AA8"/>
    <mergeCell ref="Z9:AA9"/>
    <mergeCell ref="T3:U3"/>
    <mergeCell ref="V3:V4"/>
    <mergeCell ref="W3:W4"/>
    <mergeCell ref="X3:Y3"/>
    <mergeCell ref="Z3:AA4"/>
    <mergeCell ref="AB3:AB4"/>
    <mergeCell ref="N3:N4"/>
    <mergeCell ref="O3:O4"/>
    <mergeCell ref="P3:P4"/>
    <mergeCell ref="Q3:Q4"/>
    <mergeCell ref="R3:R4"/>
    <mergeCell ref="S3:S4"/>
    <mergeCell ref="AD16:AD26"/>
    <mergeCell ref="Z17:AA17"/>
    <mergeCell ref="Z18:AA18"/>
    <mergeCell ref="Z19:AA19"/>
    <mergeCell ref="Z20:AA20"/>
    <mergeCell ref="Z21:AA21"/>
    <mergeCell ref="Z22:AA22"/>
    <mergeCell ref="Z10:AA10"/>
    <mergeCell ref="Z11:AA11"/>
    <mergeCell ref="Z12:AA12"/>
    <mergeCell ref="Z13:AA13"/>
    <mergeCell ref="Z14:AA14"/>
    <mergeCell ref="Z23:AA23"/>
    <mergeCell ref="Z24:AA24"/>
    <mergeCell ref="Z25:AA25"/>
    <mergeCell ref="Z15:AA15"/>
    <mergeCell ref="D26:E26"/>
    <mergeCell ref="Z26:AA26"/>
    <mergeCell ref="A27:A37"/>
    <mergeCell ref="S27:S37"/>
    <mergeCell ref="Z27:AA27"/>
    <mergeCell ref="D37:E37"/>
    <mergeCell ref="Z37:AA37"/>
    <mergeCell ref="A16:A26"/>
    <mergeCell ref="S16:S26"/>
    <mergeCell ref="Z16:AA16"/>
    <mergeCell ref="AD38:AD48"/>
    <mergeCell ref="Z39:AA39"/>
    <mergeCell ref="Z40:AA40"/>
    <mergeCell ref="Z41:AA41"/>
    <mergeCell ref="Z42:AA42"/>
    <mergeCell ref="Z43:AA43"/>
    <mergeCell ref="Z44:AA44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Z45:AA45"/>
    <mergeCell ref="Z46:AA46"/>
    <mergeCell ref="Z47:AA47"/>
    <mergeCell ref="D48:E48"/>
    <mergeCell ref="Z48:AA48"/>
    <mergeCell ref="A49:A58"/>
    <mergeCell ref="S49:S58"/>
    <mergeCell ref="Z49:AA49"/>
    <mergeCell ref="D58:E58"/>
    <mergeCell ref="A38:A48"/>
    <mergeCell ref="S38:S48"/>
    <mergeCell ref="Z38:AA38"/>
    <mergeCell ref="AD59:AD69"/>
    <mergeCell ref="Z60:AA60"/>
    <mergeCell ref="Z61:AA61"/>
    <mergeCell ref="Z62:AA62"/>
    <mergeCell ref="Z63:AA63"/>
    <mergeCell ref="Z64:AA64"/>
    <mergeCell ref="Z65:AA65"/>
    <mergeCell ref="AD49:AD58"/>
    <mergeCell ref="Z50:AA50"/>
    <mergeCell ref="Z51:AA51"/>
    <mergeCell ref="Z52:AA52"/>
    <mergeCell ref="Z53:AA53"/>
    <mergeCell ref="Z54:AA54"/>
    <mergeCell ref="Z55:AA55"/>
    <mergeCell ref="Z56:AA56"/>
    <mergeCell ref="Z57:AA57"/>
    <mergeCell ref="Z58:AA58"/>
    <mergeCell ref="Z66:AA66"/>
    <mergeCell ref="Z67:AA67"/>
    <mergeCell ref="Z68:AA68"/>
    <mergeCell ref="D69:E69"/>
    <mergeCell ref="Z69:AA69"/>
    <mergeCell ref="A70:A79"/>
    <mergeCell ref="S70:S79"/>
    <mergeCell ref="Z70:AA70"/>
    <mergeCell ref="D79:E79"/>
    <mergeCell ref="A59:A69"/>
    <mergeCell ref="S59:S69"/>
    <mergeCell ref="Z59:AA59"/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</mergeCells>
  <phoneticPr fontId="2" type="noConversion"/>
  <conditionalFormatting sqref="P5:P79">
    <cfRule type="cellIs" dxfId="28" priority="1" operator="greaterThan">
      <formula>0</formula>
    </cfRule>
  </conditionalFormatting>
  <conditionalFormatting sqref="Q5:Q79 AB5:AB79">
    <cfRule type="cellIs" dxfId="27" priority="4" operator="lessThan">
      <formula>0</formula>
    </cfRule>
  </conditionalFormatting>
  <conditionalFormatting sqref="R5:R79 AC5:AC79">
    <cfRule type="cellIs" dxfId="26" priority="2" operator="greaterThan">
      <formula>1</formula>
    </cfRule>
    <cfRule type="cellIs" dxfId="25" priority="3" operator="lessThan">
      <formula>0.8</formula>
    </cfRule>
  </conditionalFormatting>
  <conditionalFormatting sqref="S5:S10 S37:S62 AD59:AD62 S69:S76 AD69:AD76">
    <cfRule type="cellIs" dxfId="24" priority="7" operator="lessThan">
      <formula>0.8</formula>
    </cfRule>
  </conditionalFormatting>
  <conditionalFormatting sqref="S19:S25 AD19:AD25">
    <cfRule type="cellIs" dxfId="23" priority="6" operator="lessThan">
      <formula>0.8</formula>
    </cfRule>
  </conditionalFormatting>
  <conditionalFormatting sqref="S79">
    <cfRule type="cellIs" dxfId="22" priority="5" operator="lessThan">
      <formula>0.8</formula>
    </cfRule>
  </conditionalFormatting>
  <conditionalFormatting sqref="AD5:AD8 S15:S16 AD15:AD16 AD49 AD79">
    <cfRule type="cellIs" dxfId="21" priority="9" operator="lessThan">
      <formula>0.8</formula>
    </cfRule>
  </conditionalFormatting>
  <conditionalFormatting sqref="AD27 S27:S28">
    <cfRule type="cellIs" dxfId="2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546D29A-0F2A-4B5A-84CB-5676E6E67900}">
          <x14:formula1>
            <xm:f>廠價表!$C$2:$C$37</xm:f>
          </x14:formula1>
          <xm:sqref>D1:D1048576</xm:sqref>
        </x14:dataValidation>
      </x14:dataValidations>
    </ext>
  </extLst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2AB58-E169-4AF0-8047-4E53C4494F63}">
  <sheetPr>
    <pageSetUpPr fitToPage="1"/>
  </sheetPr>
  <dimension ref="B1:O22"/>
  <sheetViews>
    <sheetView zoomScale="70" zoomScaleNormal="70" workbookViewId="0">
      <selection activeCell="A3" sqref="A3:A4"/>
    </sheetView>
  </sheetViews>
  <sheetFormatPr defaultColWidth="8.125" defaultRowHeight="15.75"/>
  <cols>
    <col min="1" max="1" width="8.125" style="203"/>
    <col min="2" max="2" width="7.125" style="203" customWidth="1"/>
    <col min="3" max="3" width="7.125" style="218" customWidth="1"/>
    <col min="4" max="17" width="14.125" style="203" customWidth="1"/>
    <col min="18" max="21" width="9.625" style="203" customWidth="1"/>
    <col min="22" max="22" width="11.125" style="203" customWidth="1"/>
    <col min="23" max="23" width="11.5" style="203" customWidth="1"/>
    <col min="24" max="16384" width="8.125" style="203"/>
  </cols>
  <sheetData>
    <row r="1" spans="2:15" ht="27.75" customHeight="1">
      <c r="B1" s="345" t="s">
        <v>73</v>
      </c>
      <c r="C1" s="345"/>
      <c r="D1" s="345"/>
      <c r="E1" s="345"/>
      <c r="F1" s="345"/>
      <c r="G1" s="345"/>
      <c r="H1" s="345"/>
      <c r="I1" s="345"/>
      <c r="J1" s="345"/>
      <c r="K1" s="345"/>
      <c r="L1" s="202"/>
      <c r="M1" s="202"/>
    </row>
    <row r="2" spans="2:15" ht="27.75" customHeight="1"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202"/>
      <c r="M2" s="202"/>
    </row>
    <row r="3" spans="2:15" ht="46.5" customHeight="1">
      <c r="B3" s="342" t="s">
        <v>74</v>
      </c>
      <c r="C3" s="342"/>
      <c r="D3" s="346">
        <v>45990</v>
      </c>
      <c r="E3" s="346"/>
      <c r="F3" s="204" t="s">
        <v>75</v>
      </c>
      <c r="G3" s="347">
        <f>'1129'!E1</f>
        <v>40643</v>
      </c>
      <c r="H3" s="347"/>
      <c r="I3" s="204" t="s">
        <v>76</v>
      </c>
      <c r="J3" s="348">
        <f>'1129'!G1</f>
        <v>1977413.7699999998</v>
      </c>
      <c r="K3" s="348"/>
      <c r="L3" s="205"/>
    </row>
    <row r="4" spans="2:15" ht="24" customHeight="1">
      <c r="B4" s="342" t="s">
        <v>77</v>
      </c>
      <c r="C4" s="342"/>
      <c r="D4" s="343">
        <v>3</v>
      </c>
      <c r="E4" s="343"/>
      <c r="F4" s="344" t="s">
        <v>78</v>
      </c>
      <c r="G4" s="344"/>
      <c r="H4" s="344" t="s">
        <v>79</v>
      </c>
      <c r="I4" s="344"/>
      <c r="J4" s="343" t="s">
        <v>80</v>
      </c>
      <c r="K4" s="344"/>
      <c r="L4" s="206"/>
    </row>
    <row r="5" spans="2:15" ht="24" customHeight="1">
      <c r="B5" s="342" t="s">
        <v>81</v>
      </c>
      <c r="C5" s="342"/>
      <c r="D5" s="343" t="s">
        <v>82</v>
      </c>
      <c r="E5" s="343"/>
      <c r="F5" s="343" t="s">
        <v>83</v>
      </c>
      <c r="G5" s="343"/>
      <c r="H5" s="369" t="s">
        <v>62</v>
      </c>
      <c r="I5" s="369"/>
      <c r="J5" s="341" t="s">
        <v>84</v>
      </c>
      <c r="K5" s="341"/>
      <c r="L5" s="207"/>
    </row>
    <row r="6" spans="2:15" ht="39.6" customHeight="1">
      <c r="B6" s="342"/>
      <c r="C6" s="342"/>
      <c r="D6" s="342" t="s">
        <v>85</v>
      </c>
      <c r="E6" s="342"/>
      <c r="F6" s="356">
        <f>AVERAGE(D13:J13)</f>
        <v>118.53316535903609</v>
      </c>
      <c r="G6" s="356"/>
      <c r="H6" s="349">
        <f>AVERAGE(D13:H13)</f>
        <v>116.8252685163134</v>
      </c>
      <c r="I6" s="349"/>
      <c r="J6" s="349">
        <f>AVERAGE(I13:J13)</f>
        <v>127.07264957264958</v>
      </c>
      <c r="K6" s="349"/>
      <c r="L6" s="207"/>
    </row>
    <row r="7" spans="2:15" s="208" customFormat="1" ht="39.6" customHeight="1">
      <c r="B7" s="342"/>
      <c r="C7" s="342"/>
      <c r="D7" s="350" t="s">
        <v>86</v>
      </c>
      <c r="E7" s="350"/>
      <c r="F7" s="351">
        <f>AVERAGE(D14:J14)</f>
        <v>103.81397969863418</v>
      </c>
      <c r="G7" s="351"/>
      <c r="H7" s="352">
        <f>AVERAGE(D14:H14)</f>
        <v>102.89642621959919</v>
      </c>
      <c r="I7" s="352"/>
      <c r="J7" s="352">
        <f>AVERAGE(I14:J14)</f>
        <v>108.40174709380913</v>
      </c>
      <c r="K7" s="352"/>
    </row>
    <row r="8" spans="2:15" s="208" customFormat="1" ht="39.6" customHeight="1">
      <c r="B8" s="342"/>
      <c r="C8" s="342"/>
      <c r="D8" s="350" t="s">
        <v>87</v>
      </c>
      <c r="E8" s="350"/>
      <c r="F8" s="353">
        <f>AVERAGE(D15:J15)</f>
        <v>0.87149581164924961</v>
      </c>
      <c r="G8" s="353"/>
      <c r="H8" s="353">
        <f>AVERAGE(D15:H15)</f>
        <v>0.87518115982102773</v>
      </c>
      <c r="I8" s="353"/>
      <c r="J8" s="353">
        <f>AVERAGE(I15:J15)</f>
        <v>0.85306907079035932</v>
      </c>
      <c r="K8" s="353"/>
      <c r="L8" s="209" t="s">
        <v>88</v>
      </c>
    </row>
    <row r="9" spans="2:15" ht="25.5" customHeight="1">
      <c r="B9" s="207"/>
      <c r="C9" s="207"/>
      <c r="D9" s="207"/>
      <c r="E9" s="207"/>
      <c r="F9" s="207"/>
      <c r="G9" s="207"/>
      <c r="H9" s="210"/>
      <c r="I9" s="211"/>
      <c r="J9" s="211"/>
      <c r="K9" s="211"/>
      <c r="L9" s="211"/>
      <c r="M9" s="211"/>
      <c r="N9" s="211"/>
      <c r="O9" s="207"/>
    </row>
    <row r="10" spans="2:15" ht="30" customHeight="1">
      <c r="B10" s="354" t="s">
        <v>0</v>
      </c>
      <c r="C10" s="355"/>
      <c r="D10" s="357" t="s">
        <v>89</v>
      </c>
      <c r="E10" s="358"/>
      <c r="F10" s="358"/>
      <c r="G10" s="358"/>
      <c r="H10" s="358"/>
      <c r="I10" s="358"/>
      <c r="J10" s="359"/>
    </row>
    <row r="11" spans="2:15" ht="17.25" customHeight="1">
      <c r="B11" s="360" t="s">
        <v>90</v>
      </c>
      <c r="C11" s="361"/>
      <c r="D11" s="212">
        <v>1</v>
      </c>
      <c r="E11" s="212">
        <v>2</v>
      </c>
      <c r="F11" s="212">
        <v>3</v>
      </c>
      <c r="G11" s="212">
        <v>4</v>
      </c>
      <c r="H11" s="212">
        <v>5</v>
      </c>
      <c r="I11" s="212">
        <v>6</v>
      </c>
      <c r="J11" s="212">
        <v>7</v>
      </c>
    </row>
    <row r="12" spans="2:15" ht="33.950000000000003" customHeight="1">
      <c r="B12" s="362"/>
      <c r="C12" s="363"/>
      <c r="D12" s="213" t="s">
        <v>91</v>
      </c>
      <c r="E12" s="213" t="s">
        <v>92</v>
      </c>
      <c r="F12" s="213" t="s">
        <v>93</v>
      </c>
      <c r="G12" s="213" t="s">
        <v>94</v>
      </c>
      <c r="H12" s="213" t="s">
        <v>95</v>
      </c>
      <c r="I12" s="213" t="s">
        <v>96</v>
      </c>
      <c r="J12" s="213" t="s">
        <v>232</v>
      </c>
    </row>
    <row r="13" spans="2:15" ht="39.950000000000003" customHeight="1">
      <c r="B13" s="364" t="s">
        <v>1</v>
      </c>
      <c r="C13" s="214" t="s">
        <v>98</v>
      </c>
      <c r="D13" s="215">
        <f>VALUE('1129'!L15)</f>
        <v>143.87443438914025</v>
      </c>
      <c r="E13" s="215">
        <f>VALUE('1129'!L26)</f>
        <v>160.81196581196582</v>
      </c>
      <c r="F13" s="215">
        <f>VALUE('1129'!L37)</f>
        <v>93.047712418300662</v>
      </c>
      <c r="G13" s="215">
        <f>VALUE('1129'!L48)</f>
        <v>94.362990196078442</v>
      </c>
      <c r="H13" s="215">
        <f>VALUE('1129'!L58)</f>
        <v>92.029239766081872</v>
      </c>
      <c r="I13" s="215">
        <f>VALUE('1129'!L69)</f>
        <v>127.07264957264958</v>
      </c>
      <c r="J13" s="215"/>
    </row>
    <row r="14" spans="2:15" ht="39.950000000000003" customHeight="1">
      <c r="B14" s="365"/>
      <c r="C14" s="214" t="s">
        <v>99</v>
      </c>
      <c r="D14" s="215">
        <f>VALUE('1129'!O15)</f>
        <v>130.91468351382969</v>
      </c>
      <c r="E14" s="215">
        <f>VALUE('1129'!O26)</f>
        <v>144.40802950372333</v>
      </c>
      <c r="F14" s="215">
        <f>VALUE('1129'!O37)</f>
        <v>73.47199889258026</v>
      </c>
      <c r="G14" s="215">
        <f>VALUE('1129'!O48)</f>
        <v>81.882560752613898</v>
      </c>
      <c r="H14" s="215">
        <f>VALUE('1129'!O58)</f>
        <v>83.804858435248761</v>
      </c>
      <c r="I14" s="215">
        <f>VALUE('1129'!O69)</f>
        <v>108.40174709380913</v>
      </c>
      <c r="J14" s="215"/>
    </row>
    <row r="15" spans="2:15" ht="39.950000000000003" customHeight="1">
      <c r="B15" s="366"/>
      <c r="C15" s="212" t="s">
        <v>100</v>
      </c>
      <c r="D15" s="233">
        <f>D14/D13</f>
        <v>0.90992318454397503</v>
      </c>
      <c r="E15" s="233">
        <f t="shared" ref="E15:I15" si="0">E14/E13</f>
        <v>0.89799306149006797</v>
      </c>
      <c r="F15" s="233">
        <f t="shared" si="0"/>
        <v>0.7896163912368227</v>
      </c>
      <c r="G15" s="233">
        <f t="shared" si="0"/>
        <v>0.8677402081310559</v>
      </c>
      <c r="H15" s="233">
        <f t="shared" si="0"/>
        <v>0.91063295370321773</v>
      </c>
      <c r="I15" s="233">
        <f t="shared" si="0"/>
        <v>0.85306907079035932</v>
      </c>
      <c r="J15" s="233"/>
    </row>
    <row r="16" spans="2:15" ht="17.25" customHeight="1">
      <c r="B16" s="367" t="s">
        <v>101</v>
      </c>
      <c r="C16" s="212" t="s">
        <v>102</v>
      </c>
      <c r="D16" s="95">
        <f>'1129'!T5</f>
        <v>0.2902777777777778</v>
      </c>
      <c r="E16" s="95">
        <f>'1129'!T16</f>
        <v>0.2902777777777778</v>
      </c>
      <c r="F16" s="95">
        <f>'1129'!T27</f>
        <v>0.29166666666666669</v>
      </c>
      <c r="G16" s="95">
        <f>'1129'!T38</f>
        <v>0.33333333333333331</v>
      </c>
      <c r="H16" s="95">
        <f>'1129'!T49</f>
        <v>0.29166666666666669</v>
      </c>
      <c r="I16" s="95">
        <f>'1129'!T59</f>
        <v>0.29166666666666669</v>
      </c>
      <c r="J16" s="272"/>
    </row>
    <row r="17" spans="2:10" ht="17.25" customHeight="1">
      <c r="B17" s="368"/>
      <c r="C17" s="212" t="s">
        <v>103</v>
      </c>
      <c r="D17" s="95">
        <v>0.48541666666666666</v>
      </c>
      <c r="E17" s="41">
        <v>0.49513888888888891</v>
      </c>
      <c r="F17" s="59">
        <v>0.58333333333333337</v>
      </c>
      <c r="G17" s="59">
        <v>0.60416666666666663</v>
      </c>
      <c r="H17" s="79">
        <v>0.61111111111111116</v>
      </c>
      <c r="I17" s="198">
        <v>0.4861111111111111</v>
      </c>
      <c r="J17" s="20"/>
    </row>
    <row r="18" spans="2:10" ht="17.25" customHeight="1">
      <c r="B18" s="354" t="s">
        <v>104</v>
      </c>
      <c r="C18" s="355"/>
      <c r="D18" s="216">
        <f>VALUE('1129'!M15)</f>
        <v>14</v>
      </c>
      <c r="E18" s="216">
        <f>VALUE('1129'!M26)</f>
        <v>12.666666666666666</v>
      </c>
      <c r="F18" s="216">
        <f>VALUE('1129'!M37)</f>
        <v>14.6</v>
      </c>
      <c r="G18" s="216">
        <f>VALUE('1129'!M48)</f>
        <v>14</v>
      </c>
      <c r="H18" s="216">
        <f>VALUE('1129'!M58)</f>
        <v>16.8</v>
      </c>
      <c r="I18" s="216">
        <f>VALUE('1129'!M69)</f>
        <v>12.333333333333334</v>
      </c>
      <c r="J18" s="216"/>
    </row>
    <row r="19" spans="2:10" ht="17.25" customHeight="1">
      <c r="B19" s="354" t="s">
        <v>105</v>
      </c>
      <c r="C19" s="355"/>
      <c r="D19" s="213" t="s">
        <v>106</v>
      </c>
      <c r="E19" s="213" t="s">
        <v>106</v>
      </c>
      <c r="F19" s="213" t="s">
        <v>107</v>
      </c>
      <c r="G19" s="213" t="s">
        <v>107</v>
      </c>
      <c r="H19" s="213" t="s">
        <v>107</v>
      </c>
      <c r="I19" s="213" t="s">
        <v>108</v>
      </c>
      <c r="J19" s="213"/>
    </row>
    <row r="20" spans="2:10" ht="17.25" customHeight="1">
      <c r="B20" s="354" t="s">
        <v>110</v>
      </c>
      <c r="C20" s="355"/>
      <c r="D20" s="213"/>
      <c r="E20" s="213"/>
      <c r="F20" s="213"/>
      <c r="G20" s="217"/>
      <c r="H20" s="213" t="s">
        <v>109</v>
      </c>
      <c r="I20" s="213"/>
      <c r="J20" s="213"/>
    </row>
    <row r="21" spans="2:10" ht="17.25" customHeight="1">
      <c r="B21" s="354" t="s">
        <v>111</v>
      </c>
      <c r="C21" s="355"/>
      <c r="D21" s="273"/>
      <c r="E21" s="273"/>
      <c r="F21" s="273"/>
      <c r="G21" s="273"/>
      <c r="H21" s="273"/>
      <c r="I21" s="273"/>
      <c r="J21" s="273"/>
    </row>
    <row r="22" spans="2:10">
      <c r="B22" s="370"/>
      <c r="C22" s="370"/>
    </row>
  </sheetData>
  <mergeCells count="37">
    <mergeCell ref="B18:C18"/>
    <mergeCell ref="B19:C19"/>
    <mergeCell ref="B20:C20"/>
    <mergeCell ref="B21:C21"/>
    <mergeCell ref="B22:C22"/>
    <mergeCell ref="J8:K8"/>
    <mergeCell ref="D10:J10"/>
    <mergeCell ref="B11:C12"/>
    <mergeCell ref="B13:B15"/>
    <mergeCell ref="B16:B17"/>
    <mergeCell ref="B10:C10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F7:G7"/>
    <mergeCell ref="H7:I7"/>
    <mergeCell ref="J7:K7"/>
    <mergeCell ref="D8:E8"/>
    <mergeCell ref="F8:G8"/>
    <mergeCell ref="H8:I8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2" type="noConversion"/>
  <conditionalFormatting sqref="D15:J15">
    <cfRule type="cellIs" dxfId="19" priority="1" operator="lessThan">
      <formula>0.8</formula>
    </cfRule>
  </conditionalFormatting>
  <pageMargins left="0.7" right="0.7" top="0.75" bottom="0.75" header="0.3" footer="0.3"/>
  <pageSetup paperSize="8" orientation="landscape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B96FA-3B78-434A-914B-BF5012E60ADB}">
  <sheetPr>
    <tabColor theme="9" tint="0.79998168889431442"/>
    <pageSetUpPr fitToPage="1"/>
  </sheetPr>
  <dimension ref="A1:AF92"/>
  <sheetViews>
    <sheetView zoomScale="69" zoomScaleNormal="69" workbookViewId="0">
      <pane xSplit="5" ySplit="4" topLeftCell="H5" activePane="bottomRight" state="frozen"/>
      <selection activeCell="A3" sqref="A3:A4"/>
      <selection pane="topRight" activeCell="A3" sqref="A3:A4"/>
      <selection pane="bottomLeft" activeCell="A3" sqref="A3:A4"/>
      <selection pane="bottomRight" activeCell="Z53" sqref="Z53:AA53"/>
    </sheetView>
  </sheetViews>
  <sheetFormatPr defaultColWidth="7.875" defaultRowHeight="15.75"/>
  <cols>
    <col min="1" max="1" width="15" style="6" customWidth="1"/>
    <col min="2" max="2" width="12.875" style="6" customWidth="1"/>
    <col min="3" max="3" width="12.875" style="6" hidden="1" customWidth="1"/>
    <col min="4" max="4" width="26.125" style="6" bestFit="1" customWidth="1"/>
    <col min="5" max="5" width="15" style="6" customWidth="1"/>
    <col min="6" max="6" width="8.875" style="6" bestFit="1" customWidth="1"/>
    <col min="7" max="7" width="20.125" style="6" bestFit="1" customWidth="1"/>
    <col min="8" max="8" width="16.375" style="6" bestFit="1" customWidth="1"/>
    <col min="9" max="9" width="10.875" style="6" bestFit="1" customWidth="1"/>
    <col min="10" max="10" width="10.125" style="6" bestFit="1" customWidth="1"/>
    <col min="11" max="11" width="10.625" style="6" customWidth="1"/>
    <col min="12" max="12" width="14.5" style="6" customWidth="1"/>
    <col min="13" max="13" width="10.125" style="6" bestFit="1" customWidth="1"/>
    <col min="14" max="14" width="10.25" style="6" bestFit="1" customWidth="1"/>
    <col min="15" max="15" width="11.875" style="6" customWidth="1"/>
    <col min="16" max="17" width="9.125" style="6" bestFit="1" customWidth="1"/>
    <col min="18" max="18" width="9.125" style="6" customWidth="1"/>
    <col min="19" max="19" width="8.375" style="6" customWidth="1"/>
    <col min="20" max="21" width="9.375" style="6" bestFit="1" customWidth="1"/>
    <col min="22" max="22" width="10.625" style="6" customWidth="1"/>
    <col min="23" max="23" width="8.625" style="92" customWidth="1"/>
    <col min="24" max="24" width="7.5" style="6" bestFit="1" customWidth="1"/>
    <col min="25" max="25" width="6.875" style="6" customWidth="1"/>
    <col min="26" max="26" width="12.625" style="6" customWidth="1"/>
    <col min="27" max="27" width="33.375" style="6" customWidth="1"/>
    <col min="28" max="28" width="13.125" style="6" bestFit="1" customWidth="1"/>
    <col min="29" max="29" width="10.375" style="6" customWidth="1"/>
    <col min="30" max="30" width="9.125" style="6" customWidth="1"/>
    <col min="31" max="31" width="7.875" style="6"/>
    <col min="32" max="32" width="24.5" style="6" bestFit="1" customWidth="1"/>
    <col min="33" max="16384" width="7.875" style="6"/>
  </cols>
  <sheetData>
    <row r="1" spans="1:30" ht="21">
      <c r="A1" s="2" t="s">
        <v>72</v>
      </c>
      <c r="B1" s="2"/>
      <c r="C1" s="2"/>
      <c r="D1" s="176" t="s">
        <v>8</v>
      </c>
      <c r="E1" s="3">
        <f>SUM(G5:G79)</f>
        <v>40643</v>
      </c>
      <c r="F1" s="177" t="s">
        <v>9</v>
      </c>
      <c r="G1" s="4">
        <f>SUM(H5:H79)</f>
        <v>1977413.7699999998</v>
      </c>
      <c r="H1" s="175" t="s">
        <v>10</v>
      </c>
      <c r="I1" s="5">
        <f>M15+M26+M48+M58+M69+M79+M37</f>
        <v>84.399999999999991</v>
      </c>
      <c r="J1" s="371" t="s">
        <v>11</v>
      </c>
      <c r="K1" s="371"/>
      <c r="L1" s="371"/>
      <c r="M1" s="371" t="s">
        <v>12</v>
      </c>
      <c r="N1" s="371"/>
      <c r="O1" s="371"/>
      <c r="P1" s="371" t="s">
        <v>13</v>
      </c>
      <c r="Q1" s="371"/>
      <c r="R1" s="371"/>
      <c r="S1" s="371"/>
      <c r="T1" s="371" t="s">
        <v>14</v>
      </c>
      <c r="U1" s="371"/>
      <c r="V1" s="371"/>
      <c r="W1" s="371"/>
      <c r="X1" s="371"/>
      <c r="Y1" s="371"/>
      <c r="Z1" s="371" t="s">
        <v>15</v>
      </c>
      <c r="AA1" s="371"/>
      <c r="AB1" s="371" t="s">
        <v>16</v>
      </c>
      <c r="AC1" s="372"/>
      <c r="AD1" s="372"/>
    </row>
    <row r="2" spans="1:30" ht="18.75">
      <c r="A2" s="409" t="s">
        <v>260</v>
      </c>
      <c r="B2" s="409"/>
      <c r="C2" s="176"/>
      <c r="D2" s="176" t="s">
        <v>1</v>
      </c>
      <c r="E2" s="7">
        <f>AVERAGE(O15,O26,O37,O48,O58,O69,O79)</f>
        <v>103.81397969863418</v>
      </c>
      <c r="F2" s="8" t="s">
        <v>2</v>
      </c>
      <c r="G2" s="9">
        <f>G1/E1</f>
        <v>48.653243362940721</v>
      </c>
      <c r="H2" s="175" t="s">
        <v>17</v>
      </c>
      <c r="I2" s="175">
        <f>COUNT(I5:I79)</f>
        <v>0</v>
      </c>
      <c r="J2" s="371"/>
      <c r="K2" s="371"/>
      <c r="L2" s="371"/>
      <c r="M2" s="371"/>
      <c r="N2" s="371"/>
      <c r="O2" s="371"/>
      <c r="P2" s="371"/>
      <c r="Q2" s="371"/>
      <c r="R2" s="371"/>
      <c r="S2" s="371"/>
      <c r="T2" s="371"/>
      <c r="U2" s="371"/>
      <c r="V2" s="371"/>
      <c r="W2" s="371"/>
      <c r="X2" s="371"/>
      <c r="Y2" s="371"/>
      <c r="Z2" s="371"/>
      <c r="AA2" s="371"/>
      <c r="AB2" s="372"/>
      <c r="AC2" s="372"/>
      <c r="AD2" s="372"/>
    </row>
    <row r="3" spans="1:30">
      <c r="A3" s="405" t="s">
        <v>18</v>
      </c>
      <c r="B3" s="405" t="s">
        <v>19</v>
      </c>
      <c r="C3" s="177"/>
      <c r="D3" s="405" t="s">
        <v>20</v>
      </c>
      <c r="E3" s="405"/>
      <c r="F3" s="379" t="s">
        <v>21</v>
      </c>
      <c r="G3" s="389" t="s">
        <v>22</v>
      </c>
      <c r="H3" s="379" t="s">
        <v>23</v>
      </c>
      <c r="I3" s="381" t="s">
        <v>24</v>
      </c>
      <c r="J3" s="383" t="s">
        <v>25</v>
      </c>
      <c r="K3" s="385" t="s">
        <v>26</v>
      </c>
      <c r="L3" s="387" t="s">
        <v>1</v>
      </c>
      <c r="M3" s="389" t="s">
        <v>25</v>
      </c>
      <c r="N3" s="385" t="s">
        <v>26</v>
      </c>
      <c r="O3" s="387" t="s">
        <v>1</v>
      </c>
      <c r="P3" s="383" t="s">
        <v>25</v>
      </c>
      <c r="Q3" s="387" t="s">
        <v>1</v>
      </c>
      <c r="R3" s="392" t="s">
        <v>27</v>
      </c>
      <c r="S3" s="394" t="s">
        <v>28</v>
      </c>
      <c r="T3" s="389" t="s">
        <v>4</v>
      </c>
      <c r="U3" s="389"/>
      <c r="V3" s="408" t="s">
        <v>29</v>
      </c>
      <c r="W3" s="381" t="s">
        <v>30</v>
      </c>
      <c r="X3" s="389" t="s">
        <v>31</v>
      </c>
      <c r="Y3" s="389"/>
      <c r="Z3" s="415"/>
      <c r="AA3" s="416"/>
      <c r="AB3" s="385" t="s">
        <v>26</v>
      </c>
      <c r="AC3" s="392" t="s">
        <v>27</v>
      </c>
      <c r="AD3" s="394" t="s">
        <v>28</v>
      </c>
    </row>
    <row r="4" spans="1:30" ht="16.5" thickBot="1">
      <c r="A4" s="379"/>
      <c r="B4" s="379"/>
      <c r="C4" s="178"/>
      <c r="D4" s="379"/>
      <c r="E4" s="379"/>
      <c r="F4" s="380"/>
      <c r="G4" s="390"/>
      <c r="H4" s="380"/>
      <c r="I4" s="382"/>
      <c r="J4" s="384"/>
      <c r="K4" s="386"/>
      <c r="L4" s="388"/>
      <c r="M4" s="390"/>
      <c r="N4" s="386"/>
      <c r="O4" s="388"/>
      <c r="P4" s="384"/>
      <c r="Q4" s="388"/>
      <c r="R4" s="393"/>
      <c r="S4" s="395"/>
      <c r="T4" s="179" t="s">
        <v>5</v>
      </c>
      <c r="U4" s="179" t="s">
        <v>6</v>
      </c>
      <c r="V4" s="390"/>
      <c r="W4" s="382"/>
      <c r="X4" s="178" t="s">
        <v>32</v>
      </c>
      <c r="Y4" s="178" t="s">
        <v>33</v>
      </c>
      <c r="Z4" s="417"/>
      <c r="AA4" s="417"/>
      <c r="AB4" s="386"/>
      <c r="AC4" s="393"/>
      <c r="AD4" s="395"/>
    </row>
    <row r="5" spans="1:30" ht="15" customHeight="1">
      <c r="A5" s="411" t="s">
        <v>66</v>
      </c>
      <c r="B5" s="305" t="str">
        <f>VLOOKUP(D5,廠價表!$C$1:$E$39,2,0)</f>
        <v>義大利麵</v>
      </c>
      <c r="C5" s="324"/>
      <c r="D5" s="339" t="s">
        <v>127</v>
      </c>
      <c r="E5" s="326"/>
      <c r="F5" s="305">
        <f>VLOOKUP(D5,廠價表!$C$1:$E$39,3,0)</f>
        <v>57.21</v>
      </c>
      <c r="G5" s="327">
        <v>1138</v>
      </c>
      <c r="H5" s="328">
        <f t="shared" ref="H5" si="0">F5*G5</f>
        <v>65104.98</v>
      </c>
      <c r="I5" s="329"/>
      <c r="J5" s="330">
        <f>VLOOKUP(D5,產線配置圖!$A$2:$C$38,2,0)</f>
        <v>13</v>
      </c>
      <c r="K5" s="331">
        <f>VLOOKUP(D5,產線配置圖!$A$2:$C$38,3,0)</f>
        <v>2105</v>
      </c>
      <c r="L5" s="332">
        <f t="shared" ref="L5" si="1">K5/J5</f>
        <v>161.92307692307693</v>
      </c>
      <c r="M5" s="333">
        <v>13</v>
      </c>
      <c r="N5" s="331">
        <f t="shared" ref="N5:N8" si="2">G5/W5*60</f>
        <v>1707.0000000000027</v>
      </c>
      <c r="O5" s="332">
        <f t="shared" ref="O5:O8" si="3">N5/M5</f>
        <v>131.30769230769252</v>
      </c>
      <c r="P5" s="334">
        <f t="shared" ref="P5:P8" si="4">M5-J5</f>
        <v>0</v>
      </c>
      <c r="Q5" s="335">
        <f t="shared" ref="Q5:Q8" si="5">O5-L5</f>
        <v>-30.615384615384414</v>
      </c>
      <c r="R5" s="336">
        <f t="shared" ref="R5:R8" si="6">O5/L5</f>
        <v>0.81092636579572575</v>
      </c>
      <c r="S5" s="396">
        <f>R15</f>
        <v>0.90992318454397503</v>
      </c>
      <c r="T5" s="337">
        <v>0.2902777777777778</v>
      </c>
      <c r="U5" s="338">
        <v>0.31805555555555554</v>
      </c>
      <c r="V5" s="194"/>
      <c r="W5" s="107">
        <f t="shared" ref="W5:W14" si="7">(U5-T5)*24*60</f>
        <v>39.999999999999936</v>
      </c>
      <c r="X5" s="188"/>
      <c r="Y5" s="188"/>
      <c r="Z5" s="400"/>
      <c r="AA5" s="400"/>
      <c r="AB5" s="111">
        <f>N5-K5</f>
        <v>-397.99999999999727</v>
      </c>
      <c r="AC5" s="184">
        <f>N5/K5</f>
        <v>0.81092636579572575</v>
      </c>
      <c r="AD5" s="401">
        <f>AC15</f>
        <v>0.91374266100348056</v>
      </c>
    </row>
    <row r="6" spans="1:30" ht="15" customHeight="1">
      <c r="A6" s="412"/>
      <c r="B6" s="313" t="str">
        <f>VLOOKUP(D6,廠價表!$C$1:$E$39,2,0)</f>
        <v>義大利麵</v>
      </c>
      <c r="C6" s="249"/>
      <c r="D6" s="250" t="s">
        <v>139</v>
      </c>
      <c r="E6" s="251"/>
      <c r="F6" s="314">
        <f>VLOOKUP(D6,廠價表!$C$1:$E$39,3,0)</f>
        <v>57.21</v>
      </c>
      <c r="G6" s="315">
        <v>1619</v>
      </c>
      <c r="H6" s="316">
        <f>F6*G6</f>
        <v>92622.99</v>
      </c>
      <c r="I6" s="317"/>
      <c r="J6" s="318">
        <f>VLOOKUP(D6,產線配置圖!$A$2:$C$38,2,0)</f>
        <v>17</v>
      </c>
      <c r="K6" s="315">
        <v>1800</v>
      </c>
      <c r="L6" s="319">
        <f>K6/J6</f>
        <v>105.88235294117646</v>
      </c>
      <c r="M6" s="320">
        <v>17</v>
      </c>
      <c r="N6" s="315">
        <f t="shared" si="2"/>
        <v>1766.1818181818194</v>
      </c>
      <c r="O6" s="319">
        <f t="shared" si="3"/>
        <v>103.89304812834231</v>
      </c>
      <c r="P6" s="321">
        <f t="shared" si="4"/>
        <v>0</v>
      </c>
      <c r="Q6" s="322">
        <f t="shared" si="5"/>
        <v>-1.9893048128341491</v>
      </c>
      <c r="R6" s="323">
        <f t="shared" si="6"/>
        <v>0.98121212121212198</v>
      </c>
      <c r="S6" s="397"/>
      <c r="T6" s="270">
        <v>0.3263888888888889</v>
      </c>
      <c r="U6" s="270">
        <v>0.36458333333333331</v>
      </c>
      <c r="V6" s="177">
        <f>(T6-U5)*24*60</f>
        <v>12.000000000000037</v>
      </c>
      <c r="W6" s="182">
        <f t="shared" si="7"/>
        <v>54.999999999999964</v>
      </c>
      <c r="X6" s="22"/>
      <c r="Y6" s="22"/>
      <c r="Z6" s="381"/>
      <c r="AA6" s="381"/>
      <c r="AB6" s="18">
        <f>N6-K6</f>
        <v>-33.818181818180619</v>
      </c>
      <c r="AC6" s="185">
        <f>N6/K6</f>
        <v>0.98121212121212187</v>
      </c>
      <c r="AD6" s="402"/>
    </row>
    <row r="7" spans="1:30" ht="15" customHeight="1">
      <c r="A7" s="412"/>
      <c r="B7" s="56" t="str">
        <f>VLOOKUP(D7,廠價表!$C$1:$E$39,2,0)</f>
        <v>義大利麵</v>
      </c>
      <c r="C7" s="10"/>
      <c r="D7" s="11" t="s">
        <v>141</v>
      </c>
      <c r="E7" s="86"/>
      <c r="F7" s="56">
        <f>VLOOKUP(D7,廠價表!$C$1:$E$39,3,0)</f>
        <v>49.14</v>
      </c>
      <c r="G7" s="25">
        <v>1360</v>
      </c>
      <c r="H7" s="15">
        <f t="shared" ref="H7:H8" si="8">F7*G7</f>
        <v>66830.399999999994</v>
      </c>
      <c r="I7" s="182"/>
      <c r="J7" s="16">
        <f>VLOOKUP(D7,產線配置圖!$A$2:$C$38,2,0)</f>
        <v>13</v>
      </c>
      <c r="K7" s="14">
        <f>VLOOKUP(D7,產線配置圖!$A$2:$C$38,3,0)</f>
        <v>2000</v>
      </c>
      <c r="L7" s="17">
        <f>K7/J7</f>
        <v>153.84615384615384</v>
      </c>
      <c r="M7" s="180">
        <v>13</v>
      </c>
      <c r="N7" s="14">
        <f t="shared" si="2"/>
        <v>1942.8571428571424</v>
      </c>
      <c r="O7" s="17">
        <f t="shared" si="3"/>
        <v>149.45054945054943</v>
      </c>
      <c r="P7" s="18">
        <f t="shared" si="4"/>
        <v>0</v>
      </c>
      <c r="Q7" s="19">
        <f t="shared" si="5"/>
        <v>-4.3956043956044084</v>
      </c>
      <c r="R7" s="185">
        <f t="shared" si="6"/>
        <v>0.97142857142857131</v>
      </c>
      <c r="S7" s="397"/>
      <c r="T7" s="95">
        <v>0.37222222222222223</v>
      </c>
      <c r="U7" s="95">
        <v>0.40138888888888891</v>
      </c>
      <c r="V7" s="177">
        <f>(T7-U6)*24*60</f>
        <v>11.000000000000041</v>
      </c>
      <c r="W7" s="182">
        <f t="shared" si="7"/>
        <v>42.000000000000014</v>
      </c>
      <c r="X7" s="22"/>
      <c r="Y7" s="22"/>
      <c r="Z7" s="405"/>
      <c r="AA7" s="405"/>
      <c r="AB7" s="18">
        <f>N7-K7</f>
        <v>-57.142857142857565</v>
      </c>
      <c r="AC7" s="185">
        <f>N7/K7</f>
        <v>0.9714285714285712</v>
      </c>
      <c r="AD7" s="402"/>
    </row>
    <row r="8" spans="1:30" ht="15" customHeight="1">
      <c r="A8" s="412"/>
      <c r="B8" s="56" t="str">
        <f>VLOOKUP(D8,廠價表!$C$1:$E$39,2,0)</f>
        <v>義大利麵</v>
      </c>
      <c r="C8" s="10"/>
      <c r="D8" s="11" t="s">
        <v>141</v>
      </c>
      <c r="E8" s="86"/>
      <c r="F8" s="56">
        <f>VLOOKUP(D8,廠價表!$C$1:$E$39,3,0)</f>
        <v>49.14</v>
      </c>
      <c r="G8" s="25">
        <v>2801</v>
      </c>
      <c r="H8" s="15">
        <f t="shared" si="8"/>
        <v>137641.14000000001</v>
      </c>
      <c r="I8" s="182"/>
      <c r="J8" s="16">
        <f>VLOOKUP(D8,產線配置圖!$A$2:$C$38,2,0)</f>
        <v>13</v>
      </c>
      <c r="K8" s="14">
        <f>VLOOKUP(D8,產線配置圖!$A$2:$C$38,3,0)</f>
        <v>2000</v>
      </c>
      <c r="L8" s="17">
        <f>K8/J8</f>
        <v>153.84615384615384</v>
      </c>
      <c r="M8" s="180">
        <v>13</v>
      </c>
      <c r="N8" s="14">
        <f t="shared" si="2"/>
        <v>1807.0967741935488</v>
      </c>
      <c r="O8" s="17">
        <f t="shared" si="3"/>
        <v>139.00744416873451</v>
      </c>
      <c r="P8" s="18">
        <f t="shared" si="4"/>
        <v>0</v>
      </c>
      <c r="Q8" s="19">
        <f t="shared" si="5"/>
        <v>-14.838709677419331</v>
      </c>
      <c r="R8" s="185">
        <f t="shared" si="6"/>
        <v>0.90354838709677432</v>
      </c>
      <c r="S8" s="397"/>
      <c r="T8" s="95">
        <v>0.42083333333333334</v>
      </c>
      <c r="U8" s="95">
        <v>0.48541666666666666</v>
      </c>
      <c r="V8" s="177">
        <f t="shared" ref="V8" si="9">(T8-U7)*24*60</f>
        <v>27.999999999999979</v>
      </c>
      <c r="W8" s="182">
        <f t="shared" si="7"/>
        <v>92.999999999999986</v>
      </c>
      <c r="X8" s="22"/>
      <c r="Y8" s="263"/>
      <c r="Z8" s="406"/>
      <c r="AA8" s="406"/>
      <c r="AB8" s="18">
        <f>N8-K8</f>
        <v>-192.90322580645125</v>
      </c>
      <c r="AC8" s="185">
        <f>N8/K8</f>
        <v>0.90354838709677443</v>
      </c>
      <c r="AD8" s="402"/>
    </row>
    <row r="9" spans="1:30" ht="15" customHeight="1">
      <c r="A9" s="413"/>
      <c r="B9" s="56"/>
      <c r="C9" s="10"/>
      <c r="D9" s="11"/>
      <c r="E9" s="86"/>
      <c r="F9" s="56"/>
      <c r="G9" s="25"/>
      <c r="H9" s="15"/>
      <c r="I9" s="182"/>
      <c r="J9" s="16"/>
      <c r="K9" s="14"/>
      <c r="L9" s="17"/>
      <c r="M9" s="180"/>
      <c r="N9" s="14"/>
      <c r="O9" s="17"/>
      <c r="P9" s="18"/>
      <c r="Q9" s="19"/>
      <c r="R9" s="185"/>
      <c r="S9" s="398"/>
      <c r="T9" s="20"/>
      <c r="U9" s="20"/>
      <c r="V9" s="177"/>
      <c r="W9" s="24">
        <f t="shared" si="7"/>
        <v>0</v>
      </c>
      <c r="X9" s="22"/>
      <c r="Y9" s="263"/>
      <c r="Z9" s="407"/>
      <c r="AA9" s="407"/>
      <c r="AB9" s="18"/>
      <c r="AC9" s="185"/>
      <c r="AD9" s="403"/>
    </row>
    <row r="10" spans="1:30" ht="15" customHeight="1">
      <c r="A10" s="413"/>
      <c r="B10" s="56"/>
      <c r="C10" s="23"/>
      <c r="D10" s="11"/>
      <c r="E10" s="12"/>
      <c r="F10" s="56"/>
      <c r="G10" s="25"/>
      <c r="H10" s="15"/>
      <c r="I10" s="182"/>
      <c r="J10" s="16"/>
      <c r="K10" s="14"/>
      <c r="L10" s="17"/>
      <c r="M10" s="180"/>
      <c r="N10" s="14"/>
      <c r="O10" s="17"/>
      <c r="P10" s="18"/>
      <c r="Q10" s="19"/>
      <c r="R10" s="185"/>
      <c r="S10" s="398"/>
      <c r="T10" s="20"/>
      <c r="U10" s="20"/>
      <c r="V10" s="177"/>
      <c r="W10" s="182">
        <f t="shared" si="7"/>
        <v>0</v>
      </c>
      <c r="X10" s="22"/>
      <c r="Y10" s="263"/>
      <c r="Z10" s="419"/>
      <c r="AA10" s="418"/>
      <c r="AB10" s="264"/>
      <c r="AC10" s="185"/>
      <c r="AD10" s="403"/>
    </row>
    <row r="11" spans="1:30" ht="15" customHeight="1">
      <c r="A11" s="413"/>
      <c r="B11" s="56"/>
      <c r="C11" s="183"/>
      <c r="D11" s="11"/>
      <c r="E11" s="12"/>
      <c r="F11" s="56"/>
      <c r="G11" s="25"/>
      <c r="H11" s="15">
        <f t="shared" ref="H11:H12" si="10">F11*G11</f>
        <v>0</v>
      </c>
      <c r="I11" s="182"/>
      <c r="J11" s="16"/>
      <c r="K11" s="14"/>
      <c r="L11" s="17"/>
      <c r="M11" s="180"/>
      <c r="N11" s="14"/>
      <c r="O11" s="17"/>
      <c r="P11" s="18"/>
      <c r="Q11" s="19"/>
      <c r="R11" s="185"/>
      <c r="S11" s="398"/>
      <c r="T11" s="20"/>
      <c r="U11" s="20"/>
      <c r="V11" s="177"/>
      <c r="W11" s="24">
        <f t="shared" si="7"/>
        <v>0</v>
      </c>
      <c r="X11" s="22"/>
      <c r="Y11" s="263"/>
      <c r="Z11" s="419"/>
      <c r="AA11" s="418"/>
      <c r="AB11" s="264"/>
      <c r="AC11" s="185"/>
      <c r="AD11" s="403"/>
    </row>
    <row r="12" spans="1:30" ht="15" customHeight="1">
      <c r="A12" s="413"/>
      <c r="B12" s="26"/>
      <c r="C12" s="27"/>
      <c r="D12" s="28"/>
      <c r="E12" s="29"/>
      <c r="F12" s="13"/>
      <c r="G12" s="30"/>
      <c r="H12" s="15">
        <f t="shared" si="10"/>
        <v>0</v>
      </c>
      <c r="I12" s="178"/>
      <c r="J12" s="31"/>
      <c r="K12" s="30"/>
      <c r="L12" s="17"/>
      <c r="M12" s="181"/>
      <c r="N12" s="25"/>
      <c r="O12" s="17"/>
      <c r="P12" s="18"/>
      <c r="Q12" s="19"/>
      <c r="R12" s="185"/>
      <c r="S12" s="398"/>
      <c r="T12" s="32"/>
      <c r="U12" s="32"/>
      <c r="V12" s="178"/>
      <c r="W12" s="24">
        <f t="shared" si="7"/>
        <v>0</v>
      </c>
      <c r="X12" s="33"/>
      <c r="Y12" s="33"/>
      <c r="Z12" s="407"/>
      <c r="AA12" s="407"/>
      <c r="AB12" s="34"/>
      <c r="AC12" s="186"/>
      <c r="AD12" s="403"/>
    </row>
    <row r="13" spans="1:30" ht="15" customHeight="1">
      <c r="A13" s="413"/>
      <c r="B13" s="56"/>
      <c r="C13" s="10"/>
      <c r="D13" s="11"/>
      <c r="E13" s="86"/>
      <c r="F13" s="56"/>
      <c r="G13" s="25"/>
      <c r="H13" s="15"/>
      <c r="I13" s="182"/>
      <c r="J13" s="16"/>
      <c r="K13" s="14"/>
      <c r="L13" s="17"/>
      <c r="M13" s="180"/>
      <c r="N13" s="14"/>
      <c r="O13" s="17"/>
      <c r="P13" s="18"/>
      <c r="Q13" s="19"/>
      <c r="R13" s="185"/>
      <c r="S13" s="479"/>
      <c r="T13" s="309"/>
      <c r="U13" s="309"/>
      <c r="V13" s="26"/>
      <c r="W13" s="24">
        <f t="shared" si="7"/>
        <v>0</v>
      </c>
      <c r="X13" s="33"/>
      <c r="Y13" s="33"/>
      <c r="Z13" s="419"/>
      <c r="AA13" s="418"/>
      <c r="AB13" s="34"/>
      <c r="AC13" s="186"/>
      <c r="AD13" s="403"/>
    </row>
    <row r="14" spans="1:30" ht="15" customHeight="1">
      <c r="A14" s="413"/>
      <c r="B14" s="56"/>
      <c r="C14" s="10"/>
      <c r="D14" s="11"/>
      <c r="E14" s="86"/>
      <c r="F14" s="56"/>
      <c r="G14" s="25"/>
      <c r="H14" s="15"/>
      <c r="I14" s="182"/>
      <c r="J14" s="16"/>
      <c r="K14" s="14"/>
      <c r="L14" s="17"/>
      <c r="M14" s="180"/>
      <c r="N14" s="14"/>
      <c r="O14" s="17"/>
      <c r="P14" s="18"/>
      <c r="Q14" s="19"/>
      <c r="R14" s="185"/>
      <c r="S14" s="398"/>
      <c r="T14" s="79"/>
      <c r="U14" s="79"/>
      <c r="V14" s="178"/>
      <c r="W14" s="24">
        <f t="shared" si="7"/>
        <v>0</v>
      </c>
      <c r="X14" s="33"/>
      <c r="Y14" s="33"/>
      <c r="Z14" s="419"/>
      <c r="AA14" s="418"/>
      <c r="AB14" s="34"/>
      <c r="AC14" s="186"/>
      <c r="AD14" s="403"/>
    </row>
    <row r="15" spans="1:30" ht="15" customHeight="1" thickBot="1">
      <c r="A15" s="414"/>
      <c r="B15" s="113"/>
      <c r="C15" s="113" t="s">
        <v>34</v>
      </c>
      <c r="D15" s="410" t="s">
        <v>7</v>
      </c>
      <c r="E15" s="410"/>
      <c r="F15" s="114"/>
      <c r="G15" s="115"/>
      <c r="H15" s="116"/>
      <c r="I15" s="117"/>
      <c r="J15" s="118">
        <f t="shared" ref="J15:O15" si="11">AVERAGE(J5:J14)</f>
        <v>14</v>
      </c>
      <c r="K15" s="118">
        <f t="shared" si="11"/>
        <v>1976.25</v>
      </c>
      <c r="L15" s="115">
        <f t="shared" si="11"/>
        <v>143.87443438914025</v>
      </c>
      <c r="M15" s="118">
        <f t="shared" si="11"/>
        <v>14</v>
      </c>
      <c r="N15" s="118">
        <f t="shared" si="11"/>
        <v>1805.7839338081285</v>
      </c>
      <c r="O15" s="115">
        <f t="shared" si="11"/>
        <v>130.91468351382969</v>
      </c>
      <c r="P15" s="119">
        <f t="shared" ref="P15:P18" si="12">M15-J15</f>
        <v>0</v>
      </c>
      <c r="Q15" s="120">
        <f t="shared" ref="Q15:Q18" si="13">O15-L15</f>
        <v>-12.959750875310561</v>
      </c>
      <c r="R15" s="121">
        <f t="shared" ref="R15:R18" si="14">O15/L15</f>
        <v>0.90992318454397503</v>
      </c>
      <c r="S15" s="399"/>
      <c r="T15" s="122"/>
      <c r="U15" s="122"/>
      <c r="V15" s="195"/>
      <c r="W15" s="123"/>
      <c r="X15" s="124"/>
      <c r="Y15" s="124"/>
      <c r="Z15" s="391"/>
      <c r="AA15" s="391"/>
      <c r="AB15" s="119">
        <f>N15-K15</f>
        <v>-170.4660661918715</v>
      </c>
      <c r="AC15" s="187">
        <f>N15/K15</f>
        <v>0.91374266100348056</v>
      </c>
      <c r="AD15" s="404"/>
    </row>
    <row r="16" spans="1:30" ht="15" customHeight="1">
      <c r="A16" s="431" t="s">
        <v>67</v>
      </c>
      <c r="B16" s="199" t="str">
        <f>VLOOKUP(D16,廠價表!$C$1:$E$39,2,0)</f>
        <v>義大利麵</v>
      </c>
      <c r="C16" s="102"/>
      <c r="D16" s="103" t="s">
        <v>127</v>
      </c>
      <c r="E16" s="104"/>
      <c r="F16" s="199">
        <f>VLOOKUP(D16,廠價表!$C$1:$E$39,3,0)</f>
        <v>57.21</v>
      </c>
      <c r="G16" s="265">
        <v>1037</v>
      </c>
      <c r="H16" s="125">
        <f t="shared" ref="H16:H25" si="15">F16*G16</f>
        <v>59326.770000000004</v>
      </c>
      <c r="I16" s="126"/>
      <c r="J16" s="108">
        <f>VLOOKUP(D16,產線配置圖!$A$2:$C$38,2,0)</f>
        <v>13</v>
      </c>
      <c r="K16" s="105">
        <f>VLOOKUP(D16,產線配置圖!$A$2:$C$38,3,0)</f>
        <v>2105</v>
      </c>
      <c r="L16" s="109">
        <f t="shared" ref="L16:L18" si="16">K16/J16</f>
        <v>161.92307692307693</v>
      </c>
      <c r="M16" s="267">
        <v>13</v>
      </c>
      <c r="N16" s="127">
        <f t="shared" ref="N16:N18" si="17">G16/W16*60</f>
        <v>1728.3333333333358</v>
      </c>
      <c r="O16" s="128">
        <f>N16/M16</f>
        <v>132.94871794871813</v>
      </c>
      <c r="P16" s="129">
        <f>M16-J16</f>
        <v>0</v>
      </c>
      <c r="Q16" s="130">
        <f t="shared" si="13"/>
        <v>-28.974358974358807</v>
      </c>
      <c r="R16" s="189">
        <f>O16/L16</f>
        <v>0.82106096595407863</v>
      </c>
      <c r="S16" s="424">
        <f>R26</f>
        <v>0.89799306149006797</v>
      </c>
      <c r="T16" s="268">
        <v>0.2902777777777778</v>
      </c>
      <c r="U16" s="268">
        <v>0.31527777777777777</v>
      </c>
      <c r="V16" s="126"/>
      <c r="W16" s="131">
        <f t="shared" ref="W16:W78" si="18">(U16-T16)*24*60</f>
        <v>35.99999999999995</v>
      </c>
      <c r="X16" s="128"/>
      <c r="Y16" s="128"/>
      <c r="Z16" s="400"/>
      <c r="AA16" s="400"/>
      <c r="AB16" s="111">
        <f>N16-K16</f>
        <v>-376.66666666666424</v>
      </c>
      <c r="AC16" s="184">
        <f>N16/K16</f>
        <v>0.82106096595407874</v>
      </c>
      <c r="AD16" s="401">
        <f>AC26</f>
        <v>0.8966928492809314</v>
      </c>
    </row>
    <row r="17" spans="1:30" ht="15" customHeight="1">
      <c r="A17" s="432"/>
      <c r="B17" s="56" t="str">
        <f>VLOOKUP(D17,廠價表!$C$1:$E$39,2,0)</f>
        <v>義大利麵</v>
      </c>
      <c r="C17" s="10"/>
      <c r="D17" s="11" t="s">
        <v>153</v>
      </c>
      <c r="E17" s="86"/>
      <c r="F17" s="56">
        <f>VLOOKUP(D17,廠價表!$C$1:$E$39,3,0)</f>
        <v>50.67</v>
      </c>
      <c r="G17" s="96">
        <v>3524</v>
      </c>
      <c r="H17" s="15">
        <f t="shared" si="15"/>
        <v>178561.08000000002</v>
      </c>
      <c r="I17" s="177"/>
      <c r="J17" s="16">
        <f>VLOOKUP(D17,產線配置圖!$A$2:$C$38,2,0)</f>
        <v>13</v>
      </c>
      <c r="K17" s="14">
        <f>VLOOKUP(D17,產線配置圖!$A$2:$C$38,3,0)</f>
        <v>2000</v>
      </c>
      <c r="L17" s="17">
        <f t="shared" si="16"/>
        <v>153.84615384615384</v>
      </c>
      <c r="M17" s="37">
        <v>13</v>
      </c>
      <c r="N17" s="36">
        <f t="shared" si="17"/>
        <v>1854.7368421052631</v>
      </c>
      <c r="O17" s="38">
        <f t="shared" ref="O17:O18" si="19">N17/M17</f>
        <v>142.67206477732793</v>
      </c>
      <c r="P17" s="39">
        <f t="shared" si="12"/>
        <v>0</v>
      </c>
      <c r="Q17" s="40">
        <f t="shared" si="13"/>
        <v>-11.174089068825907</v>
      </c>
      <c r="R17" s="190">
        <f t="shared" si="14"/>
        <v>0.92736842105263162</v>
      </c>
      <c r="S17" s="425"/>
      <c r="T17" s="41">
        <v>0.32361111111111113</v>
      </c>
      <c r="U17" s="41">
        <v>0.40277777777777779</v>
      </c>
      <c r="V17" s="177">
        <f>(T17-U16)*24*60</f>
        <v>12.000000000000037</v>
      </c>
      <c r="W17" s="43">
        <f t="shared" si="18"/>
        <v>114</v>
      </c>
      <c r="X17" s="44"/>
      <c r="Y17" s="44"/>
      <c r="Z17" s="381"/>
      <c r="AA17" s="381"/>
      <c r="AB17" s="18">
        <f>N17-K17</f>
        <v>-145.26315789473688</v>
      </c>
      <c r="AC17" s="185">
        <f>N17/K17</f>
        <v>0.92736842105263151</v>
      </c>
      <c r="AD17" s="402"/>
    </row>
    <row r="18" spans="1:30" ht="15" customHeight="1">
      <c r="A18" s="432"/>
      <c r="B18" s="56" t="str">
        <f>VLOOKUP(D18,廠價表!$C$1:$E$39,2,0)</f>
        <v>義大利麵</v>
      </c>
      <c r="C18" s="10"/>
      <c r="D18" s="11" t="s">
        <v>239</v>
      </c>
      <c r="E18" s="86"/>
      <c r="F18" s="56">
        <f>VLOOKUP(D18,廠價表!$C$1:$E$39,3,0)</f>
        <v>50.39</v>
      </c>
      <c r="G18" s="96">
        <v>3814</v>
      </c>
      <c r="H18" s="15">
        <f t="shared" si="15"/>
        <v>192187.46</v>
      </c>
      <c r="I18" s="177"/>
      <c r="J18" s="16">
        <f>VLOOKUP(D18,產線配置圖!$A$2:$C$38,2,0)</f>
        <v>12</v>
      </c>
      <c r="K18" s="14">
        <f>VLOOKUP(D18,產線配置圖!$A$2:$C$38,3,0)</f>
        <v>2000</v>
      </c>
      <c r="L18" s="17">
        <f t="shared" si="16"/>
        <v>166.66666666666666</v>
      </c>
      <c r="M18" s="37">
        <v>12</v>
      </c>
      <c r="N18" s="36">
        <f t="shared" si="17"/>
        <v>1891.2396694214867</v>
      </c>
      <c r="O18" s="38">
        <f t="shared" si="19"/>
        <v>157.60330578512389</v>
      </c>
      <c r="P18" s="39">
        <f t="shared" si="12"/>
        <v>0</v>
      </c>
      <c r="Q18" s="40">
        <f t="shared" si="13"/>
        <v>-9.0633608815427635</v>
      </c>
      <c r="R18" s="190">
        <f t="shared" si="14"/>
        <v>0.9456198347107434</v>
      </c>
      <c r="S18" s="425"/>
      <c r="T18" s="41">
        <v>0.41111111111111109</v>
      </c>
      <c r="U18" s="41">
        <v>0.49513888888888891</v>
      </c>
      <c r="V18" s="177">
        <f>(T18-U17)*24*60</f>
        <v>11.999999999999957</v>
      </c>
      <c r="W18" s="43">
        <f t="shared" si="18"/>
        <v>121.00000000000006</v>
      </c>
      <c r="X18" s="22"/>
      <c r="Y18" s="22"/>
      <c r="Z18" s="406"/>
      <c r="AA18" s="406"/>
      <c r="AB18" s="18">
        <f>N18-K18</f>
        <v>-108.76033057851328</v>
      </c>
      <c r="AC18" s="185">
        <f>N18/K18</f>
        <v>0.9456198347107434</v>
      </c>
      <c r="AD18" s="402"/>
    </row>
    <row r="19" spans="1:30" ht="15" customHeight="1">
      <c r="A19" s="432"/>
      <c r="B19" s="56"/>
      <c r="C19" s="10"/>
      <c r="D19" s="11"/>
      <c r="E19" s="86"/>
      <c r="F19" s="56"/>
      <c r="G19" s="96"/>
      <c r="H19" s="15"/>
      <c r="I19" s="177"/>
      <c r="J19" s="16"/>
      <c r="K19" s="14"/>
      <c r="L19" s="17"/>
      <c r="M19" s="37"/>
      <c r="N19" s="36"/>
      <c r="O19" s="38"/>
      <c r="P19" s="39"/>
      <c r="Q19" s="40"/>
      <c r="R19" s="190"/>
      <c r="S19" s="425"/>
      <c r="T19" s="41"/>
      <c r="U19" s="41"/>
      <c r="V19" s="177"/>
      <c r="W19" s="43">
        <f t="shared" si="18"/>
        <v>0</v>
      </c>
      <c r="X19" s="22"/>
      <c r="Y19" s="22"/>
      <c r="Z19" s="407"/>
      <c r="AA19" s="407"/>
      <c r="AB19" s="18">
        <f>N19-K19</f>
        <v>0</v>
      </c>
      <c r="AC19" s="185" t="e">
        <f>N19/K19</f>
        <v>#DIV/0!</v>
      </c>
      <c r="AD19" s="403"/>
    </row>
    <row r="20" spans="1:30" ht="15" customHeight="1">
      <c r="A20" s="432"/>
      <c r="B20" s="56"/>
      <c r="C20" s="10"/>
      <c r="D20" s="11"/>
      <c r="E20" s="86"/>
      <c r="F20" s="56"/>
      <c r="G20" s="96"/>
      <c r="H20" s="15"/>
      <c r="I20" s="177"/>
      <c r="J20" s="16"/>
      <c r="K20" s="14"/>
      <c r="L20" s="17"/>
      <c r="M20" s="37"/>
      <c r="N20" s="36"/>
      <c r="O20" s="38"/>
      <c r="P20" s="39"/>
      <c r="Q20" s="40"/>
      <c r="R20" s="190"/>
      <c r="S20" s="425"/>
      <c r="T20" s="41"/>
      <c r="U20" s="79"/>
      <c r="V20" s="177"/>
      <c r="W20" s="43">
        <f t="shared" si="18"/>
        <v>0</v>
      </c>
      <c r="X20" s="44"/>
      <c r="Y20" s="44"/>
      <c r="Z20" s="418"/>
      <c r="AA20" s="405"/>
      <c r="AB20" s="34"/>
      <c r="AC20" s="186"/>
      <c r="AD20" s="403"/>
    </row>
    <row r="21" spans="1:30" ht="15" customHeight="1">
      <c r="A21" s="433"/>
      <c r="B21" s="56"/>
      <c r="C21" s="10"/>
      <c r="D21" s="11"/>
      <c r="E21" s="86"/>
      <c r="F21" s="56"/>
      <c r="G21" s="96"/>
      <c r="H21" s="15"/>
      <c r="I21" s="177"/>
      <c r="J21" s="16"/>
      <c r="K21" s="14"/>
      <c r="L21" s="17"/>
      <c r="M21" s="37"/>
      <c r="N21" s="36"/>
      <c r="O21" s="38"/>
      <c r="P21" s="39"/>
      <c r="Q21" s="40"/>
      <c r="R21" s="190"/>
      <c r="S21" s="425"/>
      <c r="T21" s="41"/>
      <c r="U21" s="41"/>
      <c r="V21" s="177"/>
      <c r="W21" s="43">
        <f t="shared" si="18"/>
        <v>0</v>
      </c>
      <c r="X21" s="42"/>
      <c r="Y21" s="42"/>
      <c r="Z21" s="418"/>
      <c r="AA21" s="405"/>
      <c r="AB21" s="34"/>
      <c r="AC21" s="186"/>
      <c r="AD21" s="403"/>
    </row>
    <row r="22" spans="1:30" ht="15" customHeight="1">
      <c r="A22" s="433"/>
      <c r="B22" s="177"/>
      <c r="C22" s="183"/>
      <c r="D22" s="11"/>
      <c r="E22" s="12"/>
      <c r="F22" s="13"/>
      <c r="G22" s="36"/>
      <c r="H22" s="15">
        <f t="shared" si="15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90"/>
      <c r="S22" s="425"/>
      <c r="T22" s="41"/>
      <c r="U22" s="41"/>
      <c r="V22" s="42"/>
      <c r="W22" s="43">
        <v>0</v>
      </c>
      <c r="X22" s="42"/>
      <c r="Y22" s="42"/>
      <c r="Z22" s="418"/>
      <c r="AA22" s="405"/>
      <c r="AB22" s="34"/>
      <c r="AC22" s="186"/>
      <c r="AD22" s="403"/>
    </row>
    <row r="23" spans="1:30" ht="15" customHeight="1">
      <c r="A23" s="433"/>
      <c r="B23" s="56"/>
      <c r="C23" s="23"/>
      <c r="D23" s="11"/>
      <c r="E23" s="12"/>
      <c r="F23" s="56"/>
      <c r="G23" s="96"/>
      <c r="H23" s="15"/>
      <c r="I23" s="177"/>
      <c r="J23" s="16"/>
      <c r="K23" s="14"/>
      <c r="L23" s="17"/>
      <c r="M23" s="37"/>
      <c r="N23" s="36"/>
      <c r="O23" s="38"/>
      <c r="P23" s="39"/>
      <c r="Q23" s="40"/>
      <c r="R23" s="190"/>
      <c r="S23" s="425"/>
      <c r="T23" s="41"/>
      <c r="U23" s="41"/>
      <c r="W23" s="43">
        <f t="shared" si="18"/>
        <v>0</v>
      </c>
      <c r="X23" s="42"/>
      <c r="Y23" s="42"/>
      <c r="Z23" s="418"/>
      <c r="AA23" s="405"/>
      <c r="AB23" s="34"/>
      <c r="AC23" s="186"/>
      <c r="AD23" s="403"/>
    </row>
    <row r="24" spans="1:30" ht="15" customHeight="1">
      <c r="A24" s="433"/>
      <c r="B24" s="26"/>
      <c r="C24" s="27"/>
      <c r="D24" s="28"/>
      <c r="E24" s="29"/>
      <c r="F24" s="13"/>
      <c r="G24" s="36"/>
      <c r="H24" s="15">
        <f t="shared" si="15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90"/>
      <c r="S24" s="425"/>
      <c r="T24" s="41"/>
      <c r="U24" s="41"/>
      <c r="V24" s="42"/>
      <c r="W24" s="43">
        <f t="shared" si="18"/>
        <v>0</v>
      </c>
      <c r="X24" s="42"/>
      <c r="Y24" s="42"/>
      <c r="Z24" s="418"/>
      <c r="AA24" s="405"/>
      <c r="AB24" s="34"/>
      <c r="AC24" s="186"/>
      <c r="AD24" s="403"/>
    </row>
    <row r="25" spans="1:30" ht="15" customHeight="1">
      <c r="A25" s="433"/>
      <c r="B25" s="26"/>
      <c r="C25" s="27"/>
      <c r="D25" s="28"/>
      <c r="E25" s="29"/>
      <c r="F25" s="13"/>
      <c r="G25" s="36"/>
      <c r="H25" s="50">
        <f t="shared" si="15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90"/>
      <c r="S25" s="425"/>
      <c r="T25" s="41"/>
      <c r="U25" s="41"/>
      <c r="V25" s="42"/>
      <c r="W25" s="43">
        <f t="shared" si="18"/>
        <v>0</v>
      </c>
      <c r="X25" s="42"/>
      <c r="Y25" s="42"/>
      <c r="Z25" s="418"/>
      <c r="AA25" s="405"/>
      <c r="AB25" s="34"/>
      <c r="AC25" s="186"/>
      <c r="AD25" s="403"/>
    </row>
    <row r="26" spans="1:30" ht="15" customHeight="1" thickBot="1">
      <c r="A26" s="434"/>
      <c r="B26" s="132"/>
      <c r="C26" s="1" t="s">
        <v>35</v>
      </c>
      <c r="D26" s="410" t="s">
        <v>7</v>
      </c>
      <c r="E26" s="410"/>
      <c r="F26" s="133"/>
      <c r="G26" s="134"/>
      <c r="H26" s="135"/>
      <c r="I26" s="136"/>
      <c r="J26" s="134">
        <f t="shared" ref="J26:O26" si="20">AVERAGE(J16:J25)</f>
        <v>12.666666666666666</v>
      </c>
      <c r="K26" s="134">
        <f t="shared" si="20"/>
        <v>2035</v>
      </c>
      <c r="L26" s="137">
        <f t="shared" si="20"/>
        <v>160.81196581196582</v>
      </c>
      <c r="M26" s="134">
        <f t="shared" si="20"/>
        <v>12.666666666666666</v>
      </c>
      <c r="N26" s="134">
        <f t="shared" si="20"/>
        <v>1824.7699482866954</v>
      </c>
      <c r="O26" s="137">
        <f t="shared" si="20"/>
        <v>144.40802950372333</v>
      </c>
      <c r="P26" s="138">
        <f t="shared" ref="P26:P30" si="21">M26-J26</f>
        <v>0</v>
      </c>
      <c r="Q26" s="139">
        <f t="shared" ref="Q26:Q30" si="22">O26-L26</f>
        <v>-16.403936308242493</v>
      </c>
      <c r="R26" s="140">
        <f t="shared" ref="R26:R30" si="23">O26/L26</f>
        <v>0.89799306149006797</v>
      </c>
      <c r="S26" s="435"/>
      <c r="T26" s="141"/>
      <c r="U26" s="141"/>
      <c r="V26" s="146"/>
      <c r="W26" s="142"/>
      <c r="X26" s="143"/>
      <c r="Y26" s="143"/>
      <c r="Z26" s="420"/>
      <c r="AA26" s="391"/>
      <c r="AB26" s="119">
        <f>N26-K26</f>
        <v>-210.23005171330465</v>
      </c>
      <c r="AC26" s="187">
        <f>N26/K26</f>
        <v>0.8966928492809314</v>
      </c>
      <c r="AD26" s="404"/>
    </row>
    <row r="27" spans="1:30" ht="15" customHeight="1">
      <c r="A27" s="421" t="s">
        <v>54</v>
      </c>
      <c r="B27" s="229" t="s">
        <v>62</v>
      </c>
      <c r="C27" s="102"/>
      <c r="D27" s="103" t="s">
        <v>144</v>
      </c>
      <c r="E27" s="104"/>
      <c r="F27" s="199">
        <f>VLOOKUP(D27,廠價表!$C$1:$E$39,3,0)</f>
        <v>49.91</v>
      </c>
      <c r="G27" s="269">
        <v>2332</v>
      </c>
      <c r="H27" s="125">
        <f t="shared" ref="H27:H41" si="24">F27*G27</f>
        <v>116390.12</v>
      </c>
      <c r="I27" s="126"/>
      <c r="J27" s="16">
        <f>VLOOKUP(D27,產線配置圖!$A$2:$C$38,2,0)</f>
        <v>17</v>
      </c>
      <c r="K27" s="14">
        <f>VLOOKUP(D27,產線配置圖!$A$2:$C$38,3,0)</f>
        <v>1565</v>
      </c>
      <c r="L27" s="109">
        <f>K27/J27</f>
        <v>92.058823529411768</v>
      </c>
      <c r="M27" s="144">
        <v>15</v>
      </c>
      <c r="N27" s="127">
        <f>G27/W27*60</f>
        <v>1166.0000000000002</v>
      </c>
      <c r="O27" s="128">
        <f>N27/M27</f>
        <v>77.733333333333348</v>
      </c>
      <c r="P27" s="129">
        <f t="shared" si="21"/>
        <v>-2</v>
      </c>
      <c r="Q27" s="130">
        <f t="shared" si="22"/>
        <v>-14.32549019607842</v>
      </c>
      <c r="R27" s="189">
        <f>O27/L27</f>
        <v>0.84438764643237496</v>
      </c>
      <c r="S27" s="424">
        <f>R37</f>
        <v>0.7896163912368227</v>
      </c>
      <c r="T27" s="94">
        <v>0.29166666666666669</v>
      </c>
      <c r="U27" s="94">
        <v>0.375</v>
      </c>
      <c r="V27" s="126"/>
      <c r="W27" s="131">
        <f t="shared" si="18"/>
        <v>119.99999999999997</v>
      </c>
      <c r="X27" s="126"/>
      <c r="Y27" s="126" t="s">
        <v>147</v>
      </c>
      <c r="Z27" s="427"/>
      <c r="AA27" s="400"/>
      <c r="AB27" s="225">
        <f>N27-K27</f>
        <v>-398.99999999999977</v>
      </c>
      <c r="AC27" s="291">
        <f>N27/K27</f>
        <v>0.74504792332268388</v>
      </c>
      <c r="AD27" s="401">
        <f>AC37</f>
        <v>0.70830175348903202</v>
      </c>
    </row>
    <row r="28" spans="1:30" ht="15" customHeight="1">
      <c r="A28" s="422"/>
      <c r="B28" s="56" t="str">
        <f>VLOOKUP(D28,廠價表!$C$1:$E$39,2,0)</f>
        <v>義大利麵</v>
      </c>
      <c r="C28" s="10"/>
      <c r="D28" s="11" t="s">
        <v>137</v>
      </c>
      <c r="E28" s="86"/>
      <c r="F28" s="56">
        <f>VLOOKUP(D28,廠價表!$C$1:$E$39,3,0)</f>
        <v>55.13</v>
      </c>
      <c r="G28" s="53">
        <v>1585</v>
      </c>
      <c r="H28" s="50">
        <f t="shared" si="24"/>
        <v>87381.05</v>
      </c>
      <c r="I28" s="42"/>
      <c r="J28" s="16">
        <f>VLOOKUP(D28,產線配置圖!$A$2:$C$38,2,0)</f>
        <v>18</v>
      </c>
      <c r="K28" s="14">
        <f>VLOOKUP(D28,產線配置圖!$A$2:$C$38,3,0)</f>
        <v>1385</v>
      </c>
      <c r="L28" s="235">
        <f>K28/J28</f>
        <v>76.944444444444443</v>
      </c>
      <c r="M28" s="21">
        <v>16</v>
      </c>
      <c r="N28" s="36">
        <f>G28/W28*60</f>
        <v>1219.2307692307686</v>
      </c>
      <c r="O28" s="38">
        <f>N28/M28</f>
        <v>76.201923076923038</v>
      </c>
      <c r="P28" s="39">
        <f t="shared" si="21"/>
        <v>-2</v>
      </c>
      <c r="Q28" s="40">
        <f t="shared" si="22"/>
        <v>-0.7425213675214053</v>
      </c>
      <c r="R28" s="190">
        <f t="shared" si="23"/>
        <v>0.99034990280477597</v>
      </c>
      <c r="S28" s="425"/>
      <c r="T28" s="270">
        <v>0.37916666666666665</v>
      </c>
      <c r="U28" s="270">
        <v>0.43333333333333335</v>
      </c>
      <c r="V28" s="42">
        <f>(T28-U27)*24*60</f>
        <v>5.9999999999999787</v>
      </c>
      <c r="W28" s="43">
        <f t="shared" si="18"/>
        <v>78.000000000000043</v>
      </c>
      <c r="X28" s="54"/>
      <c r="Y28" s="54"/>
      <c r="Z28" s="418"/>
      <c r="AA28" s="419"/>
      <c r="AB28" s="39">
        <f>N28-K28</f>
        <v>-165.7692307692314</v>
      </c>
      <c r="AC28" s="190">
        <f>N28/K28</f>
        <v>0.88031102471535638</v>
      </c>
      <c r="AD28" s="447"/>
    </row>
    <row r="29" spans="1:30" ht="15" customHeight="1">
      <c r="A29" s="422"/>
      <c r="B29" s="56" t="str">
        <f>VLOOKUP(D29,廠價表!$C$1:$E$39,2,0)</f>
        <v>義大利麵</v>
      </c>
      <c r="C29" s="10"/>
      <c r="D29" s="11" t="s">
        <v>158</v>
      </c>
      <c r="E29" s="86"/>
      <c r="F29" s="56">
        <f>VLOOKUP(D29,廠價表!$C$1:$E$39,3,0)</f>
        <v>47.71</v>
      </c>
      <c r="G29" s="53">
        <v>762</v>
      </c>
      <c r="H29" s="50">
        <f t="shared" si="24"/>
        <v>36355.020000000004</v>
      </c>
      <c r="I29" s="42"/>
      <c r="J29" s="16">
        <f>VLOOKUP(D29,產線配置圖!$A$2:$C$38,2,0)</f>
        <v>15</v>
      </c>
      <c r="K29" s="14">
        <f>VLOOKUP(D29,產線配置圖!$A$2:$C$38,3,0)</f>
        <v>1500</v>
      </c>
      <c r="L29" s="235">
        <f>K29/J29</f>
        <v>100</v>
      </c>
      <c r="M29" s="21">
        <v>14</v>
      </c>
      <c r="N29" s="36">
        <f>G29/W29*60</f>
        <v>761.99999999999966</v>
      </c>
      <c r="O29" s="38">
        <f>N29/M29</f>
        <v>54.428571428571402</v>
      </c>
      <c r="P29" s="39">
        <f t="shared" si="21"/>
        <v>-1</v>
      </c>
      <c r="Q29" s="40">
        <f t="shared" si="22"/>
        <v>-45.571428571428598</v>
      </c>
      <c r="R29" s="190">
        <f t="shared" si="23"/>
        <v>0.54428571428571404</v>
      </c>
      <c r="S29" s="425"/>
      <c r="T29" s="41">
        <v>0.4375</v>
      </c>
      <c r="U29" s="41">
        <v>0.47916666666666669</v>
      </c>
      <c r="V29" s="42">
        <f>(T29-U28)*24*60</f>
        <v>5.9999999999999787</v>
      </c>
      <c r="W29" s="43">
        <f t="shared" si="18"/>
        <v>60.000000000000028</v>
      </c>
      <c r="X29" s="22"/>
      <c r="Y29" s="22"/>
      <c r="Z29" s="418" t="s">
        <v>257</v>
      </c>
      <c r="AA29" s="419"/>
      <c r="AB29" s="292">
        <f>N29-K29</f>
        <v>-738.00000000000034</v>
      </c>
      <c r="AC29" s="190">
        <f>N29/K29</f>
        <v>0.50799999999999979</v>
      </c>
      <c r="AD29" s="447"/>
    </row>
    <row r="30" spans="1:30" ht="15" customHeight="1">
      <c r="A30" s="422"/>
      <c r="B30" s="56" t="str">
        <f>VLOOKUP(D30,廠價表!$C$1:$E$39,2,0)</f>
        <v>義大利麵</v>
      </c>
      <c r="C30" s="237"/>
      <c r="D30" s="11" t="s">
        <v>158</v>
      </c>
      <c r="E30" s="29"/>
      <c r="F30" s="56">
        <f>VLOOKUP(D30,廠價表!$C$1:$E$39,3,0)</f>
        <v>47.71</v>
      </c>
      <c r="G30" s="53">
        <v>812</v>
      </c>
      <c r="H30" s="50">
        <f t="shared" si="24"/>
        <v>38740.520000000004</v>
      </c>
      <c r="I30" s="42"/>
      <c r="J30" s="16">
        <f>VLOOKUP(D30,產線配置圖!$A$2:$C$38,2,0)</f>
        <v>15</v>
      </c>
      <c r="K30" s="14">
        <f>VLOOKUP(D30,產線配置圖!$A$2:$C$38,3,0)</f>
        <v>1500</v>
      </c>
      <c r="L30" s="235">
        <f>K30/J30</f>
        <v>100</v>
      </c>
      <c r="M30" s="21">
        <v>14</v>
      </c>
      <c r="N30" s="36">
        <f>G30/W30*60</f>
        <v>1133.0232558139533</v>
      </c>
      <c r="O30" s="38">
        <f>N30/M30</f>
        <v>80.930232558139522</v>
      </c>
      <c r="P30" s="39">
        <f t="shared" si="21"/>
        <v>-1</v>
      </c>
      <c r="Q30" s="40">
        <f t="shared" si="22"/>
        <v>-19.069767441860478</v>
      </c>
      <c r="R30" s="190">
        <f t="shared" si="23"/>
        <v>0.80930232558139525</v>
      </c>
      <c r="S30" s="425"/>
      <c r="T30" s="41">
        <v>0.54166666666666663</v>
      </c>
      <c r="U30" s="41">
        <v>0.57152777777777775</v>
      </c>
      <c r="V30" s="42">
        <f>(T30-U29)*24*60</f>
        <v>89.999999999999915</v>
      </c>
      <c r="W30" s="43">
        <f t="shared" si="18"/>
        <v>43.000000000000007</v>
      </c>
      <c r="X30" s="54">
        <v>0.47916666666666669</v>
      </c>
      <c r="Y30" s="54">
        <v>0.52083333333333337</v>
      </c>
      <c r="Z30" s="449"/>
      <c r="AA30" s="450"/>
      <c r="AB30" s="292"/>
      <c r="AC30" s="190"/>
      <c r="AD30" s="448"/>
    </row>
    <row r="31" spans="1:30" ht="15" customHeight="1">
      <c r="A31" s="422"/>
      <c r="B31" s="56" t="str">
        <f>VLOOKUP(D31,廠價表!$C$1:$E$39,2,0)</f>
        <v>義大利麵</v>
      </c>
      <c r="C31" s="237"/>
      <c r="D31" s="11" t="s">
        <v>206</v>
      </c>
      <c r="E31" s="29"/>
      <c r="F31" s="56">
        <f>VLOOKUP(D31,廠價表!$C$1:$E$39,3,0)</f>
        <v>56.43</v>
      </c>
      <c r="G31" s="53">
        <v>1184</v>
      </c>
      <c r="H31" s="50">
        <f t="shared" ref="H31" si="25">F31*G31</f>
        <v>66813.119999999995</v>
      </c>
      <c r="I31" s="42"/>
      <c r="J31" s="16">
        <v>17</v>
      </c>
      <c r="K31" s="14">
        <f>VLOOKUP(D31,產線配置圖!$A$2:$C$38,3,0)</f>
        <v>1636</v>
      </c>
      <c r="L31" s="235">
        <f>K31/J31</f>
        <v>96.235294117647058</v>
      </c>
      <c r="M31" s="21">
        <v>14</v>
      </c>
      <c r="N31" s="36">
        <f>G31/W31*60</f>
        <v>1092.9230769230753</v>
      </c>
      <c r="O31" s="38">
        <f>N31/M31</f>
        <v>78.065934065933945</v>
      </c>
      <c r="P31" s="39">
        <f t="shared" ref="P31" si="26">M31-J31</f>
        <v>-3</v>
      </c>
      <c r="Q31" s="40">
        <f t="shared" ref="Q31" si="27">O31-L31</f>
        <v>-18.169360051713113</v>
      </c>
      <c r="R31" s="190">
        <f t="shared" ref="R31" si="28">O31/L31</f>
        <v>0.81119858136972922</v>
      </c>
      <c r="S31" s="425"/>
      <c r="T31" s="41">
        <v>0.57638888888888884</v>
      </c>
      <c r="U31" s="41">
        <v>0.62152777777777779</v>
      </c>
      <c r="V31" s="42">
        <f>(T31-U30)*24*60</f>
        <v>6.9999999999999751</v>
      </c>
      <c r="W31" s="43">
        <f t="shared" si="18"/>
        <v>65.000000000000085</v>
      </c>
      <c r="X31" s="54"/>
      <c r="Y31" s="54"/>
      <c r="Z31" s="449"/>
      <c r="AA31" s="450"/>
      <c r="AB31" s="257"/>
      <c r="AC31" s="258"/>
      <c r="AD31" s="403"/>
    </row>
    <row r="32" spans="1:30" ht="15" customHeight="1">
      <c r="A32" s="422"/>
      <c r="B32" s="56"/>
      <c r="C32" s="252"/>
      <c r="D32" s="253"/>
      <c r="E32" s="254"/>
      <c r="F32" s="56"/>
      <c r="G32" s="53"/>
      <c r="H32" s="50"/>
      <c r="I32" s="42"/>
      <c r="J32" s="255"/>
      <c r="K32" s="36"/>
      <c r="L32" s="256"/>
      <c r="M32" s="21"/>
      <c r="N32" s="36"/>
      <c r="O32" s="38"/>
      <c r="P32" s="39"/>
      <c r="Q32" s="40"/>
      <c r="R32" s="190"/>
      <c r="S32" s="425"/>
      <c r="T32" s="41"/>
      <c r="U32" s="41"/>
      <c r="V32" s="42"/>
      <c r="W32" s="43">
        <f t="shared" si="18"/>
        <v>0</v>
      </c>
      <c r="X32" s="54"/>
      <c r="Y32" s="54"/>
      <c r="Z32" s="418"/>
      <c r="AA32" s="405"/>
      <c r="AB32" s="18"/>
      <c r="AC32" s="185"/>
      <c r="AD32" s="403"/>
    </row>
    <row r="33" spans="1:30" ht="15" customHeight="1">
      <c r="A33" s="422"/>
      <c r="B33" s="240"/>
      <c r="C33" s="241"/>
      <c r="D33" s="242"/>
      <c r="E33" s="243"/>
      <c r="F33" s="223"/>
      <c r="G33" s="244"/>
      <c r="H33" s="245">
        <f t="shared" si="24"/>
        <v>0</v>
      </c>
      <c r="I33" s="246"/>
      <c r="J33" s="247"/>
      <c r="K33" s="45"/>
      <c r="M33" s="248"/>
      <c r="N33" s="45"/>
      <c r="O33" s="46"/>
      <c r="P33" s="47"/>
      <c r="Q33" s="48"/>
      <c r="R33" s="49"/>
      <c r="S33" s="425"/>
      <c r="T33" s="41"/>
      <c r="U33" s="41"/>
      <c r="V33" s="42"/>
      <c r="W33" s="43">
        <f t="shared" si="18"/>
        <v>0</v>
      </c>
      <c r="X33" s="54"/>
      <c r="Y33" s="54"/>
      <c r="Z33" s="418"/>
      <c r="AA33" s="405"/>
      <c r="AB33" s="18"/>
      <c r="AC33" s="57"/>
      <c r="AD33" s="403"/>
    </row>
    <row r="34" spans="1:30" ht="15" customHeight="1">
      <c r="A34" s="422"/>
      <c r="B34" s="231"/>
      <c r="C34" s="27"/>
      <c r="D34" s="28"/>
      <c r="E34" s="29"/>
      <c r="F34" s="13"/>
      <c r="G34" s="53"/>
      <c r="H34" s="50">
        <f t="shared" si="24"/>
        <v>0</v>
      </c>
      <c r="I34" s="42"/>
      <c r="J34" s="37"/>
      <c r="K34" s="36"/>
      <c r="L34" s="38"/>
      <c r="M34" s="21"/>
      <c r="N34" s="36"/>
      <c r="O34" s="38"/>
      <c r="P34" s="39"/>
      <c r="Q34" s="40"/>
      <c r="R34" s="190"/>
      <c r="S34" s="425"/>
      <c r="T34" s="41"/>
      <c r="U34" s="41"/>
      <c r="V34" s="42"/>
      <c r="W34" s="43">
        <f t="shared" si="18"/>
        <v>0</v>
      </c>
      <c r="X34" s="54"/>
      <c r="Y34" s="54"/>
      <c r="Z34" s="418"/>
      <c r="AA34" s="405"/>
      <c r="AB34" s="18"/>
      <c r="AC34" s="57"/>
      <c r="AD34" s="403"/>
    </row>
    <row r="35" spans="1:30" ht="15" customHeight="1">
      <c r="A35" s="422"/>
      <c r="B35" s="231"/>
      <c r="C35" s="27"/>
      <c r="D35" s="28"/>
      <c r="E35" s="29"/>
      <c r="F35" s="13"/>
      <c r="G35" s="53"/>
      <c r="H35" s="50">
        <f t="shared" si="24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90"/>
      <c r="S35" s="425"/>
      <c r="T35" s="41"/>
      <c r="U35" s="41"/>
      <c r="V35" s="42"/>
      <c r="W35" s="43">
        <f t="shared" si="18"/>
        <v>0</v>
      </c>
      <c r="X35" s="54"/>
      <c r="Y35" s="54"/>
      <c r="Z35" s="418"/>
      <c r="AA35" s="405"/>
      <c r="AB35" s="18"/>
      <c r="AC35" s="57"/>
      <c r="AD35" s="403"/>
    </row>
    <row r="36" spans="1:30" ht="15" customHeight="1">
      <c r="A36" s="422"/>
      <c r="B36" s="232"/>
      <c r="C36" s="27"/>
      <c r="D36" s="28"/>
      <c r="E36" s="29"/>
      <c r="F36" s="13"/>
      <c r="G36" s="53"/>
      <c r="H36" s="50">
        <f t="shared" si="24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90"/>
      <c r="S36" s="425"/>
      <c r="T36" s="41"/>
      <c r="U36" s="41"/>
      <c r="V36" s="42"/>
      <c r="W36" s="43">
        <f t="shared" si="18"/>
        <v>0</v>
      </c>
      <c r="X36" s="54"/>
      <c r="Y36" s="54"/>
      <c r="Z36" s="418"/>
      <c r="AA36" s="405"/>
      <c r="AB36" s="18"/>
      <c r="AC36" s="57"/>
      <c r="AD36" s="403"/>
    </row>
    <row r="37" spans="1:30" ht="15" customHeight="1" thickBot="1">
      <c r="A37" s="423"/>
      <c r="B37" s="300"/>
      <c r="C37" s="301" t="s">
        <v>36</v>
      </c>
      <c r="D37" s="428" t="s">
        <v>7</v>
      </c>
      <c r="E37" s="429"/>
      <c r="F37" s="281"/>
      <c r="G37" s="282"/>
      <c r="H37" s="283"/>
      <c r="I37" s="284"/>
      <c r="J37" s="285">
        <f t="shared" ref="J37:O37" si="29">AVERAGE(J27:J36)</f>
        <v>16.399999999999999</v>
      </c>
      <c r="K37" s="285">
        <f t="shared" si="29"/>
        <v>1517.2</v>
      </c>
      <c r="L37" s="286">
        <f t="shared" si="29"/>
        <v>93.047712418300662</v>
      </c>
      <c r="M37" s="285">
        <f t="shared" si="29"/>
        <v>14.6</v>
      </c>
      <c r="N37" s="285">
        <f t="shared" si="29"/>
        <v>1074.6354203935593</v>
      </c>
      <c r="O37" s="286">
        <f t="shared" si="29"/>
        <v>73.47199889258026</v>
      </c>
      <c r="P37" s="73">
        <f>M37-J37</f>
        <v>-1.7999999999999989</v>
      </c>
      <c r="Q37" s="74">
        <f>N37-K37</f>
        <v>-442.5645796064407</v>
      </c>
      <c r="R37" s="287">
        <f t="shared" ref="R37:R41" si="30">O37/L37</f>
        <v>0.7896163912368227</v>
      </c>
      <c r="S37" s="426"/>
      <c r="T37" s="302"/>
      <c r="U37" s="302"/>
      <c r="V37" s="81"/>
      <c r="W37" s="81"/>
      <c r="X37" s="303"/>
      <c r="Y37" s="303"/>
      <c r="Z37" s="480"/>
      <c r="AA37" s="481"/>
      <c r="AB37" s="34">
        <f t="shared" ref="AB37:AB40" si="31">N37-K37</f>
        <v>-442.5645796064407</v>
      </c>
      <c r="AC37" s="186">
        <f t="shared" ref="AC37:AC40" si="32">N37/K37</f>
        <v>0.70830175348903202</v>
      </c>
      <c r="AD37" s="403"/>
    </row>
    <row r="38" spans="1:30" s="62" customFormat="1" ht="15" customHeight="1">
      <c r="A38" s="454" t="s">
        <v>55</v>
      </c>
      <c r="B38" s="229" t="s">
        <v>134</v>
      </c>
      <c r="C38" s="199"/>
      <c r="D38" s="304" t="s">
        <v>154</v>
      </c>
      <c r="E38" s="280"/>
      <c r="F38" s="305">
        <f>VLOOKUP(D38,廠價表!$C$1:$E$39,3,0)</f>
        <v>57.3</v>
      </c>
      <c r="G38" s="266">
        <v>1056</v>
      </c>
      <c r="H38" s="125">
        <f t="shared" si="24"/>
        <v>60508.799999999996</v>
      </c>
      <c r="I38" s="126"/>
      <c r="J38" s="274">
        <v>16</v>
      </c>
      <c r="K38" s="236">
        <v>1500</v>
      </c>
      <c r="L38" s="288">
        <f t="shared" ref="L38:L41" si="33">K38/J38</f>
        <v>93.75</v>
      </c>
      <c r="M38" s="289">
        <v>14</v>
      </c>
      <c r="N38" s="127">
        <f>G38/W38*60</f>
        <v>1111.5789473684204</v>
      </c>
      <c r="O38" s="128">
        <f>N38/M38</f>
        <v>79.39849624060146</v>
      </c>
      <c r="P38" s="129">
        <f t="shared" ref="P38:P41" si="34">M38-J38</f>
        <v>-2</v>
      </c>
      <c r="Q38" s="130">
        <f t="shared" ref="Q38:Q41" si="35">O38-L38</f>
        <v>-14.35150375939854</v>
      </c>
      <c r="R38" s="189">
        <f t="shared" si="30"/>
        <v>0.84691729323308229</v>
      </c>
      <c r="S38" s="457">
        <f>R48</f>
        <v>0.8677402081310559</v>
      </c>
      <c r="T38" s="151">
        <v>0.33333333333333331</v>
      </c>
      <c r="U38" s="151">
        <v>0.37291666666666667</v>
      </c>
      <c r="V38" s="148"/>
      <c r="W38" s="152">
        <f t="shared" si="18"/>
        <v>57.000000000000036</v>
      </c>
      <c r="X38" s="150"/>
      <c r="Y38" s="153"/>
      <c r="Z38" s="478" t="s">
        <v>253</v>
      </c>
      <c r="AA38" s="460"/>
      <c r="AB38" s="290">
        <f t="shared" si="31"/>
        <v>-388.42105263157964</v>
      </c>
      <c r="AC38" s="154">
        <f t="shared" si="32"/>
        <v>0.74105263157894685</v>
      </c>
      <c r="AD38" s="436">
        <f>AC48</f>
        <v>0.77091852759690283</v>
      </c>
    </row>
    <row r="39" spans="1:30" s="62" customFormat="1" ht="15" customHeight="1">
      <c r="A39" s="455"/>
      <c r="B39" s="56" t="s">
        <v>134</v>
      </c>
      <c r="C39" s="277"/>
      <c r="D39" s="279" t="s">
        <v>206</v>
      </c>
      <c r="E39" s="278"/>
      <c r="F39" s="56">
        <f>VLOOKUP(D39,廠價表!$C$1:$E$39,3,0)</f>
        <v>56.43</v>
      </c>
      <c r="G39" s="276">
        <v>1923</v>
      </c>
      <c r="H39" s="50">
        <f t="shared" si="24"/>
        <v>108514.89</v>
      </c>
      <c r="I39" s="64"/>
      <c r="J39" s="37">
        <v>17</v>
      </c>
      <c r="K39" s="36">
        <f>VLOOKUP(D39,產線配置圖!$A$2:$C$38,3,0)</f>
        <v>1636</v>
      </c>
      <c r="L39" s="38">
        <f t="shared" si="33"/>
        <v>96.235294117647058</v>
      </c>
      <c r="M39" s="65">
        <v>14</v>
      </c>
      <c r="N39" s="66">
        <f>G39/W39*60</f>
        <v>1131.1764705882347</v>
      </c>
      <c r="O39" s="67">
        <f t="shared" ref="O39:O41" si="36">N39/M39</f>
        <v>80.798319327731051</v>
      </c>
      <c r="P39" s="39">
        <f t="shared" si="34"/>
        <v>-3</v>
      </c>
      <c r="Q39" s="40">
        <f t="shared" si="35"/>
        <v>-15.436974789916007</v>
      </c>
      <c r="R39" s="190">
        <f t="shared" si="30"/>
        <v>0.83959133775759653</v>
      </c>
      <c r="S39" s="458"/>
      <c r="T39" s="59">
        <v>0.38055555555555554</v>
      </c>
      <c r="U39" s="59">
        <v>0.4513888888888889</v>
      </c>
      <c r="V39" s="42">
        <f>(T39-U38)*24*60</f>
        <v>10.999999999999961</v>
      </c>
      <c r="W39" s="69">
        <f t="shared" si="18"/>
        <v>102.00000000000004</v>
      </c>
      <c r="X39" s="22"/>
      <c r="Y39" s="22"/>
      <c r="Z39" s="439"/>
      <c r="AA39" s="440"/>
      <c r="AB39" s="271">
        <f t="shared" si="31"/>
        <v>-504.82352941176532</v>
      </c>
      <c r="AC39" s="61">
        <f t="shared" si="32"/>
        <v>0.69142816050625588</v>
      </c>
      <c r="AD39" s="437"/>
    </row>
    <row r="40" spans="1:30" s="62" customFormat="1" ht="15" customHeight="1">
      <c r="A40" s="455"/>
      <c r="B40" s="56" t="s">
        <v>134</v>
      </c>
      <c r="C40" s="275"/>
      <c r="D40" s="279" t="s">
        <v>156</v>
      </c>
      <c r="E40" s="243"/>
      <c r="F40" s="56">
        <f>VLOOKUP(D40,廠價表!$C$1:$E$39,3,0)</f>
        <v>56.43</v>
      </c>
      <c r="G40" s="276">
        <v>898</v>
      </c>
      <c r="H40" s="50">
        <f t="shared" si="24"/>
        <v>50674.14</v>
      </c>
      <c r="I40" s="64"/>
      <c r="J40" s="37">
        <f>VLOOKUP(D40,產線配置圖!$A$2:$C$38,2,0)</f>
        <v>15</v>
      </c>
      <c r="K40" s="36">
        <f>VLOOKUP(D40,產線配置圖!$A$2:$C$38,3,0)</f>
        <v>1406</v>
      </c>
      <c r="L40" s="38">
        <f t="shared" si="33"/>
        <v>93.733333333333334</v>
      </c>
      <c r="M40" s="65">
        <v>14</v>
      </c>
      <c r="N40" s="66">
        <f>G40/W40*60</f>
        <v>1171.304347826087</v>
      </c>
      <c r="O40" s="67">
        <f t="shared" si="36"/>
        <v>83.664596273291934</v>
      </c>
      <c r="P40" s="39">
        <f t="shared" si="34"/>
        <v>-1</v>
      </c>
      <c r="Q40" s="40">
        <f t="shared" si="35"/>
        <v>-10.0687370600414</v>
      </c>
      <c r="R40" s="190">
        <f t="shared" si="30"/>
        <v>0.89258104132246019</v>
      </c>
      <c r="S40" s="397"/>
      <c r="T40" s="59">
        <v>0.45902777777777776</v>
      </c>
      <c r="U40" s="59">
        <v>0.4909722222222222</v>
      </c>
      <c r="V40" s="42">
        <f>(T40-U39)*24*60</f>
        <v>10.999999999999961</v>
      </c>
      <c r="W40" s="69">
        <f t="shared" si="18"/>
        <v>46</v>
      </c>
      <c r="X40" s="70"/>
      <c r="Y40" s="259"/>
      <c r="Z40" s="439" t="s">
        <v>253</v>
      </c>
      <c r="AA40" s="440"/>
      <c r="AB40" s="271">
        <f t="shared" si="31"/>
        <v>-234.695652173913</v>
      </c>
      <c r="AC40" s="61">
        <f t="shared" si="32"/>
        <v>0.83307563856762945</v>
      </c>
      <c r="AD40" s="437"/>
    </row>
    <row r="41" spans="1:30" s="62" customFormat="1" ht="15" customHeight="1">
      <c r="A41" s="455"/>
      <c r="B41" s="56" t="s">
        <v>134</v>
      </c>
      <c r="C41" s="275"/>
      <c r="D41" s="279" t="s">
        <v>156</v>
      </c>
      <c r="E41" s="243"/>
      <c r="F41" s="56">
        <f>VLOOKUP(D41,廠價表!$C$1:$E$39,3,0)</f>
        <v>56.43</v>
      </c>
      <c r="G41" s="276">
        <v>859</v>
      </c>
      <c r="H41" s="50">
        <f t="shared" si="24"/>
        <v>48473.37</v>
      </c>
      <c r="I41" s="64"/>
      <c r="J41" s="37">
        <f>VLOOKUP(D41,產線配置圖!$A$2:$C$38,2,0)</f>
        <v>15</v>
      </c>
      <c r="K41" s="36">
        <f>VLOOKUP(D41,產線配置圖!$A$2:$C$38,3,0)</f>
        <v>1406</v>
      </c>
      <c r="L41" s="38">
        <f t="shared" si="33"/>
        <v>93.733333333333334</v>
      </c>
      <c r="M41" s="65">
        <v>14</v>
      </c>
      <c r="N41" s="66">
        <f>G41/W41*60</f>
        <v>1171.3636363636365</v>
      </c>
      <c r="O41" s="67">
        <f t="shared" si="36"/>
        <v>83.668831168831176</v>
      </c>
      <c r="P41" s="39">
        <f t="shared" si="34"/>
        <v>-1</v>
      </c>
      <c r="Q41" s="40">
        <f t="shared" si="35"/>
        <v>-10.064502164502159</v>
      </c>
      <c r="R41" s="190">
        <f t="shared" si="30"/>
        <v>0.89262622157359006</v>
      </c>
      <c r="S41" s="397"/>
      <c r="T41" s="59">
        <v>0.55277777777777781</v>
      </c>
      <c r="U41" s="59">
        <v>0.58333333333333337</v>
      </c>
      <c r="V41" s="42">
        <f>(T41-U40)*24*60</f>
        <v>89.000000000000085</v>
      </c>
      <c r="W41" s="69">
        <f t="shared" si="18"/>
        <v>44</v>
      </c>
      <c r="X41" s="70">
        <v>0.5</v>
      </c>
      <c r="Y41" s="259">
        <v>0.54166666666666663</v>
      </c>
      <c r="Z41" s="439" t="s">
        <v>253</v>
      </c>
      <c r="AA41" s="440"/>
      <c r="AB41" s="271"/>
      <c r="AC41" s="61"/>
      <c r="AD41" s="437"/>
    </row>
    <row r="42" spans="1:30" s="62" customFormat="1" ht="15" customHeight="1">
      <c r="A42" s="455"/>
      <c r="B42" s="56"/>
      <c r="C42" s="23"/>
      <c r="D42" s="279"/>
      <c r="E42" s="12"/>
      <c r="F42" s="56"/>
      <c r="G42" s="276"/>
      <c r="H42" s="63"/>
      <c r="I42" s="64"/>
      <c r="J42" s="37"/>
      <c r="K42" s="36"/>
      <c r="L42" s="38"/>
      <c r="M42" s="65"/>
      <c r="N42" s="66"/>
      <c r="O42" s="67"/>
      <c r="P42" s="39"/>
      <c r="Q42" s="40"/>
      <c r="R42" s="190"/>
      <c r="S42" s="397"/>
      <c r="T42" s="75"/>
      <c r="U42" s="75"/>
      <c r="V42" s="42"/>
      <c r="W42" s="69">
        <f t="shared" si="18"/>
        <v>0</v>
      </c>
      <c r="X42" s="70"/>
      <c r="Y42" s="60"/>
      <c r="Z42" s="445"/>
      <c r="AA42" s="446"/>
      <c r="AB42" s="271"/>
      <c r="AC42" s="61"/>
      <c r="AD42" s="437"/>
    </row>
    <row r="43" spans="1:30" s="62" customFormat="1" ht="15" customHeight="1">
      <c r="A43" s="455"/>
      <c r="B43" s="230"/>
      <c r="C43" s="23"/>
      <c r="D43" s="11"/>
      <c r="E43" s="12"/>
      <c r="F43" s="13"/>
      <c r="G43" s="100"/>
      <c r="H43" s="63">
        <f t="shared" ref="H43:H47" si="37">F43*G43</f>
        <v>0</v>
      </c>
      <c r="I43" s="64"/>
      <c r="J43" s="65"/>
      <c r="K43" s="66"/>
      <c r="L43" s="67"/>
      <c r="M43" s="65"/>
      <c r="N43" s="66"/>
      <c r="O43" s="67"/>
      <c r="P43" s="39"/>
      <c r="Q43" s="40"/>
      <c r="R43" s="68"/>
      <c r="S43" s="397"/>
      <c r="T43" s="75"/>
      <c r="U43" s="75"/>
      <c r="V43" s="64"/>
      <c r="W43" s="69">
        <f>(U43-T43)*24*60</f>
        <v>0</v>
      </c>
      <c r="X43" s="70"/>
      <c r="Y43" s="67"/>
      <c r="Z43" s="405"/>
      <c r="AA43" s="405"/>
      <c r="AB43" s="71"/>
      <c r="AC43" s="61"/>
      <c r="AD43" s="437"/>
    </row>
    <row r="44" spans="1:30" s="62" customFormat="1" ht="15" customHeight="1">
      <c r="A44" s="455"/>
      <c r="B44" s="230"/>
      <c r="C44" s="183"/>
      <c r="D44" s="11"/>
      <c r="E44" s="12"/>
      <c r="F44" s="13"/>
      <c r="G44" s="100"/>
      <c r="H44" s="63">
        <f t="shared" si="37"/>
        <v>0</v>
      </c>
      <c r="I44" s="64"/>
      <c r="J44" s="65"/>
      <c r="K44" s="66"/>
      <c r="L44" s="58"/>
      <c r="M44" s="65"/>
      <c r="N44" s="66"/>
      <c r="O44" s="67"/>
      <c r="P44" s="39"/>
      <c r="Q44" s="40"/>
      <c r="R44" s="68"/>
      <c r="S44" s="397"/>
      <c r="T44" s="59"/>
      <c r="U44" s="59"/>
      <c r="V44" s="64"/>
      <c r="W44" s="69">
        <f t="shared" ref="W44:W48" si="38">(U44-T44)*24*60</f>
        <v>0</v>
      </c>
      <c r="X44" s="70"/>
      <c r="Y44" s="67"/>
      <c r="Z44" s="405"/>
      <c r="AA44" s="405"/>
      <c r="AB44" s="71"/>
      <c r="AC44" s="61"/>
      <c r="AD44" s="437"/>
    </row>
    <row r="45" spans="1:30" s="62" customFormat="1" ht="15" customHeight="1">
      <c r="A45" s="455"/>
      <c r="B45" s="231"/>
      <c r="C45" s="27"/>
      <c r="D45" s="28"/>
      <c r="E45" s="29"/>
      <c r="F45" s="13"/>
      <c r="G45" s="66"/>
      <c r="H45" s="63">
        <f t="shared" si="37"/>
        <v>0</v>
      </c>
      <c r="I45" s="64"/>
      <c r="J45" s="65"/>
      <c r="K45" s="66"/>
      <c r="L45" s="67"/>
      <c r="M45" s="65"/>
      <c r="N45" s="66"/>
      <c r="O45" s="67"/>
      <c r="P45" s="39"/>
      <c r="Q45" s="40"/>
      <c r="R45" s="68"/>
      <c r="S45" s="397"/>
      <c r="T45" s="75"/>
      <c r="U45" s="75"/>
      <c r="V45" s="64"/>
      <c r="W45" s="69">
        <f t="shared" si="38"/>
        <v>0</v>
      </c>
      <c r="X45" s="70"/>
      <c r="Y45" s="67"/>
      <c r="Z45" s="405"/>
      <c r="AA45" s="405"/>
      <c r="AB45" s="71"/>
      <c r="AC45" s="61"/>
      <c r="AD45" s="437"/>
    </row>
    <row r="46" spans="1:30" s="62" customFormat="1" ht="15" customHeight="1">
      <c r="A46" s="455"/>
      <c r="B46" s="231"/>
      <c r="C46" s="27"/>
      <c r="D46" s="28"/>
      <c r="E46" s="29"/>
      <c r="F46" s="13"/>
      <c r="G46" s="66"/>
      <c r="H46" s="63">
        <f t="shared" si="37"/>
        <v>0</v>
      </c>
      <c r="I46" s="64"/>
      <c r="J46" s="65"/>
      <c r="K46" s="66"/>
      <c r="L46" s="67"/>
      <c r="M46" s="65"/>
      <c r="N46" s="66"/>
      <c r="O46" s="67"/>
      <c r="P46" s="39"/>
      <c r="Q46" s="40"/>
      <c r="R46" s="68"/>
      <c r="S46" s="397"/>
      <c r="T46" s="59"/>
      <c r="U46" s="59"/>
      <c r="V46" s="64"/>
      <c r="W46" s="69">
        <f t="shared" si="38"/>
        <v>0</v>
      </c>
      <c r="X46" s="70"/>
      <c r="Y46" s="67"/>
      <c r="Z46" s="405"/>
      <c r="AA46" s="405"/>
      <c r="AB46" s="71"/>
      <c r="AC46" s="61"/>
      <c r="AD46" s="437"/>
    </row>
    <row r="47" spans="1:30" s="62" customFormat="1" ht="15" customHeight="1">
      <c r="A47" s="455"/>
      <c r="B47" s="230"/>
      <c r="C47" s="27"/>
      <c r="D47" s="28"/>
      <c r="E47" s="29"/>
      <c r="F47" s="13"/>
      <c r="G47" s="66"/>
      <c r="H47" s="63">
        <f t="shared" si="37"/>
        <v>0</v>
      </c>
      <c r="I47" s="64"/>
      <c r="J47" s="65"/>
      <c r="K47" s="66"/>
      <c r="L47" s="67"/>
      <c r="M47" s="65"/>
      <c r="N47" s="66"/>
      <c r="O47" s="67"/>
      <c r="P47" s="39"/>
      <c r="Q47" s="40"/>
      <c r="R47" s="68"/>
      <c r="S47" s="397"/>
      <c r="T47" s="75"/>
      <c r="U47" s="75"/>
      <c r="V47" s="64"/>
      <c r="W47" s="69">
        <f t="shared" si="38"/>
        <v>0</v>
      </c>
      <c r="X47" s="70"/>
      <c r="Y47" s="67"/>
      <c r="Z47" s="405"/>
      <c r="AA47" s="405"/>
      <c r="AB47" s="71"/>
      <c r="AC47" s="61"/>
      <c r="AD47" s="437"/>
    </row>
    <row r="48" spans="1:30" ht="15" customHeight="1" thickBot="1">
      <c r="A48" s="456"/>
      <c r="B48" s="156"/>
      <c r="C48" s="1" t="s">
        <v>37</v>
      </c>
      <c r="D48" s="410" t="s">
        <v>7</v>
      </c>
      <c r="E48" s="410"/>
      <c r="F48" s="133"/>
      <c r="G48" s="145"/>
      <c r="H48" s="135"/>
      <c r="I48" s="136"/>
      <c r="J48" s="134">
        <f t="shared" ref="J48:O48" si="39">AVERAGE(J38:J47)</f>
        <v>15.75</v>
      </c>
      <c r="K48" s="134">
        <f t="shared" si="39"/>
        <v>1487</v>
      </c>
      <c r="L48" s="137">
        <f t="shared" si="39"/>
        <v>94.362990196078442</v>
      </c>
      <c r="M48" s="134">
        <f t="shared" si="39"/>
        <v>14</v>
      </c>
      <c r="N48" s="134">
        <f t="shared" si="39"/>
        <v>1146.3558505365945</v>
      </c>
      <c r="O48" s="137">
        <f t="shared" si="39"/>
        <v>81.882560752613898</v>
      </c>
      <c r="P48" s="157">
        <f>M48-J48</f>
        <v>-1.75</v>
      </c>
      <c r="Q48" s="158">
        <f>N48-K48</f>
        <v>-340.64414946340548</v>
      </c>
      <c r="R48" s="159">
        <f>O48/L48</f>
        <v>0.8677402081310559</v>
      </c>
      <c r="S48" s="399"/>
      <c r="T48" s="160"/>
      <c r="U48" s="160"/>
      <c r="V48" s="196"/>
      <c r="W48" s="161">
        <f t="shared" si="38"/>
        <v>0</v>
      </c>
      <c r="X48" s="162"/>
      <c r="Y48" s="162"/>
      <c r="Z48" s="391"/>
      <c r="AA48" s="391"/>
      <c r="AB48" s="163">
        <f>N48-K48</f>
        <v>-340.64414946340548</v>
      </c>
      <c r="AC48" s="191">
        <f>N48/K48</f>
        <v>0.77091852759690283</v>
      </c>
      <c r="AD48" s="438"/>
    </row>
    <row r="49" spans="1:30" ht="15" customHeight="1">
      <c r="A49" s="451" t="s">
        <v>56</v>
      </c>
      <c r="B49" s="199" t="str">
        <f>VLOOKUP(D49,廠價表!$C$1:$E$39,2,0)</f>
        <v>義大利麵</v>
      </c>
      <c r="C49" s="102"/>
      <c r="D49" s="103" t="s">
        <v>152</v>
      </c>
      <c r="E49" s="104"/>
      <c r="F49" s="199">
        <f>VLOOKUP(D49,廠價表!$C$1:$E$39,3,0)</f>
        <v>56.87</v>
      </c>
      <c r="G49" s="149">
        <v>1694</v>
      </c>
      <c r="H49" s="125">
        <f t="shared" ref="H49:H57" si="40">F49*G49</f>
        <v>96337.78</v>
      </c>
      <c r="I49" s="126"/>
      <c r="J49" s="16">
        <f>VLOOKUP(D49,產線配置圖!$A$2:$C$38,2,0)</f>
        <v>19</v>
      </c>
      <c r="K49" s="14">
        <f>VLOOKUP(D49,產線配置圖!$A$2:$C$38,3,0)</f>
        <v>1565</v>
      </c>
      <c r="L49" s="109">
        <f>K49/J49</f>
        <v>82.368421052631575</v>
      </c>
      <c r="M49" s="144">
        <v>18</v>
      </c>
      <c r="N49" s="127">
        <f>G49/W49*60</f>
        <v>1452.0000000000005</v>
      </c>
      <c r="O49" s="128">
        <f>N49/M49</f>
        <v>80.666666666666686</v>
      </c>
      <c r="P49" s="164">
        <f>M49-J49</f>
        <v>-1</v>
      </c>
      <c r="Q49" s="112">
        <f>O49-L49</f>
        <v>-1.7017543859648896</v>
      </c>
      <c r="R49" s="184">
        <f>O49/L49</f>
        <v>0.97933972310969142</v>
      </c>
      <c r="S49" s="396">
        <f>R58</f>
        <v>0.91063295370321773</v>
      </c>
      <c r="T49" s="151">
        <v>0.29166666666666669</v>
      </c>
      <c r="U49" s="151">
        <v>0.34027777777777779</v>
      </c>
      <c r="V49" s="188"/>
      <c r="W49" s="152">
        <f t="shared" si="18"/>
        <v>69.999999999999986</v>
      </c>
      <c r="X49" s="188"/>
      <c r="Y49" s="188"/>
      <c r="Z49" s="400"/>
      <c r="AA49" s="400"/>
      <c r="AB49" s="111">
        <f>N49-K49</f>
        <v>-112.99999999999955</v>
      </c>
      <c r="AC49" s="184">
        <f>N49/K49</f>
        <v>0.92779552715654978</v>
      </c>
      <c r="AD49" s="401">
        <f>AC58</f>
        <v>0.90146607439575366</v>
      </c>
    </row>
    <row r="50" spans="1:30" ht="15" customHeight="1">
      <c r="A50" s="452"/>
      <c r="B50" s="56" t="str">
        <f>VLOOKUP(D50,廠價表!$C$1:$E$39,2,0)</f>
        <v>義大利麵</v>
      </c>
      <c r="C50" s="10"/>
      <c r="D50" s="11" t="s">
        <v>65</v>
      </c>
      <c r="E50" s="86"/>
      <c r="F50" s="56">
        <f>VLOOKUP(D50,廠價表!$C$1:$E$39,3,0)</f>
        <v>49.97</v>
      </c>
      <c r="G50" s="66">
        <v>2826</v>
      </c>
      <c r="H50" s="76">
        <f t="shared" si="40"/>
        <v>141215.22</v>
      </c>
      <c r="I50" s="193"/>
      <c r="J50" s="16">
        <f>VLOOKUP(D50,產線配置圖!$A$2:$C$38,2,0)</f>
        <v>18</v>
      </c>
      <c r="K50" s="14">
        <f>VLOOKUP(D50,產線配置圖!$A$2:$C$38,3,0)</f>
        <v>1600</v>
      </c>
      <c r="L50" s="17">
        <f>K50/J50</f>
        <v>88.888888888888886</v>
      </c>
      <c r="M50" s="174">
        <v>18</v>
      </c>
      <c r="N50" s="77">
        <f>G50/W50*60</f>
        <v>1335.1181102362202</v>
      </c>
      <c r="O50" s="78">
        <f>N50/M50</f>
        <v>74.173228346456682</v>
      </c>
      <c r="P50" s="18">
        <f>M50-J50</f>
        <v>0</v>
      </c>
      <c r="Q50" s="19">
        <f>O50-L50</f>
        <v>-14.715660542432204</v>
      </c>
      <c r="R50" s="185">
        <f>O50/L50</f>
        <v>0.83444881889763767</v>
      </c>
      <c r="S50" s="397"/>
      <c r="T50" s="79">
        <v>0.34583333333333333</v>
      </c>
      <c r="U50" s="79">
        <v>0.43402777777777779</v>
      </c>
      <c r="V50" s="177">
        <f t="shared" ref="V50:V53" si="41">(T50-U49)*24*60</f>
        <v>7.9999999999999716</v>
      </c>
      <c r="W50" s="80">
        <f t="shared" si="18"/>
        <v>127.00000000000003</v>
      </c>
      <c r="X50" s="22"/>
      <c r="Y50" s="22"/>
      <c r="Z50" s="419"/>
      <c r="AA50" s="418"/>
      <c r="AB50" s="18">
        <f>N50-K50</f>
        <v>-264.88188976377978</v>
      </c>
      <c r="AC50" s="185">
        <f>N50/K50</f>
        <v>0.83444881889763767</v>
      </c>
      <c r="AD50" s="402"/>
    </row>
    <row r="51" spans="1:30" ht="15" customHeight="1">
      <c r="A51" s="452"/>
      <c r="B51" s="56" t="str">
        <f>VLOOKUP(D51,廠價表!$C$1:$E$39,2,0)</f>
        <v>義大利麵</v>
      </c>
      <c r="C51" s="10"/>
      <c r="D51" s="11" t="s">
        <v>158</v>
      </c>
      <c r="E51" s="86"/>
      <c r="F51" s="56">
        <f>VLOOKUP(D51,廠價表!$C$1:$E$39,3,0)</f>
        <v>47.71</v>
      </c>
      <c r="G51" s="66">
        <v>950</v>
      </c>
      <c r="H51" s="76">
        <f t="shared" si="40"/>
        <v>45324.5</v>
      </c>
      <c r="I51" s="193"/>
      <c r="J51" s="16">
        <f>VLOOKUP(D51,產線配置圖!$A$2:$C$38,2,0)</f>
        <v>15</v>
      </c>
      <c r="K51" s="14">
        <f>VLOOKUP(D51,產線配置圖!$A$2:$C$38,3,0)</f>
        <v>1500</v>
      </c>
      <c r="L51" s="17">
        <f>K51/J51</f>
        <v>100</v>
      </c>
      <c r="M51" s="174">
        <v>15</v>
      </c>
      <c r="N51" s="77">
        <f>G51/W51*60</f>
        <v>1212.7659574468087</v>
      </c>
      <c r="O51" s="78">
        <f>N51/M51</f>
        <v>80.85106382978725</v>
      </c>
      <c r="P51" s="18">
        <f>M51-J51</f>
        <v>0</v>
      </c>
      <c r="Q51" s="19">
        <f>O51-L51</f>
        <v>-19.14893617021275</v>
      </c>
      <c r="R51" s="185">
        <f>O51/L51</f>
        <v>0.80851063829787251</v>
      </c>
      <c r="S51" s="397"/>
      <c r="T51" s="79">
        <v>0.44097222222222221</v>
      </c>
      <c r="U51" s="44">
        <v>0.47361111111111109</v>
      </c>
      <c r="V51" s="177">
        <f t="shared" si="41"/>
        <v>9.9999999999999645</v>
      </c>
      <c r="W51" s="80">
        <f t="shared" si="18"/>
        <v>46.999999999999993</v>
      </c>
      <c r="X51" s="22"/>
      <c r="Y51" s="22"/>
      <c r="Z51" s="405"/>
      <c r="AA51" s="405"/>
      <c r="AB51" s="18">
        <f>N51-K51</f>
        <v>-287.23404255319133</v>
      </c>
      <c r="AC51" s="185">
        <f>N51/K51</f>
        <v>0.8085106382978724</v>
      </c>
      <c r="AD51" s="402"/>
    </row>
    <row r="52" spans="1:30" ht="15" customHeight="1">
      <c r="A52" s="452"/>
      <c r="B52" s="56" t="str">
        <f>VLOOKUP(D52,廠價表!$C$1:$E$39,2,0)</f>
        <v>義大利麵</v>
      </c>
      <c r="C52" s="23"/>
      <c r="D52" s="11" t="s">
        <v>158</v>
      </c>
      <c r="E52" s="12"/>
      <c r="F52" s="56">
        <f>VLOOKUP(D52,廠價表!$C$1:$E$39,3,0)</f>
        <v>47.71</v>
      </c>
      <c r="G52" s="66">
        <v>1000</v>
      </c>
      <c r="H52" s="76">
        <f t="shared" ref="H52:H53" si="42">F52*G52</f>
        <v>47710</v>
      </c>
      <c r="I52" s="193"/>
      <c r="J52" s="16">
        <f>VLOOKUP(D52,產線配置圖!$A$2:$C$38,2,0)</f>
        <v>15</v>
      </c>
      <c r="K52" s="14">
        <f>VLOOKUP(D52,產線配置圖!$A$2:$C$38,3,0)</f>
        <v>1500</v>
      </c>
      <c r="L52" s="17">
        <f t="shared" ref="L52:L53" si="43">K52/J52</f>
        <v>100</v>
      </c>
      <c r="M52" s="174">
        <v>15</v>
      </c>
      <c r="N52" s="77">
        <f t="shared" ref="N52:N53" si="44">G52/W52*60</f>
        <v>1499.9999999999995</v>
      </c>
      <c r="O52" s="78">
        <f t="shared" ref="O52:O53" si="45">N52/M52</f>
        <v>99.999999999999972</v>
      </c>
      <c r="P52" s="18">
        <f t="shared" ref="P52:P53" si="46">M52-J52</f>
        <v>0</v>
      </c>
      <c r="Q52" s="19">
        <f t="shared" ref="Q52:Q53" si="47">O52-L52</f>
        <v>0</v>
      </c>
      <c r="R52" s="185">
        <f t="shared" ref="R52:R53" si="48">O52/L52</f>
        <v>0.99999999999999967</v>
      </c>
      <c r="S52" s="397"/>
      <c r="T52" s="79">
        <v>0.53472222222222221</v>
      </c>
      <c r="U52" s="79">
        <v>0.5625</v>
      </c>
      <c r="V52" s="177">
        <f t="shared" si="41"/>
        <v>88</v>
      </c>
      <c r="W52" s="80">
        <f t="shared" si="18"/>
        <v>40.000000000000014</v>
      </c>
      <c r="X52" s="22">
        <v>0.47916666666666669</v>
      </c>
      <c r="Y52" s="22">
        <v>0.52083333333333337</v>
      </c>
      <c r="Z52" s="405"/>
      <c r="AA52" s="405"/>
      <c r="AB52" s="18">
        <f>N52-K52</f>
        <v>0</v>
      </c>
      <c r="AC52" s="185">
        <f>N52/K52</f>
        <v>0.99999999999999967</v>
      </c>
      <c r="AD52" s="402"/>
    </row>
    <row r="53" spans="1:30" ht="15" customHeight="1">
      <c r="A53" s="452"/>
      <c r="B53" s="56" t="str">
        <f>VLOOKUP(D53,廠價表!$C$1:$E$39,2,0)</f>
        <v>義大利麵</v>
      </c>
      <c r="C53" s="23"/>
      <c r="D53" s="11" t="s">
        <v>65</v>
      </c>
      <c r="E53" s="12"/>
      <c r="F53" s="56">
        <f>VLOOKUP(D53,廠價表!$C$1:$E$39,3,0)</f>
        <v>49.97</v>
      </c>
      <c r="G53" s="66">
        <v>1550</v>
      </c>
      <c r="H53" s="76">
        <f t="shared" si="42"/>
        <v>77453.5</v>
      </c>
      <c r="I53" s="193"/>
      <c r="J53" s="16">
        <f>VLOOKUP(D53,產線配置圖!$A$2:$C$38,2,0)</f>
        <v>18</v>
      </c>
      <c r="K53" s="14">
        <f>VLOOKUP(D53,產線配置圖!$A$2:$C$38,3,0)</f>
        <v>1600</v>
      </c>
      <c r="L53" s="17">
        <f t="shared" si="43"/>
        <v>88.888888888888886</v>
      </c>
      <c r="M53" s="174">
        <v>18</v>
      </c>
      <c r="N53" s="77">
        <f t="shared" si="44"/>
        <v>1499.9999999999977</v>
      </c>
      <c r="O53" s="78">
        <f t="shared" si="45"/>
        <v>83.333333333333201</v>
      </c>
      <c r="P53" s="18">
        <f t="shared" si="46"/>
        <v>0</v>
      </c>
      <c r="Q53" s="19">
        <f t="shared" si="47"/>
        <v>-5.555555555555685</v>
      </c>
      <c r="R53" s="185">
        <f t="shared" si="48"/>
        <v>0.93749999999999856</v>
      </c>
      <c r="S53" s="397"/>
      <c r="T53" s="79">
        <v>0.56805555555555554</v>
      </c>
      <c r="U53" s="79">
        <v>0.61111111111111116</v>
      </c>
      <c r="V53" s="177">
        <f t="shared" si="41"/>
        <v>7.9999999999999716</v>
      </c>
      <c r="W53" s="80">
        <f t="shared" si="18"/>
        <v>62.000000000000099</v>
      </c>
      <c r="X53" s="177"/>
      <c r="Y53" s="177"/>
      <c r="Z53" s="419"/>
      <c r="AA53" s="418"/>
      <c r="AB53" s="18"/>
      <c r="AC53" s="185"/>
      <c r="AD53" s="402"/>
    </row>
    <row r="54" spans="1:30" ht="15" customHeight="1">
      <c r="A54" s="452"/>
      <c r="B54" s="177"/>
      <c r="C54" s="183"/>
      <c r="D54" s="11"/>
      <c r="E54" s="12"/>
      <c r="F54" s="13"/>
      <c r="G54" s="66"/>
      <c r="H54" s="76">
        <f t="shared" si="40"/>
        <v>0</v>
      </c>
      <c r="I54" s="177"/>
      <c r="J54" s="31"/>
      <c r="K54" s="30"/>
      <c r="L54" s="38"/>
      <c r="M54" s="181"/>
      <c r="N54" s="30"/>
      <c r="O54" s="35"/>
      <c r="P54" s="18"/>
      <c r="Q54" s="19"/>
      <c r="R54" s="185"/>
      <c r="S54" s="397"/>
      <c r="T54" s="79"/>
      <c r="U54" s="79"/>
      <c r="V54" s="197"/>
      <c r="W54" s="80">
        <f t="shared" si="18"/>
        <v>0</v>
      </c>
      <c r="X54" s="177"/>
      <c r="Y54" s="177"/>
      <c r="Z54" s="419"/>
      <c r="AA54" s="418"/>
      <c r="AB54" s="18"/>
      <c r="AC54" s="185"/>
      <c r="AD54" s="402"/>
    </row>
    <row r="55" spans="1:30" ht="15" customHeight="1">
      <c r="A55" s="452"/>
      <c r="B55" s="26"/>
      <c r="C55" s="27"/>
      <c r="D55" s="28"/>
      <c r="E55" s="29"/>
      <c r="F55" s="13"/>
      <c r="G55" s="66"/>
      <c r="H55" s="15">
        <f t="shared" si="40"/>
        <v>0</v>
      </c>
      <c r="I55" s="177"/>
      <c r="J55" s="31"/>
      <c r="K55" s="30"/>
      <c r="L55" s="38"/>
      <c r="M55" s="181"/>
      <c r="N55" s="30"/>
      <c r="O55" s="35"/>
      <c r="P55" s="18"/>
      <c r="Q55" s="19"/>
      <c r="R55" s="185"/>
      <c r="S55" s="397"/>
      <c r="T55" s="79"/>
      <c r="U55" s="79"/>
      <c r="V55" s="197"/>
      <c r="W55" s="80">
        <f t="shared" si="18"/>
        <v>0</v>
      </c>
      <c r="X55" s="177"/>
      <c r="Y55" s="177"/>
      <c r="Z55" s="419"/>
      <c r="AA55" s="418"/>
      <c r="AB55" s="18"/>
      <c r="AC55" s="185"/>
      <c r="AD55" s="402"/>
    </row>
    <row r="56" spans="1:30" ht="15" customHeight="1">
      <c r="A56" s="452"/>
      <c r="B56" s="26"/>
      <c r="C56" s="27"/>
      <c r="D56" s="28"/>
      <c r="E56" s="29"/>
      <c r="F56" s="13"/>
      <c r="G56" s="66"/>
      <c r="H56" s="15">
        <f t="shared" si="40"/>
        <v>0</v>
      </c>
      <c r="I56" s="177"/>
      <c r="J56" s="31"/>
      <c r="K56" s="30"/>
      <c r="L56" s="38"/>
      <c r="M56" s="181"/>
      <c r="N56" s="30"/>
      <c r="O56" s="35"/>
      <c r="P56" s="18"/>
      <c r="Q56" s="19"/>
      <c r="R56" s="185"/>
      <c r="S56" s="397"/>
      <c r="T56" s="79"/>
      <c r="U56" s="79"/>
      <c r="V56" s="197"/>
      <c r="W56" s="80">
        <f t="shared" si="18"/>
        <v>0</v>
      </c>
      <c r="X56" s="177"/>
      <c r="Y56" s="177"/>
      <c r="Z56" s="405"/>
      <c r="AA56" s="405"/>
      <c r="AB56" s="18"/>
      <c r="AC56" s="185"/>
      <c r="AD56" s="402"/>
    </row>
    <row r="57" spans="1:30" ht="15" customHeight="1">
      <c r="A57" s="452"/>
      <c r="B57" s="26"/>
      <c r="C57" s="27"/>
      <c r="D57" s="28"/>
      <c r="E57" s="29"/>
      <c r="F57" s="13"/>
      <c r="G57" s="66"/>
      <c r="H57" s="15">
        <f t="shared" si="40"/>
        <v>0</v>
      </c>
      <c r="I57" s="177"/>
      <c r="J57" s="31"/>
      <c r="K57" s="30"/>
      <c r="L57" s="38"/>
      <c r="M57" s="181"/>
      <c r="N57" s="30"/>
      <c r="O57" s="35"/>
      <c r="P57" s="18"/>
      <c r="Q57" s="19"/>
      <c r="R57" s="185"/>
      <c r="S57" s="397"/>
      <c r="T57" s="79"/>
      <c r="U57" s="79"/>
      <c r="V57" s="197"/>
      <c r="W57" s="80">
        <f t="shared" si="18"/>
        <v>0</v>
      </c>
      <c r="X57" s="177"/>
      <c r="Y57" s="177"/>
      <c r="Z57" s="405"/>
      <c r="AA57" s="405"/>
      <c r="AB57" s="18"/>
      <c r="AC57" s="185"/>
      <c r="AD57" s="402"/>
    </row>
    <row r="58" spans="1:30" ht="15" customHeight="1" thickBot="1">
      <c r="A58" s="453"/>
      <c r="B58" s="165"/>
      <c r="C58" s="1" t="s">
        <v>38</v>
      </c>
      <c r="D58" s="410" t="s">
        <v>7</v>
      </c>
      <c r="E58" s="410"/>
      <c r="F58" s="114"/>
      <c r="G58" s="166"/>
      <c r="H58" s="116"/>
      <c r="I58" s="115"/>
      <c r="J58" s="118">
        <f t="shared" ref="J58:O58" si="49">AVERAGE(J49:J57)</f>
        <v>17</v>
      </c>
      <c r="K58" s="118">
        <f t="shared" si="49"/>
        <v>1553</v>
      </c>
      <c r="L58" s="115">
        <f t="shared" si="49"/>
        <v>92.029239766081872</v>
      </c>
      <c r="M58" s="118">
        <f t="shared" si="49"/>
        <v>16.8</v>
      </c>
      <c r="N58" s="118">
        <f t="shared" si="49"/>
        <v>1399.9768135366055</v>
      </c>
      <c r="O58" s="115">
        <f t="shared" si="49"/>
        <v>83.804858435248761</v>
      </c>
      <c r="P58" s="119">
        <f>M58-J58</f>
        <v>-0.19999999999999929</v>
      </c>
      <c r="Q58" s="120">
        <f>N58-K58</f>
        <v>-153.0231864633945</v>
      </c>
      <c r="R58" s="121">
        <f t="shared" ref="R58:R59" si="50">O58/L58</f>
        <v>0.91063295370321773</v>
      </c>
      <c r="S58" s="399"/>
      <c r="T58" s="167"/>
      <c r="U58" s="167"/>
      <c r="V58" s="195"/>
      <c r="W58" s="168"/>
      <c r="X58" s="124"/>
      <c r="Y58" s="124"/>
      <c r="Z58" s="391"/>
      <c r="AA58" s="391"/>
      <c r="AB58" s="119">
        <f t="shared" ref="AB58:AB63" si="51">N58-K58</f>
        <v>-153.0231864633945</v>
      </c>
      <c r="AC58" s="187">
        <f t="shared" ref="AC58:AC63" si="52">N58/K58</f>
        <v>0.90146607439575366</v>
      </c>
      <c r="AD58" s="404"/>
    </row>
    <row r="59" spans="1:30" ht="15" customHeight="1">
      <c r="A59" s="466" t="s">
        <v>57</v>
      </c>
      <c r="B59" s="199" t="str">
        <f>VLOOKUP(D59,廠價表!$C$1:$E$39,2,0)</f>
        <v>小吃、微波</v>
      </c>
      <c r="C59" s="102"/>
      <c r="D59" s="103" t="s">
        <v>125</v>
      </c>
      <c r="E59" s="104"/>
      <c r="F59" s="199">
        <f>VLOOKUP(D59,廠價表!$C$1:$E$39,3,0)</f>
        <v>26.99</v>
      </c>
      <c r="G59" s="188">
        <v>3276</v>
      </c>
      <c r="H59" s="106">
        <f t="shared" ref="H59:H68" si="53">F59*G59</f>
        <v>88419.239999999991</v>
      </c>
      <c r="I59" s="188"/>
      <c r="J59" s="108">
        <f>VLOOKUP(D59,產線配置圖!$A$2:$C$38,2,0)</f>
        <v>13</v>
      </c>
      <c r="K59" s="105">
        <f>VLOOKUP(D59,產線配置圖!$A$2:$C$38,3,0)</f>
        <v>1565</v>
      </c>
      <c r="L59" s="109">
        <f>K59/J59</f>
        <v>120.38461538461539</v>
      </c>
      <c r="M59" s="110">
        <v>13</v>
      </c>
      <c r="N59" s="105">
        <f t="shared" ref="N59:N61" si="54">G59/W59*60</f>
        <v>1434.7445255474452</v>
      </c>
      <c r="O59" s="109">
        <f t="shared" ref="O59:O61" si="55">N59/M59</f>
        <v>110.36496350364963</v>
      </c>
      <c r="P59" s="111">
        <f t="shared" ref="P59:P61" si="56">M59-J59</f>
        <v>0</v>
      </c>
      <c r="Q59" s="112">
        <f t="shared" ref="Q59:Q61" si="57">O59-L59</f>
        <v>-10.019651880965753</v>
      </c>
      <c r="R59" s="184">
        <f t="shared" si="50"/>
        <v>0.91676966488654643</v>
      </c>
      <c r="S59" s="396">
        <f>R69</f>
        <v>0.85306907079035932</v>
      </c>
      <c r="T59" s="169">
        <v>0.29166666666666669</v>
      </c>
      <c r="U59" s="169">
        <v>0.38680555555555557</v>
      </c>
      <c r="V59" s="188"/>
      <c r="W59" s="107">
        <f t="shared" si="18"/>
        <v>137</v>
      </c>
      <c r="X59" s="188"/>
      <c r="Y59" s="188"/>
      <c r="Z59" s="465" t="s">
        <v>258</v>
      </c>
      <c r="AA59" s="427"/>
      <c r="AB59" s="225">
        <f t="shared" si="51"/>
        <v>-130.25547445255484</v>
      </c>
      <c r="AC59" s="226">
        <f t="shared" si="52"/>
        <v>0.91676966488654643</v>
      </c>
      <c r="AD59" s="401">
        <f>AC69</f>
        <v>0.85470241935692837</v>
      </c>
    </row>
    <row r="60" spans="1:30" ht="15" customHeight="1">
      <c r="A60" s="467"/>
      <c r="B60" s="56" t="str">
        <f>VLOOKUP(D60,廠價表!$C$1:$E$39,2,0)</f>
        <v>小吃、微波</v>
      </c>
      <c r="C60" s="10"/>
      <c r="D60" s="242" t="s">
        <v>146</v>
      </c>
      <c r="E60" s="86"/>
      <c r="F60" s="56">
        <f>VLOOKUP(D60,廠價表!$C$1:$E$39,3,0)</f>
        <v>28.47</v>
      </c>
      <c r="G60" s="177">
        <v>650</v>
      </c>
      <c r="H60" s="15">
        <f t="shared" si="53"/>
        <v>18505.5</v>
      </c>
      <c r="I60" s="81"/>
      <c r="J60" s="16">
        <f>VLOOKUP(D60,產線配置圖!$A$2:$C$38,2,0)</f>
        <v>12</v>
      </c>
      <c r="K60" s="14">
        <f>VLOOKUP(D60,產線配置圖!$A$2:$C$38,3,0)</f>
        <v>1565</v>
      </c>
      <c r="L60" s="17">
        <f t="shared" ref="L60" si="58">K60/J60</f>
        <v>130.41666666666666</v>
      </c>
      <c r="M60" s="180">
        <v>12</v>
      </c>
      <c r="N60" s="14">
        <f t="shared" si="54"/>
        <v>1083.3333333333326</v>
      </c>
      <c r="O60" s="17">
        <f t="shared" si="55"/>
        <v>90.277777777777715</v>
      </c>
      <c r="P60" s="18">
        <f t="shared" si="56"/>
        <v>0</v>
      </c>
      <c r="Q60" s="19">
        <f t="shared" si="57"/>
        <v>-40.138888888888943</v>
      </c>
      <c r="R60" s="185">
        <f>O60/L60</f>
        <v>0.69222577209797609</v>
      </c>
      <c r="S60" s="470"/>
      <c r="T60" s="20">
        <v>0.39583333333333331</v>
      </c>
      <c r="U60" s="20">
        <v>0.42083333333333334</v>
      </c>
      <c r="V60" s="177">
        <f t="shared" ref="V60:V61" si="59">(T60-U59)*24*60</f>
        <v>12.999999999999954</v>
      </c>
      <c r="W60" s="90">
        <f t="shared" si="18"/>
        <v>36.000000000000028</v>
      </c>
      <c r="X60" s="193"/>
      <c r="Y60" s="193"/>
      <c r="Z60" s="405" t="s">
        <v>229</v>
      </c>
      <c r="AA60" s="405"/>
      <c r="AB60" s="227">
        <f t="shared" si="51"/>
        <v>-481.66666666666742</v>
      </c>
      <c r="AC60" s="228">
        <f t="shared" si="52"/>
        <v>0.69222577209797609</v>
      </c>
      <c r="AD60" s="473"/>
    </row>
    <row r="61" spans="1:30" ht="15" customHeight="1">
      <c r="A61" s="468"/>
      <c r="B61" s="56" t="str">
        <f>VLOOKUP(D61,廠價表!$C$1:$E$39,2,0)</f>
        <v>小吃、微波</v>
      </c>
      <c r="C61" s="10"/>
      <c r="D61" s="242" t="s">
        <v>135</v>
      </c>
      <c r="E61" s="86"/>
      <c r="F61" s="56">
        <f>VLOOKUP(D61,廠價表!$C$1:$E$39,3,0)</f>
        <v>28.26</v>
      </c>
      <c r="G61" s="177">
        <v>1993</v>
      </c>
      <c r="H61" s="15">
        <f t="shared" si="53"/>
        <v>56322.18</v>
      </c>
      <c r="I61" s="177"/>
      <c r="J61" s="16">
        <f>VLOOKUP(D61,產線配置圖!$A$2:$C$38,2,0)</f>
        <v>12</v>
      </c>
      <c r="K61" s="14">
        <f>VLOOKUP(D61,產線配置圖!$A$2:$C$38,3,0)</f>
        <v>1565</v>
      </c>
      <c r="L61" s="17">
        <f>K61/J61</f>
        <v>130.41666666666666</v>
      </c>
      <c r="M61" s="180">
        <v>12</v>
      </c>
      <c r="N61" s="14">
        <f t="shared" si="54"/>
        <v>1494.7500000000007</v>
      </c>
      <c r="O61" s="17">
        <f t="shared" si="55"/>
        <v>124.56250000000006</v>
      </c>
      <c r="P61" s="18">
        <f t="shared" si="56"/>
        <v>0</v>
      </c>
      <c r="Q61" s="19">
        <f t="shared" si="57"/>
        <v>-5.8541666666666003</v>
      </c>
      <c r="R61" s="185">
        <f t="shared" ref="R61" si="60">O61/L61</f>
        <v>0.95511182108626247</v>
      </c>
      <c r="S61" s="397"/>
      <c r="T61" s="198">
        <v>0.43055555555555558</v>
      </c>
      <c r="U61" s="198">
        <v>0.4861111111111111</v>
      </c>
      <c r="V61" s="177">
        <f t="shared" si="59"/>
        <v>14.00000000000003</v>
      </c>
      <c r="W61" s="88">
        <f t="shared" si="18"/>
        <v>79.999999999999957</v>
      </c>
      <c r="X61" s="22"/>
      <c r="Y61" s="22"/>
      <c r="Z61" s="405" t="s">
        <v>259</v>
      </c>
      <c r="AA61" s="405"/>
      <c r="AB61" s="51">
        <f t="shared" si="51"/>
        <v>-70.249999999999318</v>
      </c>
      <c r="AC61" s="52">
        <f t="shared" si="52"/>
        <v>0.95511182108626247</v>
      </c>
      <c r="AD61" s="402"/>
    </row>
    <row r="62" spans="1:30" ht="15" customHeight="1">
      <c r="A62" s="468"/>
      <c r="B62" s="56"/>
      <c r="C62" s="23"/>
      <c r="D62" s="242"/>
      <c r="E62" s="12"/>
      <c r="F62" s="56"/>
      <c r="G62" s="177"/>
      <c r="H62" s="15"/>
      <c r="I62" s="81"/>
      <c r="J62" s="16"/>
      <c r="K62" s="14"/>
      <c r="L62" s="17"/>
      <c r="M62" s="180"/>
      <c r="N62" s="14"/>
      <c r="O62" s="17"/>
      <c r="P62" s="18"/>
      <c r="Q62" s="19"/>
      <c r="R62" s="185"/>
      <c r="S62" s="397"/>
      <c r="T62" s="20"/>
      <c r="U62" s="20"/>
      <c r="V62" s="177"/>
      <c r="W62" s="90">
        <f t="shared" si="18"/>
        <v>0</v>
      </c>
      <c r="X62" s="22"/>
      <c r="Y62" s="22"/>
      <c r="Z62" s="405"/>
      <c r="AA62" s="405"/>
      <c r="AB62" s="51">
        <f t="shared" si="51"/>
        <v>0</v>
      </c>
      <c r="AC62" s="52" t="e">
        <f t="shared" si="52"/>
        <v>#DIV/0!</v>
      </c>
      <c r="AD62" s="402"/>
    </row>
    <row r="63" spans="1:30" ht="15" customHeight="1">
      <c r="A63" s="468"/>
      <c r="B63" s="56"/>
      <c r="C63" s="10"/>
      <c r="D63" s="242"/>
      <c r="E63" s="86"/>
      <c r="F63" s="56"/>
      <c r="G63" s="177"/>
      <c r="H63" s="15"/>
      <c r="I63" s="81"/>
      <c r="J63" s="16"/>
      <c r="K63" s="14"/>
      <c r="L63" s="17"/>
      <c r="M63" s="180"/>
      <c r="N63" s="14"/>
      <c r="O63" s="17"/>
      <c r="P63" s="18"/>
      <c r="Q63" s="19"/>
      <c r="R63" s="185"/>
      <c r="S63" s="397"/>
      <c r="T63" s="20"/>
      <c r="U63" s="20"/>
      <c r="V63" s="177"/>
      <c r="W63" s="90">
        <f t="shared" si="18"/>
        <v>0</v>
      </c>
      <c r="X63" s="84"/>
      <c r="Y63" s="84"/>
      <c r="Z63" s="405"/>
      <c r="AA63" s="405"/>
      <c r="AB63" s="51">
        <f t="shared" si="51"/>
        <v>0</v>
      </c>
      <c r="AC63" s="52" t="e">
        <f t="shared" si="52"/>
        <v>#DIV/0!</v>
      </c>
      <c r="AD63" s="402"/>
    </row>
    <row r="64" spans="1:30" ht="15" customHeight="1">
      <c r="A64" s="468"/>
      <c r="B64" s="56"/>
      <c r="C64" s="10"/>
      <c r="D64" s="242"/>
      <c r="E64" s="86"/>
      <c r="F64" s="56"/>
      <c r="G64" s="177"/>
      <c r="H64" s="15"/>
      <c r="I64" s="81"/>
      <c r="J64" s="16"/>
      <c r="K64" s="14"/>
      <c r="L64" s="17"/>
      <c r="M64" s="180"/>
      <c r="N64" s="14"/>
      <c r="O64" s="17"/>
      <c r="P64" s="18"/>
      <c r="Q64" s="19"/>
      <c r="R64" s="185"/>
      <c r="S64" s="397"/>
      <c r="T64" s="20"/>
      <c r="U64" s="20"/>
      <c r="V64" s="177"/>
      <c r="W64" s="182">
        <f t="shared" si="18"/>
        <v>0</v>
      </c>
      <c r="X64" s="84"/>
      <c r="Y64" s="84"/>
      <c r="Z64" s="419"/>
      <c r="AA64" s="418"/>
      <c r="AB64" s="18"/>
      <c r="AC64" s="55"/>
      <c r="AD64" s="402"/>
    </row>
    <row r="65" spans="1:32" ht="15" customHeight="1">
      <c r="A65" s="468"/>
      <c r="B65" s="177"/>
      <c r="C65" s="183"/>
      <c r="D65" s="11"/>
      <c r="E65" s="12"/>
      <c r="F65" s="13"/>
      <c r="G65" s="177"/>
      <c r="H65" s="15"/>
      <c r="I65" s="177"/>
      <c r="J65" s="16"/>
      <c r="K65" s="82"/>
      <c r="L65" s="83"/>
      <c r="M65" s="180"/>
      <c r="N65" s="14"/>
      <c r="O65" s="17"/>
      <c r="P65" s="18"/>
      <c r="Q65" s="19"/>
      <c r="R65" s="185"/>
      <c r="S65" s="397"/>
      <c r="T65" s="20"/>
      <c r="U65" s="20"/>
      <c r="V65" s="177"/>
      <c r="W65" s="182">
        <f t="shared" si="18"/>
        <v>0</v>
      </c>
      <c r="X65" s="84"/>
      <c r="Y65" s="84"/>
      <c r="Z65" s="419"/>
      <c r="AA65" s="418"/>
      <c r="AB65" s="18"/>
      <c r="AC65" s="55"/>
      <c r="AD65" s="402"/>
    </row>
    <row r="66" spans="1:32" ht="15" customHeight="1">
      <c r="A66" s="468"/>
      <c r="B66" s="26"/>
      <c r="C66" s="27"/>
      <c r="D66" s="28"/>
      <c r="E66" s="29"/>
      <c r="F66" s="13"/>
      <c r="G66" s="183"/>
      <c r="H66" s="15">
        <f t="shared" si="53"/>
        <v>0</v>
      </c>
      <c r="I66" s="85"/>
      <c r="J66" s="16"/>
      <c r="K66" s="14"/>
      <c r="L66" s="17"/>
      <c r="M66" s="21"/>
      <c r="N66" s="36"/>
      <c r="O66" s="38"/>
      <c r="P66" s="39"/>
      <c r="Q66" s="40"/>
      <c r="R66" s="68"/>
      <c r="S66" s="397"/>
      <c r="T66" s="20"/>
      <c r="U66" s="20"/>
      <c r="V66" s="177"/>
      <c r="W66" s="182">
        <f t="shared" si="18"/>
        <v>0</v>
      </c>
      <c r="X66" s="84"/>
      <c r="Y66" s="84"/>
      <c r="Z66" s="405"/>
      <c r="AA66" s="405"/>
      <c r="AB66" s="18"/>
      <c r="AC66" s="55"/>
      <c r="AD66" s="402"/>
    </row>
    <row r="67" spans="1:32" ht="15" customHeight="1">
      <c r="A67" s="468"/>
      <c r="B67" s="26"/>
      <c r="C67" s="27"/>
      <c r="D67" s="28"/>
      <c r="E67" s="29"/>
      <c r="F67" s="13"/>
      <c r="G67" s="177"/>
      <c r="H67" s="15">
        <f t="shared" si="53"/>
        <v>0</v>
      </c>
      <c r="I67" s="177"/>
      <c r="J67" s="16"/>
      <c r="K67" s="14"/>
      <c r="L67" s="17"/>
      <c r="M67" s="21"/>
      <c r="N67" s="36"/>
      <c r="O67" s="38"/>
      <c r="P67" s="39"/>
      <c r="Q67" s="40"/>
      <c r="R67" s="68"/>
      <c r="S67" s="397"/>
      <c r="T67" s="20"/>
      <c r="U67" s="20"/>
      <c r="V67" s="177"/>
      <c r="W67" s="182">
        <f t="shared" si="18"/>
        <v>0</v>
      </c>
      <c r="X67" s="84"/>
      <c r="Y67" s="84"/>
      <c r="Z67" s="419"/>
      <c r="AA67" s="418"/>
      <c r="AB67" s="18"/>
      <c r="AC67" s="55"/>
      <c r="AD67" s="402"/>
    </row>
    <row r="68" spans="1:32" ht="15" customHeight="1">
      <c r="A68" s="468"/>
      <c r="B68" s="26"/>
      <c r="C68" s="27"/>
      <c r="D68" s="28"/>
      <c r="E68" s="29"/>
      <c r="F68" s="13"/>
      <c r="G68" s="183"/>
      <c r="H68" s="15">
        <f t="shared" si="53"/>
        <v>0</v>
      </c>
      <c r="I68" s="85"/>
      <c r="J68" s="16"/>
      <c r="K68" s="260"/>
      <c r="L68" s="261"/>
      <c r="M68" s="21"/>
      <c r="N68" s="36"/>
      <c r="O68" s="38"/>
      <c r="P68" s="39"/>
      <c r="Q68" s="40"/>
      <c r="R68" s="68"/>
      <c r="S68" s="397"/>
      <c r="T68" s="20"/>
      <c r="U68" s="20"/>
      <c r="V68" s="177"/>
      <c r="W68" s="182">
        <f t="shared" si="18"/>
        <v>0</v>
      </c>
      <c r="X68" s="84"/>
      <c r="Y68" s="84"/>
      <c r="Z68" s="419" t="s">
        <v>240</v>
      </c>
      <c r="AA68" s="418"/>
      <c r="AB68" s="18"/>
      <c r="AC68" s="55"/>
      <c r="AD68" s="402"/>
    </row>
    <row r="69" spans="1:32" ht="15" customHeight="1" thickBot="1">
      <c r="A69" s="469"/>
      <c r="B69" s="165"/>
      <c r="C69" s="1" t="s">
        <v>39</v>
      </c>
      <c r="D69" s="410" t="s">
        <v>7</v>
      </c>
      <c r="E69" s="410"/>
      <c r="F69" s="114"/>
      <c r="G69" s="115"/>
      <c r="H69" s="116"/>
      <c r="I69" s="170"/>
      <c r="J69" s="166">
        <f t="shared" ref="J69:O69" si="61">AVERAGE(J59:J68)</f>
        <v>12.333333333333334</v>
      </c>
      <c r="K69" s="166">
        <f t="shared" si="61"/>
        <v>1565</v>
      </c>
      <c r="L69" s="171">
        <f t="shared" si="61"/>
        <v>127.07264957264958</v>
      </c>
      <c r="M69" s="166">
        <f t="shared" si="61"/>
        <v>12.333333333333334</v>
      </c>
      <c r="N69" s="166">
        <f t="shared" si="61"/>
        <v>1337.609286293593</v>
      </c>
      <c r="O69" s="171">
        <f t="shared" si="61"/>
        <v>108.40174709380913</v>
      </c>
      <c r="P69" s="172">
        <f>M69-J69</f>
        <v>0</v>
      </c>
      <c r="Q69" s="158">
        <f>N69-K69</f>
        <v>-227.39071370640704</v>
      </c>
      <c r="R69" s="121">
        <f>O69/L69</f>
        <v>0.85306907079035932</v>
      </c>
      <c r="S69" s="399"/>
      <c r="T69" s="122"/>
      <c r="U69" s="122"/>
      <c r="V69" s="195"/>
      <c r="W69" s="168"/>
      <c r="X69" s="124"/>
      <c r="Y69" s="124"/>
      <c r="Z69" s="405"/>
      <c r="AA69" s="405"/>
      <c r="AB69" s="119">
        <f>N69-K69</f>
        <v>-227.39071370640704</v>
      </c>
      <c r="AC69" s="187">
        <f>N69/K69</f>
        <v>0.85470241935692837</v>
      </c>
      <c r="AD69" s="404"/>
    </row>
    <row r="70" spans="1:32" ht="15" customHeight="1">
      <c r="A70" s="461" t="s">
        <v>58</v>
      </c>
      <c r="B70" s="199"/>
      <c r="C70" s="199"/>
      <c r="D70" s="103"/>
      <c r="E70" s="104"/>
      <c r="F70" s="199"/>
      <c r="G70" s="188"/>
      <c r="H70" s="106"/>
      <c r="I70" s="188"/>
      <c r="J70" s="108"/>
      <c r="K70" s="105"/>
      <c r="L70" s="109"/>
      <c r="M70" s="110"/>
      <c r="N70" s="105"/>
      <c r="O70" s="109"/>
      <c r="P70" s="111"/>
      <c r="Q70" s="112"/>
      <c r="R70" s="184"/>
      <c r="S70" s="396">
        <f>R79</f>
        <v>0</v>
      </c>
      <c r="T70" s="169"/>
      <c r="U70" s="169"/>
      <c r="V70" s="188"/>
      <c r="W70" s="107">
        <f t="shared" si="18"/>
        <v>0</v>
      </c>
      <c r="X70" s="296"/>
      <c r="Y70" s="296"/>
      <c r="Z70" s="465"/>
      <c r="AA70" s="427"/>
      <c r="AB70" s="225">
        <f t="shared" ref="AB70" si="62">N70-K70</f>
        <v>0</v>
      </c>
      <c r="AC70" s="226" t="e">
        <f t="shared" ref="AC70" si="63">N70/K70</f>
        <v>#DIV/0!</v>
      </c>
      <c r="AD70" s="401" t="e">
        <f>AC79</f>
        <v>#DIV/0!</v>
      </c>
    </row>
    <row r="71" spans="1:32" ht="15" customHeight="1">
      <c r="A71" s="462"/>
      <c r="B71" s="56"/>
      <c r="C71" s="10"/>
      <c r="D71" s="11"/>
      <c r="E71" s="86"/>
      <c r="F71" s="56"/>
      <c r="G71" s="66"/>
      <c r="H71" s="76"/>
      <c r="I71" s="193"/>
      <c r="J71" s="16"/>
      <c r="K71" s="14"/>
      <c r="L71" s="17"/>
      <c r="M71" s="180"/>
      <c r="N71" s="14"/>
      <c r="O71" s="17"/>
      <c r="P71" s="18"/>
      <c r="Q71" s="19"/>
      <c r="R71" s="185"/>
      <c r="S71" s="397"/>
      <c r="T71" s="20"/>
      <c r="U71" s="20"/>
      <c r="V71" s="177"/>
      <c r="W71" s="182">
        <f t="shared" si="18"/>
        <v>0</v>
      </c>
      <c r="X71" s="298"/>
      <c r="Y71" s="299"/>
      <c r="Z71" s="439"/>
      <c r="AA71" s="440"/>
      <c r="AB71" s="39"/>
      <c r="AC71" s="190"/>
      <c r="AD71" s="447"/>
    </row>
    <row r="72" spans="1:32" ht="15" customHeight="1">
      <c r="A72" s="462"/>
      <c r="B72" s="56"/>
      <c r="C72" s="10"/>
      <c r="D72" s="11"/>
      <c r="E72" s="86"/>
      <c r="F72" s="56"/>
      <c r="G72" s="66"/>
      <c r="H72" s="76"/>
      <c r="I72" s="193"/>
      <c r="J72" s="16"/>
      <c r="K72" s="14"/>
      <c r="L72" s="17"/>
      <c r="M72" s="180"/>
      <c r="N72" s="14"/>
      <c r="O72" s="17"/>
      <c r="P72" s="18"/>
      <c r="Q72" s="19"/>
      <c r="R72" s="185"/>
      <c r="S72" s="397"/>
      <c r="T72" s="20"/>
      <c r="U72" s="20"/>
      <c r="V72" s="177"/>
      <c r="W72" s="182">
        <f t="shared" si="18"/>
        <v>0</v>
      </c>
      <c r="X72" s="297"/>
      <c r="Y72" s="297"/>
      <c r="Z72" s="405"/>
      <c r="AA72" s="419"/>
      <c r="AB72" s="39"/>
      <c r="AC72" s="190"/>
      <c r="AD72" s="447"/>
    </row>
    <row r="73" spans="1:32" ht="15" customHeight="1">
      <c r="A73" s="462"/>
      <c r="B73" s="56"/>
      <c r="C73" s="23"/>
      <c r="D73" s="11"/>
      <c r="E73" s="12"/>
      <c r="F73" s="56"/>
      <c r="G73" s="66"/>
      <c r="H73" s="76"/>
      <c r="I73" s="193"/>
      <c r="J73" s="16"/>
      <c r="K73" s="14"/>
      <c r="L73" s="17"/>
      <c r="M73" s="180"/>
      <c r="N73" s="14"/>
      <c r="O73" s="17"/>
      <c r="P73" s="18"/>
      <c r="Q73" s="19"/>
      <c r="R73" s="185"/>
      <c r="S73" s="397"/>
      <c r="T73" s="20"/>
      <c r="U73" s="20"/>
      <c r="V73" s="177"/>
      <c r="W73" s="182">
        <f t="shared" si="18"/>
        <v>0</v>
      </c>
      <c r="X73" s="22"/>
      <c r="Y73" s="22"/>
      <c r="Z73" s="405"/>
      <c r="AA73" s="419"/>
      <c r="AB73" s="39"/>
      <c r="AC73" s="190"/>
      <c r="AD73" s="447"/>
    </row>
    <row r="74" spans="1:32" ht="15" customHeight="1">
      <c r="A74" s="462"/>
      <c r="B74" s="56"/>
      <c r="C74" s="249"/>
      <c r="D74" s="250"/>
      <c r="E74" s="251"/>
      <c r="F74" s="56"/>
      <c r="G74" s="238"/>
      <c r="H74" s="76">
        <f t="shared" ref="H74:H78" si="64">F74*G74</f>
        <v>0</v>
      </c>
      <c r="I74" s="81"/>
      <c r="J74" s="234"/>
      <c r="K74" s="36"/>
      <c r="L74" s="235"/>
      <c r="M74" s="21"/>
      <c r="N74" s="36"/>
      <c r="O74" s="38"/>
      <c r="P74" s="39"/>
      <c r="Q74" s="40"/>
      <c r="R74" s="190"/>
      <c r="S74" s="397"/>
      <c r="T74" s="20"/>
      <c r="U74" s="20"/>
      <c r="V74" s="177"/>
      <c r="W74" s="182">
        <f t="shared" si="18"/>
        <v>0</v>
      </c>
      <c r="X74" s="22"/>
      <c r="Y74" s="22"/>
      <c r="Z74" s="405"/>
      <c r="AA74" s="419"/>
      <c r="AB74" s="39"/>
      <c r="AC74" s="190"/>
      <c r="AD74" s="447"/>
    </row>
    <row r="75" spans="1:32" ht="15" customHeight="1">
      <c r="A75" s="462"/>
      <c r="B75" s="177"/>
      <c r="C75" s="183"/>
      <c r="D75" s="11"/>
      <c r="E75" s="12"/>
      <c r="F75" s="13"/>
      <c r="G75" s="177"/>
      <c r="H75" s="15">
        <f t="shared" si="64"/>
        <v>0</v>
      </c>
      <c r="I75" s="81"/>
      <c r="J75" s="87"/>
      <c r="K75" s="82"/>
      <c r="L75" s="83"/>
      <c r="M75" s="181"/>
      <c r="N75" s="82"/>
      <c r="O75" s="83"/>
      <c r="P75" s="73"/>
      <c r="Q75" s="74"/>
      <c r="R75" s="192"/>
      <c r="S75" s="397"/>
      <c r="T75" s="20"/>
      <c r="U75" s="20"/>
      <c r="V75" s="177"/>
      <c r="W75" s="88">
        <f t="shared" si="18"/>
        <v>0</v>
      </c>
      <c r="X75" s="89"/>
      <c r="Y75" s="89"/>
      <c r="Z75" s="406"/>
      <c r="AA75" s="406"/>
      <c r="AB75" s="306"/>
      <c r="AC75" s="307"/>
      <c r="AD75" s="402"/>
    </row>
    <row r="76" spans="1:32" ht="15" customHeight="1">
      <c r="A76" s="462"/>
      <c r="B76" s="26"/>
      <c r="C76" s="27"/>
      <c r="D76" s="28"/>
      <c r="E76" s="29"/>
      <c r="F76" s="13"/>
      <c r="G76" s="177"/>
      <c r="H76" s="15">
        <f t="shared" si="64"/>
        <v>0</v>
      </c>
      <c r="I76" s="81"/>
      <c r="J76" s="87"/>
      <c r="K76" s="82"/>
      <c r="L76" s="83"/>
      <c r="M76" s="181"/>
      <c r="N76" s="82"/>
      <c r="O76" s="83"/>
      <c r="P76" s="73"/>
      <c r="Q76" s="74"/>
      <c r="R76" s="192"/>
      <c r="S76" s="398"/>
      <c r="T76" s="20"/>
      <c r="U76" s="20"/>
      <c r="V76" s="177"/>
      <c r="W76" s="90">
        <f t="shared" si="18"/>
        <v>0</v>
      </c>
      <c r="X76" s="78"/>
      <c r="Y76" s="78"/>
      <c r="Z76" s="445"/>
      <c r="AA76" s="445"/>
      <c r="AB76" s="51"/>
      <c r="AC76" s="52"/>
      <c r="AD76" s="403"/>
    </row>
    <row r="77" spans="1:32" ht="15" customHeight="1">
      <c r="A77" s="462"/>
      <c r="B77" s="26"/>
      <c r="C77" s="27"/>
      <c r="D77" s="28"/>
      <c r="E77" s="29"/>
      <c r="F77" s="13"/>
      <c r="G77" s="177"/>
      <c r="H77" s="15">
        <f t="shared" si="64"/>
        <v>0</v>
      </c>
      <c r="I77" s="81"/>
      <c r="J77" s="87"/>
      <c r="K77" s="82"/>
      <c r="L77" s="83"/>
      <c r="M77" s="181"/>
      <c r="N77" s="82"/>
      <c r="O77" s="83"/>
      <c r="P77" s="73"/>
      <c r="Q77" s="74"/>
      <c r="R77" s="192"/>
      <c r="S77" s="398"/>
      <c r="T77" s="20"/>
      <c r="U77" s="20"/>
      <c r="V77" s="177"/>
      <c r="W77" s="182">
        <f t="shared" si="18"/>
        <v>0</v>
      </c>
      <c r="X77" s="84"/>
      <c r="Y77" s="84"/>
      <c r="Z77" s="405"/>
      <c r="AA77" s="405"/>
      <c r="AB77" s="18"/>
      <c r="AC77" s="55"/>
      <c r="AD77" s="403"/>
    </row>
    <row r="78" spans="1:32" ht="15" customHeight="1">
      <c r="A78" s="462"/>
      <c r="B78" s="26"/>
      <c r="C78" s="27"/>
      <c r="D78" s="28"/>
      <c r="E78" s="29"/>
      <c r="F78" s="13"/>
      <c r="G78" s="177"/>
      <c r="H78" s="15">
        <f t="shared" si="64"/>
        <v>0</v>
      </c>
      <c r="I78" s="85"/>
      <c r="J78" s="37"/>
      <c r="K78" s="36"/>
      <c r="L78" s="83"/>
      <c r="M78" s="21"/>
      <c r="N78" s="36"/>
      <c r="O78" s="38"/>
      <c r="P78" s="39"/>
      <c r="Q78" s="40"/>
      <c r="R78" s="190"/>
      <c r="S78" s="464"/>
      <c r="T78" s="32"/>
      <c r="U78" s="32"/>
      <c r="V78" s="178"/>
      <c r="W78" s="182">
        <f t="shared" si="18"/>
        <v>0</v>
      </c>
      <c r="X78" s="91"/>
      <c r="Y78" s="91"/>
      <c r="Z78" s="405"/>
      <c r="AA78" s="405"/>
      <c r="AB78" s="34"/>
      <c r="AC78" s="57"/>
      <c r="AD78" s="403"/>
    </row>
    <row r="79" spans="1:32" ht="15" customHeight="1" thickBot="1">
      <c r="A79" s="463"/>
      <c r="B79" s="165"/>
      <c r="C79" s="1" t="s">
        <v>40</v>
      </c>
      <c r="D79" s="410" t="s">
        <v>7</v>
      </c>
      <c r="E79" s="410"/>
      <c r="F79" s="114"/>
      <c r="G79" s="115"/>
      <c r="H79" s="173"/>
      <c r="I79" s="171"/>
      <c r="J79" s="166" t="e">
        <f t="shared" ref="J79" si="65">AVERAGE(J70:J78)</f>
        <v>#DIV/0!</v>
      </c>
      <c r="K79" s="166"/>
      <c r="L79" s="171"/>
      <c r="M79" s="166"/>
      <c r="N79" s="166"/>
      <c r="O79" s="171"/>
      <c r="P79" s="172"/>
      <c r="Q79" s="158"/>
      <c r="R79" s="159"/>
      <c r="S79" s="399"/>
      <c r="T79" s="122"/>
      <c r="U79" s="122"/>
      <c r="V79" s="195"/>
      <c r="W79" s="168"/>
      <c r="X79" s="124"/>
      <c r="Y79" s="124"/>
      <c r="Z79" s="391"/>
      <c r="AA79" s="391"/>
      <c r="AB79" s="119">
        <f>N79-K79</f>
        <v>0</v>
      </c>
      <c r="AC79" s="187" t="e">
        <f>N79/K79</f>
        <v>#DIV/0!</v>
      </c>
      <c r="AD79" s="404"/>
    </row>
    <row r="80" spans="1:32">
      <c r="AF80" s="93" t="s">
        <v>41</v>
      </c>
    </row>
    <row r="81" spans="4:32">
      <c r="AF81" s="93" t="s">
        <v>42</v>
      </c>
    </row>
    <row r="82" spans="4:32">
      <c r="AF82" s="93" t="s">
        <v>43</v>
      </c>
    </row>
    <row r="83" spans="4:32">
      <c r="D83" s="220"/>
      <c r="W83" s="6"/>
      <c r="AF83" s="93" t="s">
        <v>44</v>
      </c>
    </row>
    <row r="84" spans="4:32">
      <c r="D84" s="224"/>
      <c r="W84" s="6"/>
      <c r="AF84" s="93" t="s">
        <v>45</v>
      </c>
    </row>
    <row r="85" spans="4:32">
      <c r="D85" s="224"/>
      <c r="W85" s="6"/>
      <c r="AF85" s="93" t="s">
        <v>46</v>
      </c>
    </row>
    <row r="86" spans="4:32">
      <c r="D86" s="155"/>
      <c r="W86" s="6"/>
      <c r="AF86" s="93" t="s">
        <v>47</v>
      </c>
    </row>
    <row r="87" spans="4:32">
      <c r="W87" s="6"/>
      <c r="AF87" s="93" t="s">
        <v>48</v>
      </c>
    </row>
    <row r="88" spans="4:32">
      <c r="W88" s="6"/>
      <c r="AF88" s="93" t="s">
        <v>49</v>
      </c>
    </row>
    <row r="89" spans="4:32">
      <c r="W89" s="6"/>
      <c r="AF89" s="93" t="s">
        <v>50</v>
      </c>
    </row>
    <row r="90" spans="4:32">
      <c r="W90" s="6"/>
      <c r="AF90" s="93" t="s">
        <v>51</v>
      </c>
    </row>
    <row r="91" spans="4:32">
      <c r="W91" s="6"/>
      <c r="AF91" s="93" t="s">
        <v>52</v>
      </c>
    </row>
    <row r="92" spans="4:32">
      <c r="W92" s="6"/>
      <c r="AF92" s="93" t="s">
        <v>53</v>
      </c>
    </row>
  </sheetData>
  <autoFilter ref="D1:D92" xr:uid="{EF5AD393-5A39-4C0E-A7B0-465235F2AB14}"/>
  <mergeCells count="135"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  <mergeCell ref="D69:E69"/>
    <mergeCell ref="Z69:AA69"/>
    <mergeCell ref="A70:A79"/>
    <mergeCell ref="S70:S79"/>
    <mergeCell ref="Z70:AA70"/>
    <mergeCell ref="D79:E79"/>
    <mergeCell ref="A59:A69"/>
    <mergeCell ref="S59:S69"/>
    <mergeCell ref="Z59:AA59"/>
    <mergeCell ref="AD59:AD69"/>
    <mergeCell ref="Z60:AA60"/>
    <mergeCell ref="Z61:AA61"/>
    <mergeCell ref="Z62:AA62"/>
    <mergeCell ref="Z63:AA63"/>
    <mergeCell ref="Z64:AA64"/>
    <mergeCell ref="Z65:AA65"/>
    <mergeCell ref="AD49:AD58"/>
    <mergeCell ref="Z50:AA50"/>
    <mergeCell ref="Z51:AA51"/>
    <mergeCell ref="Z52:AA52"/>
    <mergeCell ref="Z53:AA53"/>
    <mergeCell ref="Z54:AA54"/>
    <mergeCell ref="Z55:AA55"/>
    <mergeCell ref="Z56:AA56"/>
    <mergeCell ref="Z57:AA57"/>
    <mergeCell ref="Z58:AA58"/>
    <mergeCell ref="Z66:AA66"/>
    <mergeCell ref="Z67:AA67"/>
    <mergeCell ref="Z68:AA68"/>
    <mergeCell ref="D48:E48"/>
    <mergeCell ref="Z48:AA48"/>
    <mergeCell ref="A49:A58"/>
    <mergeCell ref="S49:S58"/>
    <mergeCell ref="Z49:AA49"/>
    <mergeCell ref="D58:E58"/>
    <mergeCell ref="A38:A48"/>
    <mergeCell ref="S38:S48"/>
    <mergeCell ref="Z38:AA38"/>
    <mergeCell ref="AD38:AD48"/>
    <mergeCell ref="Z39:AA39"/>
    <mergeCell ref="Z40:AA40"/>
    <mergeCell ref="Z41:AA41"/>
    <mergeCell ref="Z42:AA42"/>
    <mergeCell ref="Z43:AA43"/>
    <mergeCell ref="Z44:AA44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Z45:AA45"/>
    <mergeCell ref="Z46:AA46"/>
    <mergeCell ref="Z47:AA47"/>
    <mergeCell ref="D26:E26"/>
    <mergeCell ref="Z26:AA26"/>
    <mergeCell ref="A27:A37"/>
    <mergeCell ref="S27:S37"/>
    <mergeCell ref="Z27:AA27"/>
    <mergeCell ref="D37:E37"/>
    <mergeCell ref="Z37:AA37"/>
    <mergeCell ref="A16:A26"/>
    <mergeCell ref="S16:S26"/>
    <mergeCell ref="Z16:AA16"/>
    <mergeCell ref="AD16:AD26"/>
    <mergeCell ref="Z17:AA17"/>
    <mergeCell ref="Z18:AA18"/>
    <mergeCell ref="Z19:AA19"/>
    <mergeCell ref="Z20:AA20"/>
    <mergeCell ref="Z21:AA21"/>
    <mergeCell ref="Z22:AA22"/>
    <mergeCell ref="Z10:AA10"/>
    <mergeCell ref="Z11:AA11"/>
    <mergeCell ref="Z12:AA12"/>
    <mergeCell ref="Z13:AA13"/>
    <mergeCell ref="Z14:AA14"/>
    <mergeCell ref="Z23:AA23"/>
    <mergeCell ref="Z24:AA24"/>
    <mergeCell ref="Z25:AA25"/>
    <mergeCell ref="Z15:AA15"/>
    <mergeCell ref="AC3:AC4"/>
    <mergeCell ref="AD3:AD4"/>
    <mergeCell ref="A5:A15"/>
    <mergeCell ref="S5:S15"/>
    <mergeCell ref="Z5:AA5"/>
    <mergeCell ref="AD5:AD15"/>
    <mergeCell ref="Z6:AA6"/>
    <mergeCell ref="Z7:AA7"/>
    <mergeCell ref="Z8:AA8"/>
    <mergeCell ref="Z9:AA9"/>
    <mergeCell ref="T3:U3"/>
    <mergeCell ref="V3:V4"/>
    <mergeCell ref="W3:W4"/>
    <mergeCell ref="X3:Y3"/>
    <mergeCell ref="Z3:AA4"/>
    <mergeCell ref="AB3:AB4"/>
    <mergeCell ref="N3:N4"/>
    <mergeCell ref="O3:O4"/>
    <mergeCell ref="P3:P4"/>
    <mergeCell ref="Q3:Q4"/>
    <mergeCell ref="R3:R4"/>
    <mergeCell ref="S3:S4"/>
    <mergeCell ref="A2:B2"/>
    <mergeCell ref="A3:A4"/>
    <mergeCell ref="B3:B4"/>
    <mergeCell ref="D3:E4"/>
    <mergeCell ref="F3:F4"/>
    <mergeCell ref="G3:G4"/>
    <mergeCell ref="J1:L2"/>
    <mergeCell ref="M1:O2"/>
    <mergeCell ref="D15:E15"/>
    <mergeCell ref="P1:S2"/>
    <mergeCell ref="T1:Y2"/>
    <mergeCell ref="Z1:AA2"/>
    <mergeCell ref="AB1:AD2"/>
    <mergeCell ref="H3:H4"/>
    <mergeCell ref="I3:I4"/>
    <mergeCell ref="J3:J4"/>
    <mergeCell ref="K3:K4"/>
    <mergeCell ref="L3:L4"/>
    <mergeCell ref="M3:M4"/>
  </mergeCells>
  <phoneticPr fontId="2" type="noConversion"/>
  <conditionalFormatting sqref="P5:P79">
    <cfRule type="cellIs" dxfId="18" priority="1" operator="greaterThan">
      <formula>0</formula>
    </cfRule>
  </conditionalFormatting>
  <conditionalFormatting sqref="Q5:Q79 AB5:AB79">
    <cfRule type="cellIs" dxfId="17" priority="4" operator="lessThan">
      <formula>0</formula>
    </cfRule>
  </conditionalFormatting>
  <conditionalFormatting sqref="R5:R79 AC5:AC79">
    <cfRule type="cellIs" dxfId="16" priority="2" operator="greaterThan">
      <formula>1</formula>
    </cfRule>
    <cfRule type="cellIs" dxfId="15" priority="3" operator="lessThan">
      <formula>0.8</formula>
    </cfRule>
  </conditionalFormatting>
  <conditionalFormatting sqref="S5:S10 S37:S62 AD59:AD62 S69:S76 AD69:AD76">
    <cfRule type="cellIs" dxfId="14" priority="7" operator="lessThan">
      <formula>0.8</formula>
    </cfRule>
  </conditionalFormatting>
  <conditionalFormatting sqref="S19:S25 AD19:AD25">
    <cfRule type="cellIs" dxfId="13" priority="6" operator="lessThan">
      <formula>0.8</formula>
    </cfRule>
  </conditionalFormatting>
  <conditionalFormatting sqref="S79">
    <cfRule type="cellIs" dxfId="12" priority="5" operator="lessThan">
      <formula>0.8</formula>
    </cfRule>
  </conditionalFormatting>
  <conditionalFormatting sqref="AD5:AD8 S15:S16 AD15:AD16 AD49 AD79">
    <cfRule type="cellIs" dxfId="11" priority="9" operator="lessThan">
      <formula>0.8</formula>
    </cfRule>
  </conditionalFormatting>
  <conditionalFormatting sqref="AD27 S27:S28">
    <cfRule type="cellIs" dxfId="1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A97EF38-28B7-4793-BF95-15C7DA959E21}">
          <x14:formula1>
            <xm:f>廠價表!$C$2:$C$37</xm:f>
          </x14:formula1>
          <xm:sqref>D1:D1048576</xm:sqref>
        </x14:dataValidation>
      </x14:dataValidations>
    </ext>
  </extLst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3FAF7-A1F2-43D8-B0DD-64829639E8E8}">
  <sheetPr>
    <pageSetUpPr fitToPage="1"/>
  </sheetPr>
  <dimension ref="B1:O22"/>
  <sheetViews>
    <sheetView zoomScale="70" zoomScaleNormal="70" workbookViewId="0">
      <selection activeCell="G19" sqref="G19"/>
    </sheetView>
  </sheetViews>
  <sheetFormatPr defaultColWidth="8.125" defaultRowHeight="15.75"/>
  <cols>
    <col min="1" max="1" width="8.125" style="203"/>
    <col min="2" max="2" width="7.125" style="203" customWidth="1"/>
    <col min="3" max="3" width="7.125" style="218" customWidth="1"/>
    <col min="4" max="17" width="14.125" style="203" customWidth="1"/>
    <col min="18" max="21" width="9.625" style="203" customWidth="1"/>
    <col min="22" max="22" width="11.125" style="203" customWidth="1"/>
    <col min="23" max="23" width="11.5" style="203" customWidth="1"/>
    <col min="24" max="16384" width="8.125" style="203"/>
  </cols>
  <sheetData>
    <row r="1" spans="2:15" ht="27.75" customHeight="1">
      <c r="B1" s="345" t="s">
        <v>73</v>
      </c>
      <c r="C1" s="345"/>
      <c r="D1" s="345"/>
      <c r="E1" s="345"/>
      <c r="F1" s="345"/>
      <c r="G1" s="345"/>
      <c r="H1" s="345"/>
      <c r="I1" s="345"/>
      <c r="J1" s="345"/>
      <c r="K1" s="345"/>
      <c r="L1" s="202"/>
      <c r="M1" s="202"/>
    </row>
    <row r="2" spans="2:15" ht="27.75" customHeight="1"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202"/>
      <c r="M2" s="202"/>
    </row>
    <row r="3" spans="2:15" ht="46.5" customHeight="1">
      <c r="B3" s="342" t="s">
        <v>74</v>
      </c>
      <c r="C3" s="342"/>
      <c r="D3" s="346">
        <v>45991</v>
      </c>
      <c r="E3" s="346"/>
      <c r="F3" s="204" t="s">
        <v>75</v>
      </c>
      <c r="G3" s="347">
        <f>'1130'!E1</f>
        <v>51908</v>
      </c>
      <c r="H3" s="347"/>
      <c r="I3" s="204" t="s">
        <v>76</v>
      </c>
      <c r="J3" s="348">
        <f>'1130'!G1</f>
        <v>2521892.83</v>
      </c>
      <c r="K3" s="348"/>
      <c r="L3" s="205"/>
    </row>
    <row r="4" spans="2:15" ht="24" customHeight="1">
      <c r="B4" s="342" t="s">
        <v>77</v>
      </c>
      <c r="C4" s="342"/>
      <c r="D4" s="343">
        <v>3</v>
      </c>
      <c r="E4" s="343"/>
      <c r="F4" s="344" t="s">
        <v>78</v>
      </c>
      <c r="G4" s="344"/>
      <c r="H4" s="344" t="s">
        <v>79</v>
      </c>
      <c r="I4" s="344"/>
      <c r="J4" s="343" t="s">
        <v>80</v>
      </c>
      <c r="K4" s="344"/>
      <c r="L4" s="206"/>
    </row>
    <row r="5" spans="2:15" ht="24" customHeight="1">
      <c r="B5" s="342" t="s">
        <v>81</v>
      </c>
      <c r="C5" s="342"/>
      <c r="D5" s="343" t="s">
        <v>82</v>
      </c>
      <c r="E5" s="343"/>
      <c r="F5" s="343" t="s">
        <v>83</v>
      </c>
      <c r="G5" s="343"/>
      <c r="H5" s="369" t="s">
        <v>62</v>
      </c>
      <c r="I5" s="369"/>
      <c r="J5" s="341" t="s">
        <v>84</v>
      </c>
      <c r="K5" s="341"/>
      <c r="L5" s="207"/>
    </row>
    <row r="6" spans="2:15" ht="39.6" customHeight="1">
      <c r="B6" s="342"/>
      <c r="C6" s="342"/>
      <c r="D6" s="342" t="s">
        <v>85</v>
      </c>
      <c r="E6" s="342"/>
      <c r="F6" s="356">
        <f>AVERAGE(D13:J13)</f>
        <v>116.28867352676563</v>
      </c>
      <c r="G6" s="356"/>
      <c r="H6" s="349">
        <f>AVERAGE(D13:H13)</f>
        <v>114.13187831758884</v>
      </c>
      <c r="I6" s="349"/>
      <c r="J6" s="349">
        <f>AVERAGE(I13:J13)</f>
        <v>127.07264957264958</v>
      </c>
      <c r="K6" s="349"/>
      <c r="L6" s="207"/>
    </row>
    <row r="7" spans="2:15" s="208" customFormat="1" ht="39.6" customHeight="1">
      <c r="B7" s="342"/>
      <c r="C7" s="342"/>
      <c r="D7" s="350" t="s">
        <v>86</v>
      </c>
      <c r="E7" s="350"/>
      <c r="F7" s="351">
        <f>AVERAGE(D14:J14)</f>
        <v>104.31236082150815</v>
      </c>
      <c r="G7" s="351"/>
      <c r="H7" s="352">
        <f>AVERAGE(D14:H14)</f>
        <v>103.25614904292524</v>
      </c>
      <c r="I7" s="352"/>
      <c r="J7" s="352">
        <f>AVERAGE(I14:J14)</f>
        <v>109.59341971442269</v>
      </c>
      <c r="K7" s="352"/>
    </row>
    <row r="8" spans="2:15" s="208" customFormat="1" ht="39.6" customHeight="1">
      <c r="B8" s="342"/>
      <c r="C8" s="342"/>
      <c r="D8" s="350" t="s">
        <v>87</v>
      </c>
      <c r="E8" s="350"/>
      <c r="F8" s="353">
        <f>AVERAGE(D15:J15)</f>
        <v>0.89461928675621982</v>
      </c>
      <c r="G8" s="353"/>
      <c r="H8" s="353">
        <f>AVERAGE(D15:H15)</f>
        <v>0.90105375306542645</v>
      </c>
      <c r="I8" s="353"/>
      <c r="J8" s="353">
        <f>AVERAGE(I15:J15)</f>
        <v>0.86244695521018699</v>
      </c>
      <c r="K8" s="353"/>
      <c r="L8" s="209" t="s">
        <v>88</v>
      </c>
    </row>
    <row r="9" spans="2:15" ht="25.5" customHeight="1">
      <c r="B9" s="207"/>
      <c r="C9" s="207"/>
      <c r="D9" s="207"/>
      <c r="E9" s="207"/>
      <c r="F9" s="207"/>
      <c r="G9" s="207"/>
      <c r="H9" s="210"/>
      <c r="I9" s="211"/>
      <c r="J9" s="211"/>
      <c r="K9" s="211"/>
      <c r="L9" s="211"/>
      <c r="M9" s="211"/>
      <c r="N9" s="211"/>
      <c r="O9" s="207"/>
    </row>
    <row r="10" spans="2:15" ht="30" customHeight="1">
      <c r="B10" s="354" t="s">
        <v>0</v>
      </c>
      <c r="C10" s="355"/>
      <c r="D10" s="357" t="s">
        <v>89</v>
      </c>
      <c r="E10" s="358"/>
      <c r="F10" s="358"/>
      <c r="G10" s="358"/>
      <c r="H10" s="358"/>
      <c r="I10" s="358"/>
      <c r="J10" s="359"/>
    </row>
    <row r="11" spans="2:15" ht="17.25" customHeight="1">
      <c r="B11" s="360" t="s">
        <v>90</v>
      </c>
      <c r="C11" s="361"/>
      <c r="D11" s="212">
        <v>1</v>
      </c>
      <c r="E11" s="212">
        <v>2</v>
      </c>
      <c r="F11" s="212">
        <v>3</v>
      </c>
      <c r="G11" s="212">
        <v>4</v>
      </c>
      <c r="H11" s="212">
        <v>5</v>
      </c>
      <c r="I11" s="212">
        <v>6</v>
      </c>
      <c r="J11" s="212">
        <v>7</v>
      </c>
    </row>
    <row r="12" spans="2:15" ht="33.950000000000003" customHeight="1">
      <c r="B12" s="362"/>
      <c r="C12" s="363"/>
      <c r="D12" s="213" t="s">
        <v>91</v>
      </c>
      <c r="E12" s="213" t="s">
        <v>92</v>
      </c>
      <c r="F12" s="213" t="s">
        <v>93</v>
      </c>
      <c r="G12" s="213" t="s">
        <v>94</v>
      </c>
      <c r="H12" s="213" t="s">
        <v>95</v>
      </c>
      <c r="I12" s="213" t="s">
        <v>96</v>
      </c>
      <c r="J12" s="213" t="s">
        <v>232</v>
      </c>
    </row>
    <row r="13" spans="2:15" ht="39.950000000000003" customHeight="1">
      <c r="B13" s="364" t="s">
        <v>1</v>
      </c>
      <c r="C13" s="214" t="s">
        <v>98</v>
      </c>
      <c r="D13" s="215">
        <f>VALUE('1130'!L15)</f>
        <v>143.90950226244343</v>
      </c>
      <c r="E13" s="215">
        <f>VALUE('1130'!L26)</f>
        <v>151.63384615384615</v>
      </c>
      <c r="F13" s="215">
        <f>VALUE('1130'!L37)</f>
        <v>92.250816993464056</v>
      </c>
      <c r="G13" s="215">
        <f>VALUE('1130'!L48)</f>
        <v>94.813970588235293</v>
      </c>
      <c r="H13" s="215">
        <f>VALUE('1130'!L58)</f>
        <v>88.051255589955275</v>
      </c>
      <c r="I13" s="215">
        <f>VALUE('1130'!L69)</f>
        <v>127.07264957264958</v>
      </c>
      <c r="J13" s="215"/>
    </row>
    <row r="14" spans="2:15" ht="39.950000000000003" customHeight="1">
      <c r="B14" s="365"/>
      <c r="C14" s="214" t="s">
        <v>99</v>
      </c>
      <c r="D14" s="215">
        <f>VALUE('1130'!O15)</f>
        <v>134.60050988678412</v>
      </c>
      <c r="E14" s="215">
        <f>VALUE('1130'!O26)</f>
        <v>138.58328433622552</v>
      </c>
      <c r="F14" s="215">
        <f>VALUE('1130'!O37)</f>
        <v>80.356188690637936</v>
      </c>
      <c r="G14" s="215">
        <f>VALUE('1130'!O48)</f>
        <v>78.131880341880276</v>
      </c>
      <c r="H14" s="215">
        <f>VALUE('1130'!O58)</f>
        <v>84.608881959098397</v>
      </c>
      <c r="I14" s="215">
        <f>VALUE('1130'!O69)</f>
        <v>109.59341971442269</v>
      </c>
      <c r="J14" s="215"/>
    </row>
    <row r="15" spans="2:15" ht="39.950000000000003" customHeight="1">
      <c r="B15" s="366"/>
      <c r="C15" s="212" t="s">
        <v>100</v>
      </c>
      <c r="D15" s="233">
        <f>D14/D13</f>
        <v>0.93531356700349944</v>
      </c>
      <c r="E15" s="233">
        <f t="shared" ref="E15:I15" si="0">E14/E13</f>
        <v>0.91393371500727039</v>
      </c>
      <c r="F15" s="233">
        <f t="shared" si="0"/>
        <v>0.87106208171935373</v>
      </c>
      <c r="G15" s="233">
        <f t="shared" si="0"/>
        <v>0.82405451282276576</v>
      </c>
      <c r="H15" s="233">
        <f t="shared" si="0"/>
        <v>0.96090488877424274</v>
      </c>
      <c r="I15" s="233">
        <f t="shared" si="0"/>
        <v>0.86244695521018699</v>
      </c>
      <c r="J15" s="233"/>
    </row>
    <row r="16" spans="2:15" ht="17.25" customHeight="1">
      <c r="B16" s="367" t="s">
        <v>101</v>
      </c>
      <c r="C16" s="212" t="s">
        <v>102</v>
      </c>
      <c r="D16" s="95">
        <f>'1130'!T5</f>
        <v>0.2902777777777778</v>
      </c>
      <c r="E16" s="95">
        <f>'1130'!T16</f>
        <v>0.2902777777777778</v>
      </c>
      <c r="F16" s="95">
        <f>'1130'!T27</f>
        <v>0.28888888888888886</v>
      </c>
      <c r="G16" s="95">
        <f>'1130'!T38</f>
        <v>0.33194444444444443</v>
      </c>
      <c r="H16" s="95">
        <f>'1130'!T49</f>
        <v>0.2902777777777778</v>
      </c>
      <c r="I16" s="95">
        <f>'1130'!T59</f>
        <v>0.2902777777777778</v>
      </c>
      <c r="J16" s="272"/>
    </row>
    <row r="17" spans="2:10" ht="17.25" customHeight="1">
      <c r="B17" s="368"/>
      <c r="C17" s="212" t="s">
        <v>103</v>
      </c>
      <c r="D17" s="95">
        <v>0.6166666666666667</v>
      </c>
      <c r="E17" s="41">
        <v>0.63749999999999996</v>
      </c>
      <c r="F17" s="59">
        <v>0.63263888888888886</v>
      </c>
      <c r="G17" s="59">
        <v>0.61805555555555558</v>
      </c>
      <c r="H17" s="79">
        <v>0.61458333333333337</v>
      </c>
      <c r="I17" s="198">
        <v>0.52083333333333337</v>
      </c>
      <c r="J17" s="20"/>
    </row>
    <row r="18" spans="2:10" ht="17.25" customHeight="1">
      <c r="B18" s="354" t="s">
        <v>104</v>
      </c>
      <c r="C18" s="355"/>
      <c r="D18" s="216">
        <f>VALUE('1130'!M15)</f>
        <v>13.8</v>
      </c>
      <c r="E18" s="216">
        <f>VALUE('1130'!M26)</f>
        <v>13</v>
      </c>
      <c r="F18" s="216">
        <f>VALUE('1130'!M37)</f>
        <v>16.5</v>
      </c>
      <c r="G18" s="216">
        <f>VALUE('1130'!M48)</f>
        <v>14.5</v>
      </c>
      <c r="H18" s="216">
        <f>VALUE('1130'!M58)</f>
        <v>18.25</v>
      </c>
      <c r="I18" s="216">
        <f>VALUE('1130'!M69)</f>
        <v>12.333333333333334</v>
      </c>
      <c r="J18" s="216"/>
    </row>
    <row r="19" spans="2:10" ht="17.25" customHeight="1">
      <c r="B19" s="354" t="s">
        <v>105</v>
      </c>
      <c r="C19" s="355"/>
      <c r="D19" s="213" t="s">
        <v>106</v>
      </c>
      <c r="E19" s="213" t="s">
        <v>106</v>
      </c>
      <c r="F19" s="213" t="s">
        <v>107</v>
      </c>
      <c r="G19" s="213" t="s">
        <v>107</v>
      </c>
      <c r="H19" s="213" t="s">
        <v>107</v>
      </c>
      <c r="I19" s="213" t="s">
        <v>108</v>
      </c>
      <c r="J19" s="213"/>
    </row>
    <row r="20" spans="2:10" ht="17.25" customHeight="1">
      <c r="B20" s="354" t="s">
        <v>110</v>
      </c>
      <c r="C20" s="355"/>
      <c r="D20" s="213"/>
      <c r="E20" s="213"/>
      <c r="F20" s="213"/>
      <c r="G20" s="217"/>
      <c r="H20" s="213" t="s">
        <v>109</v>
      </c>
      <c r="I20" s="213"/>
      <c r="J20" s="213"/>
    </row>
    <row r="21" spans="2:10" ht="17.25" customHeight="1">
      <c r="B21" s="354" t="s">
        <v>111</v>
      </c>
      <c r="C21" s="355"/>
      <c r="D21" s="273"/>
      <c r="E21" s="273"/>
      <c r="F21" s="273"/>
      <c r="G21" s="273"/>
      <c r="H21" s="273"/>
      <c r="I21" s="273"/>
      <c r="J21" s="273"/>
    </row>
    <row r="22" spans="2:10">
      <c r="B22" s="370"/>
      <c r="C22" s="370"/>
    </row>
  </sheetData>
  <mergeCells count="37">
    <mergeCell ref="B18:C18"/>
    <mergeCell ref="B19:C19"/>
    <mergeCell ref="B20:C20"/>
    <mergeCell ref="B21:C21"/>
    <mergeCell ref="B22:C22"/>
    <mergeCell ref="J8:K8"/>
    <mergeCell ref="D10:J10"/>
    <mergeCell ref="B11:C12"/>
    <mergeCell ref="B13:B15"/>
    <mergeCell ref="B16:B17"/>
    <mergeCell ref="B10:C10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F7:G7"/>
    <mergeCell ref="H7:I7"/>
    <mergeCell ref="J7:K7"/>
    <mergeCell ref="D8:E8"/>
    <mergeCell ref="F8:G8"/>
    <mergeCell ref="H8:I8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2" type="noConversion"/>
  <conditionalFormatting sqref="D15:J15">
    <cfRule type="cellIs" dxfId="9" priority="1" operator="lessThan">
      <formula>0.8</formula>
    </cfRule>
  </conditionalFormatting>
  <pageMargins left="0.7" right="0.7" top="0.75" bottom="0.75" header="0.3" footer="0.3"/>
  <pageSetup paperSize="8" orientation="landscape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D7B06-9348-46F2-8383-DEB422B88AB1}">
  <sheetPr>
    <tabColor theme="9" tint="0.79998168889431442"/>
    <pageSetUpPr fitToPage="1"/>
  </sheetPr>
  <dimension ref="A1:AF92"/>
  <sheetViews>
    <sheetView tabSelected="1" zoomScale="69" zoomScaleNormal="69" workbookViewId="0">
      <pane xSplit="5" ySplit="4" topLeftCell="S38" activePane="bottomRight" state="frozen"/>
      <selection activeCell="A3" sqref="A3:A4"/>
      <selection pane="topRight" activeCell="A3" sqref="A3:A4"/>
      <selection pane="bottomLeft" activeCell="A3" sqref="A3:A4"/>
      <selection pane="bottomRight" activeCell="X64" sqref="X64"/>
    </sheetView>
  </sheetViews>
  <sheetFormatPr defaultColWidth="7.875" defaultRowHeight="15.75"/>
  <cols>
    <col min="1" max="1" width="15" style="6" customWidth="1"/>
    <col min="2" max="2" width="12.875" style="6" customWidth="1"/>
    <col min="3" max="3" width="12.875" style="6" hidden="1" customWidth="1"/>
    <col min="4" max="4" width="26.125" style="6" bestFit="1" customWidth="1"/>
    <col min="5" max="5" width="15" style="6" customWidth="1"/>
    <col min="6" max="6" width="8.875" style="6" bestFit="1" customWidth="1"/>
    <col min="7" max="7" width="20.125" style="6" bestFit="1" customWidth="1"/>
    <col min="8" max="8" width="16.375" style="6" bestFit="1" customWidth="1"/>
    <col min="9" max="9" width="10.875" style="6" bestFit="1" customWidth="1"/>
    <col min="10" max="10" width="10.125" style="6" bestFit="1" customWidth="1"/>
    <col min="11" max="11" width="10.625" style="6" customWidth="1"/>
    <col min="12" max="12" width="14.5" style="6" customWidth="1"/>
    <col min="13" max="13" width="10.125" style="6" bestFit="1" customWidth="1"/>
    <col min="14" max="14" width="10.25" style="6" bestFit="1" customWidth="1"/>
    <col min="15" max="15" width="11.875" style="6" customWidth="1"/>
    <col min="16" max="17" width="9.125" style="6" bestFit="1" customWidth="1"/>
    <col min="18" max="18" width="9.125" style="6" customWidth="1"/>
    <col min="19" max="19" width="8.375" style="6" customWidth="1"/>
    <col min="20" max="21" width="9.375" style="6" bestFit="1" customWidth="1"/>
    <col min="22" max="22" width="10.625" style="6" customWidth="1"/>
    <col min="23" max="23" width="8.625" style="92" customWidth="1"/>
    <col min="24" max="24" width="7.5" style="6" bestFit="1" customWidth="1"/>
    <col min="25" max="25" width="6.875" style="6" customWidth="1"/>
    <col min="26" max="26" width="12.625" style="6" customWidth="1"/>
    <col min="27" max="27" width="33.375" style="6" customWidth="1"/>
    <col min="28" max="28" width="13.125" style="6" bestFit="1" customWidth="1"/>
    <col min="29" max="29" width="10.375" style="6" customWidth="1"/>
    <col min="30" max="30" width="9.125" style="6" customWidth="1"/>
    <col min="31" max="31" width="7.875" style="6"/>
    <col min="32" max="32" width="24.5" style="6" bestFit="1" customWidth="1"/>
    <col min="33" max="16384" width="7.875" style="6"/>
  </cols>
  <sheetData>
    <row r="1" spans="1:30" ht="21">
      <c r="A1" s="2" t="s">
        <v>72</v>
      </c>
      <c r="B1" s="2"/>
      <c r="C1" s="2"/>
      <c r="D1" s="176" t="s">
        <v>8</v>
      </c>
      <c r="E1" s="3">
        <f>SUM(G5:G79)</f>
        <v>51908</v>
      </c>
      <c r="F1" s="177" t="s">
        <v>9</v>
      </c>
      <c r="G1" s="4">
        <f>SUM(H5:H79)</f>
        <v>2521892.83</v>
      </c>
      <c r="H1" s="175" t="s">
        <v>10</v>
      </c>
      <c r="I1" s="5">
        <f>M15+M26+M48+M58+M69+M79+M37</f>
        <v>88.383333333333326</v>
      </c>
      <c r="J1" s="371" t="s">
        <v>11</v>
      </c>
      <c r="K1" s="371"/>
      <c r="L1" s="371"/>
      <c r="M1" s="371" t="s">
        <v>12</v>
      </c>
      <c r="N1" s="371"/>
      <c r="O1" s="371"/>
      <c r="P1" s="371" t="s">
        <v>13</v>
      </c>
      <c r="Q1" s="371"/>
      <c r="R1" s="371"/>
      <c r="S1" s="371"/>
      <c r="T1" s="371" t="s">
        <v>14</v>
      </c>
      <c r="U1" s="371"/>
      <c r="V1" s="371"/>
      <c r="W1" s="371"/>
      <c r="X1" s="371"/>
      <c r="Y1" s="371"/>
      <c r="Z1" s="371" t="s">
        <v>15</v>
      </c>
      <c r="AA1" s="371"/>
      <c r="AB1" s="371" t="s">
        <v>16</v>
      </c>
      <c r="AC1" s="372"/>
      <c r="AD1" s="372"/>
    </row>
    <row r="2" spans="1:30" ht="18.75">
      <c r="A2" s="409" t="s">
        <v>261</v>
      </c>
      <c r="B2" s="409"/>
      <c r="C2" s="176"/>
      <c r="D2" s="176" t="s">
        <v>1</v>
      </c>
      <c r="E2" s="7">
        <f>AVERAGE(O15,O26,O37,O48,O58,O69,O79)</f>
        <v>104.31236082150815</v>
      </c>
      <c r="F2" s="8" t="s">
        <v>2</v>
      </c>
      <c r="G2" s="9">
        <f>G1/E1</f>
        <v>48.583895160668874</v>
      </c>
      <c r="H2" s="175" t="s">
        <v>17</v>
      </c>
      <c r="I2" s="175">
        <f>COUNT(I5:I79)</f>
        <v>0</v>
      </c>
      <c r="J2" s="371"/>
      <c r="K2" s="371"/>
      <c r="L2" s="371"/>
      <c r="M2" s="371"/>
      <c r="N2" s="371"/>
      <c r="O2" s="371"/>
      <c r="P2" s="371"/>
      <c r="Q2" s="371"/>
      <c r="R2" s="371"/>
      <c r="S2" s="371"/>
      <c r="T2" s="371"/>
      <c r="U2" s="371"/>
      <c r="V2" s="371"/>
      <c r="W2" s="371"/>
      <c r="X2" s="371"/>
      <c r="Y2" s="371"/>
      <c r="Z2" s="371"/>
      <c r="AA2" s="371"/>
      <c r="AB2" s="372"/>
      <c r="AC2" s="372"/>
      <c r="AD2" s="372"/>
    </row>
    <row r="3" spans="1:30">
      <c r="A3" s="405" t="s">
        <v>18</v>
      </c>
      <c r="B3" s="405" t="s">
        <v>19</v>
      </c>
      <c r="C3" s="177"/>
      <c r="D3" s="405" t="s">
        <v>20</v>
      </c>
      <c r="E3" s="405"/>
      <c r="F3" s="379" t="s">
        <v>21</v>
      </c>
      <c r="G3" s="389" t="s">
        <v>22</v>
      </c>
      <c r="H3" s="379" t="s">
        <v>23</v>
      </c>
      <c r="I3" s="381" t="s">
        <v>24</v>
      </c>
      <c r="J3" s="383" t="s">
        <v>25</v>
      </c>
      <c r="K3" s="385" t="s">
        <v>26</v>
      </c>
      <c r="L3" s="387" t="s">
        <v>1</v>
      </c>
      <c r="M3" s="389" t="s">
        <v>25</v>
      </c>
      <c r="N3" s="385" t="s">
        <v>26</v>
      </c>
      <c r="O3" s="387" t="s">
        <v>1</v>
      </c>
      <c r="P3" s="383" t="s">
        <v>25</v>
      </c>
      <c r="Q3" s="387" t="s">
        <v>1</v>
      </c>
      <c r="R3" s="392" t="s">
        <v>27</v>
      </c>
      <c r="S3" s="394" t="s">
        <v>28</v>
      </c>
      <c r="T3" s="389" t="s">
        <v>4</v>
      </c>
      <c r="U3" s="389"/>
      <c r="V3" s="408" t="s">
        <v>29</v>
      </c>
      <c r="W3" s="381" t="s">
        <v>30</v>
      </c>
      <c r="X3" s="389" t="s">
        <v>31</v>
      </c>
      <c r="Y3" s="389"/>
      <c r="Z3" s="415"/>
      <c r="AA3" s="416"/>
      <c r="AB3" s="385" t="s">
        <v>26</v>
      </c>
      <c r="AC3" s="392" t="s">
        <v>27</v>
      </c>
      <c r="AD3" s="394" t="s">
        <v>28</v>
      </c>
    </row>
    <row r="4" spans="1:30" ht="16.5" thickBot="1">
      <c r="A4" s="379"/>
      <c r="B4" s="379"/>
      <c r="C4" s="178"/>
      <c r="D4" s="379"/>
      <c r="E4" s="379"/>
      <c r="F4" s="380"/>
      <c r="G4" s="390"/>
      <c r="H4" s="380"/>
      <c r="I4" s="382"/>
      <c r="J4" s="384"/>
      <c r="K4" s="386"/>
      <c r="L4" s="388"/>
      <c r="M4" s="390"/>
      <c r="N4" s="386"/>
      <c r="O4" s="388"/>
      <c r="P4" s="384"/>
      <c r="Q4" s="388"/>
      <c r="R4" s="393"/>
      <c r="S4" s="395"/>
      <c r="T4" s="179" t="s">
        <v>5</v>
      </c>
      <c r="U4" s="179" t="s">
        <v>6</v>
      </c>
      <c r="V4" s="390"/>
      <c r="W4" s="382"/>
      <c r="X4" s="178" t="s">
        <v>32</v>
      </c>
      <c r="Y4" s="178" t="s">
        <v>33</v>
      </c>
      <c r="Z4" s="417"/>
      <c r="AA4" s="417"/>
      <c r="AB4" s="386"/>
      <c r="AC4" s="393"/>
      <c r="AD4" s="395"/>
    </row>
    <row r="5" spans="1:30" ht="15" customHeight="1">
      <c r="A5" s="411" t="s">
        <v>66</v>
      </c>
      <c r="B5" s="305" t="str">
        <f>VLOOKUP(D5,廠價表!$C$1:$E$39,2,0)</f>
        <v>義大利麵</v>
      </c>
      <c r="C5" s="324"/>
      <c r="D5" s="339" t="s">
        <v>127</v>
      </c>
      <c r="E5" s="326"/>
      <c r="F5" s="305">
        <f>VLOOKUP(D5,廠價表!$C$1:$E$39,3,0)</f>
        <v>57.21</v>
      </c>
      <c r="G5" s="327">
        <v>1453</v>
      </c>
      <c r="H5" s="328">
        <f t="shared" ref="H5" si="0">F5*G5</f>
        <v>83126.13</v>
      </c>
      <c r="I5" s="329"/>
      <c r="J5" s="330">
        <f>VLOOKUP(D5,產線配置圖!$A$2:$C$38,2,0)</f>
        <v>13</v>
      </c>
      <c r="K5" s="331">
        <f>VLOOKUP(D5,產線配置圖!$A$2:$C$38,3,0)</f>
        <v>2105</v>
      </c>
      <c r="L5" s="332">
        <f t="shared" ref="L5" si="1">K5/J5</f>
        <v>161.92307692307693</v>
      </c>
      <c r="M5" s="333">
        <v>13</v>
      </c>
      <c r="N5" s="331">
        <f t="shared" ref="N5:N8" si="2">G5/W5*60</f>
        <v>1743.6000000000006</v>
      </c>
      <c r="O5" s="332">
        <f t="shared" ref="O5:O8" si="3">N5/M5</f>
        <v>134.12307692307698</v>
      </c>
      <c r="P5" s="334">
        <f t="shared" ref="P5:P8" si="4">M5-J5</f>
        <v>0</v>
      </c>
      <c r="Q5" s="335">
        <f t="shared" ref="Q5:Q8" si="5">O5-L5</f>
        <v>-27.799999999999955</v>
      </c>
      <c r="R5" s="336">
        <f t="shared" ref="R5:R8" si="6">O5/L5</f>
        <v>0.82831353919239936</v>
      </c>
      <c r="S5" s="396">
        <f>R15</f>
        <v>0.93531356700349944</v>
      </c>
      <c r="T5" s="337">
        <v>0.2902777777777778</v>
      </c>
      <c r="U5" s="338">
        <v>0.32500000000000001</v>
      </c>
      <c r="V5" s="194"/>
      <c r="W5" s="107">
        <f t="shared" ref="W5:W14" si="7">(U5-T5)*24*60</f>
        <v>49.999999999999986</v>
      </c>
      <c r="X5" s="188"/>
      <c r="Y5" s="188"/>
      <c r="Z5" s="400"/>
      <c r="AA5" s="400"/>
      <c r="AB5" s="111">
        <f>N5-K5</f>
        <v>-361.39999999999941</v>
      </c>
      <c r="AC5" s="184">
        <f>N5/K5</f>
        <v>0.82831353919239936</v>
      </c>
      <c r="AD5" s="401">
        <f>AC15</f>
        <v>0.93223491967854066</v>
      </c>
    </row>
    <row r="6" spans="1:30" ht="15" customHeight="1">
      <c r="A6" s="412"/>
      <c r="B6" s="313" t="str">
        <f>VLOOKUP(D6,廠價表!$C$1:$E$39,2,0)</f>
        <v>義大利麵</v>
      </c>
      <c r="C6" s="249"/>
      <c r="D6" s="11" t="s">
        <v>153</v>
      </c>
      <c r="E6" s="251"/>
      <c r="F6" s="314">
        <f>VLOOKUP(D6,廠價表!$C$1:$E$39,3,0)</f>
        <v>50.67</v>
      </c>
      <c r="G6" s="315">
        <v>1212</v>
      </c>
      <c r="H6" s="316">
        <f>F6*G6</f>
        <v>61412.04</v>
      </c>
      <c r="I6" s="317"/>
      <c r="J6" s="318">
        <f>VLOOKUP(D6,產線配置圖!$A$2:$C$38,2,0)</f>
        <v>13</v>
      </c>
      <c r="K6" s="315">
        <v>1800</v>
      </c>
      <c r="L6" s="319">
        <f>K6/J6</f>
        <v>138.46153846153845</v>
      </c>
      <c r="M6" s="320">
        <v>13</v>
      </c>
      <c r="N6" s="315">
        <f t="shared" si="2"/>
        <v>1773.6585365853653</v>
      </c>
      <c r="O6" s="319">
        <f t="shared" si="3"/>
        <v>136.43527204502809</v>
      </c>
      <c r="P6" s="321">
        <f t="shared" si="4"/>
        <v>0</v>
      </c>
      <c r="Q6" s="322">
        <f t="shared" si="5"/>
        <v>-2.0262664165103672</v>
      </c>
      <c r="R6" s="323">
        <f t="shared" si="6"/>
        <v>0.98536585365853624</v>
      </c>
      <c r="S6" s="397"/>
      <c r="T6" s="270">
        <v>0.33333333333333331</v>
      </c>
      <c r="U6" s="270">
        <v>0.36180555555555555</v>
      </c>
      <c r="V6" s="177">
        <f>(T6-U5)*24*60</f>
        <v>11.999999999999957</v>
      </c>
      <c r="W6" s="182">
        <f t="shared" si="7"/>
        <v>41.000000000000014</v>
      </c>
      <c r="X6" s="22"/>
      <c r="Y6" s="22"/>
      <c r="Z6" s="381"/>
      <c r="AA6" s="381"/>
      <c r="AB6" s="18">
        <f>N6-K6</f>
        <v>-26.341463414634745</v>
      </c>
      <c r="AC6" s="185">
        <f>N6/K6</f>
        <v>0.98536585365853624</v>
      </c>
      <c r="AD6" s="402"/>
    </row>
    <row r="7" spans="1:30" ht="15" customHeight="1">
      <c r="A7" s="412"/>
      <c r="B7" s="56" t="str">
        <f>VLOOKUP(D7,廠價表!$C$1:$E$39,2,0)</f>
        <v>義大利麵</v>
      </c>
      <c r="C7" s="10"/>
      <c r="D7" s="11" t="s">
        <v>141</v>
      </c>
      <c r="E7" s="86"/>
      <c r="F7" s="56">
        <f>VLOOKUP(D7,廠價表!$C$1:$E$39,3,0)</f>
        <v>49.14</v>
      </c>
      <c r="G7" s="25">
        <v>2274</v>
      </c>
      <c r="H7" s="15">
        <f t="shared" ref="H7:H8" si="8">F7*G7</f>
        <v>111744.36</v>
      </c>
      <c r="I7" s="182"/>
      <c r="J7" s="16">
        <f>VLOOKUP(D7,產線配置圖!$A$2:$C$38,2,0)</f>
        <v>13</v>
      </c>
      <c r="K7" s="14">
        <f>VLOOKUP(D7,產線配置圖!$A$2:$C$38,3,0)</f>
        <v>2000</v>
      </c>
      <c r="L7" s="17">
        <f>K7/J7</f>
        <v>153.84615384615384</v>
      </c>
      <c r="M7" s="180">
        <v>13</v>
      </c>
      <c r="N7" s="14">
        <f t="shared" si="2"/>
        <v>1977.3913043478262</v>
      </c>
      <c r="O7" s="17">
        <f t="shared" si="3"/>
        <v>152.10702341137124</v>
      </c>
      <c r="P7" s="18">
        <f t="shared" si="4"/>
        <v>0</v>
      </c>
      <c r="Q7" s="19">
        <f t="shared" si="5"/>
        <v>-1.7391304347825951</v>
      </c>
      <c r="R7" s="185">
        <f t="shared" si="6"/>
        <v>0.98869565217391309</v>
      </c>
      <c r="S7" s="397"/>
      <c r="T7" s="95">
        <v>0.38750000000000001</v>
      </c>
      <c r="U7" s="95">
        <v>0.43541666666666667</v>
      </c>
      <c r="V7" s="177">
        <f>(T7-U6)*24*60</f>
        <v>37.000000000000028</v>
      </c>
      <c r="W7" s="182">
        <f t="shared" si="7"/>
        <v>69</v>
      </c>
      <c r="X7" s="22"/>
      <c r="Y7" s="22"/>
      <c r="Z7" s="405" t="s">
        <v>262</v>
      </c>
      <c r="AA7" s="405"/>
      <c r="AB7" s="18">
        <f>N7-K7</f>
        <v>-22.608695652173765</v>
      </c>
      <c r="AC7" s="185">
        <f>N7/K7</f>
        <v>0.98869565217391309</v>
      </c>
      <c r="AD7" s="402"/>
    </row>
    <row r="8" spans="1:30" ht="15" customHeight="1">
      <c r="A8" s="412"/>
      <c r="B8" s="56" t="str">
        <f>VLOOKUP(D8,廠價表!$C$1:$E$39,2,0)</f>
        <v>義大利麵</v>
      </c>
      <c r="C8" s="10"/>
      <c r="D8" s="11" t="s">
        <v>139</v>
      </c>
      <c r="E8" s="86"/>
      <c r="F8" s="56">
        <f>VLOOKUP(D8,廠價表!$C$1:$E$39,3,0)</f>
        <v>57.21</v>
      </c>
      <c r="G8" s="25">
        <v>1699</v>
      </c>
      <c r="H8" s="15">
        <f t="shared" si="8"/>
        <v>97199.790000000008</v>
      </c>
      <c r="I8" s="182"/>
      <c r="J8" s="16">
        <f>VLOOKUP(D8,產線配置圖!$A$2:$C$38,2,0)</f>
        <v>17</v>
      </c>
      <c r="K8" s="14">
        <f>VLOOKUP(D8,產線配置圖!$A$2:$C$38,3,0)</f>
        <v>1895</v>
      </c>
      <c r="L8" s="17">
        <f>K8/J8</f>
        <v>111.47058823529412</v>
      </c>
      <c r="M8" s="180">
        <v>17</v>
      </c>
      <c r="N8" s="14">
        <f t="shared" si="2"/>
        <v>1644.1935483870964</v>
      </c>
      <c r="O8" s="17">
        <f t="shared" si="3"/>
        <v>96.717267552182136</v>
      </c>
      <c r="P8" s="18">
        <f t="shared" si="4"/>
        <v>0</v>
      </c>
      <c r="Q8" s="19">
        <f t="shared" si="5"/>
        <v>-14.75332068311198</v>
      </c>
      <c r="R8" s="185">
        <f t="shared" si="6"/>
        <v>0.86764831049450997</v>
      </c>
      <c r="S8" s="397"/>
      <c r="T8" s="95">
        <v>0.44166666666666665</v>
      </c>
      <c r="U8" s="95">
        <v>0.48472222222222222</v>
      </c>
      <c r="V8" s="177">
        <f t="shared" ref="V8" si="9">(T8-U7)*24*60</f>
        <v>8.999999999999968</v>
      </c>
      <c r="W8" s="182">
        <f t="shared" si="7"/>
        <v>62.000000000000021</v>
      </c>
      <c r="X8" s="22"/>
      <c r="Y8" s="263"/>
      <c r="Z8" s="406"/>
      <c r="AA8" s="406"/>
      <c r="AB8" s="18">
        <f>N8-K8</f>
        <v>-250.80645161290363</v>
      </c>
      <c r="AC8" s="185">
        <f>N8/K8</f>
        <v>0.86764831049450997</v>
      </c>
      <c r="AD8" s="402"/>
    </row>
    <row r="9" spans="1:30" ht="15" customHeight="1">
      <c r="A9" s="413"/>
      <c r="B9" s="56" t="str">
        <f>VLOOKUP(D9,廠價表!$C$1:$E$39,2,0)</f>
        <v>義大利麵</v>
      </c>
      <c r="C9" s="10"/>
      <c r="D9" s="11" t="s">
        <v>141</v>
      </c>
      <c r="E9" s="86"/>
      <c r="F9" s="56">
        <f>VLOOKUP(D9,廠價表!$C$1:$E$39,3,0)</f>
        <v>49.14</v>
      </c>
      <c r="G9" s="25">
        <v>3395</v>
      </c>
      <c r="H9" s="15">
        <f t="shared" ref="H9" si="10">F9*G9</f>
        <v>166830.29999999999</v>
      </c>
      <c r="I9" s="182"/>
      <c r="J9" s="16">
        <f>VLOOKUP(D9,產線配置圖!$A$2:$C$38,2,0)</f>
        <v>13</v>
      </c>
      <c r="K9" s="14">
        <f>VLOOKUP(D9,產線配置圖!$A$2:$C$38,3,0)</f>
        <v>2000</v>
      </c>
      <c r="L9" s="17">
        <f>K9/J9</f>
        <v>153.84615384615384</v>
      </c>
      <c r="M9" s="180">
        <v>13</v>
      </c>
      <c r="N9" s="14">
        <f t="shared" ref="N9" si="11">G9/W9*60</f>
        <v>1997.0588235294094</v>
      </c>
      <c r="O9" s="17">
        <f t="shared" ref="O9" si="12">N9/M9</f>
        <v>153.61990950226226</v>
      </c>
      <c r="P9" s="18">
        <f t="shared" ref="P9" si="13">M9-J9</f>
        <v>0</v>
      </c>
      <c r="Q9" s="19">
        <f t="shared" ref="Q9" si="14">O9-L9</f>
        <v>-0.22624434389157955</v>
      </c>
      <c r="R9" s="185">
        <f t="shared" ref="R9" si="15">O9/L9</f>
        <v>0.99852941176470478</v>
      </c>
      <c r="S9" s="398"/>
      <c r="T9" s="95">
        <v>0.54583333333333328</v>
      </c>
      <c r="U9" s="95">
        <v>0.6166666666666667</v>
      </c>
      <c r="V9" s="177">
        <f t="shared" ref="V9" si="16">(T9-U8)*24*60</f>
        <v>87.999999999999929</v>
      </c>
      <c r="W9" s="182">
        <f t="shared" ref="W9" si="17">(U9-T9)*24*60</f>
        <v>102.00000000000011</v>
      </c>
      <c r="X9" s="22">
        <v>0.48958333333333331</v>
      </c>
      <c r="Y9" s="263">
        <v>0.53125</v>
      </c>
      <c r="Z9" s="407"/>
      <c r="AA9" s="407"/>
      <c r="AB9" s="18">
        <f>N9-K9</f>
        <v>-2.9411764705905625</v>
      </c>
      <c r="AC9" s="185">
        <f>N9/K9</f>
        <v>0.99852941176470467</v>
      </c>
      <c r="AD9" s="403"/>
    </row>
    <row r="10" spans="1:30" ht="15" customHeight="1">
      <c r="A10" s="413"/>
      <c r="B10" s="56"/>
      <c r="C10" s="23"/>
      <c r="D10" s="11"/>
      <c r="E10" s="12"/>
      <c r="F10" s="56"/>
      <c r="G10" s="25"/>
      <c r="H10" s="15"/>
      <c r="I10" s="182"/>
      <c r="J10" s="16"/>
      <c r="K10" s="14"/>
      <c r="L10" s="17"/>
      <c r="M10" s="180"/>
      <c r="N10" s="14"/>
      <c r="O10" s="17"/>
      <c r="P10" s="18"/>
      <c r="Q10" s="19"/>
      <c r="R10" s="185"/>
      <c r="S10" s="398"/>
      <c r="T10" s="20"/>
      <c r="U10" s="20"/>
      <c r="V10" s="177"/>
      <c r="W10" s="182">
        <f t="shared" si="7"/>
        <v>0</v>
      </c>
      <c r="X10" s="22"/>
      <c r="Y10" s="263"/>
      <c r="Z10" s="419"/>
      <c r="AA10" s="418"/>
      <c r="AB10" s="264"/>
      <c r="AC10" s="185"/>
      <c r="AD10" s="403"/>
    </row>
    <row r="11" spans="1:30" ht="15" customHeight="1">
      <c r="A11" s="413"/>
      <c r="B11" s="56"/>
      <c r="C11" s="183"/>
      <c r="D11" s="11"/>
      <c r="E11" s="12"/>
      <c r="F11" s="56"/>
      <c r="G11" s="25"/>
      <c r="H11" s="15">
        <f t="shared" ref="H11:H12" si="18">F11*G11</f>
        <v>0</v>
      </c>
      <c r="I11" s="182"/>
      <c r="J11" s="16"/>
      <c r="K11" s="14"/>
      <c r="L11" s="17"/>
      <c r="M11" s="180"/>
      <c r="N11" s="14"/>
      <c r="O11" s="17"/>
      <c r="P11" s="18"/>
      <c r="Q11" s="19"/>
      <c r="R11" s="185"/>
      <c r="S11" s="398"/>
      <c r="T11" s="20"/>
      <c r="U11" s="20"/>
      <c r="V11" s="177"/>
      <c r="W11" s="24">
        <f t="shared" si="7"/>
        <v>0</v>
      </c>
      <c r="X11" s="22"/>
      <c r="Y11" s="263"/>
      <c r="Z11" s="419"/>
      <c r="AA11" s="418"/>
      <c r="AB11" s="264"/>
      <c r="AC11" s="185"/>
      <c r="AD11" s="403"/>
    </row>
    <row r="12" spans="1:30" ht="15" customHeight="1">
      <c r="A12" s="413"/>
      <c r="B12" s="26"/>
      <c r="C12" s="27"/>
      <c r="D12" s="28"/>
      <c r="E12" s="29"/>
      <c r="F12" s="13"/>
      <c r="G12" s="30"/>
      <c r="H12" s="15">
        <f t="shared" si="18"/>
        <v>0</v>
      </c>
      <c r="I12" s="178"/>
      <c r="J12" s="31"/>
      <c r="K12" s="30"/>
      <c r="L12" s="17"/>
      <c r="M12" s="181"/>
      <c r="N12" s="25"/>
      <c r="O12" s="17"/>
      <c r="P12" s="18"/>
      <c r="Q12" s="19"/>
      <c r="R12" s="185"/>
      <c r="S12" s="398"/>
      <c r="T12" s="32"/>
      <c r="U12" s="32"/>
      <c r="V12" s="178"/>
      <c r="W12" s="24">
        <f t="shared" si="7"/>
        <v>0</v>
      </c>
      <c r="X12" s="33"/>
      <c r="Y12" s="33"/>
      <c r="Z12" s="407"/>
      <c r="AA12" s="407"/>
      <c r="AB12" s="34"/>
      <c r="AC12" s="186"/>
      <c r="AD12" s="403"/>
    </row>
    <row r="13" spans="1:30" ht="15" customHeight="1">
      <c r="A13" s="413"/>
      <c r="B13" s="56"/>
      <c r="C13" s="10"/>
      <c r="D13" s="11"/>
      <c r="E13" s="86"/>
      <c r="F13" s="56"/>
      <c r="G13" s="25"/>
      <c r="H13" s="15"/>
      <c r="I13" s="182"/>
      <c r="J13" s="16"/>
      <c r="K13" s="14"/>
      <c r="L13" s="17"/>
      <c r="M13" s="180"/>
      <c r="N13" s="14"/>
      <c r="O13" s="17"/>
      <c r="P13" s="18"/>
      <c r="Q13" s="19"/>
      <c r="R13" s="185"/>
      <c r="S13" s="479"/>
      <c r="T13" s="309"/>
      <c r="U13" s="309"/>
      <c r="V13" s="26"/>
      <c r="W13" s="24">
        <f t="shared" si="7"/>
        <v>0</v>
      </c>
      <c r="X13" s="33"/>
      <c r="Y13" s="33"/>
      <c r="Z13" s="419"/>
      <c r="AA13" s="418"/>
      <c r="AB13" s="34"/>
      <c r="AC13" s="186"/>
      <c r="AD13" s="403"/>
    </row>
    <row r="14" spans="1:30" ht="15" customHeight="1">
      <c r="A14" s="413"/>
      <c r="B14" s="56"/>
      <c r="C14" s="10"/>
      <c r="D14" s="11"/>
      <c r="E14" s="86"/>
      <c r="F14" s="56"/>
      <c r="G14" s="25"/>
      <c r="H14" s="15"/>
      <c r="I14" s="182"/>
      <c r="J14" s="16"/>
      <c r="K14" s="14"/>
      <c r="L14" s="17"/>
      <c r="M14" s="180"/>
      <c r="N14" s="14"/>
      <c r="O14" s="17"/>
      <c r="P14" s="18"/>
      <c r="Q14" s="19"/>
      <c r="R14" s="185"/>
      <c r="S14" s="398"/>
      <c r="T14" s="79"/>
      <c r="U14" s="79"/>
      <c r="V14" s="178"/>
      <c r="W14" s="24">
        <f t="shared" si="7"/>
        <v>0</v>
      </c>
      <c r="X14" s="33"/>
      <c r="Y14" s="33"/>
      <c r="Z14" s="419"/>
      <c r="AA14" s="418"/>
      <c r="AB14" s="34"/>
      <c r="AC14" s="186"/>
      <c r="AD14" s="403"/>
    </row>
    <row r="15" spans="1:30" ht="15" customHeight="1" thickBot="1">
      <c r="A15" s="414"/>
      <c r="B15" s="113"/>
      <c r="C15" s="113" t="s">
        <v>34</v>
      </c>
      <c r="D15" s="410" t="s">
        <v>7</v>
      </c>
      <c r="E15" s="410"/>
      <c r="F15" s="114"/>
      <c r="G15" s="115"/>
      <c r="H15" s="116"/>
      <c r="I15" s="117"/>
      <c r="J15" s="118">
        <f t="shared" ref="J15:O15" si="19">AVERAGE(J5:J14)</f>
        <v>13.8</v>
      </c>
      <c r="K15" s="118">
        <f t="shared" si="19"/>
        <v>1960</v>
      </c>
      <c r="L15" s="115">
        <f t="shared" si="19"/>
        <v>143.90950226244343</v>
      </c>
      <c r="M15" s="118">
        <f t="shared" si="19"/>
        <v>13.8</v>
      </c>
      <c r="N15" s="118">
        <f t="shared" si="19"/>
        <v>1827.1804425699397</v>
      </c>
      <c r="O15" s="115">
        <f t="shared" si="19"/>
        <v>134.60050988678412</v>
      </c>
      <c r="P15" s="119">
        <f t="shared" ref="P15:P18" si="20">M15-J15</f>
        <v>0</v>
      </c>
      <c r="Q15" s="120">
        <f t="shared" ref="Q15:Q18" si="21">O15-L15</f>
        <v>-9.3089923756593009</v>
      </c>
      <c r="R15" s="121">
        <f t="shared" ref="R15:R18" si="22">O15/L15</f>
        <v>0.93531356700349944</v>
      </c>
      <c r="S15" s="399"/>
      <c r="T15" s="122"/>
      <c r="U15" s="122"/>
      <c r="V15" s="195"/>
      <c r="W15" s="123"/>
      <c r="X15" s="124"/>
      <c r="Y15" s="124"/>
      <c r="Z15" s="391"/>
      <c r="AA15" s="391"/>
      <c r="AB15" s="119">
        <f t="shared" ref="AB15:AB20" si="23">N15-K15</f>
        <v>-132.81955743006029</v>
      </c>
      <c r="AC15" s="187">
        <f t="shared" ref="AC15:AC20" si="24">N15/K15</f>
        <v>0.93223491967854066</v>
      </c>
      <c r="AD15" s="404"/>
    </row>
    <row r="16" spans="1:30" ht="15" customHeight="1">
      <c r="A16" s="431" t="s">
        <v>67</v>
      </c>
      <c r="B16" s="199" t="str">
        <f>VLOOKUP(D16,廠價表!$C$1:$E$39,2,0)</f>
        <v>義大利麵</v>
      </c>
      <c r="C16" s="102"/>
      <c r="D16" s="103" t="s">
        <v>127</v>
      </c>
      <c r="E16" s="104"/>
      <c r="F16" s="199">
        <f>VLOOKUP(D16,廠價表!$C$1:$E$39,3,0)</f>
        <v>57.21</v>
      </c>
      <c r="G16" s="265">
        <v>1394</v>
      </c>
      <c r="H16" s="125">
        <f t="shared" ref="H16:H25" si="25">F16*G16</f>
        <v>79750.740000000005</v>
      </c>
      <c r="I16" s="126"/>
      <c r="J16" s="108">
        <f>VLOOKUP(D16,產線配置圖!$A$2:$C$38,2,0)</f>
        <v>13</v>
      </c>
      <c r="K16" s="105">
        <f>VLOOKUP(D16,產線配置圖!$A$2:$C$38,3,0)</f>
        <v>2105</v>
      </c>
      <c r="L16" s="109">
        <f t="shared" ref="L16:L18" si="26">K16/J16</f>
        <v>161.92307692307693</v>
      </c>
      <c r="M16" s="267">
        <v>13</v>
      </c>
      <c r="N16" s="127">
        <f t="shared" ref="N16:N18" si="27">G16/W16*60</f>
        <v>1900.909090909091</v>
      </c>
      <c r="O16" s="128">
        <f>N16/M16</f>
        <v>146.22377622377624</v>
      </c>
      <c r="P16" s="129">
        <f>M16-J16</f>
        <v>0</v>
      </c>
      <c r="Q16" s="130">
        <f t="shared" si="21"/>
        <v>-15.699300699300693</v>
      </c>
      <c r="R16" s="189">
        <f>O16/L16</f>
        <v>0.90304469876916438</v>
      </c>
      <c r="S16" s="424">
        <f>R26</f>
        <v>0.91393371500727039</v>
      </c>
      <c r="T16" s="268">
        <v>0.2902777777777778</v>
      </c>
      <c r="U16" s="268">
        <v>0.32083333333333336</v>
      </c>
      <c r="V16" s="126"/>
      <c r="W16" s="131">
        <f t="shared" ref="W16:W78" si="28">(U16-T16)*24*60</f>
        <v>44</v>
      </c>
      <c r="X16" s="128"/>
      <c r="Y16" s="128"/>
      <c r="Z16" s="400"/>
      <c r="AA16" s="400"/>
      <c r="AB16" s="111">
        <f t="shared" si="23"/>
        <v>-204.09090909090901</v>
      </c>
      <c r="AC16" s="184">
        <f t="shared" si="24"/>
        <v>0.90304469876916438</v>
      </c>
      <c r="AD16" s="401">
        <f>AC26</f>
        <v>0.91302324404373347</v>
      </c>
    </row>
    <row r="17" spans="1:30" ht="15" customHeight="1">
      <c r="A17" s="432"/>
      <c r="B17" s="56" t="str">
        <f>VLOOKUP(D17,廠價表!$C$1:$E$39,2,0)</f>
        <v>義大利麵</v>
      </c>
      <c r="C17" s="10"/>
      <c r="D17" s="11" t="s">
        <v>153</v>
      </c>
      <c r="E17" s="86"/>
      <c r="F17" s="56">
        <f>VLOOKUP(D17,廠價表!$C$1:$E$39,3,0)</f>
        <v>50.67</v>
      </c>
      <c r="G17" s="96">
        <v>3346</v>
      </c>
      <c r="H17" s="15">
        <f t="shared" si="25"/>
        <v>169541.82</v>
      </c>
      <c r="I17" s="177"/>
      <c r="J17" s="16">
        <f>VLOOKUP(D17,產線配置圖!$A$2:$C$38,2,0)</f>
        <v>13</v>
      </c>
      <c r="K17" s="14">
        <f>VLOOKUP(D17,產線配置圖!$A$2:$C$38,3,0)</f>
        <v>2000</v>
      </c>
      <c r="L17" s="17">
        <f t="shared" si="26"/>
        <v>153.84615384615384</v>
      </c>
      <c r="M17" s="37">
        <v>13</v>
      </c>
      <c r="N17" s="36">
        <f t="shared" si="27"/>
        <v>1808.6486486486485</v>
      </c>
      <c r="O17" s="38">
        <f t="shared" ref="O17:O18" si="29">N17/M17</f>
        <v>139.12681912681913</v>
      </c>
      <c r="P17" s="39">
        <f t="shared" si="20"/>
        <v>0</v>
      </c>
      <c r="Q17" s="40">
        <f t="shared" si="21"/>
        <v>-14.719334719334711</v>
      </c>
      <c r="R17" s="190">
        <f t="shared" si="22"/>
        <v>0.90432432432432441</v>
      </c>
      <c r="S17" s="425"/>
      <c r="T17" s="41">
        <v>0.32916666666666666</v>
      </c>
      <c r="U17" s="41">
        <v>0.40625</v>
      </c>
      <c r="V17" s="177">
        <f>(T17-U16)*24*60</f>
        <v>11.999999999999957</v>
      </c>
      <c r="W17" s="43">
        <f t="shared" si="28"/>
        <v>111</v>
      </c>
      <c r="X17" s="44"/>
      <c r="Y17" s="44"/>
      <c r="Z17" s="381"/>
      <c r="AA17" s="381"/>
      <c r="AB17" s="18">
        <f t="shared" si="23"/>
        <v>-191.35135135135147</v>
      </c>
      <c r="AC17" s="185">
        <f t="shared" si="24"/>
        <v>0.9043243243243243</v>
      </c>
      <c r="AD17" s="402"/>
    </row>
    <row r="18" spans="1:30" ht="15" customHeight="1">
      <c r="A18" s="432"/>
      <c r="B18" s="56" t="str">
        <f>VLOOKUP(D18,廠價表!$C$1:$E$39,2,0)</f>
        <v>義大利麵</v>
      </c>
      <c r="C18" s="10"/>
      <c r="D18" s="11" t="s">
        <v>239</v>
      </c>
      <c r="E18" s="86"/>
      <c r="F18" s="56">
        <f>VLOOKUP(D18,廠價表!$C$1:$E$39,3,0)</f>
        <v>50.39</v>
      </c>
      <c r="G18" s="96">
        <v>2919</v>
      </c>
      <c r="H18" s="15">
        <f t="shared" si="25"/>
        <v>147088.41</v>
      </c>
      <c r="I18" s="177"/>
      <c r="J18" s="16">
        <f>VLOOKUP(D18,產線配置圖!$A$2:$C$38,2,0)</f>
        <v>12</v>
      </c>
      <c r="K18" s="14">
        <f>VLOOKUP(D18,產線配置圖!$A$2:$C$38,3,0)</f>
        <v>2000</v>
      </c>
      <c r="L18" s="17">
        <f t="shared" si="26"/>
        <v>166.66666666666666</v>
      </c>
      <c r="M18" s="37">
        <v>12</v>
      </c>
      <c r="N18" s="36">
        <f t="shared" si="27"/>
        <v>1787.1428571428578</v>
      </c>
      <c r="O18" s="38">
        <f t="shared" si="29"/>
        <v>148.92857142857147</v>
      </c>
      <c r="P18" s="39">
        <f t="shared" si="20"/>
        <v>0</v>
      </c>
      <c r="Q18" s="40">
        <f t="shared" si="21"/>
        <v>-17.738095238095184</v>
      </c>
      <c r="R18" s="190">
        <f t="shared" si="22"/>
        <v>0.89357142857142891</v>
      </c>
      <c r="S18" s="425"/>
      <c r="T18" s="41">
        <v>0.41458333333333336</v>
      </c>
      <c r="U18" s="41">
        <v>0.4826388888888889</v>
      </c>
      <c r="V18" s="177">
        <f>(T18-U17)*24*60</f>
        <v>12.000000000000037</v>
      </c>
      <c r="W18" s="43">
        <f t="shared" si="28"/>
        <v>97.999999999999972</v>
      </c>
      <c r="X18" s="22"/>
      <c r="Y18" s="22"/>
      <c r="Z18" s="406"/>
      <c r="AA18" s="406"/>
      <c r="AB18" s="18">
        <f t="shared" si="23"/>
        <v>-212.85714285714221</v>
      </c>
      <c r="AC18" s="185">
        <f t="shared" si="24"/>
        <v>0.89357142857142891</v>
      </c>
      <c r="AD18" s="402"/>
    </row>
    <row r="19" spans="1:30" ht="15" customHeight="1">
      <c r="A19" s="432"/>
      <c r="B19" s="56" t="str">
        <f>VLOOKUP(D19,廠價表!$C$1:$E$39,2,0)</f>
        <v>義大利麵</v>
      </c>
      <c r="C19" s="10"/>
      <c r="D19" s="11" t="s">
        <v>239</v>
      </c>
      <c r="E19" s="86"/>
      <c r="F19" s="56">
        <f>VLOOKUP(D19,廠價表!$C$1:$E$39,3,0)</f>
        <v>50.39</v>
      </c>
      <c r="G19" s="96">
        <v>2316</v>
      </c>
      <c r="H19" s="15">
        <f t="shared" ref="H19:H20" si="30">F19*G19</f>
        <v>116703.24</v>
      </c>
      <c r="I19" s="177"/>
      <c r="J19" s="16">
        <f>VLOOKUP(D19,產線配置圖!$A$2:$C$38,2,0)</f>
        <v>12</v>
      </c>
      <c r="K19" s="14">
        <f>VLOOKUP(D19,產線配置圖!$A$2:$C$38,3,0)</f>
        <v>2000</v>
      </c>
      <c r="L19" s="17">
        <f t="shared" ref="L19:L20" si="31">K19/J19</f>
        <v>166.66666666666666</v>
      </c>
      <c r="M19" s="37">
        <v>12</v>
      </c>
      <c r="N19" s="36">
        <f t="shared" ref="N19:N20" si="32">G19/W19*60</f>
        <v>1929.9999999999986</v>
      </c>
      <c r="O19" s="38">
        <f t="shared" ref="O19:O20" si="33">N19/M19</f>
        <v>160.83333333333323</v>
      </c>
      <c r="P19" s="39">
        <f t="shared" ref="P19:P20" si="34">M19-J19</f>
        <v>0</v>
      </c>
      <c r="Q19" s="40">
        <f t="shared" ref="Q19:Q20" si="35">O19-L19</f>
        <v>-5.8333333333334281</v>
      </c>
      <c r="R19" s="190">
        <f t="shared" ref="R19:R20" si="36">O19/L19</f>
        <v>0.96499999999999941</v>
      </c>
      <c r="S19" s="425"/>
      <c r="T19" s="41">
        <v>0.54513888888888884</v>
      </c>
      <c r="U19" s="41">
        <v>0.59513888888888888</v>
      </c>
      <c r="V19" s="177">
        <f t="shared" ref="V19:V20" si="37">(T19-U18)*24*60</f>
        <v>89.999999999999915</v>
      </c>
      <c r="W19" s="43">
        <f t="shared" si="28"/>
        <v>72.000000000000057</v>
      </c>
      <c r="X19" s="22">
        <v>0.48958333333333331</v>
      </c>
      <c r="Y19" s="263">
        <v>0.53125</v>
      </c>
      <c r="Z19" s="407"/>
      <c r="AA19" s="407"/>
      <c r="AB19" s="18">
        <f t="shared" si="23"/>
        <v>-70.000000000001364</v>
      </c>
      <c r="AC19" s="185">
        <f t="shared" si="24"/>
        <v>0.9649999999999993</v>
      </c>
      <c r="AD19" s="403"/>
    </row>
    <row r="20" spans="1:30" ht="15" customHeight="1">
      <c r="A20" s="432"/>
      <c r="B20" s="56" t="str">
        <f>VLOOKUP(D20,廠價表!$C$1:$E$39,2,0)</f>
        <v>義大利麵</v>
      </c>
      <c r="C20" s="10"/>
      <c r="D20" s="11" t="s">
        <v>206</v>
      </c>
      <c r="E20" s="86"/>
      <c r="F20" s="56">
        <f>VLOOKUP(D20,廠價表!$C$1:$E$39,3,0)</f>
        <v>56.43</v>
      </c>
      <c r="G20" s="96">
        <v>1247</v>
      </c>
      <c r="H20" s="15">
        <f t="shared" si="30"/>
        <v>70368.210000000006</v>
      </c>
      <c r="I20" s="177"/>
      <c r="J20" s="16">
        <f>VLOOKUP(D20,產線配置圖!$A$2:$C$38,2,0)</f>
        <v>15</v>
      </c>
      <c r="K20" s="14">
        <f>VLOOKUP(D20,產線配置圖!$A$2:$C$38,3,0)</f>
        <v>1636</v>
      </c>
      <c r="L20" s="17">
        <f t="shared" si="31"/>
        <v>109.06666666666666</v>
      </c>
      <c r="M20" s="37">
        <v>15</v>
      </c>
      <c r="N20" s="36">
        <f t="shared" si="32"/>
        <v>1467.0588235294124</v>
      </c>
      <c r="O20" s="38">
        <f t="shared" si="33"/>
        <v>97.803921568627487</v>
      </c>
      <c r="P20" s="39">
        <f t="shared" si="34"/>
        <v>0</v>
      </c>
      <c r="Q20" s="40">
        <f t="shared" si="35"/>
        <v>-11.262745098039176</v>
      </c>
      <c r="R20" s="190">
        <f t="shared" si="36"/>
        <v>0.89673522220624224</v>
      </c>
      <c r="S20" s="425"/>
      <c r="T20" s="41">
        <v>0.6020833333333333</v>
      </c>
      <c r="U20" s="41">
        <v>0.63749999999999996</v>
      </c>
      <c r="V20" s="177">
        <f t="shared" si="37"/>
        <v>9.9999999999999645</v>
      </c>
      <c r="W20" s="43">
        <f t="shared" si="28"/>
        <v>50.999999999999979</v>
      </c>
      <c r="X20" s="44"/>
      <c r="Y20" s="44"/>
      <c r="Z20" s="418"/>
      <c r="AA20" s="405"/>
      <c r="AB20" s="18">
        <f t="shared" si="23"/>
        <v>-168.94117647058761</v>
      </c>
      <c r="AC20" s="185">
        <f t="shared" si="24"/>
        <v>0.89673522220624224</v>
      </c>
      <c r="AD20" s="403"/>
    </row>
    <row r="21" spans="1:30" ht="15" customHeight="1">
      <c r="A21" s="433"/>
      <c r="B21" s="56"/>
      <c r="C21" s="10"/>
      <c r="D21" s="11"/>
      <c r="E21" s="86"/>
      <c r="F21" s="56"/>
      <c r="G21" s="96"/>
      <c r="H21" s="15"/>
      <c r="I21" s="177"/>
      <c r="J21" s="16"/>
      <c r="K21" s="14"/>
      <c r="L21" s="17"/>
      <c r="M21" s="37"/>
      <c r="N21" s="36"/>
      <c r="O21" s="38"/>
      <c r="P21" s="39"/>
      <c r="Q21" s="40"/>
      <c r="R21" s="190"/>
      <c r="S21" s="425"/>
      <c r="T21" s="41"/>
      <c r="U21" s="41"/>
      <c r="V21" s="177"/>
      <c r="W21" s="43">
        <f t="shared" si="28"/>
        <v>0</v>
      </c>
      <c r="X21" s="42"/>
      <c r="Y21" s="42"/>
      <c r="Z21" s="418"/>
      <c r="AA21" s="405"/>
      <c r="AB21" s="34"/>
      <c r="AC21" s="186"/>
      <c r="AD21" s="403"/>
    </row>
    <row r="22" spans="1:30" ht="15" customHeight="1">
      <c r="A22" s="433"/>
      <c r="B22" s="177"/>
      <c r="C22" s="183"/>
      <c r="D22" s="11"/>
      <c r="E22" s="12"/>
      <c r="F22" s="13"/>
      <c r="G22" s="36"/>
      <c r="H22" s="15">
        <f t="shared" si="25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90"/>
      <c r="S22" s="425"/>
      <c r="T22" s="41"/>
      <c r="U22" s="41"/>
      <c r="V22" s="42"/>
      <c r="W22" s="43">
        <v>0</v>
      </c>
      <c r="X22" s="42"/>
      <c r="Y22" s="42"/>
      <c r="Z22" s="418"/>
      <c r="AA22" s="405"/>
      <c r="AB22" s="34"/>
      <c r="AC22" s="186"/>
      <c r="AD22" s="403"/>
    </row>
    <row r="23" spans="1:30" ht="15" customHeight="1">
      <c r="A23" s="433"/>
      <c r="B23" s="56"/>
      <c r="C23" s="23"/>
      <c r="D23" s="11"/>
      <c r="E23" s="12"/>
      <c r="F23" s="56"/>
      <c r="G23" s="96"/>
      <c r="H23" s="15"/>
      <c r="I23" s="177"/>
      <c r="J23" s="16"/>
      <c r="K23" s="14"/>
      <c r="L23" s="17"/>
      <c r="M23" s="37"/>
      <c r="N23" s="36"/>
      <c r="O23" s="38"/>
      <c r="P23" s="39"/>
      <c r="Q23" s="40"/>
      <c r="R23" s="190"/>
      <c r="S23" s="425"/>
      <c r="T23" s="41"/>
      <c r="U23" s="41"/>
      <c r="W23" s="43">
        <f t="shared" si="28"/>
        <v>0</v>
      </c>
      <c r="X23" s="42"/>
      <c r="Y23" s="42"/>
      <c r="Z23" s="418"/>
      <c r="AA23" s="405"/>
      <c r="AB23" s="34"/>
      <c r="AC23" s="186"/>
      <c r="AD23" s="403"/>
    </row>
    <row r="24" spans="1:30" ht="15" customHeight="1">
      <c r="A24" s="433"/>
      <c r="B24" s="26"/>
      <c r="C24" s="27"/>
      <c r="D24" s="28"/>
      <c r="E24" s="29"/>
      <c r="F24" s="13"/>
      <c r="G24" s="36"/>
      <c r="H24" s="15">
        <f t="shared" si="25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90"/>
      <c r="S24" s="425"/>
      <c r="T24" s="41"/>
      <c r="U24" s="41"/>
      <c r="V24" s="42"/>
      <c r="W24" s="43">
        <f t="shared" si="28"/>
        <v>0</v>
      </c>
      <c r="X24" s="42"/>
      <c r="Y24" s="42"/>
      <c r="Z24" s="418"/>
      <c r="AA24" s="405"/>
      <c r="AB24" s="34"/>
      <c r="AC24" s="186"/>
      <c r="AD24" s="403"/>
    </row>
    <row r="25" spans="1:30" ht="15" customHeight="1">
      <c r="A25" s="433"/>
      <c r="B25" s="26"/>
      <c r="C25" s="27"/>
      <c r="D25" s="28"/>
      <c r="E25" s="29"/>
      <c r="F25" s="13"/>
      <c r="G25" s="36"/>
      <c r="H25" s="50">
        <f t="shared" si="25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90"/>
      <c r="S25" s="425"/>
      <c r="T25" s="41"/>
      <c r="U25" s="41"/>
      <c r="V25" s="42"/>
      <c r="W25" s="43">
        <f t="shared" si="28"/>
        <v>0</v>
      </c>
      <c r="X25" s="42"/>
      <c r="Y25" s="42"/>
      <c r="Z25" s="418"/>
      <c r="AA25" s="405"/>
      <c r="AB25" s="34"/>
      <c r="AC25" s="186"/>
      <c r="AD25" s="403"/>
    </row>
    <row r="26" spans="1:30" ht="15" customHeight="1" thickBot="1">
      <c r="A26" s="434"/>
      <c r="B26" s="132"/>
      <c r="C26" s="1" t="s">
        <v>35</v>
      </c>
      <c r="D26" s="410" t="s">
        <v>7</v>
      </c>
      <c r="E26" s="410"/>
      <c r="F26" s="133"/>
      <c r="G26" s="134"/>
      <c r="H26" s="135"/>
      <c r="I26" s="136"/>
      <c r="J26" s="134">
        <f t="shared" ref="J26:O26" si="38">AVERAGE(J16:J25)</f>
        <v>13</v>
      </c>
      <c r="K26" s="134">
        <f t="shared" si="38"/>
        <v>1948.2</v>
      </c>
      <c r="L26" s="137">
        <f t="shared" si="38"/>
        <v>151.63384615384615</v>
      </c>
      <c r="M26" s="134">
        <f t="shared" si="38"/>
        <v>13</v>
      </c>
      <c r="N26" s="134">
        <f t="shared" si="38"/>
        <v>1778.7518840460016</v>
      </c>
      <c r="O26" s="137">
        <f t="shared" si="38"/>
        <v>138.58328433622552</v>
      </c>
      <c r="P26" s="138">
        <f t="shared" ref="P26:P30" si="39">M26-J26</f>
        <v>0</v>
      </c>
      <c r="Q26" s="139">
        <f t="shared" ref="Q26:Q30" si="40">O26-L26</f>
        <v>-13.050561817620633</v>
      </c>
      <c r="R26" s="140">
        <f t="shared" ref="R26:R30" si="41">O26/L26</f>
        <v>0.91393371500727039</v>
      </c>
      <c r="S26" s="435"/>
      <c r="T26" s="141"/>
      <c r="U26" s="141"/>
      <c r="V26" s="146"/>
      <c r="W26" s="142"/>
      <c r="X26" s="143"/>
      <c r="Y26" s="143"/>
      <c r="Z26" s="420"/>
      <c r="AA26" s="391"/>
      <c r="AB26" s="119">
        <f>N26-K26</f>
        <v>-169.44811595399847</v>
      </c>
      <c r="AC26" s="187">
        <f>N26/K26</f>
        <v>0.91302324404373347</v>
      </c>
      <c r="AD26" s="404"/>
    </row>
    <row r="27" spans="1:30" ht="15" customHeight="1">
      <c r="A27" s="421" t="s">
        <v>54</v>
      </c>
      <c r="B27" s="229" t="s">
        <v>62</v>
      </c>
      <c r="C27" s="102"/>
      <c r="D27" s="103" t="s">
        <v>144</v>
      </c>
      <c r="E27" s="104"/>
      <c r="F27" s="199">
        <f>VLOOKUP(D27,廠價表!$C$1:$E$39,3,0)</f>
        <v>49.91</v>
      </c>
      <c r="G27" s="269">
        <v>1904</v>
      </c>
      <c r="H27" s="125">
        <f t="shared" ref="H27:H41" si="42">F27*G27</f>
        <v>95028.64</v>
      </c>
      <c r="I27" s="126"/>
      <c r="J27" s="16">
        <f>VLOOKUP(D27,產線配置圖!$A$2:$C$38,2,0)</f>
        <v>17</v>
      </c>
      <c r="K27" s="14">
        <f>VLOOKUP(D27,產線配置圖!$A$2:$C$38,3,0)</f>
        <v>1565</v>
      </c>
      <c r="L27" s="109">
        <f>K27/J27</f>
        <v>92.058823529411768</v>
      </c>
      <c r="M27" s="144">
        <v>18</v>
      </c>
      <c r="N27" s="127">
        <f>G27/W27*60</f>
        <v>1410.3703703703698</v>
      </c>
      <c r="O27" s="128">
        <f>N27/M27</f>
        <v>78.353909465020536</v>
      </c>
      <c r="P27" s="129">
        <f t="shared" si="39"/>
        <v>1</v>
      </c>
      <c r="Q27" s="130">
        <f t="shared" si="40"/>
        <v>-13.704914064391232</v>
      </c>
      <c r="R27" s="189">
        <f>O27/L27</f>
        <v>0.85112872901300263</v>
      </c>
      <c r="S27" s="424">
        <f>R37</f>
        <v>0.87106208171935373</v>
      </c>
      <c r="T27" s="94">
        <v>0.28888888888888886</v>
      </c>
      <c r="U27" s="94">
        <v>0.34513888888888888</v>
      </c>
      <c r="V27" s="126"/>
      <c r="W27" s="131">
        <f t="shared" si="28"/>
        <v>81.000000000000028</v>
      </c>
      <c r="X27" s="126"/>
      <c r="Y27" s="126" t="s">
        <v>147</v>
      </c>
      <c r="Z27" s="427"/>
      <c r="AA27" s="400"/>
      <c r="AB27" s="225">
        <f>N27-K27</f>
        <v>-154.62962962963024</v>
      </c>
      <c r="AC27" s="291">
        <f>N27/K27</f>
        <v>0.90119512483729702</v>
      </c>
      <c r="AD27" s="401">
        <f>AC37</f>
        <v>0.88523070672365567</v>
      </c>
    </row>
    <row r="28" spans="1:30" ht="15" customHeight="1">
      <c r="A28" s="422"/>
      <c r="B28" s="56" t="str">
        <f>VLOOKUP(D28,廠價表!$C$1:$E$39,2,0)</f>
        <v>義大利麵</v>
      </c>
      <c r="C28" s="10"/>
      <c r="D28" s="11" t="s">
        <v>137</v>
      </c>
      <c r="E28" s="86"/>
      <c r="F28" s="56">
        <f>VLOOKUP(D28,廠價表!$C$1:$E$39,3,0)</f>
        <v>55.13</v>
      </c>
      <c r="G28" s="53">
        <v>1833</v>
      </c>
      <c r="H28" s="50">
        <f t="shared" si="42"/>
        <v>101053.29000000001</v>
      </c>
      <c r="I28" s="42"/>
      <c r="J28" s="16">
        <f>VLOOKUP(D28,產線配置圖!$A$2:$C$38,2,0)</f>
        <v>18</v>
      </c>
      <c r="K28" s="14">
        <f>VLOOKUP(D28,產線配置圖!$A$2:$C$38,3,0)</f>
        <v>1385</v>
      </c>
      <c r="L28" s="235">
        <f>K28/J28</f>
        <v>76.944444444444443</v>
      </c>
      <c r="M28" s="21">
        <v>18</v>
      </c>
      <c r="N28" s="36">
        <f>G28/W28*60</f>
        <v>1264.1379310344826</v>
      </c>
      <c r="O28" s="38">
        <f>N28/M28</f>
        <v>70.22988505747125</v>
      </c>
      <c r="P28" s="39">
        <f t="shared" si="39"/>
        <v>0</v>
      </c>
      <c r="Q28" s="40">
        <f t="shared" si="40"/>
        <v>-6.7145593869731925</v>
      </c>
      <c r="R28" s="190">
        <f t="shared" si="41"/>
        <v>0.91273496825594402</v>
      </c>
      <c r="S28" s="425"/>
      <c r="T28" s="270">
        <v>0.35416666666666669</v>
      </c>
      <c r="U28" s="270">
        <v>0.41458333333333336</v>
      </c>
      <c r="V28" s="42">
        <f>(T28-U27)*24*60</f>
        <v>13.000000000000034</v>
      </c>
      <c r="W28" s="43">
        <f t="shared" si="28"/>
        <v>87.000000000000014</v>
      </c>
      <c r="X28" s="54"/>
      <c r="Y28" s="54"/>
      <c r="Z28" s="418"/>
      <c r="AA28" s="419"/>
      <c r="AB28" s="39">
        <f>N28-K28</f>
        <v>-120.86206896551744</v>
      </c>
      <c r="AC28" s="190">
        <f>N28/K28</f>
        <v>0.91273496825594413</v>
      </c>
      <c r="AD28" s="447"/>
    </row>
    <row r="29" spans="1:30" ht="15" customHeight="1">
      <c r="A29" s="422"/>
      <c r="B29" s="56" t="str">
        <f>VLOOKUP(D29,廠價表!$C$1:$E$39,2,0)</f>
        <v>義大利麵</v>
      </c>
      <c r="C29" s="10"/>
      <c r="D29" s="11" t="s">
        <v>158</v>
      </c>
      <c r="E29" s="86"/>
      <c r="F29" s="56">
        <f>VLOOKUP(D29,廠價表!$C$1:$E$39,3,0)</f>
        <v>47.71</v>
      </c>
      <c r="G29" s="53">
        <v>1736</v>
      </c>
      <c r="H29" s="50">
        <f t="shared" si="42"/>
        <v>82824.56</v>
      </c>
      <c r="I29" s="42"/>
      <c r="J29" s="16">
        <f>VLOOKUP(D29,產線配置圖!$A$2:$C$38,2,0)</f>
        <v>15</v>
      </c>
      <c r="K29" s="14">
        <f>VLOOKUP(D29,產線配置圖!$A$2:$C$38,3,0)</f>
        <v>1500</v>
      </c>
      <c r="L29" s="235">
        <f>K29/J29</f>
        <v>100</v>
      </c>
      <c r="M29" s="21">
        <v>15</v>
      </c>
      <c r="N29" s="36">
        <f>G29/W29*60</f>
        <v>1211.1627906976742</v>
      </c>
      <c r="O29" s="38">
        <f>N29/M29</f>
        <v>80.744186046511615</v>
      </c>
      <c r="P29" s="39">
        <f t="shared" si="39"/>
        <v>0</v>
      </c>
      <c r="Q29" s="40">
        <f t="shared" si="40"/>
        <v>-19.255813953488385</v>
      </c>
      <c r="R29" s="190">
        <f t="shared" si="41"/>
        <v>0.80744186046511612</v>
      </c>
      <c r="S29" s="425"/>
      <c r="T29" s="41">
        <v>0.4201388888888889</v>
      </c>
      <c r="U29" s="41">
        <v>0.47986111111111113</v>
      </c>
      <c r="V29" s="42">
        <f>(T29-U28)*24*60</f>
        <v>7.9999999999999716</v>
      </c>
      <c r="W29" s="43">
        <f t="shared" si="28"/>
        <v>86.000000000000014</v>
      </c>
      <c r="X29" s="22"/>
      <c r="Y29" s="22"/>
      <c r="Z29" s="418"/>
      <c r="AA29" s="419"/>
      <c r="AB29" s="292">
        <f>N29-K29</f>
        <v>-288.83720930232585</v>
      </c>
      <c r="AC29" s="190">
        <f>N29/K29</f>
        <v>0.80744186046511612</v>
      </c>
      <c r="AD29" s="447"/>
    </row>
    <row r="30" spans="1:30" ht="15" customHeight="1">
      <c r="A30" s="422"/>
      <c r="B30" s="56" t="str">
        <f>VLOOKUP(D30,廠價表!$C$1:$E$39,2,0)</f>
        <v>義大利麵</v>
      </c>
      <c r="C30" s="237"/>
      <c r="D30" s="11" t="s">
        <v>158</v>
      </c>
      <c r="E30" s="29"/>
      <c r="F30" s="56">
        <f>VLOOKUP(D30,廠價表!$C$1:$E$39,3,0)</f>
        <v>47.71</v>
      </c>
      <c r="G30" s="53">
        <v>2855</v>
      </c>
      <c r="H30" s="50">
        <f t="shared" si="42"/>
        <v>136212.04999999999</v>
      </c>
      <c r="I30" s="42"/>
      <c r="J30" s="16">
        <f>VLOOKUP(D30,產線配置圖!$A$2:$C$38,2,0)</f>
        <v>15</v>
      </c>
      <c r="K30" s="14">
        <f>VLOOKUP(D30,產線配置圖!$A$2:$C$38,3,0)</f>
        <v>1500</v>
      </c>
      <c r="L30" s="235">
        <f>K30/J30</f>
        <v>100</v>
      </c>
      <c r="M30" s="21">
        <v>15</v>
      </c>
      <c r="N30" s="36">
        <f>G30/W30*60</f>
        <v>1381.4516129032254</v>
      </c>
      <c r="O30" s="38">
        <f>N30/M30</f>
        <v>92.096774193548356</v>
      </c>
      <c r="P30" s="39">
        <f t="shared" si="39"/>
        <v>0</v>
      </c>
      <c r="Q30" s="40">
        <f t="shared" si="40"/>
        <v>-7.9032258064516441</v>
      </c>
      <c r="R30" s="190">
        <f t="shared" si="41"/>
        <v>0.92096774193548359</v>
      </c>
      <c r="S30" s="425"/>
      <c r="T30" s="41">
        <v>0.54652777777777772</v>
      </c>
      <c r="U30" s="41">
        <v>0.63263888888888886</v>
      </c>
      <c r="V30" s="42">
        <f>(T30-U29)*24*60</f>
        <v>95.999999999999901</v>
      </c>
      <c r="W30" s="43">
        <f t="shared" si="28"/>
        <v>124.00000000000004</v>
      </c>
      <c r="X30" s="54">
        <v>0.48958333333333331</v>
      </c>
      <c r="Y30" s="54">
        <v>0.53125</v>
      </c>
      <c r="Z30" s="449"/>
      <c r="AA30" s="450"/>
      <c r="AB30" s="292">
        <f>N30-K30</f>
        <v>-118.5483870967746</v>
      </c>
      <c r="AC30" s="190">
        <f>N30/K30</f>
        <v>0.92096774193548359</v>
      </c>
      <c r="AD30" s="448"/>
    </row>
    <row r="31" spans="1:30" ht="15" customHeight="1">
      <c r="A31" s="422"/>
      <c r="B31" s="56"/>
      <c r="C31" s="237"/>
      <c r="D31" s="11"/>
      <c r="E31" s="29"/>
      <c r="F31" s="56"/>
      <c r="G31" s="53"/>
      <c r="H31" s="50"/>
      <c r="I31" s="42"/>
      <c r="J31" s="16"/>
      <c r="K31" s="14"/>
      <c r="L31" s="235"/>
      <c r="M31" s="21"/>
      <c r="N31" s="36"/>
      <c r="O31" s="38"/>
      <c r="P31" s="39"/>
      <c r="Q31" s="40"/>
      <c r="R31" s="190"/>
      <c r="S31" s="425"/>
      <c r="T31" s="41"/>
      <c r="U31" s="41"/>
      <c r="V31" s="42"/>
      <c r="W31" s="43">
        <f t="shared" si="28"/>
        <v>0</v>
      </c>
      <c r="X31" s="54"/>
      <c r="Y31" s="54"/>
      <c r="Z31" s="449"/>
      <c r="AA31" s="450"/>
      <c r="AB31" s="257"/>
      <c r="AC31" s="258"/>
      <c r="AD31" s="403"/>
    </row>
    <row r="32" spans="1:30" ht="15" customHeight="1">
      <c r="A32" s="422"/>
      <c r="B32" s="56"/>
      <c r="C32" s="252"/>
      <c r="D32" s="253"/>
      <c r="E32" s="254"/>
      <c r="F32" s="56"/>
      <c r="G32" s="53"/>
      <c r="H32" s="50"/>
      <c r="I32" s="42"/>
      <c r="J32" s="255"/>
      <c r="K32" s="36"/>
      <c r="L32" s="256"/>
      <c r="M32" s="21"/>
      <c r="N32" s="36"/>
      <c r="O32" s="38"/>
      <c r="P32" s="39"/>
      <c r="Q32" s="40"/>
      <c r="R32" s="190"/>
      <c r="S32" s="425"/>
      <c r="T32" s="41"/>
      <c r="U32" s="41"/>
      <c r="V32" s="42"/>
      <c r="W32" s="43">
        <f t="shared" si="28"/>
        <v>0</v>
      </c>
      <c r="X32" s="54"/>
      <c r="Y32" s="54"/>
      <c r="Z32" s="418"/>
      <c r="AA32" s="405"/>
      <c r="AB32" s="18"/>
      <c r="AC32" s="185"/>
      <c r="AD32" s="403"/>
    </row>
    <row r="33" spans="1:30" ht="15" customHeight="1">
      <c r="A33" s="422"/>
      <c r="B33" s="240"/>
      <c r="C33" s="241"/>
      <c r="D33" s="242"/>
      <c r="E33" s="243"/>
      <c r="F33" s="223"/>
      <c r="G33" s="244"/>
      <c r="H33" s="245">
        <f t="shared" si="42"/>
        <v>0</v>
      </c>
      <c r="I33" s="246"/>
      <c r="J33" s="247"/>
      <c r="K33" s="45"/>
      <c r="M33" s="248"/>
      <c r="N33" s="45"/>
      <c r="O33" s="46"/>
      <c r="P33" s="47"/>
      <c r="Q33" s="48"/>
      <c r="R33" s="49"/>
      <c r="S33" s="425"/>
      <c r="T33" s="41"/>
      <c r="U33" s="41"/>
      <c r="V33" s="42"/>
      <c r="W33" s="43">
        <f t="shared" si="28"/>
        <v>0</v>
      </c>
      <c r="X33" s="54"/>
      <c r="Y33" s="54"/>
      <c r="Z33" s="418"/>
      <c r="AA33" s="405"/>
      <c r="AB33" s="18"/>
      <c r="AC33" s="57"/>
      <c r="AD33" s="403"/>
    </row>
    <row r="34" spans="1:30" ht="15" customHeight="1">
      <c r="A34" s="422"/>
      <c r="B34" s="231"/>
      <c r="C34" s="27"/>
      <c r="D34" s="28"/>
      <c r="E34" s="29"/>
      <c r="F34" s="13"/>
      <c r="G34" s="53"/>
      <c r="H34" s="50">
        <f t="shared" si="42"/>
        <v>0</v>
      </c>
      <c r="I34" s="42"/>
      <c r="J34" s="37"/>
      <c r="K34" s="36"/>
      <c r="L34" s="38"/>
      <c r="M34" s="21"/>
      <c r="N34" s="36"/>
      <c r="O34" s="38"/>
      <c r="P34" s="39"/>
      <c r="Q34" s="40"/>
      <c r="R34" s="190"/>
      <c r="S34" s="425"/>
      <c r="T34" s="41"/>
      <c r="U34" s="41"/>
      <c r="V34" s="42"/>
      <c r="W34" s="43">
        <f t="shared" si="28"/>
        <v>0</v>
      </c>
      <c r="X34" s="54"/>
      <c r="Y34" s="54"/>
      <c r="Z34" s="418"/>
      <c r="AA34" s="405"/>
      <c r="AB34" s="18"/>
      <c r="AC34" s="57"/>
      <c r="AD34" s="403"/>
    </row>
    <row r="35" spans="1:30" ht="15" customHeight="1">
      <c r="A35" s="422"/>
      <c r="B35" s="231"/>
      <c r="C35" s="27"/>
      <c r="D35" s="28"/>
      <c r="E35" s="29"/>
      <c r="F35" s="13"/>
      <c r="G35" s="53"/>
      <c r="H35" s="50">
        <f t="shared" si="42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90"/>
      <c r="S35" s="425"/>
      <c r="T35" s="41"/>
      <c r="U35" s="41"/>
      <c r="V35" s="42"/>
      <c r="W35" s="43">
        <f t="shared" si="28"/>
        <v>0</v>
      </c>
      <c r="X35" s="54"/>
      <c r="Y35" s="54"/>
      <c r="Z35" s="418"/>
      <c r="AA35" s="405"/>
      <c r="AB35" s="18"/>
      <c r="AC35" s="57"/>
      <c r="AD35" s="403"/>
    </row>
    <row r="36" spans="1:30" ht="15" customHeight="1">
      <c r="A36" s="422"/>
      <c r="B36" s="232"/>
      <c r="C36" s="27"/>
      <c r="D36" s="28"/>
      <c r="E36" s="29"/>
      <c r="F36" s="13"/>
      <c r="G36" s="53"/>
      <c r="H36" s="50">
        <f t="shared" si="42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90"/>
      <c r="S36" s="425"/>
      <c r="T36" s="41"/>
      <c r="U36" s="41"/>
      <c r="V36" s="42"/>
      <c r="W36" s="43">
        <f t="shared" si="28"/>
        <v>0</v>
      </c>
      <c r="X36" s="54"/>
      <c r="Y36" s="54"/>
      <c r="Z36" s="418"/>
      <c r="AA36" s="405"/>
      <c r="AB36" s="18"/>
      <c r="AC36" s="57"/>
      <c r="AD36" s="403"/>
    </row>
    <row r="37" spans="1:30" ht="15" customHeight="1" thickBot="1">
      <c r="A37" s="423"/>
      <c r="B37" s="300"/>
      <c r="C37" s="301" t="s">
        <v>36</v>
      </c>
      <c r="D37" s="428" t="s">
        <v>7</v>
      </c>
      <c r="E37" s="429"/>
      <c r="F37" s="281"/>
      <c r="G37" s="282"/>
      <c r="H37" s="283"/>
      <c r="I37" s="284"/>
      <c r="J37" s="285">
        <f t="shared" ref="J37:O37" si="43">AVERAGE(J27:J36)</f>
        <v>16.25</v>
      </c>
      <c r="K37" s="285">
        <f t="shared" si="43"/>
        <v>1487.5</v>
      </c>
      <c r="L37" s="286">
        <f t="shared" si="43"/>
        <v>92.250816993464056</v>
      </c>
      <c r="M37" s="285">
        <f t="shared" si="43"/>
        <v>16.5</v>
      </c>
      <c r="N37" s="285">
        <f t="shared" si="43"/>
        <v>1316.7806762514379</v>
      </c>
      <c r="O37" s="286">
        <f t="shared" si="43"/>
        <v>80.356188690637936</v>
      </c>
      <c r="P37" s="73">
        <f>M37-J37</f>
        <v>0.25</v>
      </c>
      <c r="Q37" s="74">
        <f>N37-K37</f>
        <v>-170.71932374856215</v>
      </c>
      <c r="R37" s="287">
        <f t="shared" ref="R37:R41" si="44">O37/L37</f>
        <v>0.87106208171935373</v>
      </c>
      <c r="S37" s="426"/>
      <c r="T37" s="302"/>
      <c r="U37" s="302"/>
      <c r="V37" s="81"/>
      <c r="W37" s="81"/>
      <c r="X37" s="303"/>
      <c r="Y37" s="303"/>
      <c r="Z37" s="480"/>
      <c r="AA37" s="481"/>
      <c r="AB37" s="34">
        <f t="shared" ref="AB37:AB40" si="45">N37-K37</f>
        <v>-170.71932374856215</v>
      </c>
      <c r="AC37" s="186">
        <f t="shared" ref="AC37:AC40" si="46">N37/K37</f>
        <v>0.88523070672365567</v>
      </c>
      <c r="AD37" s="403"/>
    </row>
    <row r="38" spans="1:30" s="62" customFormat="1" ht="15" customHeight="1">
      <c r="A38" s="454" t="s">
        <v>55</v>
      </c>
      <c r="B38" s="229" t="s">
        <v>134</v>
      </c>
      <c r="C38" s="199"/>
      <c r="D38" s="304" t="s">
        <v>154</v>
      </c>
      <c r="E38" s="280"/>
      <c r="F38" s="305">
        <f>VLOOKUP(D38,廠價表!$C$1:$E$39,3,0)</f>
        <v>57.3</v>
      </c>
      <c r="G38" s="266">
        <v>2440</v>
      </c>
      <c r="H38" s="125">
        <f t="shared" si="42"/>
        <v>139812</v>
      </c>
      <c r="I38" s="126"/>
      <c r="J38" s="274">
        <v>16</v>
      </c>
      <c r="K38" s="236">
        <v>1500</v>
      </c>
      <c r="L38" s="288">
        <f t="shared" ref="L38:L41" si="47">K38/J38</f>
        <v>93.75</v>
      </c>
      <c r="M38" s="289">
        <v>13</v>
      </c>
      <c r="N38" s="127">
        <f>G38/W38*60</f>
        <v>1084.4444444444443</v>
      </c>
      <c r="O38" s="128">
        <f>N38/M38</f>
        <v>83.418803418803407</v>
      </c>
      <c r="P38" s="129">
        <f t="shared" ref="P38:P41" si="48">M38-J38</f>
        <v>-3</v>
      </c>
      <c r="Q38" s="130">
        <f t="shared" ref="Q38:Q41" si="49">O38-L38</f>
        <v>-10.331196581196593</v>
      </c>
      <c r="R38" s="189">
        <f t="shared" si="44"/>
        <v>0.88980056980056965</v>
      </c>
      <c r="S38" s="457">
        <f>R48</f>
        <v>0.82405451282276576</v>
      </c>
      <c r="T38" s="151">
        <v>0.33194444444444443</v>
      </c>
      <c r="U38" s="151">
        <v>0.42569444444444443</v>
      </c>
      <c r="V38" s="148"/>
      <c r="W38" s="152">
        <f t="shared" si="28"/>
        <v>135</v>
      </c>
      <c r="X38" s="150"/>
      <c r="Y38" s="153"/>
      <c r="Z38" s="478"/>
      <c r="AA38" s="460"/>
      <c r="AB38" s="290">
        <f t="shared" si="45"/>
        <v>-415.55555555555566</v>
      </c>
      <c r="AC38" s="154">
        <f t="shared" si="46"/>
        <v>0.72296296296296292</v>
      </c>
      <c r="AD38" s="436">
        <f>AC48</f>
        <v>0.76010006954862308</v>
      </c>
    </row>
    <row r="39" spans="1:30" s="62" customFormat="1" ht="15" customHeight="1">
      <c r="A39" s="455"/>
      <c r="B39" s="56" t="s">
        <v>134</v>
      </c>
      <c r="C39" s="277"/>
      <c r="D39" s="279" t="s">
        <v>156</v>
      </c>
      <c r="E39" s="278"/>
      <c r="F39" s="56">
        <f>VLOOKUP(D39,廠價表!$C$1:$E$39,3,0)</f>
        <v>56.43</v>
      </c>
      <c r="G39" s="276">
        <v>1037</v>
      </c>
      <c r="H39" s="50">
        <f t="shared" si="42"/>
        <v>58517.909999999996</v>
      </c>
      <c r="I39" s="64"/>
      <c r="J39" s="37">
        <v>17</v>
      </c>
      <c r="K39" s="36">
        <f>VLOOKUP(D39,產線配置圖!$A$2:$C$38,3,0)</f>
        <v>1406</v>
      </c>
      <c r="L39" s="38">
        <f t="shared" si="47"/>
        <v>82.705882352941174</v>
      </c>
      <c r="M39" s="65">
        <v>15</v>
      </c>
      <c r="N39" s="66">
        <f>G39/W39*60</f>
        <v>957.23076923076906</v>
      </c>
      <c r="O39" s="67">
        <f t="shared" ref="O39:O41" si="50">N39/M39</f>
        <v>63.815384615384602</v>
      </c>
      <c r="P39" s="39">
        <f t="shared" si="48"/>
        <v>-2</v>
      </c>
      <c r="Q39" s="40">
        <f t="shared" si="49"/>
        <v>-18.890497737556572</v>
      </c>
      <c r="R39" s="190">
        <f t="shared" si="44"/>
        <v>0.77159426633110828</v>
      </c>
      <c r="S39" s="458"/>
      <c r="T39" s="59">
        <v>0.43402777777777779</v>
      </c>
      <c r="U39" s="59">
        <v>0.47916666666666669</v>
      </c>
      <c r="V39" s="42">
        <f>(T39-U38)*24*60</f>
        <v>12.000000000000037</v>
      </c>
      <c r="W39" s="69">
        <f t="shared" si="28"/>
        <v>65.000000000000014</v>
      </c>
      <c r="X39" s="22"/>
      <c r="Y39" s="22"/>
      <c r="Z39" s="439" t="s">
        <v>253</v>
      </c>
      <c r="AA39" s="440"/>
      <c r="AB39" s="271">
        <f t="shared" si="45"/>
        <v>-448.76923076923094</v>
      </c>
      <c r="AC39" s="61">
        <f t="shared" si="46"/>
        <v>0.68081847029215437</v>
      </c>
      <c r="AD39" s="437"/>
    </row>
    <row r="40" spans="1:30" s="62" customFormat="1" ht="15" customHeight="1">
      <c r="A40" s="455"/>
      <c r="B40" s="56" t="s">
        <v>134</v>
      </c>
      <c r="C40" s="275"/>
      <c r="D40" s="279" t="s">
        <v>206</v>
      </c>
      <c r="E40" s="243"/>
      <c r="F40" s="56">
        <f>VLOOKUP(D40,廠價表!$C$1:$E$39,3,0)</f>
        <v>56.43</v>
      </c>
      <c r="G40" s="276">
        <v>1237</v>
      </c>
      <c r="H40" s="50">
        <f t="shared" si="42"/>
        <v>69803.91</v>
      </c>
      <c r="I40" s="64"/>
      <c r="J40" s="37">
        <f>VLOOKUP(D40,產線配置圖!$A$2:$C$38,2,0)</f>
        <v>15</v>
      </c>
      <c r="K40" s="36">
        <f>VLOOKUP(D40,產線配置圖!$A$2:$C$38,3,0)</f>
        <v>1636</v>
      </c>
      <c r="L40" s="38">
        <f t="shared" si="47"/>
        <v>109.06666666666666</v>
      </c>
      <c r="M40" s="65">
        <v>15</v>
      </c>
      <c r="N40" s="66">
        <f>G40/W40*60</f>
        <v>1484.3999999999983</v>
      </c>
      <c r="O40" s="67">
        <f t="shared" si="50"/>
        <v>98.95999999999988</v>
      </c>
      <c r="P40" s="39">
        <f t="shared" si="48"/>
        <v>0</v>
      </c>
      <c r="Q40" s="40">
        <f t="shared" si="49"/>
        <v>-10.106666666666783</v>
      </c>
      <c r="R40" s="190">
        <f t="shared" si="44"/>
        <v>0.90733496332518226</v>
      </c>
      <c r="S40" s="397"/>
      <c r="T40" s="59">
        <v>0.4861111111111111</v>
      </c>
      <c r="U40" s="59">
        <v>0.52083333333333337</v>
      </c>
      <c r="V40" s="42">
        <f>(T40-U39)*24*60</f>
        <v>9.9999999999999645</v>
      </c>
      <c r="W40" s="69">
        <f t="shared" si="28"/>
        <v>50.000000000000064</v>
      </c>
      <c r="X40" s="70"/>
      <c r="Y40" s="259"/>
      <c r="Z40" s="439"/>
      <c r="AA40" s="440"/>
      <c r="AB40" s="271">
        <f t="shared" si="45"/>
        <v>-151.60000000000173</v>
      </c>
      <c r="AC40" s="61">
        <f t="shared" si="46"/>
        <v>0.90733496332518226</v>
      </c>
      <c r="AD40" s="437"/>
    </row>
    <row r="41" spans="1:30" s="62" customFormat="1" ht="15" customHeight="1">
      <c r="A41" s="455"/>
      <c r="B41" s="56" t="s">
        <v>134</v>
      </c>
      <c r="C41" s="275"/>
      <c r="D41" s="279" t="s">
        <v>156</v>
      </c>
      <c r="E41" s="243"/>
      <c r="F41" s="56">
        <f>VLOOKUP(D41,廠價表!$C$1:$E$39,3,0)</f>
        <v>56.43</v>
      </c>
      <c r="G41" s="276">
        <v>995</v>
      </c>
      <c r="H41" s="50">
        <f t="shared" si="42"/>
        <v>56147.85</v>
      </c>
      <c r="I41" s="64"/>
      <c r="J41" s="37">
        <f>VLOOKUP(D41,產線配置圖!$A$2:$C$38,2,0)</f>
        <v>15</v>
      </c>
      <c r="K41" s="36">
        <f>VLOOKUP(D41,產線配置圖!$A$2:$C$38,3,0)</f>
        <v>1406</v>
      </c>
      <c r="L41" s="38">
        <f t="shared" si="47"/>
        <v>93.733333333333334</v>
      </c>
      <c r="M41" s="65">
        <v>15</v>
      </c>
      <c r="N41" s="66">
        <f>G41/W41*60</f>
        <v>994.99999999999818</v>
      </c>
      <c r="O41" s="67">
        <f t="shared" si="50"/>
        <v>66.333333333333215</v>
      </c>
      <c r="P41" s="39">
        <f t="shared" si="48"/>
        <v>0</v>
      </c>
      <c r="Q41" s="40">
        <f t="shared" si="49"/>
        <v>-27.400000000000119</v>
      </c>
      <c r="R41" s="190">
        <f t="shared" si="44"/>
        <v>0.70768136557610117</v>
      </c>
      <c r="S41" s="397"/>
      <c r="T41" s="59">
        <v>0.57638888888888884</v>
      </c>
      <c r="U41" s="59">
        <v>0.61805555555555558</v>
      </c>
      <c r="V41" s="42">
        <f>(T41-U40)*24*60</f>
        <v>79.999999999999872</v>
      </c>
      <c r="W41" s="69">
        <f t="shared" si="28"/>
        <v>60.000000000000107</v>
      </c>
      <c r="X41" s="70">
        <v>0.52777777777777779</v>
      </c>
      <c r="Y41" s="259">
        <v>0.56944444444444442</v>
      </c>
      <c r="Z41" s="439" t="s">
        <v>253</v>
      </c>
      <c r="AA41" s="440"/>
      <c r="AB41" s="271">
        <f t="shared" ref="AB41" si="51">N41-K41</f>
        <v>-411.00000000000182</v>
      </c>
      <c r="AC41" s="61">
        <f t="shared" ref="AC41" si="52">N41/K41</f>
        <v>0.70768136557610117</v>
      </c>
      <c r="AD41" s="437"/>
    </row>
    <row r="42" spans="1:30" s="62" customFormat="1" ht="15" customHeight="1">
      <c r="A42" s="455"/>
      <c r="B42" s="56"/>
      <c r="C42" s="23"/>
      <c r="D42" s="279"/>
      <c r="E42" s="12"/>
      <c r="F42" s="56"/>
      <c r="G42" s="276"/>
      <c r="H42" s="63"/>
      <c r="I42" s="64"/>
      <c r="J42" s="37"/>
      <c r="K42" s="36"/>
      <c r="L42" s="38"/>
      <c r="M42" s="65"/>
      <c r="N42" s="66"/>
      <c r="O42" s="67"/>
      <c r="P42" s="39"/>
      <c r="Q42" s="40"/>
      <c r="R42" s="190"/>
      <c r="S42" s="397"/>
      <c r="T42" s="75"/>
      <c r="U42" s="75"/>
      <c r="V42" s="42"/>
      <c r="W42" s="69">
        <f t="shared" si="28"/>
        <v>0</v>
      </c>
      <c r="X42" s="70"/>
      <c r="Y42" s="60"/>
      <c r="Z42" s="445"/>
      <c r="AA42" s="446"/>
      <c r="AB42" s="271"/>
      <c r="AC42" s="61"/>
      <c r="AD42" s="437"/>
    </row>
    <row r="43" spans="1:30" s="62" customFormat="1" ht="15" customHeight="1">
      <c r="A43" s="455"/>
      <c r="B43" s="230"/>
      <c r="C43" s="23"/>
      <c r="D43" s="11"/>
      <c r="E43" s="12"/>
      <c r="F43" s="13"/>
      <c r="G43" s="100"/>
      <c r="H43" s="63">
        <f t="shared" ref="H43:H47" si="53">F43*G43</f>
        <v>0</v>
      </c>
      <c r="I43" s="64"/>
      <c r="J43" s="65"/>
      <c r="K43" s="66"/>
      <c r="L43" s="67"/>
      <c r="M43" s="65"/>
      <c r="N43" s="66"/>
      <c r="O43" s="67"/>
      <c r="P43" s="39"/>
      <c r="Q43" s="40"/>
      <c r="R43" s="68"/>
      <c r="S43" s="397"/>
      <c r="T43" s="75"/>
      <c r="U43" s="75"/>
      <c r="V43" s="64"/>
      <c r="W43" s="69">
        <f>(U43-T43)*24*60</f>
        <v>0</v>
      </c>
      <c r="X43" s="70"/>
      <c r="Y43" s="67"/>
      <c r="Z43" s="405"/>
      <c r="AA43" s="405"/>
      <c r="AB43" s="71"/>
      <c r="AC43" s="61"/>
      <c r="AD43" s="437"/>
    </row>
    <row r="44" spans="1:30" s="62" customFormat="1" ht="15" customHeight="1">
      <c r="A44" s="455"/>
      <c r="B44" s="230"/>
      <c r="C44" s="183"/>
      <c r="D44" s="11"/>
      <c r="E44" s="12"/>
      <c r="F44" s="13"/>
      <c r="G44" s="100"/>
      <c r="H44" s="63">
        <f t="shared" si="53"/>
        <v>0</v>
      </c>
      <c r="I44" s="64"/>
      <c r="J44" s="65"/>
      <c r="K44" s="66"/>
      <c r="L44" s="58"/>
      <c r="M44" s="65"/>
      <c r="N44" s="66"/>
      <c r="O44" s="67"/>
      <c r="P44" s="39"/>
      <c r="Q44" s="40"/>
      <c r="R44" s="68"/>
      <c r="S44" s="397"/>
      <c r="T44" s="59"/>
      <c r="U44" s="59"/>
      <c r="V44" s="64"/>
      <c r="W44" s="69">
        <f t="shared" ref="W44:W48" si="54">(U44-T44)*24*60</f>
        <v>0</v>
      </c>
      <c r="X44" s="70"/>
      <c r="Y44" s="67"/>
      <c r="Z44" s="405"/>
      <c r="AA44" s="405"/>
      <c r="AB44" s="71"/>
      <c r="AC44" s="61"/>
      <c r="AD44" s="437"/>
    </row>
    <row r="45" spans="1:30" s="62" customFormat="1" ht="15" customHeight="1">
      <c r="A45" s="455"/>
      <c r="B45" s="231"/>
      <c r="C45" s="27"/>
      <c r="D45" s="28"/>
      <c r="E45" s="29"/>
      <c r="F45" s="13"/>
      <c r="G45" s="66"/>
      <c r="H45" s="63">
        <f t="shared" si="53"/>
        <v>0</v>
      </c>
      <c r="I45" s="64"/>
      <c r="J45" s="65"/>
      <c r="K45" s="66"/>
      <c r="L45" s="67"/>
      <c r="M45" s="65"/>
      <c r="N45" s="66"/>
      <c r="O45" s="67"/>
      <c r="P45" s="39"/>
      <c r="Q45" s="40"/>
      <c r="R45" s="68"/>
      <c r="S45" s="397"/>
      <c r="T45" s="75"/>
      <c r="U45" s="75"/>
      <c r="V45" s="64"/>
      <c r="W45" s="69">
        <f t="shared" si="54"/>
        <v>0</v>
      </c>
      <c r="X45" s="70"/>
      <c r="Y45" s="67"/>
      <c r="Z45" s="405"/>
      <c r="AA45" s="405"/>
      <c r="AB45" s="71"/>
      <c r="AC45" s="61"/>
      <c r="AD45" s="437"/>
    </row>
    <row r="46" spans="1:30" s="62" customFormat="1" ht="15" customHeight="1">
      <c r="A46" s="455"/>
      <c r="B46" s="231"/>
      <c r="C46" s="27"/>
      <c r="D46" s="28"/>
      <c r="E46" s="29"/>
      <c r="F46" s="13"/>
      <c r="G46" s="66"/>
      <c r="H46" s="63">
        <f t="shared" si="53"/>
        <v>0</v>
      </c>
      <c r="I46" s="64"/>
      <c r="J46" s="65"/>
      <c r="K46" s="66"/>
      <c r="L46" s="67"/>
      <c r="M46" s="65"/>
      <c r="N46" s="66"/>
      <c r="O46" s="67"/>
      <c r="P46" s="39"/>
      <c r="Q46" s="40"/>
      <c r="R46" s="68"/>
      <c r="S46" s="397"/>
      <c r="T46" s="59"/>
      <c r="U46" s="59"/>
      <c r="V46" s="64"/>
      <c r="W46" s="69">
        <f t="shared" si="54"/>
        <v>0</v>
      </c>
      <c r="X46" s="70"/>
      <c r="Y46" s="67"/>
      <c r="Z46" s="405"/>
      <c r="AA46" s="405"/>
      <c r="AB46" s="71"/>
      <c r="AC46" s="61"/>
      <c r="AD46" s="437"/>
    </row>
    <row r="47" spans="1:30" s="62" customFormat="1" ht="15" customHeight="1">
      <c r="A47" s="455"/>
      <c r="B47" s="230"/>
      <c r="C47" s="27"/>
      <c r="D47" s="28"/>
      <c r="E47" s="29"/>
      <c r="F47" s="13"/>
      <c r="G47" s="66"/>
      <c r="H47" s="63">
        <f t="shared" si="53"/>
        <v>0</v>
      </c>
      <c r="I47" s="64"/>
      <c r="J47" s="65"/>
      <c r="K47" s="66"/>
      <c r="L47" s="67"/>
      <c r="M47" s="65"/>
      <c r="N47" s="66"/>
      <c r="O47" s="67"/>
      <c r="P47" s="39"/>
      <c r="Q47" s="40"/>
      <c r="R47" s="68"/>
      <c r="S47" s="397"/>
      <c r="T47" s="75"/>
      <c r="U47" s="75"/>
      <c r="V47" s="64"/>
      <c r="W47" s="69">
        <f t="shared" si="54"/>
        <v>0</v>
      </c>
      <c r="X47" s="70"/>
      <c r="Y47" s="67"/>
      <c r="Z47" s="405"/>
      <c r="AA47" s="405"/>
      <c r="AB47" s="71"/>
      <c r="AC47" s="61"/>
      <c r="AD47" s="437"/>
    </row>
    <row r="48" spans="1:30" ht="15" customHeight="1" thickBot="1">
      <c r="A48" s="456"/>
      <c r="B48" s="156"/>
      <c r="C48" s="1" t="s">
        <v>37</v>
      </c>
      <c r="D48" s="410" t="s">
        <v>7</v>
      </c>
      <c r="E48" s="410"/>
      <c r="F48" s="133"/>
      <c r="G48" s="145"/>
      <c r="H48" s="135"/>
      <c r="I48" s="136"/>
      <c r="J48" s="134">
        <f t="shared" ref="J48:O48" si="55">AVERAGE(J38:J47)</f>
        <v>15.75</v>
      </c>
      <c r="K48" s="134">
        <f t="shared" si="55"/>
        <v>1487</v>
      </c>
      <c r="L48" s="137">
        <f t="shared" si="55"/>
        <v>94.813970588235293</v>
      </c>
      <c r="M48" s="134">
        <f t="shared" si="55"/>
        <v>14.5</v>
      </c>
      <c r="N48" s="134">
        <f t="shared" si="55"/>
        <v>1130.2688034188025</v>
      </c>
      <c r="O48" s="137">
        <f t="shared" si="55"/>
        <v>78.131880341880276</v>
      </c>
      <c r="P48" s="157">
        <f>M48-J48</f>
        <v>-1.25</v>
      </c>
      <c r="Q48" s="158">
        <f>N48-K48</f>
        <v>-356.73119658119754</v>
      </c>
      <c r="R48" s="159">
        <f>O48/L48</f>
        <v>0.82405451282276576</v>
      </c>
      <c r="S48" s="399"/>
      <c r="T48" s="160"/>
      <c r="U48" s="160"/>
      <c r="V48" s="196"/>
      <c r="W48" s="161">
        <f t="shared" si="54"/>
        <v>0</v>
      </c>
      <c r="X48" s="162"/>
      <c r="Y48" s="162"/>
      <c r="Z48" s="391"/>
      <c r="AA48" s="391"/>
      <c r="AB48" s="163">
        <f>N48-K48</f>
        <v>-356.73119658119754</v>
      </c>
      <c r="AC48" s="191">
        <f>N48/K48</f>
        <v>0.76010006954862308</v>
      </c>
      <c r="AD48" s="438"/>
    </row>
    <row r="49" spans="1:30" ht="15" customHeight="1">
      <c r="A49" s="451" t="s">
        <v>56</v>
      </c>
      <c r="B49" s="199" t="str">
        <f>VLOOKUP(D49,廠價表!$C$1:$E$39,2,0)</f>
        <v>義大利麵</v>
      </c>
      <c r="C49" s="102"/>
      <c r="D49" s="103" t="s">
        <v>152</v>
      </c>
      <c r="E49" s="104"/>
      <c r="F49" s="199">
        <f>VLOOKUP(D49,廠價表!$C$1:$E$39,3,0)</f>
        <v>56.87</v>
      </c>
      <c r="G49" s="149">
        <v>2212</v>
      </c>
      <c r="H49" s="125">
        <f t="shared" ref="H49:H57" si="56">F49*G49</f>
        <v>125796.43999999999</v>
      </c>
      <c r="I49" s="126"/>
      <c r="J49" s="16">
        <f>VLOOKUP(D49,產線配置圖!$A$2:$C$38,2,0)</f>
        <v>19</v>
      </c>
      <c r="K49" s="14">
        <f>VLOOKUP(D49,產線配置圖!$A$2:$C$38,3,0)</f>
        <v>1565</v>
      </c>
      <c r="L49" s="109">
        <f>K49/J49</f>
        <v>82.368421052631575</v>
      </c>
      <c r="M49" s="144">
        <v>19</v>
      </c>
      <c r="N49" s="127">
        <f>G49/W49*60</f>
        <v>1525.5172413793116</v>
      </c>
      <c r="O49" s="128">
        <f>N49/M49</f>
        <v>80.290381125226929</v>
      </c>
      <c r="P49" s="164">
        <f>M49-J49</f>
        <v>0</v>
      </c>
      <c r="Q49" s="112">
        <f>O49-L49</f>
        <v>-2.0780399274046459</v>
      </c>
      <c r="R49" s="184">
        <f>O49/L49</f>
        <v>0.97477140024237174</v>
      </c>
      <c r="S49" s="396">
        <f>R58</f>
        <v>0.96090488877424274</v>
      </c>
      <c r="T49" s="151">
        <v>0.2902777777777778</v>
      </c>
      <c r="U49" s="151">
        <v>0.35069444444444442</v>
      </c>
      <c r="V49" s="188"/>
      <c r="W49" s="152">
        <f t="shared" si="28"/>
        <v>86.999999999999929</v>
      </c>
      <c r="X49" s="188"/>
      <c r="Y49" s="188"/>
      <c r="Z49" s="400"/>
      <c r="AA49" s="400"/>
      <c r="AB49" s="111">
        <f>N49-K49</f>
        <v>-39.482758620688401</v>
      </c>
      <c r="AC49" s="184">
        <f>N49/K49</f>
        <v>0.97477140024237163</v>
      </c>
      <c r="AD49" s="401">
        <f>AC58</f>
        <v>0.97506001298267153</v>
      </c>
    </row>
    <row r="50" spans="1:30" ht="15" customHeight="1">
      <c r="A50" s="452"/>
      <c r="B50" s="56" t="str">
        <f>VLOOKUP(D50,廠價表!$C$1:$E$39,2,0)</f>
        <v>熱乾麵</v>
      </c>
      <c r="C50" s="10"/>
      <c r="D50" s="11" t="s">
        <v>144</v>
      </c>
      <c r="E50" s="86"/>
      <c r="F50" s="56">
        <f>VLOOKUP(D50,廠價表!$C$1:$E$39,3,0)</f>
        <v>49.91</v>
      </c>
      <c r="G50" s="66">
        <v>1182</v>
      </c>
      <c r="H50" s="76">
        <f t="shared" si="56"/>
        <v>58993.619999999995</v>
      </c>
      <c r="I50" s="193"/>
      <c r="J50" s="16">
        <f>VLOOKUP(D50,產線配置圖!$A$2:$C$38,2,0)</f>
        <v>17</v>
      </c>
      <c r="K50" s="14">
        <f>VLOOKUP(D50,產線配置圖!$A$2:$C$38,3,0)</f>
        <v>1565</v>
      </c>
      <c r="L50" s="17">
        <f>K50/J50</f>
        <v>92.058823529411768</v>
      </c>
      <c r="M50" s="174">
        <v>18</v>
      </c>
      <c r="N50" s="77">
        <f>G50/W50*60</f>
        <v>1508.9361702127662</v>
      </c>
      <c r="O50" s="78">
        <f>N50/M50</f>
        <v>83.82978723404257</v>
      </c>
      <c r="P50" s="18">
        <f>M50-J50</f>
        <v>1</v>
      </c>
      <c r="Q50" s="19">
        <f>O50-L50</f>
        <v>-8.2290362953691982</v>
      </c>
      <c r="R50" s="185">
        <f>O50/L50</f>
        <v>0.91061110733464767</v>
      </c>
      <c r="S50" s="397"/>
      <c r="T50" s="79">
        <v>0.35625000000000001</v>
      </c>
      <c r="U50" s="79">
        <v>0.3888888888888889</v>
      </c>
      <c r="V50" s="177">
        <f t="shared" ref="V50:V52" si="57">(T50-U49)*24*60</f>
        <v>8.0000000000000515</v>
      </c>
      <c r="W50" s="80">
        <f t="shared" si="28"/>
        <v>46.999999999999993</v>
      </c>
      <c r="X50" s="22"/>
      <c r="Y50" s="22"/>
      <c r="Z50" s="419"/>
      <c r="AA50" s="418"/>
      <c r="AB50" s="18">
        <f>N50-K50</f>
        <v>-56.063829787233772</v>
      </c>
      <c r="AC50" s="185">
        <f>N50/K50</f>
        <v>0.96417646658962697</v>
      </c>
      <c r="AD50" s="402"/>
    </row>
    <row r="51" spans="1:30" ht="15" customHeight="1">
      <c r="A51" s="452"/>
      <c r="B51" s="56" t="str">
        <f>VLOOKUP(D51,廠價表!$C$1:$E$39,2,0)</f>
        <v>義大利麵</v>
      </c>
      <c r="C51" s="10"/>
      <c r="D51" s="11" t="s">
        <v>65</v>
      </c>
      <c r="E51" s="86"/>
      <c r="F51" s="56">
        <f>VLOOKUP(D51,廠價表!$C$1:$E$39,3,0)</f>
        <v>49.97</v>
      </c>
      <c r="G51" s="66">
        <v>3093</v>
      </c>
      <c r="H51" s="76">
        <f t="shared" si="56"/>
        <v>154557.21</v>
      </c>
      <c r="I51" s="193"/>
      <c r="J51" s="16">
        <f>VLOOKUP(D51,產線配置圖!$A$2:$C$38,2,0)</f>
        <v>18</v>
      </c>
      <c r="K51" s="14">
        <f>VLOOKUP(D51,產線配置圖!$A$2:$C$38,3,0)</f>
        <v>1600</v>
      </c>
      <c r="L51" s="17">
        <f>K51/J51</f>
        <v>88.888888888888886</v>
      </c>
      <c r="M51" s="174">
        <v>18</v>
      </c>
      <c r="N51" s="77">
        <f>G51/W51*60</f>
        <v>1546.5000000000005</v>
      </c>
      <c r="O51" s="78">
        <f>N51/M51</f>
        <v>85.916666666666686</v>
      </c>
      <c r="P51" s="18">
        <f>M51-J51</f>
        <v>0</v>
      </c>
      <c r="Q51" s="19">
        <f>O51-L51</f>
        <v>-2.9722222222222001</v>
      </c>
      <c r="R51" s="185">
        <f>O51/L51</f>
        <v>0.96656250000000021</v>
      </c>
      <c r="S51" s="397"/>
      <c r="T51" s="79">
        <v>0.39930555555555558</v>
      </c>
      <c r="U51" s="44">
        <v>0.4826388888888889</v>
      </c>
      <c r="V51" s="177">
        <f t="shared" si="57"/>
        <v>15.000000000000027</v>
      </c>
      <c r="W51" s="80">
        <f t="shared" si="28"/>
        <v>119.99999999999997</v>
      </c>
      <c r="X51" s="22"/>
      <c r="Y51" s="22"/>
      <c r="Z51" s="405"/>
      <c r="AA51" s="405"/>
      <c r="AB51" s="18">
        <f>N51-K51</f>
        <v>-53.499999999999545</v>
      </c>
      <c r="AC51" s="185">
        <f>N51/K51</f>
        <v>0.96656250000000032</v>
      </c>
      <c r="AD51" s="402"/>
    </row>
    <row r="52" spans="1:30" ht="15" customHeight="1">
      <c r="A52" s="452"/>
      <c r="B52" s="56" t="str">
        <f>VLOOKUP(D52,廠價表!$C$1:$E$39,2,0)</f>
        <v>義大利麵</v>
      </c>
      <c r="C52" s="23"/>
      <c r="D52" s="11" t="s">
        <v>65</v>
      </c>
      <c r="E52" s="12"/>
      <c r="F52" s="56">
        <f>VLOOKUP(D52,廠價表!$C$1:$E$39,3,0)</f>
        <v>49.97</v>
      </c>
      <c r="G52" s="66">
        <v>2705</v>
      </c>
      <c r="H52" s="76">
        <f t="shared" si="56"/>
        <v>135168.85</v>
      </c>
      <c r="I52" s="193"/>
      <c r="J52" s="16">
        <f>VLOOKUP(D52,產線配置圖!$A$2:$C$38,2,0)</f>
        <v>18</v>
      </c>
      <c r="K52" s="14">
        <f>VLOOKUP(D52,產線配置圖!$A$2:$C$38,3,0)</f>
        <v>1600</v>
      </c>
      <c r="L52" s="17">
        <f t="shared" ref="L52" si="58">K52/J52</f>
        <v>88.888888888888886</v>
      </c>
      <c r="M52" s="174">
        <v>18</v>
      </c>
      <c r="N52" s="77">
        <f t="shared" ref="N52" si="59">G52/W52*60</f>
        <v>1591.1764705882335</v>
      </c>
      <c r="O52" s="78">
        <f t="shared" ref="O52" si="60">N52/M52</f>
        <v>88.398692810457419</v>
      </c>
      <c r="P52" s="18">
        <f t="shared" ref="P52" si="61">M52-J52</f>
        <v>0</v>
      </c>
      <c r="Q52" s="19">
        <f t="shared" ref="Q52" si="62">O52-L52</f>
        <v>-0.49019607843146673</v>
      </c>
      <c r="R52" s="185">
        <f t="shared" ref="R52" si="63">O52/L52</f>
        <v>0.99448529411764597</v>
      </c>
      <c r="S52" s="397"/>
      <c r="T52" s="79">
        <v>0.54374999999999996</v>
      </c>
      <c r="U52" s="79">
        <v>0.61458333333333337</v>
      </c>
      <c r="V52" s="177">
        <f t="shared" si="57"/>
        <v>87.999999999999929</v>
      </c>
      <c r="W52" s="80">
        <f t="shared" si="28"/>
        <v>102.00000000000011</v>
      </c>
      <c r="X52" s="22">
        <v>0.48958333333333331</v>
      </c>
      <c r="Y52" s="22">
        <v>0.53125</v>
      </c>
      <c r="Z52" s="405"/>
      <c r="AA52" s="405"/>
      <c r="AB52" s="18">
        <f>N52-K52</f>
        <v>-8.823529411766458</v>
      </c>
      <c r="AC52" s="185">
        <f>N52/K52</f>
        <v>0.99448529411764597</v>
      </c>
      <c r="AD52" s="402"/>
    </row>
    <row r="53" spans="1:30" ht="15" customHeight="1">
      <c r="A53" s="452"/>
      <c r="B53" s="56"/>
      <c r="C53" s="23"/>
      <c r="D53" s="11"/>
      <c r="E53" s="12"/>
      <c r="F53" s="56"/>
      <c r="G53" s="66"/>
      <c r="H53" s="76"/>
      <c r="I53" s="193"/>
      <c r="J53" s="16"/>
      <c r="K53" s="14"/>
      <c r="L53" s="17"/>
      <c r="M53" s="174"/>
      <c r="N53" s="77"/>
      <c r="O53" s="78"/>
      <c r="P53" s="18"/>
      <c r="Q53" s="19"/>
      <c r="R53" s="185"/>
      <c r="S53" s="397"/>
      <c r="T53" s="79"/>
      <c r="U53" s="79"/>
      <c r="V53" s="177"/>
      <c r="W53" s="80">
        <f t="shared" si="28"/>
        <v>0</v>
      </c>
      <c r="X53" s="177"/>
      <c r="Y53" s="177"/>
      <c r="Z53" s="419"/>
      <c r="AA53" s="418"/>
      <c r="AB53" s="18"/>
      <c r="AC53" s="185"/>
      <c r="AD53" s="402"/>
    </row>
    <row r="54" spans="1:30" ht="15" customHeight="1">
      <c r="A54" s="452"/>
      <c r="B54" s="177"/>
      <c r="C54" s="183"/>
      <c r="D54" s="11"/>
      <c r="E54" s="12"/>
      <c r="F54" s="13"/>
      <c r="G54" s="66"/>
      <c r="H54" s="76">
        <f t="shared" si="56"/>
        <v>0</v>
      </c>
      <c r="I54" s="177"/>
      <c r="J54" s="31"/>
      <c r="K54" s="30"/>
      <c r="L54" s="38"/>
      <c r="M54" s="181"/>
      <c r="N54" s="30"/>
      <c r="O54" s="35"/>
      <c r="P54" s="18"/>
      <c r="Q54" s="19"/>
      <c r="R54" s="185"/>
      <c r="S54" s="397"/>
      <c r="T54" s="79"/>
      <c r="U54" s="79"/>
      <c r="V54" s="197"/>
      <c r="W54" s="80">
        <f t="shared" si="28"/>
        <v>0</v>
      </c>
      <c r="X54" s="177"/>
      <c r="Y54" s="177"/>
      <c r="Z54" s="419"/>
      <c r="AA54" s="418"/>
      <c r="AB54" s="18"/>
      <c r="AC54" s="185"/>
      <c r="AD54" s="402"/>
    </row>
    <row r="55" spans="1:30" ht="15" customHeight="1">
      <c r="A55" s="452"/>
      <c r="B55" s="26"/>
      <c r="C55" s="27"/>
      <c r="D55" s="28"/>
      <c r="E55" s="29"/>
      <c r="F55" s="13"/>
      <c r="G55" s="66"/>
      <c r="H55" s="15">
        <f t="shared" si="56"/>
        <v>0</v>
      </c>
      <c r="I55" s="177"/>
      <c r="J55" s="31"/>
      <c r="K55" s="30"/>
      <c r="L55" s="38"/>
      <c r="M55" s="181"/>
      <c r="N55" s="30"/>
      <c r="O55" s="35"/>
      <c r="P55" s="18"/>
      <c r="Q55" s="19"/>
      <c r="R55" s="185"/>
      <c r="S55" s="397"/>
      <c r="T55" s="79"/>
      <c r="U55" s="79"/>
      <c r="V55" s="197"/>
      <c r="W55" s="80">
        <f t="shared" si="28"/>
        <v>0</v>
      </c>
      <c r="X55" s="177"/>
      <c r="Y55" s="177"/>
      <c r="Z55" s="419"/>
      <c r="AA55" s="418"/>
      <c r="AB55" s="18"/>
      <c r="AC55" s="185"/>
      <c r="AD55" s="402"/>
    </row>
    <row r="56" spans="1:30" ht="15" customHeight="1">
      <c r="A56" s="452"/>
      <c r="B56" s="26"/>
      <c r="C56" s="27"/>
      <c r="D56" s="28"/>
      <c r="E56" s="29"/>
      <c r="F56" s="13"/>
      <c r="G56" s="66"/>
      <c r="H56" s="15">
        <f t="shared" si="56"/>
        <v>0</v>
      </c>
      <c r="I56" s="177"/>
      <c r="J56" s="31"/>
      <c r="K56" s="30"/>
      <c r="L56" s="38"/>
      <c r="M56" s="181"/>
      <c r="N56" s="30"/>
      <c r="O56" s="35"/>
      <c r="P56" s="18"/>
      <c r="Q56" s="19"/>
      <c r="R56" s="185"/>
      <c r="S56" s="397"/>
      <c r="T56" s="79"/>
      <c r="U56" s="79"/>
      <c r="V56" s="197"/>
      <c r="W56" s="80">
        <f t="shared" si="28"/>
        <v>0</v>
      </c>
      <c r="X56" s="177"/>
      <c r="Y56" s="177"/>
      <c r="Z56" s="405"/>
      <c r="AA56" s="405"/>
      <c r="AB56" s="18"/>
      <c r="AC56" s="185"/>
      <c r="AD56" s="402"/>
    </row>
    <row r="57" spans="1:30" ht="15" customHeight="1">
      <c r="A57" s="452"/>
      <c r="B57" s="26"/>
      <c r="C57" s="27"/>
      <c r="D57" s="28"/>
      <c r="E57" s="29"/>
      <c r="F57" s="13"/>
      <c r="G57" s="66"/>
      <c r="H57" s="15">
        <f t="shared" si="56"/>
        <v>0</v>
      </c>
      <c r="I57" s="177"/>
      <c r="J57" s="31"/>
      <c r="K57" s="30"/>
      <c r="L57" s="38"/>
      <c r="M57" s="181"/>
      <c r="N57" s="30"/>
      <c r="O57" s="35"/>
      <c r="P57" s="18"/>
      <c r="Q57" s="19"/>
      <c r="R57" s="185"/>
      <c r="S57" s="397"/>
      <c r="T57" s="79"/>
      <c r="U57" s="79"/>
      <c r="V57" s="197"/>
      <c r="W57" s="80">
        <f t="shared" si="28"/>
        <v>0</v>
      </c>
      <c r="X57" s="177"/>
      <c r="Y57" s="177"/>
      <c r="Z57" s="405"/>
      <c r="AA57" s="405"/>
      <c r="AB57" s="18"/>
      <c r="AC57" s="185"/>
      <c r="AD57" s="402"/>
    </row>
    <row r="58" spans="1:30" ht="15" customHeight="1" thickBot="1">
      <c r="A58" s="453"/>
      <c r="B58" s="165"/>
      <c r="C58" s="1" t="s">
        <v>38</v>
      </c>
      <c r="D58" s="410" t="s">
        <v>7</v>
      </c>
      <c r="E58" s="410"/>
      <c r="F58" s="114"/>
      <c r="G58" s="166"/>
      <c r="H58" s="116"/>
      <c r="I58" s="115"/>
      <c r="J58" s="118">
        <f t="shared" ref="J58:O58" si="64">AVERAGE(J49:J57)</f>
        <v>18</v>
      </c>
      <c r="K58" s="118">
        <f t="shared" si="64"/>
        <v>1582.5</v>
      </c>
      <c r="L58" s="115">
        <f t="shared" si="64"/>
        <v>88.051255589955275</v>
      </c>
      <c r="M58" s="118">
        <f t="shared" si="64"/>
        <v>18.25</v>
      </c>
      <c r="N58" s="118">
        <f t="shared" si="64"/>
        <v>1543.0324705450778</v>
      </c>
      <c r="O58" s="115">
        <f t="shared" si="64"/>
        <v>84.608881959098397</v>
      </c>
      <c r="P58" s="119">
        <f>M58-J58</f>
        <v>0.25</v>
      </c>
      <c r="Q58" s="120">
        <f>N58-K58</f>
        <v>-39.467529454922214</v>
      </c>
      <c r="R58" s="121">
        <f t="shared" ref="R58:R59" si="65">O58/L58</f>
        <v>0.96090488877424274</v>
      </c>
      <c r="S58" s="399"/>
      <c r="T58" s="167"/>
      <c r="U58" s="167"/>
      <c r="V58" s="195"/>
      <c r="W58" s="168"/>
      <c r="X58" s="124"/>
      <c r="Y58" s="124"/>
      <c r="Z58" s="391"/>
      <c r="AA58" s="391"/>
      <c r="AB58" s="119">
        <f t="shared" ref="AB58:AB63" si="66">N58-K58</f>
        <v>-39.467529454922214</v>
      </c>
      <c r="AC58" s="187">
        <f t="shared" ref="AC58:AC63" si="67">N58/K58</f>
        <v>0.97506001298267153</v>
      </c>
      <c r="AD58" s="404"/>
    </row>
    <row r="59" spans="1:30" ht="15" customHeight="1">
      <c r="A59" s="466" t="s">
        <v>57</v>
      </c>
      <c r="B59" s="199" t="str">
        <f>VLOOKUP(D59,廠價表!$C$1:$E$39,2,0)</f>
        <v>小吃、微波</v>
      </c>
      <c r="C59" s="102"/>
      <c r="D59" s="103" t="s">
        <v>125</v>
      </c>
      <c r="E59" s="104"/>
      <c r="F59" s="199">
        <f>VLOOKUP(D59,廠價表!$C$1:$E$39,3,0)</f>
        <v>26.99</v>
      </c>
      <c r="G59" s="188">
        <v>4489</v>
      </c>
      <c r="H59" s="106">
        <f t="shared" ref="H59:H68" si="68">F59*G59</f>
        <v>121158.10999999999</v>
      </c>
      <c r="I59" s="188"/>
      <c r="J59" s="108">
        <f>VLOOKUP(D59,產線配置圖!$A$2:$C$38,2,0)</f>
        <v>13</v>
      </c>
      <c r="K59" s="105">
        <f>VLOOKUP(D59,產線配置圖!$A$2:$C$38,3,0)</f>
        <v>1565</v>
      </c>
      <c r="L59" s="109">
        <f>K59/J59</f>
        <v>120.38461538461539</v>
      </c>
      <c r="M59" s="110">
        <v>13</v>
      </c>
      <c r="N59" s="105">
        <f t="shared" ref="N59:N61" si="69">G59/W59*60</f>
        <v>1521.6949152542377</v>
      </c>
      <c r="O59" s="109">
        <f t="shared" ref="O59:O61" si="70">N59/M59</f>
        <v>117.05345501955675</v>
      </c>
      <c r="P59" s="111">
        <f t="shared" ref="P59:P61" si="71">M59-J59</f>
        <v>0</v>
      </c>
      <c r="Q59" s="112">
        <f t="shared" ref="Q59:Q61" si="72">O59-L59</f>
        <v>-3.3311603650586363</v>
      </c>
      <c r="R59" s="184">
        <f t="shared" si="65"/>
        <v>0.97232901933178129</v>
      </c>
      <c r="S59" s="396">
        <f>R69</f>
        <v>0.86244695521018699</v>
      </c>
      <c r="T59" s="169">
        <v>0.2902777777777778</v>
      </c>
      <c r="U59" s="169">
        <v>0.41319444444444442</v>
      </c>
      <c r="V59" s="188"/>
      <c r="W59" s="107">
        <f t="shared" si="28"/>
        <v>176.99999999999994</v>
      </c>
      <c r="X59" s="188"/>
      <c r="Y59" s="188"/>
      <c r="Z59" s="465"/>
      <c r="AA59" s="427"/>
      <c r="AB59" s="225">
        <f t="shared" si="66"/>
        <v>-43.305084745762315</v>
      </c>
      <c r="AC59" s="226">
        <f t="shared" si="67"/>
        <v>0.97232901933178129</v>
      </c>
      <c r="AD59" s="401">
        <f>AC69</f>
        <v>0.86526444403381764</v>
      </c>
    </row>
    <row r="60" spans="1:30" ht="15" customHeight="1">
      <c r="A60" s="467"/>
      <c r="B60" s="56" t="str">
        <f>VLOOKUP(D60,廠價表!$C$1:$E$39,2,0)</f>
        <v>小吃、微波</v>
      </c>
      <c r="C60" s="10"/>
      <c r="D60" s="242" t="s">
        <v>146</v>
      </c>
      <c r="E60" s="86"/>
      <c r="F60" s="56">
        <f>VLOOKUP(D60,廠價表!$C$1:$E$39,3,0)</f>
        <v>28.47</v>
      </c>
      <c r="G60" s="177">
        <v>525</v>
      </c>
      <c r="H60" s="15">
        <f t="shared" si="68"/>
        <v>14946.75</v>
      </c>
      <c r="I60" s="81"/>
      <c r="J60" s="16">
        <f>VLOOKUP(D60,產線配置圖!$A$2:$C$38,2,0)</f>
        <v>12</v>
      </c>
      <c r="K60" s="14">
        <f>VLOOKUP(D60,產線配置圖!$A$2:$C$38,3,0)</f>
        <v>1565</v>
      </c>
      <c r="L60" s="17">
        <f t="shared" ref="L60" si="73">K60/J60</f>
        <v>130.41666666666666</v>
      </c>
      <c r="M60" s="180">
        <v>12</v>
      </c>
      <c r="N60" s="14">
        <f t="shared" si="69"/>
        <v>1050.0000000000011</v>
      </c>
      <c r="O60" s="17">
        <f t="shared" si="70"/>
        <v>87.500000000000099</v>
      </c>
      <c r="P60" s="18">
        <f t="shared" si="71"/>
        <v>0</v>
      </c>
      <c r="Q60" s="19">
        <f t="shared" si="72"/>
        <v>-42.916666666666558</v>
      </c>
      <c r="R60" s="185">
        <f>O60/L60</f>
        <v>0.67092651757188582</v>
      </c>
      <c r="S60" s="470"/>
      <c r="T60" s="20">
        <v>0.4201388888888889</v>
      </c>
      <c r="U60" s="20">
        <v>0.44097222222222221</v>
      </c>
      <c r="V60" s="177">
        <f t="shared" ref="V60:V61" si="74">(T60-U59)*24*60</f>
        <v>10.000000000000044</v>
      </c>
      <c r="W60" s="90">
        <f t="shared" si="28"/>
        <v>29.999999999999972</v>
      </c>
      <c r="X60" s="193"/>
      <c r="Y60" s="193"/>
      <c r="Z60" s="405" t="s">
        <v>229</v>
      </c>
      <c r="AA60" s="405"/>
      <c r="AB60" s="227">
        <f t="shared" si="66"/>
        <v>-514.99999999999886</v>
      </c>
      <c r="AC60" s="228">
        <f t="shared" si="67"/>
        <v>0.67092651757188571</v>
      </c>
      <c r="AD60" s="473"/>
    </row>
    <row r="61" spans="1:30" ht="15" customHeight="1">
      <c r="A61" s="468"/>
      <c r="B61" s="56" t="str">
        <f>VLOOKUP(D61,廠價表!$C$1:$E$39,2,0)</f>
        <v>小吃、微波</v>
      </c>
      <c r="C61" s="10"/>
      <c r="D61" s="242" t="s">
        <v>135</v>
      </c>
      <c r="E61" s="86"/>
      <c r="F61" s="56">
        <f>VLOOKUP(D61,廠價表!$C$1:$E$39,3,0)</f>
        <v>28.26</v>
      </c>
      <c r="G61" s="177">
        <v>2410</v>
      </c>
      <c r="H61" s="15">
        <f t="shared" si="68"/>
        <v>68106.600000000006</v>
      </c>
      <c r="I61" s="177"/>
      <c r="J61" s="16">
        <f>VLOOKUP(D61,產線配置圖!$A$2:$C$38,2,0)</f>
        <v>12</v>
      </c>
      <c r="K61" s="14">
        <f>VLOOKUP(D61,產線配置圖!$A$2:$C$38,3,0)</f>
        <v>1565</v>
      </c>
      <c r="L61" s="17">
        <f>K61/J61</f>
        <v>130.41666666666666</v>
      </c>
      <c r="M61" s="180">
        <v>12</v>
      </c>
      <c r="N61" s="14">
        <f t="shared" si="69"/>
        <v>1490.7216494845352</v>
      </c>
      <c r="O61" s="17">
        <f t="shared" si="70"/>
        <v>124.22680412371126</v>
      </c>
      <c r="P61" s="18">
        <f t="shared" si="71"/>
        <v>0</v>
      </c>
      <c r="Q61" s="19">
        <f t="shared" si="72"/>
        <v>-6.189862542955396</v>
      </c>
      <c r="R61" s="185">
        <f t="shared" ref="R61" si="75">O61/L61</f>
        <v>0.95253779519778614</v>
      </c>
      <c r="S61" s="397"/>
      <c r="T61" s="198">
        <v>0.45347222222222222</v>
      </c>
      <c r="U61" s="198">
        <v>0.52083333333333337</v>
      </c>
      <c r="V61" s="177">
        <f t="shared" si="74"/>
        <v>18.000000000000014</v>
      </c>
      <c r="W61" s="88">
        <f t="shared" si="28"/>
        <v>97.000000000000057</v>
      </c>
      <c r="X61" s="22"/>
      <c r="Y61" s="22"/>
      <c r="Z61" s="405"/>
      <c r="AA61" s="405"/>
      <c r="AB61" s="51">
        <f t="shared" si="66"/>
        <v>-74.278350515464808</v>
      </c>
      <c r="AC61" s="52">
        <f t="shared" si="67"/>
        <v>0.95253779519778603</v>
      </c>
      <c r="AD61" s="402"/>
    </row>
    <row r="62" spans="1:30" ht="15" customHeight="1">
      <c r="A62" s="468"/>
      <c r="B62" s="56"/>
      <c r="C62" s="23"/>
      <c r="D62" s="242"/>
      <c r="E62" s="12"/>
      <c r="F62" s="56"/>
      <c r="G62" s="177"/>
      <c r="H62" s="15"/>
      <c r="I62" s="81"/>
      <c r="J62" s="16"/>
      <c r="K62" s="14"/>
      <c r="L62" s="17"/>
      <c r="M62" s="180"/>
      <c r="N62" s="14"/>
      <c r="O62" s="17"/>
      <c r="P62" s="18"/>
      <c r="Q62" s="19"/>
      <c r="R62" s="185"/>
      <c r="S62" s="397"/>
      <c r="T62" s="20"/>
      <c r="U62" s="20"/>
      <c r="V62" s="177"/>
      <c r="W62" s="90">
        <f t="shared" si="28"/>
        <v>0</v>
      </c>
      <c r="X62" s="22"/>
      <c r="Y62" s="22"/>
      <c r="Z62" s="405"/>
      <c r="AA62" s="405"/>
      <c r="AB62" s="51">
        <f t="shared" si="66"/>
        <v>0</v>
      </c>
      <c r="AC62" s="52" t="e">
        <f t="shared" si="67"/>
        <v>#DIV/0!</v>
      </c>
      <c r="AD62" s="402"/>
    </row>
    <row r="63" spans="1:30" ht="15" customHeight="1">
      <c r="A63" s="468"/>
      <c r="B63" s="56"/>
      <c r="C63" s="10"/>
      <c r="D63" s="242"/>
      <c r="E63" s="86"/>
      <c r="F63" s="56"/>
      <c r="G63" s="177"/>
      <c r="H63" s="15"/>
      <c r="I63" s="81"/>
      <c r="J63" s="16"/>
      <c r="K63" s="14"/>
      <c r="L63" s="17"/>
      <c r="M63" s="180"/>
      <c r="N63" s="14"/>
      <c r="O63" s="17"/>
      <c r="P63" s="18"/>
      <c r="Q63" s="19"/>
      <c r="R63" s="185"/>
      <c r="S63" s="397"/>
      <c r="T63" s="20"/>
      <c r="U63" s="20"/>
      <c r="V63" s="177"/>
      <c r="W63" s="90">
        <f t="shared" si="28"/>
        <v>0</v>
      </c>
      <c r="X63" s="84"/>
      <c r="Y63" s="84"/>
      <c r="Z63" s="405"/>
      <c r="AA63" s="405"/>
      <c r="AB63" s="51">
        <f t="shared" si="66"/>
        <v>0</v>
      </c>
      <c r="AC63" s="52" t="e">
        <f t="shared" si="67"/>
        <v>#DIV/0!</v>
      </c>
      <c r="AD63" s="402"/>
    </row>
    <row r="64" spans="1:30" ht="15" customHeight="1">
      <c r="A64" s="468"/>
      <c r="B64" s="56"/>
      <c r="C64" s="10"/>
      <c r="D64" s="242"/>
      <c r="E64" s="86"/>
      <c r="F64" s="56"/>
      <c r="G64" s="177"/>
      <c r="H64" s="15"/>
      <c r="I64" s="81"/>
      <c r="J64" s="16"/>
      <c r="K64" s="14"/>
      <c r="L64" s="17"/>
      <c r="M64" s="180"/>
      <c r="N64" s="14"/>
      <c r="O64" s="17"/>
      <c r="P64" s="18"/>
      <c r="Q64" s="19"/>
      <c r="R64" s="185"/>
      <c r="S64" s="397"/>
      <c r="T64" s="20"/>
      <c r="U64" s="20"/>
      <c r="V64" s="177"/>
      <c r="W64" s="182">
        <f t="shared" si="28"/>
        <v>0</v>
      </c>
      <c r="X64" s="84"/>
      <c r="Y64" s="84"/>
      <c r="Z64" s="419"/>
      <c r="AA64" s="418"/>
      <c r="AB64" s="18"/>
      <c r="AC64" s="55"/>
      <c r="AD64" s="402"/>
    </row>
    <row r="65" spans="1:32" ht="15" customHeight="1">
      <c r="A65" s="468"/>
      <c r="B65" s="177"/>
      <c r="C65" s="183"/>
      <c r="D65" s="11"/>
      <c r="E65" s="12"/>
      <c r="F65" s="13"/>
      <c r="G65" s="177"/>
      <c r="H65" s="15"/>
      <c r="I65" s="177"/>
      <c r="J65" s="16"/>
      <c r="K65" s="82"/>
      <c r="L65" s="83"/>
      <c r="M65" s="180"/>
      <c r="N65" s="14"/>
      <c r="O65" s="17"/>
      <c r="P65" s="18"/>
      <c r="Q65" s="19"/>
      <c r="R65" s="185"/>
      <c r="S65" s="397"/>
      <c r="T65" s="20"/>
      <c r="U65" s="20"/>
      <c r="V65" s="177"/>
      <c r="W65" s="182">
        <f t="shared" si="28"/>
        <v>0</v>
      </c>
      <c r="X65" s="84"/>
      <c r="Y65" s="84"/>
      <c r="Z65" s="419"/>
      <c r="AA65" s="418"/>
      <c r="AB65" s="18"/>
      <c r="AC65" s="55"/>
      <c r="AD65" s="402"/>
    </row>
    <row r="66" spans="1:32" ht="15" customHeight="1">
      <c r="A66" s="468"/>
      <c r="B66" s="26"/>
      <c r="C66" s="27"/>
      <c r="D66" s="28"/>
      <c r="E66" s="29"/>
      <c r="F66" s="13"/>
      <c r="G66" s="183"/>
      <c r="H66" s="15">
        <f t="shared" si="68"/>
        <v>0</v>
      </c>
      <c r="I66" s="85"/>
      <c r="J66" s="16"/>
      <c r="K66" s="14"/>
      <c r="L66" s="17"/>
      <c r="M66" s="21"/>
      <c r="N66" s="36"/>
      <c r="O66" s="38"/>
      <c r="P66" s="39"/>
      <c r="Q66" s="40"/>
      <c r="R66" s="68"/>
      <c r="S66" s="397"/>
      <c r="T66" s="20"/>
      <c r="U66" s="20"/>
      <c r="V66" s="177"/>
      <c r="W66" s="182">
        <f t="shared" si="28"/>
        <v>0</v>
      </c>
      <c r="X66" s="84"/>
      <c r="Y66" s="84"/>
      <c r="Z66" s="405"/>
      <c r="AA66" s="405"/>
      <c r="AB66" s="18"/>
      <c r="AC66" s="55"/>
      <c r="AD66" s="402"/>
    </row>
    <row r="67" spans="1:32" ht="15" customHeight="1">
      <c r="A67" s="468"/>
      <c r="B67" s="26"/>
      <c r="C67" s="27"/>
      <c r="D67" s="28"/>
      <c r="E67" s="29"/>
      <c r="F67" s="13"/>
      <c r="G67" s="177"/>
      <c r="H67" s="15">
        <f t="shared" si="68"/>
        <v>0</v>
      </c>
      <c r="I67" s="177"/>
      <c r="J67" s="16"/>
      <c r="K67" s="14"/>
      <c r="L67" s="17"/>
      <c r="M67" s="21"/>
      <c r="N67" s="36"/>
      <c r="O67" s="38"/>
      <c r="P67" s="39"/>
      <c r="Q67" s="40"/>
      <c r="R67" s="68"/>
      <c r="S67" s="397"/>
      <c r="T67" s="20"/>
      <c r="U67" s="20"/>
      <c r="V67" s="177"/>
      <c r="W67" s="182">
        <f t="shared" si="28"/>
        <v>0</v>
      </c>
      <c r="X67" s="84"/>
      <c r="Y67" s="84"/>
      <c r="Z67" s="419"/>
      <c r="AA67" s="418"/>
      <c r="AB67" s="18"/>
      <c r="AC67" s="55"/>
      <c r="AD67" s="402"/>
    </row>
    <row r="68" spans="1:32" ht="15" customHeight="1">
      <c r="A68" s="468"/>
      <c r="B68" s="26"/>
      <c r="C68" s="27"/>
      <c r="D68" s="28"/>
      <c r="E68" s="29"/>
      <c r="F68" s="13"/>
      <c r="G68" s="183"/>
      <c r="H68" s="15">
        <f t="shared" si="68"/>
        <v>0</v>
      </c>
      <c r="I68" s="85"/>
      <c r="J68" s="16"/>
      <c r="K68" s="260"/>
      <c r="L68" s="261"/>
      <c r="M68" s="21"/>
      <c r="N68" s="36"/>
      <c r="O68" s="38"/>
      <c r="P68" s="39"/>
      <c r="Q68" s="40"/>
      <c r="R68" s="68"/>
      <c r="S68" s="397"/>
      <c r="T68" s="20"/>
      <c r="U68" s="20"/>
      <c r="V68" s="177"/>
      <c r="W68" s="182">
        <f t="shared" si="28"/>
        <v>0</v>
      </c>
      <c r="X68" s="84"/>
      <c r="Y68" s="84"/>
      <c r="Z68" s="419" t="s">
        <v>240</v>
      </c>
      <c r="AA68" s="418"/>
      <c r="AB68" s="18"/>
      <c r="AC68" s="55"/>
      <c r="AD68" s="402"/>
    </row>
    <row r="69" spans="1:32" ht="15" customHeight="1" thickBot="1">
      <c r="A69" s="469"/>
      <c r="B69" s="165"/>
      <c r="C69" s="1" t="s">
        <v>39</v>
      </c>
      <c r="D69" s="410" t="s">
        <v>7</v>
      </c>
      <c r="E69" s="410"/>
      <c r="F69" s="114"/>
      <c r="G69" s="115"/>
      <c r="H69" s="116"/>
      <c r="I69" s="170"/>
      <c r="J69" s="166">
        <f t="shared" ref="J69:O69" si="76">AVERAGE(J59:J68)</f>
        <v>12.333333333333334</v>
      </c>
      <c r="K69" s="166">
        <f t="shared" si="76"/>
        <v>1565</v>
      </c>
      <c r="L69" s="171">
        <f t="shared" si="76"/>
        <v>127.07264957264958</v>
      </c>
      <c r="M69" s="166">
        <f t="shared" si="76"/>
        <v>12.333333333333334</v>
      </c>
      <c r="N69" s="166">
        <f t="shared" si="76"/>
        <v>1354.1388549129247</v>
      </c>
      <c r="O69" s="171">
        <f t="shared" si="76"/>
        <v>109.59341971442269</v>
      </c>
      <c r="P69" s="172">
        <f>M69-J69</f>
        <v>0</v>
      </c>
      <c r="Q69" s="158">
        <f>N69-K69</f>
        <v>-210.86114508707533</v>
      </c>
      <c r="R69" s="121">
        <f>O69/L69</f>
        <v>0.86244695521018699</v>
      </c>
      <c r="S69" s="399"/>
      <c r="T69" s="122"/>
      <c r="U69" s="122"/>
      <c r="V69" s="195"/>
      <c r="W69" s="168"/>
      <c r="X69" s="124"/>
      <c r="Y69" s="124"/>
      <c r="Z69" s="405"/>
      <c r="AA69" s="405"/>
      <c r="AB69" s="119">
        <f>N69-K69</f>
        <v>-210.86114508707533</v>
      </c>
      <c r="AC69" s="187">
        <f>N69/K69</f>
        <v>0.86526444403381764</v>
      </c>
      <c r="AD69" s="404"/>
    </row>
    <row r="70" spans="1:32" ht="15" customHeight="1">
      <c r="A70" s="461" t="s">
        <v>58</v>
      </c>
      <c r="B70" s="199"/>
      <c r="C70" s="199"/>
      <c r="D70" s="103"/>
      <c r="E70" s="104"/>
      <c r="F70" s="199"/>
      <c r="G70" s="188"/>
      <c r="H70" s="106"/>
      <c r="I70" s="188"/>
      <c r="J70" s="108"/>
      <c r="K70" s="105"/>
      <c r="L70" s="109"/>
      <c r="M70" s="110"/>
      <c r="N70" s="105"/>
      <c r="O70" s="109"/>
      <c r="P70" s="111"/>
      <c r="Q70" s="112"/>
      <c r="R70" s="184"/>
      <c r="S70" s="396">
        <f>R79</f>
        <v>0</v>
      </c>
      <c r="T70" s="169"/>
      <c r="U70" s="169"/>
      <c r="V70" s="188"/>
      <c r="W70" s="107">
        <f t="shared" si="28"/>
        <v>0</v>
      </c>
      <c r="X70" s="296"/>
      <c r="Y70" s="296"/>
      <c r="Z70" s="465"/>
      <c r="AA70" s="427"/>
      <c r="AB70" s="225">
        <f t="shared" ref="AB70" si="77">N70-K70</f>
        <v>0</v>
      </c>
      <c r="AC70" s="226" t="e">
        <f t="shared" ref="AC70" si="78">N70/K70</f>
        <v>#DIV/0!</v>
      </c>
      <c r="AD70" s="401" t="e">
        <f>AC79</f>
        <v>#DIV/0!</v>
      </c>
    </row>
    <row r="71" spans="1:32" ht="15" customHeight="1">
      <c r="A71" s="462"/>
      <c r="B71" s="56"/>
      <c r="C71" s="10"/>
      <c r="D71" s="11"/>
      <c r="E71" s="86"/>
      <c r="F71" s="56"/>
      <c r="G71" s="66"/>
      <c r="H71" s="76"/>
      <c r="I71" s="193"/>
      <c r="J71" s="16"/>
      <c r="K71" s="14"/>
      <c r="L71" s="17"/>
      <c r="M71" s="180"/>
      <c r="N71" s="14"/>
      <c r="O71" s="17"/>
      <c r="P71" s="18"/>
      <c r="Q71" s="19"/>
      <c r="R71" s="185"/>
      <c r="S71" s="397"/>
      <c r="T71" s="20"/>
      <c r="U71" s="20"/>
      <c r="V71" s="177"/>
      <c r="W71" s="182">
        <f t="shared" si="28"/>
        <v>0</v>
      </c>
      <c r="X71" s="298"/>
      <c r="Y71" s="299"/>
      <c r="Z71" s="439"/>
      <c r="AA71" s="440"/>
      <c r="AB71" s="39"/>
      <c r="AC71" s="190"/>
      <c r="AD71" s="447"/>
    </row>
    <row r="72" spans="1:32" ht="15" customHeight="1">
      <c r="A72" s="462"/>
      <c r="B72" s="56"/>
      <c r="C72" s="10"/>
      <c r="D72" s="11"/>
      <c r="E72" s="86"/>
      <c r="F72" s="56"/>
      <c r="G72" s="66"/>
      <c r="H72" s="76"/>
      <c r="I72" s="193"/>
      <c r="J72" s="16"/>
      <c r="K72" s="14"/>
      <c r="L72" s="17"/>
      <c r="M72" s="180"/>
      <c r="N72" s="14"/>
      <c r="O72" s="17"/>
      <c r="P72" s="18"/>
      <c r="Q72" s="19"/>
      <c r="R72" s="185"/>
      <c r="S72" s="397"/>
      <c r="T72" s="20"/>
      <c r="U72" s="20"/>
      <c r="V72" s="177"/>
      <c r="W72" s="182">
        <f t="shared" si="28"/>
        <v>0</v>
      </c>
      <c r="X72" s="297"/>
      <c r="Y72" s="297"/>
      <c r="Z72" s="405"/>
      <c r="AA72" s="419"/>
      <c r="AB72" s="39"/>
      <c r="AC72" s="190"/>
      <c r="AD72" s="447"/>
    </row>
    <row r="73" spans="1:32" ht="15" customHeight="1">
      <c r="A73" s="462"/>
      <c r="B73" s="56"/>
      <c r="C73" s="23"/>
      <c r="D73" s="11"/>
      <c r="E73" s="12"/>
      <c r="F73" s="56"/>
      <c r="G73" s="66"/>
      <c r="H73" s="76"/>
      <c r="I73" s="193"/>
      <c r="J73" s="16"/>
      <c r="K73" s="14"/>
      <c r="L73" s="17"/>
      <c r="M73" s="180"/>
      <c r="N73" s="14"/>
      <c r="O73" s="17"/>
      <c r="P73" s="18"/>
      <c r="Q73" s="19"/>
      <c r="R73" s="185"/>
      <c r="S73" s="397"/>
      <c r="T73" s="20"/>
      <c r="U73" s="20"/>
      <c r="V73" s="177"/>
      <c r="W73" s="182">
        <f t="shared" si="28"/>
        <v>0</v>
      </c>
      <c r="X73" s="22"/>
      <c r="Y73" s="22"/>
      <c r="Z73" s="405"/>
      <c r="AA73" s="419"/>
      <c r="AB73" s="39"/>
      <c r="AC73" s="190"/>
      <c r="AD73" s="447"/>
    </row>
    <row r="74" spans="1:32" ht="15" customHeight="1">
      <c r="A74" s="462"/>
      <c r="B74" s="56"/>
      <c r="C74" s="249"/>
      <c r="D74" s="250"/>
      <c r="E74" s="251"/>
      <c r="F74" s="56"/>
      <c r="G74" s="238"/>
      <c r="H74" s="76">
        <f t="shared" ref="H74:H78" si="79">F74*G74</f>
        <v>0</v>
      </c>
      <c r="I74" s="81"/>
      <c r="J74" s="234"/>
      <c r="K74" s="36"/>
      <c r="L74" s="235"/>
      <c r="M74" s="21"/>
      <c r="N74" s="36"/>
      <c r="O74" s="38"/>
      <c r="P74" s="39"/>
      <c r="Q74" s="40"/>
      <c r="R74" s="190"/>
      <c r="S74" s="397"/>
      <c r="T74" s="20"/>
      <c r="U74" s="20"/>
      <c r="V74" s="177"/>
      <c r="W74" s="182">
        <f t="shared" si="28"/>
        <v>0</v>
      </c>
      <c r="X74" s="22"/>
      <c r="Y74" s="22"/>
      <c r="Z74" s="405"/>
      <c r="AA74" s="419"/>
      <c r="AB74" s="39"/>
      <c r="AC74" s="190"/>
      <c r="AD74" s="447"/>
    </row>
    <row r="75" spans="1:32" ht="15" customHeight="1">
      <c r="A75" s="462"/>
      <c r="B75" s="177"/>
      <c r="C75" s="183"/>
      <c r="D75" s="11"/>
      <c r="E75" s="12"/>
      <c r="F75" s="13"/>
      <c r="G75" s="177"/>
      <c r="H75" s="15">
        <f t="shared" si="79"/>
        <v>0</v>
      </c>
      <c r="I75" s="81"/>
      <c r="J75" s="87"/>
      <c r="K75" s="82"/>
      <c r="L75" s="83"/>
      <c r="M75" s="181"/>
      <c r="N75" s="82"/>
      <c r="O75" s="83"/>
      <c r="P75" s="73"/>
      <c r="Q75" s="74"/>
      <c r="R75" s="192"/>
      <c r="S75" s="397"/>
      <c r="T75" s="20"/>
      <c r="U75" s="20"/>
      <c r="V75" s="177"/>
      <c r="W75" s="88">
        <f t="shared" si="28"/>
        <v>0</v>
      </c>
      <c r="X75" s="89"/>
      <c r="Y75" s="89"/>
      <c r="Z75" s="406"/>
      <c r="AA75" s="406"/>
      <c r="AB75" s="306"/>
      <c r="AC75" s="307"/>
      <c r="AD75" s="402"/>
    </row>
    <row r="76" spans="1:32" ht="15" customHeight="1">
      <c r="A76" s="462"/>
      <c r="B76" s="26"/>
      <c r="C76" s="27"/>
      <c r="D76" s="28"/>
      <c r="E76" s="29"/>
      <c r="F76" s="13"/>
      <c r="G76" s="177"/>
      <c r="H76" s="15">
        <f t="shared" si="79"/>
        <v>0</v>
      </c>
      <c r="I76" s="81"/>
      <c r="J76" s="87"/>
      <c r="K76" s="82"/>
      <c r="L76" s="83"/>
      <c r="M76" s="181"/>
      <c r="N76" s="82"/>
      <c r="O76" s="83"/>
      <c r="P76" s="73"/>
      <c r="Q76" s="74"/>
      <c r="R76" s="192"/>
      <c r="S76" s="398"/>
      <c r="T76" s="20"/>
      <c r="U76" s="20"/>
      <c r="V76" s="177"/>
      <c r="W76" s="90">
        <f t="shared" si="28"/>
        <v>0</v>
      </c>
      <c r="X76" s="78"/>
      <c r="Y76" s="78"/>
      <c r="Z76" s="445"/>
      <c r="AA76" s="445"/>
      <c r="AB76" s="51"/>
      <c r="AC76" s="52"/>
      <c r="AD76" s="403"/>
    </row>
    <row r="77" spans="1:32" ht="15" customHeight="1">
      <c r="A77" s="462"/>
      <c r="B77" s="26"/>
      <c r="C77" s="27"/>
      <c r="D77" s="28"/>
      <c r="E77" s="29"/>
      <c r="F77" s="13"/>
      <c r="G77" s="177"/>
      <c r="H77" s="15">
        <f t="shared" si="79"/>
        <v>0</v>
      </c>
      <c r="I77" s="81"/>
      <c r="J77" s="87"/>
      <c r="K77" s="82"/>
      <c r="L77" s="83"/>
      <c r="M77" s="181"/>
      <c r="N77" s="82"/>
      <c r="O77" s="83"/>
      <c r="P77" s="73"/>
      <c r="Q77" s="74"/>
      <c r="R77" s="192"/>
      <c r="S77" s="398"/>
      <c r="T77" s="20"/>
      <c r="U77" s="20"/>
      <c r="V77" s="177"/>
      <c r="W77" s="182">
        <f t="shared" si="28"/>
        <v>0</v>
      </c>
      <c r="X77" s="84"/>
      <c r="Y77" s="84"/>
      <c r="Z77" s="405"/>
      <c r="AA77" s="405"/>
      <c r="AB77" s="18"/>
      <c r="AC77" s="55"/>
      <c r="AD77" s="403"/>
    </row>
    <row r="78" spans="1:32" ht="15" customHeight="1">
      <c r="A78" s="462"/>
      <c r="B78" s="26"/>
      <c r="C78" s="27"/>
      <c r="D78" s="28"/>
      <c r="E78" s="29"/>
      <c r="F78" s="13"/>
      <c r="G78" s="177"/>
      <c r="H78" s="15">
        <f t="shared" si="79"/>
        <v>0</v>
      </c>
      <c r="I78" s="85"/>
      <c r="J78" s="37"/>
      <c r="K78" s="36"/>
      <c r="L78" s="83"/>
      <c r="M78" s="21"/>
      <c r="N78" s="36"/>
      <c r="O78" s="38"/>
      <c r="P78" s="39"/>
      <c r="Q78" s="40"/>
      <c r="R78" s="190"/>
      <c r="S78" s="464"/>
      <c r="T78" s="32"/>
      <c r="U78" s="32"/>
      <c r="V78" s="178"/>
      <c r="W78" s="182">
        <f t="shared" si="28"/>
        <v>0</v>
      </c>
      <c r="X78" s="91"/>
      <c r="Y78" s="91"/>
      <c r="Z78" s="405"/>
      <c r="AA78" s="405"/>
      <c r="AB78" s="34"/>
      <c r="AC78" s="57"/>
      <c r="AD78" s="403"/>
    </row>
    <row r="79" spans="1:32" ht="15" customHeight="1" thickBot="1">
      <c r="A79" s="463"/>
      <c r="B79" s="165"/>
      <c r="C79" s="1" t="s">
        <v>40</v>
      </c>
      <c r="D79" s="410" t="s">
        <v>7</v>
      </c>
      <c r="E79" s="410"/>
      <c r="F79" s="114"/>
      <c r="G79" s="115"/>
      <c r="H79" s="173"/>
      <c r="I79" s="171"/>
      <c r="J79" s="166" t="e">
        <f t="shared" ref="J79" si="80">AVERAGE(J70:J78)</f>
        <v>#DIV/0!</v>
      </c>
      <c r="K79" s="166"/>
      <c r="L79" s="171"/>
      <c r="M79" s="166"/>
      <c r="N79" s="166"/>
      <c r="O79" s="171"/>
      <c r="P79" s="172"/>
      <c r="Q79" s="158"/>
      <c r="R79" s="159"/>
      <c r="S79" s="399"/>
      <c r="T79" s="122"/>
      <c r="U79" s="122"/>
      <c r="V79" s="195"/>
      <c r="W79" s="168"/>
      <c r="X79" s="124"/>
      <c r="Y79" s="124"/>
      <c r="Z79" s="391"/>
      <c r="AA79" s="391"/>
      <c r="AB79" s="119">
        <f>N79-K79</f>
        <v>0</v>
      </c>
      <c r="AC79" s="187" t="e">
        <f>N79/K79</f>
        <v>#DIV/0!</v>
      </c>
      <c r="AD79" s="404"/>
    </row>
    <row r="80" spans="1:32">
      <c r="AF80" s="93" t="s">
        <v>41</v>
      </c>
    </row>
    <row r="81" spans="4:32">
      <c r="AF81" s="93" t="s">
        <v>42</v>
      </c>
    </row>
    <row r="82" spans="4:32">
      <c r="AF82" s="93" t="s">
        <v>43</v>
      </c>
    </row>
    <row r="83" spans="4:32">
      <c r="D83" s="220"/>
      <c r="W83" s="6"/>
      <c r="AF83" s="93" t="s">
        <v>44</v>
      </c>
    </row>
    <row r="84" spans="4:32">
      <c r="D84" s="224"/>
      <c r="W84" s="6"/>
      <c r="AF84" s="93" t="s">
        <v>45</v>
      </c>
    </row>
    <row r="85" spans="4:32">
      <c r="D85" s="224"/>
      <c r="W85" s="6"/>
      <c r="AF85" s="93" t="s">
        <v>46</v>
      </c>
    </row>
    <row r="86" spans="4:32">
      <c r="D86" s="155"/>
      <c r="W86" s="6"/>
      <c r="AF86" s="93" t="s">
        <v>47</v>
      </c>
    </row>
    <row r="87" spans="4:32">
      <c r="W87" s="6"/>
      <c r="AF87" s="93" t="s">
        <v>48</v>
      </c>
    </row>
    <row r="88" spans="4:32">
      <c r="W88" s="6"/>
      <c r="AF88" s="93" t="s">
        <v>49</v>
      </c>
    </row>
    <row r="89" spans="4:32">
      <c r="W89" s="6"/>
      <c r="AF89" s="93" t="s">
        <v>50</v>
      </c>
    </row>
    <row r="90" spans="4:32">
      <c r="W90" s="6"/>
      <c r="AF90" s="93" t="s">
        <v>51</v>
      </c>
    </row>
    <row r="91" spans="4:32">
      <c r="W91" s="6"/>
      <c r="AF91" s="93" t="s">
        <v>52</v>
      </c>
    </row>
    <row r="92" spans="4:32">
      <c r="W92" s="6"/>
      <c r="AF92" s="93" t="s">
        <v>53</v>
      </c>
    </row>
  </sheetData>
  <autoFilter ref="D1:D92" xr:uid="{EF5AD393-5A39-4C0E-A7B0-465235F2AB14}"/>
  <mergeCells count="135"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  <mergeCell ref="D69:E69"/>
    <mergeCell ref="Z69:AA69"/>
    <mergeCell ref="A70:A79"/>
    <mergeCell ref="S70:S79"/>
    <mergeCell ref="Z70:AA70"/>
    <mergeCell ref="D79:E79"/>
    <mergeCell ref="A59:A69"/>
    <mergeCell ref="S59:S69"/>
    <mergeCell ref="Z59:AA59"/>
    <mergeCell ref="AD59:AD69"/>
    <mergeCell ref="Z60:AA60"/>
    <mergeCell ref="Z61:AA61"/>
    <mergeCell ref="Z62:AA62"/>
    <mergeCell ref="Z63:AA63"/>
    <mergeCell ref="Z64:AA64"/>
    <mergeCell ref="Z65:AA65"/>
    <mergeCell ref="AD49:AD58"/>
    <mergeCell ref="Z50:AA50"/>
    <mergeCell ref="Z51:AA51"/>
    <mergeCell ref="Z52:AA52"/>
    <mergeCell ref="Z53:AA53"/>
    <mergeCell ref="Z54:AA54"/>
    <mergeCell ref="Z55:AA55"/>
    <mergeCell ref="Z56:AA56"/>
    <mergeCell ref="Z57:AA57"/>
    <mergeCell ref="Z58:AA58"/>
    <mergeCell ref="Z66:AA66"/>
    <mergeCell ref="Z67:AA67"/>
    <mergeCell ref="Z68:AA68"/>
    <mergeCell ref="D48:E48"/>
    <mergeCell ref="Z48:AA48"/>
    <mergeCell ref="A49:A58"/>
    <mergeCell ref="S49:S58"/>
    <mergeCell ref="Z49:AA49"/>
    <mergeCell ref="D58:E58"/>
    <mergeCell ref="A38:A48"/>
    <mergeCell ref="S38:S48"/>
    <mergeCell ref="Z38:AA38"/>
    <mergeCell ref="AD38:AD48"/>
    <mergeCell ref="Z39:AA39"/>
    <mergeCell ref="Z40:AA40"/>
    <mergeCell ref="Z41:AA41"/>
    <mergeCell ref="Z42:AA42"/>
    <mergeCell ref="Z43:AA43"/>
    <mergeCell ref="Z44:AA44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Z45:AA45"/>
    <mergeCell ref="Z46:AA46"/>
    <mergeCell ref="Z47:AA47"/>
    <mergeCell ref="D26:E26"/>
    <mergeCell ref="Z26:AA26"/>
    <mergeCell ref="A27:A37"/>
    <mergeCell ref="S27:S37"/>
    <mergeCell ref="Z27:AA27"/>
    <mergeCell ref="D37:E37"/>
    <mergeCell ref="Z37:AA37"/>
    <mergeCell ref="A16:A26"/>
    <mergeCell ref="S16:S26"/>
    <mergeCell ref="Z16:AA16"/>
    <mergeCell ref="AD16:AD26"/>
    <mergeCell ref="Z17:AA17"/>
    <mergeCell ref="Z18:AA18"/>
    <mergeCell ref="Z19:AA19"/>
    <mergeCell ref="Z20:AA20"/>
    <mergeCell ref="Z21:AA21"/>
    <mergeCell ref="Z22:AA22"/>
    <mergeCell ref="Z10:AA10"/>
    <mergeCell ref="Z11:AA11"/>
    <mergeCell ref="Z12:AA12"/>
    <mergeCell ref="Z13:AA13"/>
    <mergeCell ref="Z14:AA14"/>
    <mergeCell ref="Z23:AA23"/>
    <mergeCell ref="Z24:AA24"/>
    <mergeCell ref="Z25:AA25"/>
    <mergeCell ref="Z15:AA15"/>
    <mergeCell ref="AC3:AC4"/>
    <mergeCell ref="AD3:AD4"/>
    <mergeCell ref="A5:A15"/>
    <mergeCell ref="S5:S15"/>
    <mergeCell ref="Z5:AA5"/>
    <mergeCell ref="AD5:AD15"/>
    <mergeCell ref="Z6:AA6"/>
    <mergeCell ref="Z7:AA7"/>
    <mergeCell ref="Z8:AA8"/>
    <mergeCell ref="Z9:AA9"/>
    <mergeCell ref="T3:U3"/>
    <mergeCell ref="V3:V4"/>
    <mergeCell ref="W3:W4"/>
    <mergeCell ref="X3:Y3"/>
    <mergeCell ref="Z3:AA4"/>
    <mergeCell ref="AB3:AB4"/>
    <mergeCell ref="N3:N4"/>
    <mergeCell ref="O3:O4"/>
    <mergeCell ref="P3:P4"/>
    <mergeCell ref="Q3:Q4"/>
    <mergeCell ref="R3:R4"/>
    <mergeCell ref="S3:S4"/>
    <mergeCell ref="A2:B2"/>
    <mergeCell ref="A3:A4"/>
    <mergeCell ref="B3:B4"/>
    <mergeCell ref="D3:E4"/>
    <mergeCell ref="F3:F4"/>
    <mergeCell ref="G3:G4"/>
    <mergeCell ref="J1:L2"/>
    <mergeCell ref="M1:O2"/>
    <mergeCell ref="D15:E15"/>
    <mergeCell ref="P1:S2"/>
    <mergeCell ref="T1:Y2"/>
    <mergeCell ref="Z1:AA2"/>
    <mergeCell ref="AB1:AD2"/>
    <mergeCell ref="H3:H4"/>
    <mergeCell ref="I3:I4"/>
    <mergeCell ref="J3:J4"/>
    <mergeCell ref="K3:K4"/>
    <mergeCell ref="L3:L4"/>
    <mergeCell ref="M3:M4"/>
  </mergeCells>
  <phoneticPr fontId="2" type="noConversion"/>
  <conditionalFormatting sqref="P5:P79">
    <cfRule type="cellIs" dxfId="8" priority="1" operator="greaterThan">
      <formula>0</formula>
    </cfRule>
  </conditionalFormatting>
  <conditionalFormatting sqref="Q5:Q79 AB5:AB79">
    <cfRule type="cellIs" dxfId="7" priority="4" operator="lessThan">
      <formula>0</formula>
    </cfRule>
  </conditionalFormatting>
  <conditionalFormatting sqref="R5:R79 AC5:AC79">
    <cfRule type="cellIs" dxfId="6" priority="2" operator="greaterThan">
      <formula>1</formula>
    </cfRule>
    <cfRule type="cellIs" dxfId="5" priority="3" operator="lessThan">
      <formula>0.8</formula>
    </cfRule>
  </conditionalFormatting>
  <conditionalFormatting sqref="S5:S10 S37:S62 AD59:AD62 S69:S76 AD69:AD76">
    <cfRule type="cellIs" dxfId="4" priority="7" operator="lessThan">
      <formula>0.8</formula>
    </cfRule>
  </conditionalFormatting>
  <conditionalFormatting sqref="S19:S25 AD19:AD25">
    <cfRule type="cellIs" dxfId="3" priority="6" operator="lessThan">
      <formula>0.8</formula>
    </cfRule>
  </conditionalFormatting>
  <conditionalFormatting sqref="S79">
    <cfRule type="cellIs" dxfId="2" priority="5" operator="lessThan">
      <formula>0.8</formula>
    </cfRule>
  </conditionalFormatting>
  <conditionalFormatting sqref="AD5:AD8 S15:S16 AD15:AD16 AD49 AD79">
    <cfRule type="cellIs" dxfId="1" priority="9" operator="lessThan">
      <formula>0.8</formula>
    </cfRule>
  </conditionalFormatting>
  <conditionalFormatting sqref="AD27 S27:S28">
    <cfRule type="cellIs" dxfId="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9A32600-ADE9-4F69-8964-DBF8C18734DC}">
          <x14:formula1>
            <xm:f>廠價表!$C$2:$C$37</xm:f>
          </x14:formula1>
          <xm:sqref>D1:D1048576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6ac12c2cf3f81d8b95e582dbe505b9d0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c109056247f4578a09a7d23217ceb819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85F618B-6161-4F33-8EDA-2DB0673AD6B8}"/>
</file>

<file path=customXml/itemProps2.xml><?xml version="1.0" encoding="utf-8"?>
<ds:datastoreItem xmlns:ds="http://schemas.openxmlformats.org/officeDocument/2006/customXml" ds:itemID="{76D22B1D-1444-4443-A565-F9894FCA8FD0}"/>
</file>

<file path=customXml/itemProps3.xml><?xml version="1.0" encoding="utf-8"?>
<ds:datastoreItem xmlns:ds="http://schemas.openxmlformats.org/officeDocument/2006/customXml" ds:itemID="{A82841B7-B82F-4C76-B54B-820ACF9598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62</vt:i4>
      </vt:variant>
      <vt:variant>
        <vt:lpstr>具名範圍</vt:lpstr>
      </vt:variant>
      <vt:variant>
        <vt:i4>30</vt:i4>
      </vt:variant>
    </vt:vector>
  </HeadingPairs>
  <TitlesOfParts>
    <vt:vector size="92" baseType="lpstr">
      <vt:lpstr>廠價表</vt:lpstr>
      <vt:lpstr>產線配置圖</vt:lpstr>
      <vt:lpstr>1101總</vt:lpstr>
      <vt:lpstr>1101</vt:lpstr>
      <vt:lpstr>1102總 </vt:lpstr>
      <vt:lpstr>1102</vt:lpstr>
      <vt:lpstr>1103總 </vt:lpstr>
      <vt:lpstr>1103</vt:lpstr>
      <vt:lpstr>1104總</vt:lpstr>
      <vt:lpstr>1104</vt:lpstr>
      <vt:lpstr>1105總 </vt:lpstr>
      <vt:lpstr>1105</vt:lpstr>
      <vt:lpstr>1106總</vt:lpstr>
      <vt:lpstr>1106</vt:lpstr>
      <vt:lpstr>1107總</vt:lpstr>
      <vt:lpstr>1107</vt:lpstr>
      <vt:lpstr>1108總</vt:lpstr>
      <vt:lpstr>1108</vt:lpstr>
      <vt:lpstr>1109總</vt:lpstr>
      <vt:lpstr>1109</vt:lpstr>
      <vt:lpstr>1110總</vt:lpstr>
      <vt:lpstr>1110</vt:lpstr>
      <vt:lpstr>1111總 </vt:lpstr>
      <vt:lpstr>1111</vt:lpstr>
      <vt:lpstr>1112總</vt:lpstr>
      <vt:lpstr>1112</vt:lpstr>
      <vt:lpstr>1113總</vt:lpstr>
      <vt:lpstr>1113</vt:lpstr>
      <vt:lpstr>1114總</vt:lpstr>
      <vt:lpstr>1114</vt:lpstr>
      <vt:lpstr>1115總</vt:lpstr>
      <vt:lpstr>1115</vt:lpstr>
      <vt:lpstr>1116總</vt:lpstr>
      <vt:lpstr>1116</vt:lpstr>
      <vt:lpstr>1117總</vt:lpstr>
      <vt:lpstr>1117</vt:lpstr>
      <vt:lpstr>1118總 </vt:lpstr>
      <vt:lpstr>1118</vt:lpstr>
      <vt:lpstr>1119總 </vt:lpstr>
      <vt:lpstr>1119</vt:lpstr>
      <vt:lpstr>1120總</vt:lpstr>
      <vt:lpstr>1120</vt:lpstr>
      <vt:lpstr>1121總 </vt:lpstr>
      <vt:lpstr>1121</vt:lpstr>
      <vt:lpstr>1122總 </vt:lpstr>
      <vt:lpstr>1122</vt:lpstr>
      <vt:lpstr>1123總 </vt:lpstr>
      <vt:lpstr>1123</vt:lpstr>
      <vt:lpstr>1124總</vt:lpstr>
      <vt:lpstr>1124</vt:lpstr>
      <vt:lpstr>1125總</vt:lpstr>
      <vt:lpstr>1125</vt:lpstr>
      <vt:lpstr>1126總 </vt:lpstr>
      <vt:lpstr>1126</vt:lpstr>
      <vt:lpstr>1127總</vt:lpstr>
      <vt:lpstr>1127</vt:lpstr>
      <vt:lpstr>1128總</vt:lpstr>
      <vt:lpstr>1128</vt:lpstr>
      <vt:lpstr>1129總</vt:lpstr>
      <vt:lpstr>1129</vt:lpstr>
      <vt:lpstr>1130總</vt:lpstr>
      <vt:lpstr>1130</vt:lpstr>
      <vt:lpstr>'1101'!Print_Area</vt:lpstr>
      <vt:lpstr>'1102'!Print_Area</vt:lpstr>
      <vt:lpstr>'1103'!Print_Area</vt:lpstr>
      <vt:lpstr>'1104'!Print_Area</vt:lpstr>
      <vt:lpstr>'1105'!Print_Area</vt:lpstr>
      <vt:lpstr>'1106'!Print_Area</vt:lpstr>
      <vt:lpstr>'1107'!Print_Area</vt:lpstr>
      <vt:lpstr>'1108'!Print_Area</vt:lpstr>
      <vt:lpstr>'1109'!Print_Area</vt:lpstr>
      <vt:lpstr>'1110'!Print_Area</vt:lpstr>
      <vt:lpstr>'1111'!Print_Area</vt:lpstr>
      <vt:lpstr>'1112'!Print_Area</vt:lpstr>
      <vt:lpstr>'1113'!Print_Area</vt:lpstr>
      <vt:lpstr>'1114'!Print_Area</vt:lpstr>
      <vt:lpstr>'1115'!Print_Area</vt:lpstr>
      <vt:lpstr>'1116'!Print_Area</vt:lpstr>
      <vt:lpstr>'1117'!Print_Area</vt:lpstr>
      <vt:lpstr>'1118'!Print_Area</vt:lpstr>
      <vt:lpstr>'1119'!Print_Area</vt:lpstr>
      <vt:lpstr>'1120'!Print_Area</vt:lpstr>
      <vt:lpstr>'1121'!Print_Area</vt:lpstr>
      <vt:lpstr>'1122'!Print_Area</vt:lpstr>
      <vt:lpstr>'1123'!Print_Area</vt:lpstr>
      <vt:lpstr>'1124'!Print_Area</vt:lpstr>
      <vt:lpstr>'1125'!Print_Area</vt:lpstr>
      <vt:lpstr>'1126'!Print_Area</vt:lpstr>
      <vt:lpstr>'1127'!Print_Area</vt:lpstr>
      <vt:lpstr>'1128'!Print_Area</vt:lpstr>
      <vt:lpstr>'1129'!Print_Area</vt:lpstr>
      <vt:lpstr>'1130'!Print_Area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temp</dc:creator>
  <cp:lastModifiedBy>杜育頴</cp:lastModifiedBy>
  <cp:lastPrinted>2025-07-20T06:16:16Z</cp:lastPrinted>
  <dcterms:created xsi:type="dcterms:W3CDTF">2025-03-27T08:47:27Z</dcterms:created>
  <dcterms:modified xsi:type="dcterms:W3CDTF">2025-12-02T01:30:47Z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