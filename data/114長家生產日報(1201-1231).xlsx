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1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3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長家\114.12\人時性\"/>
    </mc:Choice>
  </mc:AlternateContent>
  <bookViews>
    <workbookView xWindow="-120" yWindow="-120" windowWidth="29040" windowHeight="15720" tabRatio="611" firstSheet="53" activeTab="63"/>
  </bookViews>
  <sheets>
    <sheet name="廠價表" sheetId="4" r:id="rId1"/>
    <sheet name="產線配置圖" sheetId="10" r:id="rId2"/>
    <sheet name="1201總" sheetId="185" r:id="rId3"/>
    <sheet name="1201" sheetId="186" r:id="rId4"/>
    <sheet name="1202總" sheetId="187" r:id="rId5"/>
    <sheet name="1202" sheetId="188" r:id="rId6"/>
    <sheet name="1203總 " sheetId="189" r:id="rId7"/>
    <sheet name="1203" sheetId="190" r:id="rId8"/>
    <sheet name="1204總" sheetId="191" r:id="rId9"/>
    <sheet name="1204" sheetId="192" r:id="rId10"/>
    <sheet name="1205總" sheetId="193" r:id="rId11"/>
    <sheet name="1205" sheetId="194" r:id="rId12"/>
    <sheet name="1206總" sheetId="195" r:id="rId13"/>
    <sheet name="1206" sheetId="196" r:id="rId14"/>
    <sheet name="1207總" sheetId="197" r:id="rId15"/>
    <sheet name="1207" sheetId="198" r:id="rId16"/>
    <sheet name="1208總" sheetId="199" r:id="rId17"/>
    <sheet name="1208" sheetId="200" r:id="rId18"/>
    <sheet name="1209總" sheetId="201" r:id="rId19"/>
    <sheet name="1209" sheetId="202" r:id="rId20"/>
    <sheet name="1210總" sheetId="203" r:id="rId21"/>
    <sheet name="1210" sheetId="204" r:id="rId22"/>
    <sheet name="1211總" sheetId="205" r:id="rId23"/>
    <sheet name="1211" sheetId="206" r:id="rId24"/>
    <sheet name="1212總" sheetId="207" r:id="rId25"/>
    <sheet name="1212" sheetId="208" r:id="rId26"/>
    <sheet name="1213總" sheetId="209" r:id="rId27"/>
    <sheet name="1213" sheetId="210" r:id="rId28"/>
    <sheet name="1214總" sheetId="211" r:id="rId29"/>
    <sheet name="1214" sheetId="212" r:id="rId30"/>
    <sheet name="1215總" sheetId="213" r:id="rId31"/>
    <sheet name="1215" sheetId="214" r:id="rId32"/>
    <sheet name="1216總" sheetId="215" r:id="rId33"/>
    <sheet name="1216" sheetId="216" r:id="rId34"/>
    <sheet name="1217總" sheetId="218" r:id="rId35"/>
    <sheet name="1217" sheetId="219" r:id="rId36"/>
    <sheet name="1218總" sheetId="220" r:id="rId37"/>
    <sheet name="1218" sheetId="221" r:id="rId38"/>
    <sheet name="1219總" sheetId="222" r:id="rId39"/>
    <sheet name="1219" sheetId="223" r:id="rId40"/>
    <sheet name="1220總" sheetId="224" r:id="rId41"/>
    <sheet name="1220" sheetId="226" r:id="rId42"/>
    <sheet name="1221總 " sheetId="227" r:id="rId43"/>
    <sheet name="1221" sheetId="228" r:id="rId44"/>
    <sheet name="1222總" sheetId="229" r:id="rId45"/>
    <sheet name="1222" sheetId="230" r:id="rId46"/>
    <sheet name="1223總" sheetId="231" r:id="rId47"/>
    <sheet name="1223" sheetId="232" r:id="rId48"/>
    <sheet name="1224總 " sheetId="236" r:id="rId49"/>
    <sheet name="1224" sheetId="237" r:id="rId50"/>
    <sheet name="1225總" sheetId="238" r:id="rId51"/>
    <sheet name="1225" sheetId="239" r:id="rId52"/>
    <sheet name="1226總" sheetId="252" r:id="rId53"/>
    <sheet name="1226" sheetId="253" r:id="rId54"/>
    <sheet name="1227總" sheetId="254" r:id="rId55"/>
    <sheet name="1227" sheetId="255" r:id="rId56"/>
    <sheet name="1228總 " sheetId="256" r:id="rId57"/>
    <sheet name="1228" sheetId="257" r:id="rId58"/>
    <sheet name="1229總" sheetId="258" r:id="rId59"/>
    <sheet name="1229" sheetId="259" r:id="rId60"/>
    <sheet name="1230總" sheetId="260" r:id="rId61"/>
    <sheet name="1230" sheetId="261" r:id="rId62"/>
    <sheet name="1231總" sheetId="262" r:id="rId63"/>
    <sheet name="1231" sheetId="263" r:id="rId64"/>
  </sheets>
  <definedNames>
    <definedName name="_xlnm._FilterDatabase" localSheetId="3" hidden="1">'1201'!$D$1:$D$92</definedName>
    <definedName name="_xlnm._FilterDatabase" localSheetId="2" hidden="1">'1201總'!$B$10:$J$21</definedName>
    <definedName name="_xlnm._FilterDatabase" localSheetId="5" hidden="1">'1202'!$D$1:$D$92</definedName>
    <definedName name="_xlnm._FilterDatabase" localSheetId="4" hidden="1">'1202總'!$B$10:$J$21</definedName>
    <definedName name="_xlnm._FilterDatabase" localSheetId="7" hidden="1">'1203'!$D$1:$D$92</definedName>
    <definedName name="_xlnm._FilterDatabase" localSheetId="6" hidden="1">'1203總 '!$B$10:$J$21</definedName>
    <definedName name="_xlnm._FilterDatabase" localSheetId="9" hidden="1">'1204'!$D$1:$D$92</definedName>
    <definedName name="_xlnm._FilterDatabase" localSheetId="8" hidden="1">'1204總'!$B$10:$J$21</definedName>
    <definedName name="_xlnm._FilterDatabase" localSheetId="11" hidden="1">'1205'!$D$1:$D$92</definedName>
    <definedName name="_xlnm._FilterDatabase" localSheetId="10" hidden="1">'1205總'!$B$10:$J$21</definedName>
    <definedName name="_xlnm._FilterDatabase" localSheetId="13" hidden="1">'1206'!$D$1:$D$92</definedName>
    <definedName name="_xlnm._FilterDatabase" localSheetId="12" hidden="1">'1206總'!$B$10:$J$21</definedName>
    <definedName name="_xlnm._FilterDatabase" localSheetId="15" hidden="1">'1207'!$D$1:$D$92</definedName>
    <definedName name="_xlnm._FilterDatabase" localSheetId="14" hidden="1">'1207總'!$B$10:$J$21</definedName>
    <definedName name="_xlnm._FilterDatabase" localSheetId="17" hidden="1">'1208'!$D$1:$D$92</definedName>
    <definedName name="_xlnm._FilterDatabase" localSheetId="16" hidden="1">'1208總'!$B$10:$J$21</definedName>
    <definedName name="_xlnm._FilterDatabase" localSheetId="19" hidden="1">'1209'!$D$1:$D$92</definedName>
    <definedName name="_xlnm._FilterDatabase" localSheetId="18" hidden="1">'1209總'!$B$10:$J$21</definedName>
    <definedName name="_xlnm._FilterDatabase" localSheetId="21" hidden="1">'1210'!$D$1:$D$92</definedName>
    <definedName name="_xlnm._FilterDatabase" localSheetId="20" hidden="1">'1210總'!$B$10:$J$21</definedName>
    <definedName name="_xlnm._FilterDatabase" localSheetId="23" hidden="1">'1211'!$D$1:$D$92</definedName>
    <definedName name="_xlnm._FilterDatabase" localSheetId="22" hidden="1">'1211總'!$B$10:$J$21</definedName>
    <definedName name="_xlnm._FilterDatabase" localSheetId="25" hidden="1">'1212'!$D$1:$D$92</definedName>
    <definedName name="_xlnm._FilterDatabase" localSheetId="24" hidden="1">'1212總'!$B$10:$J$21</definedName>
    <definedName name="_xlnm._FilterDatabase" localSheetId="27" hidden="1">'1213'!$D$1:$D$92</definedName>
    <definedName name="_xlnm._FilterDatabase" localSheetId="26" hidden="1">'1213總'!$B$10:$J$21</definedName>
    <definedName name="_xlnm._FilterDatabase" localSheetId="29" hidden="1">'1214'!$D$1:$D$92</definedName>
    <definedName name="_xlnm._FilterDatabase" localSheetId="28" hidden="1">'1214總'!$B$10:$J$21</definedName>
    <definedName name="_xlnm._FilterDatabase" localSheetId="31" hidden="1">'1215'!$D$1:$D$92</definedName>
    <definedName name="_xlnm._FilterDatabase" localSheetId="30" hidden="1">'1215總'!$B$10:$J$21</definedName>
    <definedName name="_xlnm._FilterDatabase" localSheetId="33" hidden="1">'1216'!$D$1:$D$92</definedName>
    <definedName name="_xlnm._FilterDatabase" localSheetId="32" hidden="1">'1216總'!$B$10:$J$21</definedName>
    <definedName name="_xlnm._FilterDatabase" localSheetId="35" hidden="1">'1217'!$D$1:$D$92</definedName>
    <definedName name="_xlnm._FilterDatabase" localSheetId="34" hidden="1">'1217總'!$B$10:$J$21</definedName>
    <definedName name="_xlnm._FilterDatabase" localSheetId="37" hidden="1">'1218'!$D$1:$D$92</definedName>
    <definedName name="_xlnm._FilterDatabase" localSheetId="36" hidden="1">'1218總'!$B$10:$J$21</definedName>
    <definedName name="_xlnm._FilterDatabase" localSheetId="39" hidden="1">'1219'!$D$1:$D$92</definedName>
    <definedName name="_xlnm._FilterDatabase" localSheetId="38" hidden="1">'1219總'!$B$10:$J$21</definedName>
    <definedName name="_xlnm._FilterDatabase" localSheetId="41" hidden="1">'1220'!$D$1:$D$92</definedName>
    <definedName name="_xlnm._FilterDatabase" localSheetId="40" hidden="1">'1220總'!$B$10:$J$21</definedName>
    <definedName name="_xlnm._FilterDatabase" localSheetId="43" hidden="1">'1221'!$D$1:$D$92</definedName>
    <definedName name="_xlnm._FilterDatabase" localSheetId="42" hidden="1">'1221總 '!$B$10:$J$21</definedName>
    <definedName name="_xlnm._FilterDatabase" localSheetId="45" hidden="1">'1222'!$D$1:$D$92</definedName>
    <definedName name="_xlnm._FilterDatabase" localSheetId="44" hidden="1">'1222總'!$B$10:$J$21</definedName>
    <definedName name="_xlnm._FilterDatabase" localSheetId="47" hidden="1">'1223'!$D$1:$D$92</definedName>
    <definedName name="_xlnm._FilterDatabase" localSheetId="46" hidden="1">'1223總'!$B$10:$J$21</definedName>
    <definedName name="_xlnm._FilterDatabase" localSheetId="49" hidden="1">'1224'!$D$1:$D$92</definedName>
    <definedName name="_xlnm._FilterDatabase" localSheetId="48" hidden="1">'1224總 '!$B$10:$J$21</definedName>
    <definedName name="_xlnm._FilterDatabase" localSheetId="51">'1225'!$D$1:$D$92</definedName>
    <definedName name="_xlnm._FilterDatabase" localSheetId="50">'1225總'!$B$10:$J$21</definedName>
    <definedName name="_xlnm._FilterDatabase" localSheetId="53">'1226'!$D$1:$D$92</definedName>
    <definedName name="_xlnm._FilterDatabase" localSheetId="52">'1226總'!$B$10:$J$21</definedName>
    <definedName name="_xlnm._FilterDatabase" localSheetId="55">'1227'!$D$1:$D$92</definedName>
    <definedName name="_xlnm._FilterDatabase" localSheetId="54">'1227總'!$B$10:$J$21</definedName>
    <definedName name="_xlnm._FilterDatabase" localSheetId="57">'1228'!$D$1:$D$92</definedName>
    <definedName name="_xlnm._FilterDatabase" localSheetId="56">'1228總 '!$B$10:$J$21</definedName>
    <definedName name="_xlnm._FilterDatabase" localSheetId="59">'1229'!$D$1:$D$92</definedName>
    <definedName name="_xlnm._FilterDatabase" localSheetId="58">'1229總'!$B$10:$J$21</definedName>
    <definedName name="_xlnm._FilterDatabase" localSheetId="61">'1230'!$D$1:$D$92</definedName>
    <definedName name="_xlnm._FilterDatabase" localSheetId="60">'1230總'!$B$10:$J$21</definedName>
    <definedName name="_xlnm._FilterDatabase" localSheetId="63">'1231'!$D$1:$D$92</definedName>
    <definedName name="_xlnm._FilterDatabase" localSheetId="62">'1231總'!$B$10:$J$21</definedName>
    <definedName name="_xlnm.Print_Area" localSheetId="3">'1201'!$A$1:$AD$79</definedName>
    <definedName name="_xlnm.Print_Area" localSheetId="5">'1202'!$A$1:$AD$79</definedName>
    <definedName name="_xlnm.Print_Area" localSheetId="7">'1203'!$A$1:$AD$79</definedName>
    <definedName name="_xlnm.Print_Area" localSheetId="9">'1204'!$A$1:$AD$79</definedName>
    <definedName name="_xlnm.Print_Area" localSheetId="11">'1205'!$A$1:$AD$79</definedName>
    <definedName name="_xlnm.Print_Area" localSheetId="13">'1206'!$A$1:$AD$79</definedName>
    <definedName name="_xlnm.Print_Area" localSheetId="15">'1207'!$A$1:$AD$79</definedName>
    <definedName name="_xlnm.Print_Area" localSheetId="17">'1208'!$A$1:$AD$79</definedName>
    <definedName name="_xlnm.Print_Area" localSheetId="19">'1209'!$A$1:$AD$79</definedName>
    <definedName name="_xlnm.Print_Area" localSheetId="21">'1210'!$A$1:$AD$79</definedName>
    <definedName name="_xlnm.Print_Area" localSheetId="23">'1211'!$A$1:$AD$79</definedName>
    <definedName name="_xlnm.Print_Area" localSheetId="25">'1212'!$A$1:$AD$79</definedName>
    <definedName name="_xlnm.Print_Area" localSheetId="27">'1213'!$A$1:$AD$79</definedName>
    <definedName name="_xlnm.Print_Area" localSheetId="29">'1214'!$A$1:$AD$79</definedName>
    <definedName name="_xlnm.Print_Area" localSheetId="31">'1215'!$A$1:$AD$79</definedName>
    <definedName name="_xlnm.Print_Area" localSheetId="33">'1216'!$A$1:$AD$79</definedName>
    <definedName name="_xlnm.Print_Area" localSheetId="35">'1217'!$A$1:$AD$79</definedName>
    <definedName name="_xlnm.Print_Area" localSheetId="37">'1218'!$A$1:$AD$79</definedName>
    <definedName name="_xlnm.Print_Area" localSheetId="39">'1219'!$A$1:$AD$79</definedName>
    <definedName name="_xlnm.Print_Area" localSheetId="41">'1220'!$A$1:$AD$79</definedName>
    <definedName name="_xlnm.Print_Area" localSheetId="43">'1221'!$A$1:$AD$79</definedName>
    <definedName name="_xlnm.Print_Area" localSheetId="45">'1222'!$A$1:$AD$79</definedName>
    <definedName name="_xlnm.Print_Area" localSheetId="47">'1223'!$A$1:$AD$79</definedName>
    <definedName name="_xlnm.Print_Area" localSheetId="49">'1224'!$A$1:$AD$79</definedName>
    <definedName name="_xlnm.Print_Area" localSheetId="51">'1225'!$A$1:$AD$79</definedName>
    <definedName name="_xlnm.Print_Area" localSheetId="53">'1226'!$A$1:$AD$79</definedName>
    <definedName name="_xlnm.Print_Area" localSheetId="55">'1227'!$A$1:$AD$79</definedName>
    <definedName name="_xlnm.Print_Area" localSheetId="57">'1228'!$A$1:$AD$79</definedName>
    <definedName name="_xlnm.Print_Area" localSheetId="59">'1229'!$A$1:$AD$79</definedName>
    <definedName name="_xlnm.Print_Area" localSheetId="61">'1230'!$A$1:$AD$79</definedName>
    <definedName name="_xlnm.Print_Area" localSheetId="63">'1231'!$A$1:$AD$79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263" l="1"/>
  <c r="F9" i="263"/>
  <c r="N9" i="263"/>
  <c r="O9" i="263" s="1"/>
  <c r="P9" i="263"/>
  <c r="H9" i="263"/>
  <c r="J9" i="263"/>
  <c r="K9" i="263"/>
  <c r="M79" i="263"/>
  <c r="W78" i="263"/>
  <c r="H78" i="263"/>
  <c r="W77" i="263"/>
  <c r="W76" i="263"/>
  <c r="W75" i="263"/>
  <c r="W74" i="263"/>
  <c r="W73" i="263"/>
  <c r="W72" i="263"/>
  <c r="W71" i="263"/>
  <c r="W70" i="263"/>
  <c r="N70" i="263"/>
  <c r="K70" i="263"/>
  <c r="J70" i="263"/>
  <c r="F70" i="263"/>
  <c r="H70" i="263" s="1"/>
  <c r="M69" i="263"/>
  <c r="W68" i="263"/>
  <c r="H68" i="263"/>
  <c r="W67" i="263"/>
  <c r="W66" i="263"/>
  <c r="W65" i="263"/>
  <c r="W64" i="263"/>
  <c r="AC63" i="263"/>
  <c r="AB63" i="263"/>
  <c r="W63" i="263"/>
  <c r="W62" i="263"/>
  <c r="V62" i="263"/>
  <c r="N62" i="263"/>
  <c r="K62" i="263"/>
  <c r="L62" i="263" s="1"/>
  <c r="J62" i="263"/>
  <c r="P62" i="263" s="1"/>
  <c r="F62" i="263"/>
  <c r="H62" i="263" s="1"/>
  <c r="W61" i="263"/>
  <c r="V61" i="263"/>
  <c r="N61" i="263"/>
  <c r="K61" i="263"/>
  <c r="L61" i="263" s="1"/>
  <c r="J61" i="263"/>
  <c r="P61" i="263" s="1"/>
  <c r="F61" i="263"/>
  <c r="H61" i="263" s="1"/>
  <c r="W60" i="263"/>
  <c r="V60" i="263"/>
  <c r="N60" i="263"/>
  <c r="K60" i="263"/>
  <c r="L60" i="263" s="1"/>
  <c r="J60" i="263"/>
  <c r="P60" i="263" s="1"/>
  <c r="F60" i="263"/>
  <c r="H60" i="263" s="1"/>
  <c r="W59" i="263"/>
  <c r="N59" i="263"/>
  <c r="K59" i="263"/>
  <c r="J59" i="263"/>
  <c r="F59" i="263"/>
  <c r="H59" i="263" s="1"/>
  <c r="M58" i="263"/>
  <c r="W57" i="263"/>
  <c r="H57" i="263"/>
  <c r="W56" i="263"/>
  <c r="H56" i="263"/>
  <c r="W55" i="263"/>
  <c r="H55" i="263"/>
  <c r="W54" i="263"/>
  <c r="H54" i="263"/>
  <c r="AC53" i="263"/>
  <c r="AB53" i="263"/>
  <c r="W53" i="263"/>
  <c r="W52" i="263"/>
  <c r="V52" i="263"/>
  <c r="N52" i="263"/>
  <c r="K52" i="263"/>
  <c r="L52" i="263" s="1"/>
  <c r="J52" i="263"/>
  <c r="P52" i="263" s="1"/>
  <c r="F52" i="263"/>
  <c r="H52" i="263" s="1"/>
  <c r="W51" i="263"/>
  <c r="V51" i="263"/>
  <c r="N51" i="263"/>
  <c r="K51" i="263"/>
  <c r="L51" i="263" s="1"/>
  <c r="J51" i="263"/>
  <c r="P51" i="263" s="1"/>
  <c r="F51" i="263"/>
  <c r="H51" i="263" s="1"/>
  <c r="W50" i="263"/>
  <c r="V50" i="263"/>
  <c r="N50" i="263"/>
  <c r="K50" i="263"/>
  <c r="L50" i="263" s="1"/>
  <c r="J50" i="263"/>
  <c r="P50" i="263" s="1"/>
  <c r="F50" i="263"/>
  <c r="H50" i="263" s="1"/>
  <c r="W49" i="263"/>
  <c r="N49" i="263"/>
  <c r="K49" i="263"/>
  <c r="J49" i="263"/>
  <c r="F49" i="263"/>
  <c r="H49" i="263" s="1"/>
  <c r="W48" i="263"/>
  <c r="M48" i="263"/>
  <c r="W47" i="263"/>
  <c r="H47" i="263"/>
  <c r="W46" i="263"/>
  <c r="H46" i="263"/>
  <c r="W45" i="263"/>
  <c r="H45" i="263"/>
  <c r="W44" i="263"/>
  <c r="W43" i="263"/>
  <c r="W42" i="263"/>
  <c r="W41" i="263"/>
  <c r="W40" i="263"/>
  <c r="V40" i="263"/>
  <c r="N40" i="263"/>
  <c r="K40" i="263"/>
  <c r="L40" i="263" s="1"/>
  <c r="J40" i="263"/>
  <c r="P40" i="263" s="1"/>
  <c r="F40" i="263"/>
  <c r="H40" i="263" s="1"/>
  <c r="W39" i="263"/>
  <c r="V39" i="263"/>
  <c r="N39" i="263"/>
  <c r="K39" i="263"/>
  <c r="L39" i="263" s="1"/>
  <c r="J39" i="263"/>
  <c r="P39" i="263" s="1"/>
  <c r="F39" i="263"/>
  <c r="H39" i="263" s="1"/>
  <c r="W38" i="263"/>
  <c r="N38" i="263"/>
  <c r="K38" i="263"/>
  <c r="J38" i="263"/>
  <c r="F38" i="263"/>
  <c r="H38" i="263" s="1"/>
  <c r="M37" i="263"/>
  <c r="F18" i="262" s="1"/>
  <c r="W36" i="263"/>
  <c r="H36" i="263"/>
  <c r="W35" i="263"/>
  <c r="H35" i="263"/>
  <c r="W34" i="263"/>
  <c r="W33" i="263"/>
  <c r="W32" i="263"/>
  <c r="W31" i="263"/>
  <c r="W30" i="263"/>
  <c r="V30" i="263"/>
  <c r="N30" i="263"/>
  <c r="K30" i="263"/>
  <c r="L30" i="263" s="1"/>
  <c r="J30" i="263"/>
  <c r="P30" i="263" s="1"/>
  <c r="F30" i="263"/>
  <c r="H30" i="263" s="1"/>
  <c r="W29" i="263"/>
  <c r="V29" i="263"/>
  <c r="N29" i="263"/>
  <c r="K29" i="263"/>
  <c r="L29" i="263" s="1"/>
  <c r="J29" i="263"/>
  <c r="P29" i="263" s="1"/>
  <c r="F29" i="263"/>
  <c r="H29" i="263" s="1"/>
  <c r="W28" i="263"/>
  <c r="V28" i="263"/>
  <c r="N28" i="263"/>
  <c r="K28" i="263"/>
  <c r="L28" i="263" s="1"/>
  <c r="J28" i="263"/>
  <c r="P28" i="263" s="1"/>
  <c r="F28" i="263"/>
  <c r="H28" i="263" s="1"/>
  <c r="W27" i="263"/>
  <c r="N27" i="263"/>
  <c r="K27" i="263"/>
  <c r="J27" i="263"/>
  <c r="F27" i="263"/>
  <c r="H27" i="263" s="1"/>
  <c r="M26" i="263"/>
  <c r="W25" i="263"/>
  <c r="H25" i="263"/>
  <c r="W24" i="263"/>
  <c r="H24" i="263"/>
  <c r="W23" i="263"/>
  <c r="H22" i="263"/>
  <c r="W21" i="263"/>
  <c r="W20" i="263"/>
  <c r="W19" i="263"/>
  <c r="V19" i="263"/>
  <c r="N19" i="263"/>
  <c r="K19" i="263"/>
  <c r="L19" i="263" s="1"/>
  <c r="J19" i="263"/>
  <c r="P19" i="263" s="1"/>
  <c r="F19" i="263"/>
  <c r="H19" i="263" s="1"/>
  <c r="W18" i="263"/>
  <c r="N18" i="263" s="1"/>
  <c r="V18" i="263"/>
  <c r="K18" i="263"/>
  <c r="L18" i="263" s="1"/>
  <c r="J18" i="263"/>
  <c r="P18" i="263" s="1"/>
  <c r="F18" i="263"/>
  <c r="H18" i="263" s="1"/>
  <c r="W17" i="263"/>
  <c r="N17" i="263"/>
  <c r="K17" i="263"/>
  <c r="L17" i="263" s="1"/>
  <c r="J17" i="263"/>
  <c r="P17" i="263" s="1"/>
  <c r="F17" i="263"/>
  <c r="H17" i="263" s="1"/>
  <c r="W16" i="263"/>
  <c r="N16" i="263"/>
  <c r="K16" i="263"/>
  <c r="J16" i="263"/>
  <c r="F16" i="263"/>
  <c r="H16" i="263" s="1"/>
  <c r="M15" i="263"/>
  <c r="W14" i="263"/>
  <c r="W13" i="263"/>
  <c r="W12" i="263"/>
  <c r="H12" i="263"/>
  <c r="W11" i="263"/>
  <c r="H11" i="263"/>
  <c r="W10" i="263"/>
  <c r="W9" i="263"/>
  <c r="W8" i="263"/>
  <c r="V8" i="263"/>
  <c r="N8" i="263"/>
  <c r="K8" i="263"/>
  <c r="L8" i="263" s="1"/>
  <c r="J8" i="263"/>
  <c r="P8" i="263" s="1"/>
  <c r="F8" i="263"/>
  <c r="H8" i="263" s="1"/>
  <c r="W7" i="263"/>
  <c r="V7" i="263"/>
  <c r="N7" i="263"/>
  <c r="K7" i="263"/>
  <c r="L7" i="263" s="1"/>
  <c r="J7" i="263"/>
  <c r="P7" i="263" s="1"/>
  <c r="F7" i="263"/>
  <c r="H7" i="263" s="1"/>
  <c r="W6" i="263"/>
  <c r="V6" i="263"/>
  <c r="N6" i="263"/>
  <c r="K6" i="263"/>
  <c r="L6" i="263" s="1"/>
  <c r="J6" i="263"/>
  <c r="P6" i="263" s="1"/>
  <c r="F6" i="263"/>
  <c r="H6" i="263" s="1"/>
  <c r="W5" i="263"/>
  <c r="N5" i="263"/>
  <c r="K5" i="263"/>
  <c r="J5" i="263"/>
  <c r="F5" i="263"/>
  <c r="H5" i="263" s="1"/>
  <c r="G1" i="263" s="1"/>
  <c r="I2" i="263"/>
  <c r="E1" i="263"/>
  <c r="G3" i="262" s="1"/>
  <c r="J18" i="262"/>
  <c r="I18" i="262"/>
  <c r="H18" i="262"/>
  <c r="G18" i="262"/>
  <c r="E18" i="262"/>
  <c r="J16" i="262"/>
  <c r="I16" i="262"/>
  <c r="H16" i="262"/>
  <c r="G16" i="262"/>
  <c r="F16" i="262"/>
  <c r="E16" i="262"/>
  <c r="D16" i="262"/>
  <c r="M79" i="261"/>
  <c r="W78" i="261"/>
  <c r="H78" i="261"/>
  <c r="W77" i="261"/>
  <c r="H77" i="261"/>
  <c r="W76" i="261"/>
  <c r="H76" i="261"/>
  <c r="W75" i="261"/>
  <c r="H75" i="261"/>
  <c r="W74" i="261"/>
  <c r="W73" i="261"/>
  <c r="W72" i="261"/>
  <c r="W71" i="261"/>
  <c r="W70" i="261"/>
  <c r="N70" i="261"/>
  <c r="K70" i="261"/>
  <c r="J70" i="261"/>
  <c r="F70" i="261"/>
  <c r="H70" i="261" s="1"/>
  <c r="M69" i="261"/>
  <c r="W68" i="261"/>
  <c r="H68" i="261"/>
  <c r="W67" i="261"/>
  <c r="W66" i="261"/>
  <c r="W65" i="261"/>
  <c r="W64" i="261"/>
  <c r="AC63" i="261"/>
  <c r="AB63" i="261"/>
  <c r="W63" i="261"/>
  <c r="W62" i="261"/>
  <c r="V62" i="261"/>
  <c r="N62" i="261"/>
  <c r="K62" i="261"/>
  <c r="L62" i="261" s="1"/>
  <c r="J62" i="261"/>
  <c r="P62" i="261" s="1"/>
  <c r="F62" i="261"/>
  <c r="H62" i="261" s="1"/>
  <c r="W61" i="261"/>
  <c r="V61" i="261"/>
  <c r="N61" i="261"/>
  <c r="K61" i="261"/>
  <c r="L61" i="261" s="1"/>
  <c r="J61" i="261"/>
  <c r="P61" i="261" s="1"/>
  <c r="F61" i="261"/>
  <c r="H61" i="261" s="1"/>
  <c r="W60" i="261"/>
  <c r="V60" i="261"/>
  <c r="N60" i="261"/>
  <c r="K60" i="261"/>
  <c r="L60" i="261" s="1"/>
  <c r="J60" i="261"/>
  <c r="P60" i="261" s="1"/>
  <c r="F60" i="261"/>
  <c r="H60" i="261" s="1"/>
  <c r="W59" i="261"/>
  <c r="N59" i="261"/>
  <c r="K59" i="261"/>
  <c r="J59" i="261"/>
  <c r="F59" i="261"/>
  <c r="H59" i="261" s="1"/>
  <c r="M58" i="261"/>
  <c r="W57" i="261"/>
  <c r="H57" i="261"/>
  <c r="W56" i="261"/>
  <c r="H56" i="261"/>
  <c r="W55" i="261"/>
  <c r="W54" i="261"/>
  <c r="W53" i="261"/>
  <c r="W52" i="261"/>
  <c r="V52" i="261"/>
  <c r="N52" i="261"/>
  <c r="K52" i="261"/>
  <c r="L52" i="261" s="1"/>
  <c r="J52" i="261"/>
  <c r="P52" i="261" s="1"/>
  <c r="F52" i="261"/>
  <c r="H52" i="261" s="1"/>
  <c r="W51" i="261"/>
  <c r="V51" i="261"/>
  <c r="N51" i="261"/>
  <c r="K51" i="261"/>
  <c r="L51" i="261" s="1"/>
  <c r="J51" i="261"/>
  <c r="P51" i="261" s="1"/>
  <c r="F51" i="261"/>
  <c r="H51" i="261" s="1"/>
  <c r="W50" i="261"/>
  <c r="V50" i="261"/>
  <c r="N50" i="261"/>
  <c r="K50" i="261"/>
  <c r="L50" i="261" s="1"/>
  <c r="J50" i="261"/>
  <c r="P50" i="261" s="1"/>
  <c r="F50" i="261"/>
  <c r="H50" i="261" s="1"/>
  <c r="W49" i="261"/>
  <c r="N49" i="261"/>
  <c r="K49" i="261"/>
  <c r="J49" i="261"/>
  <c r="F49" i="261"/>
  <c r="H49" i="261" s="1"/>
  <c r="W48" i="261"/>
  <c r="M48" i="261"/>
  <c r="W47" i="261"/>
  <c r="H47" i="261"/>
  <c r="W46" i="261"/>
  <c r="H46" i="261"/>
  <c r="W45" i="261"/>
  <c r="H45" i="261"/>
  <c r="W44" i="261"/>
  <c r="H44" i="261"/>
  <c r="W43" i="261"/>
  <c r="W42" i="261"/>
  <c r="W41" i="261"/>
  <c r="W40" i="261"/>
  <c r="V40" i="261"/>
  <c r="N40" i="261"/>
  <c r="K40" i="261"/>
  <c r="L40" i="261" s="1"/>
  <c r="J40" i="261"/>
  <c r="P40" i="261" s="1"/>
  <c r="F40" i="261"/>
  <c r="H40" i="261" s="1"/>
  <c r="W39" i="261"/>
  <c r="V39" i="261"/>
  <c r="N39" i="261"/>
  <c r="K39" i="261"/>
  <c r="L39" i="261" s="1"/>
  <c r="J39" i="261"/>
  <c r="P39" i="261" s="1"/>
  <c r="F39" i="261"/>
  <c r="H39" i="261" s="1"/>
  <c r="W38" i="261"/>
  <c r="N38" i="261"/>
  <c r="K38" i="261"/>
  <c r="J38" i="261"/>
  <c r="F38" i="261"/>
  <c r="H38" i="261" s="1"/>
  <c r="M37" i="261"/>
  <c r="W36" i="261"/>
  <c r="H36" i="261"/>
  <c r="W35" i="261"/>
  <c r="H35" i="261"/>
  <c r="W34" i="261"/>
  <c r="W33" i="261"/>
  <c r="W32" i="261"/>
  <c r="W31" i="261"/>
  <c r="W30" i="261"/>
  <c r="V30" i="261"/>
  <c r="N30" i="261"/>
  <c r="K30" i="261"/>
  <c r="L30" i="261" s="1"/>
  <c r="J30" i="261"/>
  <c r="P30" i="261" s="1"/>
  <c r="F30" i="261"/>
  <c r="H30" i="261" s="1"/>
  <c r="W29" i="261"/>
  <c r="V29" i="261"/>
  <c r="N29" i="261"/>
  <c r="K29" i="261"/>
  <c r="L29" i="261" s="1"/>
  <c r="J29" i="261"/>
  <c r="P29" i="261" s="1"/>
  <c r="F29" i="261"/>
  <c r="H29" i="261" s="1"/>
  <c r="W28" i="261"/>
  <c r="V28" i="261"/>
  <c r="N28" i="261"/>
  <c r="K28" i="261"/>
  <c r="L28" i="261" s="1"/>
  <c r="J28" i="261"/>
  <c r="P28" i="261" s="1"/>
  <c r="F28" i="261"/>
  <c r="H28" i="261" s="1"/>
  <c r="W27" i="261"/>
  <c r="N27" i="261"/>
  <c r="K27" i="261"/>
  <c r="J27" i="261"/>
  <c r="F27" i="261"/>
  <c r="H27" i="261" s="1"/>
  <c r="M26" i="261"/>
  <c r="W25" i="261"/>
  <c r="H25" i="261"/>
  <c r="W24" i="261"/>
  <c r="H24" i="261"/>
  <c r="W23" i="261"/>
  <c r="H22" i="261"/>
  <c r="W21" i="261"/>
  <c r="W20" i="261"/>
  <c r="W19" i="261"/>
  <c r="V19" i="261"/>
  <c r="N19" i="261"/>
  <c r="K19" i="261"/>
  <c r="L19" i="261" s="1"/>
  <c r="J19" i="261"/>
  <c r="P19" i="261" s="1"/>
  <c r="F19" i="261"/>
  <c r="H19" i="261" s="1"/>
  <c r="W18" i="261"/>
  <c r="V18" i="261"/>
  <c r="N18" i="261"/>
  <c r="K18" i="261"/>
  <c r="L18" i="261" s="1"/>
  <c r="J18" i="261"/>
  <c r="P18" i="261" s="1"/>
  <c r="F18" i="261"/>
  <c r="H18" i="261" s="1"/>
  <c r="W17" i="261"/>
  <c r="N17" i="261"/>
  <c r="K17" i="261"/>
  <c r="L17" i="261" s="1"/>
  <c r="J17" i="261"/>
  <c r="P17" i="261" s="1"/>
  <c r="F17" i="261"/>
  <c r="H17" i="261" s="1"/>
  <c r="W16" i="261"/>
  <c r="N16" i="261"/>
  <c r="K16" i="261"/>
  <c r="J16" i="261"/>
  <c r="F16" i="261"/>
  <c r="H16" i="261" s="1"/>
  <c r="M15" i="261"/>
  <c r="W14" i="261"/>
  <c r="W13" i="261"/>
  <c r="W12" i="261"/>
  <c r="H12" i="261"/>
  <c r="W11" i="261"/>
  <c r="H11" i="261"/>
  <c r="W10" i="261"/>
  <c r="AC9" i="261"/>
  <c r="AB9" i="261"/>
  <c r="W9" i="261"/>
  <c r="W8" i="261"/>
  <c r="V8" i="261"/>
  <c r="N8" i="261"/>
  <c r="K8" i="261"/>
  <c r="L8" i="261" s="1"/>
  <c r="J8" i="261"/>
  <c r="P8" i="261" s="1"/>
  <c r="F8" i="261"/>
  <c r="H8" i="261" s="1"/>
  <c r="W7" i="261"/>
  <c r="V7" i="261"/>
  <c r="N7" i="261"/>
  <c r="K7" i="261"/>
  <c r="L7" i="261" s="1"/>
  <c r="J7" i="261"/>
  <c r="P7" i="261" s="1"/>
  <c r="F7" i="261"/>
  <c r="H7" i="261" s="1"/>
  <c r="W6" i="261"/>
  <c r="V6" i="261"/>
  <c r="N6" i="261"/>
  <c r="K6" i="261"/>
  <c r="L6" i="261" s="1"/>
  <c r="J6" i="261"/>
  <c r="P6" i="261" s="1"/>
  <c r="F6" i="261"/>
  <c r="H6" i="261" s="1"/>
  <c r="W5" i="261"/>
  <c r="N5" i="261"/>
  <c r="K5" i="261"/>
  <c r="J5" i="261"/>
  <c r="F5" i="261"/>
  <c r="H5" i="261" s="1"/>
  <c r="I2" i="261"/>
  <c r="I1" i="261"/>
  <c r="E1" i="261"/>
  <c r="J18" i="260"/>
  <c r="I18" i="260"/>
  <c r="H18" i="260"/>
  <c r="G18" i="260"/>
  <c r="F18" i="260"/>
  <c r="E18" i="260"/>
  <c r="D18" i="260"/>
  <c r="J16" i="260"/>
  <c r="I16" i="260"/>
  <c r="H16" i="260"/>
  <c r="G16" i="260"/>
  <c r="F16" i="260"/>
  <c r="E16" i="260"/>
  <c r="D16" i="260"/>
  <c r="G3" i="260"/>
  <c r="M79" i="259"/>
  <c r="W78" i="259"/>
  <c r="H78" i="259"/>
  <c r="W77" i="259"/>
  <c r="H77" i="259"/>
  <c r="W76" i="259"/>
  <c r="H76" i="259"/>
  <c r="W75" i="259"/>
  <c r="H75" i="259"/>
  <c r="W74" i="259"/>
  <c r="H74" i="259"/>
  <c r="W73" i="259"/>
  <c r="W72" i="259"/>
  <c r="W71" i="259"/>
  <c r="W70" i="259"/>
  <c r="N70" i="259"/>
  <c r="K70" i="259"/>
  <c r="J70" i="259"/>
  <c r="F70" i="259"/>
  <c r="H70" i="259" s="1"/>
  <c r="M69" i="259"/>
  <c r="W68" i="259"/>
  <c r="H68" i="259"/>
  <c r="W67" i="259"/>
  <c r="W66" i="259"/>
  <c r="W65" i="259"/>
  <c r="W64" i="259"/>
  <c r="AC63" i="259"/>
  <c r="AB63" i="259"/>
  <c r="W63" i="259"/>
  <c r="W62" i="259"/>
  <c r="V62" i="259"/>
  <c r="N62" i="259"/>
  <c r="K62" i="259"/>
  <c r="L62" i="259" s="1"/>
  <c r="J62" i="259"/>
  <c r="P62" i="259" s="1"/>
  <c r="F62" i="259"/>
  <c r="H62" i="259" s="1"/>
  <c r="W61" i="259"/>
  <c r="V61" i="259"/>
  <c r="N61" i="259"/>
  <c r="K61" i="259"/>
  <c r="L61" i="259" s="1"/>
  <c r="J61" i="259"/>
  <c r="P61" i="259" s="1"/>
  <c r="F61" i="259"/>
  <c r="H61" i="259" s="1"/>
  <c r="W60" i="259"/>
  <c r="V60" i="259"/>
  <c r="N60" i="259"/>
  <c r="K60" i="259"/>
  <c r="L60" i="259" s="1"/>
  <c r="J60" i="259"/>
  <c r="P60" i="259" s="1"/>
  <c r="F60" i="259"/>
  <c r="H60" i="259" s="1"/>
  <c r="W59" i="259"/>
  <c r="N59" i="259"/>
  <c r="K59" i="259"/>
  <c r="J59" i="259"/>
  <c r="F59" i="259"/>
  <c r="H59" i="259" s="1"/>
  <c r="M58" i="259"/>
  <c r="W57" i="259"/>
  <c r="H57" i="259"/>
  <c r="W56" i="259"/>
  <c r="H56" i="259"/>
  <c r="W55" i="259"/>
  <c r="H55" i="259"/>
  <c r="W54" i="259"/>
  <c r="H54" i="259"/>
  <c r="AC53" i="259"/>
  <c r="AB53" i="259"/>
  <c r="W53" i="259"/>
  <c r="W52" i="259"/>
  <c r="V52" i="259"/>
  <c r="N52" i="259"/>
  <c r="K52" i="259"/>
  <c r="L52" i="259" s="1"/>
  <c r="J52" i="259"/>
  <c r="P52" i="259" s="1"/>
  <c r="F52" i="259"/>
  <c r="H52" i="259" s="1"/>
  <c r="W51" i="259"/>
  <c r="V51" i="259"/>
  <c r="N51" i="259"/>
  <c r="K51" i="259"/>
  <c r="L51" i="259" s="1"/>
  <c r="J51" i="259"/>
  <c r="P51" i="259" s="1"/>
  <c r="F51" i="259"/>
  <c r="H51" i="259" s="1"/>
  <c r="W50" i="259"/>
  <c r="V50" i="259"/>
  <c r="N50" i="259"/>
  <c r="K50" i="259"/>
  <c r="L50" i="259" s="1"/>
  <c r="J50" i="259"/>
  <c r="P50" i="259" s="1"/>
  <c r="F50" i="259"/>
  <c r="H50" i="259" s="1"/>
  <c r="W49" i="259"/>
  <c r="N49" i="259"/>
  <c r="K49" i="259"/>
  <c r="J49" i="259"/>
  <c r="F49" i="259"/>
  <c r="H49" i="259" s="1"/>
  <c r="W48" i="259"/>
  <c r="M48" i="259"/>
  <c r="W47" i="259"/>
  <c r="H47" i="259"/>
  <c r="W46" i="259"/>
  <c r="H46" i="259"/>
  <c r="W45" i="259"/>
  <c r="H45" i="259"/>
  <c r="W44" i="259"/>
  <c r="H44" i="259"/>
  <c r="W43" i="259"/>
  <c r="W42" i="259"/>
  <c r="W41" i="259"/>
  <c r="W40" i="259"/>
  <c r="V40" i="259"/>
  <c r="N40" i="259"/>
  <c r="K40" i="259"/>
  <c r="L40" i="259" s="1"/>
  <c r="J40" i="259"/>
  <c r="P40" i="259" s="1"/>
  <c r="F40" i="259"/>
  <c r="H40" i="259" s="1"/>
  <c r="W39" i="259"/>
  <c r="V39" i="259"/>
  <c r="N39" i="259"/>
  <c r="K39" i="259"/>
  <c r="L39" i="259" s="1"/>
  <c r="J39" i="259"/>
  <c r="P39" i="259" s="1"/>
  <c r="F39" i="259"/>
  <c r="H39" i="259" s="1"/>
  <c r="W38" i="259"/>
  <c r="N38" i="259"/>
  <c r="K38" i="259"/>
  <c r="J38" i="259"/>
  <c r="F38" i="259"/>
  <c r="H38" i="259" s="1"/>
  <c r="M37" i="259"/>
  <c r="W36" i="259"/>
  <c r="H36" i="259"/>
  <c r="W35" i="259"/>
  <c r="H35" i="259"/>
  <c r="W34" i="259"/>
  <c r="W33" i="259"/>
  <c r="W32" i="259"/>
  <c r="W31" i="259"/>
  <c r="V31" i="259"/>
  <c r="N31" i="259"/>
  <c r="O31" i="259" s="1"/>
  <c r="K31" i="259"/>
  <c r="L31" i="259" s="1"/>
  <c r="J31" i="259"/>
  <c r="P31" i="259" s="1"/>
  <c r="F31" i="259"/>
  <c r="H31" i="259" s="1"/>
  <c r="W30" i="259"/>
  <c r="V30" i="259"/>
  <c r="N30" i="259"/>
  <c r="K30" i="259"/>
  <c r="L30" i="259" s="1"/>
  <c r="J30" i="259"/>
  <c r="P30" i="259" s="1"/>
  <c r="F30" i="259"/>
  <c r="H30" i="259" s="1"/>
  <c r="W29" i="259"/>
  <c r="V29" i="259"/>
  <c r="N29" i="259"/>
  <c r="K29" i="259"/>
  <c r="L29" i="259" s="1"/>
  <c r="J29" i="259"/>
  <c r="P29" i="259" s="1"/>
  <c r="F29" i="259"/>
  <c r="H29" i="259" s="1"/>
  <c r="W28" i="259"/>
  <c r="V28" i="259"/>
  <c r="N28" i="259"/>
  <c r="K28" i="259"/>
  <c r="L28" i="259" s="1"/>
  <c r="J28" i="259"/>
  <c r="P28" i="259" s="1"/>
  <c r="F28" i="259"/>
  <c r="H28" i="259" s="1"/>
  <c r="W27" i="259"/>
  <c r="N27" i="259"/>
  <c r="K27" i="259"/>
  <c r="J27" i="259"/>
  <c r="F27" i="259"/>
  <c r="H27" i="259" s="1"/>
  <c r="M26" i="259"/>
  <c r="W25" i="259"/>
  <c r="H25" i="259"/>
  <c r="W24" i="259"/>
  <c r="H24" i="259"/>
  <c r="W23" i="259"/>
  <c r="H22" i="259"/>
  <c r="W21" i="259"/>
  <c r="W20" i="259"/>
  <c r="V20" i="259"/>
  <c r="N20" i="259"/>
  <c r="O20" i="259" s="1"/>
  <c r="K20" i="259"/>
  <c r="L20" i="259" s="1"/>
  <c r="J20" i="259"/>
  <c r="P20" i="259" s="1"/>
  <c r="F20" i="259"/>
  <c r="H20" i="259" s="1"/>
  <c r="W19" i="259"/>
  <c r="V19" i="259"/>
  <c r="N19" i="259"/>
  <c r="K19" i="259"/>
  <c r="J19" i="259"/>
  <c r="F19" i="259"/>
  <c r="H19" i="259" s="1"/>
  <c r="W18" i="259"/>
  <c r="N18" i="259" s="1"/>
  <c r="V18" i="259"/>
  <c r="K18" i="259"/>
  <c r="L18" i="259" s="1"/>
  <c r="J18" i="259"/>
  <c r="P18" i="259" s="1"/>
  <c r="F18" i="259"/>
  <c r="H18" i="259" s="1"/>
  <c r="W17" i="259"/>
  <c r="N17" i="259"/>
  <c r="K17" i="259"/>
  <c r="L17" i="259" s="1"/>
  <c r="J17" i="259"/>
  <c r="P17" i="259" s="1"/>
  <c r="F17" i="259"/>
  <c r="H17" i="259" s="1"/>
  <c r="W16" i="259"/>
  <c r="N16" i="259"/>
  <c r="K16" i="259"/>
  <c r="L16" i="259" s="1"/>
  <c r="J16" i="259"/>
  <c r="P16" i="259" s="1"/>
  <c r="F16" i="259"/>
  <c r="H16" i="259" s="1"/>
  <c r="M15" i="259"/>
  <c r="W14" i="259"/>
  <c r="W13" i="259"/>
  <c r="W12" i="259"/>
  <c r="H12" i="259"/>
  <c r="W11" i="259"/>
  <c r="H11" i="259"/>
  <c r="W10" i="259"/>
  <c r="AC9" i="259"/>
  <c r="AB9" i="259"/>
  <c r="W9" i="259"/>
  <c r="W8" i="259"/>
  <c r="V8" i="259"/>
  <c r="N8" i="259"/>
  <c r="K8" i="259"/>
  <c r="L8" i="259" s="1"/>
  <c r="J8" i="259"/>
  <c r="P8" i="259" s="1"/>
  <c r="F8" i="259"/>
  <c r="H8" i="259" s="1"/>
  <c r="W7" i="259"/>
  <c r="V7" i="259"/>
  <c r="N7" i="259"/>
  <c r="K7" i="259"/>
  <c r="L7" i="259" s="1"/>
  <c r="J7" i="259"/>
  <c r="P7" i="259" s="1"/>
  <c r="F7" i="259"/>
  <c r="H7" i="259" s="1"/>
  <c r="W6" i="259"/>
  <c r="V6" i="259"/>
  <c r="N6" i="259"/>
  <c r="K6" i="259"/>
  <c r="L6" i="259" s="1"/>
  <c r="J6" i="259"/>
  <c r="P6" i="259" s="1"/>
  <c r="F6" i="259"/>
  <c r="H6" i="259" s="1"/>
  <c r="W5" i="259"/>
  <c r="N5" i="259"/>
  <c r="K5" i="259"/>
  <c r="J5" i="259"/>
  <c r="F5" i="259"/>
  <c r="H5" i="259" s="1"/>
  <c r="G1" i="259" s="1"/>
  <c r="I2" i="259"/>
  <c r="E1" i="259"/>
  <c r="D18" i="258"/>
  <c r="J16" i="258"/>
  <c r="I16" i="258"/>
  <c r="H16" i="258"/>
  <c r="G16" i="258"/>
  <c r="F16" i="258"/>
  <c r="E16" i="258"/>
  <c r="D16" i="258"/>
  <c r="G3" i="258"/>
  <c r="M79" i="257"/>
  <c r="W78" i="257"/>
  <c r="H78" i="257"/>
  <c r="W77" i="257"/>
  <c r="H77" i="257"/>
  <c r="W76" i="257"/>
  <c r="H76" i="257"/>
  <c r="W75" i="257"/>
  <c r="H75" i="257"/>
  <c r="W74" i="257"/>
  <c r="H74" i="257"/>
  <c r="W73" i="257"/>
  <c r="W72" i="257"/>
  <c r="W71" i="257"/>
  <c r="N71" i="257"/>
  <c r="O71" i="257" s="1"/>
  <c r="K71" i="257"/>
  <c r="L71" i="257" s="1"/>
  <c r="J71" i="257"/>
  <c r="P71" i="257" s="1"/>
  <c r="F71" i="257"/>
  <c r="H71" i="257" s="1"/>
  <c r="W70" i="257"/>
  <c r="N70" i="257"/>
  <c r="K70" i="257"/>
  <c r="J70" i="257"/>
  <c r="F70" i="257"/>
  <c r="H70" i="257" s="1"/>
  <c r="M69" i="257"/>
  <c r="W68" i="257"/>
  <c r="H68" i="257"/>
  <c r="W67" i="257"/>
  <c r="H67" i="257"/>
  <c r="W66" i="257"/>
  <c r="H66" i="257"/>
  <c r="W65" i="257"/>
  <c r="H65" i="257"/>
  <c r="W64" i="257"/>
  <c r="H64" i="257"/>
  <c r="W63" i="257"/>
  <c r="V63" i="257"/>
  <c r="N63" i="257"/>
  <c r="K63" i="257"/>
  <c r="L63" i="257" s="1"/>
  <c r="J63" i="257"/>
  <c r="P63" i="257" s="1"/>
  <c r="F63" i="257"/>
  <c r="H63" i="257" s="1"/>
  <c r="W62" i="257"/>
  <c r="V62" i="257"/>
  <c r="N62" i="257"/>
  <c r="K62" i="257"/>
  <c r="L62" i="257" s="1"/>
  <c r="J62" i="257"/>
  <c r="P62" i="257" s="1"/>
  <c r="F62" i="257"/>
  <c r="H62" i="257" s="1"/>
  <c r="W61" i="257"/>
  <c r="V61" i="257"/>
  <c r="N61" i="257"/>
  <c r="K61" i="257"/>
  <c r="L61" i="257" s="1"/>
  <c r="J61" i="257"/>
  <c r="P61" i="257" s="1"/>
  <c r="F61" i="257"/>
  <c r="H61" i="257" s="1"/>
  <c r="W60" i="257"/>
  <c r="V60" i="257"/>
  <c r="N60" i="257"/>
  <c r="K60" i="257"/>
  <c r="L60" i="257" s="1"/>
  <c r="J60" i="257"/>
  <c r="P60" i="257" s="1"/>
  <c r="F60" i="257"/>
  <c r="H60" i="257" s="1"/>
  <c r="W59" i="257"/>
  <c r="N59" i="257"/>
  <c r="K59" i="257"/>
  <c r="J59" i="257"/>
  <c r="F59" i="257"/>
  <c r="H59" i="257" s="1"/>
  <c r="M58" i="257"/>
  <c r="W57" i="257"/>
  <c r="H57" i="257"/>
  <c r="W56" i="257"/>
  <c r="H56" i="257"/>
  <c r="W55" i="257"/>
  <c r="H55" i="257"/>
  <c r="W54" i="257"/>
  <c r="AC53" i="257"/>
  <c r="AB53" i="257"/>
  <c r="W53" i="257"/>
  <c r="W52" i="257"/>
  <c r="V52" i="257"/>
  <c r="N52" i="257"/>
  <c r="K52" i="257"/>
  <c r="L52" i="257" s="1"/>
  <c r="J52" i="257"/>
  <c r="P52" i="257" s="1"/>
  <c r="F52" i="257"/>
  <c r="H52" i="257" s="1"/>
  <c r="W51" i="257"/>
  <c r="V51" i="257"/>
  <c r="N51" i="257"/>
  <c r="K51" i="257"/>
  <c r="L51" i="257" s="1"/>
  <c r="J51" i="257"/>
  <c r="P51" i="257" s="1"/>
  <c r="F51" i="257"/>
  <c r="H51" i="257" s="1"/>
  <c r="W50" i="257"/>
  <c r="V50" i="257"/>
  <c r="N50" i="257"/>
  <c r="K50" i="257"/>
  <c r="L50" i="257" s="1"/>
  <c r="J50" i="257"/>
  <c r="P50" i="257" s="1"/>
  <c r="F50" i="257"/>
  <c r="H50" i="257" s="1"/>
  <c r="W49" i="257"/>
  <c r="N49" i="257"/>
  <c r="K49" i="257"/>
  <c r="J49" i="257"/>
  <c r="F49" i="257"/>
  <c r="H49" i="257" s="1"/>
  <c r="W48" i="257"/>
  <c r="M48" i="257"/>
  <c r="W47" i="257"/>
  <c r="H47" i="257"/>
  <c r="W46" i="257"/>
  <c r="H46" i="257"/>
  <c r="W45" i="257"/>
  <c r="H45" i="257"/>
  <c r="W44" i="257"/>
  <c r="H44" i="257"/>
  <c r="W43" i="257"/>
  <c r="H43" i="257"/>
  <c r="W42" i="257"/>
  <c r="H42" i="257"/>
  <c r="W41" i="257"/>
  <c r="H41" i="257"/>
  <c r="W40" i="257"/>
  <c r="V40" i="257"/>
  <c r="N40" i="257"/>
  <c r="K40" i="257"/>
  <c r="L40" i="257" s="1"/>
  <c r="J40" i="257"/>
  <c r="P40" i="257" s="1"/>
  <c r="F40" i="257"/>
  <c r="H40" i="257" s="1"/>
  <c r="W39" i="257"/>
  <c r="V39" i="257"/>
  <c r="N39" i="257"/>
  <c r="K39" i="257"/>
  <c r="L39" i="257" s="1"/>
  <c r="J39" i="257"/>
  <c r="P39" i="257" s="1"/>
  <c r="F39" i="257"/>
  <c r="H39" i="257" s="1"/>
  <c r="W38" i="257"/>
  <c r="N38" i="257"/>
  <c r="K38" i="257"/>
  <c r="J38" i="257"/>
  <c r="F38" i="257"/>
  <c r="H38" i="257" s="1"/>
  <c r="M37" i="257"/>
  <c r="W36" i="257"/>
  <c r="H36" i="257"/>
  <c r="W35" i="257"/>
  <c r="H35" i="257"/>
  <c r="W34" i="257"/>
  <c r="W33" i="257"/>
  <c r="W32" i="257"/>
  <c r="W31" i="257"/>
  <c r="N31" i="257"/>
  <c r="O31" i="257" s="1"/>
  <c r="K31" i="257"/>
  <c r="L31" i="257" s="1"/>
  <c r="J31" i="257"/>
  <c r="P31" i="257" s="1"/>
  <c r="F31" i="257"/>
  <c r="H31" i="257" s="1"/>
  <c r="W30" i="257"/>
  <c r="V30" i="257"/>
  <c r="N30" i="257"/>
  <c r="K30" i="257"/>
  <c r="L30" i="257" s="1"/>
  <c r="J30" i="257"/>
  <c r="P30" i="257" s="1"/>
  <c r="F30" i="257"/>
  <c r="H30" i="257" s="1"/>
  <c r="W29" i="257"/>
  <c r="V29" i="257"/>
  <c r="N29" i="257"/>
  <c r="K29" i="257"/>
  <c r="L29" i="257" s="1"/>
  <c r="J29" i="257"/>
  <c r="P29" i="257" s="1"/>
  <c r="F29" i="257"/>
  <c r="H29" i="257" s="1"/>
  <c r="W28" i="257"/>
  <c r="V28" i="257"/>
  <c r="N28" i="257"/>
  <c r="K28" i="257"/>
  <c r="L28" i="257" s="1"/>
  <c r="J28" i="257"/>
  <c r="P28" i="257" s="1"/>
  <c r="F28" i="257"/>
  <c r="H28" i="257" s="1"/>
  <c r="W27" i="257"/>
  <c r="N27" i="257"/>
  <c r="K27" i="257"/>
  <c r="J27" i="257"/>
  <c r="F27" i="257"/>
  <c r="H27" i="257" s="1"/>
  <c r="M26" i="257"/>
  <c r="W25" i="257"/>
  <c r="H25" i="257"/>
  <c r="W24" i="257"/>
  <c r="H24" i="257"/>
  <c r="W23" i="257"/>
  <c r="H22" i="257"/>
  <c r="W21" i="257"/>
  <c r="W20" i="257"/>
  <c r="V20" i="257"/>
  <c r="N20" i="257"/>
  <c r="O20" i="257" s="1"/>
  <c r="K20" i="257"/>
  <c r="L20" i="257" s="1"/>
  <c r="J20" i="257"/>
  <c r="P20" i="257" s="1"/>
  <c r="F20" i="257"/>
  <c r="H20" i="257" s="1"/>
  <c r="W19" i="257"/>
  <c r="V19" i="257"/>
  <c r="N19" i="257"/>
  <c r="K19" i="257"/>
  <c r="L19" i="257" s="1"/>
  <c r="J19" i="257"/>
  <c r="P19" i="257" s="1"/>
  <c r="F19" i="257"/>
  <c r="H19" i="257" s="1"/>
  <c r="W18" i="257"/>
  <c r="V18" i="257"/>
  <c r="N18" i="257"/>
  <c r="K18" i="257"/>
  <c r="L18" i="257" s="1"/>
  <c r="J18" i="257"/>
  <c r="P18" i="257" s="1"/>
  <c r="F18" i="257"/>
  <c r="H18" i="257" s="1"/>
  <c r="W17" i="257"/>
  <c r="V17" i="257"/>
  <c r="N17" i="257"/>
  <c r="K17" i="257"/>
  <c r="L17" i="257" s="1"/>
  <c r="J17" i="257"/>
  <c r="P17" i="257" s="1"/>
  <c r="F17" i="257"/>
  <c r="H17" i="257" s="1"/>
  <c r="W16" i="257"/>
  <c r="N16" i="257"/>
  <c r="K16" i="257"/>
  <c r="J16" i="257"/>
  <c r="F16" i="257"/>
  <c r="H16" i="257" s="1"/>
  <c r="M15" i="257"/>
  <c r="W14" i="257"/>
  <c r="W13" i="257"/>
  <c r="W12" i="257"/>
  <c r="W11" i="257"/>
  <c r="W10" i="257"/>
  <c r="W9" i="257"/>
  <c r="V9" i="257"/>
  <c r="N9" i="257"/>
  <c r="K9" i="257"/>
  <c r="L9" i="257" s="1"/>
  <c r="J9" i="257"/>
  <c r="P9" i="257" s="1"/>
  <c r="F9" i="257"/>
  <c r="H9" i="257" s="1"/>
  <c r="W8" i="257"/>
  <c r="V8" i="257"/>
  <c r="N8" i="257"/>
  <c r="K8" i="257"/>
  <c r="L8" i="257" s="1"/>
  <c r="J8" i="257"/>
  <c r="P8" i="257" s="1"/>
  <c r="F8" i="257"/>
  <c r="H8" i="257" s="1"/>
  <c r="W7" i="257"/>
  <c r="V7" i="257"/>
  <c r="N7" i="257"/>
  <c r="K7" i="257"/>
  <c r="L7" i="257" s="1"/>
  <c r="J7" i="257"/>
  <c r="P7" i="257" s="1"/>
  <c r="F7" i="257"/>
  <c r="H7" i="257" s="1"/>
  <c r="W6" i="257"/>
  <c r="V6" i="257"/>
  <c r="N6" i="257"/>
  <c r="K6" i="257"/>
  <c r="L6" i="257" s="1"/>
  <c r="J6" i="257"/>
  <c r="P6" i="257" s="1"/>
  <c r="F6" i="257"/>
  <c r="H6" i="257" s="1"/>
  <c r="W5" i="257"/>
  <c r="N5" i="257"/>
  <c r="K5" i="257"/>
  <c r="J5" i="257"/>
  <c r="F5" i="257"/>
  <c r="H5" i="257" s="1"/>
  <c r="G1" i="257" s="1"/>
  <c r="I2" i="257"/>
  <c r="I1" i="257"/>
  <c r="E1" i="257"/>
  <c r="J18" i="256"/>
  <c r="I18" i="256"/>
  <c r="H18" i="256"/>
  <c r="G18" i="256"/>
  <c r="F18" i="256"/>
  <c r="E18" i="256"/>
  <c r="D18" i="256"/>
  <c r="J16" i="256"/>
  <c r="I16" i="256"/>
  <c r="H16" i="256"/>
  <c r="G16" i="256"/>
  <c r="F16" i="256"/>
  <c r="E16" i="256"/>
  <c r="D16" i="256"/>
  <c r="G3" i="256"/>
  <c r="M79" i="255"/>
  <c r="W78" i="255"/>
  <c r="H78" i="255"/>
  <c r="W77" i="255"/>
  <c r="H77" i="255"/>
  <c r="W76" i="255"/>
  <c r="H76" i="255"/>
  <c r="W75" i="255"/>
  <c r="H75" i="255"/>
  <c r="W74" i="255"/>
  <c r="H74" i="255"/>
  <c r="W73" i="255"/>
  <c r="W72" i="255"/>
  <c r="W71" i="255"/>
  <c r="W70" i="255"/>
  <c r="N70" i="255"/>
  <c r="K70" i="255"/>
  <c r="J70" i="255"/>
  <c r="F70" i="255"/>
  <c r="H70" i="255" s="1"/>
  <c r="M69" i="255"/>
  <c r="W68" i="255"/>
  <c r="H68" i="255"/>
  <c r="W67" i="255"/>
  <c r="H67" i="255"/>
  <c r="W66" i="255"/>
  <c r="H66" i="255"/>
  <c r="W65" i="255"/>
  <c r="H65" i="255"/>
  <c r="W64" i="255"/>
  <c r="H64" i="255"/>
  <c r="AC63" i="255"/>
  <c r="AB63" i="255"/>
  <c r="W63" i="255"/>
  <c r="H63" i="255"/>
  <c r="W62" i="255"/>
  <c r="N62" i="255"/>
  <c r="K62" i="255"/>
  <c r="L62" i="255" s="1"/>
  <c r="J62" i="255"/>
  <c r="P62" i="255" s="1"/>
  <c r="F62" i="255"/>
  <c r="H62" i="255" s="1"/>
  <c r="W61" i="255"/>
  <c r="V61" i="255"/>
  <c r="N61" i="255"/>
  <c r="K61" i="255"/>
  <c r="L61" i="255" s="1"/>
  <c r="J61" i="255"/>
  <c r="P61" i="255" s="1"/>
  <c r="F61" i="255"/>
  <c r="H61" i="255" s="1"/>
  <c r="W60" i="255"/>
  <c r="V60" i="255"/>
  <c r="N60" i="255"/>
  <c r="K60" i="255"/>
  <c r="L60" i="255" s="1"/>
  <c r="J60" i="255"/>
  <c r="P60" i="255" s="1"/>
  <c r="F60" i="255"/>
  <c r="H60" i="255" s="1"/>
  <c r="W59" i="255"/>
  <c r="N59" i="255"/>
  <c r="K59" i="255"/>
  <c r="J59" i="255"/>
  <c r="F59" i="255"/>
  <c r="H59" i="255" s="1"/>
  <c r="M58" i="255"/>
  <c r="W57" i="255"/>
  <c r="H57" i="255"/>
  <c r="W56" i="255"/>
  <c r="H56" i="255"/>
  <c r="W55" i="255"/>
  <c r="H55" i="255"/>
  <c r="W54" i="255"/>
  <c r="H54" i="255"/>
  <c r="W53" i="255"/>
  <c r="V53" i="255"/>
  <c r="N53" i="255"/>
  <c r="K53" i="255"/>
  <c r="L53" i="255" s="1"/>
  <c r="J53" i="255"/>
  <c r="P53" i="255" s="1"/>
  <c r="F53" i="255"/>
  <c r="H53" i="255" s="1"/>
  <c r="W52" i="255"/>
  <c r="V52" i="255"/>
  <c r="N52" i="255"/>
  <c r="K52" i="255"/>
  <c r="L52" i="255" s="1"/>
  <c r="J52" i="255"/>
  <c r="P52" i="255" s="1"/>
  <c r="F52" i="255"/>
  <c r="H52" i="255" s="1"/>
  <c r="W51" i="255"/>
  <c r="V51" i="255"/>
  <c r="N51" i="255"/>
  <c r="K51" i="255"/>
  <c r="L51" i="255" s="1"/>
  <c r="J51" i="255"/>
  <c r="P51" i="255" s="1"/>
  <c r="F51" i="255"/>
  <c r="H51" i="255" s="1"/>
  <c r="W50" i="255"/>
  <c r="V50" i="255"/>
  <c r="N50" i="255"/>
  <c r="K50" i="255"/>
  <c r="L50" i="255" s="1"/>
  <c r="J50" i="255"/>
  <c r="P50" i="255" s="1"/>
  <c r="F50" i="255"/>
  <c r="H50" i="255" s="1"/>
  <c r="W49" i="255"/>
  <c r="N49" i="255"/>
  <c r="K49" i="255"/>
  <c r="J49" i="255"/>
  <c r="F49" i="255"/>
  <c r="H49" i="255" s="1"/>
  <c r="W48" i="255"/>
  <c r="M48" i="255"/>
  <c r="W47" i="255"/>
  <c r="H47" i="255"/>
  <c r="W46" i="255"/>
  <c r="H46" i="255"/>
  <c r="W45" i="255"/>
  <c r="H45" i="255"/>
  <c r="W44" i="255"/>
  <c r="H44" i="255"/>
  <c r="W43" i="255"/>
  <c r="W42" i="255"/>
  <c r="W41" i="255"/>
  <c r="W40" i="255"/>
  <c r="V40" i="255"/>
  <c r="N40" i="255"/>
  <c r="K40" i="255"/>
  <c r="L40" i="255" s="1"/>
  <c r="J40" i="255"/>
  <c r="P40" i="255" s="1"/>
  <c r="F40" i="255"/>
  <c r="H40" i="255" s="1"/>
  <c r="W39" i="255"/>
  <c r="V39" i="255"/>
  <c r="N39" i="255"/>
  <c r="K39" i="255"/>
  <c r="L39" i="255" s="1"/>
  <c r="J39" i="255"/>
  <c r="P39" i="255" s="1"/>
  <c r="F39" i="255"/>
  <c r="H39" i="255" s="1"/>
  <c r="W38" i="255"/>
  <c r="N38" i="255"/>
  <c r="K38" i="255"/>
  <c r="J38" i="255"/>
  <c r="F38" i="255"/>
  <c r="H38" i="255" s="1"/>
  <c r="M37" i="255"/>
  <c r="W36" i="255"/>
  <c r="H36" i="255"/>
  <c r="W35" i="255"/>
  <c r="H35" i="255"/>
  <c r="W34" i="255"/>
  <c r="W33" i="255"/>
  <c r="W32" i="255"/>
  <c r="W31" i="255"/>
  <c r="W30" i="255"/>
  <c r="V30" i="255"/>
  <c r="N30" i="255"/>
  <c r="K30" i="255"/>
  <c r="L30" i="255" s="1"/>
  <c r="J30" i="255"/>
  <c r="P30" i="255" s="1"/>
  <c r="F30" i="255"/>
  <c r="H30" i="255" s="1"/>
  <c r="W29" i="255"/>
  <c r="V29" i="255"/>
  <c r="N29" i="255"/>
  <c r="K29" i="255"/>
  <c r="L29" i="255" s="1"/>
  <c r="J29" i="255"/>
  <c r="P29" i="255" s="1"/>
  <c r="F29" i="255"/>
  <c r="H29" i="255" s="1"/>
  <c r="W28" i="255"/>
  <c r="V28" i="255"/>
  <c r="N28" i="255"/>
  <c r="K28" i="255"/>
  <c r="L28" i="255" s="1"/>
  <c r="J28" i="255"/>
  <c r="P28" i="255" s="1"/>
  <c r="F28" i="255"/>
  <c r="H28" i="255" s="1"/>
  <c r="W27" i="255"/>
  <c r="N27" i="255"/>
  <c r="K27" i="255"/>
  <c r="J27" i="255"/>
  <c r="F27" i="255"/>
  <c r="H27" i="255" s="1"/>
  <c r="M26" i="255"/>
  <c r="W25" i="255"/>
  <c r="H25" i="255"/>
  <c r="W24" i="255"/>
  <c r="H24" i="255"/>
  <c r="W23" i="255"/>
  <c r="H22" i="255"/>
  <c r="W21" i="255"/>
  <c r="W20" i="255"/>
  <c r="V20" i="255"/>
  <c r="W19" i="255"/>
  <c r="V19" i="255"/>
  <c r="N19" i="255"/>
  <c r="K19" i="255"/>
  <c r="L19" i="255" s="1"/>
  <c r="J19" i="255"/>
  <c r="P19" i="255" s="1"/>
  <c r="F19" i="255"/>
  <c r="H19" i="255" s="1"/>
  <c r="W18" i="255"/>
  <c r="V18" i="255"/>
  <c r="N18" i="255"/>
  <c r="K18" i="255"/>
  <c r="L18" i="255" s="1"/>
  <c r="J18" i="255"/>
  <c r="P18" i="255" s="1"/>
  <c r="F18" i="255"/>
  <c r="H18" i="255" s="1"/>
  <c r="W17" i="255"/>
  <c r="V17" i="255"/>
  <c r="N17" i="255"/>
  <c r="K17" i="255"/>
  <c r="L17" i="255" s="1"/>
  <c r="J17" i="255"/>
  <c r="P17" i="255" s="1"/>
  <c r="F17" i="255"/>
  <c r="H17" i="255" s="1"/>
  <c r="W16" i="255"/>
  <c r="N16" i="255"/>
  <c r="K16" i="255"/>
  <c r="J16" i="255"/>
  <c r="F16" i="255"/>
  <c r="H16" i="255" s="1"/>
  <c r="M15" i="255"/>
  <c r="W14" i="255"/>
  <c r="W13" i="255"/>
  <c r="W12" i="255"/>
  <c r="H12" i="255"/>
  <c r="W11" i="255"/>
  <c r="H11" i="255"/>
  <c r="W10" i="255"/>
  <c r="W9" i="255"/>
  <c r="V9" i="255"/>
  <c r="N9" i="255"/>
  <c r="K9" i="255"/>
  <c r="L9" i="255" s="1"/>
  <c r="J9" i="255"/>
  <c r="P9" i="255" s="1"/>
  <c r="F9" i="255"/>
  <c r="H9" i="255" s="1"/>
  <c r="W8" i="255"/>
  <c r="V8" i="255"/>
  <c r="N8" i="255"/>
  <c r="K8" i="255"/>
  <c r="L8" i="255" s="1"/>
  <c r="J8" i="255"/>
  <c r="P8" i="255" s="1"/>
  <c r="F8" i="255"/>
  <c r="H8" i="255" s="1"/>
  <c r="W7" i="255"/>
  <c r="V7" i="255"/>
  <c r="N7" i="255"/>
  <c r="K7" i="255"/>
  <c r="L7" i="255" s="1"/>
  <c r="J7" i="255"/>
  <c r="P7" i="255" s="1"/>
  <c r="F7" i="255"/>
  <c r="H7" i="255" s="1"/>
  <c r="W6" i="255"/>
  <c r="V6" i="255"/>
  <c r="N6" i="255"/>
  <c r="K6" i="255"/>
  <c r="L6" i="255" s="1"/>
  <c r="J6" i="255"/>
  <c r="P6" i="255" s="1"/>
  <c r="F6" i="255"/>
  <c r="H6" i="255" s="1"/>
  <c r="W5" i="255"/>
  <c r="N5" i="255"/>
  <c r="K5" i="255"/>
  <c r="J5" i="255"/>
  <c r="F5" i="255"/>
  <c r="H5" i="255" s="1"/>
  <c r="G1" i="255" s="1"/>
  <c r="I2" i="255"/>
  <c r="I1" i="255"/>
  <c r="E1" i="255"/>
  <c r="J18" i="254"/>
  <c r="I18" i="254"/>
  <c r="H18" i="254"/>
  <c r="G18" i="254"/>
  <c r="F18" i="254"/>
  <c r="E18" i="254"/>
  <c r="D18" i="254"/>
  <c r="J16" i="254"/>
  <c r="I16" i="254"/>
  <c r="H16" i="254"/>
  <c r="G16" i="254"/>
  <c r="F16" i="254"/>
  <c r="E16" i="254"/>
  <c r="D16" i="254"/>
  <c r="G3" i="254"/>
  <c r="M79" i="253"/>
  <c r="W78" i="253"/>
  <c r="H78" i="253"/>
  <c r="W77" i="253"/>
  <c r="H77" i="253"/>
  <c r="W76" i="253"/>
  <c r="H76" i="253"/>
  <c r="W75" i="253"/>
  <c r="H75" i="253"/>
  <c r="W74" i="253"/>
  <c r="H74" i="253"/>
  <c r="W73" i="253"/>
  <c r="W72" i="253"/>
  <c r="W71" i="253"/>
  <c r="W70" i="253"/>
  <c r="N70" i="253"/>
  <c r="K70" i="253"/>
  <c r="J70" i="253"/>
  <c r="F70" i="253"/>
  <c r="H70" i="253" s="1"/>
  <c r="M69" i="253"/>
  <c r="W68" i="253"/>
  <c r="H68" i="253"/>
  <c r="W67" i="253"/>
  <c r="H67" i="253"/>
  <c r="W66" i="253"/>
  <c r="H66" i="253"/>
  <c r="W65" i="253"/>
  <c r="W64" i="253"/>
  <c r="W63" i="253"/>
  <c r="W62" i="253"/>
  <c r="W61" i="253"/>
  <c r="V61" i="253"/>
  <c r="N61" i="253"/>
  <c r="K61" i="253"/>
  <c r="L61" i="253" s="1"/>
  <c r="J61" i="253"/>
  <c r="P61" i="253" s="1"/>
  <c r="F61" i="253"/>
  <c r="H61" i="253" s="1"/>
  <c r="W60" i="253"/>
  <c r="V60" i="253"/>
  <c r="N60" i="253"/>
  <c r="K60" i="253"/>
  <c r="L60" i="253" s="1"/>
  <c r="J60" i="253"/>
  <c r="P60" i="253" s="1"/>
  <c r="F60" i="253"/>
  <c r="H60" i="253" s="1"/>
  <c r="W59" i="253"/>
  <c r="N59" i="253"/>
  <c r="K59" i="253"/>
  <c r="J59" i="253"/>
  <c r="F59" i="253"/>
  <c r="H59" i="253" s="1"/>
  <c r="M58" i="253"/>
  <c r="W57" i="253"/>
  <c r="H57" i="253"/>
  <c r="W56" i="253"/>
  <c r="H56" i="253"/>
  <c r="W55" i="253"/>
  <c r="H55" i="253"/>
  <c r="W54" i="253"/>
  <c r="W53" i="253"/>
  <c r="V53" i="253"/>
  <c r="N53" i="253"/>
  <c r="K53" i="253"/>
  <c r="L53" i="253" s="1"/>
  <c r="J53" i="253"/>
  <c r="P53" i="253" s="1"/>
  <c r="F53" i="253"/>
  <c r="H53" i="253" s="1"/>
  <c r="W52" i="253"/>
  <c r="V52" i="253"/>
  <c r="N52" i="253"/>
  <c r="K52" i="253"/>
  <c r="L52" i="253" s="1"/>
  <c r="J52" i="253"/>
  <c r="P52" i="253" s="1"/>
  <c r="F52" i="253"/>
  <c r="H52" i="253" s="1"/>
  <c r="W51" i="253"/>
  <c r="V51" i="253"/>
  <c r="N51" i="253"/>
  <c r="K51" i="253"/>
  <c r="L51" i="253" s="1"/>
  <c r="J51" i="253"/>
  <c r="P51" i="253" s="1"/>
  <c r="F51" i="253"/>
  <c r="H51" i="253" s="1"/>
  <c r="W50" i="253"/>
  <c r="V50" i="253"/>
  <c r="N50" i="253"/>
  <c r="K50" i="253"/>
  <c r="L50" i="253" s="1"/>
  <c r="J50" i="253"/>
  <c r="P50" i="253" s="1"/>
  <c r="F50" i="253"/>
  <c r="H50" i="253" s="1"/>
  <c r="W49" i="253"/>
  <c r="N49" i="253"/>
  <c r="K49" i="253"/>
  <c r="J49" i="253"/>
  <c r="F49" i="253"/>
  <c r="H49" i="253" s="1"/>
  <c r="W48" i="253"/>
  <c r="M48" i="253"/>
  <c r="W47" i="253"/>
  <c r="H47" i="253"/>
  <c r="W46" i="253"/>
  <c r="H46" i="253"/>
  <c r="W45" i="253"/>
  <c r="H45" i="253"/>
  <c r="W44" i="253"/>
  <c r="H44" i="253"/>
  <c r="W43" i="253"/>
  <c r="W42" i="253"/>
  <c r="AC41" i="253"/>
  <c r="AB41" i="253"/>
  <c r="W41" i="253"/>
  <c r="W40" i="253"/>
  <c r="V40" i="253"/>
  <c r="N40" i="253"/>
  <c r="K40" i="253"/>
  <c r="L40" i="253" s="1"/>
  <c r="J40" i="253"/>
  <c r="P40" i="253" s="1"/>
  <c r="F40" i="253"/>
  <c r="H40" i="253" s="1"/>
  <c r="W39" i="253"/>
  <c r="V39" i="253"/>
  <c r="N39" i="253"/>
  <c r="K39" i="253"/>
  <c r="L39" i="253" s="1"/>
  <c r="J39" i="253"/>
  <c r="P39" i="253" s="1"/>
  <c r="F39" i="253"/>
  <c r="H39" i="253" s="1"/>
  <c r="W38" i="253"/>
  <c r="N38" i="253"/>
  <c r="K38" i="253"/>
  <c r="J38" i="253"/>
  <c r="F38" i="253"/>
  <c r="H38" i="253" s="1"/>
  <c r="M37" i="253"/>
  <c r="W36" i="253"/>
  <c r="H36" i="253"/>
  <c r="W35" i="253"/>
  <c r="H35" i="253"/>
  <c r="W34" i="253"/>
  <c r="H34" i="253"/>
  <c r="W33" i="253"/>
  <c r="H33" i="253"/>
  <c r="W32" i="253"/>
  <c r="W31" i="253"/>
  <c r="W30" i="253"/>
  <c r="V30" i="253"/>
  <c r="N30" i="253"/>
  <c r="K30" i="253"/>
  <c r="L30" i="253" s="1"/>
  <c r="J30" i="253"/>
  <c r="P30" i="253" s="1"/>
  <c r="F30" i="253"/>
  <c r="H30" i="253" s="1"/>
  <c r="W29" i="253"/>
  <c r="V29" i="253"/>
  <c r="N29" i="253"/>
  <c r="K29" i="253"/>
  <c r="L29" i="253" s="1"/>
  <c r="J29" i="253"/>
  <c r="P29" i="253" s="1"/>
  <c r="F29" i="253"/>
  <c r="H29" i="253" s="1"/>
  <c r="W28" i="253"/>
  <c r="V28" i="253"/>
  <c r="N28" i="253"/>
  <c r="K28" i="253"/>
  <c r="L28" i="253" s="1"/>
  <c r="J28" i="253"/>
  <c r="P28" i="253" s="1"/>
  <c r="F28" i="253"/>
  <c r="H28" i="253" s="1"/>
  <c r="W27" i="253"/>
  <c r="N27" i="253"/>
  <c r="K27" i="253"/>
  <c r="J27" i="253"/>
  <c r="F27" i="253"/>
  <c r="H27" i="253" s="1"/>
  <c r="M26" i="253"/>
  <c r="W25" i="253"/>
  <c r="H25" i="253"/>
  <c r="W24" i="253"/>
  <c r="H24" i="253"/>
  <c r="W23" i="253"/>
  <c r="W21" i="253"/>
  <c r="AC20" i="253"/>
  <c r="AB20" i="253"/>
  <c r="W20" i="253"/>
  <c r="W19" i="253"/>
  <c r="V19" i="253"/>
  <c r="N19" i="253"/>
  <c r="K19" i="253"/>
  <c r="L19" i="253" s="1"/>
  <c r="J19" i="253"/>
  <c r="P19" i="253" s="1"/>
  <c r="F19" i="253"/>
  <c r="H19" i="253" s="1"/>
  <c r="W18" i="253"/>
  <c r="V18" i="253"/>
  <c r="N18" i="253"/>
  <c r="K18" i="253"/>
  <c r="L18" i="253" s="1"/>
  <c r="J18" i="253"/>
  <c r="P18" i="253" s="1"/>
  <c r="F18" i="253"/>
  <c r="H18" i="253" s="1"/>
  <c r="W17" i="253"/>
  <c r="V17" i="253"/>
  <c r="N17" i="253"/>
  <c r="K17" i="253"/>
  <c r="L17" i="253" s="1"/>
  <c r="J17" i="253"/>
  <c r="P17" i="253" s="1"/>
  <c r="F17" i="253"/>
  <c r="H17" i="253" s="1"/>
  <c r="W16" i="253"/>
  <c r="N16" i="253" s="1"/>
  <c r="K16" i="253"/>
  <c r="J16" i="253"/>
  <c r="F16" i="253"/>
  <c r="H16" i="253" s="1"/>
  <c r="M15" i="253"/>
  <c r="W14" i="253"/>
  <c r="W13" i="253"/>
  <c r="W12" i="253"/>
  <c r="H12" i="253"/>
  <c r="W11" i="253"/>
  <c r="H11" i="253"/>
  <c r="W10" i="253"/>
  <c r="AC9" i="253"/>
  <c r="AB9" i="253"/>
  <c r="W9" i="253"/>
  <c r="W8" i="253"/>
  <c r="V8" i="253"/>
  <c r="N8" i="253"/>
  <c r="K8" i="253"/>
  <c r="L8" i="253" s="1"/>
  <c r="J8" i="253"/>
  <c r="P8" i="253" s="1"/>
  <c r="F8" i="253"/>
  <c r="H8" i="253" s="1"/>
  <c r="W7" i="253"/>
  <c r="V7" i="253"/>
  <c r="N7" i="253"/>
  <c r="K7" i="253"/>
  <c r="L7" i="253" s="1"/>
  <c r="J7" i="253"/>
  <c r="P7" i="253" s="1"/>
  <c r="F7" i="253"/>
  <c r="H7" i="253" s="1"/>
  <c r="W6" i="253"/>
  <c r="V6" i="253"/>
  <c r="N6" i="253"/>
  <c r="K6" i="253"/>
  <c r="L6" i="253" s="1"/>
  <c r="J6" i="253"/>
  <c r="P6" i="253" s="1"/>
  <c r="F6" i="253"/>
  <c r="H6" i="253" s="1"/>
  <c r="W5" i="253"/>
  <c r="N5" i="253"/>
  <c r="K5" i="253"/>
  <c r="J5" i="253"/>
  <c r="F5" i="253"/>
  <c r="H5" i="253" s="1"/>
  <c r="G1" i="253" s="1"/>
  <c r="I2" i="253"/>
  <c r="I1" i="253"/>
  <c r="E1" i="253"/>
  <c r="J18" i="252"/>
  <c r="I18" i="252"/>
  <c r="H18" i="252"/>
  <c r="G18" i="252"/>
  <c r="F18" i="252"/>
  <c r="E18" i="252"/>
  <c r="D18" i="252"/>
  <c r="J16" i="252"/>
  <c r="I16" i="252"/>
  <c r="H16" i="252"/>
  <c r="G16" i="252"/>
  <c r="F16" i="252"/>
  <c r="E16" i="252"/>
  <c r="D16" i="252"/>
  <c r="G3" i="252"/>
  <c r="M79" i="239"/>
  <c r="W78" i="239"/>
  <c r="H78" i="239"/>
  <c r="W77" i="239"/>
  <c r="H77" i="239"/>
  <c r="W76" i="239"/>
  <c r="H76" i="239"/>
  <c r="W75" i="239"/>
  <c r="H75" i="239"/>
  <c r="W74" i="239"/>
  <c r="H74" i="239"/>
  <c r="W73" i="239"/>
  <c r="W72" i="239"/>
  <c r="W71" i="239"/>
  <c r="W70" i="239"/>
  <c r="N70" i="239"/>
  <c r="K70" i="239"/>
  <c r="J70" i="239"/>
  <c r="F70" i="239"/>
  <c r="H70" i="239" s="1"/>
  <c r="M69" i="239"/>
  <c r="W68" i="239"/>
  <c r="H68" i="239"/>
  <c r="W67" i="239"/>
  <c r="H67" i="239"/>
  <c r="W66" i="239"/>
  <c r="H66" i="239"/>
  <c r="W65" i="239"/>
  <c r="W64" i="239"/>
  <c r="AC63" i="239"/>
  <c r="AB63" i="239"/>
  <c r="W63" i="239"/>
  <c r="AC62" i="239"/>
  <c r="AB62" i="239"/>
  <c r="W62" i="239"/>
  <c r="W61" i="239"/>
  <c r="V61" i="239"/>
  <c r="N61" i="239"/>
  <c r="K61" i="239"/>
  <c r="L61" i="239" s="1"/>
  <c r="J61" i="239"/>
  <c r="P61" i="239" s="1"/>
  <c r="F61" i="239"/>
  <c r="H61" i="239" s="1"/>
  <c r="W60" i="239"/>
  <c r="V60" i="239"/>
  <c r="N60" i="239"/>
  <c r="K60" i="239"/>
  <c r="L60" i="239" s="1"/>
  <c r="J60" i="239"/>
  <c r="P60" i="239" s="1"/>
  <c r="F60" i="239"/>
  <c r="H60" i="239" s="1"/>
  <c r="W59" i="239"/>
  <c r="N59" i="239"/>
  <c r="K59" i="239"/>
  <c r="J59" i="239"/>
  <c r="F59" i="239"/>
  <c r="H59" i="239" s="1"/>
  <c r="M58" i="239"/>
  <c r="W57" i="239"/>
  <c r="H57" i="239"/>
  <c r="W56" i="239"/>
  <c r="H56" i="239"/>
  <c r="W55" i="239"/>
  <c r="H55" i="239"/>
  <c r="W54" i="239"/>
  <c r="H54" i="239"/>
  <c r="W53" i="239"/>
  <c r="W52" i="239"/>
  <c r="V52" i="239"/>
  <c r="N52" i="239"/>
  <c r="K52" i="239"/>
  <c r="L52" i="239" s="1"/>
  <c r="J52" i="239"/>
  <c r="P52" i="239" s="1"/>
  <c r="F52" i="239"/>
  <c r="H52" i="239" s="1"/>
  <c r="W51" i="239"/>
  <c r="V51" i="239"/>
  <c r="N51" i="239"/>
  <c r="K51" i="239"/>
  <c r="L51" i="239" s="1"/>
  <c r="J51" i="239"/>
  <c r="P51" i="239" s="1"/>
  <c r="F51" i="239"/>
  <c r="H51" i="239" s="1"/>
  <c r="W50" i="239"/>
  <c r="V50" i="239"/>
  <c r="N50" i="239"/>
  <c r="K50" i="239"/>
  <c r="L50" i="239" s="1"/>
  <c r="J50" i="239"/>
  <c r="P50" i="239" s="1"/>
  <c r="F50" i="239"/>
  <c r="H50" i="239" s="1"/>
  <c r="W49" i="239"/>
  <c r="N49" i="239"/>
  <c r="K49" i="239"/>
  <c r="J49" i="239"/>
  <c r="F49" i="239"/>
  <c r="H49" i="239" s="1"/>
  <c r="W48" i="239"/>
  <c r="M48" i="239"/>
  <c r="W47" i="239"/>
  <c r="H47" i="239"/>
  <c r="W46" i="239"/>
  <c r="H46" i="239"/>
  <c r="W45" i="239"/>
  <c r="H45" i="239"/>
  <c r="W44" i="239"/>
  <c r="H44" i="239"/>
  <c r="W43" i="239"/>
  <c r="W42" i="239"/>
  <c r="W41" i="239"/>
  <c r="V41" i="239"/>
  <c r="N41" i="239"/>
  <c r="K41" i="239"/>
  <c r="L41" i="239" s="1"/>
  <c r="J41" i="239"/>
  <c r="P41" i="239" s="1"/>
  <c r="F41" i="239"/>
  <c r="H41" i="239" s="1"/>
  <c r="W40" i="239"/>
  <c r="V40" i="239"/>
  <c r="N40" i="239"/>
  <c r="K40" i="239"/>
  <c r="L40" i="239" s="1"/>
  <c r="J40" i="239"/>
  <c r="P40" i="239" s="1"/>
  <c r="F40" i="239"/>
  <c r="H40" i="239" s="1"/>
  <c r="W39" i="239"/>
  <c r="V39" i="239"/>
  <c r="N39" i="239"/>
  <c r="K39" i="239"/>
  <c r="L39" i="239" s="1"/>
  <c r="J39" i="239"/>
  <c r="P39" i="239" s="1"/>
  <c r="F39" i="239"/>
  <c r="H39" i="239" s="1"/>
  <c r="W38" i="239"/>
  <c r="N38" i="239"/>
  <c r="K38" i="239"/>
  <c r="J38" i="239"/>
  <c r="F38" i="239"/>
  <c r="H38" i="239" s="1"/>
  <c r="M37" i="239"/>
  <c r="W36" i="239"/>
  <c r="H36" i="239"/>
  <c r="W35" i="239"/>
  <c r="H35" i="239"/>
  <c r="W34" i="239"/>
  <c r="H34" i="239"/>
  <c r="W33" i="239"/>
  <c r="H33" i="239"/>
  <c r="W32" i="239"/>
  <c r="W31" i="239"/>
  <c r="W30" i="239"/>
  <c r="V30" i="239"/>
  <c r="N30" i="239"/>
  <c r="K30" i="239"/>
  <c r="L30" i="239" s="1"/>
  <c r="J30" i="239"/>
  <c r="P30" i="239" s="1"/>
  <c r="F30" i="239"/>
  <c r="H30" i="239" s="1"/>
  <c r="W29" i="239"/>
  <c r="V29" i="239"/>
  <c r="N29" i="239"/>
  <c r="K29" i="239"/>
  <c r="L29" i="239" s="1"/>
  <c r="J29" i="239"/>
  <c r="P29" i="239" s="1"/>
  <c r="F29" i="239"/>
  <c r="H29" i="239" s="1"/>
  <c r="W28" i="239"/>
  <c r="V28" i="239"/>
  <c r="N28" i="239"/>
  <c r="K28" i="239"/>
  <c r="L28" i="239" s="1"/>
  <c r="J28" i="239"/>
  <c r="P28" i="239" s="1"/>
  <c r="F28" i="239"/>
  <c r="H28" i="239" s="1"/>
  <c r="W27" i="239"/>
  <c r="N27" i="239"/>
  <c r="K27" i="239"/>
  <c r="J27" i="239"/>
  <c r="F27" i="239"/>
  <c r="H27" i="239" s="1"/>
  <c r="M26" i="239"/>
  <c r="W25" i="239"/>
  <c r="H25" i="239"/>
  <c r="W24" i="239"/>
  <c r="H24" i="239"/>
  <c r="W23" i="239"/>
  <c r="H22" i="239"/>
  <c r="W21" i="239"/>
  <c r="AC20" i="239"/>
  <c r="AB20" i="239"/>
  <c r="W20" i="239"/>
  <c r="V20" i="239"/>
  <c r="W19" i="239"/>
  <c r="V19" i="239"/>
  <c r="N19" i="239"/>
  <c r="K19" i="239"/>
  <c r="L19" i="239" s="1"/>
  <c r="J19" i="239"/>
  <c r="P19" i="239" s="1"/>
  <c r="F19" i="239"/>
  <c r="H19" i="239" s="1"/>
  <c r="W18" i="239"/>
  <c r="V18" i="239"/>
  <c r="N18" i="239"/>
  <c r="K18" i="239"/>
  <c r="L18" i="239" s="1"/>
  <c r="J18" i="239"/>
  <c r="P18" i="239" s="1"/>
  <c r="F18" i="239"/>
  <c r="H18" i="239" s="1"/>
  <c r="W17" i="239"/>
  <c r="V17" i="239"/>
  <c r="N17" i="239"/>
  <c r="K17" i="239"/>
  <c r="L17" i="239" s="1"/>
  <c r="J17" i="239"/>
  <c r="P17" i="239" s="1"/>
  <c r="F17" i="239"/>
  <c r="H17" i="239" s="1"/>
  <c r="W16" i="239"/>
  <c r="N16" i="239"/>
  <c r="K16" i="239"/>
  <c r="J16" i="239"/>
  <c r="F16" i="239"/>
  <c r="H16" i="239" s="1"/>
  <c r="M15" i="239"/>
  <c r="W14" i="239"/>
  <c r="W13" i="239"/>
  <c r="W12" i="239"/>
  <c r="H12" i="239"/>
  <c r="W11" i="239"/>
  <c r="H11" i="239"/>
  <c r="W10" i="239"/>
  <c r="AC9" i="239"/>
  <c r="AB9" i="239"/>
  <c r="W9" i="239"/>
  <c r="W8" i="239"/>
  <c r="V8" i="239"/>
  <c r="N8" i="239"/>
  <c r="K8" i="239"/>
  <c r="L8" i="239" s="1"/>
  <c r="J8" i="239"/>
  <c r="P8" i="239" s="1"/>
  <c r="F8" i="239"/>
  <c r="H8" i="239" s="1"/>
  <c r="W7" i="239"/>
  <c r="V7" i="239"/>
  <c r="N7" i="239"/>
  <c r="K7" i="239"/>
  <c r="L7" i="239" s="1"/>
  <c r="J7" i="239"/>
  <c r="P7" i="239" s="1"/>
  <c r="F7" i="239"/>
  <c r="H7" i="239" s="1"/>
  <c r="W6" i="239"/>
  <c r="V6" i="239"/>
  <c r="N6" i="239"/>
  <c r="K6" i="239"/>
  <c r="L6" i="239" s="1"/>
  <c r="J6" i="239"/>
  <c r="P6" i="239" s="1"/>
  <c r="F6" i="239"/>
  <c r="H6" i="239" s="1"/>
  <c r="W5" i="239"/>
  <c r="N5" i="239"/>
  <c r="K5" i="239"/>
  <c r="J5" i="239"/>
  <c r="F5" i="239"/>
  <c r="H5" i="239" s="1"/>
  <c r="G1" i="239" s="1"/>
  <c r="I2" i="239"/>
  <c r="I1" i="239"/>
  <c r="E1" i="239"/>
  <c r="J18" i="238"/>
  <c r="I18" i="238"/>
  <c r="H18" i="238"/>
  <c r="G18" i="238"/>
  <c r="F18" i="238"/>
  <c r="E18" i="238"/>
  <c r="D18" i="238"/>
  <c r="J16" i="238"/>
  <c r="I16" i="238"/>
  <c r="H16" i="238"/>
  <c r="G16" i="238"/>
  <c r="F16" i="238"/>
  <c r="E16" i="238"/>
  <c r="D16" i="238"/>
  <c r="G3" i="238"/>
  <c r="M79" i="237"/>
  <c r="W78" i="237"/>
  <c r="H78" i="237"/>
  <c r="W77" i="237"/>
  <c r="H77" i="237"/>
  <c r="W76" i="237"/>
  <c r="H76" i="237"/>
  <c r="W75" i="237"/>
  <c r="H75" i="237"/>
  <c r="W74" i="237"/>
  <c r="W73" i="237"/>
  <c r="W72" i="237"/>
  <c r="W71" i="237"/>
  <c r="W70" i="237"/>
  <c r="N70" i="237"/>
  <c r="K70" i="237"/>
  <c r="J70" i="237"/>
  <c r="F70" i="237"/>
  <c r="H70" i="237" s="1"/>
  <c r="M69" i="237"/>
  <c r="W68" i="237"/>
  <c r="H68" i="237"/>
  <c r="W67" i="237"/>
  <c r="W66" i="237"/>
  <c r="W65" i="237"/>
  <c r="W64" i="237"/>
  <c r="W63" i="237"/>
  <c r="AC62" i="237"/>
  <c r="AB62" i="237"/>
  <c r="W62" i="237"/>
  <c r="W61" i="237"/>
  <c r="V61" i="237"/>
  <c r="N61" i="237"/>
  <c r="K61" i="237"/>
  <c r="L61" i="237" s="1"/>
  <c r="J61" i="237"/>
  <c r="P61" i="237" s="1"/>
  <c r="F61" i="237"/>
  <c r="H61" i="237" s="1"/>
  <c r="W60" i="237"/>
  <c r="V60" i="237"/>
  <c r="N60" i="237"/>
  <c r="K60" i="237"/>
  <c r="L60" i="237" s="1"/>
  <c r="J60" i="237"/>
  <c r="P60" i="237" s="1"/>
  <c r="F60" i="237"/>
  <c r="H60" i="237" s="1"/>
  <c r="W59" i="237"/>
  <c r="N59" i="237"/>
  <c r="K59" i="237"/>
  <c r="J59" i="237"/>
  <c r="F59" i="237"/>
  <c r="H59" i="237" s="1"/>
  <c r="M58" i="237"/>
  <c r="W57" i="237"/>
  <c r="W56" i="237"/>
  <c r="W55" i="237"/>
  <c r="W54" i="237"/>
  <c r="AC53" i="237"/>
  <c r="AB53" i="237"/>
  <c r="W53" i="237"/>
  <c r="W52" i="237"/>
  <c r="V52" i="237"/>
  <c r="N52" i="237"/>
  <c r="K52" i="237"/>
  <c r="L52" i="237" s="1"/>
  <c r="J52" i="237"/>
  <c r="P52" i="237" s="1"/>
  <c r="F52" i="237"/>
  <c r="H52" i="237" s="1"/>
  <c r="W51" i="237"/>
  <c r="V51" i="237"/>
  <c r="N51" i="237"/>
  <c r="K51" i="237"/>
  <c r="L51" i="237" s="1"/>
  <c r="J51" i="237"/>
  <c r="P51" i="237" s="1"/>
  <c r="F51" i="237"/>
  <c r="H51" i="237" s="1"/>
  <c r="W50" i="237"/>
  <c r="V50" i="237"/>
  <c r="N50" i="237"/>
  <c r="K50" i="237"/>
  <c r="L50" i="237" s="1"/>
  <c r="J50" i="237"/>
  <c r="P50" i="237" s="1"/>
  <c r="F50" i="237"/>
  <c r="H50" i="237" s="1"/>
  <c r="W49" i="237"/>
  <c r="N49" i="237"/>
  <c r="K49" i="237"/>
  <c r="J49" i="237"/>
  <c r="F49" i="237"/>
  <c r="H49" i="237" s="1"/>
  <c r="W48" i="237"/>
  <c r="M48" i="237"/>
  <c r="W47" i="237"/>
  <c r="H47" i="237"/>
  <c r="W46" i="237"/>
  <c r="W45" i="237"/>
  <c r="W44" i="237"/>
  <c r="W43" i="237"/>
  <c r="W42" i="237"/>
  <c r="AC41" i="237"/>
  <c r="AB41" i="237"/>
  <c r="W41" i="237"/>
  <c r="W40" i="237"/>
  <c r="V40" i="237"/>
  <c r="N40" i="237"/>
  <c r="K40" i="237"/>
  <c r="L40" i="237" s="1"/>
  <c r="J40" i="237"/>
  <c r="P40" i="237" s="1"/>
  <c r="F40" i="237"/>
  <c r="H40" i="237" s="1"/>
  <c r="W39" i="237"/>
  <c r="V39" i="237"/>
  <c r="N39" i="237"/>
  <c r="K39" i="237"/>
  <c r="L39" i="237" s="1"/>
  <c r="J39" i="237"/>
  <c r="P39" i="237" s="1"/>
  <c r="F39" i="237"/>
  <c r="H39" i="237" s="1"/>
  <c r="W38" i="237"/>
  <c r="N38" i="237"/>
  <c r="K38" i="237"/>
  <c r="J38" i="237"/>
  <c r="F38" i="237"/>
  <c r="H38" i="237" s="1"/>
  <c r="M37" i="237"/>
  <c r="W36" i="237"/>
  <c r="H36" i="237"/>
  <c r="W35" i="237"/>
  <c r="W34" i="237"/>
  <c r="W33" i="237"/>
  <c r="W32" i="237"/>
  <c r="AC31" i="237"/>
  <c r="AB31" i="237"/>
  <c r="W31" i="237"/>
  <c r="W30" i="237"/>
  <c r="V30" i="237"/>
  <c r="N30" i="237"/>
  <c r="K30" i="237"/>
  <c r="L30" i="237" s="1"/>
  <c r="J30" i="237"/>
  <c r="P30" i="237" s="1"/>
  <c r="F30" i="237"/>
  <c r="H30" i="237" s="1"/>
  <c r="W29" i="237"/>
  <c r="V29" i="237"/>
  <c r="N29" i="237"/>
  <c r="K29" i="237"/>
  <c r="L29" i="237" s="1"/>
  <c r="J29" i="237"/>
  <c r="P29" i="237" s="1"/>
  <c r="F29" i="237"/>
  <c r="H29" i="237" s="1"/>
  <c r="W28" i="237"/>
  <c r="V28" i="237"/>
  <c r="N28" i="237"/>
  <c r="K28" i="237"/>
  <c r="L28" i="237" s="1"/>
  <c r="J28" i="237"/>
  <c r="P28" i="237" s="1"/>
  <c r="F28" i="237"/>
  <c r="H28" i="237" s="1"/>
  <c r="W27" i="237"/>
  <c r="N27" i="237"/>
  <c r="K27" i="237"/>
  <c r="J27" i="237"/>
  <c r="F27" i="237"/>
  <c r="H27" i="237" s="1"/>
  <c r="M26" i="237"/>
  <c r="W25" i="237"/>
  <c r="H25" i="237"/>
  <c r="W24" i="237"/>
  <c r="H24" i="237"/>
  <c r="W23" i="237"/>
  <c r="W21" i="237"/>
  <c r="W20" i="237"/>
  <c r="V20" i="237"/>
  <c r="AC19" i="237"/>
  <c r="AB19" i="237"/>
  <c r="W19" i="237"/>
  <c r="W18" i="237"/>
  <c r="V18" i="237"/>
  <c r="N18" i="237"/>
  <c r="K18" i="237"/>
  <c r="L18" i="237" s="1"/>
  <c r="J18" i="237"/>
  <c r="P18" i="237" s="1"/>
  <c r="F18" i="237"/>
  <c r="H18" i="237" s="1"/>
  <c r="W17" i="237"/>
  <c r="V17" i="237"/>
  <c r="N17" i="237"/>
  <c r="K17" i="237"/>
  <c r="L17" i="237" s="1"/>
  <c r="J17" i="237"/>
  <c r="P17" i="237" s="1"/>
  <c r="F17" i="237"/>
  <c r="H17" i="237" s="1"/>
  <c r="W16" i="237"/>
  <c r="N16" i="237"/>
  <c r="K16" i="237"/>
  <c r="J16" i="237"/>
  <c r="F16" i="237"/>
  <c r="H16" i="237" s="1"/>
  <c r="M15" i="237"/>
  <c r="W14" i="237"/>
  <c r="W13" i="237"/>
  <c r="W12" i="237"/>
  <c r="AC11" i="237"/>
  <c r="AB11" i="237"/>
  <c r="W11" i="237"/>
  <c r="AC10" i="237"/>
  <c r="AB10" i="237"/>
  <c r="W10" i="237"/>
  <c r="AC9" i="237"/>
  <c r="AB9" i="237"/>
  <c r="W9" i="237"/>
  <c r="AC8" i="237"/>
  <c r="AB8" i="237"/>
  <c r="W8" i="237"/>
  <c r="W7" i="237"/>
  <c r="V7" i="237"/>
  <c r="N7" i="237"/>
  <c r="K7" i="237"/>
  <c r="L7" i="237" s="1"/>
  <c r="J7" i="237"/>
  <c r="P7" i="237" s="1"/>
  <c r="F7" i="237"/>
  <c r="H7" i="237" s="1"/>
  <c r="W6" i="237"/>
  <c r="V6" i="237"/>
  <c r="N6" i="237"/>
  <c r="J6" i="237"/>
  <c r="F6" i="237"/>
  <c r="H6" i="237" s="1"/>
  <c r="W5" i="237"/>
  <c r="N5" i="237"/>
  <c r="K5" i="237"/>
  <c r="J5" i="237"/>
  <c r="F5" i="237"/>
  <c r="H5" i="237" s="1"/>
  <c r="G1" i="237" s="1"/>
  <c r="I2" i="237"/>
  <c r="I1" i="237"/>
  <c r="E1" i="237"/>
  <c r="J18" i="236"/>
  <c r="I18" i="236"/>
  <c r="H18" i="236"/>
  <c r="G18" i="236"/>
  <c r="F18" i="236"/>
  <c r="E18" i="236"/>
  <c r="D18" i="236"/>
  <c r="J16" i="236"/>
  <c r="I16" i="236"/>
  <c r="H16" i="236"/>
  <c r="G16" i="236"/>
  <c r="F16" i="236"/>
  <c r="E16" i="236"/>
  <c r="D16" i="236"/>
  <c r="G3" i="236"/>
  <c r="M79" i="232"/>
  <c r="W78" i="232"/>
  <c r="H78" i="232"/>
  <c r="W77" i="232"/>
  <c r="H77" i="232"/>
  <c r="W76" i="232"/>
  <c r="H76" i="232"/>
  <c r="W75" i="232"/>
  <c r="H75" i="232"/>
  <c r="W74" i="232"/>
  <c r="W73" i="232"/>
  <c r="W72" i="232"/>
  <c r="V72" i="232"/>
  <c r="N72" i="232"/>
  <c r="O72" i="232" s="1"/>
  <c r="K72" i="232"/>
  <c r="L72" i="232" s="1"/>
  <c r="J72" i="232"/>
  <c r="P72" i="232" s="1"/>
  <c r="F72" i="232"/>
  <c r="H72" i="232" s="1"/>
  <c r="W71" i="232"/>
  <c r="V71" i="232"/>
  <c r="N71" i="232"/>
  <c r="O71" i="232" s="1"/>
  <c r="K71" i="232"/>
  <c r="L71" i="232" s="1"/>
  <c r="J71" i="232"/>
  <c r="P71" i="232" s="1"/>
  <c r="F71" i="232"/>
  <c r="H71" i="232" s="1"/>
  <c r="W70" i="232"/>
  <c r="N70" i="232"/>
  <c r="K70" i="232"/>
  <c r="J70" i="232"/>
  <c r="F70" i="232"/>
  <c r="H70" i="232" s="1"/>
  <c r="M69" i="232"/>
  <c r="W68" i="232"/>
  <c r="H68" i="232"/>
  <c r="W67" i="232"/>
  <c r="W66" i="232"/>
  <c r="W65" i="232"/>
  <c r="W64" i="232"/>
  <c r="W63" i="232"/>
  <c r="W62" i="232"/>
  <c r="V62" i="232"/>
  <c r="N62" i="232"/>
  <c r="K62" i="232"/>
  <c r="L62" i="232" s="1"/>
  <c r="J62" i="232"/>
  <c r="P62" i="232" s="1"/>
  <c r="F62" i="232"/>
  <c r="H62" i="232" s="1"/>
  <c r="W61" i="232"/>
  <c r="V61" i="232"/>
  <c r="N61" i="232"/>
  <c r="K61" i="232"/>
  <c r="L61" i="232" s="1"/>
  <c r="J61" i="232"/>
  <c r="P61" i="232" s="1"/>
  <c r="F61" i="232"/>
  <c r="H61" i="232" s="1"/>
  <c r="W60" i="232"/>
  <c r="V60" i="232"/>
  <c r="N60" i="232"/>
  <c r="K60" i="232"/>
  <c r="L60" i="232" s="1"/>
  <c r="J60" i="232"/>
  <c r="P60" i="232" s="1"/>
  <c r="F60" i="232"/>
  <c r="H60" i="232" s="1"/>
  <c r="W59" i="232"/>
  <c r="N59" i="232"/>
  <c r="K59" i="232"/>
  <c r="J59" i="232"/>
  <c r="F59" i="232"/>
  <c r="H59" i="232" s="1"/>
  <c r="M58" i="232"/>
  <c r="W57" i="232"/>
  <c r="W56" i="232"/>
  <c r="W55" i="232"/>
  <c r="W54" i="232"/>
  <c r="W53" i="232"/>
  <c r="V53" i="232"/>
  <c r="N53" i="232"/>
  <c r="K53" i="232"/>
  <c r="L53" i="232" s="1"/>
  <c r="J53" i="232"/>
  <c r="P53" i="232" s="1"/>
  <c r="F53" i="232"/>
  <c r="H53" i="232" s="1"/>
  <c r="W52" i="232"/>
  <c r="V52" i="232"/>
  <c r="N52" i="232"/>
  <c r="K52" i="232"/>
  <c r="L52" i="232" s="1"/>
  <c r="J52" i="232"/>
  <c r="P52" i="232" s="1"/>
  <c r="F52" i="232"/>
  <c r="H52" i="232" s="1"/>
  <c r="W51" i="232"/>
  <c r="V51" i="232"/>
  <c r="N51" i="232"/>
  <c r="K51" i="232"/>
  <c r="L51" i="232" s="1"/>
  <c r="J51" i="232"/>
  <c r="P51" i="232" s="1"/>
  <c r="F51" i="232"/>
  <c r="H51" i="232" s="1"/>
  <c r="W50" i="232"/>
  <c r="V50" i="232"/>
  <c r="N50" i="232"/>
  <c r="K50" i="232"/>
  <c r="L50" i="232" s="1"/>
  <c r="J50" i="232"/>
  <c r="P50" i="232" s="1"/>
  <c r="F50" i="232"/>
  <c r="H50" i="232" s="1"/>
  <c r="W49" i="232"/>
  <c r="N49" i="232"/>
  <c r="K49" i="232"/>
  <c r="J49" i="232"/>
  <c r="F49" i="232"/>
  <c r="H49" i="232" s="1"/>
  <c r="W48" i="232"/>
  <c r="M48" i="232"/>
  <c r="W47" i="232"/>
  <c r="H47" i="232"/>
  <c r="W46" i="232"/>
  <c r="W45" i="232"/>
  <c r="W44" i="232"/>
  <c r="W43" i="232"/>
  <c r="W42" i="232"/>
  <c r="AC41" i="232"/>
  <c r="AB41" i="232"/>
  <c r="W41" i="232"/>
  <c r="W40" i="232"/>
  <c r="V40" i="232"/>
  <c r="N40" i="232"/>
  <c r="K40" i="232"/>
  <c r="L40" i="232" s="1"/>
  <c r="J40" i="232"/>
  <c r="P40" i="232" s="1"/>
  <c r="F40" i="232"/>
  <c r="H40" i="232" s="1"/>
  <c r="W39" i="232"/>
  <c r="V39" i="232"/>
  <c r="N39" i="232"/>
  <c r="K39" i="232"/>
  <c r="L39" i="232" s="1"/>
  <c r="J39" i="232"/>
  <c r="P39" i="232" s="1"/>
  <c r="F39" i="232"/>
  <c r="H39" i="232" s="1"/>
  <c r="W38" i="232"/>
  <c r="N38" i="232"/>
  <c r="K38" i="232"/>
  <c r="J38" i="232"/>
  <c r="F38" i="232"/>
  <c r="H38" i="232" s="1"/>
  <c r="M37" i="232"/>
  <c r="W36" i="232"/>
  <c r="H36" i="232"/>
  <c r="W35" i="232"/>
  <c r="W34" i="232"/>
  <c r="W33" i="232"/>
  <c r="W32" i="232"/>
  <c r="W31" i="232"/>
  <c r="N31" i="232"/>
  <c r="K31" i="232"/>
  <c r="L31" i="232" s="1"/>
  <c r="J31" i="232"/>
  <c r="P31" i="232" s="1"/>
  <c r="F31" i="232"/>
  <c r="H31" i="232" s="1"/>
  <c r="W30" i="232"/>
  <c r="V30" i="232"/>
  <c r="N30" i="232"/>
  <c r="K30" i="232"/>
  <c r="L30" i="232" s="1"/>
  <c r="J30" i="232"/>
  <c r="P30" i="232" s="1"/>
  <c r="F30" i="232"/>
  <c r="H30" i="232" s="1"/>
  <c r="W29" i="232"/>
  <c r="V29" i="232"/>
  <c r="N29" i="232"/>
  <c r="K29" i="232"/>
  <c r="L29" i="232" s="1"/>
  <c r="J29" i="232"/>
  <c r="P29" i="232" s="1"/>
  <c r="F29" i="232"/>
  <c r="H29" i="232" s="1"/>
  <c r="W28" i="232"/>
  <c r="V28" i="232"/>
  <c r="N28" i="232"/>
  <c r="K28" i="232"/>
  <c r="L28" i="232" s="1"/>
  <c r="J28" i="232"/>
  <c r="P28" i="232" s="1"/>
  <c r="F28" i="232"/>
  <c r="H28" i="232" s="1"/>
  <c r="W27" i="232"/>
  <c r="N27" i="232"/>
  <c r="K27" i="232"/>
  <c r="J27" i="232"/>
  <c r="F27" i="232"/>
  <c r="H27" i="232" s="1"/>
  <c r="M26" i="232"/>
  <c r="W25" i="232"/>
  <c r="H25" i="232"/>
  <c r="W24" i="232"/>
  <c r="H24" i="232"/>
  <c r="W23" i="232"/>
  <c r="H22" i="232"/>
  <c r="W21" i="232"/>
  <c r="W20" i="232"/>
  <c r="V20" i="232"/>
  <c r="N20" i="232"/>
  <c r="O20" i="232" s="1"/>
  <c r="K20" i="232"/>
  <c r="L20" i="232" s="1"/>
  <c r="J20" i="232"/>
  <c r="P20" i="232" s="1"/>
  <c r="F20" i="232"/>
  <c r="H20" i="232" s="1"/>
  <c r="W19" i="232"/>
  <c r="V19" i="232"/>
  <c r="N19" i="232"/>
  <c r="K19" i="232"/>
  <c r="L19" i="232" s="1"/>
  <c r="J19" i="232"/>
  <c r="P19" i="232" s="1"/>
  <c r="F19" i="232"/>
  <c r="H19" i="232" s="1"/>
  <c r="W18" i="232"/>
  <c r="V18" i="232"/>
  <c r="N18" i="232"/>
  <c r="K18" i="232"/>
  <c r="L18" i="232" s="1"/>
  <c r="J18" i="232"/>
  <c r="P18" i="232" s="1"/>
  <c r="F18" i="232"/>
  <c r="H18" i="232" s="1"/>
  <c r="W17" i="232"/>
  <c r="V17" i="232"/>
  <c r="N17" i="232"/>
  <c r="K17" i="232"/>
  <c r="L17" i="232" s="1"/>
  <c r="J17" i="232"/>
  <c r="P17" i="232" s="1"/>
  <c r="F17" i="232"/>
  <c r="H17" i="232" s="1"/>
  <c r="W16" i="232"/>
  <c r="N16" i="232"/>
  <c r="K16" i="232"/>
  <c r="J16" i="232"/>
  <c r="F16" i="232"/>
  <c r="H16" i="232" s="1"/>
  <c r="M15" i="232"/>
  <c r="W14" i="232"/>
  <c r="W13" i="232"/>
  <c r="W12" i="232"/>
  <c r="AC11" i="232"/>
  <c r="AB11" i="232"/>
  <c r="W11" i="232"/>
  <c r="AC10" i="232"/>
  <c r="AB10" i="232"/>
  <c r="W10" i="232"/>
  <c r="AC9" i="232"/>
  <c r="AB9" i="232"/>
  <c r="W9" i="232"/>
  <c r="W8" i="232"/>
  <c r="V8" i="232"/>
  <c r="N8" i="232"/>
  <c r="K8" i="232"/>
  <c r="L8" i="232" s="1"/>
  <c r="J8" i="232"/>
  <c r="P8" i="232" s="1"/>
  <c r="F8" i="232"/>
  <c r="H8" i="232" s="1"/>
  <c r="W7" i="232"/>
  <c r="V7" i="232"/>
  <c r="N7" i="232"/>
  <c r="K7" i="232"/>
  <c r="L7" i="232" s="1"/>
  <c r="J7" i="232"/>
  <c r="P7" i="232" s="1"/>
  <c r="F7" i="232"/>
  <c r="H7" i="232" s="1"/>
  <c r="W6" i="232"/>
  <c r="V6" i="232"/>
  <c r="N6" i="232"/>
  <c r="J6" i="232"/>
  <c r="F6" i="232"/>
  <c r="H6" i="232" s="1"/>
  <c r="W5" i="232"/>
  <c r="N5" i="232"/>
  <c r="K5" i="232"/>
  <c r="J5" i="232"/>
  <c r="F5" i="232"/>
  <c r="H5" i="232" s="1"/>
  <c r="G1" i="232" s="1"/>
  <c r="I2" i="232"/>
  <c r="I1" i="232"/>
  <c r="E1" i="232"/>
  <c r="J18" i="231"/>
  <c r="I18" i="231"/>
  <c r="H18" i="231"/>
  <c r="G18" i="231"/>
  <c r="F18" i="231"/>
  <c r="E18" i="231"/>
  <c r="D18" i="231"/>
  <c r="J16" i="231"/>
  <c r="I16" i="231"/>
  <c r="H16" i="231"/>
  <c r="G16" i="231"/>
  <c r="F16" i="231"/>
  <c r="E16" i="231"/>
  <c r="D16" i="231"/>
  <c r="G3" i="231"/>
  <c r="AC79" i="230"/>
  <c r="AB79" i="230"/>
  <c r="W78" i="230"/>
  <c r="H78" i="230"/>
  <c r="W77" i="230"/>
  <c r="H77" i="230"/>
  <c r="W76" i="230"/>
  <c r="H76" i="230"/>
  <c r="W75" i="230"/>
  <c r="H75" i="230"/>
  <c r="W74" i="230"/>
  <c r="H74" i="230"/>
  <c r="W73" i="230"/>
  <c r="W72" i="230"/>
  <c r="W71" i="230"/>
  <c r="AD70" i="230"/>
  <c r="AC70" i="230"/>
  <c r="AB70" i="230"/>
  <c r="W70" i="230"/>
  <c r="S70" i="230"/>
  <c r="M69" i="230"/>
  <c r="W68" i="230"/>
  <c r="H68" i="230"/>
  <c r="W67" i="230"/>
  <c r="W66" i="230"/>
  <c r="W65" i="230"/>
  <c r="W64" i="230"/>
  <c r="W63" i="230"/>
  <c r="W62" i="230"/>
  <c r="V62" i="230"/>
  <c r="N62" i="230"/>
  <c r="K62" i="230"/>
  <c r="L62" i="230" s="1"/>
  <c r="J62" i="230"/>
  <c r="P62" i="230" s="1"/>
  <c r="F62" i="230"/>
  <c r="H62" i="230" s="1"/>
  <c r="W61" i="230"/>
  <c r="V61" i="230"/>
  <c r="O61" i="230"/>
  <c r="N61" i="230"/>
  <c r="K61" i="230"/>
  <c r="L61" i="230" s="1"/>
  <c r="J61" i="230"/>
  <c r="P61" i="230" s="1"/>
  <c r="F61" i="230"/>
  <c r="H61" i="230" s="1"/>
  <c r="W60" i="230"/>
  <c r="V60" i="230"/>
  <c r="N60" i="230"/>
  <c r="K60" i="230"/>
  <c r="L60" i="230" s="1"/>
  <c r="J60" i="230"/>
  <c r="P60" i="230" s="1"/>
  <c r="F60" i="230"/>
  <c r="H60" i="230" s="1"/>
  <c r="W59" i="230"/>
  <c r="N59" i="230"/>
  <c r="K59" i="230"/>
  <c r="J59" i="230"/>
  <c r="F59" i="230"/>
  <c r="H59" i="230" s="1"/>
  <c r="M58" i="230"/>
  <c r="W57" i="230"/>
  <c r="H57" i="230"/>
  <c r="W56" i="230"/>
  <c r="H56" i="230"/>
  <c r="W55" i="230"/>
  <c r="H55" i="230"/>
  <c r="W54" i="230"/>
  <c r="W53" i="230"/>
  <c r="V53" i="230"/>
  <c r="N53" i="230"/>
  <c r="K53" i="230"/>
  <c r="L53" i="230" s="1"/>
  <c r="J53" i="230"/>
  <c r="P53" i="230" s="1"/>
  <c r="F53" i="230"/>
  <c r="H53" i="230" s="1"/>
  <c r="W52" i="230"/>
  <c r="V52" i="230"/>
  <c r="N52" i="230"/>
  <c r="K52" i="230"/>
  <c r="L52" i="230" s="1"/>
  <c r="J52" i="230"/>
  <c r="P52" i="230" s="1"/>
  <c r="F52" i="230"/>
  <c r="H52" i="230" s="1"/>
  <c r="W51" i="230"/>
  <c r="V51" i="230"/>
  <c r="N51" i="230"/>
  <c r="K51" i="230"/>
  <c r="L51" i="230" s="1"/>
  <c r="J51" i="230"/>
  <c r="P51" i="230" s="1"/>
  <c r="F51" i="230"/>
  <c r="H51" i="230" s="1"/>
  <c r="W50" i="230"/>
  <c r="V50" i="230"/>
  <c r="O50" i="230"/>
  <c r="N50" i="230"/>
  <c r="K50" i="230"/>
  <c r="L50" i="230" s="1"/>
  <c r="J50" i="230"/>
  <c r="P50" i="230" s="1"/>
  <c r="F50" i="230"/>
  <c r="H50" i="230" s="1"/>
  <c r="W49" i="230"/>
  <c r="N49" i="230"/>
  <c r="K49" i="230"/>
  <c r="J49" i="230"/>
  <c r="F49" i="230"/>
  <c r="H49" i="230" s="1"/>
  <c r="W48" i="230"/>
  <c r="M48" i="230"/>
  <c r="W47" i="230"/>
  <c r="H47" i="230"/>
  <c r="W46" i="230"/>
  <c r="W45" i="230"/>
  <c r="W44" i="230"/>
  <c r="W43" i="230"/>
  <c r="W42" i="230"/>
  <c r="V42" i="230"/>
  <c r="N42" i="230"/>
  <c r="O42" i="230" s="1"/>
  <c r="K42" i="230"/>
  <c r="L42" i="230" s="1"/>
  <c r="J42" i="230"/>
  <c r="P42" i="230" s="1"/>
  <c r="F42" i="230"/>
  <c r="H42" i="230" s="1"/>
  <c r="W41" i="230"/>
  <c r="V41" i="230"/>
  <c r="N41" i="230"/>
  <c r="K41" i="230"/>
  <c r="L41" i="230" s="1"/>
  <c r="J41" i="230"/>
  <c r="P41" i="230" s="1"/>
  <c r="F41" i="230"/>
  <c r="H41" i="230" s="1"/>
  <c r="W40" i="230"/>
  <c r="V40" i="230"/>
  <c r="N40" i="230"/>
  <c r="K40" i="230"/>
  <c r="L40" i="230" s="1"/>
  <c r="J40" i="230"/>
  <c r="P40" i="230" s="1"/>
  <c r="F40" i="230"/>
  <c r="H40" i="230" s="1"/>
  <c r="W39" i="230"/>
  <c r="V39" i="230"/>
  <c r="N39" i="230"/>
  <c r="K39" i="230"/>
  <c r="L39" i="230" s="1"/>
  <c r="J39" i="230"/>
  <c r="P39" i="230" s="1"/>
  <c r="F39" i="230"/>
  <c r="H39" i="230" s="1"/>
  <c r="W38" i="230"/>
  <c r="N38" i="230"/>
  <c r="K38" i="230"/>
  <c r="J38" i="230"/>
  <c r="F38" i="230"/>
  <c r="H38" i="230" s="1"/>
  <c r="M37" i="230"/>
  <c r="W36" i="230"/>
  <c r="H36" i="230"/>
  <c r="W35" i="230"/>
  <c r="W34" i="230"/>
  <c r="W33" i="230"/>
  <c r="W32" i="230"/>
  <c r="AC31" i="230"/>
  <c r="AB31" i="230"/>
  <c r="W31" i="230"/>
  <c r="W30" i="230"/>
  <c r="V30" i="230"/>
  <c r="N30" i="230"/>
  <c r="K30" i="230"/>
  <c r="L30" i="230" s="1"/>
  <c r="J30" i="230"/>
  <c r="P30" i="230" s="1"/>
  <c r="F30" i="230"/>
  <c r="H30" i="230" s="1"/>
  <c r="W29" i="230"/>
  <c r="V29" i="230"/>
  <c r="N29" i="230"/>
  <c r="K29" i="230"/>
  <c r="L29" i="230" s="1"/>
  <c r="J29" i="230"/>
  <c r="P29" i="230" s="1"/>
  <c r="F29" i="230"/>
  <c r="H29" i="230" s="1"/>
  <c r="W28" i="230"/>
  <c r="V28" i="230"/>
  <c r="N28" i="230"/>
  <c r="K28" i="230"/>
  <c r="L28" i="230" s="1"/>
  <c r="J28" i="230"/>
  <c r="P28" i="230" s="1"/>
  <c r="F28" i="230"/>
  <c r="H28" i="230" s="1"/>
  <c r="W27" i="230"/>
  <c r="N27" i="230"/>
  <c r="K27" i="230"/>
  <c r="J27" i="230"/>
  <c r="F27" i="230"/>
  <c r="H27" i="230" s="1"/>
  <c r="M26" i="230"/>
  <c r="W25" i="230"/>
  <c r="H25" i="230"/>
  <c r="W24" i="230"/>
  <c r="H24" i="230"/>
  <c r="W23" i="230"/>
  <c r="H22" i="230"/>
  <c r="W21" i="230"/>
  <c r="W20" i="230"/>
  <c r="V20" i="230"/>
  <c r="N20" i="230"/>
  <c r="O20" i="230" s="1"/>
  <c r="K20" i="230"/>
  <c r="L20" i="230" s="1"/>
  <c r="J20" i="230"/>
  <c r="P20" i="230" s="1"/>
  <c r="F20" i="230"/>
  <c r="H20" i="230" s="1"/>
  <c r="W19" i="230"/>
  <c r="V19" i="230"/>
  <c r="N19" i="230"/>
  <c r="K19" i="230"/>
  <c r="L19" i="230" s="1"/>
  <c r="J19" i="230"/>
  <c r="P19" i="230" s="1"/>
  <c r="F19" i="230"/>
  <c r="H19" i="230" s="1"/>
  <c r="W18" i="230"/>
  <c r="V18" i="230"/>
  <c r="N18" i="230"/>
  <c r="K18" i="230"/>
  <c r="L18" i="230" s="1"/>
  <c r="J18" i="230"/>
  <c r="P18" i="230" s="1"/>
  <c r="F18" i="230"/>
  <c r="H18" i="230" s="1"/>
  <c r="W17" i="230"/>
  <c r="V17" i="230"/>
  <c r="N17" i="230"/>
  <c r="K17" i="230"/>
  <c r="L17" i="230" s="1"/>
  <c r="J17" i="230"/>
  <c r="P17" i="230" s="1"/>
  <c r="F17" i="230"/>
  <c r="H17" i="230" s="1"/>
  <c r="W16" i="230"/>
  <c r="N16" i="230"/>
  <c r="K16" i="230"/>
  <c r="J16" i="230"/>
  <c r="F16" i="230"/>
  <c r="H16" i="230" s="1"/>
  <c r="M15" i="230"/>
  <c r="W14" i="230"/>
  <c r="W13" i="230"/>
  <c r="W12" i="230"/>
  <c r="AC11" i="230"/>
  <c r="AB11" i="230"/>
  <c r="W11" i="230"/>
  <c r="W10" i="230"/>
  <c r="V10" i="230"/>
  <c r="N10" i="230"/>
  <c r="K10" i="230"/>
  <c r="L10" i="230" s="1"/>
  <c r="J10" i="230"/>
  <c r="P10" i="230" s="1"/>
  <c r="F10" i="230"/>
  <c r="H10" i="230" s="1"/>
  <c r="W9" i="230"/>
  <c r="V9" i="230"/>
  <c r="N9" i="230"/>
  <c r="K9" i="230"/>
  <c r="L9" i="230" s="1"/>
  <c r="J9" i="230"/>
  <c r="P9" i="230" s="1"/>
  <c r="F9" i="230"/>
  <c r="H9" i="230" s="1"/>
  <c r="W8" i="230"/>
  <c r="V8" i="230"/>
  <c r="N8" i="230"/>
  <c r="K8" i="230"/>
  <c r="L8" i="230" s="1"/>
  <c r="J8" i="230"/>
  <c r="P8" i="230" s="1"/>
  <c r="F8" i="230"/>
  <c r="H8" i="230" s="1"/>
  <c r="W7" i="230"/>
  <c r="V7" i="230"/>
  <c r="N7" i="230"/>
  <c r="K7" i="230"/>
  <c r="L7" i="230" s="1"/>
  <c r="J7" i="230"/>
  <c r="P7" i="230" s="1"/>
  <c r="F7" i="230"/>
  <c r="H7" i="230" s="1"/>
  <c r="W6" i="230"/>
  <c r="V6" i="230"/>
  <c r="N6" i="230"/>
  <c r="J6" i="230"/>
  <c r="F6" i="230"/>
  <c r="H6" i="230" s="1"/>
  <c r="W5" i="230"/>
  <c r="N5" i="230"/>
  <c r="K5" i="230"/>
  <c r="J5" i="230"/>
  <c r="F5" i="230"/>
  <c r="H5" i="230" s="1"/>
  <c r="G1" i="230" s="1"/>
  <c r="I2" i="230"/>
  <c r="I1" i="230"/>
  <c r="E1" i="230"/>
  <c r="I18" i="229"/>
  <c r="H18" i="229"/>
  <c r="G18" i="229"/>
  <c r="F18" i="229"/>
  <c r="E18" i="229"/>
  <c r="D18" i="229"/>
  <c r="I16" i="229"/>
  <c r="H16" i="229"/>
  <c r="G16" i="229"/>
  <c r="F16" i="229"/>
  <c r="E16" i="229"/>
  <c r="D16" i="229"/>
  <c r="G3" i="229"/>
  <c r="AC79" i="228"/>
  <c r="AB79" i="228"/>
  <c r="W78" i="228"/>
  <c r="H78" i="228"/>
  <c r="W77" i="228"/>
  <c r="H77" i="228"/>
  <c r="W76" i="228"/>
  <c r="H76" i="228"/>
  <c r="W75" i="228"/>
  <c r="H75" i="228"/>
  <c r="W74" i="228"/>
  <c r="H74" i="228"/>
  <c r="W73" i="228"/>
  <c r="W72" i="228"/>
  <c r="W71" i="228"/>
  <c r="AD70" i="228"/>
  <c r="AC70" i="228"/>
  <c r="AB70" i="228"/>
  <c r="W70" i="228"/>
  <c r="S70" i="228"/>
  <c r="M69" i="228"/>
  <c r="W68" i="228"/>
  <c r="H68" i="228"/>
  <c r="W67" i="228"/>
  <c r="W66" i="228"/>
  <c r="W65" i="228"/>
  <c r="W64" i="228"/>
  <c r="W63" i="228"/>
  <c r="W62" i="228"/>
  <c r="V62" i="228"/>
  <c r="N62" i="228"/>
  <c r="K62" i="228"/>
  <c r="L62" i="228" s="1"/>
  <c r="J62" i="228"/>
  <c r="P62" i="228" s="1"/>
  <c r="F62" i="228"/>
  <c r="H62" i="228" s="1"/>
  <c r="W61" i="228"/>
  <c r="V61" i="228"/>
  <c r="N61" i="228"/>
  <c r="K61" i="228"/>
  <c r="L61" i="228" s="1"/>
  <c r="J61" i="228"/>
  <c r="P61" i="228" s="1"/>
  <c r="F61" i="228"/>
  <c r="H61" i="228" s="1"/>
  <c r="W60" i="228"/>
  <c r="V60" i="228"/>
  <c r="N60" i="228"/>
  <c r="K60" i="228"/>
  <c r="L60" i="228" s="1"/>
  <c r="J60" i="228"/>
  <c r="P60" i="228" s="1"/>
  <c r="F60" i="228"/>
  <c r="H60" i="228" s="1"/>
  <c r="W59" i="228"/>
  <c r="N59" i="228"/>
  <c r="K59" i="228"/>
  <c r="J59" i="228"/>
  <c r="F59" i="228"/>
  <c r="H59" i="228" s="1"/>
  <c r="M58" i="228"/>
  <c r="W57" i="228"/>
  <c r="H57" i="228"/>
  <c r="W56" i="228"/>
  <c r="H56" i="228"/>
  <c r="W55" i="228"/>
  <c r="H55" i="228"/>
  <c r="W54" i="228"/>
  <c r="W53" i="228"/>
  <c r="V53" i="228"/>
  <c r="N53" i="228"/>
  <c r="K53" i="228"/>
  <c r="L53" i="228" s="1"/>
  <c r="J53" i="228"/>
  <c r="P53" i="228" s="1"/>
  <c r="F53" i="228"/>
  <c r="H53" i="228" s="1"/>
  <c r="W52" i="228"/>
  <c r="V52" i="228"/>
  <c r="N52" i="228"/>
  <c r="K52" i="228"/>
  <c r="L52" i="228" s="1"/>
  <c r="J52" i="228"/>
  <c r="P52" i="228" s="1"/>
  <c r="F52" i="228"/>
  <c r="H52" i="228" s="1"/>
  <c r="W51" i="228"/>
  <c r="V51" i="228"/>
  <c r="N51" i="228"/>
  <c r="K51" i="228"/>
  <c r="L51" i="228" s="1"/>
  <c r="J51" i="228"/>
  <c r="P51" i="228" s="1"/>
  <c r="F51" i="228"/>
  <c r="H51" i="228" s="1"/>
  <c r="W50" i="228"/>
  <c r="V50" i="228"/>
  <c r="N50" i="228"/>
  <c r="K50" i="228"/>
  <c r="L50" i="228" s="1"/>
  <c r="J50" i="228"/>
  <c r="P50" i="228" s="1"/>
  <c r="F50" i="228"/>
  <c r="H50" i="228" s="1"/>
  <c r="W49" i="228"/>
  <c r="N49" i="228"/>
  <c r="K49" i="228"/>
  <c r="J49" i="228"/>
  <c r="F49" i="228"/>
  <c r="H49" i="228" s="1"/>
  <c r="W48" i="228"/>
  <c r="M48" i="228"/>
  <c r="W47" i="228"/>
  <c r="H47" i="228"/>
  <c r="W46" i="228"/>
  <c r="W45" i="228"/>
  <c r="W44" i="228"/>
  <c r="W43" i="228"/>
  <c r="W42" i="228"/>
  <c r="V42" i="228"/>
  <c r="N42" i="228"/>
  <c r="O42" i="228" s="1"/>
  <c r="K42" i="228"/>
  <c r="L42" i="228" s="1"/>
  <c r="J42" i="228"/>
  <c r="P42" i="228" s="1"/>
  <c r="F42" i="228"/>
  <c r="H42" i="228" s="1"/>
  <c r="W41" i="228"/>
  <c r="V41" i="228"/>
  <c r="N41" i="228"/>
  <c r="K41" i="228"/>
  <c r="L41" i="228" s="1"/>
  <c r="J41" i="228"/>
  <c r="P41" i="228" s="1"/>
  <c r="F41" i="228"/>
  <c r="H41" i="228" s="1"/>
  <c r="W40" i="228"/>
  <c r="V40" i="228"/>
  <c r="N40" i="228"/>
  <c r="K40" i="228"/>
  <c r="L40" i="228" s="1"/>
  <c r="J40" i="228"/>
  <c r="P40" i="228" s="1"/>
  <c r="F40" i="228"/>
  <c r="H40" i="228" s="1"/>
  <c r="W39" i="228"/>
  <c r="V39" i="228"/>
  <c r="N39" i="228"/>
  <c r="K39" i="228"/>
  <c r="L39" i="228" s="1"/>
  <c r="J39" i="228"/>
  <c r="P39" i="228" s="1"/>
  <c r="F39" i="228"/>
  <c r="H39" i="228" s="1"/>
  <c r="W38" i="228"/>
  <c r="N38" i="228"/>
  <c r="K38" i="228"/>
  <c r="J38" i="228"/>
  <c r="F38" i="228"/>
  <c r="H38" i="228" s="1"/>
  <c r="M37" i="228"/>
  <c r="W36" i="228"/>
  <c r="H36" i="228"/>
  <c r="W35" i="228"/>
  <c r="W34" i="228"/>
  <c r="W33" i="228"/>
  <c r="W32" i="228"/>
  <c r="AC31" i="228"/>
  <c r="AB31" i="228"/>
  <c r="W31" i="228"/>
  <c r="W30" i="228"/>
  <c r="V30" i="228"/>
  <c r="N30" i="228"/>
  <c r="K30" i="228"/>
  <c r="L30" i="228" s="1"/>
  <c r="J30" i="228"/>
  <c r="P30" i="228" s="1"/>
  <c r="F30" i="228"/>
  <c r="H30" i="228" s="1"/>
  <c r="W29" i="228"/>
  <c r="V29" i="228"/>
  <c r="N29" i="228"/>
  <c r="K29" i="228"/>
  <c r="L29" i="228" s="1"/>
  <c r="J29" i="228"/>
  <c r="P29" i="228" s="1"/>
  <c r="F29" i="228"/>
  <c r="H29" i="228" s="1"/>
  <c r="W28" i="228"/>
  <c r="V28" i="228"/>
  <c r="N28" i="228"/>
  <c r="K28" i="228"/>
  <c r="L28" i="228" s="1"/>
  <c r="J28" i="228"/>
  <c r="P28" i="228" s="1"/>
  <c r="F28" i="228"/>
  <c r="H28" i="228" s="1"/>
  <c r="W27" i="228"/>
  <c r="N27" i="228"/>
  <c r="K27" i="228"/>
  <c r="J27" i="228"/>
  <c r="F27" i="228"/>
  <c r="H27" i="228" s="1"/>
  <c r="M26" i="228"/>
  <c r="W25" i="228"/>
  <c r="H25" i="228"/>
  <c r="W24" i="228"/>
  <c r="H24" i="228"/>
  <c r="W23" i="228"/>
  <c r="H22" i="228"/>
  <c r="W21" i="228"/>
  <c r="W20" i="228"/>
  <c r="N20" i="228"/>
  <c r="O20" i="228" s="1"/>
  <c r="K20" i="228"/>
  <c r="L20" i="228" s="1"/>
  <c r="J20" i="228"/>
  <c r="P20" i="228" s="1"/>
  <c r="F20" i="228"/>
  <c r="H20" i="228" s="1"/>
  <c r="W19" i="228"/>
  <c r="V19" i="228"/>
  <c r="N19" i="228"/>
  <c r="K19" i="228"/>
  <c r="L19" i="228" s="1"/>
  <c r="J19" i="228"/>
  <c r="P19" i="228" s="1"/>
  <c r="F19" i="228"/>
  <c r="H19" i="228" s="1"/>
  <c r="W18" i="228"/>
  <c r="V18" i="228"/>
  <c r="N18" i="228"/>
  <c r="K18" i="228"/>
  <c r="L18" i="228" s="1"/>
  <c r="J18" i="228"/>
  <c r="P18" i="228" s="1"/>
  <c r="F18" i="228"/>
  <c r="H18" i="228" s="1"/>
  <c r="W17" i="228"/>
  <c r="V17" i="228"/>
  <c r="N17" i="228"/>
  <c r="K17" i="228"/>
  <c r="L17" i="228" s="1"/>
  <c r="J17" i="228"/>
  <c r="P17" i="228" s="1"/>
  <c r="F17" i="228"/>
  <c r="H17" i="228" s="1"/>
  <c r="W16" i="228"/>
  <c r="N16" i="228"/>
  <c r="K16" i="228"/>
  <c r="J16" i="228"/>
  <c r="F16" i="228"/>
  <c r="H16" i="228" s="1"/>
  <c r="M15" i="228"/>
  <c r="K15" i="228"/>
  <c r="J15" i="228"/>
  <c r="W14" i="228"/>
  <c r="W13" i="228"/>
  <c r="W12" i="228"/>
  <c r="AC11" i="228"/>
  <c r="AB11" i="228"/>
  <c r="W11" i="228"/>
  <c r="W10" i="228"/>
  <c r="N10" i="228" s="1"/>
  <c r="V10" i="228"/>
  <c r="P10" i="228"/>
  <c r="K10" i="228"/>
  <c r="L10" i="228" s="1"/>
  <c r="J10" i="228"/>
  <c r="F10" i="228"/>
  <c r="H10" i="228" s="1"/>
  <c r="W9" i="228"/>
  <c r="V9" i="228"/>
  <c r="N9" i="228"/>
  <c r="K9" i="228"/>
  <c r="L9" i="228" s="1"/>
  <c r="J9" i="228"/>
  <c r="P9" i="228" s="1"/>
  <c r="F9" i="228"/>
  <c r="H9" i="228" s="1"/>
  <c r="W8" i="228"/>
  <c r="V8" i="228"/>
  <c r="N8" i="228"/>
  <c r="K8" i="228"/>
  <c r="L8" i="228" s="1"/>
  <c r="J8" i="228"/>
  <c r="P8" i="228" s="1"/>
  <c r="F8" i="228"/>
  <c r="H8" i="228" s="1"/>
  <c r="W7" i="228"/>
  <c r="V7" i="228"/>
  <c r="N7" i="228"/>
  <c r="K7" i="228"/>
  <c r="L7" i="228" s="1"/>
  <c r="J7" i="228"/>
  <c r="P7" i="228" s="1"/>
  <c r="F7" i="228"/>
  <c r="H7" i="228" s="1"/>
  <c r="W6" i="228"/>
  <c r="V6" i="228"/>
  <c r="N6" i="228"/>
  <c r="J6" i="228"/>
  <c r="F6" i="228"/>
  <c r="H6" i="228" s="1"/>
  <c r="W5" i="228"/>
  <c r="N5" i="228"/>
  <c r="K5" i="228"/>
  <c r="L5" i="228" s="1"/>
  <c r="J5" i="228"/>
  <c r="P5" i="228" s="1"/>
  <c r="F5" i="228"/>
  <c r="H5" i="228" s="1"/>
  <c r="G1" i="228" s="1"/>
  <c r="I2" i="228"/>
  <c r="E1" i="228"/>
  <c r="I16" i="227"/>
  <c r="H16" i="227"/>
  <c r="G16" i="227"/>
  <c r="F16" i="227"/>
  <c r="E16" i="227"/>
  <c r="D16" i="227"/>
  <c r="G3" i="227"/>
  <c r="AC79" i="226"/>
  <c r="AB79" i="226"/>
  <c r="W78" i="226"/>
  <c r="H78" i="226"/>
  <c r="W77" i="226"/>
  <c r="H77" i="226"/>
  <c r="W76" i="226"/>
  <c r="H76" i="226"/>
  <c r="W75" i="226"/>
  <c r="H75" i="226"/>
  <c r="W74" i="226"/>
  <c r="H74" i="226"/>
  <c r="W73" i="226"/>
  <c r="W72" i="226"/>
  <c r="W71" i="226"/>
  <c r="AD70" i="226"/>
  <c r="AC70" i="226"/>
  <c r="AB70" i="226"/>
  <c r="W70" i="226"/>
  <c r="S70" i="226"/>
  <c r="M69" i="226"/>
  <c r="W68" i="226"/>
  <c r="H68" i="226"/>
  <c r="W67" i="226"/>
  <c r="W66" i="226"/>
  <c r="W65" i="226"/>
  <c r="W64" i="226"/>
  <c r="W63" i="226"/>
  <c r="W62" i="226"/>
  <c r="V62" i="226"/>
  <c r="N62" i="226"/>
  <c r="K62" i="226"/>
  <c r="L62" i="226" s="1"/>
  <c r="J62" i="226"/>
  <c r="P62" i="226" s="1"/>
  <c r="F62" i="226"/>
  <c r="H62" i="226" s="1"/>
  <c r="B62" i="226"/>
  <c r="W61" i="226"/>
  <c r="V61" i="226"/>
  <c r="N61" i="226"/>
  <c r="K61" i="226"/>
  <c r="L61" i="226" s="1"/>
  <c r="J61" i="226"/>
  <c r="P61" i="226" s="1"/>
  <c r="F61" i="226"/>
  <c r="H61" i="226" s="1"/>
  <c r="W60" i="226"/>
  <c r="V60" i="226"/>
  <c r="N60" i="226"/>
  <c r="K60" i="226"/>
  <c r="L60" i="226" s="1"/>
  <c r="J60" i="226"/>
  <c r="P60" i="226" s="1"/>
  <c r="F60" i="226"/>
  <c r="H60" i="226" s="1"/>
  <c r="B60" i="226"/>
  <c r="W59" i="226"/>
  <c r="N59" i="226"/>
  <c r="K59" i="226"/>
  <c r="J59" i="226"/>
  <c r="F59" i="226"/>
  <c r="H59" i="226" s="1"/>
  <c r="B59" i="226"/>
  <c r="M58" i="226"/>
  <c r="W57" i="226"/>
  <c r="H57" i="226"/>
  <c r="W56" i="226"/>
  <c r="H56" i="226"/>
  <c r="W55" i="226"/>
  <c r="H55" i="226"/>
  <c r="W54" i="226"/>
  <c r="W53" i="226"/>
  <c r="V53" i="226"/>
  <c r="N53" i="226"/>
  <c r="K53" i="226"/>
  <c r="L53" i="226" s="1"/>
  <c r="J53" i="226"/>
  <c r="P53" i="226" s="1"/>
  <c r="F53" i="226"/>
  <c r="H53" i="226" s="1"/>
  <c r="B53" i="226"/>
  <c r="W52" i="226"/>
  <c r="V52" i="226"/>
  <c r="N52" i="226"/>
  <c r="K52" i="226"/>
  <c r="L52" i="226" s="1"/>
  <c r="J52" i="226"/>
  <c r="P52" i="226" s="1"/>
  <c r="F52" i="226"/>
  <c r="H52" i="226" s="1"/>
  <c r="B52" i="226"/>
  <c r="W51" i="226"/>
  <c r="V51" i="226"/>
  <c r="N51" i="226"/>
  <c r="K51" i="226"/>
  <c r="L51" i="226" s="1"/>
  <c r="J51" i="226"/>
  <c r="P51" i="226" s="1"/>
  <c r="F51" i="226"/>
  <c r="H51" i="226" s="1"/>
  <c r="B51" i="226"/>
  <c r="W50" i="226"/>
  <c r="V50" i="226"/>
  <c r="N50" i="226"/>
  <c r="K50" i="226"/>
  <c r="L50" i="226" s="1"/>
  <c r="J50" i="226"/>
  <c r="P50" i="226" s="1"/>
  <c r="F50" i="226"/>
  <c r="H50" i="226" s="1"/>
  <c r="B50" i="226"/>
  <c r="W49" i="226"/>
  <c r="N49" i="226"/>
  <c r="K49" i="226"/>
  <c r="J49" i="226"/>
  <c r="F49" i="226"/>
  <c r="H49" i="226" s="1"/>
  <c r="B49" i="226"/>
  <c r="W48" i="226"/>
  <c r="M48" i="226"/>
  <c r="W47" i="226"/>
  <c r="H47" i="226"/>
  <c r="W46" i="226"/>
  <c r="W45" i="226"/>
  <c r="W44" i="226"/>
  <c r="W43" i="226"/>
  <c r="W42" i="226"/>
  <c r="W41" i="226"/>
  <c r="V41" i="226"/>
  <c r="N41" i="226"/>
  <c r="K41" i="226"/>
  <c r="L41" i="226" s="1"/>
  <c r="J41" i="226"/>
  <c r="P41" i="226" s="1"/>
  <c r="F41" i="226"/>
  <c r="H41" i="226" s="1"/>
  <c r="W40" i="226"/>
  <c r="V40" i="226"/>
  <c r="N40" i="226"/>
  <c r="K40" i="226"/>
  <c r="L40" i="226" s="1"/>
  <c r="J40" i="226"/>
  <c r="P40" i="226" s="1"/>
  <c r="F40" i="226"/>
  <c r="H40" i="226" s="1"/>
  <c r="W39" i="226"/>
  <c r="V39" i="226"/>
  <c r="N39" i="226"/>
  <c r="K39" i="226"/>
  <c r="J39" i="226"/>
  <c r="P39" i="226" s="1"/>
  <c r="F39" i="226"/>
  <c r="H39" i="226" s="1"/>
  <c r="W38" i="226"/>
  <c r="J38" i="226"/>
  <c r="G38" i="226"/>
  <c r="N38" i="226" s="1"/>
  <c r="F38" i="226"/>
  <c r="H38" i="226" s="1"/>
  <c r="M37" i="226"/>
  <c r="W36" i="226"/>
  <c r="H36" i="226"/>
  <c r="W35" i="226"/>
  <c r="W34" i="226"/>
  <c r="W33" i="226"/>
  <c r="W32" i="226"/>
  <c r="AC31" i="226"/>
  <c r="AB31" i="226"/>
  <c r="W31" i="226"/>
  <c r="W30" i="226"/>
  <c r="V30" i="226"/>
  <c r="N30" i="226"/>
  <c r="K30" i="226"/>
  <c r="L30" i="226" s="1"/>
  <c r="J30" i="226"/>
  <c r="P30" i="226" s="1"/>
  <c r="F30" i="226"/>
  <c r="H30" i="226" s="1"/>
  <c r="B30" i="226"/>
  <c r="W29" i="226"/>
  <c r="V29" i="226"/>
  <c r="N29" i="226"/>
  <c r="K29" i="226"/>
  <c r="L29" i="226" s="1"/>
  <c r="J29" i="226"/>
  <c r="P29" i="226" s="1"/>
  <c r="F29" i="226"/>
  <c r="H29" i="226" s="1"/>
  <c r="B29" i="226"/>
  <c r="W28" i="226"/>
  <c r="V28" i="226"/>
  <c r="N28" i="226"/>
  <c r="K28" i="226"/>
  <c r="L28" i="226" s="1"/>
  <c r="J28" i="226"/>
  <c r="P28" i="226" s="1"/>
  <c r="F28" i="226"/>
  <c r="H28" i="226" s="1"/>
  <c r="B28" i="226"/>
  <c r="W27" i="226"/>
  <c r="N27" i="226"/>
  <c r="K27" i="226"/>
  <c r="J27" i="226"/>
  <c r="F27" i="226"/>
  <c r="H27" i="226" s="1"/>
  <c r="B27" i="226"/>
  <c r="M26" i="226"/>
  <c r="W25" i="226"/>
  <c r="H25" i="226"/>
  <c r="W24" i="226"/>
  <c r="H24" i="226"/>
  <c r="W23" i="226"/>
  <c r="H22" i="226"/>
  <c r="W21" i="226"/>
  <c r="W20" i="226"/>
  <c r="W19" i="226"/>
  <c r="V19" i="226"/>
  <c r="P19" i="226"/>
  <c r="N19" i="226"/>
  <c r="F19" i="226"/>
  <c r="H19" i="226" s="1"/>
  <c r="W18" i="226"/>
  <c r="V18" i="226"/>
  <c r="N18" i="226"/>
  <c r="K18" i="226"/>
  <c r="L18" i="226" s="1"/>
  <c r="J18" i="226"/>
  <c r="P18" i="226" s="1"/>
  <c r="F18" i="226"/>
  <c r="H18" i="226" s="1"/>
  <c r="B18" i="226"/>
  <c r="W17" i="226"/>
  <c r="V17" i="226"/>
  <c r="N17" i="226"/>
  <c r="K17" i="226"/>
  <c r="L17" i="226" s="1"/>
  <c r="J17" i="226"/>
  <c r="P17" i="226" s="1"/>
  <c r="F17" i="226"/>
  <c r="H17" i="226" s="1"/>
  <c r="B17" i="226"/>
  <c r="W16" i="226"/>
  <c r="N16" i="226"/>
  <c r="K16" i="226"/>
  <c r="J16" i="226"/>
  <c r="F16" i="226"/>
  <c r="H16" i="226" s="1"/>
  <c r="B16" i="226"/>
  <c r="M15" i="226"/>
  <c r="W14" i="226"/>
  <c r="W13" i="226"/>
  <c r="W12" i="226"/>
  <c r="H12" i="226"/>
  <c r="W11" i="226"/>
  <c r="V11" i="226"/>
  <c r="N11" i="226"/>
  <c r="K11" i="226"/>
  <c r="L11" i="226" s="1"/>
  <c r="J11" i="226"/>
  <c r="P11" i="226" s="1"/>
  <c r="F11" i="226"/>
  <c r="H11" i="226" s="1"/>
  <c r="B11" i="226"/>
  <c r="W10" i="226"/>
  <c r="V10" i="226"/>
  <c r="N10" i="226"/>
  <c r="K10" i="226"/>
  <c r="L10" i="226" s="1"/>
  <c r="J10" i="226"/>
  <c r="P10" i="226" s="1"/>
  <c r="F10" i="226"/>
  <c r="H10" i="226" s="1"/>
  <c r="W9" i="226"/>
  <c r="V9" i="226"/>
  <c r="N9" i="226"/>
  <c r="K9" i="226"/>
  <c r="L9" i="226" s="1"/>
  <c r="J9" i="226"/>
  <c r="P9" i="226" s="1"/>
  <c r="F9" i="226"/>
  <c r="H9" i="226" s="1"/>
  <c r="B9" i="226"/>
  <c r="W8" i="226"/>
  <c r="V8" i="226"/>
  <c r="N8" i="226"/>
  <c r="K8" i="226"/>
  <c r="L8" i="226" s="1"/>
  <c r="J8" i="226"/>
  <c r="P8" i="226" s="1"/>
  <c r="F8" i="226"/>
  <c r="H8" i="226" s="1"/>
  <c r="B8" i="226"/>
  <c r="W7" i="226"/>
  <c r="V7" i="226"/>
  <c r="N7" i="226"/>
  <c r="K7" i="226"/>
  <c r="L7" i="226" s="1"/>
  <c r="J7" i="226"/>
  <c r="P7" i="226" s="1"/>
  <c r="F7" i="226"/>
  <c r="H7" i="226" s="1"/>
  <c r="B7" i="226"/>
  <c r="W6" i="226"/>
  <c r="V6" i="226"/>
  <c r="N6" i="226"/>
  <c r="J6" i="226"/>
  <c r="F6" i="226"/>
  <c r="H6" i="226" s="1"/>
  <c r="B6" i="226"/>
  <c r="W5" i="226"/>
  <c r="N5" i="226"/>
  <c r="K5" i="226"/>
  <c r="J5" i="226"/>
  <c r="F5" i="226"/>
  <c r="H5" i="226" s="1"/>
  <c r="G1" i="226" s="1"/>
  <c r="B5" i="226"/>
  <c r="I2" i="226"/>
  <c r="I1" i="226"/>
  <c r="E1" i="226"/>
  <c r="I18" i="224"/>
  <c r="H18" i="224"/>
  <c r="G18" i="224"/>
  <c r="F18" i="224"/>
  <c r="E18" i="224"/>
  <c r="D18" i="224"/>
  <c r="I16" i="224"/>
  <c r="H16" i="224"/>
  <c r="G16" i="224"/>
  <c r="F16" i="224"/>
  <c r="E16" i="224"/>
  <c r="D16" i="224"/>
  <c r="G3" i="224"/>
  <c r="AC79" i="223"/>
  <c r="AB79" i="223"/>
  <c r="W78" i="223"/>
  <c r="H78" i="223"/>
  <c r="W77" i="223"/>
  <c r="H77" i="223"/>
  <c r="W76" i="223"/>
  <c r="H76" i="223"/>
  <c r="W75" i="223"/>
  <c r="H75" i="223"/>
  <c r="W74" i="223"/>
  <c r="H74" i="223"/>
  <c r="W73" i="223"/>
  <c r="W72" i="223"/>
  <c r="W71" i="223"/>
  <c r="AD70" i="223"/>
  <c r="AC70" i="223"/>
  <c r="AB70" i="223"/>
  <c r="W70" i="223"/>
  <c r="S70" i="223"/>
  <c r="M69" i="223"/>
  <c r="W68" i="223"/>
  <c r="H68" i="223"/>
  <c r="W67" i="223"/>
  <c r="W66" i="223"/>
  <c r="W65" i="223"/>
  <c r="W64" i="223"/>
  <c r="AC63" i="223"/>
  <c r="AB63" i="223"/>
  <c r="W63" i="223"/>
  <c r="AC62" i="223"/>
  <c r="AB62" i="223"/>
  <c r="W62" i="223"/>
  <c r="W61" i="223"/>
  <c r="V61" i="223"/>
  <c r="N61" i="223"/>
  <c r="K61" i="223"/>
  <c r="L61" i="223" s="1"/>
  <c r="J61" i="223"/>
  <c r="P61" i="223" s="1"/>
  <c r="F61" i="223"/>
  <c r="H61" i="223" s="1"/>
  <c r="B61" i="223"/>
  <c r="W60" i="223"/>
  <c r="V60" i="223"/>
  <c r="N60" i="223"/>
  <c r="K60" i="223"/>
  <c r="L60" i="223" s="1"/>
  <c r="J60" i="223"/>
  <c r="P60" i="223" s="1"/>
  <c r="F60" i="223"/>
  <c r="H60" i="223" s="1"/>
  <c r="B60" i="223"/>
  <c r="W59" i="223"/>
  <c r="K59" i="223"/>
  <c r="J59" i="223"/>
  <c r="G59" i="223"/>
  <c r="N59" i="223" s="1"/>
  <c r="F59" i="223"/>
  <c r="H59" i="223" s="1"/>
  <c r="B59" i="223"/>
  <c r="M58" i="223"/>
  <c r="W57" i="223"/>
  <c r="H57" i="223"/>
  <c r="W56" i="223"/>
  <c r="H56" i="223"/>
  <c r="W55" i="223"/>
  <c r="H55" i="223"/>
  <c r="W54" i="223"/>
  <c r="W53" i="223"/>
  <c r="V53" i="223"/>
  <c r="N53" i="223"/>
  <c r="K53" i="223"/>
  <c r="L53" i="223" s="1"/>
  <c r="J53" i="223"/>
  <c r="P53" i="223" s="1"/>
  <c r="F53" i="223"/>
  <c r="H53" i="223" s="1"/>
  <c r="W52" i="223"/>
  <c r="V52" i="223"/>
  <c r="N52" i="223"/>
  <c r="K52" i="223"/>
  <c r="L52" i="223" s="1"/>
  <c r="J52" i="223"/>
  <c r="P52" i="223" s="1"/>
  <c r="F52" i="223"/>
  <c r="H52" i="223" s="1"/>
  <c r="B52" i="223"/>
  <c r="W51" i="223"/>
  <c r="V51" i="223"/>
  <c r="N51" i="223"/>
  <c r="K51" i="223"/>
  <c r="L51" i="223" s="1"/>
  <c r="J51" i="223"/>
  <c r="P51" i="223" s="1"/>
  <c r="F51" i="223"/>
  <c r="H51" i="223" s="1"/>
  <c r="B51" i="223"/>
  <c r="W50" i="223"/>
  <c r="V50" i="223"/>
  <c r="N50" i="223"/>
  <c r="K50" i="223"/>
  <c r="L50" i="223" s="1"/>
  <c r="J50" i="223"/>
  <c r="P50" i="223" s="1"/>
  <c r="F50" i="223"/>
  <c r="H50" i="223" s="1"/>
  <c r="B50" i="223"/>
  <c r="W49" i="223"/>
  <c r="N49" i="223"/>
  <c r="K49" i="223"/>
  <c r="J49" i="223"/>
  <c r="F49" i="223"/>
  <c r="H49" i="223" s="1"/>
  <c r="B49" i="223"/>
  <c r="W48" i="223"/>
  <c r="M48" i="223"/>
  <c r="W47" i="223"/>
  <c r="H47" i="223"/>
  <c r="W46" i="223"/>
  <c r="W45" i="223"/>
  <c r="W44" i="223"/>
  <c r="W43" i="223"/>
  <c r="W42" i="223"/>
  <c r="W41" i="223"/>
  <c r="V41" i="223"/>
  <c r="N41" i="223"/>
  <c r="K41" i="223"/>
  <c r="L41" i="223" s="1"/>
  <c r="J41" i="223"/>
  <c r="P41" i="223" s="1"/>
  <c r="F41" i="223"/>
  <c r="H41" i="223" s="1"/>
  <c r="W40" i="223"/>
  <c r="V40" i="223"/>
  <c r="K40" i="223"/>
  <c r="L40" i="223" s="1"/>
  <c r="J40" i="223"/>
  <c r="P40" i="223" s="1"/>
  <c r="G40" i="223"/>
  <c r="N40" i="223" s="1"/>
  <c r="F40" i="223"/>
  <c r="H40" i="223" s="1"/>
  <c r="W39" i="223"/>
  <c r="V39" i="223"/>
  <c r="N39" i="223"/>
  <c r="K39" i="223"/>
  <c r="J39" i="223"/>
  <c r="P39" i="223" s="1"/>
  <c r="F39" i="223"/>
  <c r="H39" i="223" s="1"/>
  <c r="W38" i="223"/>
  <c r="N38" i="223"/>
  <c r="J38" i="223"/>
  <c r="F38" i="223"/>
  <c r="H38" i="223" s="1"/>
  <c r="M37" i="223"/>
  <c r="W36" i="223"/>
  <c r="H36" i="223"/>
  <c r="W35" i="223"/>
  <c r="W34" i="223"/>
  <c r="W33" i="223"/>
  <c r="W32" i="223"/>
  <c r="W31" i="223"/>
  <c r="W30" i="223"/>
  <c r="V30" i="223"/>
  <c r="N30" i="223"/>
  <c r="K30" i="223"/>
  <c r="L30" i="223" s="1"/>
  <c r="J30" i="223"/>
  <c r="P30" i="223" s="1"/>
  <c r="F30" i="223"/>
  <c r="H30" i="223" s="1"/>
  <c r="B30" i="223"/>
  <c r="W29" i="223"/>
  <c r="V29" i="223"/>
  <c r="N29" i="223"/>
  <c r="K29" i="223"/>
  <c r="L29" i="223" s="1"/>
  <c r="J29" i="223"/>
  <c r="P29" i="223" s="1"/>
  <c r="F29" i="223"/>
  <c r="H29" i="223" s="1"/>
  <c r="B29" i="223"/>
  <c r="W28" i="223"/>
  <c r="V28" i="223"/>
  <c r="N28" i="223"/>
  <c r="K28" i="223"/>
  <c r="L28" i="223" s="1"/>
  <c r="J28" i="223"/>
  <c r="P28" i="223" s="1"/>
  <c r="F28" i="223"/>
  <c r="H28" i="223" s="1"/>
  <c r="B28" i="223"/>
  <c r="W27" i="223"/>
  <c r="K27" i="223"/>
  <c r="J27" i="223"/>
  <c r="G27" i="223"/>
  <c r="N27" i="223" s="1"/>
  <c r="F27" i="223"/>
  <c r="H27" i="223" s="1"/>
  <c r="B27" i="223"/>
  <c r="M26" i="223"/>
  <c r="W25" i="223"/>
  <c r="H25" i="223"/>
  <c r="W24" i="223"/>
  <c r="H24" i="223"/>
  <c r="W23" i="223"/>
  <c r="H22" i="223"/>
  <c r="W21" i="223"/>
  <c r="W20" i="223"/>
  <c r="W19" i="223"/>
  <c r="V19" i="223"/>
  <c r="P19" i="223"/>
  <c r="N19" i="223"/>
  <c r="F19" i="223"/>
  <c r="H19" i="223" s="1"/>
  <c r="W18" i="223"/>
  <c r="V18" i="223"/>
  <c r="N18" i="223"/>
  <c r="K18" i="223"/>
  <c r="L18" i="223" s="1"/>
  <c r="J18" i="223"/>
  <c r="P18" i="223" s="1"/>
  <c r="F18" i="223"/>
  <c r="H18" i="223" s="1"/>
  <c r="B18" i="223"/>
  <c r="W17" i="223"/>
  <c r="V17" i="223"/>
  <c r="K17" i="223"/>
  <c r="L17" i="223" s="1"/>
  <c r="J17" i="223"/>
  <c r="P17" i="223" s="1"/>
  <c r="G17" i="223"/>
  <c r="N17" i="223" s="1"/>
  <c r="F17" i="223"/>
  <c r="H17" i="223" s="1"/>
  <c r="B17" i="223"/>
  <c r="W16" i="223"/>
  <c r="N16" i="223"/>
  <c r="K16" i="223"/>
  <c r="J16" i="223"/>
  <c r="F16" i="223"/>
  <c r="H16" i="223" s="1"/>
  <c r="B16" i="223"/>
  <c r="M15" i="223"/>
  <c r="W14" i="223"/>
  <c r="W13" i="223"/>
  <c r="W12" i="223"/>
  <c r="H12" i="223"/>
  <c r="W11" i="223"/>
  <c r="W10" i="223"/>
  <c r="W9" i="223"/>
  <c r="V9" i="223"/>
  <c r="N9" i="223"/>
  <c r="K9" i="223"/>
  <c r="L9" i="223" s="1"/>
  <c r="J9" i="223"/>
  <c r="P9" i="223" s="1"/>
  <c r="F9" i="223"/>
  <c r="H9" i="223" s="1"/>
  <c r="B9" i="223"/>
  <c r="W8" i="223"/>
  <c r="V8" i="223"/>
  <c r="N8" i="223"/>
  <c r="K8" i="223"/>
  <c r="L8" i="223" s="1"/>
  <c r="J8" i="223"/>
  <c r="P8" i="223" s="1"/>
  <c r="F8" i="223"/>
  <c r="H8" i="223" s="1"/>
  <c r="B8" i="223"/>
  <c r="W7" i="223"/>
  <c r="V7" i="223"/>
  <c r="K7" i="223"/>
  <c r="L7" i="223" s="1"/>
  <c r="J7" i="223"/>
  <c r="P7" i="223" s="1"/>
  <c r="G7" i="223"/>
  <c r="N7" i="223" s="1"/>
  <c r="F7" i="223"/>
  <c r="H7" i="223" s="1"/>
  <c r="B7" i="223"/>
  <c r="W6" i="223"/>
  <c r="V6" i="223"/>
  <c r="N6" i="223"/>
  <c r="J6" i="223"/>
  <c r="F6" i="223"/>
  <c r="H6" i="223" s="1"/>
  <c r="B6" i="223"/>
  <c r="W5" i="223"/>
  <c r="N5" i="223"/>
  <c r="K5" i="223"/>
  <c r="J5" i="223"/>
  <c r="F5" i="223"/>
  <c r="H5" i="223" s="1"/>
  <c r="G1" i="223" s="1"/>
  <c r="B5" i="223"/>
  <c r="I2" i="223"/>
  <c r="I1" i="223"/>
  <c r="E1" i="223"/>
  <c r="I18" i="222"/>
  <c r="H18" i="222"/>
  <c r="G18" i="222"/>
  <c r="F18" i="222"/>
  <c r="E18" i="222"/>
  <c r="D18" i="222"/>
  <c r="I16" i="222"/>
  <c r="H16" i="222"/>
  <c r="G16" i="222"/>
  <c r="F16" i="222"/>
  <c r="E16" i="222"/>
  <c r="D16" i="222"/>
  <c r="G3" i="222"/>
  <c r="AC79" i="221"/>
  <c r="AB79" i="221"/>
  <c r="W78" i="221"/>
  <c r="H78" i="221"/>
  <c r="W77" i="221"/>
  <c r="H77" i="221"/>
  <c r="W76" i="221"/>
  <c r="H76" i="221"/>
  <c r="W75" i="221"/>
  <c r="H75" i="221"/>
  <c r="W74" i="221"/>
  <c r="H74" i="221"/>
  <c r="W73" i="221"/>
  <c r="W72" i="221"/>
  <c r="W71" i="221"/>
  <c r="AD70" i="221"/>
  <c r="AC70" i="221"/>
  <c r="AB70" i="221"/>
  <c r="W70" i="221"/>
  <c r="S70" i="221"/>
  <c r="M69" i="221"/>
  <c r="W68" i="221"/>
  <c r="H68" i="221"/>
  <c r="W67" i="221"/>
  <c r="W66" i="221"/>
  <c r="W65" i="221"/>
  <c r="W64" i="221"/>
  <c r="W63" i="221"/>
  <c r="V63" i="221"/>
  <c r="P63" i="221"/>
  <c r="N63" i="221"/>
  <c r="F63" i="221"/>
  <c r="H63" i="221" s="1"/>
  <c r="W62" i="221"/>
  <c r="V62" i="221"/>
  <c r="N62" i="221"/>
  <c r="K62" i="221"/>
  <c r="L62" i="221" s="1"/>
  <c r="J62" i="221"/>
  <c r="P62" i="221" s="1"/>
  <c r="F62" i="221"/>
  <c r="H62" i="221" s="1"/>
  <c r="B62" i="221"/>
  <c r="W61" i="221"/>
  <c r="V61" i="221"/>
  <c r="P61" i="221"/>
  <c r="N61" i="221"/>
  <c r="F61" i="221"/>
  <c r="H61" i="221" s="1"/>
  <c r="W60" i="221"/>
  <c r="V60" i="221"/>
  <c r="N60" i="221"/>
  <c r="K60" i="221"/>
  <c r="L60" i="221" s="1"/>
  <c r="J60" i="221"/>
  <c r="P60" i="221" s="1"/>
  <c r="F60" i="221"/>
  <c r="H60" i="221" s="1"/>
  <c r="B60" i="221"/>
  <c r="W59" i="221"/>
  <c r="N59" i="221"/>
  <c r="K59" i="221"/>
  <c r="J59" i="221"/>
  <c r="F59" i="221"/>
  <c r="H59" i="221" s="1"/>
  <c r="B59" i="221"/>
  <c r="M58" i="221"/>
  <c r="W57" i="221"/>
  <c r="H57" i="221"/>
  <c r="W56" i="221"/>
  <c r="H56" i="221"/>
  <c r="W55" i="221"/>
  <c r="H55" i="221"/>
  <c r="W54" i="221"/>
  <c r="V54" i="221"/>
  <c r="N54" i="221"/>
  <c r="O54" i="221" s="1"/>
  <c r="K54" i="221"/>
  <c r="L54" i="221" s="1"/>
  <c r="J54" i="221"/>
  <c r="P54" i="221" s="1"/>
  <c r="F54" i="221"/>
  <c r="H54" i="221" s="1"/>
  <c r="B54" i="221"/>
  <c r="W53" i="221"/>
  <c r="V53" i="221"/>
  <c r="N53" i="221"/>
  <c r="K53" i="221"/>
  <c r="L53" i="221" s="1"/>
  <c r="J53" i="221"/>
  <c r="P53" i="221" s="1"/>
  <c r="F53" i="221"/>
  <c r="H53" i="221" s="1"/>
  <c r="B53" i="221"/>
  <c r="W52" i="221"/>
  <c r="V52" i="221"/>
  <c r="N52" i="221"/>
  <c r="K52" i="221"/>
  <c r="L52" i="221" s="1"/>
  <c r="J52" i="221"/>
  <c r="P52" i="221" s="1"/>
  <c r="F52" i="221"/>
  <c r="H52" i="221" s="1"/>
  <c r="B52" i="221"/>
  <c r="W51" i="221"/>
  <c r="V51" i="221"/>
  <c r="N51" i="221"/>
  <c r="K51" i="221"/>
  <c r="L51" i="221" s="1"/>
  <c r="J51" i="221"/>
  <c r="P51" i="221" s="1"/>
  <c r="F51" i="221"/>
  <c r="H51" i="221" s="1"/>
  <c r="B51" i="221"/>
  <c r="W50" i="221"/>
  <c r="V50" i="221"/>
  <c r="N50" i="221"/>
  <c r="K50" i="221"/>
  <c r="L50" i="221" s="1"/>
  <c r="J50" i="221"/>
  <c r="P50" i="221" s="1"/>
  <c r="F50" i="221"/>
  <c r="H50" i="221" s="1"/>
  <c r="B50" i="221"/>
  <c r="W49" i="221"/>
  <c r="N49" i="221"/>
  <c r="K49" i="221"/>
  <c r="J49" i="221"/>
  <c r="F49" i="221"/>
  <c r="H49" i="221" s="1"/>
  <c r="B49" i="221"/>
  <c r="W48" i="221"/>
  <c r="M48" i="221"/>
  <c r="W47" i="221"/>
  <c r="H47" i="221"/>
  <c r="W46" i="221"/>
  <c r="W45" i="221"/>
  <c r="W44" i="221"/>
  <c r="W43" i="221"/>
  <c r="W42" i="221"/>
  <c r="W41" i="221"/>
  <c r="V41" i="221"/>
  <c r="N41" i="221"/>
  <c r="K41" i="221"/>
  <c r="J41" i="221"/>
  <c r="F41" i="221"/>
  <c r="H41" i="221" s="1"/>
  <c r="W40" i="221"/>
  <c r="V40" i="221"/>
  <c r="P40" i="221"/>
  <c r="N40" i="221"/>
  <c r="L40" i="221"/>
  <c r="K40" i="221"/>
  <c r="J40" i="221"/>
  <c r="F40" i="221"/>
  <c r="H40" i="221" s="1"/>
  <c r="W39" i="221"/>
  <c r="V39" i="221"/>
  <c r="N39" i="221"/>
  <c r="K39" i="221"/>
  <c r="L39" i="221" s="1"/>
  <c r="J39" i="221"/>
  <c r="P39" i="221" s="1"/>
  <c r="F39" i="221"/>
  <c r="H39" i="221" s="1"/>
  <c r="W38" i="221"/>
  <c r="N38" i="221"/>
  <c r="J38" i="221"/>
  <c r="F38" i="221"/>
  <c r="H38" i="221" s="1"/>
  <c r="M37" i="221"/>
  <c r="W36" i="221"/>
  <c r="H36" i="221"/>
  <c r="W35" i="221"/>
  <c r="W34" i="221"/>
  <c r="W33" i="221"/>
  <c r="W32" i="221"/>
  <c r="W31" i="221"/>
  <c r="V31" i="221"/>
  <c r="N31" i="221"/>
  <c r="K31" i="221"/>
  <c r="L31" i="221" s="1"/>
  <c r="J31" i="221"/>
  <c r="P31" i="221" s="1"/>
  <c r="F31" i="221"/>
  <c r="H31" i="221" s="1"/>
  <c r="B31" i="221"/>
  <c r="W30" i="221"/>
  <c r="V30" i="221"/>
  <c r="N30" i="221"/>
  <c r="K30" i="221"/>
  <c r="L30" i="221" s="1"/>
  <c r="J30" i="221"/>
  <c r="P30" i="221" s="1"/>
  <c r="F30" i="221"/>
  <c r="H30" i="221" s="1"/>
  <c r="B30" i="221"/>
  <c r="W29" i="221"/>
  <c r="V29" i="221"/>
  <c r="N29" i="221"/>
  <c r="K29" i="221"/>
  <c r="L29" i="221" s="1"/>
  <c r="J29" i="221"/>
  <c r="P29" i="221" s="1"/>
  <c r="F29" i="221"/>
  <c r="H29" i="221" s="1"/>
  <c r="B29" i="221"/>
  <c r="W28" i="221"/>
  <c r="V28" i="221"/>
  <c r="N28" i="221"/>
  <c r="K28" i="221"/>
  <c r="L28" i="221" s="1"/>
  <c r="J28" i="221"/>
  <c r="P28" i="221" s="1"/>
  <c r="F28" i="221"/>
  <c r="H28" i="221" s="1"/>
  <c r="B28" i="221"/>
  <c r="W27" i="221"/>
  <c r="N27" i="221"/>
  <c r="K27" i="221"/>
  <c r="J27" i="221"/>
  <c r="F27" i="221"/>
  <c r="H27" i="221" s="1"/>
  <c r="B27" i="221"/>
  <c r="M26" i="221"/>
  <c r="W25" i="221"/>
  <c r="H25" i="221"/>
  <c r="W24" i="221"/>
  <c r="H24" i="221"/>
  <c r="W23" i="221"/>
  <c r="H22" i="221"/>
  <c r="W21" i="221"/>
  <c r="W20" i="221"/>
  <c r="W19" i="221"/>
  <c r="V19" i="221"/>
  <c r="P19" i="221"/>
  <c r="N19" i="221"/>
  <c r="F19" i="221"/>
  <c r="H19" i="221" s="1"/>
  <c r="W18" i="221"/>
  <c r="V18" i="221"/>
  <c r="N18" i="221"/>
  <c r="K18" i="221"/>
  <c r="L18" i="221" s="1"/>
  <c r="J18" i="221"/>
  <c r="P18" i="221" s="1"/>
  <c r="F18" i="221"/>
  <c r="H18" i="221" s="1"/>
  <c r="B18" i="221"/>
  <c r="W17" i="221"/>
  <c r="V17" i="221"/>
  <c r="N17" i="221"/>
  <c r="K17" i="221"/>
  <c r="L17" i="221" s="1"/>
  <c r="J17" i="221"/>
  <c r="P17" i="221" s="1"/>
  <c r="F17" i="221"/>
  <c r="H17" i="221" s="1"/>
  <c r="B17" i="221"/>
  <c r="W16" i="221"/>
  <c r="N16" i="221"/>
  <c r="K16" i="221"/>
  <c r="J16" i="221"/>
  <c r="F16" i="221"/>
  <c r="H16" i="221" s="1"/>
  <c r="B16" i="221"/>
  <c r="M15" i="221"/>
  <c r="W14" i="221"/>
  <c r="W13" i="221"/>
  <c r="W12" i="221"/>
  <c r="H12" i="221"/>
  <c r="W11" i="221"/>
  <c r="W10" i="221"/>
  <c r="V10" i="221"/>
  <c r="N10" i="221"/>
  <c r="O10" i="221" s="1"/>
  <c r="K10" i="221"/>
  <c r="L10" i="221" s="1"/>
  <c r="J10" i="221"/>
  <c r="P10" i="221" s="1"/>
  <c r="F10" i="221"/>
  <c r="H10" i="221" s="1"/>
  <c r="W9" i="221"/>
  <c r="V9" i="221"/>
  <c r="N9" i="221"/>
  <c r="K9" i="221"/>
  <c r="L9" i="221" s="1"/>
  <c r="J9" i="221"/>
  <c r="P9" i="221" s="1"/>
  <c r="F9" i="221"/>
  <c r="H9" i="221" s="1"/>
  <c r="B9" i="221"/>
  <c r="W8" i="221"/>
  <c r="V8" i="221"/>
  <c r="N8" i="221"/>
  <c r="K8" i="221"/>
  <c r="L8" i="221" s="1"/>
  <c r="J8" i="221"/>
  <c r="P8" i="221" s="1"/>
  <c r="F8" i="221"/>
  <c r="H8" i="221" s="1"/>
  <c r="B8" i="221"/>
  <c r="W7" i="221"/>
  <c r="V7" i="221"/>
  <c r="N7" i="221"/>
  <c r="K7" i="221"/>
  <c r="L7" i="221" s="1"/>
  <c r="J7" i="221"/>
  <c r="P7" i="221" s="1"/>
  <c r="F7" i="221"/>
  <c r="H7" i="221" s="1"/>
  <c r="B7" i="221"/>
  <c r="W6" i="221"/>
  <c r="V6" i="221"/>
  <c r="N6" i="221"/>
  <c r="J6" i="221"/>
  <c r="F6" i="221"/>
  <c r="H6" i="221" s="1"/>
  <c r="B6" i="221"/>
  <c r="W5" i="221"/>
  <c r="N5" i="221"/>
  <c r="K5" i="221"/>
  <c r="J5" i="221"/>
  <c r="F5" i="221"/>
  <c r="H5" i="221" s="1"/>
  <c r="G1" i="221" s="1"/>
  <c r="B5" i="221"/>
  <c r="I2" i="221"/>
  <c r="E1" i="221"/>
  <c r="F18" i="220"/>
  <c r="E18" i="220"/>
  <c r="D18" i="220"/>
  <c r="I16" i="220"/>
  <c r="H16" i="220"/>
  <c r="G16" i="220"/>
  <c r="F16" i="220"/>
  <c r="E16" i="220"/>
  <c r="D16" i="220"/>
  <c r="G3" i="220"/>
  <c r="AC79" i="219"/>
  <c r="AB79" i="219"/>
  <c r="W78" i="219"/>
  <c r="H78" i="219"/>
  <c r="W77" i="219"/>
  <c r="H77" i="219"/>
  <c r="W76" i="219"/>
  <c r="H76" i="219"/>
  <c r="W75" i="219"/>
  <c r="H75" i="219"/>
  <c r="W74" i="219"/>
  <c r="H74" i="219"/>
  <c r="W73" i="219"/>
  <c r="W72" i="219"/>
  <c r="W71" i="219"/>
  <c r="AD70" i="219"/>
  <c r="AC70" i="219"/>
  <c r="AB70" i="219"/>
  <c r="W70" i="219"/>
  <c r="S70" i="219"/>
  <c r="M69" i="219"/>
  <c r="W68" i="219"/>
  <c r="H68" i="219"/>
  <c r="W67" i="219"/>
  <c r="W66" i="219"/>
  <c r="W65" i="219"/>
  <c r="W64" i="219"/>
  <c r="W63" i="219"/>
  <c r="V63" i="219"/>
  <c r="N63" i="219"/>
  <c r="K63" i="219"/>
  <c r="L63" i="219" s="1"/>
  <c r="J63" i="219"/>
  <c r="P63" i="219" s="1"/>
  <c r="F63" i="219"/>
  <c r="H63" i="219" s="1"/>
  <c r="B63" i="219"/>
  <c r="W62" i="219"/>
  <c r="V62" i="219"/>
  <c r="N62" i="219"/>
  <c r="K62" i="219"/>
  <c r="L62" i="219" s="1"/>
  <c r="J62" i="219"/>
  <c r="P62" i="219" s="1"/>
  <c r="F62" i="219"/>
  <c r="H62" i="219" s="1"/>
  <c r="B62" i="219"/>
  <c r="W61" i="219"/>
  <c r="V61" i="219"/>
  <c r="N61" i="219"/>
  <c r="K61" i="219"/>
  <c r="L61" i="219" s="1"/>
  <c r="J61" i="219"/>
  <c r="P61" i="219" s="1"/>
  <c r="F61" i="219"/>
  <c r="H61" i="219" s="1"/>
  <c r="B61" i="219"/>
  <c r="W60" i="219"/>
  <c r="V60" i="219"/>
  <c r="N60" i="219"/>
  <c r="K60" i="219"/>
  <c r="L60" i="219" s="1"/>
  <c r="J60" i="219"/>
  <c r="P60" i="219" s="1"/>
  <c r="F60" i="219"/>
  <c r="H60" i="219" s="1"/>
  <c r="B60" i="219"/>
  <c r="W59" i="219"/>
  <c r="N59" i="219"/>
  <c r="K59" i="219"/>
  <c r="J59" i="219"/>
  <c r="F59" i="219"/>
  <c r="H59" i="219" s="1"/>
  <c r="B59" i="219"/>
  <c r="M58" i="219"/>
  <c r="W57" i="219"/>
  <c r="H57" i="219"/>
  <c r="W56" i="219"/>
  <c r="H56" i="219"/>
  <c r="W55" i="219"/>
  <c r="H55" i="219"/>
  <c r="W54" i="219"/>
  <c r="W53" i="219"/>
  <c r="V53" i="219"/>
  <c r="N53" i="219"/>
  <c r="K53" i="219"/>
  <c r="L53" i="219" s="1"/>
  <c r="J53" i="219"/>
  <c r="P53" i="219" s="1"/>
  <c r="F53" i="219"/>
  <c r="H53" i="219" s="1"/>
  <c r="B53" i="219"/>
  <c r="W52" i="219"/>
  <c r="V52" i="219"/>
  <c r="N52" i="219"/>
  <c r="K52" i="219"/>
  <c r="L52" i="219" s="1"/>
  <c r="J52" i="219"/>
  <c r="P52" i="219" s="1"/>
  <c r="F52" i="219"/>
  <c r="H52" i="219" s="1"/>
  <c r="B52" i="219"/>
  <c r="W51" i="219"/>
  <c r="V51" i="219"/>
  <c r="N51" i="219"/>
  <c r="K51" i="219"/>
  <c r="L51" i="219" s="1"/>
  <c r="J51" i="219"/>
  <c r="P51" i="219" s="1"/>
  <c r="F51" i="219"/>
  <c r="H51" i="219" s="1"/>
  <c r="B51" i="219"/>
  <c r="W50" i="219"/>
  <c r="V50" i="219"/>
  <c r="N50" i="219"/>
  <c r="K50" i="219"/>
  <c r="L50" i="219" s="1"/>
  <c r="J50" i="219"/>
  <c r="P50" i="219" s="1"/>
  <c r="F50" i="219"/>
  <c r="H50" i="219" s="1"/>
  <c r="B50" i="219"/>
  <c r="W49" i="219"/>
  <c r="N49" i="219"/>
  <c r="K49" i="219"/>
  <c r="J49" i="219"/>
  <c r="F49" i="219"/>
  <c r="H49" i="219" s="1"/>
  <c r="B49" i="219"/>
  <c r="W48" i="219"/>
  <c r="M48" i="219"/>
  <c r="W47" i="219"/>
  <c r="H47" i="219"/>
  <c r="W46" i="219"/>
  <c r="W45" i="219"/>
  <c r="W44" i="219"/>
  <c r="W43" i="219"/>
  <c r="W42" i="219"/>
  <c r="V42" i="219"/>
  <c r="N42" i="219"/>
  <c r="K42" i="219"/>
  <c r="L42" i="219" s="1"/>
  <c r="J42" i="219"/>
  <c r="P42" i="219" s="1"/>
  <c r="F42" i="219"/>
  <c r="H42" i="219" s="1"/>
  <c r="W41" i="219"/>
  <c r="V41" i="219"/>
  <c r="N41" i="219"/>
  <c r="K41" i="219"/>
  <c r="L41" i="219" s="1"/>
  <c r="J41" i="219"/>
  <c r="P41" i="219" s="1"/>
  <c r="F41" i="219"/>
  <c r="H41" i="219" s="1"/>
  <c r="W40" i="219"/>
  <c r="V40" i="219"/>
  <c r="N40" i="219"/>
  <c r="K40" i="219"/>
  <c r="L40" i="219" s="1"/>
  <c r="J40" i="219"/>
  <c r="P40" i="219" s="1"/>
  <c r="F40" i="219"/>
  <c r="H40" i="219" s="1"/>
  <c r="W39" i="219"/>
  <c r="V39" i="219"/>
  <c r="N39" i="219"/>
  <c r="K39" i="219"/>
  <c r="J39" i="219"/>
  <c r="P39" i="219" s="1"/>
  <c r="F39" i="219"/>
  <c r="H39" i="219" s="1"/>
  <c r="W38" i="219"/>
  <c r="N38" i="219"/>
  <c r="J38" i="219"/>
  <c r="F38" i="219"/>
  <c r="H38" i="219" s="1"/>
  <c r="M37" i="219"/>
  <c r="W36" i="219"/>
  <c r="H36" i="219"/>
  <c r="W35" i="219"/>
  <c r="W34" i="219"/>
  <c r="W33" i="219"/>
  <c r="W32" i="219"/>
  <c r="W31" i="219"/>
  <c r="V31" i="219"/>
  <c r="N31" i="219"/>
  <c r="K31" i="219"/>
  <c r="L31" i="219" s="1"/>
  <c r="J31" i="219"/>
  <c r="P31" i="219" s="1"/>
  <c r="F31" i="219"/>
  <c r="H31" i="219" s="1"/>
  <c r="B31" i="219"/>
  <c r="W30" i="219"/>
  <c r="V30" i="219"/>
  <c r="N30" i="219"/>
  <c r="K30" i="219"/>
  <c r="L30" i="219" s="1"/>
  <c r="J30" i="219"/>
  <c r="P30" i="219" s="1"/>
  <c r="F30" i="219"/>
  <c r="H30" i="219" s="1"/>
  <c r="B30" i="219"/>
  <c r="W29" i="219"/>
  <c r="V29" i="219"/>
  <c r="N29" i="219"/>
  <c r="K29" i="219"/>
  <c r="L29" i="219" s="1"/>
  <c r="J29" i="219"/>
  <c r="P29" i="219" s="1"/>
  <c r="F29" i="219"/>
  <c r="H29" i="219" s="1"/>
  <c r="B29" i="219"/>
  <c r="W28" i="219"/>
  <c r="V28" i="219"/>
  <c r="N28" i="219"/>
  <c r="K28" i="219"/>
  <c r="L28" i="219" s="1"/>
  <c r="J28" i="219"/>
  <c r="P28" i="219" s="1"/>
  <c r="F28" i="219"/>
  <c r="H28" i="219" s="1"/>
  <c r="B28" i="219"/>
  <c r="W27" i="219"/>
  <c r="N27" i="219"/>
  <c r="K27" i="219"/>
  <c r="J27" i="219"/>
  <c r="F27" i="219"/>
  <c r="H27" i="219" s="1"/>
  <c r="B27" i="219"/>
  <c r="M26" i="219"/>
  <c r="W25" i="219"/>
  <c r="H25" i="219"/>
  <c r="W24" i="219"/>
  <c r="H24" i="219"/>
  <c r="W23" i="219"/>
  <c r="H22" i="219"/>
  <c r="W21" i="219"/>
  <c r="W20" i="219"/>
  <c r="AC19" i="219"/>
  <c r="AB19" i="219"/>
  <c r="W19" i="219"/>
  <c r="V19" i="219"/>
  <c r="W18" i="219"/>
  <c r="V18" i="219"/>
  <c r="N18" i="219"/>
  <c r="K18" i="219"/>
  <c r="L18" i="219" s="1"/>
  <c r="J18" i="219"/>
  <c r="P18" i="219" s="1"/>
  <c r="F18" i="219"/>
  <c r="H18" i="219" s="1"/>
  <c r="B18" i="219"/>
  <c r="W17" i="219"/>
  <c r="V17" i="219"/>
  <c r="N17" i="219"/>
  <c r="K17" i="219"/>
  <c r="L17" i="219" s="1"/>
  <c r="J17" i="219"/>
  <c r="P17" i="219" s="1"/>
  <c r="F17" i="219"/>
  <c r="H17" i="219" s="1"/>
  <c r="B17" i="219"/>
  <c r="W16" i="219"/>
  <c r="N16" i="219"/>
  <c r="K16" i="219"/>
  <c r="J16" i="219"/>
  <c r="F16" i="219"/>
  <c r="H16" i="219" s="1"/>
  <c r="B16" i="219"/>
  <c r="M15" i="219"/>
  <c r="W14" i="219"/>
  <c r="W13" i="219"/>
  <c r="W12" i="219"/>
  <c r="H12" i="219"/>
  <c r="W11" i="219"/>
  <c r="W10" i="219"/>
  <c r="W9" i="219"/>
  <c r="V9" i="219"/>
  <c r="N9" i="219"/>
  <c r="K9" i="219"/>
  <c r="L9" i="219" s="1"/>
  <c r="J9" i="219"/>
  <c r="P9" i="219" s="1"/>
  <c r="F9" i="219"/>
  <c r="H9" i="219" s="1"/>
  <c r="B9" i="219"/>
  <c r="W8" i="219"/>
  <c r="V8" i="219"/>
  <c r="N8" i="219"/>
  <c r="K8" i="219"/>
  <c r="L8" i="219" s="1"/>
  <c r="J8" i="219"/>
  <c r="P8" i="219" s="1"/>
  <c r="F8" i="219"/>
  <c r="H8" i="219" s="1"/>
  <c r="B8" i="219"/>
  <c r="W7" i="219"/>
  <c r="V7" i="219"/>
  <c r="N7" i="219"/>
  <c r="K7" i="219"/>
  <c r="L7" i="219" s="1"/>
  <c r="J7" i="219"/>
  <c r="P7" i="219" s="1"/>
  <c r="F7" i="219"/>
  <c r="H7" i="219" s="1"/>
  <c r="B7" i="219"/>
  <c r="W6" i="219"/>
  <c r="V6" i="219"/>
  <c r="N6" i="219"/>
  <c r="J6" i="219"/>
  <c r="F6" i="219"/>
  <c r="H6" i="219" s="1"/>
  <c r="B6" i="219"/>
  <c r="W5" i="219"/>
  <c r="N5" i="219"/>
  <c r="K5" i="219"/>
  <c r="J5" i="219"/>
  <c r="F5" i="219"/>
  <c r="H5" i="219" s="1"/>
  <c r="G1" i="219" s="1"/>
  <c r="B5" i="219"/>
  <c r="I2" i="219"/>
  <c r="I1" i="219"/>
  <c r="E1" i="219"/>
  <c r="I18" i="218"/>
  <c r="H18" i="218"/>
  <c r="G18" i="218"/>
  <c r="F18" i="218"/>
  <c r="E18" i="218"/>
  <c r="D18" i="218"/>
  <c r="I16" i="218"/>
  <c r="H16" i="218"/>
  <c r="G16" i="218"/>
  <c r="F16" i="218"/>
  <c r="E16" i="218"/>
  <c r="D16" i="218"/>
  <c r="G3" i="218"/>
  <c r="AC79" i="216"/>
  <c r="AB79" i="216"/>
  <c r="W78" i="216"/>
  <c r="H78" i="216"/>
  <c r="W77" i="216"/>
  <c r="H77" i="216"/>
  <c r="W76" i="216"/>
  <c r="H76" i="216"/>
  <c r="W75" i="216"/>
  <c r="H75" i="216"/>
  <c r="W74" i="216"/>
  <c r="H74" i="216"/>
  <c r="W73" i="216"/>
  <c r="W72" i="216"/>
  <c r="W71" i="216"/>
  <c r="AD70" i="216"/>
  <c r="AC70" i="216"/>
  <c r="AB70" i="216"/>
  <c r="W70" i="216"/>
  <c r="S70" i="216"/>
  <c r="M69" i="216"/>
  <c r="W68" i="216"/>
  <c r="H68" i="216"/>
  <c r="W67" i="216"/>
  <c r="W66" i="216"/>
  <c r="W65" i="216"/>
  <c r="W64" i="216"/>
  <c r="W63" i="216"/>
  <c r="W62" i="216"/>
  <c r="V62" i="216"/>
  <c r="N62" i="216"/>
  <c r="O62" i="216" s="1"/>
  <c r="K62" i="216"/>
  <c r="L62" i="216" s="1"/>
  <c r="J62" i="216"/>
  <c r="P62" i="216" s="1"/>
  <c r="F62" i="216"/>
  <c r="H62" i="216" s="1"/>
  <c r="B62" i="216"/>
  <c r="W61" i="216"/>
  <c r="V61" i="216"/>
  <c r="N61" i="216"/>
  <c r="K61" i="216"/>
  <c r="L61" i="216" s="1"/>
  <c r="J61" i="216"/>
  <c r="P61" i="216" s="1"/>
  <c r="F61" i="216"/>
  <c r="H61" i="216" s="1"/>
  <c r="B61" i="216"/>
  <c r="W60" i="216"/>
  <c r="V60" i="216"/>
  <c r="N60" i="216"/>
  <c r="K60" i="216"/>
  <c r="L60" i="216" s="1"/>
  <c r="J60" i="216"/>
  <c r="P60" i="216" s="1"/>
  <c r="F60" i="216"/>
  <c r="H60" i="216" s="1"/>
  <c r="B60" i="216"/>
  <c r="W59" i="216"/>
  <c r="N59" i="216"/>
  <c r="K59" i="216"/>
  <c r="J59" i="216"/>
  <c r="F59" i="216"/>
  <c r="H59" i="216" s="1"/>
  <c r="B59" i="216"/>
  <c r="M58" i="216"/>
  <c r="W57" i="216"/>
  <c r="H57" i="216"/>
  <c r="W56" i="216"/>
  <c r="H56" i="216"/>
  <c r="W55" i="216"/>
  <c r="H55" i="216"/>
  <c r="W54" i="216"/>
  <c r="W53" i="216"/>
  <c r="V53" i="216"/>
  <c r="N53" i="216"/>
  <c r="O53" i="216" s="1"/>
  <c r="K53" i="216"/>
  <c r="L53" i="216" s="1"/>
  <c r="J53" i="216"/>
  <c r="P53" i="216" s="1"/>
  <c r="F53" i="216"/>
  <c r="H53" i="216" s="1"/>
  <c r="B53" i="216"/>
  <c r="W52" i="216"/>
  <c r="V52" i="216"/>
  <c r="N52" i="216"/>
  <c r="K52" i="216"/>
  <c r="L52" i="216" s="1"/>
  <c r="J52" i="216"/>
  <c r="P52" i="216" s="1"/>
  <c r="F52" i="216"/>
  <c r="H52" i="216" s="1"/>
  <c r="B52" i="216"/>
  <c r="W51" i="216"/>
  <c r="V51" i="216"/>
  <c r="N51" i="216"/>
  <c r="K51" i="216"/>
  <c r="L51" i="216" s="1"/>
  <c r="J51" i="216"/>
  <c r="P51" i="216" s="1"/>
  <c r="F51" i="216"/>
  <c r="H51" i="216" s="1"/>
  <c r="B51" i="216"/>
  <c r="W50" i="216"/>
  <c r="V50" i="216"/>
  <c r="N50" i="216"/>
  <c r="K50" i="216"/>
  <c r="L50" i="216" s="1"/>
  <c r="J50" i="216"/>
  <c r="P50" i="216" s="1"/>
  <c r="F50" i="216"/>
  <c r="H50" i="216" s="1"/>
  <c r="B50" i="216"/>
  <c r="W49" i="216"/>
  <c r="N49" i="216"/>
  <c r="K49" i="216"/>
  <c r="J49" i="216"/>
  <c r="F49" i="216"/>
  <c r="H49" i="216" s="1"/>
  <c r="B49" i="216"/>
  <c r="W48" i="216"/>
  <c r="M48" i="216"/>
  <c r="W47" i="216"/>
  <c r="H47" i="216"/>
  <c r="W46" i="216"/>
  <c r="W45" i="216"/>
  <c r="W44" i="216"/>
  <c r="V44" i="216"/>
  <c r="N44" i="216"/>
  <c r="O44" i="216" s="1"/>
  <c r="K44" i="216"/>
  <c r="L44" i="216" s="1"/>
  <c r="J44" i="216"/>
  <c r="P44" i="216" s="1"/>
  <c r="F44" i="216"/>
  <c r="H44" i="216" s="1"/>
  <c r="W43" i="216"/>
  <c r="V43" i="216"/>
  <c r="N43" i="216"/>
  <c r="O43" i="216" s="1"/>
  <c r="K43" i="216"/>
  <c r="L43" i="216" s="1"/>
  <c r="J43" i="216"/>
  <c r="P43" i="216" s="1"/>
  <c r="F43" i="216"/>
  <c r="H43" i="216" s="1"/>
  <c r="W42" i="216"/>
  <c r="V42" i="216"/>
  <c r="N42" i="216"/>
  <c r="O42" i="216" s="1"/>
  <c r="K42" i="216"/>
  <c r="L42" i="216" s="1"/>
  <c r="J42" i="216"/>
  <c r="P42" i="216" s="1"/>
  <c r="F42" i="216"/>
  <c r="H42" i="216" s="1"/>
  <c r="W41" i="216"/>
  <c r="V41" i="216"/>
  <c r="N41" i="216"/>
  <c r="K41" i="216"/>
  <c r="L41" i="216" s="1"/>
  <c r="J41" i="216"/>
  <c r="P41" i="216" s="1"/>
  <c r="F41" i="216"/>
  <c r="H41" i="216" s="1"/>
  <c r="W40" i="216"/>
  <c r="V40" i="216"/>
  <c r="N40" i="216"/>
  <c r="K40" i="216"/>
  <c r="L40" i="216" s="1"/>
  <c r="J40" i="216"/>
  <c r="P40" i="216" s="1"/>
  <c r="F40" i="216"/>
  <c r="H40" i="216" s="1"/>
  <c r="W39" i="216"/>
  <c r="V39" i="216"/>
  <c r="N39" i="216"/>
  <c r="K39" i="216"/>
  <c r="J39" i="216"/>
  <c r="P39" i="216" s="1"/>
  <c r="F39" i="216"/>
  <c r="H39" i="216" s="1"/>
  <c r="W38" i="216"/>
  <c r="N38" i="216"/>
  <c r="J38" i="216"/>
  <c r="F38" i="216"/>
  <c r="H38" i="216" s="1"/>
  <c r="M37" i="216"/>
  <c r="W36" i="216"/>
  <c r="H36" i="216"/>
  <c r="W35" i="216"/>
  <c r="W34" i="216"/>
  <c r="V34" i="216"/>
  <c r="N34" i="216"/>
  <c r="O34" i="216" s="1"/>
  <c r="K34" i="216"/>
  <c r="L34" i="216" s="1"/>
  <c r="J34" i="216"/>
  <c r="P34" i="216" s="1"/>
  <c r="F34" i="216"/>
  <c r="H34" i="216" s="1"/>
  <c r="B34" i="216"/>
  <c r="W33" i="216"/>
  <c r="V33" i="216"/>
  <c r="N33" i="216"/>
  <c r="O33" i="216" s="1"/>
  <c r="K33" i="216"/>
  <c r="L33" i="216" s="1"/>
  <c r="J33" i="216"/>
  <c r="P33" i="216" s="1"/>
  <c r="F33" i="216"/>
  <c r="H33" i="216" s="1"/>
  <c r="B33" i="216"/>
  <c r="W32" i="216"/>
  <c r="V32" i="216"/>
  <c r="N32" i="216"/>
  <c r="O32" i="216" s="1"/>
  <c r="K32" i="216"/>
  <c r="L32" i="216" s="1"/>
  <c r="J32" i="216"/>
  <c r="P32" i="216" s="1"/>
  <c r="F32" i="216"/>
  <c r="H32" i="216" s="1"/>
  <c r="B32" i="216"/>
  <c r="W31" i="216"/>
  <c r="V31" i="216"/>
  <c r="N31" i="216"/>
  <c r="O31" i="216" s="1"/>
  <c r="K31" i="216"/>
  <c r="L31" i="216" s="1"/>
  <c r="J31" i="216"/>
  <c r="P31" i="216" s="1"/>
  <c r="F31" i="216"/>
  <c r="H31" i="216" s="1"/>
  <c r="B31" i="216"/>
  <c r="W30" i="216"/>
  <c r="V30" i="216"/>
  <c r="N30" i="216"/>
  <c r="K30" i="216"/>
  <c r="L30" i="216" s="1"/>
  <c r="J30" i="216"/>
  <c r="P30" i="216" s="1"/>
  <c r="F30" i="216"/>
  <c r="H30" i="216" s="1"/>
  <c r="B30" i="216"/>
  <c r="W29" i="216"/>
  <c r="V29" i="216"/>
  <c r="N29" i="216"/>
  <c r="K29" i="216"/>
  <c r="L29" i="216" s="1"/>
  <c r="J29" i="216"/>
  <c r="P29" i="216" s="1"/>
  <c r="F29" i="216"/>
  <c r="H29" i="216" s="1"/>
  <c r="B29" i="216"/>
  <c r="W28" i="216"/>
  <c r="V28" i="216"/>
  <c r="N28" i="216"/>
  <c r="K28" i="216"/>
  <c r="L28" i="216" s="1"/>
  <c r="J28" i="216"/>
  <c r="P28" i="216" s="1"/>
  <c r="F28" i="216"/>
  <c r="H28" i="216" s="1"/>
  <c r="B28" i="216"/>
  <c r="W27" i="216"/>
  <c r="N27" i="216"/>
  <c r="K27" i="216"/>
  <c r="J27" i="216"/>
  <c r="F27" i="216"/>
  <c r="H27" i="216" s="1"/>
  <c r="B27" i="216"/>
  <c r="M26" i="216"/>
  <c r="W25" i="216"/>
  <c r="H25" i="216"/>
  <c r="W24" i="216"/>
  <c r="H24" i="216"/>
  <c r="W23" i="216"/>
  <c r="H22" i="216"/>
  <c r="W21" i="216"/>
  <c r="W20" i="216"/>
  <c r="V20" i="216"/>
  <c r="N20" i="216"/>
  <c r="K20" i="216"/>
  <c r="L20" i="216" s="1"/>
  <c r="J20" i="216"/>
  <c r="P20" i="216" s="1"/>
  <c r="F20" i="216"/>
  <c r="H20" i="216" s="1"/>
  <c r="B20" i="216"/>
  <c r="W19" i="216"/>
  <c r="V19" i="216"/>
  <c r="N19" i="216"/>
  <c r="K19" i="216"/>
  <c r="L19" i="216" s="1"/>
  <c r="J19" i="216"/>
  <c r="P19" i="216" s="1"/>
  <c r="F19" i="216"/>
  <c r="H19" i="216" s="1"/>
  <c r="B19" i="216"/>
  <c r="W18" i="216"/>
  <c r="V18" i="216"/>
  <c r="N18" i="216"/>
  <c r="K18" i="216"/>
  <c r="L18" i="216" s="1"/>
  <c r="J18" i="216"/>
  <c r="P18" i="216" s="1"/>
  <c r="F18" i="216"/>
  <c r="H18" i="216" s="1"/>
  <c r="B18" i="216"/>
  <c r="W17" i="216"/>
  <c r="V17" i="216"/>
  <c r="N17" i="216"/>
  <c r="K17" i="216"/>
  <c r="L17" i="216" s="1"/>
  <c r="J17" i="216"/>
  <c r="P17" i="216" s="1"/>
  <c r="F17" i="216"/>
  <c r="H17" i="216" s="1"/>
  <c r="B17" i="216"/>
  <c r="W16" i="216"/>
  <c r="N16" i="216"/>
  <c r="K16" i="216"/>
  <c r="J16" i="216"/>
  <c r="F16" i="216"/>
  <c r="H16" i="216" s="1"/>
  <c r="B16" i="216"/>
  <c r="M15" i="216"/>
  <c r="W14" i="216"/>
  <c r="W13" i="216"/>
  <c r="W12" i="216"/>
  <c r="H12" i="216"/>
  <c r="W11" i="216"/>
  <c r="W10" i="216"/>
  <c r="W9" i="216"/>
  <c r="V9" i="216"/>
  <c r="N9" i="216"/>
  <c r="K9" i="216"/>
  <c r="L9" i="216" s="1"/>
  <c r="J9" i="216"/>
  <c r="P9" i="216" s="1"/>
  <c r="F9" i="216"/>
  <c r="H9" i="216" s="1"/>
  <c r="B9" i="216"/>
  <c r="W8" i="216"/>
  <c r="V8" i="216"/>
  <c r="N8" i="216"/>
  <c r="K8" i="216"/>
  <c r="L8" i="216" s="1"/>
  <c r="J8" i="216"/>
  <c r="P8" i="216" s="1"/>
  <c r="F8" i="216"/>
  <c r="H8" i="216" s="1"/>
  <c r="B8" i="216"/>
  <c r="W7" i="216"/>
  <c r="V7" i="216"/>
  <c r="N7" i="216"/>
  <c r="K7" i="216"/>
  <c r="L7" i="216" s="1"/>
  <c r="J7" i="216"/>
  <c r="P7" i="216" s="1"/>
  <c r="F7" i="216"/>
  <c r="H7" i="216" s="1"/>
  <c r="B7" i="216"/>
  <c r="W6" i="216"/>
  <c r="V6" i="216"/>
  <c r="N6" i="216"/>
  <c r="J6" i="216"/>
  <c r="F6" i="216"/>
  <c r="H6" i="216" s="1"/>
  <c r="B6" i="216"/>
  <c r="W5" i="216"/>
  <c r="N5" i="216"/>
  <c r="K5" i="216"/>
  <c r="J5" i="216"/>
  <c r="F5" i="216"/>
  <c r="H5" i="216" s="1"/>
  <c r="G1" i="216" s="1"/>
  <c r="B5" i="216"/>
  <c r="I2" i="216"/>
  <c r="I1" i="216"/>
  <c r="E1" i="216"/>
  <c r="I18" i="215"/>
  <c r="H18" i="215"/>
  <c r="G18" i="215"/>
  <c r="F18" i="215"/>
  <c r="E18" i="215"/>
  <c r="D18" i="215"/>
  <c r="I16" i="215"/>
  <c r="H16" i="215"/>
  <c r="G16" i="215"/>
  <c r="F16" i="215"/>
  <c r="E16" i="215"/>
  <c r="D16" i="215"/>
  <c r="G3" i="215"/>
  <c r="AC79" i="214"/>
  <c r="AB79" i="214"/>
  <c r="W78" i="214"/>
  <c r="H78" i="214"/>
  <c r="W77" i="214"/>
  <c r="H77" i="214"/>
  <c r="W76" i="214"/>
  <c r="H76" i="214"/>
  <c r="W75" i="214"/>
  <c r="H75" i="214"/>
  <c r="W74" i="214"/>
  <c r="H74" i="214"/>
  <c r="W73" i="214"/>
  <c r="W72" i="214"/>
  <c r="W71" i="214"/>
  <c r="AD70" i="214"/>
  <c r="AC70" i="214"/>
  <c r="AB70" i="214"/>
  <c r="W70" i="214"/>
  <c r="S70" i="214"/>
  <c r="M69" i="214"/>
  <c r="W68" i="214"/>
  <c r="H68" i="214"/>
  <c r="W67" i="214"/>
  <c r="W66" i="214"/>
  <c r="W65" i="214"/>
  <c r="W64" i="214"/>
  <c r="W63" i="214"/>
  <c r="V63" i="214"/>
  <c r="N63" i="214"/>
  <c r="O63" i="214" s="1"/>
  <c r="K63" i="214"/>
  <c r="L63" i="214" s="1"/>
  <c r="J63" i="214"/>
  <c r="P63" i="214" s="1"/>
  <c r="F63" i="214"/>
  <c r="H63" i="214" s="1"/>
  <c r="B63" i="214"/>
  <c r="W62" i="214"/>
  <c r="V62" i="214"/>
  <c r="N62" i="214"/>
  <c r="O62" i="214" s="1"/>
  <c r="K62" i="214"/>
  <c r="L62" i="214" s="1"/>
  <c r="J62" i="214"/>
  <c r="P62" i="214" s="1"/>
  <c r="F62" i="214"/>
  <c r="H62" i="214" s="1"/>
  <c r="B62" i="214"/>
  <c r="W61" i="214"/>
  <c r="V61" i="214"/>
  <c r="N61" i="214"/>
  <c r="K61" i="214"/>
  <c r="L61" i="214" s="1"/>
  <c r="J61" i="214"/>
  <c r="P61" i="214" s="1"/>
  <c r="F61" i="214"/>
  <c r="H61" i="214" s="1"/>
  <c r="B61" i="214"/>
  <c r="W60" i="214"/>
  <c r="V60" i="214"/>
  <c r="N60" i="214"/>
  <c r="K60" i="214"/>
  <c r="L60" i="214" s="1"/>
  <c r="J60" i="214"/>
  <c r="P60" i="214" s="1"/>
  <c r="F60" i="214"/>
  <c r="H60" i="214" s="1"/>
  <c r="B60" i="214"/>
  <c r="W59" i="214"/>
  <c r="N59" i="214"/>
  <c r="K59" i="214"/>
  <c r="J59" i="214"/>
  <c r="F59" i="214"/>
  <c r="H59" i="214" s="1"/>
  <c r="B59" i="214"/>
  <c r="M58" i="214"/>
  <c r="W57" i="214"/>
  <c r="H57" i="214"/>
  <c r="W56" i="214"/>
  <c r="H56" i="214"/>
  <c r="W55" i="214"/>
  <c r="H55" i="214"/>
  <c r="W54" i="214"/>
  <c r="W53" i="214"/>
  <c r="V53" i="214"/>
  <c r="N53" i="214"/>
  <c r="O53" i="214" s="1"/>
  <c r="K53" i="214"/>
  <c r="L53" i="214" s="1"/>
  <c r="J53" i="214"/>
  <c r="P53" i="214" s="1"/>
  <c r="F53" i="214"/>
  <c r="H53" i="214" s="1"/>
  <c r="B53" i="214"/>
  <c r="W52" i="214"/>
  <c r="V52" i="214"/>
  <c r="N52" i="214"/>
  <c r="K52" i="214"/>
  <c r="L52" i="214" s="1"/>
  <c r="J52" i="214"/>
  <c r="P52" i="214" s="1"/>
  <c r="F52" i="214"/>
  <c r="H52" i="214" s="1"/>
  <c r="B52" i="214"/>
  <c r="W51" i="214"/>
  <c r="V51" i="214"/>
  <c r="N51" i="214"/>
  <c r="K51" i="214"/>
  <c r="L51" i="214" s="1"/>
  <c r="J51" i="214"/>
  <c r="P51" i="214" s="1"/>
  <c r="F51" i="214"/>
  <c r="H51" i="214" s="1"/>
  <c r="B51" i="214"/>
  <c r="W50" i="214"/>
  <c r="V50" i="214"/>
  <c r="N50" i="214"/>
  <c r="K50" i="214"/>
  <c r="L50" i="214" s="1"/>
  <c r="J50" i="214"/>
  <c r="P50" i="214" s="1"/>
  <c r="F50" i="214"/>
  <c r="H50" i="214" s="1"/>
  <c r="B50" i="214"/>
  <c r="W49" i="214"/>
  <c r="N49" i="214"/>
  <c r="K49" i="214"/>
  <c r="J49" i="214"/>
  <c r="F49" i="214"/>
  <c r="H49" i="214" s="1"/>
  <c r="B49" i="214"/>
  <c r="W48" i="214"/>
  <c r="M48" i="214"/>
  <c r="W47" i="214"/>
  <c r="H47" i="214"/>
  <c r="W46" i="214"/>
  <c r="H46" i="214"/>
  <c r="W45" i="214"/>
  <c r="H45" i="214"/>
  <c r="W44" i="214"/>
  <c r="W43" i="214"/>
  <c r="W42" i="214"/>
  <c r="V42" i="214"/>
  <c r="N42" i="214"/>
  <c r="O42" i="214" s="1"/>
  <c r="K42" i="214"/>
  <c r="L42" i="214" s="1"/>
  <c r="J42" i="214"/>
  <c r="P42" i="214" s="1"/>
  <c r="F42" i="214"/>
  <c r="H42" i="214" s="1"/>
  <c r="W41" i="214"/>
  <c r="V41" i="214"/>
  <c r="N41" i="214"/>
  <c r="K41" i="214"/>
  <c r="L41" i="214" s="1"/>
  <c r="J41" i="214"/>
  <c r="P41" i="214" s="1"/>
  <c r="F41" i="214"/>
  <c r="H41" i="214" s="1"/>
  <c r="W40" i="214"/>
  <c r="V40" i="214"/>
  <c r="N40" i="214"/>
  <c r="K40" i="214"/>
  <c r="L40" i="214" s="1"/>
  <c r="J40" i="214"/>
  <c r="P40" i="214" s="1"/>
  <c r="F40" i="214"/>
  <c r="H40" i="214" s="1"/>
  <c r="W39" i="214"/>
  <c r="V39" i="214"/>
  <c r="N39" i="214"/>
  <c r="K39" i="214"/>
  <c r="J39" i="214"/>
  <c r="P39" i="214" s="1"/>
  <c r="F39" i="214"/>
  <c r="H39" i="214" s="1"/>
  <c r="W38" i="214"/>
  <c r="N38" i="214"/>
  <c r="J38" i="214"/>
  <c r="F38" i="214"/>
  <c r="H38" i="214" s="1"/>
  <c r="M37" i="214"/>
  <c r="W36" i="214"/>
  <c r="H36" i="214"/>
  <c r="W35" i="214"/>
  <c r="H35" i="214"/>
  <c r="W34" i="214"/>
  <c r="H34" i="214"/>
  <c r="W33" i="214"/>
  <c r="H33" i="214"/>
  <c r="W32" i="214"/>
  <c r="W31" i="214"/>
  <c r="W30" i="214"/>
  <c r="V30" i="214"/>
  <c r="N30" i="214"/>
  <c r="K30" i="214"/>
  <c r="L30" i="214" s="1"/>
  <c r="J30" i="214"/>
  <c r="P30" i="214" s="1"/>
  <c r="F30" i="214"/>
  <c r="H30" i="214" s="1"/>
  <c r="B30" i="214"/>
  <c r="W29" i="214"/>
  <c r="V29" i="214"/>
  <c r="N29" i="214"/>
  <c r="K29" i="214"/>
  <c r="L29" i="214" s="1"/>
  <c r="J29" i="214"/>
  <c r="P29" i="214" s="1"/>
  <c r="F29" i="214"/>
  <c r="H29" i="214" s="1"/>
  <c r="B29" i="214"/>
  <c r="W28" i="214"/>
  <c r="V28" i="214"/>
  <c r="N28" i="214"/>
  <c r="K28" i="214"/>
  <c r="L28" i="214" s="1"/>
  <c r="J28" i="214"/>
  <c r="P28" i="214" s="1"/>
  <c r="F28" i="214"/>
  <c r="H28" i="214" s="1"/>
  <c r="B28" i="214"/>
  <c r="W27" i="214"/>
  <c r="N27" i="214"/>
  <c r="K27" i="214"/>
  <c r="J27" i="214"/>
  <c r="F27" i="214"/>
  <c r="H27" i="214" s="1"/>
  <c r="B27" i="214"/>
  <c r="M26" i="214"/>
  <c r="W25" i="214"/>
  <c r="H25" i="214"/>
  <c r="W24" i="214"/>
  <c r="H24" i="214"/>
  <c r="W23" i="214"/>
  <c r="H22" i="214"/>
  <c r="W21" i="214"/>
  <c r="W20" i="214"/>
  <c r="V20" i="214"/>
  <c r="N20" i="214"/>
  <c r="K20" i="214"/>
  <c r="L20" i="214" s="1"/>
  <c r="J20" i="214"/>
  <c r="P20" i="214" s="1"/>
  <c r="F20" i="214"/>
  <c r="H20" i="214" s="1"/>
  <c r="B20" i="214"/>
  <c r="W19" i="214"/>
  <c r="V19" i="214"/>
  <c r="N19" i="214"/>
  <c r="L19" i="214"/>
  <c r="K19" i="214"/>
  <c r="J19" i="214"/>
  <c r="P19" i="214" s="1"/>
  <c r="F19" i="214"/>
  <c r="H19" i="214" s="1"/>
  <c r="B19" i="214"/>
  <c r="W18" i="214"/>
  <c r="V18" i="214"/>
  <c r="N18" i="214"/>
  <c r="K18" i="214"/>
  <c r="L18" i="214" s="1"/>
  <c r="J18" i="214"/>
  <c r="P18" i="214" s="1"/>
  <c r="F18" i="214"/>
  <c r="H18" i="214" s="1"/>
  <c r="B18" i="214"/>
  <c r="W17" i="214"/>
  <c r="V17" i="214"/>
  <c r="N17" i="214"/>
  <c r="K17" i="214"/>
  <c r="L17" i="214" s="1"/>
  <c r="J17" i="214"/>
  <c r="P17" i="214" s="1"/>
  <c r="F17" i="214"/>
  <c r="H17" i="214" s="1"/>
  <c r="B17" i="214"/>
  <c r="W16" i="214"/>
  <c r="N16" i="214"/>
  <c r="K16" i="214"/>
  <c r="J16" i="214"/>
  <c r="F16" i="214"/>
  <c r="H16" i="214" s="1"/>
  <c r="B16" i="214"/>
  <c r="M15" i="214"/>
  <c r="W14" i="214"/>
  <c r="W13" i="214"/>
  <c r="W12" i="214"/>
  <c r="H12" i="214"/>
  <c r="W11" i="214"/>
  <c r="H11" i="214"/>
  <c r="W10" i="214"/>
  <c r="N10" i="214"/>
  <c r="O10" i="214" s="1"/>
  <c r="K10" i="214"/>
  <c r="L10" i="214" s="1"/>
  <c r="J10" i="214"/>
  <c r="P10" i="214" s="1"/>
  <c r="F10" i="214"/>
  <c r="H10" i="214" s="1"/>
  <c r="B10" i="214"/>
  <c r="W9" i="214"/>
  <c r="V9" i="214"/>
  <c r="N9" i="214"/>
  <c r="K9" i="214"/>
  <c r="L9" i="214" s="1"/>
  <c r="J9" i="214"/>
  <c r="P9" i="214" s="1"/>
  <c r="F9" i="214"/>
  <c r="H9" i="214" s="1"/>
  <c r="B9" i="214"/>
  <c r="W8" i="214"/>
  <c r="V8" i="214"/>
  <c r="N8" i="214"/>
  <c r="K8" i="214"/>
  <c r="L8" i="214" s="1"/>
  <c r="J8" i="214"/>
  <c r="P8" i="214" s="1"/>
  <c r="F8" i="214"/>
  <c r="H8" i="214" s="1"/>
  <c r="B8" i="214"/>
  <c r="W7" i="214"/>
  <c r="V7" i="214"/>
  <c r="N7" i="214"/>
  <c r="K7" i="214"/>
  <c r="L7" i="214" s="1"/>
  <c r="J7" i="214"/>
  <c r="P7" i="214" s="1"/>
  <c r="F7" i="214"/>
  <c r="H7" i="214" s="1"/>
  <c r="B7" i="214"/>
  <c r="W6" i="214"/>
  <c r="V6" i="214"/>
  <c r="N6" i="214"/>
  <c r="J6" i="214"/>
  <c r="F6" i="214"/>
  <c r="H6" i="214" s="1"/>
  <c r="B6" i="214"/>
  <c r="W5" i="214"/>
  <c r="N5" i="214"/>
  <c r="K5" i="214"/>
  <c r="J5" i="214"/>
  <c r="F5" i="214"/>
  <c r="H5" i="214" s="1"/>
  <c r="G1" i="214" s="1"/>
  <c r="B5" i="214"/>
  <c r="I2" i="214"/>
  <c r="I1" i="214"/>
  <c r="E1" i="214"/>
  <c r="I18" i="213"/>
  <c r="H18" i="213"/>
  <c r="G18" i="213"/>
  <c r="F18" i="213"/>
  <c r="E18" i="213"/>
  <c r="D18" i="213"/>
  <c r="I16" i="213"/>
  <c r="H16" i="213"/>
  <c r="G16" i="213"/>
  <c r="F16" i="213"/>
  <c r="E16" i="213"/>
  <c r="D16" i="213"/>
  <c r="G3" i="213"/>
  <c r="AC79" i="212"/>
  <c r="AB79" i="212"/>
  <c r="W78" i="212"/>
  <c r="H78" i="212"/>
  <c r="W77" i="212"/>
  <c r="H77" i="212"/>
  <c r="W76" i="212"/>
  <c r="H76" i="212"/>
  <c r="W75" i="212"/>
  <c r="H75" i="212"/>
  <c r="W74" i="212"/>
  <c r="H74" i="212"/>
  <c r="W73" i="212"/>
  <c r="W72" i="212"/>
  <c r="W71" i="212"/>
  <c r="AD70" i="212"/>
  <c r="AC70" i="212"/>
  <c r="AB70" i="212"/>
  <c r="W70" i="212"/>
  <c r="S70" i="212"/>
  <c r="M69" i="212"/>
  <c r="W68" i="212"/>
  <c r="H68" i="212"/>
  <c r="W67" i="212"/>
  <c r="W66" i="212"/>
  <c r="W65" i="212"/>
  <c r="W64" i="212"/>
  <c r="W63" i="212"/>
  <c r="W62" i="212"/>
  <c r="V62" i="212"/>
  <c r="N62" i="212"/>
  <c r="O62" i="212" s="1"/>
  <c r="K62" i="212"/>
  <c r="L62" i="212" s="1"/>
  <c r="J62" i="212"/>
  <c r="P62" i="212" s="1"/>
  <c r="F62" i="212"/>
  <c r="H62" i="212" s="1"/>
  <c r="B62" i="212"/>
  <c r="W61" i="212"/>
  <c r="V61" i="212"/>
  <c r="N61" i="212"/>
  <c r="K61" i="212"/>
  <c r="L61" i="212" s="1"/>
  <c r="J61" i="212"/>
  <c r="P61" i="212" s="1"/>
  <c r="F61" i="212"/>
  <c r="H61" i="212" s="1"/>
  <c r="B61" i="212"/>
  <c r="W60" i="212"/>
  <c r="V60" i="212"/>
  <c r="N60" i="212"/>
  <c r="K60" i="212"/>
  <c r="L60" i="212" s="1"/>
  <c r="J60" i="212"/>
  <c r="P60" i="212" s="1"/>
  <c r="F60" i="212"/>
  <c r="H60" i="212" s="1"/>
  <c r="B60" i="212"/>
  <c r="W59" i="212"/>
  <c r="N59" i="212"/>
  <c r="K59" i="212"/>
  <c r="J59" i="212"/>
  <c r="F59" i="212"/>
  <c r="H59" i="212" s="1"/>
  <c r="B59" i="212"/>
  <c r="M58" i="212"/>
  <c r="W57" i="212"/>
  <c r="H57" i="212"/>
  <c r="W56" i="212"/>
  <c r="H56" i="212"/>
  <c r="W55" i="212"/>
  <c r="H55" i="212"/>
  <c r="W54" i="212"/>
  <c r="W53" i="212"/>
  <c r="V53" i="212"/>
  <c r="N53" i="212"/>
  <c r="O53" i="212" s="1"/>
  <c r="K53" i="212"/>
  <c r="L53" i="212" s="1"/>
  <c r="J53" i="212"/>
  <c r="P53" i="212" s="1"/>
  <c r="F53" i="212"/>
  <c r="H53" i="212" s="1"/>
  <c r="B53" i="212"/>
  <c r="W52" i="212"/>
  <c r="V52" i="212"/>
  <c r="N52" i="212"/>
  <c r="K52" i="212"/>
  <c r="L52" i="212" s="1"/>
  <c r="J52" i="212"/>
  <c r="P52" i="212" s="1"/>
  <c r="F52" i="212"/>
  <c r="H52" i="212" s="1"/>
  <c r="B52" i="212"/>
  <c r="W51" i="212"/>
  <c r="V51" i="212"/>
  <c r="N51" i="212"/>
  <c r="K51" i="212"/>
  <c r="L51" i="212" s="1"/>
  <c r="J51" i="212"/>
  <c r="P51" i="212" s="1"/>
  <c r="F51" i="212"/>
  <c r="H51" i="212" s="1"/>
  <c r="B51" i="212"/>
  <c r="W50" i="212"/>
  <c r="V50" i="212"/>
  <c r="N50" i="212"/>
  <c r="K50" i="212"/>
  <c r="L50" i="212" s="1"/>
  <c r="J50" i="212"/>
  <c r="P50" i="212" s="1"/>
  <c r="F50" i="212"/>
  <c r="H50" i="212" s="1"/>
  <c r="B50" i="212"/>
  <c r="W49" i="212"/>
  <c r="N49" i="212"/>
  <c r="K49" i="212"/>
  <c r="J49" i="212"/>
  <c r="F49" i="212"/>
  <c r="H49" i="212" s="1"/>
  <c r="B49" i="212"/>
  <c r="W48" i="212"/>
  <c r="M48" i="212"/>
  <c r="W47" i="212"/>
  <c r="H47" i="212"/>
  <c r="W46" i="212"/>
  <c r="H46" i="212"/>
  <c r="W45" i="212"/>
  <c r="H45" i="212"/>
  <c r="W44" i="212"/>
  <c r="H44" i="212"/>
  <c r="W43" i="212"/>
  <c r="V43" i="212"/>
  <c r="N43" i="212"/>
  <c r="O43" i="212" s="1"/>
  <c r="K43" i="212"/>
  <c r="L43" i="212" s="1"/>
  <c r="J43" i="212"/>
  <c r="P43" i="212" s="1"/>
  <c r="F43" i="212"/>
  <c r="H43" i="212" s="1"/>
  <c r="W42" i="212"/>
  <c r="V42" i="212"/>
  <c r="N42" i="212"/>
  <c r="O42" i="212" s="1"/>
  <c r="K42" i="212"/>
  <c r="L42" i="212" s="1"/>
  <c r="J42" i="212"/>
  <c r="P42" i="212" s="1"/>
  <c r="F42" i="212"/>
  <c r="H42" i="212" s="1"/>
  <c r="W41" i="212"/>
  <c r="V41" i="212"/>
  <c r="N41" i="212"/>
  <c r="K41" i="212"/>
  <c r="L41" i="212" s="1"/>
  <c r="J41" i="212"/>
  <c r="P41" i="212" s="1"/>
  <c r="F41" i="212"/>
  <c r="H41" i="212" s="1"/>
  <c r="W40" i="212"/>
  <c r="V40" i="212"/>
  <c r="N40" i="212"/>
  <c r="K40" i="212"/>
  <c r="L40" i="212" s="1"/>
  <c r="J40" i="212"/>
  <c r="P40" i="212" s="1"/>
  <c r="F40" i="212"/>
  <c r="H40" i="212" s="1"/>
  <c r="W39" i="212"/>
  <c r="V39" i="212"/>
  <c r="N39" i="212"/>
  <c r="K39" i="212"/>
  <c r="J39" i="212"/>
  <c r="P39" i="212" s="1"/>
  <c r="F39" i="212"/>
  <c r="H39" i="212" s="1"/>
  <c r="W38" i="212"/>
  <c r="N38" i="212"/>
  <c r="J38" i="212"/>
  <c r="F38" i="212"/>
  <c r="H38" i="212" s="1"/>
  <c r="M37" i="212"/>
  <c r="W36" i="212"/>
  <c r="H36" i="212"/>
  <c r="W35" i="212"/>
  <c r="H35" i="212"/>
  <c r="W34" i="212"/>
  <c r="H34" i="212"/>
  <c r="W33" i="212"/>
  <c r="H33" i="212"/>
  <c r="W32" i="212"/>
  <c r="W31" i="212"/>
  <c r="V31" i="212"/>
  <c r="N31" i="212"/>
  <c r="O31" i="212" s="1"/>
  <c r="K31" i="212"/>
  <c r="L31" i="212" s="1"/>
  <c r="J31" i="212"/>
  <c r="P31" i="212" s="1"/>
  <c r="F31" i="212"/>
  <c r="H31" i="212" s="1"/>
  <c r="B31" i="212"/>
  <c r="W30" i="212"/>
  <c r="V30" i="212"/>
  <c r="N30" i="212"/>
  <c r="K30" i="212"/>
  <c r="L30" i="212" s="1"/>
  <c r="J30" i="212"/>
  <c r="P30" i="212" s="1"/>
  <c r="F30" i="212"/>
  <c r="H30" i="212" s="1"/>
  <c r="B30" i="212"/>
  <c r="W29" i="212"/>
  <c r="V29" i="212"/>
  <c r="N29" i="212"/>
  <c r="K29" i="212"/>
  <c r="L29" i="212" s="1"/>
  <c r="J29" i="212"/>
  <c r="P29" i="212" s="1"/>
  <c r="F29" i="212"/>
  <c r="H29" i="212" s="1"/>
  <c r="B29" i="212"/>
  <c r="W28" i="212"/>
  <c r="V28" i="212"/>
  <c r="N28" i="212"/>
  <c r="K28" i="212"/>
  <c r="L28" i="212" s="1"/>
  <c r="J28" i="212"/>
  <c r="P28" i="212" s="1"/>
  <c r="F28" i="212"/>
  <c r="H28" i="212" s="1"/>
  <c r="B28" i="212"/>
  <c r="W27" i="212"/>
  <c r="N27" i="212"/>
  <c r="K27" i="212"/>
  <c r="J27" i="212"/>
  <c r="F27" i="212"/>
  <c r="H27" i="212" s="1"/>
  <c r="B27" i="212"/>
  <c r="M26" i="212"/>
  <c r="W25" i="212"/>
  <c r="H25" i="212"/>
  <c r="W24" i="212"/>
  <c r="H24" i="212"/>
  <c r="W23" i="212"/>
  <c r="H22" i="212"/>
  <c r="W21" i="212"/>
  <c r="W20" i="212"/>
  <c r="V20" i="212"/>
  <c r="N20" i="212"/>
  <c r="K20" i="212"/>
  <c r="L20" i="212" s="1"/>
  <c r="J20" i="212"/>
  <c r="P20" i="212" s="1"/>
  <c r="F20" i="212"/>
  <c r="H20" i="212" s="1"/>
  <c r="B20" i="212"/>
  <c r="W19" i="212"/>
  <c r="V19" i="212"/>
  <c r="N19" i="212"/>
  <c r="K19" i="212"/>
  <c r="L19" i="212" s="1"/>
  <c r="J19" i="212"/>
  <c r="P19" i="212" s="1"/>
  <c r="F19" i="212"/>
  <c r="H19" i="212" s="1"/>
  <c r="B19" i="212"/>
  <c r="W18" i="212"/>
  <c r="V18" i="212"/>
  <c r="N18" i="212"/>
  <c r="K18" i="212"/>
  <c r="L18" i="212" s="1"/>
  <c r="J18" i="212"/>
  <c r="P18" i="212" s="1"/>
  <c r="F18" i="212"/>
  <c r="H18" i="212" s="1"/>
  <c r="B18" i="212"/>
  <c r="W17" i="212"/>
  <c r="V17" i="212"/>
  <c r="N17" i="212"/>
  <c r="K17" i="212"/>
  <c r="L17" i="212" s="1"/>
  <c r="J17" i="212"/>
  <c r="P17" i="212" s="1"/>
  <c r="F17" i="212"/>
  <c r="H17" i="212" s="1"/>
  <c r="B17" i="212"/>
  <c r="W16" i="212"/>
  <c r="N16" i="212"/>
  <c r="K16" i="212"/>
  <c r="J16" i="212"/>
  <c r="F16" i="212"/>
  <c r="H16" i="212" s="1"/>
  <c r="B16" i="212"/>
  <c r="M15" i="212"/>
  <c r="W14" i="212"/>
  <c r="W13" i="212"/>
  <c r="W12" i="212"/>
  <c r="H12" i="212"/>
  <c r="W11" i="212"/>
  <c r="H11" i="212"/>
  <c r="W10" i="212"/>
  <c r="W9" i="212"/>
  <c r="V9" i="212"/>
  <c r="N9" i="212"/>
  <c r="K9" i="212"/>
  <c r="L9" i="212" s="1"/>
  <c r="J9" i="212"/>
  <c r="P9" i="212" s="1"/>
  <c r="F9" i="212"/>
  <c r="H9" i="212" s="1"/>
  <c r="B9" i="212"/>
  <c r="W8" i="212"/>
  <c r="V8" i="212"/>
  <c r="N8" i="212"/>
  <c r="K8" i="212"/>
  <c r="L8" i="212" s="1"/>
  <c r="J8" i="212"/>
  <c r="P8" i="212" s="1"/>
  <c r="F8" i="212"/>
  <c r="H8" i="212" s="1"/>
  <c r="B8" i="212"/>
  <c r="W7" i="212"/>
  <c r="V7" i="212"/>
  <c r="N7" i="212"/>
  <c r="K7" i="212"/>
  <c r="L7" i="212" s="1"/>
  <c r="J7" i="212"/>
  <c r="P7" i="212" s="1"/>
  <c r="F7" i="212"/>
  <c r="H7" i="212" s="1"/>
  <c r="B7" i="212"/>
  <c r="W6" i="212"/>
  <c r="V6" i="212"/>
  <c r="N6" i="212"/>
  <c r="J6" i="212"/>
  <c r="F6" i="212"/>
  <c r="H6" i="212" s="1"/>
  <c r="B6" i="212"/>
  <c r="W5" i="212"/>
  <c r="N5" i="212"/>
  <c r="K5" i="212"/>
  <c r="J5" i="212"/>
  <c r="F5" i="212"/>
  <c r="H5" i="212" s="1"/>
  <c r="G1" i="212" s="1"/>
  <c r="B5" i="212"/>
  <c r="I2" i="212"/>
  <c r="I1" i="212"/>
  <c r="E1" i="212"/>
  <c r="I18" i="211"/>
  <c r="H18" i="211"/>
  <c r="G18" i="211"/>
  <c r="F18" i="211"/>
  <c r="E18" i="211"/>
  <c r="D18" i="211"/>
  <c r="I16" i="211"/>
  <c r="H16" i="211"/>
  <c r="G16" i="211"/>
  <c r="F16" i="211"/>
  <c r="E16" i="211"/>
  <c r="D16" i="211"/>
  <c r="G3" i="211"/>
  <c r="AC79" i="210"/>
  <c r="AB79" i="210"/>
  <c r="W78" i="210"/>
  <c r="H78" i="210"/>
  <c r="W77" i="210"/>
  <c r="H77" i="210"/>
  <c r="W76" i="210"/>
  <c r="H76" i="210"/>
  <c r="W75" i="210"/>
  <c r="H75" i="210"/>
  <c r="W74" i="210"/>
  <c r="H74" i="210"/>
  <c r="W73" i="210"/>
  <c r="W72" i="210"/>
  <c r="W71" i="210"/>
  <c r="AD70" i="210"/>
  <c r="AC70" i="210"/>
  <c r="AB70" i="210"/>
  <c r="W70" i="210"/>
  <c r="S70" i="210"/>
  <c r="M69" i="210"/>
  <c r="W68" i="210"/>
  <c r="H68" i="210"/>
  <c r="W67" i="210"/>
  <c r="W66" i="210"/>
  <c r="W65" i="210"/>
  <c r="W64" i="210"/>
  <c r="W63" i="210"/>
  <c r="W62" i="210"/>
  <c r="W61" i="210"/>
  <c r="V61" i="210"/>
  <c r="N61" i="210"/>
  <c r="K61" i="210"/>
  <c r="L61" i="210" s="1"/>
  <c r="J61" i="210"/>
  <c r="P61" i="210" s="1"/>
  <c r="F61" i="210"/>
  <c r="H61" i="210" s="1"/>
  <c r="B61" i="210"/>
  <c r="W60" i="210"/>
  <c r="V60" i="210"/>
  <c r="N60" i="210"/>
  <c r="K60" i="210"/>
  <c r="L60" i="210" s="1"/>
  <c r="J60" i="210"/>
  <c r="P60" i="210" s="1"/>
  <c r="F60" i="210"/>
  <c r="H60" i="210" s="1"/>
  <c r="B60" i="210"/>
  <c r="W59" i="210"/>
  <c r="N59" i="210"/>
  <c r="K59" i="210"/>
  <c r="J59" i="210"/>
  <c r="F59" i="210"/>
  <c r="H59" i="210" s="1"/>
  <c r="B59" i="210"/>
  <c r="M58" i="210"/>
  <c r="W57" i="210"/>
  <c r="H57" i="210"/>
  <c r="W56" i="210"/>
  <c r="H56" i="210"/>
  <c r="W55" i="210"/>
  <c r="H55" i="210"/>
  <c r="W54" i="210"/>
  <c r="W53" i="210"/>
  <c r="W52" i="210"/>
  <c r="V52" i="210"/>
  <c r="N52" i="210"/>
  <c r="K52" i="210"/>
  <c r="L52" i="210" s="1"/>
  <c r="J52" i="210"/>
  <c r="P52" i="210" s="1"/>
  <c r="F52" i="210"/>
  <c r="H52" i="210" s="1"/>
  <c r="B52" i="210"/>
  <c r="W51" i="210"/>
  <c r="V51" i="210"/>
  <c r="N51" i="210"/>
  <c r="K51" i="210"/>
  <c r="L51" i="210" s="1"/>
  <c r="J51" i="210"/>
  <c r="P51" i="210" s="1"/>
  <c r="F51" i="210"/>
  <c r="H51" i="210" s="1"/>
  <c r="B51" i="210"/>
  <c r="W50" i="210"/>
  <c r="V50" i="210"/>
  <c r="N50" i="210"/>
  <c r="K50" i="210"/>
  <c r="L50" i="210" s="1"/>
  <c r="J50" i="210"/>
  <c r="P50" i="210" s="1"/>
  <c r="F50" i="210"/>
  <c r="H50" i="210" s="1"/>
  <c r="B50" i="210"/>
  <c r="W49" i="210"/>
  <c r="N49" i="210"/>
  <c r="K49" i="210"/>
  <c r="J49" i="210"/>
  <c r="F49" i="210"/>
  <c r="H49" i="210" s="1"/>
  <c r="B49" i="210"/>
  <c r="W48" i="210"/>
  <c r="M48" i="210"/>
  <c r="W47" i="210"/>
  <c r="H47" i="210"/>
  <c r="W46" i="210"/>
  <c r="H46" i="210"/>
  <c r="W45" i="210"/>
  <c r="H45" i="210"/>
  <c r="W44" i="210"/>
  <c r="H44" i="210"/>
  <c r="W43" i="210"/>
  <c r="W42" i="210"/>
  <c r="AC41" i="210"/>
  <c r="AB41" i="210"/>
  <c r="W41" i="210"/>
  <c r="W40" i="210"/>
  <c r="V40" i="210"/>
  <c r="N40" i="210"/>
  <c r="K40" i="210"/>
  <c r="L40" i="210" s="1"/>
  <c r="J40" i="210"/>
  <c r="P40" i="210" s="1"/>
  <c r="F40" i="210"/>
  <c r="H40" i="210" s="1"/>
  <c r="W39" i="210"/>
  <c r="V39" i="210"/>
  <c r="N39" i="210"/>
  <c r="K39" i="210"/>
  <c r="J39" i="210"/>
  <c r="P39" i="210" s="1"/>
  <c r="F39" i="210"/>
  <c r="H39" i="210" s="1"/>
  <c r="W38" i="210"/>
  <c r="N38" i="210"/>
  <c r="J38" i="210"/>
  <c r="F38" i="210"/>
  <c r="H38" i="210" s="1"/>
  <c r="M37" i="210"/>
  <c r="W36" i="210"/>
  <c r="H36" i="210"/>
  <c r="W35" i="210"/>
  <c r="H35" i="210"/>
  <c r="W34" i="210"/>
  <c r="H34" i="210"/>
  <c r="W33" i="210"/>
  <c r="H33" i="210"/>
  <c r="W32" i="210"/>
  <c r="W31" i="210"/>
  <c r="V31" i="210"/>
  <c r="N31" i="210"/>
  <c r="O31" i="210" s="1"/>
  <c r="K31" i="210"/>
  <c r="L31" i="210" s="1"/>
  <c r="J31" i="210"/>
  <c r="P31" i="210" s="1"/>
  <c r="F31" i="210"/>
  <c r="H31" i="210" s="1"/>
  <c r="B31" i="210"/>
  <c r="W30" i="210"/>
  <c r="V30" i="210"/>
  <c r="N30" i="210"/>
  <c r="K30" i="210"/>
  <c r="L30" i="210" s="1"/>
  <c r="J30" i="210"/>
  <c r="P30" i="210" s="1"/>
  <c r="F30" i="210"/>
  <c r="H30" i="210" s="1"/>
  <c r="B30" i="210"/>
  <c r="W29" i="210"/>
  <c r="V29" i="210"/>
  <c r="N29" i="210"/>
  <c r="K29" i="210"/>
  <c r="L29" i="210" s="1"/>
  <c r="J29" i="210"/>
  <c r="P29" i="210" s="1"/>
  <c r="F29" i="210"/>
  <c r="H29" i="210" s="1"/>
  <c r="B29" i="210"/>
  <c r="W28" i="210"/>
  <c r="V28" i="210"/>
  <c r="N28" i="210"/>
  <c r="K28" i="210"/>
  <c r="L28" i="210" s="1"/>
  <c r="J28" i="210"/>
  <c r="P28" i="210" s="1"/>
  <c r="F28" i="210"/>
  <c r="H28" i="210" s="1"/>
  <c r="B28" i="210"/>
  <c r="W27" i="210"/>
  <c r="N27" i="210"/>
  <c r="K27" i="210"/>
  <c r="J27" i="210"/>
  <c r="F27" i="210"/>
  <c r="H27" i="210" s="1"/>
  <c r="B27" i="210"/>
  <c r="M26" i="210"/>
  <c r="W25" i="210"/>
  <c r="H25" i="210"/>
  <c r="W24" i="210"/>
  <c r="H24" i="210"/>
  <c r="W23" i="210"/>
  <c r="H22" i="210"/>
  <c r="W21" i="210"/>
  <c r="AC20" i="210"/>
  <c r="AB20" i="210"/>
  <c r="W20" i="210"/>
  <c r="W19" i="210"/>
  <c r="V19" i="210"/>
  <c r="N19" i="210"/>
  <c r="K19" i="210"/>
  <c r="L19" i="210" s="1"/>
  <c r="J19" i="210"/>
  <c r="P19" i="210" s="1"/>
  <c r="F19" i="210"/>
  <c r="H19" i="210" s="1"/>
  <c r="B19" i="210"/>
  <c r="W18" i="210"/>
  <c r="V18" i="210"/>
  <c r="N18" i="210"/>
  <c r="K18" i="210"/>
  <c r="L18" i="210" s="1"/>
  <c r="J18" i="210"/>
  <c r="P18" i="210" s="1"/>
  <c r="F18" i="210"/>
  <c r="H18" i="210" s="1"/>
  <c r="B18" i="210"/>
  <c r="W17" i="210"/>
  <c r="V17" i="210"/>
  <c r="N17" i="210"/>
  <c r="K17" i="210"/>
  <c r="L17" i="210" s="1"/>
  <c r="J17" i="210"/>
  <c r="P17" i="210" s="1"/>
  <c r="F17" i="210"/>
  <c r="H17" i="210" s="1"/>
  <c r="B17" i="210"/>
  <c r="W16" i="210"/>
  <c r="N16" i="210"/>
  <c r="K16" i="210"/>
  <c r="J16" i="210"/>
  <c r="F16" i="210"/>
  <c r="H16" i="210" s="1"/>
  <c r="B16" i="210"/>
  <c r="M15" i="210"/>
  <c r="W14" i="210"/>
  <c r="W13" i="210"/>
  <c r="W12" i="210"/>
  <c r="H12" i="210"/>
  <c r="W11" i="210"/>
  <c r="H11" i="210"/>
  <c r="W10" i="210"/>
  <c r="W9" i="210"/>
  <c r="V9" i="210"/>
  <c r="N9" i="210"/>
  <c r="K9" i="210"/>
  <c r="L9" i="210" s="1"/>
  <c r="J9" i="210"/>
  <c r="P9" i="210" s="1"/>
  <c r="F9" i="210"/>
  <c r="H9" i="210" s="1"/>
  <c r="B9" i="210"/>
  <c r="W8" i="210"/>
  <c r="V8" i="210"/>
  <c r="N8" i="210"/>
  <c r="K8" i="210"/>
  <c r="L8" i="210" s="1"/>
  <c r="J8" i="210"/>
  <c r="P8" i="210" s="1"/>
  <c r="F8" i="210"/>
  <c r="H8" i="210" s="1"/>
  <c r="B8" i="210"/>
  <c r="W7" i="210"/>
  <c r="V7" i="210"/>
  <c r="N7" i="210"/>
  <c r="K7" i="210"/>
  <c r="L7" i="210" s="1"/>
  <c r="J7" i="210"/>
  <c r="P7" i="210" s="1"/>
  <c r="F7" i="210"/>
  <c r="H7" i="210" s="1"/>
  <c r="B7" i="210"/>
  <c r="W6" i="210"/>
  <c r="V6" i="210"/>
  <c r="N6" i="210"/>
  <c r="J6" i="210"/>
  <c r="F6" i="210"/>
  <c r="H6" i="210" s="1"/>
  <c r="B6" i="210"/>
  <c r="W5" i="210"/>
  <c r="N5" i="210"/>
  <c r="K5" i="210"/>
  <c r="J5" i="210"/>
  <c r="F5" i="210"/>
  <c r="H5" i="210" s="1"/>
  <c r="G1" i="210" s="1"/>
  <c r="B5" i="210"/>
  <c r="I2" i="210"/>
  <c r="I1" i="210"/>
  <c r="E1" i="210"/>
  <c r="I18" i="209"/>
  <c r="H18" i="209"/>
  <c r="G18" i="209"/>
  <c r="F18" i="209"/>
  <c r="E18" i="209"/>
  <c r="D18" i="209"/>
  <c r="I16" i="209"/>
  <c r="H16" i="209"/>
  <c r="G16" i="209"/>
  <c r="F16" i="209"/>
  <c r="E16" i="209"/>
  <c r="D16" i="209"/>
  <c r="G3" i="209"/>
  <c r="AC79" i="208"/>
  <c r="AB79" i="208"/>
  <c r="W78" i="208"/>
  <c r="H78" i="208"/>
  <c r="W77" i="208"/>
  <c r="H77" i="208"/>
  <c r="W76" i="208"/>
  <c r="H76" i="208"/>
  <c r="W75" i="208"/>
  <c r="H75" i="208"/>
  <c r="W74" i="208"/>
  <c r="H74" i="208"/>
  <c r="W73" i="208"/>
  <c r="W72" i="208"/>
  <c r="W71" i="208"/>
  <c r="AD70" i="208"/>
  <c r="AC70" i="208"/>
  <c r="AB70" i="208"/>
  <c r="W70" i="208"/>
  <c r="S70" i="208"/>
  <c r="M69" i="208"/>
  <c r="W68" i="208"/>
  <c r="H68" i="208"/>
  <c r="W67" i="208"/>
  <c r="W66" i="208"/>
  <c r="W65" i="208"/>
  <c r="W64" i="208"/>
  <c r="W63" i="208"/>
  <c r="W62" i="208"/>
  <c r="W61" i="208"/>
  <c r="V61" i="208"/>
  <c r="N61" i="208"/>
  <c r="K61" i="208"/>
  <c r="L61" i="208" s="1"/>
  <c r="J61" i="208"/>
  <c r="P61" i="208" s="1"/>
  <c r="F61" i="208"/>
  <c r="H61" i="208" s="1"/>
  <c r="B61" i="208"/>
  <c r="W60" i="208"/>
  <c r="V60" i="208"/>
  <c r="N60" i="208"/>
  <c r="K60" i="208"/>
  <c r="L60" i="208" s="1"/>
  <c r="J60" i="208"/>
  <c r="P60" i="208" s="1"/>
  <c r="F60" i="208"/>
  <c r="H60" i="208" s="1"/>
  <c r="B60" i="208"/>
  <c r="W59" i="208"/>
  <c r="N59" i="208"/>
  <c r="K59" i="208"/>
  <c r="J59" i="208"/>
  <c r="F59" i="208"/>
  <c r="H59" i="208" s="1"/>
  <c r="B59" i="208"/>
  <c r="M58" i="208"/>
  <c r="W57" i="208"/>
  <c r="H57" i="208"/>
  <c r="W56" i="208"/>
  <c r="H56" i="208"/>
  <c r="W55" i="208"/>
  <c r="H55" i="208"/>
  <c r="W54" i="208"/>
  <c r="W53" i="208"/>
  <c r="W52" i="208"/>
  <c r="V52" i="208"/>
  <c r="N52" i="208"/>
  <c r="K52" i="208"/>
  <c r="L52" i="208" s="1"/>
  <c r="J52" i="208"/>
  <c r="P52" i="208" s="1"/>
  <c r="F52" i="208"/>
  <c r="H52" i="208" s="1"/>
  <c r="B52" i="208"/>
  <c r="W51" i="208"/>
  <c r="V51" i="208"/>
  <c r="N51" i="208"/>
  <c r="K51" i="208"/>
  <c r="L51" i="208" s="1"/>
  <c r="J51" i="208"/>
  <c r="P51" i="208" s="1"/>
  <c r="F51" i="208"/>
  <c r="H51" i="208" s="1"/>
  <c r="B51" i="208"/>
  <c r="W50" i="208"/>
  <c r="V50" i="208"/>
  <c r="N50" i="208"/>
  <c r="K50" i="208"/>
  <c r="L50" i="208" s="1"/>
  <c r="J50" i="208"/>
  <c r="P50" i="208" s="1"/>
  <c r="F50" i="208"/>
  <c r="H50" i="208" s="1"/>
  <c r="B50" i="208"/>
  <c r="W49" i="208"/>
  <c r="N49" i="208"/>
  <c r="K49" i="208"/>
  <c r="J49" i="208"/>
  <c r="F49" i="208"/>
  <c r="H49" i="208" s="1"/>
  <c r="B49" i="208"/>
  <c r="W48" i="208"/>
  <c r="M48" i="208"/>
  <c r="W47" i="208"/>
  <c r="H47" i="208"/>
  <c r="W46" i="208"/>
  <c r="H46" i="208"/>
  <c r="W45" i="208"/>
  <c r="H45" i="208"/>
  <c r="W44" i="208"/>
  <c r="H44" i="208"/>
  <c r="W43" i="208"/>
  <c r="W42" i="208"/>
  <c r="W41" i="208"/>
  <c r="V41" i="208"/>
  <c r="N41" i="208"/>
  <c r="K41" i="208"/>
  <c r="L41" i="208" s="1"/>
  <c r="J41" i="208"/>
  <c r="P41" i="208" s="1"/>
  <c r="F41" i="208"/>
  <c r="H41" i="208" s="1"/>
  <c r="W40" i="208"/>
  <c r="V40" i="208"/>
  <c r="N40" i="208"/>
  <c r="K40" i="208"/>
  <c r="L40" i="208" s="1"/>
  <c r="J40" i="208"/>
  <c r="P40" i="208" s="1"/>
  <c r="F40" i="208"/>
  <c r="H40" i="208" s="1"/>
  <c r="W39" i="208"/>
  <c r="V39" i="208"/>
  <c r="N39" i="208"/>
  <c r="K39" i="208"/>
  <c r="J39" i="208"/>
  <c r="P39" i="208" s="1"/>
  <c r="F39" i="208"/>
  <c r="H39" i="208" s="1"/>
  <c r="W38" i="208"/>
  <c r="N38" i="208"/>
  <c r="J38" i="208"/>
  <c r="F38" i="208"/>
  <c r="H38" i="208" s="1"/>
  <c r="M37" i="208"/>
  <c r="W36" i="208"/>
  <c r="H36" i="208"/>
  <c r="W35" i="208"/>
  <c r="H35" i="208"/>
  <c r="W34" i="208"/>
  <c r="H34" i="208"/>
  <c r="W33" i="208"/>
  <c r="H33" i="208"/>
  <c r="W32" i="208"/>
  <c r="W31" i="208"/>
  <c r="AC30" i="208"/>
  <c r="AB30" i="208"/>
  <c r="W30" i="208"/>
  <c r="W29" i="208"/>
  <c r="V29" i="208"/>
  <c r="N29" i="208"/>
  <c r="K29" i="208"/>
  <c r="L29" i="208" s="1"/>
  <c r="J29" i="208"/>
  <c r="P29" i="208" s="1"/>
  <c r="F29" i="208"/>
  <c r="H29" i="208" s="1"/>
  <c r="B29" i="208"/>
  <c r="W28" i="208"/>
  <c r="V28" i="208"/>
  <c r="N28" i="208"/>
  <c r="K28" i="208"/>
  <c r="L28" i="208" s="1"/>
  <c r="J28" i="208"/>
  <c r="P28" i="208" s="1"/>
  <c r="F28" i="208"/>
  <c r="H28" i="208" s="1"/>
  <c r="B28" i="208"/>
  <c r="W27" i="208"/>
  <c r="N27" i="208"/>
  <c r="K27" i="208"/>
  <c r="J27" i="208"/>
  <c r="F27" i="208"/>
  <c r="H27" i="208" s="1"/>
  <c r="B27" i="208"/>
  <c r="M26" i="208"/>
  <c r="W25" i="208"/>
  <c r="H25" i="208"/>
  <c r="W24" i="208"/>
  <c r="H24" i="208"/>
  <c r="W23" i="208"/>
  <c r="H22" i="208"/>
  <c r="W21" i="208"/>
  <c r="AC20" i="208"/>
  <c r="AB20" i="208"/>
  <c r="W20" i="208"/>
  <c r="AC19" i="208"/>
  <c r="AB19" i="208"/>
  <c r="W19" i="208"/>
  <c r="W18" i="208"/>
  <c r="V18" i="208"/>
  <c r="N18" i="208"/>
  <c r="K18" i="208"/>
  <c r="L18" i="208" s="1"/>
  <c r="J18" i="208"/>
  <c r="P18" i="208" s="1"/>
  <c r="F18" i="208"/>
  <c r="H18" i="208" s="1"/>
  <c r="B18" i="208"/>
  <c r="W17" i="208"/>
  <c r="V17" i="208"/>
  <c r="N17" i="208"/>
  <c r="K17" i="208"/>
  <c r="L17" i="208" s="1"/>
  <c r="J17" i="208"/>
  <c r="P17" i="208" s="1"/>
  <c r="F17" i="208"/>
  <c r="H17" i="208" s="1"/>
  <c r="B17" i="208"/>
  <c r="W16" i="208"/>
  <c r="N16" i="208"/>
  <c r="K16" i="208"/>
  <c r="J16" i="208"/>
  <c r="F16" i="208"/>
  <c r="H16" i="208" s="1"/>
  <c r="B16" i="208"/>
  <c r="M15" i="208"/>
  <c r="W14" i="208"/>
  <c r="W13" i="208"/>
  <c r="W12" i="208"/>
  <c r="H12" i="208"/>
  <c r="W11" i="208"/>
  <c r="H11" i="208"/>
  <c r="W10" i="208"/>
  <c r="AC9" i="208"/>
  <c r="AB9" i="208"/>
  <c r="W9" i="208"/>
  <c r="W8" i="208"/>
  <c r="V8" i="208"/>
  <c r="N8" i="208"/>
  <c r="K8" i="208"/>
  <c r="L8" i="208" s="1"/>
  <c r="J8" i="208"/>
  <c r="P8" i="208" s="1"/>
  <c r="F8" i="208"/>
  <c r="H8" i="208" s="1"/>
  <c r="B8" i="208"/>
  <c r="W7" i="208"/>
  <c r="V7" i="208"/>
  <c r="N7" i="208"/>
  <c r="K7" i="208"/>
  <c r="L7" i="208" s="1"/>
  <c r="J7" i="208"/>
  <c r="P7" i="208" s="1"/>
  <c r="F7" i="208"/>
  <c r="H7" i="208" s="1"/>
  <c r="B7" i="208"/>
  <c r="W6" i="208"/>
  <c r="V6" i="208"/>
  <c r="N6" i="208"/>
  <c r="J6" i="208"/>
  <c r="F6" i="208"/>
  <c r="H6" i="208" s="1"/>
  <c r="B6" i="208"/>
  <c r="W5" i="208"/>
  <c r="N5" i="208"/>
  <c r="K5" i="208"/>
  <c r="J5" i="208"/>
  <c r="F5" i="208"/>
  <c r="H5" i="208" s="1"/>
  <c r="G1" i="208" s="1"/>
  <c r="B5" i="208"/>
  <c r="I2" i="208"/>
  <c r="I1" i="208"/>
  <c r="E1" i="208"/>
  <c r="I18" i="207"/>
  <c r="H18" i="207"/>
  <c r="G18" i="207"/>
  <c r="F18" i="207"/>
  <c r="E18" i="207"/>
  <c r="D18" i="207"/>
  <c r="I16" i="207"/>
  <c r="H16" i="207"/>
  <c r="G16" i="207"/>
  <c r="F16" i="207"/>
  <c r="E16" i="207"/>
  <c r="D16" i="207"/>
  <c r="G3" i="207"/>
  <c r="AC79" i="206"/>
  <c r="AB79" i="206"/>
  <c r="W78" i="206"/>
  <c r="H78" i="206"/>
  <c r="W77" i="206"/>
  <c r="H77" i="206"/>
  <c r="W76" i="206"/>
  <c r="H76" i="206"/>
  <c r="W75" i="206"/>
  <c r="H75" i="206"/>
  <c r="W74" i="206"/>
  <c r="H74" i="206"/>
  <c r="W73" i="206"/>
  <c r="W72" i="206"/>
  <c r="W71" i="206"/>
  <c r="AD70" i="206"/>
  <c r="AC70" i="206"/>
  <c r="AB70" i="206"/>
  <c r="W70" i="206"/>
  <c r="S70" i="206"/>
  <c r="M69" i="206"/>
  <c r="W68" i="206"/>
  <c r="H68" i="206"/>
  <c r="W67" i="206"/>
  <c r="W66" i="206"/>
  <c r="W65" i="206"/>
  <c r="W64" i="206"/>
  <c r="W63" i="206"/>
  <c r="W62" i="206"/>
  <c r="W61" i="206"/>
  <c r="V61" i="206"/>
  <c r="N61" i="206"/>
  <c r="K61" i="206"/>
  <c r="L61" i="206" s="1"/>
  <c r="J61" i="206"/>
  <c r="P61" i="206" s="1"/>
  <c r="F61" i="206"/>
  <c r="H61" i="206" s="1"/>
  <c r="B61" i="206"/>
  <c r="W60" i="206"/>
  <c r="V60" i="206"/>
  <c r="N60" i="206"/>
  <c r="K60" i="206"/>
  <c r="L60" i="206" s="1"/>
  <c r="J60" i="206"/>
  <c r="P60" i="206" s="1"/>
  <c r="F60" i="206"/>
  <c r="H60" i="206" s="1"/>
  <c r="B60" i="206"/>
  <c r="W59" i="206"/>
  <c r="N59" i="206"/>
  <c r="K59" i="206"/>
  <c r="J59" i="206"/>
  <c r="F59" i="206"/>
  <c r="H59" i="206" s="1"/>
  <c r="B59" i="206"/>
  <c r="M58" i="206"/>
  <c r="W57" i="206"/>
  <c r="H57" i="206"/>
  <c r="W56" i="206"/>
  <c r="H56" i="206"/>
  <c r="W55" i="206"/>
  <c r="H55" i="206"/>
  <c r="W54" i="206"/>
  <c r="W53" i="206"/>
  <c r="V53" i="206"/>
  <c r="N53" i="206"/>
  <c r="O53" i="206" s="1"/>
  <c r="K53" i="206"/>
  <c r="L53" i="206" s="1"/>
  <c r="J53" i="206"/>
  <c r="P53" i="206" s="1"/>
  <c r="F53" i="206"/>
  <c r="H53" i="206" s="1"/>
  <c r="B53" i="206"/>
  <c r="W52" i="206"/>
  <c r="V52" i="206"/>
  <c r="N52" i="206"/>
  <c r="K52" i="206"/>
  <c r="L52" i="206" s="1"/>
  <c r="J52" i="206"/>
  <c r="P52" i="206" s="1"/>
  <c r="F52" i="206"/>
  <c r="H52" i="206" s="1"/>
  <c r="B52" i="206"/>
  <c r="W51" i="206"/>
  <c r="V51" i="206"/>
  <c r="N51" i="206"/>
  <c r="K51" i="206"/>
  <c r="L51" i="206" s="1"/>
  <c r="J51" i="206"/>
  <c r="P51" i="206" s="1"/>
  <c r="F51" i="206"/>
  <c r="H51" i="206" s="1"/>
  <c r="B51" i="206"/>
  <c r="W50" i="206"/>
  <c r="V50" i="206"/>
  <c r="N50" i="206"/>
  <c r="K50" i="206"/>
  <c r="L50" i="206" s="1"/>
  <c r="J50" i="206"/>
  <c r="P50" i="206" s="1"/>
  <c r="F50" i="206"/>
  <c r="H50" i="206" s="1"/>
  <c r="B50" i="206"/>
  <c r="W49" i="206"/>
  <c r="N49" i="206"/>
  <c r="K49" i="206"/>
  <c r="J49" i="206"/>
  <c r="F49" i="206"/>
  <c r="H49" i="206" s="1"/>
  <c r="B49" i="206"/>
  <c r="W48" i="206"/>
  <c r="M48" i="206"/>
  <c r="W47" i="206"/>
  <c r="H47" i="206"/>
  <c r="W46" i="206"/>
  <c r="H46" i="206"/>
  <c r="W45" i="206"/>
  <c r="H45" i="206"/>
  <c r="W44" i="206"/>
  <c r="H44" i="206"/>
  <c r="W43" i="206"/>
  <c r="W42" i="206"/>
  <c r="AC41" i="206"/>
  <c r="AB41" i="206"/>
  <c r="W41" i="206"/>
  <c r="W40" i="206"/>
  <c r="V40" i="206"/>
  <c r="N40" i="206"/>
  <c r="K40" i="206"/>
  <c r="L40" i="206" s="1"/>
  <c r="J40" i="206"/>
  <c r="P40" i="206" s="1"/>
  <c r="F40" i="206"/>
  <c r="H40" i="206" s="1"/>
  <c r="W39" i="206"/>
  <c r="V39" i="206"/>
  <c r="N39" i="206"/>
  <c r="K39" i="206"/>
  <c r="J39" i="206"/>
  <c r="P39" i="206" s="1"/>
  <c r="F39" i="206"/>
  <c r="H39" i="206" s="1"/>
  <c r="W38" i="206"/>
  <c r="N38" i="206"/>
  <c r="J38" i="206"/>
  <c r="F38" i="206"/>
  <c r="H38" i="206" s="1"/>
  <c r="M37" i="206"/>
  <c r="W36" i="206"/>
  <c r="H36" i="206"/>
  <c r="W35" i="206"/>
  <c r="H35" i="206"/>
  <c r="W34" i="206"/>
  <c r="H34" i="206"/>
  <c r="W33" i="206"/>
  <c r="H33" i="206"/>
  <c r="W32" i="206"/>
  <c r="W31" i="206"/>
  <c r="W30" i="206"/>
  <c r="V30" i="206"/>
  <c r="N30" i="206"/>
  <c r="K30" i="206"/>
  <c r="L30" i="206" s="1"/>
  <c r="J30" i="206"/>
  <c r="P30" i="206" s="1"/>
  <c r="F30" i="206"/>
  <c r="H30" i="206" s="1"/>
  <c r="B30" i="206"/>
  <c r="W29" i="206"/>
  <c r="V29" i="206"/>
  <c r="N29" i="206"/>
  <c r="K29" i="206"/>
  <c r="L29" i="206" s="1"/>
  <c r="J29" i="206"/>
  <c r="P29" i="206" s="1"/>
  <c r="F29" i="206"/>
  <c r="H29" i="206" s="1"/>
  <c r="B29" i="206"/>
  <c r="W28" i="206"/>
  <c r="V28" i="206"/>
  <c r="N28" i="206"/>
  <c r="K28" i="206"/>
  <c r="L28" i="206" s="1"/>
  <c r="J28" i="206"/>
  <c r="P28" i="206" s="1"/>
  <c r="F28" i="206"/>
  <c r="H28" i="206" s="1"/>
  <c r="B28" i="206"/>
  <c r="W27" i="206"/>
  <c r="N27" i="206"/>
  <c r="K27" i="206"/>
  <c r="J27" i="206"/>
  <c r="F27" i="206"/>
  <c r="H27" i="206" s="1"/>
  <c r="B27" i="206"/>
  <c r="M26" i="206"/>
  <c r="W25" i="206"/>
  <c r="H25" i="206"/>
  <c r="W24" i="206"/>
  <c r="H24" i="206"/>
  <c r="W23" i="206"/>
  <c r="H22" i="206"/>
  <c r="W21" i="206"/>
  <c r="AC20" i="206"/>
  <c r="AB20" i="206"/>
  <c r="W20" i="206"/>
  <c r="W19" i="206"/>
  <c r="V19" i="206"/>
  <c r="N19" i="206"/>
  <c r="K19" i="206"/>
  <c r="L19" i="206" s="1"/>
  <c r="J19" i="206"/>
  <c r="P19" i="206" s="1"/>
  <c r="F19" i="206"/>
  <c r="H19" i="206" s="1"/>
  <c r="B19" i="206"/>
  <c r="W18" i="206"/>
  <c r="V18" i="206"/>
  <c r="N18" i="206"/>
  <c r="K18" i="206"/>
  <c r="L18" i="206" s="1"/>
  <c r="J18" i="206"/>
  <c r="P18" i="206" s="1"/>
  <c r="F18" i="206"/>
  <c r="H18" i="206" s="1"/>
  <c r="B18" i="206"/>
  <c r="W17" i="206"/>
  <c r="V17" i="206"/>
  <c r="N17" i="206"/>
  <c r="K17" i="206"/>
  <c r="L17" i="206" s="1"/>
  <c r="J17" i="206"/>
  <c r="P17" i="206" s="1"/>
  <c r="F17" i="206"/>
  <c r="H17" i="206" s="1"/>
  <c r="B17" i="206"/>
  <c r="W16" i="206"/>
  <c r="N16" i="206"/>
  <c r="K16" i="206"/>
  <c r="J16" i="206"/>
  <c r="F16" i="206"/>
  <c r="H16" i="206" s="1"/>
  <c r="B16" i="206"/>
  <c r="M15" i="206"/>
  <c r="W14" i="206"/>
  <c r="W13" i="206"/>
  <c r="W12" i="206"/>
  <c r="H12" i="206"/>
  <c r="W11" i="206"/>
  <c r="H11" i="206"/>
  <c r="W10" i="206"/>
  <c r="W9" i="206"/>
  <c r="V9" i="206"/>
  <c r="N9" i="206"/>
  <c r="K9" i="206"/>
  <c r="L9" i="206" s="1"/>
  <c r="J9" i="206"/>
  <c r="P9" i="206" s="1"/>
  <c r="F9" i="206"/>
  <c r="H9" i="206" s="1"/>
  <c r="B9" i="206"/>
  <c r="W8" i="206"/>
  <c r="V8" i="206"/>
  <c r="N8" i="206"/>
  <c r="K8" i="206"/>
  <c r="L8" i="206" s="1"/>
  <c r="J8" i="206"/>
  <c r="P8" i="206" s="1"/>
  <c r="F8" i="206"/>
  <c r="H8" i="206" s="1"/>
  <c r="B8" i="206"/>
  <c r="W7" i="206"/>
  <c r="V7" i="206"/>
  <c r="N7" i="206"/>
  <c r="K7" i="206"/>
  <c r="L7" i="206" s="1"/>
  <c r="J7" i="206"/>
  <c r="P7" i="206" s="1"/>
  <c r="F7" i="206"/>
  <c r="H7" i="206" s="1"/>
  <c r="B7" i="206"/>
  <c r="W6" i="206"/>
  <c r="V6" i="206"/>
  <c r="N6" i="206"/>
  <c r="J6" i="206"/>
  <c r="F6" i="206"/>
  <c r="H6" i="206" s="1"/>
  <c r="B6" i="206"/>
  <c r="W5" i="206"/>
  <c r="N5" i="206"/>
  <c r="K5" i="206"/>
  <c r="J5" i="206"/>
  <c r="F5" i="206"/>
  <c r="H5" i="206" s="1"/>
  <c r="G1" i="206" s="1"/>
  <c r="B5" i="206"/>
  <c r="I2" i="206"/>
  <c r="I1" i="206"/>
  <c r="E1" i="206"/>
  <c r="I18" i="205"/>
  <c r="H18" i="205"/>
  <c r="G18" i="205"/>
  <c r="F18" i="205"/>
  <c r="E18" i="205"/>
  <c r="D18" i="205"/>
  <c r="I16" i="205"/>
  <c r="H16" i="205"/>
  <c r="G16" i="205"/>
  <c r="F16" i="205"/>
  <c r="E16" i="205"/>
  <c r="D16" i="205"/>
  <c r="G3" i="205"/>
  <c r="AC79" i="204"/>
  <c r="AB79" i="204"/>
  <c r="W78" i="204"/>
  <c r="H78" i="204"/>
  <c r="W77" i="204"/>
  <c r="H77" i="204"/>
  <c r="W76" i="204"/>
  <c r="H76" i="204"/>
  <c r="W75" i="204"/>
  <c r="H75" i="204"/>
  <c r="W74" i="204"/>
  <c r="H74" i="204"/>
  <c r="W73" i="204"/>
  <c r="W72" i="204"/>
  <c r="W71" i="204"/>
  <c r="AD70" i="204"/>
  <c r="AC70" i="204"/>
  <c r="AB70" i="204"/>
  <c r="W70" i="204"/>
  <c r="S70" i="204"/>
  <c r="M69" i="204"/>
  <c r="W68" i="204"/>
  <c r="H68" i="204"/>
  <c r="W67" i="204"/>
  <c r="W66" i="204"/>
  <c r="W65" i="204"/>
  <c r="W64" i="204"/>
  <c r="W63" i="204"/>
  <c r="W62" i="204"/>
  <c r="W61" i="204"/>
  <c r="V61" i="204"/>
  <c r="N61" i="204"/>
  <c r="K61" i="204"/>
  <c r="L61" i="204" s="1"/>
  <c r="J61" i="204"/>
  <c r="P61" i="204" s="1"/>
  <c r="F61" i="204"/>
  <c r="H61" i="204" s="1"/>
  <c r="B61" i="204"/>
  <c r="W60" i="204"/>
  <c r="V60" i="204"/>
  <c r="N60" i="204"/>
  <c r="K60" i="204"/>
  <c r="L60" i="204" s="1"/>
  <c r="J60" i="204"/>
  <c r="P60" i="204" s="1"/>
  <c r="F60" i="204"/>
  <c r="H60" i="204" s="1"/>
  <c r="B60" i="204"/>
  <c r="W59" i="204"/>
  <c r="N59" i="204"/>
  <c r="K59" i="204"/>
  <c r="J59" i="204"/>
  <c r="F59" i="204"/>
  <c r="H59" i="204" s="1"/>
  <c r="B59" i="204"/>
  <c r="M58" i="204"/>
  <c r="W57" i="204"/>
  <c r="H57" i="204"/>
  <c r="W56" i="204"/>
  <c r="H56" i="204"/>
  <c r="W55" i="204"/>
  <c r="H55" i="204"/>
  <c r="W54" i="204"/>
  <c r="V54" i="204"/>
  <c r="N54" i="204"/>
  <c r="O54" i="204" s="1"/>
  <c r="K54" i="204"/>
  <c r="L54" i="204" s="1"/>
  <c r="J54" i="204"/>
  <c r="P54" i="204" s="1"/>
  <c r="F54" i="204"/>
  <c r="H54" i="204" s="1"/>
  <c r="B54" i="204"/>
  <c r="W53" i="204"/>
  <c r="V53" i="204"/>
  <c r="N53" i="204"/>
  <c r="O53" i="204" s="1"/>
  <c r="K53" i="204"/>
  <c r="L53" i="204" s="1"/>
  <c r="J53" i="204"/>
  <c r="P53" i="204" s="1"/>
  <c r="F53" i="204"/>
  <c r="H53" i="204" s="1"/>
  <c r="B53" i="204"/>
  <c r="W52" i="204"/>
  <c r="V52" i="204"/>
  <c r="N52" i="204"/>
  <c r="K52" i="204"/>
  <c r="L52" i="204" s="1"/>
  <c r="J52" i="204"/>
  <c r="P52" i="204" s="1"/>
  <c r="F52" i="204"/>
  <c r="H52" i="204" s="1"/>
  <c r="B52" i="204"/>
  <c r="W51" i="204"/>
  <c r="V51" i="204"/>
  <c r="N51" i="204"/>
  <c r="K51" i="204"/>
  <c r="L51" i="204" s="1"/>
  <c r="J51" i="204"/>
  <c r="P51" i="204" s="1"/>
  <c r="F51" i="204"/>
  <c r="H51" i="204" s="1"/>
  <c r="B51" i="204"/>
  <c r="W50" i="204"/>
  <c r="V50" i="204"/>
  <c r="N50" i="204"/>
  <c r="K50" i="204"/>
  <c r="L50" i="204" s="1"/>
  <c r="J50" i="204"/>
  <c r="P50" i="204" s="1"/>
  <c r="F50" i="204"/>
  <c r="H50" i="204" s="1"/>
  <c r="B50" i="204"/>
  <c r="W49" i="204"/>
  <c r="N49" i="204"/>
  <c r="K49" i="204"/>
  <c r="J49" i="204"/>
  <c r="F49" i="204"/>
  <c r="H49" i="204" s="1"/>
  <c r="B49" i="204"/>
  <c r="W48" i="204"/>
  <c r="M48" i="204"/>
  <c r="W47" i="204"/>
  <c r="H47" i="204"/>
  <c r="W46" i="204"/>
  <c r="H46" i="204"/>
  <c r="W45" i="204"/>
  <c r="H45" i="204"/>
  <c r="W44" i="204"/>
  <c r="H44" i="204"/>
  <c r="W43" i="204"/>
  <c r="W42" i="204"/>
  <c r="V42" i="204"/>
  <c r="N42" i="204"/>
  <c r="O42" i="204" s="1"/>
  <c r="K42" i="204"/>
  <c r="L42" i="204" s="1"/>
  <c r="J42" i="204"/>
  <c r="P42" i="204" s="1"/>
  <c r="F42" i="204"/>
  <c r="H42" i="204" s="1"/>
  <c r="W41" i="204"/>
  <c r="V41" i="204"/>
  <c r="N41" i="204"/>
  <c r="K41" i="204"/>
  <c r="L41" i="204" s="1"/>
  <c r="J41" i="204"/>
  <c r="P41" i="204" s="1"/>
  <c r="F41" i="204"/>
  <c r="H41" i="204" s="1"/>
  <c r="W40" i="204"/>
  <c r="V40" i="204"/>
  <c r="N40" i="204"/>
  <c r="K40" i="204"/>
  <c r="L40" i="204" s="1"/>
  <c r="J40" i="204"/>
  <c r="P40" i="204" s="1"/>
  <c r="F40" i="204"/>
  <c r="H40" i="204" s="1"/>
  <c r="W39" i="204"/>
  <c r="V39" i="204"/>
  <c r="N39" i="204"/>
  <c r="K39" i="204"/>
  <c r="J39" i="204"/>
  <c r="P39" i="204" s="1"/>
  <c r="F39" i="204"/>
  <c r="H39" i="204" s="1"/>
  <c r="W38" i="204"/>
  <c r="N38" i="204"/>
  <c r="J38" i="204"/>
  <c r="F38" i="204"/>
  <c r="H38" i="204" s="1"/>
  <c r="M37" i="204"/>
  <c r="W36" i="204"/>
  <c r="H36" i="204"/>
  <c r="W35" i="204"/>
  <c r="H35" i="204"/>
  <c r="W34" i="204"/>
  <c r="H34" i="204"/>
  <c r="W33" i="204"/>
  <c r="H33" i="204"/>
  <c r="W32" i="204"/>
  <c r="W31" i="204"/>
  <c r="W30" i="204"/>
  <c r="V30" i="204"/>
  <c r="N30" i="204"/>
  <c r="K30" i="204"/>
  <c r="L30" i="204" s="1"/>
  <c r="J30" i="204"/>
  <c r="P30" i="204" s="1"/>
  <c r="F30" i="204"/>
  <c r="H30" i="204" s="1"/>
  <c r="B30" i="204"/>
  <c r="W29" i="204"/>
  <c r="V29" i="204"/>
  <c r="N29" i="204"/>
  <c r="K29" i="204"/>
  <c r="L29" i="204" s="1"/>
  <c r="J29" i="204"/>
  <c r="P29" i="204" s="1"/>
  <c r="F29" i="204"/>
  <c r="H29" i="204" s="1"/>
  <c r="B29" i="204"/>
  <c r="W28" i="204"/>
  <c r="V28" i="204"/>
  <c r="N28" i="204"/>
  <c r="K28" i="204"/>
  <c r="L28" i="204" s="1"/>
  <c r="J28" i="204"/>
  <c r="P28" i="204" s="1"/>
  <c r="F28" i="204"/>
  <c r="H28" i="204" s="1"/>
  <c r="B28" i="204"/>
  <c r="W27" i="204"/>
  <c r="N27" i="204"/>
  <c r="K27" i="204"/>
  <c r="J27" i="204"/>
  <c r="F27" i="204"/>
  <c r="H27" i="204" s="1"/>
  <c r="B27" i="204"/>
  <c r="M26" i="204"/>
  <c r="W25" i="204"/>
  <c r="H25" i="204"/>
  <c r="W24" i="204"/>
  <c r="H24" i="204"/>
  <c r="W23" i="204"/>
  <c r="H22" i="204"/>
  <c r="W21" i="204"/>
  <c r="W20" i="204"/>
  <c r="N20" i="204"/>
  <c r="K20" i="204"/>
  <c r="L20" i="204" s="1"/>
  <c r="J20" i="204"/>
  <c r="P20" i="204" s="1"/>
  <c r="F20" i="204"/>
  <c r="H20" i="204" s="1"/>
  <c r="B20" i="204"/>
  <c r="W19" i="204"/>
  <c r="V19" i="204"/>
  <c r="N19" i="204"/>
  <c r="K19" i="204"/>
  <c r="L19" i="204" s="1"/>
  <c r="J19" i="204"/>
  <c r="P19" i="204" s="1"/>
  <c r="F19" i="204"/>
  <c r="H19" i="204" s="1"/>
  <c r="B19" i="204"/>
  <c r="W18" i="204"/>
  <c r="V18" i="204"/>
  <c r="N18" i="204"/>
  <c r="K18" i="204"/>
  <c r="L18" i="204" s="1"/>
  <c r="J18" i="204"/>
  <c r="P18" i="204" s="1"/>
  <c r="F18" i="204"/>
  <c r="H18" i="204" s="1"/>
  <c r="B18" i="204"/>
  <c r="W17" i="204"/>
  <c r="V17" i="204"/>
  <c r="N17" i="204"/>
  <c r="K17" i="204"/>
  <c r="L17" i="204" s="1"/>
  <c r="J17" i="204"/>
  <c r="P17" i="204" s="1"/>
  <c r="F17" i="204"/>
  <c r="H17" i="204" s="1"/>
  <c r="B17" i="204"/>
  <c r="W16" i="204"/>
  <c r="N16" i="204"/>
  <c r="K16" i="204"/>
  <c r="J16" i="204"/>
  <c r="F16" i="204"/>
  <c r="H16" i="204" s="1"/>
  <c r="B16" i="204"/>
  <c r="M15" i="204"/>
  <c r="W14" i="204"/>
  <c r="W13" i="204"/>
  <c r="W12" i="204"/>
  <c r="H12" i="204"/>
  <c r="W11" i="204"/>
  <c r="H11" i="204"/>
  <c r="W10" i="204"/>
  <c r="W9" i="204"/>
  <c r="V9" i="204"/>
  <c r="N9" i="204"/>
  <c r="K9" i="204"/>
  <c r="L9" i="204" s="1"/>
  <c r="J9" i="204"/>
  <c r="P9" i="204" s="1"/>
  <c r="F9" i="204"/>
  <c r="H9" i="204" s="1"/>
  <c r="B9" i="204"/>
  <c r="W8" i="204"/>
  <c r="V8" i="204"/>
  <c r="N8" i="204"/>
  <c r="K8" i="204"/>
  <c r="L8" i="204" s="1"/>
  <c r="J8" i="204"/>
  <c r="P8" i="204" s="1"/>
  <c r="F8" i="204"/>
  <c r="H8" i="204" s="1"/>
  <c r="B8" i="204"/>
  <c r="W7" i="204"/>
  <c r="N7" i="204" s="1"/>
  <c r="V7" i="204"/>
  <c r="K7" i="204"/>
  <c r="L7" i="204" s="1"/>
  <c r="J7" i="204"/>
  <c r="P7" i="204" s="1"/>
  <c r="F7" i="204"/>
  <c r="H7" i="204" s="1"/>
  <c r="B7" i="204"/>
  <c r="W6" i="204"/>
  <c r="V6" i="204"/>
  <c r="N6" i="204"/>
  <c r="J6" i="204"/>
  <c r="F6" i="204"/>
  <c r="H6" i="204" s="1"/>
  <c r="B6" i="204"/>
  <c r="W5" i="204"/>
  <c r="N5" i="204"/>
  <c r="K5" i="204"/>
  <c r="J5" i="204"/>
  <c r="F5" i="204"/>
  <c r="H5" i="204" s="1"/>
  <c r="G1" i="204" s="1"/>
  <c r="B5" i="204"/>
  <c r="I2" i="204"/>
  <c r="I1" i="204"/>
  <c r="E1" i="204"/>
  <c r="I18" i="203"/>
  <c r="H18" i="203"/>
  <c r="G18" i="203"/>
  <c r="F18" i="203"/>
  <c r="E18" i="203"/>
  <c r="D18" i="203"/>
  <c r="I16" i="203"/>
  <c r="H16" i="203"/>
  <c r="G16" i="203"/>
  <c r="F16" i="203"/>
  <c r="E16" i="203"/>
  <c r="D16" i="203"/>
  <c r="G3" i="203"/>
  <c r="W78" i="202"/>
  <c r="H78" i="202"/>
  <c r="W77" i="202"/>
  <c r="H77" i="202"/>
  <c r="W76" i="202"/>
  <c r="H76" i="202"/>
  <c r="W75" i="202"/>
  <c r="H75" i="202"/>
  <c r="W74" i="202"/>
  <c r="H74" i="202"/>
  <c r="W73" i="202"/>
  <c r="W72" i="202"/>
  <c r="W71" i="202"/>
  <c r="N71" i="202"/>
  <c r="O71" i="202" s="1"/>
  <c r="K71" i="202"/>
  <c r="L71" i="202" s="1"/>
  <c r="J71" i="202"/>
  <c r="P71" i="202" s="1"/>
  <c r="F71" i="202"/>
  <c r="H71" i="202" s="1"/>
  <c r="B71" i="202"/>
  <c r="W70" i="202"/>
  <c r="N70" i="202"/>
  <c r="K70" i="202"/>
  <c r="L70" i="202" s="1"/>
  <c r="J70" i="202"/>
  <c r="P70" i="202" s="1"/>
  <c r="F70" i="202"/>
  <c r="H70" i="202" s="1"/>
  <c r="B70" i="202"/>
  <c r="M69" i="202"/>
  <c r="W68" i="202"/>
  <c r="H68" i="202"/>
  <c r="W67" i="202"/>
  <c r="W66" i="202"/>
  <c r="W65" i="202"/>
  <c r="W64" i="202"/>
  <c r="W63" i="202"/>
  <c r="V63" i="202"/>
  <c r="N63" i="202"/>
  <c r="O63" i="202" s="1"/>
  <c r="K63" i="202"/>
  <c r="L63" i="202" s="1"/>
  <c r="J63" i="202"/>
  <c r="P63" i="202" s="1"/>
  <c r="F63" i="202"/>
  <c r="H63" i="202" s="1"/>
  <c r="B63" i="202"/>
  <c r="W62" i="202"/>
  <c r="V62" i="202"/>
  <c r="N62" i="202"/>
  <c r="O62" i="202" s="1"/>
  <c r="K62" i="202"/>
  <c r="L62" i="202" s="1"/>
  <c r="J62" i="202"/>
  <c r="P62" i="202" s="1"/>
  <c r="F62" i="202"/>
  <c r="H62" i="202" s="1"/>
  <c r="B62" i="202"/>
  <c r="W61" i="202"/>
  <c r="V61" i="202"/>
  <c r="N61" i="202"/>
  <c r="K61" i="202"/>
  <c r="L61" i="202" s="1"/>
  <c r="J61" i="202"/>
  <c r="P61" i="202" s="1"/>
  <c r="F61" i="202"/>
  <c r="H61" i="202" s="1"/>
  <c r="B61" i="202"/>
  <c r="W60" i="202"/>
  <c r="V60" i="202"/>
  <c r="N60" i="202"/>
  <c r="K60" i="202"/>
  <c r="L60" i="202" s="1"/>
  <c r="J60" i="202"/>
  <c r="P60" i="202" s="1"/>
  <c r="F60" i="202"/>
  <c r="H60" i="202" s="1"/>
  <c r="B60" i="202"/>
  <c r="W59" i="202"/>
  <c r="N59" i="202"/>
  <c r="K59" i="202"/>
  <c r="J59" i="202"/>
  <c r="F59" i="202"/>
  <c r="H59" i="202" s="1"/>
  <c r="B59" i="202"/>
  <c r="M58" i="202"/>
  <c r="W57" i="202"/>
  <c r="H57" i="202"/>
  <c r="W56" i="202"/>
  <c r="H56" i="202"/>
  <c r="W55" i="202"/>
  <c r="H55" i="202"/>
  <c r="W54" i="202"/>
  <c r="V54" i="202"/>
  <c r="N54" i="202"/>
  <c r="O54" i="202" s="1"/>
  <c r="K54" i="202"/>
  <c r="L54" i="202" s="1"/>
  <c r="J54" i="202"/>
  <c r="P54" i="202" s="1"/>
  <c r="F54" i="202"/>
  <c r="H54" i="202" s="1"/>
  <c r="B54" i="202"/>
  <c r="W53" i="202"/>
  <c r="V53" i="202"/>
  <c r="N53" i="202"/>
  <c r="O53" i="202" s="1"/>
  <c r="K53" i="202"/>
  <c r="L53" i="202" s="1"/>
  <c r="J53" i="202"/>
  <c r="P53" i="202" s="1"/>
  <c r="F53" i="202"/>
  <c r="H53" i="202" s="1"/>
  <c r="B53" i="202"/>
  <c r="W52" i="202"/>
  <c r="V52" i="202"/>
  <c r="N52" i="202"/>
  <c r="K52" i="202"/>
  <c r="L52" i="202" s="1"/>
  <c r="J52" i="202"/>
  <c r="P52" i="202" s="1"/>
  <c r="F52" i="202"/>
  <c r="H52" i="202" s="1"/>
  <c r="B52" i="202"/>
  <c r="W51" i="202"/>
  <c r="V51" i="202"/>
  <c r="N51" i="202"/>
  <c r="K51" i="202"/>
  <c r="L51" i="202" s="1"/>
  <c r="J51" i="202"/>
  <c r="P51" i="202" s="1"/>
  <c r="F51" i="202"/>
  <c r="H51" i="202" s="1"/>
  <c r="B51" i="202"/>
  <c r="W50" i="202"/>
  <c r="V50" i="202"/>
  <c r="N50" i="202"/>
  <c r="K50" i="202"/>
  <c r="L50" i="202" s="1"/>
  <c r="J50" i="202"/>
  <c r="P50" i="202" s="1"/>
  <c r="F50" i="202"/>
  <c r="H50" i="202" s="1"/>
  <c r="B50" i="202"/>
  <c r="W49" i="202"/>
  <c r="N49" i="202"/>
  <c r="K49" i="202"/>
  <c r="J49" i="202"/>
  <c r="F49" i="202"/>
  <c r="H49" i="202" s="1"/>
  <c r="B49" i="202"/>
  <c r="W48" i="202"/>
  <c r="M48" i="202"/>
  <c r="W47" i="202"/>
  <c r="H47" i="202"/>
  <c r="W46" i="202"/>
  <c r="H46" i="202"/>
  <c r="W45" i="202"/>
  <c r="H45" i="202"/>
  <c r="W44" i="202"/>
  <c r="H44" i="202"/>
  <c r="W43" i="202"/>
  <c r="W42" i="202"/>
  <c r="V42" i="202"/>
  <c r="N42" i="202"/>
  <c r="O42" i="202" s="1"/>
  <c r="K42" i="202"/>
  <c r="L42" i="202" s="1"/>
  <c r="J42" i="202"/>
  <c r="P42" i="202" s="1"/>
  <c r="F42" i="202"/>
  <c r="H42" i="202" s="1"/>
  <c r="W41" i="202"/>
  <c r="V41" i="202"/>
  <c r="N41" i="202"/>
  <c r="K41" i="202"/>
  <c r="L41" i="202" s="1"/>
  <c r="J41" i="202"/>
  <c r="P41" i="202" s="1"/>
  <c r="F41" i="202"/>
  <c r="H41" i="202" s="1"/>
  <c r="W40" i="202"/>
  <c r="V40" i="202"/>
  <c r="N40" i="202"/>
  <c r="K40" i="202"/>
  <c r="L40" i="202" s="1"/>
  <c r="J40" i="202"/>
  <c r="P40" i="202" s="1"/>
  <c r="F40" i="202"/>
  <c r="H40" i="202" s="1"/>
  <c r="W39" i="202"/>
  <c r="V39" i="202"/>
  <c r="N39" i="202"/>
  <c r="K39" i="202"/>
  <c r="J39" i="202"/>
  <c r="P39" i="202" s="1"/>
  <c r="F39" i="202"/>
  <c r="H39" i="202" s="1"/>
  <c r="W38" i="202"/>
  <c r="N38" i="202"/>
  <c r="J38" i="202"/>
  <c r="F38" i="202"/>
  <c r="H38" i="202" s="1"/>
  <c r="M37" i="202"/>
  <c r="W36" i="202"/>
  <c r="H36" i="202"/>
  <c r="W35" i="202"/>
  <c r="H35" i="202"/>
  <c r="W34" i="202"/>
  <c r="H34" i="202"/>
  <c r="W33" i="202"/>
  <c r="H33" i="202"/>
  <c r="W32" i="202"/>
  <c r="W31" i="202"/>
  <c r="W30" i="202"/>
  <c r="V30" i="202"/>
  <c r="N30" i="202"/>
  <c r="K30" i="202"/>
  <c r="L30" i="202" s="1"/>
  <c r="J30" i="202"/>
  <c r="P30" i="202" s="1"/>
  <c r="F30" i="202"/>
  <c r="H30" i="202" s="1"/>
  <c r="B30" i="202"/>
  <c r="W29" i="202"/>
  <c r="V29" i="202"/>
  <c r="N29" i="202"/>
  <c r="K29" i="202"/>
  <c r="L29" i="202" s="1"/>
  <c r="J29" i="202"/>
  <c r="P29" i="202" s="1"/>
  <c r="F29" i="202"/>
  <c r="H29" i="202" s="1"/>
  <c r="B29" i="202"/>
  <c r="W28" i="202"/>
  <c r="V28" i="202"/>
  <c r="N28" i="202"/>
  <c r="K28" i="202"/>
  <c r="L28" i="202" s="1"/>
  <c r="J28" i="202"/>
  <c r="P28" i="202" s="1"/>
  <c r="F28" i="202"/>
  <c r="H28" i="202" s="1"/>
  <c r="B28" i="202"/>
  <c r="W27" i="202"/>
  <c r="N27" i="202"/>
  <c r="K27" i="202"/>
  <c r="J27" i="202"/>
  <c r="F27" i="202"/>
  <c r="H27" i="202" s="1"/>
  <c r="B27" i="202"/>
  <c r="M26" i="202"/>
  <c r="W25" i="202"/>
  <c r="H25" i="202"/>
  <c r="W24" i="202"/>
  <c r="H24" i="202"/>
  <c r="W23" i="202"/>
  <c r="H22" i="202"/>
  <c r="W21" i="202"/>
  <c r="W20" i="202"/>
  <c r="N20" i="202"/>
  <c r="K20" i="202"/>
  <c r="L20" i="202" s="1"/>
  <c r="J20" i="202"/>
  <c r="P20" i="202" s="1"/>
  <c r="F20" i="202"/>
  <c r="H20" i="202" s="1"/>
  <c r="B20" i="202"/>
  <c r="W19" i="202"/>
  <c r="V19" i="202"/>
  <c r="N19" i="202"/>
  <c r="K19" i="202"/>
  <c r="L19" i="202" s="1"/>
  <c r="J19" i="202"/>
  <c r="P19" i="202" s="1"/>
  <c r="F19" i="202"/>
  <c r="H19" i="202" s="1"/>
  <c r="B19" i="202"/>
  <c r="W18" i="202"/>
  <c r="V18" i="202"/>
  <c r="N18" i="202"/>
  <c r="K18" i="202"/>
  <c r="L18" i="202" s="1"/>
  <c r="J18" i="202"/>
  <c r="P18" i="202" s="1"/>
  <c r="F18" i="202"/>
  <c r="H18" i="202" s="1"/>
  <c r="B18" i="202"/>
  <c r="W17" i="202"/>
  <c r="V17" i="202"/>
  <c r="N17" i="202"/>
  <c r="K17" i="202"/>
  <c r="L17" i="202" s="1"/>
  <c r="J17" i="202"/>
  <c r="P17" i="202" s="1"/>
  <c r="F17" i="202"/>
  <c r="H17" i="202" s="1"/>
  <c r="B17" i="202"/>
  <c r="W16" i="202"/>
  <c r="N16" i="202"/>
  <c r="K16" i="202"/>
  <c r="J16" i="202"/>
  <c r="F16" i="202"/>
  <c r="H16" i="202" s="1"/>
  <c r="B16" i="202"/>
  <c r="M15" i="202"/>
  <c r="W14" i="202"/>
  <c r="W13" i="202"/>
  <c r="W12" i="202"/>
  <c r="H12" i="202"/>
  <c r="W11" i="202"/>
  <c r="H11" i="202"/>
  <c r="W10" i="202"/>
  <c r="W9" i="202"/>
  <c r="V9" i="202"/>
  <c r="N9" i="202"/>
  <c r="K9" i="202"/>
  <c r="L9" i="202" s="1"/>
  <c r="J9" i="202"/>
  <c r="P9" i="202" s="1"/>
  <c r="F9" i="202"/>
  <c r="H9" i="202" s="1"/>
  <c r="B9" i="202"/>
  <c r="W8" i="202"/>
  <c r="V8" i="202"/>
  <c r="N8" i="202"/>
  <c r="K8" i="202"/>
  <c r="L8" i="202" s="1"/>
  <c r="J8" i="202"/>
  <c r="P8" i="202" s="1"/>
  <c r="F8" i="202"/>
  <c r="H8" i="202" s="1"/>
  <c r="B8" i="202"/>
  <c r="W7" i="202"/>
  <c r="V7" i="202"/>
  <c r="N7" i="202"/>
  <c r="K7" i="202"/>
  <c r="L7" i="202" s="1"/>
  <c r="J7" i="202"/>
  <c r="P7" i="202" s="1"/>
  <c r="F7" i="202"/>
  <c r="H7" i="202" s="1"/>
  <c r="B7" i="202"/>
  <c r="W6" i="202"/>
  <c r="V6" i="202"/>
  <c r="N6" i="202"/>
  <c r="J6" i="202"/>
  <c r="F6" i="202"/>
  <c r="H6" i="202" s="1"/>
  <c r="B6" i="202"/>
  <c r="W5" i="202"/>
  <c r="N5" i="202"/>
  <c r="K5" i="202"/>
  <c r="J5" i="202"/>
  <c r="F5" i="202"/>
  <c r="H5" i="202" s="1"/>
  <c r="G1" i="202" s="1"/>
  <c r="B5" i="202"/>
  <c r="I2" i="202"/>
  <c r="E1" i="202"/>
  <c r="I18" i="201"/>
  <c r="H18" i="201"/>
  <c r="G18" i="201"/>
  <c r="F18" i="201"/>
  <c r="E18" i="201"/>
  <c r="D18" i="201"/>
  <c r="J16" i="201"/>
  <c r="I16" i="201"/>
  <c r="H16" i="201"/>
  <c r="G16" i="201"/>
  <c r="F16" i="201"/>
  <c r="E16" i="201"/>
  <c r="D16" i="201"/>
  <c r="G3" i="201"/>
  <c r="AC79" i="200"/>
  <c r="AB79" i="200"/>
  <c r="J79" i="200"/>
  <c r="W78" i="200"/>
  <c r="H78" i="200"/>
  <c r="W77" i="200"/>
  <c r="H77" i="200"/>
  <c r="W76" i="200"/>
  <c r="H76" i="200"/>
  <c r="W75" i="200"/>
  <c r="H75" i="200"/>
  <c r="W74" i="200"/>
  <c r="H74" i="200"/>
  <c r="W73" i="200"/>
  <c r="W72" i="200"/>
  <c r="W71" i="200"/>
  <c r="AD70" i="200"/>
  <c r="AC70" i="200"/>
  <c r="AB70" i="200"/>
  <c r="W70" i="200"/>
  <c r="S70" i="200"/>
  <c r="M69" i="200"/>
  <c r="W68" i="200"/>
  <c r="H68" i="200"/>
  <c r="W67" i="200"/>
  <c r="H67" i="200"/>
  <c r="W66" i="200"/>
  <c r="W65" i="200"/>
  <c r="W64" i="200"/>
  <c r="W63" i="200"/>
  <c r="W62" i="200"/>
  <c r="W61" i="200"/>
  <c r="V61" i="200"/>
  <c r="N61" i="200"/>
  <c r="K61" i="200"/>
  <c r="L61" i="200" s="1"/>
  <c r="J61" i="200"/>
  <c r="P61" i="200" s="1"/>
  <c r="F61" i="200"/>
  <c r="H61" i="200" s="1"/>
  <c r="B61" i="200"/>
  <c r="W60" i="200"/>
  <c r="V60" i="200"/>
  <c r="N60" i="200"/>
  <c r="K60" i="200"/>
  <c r="L60" i="200" s="1"/>
  <c r="J60" i="200"/>
  <c r="P60" i="200" s="1"/>
  <c r="F60" i="200"/>
  <c r="H60" i="200" s="1"/>
  <c r="B60" i="200"/>
  <c r="W59" i="200"/>
  <c r="N59" i="200" s="1"/>
  <c r="K59" i="200"/>
  <c r="J59" i="200"/>
  <c r="F59" i="200"/>
  <c r="H59" i="200" s="1"/>
  <c r="B59" i="200"/>
  <c r="M58" i="200"/>
  <c r="W57" i="200"/>
  <c r="H57" i="200"/>
  <c r="W56" i="200"/>
  <c r="H56" i="200"/>
  <c r="W55" i="200"/>
  <c r="H55" i="200"/>
  <c r="W54" i="200"/>
  <c r="H54" i="200"/>
  <c r="W53" i="200"/>
  <c r="W52" i="200"/>
  <c r="V52" i="200"/>
  <c r="N52" i="200"/>
  <c r="K52" i="200"/>
  <c r="L52" i="200" s="1"/>
  <c r="J52" i="200"/>
  <c r="P52" i="200" s="1"/>
  <c r="F52" i="200"/>
  <c r="H52" i="200" s="1"/>
  <c r="B52" i="200"/>
  <c r="W51" i="200"/>
  <c r="V51" i="200"/>
  <c r="N51" i="200"/>
  <c r="K51" i="200"/>
  <c r="L51" i="200" s="1"/>
  <c r="J51" i="200"/>
  <c r="P51" i="200" s="1"/>
  <c r="F51" i="200"/>
  <c r="H51" i="200" s="1"/>
  <c r="B51" i="200"/>
  <c r="W50" i="200"/>
  <c r="V50" i="200"/>
  <c r="N50" i="200"/>
  <c r="K50" i="200"/>
  <c r="L50" i="200" s="1"/>
  <c r="J50" i="200"/>
  <c r="P50" i="200" s="1"/>
  <c r="F50" i="200"/>
  <c r="H50" i="200" s="1"/>
  <c r="B50" i="200"/>
  <c r="W49" i="200"/>
  <c r="N49" i="200"/>
  <c r="K49" i="200"/>
  <c r="J49" i="200"/>
  <c r="F49" i="200"/>
  <c r="H49" i="200" s="1"/>
  <c r="B49" i="200"/>
  <c r="W48" i="200"/>
  <c r="M48" i="200"/>
  <c r="W47" i="200"/>
  <c r="H47" i="200"/>
  <c r="W46" i="200"/>
  <c r="H46" i="200"/>
  <c r="W45" i="200"/>
  <c r="H45" i="200"/>
  <c r="W44" i="200"/>
  <c r="H44" i="200"/>
  <c r="W43" i="200"/>
  <c r="W42" i="200"/>
  <c r="V42" i="200"/>
  <c r="N42" i="200"/>
  <c r="O42" i="200" s="1"/>
  <c r="K42" i="200"/>
  <c r="L42" i="200" s="1"/>
  <c r="J42" i="200"/>
  <c r="P42" i="200" s="1"/>
  <c r="F42" i="200"/>
  <c r="H42" i="200" s="1"/>
  <c r="W41" i="200"/>
  <c r="V41" i="200"/>
  <c r="N41" i="200"/>
  <c r="K41" i="200"/>
  <c r="L41" i="200" s="1"/>
  <c r="J41" i="200"/>
  <c r="P41" i="200" s="1"/>
  <c r="F41" i="200"/>
  <c r="H41" i="200" s="1"/>
  <c r="W40" i="200"/>
  <c r="V40" i="200"/>
  <c r="N40" i="200"/>
  <c r="K40" i="200"/>
  <c r="L40" i="200" s="1"/>
  <c r="J40" i="200"/>
  <c r="P40" i="200" s="1"/>
  <c r="F40" i="200"/>
  <c r="H40" i="200" s="1"/>
  <c r="W39" i="200"/>
  <c r="V39" i="200"/>
  <c r="N39" i="200"/>
  <c r="K39" i="200"/>
  <c r="J39" i="200"/>
  <c r="P39" i="200" s="1"/>
  <c r="F39" i="200"/>
  <c r="H39" i="200" s="1"/>
  <c r="W38" i="200"/>
  <c r="N38" i="200"/>
  <c r="J38" i="200"/>
  <c r="F38" i="200"/>
  <c r="H38" i="200" s="1"/>
  <c r="M37" i="200"/>
  <c r="W36" i="200"/>
  <c r="H36" i="200"/>
  <c r="W35" i="200"/>
  <c r="H35" i="200"/>
  <c r="W34" i="200"/>
  <c r="H34" i="200"/>
  <c r="W33" i="200"/>
  <c r="H33" i="200"/>
  <c r="W32" i="200"/>
  <c r="W31" i="200"/>
  <c r="W30" i="200"/>
  <c r="V30" i="200"/>
  <c r="N30" i="200"/>
  <c r="K30" i="200"/>
  <c r="L30" i="200" s="1"/>
  <c r="J30" i="200"/>
  <c r="P30" i="200" s="1"/>
  <c r="F30" i="200"/>
  <c r="H30" i="200" s="1"/>
  <c r="B30" i="200"/>
  <c r="W29" i="200"/>
  <c r="V29" i="200"/>
  <c r="N29" i="200"/>
  <c r="K29" i="200"/>
  <c r="L29" i="200" s="1"/>
  <c r="J29" i="200"/>
  <c r="P29" i="200" s="1"/>
  <c r="F29" i="200"/>
  <c r="H29" i="200" s="1"/>
  <c r="B29" i="200"/>
  <c r="W28" i="200"/>
  <c r="V28" i="200"/>
  <c r="N28" i="200"/>
  <c r="K28" i="200"/>
  <c r="L28" i="200" s="1"/>
  <c r="J28" i="200"/>
  <c r="P28" i="200" s="1"/>
  <c r="F28" i="200"/>
  <c r="H28" i="200" s="1"/>
  <c r="B28" i="200"/>
  <c r="W27" i="200"/>
  <c r="N27" i="200"/>
  <c r="K27" i="200"/>
  <c r="J27" i="200"/>
  <c r="F27" i="200"/>
  <c r="H27" i="200" s="1"/>
  <c r="B27" i="200"/>
  <c r="M26" i="200"/>
  <c r="W25" i="200"/>
  <c r="H25" i="200"/>
  <c r="W24" i="200"/>
  <c r="H24" i="200"/>
  <c r="W23" i="200"/>
  <c r="H22" i="200"/>
  <c r="W21" i="200"/>
  <c r="W20" i="200"/>
  <c r="O20" i="200"/>
  <c r="N20" i="200"/>
  <c r="K20" i="200"/>
  <c r="L20" i="200" s="1"/>
  <c r="J20" i="200"/>
  <c r="P20" i="200" s="1"/>
  <c r="F20" i="200"/>
  <c r="H20" i="200" s="1"/>
  <c r="B20" i="200"/>
  <c r="W19" i="200"/>
  <c r="V19" i="200"/>
  <c r="N19" i="200"/>
  <c r="K19" i="200"/>
  <c r="L19" i="200" s="1"/>
  <c r="J19" i="200"/>
  <c r="P19" i="200" s="1"/>
  <c r="F19" i="200"/>
  <c r="H19" i="200" s="1"/>
  <c r="B19" i="200"/>
  <c r="W18" i="200"/>
  <c r="V18" i="200"/>
  <c r="N18" i="200"/>
  <c r="K18" i="200"/>
  <c r="L18" i="200" s="1"/>
  <c r="J18" i="200"/>
  <c r="P18" i="200" s="1"/>
  <c r="F18" i="200"/>
  <c r="H18" i="200" s="1"/>
  <c r="B18" i="200"/>
  <c r="W17" i="200"/>
  <c r="V17" i="200"/>
  <c r="N17" i="200"/>
  <c r="K17" i="200"/>
  <c r="L17" i="200" s="1"/>
  <c r="J17" i="200"/>
  <c r="P17" i="200" s="1"/>
  <c r="F17" i="200"/>
  <c r="H17" i="200" s="1"/>
  <c r="B17" i="200"/>
  <c r="W16" i="200"/>
  <c r="N16" i="200"/>
  <c r="K16" i="200"/>
  <c r="J16" i="200"/>
  <c r="F16" i="200"/>
  <c r="H16" i="200" s="1"/>
  <c r="B16" i="200"/>
  <c r="M15" i="200"/>
  <c r="W14" i="200"/>
  <c r="W13" i="200"/>
  <c r="W12" i="200"/>
  <c r="H12" i="200"/>
  <c r="W11" i="200"/>
  <c r="H11" i="200"/>
  <c r="W10" i="200"/>
  <c r="W9" i="200"/>
  <c r="V9" i="200"/>
  <c r="N9" i="200"/>
  <c r="K9" i="200"/>
  <c r="L9" i="200" s="1"/>
  <c r="J9" i="200"/>
  <c r="P9" i="200" s="1"/>
  <c r="F9" i="200"/>
  <c r="H9" i="200" s="1"/>
  <c r="B9" i="200"/>
  <c r="W8" i="200"/>
  <c r="V8" i="200"/>
  <c r="N8" i="200"/>
  <c r="K8" i="200"/>
  <c r="L8" i="200" s="1"/>
  <c r="J8" i="200"/>
  <c r="P8" i="200" s="1"/>
  <c r="F8" i="200"/>
  <c r="H8" i="200" s="1"/>
  <c r="B8" i="200"/>
  <c r="W7" i="200"/>
  <c r="V7" i="200"/>
  <c r="N7" i="200"/>
  <c r="K7" i="200"/>
  <c r="L7" i="200" s="1"/>
  <c r="J7" i="200"/>
  <c r="P7" i="200" s="1"/>
  <c r="F7" i="200"/>
  <c r="H7" i="200" s="1"/>
  <c r="B7" i="200"/>
  <c r="W6" i="200"/>
  <c r="V6" i="200"/>
  <c r="N6" i="200"/>
  <c r="J6" i="200"/>
  <c r="F6" i="200"/>
  <c r="H6" i="200" s="1"/>
  <c r="B6" i="200"/>
  <c r="W5" i="200"/>
  <c r="N5" i="200"/>
  <c r="K5" i="200"/>
  <c r="J5" i="200"/>
  <c r="F5" i="200"/>
  <c r="H5" i="200" s="1"/>
  <c r="G1" i="200" s="1"/>
  <c r="B5" i="200"/>
  <c r="I2" i="200"/>
  <c r="I1" i="200"/>
  <c r="E1" i="200"/>
  <c r="I18" i="199"/>
  <c r="H18" i="199"/>
  <c r="G18" i="199"/>
  <c r="F18" i="199"/>
  <c r="E18" i="199"/>
  <c r="D18" i="199"/>
  <c r="I16" i="199"/>
  <c r="H16" i="199"/>
  <c r="G16" i="199"/>
  <c r="F16" i="199"/>
  <c r="E16" i="199"/>
  <c r="D16" i="199"/>
  <c r="G3" i="199"/>
  <c r="AC79" i="198"/>
  <c r="AB79" i="198"/>
  <c r="J79" i="198"/>
  <c r="W78" i="198"/>
  <c r="H78" i="198"/>
  <c r="W77" i="198"/>
  <c r="H77" i="198"/>
  <c r="W76" i="198"/>
  <c r="H76" i="198"/>
  <c r="W75" i="198"/>
  <c r="H75" i="198"/>
  <c r="W74" i="198"/>
  <c r="H74" i="198"/>
  <c r="W73" i="198"/>
  <c r="W72" i="198"/>
  <c r="W71" i="198"/>
  <c r="AD70" i="198"/>
  <c r="AC70" i="198"/>
  <c r="AB70" i="198"/>
  <c r="W70" i="198"/>
  <c r="S70" i="198"/>
  <c r="M69" i="198"/>
  <c r="W68" i="198"/>
  <c r="H68" i="198"/>
  <c r="W67" i="198"/>
  <c r="H67" i="198"/>
  <c r="W66" i="198"/>
  <c r="W65" i="198"/>
  <c r="W64" i="198"/>
  <c r="W63" i="198"/>
  <c r="W62" i="198"/>
  <c r="V62" i="198"/>
  <c r="N62" i="198"/>
  <c r="O62" i="198" s="1"/>
  <c r="K62" i="198"/>
  <c r="L62" i="198" s="1"/>
  <c r="J62" i="198"/>
  <c r="P62" i="198" s="1"/>
  <c r="F62" i="198"/>
  <c r="H62" i="198" s="1"/>
  <c r="B62" i="198"/>
  <c r="W61" i="198"/>
  <c r="V61" i="198"/>
  <c r="N61" i="198"/>
  <c r="K61" i="198"/>
  <c r="L61" i="198" s="1"/>
  <c r="J61" i="198"/>
  <c r="P61" i="198" s="1"/>
  <c r="F61" i="198"/>
  <c r="H61" i="198" s="1"/>
  <c r="B61" i="198"/>
  <c r="W60" i="198"/>
  <c r="V60" i="198"/>
  <c r="N60" i="198"/>
  <c r="K60" i="198"/>
  <c r="L60" i="198" s="1"/>
  <c r="J60" i="198"/>
  <c r="P60" i="198" s="1"/>
  <c r="F60" i="198"/>
  <c r="H60" i="198" s="1"/>
  <c r="B60" i="198"/>
  <c r="W59" i="198"/>
  <c r="O59" i="198"/>
  <c r="N59" i="198"/>
  <c r="K59" i="198"/>
  <c r="J59" i="198"/>
  <c r="F59" i="198"/>
  <c r="H59" i="198" s="1"/>
  <c r="B59" i="198"/>
  <c r="M58" i="198"/>
  <c r="W57" i="198"/>
  <c r="H57" i="198"/>
  <c r="W56" i="198"/>
  <c r="H56" i="198"/>
  <c r="W55" i="198"/>
  <c r="H55" i="198"/>
  <c r="W54" i="198"/>
  <c r="H54" i="198"/>
  <c r="W53" i="198"/>
  <c r="W52" i="198"/>
  <c r="V52" i="198"/>
  <c r="O52" i="198"/>
  <c r="N52" i="198"/>
  <c r="K52" i="198"/>
  <c r="L52" i="198" s="1"/>
  <c r="J52" i="198"/>
  <c r="P52" i="198" s="1"/>
  <c r="F52" i="198"/>
  <c r="H52" i="198" s="1"/>
  <c r="B52" i="198"/>
  <c r="W51" i="198"/>
  <c r="V51" i="198"/>
  <c r="N51" i="198"/>
  <c r="K51" i="198"/>
  <c r="L51" i="198" s="1"/>
  <c r="J51" i="198"/>
  <c r="P51" i="198" s="1"/>
  <c r="F51" i="198"/>
  <c r="H51" i="198" s="1"/>
  <c r="B51" i="198"/>
  <c r="W50" i="198"/>
  <c r="V50" i="198"/>
  <c r="N50" i="198"/>
  <c r="K50" i="198"/>
  <c r="L50" i="198" s="1"/>
  <c r="J50" i="198"/>
  <c r="P50" i="198" s="1"/>
  <c r="F50" i="198"/>
  <c r="H50" i="198" s="1"/>
  <c r="B50" i="198"/>
  <c r="W49" i="198"/>
  <c r="N49" i="198"/>
  <c r="K49" i="198"/>
  <c r="J49" i="198"/>
  <c r="F49" i="198"/>
  <c r="H49" i="198" s="1"/>
  <c r="B49" i="198"/>
  <c r="W48" i="198"/>
  <c r="M48" i="198"/>
  <c r="W47" i="198"/>
  <c r="H47" i="198"/>
  <c r="W46" i="198"/>
  <c r="H46" i="198"/>
  <c r="W45" i="198"/>
  <c r="H45" i="198"/>
  <c r="W44" i="198"/>
  <c r="H44" i="198"/>
  <c r="W43" i="198"/>
  <c r="W42" i="198"/>
  <c r="W41" i="198"/>
  <c r="V41" i="198"/>
  <c r="N41" i="198"/>
  <c r="K41" i="198"/>
  <c r="L41" i="198" s="1"/>
  <c r="J41" i="198"/>
  <c r="P41" i="198" s="1"/>
  <c r="F41" i="198"/>
  <c r="H41" i="198" s="1"/>
  <c r="W40" i="198"/>
  <c r="V40" i="198"/>
  <c r="N40" i="198"/>
  <c r="K40" i="198"/>
  <c r="L40" i="198" s="1"/>
  <c r="J40" i="198"/>
  <c r="P40" i="198" s="1"/>
  <c r="F40" i="198"/>
  <c r="H40" i="198" s="1"/>
  <c r="W39" i="198"/>
  <c r="V39" i="198"/>
  <c r="N39" i="198"/>
  <c r="K39" i="198"/>
  <c r="J39" i="198"/>
  <c r="P39" i="198" s="1"/>
  <c r="F39" i="198"/>
  <c r="H39" i="198" s="1"/>
  <c r="W38" i="198"/>
  <c r="N38" i="198"/>
  <c r="J38" i="198"/>
  <c r="F38" i="198"/>
  <c r="H38" i="198" s="1"/>
  <c r="M37" i="198"/>
  <c r="W36" i="198"/>
  <c r="H36" i="198"/>
  <c r="W35" i="198"/>
  <c r="H35" i="198"/>
  <c r="W34" i="198"/>
  <c r="H34" i="198"/>
  <c r="W33" i="198"/>
  <c r="H33" i="198"/>
  <c r="W32" i="198"/>
  <c r="W31" i="198"/>
  <c r="W30" i="198"/>
  <c r="V30" i="198"/>
  <c r="N30" i="198"/>
  <c r="K30" i="198"/>
  <c r="L30" i="198" s="1"/>
  <c r="J30" i="198"/>
  <c r="P30" i="198" s="1"/>
  <c r="F30" i="198"/>
  <c r="H30" i="198" s="1"/>
  <c r="B30" i="198"/>
  <c r="W29" i="198"/>
  <c r="V29" i="198"/>
  <c r="N29" i="198"/>
  <c r="K29" i="198"/>
  <c r="L29" i="198" s="1"/>
  <c r="J29" i="198"/>
  <c r="P29" i="198" s="1"/>
  <c r="F29" i="198"/>
  <c r="H29" i="198" s="1"/>
  <c r="B29" i="198"/>
  <c r="W28" i="198"/>
  <c r="V28" i="198"/>
  <c r="N28" i="198"/>
  <c r="K28" i="198"/>
  <c r="L28" i="198" s="1"/>
  <c r="J28" i="198"/>
  <c r="P28" i="198" s="1"/>
  <c r="F28" i="198"/>
  <c r="H28" i="198" s="1"/>
  <c r="B28" i="198"/>
  <c r="W27" i="198"/>
  <c r="N27" i="198"/>
  <c r="K27" i="198"/>
  <c r="J27" i="198"/>
  <c r="F27" i="198"/>
  <c r="H27" i="198" s="1"/>
  <c r="B27" i="198"/>
  <c r="M26" i="198"/>
  <c r="W25" i="198"/>
  <c r="H25" i="198"/>
  <c r="W24" i="198"/>
  <c r="H24" i="198"/>
  <c r="W23" i="198"/>
  <c r="H22" i="198"/>
  <c r="W21" i="198"/>
  <c r="W20" i="198"/>
  <c r="N20" i="198"/>
  <c r="K20" i="198"/>
  <c r="L20" i="198" s="1"/>
  <c r="J20" i="198"/>
  <c r="P20" i="198" s="1"/>
  <c r="F20" i="198"/>
  <c r="H20" i="198" s="1"/>
  <c r="B20" i="198"/>
  <c r="W19" i="198"/>
  <c r="V19" i="198"/>
  <c r="N19" i="198"/>
  <c r="K19" i="198"/>
  <c r="L19" i="198" s="1"/>
  <c r="J19" i="198"/>
  <c r="P19" i="198" s="1"/>
  <c r="F19" i="198"/>
  <c r="H19" i="198" s="1"/>
  <c r="B19" i="198"/>
  <c r="W18" i="198"/>
  <c r="V18" i="198"/>
  <c r="N18" i="198"/>
  <c r="K18" i="198"/>
  <c r="L18" i="198" s="1"/>
  <c r="J18" i="198"/>
  <c r="P18" i="198" s="1"/>
  <c r="F18" i="198"/>
  <c r="H18" i="198" s="1"/>
  <c r="B18" i="198"/>
  <c r="W17" i="198"/>
  <c r="V17" i="198"/>
  <c r="N17" i="198"/>
  <c r="K17" i="198"/>
  <c r="L17" i="198" s="1"/>
  <c r="J17" i="198"/>
  <c r="P17" i="198" s="1"/>
  <c r="F17" i="198"/>
  <c r="H17" i="198" s="1"/>
  <c r="B17" i="198"/>
  <c r="W16" i="198"/>
  <c r="N16" i="198"/>
  <c r="K16" i="198"/>
  <c r="J16" i="198"/>
  <c r="F16" i="198"/>
  <c r="H16" i="198" s="1"/>
  <c r="B16" i="198"/>
  <c r="M15" i="198"/>
  <c r="W14" i="198"/>
  <c r="W13" i="198"/>
  <c r="W12" i="198"/>
  <c r="H12" i="198"/>
  <c r="W11" i="198"/>
  <c r="H11" i="198"/>
  <c r="W10" i="198"/>
  <c r="W9" i="198"/>
  <c r="V9" i="198"/>
  <c r="N9" i="198"/>
  <c r="K9" i="198"/>
  <c r="L9" i="198" s="1"/>
  <c r="J9" i="198"/>
  <c r="P9" i="198" s="1"/>
  <c r="F9" i="198"/>
  <c r="H9" i="198" s="1"/>
  <c r="B9" i="198"/>
  <c r="W8" i="198"/>
  <c r="V8" i="198"/>
  <c r="N8" i="198"/>
  <c r="K8" i="198"/>
  <c r="L8" i="198" s="1"/>
  <c r="J8" i="198"/>
  <c r="P8" i="198" s="1"/>
  <c r="F8" i="198"/>
  <c r="H8" i="198" s="1"/>
  <c r="B8" i="198"/>
  <c r="W7" i="198"/>
  <c r="V7" i="198"/>
  <c r="N7" i="198"/>
  <c r="K7" i="198"/>
  <c r="L7" i="198" s="1"/>
  <c r="J7" i="198"/>
  <c r="P7" i="198" s="1"/>
  <c r="F7" i="198"/>
  <c r="H7" i="198" s="1"/>
  <c r="B7" i="198"/>
  <c r="W6" i="198"/>
  <c r="V6" i="198"/>
  <c r="N6" i="198"/>
  <c r="J6" i="198"/>
  <c r="F6" i="198"/>
  <c r="H6" i="198" s="1"/>
  <c r="B6" i="198"/>
  <c r="W5" i="198"/>
  <c r="N5" i="198"/>
  <c r="K5" i="198"/>
  <c r="J5" i="198"/>
  <c r="F5" i="198"/>
  <c r="H5" i="198" s="1"/>
  <c r="G1" i="198" s="1"/>
  <c r="B5" i="198"/>
  <c r="I2" i="198"/>
  <c r="I1" i="198"/>
  <c r="E1" i="198"/>
  <c r="I18" i="197"/>
  <c r="H18" i="197"/>
  <c r="G18" i="197"/>
  <c r="F18" i="197"/>
  <c r="E18" i="197"/>
  <c r="D18" i="197"/>
  <c r="I16" i="197"/>
  <c r="H16" i="197"/>
  <c r="G16" i="197"/>
  <c r="F16" i="197"/>
  <c r="E16" i="197"/>
  <c r="D16" i="197"/>
  <c r="G3" i="197"/>
  <c r="AC79" i="196"/>
  <c r="AB79" i="196"/>
  <c r="J79" i="196"/>
  <c r="W78" i="196"/>
  <c r="H78" i="196"/>
  <c r="W77" i="196"/>
  <c r="H77" i="196"/>
  <c r="W76" i="196"/>
  <c r="H76" i="196"/>
  <c r="W75" i="196"/>
  <c r="H75" i="196"/>
  <c r="W74" i="196"/>
  <c r="H74" i="196"/>
  <c r="W73" i="196"/>
  <c r="W72" i="196"/>
  <c r="W71" i="196"/>
  <c r="AD70" i="196"/>
  <c r="AC70" i="196"/>
  <c r="AB70" i="196"/>
  <c r="W70" i="196"/>
  <c r="S70" i="196"/>
  <c r="M69" i="196"/>
  <c r="W68" i="196"/>
  <c r="H68" i="196"/>
  <c r="W67" i="196"/>
  <c r="H67" i="196"/>
  <c r="W66" i="196"/>
  <c r="W65" i="196"/>
  <c r="W64" i="196"/>
  <c r="W63" i="196"/>
  <c r="W62" i="196"/>
  <c r="W61" i="196"/>
  <c r="V61" i="196"/>
  <c r="N61" i="196"/>
  <c r="K61" i="196"/>
  <c r="L61" i="196" s="1"/>
  <c r="J61" i="196"/>
  <c r="P61" i="196" s="1"/>
  <c r="F61" i="196"/>
  <c r="H61" i="196" s="1"/>
  <c r="B61" i="196"/>
  <c r="W60" i="196"/>
  <c r="V60" i="196"/>
  <c r="N60" i="196"/>
  <c r="K60" i="196"/>
  <c r="L60" i="196" s="1"/>
  <c r="J60" i="196"/>
  <c r="P60" i="196" s="1"/>
  <c r="F60" i="196"/>
  <c r="H60" i="196" s="1"/>
  <c r="B60" i="196"/>
  <c r="W59" i="196"/>
  <c r="N59" i="196"/>
  <c r="K59" i="196"/>
  <c r="J59" i="196"/>
  <c r="F59" i="196"/>
  <c r="H59" i="196" s="1"/>
  <c r="B59" i="196"/>
  <c r="M58" i="196"/>
  <c r="W57" i="196"/>
  <c r="H57" i="196"/>
  <c r="W56" i="196"/>
  <c r="H56" i="196"/>
  <c r="W55" i="196"/>
  <c r="H55" i="196"/>
  <c r="W54" i="196"/>
  <c r="H54" i="196"/>
  <c r="W53" i="196"/>
  <c r="W52" i="196"/>
  <c r="V52" i="196"/>
  <c r="O52" i="196"/>
  <c r="N52" i="196"/>
  <c r="K52" i="196"/>
  <c r="L52" i="196" s="1"/>
  <c r="J52" i="196"/>
  <c r="P52" i="196" s="1"/>
  <c r="F52" i="196"/>
  <c r="H52" i="196" s="1"/>
  <c r="B52" i="196"/>
  <c r="W51" i="196"/>
  <c r="V51" i="196"/>
  <c r="N51" i="196"/>
  <c r="K51" i="196"/>
  <c r="L51" i="196" s="1"/>
  <c r="J51" i="196"/>
  <c r="P51" i="196" s="1"/>
  <c r="F51" i="196"/>
  <c r="H51" i="196" s="1"/>
  <c r="B51" i="196"/>
  <c r="W50" i="196"/>
  <c r="V50" i="196"/>
  <c r="N50" i="196"/>
  <c r="K50" i="196"/>
  <c r="L50" i="196" s="1"/>
  <c r="J50" i="196"/>
  <c r="P50" i="196" s="1"/>
  <c r="F50" i="196"/>
  <c r="H50" i="196" s="1"/>
  <c r="B50" i="196"/>
  <c r="W49" i="196"/>
  <c r="N49" i="196"/>
  <c r="K49" i="196"/>
  <c r="J49" i="196"/>
  <c r="F49" i="196"/>
  <c r="H49" i="196" s="1"/>
  <c r="B49" i="196"/>
  <c r="W48" i="196"/>
  <c r="M48" i="196"/>
  <c r="W47" i="196"/>
  <c r="H47" i="196"/>
  <c r="W46" i="196"/>
  <c r="H46" i="196"/>
  <c r="W45" i="196"/>
  <c r="H45" i="196"/>
  <c r="W44" i="196"/>
  <c r="H44" i="196"/>
  <c r="W43" i="196"/>
  <c r="W42" i="196"/>
  <c r="W41" i="196"/>
  <c r="V41" i="196"/>
  <c r="N41" i="196"/>
  <c r="K41" i="196"/>
  <c r="L41" i="196" s="1"/>
  <c r="J41" i="196"/>
  <c r="P41" i="196" s="1"/>
  <c r="F41" i="196"/>
  <c r="H41" i="196" s="1"/>
  <c r="W40" i="196"/>
  <c r="V40" i="196"/>
  <c r="N40" i="196"/>
  <c r="K40" i="196"/>
  <c r="L40" i="196" s="1"/>
  <c r="J40" i="196"/>
  <c r="P40" i="196" s="1"/>
  <c r="F40" i="196"/>
  <c r="H40" i="196" s="1"/>
  <c r="W39" i="196"/>
  <c r="V39" i="196"/>
  <c r="N39" i="196"/>
  <c r="K39" i="196"/>
  <c r="J39" i="196"/>
  <c r="P39" i="196" s="1"/>
  <c r="F39" i="196"/>
  <c r="H39" i="196" s="1"/>
  <c r="W38" i="196"/>
  <c r="N38" i="196"/>
  <c r="J38" i="196"/>
  <c r="F38" i="196"/>
  <c r="H38" i="196" s="1"/>
  <c r="M37" i="196"/>
  <c r="W36" i="196"/>
  <c r="H36" i="196"/>
  <c r="W35" i="196"/>
  <c r="H35" i="196"/>
  <c r="W34" i="196"/>
  <c r="H34" i="196"/>
  <c r="W33" i="196"/>
  <c r="H33" i="196"/>
  <c r="W32" i="196"/>
  <c r="W31" i="196"/>
  <c r="W30" i="196"/>
  <c r="V30" i="196"/>
  <c r="N30" i="196"/>
  <c r="K30" i="196"/>
  <c r="L30" i="196" s="1"/>
  <c r="J30" i="196"/>
  <c r="P30" i="196" s="1"/>
  <c r="F30" i="196"/>
  <c r="H30" i="196" s="1"/>
  <c r="B30" i="196"/>
  <c r="W29" i="196"/>
  <c r="V29" i="196"/>
  <c r="N29" i="196"/>
  <c r="K29" i="196"/>
  <c r="L29" i="196" s="1"/>
  <c r="J29" i="196"/>
  <c r="P29" i="196" s="1"/>
  <c r="F29" i="196"/>
  <c r="H29" i="196" s="1"/>
  <c r="B29" i="196"/>
  <c r="W28" i="196"/>
  <c r="V28" i="196"/>
  <c r="N28" i="196"/>
  <c r="K28" i="196"/>
  <c r="L28" i="196" s="1"/>
  <c r="J28" i="196"/>
  <c r="P28" i="196" s="1"/>
  <c r="F28" i="196"/>
  <c r="H28" i="196" s="1"/>
  <c r="B28" i="196"/>
  <c r="W27" i="196"/>
  <c r="N27" i="196"/>
  <c r="K27" i="196"/>
  <c r="J27" i="196"/>
  <c r="F27" i="196"/>
  <c r="H27" i="196" s="1"/>
  <c r="B27" i="196"/>
  <c r="M26" i="196"/>
  <c r="W25" i="196"/>
  <c r="H25" i="196"/>
  <c r="W24" i="196"/>
  <c r="H24" i="196"/>
  <c r="W23" i="196"/>
  <c r="H22" i="196"/>
  <c r="W21" i="196"/>
  <c r="W20" i="196"/>
  <c r="N20" i="196"/>
  <c r="K20" i="196"/>
  <c r="L20" i="196" s="1"/>
  <c r="J20" i="196"/>
  <c r="P20" i="196" s="1"/>
  <c r="F20" i="196"/>
  <c r="H20" i="196" s="1"/>
  <c r="B20" i="196"/>
  <c r="W19" i="196"/>
  <c r="V19" i="196"/>
  <c r="N19" i="196"/>
  <c r="K19" i="196"/>
  <c r="L19" i="196" s="1"/>
  <c r="J19" i="196"/>
  <c r="P19" i="196" s="1"/>
  <c r="F19" i="196"/>
  <c r="H19" i="196" s="1"/>
  <c r="B19" i="196"/>
  <c r="W18" i="196"/>
  <c r="V18" i="196"/>
  <c r="N18" i="196"/>
  <c r="K18" i="196"/>
  <c r="L18" i="196" s="1"/>
  <c r="J18" i="196"/>
  <c r="P18" i="196" s="1"/>
  <c r="F18" i="196"/>
  <c r="H18" i="196" s="1"/>
  <c r="B18" i="196"/>
  <c r="W17" i="196"/>
  <c r="V17" i="196"/>
  <c r="N17" i="196"/>
  <c r="K17" i="196"/>
  <c r="L17" i="196" s="1"/>
  <c r="J17" i="196"/>
  <c r="P17" i="196" s="1"/>
  <c r="F17" i="196"/>
  <c r="H17" i="196" s="1"/>
  <c r="B17" i="196"/>
  <c r="W16" i="196"/>
  <c r="N16" i="196"/>
  <c r="K16" i="196"/>
  <c r="J16" i="196"/>
  <c r="F16" i="196"/>
  <c r="H16" i="196" s="1"/>
  <c r="B16" i="196"/>
  <c r="M15" i="196"/>
  <c r="W14" i="196"/>
  <c r="W13" i="196"/>
  <c r="W12" i="196"/>
  <c r="H12" i="196"/>
  <c r="W11" i="196"/>
  <c r="H11" i="196"/>
  <c r="W10" i="196"/>
  <c r="AC9" i="196"/>
  <c r="AB9" i="196"/>
  <c r="W9" i="196"/>
  <c r="W8" i="196"/>
  <c r="V8" i="196"/>
  <c r="N8" i="196"/>
  <c r="K8" i="196"/>
  <c r="L8" i="196" s="1"/>
  <c r="J8" i="196"/>
  <c r="P8" i="196" s="1"/>
  <c r="F8" i="196"/>
  <c r="H8" i="196" s="1"/>
  <c r="B8" i="196"/>
  <c r="W7" i="196"/>
  <c r="V7" i="196"/>
  <c r="N7" i="196"/>
  <c r="K7" i="196"/>
  <c r="L7" i="196" s="1"/>
  <c r="J7" i="196"/>
  <c r="P7" i="196" s="1"/>
  <c r="F7" i="196"/>
  <c r="H7" i="196" s="1"/>
  <c r="B7" i="196"/>
  <c r="W6" i="196"/>
  <c r="V6" i="196"/>
  <c r="N6" i="196"/>
  <c r="J6" i="196"/>
  <c r="F6" i="196"/>
  <c r="H6" i="196" s="1"/>
  <c r="B6" i="196"/>
  <c r="W5" i="196"/>
  <c r="N5" i="196"/>
  <c r="K5" i="196"/>
  <c r="J5" i="196"/>
  <c r="F5" i="196"/>
  <c r="H5" i="196" s="1"/>
  <c r="G1" i="196" s="1"/>
  <c r="B5" i="196"/>
  <c r="I2" i="196"/>
  <c r="I1" i="196"/>
  <c r="E1" i="196"/>
  <c r="I18" i="195"/>
  <c r="H18" i="195"/>
  <c r="G18" i="195"/>
  <c r="F18" i="195"/>
  <c r="E18" i="195"/>
  <c r="D18" i="195"/>
  <c r="I16" i="195"/>
  <c r="H16" i="195"/>
  <c r="G16" i="195"/>
  <c r="F16" i="195"/>
  <c r="E16" i="195"/>
  <c r="D16" i="195"/>
  <c r="G3" i="195"/>
  <c r="AC79" i="194"/>
  <c r="AB79" i="194"/>
  <c r="J79" i="194"/>
  <c r="W78" i="194"/>
  <c r="H78" i="194"/>
  <c r="W77" i="194"/>
  <c r="H77" i="194"/>
  <c r="W76" i="194"/>
  <c r="H76" i="194"/>
  <c r="W75" i="194"/>
  <c r="H75" i="194"/>
  <c r="W74" i="194"/>
  <c r="H74" i="194"/>
  <c r="W73" i="194"/>
  <c r="W72" i="194"/>
  <c r="W71" i="194"/>
  <c r="AD70" i="194"/>
  <c r="AC70" i="194"/>
  <c r="AB70" i="194"/>
  <c r="W70" i="194"/>
  <c r="S70" i="194"/>
  <c r="M69" i="194"/>
  <c r="W68" i="194"/>
  <c r="H68" i="194"/>
  <c r="W67" i="194"/>
  <c r="H67" i="194"/>
  <c r="W66" i="194"/>
  <c r="W65" i="194"/>
  <c r="W64" i="194"/>
  <c r="AC63" i="194"/>
  <c r="AB63" i="194"/>
  <c r="W63" i="194"/>
  <c r="AC62" i="194"/>
  <c r="AB62" i="194"/>
  <c r="W62" i="194"/>
  <c r="W61" i="194"/>
  <c r="V61" i="194"/>
  <c r="N61" i="194"/>
  <c r="K61" i="194"/>
  <c r="L61" i="194" s="1"/>
  <c r="J61" i="194"/>
  <c r="P61" i="194" s="1"/>
  <c r="F61" i="194"/>
  <c r="H61" i="194" s="1"/>
  <c r="B61" i="194"/>
  <c r="W60" i="194"/>
  <c r="V60" i="194"/>
  <c r="N60" i="194"/>
  <c r="K60" i="194"/>
  <c r="L60" i="194" s="1"/>
  <c r="J60" i="194"/>
  <c r="P60" i="194" s="1"/>
  <c r="F60" i="194"/>
  <c r="H60" i="194" s="1"/>
  <c r="B60" i="194"/>
  <c r="W59" i="194"/>
  <c r="N59" i="194"/>
  <c r="K59" i="194"/>
  <c r="J59" i="194"/>
  <c r="F59" i="194"/>
  <c r="H59" i="194" s="1"/>
  <c r="B59" i="194"/>
  <c r="M58" i="194"/>
  <c r="W57" i="194"/>
  <c r="H57" i="194"/>
  <c r="W56" i="194"/>
  <c r="H56" i="194"/>
  <c r="W55" i="194"/>
  <c r="H55" i="194"/>
  <c r="W54" i="194"/>
  <c r="H54" i="194"/>
  <c r="W53" i="194"/>
  <c r="AC52" i="194"/>
  <c r="AB52" i="194"/>
  <c r="W52" i="194"/>
  <c r="AC51" i="194"/>
  <c r="AB51" i="194"/>
  <c r="W51" i="194"/>
  <c r="W50" i="194"/>
  <c r="V50" i="194"/>
  <c r="N50" i="194"/>
  <c r="K50" i="194"/>
  <c r="L50" i="194" s="1"/>
  <c r="J50" i="194"/>
  <c r="P50" i="194" s="1"/>
  <c r="F50" i="194"/>
  <c r="H50" i="194" s="1"/>
  <c r="B50" i="194"/>
  <c r="W49" i="194"/>
  <c r="N49" i="194"/>
  <c r="K49" i="194"/>
  <c r="J49" i="194"/>
  <c r="F49" i="194"/>
  <c r="H49" i="194" s="1"/>
  <c r="B49" i="194"/>
  <c r="W48" i="194"/>
  <c r="M48" i="194"/>
  <c r="W47" i="194"/>
  <c r="H47" i="194"/>
  <c r="W46" i="194"/>
  <c r="H46" i="194"/>
  <c r="W45" i="194"/>
  <c r="H45" i="194"/>
  <c r="W44" i="194"/>
  <c r="H44" i="194"/>
  <c r="W43" i="194"/>
  <c r="W42" i="194"/>
  <c r="W41" i="194"/>
  <c r="V41" i="194"/>
  <c r="N41" i="194"/>
  <c r="K41" i="194"/>
  <c r="L41" i="194" s="1"/>
  <c r="J41" i="194"/>
  <c r="P41" i="194" s="1"/>
  <c r="F41" i="194"/>
  <c r="H41" i="194" s="1"/>
  <c r="W40" i="194"/>
  <c r="V40" i="194"/>
  <c r="N40" i="194"/>
  <c r="K40" i="194"/>
  <c r="L40" i="194" s="1"/>
  <c r="J40" i="194"/>
  <c r="P40" i="194" s="1"/>
  <c r="F40" i="194"/>
  <c r="H40" i="194" s="1"/>
  <c r="W39" i="194"/>
  <c r="V39" i="194"/>
  <c r="N39" i="194"/>
  <c r="K39" i="194"/>
  <c r="J39" i="194"/>
  <c r="P39" i="194" s="1"/>
  <c r="F39" i="194"/>
  <c r="H39" i="194" s="1"/>
  <c r="W38" i="194"/>
  <c r="N38" i="194"/>
  <c r="J38" i="194"/>
  <c r="F38" i="194"/>
  <c r="H38" i="194" s="1"/>
  <c r="N37" i="194"/>
  <c r="M37" i="194"/>
  <c r="K37" i="194"/>
  <c r="W36" i="194"/>
  <c r="H36" i="194"/>
  <c r="W35" i="194"/>
  <c r="H35" i="194"/>
  <c r="W34" i="194"/>
  <c r="H34" i="194"/>
  <c r="W33" i="194"/>
  <c r="H33" i="194"/>
  <c r="W32" i="194"/>
  <c r="W31" i="194"/>
  <c r="W30" i="194"/>
  <c r="V30" i="194"/>
  <c r="N30" i="194"/>
  <c r="K30" i="194"/>
  <c r="L30" i="194" s="1"/>
  <c r="J30" i="194"/>
  <c r="P30" i="194" s="1"/>
  <c r="F30" i="194"/>
  <c r="H30" i="194" s="1"/>
  <c r="B30" i="194"/>
  <c r="W29" i="194"/>
  <c r="V29" i="194"/>
  <c r="N29" i="194"/>
  <c r="K29" i="194"/>
  <c r="L29" i="194" s="1"/>
  <c r="J29" i="194"/>
  <c r="P29" i="194" s="1"/>
  <c r="F29" i="194"/>
  <c r="H29" i="194" s="1"/>
  <c r="B29" i="194"/>
  <c r="W28" i="194"/>
  <c r="V28" i="194"/>
  <c r="N28" i="194"/>
  <c r="K28" i="194"/>
  <c r="L28" i="194" s="1"/>
  <c r="J28" i="194"/>
  <c r="P28" i="194" s="1"/>
  <c r="F28" i="194"/>
  <c r="H28" i="194" s="1"/>
  <c r="B28" i="194"/>
  <c r="W27" i="194"/>
  <c r="N27" i="194"/>
  <c r="K27" i="194"/>
  <c r="L27" i="194" s="1"/>
  <c r="L37" i="194" s="1"/>
  <c r="F13" i="193" s="1"/>
  <c r="J27" i="194"/>
  <c r="F27" i="194"/>
  <c r="H27" i="194" s="1"/>
  <c r="B27" i="194"/>
  <c r="M26" i="194"/>
  <c r="W25" i="194"/>
  <c r="H25" i="194"/>
  <c r="W24" i="194"/>
  <c r="H24" i="194"/>
  <c r="W23" i="194"/>
  <c r="H22" i="194"/>
  <c r="W21" i="194"/>
  <c r="AC20" i="194"/>
  <c r="AB20" i="194"/>
  <c r="W20" i="194"/>
  <c r="W19" i="194"/>
  <c r="V19" i="194"/>
  <c r="N19" i="194"/>
  <c r="K19" i="194"/>
  <c r="L19" i="194" s="1"/>
  <c r="J19" i="194"/>
  <c r="P19" i="194" s="1"/>
  <c r="F19" i="194"/>
  <c r="H19" i="194" s="1"/>
  <c r="B19" i="194"/>
  <c r="W18" i="194"/>
  <c r="V18" i="194"/>
  <c r="N18" i="194"/>
  <c r="K18" i="194"/>
  <c r="L18" i="194" s="1"/>
  <c r="J18" i="194"/>
  <c r="P18" i="194" s="1"/>
  <c r="F18" i="194"/>
  <c r="H18" i="194" s="1"/>
  <c r="B18" i="194"/>
  <c r="W17" i="194"/>
  <c r="V17" i="194"/>
  <c r="N17" i="194"/>
  <c r="K17" i="194"/>
  <c r="L17" i="194" s="1"/>
  <c r="J17" i="194"/>
  <c r="P17" i="194" s="1"/>
  <c r="F17" i="194"/>
  <c r="H17" i="194" s="1"/>
  <c r="B17" i="194"/>
  <c r="W16" i="194"/>
  <c r="N16" i="194"/>
  <c r="K16" i="194"/>
  <c r="J16" i="194"/>
  <c r="F16" i="194"/>
  <c r="H16" i="194" s="1"/>
  <c r="B16" i="194"/>
  <c r="M15" i="194"/>
  <c r="W14" i="194"/>
  <c r="W13" i="194"/>
  <c r="W12" i="194"/>
  <c r="H12" i="194"/>
  <c r="W11" i="194"/>
  <c r="H11" i="194"/>
  <c r="W10" i="194"/>
  <c r="AC9" i="194"/>
  <c r="AB9" i="194"/>
  <c r="W9" i="194"/>
  <c r="W8" i="194"/>
  <c r="V8" i="194"/>
  <c r="N8" i="194"/>
  <c r="K8" i="194"/>
  <c r="L8" i="194" s="1"/>
  <c r="J8" i="194"/>
  <c r="P8" i="194" s="1"/>
  <c r="F8" i="194"/>
  <c r="H8" i="194" s="1"/>
  <c r="B8" i="194"/>
  <c r="W7" i="194"/>
  <c r="V7" i="194"/>
  <c r="N7" i="194"/>
  <c r="K7" i="194"/>
  <c r="L7" i="194" s="1"/>
  <c r="J7" i="194"/>
  <c r="P7" i="194" s="1"/>
  <c r="F7" i="194"/>
  <c r="H7" i="194" s="1"/>
  <c r="B7" i="194"/>
  <c r="W6" i="194"/>
  <c r="V6" i="194"/>
  <c r="N6" i="194"/>
  <c r="J6" i="194"/>
  <c r="F6" i="194"/>
  <c r="H6" i="194" s="1"/>
  <c r="B6" i="194"/>
  <c r="W5" i="194"/>
  <c r="N5" i="194"/>
  <c r="K5" i="194"/>
  <c r="J5" i="194"/>
  <c r="F5" i="194"/>
  <c r="H5" i="194" s="1"/>
  <c r="G1" i="194" s="1"/>
  <c r="B5" i="194"/>
  <c r="I2" i="194"/>
  <c r="E1" i="194"/>
  <c r="E18" i="193"/>
  <c r="D18" i="193"/>
  <c r="I16" i="193"/>
  <c r="H16" i="193"/>
  <c r="G16" i="193"/>
  <c r="F16" i="193"/>
  <c r="E16" i="193"/>
  <c r="D16" i="193"/>
  <c r="G3" i="193"/>
  <c r="AC79" i="192"/>
  <c r="AB79" i="192"/>
  <c r="J79" i="192"/>
  <c r="W78" i="192"/>
  <c r="H78" i="192"/>
  <c r="W77" i="192"/>
  <c r="H77" i="192"/>
  <c r="W76" i="192"/>
  <c r="H76" i="192"/>
  <c r="W75" i="192"/>
  <c r="H75" i="192"/>
  <c r="W74" i="192"/>
  <c r="H74" i="192"/>
  <c r="W73" i="192"/>
  <c r="W72" i="192"/>
  <c r="W71" i="192"/>
  <c r="AD70" i="192"/>
  <c r="AC70" i="192"/>
  <c r="AB70" i="192"/>
  <c r="W70" i="192"/>
  <c r="S70" i="192"/>
  <c r="M69" i="192"/>
  <c r="W68" i="192"/>
  <c r="H68" i="192"/>
  <c r="W67" i="192"/>
  <c r="H67" i="192"/>
  <c r="W66" i="192"/>
  <c r="W65" i="192"/>
  <c r="W64" i="192"/>
  <c r="AC63" i="192"/>
  <c r="AB63" i="192"/>
  <c r="W63" i="192"/>
  <c r="W62" i="192"/>
  <c r="V62" i="192"/>
  <c r="N62" i="192"/>
  <c r="K62" i="192"/>
  <c r="L62" i="192" s="1"/>
  <c r="J62" i="192"/>
  <c r="P62" i="192" s="1"/>
  <c r="F62" i="192"/>
  <c r="H62" i="192" s="1"/>
  <c r="B62" i="192"/>
  <c r="W61" i="192"/>
  <c r="V61" i="192"/>
  <c r="N61" i="192"/>
  <c r="K61" i="192"/>
  <c r="L61" i="192" s="1"/>
  <c r="J61" i="192"/>
  <c r="P61" i="192" s="1"/>
  <c r="F61" i="192"/>
  <c r="H61" i="192" s="1"/>
  <c r="B61" i="192"/>
  <c r="W60" i="192"/>
  <c r="V60" i="192"/>
  <c r="N60" i="192"/>
  <c r="K60" i="192"/>
  <c r="L60" i="192" s="1"/>
  <c r="J60" i="192"/>
  <c r="P60" i="192" s="1"/>
  <c r="F60" i="192"/>
  <c r="H60" i="192" s="1"/>
  <c r="B60" i="192"/>
  <c r="W59" i="192"/>
  <c r="N59" i="192"/>
  <c r="K59" i="192"/>
  <c r="J59" i="192"/>
  <c r="F59" i="192"/>
  <c r="H59" i="192" s="1"/>
  <c r="B59" i="192"/>
  <c r="M58" i="192"/>
  <c r="W57" i="192"/>
  <c r="H57" i="192"/>
  <c r="W56" i="192"/>
  <c r="H56" i="192"/>
  <c r="W55" i="192"/>
  <c r="H55" i="192"/>
  <c r="W54" i="192"/>
  <c r="H54" i="192"/>
  <c r="W53" i="192"/>
  <c r="W52" i="192"/>
  <c r="V52" i="192"/>
  <c r="N52" i="192"/>
  <c r="K52" i="192"/>
  <c r="L52" i="192" s="1"/>
  <c r="J52" i="192"/>
  <c r="P52" i="192" s="1"/>
  <c r="F52" i="192"/>
  <c r="H52" i="192" s="1"/>
  <c r="B52" i="192"/>
  <c r="W51" i="192"/>
  <c r="V51" i="192"/>
  <c r="N51" i="192"/>
  <c r="K51" i="192"/>
  <c r="L51" i="192" s="1"/>
  <c r="J51" i="192"/>
  <c r="P51" i="192" s="1"/>
  <c r="F51" i="192"/>
  <c r="H51" i="192" s="1"/>
  <c r="B51" i="192"/>
  <c r="W50" i="192"/>
  <c r="V50" i="192"/>
  <c r="N50" i="192"/>
  <c r="K50" i="192"/>
  <c r="L50" i="192" s="1"/>
  <c r="J50" i="192"/>
  <c r="P50" i="192" s="1"/>
  <c r="F50" i="192"/>
  <c r="H50" i="192" s="1"/>
  <c r="B50" i="192"/>
  <c r="W49" i="192"/>
  <c r="N49" i="192"/>
  <c r="K49" i="192"/>
  <c r="J49" i="192"/>
  <c r="F49" i="192"/>
  <c r="H49" i="192" s="1"/>
  <c r="B49" i="192"/>
  <c r="W48" i="192"/>
  <c r="M48" i="192"/>
  <c r="W47" i="192"/>
  <c r="H47" i="192"/>
  <c r="W46" i="192"/>
  <c r="H46" i="192"/>
  <c r="W45" i="192"/>
  <c r="H45" i="192"/>
  <c r="W44" i="192"/>
  <c r="H44" i="192"/>
  <c r="W43" i="192"/>
  <c r="W42" i="192"/>
  <c r="W41" i="192"/>
  <c r="V41" i="192"/>
  <c r="N41" i="192"/>
  <c r="K41" i="192"/>
  <c r="L41" i="192" s="1"/>
  <c r="J41" i="192"/>
  <c r="P41" i="192" s="1"/>
  <c r="F41" i="192"/>
  <c r="H41" i="192" s="1"/>
  <c r="W40" i="192"/>
  <c r="V40" i="192"/>
  <c r="N40" i="192"/>
  <c r="K40" i="192"/>
  <c r="L40" i="192" s="1"/>
  <c r="J40" i="192"/>
  <c r="P40" i="192" s="1"/>
  <c r="F40" i="192"/>
  <c r="H40" i="192" s="1"/>
  <c r="W39" i="192"/>
  <c r="V39" i="192"/>
  <c r="N39" i="192"/>
  <c r="K39" i="192"/>
  <c r="J39" i="192"/>
  <c r="P39" i="192" s="1"/>
  <c r="F39" i="192"/>
  <c r="H39" i="192" s="1"/>
  <c r="W38" i="192"/>
  <c r="N38" i="192"/>
  <c r="J38" i="192"/>
  <c r="F38" i="192"/>
  <c r="H38" i="192" s="1"/>
  <c r="M37" i="192"/>
  <c r="W36" i="192"/>
  <c r="H36" i="192"/>
  <c r="W35" i="192"/>
  <c r="H35" i="192"/>
  <c r="W34" i="192"/>
  <c r="H34" i="192"/>
  <c r="W33" i="192"/>
  <c r="H33" i="192"/>
  <c r="W32" i="192"/>
  <c r="W31" i="192"/>
  <c r="W30" i="192"/>
  <c r="V30" i="192"/>
  <c r="N30" i="192"/>
  <c r="K30" i="192"/>
  <c r="L30" i="192" s="1"/>
  <c r="J30" i="192"/>
  <c r="P30" i="192" s="1"/>
  <c r="F30" i="192"/>
  <c r="H30" i="192" s="1"/>
  <c r="B30" i="192"/>
  <c r="W29" i="192"/>
  <c r="V29" i="192"/>
  <c r="N29" i="192"/>
  <c r="K29" i="192"/>
  <c r="L29" i="192" s="1"/>
  <c r="J29" i="192"/>
  <c r="P29" i="192" s="1"/>
  <c r="F29" i="192"/>
  <c r="H29" i="192" s="1"/>
  <c r="B29" i="192"/>
  <c r="W28" i="192"/>
  <c r="V28" i="192"/>
  <c r="N28" i="192"/>
  <c r="K28" i="192"/>
  <c r="L28" i="192" s="1"/>
  <c r="J28" i="192"/>
  <c r="P28" i="192" s="1"/>
  <c r="F28" i="192"/>
  <c r="H28" i="192" s="1"/>
  <c r="B28" i="192"/>
  <c r="W27" i="192"/>
  <c r="N27" i="192"/>
  <c r="K27" i="192"/>
  <c r="J27" i="192"/>
  <c r="F27" i="192"/>
  <c r="H27" i="192" s="1"/>
  <c r="B27" i="192"/>
  <c r="M26" i="192"/>
  <c r="W25" i="192"/>
  <c r="H25" i="192"/>
  <c r="W24" i="192"/>
  <c r="H24" i="192"/>
  <c r="W23" i="192"/>
  <c r="H22" i="192"/>
  <c r="W21" i="192"/>
  <c r="AC20" i="192"/>
  <c r="AB20" i="192"/>
  <c r="W20" i="192"/>
  <c r="W19" i="192"/>
  <c r="V19" i="192"/>
  <c r="N19" i="192"/>
  <c r="K19" i="192"/>
  <c r="L19" i="192" s="1"/>
  <c r="J19" i="192"/>
  <c r="P19" i="192" s="1"/>
  <c r="F19" i="192"/>
  <c r="H19" i="192" s="1"/>
  <c r="B19" i="192"/>
  <c r="W18" i="192"/>
  <c r="V18" i="192"/>
  <c r="N18" i="192"/>
  <c r="K18" i="192"/>
  <c r="L18" i="192" s="1"/>
  <c r="J18" i="192"/>
  <c r="P18" i="192" s="1"/>
  <c r="F18" i="192"/>
  <c r="H18" i="192" s="1"/>
  <c r="B18" i="192"/>
  <c r="W17" i="192"/>
  <c r="V17" i="192"/>
  <c r="N17" i="192"/>
  <c r="K17" i="192"/>
  <c r="L17" i="192" s="1"/>
  <c r="J17" i="192"/>
  <c r="P17" i="192" s="1"/>
  <c r="F17" i="192"/>
  <c r="H17" i="192" s="1"/>
  <c r="B17" i="192"/>
  <c r="W16" i="192"/>
  <c r="N16" i="192"/>
  <c r="K16" i="192"/>
  <c r="J16" i="192"/>
  <c r="F16" i="192"/>
  <c r="H16" i="192" s="1"/>
  <c r="B16" i="192"/>
  <c r="M15" i="192"/>
  <c r="W14" i="192"/>
  <c r="W13" i="192"/>
  <c r="W12" i="192"/>
  <c r="H12" i="192"/>
  <c r="W11" i="192"/>
  <c r="H11" i="192"/>
  <c r="W10" i="192"/>
  <c r="W9" i="192"/>
  <c r="V9" i="192"/>
  <c r="N9" i="192"/>
  <c r="K9" i="192"/>
  <c r="L9" i="192" s="1"/>
  <c r="J9" i="192"/>
  <c r="P9" i="192" s="1"/>
  <c r="F9" i="192"/>
  <c r="H9" i="192" s="1"/>
  <c r="B9" i="192"/>
  <c r="W8" i="192"/>
  <c r="V8" i="192"/>
  <c r="N8" i="192"/>
  <c r="K8" i="192"/>
  <c r="L8" i="192" s="1"/>
  <c r="J8" i="192"/>
  <c r="P8" i="192" s="1"/>
  <c r="F8" i="192"/>
  <c r="H8" i="192" s="1"/>
  <c r="B8" i="192"/>
  <c r="W7" i="192"/>
  <c r="V7" i="192"/>
  <c r="N7" i="192"/>
  <c r="K7" i="192"/>
  <c r="L7" i="192" s="1"/>
  <c r="J7" i="192"/>
  <c r="P7" i="192" s="1"/>
  <c r="F7" i="192"/>
  <c r="H7" i="192" s="1"/>
  <c r="B7" i="192"/>
  <c r="W6" i="192"/>
  <c r="V6" i="192"/>
  <c r="N6" i="192"/>
  <c r="J6" i="192"/>
  <c r="F6" i="192"/>
  <c r="H6" i="192" s="1"/>
  <c r="B6" i="192"/>
  <c r="W5" i="192"/>
  <c r="N5" i="192"/>
  <c r="K5" i="192"/>
  <c r="J5" i="192"/>
  <c r="F5" i="192"/>
  <c r="H5" i="192" s="1"/>
  <c r="G1" i="192" s="1"/>
  <c r="B5" i="192"/>
  <c r="I2" i="192"/>
  <c r="I1" i="192"/>
  <c r="E1" i="192"/>
  <c r="I18" i="191"/>
  <c r="H18" i="191"/>
  <c r="G18" i="191"/>
  <c r="F18" i="191"/>
  <c r="E18" i="191"/>
  <c r="D18" i="191"/>
  <c r="I16" i="191"/>
  <c r="H16" i="191"/>
  <c r="G16" i="191"/>
  <c r="F16" i="191"/>
  <c r="E16" i="191"/>
  <c r="D16" i="191"/>
  <c r="G3" i="191"/>
  <c r="AC79" i="190"/>
  <c r="AB79" i="190"/>
  <c r="J79" i="190"/>
  <c r="W78" i="190"/>
  <c r="H78" i="190"/>
  <c r="W77" i="190"/>
  <c r="H77" i="190"/>
  <c r="W76" i="190"/>
  <c r="H76" i="190"/>
  <c r="W75" i="190"/>
  <c r="H75" i="190"/>
  <c r="W74" i="190"/>
  <c r="H74" i="190"/>
  <c r="W73" i="190"/>
  <c r="W72" i="190"/>
  <c r="W71" i="190"/>
  <c r="AD70" i="190"/>
  <c r="AC70" i="190"/>
  <c r="AB70" i="190"/>
  <c r="W70" i="190"/>
  <c r="S70" i="190"/>
  <c r="M69" i="190"/>
  <c r="W68" i="190"/>
  <c r="H68" i="190"/>
  <c r="W67" i="190"/>
  <c r="H67" i="190"/>
  <c r="W66" i="190"/>
  <c r="W65" i="190"/>
  <c r="W64" i="190"/>
  <c r="W63" i="190"/>
  <c r="V63" i="190"/>
  <c r="N63" i="190"/>
  <c r="K63" i="190"/>
  <c r="L63" i="190" s="1"/>
  <c r="J63" i="190"/>
  <c r="P63" i="190" s="1"/>
  <c r="F63" i="190"/>
  <c r="H63" i="190" s="1"/>
  <c r="B63" i="190"/>
  <c r="W62" i="190"/>
  <c r="V62" i="190"/>
  <c r="N62" i="190"/>
  <c r="K62" i="190"/>
  <c r="L62" i="190" s="1"/>
  <c r="J62" i="190"/>
  <c r="P62" i="190" s="1"/>
  <c r="F62" i="190"/>
  <c r="H62" i="190" s="1"/>
  <c r="B62" i="190"/>
  <c r="W61" i="190"/>
  <c r="V61" i="190"/>
  <c r="N61" i="190"/>
  <c r="K61" i="190"/>
  <c r="L61" i="190" s="1"/>
  <c r="J61" i="190"/>
  <c r="P61" i="190" s="1"/>
  <c r="F61" i="190"/>
  <c r="H61" i="190" s="1"/>
  <c r="B61" i="190"/>
  <c r="W60" i="190"/>
  <c r="V60" i="190"/>
  <c r="N60" i="190"/>
  <c r="K60" i="190"/>
  <c r="L60" i="190" s="1"/>
  <c r="J60" i="190"/>
  <c r="P60" i="190" s="1"/>
  <c r="F60" i="190"/>
  <c r="H60" i="190" s="1"/>
  <c r="B60" i="190"/>
  <c r="W59" i="190"/>
  <c r="N59" i="190"/>
  <c r="K59" i="190"/>
  <c r="J59" i="190"/>
  <c r="F59" i="190"/>
  <c r="H59" i="190" s="1"/>
  <c r="B59" i="190"/>
  <c r="M58" i="190"/>
  <c r="W57" i="190"/>
  <c r="H57" i="190"/>
  <c r="W56" i="190"/>
  <c r="H56" i="190"/>
  <c r="W55" i="190"/>
  <c r="H55" i="190"/>
  <c r="W54" i="190"/>
  <c r="H54" i="190"/>
  <c r="W53" i="190"/>
  <c r="W52" i="190"/>
  <c r="V52" i="190"/>
  <c r="N52" i="190"/>
  <c r="K52" i="190"/>
  <c r="L52" i="190" s="1"/>
  <c r="J52" i="190"/>
  <c r="P52" i="190" s="1"/>
  <c r="F52" i="190"/>
  <c r="H52" i="190" s="1"/>
  <c r="B52" i="190"/>
  <c r="W51" i="190"/>
  <c r="V51" i="190"/>
  <c r="N51" i="190"/>
  <c r="K51" i="190"/>
  <c r="L51" i="190" s="1"/>
  <c r="J51" i="190"/>
  <c r="P51" i="190" s="1"/>
  <c r="F51" i="190"/>
  <c r="H51" i="190" s="1"/>
  <c r="B51" i="190"/>
  <c r="W50" i="190"/>
  <c r="V50" i="190"/>
  <c r="N50" i="190"/>
  <c r="K50" i="190"/>
  <c r="L50" i="190" s="1"/>
  <c r="J50" i="190"/>
  <c r="P50" i="190" s="1"/>
  <c r="F50" i="190"/>
  <c r="H50" i="190" s="1"/>
  <c r="B50" i="190"/>
  <c r="W49" i="190"/>
  <c r="N49" i="190"/>
  <c r="K49" i="190"/>
  <c r="J49" i="190"/>
  <c r="F49" i="190"/>
  <c r="H49" i="190" s="1"/>
  <c r="B49" i="190"/>
  <c r="W48" i="190"/>
  <c r="M48" i="190"/>
  <c r="W47" i="190"/>
  <c r="H47" i="190"/>
  <c r="W46" i="190"/>
  <c r="H46" i="190"/>
  <c r="W45" i="190"/>
  <c r="H45" i="190"/>
  <c r="W44" i="190"/>
  <c r="H44" i="190"/>
  <c r="W43" i="190"/>
  <c r="W42" i="190"/>
  <c r="N42" i="190"/>
  <c r="O42" i="190" s="1"/>
  <c r="K42" i="190"/>
  <c r="L42" i="190" s="1"/>
  <c r="J42" i="190"/>
  <c r="P42" i="190" s="1"/>
  <c r="F42" i="190"/>
  <c r="H42" i="190" s="1"/>
  <c r="W41" i="190"/>
  <c r="V41" i="190"/>
  <c r="N41" i="190"/>
  <c r="K41" i="190"/>
  <c r="L41" i="190" s="1"/>
  <c r="J41" i="190"/>
  <c r="P41" i="190" s="1"/>
  <c r="F41" i="190"/>
  <c r="H41" i="190" s="1"/>
  <c r="W40" i="190"/>
  <c r="V40" i="190"/>
  <c r="N40" i="190"/>
  <c r="K40" i="190"/>
  <c r="L40" i="190" s="1"/>
  <c r="J40" i="190"/>
  <c r="F40" i="190"/>
  <c r="H40" i="190" s="1"/>
  <c r="W39" i="190"/>
  <c r="V39" i="190"/>
  <c r="P39" i="190"/>
  <c r="N39" i="190"/>
  <c r="K39" i="190"/>
  <c r="F39" i="190"/>
  <c r="H39" i="190" s="1"/>
  <c r="W38" i="190"/>
  <c r="P38" i="190"/>
  <c r="N38" i="190"/>
  <c r="L38" i="190"/>
  <c r="F38" i="190"/>
  <c r="H38" i="190" s="1"/>
  <c r="M37" i="190"/>
  <c r="W36" i="190"/>
  <c r="H36" i="190"/>
  <c r="W35" i="190"/>
  <c r="H35" i="190"/>
  <c r="W34" i="190"/>
  <c r="H34" i="190"/>
  <c r="W33" i="190"/>
  <c r="H33" i="190"/>
  <c r="W32" i="190"/>
  <c r="W31" i="190"/>
  <c r="N31" i="190"/>
  <c r="O31" i="190" s="1"/>
  <c r="K31" i="190"/>
  <c r="L31" i="190" s="1"/>
  <c r="J31" i="190"/>
  <c r="P31" i="190" s="1"/>
  <c r="F31" i="190"/>
  <c r="H31" i="190" s="1"/>
  <c r="B31" i="190"/>
  <c r="W30" i="190"/>
  <c r="V30" i="190"/>
  <c r="N30" i="190"/>
  <c r="K30" i="190"/>
  <c r="L30" i="190" s="1"/>
  <c r="J30" i="190"/>
  <c r="P30" i="190" s="1"/>
  <c r="F30" i="190"/>
  <c r="H30" i="190" s="1"/>
  <c r="B30" i="190"/>
  <c r="W29" i="190"/>
  <c r="V29" i="190"/>
  <c r="N29" i="190"/>
  <c r="K29" i="190"/>
  <c r="L29" i="190" s="1"/>
  <c r="J29" i="190"/>
  <c r="P29" i="190" s="1"/>
  <c r="F29" i="190"/>
  <c r="H29" i="190" s="1"/>
  <c r="B29" i="190"/>
  <c r="W28" i="190"/>
  <c r="V28" i="190"/>
  <c r="N28" i="190"/>
  <c r="K28" i="190"/>
  <c r="L28" i="190" s="1"/>
  <c r="J28" i="190"/>
  <c r="P28" i="190" s="1"/>
  <c r="F28" i="190"/>
  <c r="H28" i="190" s="1"/>
  <c r="B28" i="190"/>
  <c r="W27" i="190"/>
  <c r="N27" i="190"/>
  <c r="K27" i="190"/>
  <c r="J27" i="190"/>
  <c r="F27" i="190"/>
  <c r="H27" i="190" s="1"/>
  <c r="B27" i="190"/>
  <c r="M26" i="190"/>
  <c r="W25" i="190"/>
  <c r="H25" i="190"/>
  <c r="W24" i="190"/>
  <c r="H24" i="190"/>
  <c r="W23" i="190"/>
  <c r="H22" i="190"/>
  <c r="W21" i="190"/>
  <c r="AC20" i="190"/>
  <c r="AB20" i="190"/>
  <c r="W20" i="190"/>
  <c r="W19" i="190"/>
  <c r="V19" i="190"/>
  <c r="N19" i="190"/>
  <c r="K19" i="190"/>
  <c r="L19" i="190" s="1"/>
  <c r="J19" i="190"/>
  <c r="P19" i="190" s="1"/>
  <c r="F19" i="190"/>
  <c r="H19" i="190" s="1"/>
  <c r="B19" i="190"/>
  <c r="W18" i="190"/>
  <c r="V18" i="190"/>
  <c r="N18" i="190"/>
  <c r="K18" i="190"/>
  <c r="L18" i="190" s="1"/>
  <c r="J18" i="190"/>
  <c r="P18" i="190" s="1"/>
  <c r="F18" i="190"/>
  <c r="H18" i="190" s="1"/>
  <c r="B18" i="190"/>
  <c r="W17" i="190"/>
  <c r="V17" i="190"/>
  <c r="N17" i="190"/>
  <c r="K17" i="190"/>
  <c r="L17" i="190" s="1"/>
  <c r="J17" i="190"/>
  <c r="P17" i="190" s="1"/>
  <c r="F17" i="190"/>
  <c r="H17" i="190" s="1"/>
  <c r="B17" i="190"/>
  <c r="W16" i="190"/>
  <c r="N16" i="190"/>
  <c r="K16" i="190"/>
  <c r="J16" i="190"/>
  <c r="F16" i="190"/>
  <c r="H16" i="190" s="1"/>
  <c r="B16" i="190"/>
  <c r="M15" i="190"/>
  <c r="W14" i="190"/>
  <c r="W13" i="190"/>
  <c r="W12" i="190"/>
  <c r="H12" i="190"/>
  <c r="W11" i="190"/>
  <c r="H11" i="190"/>
  <c r="W10" i="190"/>
  <c r="W9" i="190"/>
  <c r="V9" i="190"/>
  <c r="N9" i="190"/>
  <c r="K9" i="190"/>
  <c r="L9" i="190" s="1"/>
  <c r="J9" i="190"/>
  <c r="P9" i="190" s="1"/>
  <c r="F9" i="190"/>
  <c r="H9" i="190" s="1"/>
  <c r="B9" i="190"/>
  <c r="W8" i="190"/>
  <c r="V8" i="190"/>
  <c r="N8" i="190"/>
  <c r="K8" i="190"/>
  <c r="L8" i="190" s="1"/>
  <c r="J8" i="190"/>
  <c r="P8" i="190" s="1"/>
  <c r="F8" i="190"/>
  <c r="H8" i="190" s="1"/>
  <c r="B8" i="190"/>
  <c r="W7" i="190"/>
  <c r="V7" i="190"/>
  <c r="N7" i="190"/>
  <c r="K7" i="190"/>
  <c r="L7" i="190" s="1"/>
  <c r="J7" i="190"/>
  <c r="P7" i="190" s="1"/>
  <c r="F7" i="190"/>
  <c r="H7" i="190" s="1"/>
  <c r="B7" i="190"/>
  <c r="W6" i="190"/>
  <c r="V6" i="190"/>
  <c r="N6" i="190"/>
  <c r="J6" i="190"/>
  <c r="F6" i="190"/>
  <c r="H6" i="190" s="1"/>
  <c r="B6" i="190"/>
  <c r="W5" i="190"/>
  <c r="N5" i="190"/>
  <c r="K5" i="190"/>
  <c r="J5" i="190"/>
  <c r="F5" i="190"/>
  <c r="H5" i="190" s="1"/>
  <c r="G1" i="190" s="1"/>
  <c r="B5" i="190"/>
  <c r="I2" i="190"/>
  <c r="I1" i="190"/>
  <c r="E1" i="190"/>
  <c r="I18" i="189"/>
  <c r="H18" i="189"/>
  <c r="G18" i="189"/>
  <c r="F18" i="189"/>
  <c r="E18" i="189"/>
  <c r="D18" i="189"/>
  <c r="I16" i="189"/>
  <c r="H16" i="189"/>
  <c r="G16" i="189"/>
  <c r="F16" i="189"/>
  <c r="E16" i="189"/>
  <c r="D16" i="189"/>
  <c r="G3" i="189"/>
  <c r="AC79" i="188"/>
  <c r="AB79" i="188"/>
  <c r="J79" i="188"/>
  <c r="W78" i="188"/>
  <c r="H78" i="188"/>
  <c r="W77" i="188"/>
  <c r="H77" i="188"/>
  <c r="W76" i="188"/>
  <c r="H76" i="188"/>
  <c r="W75" i="188"/>
  <c r="H75" i="188"/>
  <c r="W74" i="188"/>
  <c r="H74" i="188"/>
  <c r="W73" i="188"/>
  <c r="W72" i="188"/>
  <c r="W71" i="188"/>
  <c r="AD70" i="188"/>
  <c r="AC70" i="188"/>
  <c r="AB70" i="188"/>
  <c r="W70" i="188"/>
  <c r="S70" i="188"/>
  <c r="M69" i="188"/>
  <c r="W68" i="188"/>
  <c r="H68" i="188"/>
  <c r="W67" i="188"/>
  <c r="H67" i="188"/>
  <c r="W66" i="188"/>
  <c r="W65" i="188"/>
  <c r="W64" i="188"/>
  <c r="AC63" i="188"/>
  <c r="AB63" i="188"/>
  <c r="W63" i="188"/>
  <c r="W62" i="188"/>
  <c r="N62" i="188"/>
  <c r="K62" i="188"/>
  <c r="L62" i="188" s="1"/>
  <c r="J62" i="188"/>
  <c r="P62" i="188" s="1"/>
  <c r="F62" i="188"/>
  <c r="H62" i="188" s="1"/>
  <c r="B62" i="188"/>
  <c r="W61" i="188"/>
  <c r="V61" i="188"/>
  <c r="N61" i="188"/>
  <c r="K61" i="188"/>
  <c r="J61" i="188"/>
  <c r="F61" i="188"/>
  <c r="H61" i="188" s="1"/>
  <c r="B61" i="188"/>
  <c r="W60" i="188"/>
  <c r="N60" i="188" s="1"/>
  <c r="V60" i="188"/>
  <c r="P60" i="188"/>
  <c r="K60" i="188"/>
  <c r="L60" i="188" s="1"/>
  <c r="J60" i="188"/>
  <c r="F60" i="188"/>
  <c r="H60" i="188" s="1"/>
  <c r="B60" i="188"/>
  <c r="W59" i="188"/>
  <c r="N59" i="188"/>
  <c r="K59" i="188"/>
  <c r="L59" i="188" s="1"/>
  <c r="J59" i="188"/>
  <c r="P59" i="188" s="1"/>
  <c r="F59" i="188"/>
  <c r="H59" i="188" s="1"/>
  <c r="B59" i="188"/>
  <c r="M58" i="188"/>
  <c r="W57" i="188"/>
  <c r="H57" i="188"/>
  <c r="W56" i="188"/>
  <c r="H56" i="188"/>
  <c r="W55" i="188"/>
  <c r="H55" i="188"/>
  <c r="W54" i="188"/>
  <c r="H54" i="188"/>
  <c r="W53" i="188"/>
  <c r="W52" i="188"/>
  <c r="V52" i="188"/>
  <c r="N52" i="188"/>
  <c r="K52" i="188"/>
  <c r="L52" i="188" s="1"/>
  <c r="J52" i="188"/>
  <c r="P52" i="188" s="1"/>
  <c r="F52" i="188"/>
  <c r="H52" i="188" s="1"/>
  <c r="B52" i="188"/>
  <c r="W51" i="188"/>
  <c r="V51" i="188"/>
  <c r="N51" i="188"/>
  <c r="K51" i="188"/>
  <c r="L51" i="188" s="1"/>
  <c r="J51" i="188"/>
  <c r="P51" i="188" s="1"/>
  <c r="F51" i="188"/>
  <c r="H51" i="188" s="1"/>
  <c r="B51" i="188"/>
  <c r="W50" i="188"/>
  <c r="V50" i="188"/>
  <c r="N50" i="188"/>
  <c r="K50" i="188"/>
  <c r="L50" i="188" s="1"/>
  <c r="J50" i="188"/>
  <c r="P50" i="188" s="1"/>
  <c r="F50" i="188"/>
  <c r="H50" i="188" s="1"/>
  <c r="B50" i="188"/>
  <c r="W49" i="188"/>
  <c r="N49" i="188"/>
  <c r="K49" i="188"/>
  <c r="J49" i="188"/>
  <c r="F49" i="188"/>
  <c r="H49" i="188" s="1"/>
  <c r="B49" i="188"/>
  <c r="W48" i="188"/>
  <c r="M48" i="188"/>
  <c r="W47" i="188"/>
  <c r="H47" i="188"/>
  <c r="W46" i="188"/>
  <c r="H46" i="188"/>
  <c r="W45" i="188"/>
  <c r="H45" i="188"/>
  <c r="W44" i="188"/>
  <c r="H44" i="188"/>
  <c r="W43" i="188"/>
  <c r="W42" i="188"/>
  <c r="W41" i="188"/>
  <c r="V41" i="188"/>
  <c r="N41" i="188"/>
  <c r="K41" i="188"/>
  <c r="L41" i="188" s="1"/>
  <c r="J41" i="188"/>
  <c r="P41" i="188" s="1"/>
  <c r="F41" i="188"/>
  <c r="H41" i="188" s="1"/>
  <c r="W40" i="188"/>
  <c r="V40" i="188"/>
  <c r="N40" i="188"/>
  <c r="K40" i="188"/>
  <c r="L40" i="188" s="1"/>
  <c r="J40" i="188"/>
  <c r="F40" i="188"/>
  <c r="H40" i="188" s="1"/>
  <c r="W39" i="188"/>
  <c r="V39" i="188"/>
  <c r="P39" i="188"/>
  <c r="N39" i="188"/>
  <c r="K39" i="188"/>
  <c r="F39" i="188"/>
  <c r="H39" i="188" s="1"/>
  <c r="W38" i="188"/>
  <c r="P38" i="188"/>
  <c r="N38" i="188"/>
  <c r="L38" i="188"/>
  <c r="F38" i="188"/>
  <c r="H38" i="188" s="1"/>
  <c r="M37" i="188"/>
  <c r="W36" i="188"/>
  <c r="H36" i="188"/>
  <c r="W35" i="188"/>
  <c r="H35" i="188"/>
  <c r="W34" i="188"/>
  <c r="H34" i="188"/>
  <c r="W33" i="188"/>
  <c r="H33" i="188"/>
  <c r="W32" i="188"/>
  <c r="W31" i="188"/>
  <c r="W30" i="188"/>
  <c r="V30" i="188"/>
  <c r="N30" i="188"/>
  <c r="K30" i="188"/>
  <c r="L30" i="188" s="1"/>
  <c r="J30" i="188"/>
  <c r="P30" i="188" s="1"/>
  <c r="F30" i="188"/>
  <c r="H30" i="188" s="1"/>
  <c r="B30" i="188"/>
  <c r="W29" i="188"/>
  <c r="V29" i="188"/>
  <c r="N29" i="188"/>
  <c r="K29" i="188"/>
  <c r="L29" i="188" s="1"/>
  <c r="J29" i="188"/>
  <c r="P29" i="188" s="1"/>
  <c r="F29" i="188"/>
  <c r="H29" i="188" s="1"/>
  <c r="B29" i="188"/>
  <c r="W28" i="188"/>
  <c r="V28" i="188"/>
  <c r="N28" i="188"/>
  <c r="K28" i="188"/>
  <c r="L28" i="188" s="1"/>
  <c r="J28" i="188"/>
  <c r="P28" i="188" s="1"/>
  <c r="F28" i="188"/>
  <c r="H28" i="188" s="1"/>
  <c r="B28" i="188"/>
  <c r="W27" i="188"/>
  <c r="N27" i="188"/>
  <c r="K27" i="188"/>
  <c r="J27" i="188"/>
  <c r="F27" i="188"/>
  <c r="H27" i="188" s="1"/>
  <c r="M26" i="188"/>
  <c r="W25" i="188"/>
  <c r="H25" i="188"/>
  <c r="W24" i="188"/>
  <c r="H24" i="188"/>
  <c r="W23" i="188"/>
  <c r="H22" i="188"/>
  <c r="W21" i="188"/>
  <c r="W20" i="188"/>
  <c r="V20" i="188"/>
  <c r="N20" i="188"/>
  <c r="K20" i="188"/>
  <c r="L20" i="188" s="1"/>
  <c r="J20" i="188"/>
  <c r="P20" i="188" s="1"/>
  <c r="F20" i="188"/>
  <c r="H20" i="188" s="1"/>
  <c r="B20" i="188"/>
  <c r="W19" i="188"/>
  <c r="V19" i="188"/>
  <c r="N19" i="188"/>
  <c r="K19" i="188"/>
  <c r="L19" i="188" s="1"/>
  <c r="J19" i="188"/>
  <c r="P19" i="188" s="1"/>
  <c r="F19" i="188"/>
  <c r="H19" i="188" s="1"/>
  <c r="B19" i="188"/>
  <c r="W18" i="188"/>
  <c r="V18" i="188"/>
  <c r="N18" i="188"/>
  <c r="K18" i="188"/>
  <c r="L18" i="188" s="1"/>
  <c r="J18" i="188"/>
  <c r="P18" i="188" s="1"/>
  <c r="F18" i="188"/>
  <c r="H18" i="188" s="1"/>
  <c r="B18" i="188"/>
  <c r="W17" i="188"/>
  <c r="V17" i="188"/>
  <c r="N17" i="188"/>
  <c r="K17" i="188"/>
  <c r="L17" i="188" s="1"/>
  <c r="J17" i="188"/>
  <c r="P17" i="188" s="1"/>
  <c r="F17" i="188"/>
  <c r="H17" i="188" s="1"/>
  <c r="B17" i="188"/>
  <c r="W16" i="188"/>
  <c r="N16" i="188"/>
  <c r="K16" i="188"/>
  <c r="J16" i="188"/>
  <c r="F16" i="188"/>
  <c r="H16" i="188" s="1"/>
  <c r="B16" i="188"/>
  <c r="M15" i="188"/>
  <c r="W14" i="188"/>
  <c r="W13" i="188"/>
  <c r="W12" i="188"/>
  <c r="H12" i="188"/>
  <c r="W11" i="188"/>
  <c r="H11" i="188"/>
  <c r="W10" i="188"/>
  <c r="W9" i="188"/>
  <c r="V9" i="188"/>
  <c r="N9" i="188"/>
  <c r="K9" i="188"/>
  <c r="L9" i="188" s="1"/>
  <c r="J9" i="188"/>
  <c r="P9" i="188" s="1"/>
  <c r="F9" i="188"/>
  <c r="H9" i="188" s="1"/>
  <c r="B9" i="188"/>
  <c r="W8" i="188"/>
  <c r="V8" i="188"/>
  <c r="N8" i="188"/>
  <c r="K8" i="188"/>
  <c r="L8" i="188" s="1"/>
  <c r="J8" i="188"/>
  <c r="P8" i="188" s="1"/>
  <c r="F8" i="188"/>
  <c r="H8" i="188" s="1"/>
  <c r="B8" i="188"/>
  <c r="W7" i="188"/>
  <c r="V7" i="188"/>
  <c r="N7" i="188"/>
  <c r="K7" i="188"/>
  <c r="L7" i="188" s="1"/>
  <c r="J7" i="188"/>
  <c r="P7" i="188" s="1"/>
  <c r="F7" i="188"/>
  <c r="H7" i="188" s="1"/>
  <c r="B7" i="188"/>
  <c r="W6" i="188"/>
  <c r="V6" i="188"/>
  <c r="N6" i="188"/>
  <c r="J6" i="188"/>
  <c r="F6" i="188"/>
  <c r="H6" i="188" s="1"/>
  <c r="B6" i="188"/>
  <c r="W5" i="188"/>
  <c r="N5" i="188"/>
  <c r="K5" i="188"/>
  <c r="J5" i="188"/>
  <c r="F5" i="188"/>
  <c r="H5" i="188" s="1"/>
  <c r="B5" i="188"/>
  <c r="I2" i="188"/>
  <c r="E1" i="188"/>
  <c r="H18" i="187"/>
  <c r="G18" i="187"/>
  <c r="F18" i="187"/>
  <c r="E18" i="187"/>
  <c r="D18" i="187"/>
  <c r="I16" i="187"/>
  <c r="H16" i="187"/>
  <c r="G16" i="187"/>
  <c r="F16" i="187"/>
  <c r="E16" i="187"/>
  <c r="D16" i="187"/>
  <c r="G3" i="187"/>
  <c r="AC79" i="186"/>
  <c r="AB79" i="186"/>
  <c r="J79" i="186"/>
  <c r="W78" i="186"/>
  <c r="H78" i="186"/>
  <c r="W77" i="186"/>
  <c r="H77" i="186"/>
  <c r="W76" i="186"/>
  <c r="H76" i="186"/>
  <c r="W75" i="186"/>
  <c r="H75" i="186"/>
  <c r="W74" i="186"/>
  <c r="H74" i="186"/>
  <c r="W73" i="186"/>
  <c r="W72" i="186"/>
  <c r="W71" i="186"/>
  <c r="AD70" i="186"/>
  <c r="AC70" i="186"/>
  <c r="AB70" i="186"/>
  <c r="W70" i="186"/>
  <c r="S70" i="186"/>
  <c r="M69" i="186"/>
  <c r="W68" i="186"/>
  <c r="H68" i="186"/>
  <c r="W67" i="186"/>
  <c r="H67" i="186"/>
  <c r="W66" i="186"/>
  <c r="H66" i="186"/>
  <c r="W65" i="186"/>
  <c r="W64" i="186"/>
  <c r="AC63" i="186"/>
  <c r="AB63" i="186"/>
  <c r="W63" i="186"/>
  <c r="W62" i="186"/>
  <c r="V62" i="186"/>
  <c r="N62" i="186"/>
  <c r="K62" i="186"/>
  <c r="L62" i="186" s="1"/>
  <c r="J62" i="186"/>
  <c r="P62" i="186" s="1"/>
  <c r="F62" i="186"/>
  <c r="H62" i="186" s="1"/>
  <c r="B62" i="186"/>
  <c r="W61" i="186"/>
  <c r="V61" i="186"/>
  <c r="N61" i="186"/>
  <c r="K61" i="186"/>
  <c r="L61" i="186" s="1"/>
  <c r="J61" i="186"/>
  <c r="P61" i="186" s="1"/>
  <c r="F61" i="186"/>
  <c r="H61" i="186" s="1"/>
  <c r="B61" i="186"/>
  <c r="W60" i="186"/>
  <c r="V60" i="186"/>
  <c r="N60" i="186"/>
  <c r="K60" i="186"/>
  <c r="L60" i="186" s="1"/>
  <c r="J60" i="186"/>
  <c r="P60" i="186" s="1"/>
  <c r="F60" i="186"/>
  <c r="H60" i="186" s="1"/>
  <c r="B60" i="186"/>
  <c r="W59" i="186"/>
  <c r="N59" i="186"/>
  <c r="K59" i="186"/>
  <c r="J59" i="186"/>
  <c r="F59" i="186"/>
  <c r="H59" i="186" s="1"/>
  <c r="B59" i="186"/>
  <c r="M58" i="186"/>
  <c r="W57" i="186"/>
  <c r="H57" i="186"/>
  <c r="W56" i="186"/>
  <c r="H56" i="186"/>
  <c r="W55" i="186"/>
  <c r="H55" i="186"/>
  <c r="W54" i="186"/>
  <c r="H54" i="186"/>
  <c r="W53" i="186"/>
  <c r="W52" i="186"/>
  <c r="V52" i="186"/>
  <c r="N52" i="186"/>
  <c r="K52" i="186"/>
  <c r="L52" i="186" s="1"/>
  <c r="J52" i="186"/>
  <c r="P52" i="186" s="1"/>
  <c r="F52" i="186"/>
  <c r="H52" i="186" s="1"/>
  <c r="B52" i="186"/>
  <c r="W51" i="186"/>
  <c r="V51" i="186"/>
  <c r="N51" i="186"/>
  <c r="K51" i="186"/>
  <c r="L51" i="186" s="1"/>
  <c r="J51" i="186"/>
  <c r="P51" i="186" s="1"/>
  <c r="F51" i="186"/>
  <c r="H51" i="186" s="1"/>
  <c r="B51" i="186"/>
  <c r="W50" i="186"/>
  <c r="V50" i="186"/>
  <c r="N50" i="186"/>
  <c r="K50" i="186"/>
  <c r="L50" i="186" s="1"/>
  <c r="J50" i="186"/>
  <c r="P50" i="186" s="1"/>
  <c r="F50" i="186"/>
  <c r="H50" i="186" s="1"/>
  <c r="B50" i="186"/>
  <c r="W49" i="186"/>
  <c r="N49" i="186"/>
  <c r="K49" i="186"/>
  <c r="J49" i="186"/>
  <c r="F49" i="186"/>
  <c r="H49" i="186" s="1"/>
  <c r="B49" i="186"/>
  <c r="W48" i="186"/>
  <c r="M48" i="186"/>
  <c r="W47" i="186"/>
  <c r="H47" i="186"/>
  <c r="W46" i="186"/>
  <c r="H46" i="186"/>
  <c r="W45" i="186"/>
  <c r="H45" i="186"/>
  <c r="W44" i="186"/>
  <c r="H44" i="186"/>
  <c r="W43" i="186"/>
  <c r="H43" i="186"/>
  <c r="W42" i="186"/>
  <c r="W41" i="186"/>
  <c r="V41" i="186"/>
  <c r="N41" i="186"/>
  <c r="K41" i="186"/>
  <c r="L41" i="186" s="1"/>
  <c r="J41" i="186"/>
  <c r="P41" i="186" s="1"/>
  <c r="F41" i="186"/>
  <c r="H41" i="186" s="1"/>
  <c r="W40" i="186"/>
  <c r="V40" i="186"/>
  <c r="N40" i="186"/>
  <c r="K40" i="186"/>
  <c r="L40" i="186" s="1"/>
  <c r="J40" i="186"/>
  <c r="F40" i="186"/>
  <c r="H40" i="186" s="1"/>
  <c r="W39" i="186"/>
  <c r="V39" i="186"/>
  <c r="P39" i="186"/>
  <c r="N39" i="186"/>
  <c r="K39" i="186"/>
  <c r="F39" i="186"/>
  <c r="H39" i="186" s="1"/>
  <c r="W38" i="186"/>
  <c r="P38" i="186"/>
  <c r="N38" i="186"/>
  <c r="L38" i="186"/>
  <c r="F38" i="186"/>
  <c r="H38" i="186" s="1"/>
  <c r="M37" i="186"/>
  <c r="W36" i="186"/>
  <c r="H36" i="186"/>
  <c r="W35" i="186"/>
  <c r="H35" i="186"/>
  <c r="W34" i="186"/>
  <c r="H34" i="186"/>
  <c r="W33" i="186"/>
  <c r="H33" i="186"/>
  <c r="W32" i="186"/>
  <c r="W31" i="186"/>
  <c r="W30" i="186"/>
  <c r="V30" i="186"/>
  <c r="N30" i="186"/>
  <c r="K30" i="186"/>
  <c r="L30" i="186" s="1"/>
  <c r="J30" i="186"/>
  <c r="P30" i="186" s="1"/>
  <c r="F30" i="186"/>
  <c r="H30" i="186" s="1"/>
  <c r="B30" i="186"/>
  <c r="W29" i="186"/>
  <c r="V29" i="186"/>
  <c r="N29" i="186"/>
  <c r="K29" i="186"/>
  <c r="L29" i="186" s="1"/>
  <c r="J29" i="186"/>
  <c r="P29" i="186" s="1"/>
  <c r="F29" i="186"/>
  <c r="H29" i="186" s="1"/>
  <c r="B29" i="186"/>
  <c r="W28" i="186"/>
  <c r="V28" i="186"/>
  <c r="N28" i="186"/>
  <c r="K28" i="186"/>
  <c r="L28" i="186" s="1"/>
  <c r="J28" i="186"/>
  <c r="P28" i="186" s="1"/>
  <c r="F28" i="186"/>
  <c r="H28" i="186" s="1"/>
  <c r="B28" i="186"/>
  <c r="W27" i="186"/>
  <c r="N27" i="186"/>
  <c r="K27" i="186"/>
  <c r="J27" i="186"/>
  <c r="F27" i="186"/>
  <c r="H27" i="186" s="1"/>
  <c r="M26" i="186"/>
  <c r="W25" i="186"/>
  <c r="H25" i="186"/>
  <c r="W24" i="186"/>
  <c r="H24" i="186"/>
  <c r="W23" i="186"/>
  <c r="H22" i="186"/>
  <c r="W21" i="186"/>
  <c r="W20" i="186"/>
  <c r="V20" i="186"/>
  <c r="N20" i="186"/>
  <c r="K20" i="186"/>
  <c r="L20" i="186" s="1"/>
  <c r="J20" i="186"/>
  <c r="P20" i="186" s="1"/>
  <c r="F20" i="186"/>
  <c r="H20" i="186" s="1"/>
  <c r="B20" i="186"/>
  <c r="W19" i="186"/>
  <c r="V19" i="186"/>
  <c r="N19" i="186"/>
  <c r="K19" i="186"/>
  <c r="L19" i="186" s="1"/>
  <c r="J19" i="186"/>
  <c r="P19" i="186" s="1"/>
  <c r="F19" i="186"/>
  <c r="H19" i="186" s="1"/>
  <c r="B19" i="186"/>
  <c r="W18" i="186"/>
  <c r="V18" i="186"/>
  <c r="N18" i="186"/>
  <c r="K18" i="186"/>
  <c r="L18" i="186" s="1"/>
  <c r="J18" i="186"/>
  <c r="P18" i="186" s="1"/>
  <c r="F18" i="186"/>
  <c r="H18" i="186" s="1"/>
  <c r="B18" i="186"/>
  <c r="W17" i="186"/>
  <c r="V17" i="186"/>
  <c r="N17" i="186"/>
  <c r="K17" i="186"/>
  <c r="L17" i="186" s="1"/>
  <c r="J17" i="186"/>
  <c r="P17" i="186" s="1"/>
  <c r="F17" i="186"/>
  <c r="H17" i="186" s="1"/>
  <c r="B17" i="186"/>
  <c r="W16" i="186"/>
  <c r="N16" i="186"/>
  <c r="K16" i="186"/>
  <c r="J16" i="186"/>
  <c r="F16" i="186"/>
  <c r="H16" i="186" s="1"/>
  <c r="B16" i="186"/>
  <c r="M15" i="186"/>
  <c r="W14" i="186"/>
  <c r="W13" i="186"/>
  <c r="W12" i="186"/>
  <c r="H12" i="186"/>
  <c r="W11" i="186"/>
  <c r="H11" i="186"/>
  <c r="W10" i="186"/>
  <c r="W9" i="186"/>
  <c r="V9" i="186"/>
  <c r="N9" i="186"/>
  <c r="K9" i="186"/>
  <c r="L9" i="186" s="1"/>
  <c r="J9" i="186"/>
  <c r="P9" i="186" s="1"/>
  <c r="F9" i="186"/>
  <c r="H9" i="186" s="1"/>
  <c r="B9" i="186"/>
  <c r="W8" i="186"/>
  <c r="V8" i="186"/>
  <c r="N8" i="186"/>
  <c r="K8" i="186"/>
  <c r="L8" i="186" s="1"/>
  <c r="J8" i="186"/>
  <c r="P8" i="186" s="1"/>
  <c r="F8" i="186"/>
  <c r="H8" i="186" s="1"/>
  <c r="B8" i="186"/>
  <c r="W7" i="186"/>
  <c r="V7" i="186"/>
  <c r="N7" i="186"/>
  <c r="K7" i="186"/>
  <c r="L7" i="186" s="1"/>
  <c r="J7" i="186"/>
  <c r="P7" i="186" s="1"/>
  <c r="F7" i="186"/>
  <c r="H7" i="186" s="1"/>
  <c r="B7" i="186"/>
  <c r="W6" i="186"/>
  <c r="V6" i="186"/>
  <c r="N6" i="186"/>
  <c r="J6" i="186"/>
  <c r="F6" i="186"/>
  <c r="H6" i="186" s="1"/>
  <c r="B6" i="186"/>
  <c r="W5" i="186"/>
  <c r="N5" i="186"/>
  <c r="K5" i="186"/>
  <c r="J5" i="186"/>
  <c r="F5" i="186"/>
  <c r="H5" i="186" s="1"/>
  <c r="G1" i="186" s="1"/>
  <c r="B5" i="186"/>
  <c r="I2" i="186"/>
  <c r="I1" i="186"/>
  <c r="E1" i="186"/>
  <c r="I18" i="185"/>
  <c r="H18" i="185"/>
  <c r="G18" i="185"/>
  <c r="F18" i="185"/>
  <c r="E18" i="185"/>
  <c r="D18" i="185"/>
  <c r="I16" i="185"/>
  <c r="H16" i="185"/>
  <c r="G16" i="185"/>
  <c r="F16" i="185"/>
  <c r="E16" i="185"/>
  <c r="D16" i="185"/>
  <c r="G3" i="185"/>
  <c r="D18" i="262" l="1"/>
  <c r="I1" i="263"/>
  <c r="Q9" i="263"/>
  <c r="R9" i="263"/>
  <c r="L9" i="263"/>
  <c r="AC9" i="263"/>
  <c r="AB9" i="263"/>
  <c r="AB53" i="261"/>
  <c r="AC53" i="261"/>
  <c r="G1" i="261"/>
  <c r="AC70" i="263"/>
  <c r="N79" i="263"/>
  <c r="O70" i="263"/>
  <c r="AB70" i="263"/>
  <c r="L70" i="263"/>
  <c r="L79" i="263" s="1"/>
  <c r="J13" i="262" s="1"/>
  <c r="K79" i="263"/>
  <c r="P70" i="263"/>
  <c r="J79" i="263"/>
  <c r="P79" i="263" s="1"/>
  <c r="AB62" i="263"/>
  <c r="O62" i="263"/>
  <c r="AC62" i="263"/>
  <c r="O61" i="263"/>
  <c r="AB61" i="263"/>
  <c r="AC61" i="263"/>
  <c r="O60" i="263"/>
  <c r="AC60" i="263"/>
  <c r="AB60" i="263"/>
  <c r="N69" i="263"/>
  <c r="AB59" i="263"/>
  <c r="AC59" i="263"/>
  <c r="O59" i="263"/>
  <c r="K69" i="263"/>
  <c r="L59" i="263"/>
  <c r="L69" i="263" s="1"/>
  <c r="I13" i="262" s="1"/>
  <c r="J6" i="262" s="1"/>
  <c r="J69" i="263"/>
  <c r="P69" i="263" s="1"/>
  <c r="P59" i="263"/>
  <c r="AC52" i="263"/>
  <c r="AB52" i="263"/>
  <c r="O52" i="263"/>
  <c r="AC51" i="263"/>
  <c r="AB51" i="263"/>
  <c r="O51" i="263"/>
  <c r="AC50" i="263"/>
  <c r="AB50" i="263"/>
  <c r="O50" i="263"/>
  <c r="O49" i="263"/>
  <c r="N58" i="263"/>
  <c r="AB49" i="263"/>
  <c r="AC49" i="263"/>
  <c r="L49" i="263"/>
  <c r="L58" i="263" s="1"/>
  <c r="H13" i="262" s="1"/>
  <c r="K58" i="263"/>
  <c r="J58" i="263"/>
  <c r="P58" i="263" s="1"/>
  <c r="P49" i="263"/>
  <c r="AC40" i="263"/>
  <c r="AB40" i="263"/>
  <c r="O40" i="263"/>
  <c r="AC39" i="263"/>
  <c r="AB39" i="263"/>
  <c r="O39" i="263"/>
  <c r="N48" i="263"/>
  <c r="AC38" i="263"/>
  <c r="AB38" i="263"/>
  <c r="O38" i="263"/>
  <c r="K48" i="263"/>
  <c r="L38" i="263"/>
  <c r="L48" i="263" s="1"/>
  <c r="G13" i="262" s="1"/>
  <c r="J48" i="263"/>
  <c r="P48" i="263" s="1"/>
  <c r="P38" i="263"/>
  <c r="AB30" i="263"/>
  <c r="AC30" i="263"/>
  <c r="O30" i="263"/>
  <c r="AC29" i="263"/>
  <c r="AB29" i="263"/>
  <c r="O29" i="263"/>
  <c r="O28" i="263"/>
  <c r="AB28" i="263"/>
  <c r="AC28" i="263"/>
  <c r="O27" i="263"/>
  <c r="N37" i="263"/>
  <c r="AC27" i="263"/>
  <c r="AB27" i="263"/>
  <c r="K37" i="263"/>
  <c r="L27" i="263"/>
  <c r="L37" i="263" s="1"/>
  <c r="F13" i="262" s="1"/>
  <c r="J37" i="263"/>
  <c r="P37" i="263" s="1"/>
  <c r="P27" i="263"/>
  <c r="AC19" i="263"/>
  <c r="AB19" i="263"/>
  <c r="O19" i="263"/>
  <c r="O18" i="263"/>
  <c r="AC18" i="263"/>
  <c r="AB18" i="263"/>
  <c r="AB17" i="263"/>
  <c r="O17" i="263"/>
  <c r="AC17" i="263"/>
  <c r="N26" i="263"/>
  <c r="AC16" i="263"/>
  <c r="AB16" i="263"/>
  <c r="O16" i="263"/>
  <c r="K26" i="263"/>
  <c r="L16" i="263"/>
  <c r="L26" i="263" s="1"/>
  <c r="E13" i="262" s="1"/>
  <c r="J26" i="263"/>
  <c r="P26" i="263" s="1"/>
  <c r="P16" i="263"/>
  <c r="AB8" i="263"/>
  <c r="AC8" i="263"/>
  <c r="O8" i="263"/>
  <c r="AB7" i="263"/>
  <c r="AC7" i="263"/>
  <c r="O7" i="263"/>
  <c r="O6" i="263"/>
  <c r="AB6" i="263"/>
  <c r="AC6" i="263"/>
  <c r="O5" i="263"/>
  <c r="AB5" i="263"/>
  <c r="AC5" i="263"/>
  <c r="N15" i="263"/>
  <c r="K15" i="263"/>
  <c r="L5" i="263"/>
  <c r="L15" i="263" s="1"/>
  <c r="D13" i="262" s="1"/>
  <c r="P5" i="263"/>
  <c r="J15" i="263"/>
  <c r="P15" i="263" s="1"/>
  <c r="G2" i="263"/>
  <c r="J3" i="262"/>
  <c r="AC70" i="261"/>
  <c r="O70" i="261"/>
  <c r="AB70" i="261"/>
  <c r="N79" i="261"/>
  <c r="L70" i="261"/>
  <c r="L79" i="261" s="1"/>
  <c r="J13" i="260" s="1"/>
  <c r="K79" i="261"/>
  <c r="J79" i="261"/>
  <c r="P79" i="261" s="1"/>
  <c r="P70" i="261"/>
  <c r="AC62" i="261"/>
  <c r="AB62" i="261"/>
  <c r="O62" i="261"/>
  <c r="AC61" i="261"/>
  <c r="AB61" i="261"/>
  <c r="O61" i="261"/>
  <c r="O60" i="261"/>
  <c r="AC60" i="261"/>
  <c r="AB60" i="261"/>
  <c r="AC59" i="261"/>
  <c r="AB59" i="261"/>
  <c r="N69" i="261"/>
  <c r="O59" i="261"/>
  <c r="K69" i="261"/>
  <c r="L59" i="261"/>
  <c r="L69" i="261" s="1"/>
  <c r="I13" i="260" s="1"/>
  <c r="J6" i="260" s="1"/>
  <c r="J69" i="261"/>
  <c r="P69" i="261" s="1"/>
  <c r="P59" i="261"/>
  <c r="AC52" i="261"/>
  <c r="O52" i="261"/>
  <c r="AB52" i="261"/>
  <c r="AB51" i="261"/>
  <c r="AC51" i="261"/>
  <c r="O51" i="261"/>
  <c r="O50" i="261"/>
  <c r="AB50" i="261"/>
  <c r="AC50" i="261"/>
  <c r="N58" i="261"/>
  <c r="AC49" i="261"/>
  <c r="AB49" i="261"/>
  <c r="O49" i="261"/>
  <c r="K58" i="261"/>
  <c r="L49" i="261"/>
  <c r="L58" i="261" s="1"/>
  <c r="H13" i="260" s="1"/>
  <c r="P49" i="261"/>
  <c r="J58" i="261"/>
  <c r="P58" i="261" s="1"/>
  <c r="AC40" i="261"/>
  <c r="AB40" i="261"/>
  <c r="O40" i="261"/>
  <c r="AC39" i="261"/>
  <c r="AB39" i="261"/>
  <c r="O39" i="261"/>
  <c r="AC38" i="261"/>
  <c r="AB38" i="261"/>
  <c r="O38" i="261"/>
  <c r="N48" i="261"/>
  <c r="L38" i="261"/>
  <c r="L48" i="261" s="1"/>
  <c r="G13" i="260" s="1"/>
  <c r="K48" i="261"/>
  <c r="P38" i="261"/>
  <c r="J48" i="261"/>
  <c r="P48" i="261" s="1"/>
  <c r="AC30" i="261"/>
  <c r="O30" i="261"/>
  <c r="AB30" i="261"/>
  <c r="O29" i="261"/>
  <c r="AC29" i="261"/>
  <c r="AB29" i="261"/>
  <c r="AB28" i="261"/>
  <c r="O28" i="261"/>
  <c r="AC28" i="261"/>
  <c r="AC27" i="261"/>
  <c r="AB27" i="261"/>
  <c r="O27" i="261"/>
  <c r="N37" i="261"/>
  <c r="L27" i="261"/>
  <c r="L37" i="261" s="1"/>
  <c r="F13" i="260" s="1"/>
  <c r="K37" i="261"/>
  <c r="P27" i="261"/>
  <c r="J37" i="261"/>
  <c r="P37" i="261" s="1"/>
  <c r="AC19" i="261"/>
  <c r="AB19" i="261"/>
  <c r="O19" i="261"/>
  <c r="AC18" i="261"/>
  <c r="AB18" i="261"/>
  <c r="O18" i="261"/>
  <c r="AB17" i="261"/>
  <c r="O17" i="261"/>
  <c r="AC17" i="261"/>
  <c r="AC16" i="261"/>
  <c r="AB16" i="261"/>
  <c r="O16" i="261"/>
  <c r="N26" i="261"/>
  <c r="L16" i="261"/>
  <c r="L26" i="261" s="1"/>
  <c r="E13" i="260" s="1"/>
  <c r="K26" i="261"/>
  <c r="P16" i="261"/>
  <c r="J26" i="261"/>
  <c r="P26" i="261" s="1"/>
  <c r="AC8" i="261"/>
  <c r="AB8" i="261"/>
  <c r="O8" i="261"/>
  <c r="AB7" i="261"/>
  <c r="AC7" i="261"/>
  <c r="O7" i="261"/>
  <c r="AB6" i="261"/>
  <c r="O6" i="261"/>
  <c r="AC6" i="261"/>
  <c r="AC5" i="261"/>
  <c r="AB5" i="261"/>
  <c r="O5" i="261"/>
  <c r="N15" i="261"/>
  <c r="L5" i="261"/>
  <c r="L15" i="261" s="1"/>
  <c r="D13" i="260" s="1"/>
  <c r="K15" i="261"/>
  <c r="P5" i="261"/>
  <c r="J15" i="261"/>
  <c r="P15" i="261" s="1"/>
  <c r="G2" i="261"/>
  <c r="J3" i="260"/>
  <c r="J18" i="258"/>
  <c r="N79" i="259"/>
  <c r="AC70" i="259"/>
  <c r="AB70" i="259"/>
  <c r="O70" i="259"/>
  <c r="K79" i="259"/>
  <c r="L70" i="259"/>
  <c r="L79" i="259" s="1"/>
  <c r="J13" i="258" s="1"/>
  <c r="J79" i="259"/>
  <c r="P79" i="259" s="1"/>
  <c r="P70" i="259"/>
  <c r="I18" i="258"/>
  <c r="O62" i="259"/>
  <c r="AC62" i="259"/>
  <c r="AB62" i="259"/>
  <c r="O61" i="259"/>
  <c r="AC61" i="259"/>
  <c r="AB61" i="259"/>
  <c r="AB60" i="259"/>
  <c r="AC60" i="259"/>
  <c r="O60" i="259"/>
  <c r="N69" i="259"/>
  <c r="AC59" i="259"/>
  <c r="AB59" i="259"/>
  <c r="O59" i="259"/>
  <c r="K69" i="259"/>
  <c r="L59" i="259"/>
  <c r="L69" i="259" s="1"/>
  <c r="I13" i="258" s="1"/>
  <c r="J6" i="258" s="1"/>
  <c r="P59" i="259"/>
  <c r="J69" i="259"/>
  <c r="P69" i="259" s="1"/>
  <c r="H18" i="258"/>
  <c r="O52" i="259"/>
  <c r="AC52" i="259"/>
  <c r="AB52" i="259"/>
  <c r="AC51" i="259"/>
  <c r="AB51" i="259"/>
  <c r="O51" i="259"/>
  <c r="AC50" i="259"/>
  <c r="AB50" i="259"/>
  <c r="O50" i="259"/>
  <c r="AC49" i="259"/>
  <c r="AB49" i="259"/>
  <c r="O49" i="259"/>
  <c r="N58" i="259"/>
  <c r="L49" i="259"/>
  <c r="L58" i="259" s="1"/>
  <c r="H13" i="258" s="1"/>
  <c r="K58" i="259"/>
  <c r="P49" i="259"/>
  <c r="J58" i="259"/>
  <c r="P58" i="259" s="1"/>
  <c r="G18" i="258"/>
  <c r="AC40" i="259"/>
  <c r="AB40" i="259"/>
  <c r="O40" i="259"/>
  <c r="AC39" i="259"/>
  <c r="AB39" i="259"/>
  <c r="O39" i="259"/>
  <c r="N48" i="259"/>
  <c r="AB38" i="259"/>
  <c r="AC38" i="259"/>
  <c r="O38" i="259"/>
  <c r="K48" i="259"/>
  <c r="L38" i="259"/>
  <c r="L48" i="259" s="1"/>
  <c r="G13" i="258" s="1"/>
  <c r="J48" i="259"/>
  <c r="P48" i="259" s="1"/>
  <c r="P38" i="259"/>
  <c r="P37" i="259"/>
  <c r="F18" i="258"/>
  <c r="Q31" i="259"/>
  <c r="R31" i="259"/>
  <c r="O30" i="259"/>
  <c r="AB30" i="259"/>
  <c r="AC30" i="259"/>
  <c r="AC29" i="259"/>
  <c r="AB29" i="259"/>
  <c r="O29" i="259"/>
  <c r="O28" i="259"/>
  <c r="AC28" i="259"/>
  <c r="AB28" i="259"/>
  <c r="AC27" i="259"/>
  <c r="AB27" i="259"/>
  <c r="O27" i="259"/>
  <c r="N37" i="259"/>
  <c r="L27" i="259"/>
  <c r="L37" i="259" s="1"/>
  <c r="F13" i="258" s="1"/>
  <c r="K37" i="259"/>
  <c r="P27" i="259"/>
  <c r="J37" i="259"/>
  <c r="E18" i="258"/>
  <c r="I1" i="259"/>
  <c r="Q20" i="259"/>
  <c r="R20" i="259"/>
  <c r="O19" i="259"/>
  <c r="AC19" i="259"/>
  <c r="AB19" i="259"/>
  <c r="K26" i="259"/>
  <c r="L19" i="259"/>
  <c r="L26" i="259" s="1"/>
  <c r="E13" i="258" s="1"/>
  <c r="P19" i="259"/>
  <c r="J26" i="259"/>
  <c r="P26" i="259" s="1"/>
  <c r="O18" i="259"/>
  <c r="AB18" i="259"/>
  <c r="AC18" i="259"/>
  <c r="N26" i="259"/>
  <c r="AC17" i="259"/>
  <c r="AB17" i="259"/>
  <c r="O17" i="259"/>
  <c r="AB16" i="259"/>
  <c r="O16" i="259"/>
  <c r="AC16" i="259"/>
  <c r="AC8" i="259"/>
  <c r="AB8" i="259"/>
  <c r="O8" i="259"/>
  <c r="AC7" i="259"/>
  <c r="AB7" i="259"/>
  <c r="O7" i="259"/>
  <c r="AC6" i="259"/>
  <c r="AB6" i="259"/>
  <c r="O6" i="259"/>
  <c r="N15" i="259"/>
  <c r="AC5" i="259"/>
  <c r="AB5" i="259"/>
  <c r="O5" i="259"/>
  <c r="K15" i="259"/>
  <c r="L5" i="259"/>
  <c r="L15" i="259" s="1"/>
  <c r="D13" i="258" s="1"/>
  <c r="J15" i="259"/>
  <c r="P15" i="259" s="1"/>
  <c r="P5" i="259"/>
  <c r="G2" i="259"/>
  <c r="J3" i="258"/>
  <c r="Q71" i="257"/>
  <c r="R71" i="257"/>
  <c r="N79" i="257"/>
  <c r="AC70" i="257"/>
  <c r="AB70" i="257"/>
  <c r="O70" i="257"/>
  <c r="K79" i="257"/>
  <c r="L70" i="257"/>
  <c r="L79" i="257" s="1"/>
  <c r="J13" i="256" s="1"/>
  <c r="J79" i="257"/>
  <c r="P79" i="257" s="1"/>
  <c r="P70" i="257"/>
  <c r="AC63" i="257"/>
  <c r="AB63" i="257"/>
  <c r="O63" i="257"/>
  <c r="AC62" i="257"/>
  <c r="AB62" i="257"/>
  <c r="O62" i="257"/>
  <c r="O61" i="257"/>
  <c r="AB61" i="257"/>
  <c r="AC61" i="257"/>
  <c r="O60" i="257"/>
  <c r="AB60" i="257"/>
  <c r="AC60" i="257"/>
  <c r="AB59" i="257"/>
  <c r="AC59" i="257"/>
  <c r="N69" i="257"/>
  <c r="O59" i="257"/>
  <c r="K69" i="257"/>
  <c r="L59" i="257"/>
  <c r="L69" i="257" s="1"/>
  <c r="I13" i="256" s="1"/>
  <c r="J6" i="256" s="1"/>
  <c r="P59" i="257"/>
  <c r="J69" i="257"/>
  <c r="P69" i="257" s="1"/>
  <c r="AC52" i="257"/>
  <c r="AB52" i="257"/>
  <c r="O52" i="257"/>
  <c r="O51" i="257"/>
  <c r="AB51" i="257"/>
  <c r="AC51" i="257"/>
  <c r="O50" i="257"/>
  <c r="AC50" i="257"/>
  <c r="AB50" i="257"/>
  <c r="AC49" i="257"/>
  <c r="AB49" i="257"/>
  <c r="O49" i="257"/>
  <c r="N58" i="257"/>
  <c r="K58" i="257"/>
  <c r="L49" i="257"/>
  <c r="L58" i="257" s="1"/>
  <c r="H13" i="256" s="1"/>
  <c r="P49" i="257"/>
  <c r="J58" i="257"/>
  <c r="P58" i="257" s="1"/>
  <c r="AC40" i="257"/>
  <c r="AB40" i="257"/>
  <c r="O40" i="257"/>
  <c r="AC39" i="257"/>
  <c r="AB39" i="257"/>
  <c r="O39" i="257"/>
  <c r="N48" i="257"/>
  <c r="AB38" i="257"/>
  <c r="AC38" i="257"/>
  <c r="O38" i="257"/>
  <c r="K48" i="257"/>
  <c r="L38" i="257"/>
  <c r="L48" i="257" s="1"/>
  <c r="G13" i="256" s="1"/>
  <c r="J48" i="257"/>
  <c r="P48" i="257" s="1"/>
  <c r="P38" i="257"/>
  <c r="Q31" i="257"/>
  <c r="R31" i="257"/>
  <c r="AC30" i="257"/>
  <c r="AB30" i="257"/>
  <c r="O30" i="257"/>
  <c r="O29" i="257"/>
  <c r="AB29" i="257"/>
  <c r="AC29" i="257"/>
  <c r="O28" i="257"/>
  <c r="AC28" i="257"/>
  <c r="AB28" i="257"/>
  <c r="N37" i="257"/>
  <c r="O27" i="257"/>
  <c r="AC27" i="257"/>
  <c r="AB27" i="257"/>
  <c r="K37" i="257"/>
  <c r="L27" i="257"/>
  <c r="L37" i="257" s="1"/>
  <c r="F13" i="256" s="1"/>
  <c r="J37" i="257"/>
  <c r="P37" i="257" s="1"/>
  <c r="P27" i="257"/>
  <c r="Q20" i="257"/>
  <c r="R20" i="257"/>
  <c r="AC19" i="257"/>
  <c r="O19" i="257"/>
  <c r="AB19" i="257"/>
  <c r="AB18" i="257"/>
  <c r="O18" i="257"/>
  <c r="AC18" i="257"/>
  <c r="O17" i="257"/>
  <c r="AB17" i="257"/>
  <c r="AC17" i="257"/>
  <c r="O16" i="257"/>
  <c r="AB16" i="257"/>
  <c r="AC16" i="257"/>
  <c r="N26" i="257"/>
  <c r="L16" i="257"/>
  <c r="L26" i="257" s="1"/>
  <c r="E13" i="256" s="1"/>
  <c r="K26" i="257"/>
  <c r="P16" i="257"/>
  <c r="J26" i="257"/>
  <c r="P26" i="257" s="1"/>
  <c r="AB9" i="257"/>
  <c r="AC9" i="257"/>
  <c r="O9" i="257"/>
  <c r="AB8" i="257"/>
  <c r="AC8" i="257"/>
  <c r="O8" i="257"/>
  <c r="O7" i="257"/>
  <c r="AB7" i="257"/>
  <c r="AC7" i="257"/>
  <c r="AB6" i="257"/>
  <c r="AC6" i="257"/>
  <c r="O6" i="257"/>
  <c r="N15" i="257"/>
  <c r="AB5" i="257"/>
  <c r="O5" i="257"/>
  <c r="AC5" i="257"/>
  <c r="K15" i="257"/>
  <c r="L5" i="257"/>
  <c r="L15" i="257" s="1"/>
  <c r="D13" i="256" s="1"/>
  <c r="J15" i="257"/>
  <c r="P15" i="257" s="1"/>
  <c r="P5" i="257"/>
  <c r="G2" i="257"/>
  <c r="J3" i="256"/>
  <c r="N79" i="255"/>
  <c r="AC70" i="255"/>
  <c r="AB70" i="255"/>
  <c r="O70" i="255"/>
  <c r="K79" i="255"/>
  <c r="L70" i="255"/>
  <c r="L79" i="255" s="1"/>
  <c r="J13" i="254" s="1"/>
  <c r="J79" i="255"/>
  <c r="P79" i="255" s="1"/>
  <c r="P70" i="255"/>
  <c r="AC62" i="255"/>
  <c r="AB62" i="255"/>
  <c r="O62" i="255"/>
  <c r="AB61" i="255"/>
  <c r="AC61" i="255"/>
  <c r="O61" i="255"/>
  <c r="AC60" i="255"/>
  <c r="AB60" i="255"/>
  <c r="O60" i="255"/>
  <c r="N69" i="255"/>
  <c r="AC59" i="255"/>
  <c r="AB59" i="255"/>
  <c r="O59" i="255"/>
  <c r="K69" i="255"/>
  <c r="L59" i="255"/>
  <c r="L69" i="255" s="1"/>
  <c r="I13" i="254" s="1"/>
  <c r="J6" i="254" s="1"/>
  <c r="J69" i="255"/>
  <c r="P69" i="255" s="1"/>
  <c r="P59" i="255"/>
  <c r="AB53" i="255"/>
  <c r="O53" i="255"/>
  <c r="AC53" i="255"/>
  <c r="AC52" i="255"/>
  <c r="AB52" i="255"/>
  <c r="O52" i="255"/>
  <c r="AC51" i="255"/>
  <c r="AB51" i="255"/>
  <c r="O51" i="255"/>
  <c r="AC50" i="255"/>
  <c r="AB50" i="255"/>
  <c r="O50" i="255"/>
  <c r="AB49" i="255"/>
  <c r="N58" i="255"/>
  <c r="AC49" i="255"/>
  <c r="O49" i="255"/>
  <c r="K58" i="255"/>
  <c r="L49" i="255"/>
  <c r="L58" i="255" s="1"/>
  <c r="H13" i="254" s="1"/>
  <c r="J58" i="255"/>
  <c r="P58" i="255" s="1"/>
  <c r="P49" i="255"/>
  <c r="AC40" i="255"/>
  <c r="AB40" i="255"/>
  <c r="O40" i="255"/>
  <c r="AC39" i="255"/>
  <c r="AB39" i="255"/>
  <c r="O39" i="255"/>
  <c r="N48" i="255"/>
  <c r="AC38" i="255"/>
  <c r="AB38" i="255"/>
  <c r="O38" i="255"/>
  <c r="K48" i="255"/>
  <c r="L38" i="255"/>
  <c r="L48" i="255" s="1"/>
  <c r="G13" i="254" s="1"/>
  <c r="J48" i="255"/>
  <c r="P48" i="255" s="1"/>
  <c r="P38" i="255"/>
  <c r="AC30" i="255"/>
  <c r="AB30" i="255"/>
  <c r="O30" i="255"/>
  <c r="AC29" i="255"/>
  <c r="AB29" i="255"/>
  <c r="O29" i="255"/>
  <c r="O28" i="255"/>
  <c r="AC28" i="255"/>
  <c r="AB28" i="255"/>
  <c r="N37" i="255"/>
  <c r="AB27" i="255"/>
  <c r="O27" i="255"/>
  <c r="AC27" i="255"/>
  <c r="K37" i="255"/>
  <c r="L27" i="255"/>
  <c r="L37" i="255" s="1"/>
  <c r="F13" i="254" s="1"/>
  <c r="J37" i="255"/>
  <c r="P37" i="255" s="1"/>
  <c r="P27" i="255"/>
  <c r="AC19" i="255"/>
  <c r="AB19" i="255"/>
  <c r="O19" i="255"/>
  <c r="AC18" i="255"/>
  <c r="AB18" i="255"/>
  <c r="O18" i="255"/>
  <c r="AC17" i="255"/>
  <c r="AB17" i="255"/>
  <c r="O17" i="255"/>
  <c r="N26" i="255"/>
  <c r="AC16" i="255"/>
  <c r="AB16" i="255"/>
  <c r="O16" i="255"/>
  <c r="K26" i="255"/>
  <c r="L16" i="255"/>
  <c r="L26" i="255" s="1"/>
  <c r="E13" i="254" s="1"/>
  <c r="J26" i="255"/>
  <c r="P26" i="255" s="1"/>
  <c r="P16" i="255"/>
  <c r="AC9" i="255"/>
  <c r="AB9" i="255"/>
  <c r="O9" i="255"/>
  <c r="O8" i="255"/>
  <c r="AC8" i="255"/>
  <c r="AB8" i="255"/>
  <c r="AC7" i="255"/>
  <c r="AB7" i="255"/>
  <c r="O7" i="255"/>
  <c r="AC6" i="255"/>
  <c r="AB6" i="255"/>
  <c r="O6" i="255"/>
  <c r="N15" i="255"/>
  <c r="AC5" i="255"/>
  <c r="AB5" i="255"/>
  <c r="O5" i="255"/>
  <c r="K15" i="255"/>
  <c r="L5" i="255"/>
  <c r="L15" i="255" s="1"/>
  <c r="D13" i="254" s="1"/>
  <c r="J15" i="255"/>
  <c r="P15" i="255" s="1"/>
  <c r="P5" i="255"/>
  <c r="G2" i="255"/>
  <c r="J3" i="254"/>
  <c r="N79" i="253"/>
  <c r="AB70" i="253"/>
  <c r="AC70" i="253"/>
  <c r="O70" i="253"/>
  <c r="K79" i="253"/>
  <c r="L70" i="253"/>
  <c r="L79" i="253" s="1"/>
  <c r="J13" i="252" s="1"/>
  <c r="J79" i="253"/>
  <c r="P79" i="253" s="1"/>
  <c r="P70" i="253"/>
  <c r="AC61" i="253"/>
  <c r="AB61" i="253"/>
  <c r="O61" i="253"/>
  <c r="O60" i="253"/>
  <c r="AC60" i="253"/>
  <c r="AB60" i="253"/>
  <c r="N69" i="253"/>
  <c r="AB59" i="253"/>
  <c r="O59" i="253"/>
  <c r="AC59" i="253"/>
  <c r="K69" i="253"/>
  <c r="L59" i="253"/>
  <c r="L69" i="253" s="1"/>
  <c r="I13" i="252" s="1"/>
  <c r="J69" i="253"/>
  <c r="P69" i="253" s="1"/>
  <c r="P59" i="253"/>
  <c r="AC53" i="253"/>
  <c r="AB53" i="253"/>
  <c r="O53" i="253"/>
  <c r="O52" i="253"/>
  <c r="AC52" i="253"/>
  <c r="AB52" i="253"/>
  <c r="AC51" i="253"/>
  <c r="AB51" i="253"/>
  <c r="O51" i="253"/>
  <c r="AC50" i="253"/>
  <c r="AB50" i="253"/>
  <c r="O50" i="253"/>
  <c r="N58" i="253"/>
  <c r="AC49" i="253"/>
  <c r="AB49" i="253"/>
  <c r="O49" i="253"/>
  <c r="K58" i="253"/>
  <c r="L49" i="253"/>
  <c r="L58" i="253" s="1"/>
  <c r="H13" i="252" s="1"/>
  <c r="J58" i="253"/>
  <c r="P58" i="253" s="1"/>
  <c r="P49" i="253"/>
  <c r="AC40" i="253"/>
  <c r="AB40" i="253"/>
  <c r="O40" i="253"/>
  <c r="AB39" i="253"/>
  <c r="O39" i="253"/>
  <c r="AC39" i="253"/>
  <c r="N48" i="253"/>
  <c r="AB38" i="253"/>
  <c r="AC38" i="253"/>
  <c r="O38" i="253"/>
  <c r="K48" i="253"/>
  <c r="L38" i="253"/>
  <c r="L48" i="253" s="1"/>
  <c r="G13" i="252" s="1"/>
  <c r="J48" i="253"/>
  <c r="P48" i="253" s="1"/>
  <c r="P38" i="253"/>
  <c r="O30" i="253"/>
  <c r="AB30" i="253"/>
  <c r="AC30" i="253"/>
  <c r="O29" i="253"/>
  <c r="AB29" i="253"/>
  <c r="AC29" i="253"/>
  <c r="AB28" i="253"/>
  <c r="AC28" i="253"/>
  <c r="O28" i="253"/>
  <c r="O27" i="253"/>
  <c r="AB27" i="253"/>
  <c r="AC27" i="253"/>
  <c r="N37" i="253"/>
  <c r="L27" i="253"/>
  <c r="L37" i="253" s="1"/>
  <c r="F13" i="252" s="1"/>
  <c r="K37" i="253"/>
  <c r="J37" i="253"/>
  <c r="P37" i="253" s="1"/>
  <c r="P27" i="253"/>
  <c r="AC19" i="253"/>
  <c r="O19" i="253"/>
  <c r="AB19" i="253"/>
  <c r="AB18" i="253"/>
  <c r="O18" i="253"/>
  <c r="AC18" i="253"/>
  <c r="AB17" i="253"/>
  <c r="AC17" i="253"/>
  <c r="O17" i="253"/>
  <c r="O16" i="253"/>
  <c r="AB16" i="253"/>
  <c r="AC16" i="253"/>
  <c r="N26" i="253"/>
  <c r="K26" i="253"/>
  <c r="L16" i="253"/>
  <c r="L26" i="253" s="1"/>
  <c r="E13" i="252" s="1"/>
  <c r="J26" i="253"/>
  <c r="P26" i="253" s="1"/>
  <c r="P16" i="253"/>
  <c r="AC8" i="253"/>
  <c r="O8" i="253"/>
  <c r="AB8" i="253"/>
  <c r="AB7" i="253"/>
  <c r="O7" i="253"/>
  <c r="AC7" i="253"/>
  <c r="O6" i="253"/>
  <c r="AB6" i="253"/>
  <c r="AC6" i="253"/>
  <c r="AC5" i="253"/>
  <c r="N15" i="253"/>
  <c r="AB5" i="253"/>
  <c r="O5" i="253"/>
  <c r="L5" i="253"/>
  <c r="L15" i="253" s="1"/>
  <c r="D13" i="252" s="1"/>
  <c r="K15" i="253"/>
  <c r="J15" i="253"/>
  <c r="P15" i="253" s="1"/>
  <c r="P5" i="253"/>
  <c r="G2" i="253"/>
  <c r="J3" i="252"/>
  <c r="O70" i="239"/>
  <c r="AB70" i="239"/>
  <c r="N79" i="239"/>
  <c r="AC70" i="239"/>
  <c r="L70" i="239"/>
  <c r="L79" i="239" s="1"/>
  <c r="J13" i="238" s="1"/>
  <c r="K79" i="239"/>
  <c r="J79" i="239"/>
  <c r="P79" i="239" s="1"/>
  <c r="P70" i="239"/>
  <c r="AC61" i="239"/>
  <c r="AB61" i="239"/>
  <c r="O61" i="239"/>
  <c r="O60" i="239"/>
  <c r="AC60" i="239"/>
  <c r="AB60" i="239"/>
  <c r="N69" i="239"/>
  <c r="O59" i="239"/>
  <c r="AB59" i="239"/>
  <c r="AC59" i="239"/>
  <c r="K69" i="239"/>
  <c r="L59" i="239"/>
  <c r="L69" i="239" s="1"/>
  <c r="I13" i="238" s="1"/>
  <c r="J6" i="238" s="1"/>
  <c r="J69" i="239"/>
  <c r="P69" i="239" s="1"/>
  <c r="P59" i="239"/>
  <c r="AB52" i="239"/>
  <c r="O52" i="239"/>
  <c r="AC52" i="239"/>
  <c r="AB51" i="239"/>
  <c r="AC51" i="239"/>
  <c r="O51" i="239"/>
  <c r="O50" i="239"/>
  <c r="AC50" i="239"/>
  <c r="AB50" i="239"/>
  <c r="AB49" i="239"/>
  <c r="O49" i="239"/>
  <c r="AC49" i="239"/>
  <c r="N58" i="239"/>
  <c r="K58" i="239"/>
  <c r="L49" i="239"/>
  <c r="L58" i="239" s="1"/>
  <c r="H13" i="238" s="1"/>
  <c r="J58" i="239"/>
  <c r="P58" i="239" s="1"/>
  <c r="P49" i="239"/>
  <c r="AC41" i="239"/>
  <c r="O41" i="239"/>
  <c r="AB41" i="239"/>
  <c r="AC40" i="239"/>
  <c r="AB40" i="239"/>
  <c r="O40" i="239"/>
  <c r="AC39" i="239"/>
  <c r="AB39" i="239"/>
  <c r="O39" i="239"/>
  <c r="O38" i="239"/>
  <c r="N48" i="239"/>
  <c r="AC38" i="239"/>
  <c r="AB38" i="239"/>
  <c r="K48" i="239"/>
  <c r="L38" i="239"/>
  <c r="L48" i="239" s="1"/>
  <c r="G13" i="238" s="1"/>
  <c r="J48" i="239"/>
  <c r="P48" i="239" s="1"/>
  <c r="P38" i="239"/>
  <c r="O30" i="239"/>
  <c r="AC30" i="239"/>
  <c r="AB30" i="239"/>
  <c r="AC29" i="239"/>
  <c r="AB29" i="239"/>
  <c r="O29" i="239"/>
  <c r="AC28" i="239"/>
  <c r="AB28" i="239"/>
  <c r="O28" i="239"/>
  <c r="AB27" i="239"/>
  <c r="O27" i="239"/>
  <c r="N37" i="239"/>
  <c r="AC27" i="239"/>
  <c r="L27" i="239"/>
  <c r="L37" i="239" s="1"/>
  <c r="F13" i="238" s="1"/>
  <c r="K37" i="239"/>
  <c r="J37" i="239"/>
  <c r="P37" i="239" s="1"/>
  <c r="P27" i="239"/>
  <c r="AB19" i="239"/>
  <c r="AC19" i="239"/>
  <c r="O19" i="239"/>
  <c r="AC18" i="239"/>
  <c r="AB18" i="239"/>
  <c r="O18" i="239"/>
  <c r="AB17" i="239"/>
  <c r="AC17" i="239"/>
  <c r="O17" i="239"/>
  <c r="AC16" i="239"/>
  <c r="AB16" i="239"/>
  <c r="N26" i="239"/>
  <c r="O16" i="239"/>
  <c r="K26" i="239"/>
  <c r="L16" i="239"/>
  <c r="L26" i="239" s="1"/>
  <c r="E13" i="238" s="1"/>
  <c r="P16" i="239"/>
  <c r="J26" i="239"/>
  <c r="P26" i="239" s="1"/>
  <c r="O8" i="239"/>
  <c r="AB8" i="239"/>
  <c r="AC8" i="239"/>
  <c r="O7" i="239"/>
  <c r="AB7" i="239"/>
  <c r="AC7" i="239"/>
  <c r="O6" i="239"/>
  <c r="AC6" i="239"/>
  <c r="AB6" i="239"/>
  <c r="AC5" i="239"/>
  <c r="AB5" i="239"/>
  <c r="O5" i="239"/>
  <c r="N15" i="239"/>
  <c r="K15" i="239"/>
  <c r="L5" i="239"/>
  <c r="L15" i="239" s="1"/>
  <c r="D13" i="238" s="1"/>
  <c r="P5" i="239"/>
  <c r="J15" i="239"/>
  <c r="P15" i="239" s="1"/>
  <c r="G2" i="239"/>
  <c r="J3" i="238"/>
  <c r="N79" i="237"/>
  <c r="AC70" i="237"/>
  <c r="O70" i="237"/>
  <c r="AB70" i="237"/>
  <c r="L70" i="237"/>
  <c r="L79" i="237" s="1"/>
  <c r="J13" i="236" s="1"/>
  <c r="K79" i="237"/>
  <c r="P70" i="237"/>
  <c r="J79" i="237"/>
  <c r="P79" i="237" s="1"/>
  <c r="AC61" i="237"/>
  <c r="O61" i="237"/>
  <c r="AB61" i="237"/>
  <c r="AC60" i="237"/>
  <c r="O60" i="237"/>
  <c r="AB60" i="237"/>
  <c r="O59" i="237"/>
  <c r="N69" i="237"/>
  <c r="AC59" i="237"/>
  <c r="AB59" i="237"/>
  <c r="L59" i="237"/>
  <c r="L69" i="237" s="1"/>
  <c r="I13" i="236" s="1"/>
  <c r="J6" i="236" s="1"/>
  <c r="K69" i="237"/>
  <c r="J69" i="237"/>
  <c r="P69" i="237" s="1"/>
  <c r="P59" i="237"/>
  <c r="AC52" i="237"/>
  <c r="AB52" i="237"/>
  <c r="O52" i="237"/>
  <c r="O51" i="237"/>
  <c r="AB51" i="237"/>
  <c r="AC51" i="237"/>
  <c r="AC50" i="237"/>
  <c r="O50" i="237"/>
  <c r="AB50" i="237"/>
  <c r="N58" i="237"/>
  <c r="AB49" i="237"/>
  <c r="AC49" i="237"/>
  <c r="O49" i="237"/>
  <c r="L49" i="237"/>
  <c r="L58" i="237" s="1"/>
  <c r="H13" i="236" s="1"/>
  <c r="K58" i="237"/>
  <c r="J58" i="237"/>
  <c r="P58" i="237" s="1"/>
  <c r="P49" i="237"/>
  <c r="O40" i="237"/>
  <c r="AC40" i="237"/>
  <c r="AB40" i="237"/>
  <c r="O39" i="237"/>
  <c r="AB39" i="237"/>
  <c r="AC39" i="237"/>
  <c r="N48" i="237"/>
  <c r="O38" i="237"/>
  <c r="AB38" i="237"/>
  <c r="AC38" i="237"/>
  <c r="L38" i="237"/>
  <c r="L48" i="237" s="1"/>
  <c r="G13" i="236" s="1"/>
  <c r="K48" i="237"/>
  <c r="P38" i="237"/>
  <c r="J48" i="237"/>
  <c r="P48" i="237" s="1"/>
  <c r="AB30" i="237"/>
  <c r="AC30" i="237"/>
  <c r="O30" i="237"/>
  <c r="AC29" i="237"/>
  <c r="AB29" i="237"/>
  <c r="O29" i="237"/>
  <c r="AB28" i="237"/>
  <c r="AC28" i="237"/>
  <c r="O28" i="237"/>
  <c r="O27" i="237"/>
  <c r="N37" i="237"/>
  <c r="AC27" i="237"/>
  <c r="AB27" i="237"/>
  <c r="L27" i="237"/>
  <c r="L37" i="237" s="1"/>
  <c r="F13" i="236" s="1"/>
  <c r="K37" i="237"/>
  <c r="P27" i="237"/>
  <c r="J37" i="237"/>
  <c r="P37" i="237" s="1"/>
  <c r="AC18" i="237"/>
  <c r="O18" i="237"/>
  <c r="AB18" i="237"/>
  <c r="O17" i="237"/>
  <c r="AC17" i="237"/>
  <c r="AB17" i="237"/>
  <c r="N26" i="237"/>
  <c r="AB16" i="237"/>
  <c r="AC16" i="237"/>
  <c r="O16" i="237"/>
  <c r="L16" i="237"/>
  <c r="L26" i="237" s="1"/>
  <c r="E13" i="236" s="1"/>
  <c r="K26" i="237"/>
  <c r="P16" i="237"/>
  <c r="J26" i="237"/>
  <c r="P26" i="237" s="1"/>
  <c r="AB7" i="237"/>
  <c r="AC7" i="237"/>
  <c r="O7" i="237"/>
  <c r="O6" i="237"/>
  <c r="AB6" i="237"/>
  <c r="AC6" i="237"/>
  <c r="P6" i="237"/>
  <c r="L6" i="237"/>
  <c r="AB5" i="237"/>
  <c r="AC5" i="237"/>
  <c r="N15" i="237"/>
  <c r="O5" i="237"/>
  <c r="K15" i="237"/>
  <c r="L5" i="237"/>
  <c r="L15" i="237" s="1"/>
  <c r="D13" i="236" s="1"/>
  <c r="P5" i="237"/>
  <c r="J15" i="237"/>
  <c r="P15" i="237" s="1"/>
  <c r="J3" i="236"/>
  <c r="G2" i="237"/>
  <c r="Q72" i="232"/>
  <c r="R72" i="232"/>
  <c r="Q71" i="232"/>
  <c r="R71" i="232"/>
  <c r="N79" i="232"/>
  <c r="AC70" i="232"/>
  <c r="AB70" i="232"/>
  <c r="O70" i="232"/>
  <c r="K79" i="232"/>
  <c r="L70" i="232"/>
  <c r="L79" i="232" s="1"/>
  <c r="J13" i="231" s="1"/>
  <c r="J79" i="232"/>
  <c r="P79" i="232" s="1"/>
  <c r="P70" i="232"/>
  <c r="AC62" i="232"/>
  <c r="AB62" i="232"/>
  <c r="O62" i="232"/>
  <c r="AB61" i="232"/>
  <c r="AC61" i="232"/>
  <c r="O61" i="232"/>
  <c r="AB60" i="232"/>
  <c r="AC60" i="232"/>
  <c r="O60" i="232"/>
  <c r="N69" i="232"/>
  <c r="AB59" i="232"/>
  <c r="O59" i="232"/>
  <c r="AC59" i="232"/>
  <c r="L59" i="232"/>
  <c r="L69" i="232" s="1"/>
  <c r="I13" i="231" s="1"/>
  <c r="J6" i="231" s="1"/>
  <c r="K69" i="232"/>
  <c r="P59" i="232"/>
  <c r="J69" i="232"/>
  <c r="P69" i="232" s="1"/>
  <c r="O53" i="232"/>
  <c r="AC53" i="232"/>
  <c r="AB53" i="232"/>
  <c r="O52" i="232"/>
  <c r="AB52" i="232"/>
  <c r="AC52" i="232"/>
  <c r="O51" i="232"/>
  <c r="AC51" i="232"/>
  <c r="AB51" i="232"/>
  <c r="AC50" i="232"/>
  <c r="O50" i="232"/>
  <c r="AB50" i="232"/>
  <c r="AC49" i="232"/>
  <c r="N58" i="232"/>
  <c r="AB49" i="232"/>
  <c r="O49" i="232"/>
  <c r="K58" i="232"/>
  <c r="L49" i="232"/>
  <c r="L58" i="232" s="1"/>
  <c r="H13" i="231" s="1"/>
  <c r="J58" i="232"/>
  <c r="P58" i="232" s="1"/>
  <c r="P49" i="232"/>
  <c r="AC40" i="232"/>
  <c r="O40" i="232"/>
  <c r="AB40" i="232"/>
  <c r="AC39" i="232"/>
  <c r="O39" i="232"/>
  <c r="AB39" i="232"/>
  <c r="O38" i="232"/>
  <c r="AB38" i="232"/>
  <c r="AC38" i="232"/>
  <c r="N48" i="232"/>
  <c r="L38" i="232"/>
  <c r="L48" i="232" s="1"/>
  <c r="G13" i="231" s="1"/>
  <c r="K48" i="232"/>
  <c r="P38" i="232"/>
  <c r="J48" i="232"/>
  <c r="P48" i="232" s="1"/>
  <c r="O31" i="232"/>
  <c r="AC31" i="232"/>
  <c r="AB31" i="232"/>
  <c r="O30" i="232"/>
  <c r="AC30" i="232"/>
  <c r="AB30" i="232"/>
  <c r="O29" i="232"/>
  <c r="AC29" i="232"/>
  <c r="AB29" i="232"/>
  <c r="AB28" i="232"/>
  <c r="AC28" i="232"/>
  <c r="O28" i="232"/>
  <c r="AB27" i="232"/>
  <c r="N37" i="232"/>
  <c r="O27" i="232"/>
  <c r="AC27" i="232"/>
  <c r="L27" i="232"/>
  <c r="L37" i="232" s="1"/>
  <c r="F13" i="231" s="1"/>
  <c r="K37" i="232"/>
  <c r="J37" i="232"/>
  <c r="P37" i="232" s="1"/>
  <c r="P27" i="232"/>
  <c r="Q20" i="232"/>
  <c r="R20" i="232"/>
  <c r="AC19" i="232"/>
  <c r="AB19" i="232"/>
  <c r="O19" i="232"/>
  <c r="O18" i="232"/>
  <c r="AC18" i="232"/>
  <c r="AB18" i="232"/>
  <c r="O17" i="232"/>
  <c r="AC17" i="232"/>
  <c r="AB17" i="232"/>
  <c r="N26" i="232"/>
  <c r="AC16" i="232"/>
  <c r="O16" i="232"/>
  <c r="AB16" i="232"/>
  <c r="K26" i="232"/>
  <c r="L16" i="232"/>
  <c r="L26" i="232" s="1"/>
  <c r="E13" i="231" s="1"/>
  <c r="J26" i="232"/>
  <c r="P26" i="232" s="1"/>
  <c r="P16" i="232"/>
  <c r="O8" i="232"/>
  <c r="AB8" i="232"/>
  <c r="AC8" i="232"/>
  <c r="AC7" i="232"/>
  <c r="AB7" i="232"/>
  <c r="O7" i="232"/>
  <c r="O6" i="232"/>
  <c r="AB6" i="232"/>
  <c r="AC6" i="232"/>
  <c r="L6" i="232"/>
  <c r="P6" i="232"/>
  <c r="O5" i="232"/>
  <c r="AC5" i="232"/>
  <c r="AB5" i="232"/>
  <c r="N15" i="232"/>
  <c r="L5" i="232"/>
  <c r="L15" i="232" s="1"/>
  <c r="D13" i="231" s="1"/>
  <c r="K15" i="232"/>
  <c r="P5" i="232"/>
  <c r="J15" i="232"/>
  <c r="P15" i="232" s="1"/>
  <c r="J3" i="231"/>
  <c r="G2" i="232"/>
  <c r="O62" i="230"/>
  <c r="AB62" i="230"/>
  <c r="AC62" i="230"/>
  <c r="Q61" i="230"/>
  <c r="R61" i="230"/>
  <c r="AB61" i="230"/>
  <c r="AC61" i="230"/>
  <c r="O60" i="230"/>
  <c r="AC60" i="230"/>
  <c r="AB60" i="230"/>
  <c r="AC59" i="230"/>
  <c r="O59" i="230"/>
  <c r="AB59" i="230"/>
  <c r="N69" i="230"/>
  <c r="L59" i="230"/>
  <c r="L69" i="230" s="1"/>
  <c r="I13" i="229" s="1"/>
  <c r="J6" i="229" s="1"/>
  <c r="K69" i="230"/>
  <c r="P59" i="230"/>
  <c r="J69" i="230"/>
  <c r="P69" i="230" s="1"/>
  <c r="O53" i="230"/>
  <c r="AC53" i="230"/>
  <c r="AB53" i="230"/>
  <c r="O52" i="230"/>
  <c r="AB52" i="230"/>
  <c r="AC52" i="230"/>
  <c r="O51" i="230"/>
  <c r="AB51" i="230"/>
  <c r="AC51" i="230"/>
  <c r="R50" i="230"/>
  <c r="Q50" i="230"/>
  <c r="AB50" i="230"/>
  <c r="AC50" i="230"/>
  <c r="O49" i="230"/>
  <c r="AC49" i="230"/>
  <c r="AB49" i="230"/>
  <c r="N58" i="230"/>
  <c r="L49" i="230"/>
  <c r="L58" i="230" s="1"/>
  <c r="H13" i="229" s="1"/>
  <c r="K58" i="230"/>
  <c r="P49" i="230"/>
  <c r="J58" i="230"/>
  <c r="P58" i="230" s="1"/>
  <c r="Q42" i="230"/>
  <c r="R42" i="230"/>
  <c r="AC41" i="230"/>
  <c r="AB41" i="230"/>
  <c r="O41" i="230"/>
  <c r="AB40" i="230"/>
  <c r="O40" i="230"/>
  <c r="AC40" i="230"/>
  <c r="O39" i="230"/>
  <c r="AB39" i="230"/>
  <c r="AC39" i="230"/>
  <c r="AC38" i="230"/>
  <c r="AB38" i="230"/>
  <c r="N48" i="230"/>
  <c r="O38" i="230"/>
  <c r="K48" i="230"/>
  <c r="L38" i="230"/>
  <c r="L48" i="230" s="1"/>
  <c r="G13" i="229" s="1"/>
  <c r="J48" i="230"/>
  <c r="P48" i="230" s="1"/>
  <c r="P38" i="230"/>
  <c r="AC30" i="230"/>
  <c r="O30" i="230"/>
  <c r="AB30" i="230"/>
  <c r="AB29" i="230"/>
  <c r="O29" i="230"/>
  <c r="AC29" i="230"/>
  <c r="AC28" i="230"/>
  <c r="AB28" i="230"/>
  <c r="O28" i="230"/>
  <c r="AC27" i="230"/>
  <c r="N37" i="230"/>
  <c r="O27" i="230"/>
  <c r="AB27" i="230"/>
  <c r="K37" i="230"/>
  <c r="L27" i="230"/>
  <c r="L37" i="230" s="1"/>
  <c r="F13" i="229" s="1"/>
  <c r="J37" i="230"/>
  <c r="P37" i="230" s="1"/>
  <c r="P27" i="230"/>
  <c r="R20" i="230"/>
  <c r="Q20" i="230"/>
  <c r="AC19" i="230"/>
  <c r="AB19" i="230"/>
  <c r="O19" i="230"/>
  <c r="O18" i="230"/>
  <c r="AB18" i="230"/>
  <c r="AC18" i="230"/>
  <c r="AC17" i="230"/>
  <c r="AB17" i="230"/>
  <c r="O17" i="230"/>
  <c r="AC16" i="230"/>
  <c r="N26" i="230"/>
  <c r="O16" i="230"/>
  <c r="AB16" i="230"/>
  <c r="L16" i="230"/>
  <c r="L26" i="230" s="1"/>
  <c r="E13" i="229" s="1"/>
  <c r="K26" i="230"/>
  <c r="P16" i="230"/>
  <c r="J26" i="230"/>
  <c r="P26" i="230" s="1"/>
  <c r="O10" i="230"/>
  <c r="AB10" i="230"/>
  <c r="AC10" i="230"/>
  <c r="O9" i="230"/>
  <c r="AB9" i="230"/>
  <c r="AC9" i="230"/>
  <c r="AB8" i="230"/>
  <c r="O8" i="230"/>
  <c r="AC8" i="230"/>
  <c r="AB7" i="230"/>
  <c r="AC7" i="230"/>
  <c r="O7" i="230"/>
  <c r="AC6" i="230"/>
  <c r="AB6" i="230"/>
  <c r="O6" i="230"/>
  <c r="P6" i="230"/>
  <c r="L6" i="230"/>
  <c r="N15" i="230"/>
  <c r="O5" i="230"/>
  <c r="AC5" i="230"/>
  <c r="AB5" i="230"/>
  <c r="L5" i="230"/>
  <c r="L15" i="230" s="1"/>
  <c r="D13" i="229" s="1"/>
  <c r="K15" i="230"/>
  <c r="J15" i="230"/>
  <c r="P15" i="230" s="1"/>
  <c r="P5" i="230"/>
  <c r="J3" i="229"/>
  <c r="G2" i="230"/>
  <c r="I18" i="227"/>
  <c r="AB62" i="228"/>
  <c r="O62" i="228"/>
  <c r="AC62" i="228"/>
  <c r="AC61" i="228"/>
  <c r="AB61" i="228"/>
  <c r="O61" i="228"/>
  <c r="AB60" i="228"/>
  <c r="O60" i="228"/>
  <c r="AC60" i="228"/>
  <c r="N69" i="228"/>
  <c r="O59" i="228"/>
  <c r="AB59" i="228"/>
  <c r="AC59" i="228"/>
  <c r="K69" i="228"/>
  <c r="L59" i="228"/>
  <c r="L69" i="228" s="1"/>
  <c r="I13" i="227" s="1"/>
  <c r="J6" i="227" s="1"/>
  <c r="J69" i="228"/>
  <c r="P69" i="228" s="1"/>
  <c r="P59" i="228"/>
  <c r="H18" i="227"/>
  <c r="AC53" i="228"/>
  <c r="AB53" i="228"/>
  <c r="O53" i="228"/>
  <c r="AC52" i="228"/>
  <c r="O52" i="228"/>
  <c r="AB52" i="228"/>
  <c r="O51" i="228"/>
  <c r="AB51" i="228"/>
  <c r="AC51" i="228"/>
  <c r="O50" i="228"/>
  <c r="AC50" i="228"/>
  <c r="AB50" i="228"/>
  <c r="AB49" i="228"/>
  <c r="AC49" i="228"/>
  <c r="O49" i="228"/>
  <c r="N58" i="228"/>
  <c r="L49" i="228"/>
  <c r="L58" i="228" s="1"/>
  <c r="H13" i="227" s="1"/>
  <c r="K58" i="228"/>
  <c r="P49" i="228"/>
  <c r="J58" i="228"/>
  <c r="P58" i="228" s="1"/>
  <c r="G18" i="227"/>
  <c r="R42" i="228"/>
  <c r="Q42" i="228"/>
  <c r="AB41" i="228"/>
  <c r="O41" i="228"/>
  <c r="AC41" i="228"/>
  <c r="AC40" i="228"/>
  <c r="AB40" i="228"/>
  <c r="O40" i="228"/>
  <c r="AB39" i="228"/>
  <c r="O39" i="228"/>
  <c r="AC39" i="228"/>
  <c r="O38" i="228"/>
  <c r="AB38" i="228"/>
  <c r="AC38" i="228"/>
  <c r="N48" i="228"/>
  <c r="K48" i="228"/>
  <c r="L38" i="228"/>
  <c r="L48" i="228" s="1"/>
  <c r="G13" i="227" s="1"/>
  <c r="J48" i="228"/>
  <c r="P48" i="228" s="1"/>
  <c r="P38" i="228"/>
  <c r="F18" i="227"/>
  <c r="AB30" i="228"/>
  <c r="AC30" i="228"/>
  <c r="O30" i="228"/>
  <c r="O29" i="228"/>
  <c r="AB29" i="228"/>
  <c r="AC29" i="228"/>
  <c r="AC28" i="228"/>
  <c r="AB28" i="228"/>
  <c r="O28" i="228"/>
  <c r="N37" i="228"/>
  <c r="O27" i="228"/>
  <c r="AB27" i="228"/>
  <c r="AC27" i="228"/>
  <c r="L27" i="228"/>
  <c r="L37" i="228" s="1"/>
  <c r="F13" i="227" s="1"/>
  <c r="K37" i="228"/>
  <c r="P27" i="228"/>
  <c r="J37" i="228"/>
  <c r="P37" i="228" s="1"/>
  <c r="E18" i="227"/>
  <c r="R20" i="228"/>
  <c r="Q20" i="228"/>
  <c r="AB19" i="228"/>
  <c r="AC19" i="228"/>
  <c r="O19" i="228"/>
  <c r="AC18" i="228"/>
  <c r="AB18" i="228"/>
  <c r="O18" i="228"/>
  <c r="O17" i="228"/>
  <c r="AC17" i="228"/>
  <c r="AB17" i="228"/>
  <c r="AB16" i="228"/>
  <c r="AC16" i="228"/>
  <c r="N26" i="228"/>
  <c r="O16" i="228"/>
  <c r="K26" i="228"/>
  <c r="L16" i="228"/>
  <c r="L26" i="228" s="1"/>
  <c r="E13" i="227" s="1"/>
  <c r="J26" i="228"/>
  <c r="P26" i="228" s="1"/>
  <c r="P16" i="228"/>
  <c r="D18" i="227"/>
  <c r="I1" i="228"/>
  <c r="P15" i="228"/>
  <c r="AB10" i="228"/>
  <c r="AC10" i="228"/>
  <c r="O10" i="228"/>
  <c r="N15" i="228"/>
  <c r="AB9" i="228"/>
  <c r="AC9" i="228"/>
  <c r="O9" i="228"/>
  <c r="AC8" i="228"/>
  <c r="AB8" i="228"/>
  <c r="O8" i="228"/>
  <c r="AC7" i="228"/>
  <c r="AB7" i="228"/>
  <c r="O7" i="228"/>
  <c r="AC6" i="228"/>
  <c r="O6" i="228"/>
  <c r="AB6" i="228"/>
  <c r="L6" i="228"/>
  <c r="L15" i="228" s="1"/>
  <c r="D13" i="227" s="1"/>
  <c r="P6" i="228"/>
  <c r="O5" i="228"/>
  <c r="AB5" i="228"/>
  <c r="AC5" i="228"/>
  <c r="F6" i="227"/>
  <c r="H6" i="227"/>
  <c r="G2" i="228"/>
  <c r="J3" i="227"/>
  <c r="AC62" i="226"/>
  <c r="O62" i="226"/>
  <c r="AB62" i="226"/>
  <c r="AC61" i="226"/>
  <c r="AB61" i="226"/>
  <c r="O61" i="226"/>
  <c r="AC60" i="226"/>
  <c r="AB60" i="226"/>
  <c r="O60" i="226"/>
  <c r="O59" i="226"/>
  <c r="AB59" i="226"/>
  <c r="AC59" i="226"/>
  <c r="N69" i="226"/>
  <c r="K69" i="226"/>
  <c r="L59" i="226"/>
  <c r="L69" i="226" s="1"/>
  <c r="I13" i="224" s="1"/>
  <c r="J6" i="224" s="1"/>
  <c r="J69" i="226"/>
  <c r="P69" i="226" s="1"/>
  <c r="P59" i="226"/>
  <c r="AC53" i="226"/>
  <c r="AB53" i="226"/>
  <c r="O53" i="226"/>
  <c r="AB52" i="226"/>
  <c r="AC52" i="226"/>
  <c r="O52" i="226"/>
  <c r="AB51" i="226"/>
  <c r="O51" i="226"/>
  <c r="AC51" i="226"/>
  <c r="AB50" i="226"/>
  <c r="AC50" i="226"/>
  <c r="O50" i="226"/>
  <c r="O49" i="226"/>
  <c r="AC49" i="226"/>
  <c r="N58" i="226"/>
  <c r="AB49" i="226"/>
  <c r="K58" i="226"/>
  <c r="L49" i="226"/>
  <c r="L58" i="226" s="1"/>
  <c r="H13" i="224" s="1"/>
  <c r="J58" i="226"/>
  <c r="P58" i="226" s="1"/>
  <c r="P49" i="226"/>
  <c r="AC41" i="226"/>
  <c r="AB41" i="226"/>
  <c r="O41" i="226"/>
  <c r="AC40" i="226"/>
  <c r="AB40" i="226"/>
  <c r="O40" i="226"/>
  <c r="AC39" i="226"/>
  <c r="AB39" i="226"/>
  <c r="O39" i="226"/>
  <c r="L39" i="226"/>
  <c r="K48" i="226"/>
  <c r="P38" i="226"/>
  <c r="J48" i="226"/>
  <c r="P48" i="226" s="1"/>
  <c r="L38" i="226"/>
  <c r="L48" i="226" s="1"/>
  <c r="G13" i="224" s="1"/>
  <c r="O38" i="226"/>
  <c r="AB38" i="226"/>
  <c r="AC38" i="226"/>
  <c r="N48" i="226"/>
  <c r="AC30" i="226"/>
  <c r="AB30" i="226"/>
  <c r="O30" i="226"/>
  <c r="AC29" i="226"/>
  <c r="AB29" i="226"/>
  <c r="O29" i="226"/>
  <c r="AC28" i="226"/>
  <c r="AB28" i="226"/>
  <c r="O28" i="226"/>
  <c r="N37" i="226"/>
  <c r="O27" i="226"/>
  <c r="AB27" i="226"/>
  <c r="AC27" i="226"/>
  <c r="K37" i="226"/>
  <c r="L27" i="226"/>
  <c r="L37" i="226" s="1"/>
  <c r="F13" i="224" s="1"/>
  <c r="J37" i="226"/>
  <c r="P37" i="226" s="1"/>
  <c r="P27" i="226"/>
  <c r="AC19" i="226"/>
  <c r="AB19" i="226"/>
  <c r="O19" i="226"/>
  <c r="AC18" i="226"/>
  <c r="AB18" i="226"/>
  <c r="O18" i="226"/>
  <c r="AC17" i="226"/>
  <c r="O17" i="226"/>
  <c r="AB17" i="226"/>
  <c r="AC16" i="226"/>
  <c r="N26" i="226"/>
  <c r="O16" i="226"/>
  <c r="AB16" i="226"/>
  <c r="K26" i="226"/>
  <c r="L16" i="226"/>
  <c r="L26" i="226" s="1"/>
  <c r="E13" i="224" s="1"/>
  <c r="J26" i="226"/>
  <c r="P26" i="226" s="1"/>
  <c r="P16" i="226"/>
  <c r="AC11" i="226"/>
  <c r="AB11" i="226"/>
  <c r="O11" i="226"/>
  <c r="O10" i="226"/>
  <c r="AC10" i="226"/>
  <c r="AB10" i="226"/>
  <c r="AB9" i="226"/>
  <c r="AC9" i="226"/>
  <c r="O9" i="226"/>
  <c r="O8" i="226"/>
  <c r="AB8" i="226"/>
  <c r="AC8" i="226"/>
  <c r="AB7" i="226"/>
  <c r="AC7" i="226"/>
  <c r="O7" i="226"/>
  <c r="O6" i="226"/>
  <c r="AB6" i="226"/>
  <c r="AC6" i="226"/>
  <c r="L6" i="226"/>
  <c r="P6" i="226"/>
  <c r="O5" i="226"/>
  <c r="AB5" i="226"/>
  <c r="AC5" i="226"/>
  <c r="N15" i="226"/>
  <c r="L5" i="226"/>
  <c r="L15" i="226" s="1"/>
  <c r="D13" i="224" s="1"/>
  <c r="K15" i="226"/>
  <c r="P5" i="226"/>
  <c r="J15" i="226"/>
  <c r="P15" i="226" s="1"/>
  <c r="G2" i="226"/>
  <c r="J3" i="224"/>
  <c r="AC61" i="223"/>
  <c r="AB61" i="223"/>
  <c r="O61" i="223"/>
  <c r="AC60" i="223"/>
  <c r="AB60" i="223"/>
  <c r="O60" i="223"/>
  <c r="K69" i="223"/>
  <c r="L59" i="223"/>
  <c r="L69" i="223" s="1"/>
  <c r="I13" i="222" s="1"/>
  <c r="J6" i="222" s="1"/>
  <c r="J69" i="223"/>
  <c r="P69" i="223" s="1"/>
  <c r="P59" i="223"/>
  <c r="O59" i="223"/>
  <c r="AB59" i="223"/>
  <c r="AC59" i="223"/>
  <c r="N69" i="223"/>
  <c r="O53" i="223"/>
  <c r="AC53" i="223"/>
  <c r="AB53" i="223"/>
  <c r="O52" i="223"/>
  <c r="AB52" i="223"/>
  <c r="AC52" i="223"/>
  <c r="AB51" i="223"/>
  <c r="AC51" i="223"/>
  <c r="O51" i="223"/>
  <c r="AC50" i="223"/>
  <c r="AB50" i="223"/>
  <c r="O50" i="223"/>
  <c r="N58" i="223"/>
  <c r="AC49" i="223"/>
  <c r="AB49" i="223"/>
  <c r="O49" i="223"/>
  <c r="L49" i="223"/>
  <c r="L58" i="223" s="1"/>
  <c r="H13" i="222" s="1"/>
  <c r="K58" i="223"/>
  <c r="P49" i="223"/>
  <c r="J58" i="223"/>
  <c r="P58" i="223" s="1"/>
  <c r="AB41" i="223"/>
  <c r="AC41" i="223"/>
  <c r="O41" i="223"/>
  <c r="O40" i="223"/>
  <c r="AB40" i="223"/>
  <c r="AC40" i="223"/>
  <c r="AB39" i="223"/>
  <c r="O39" i="223"/>
  <c r="AC39" i="223"/>
  <c r="L39" i="223"/>
  <c r="K48" i="223"/>
  <c r="AC38" i="223"/>
  <c r="AB38" i="223"/>
  <c r="N48" i="223"/>
  <c r="O38" i="223"/>
  <c r="L38" i="223"/>
  <c r="L48" i="223" s="1"/>
  <c r="G13" i="222" s="1"/>
  <c r="J48" i="223"/>
  <c r="P48" i="223" s="1"/>
  <c r="P38" i="223"/>
  <c r="O30" i="223"/>
  <c r="AB30" i="223"/>
  <c r="AC30" i="223"/>
  <c r="AC29" i="223"/>
  <c r="AB29" i="223"/>
  <c r="O29" i="223"/>
  <c r="AC28" i="223"/>
  <c r="AB28" i="223"/>
  <c r="O28" i="223"/>
  <c r="L27" i="223"/>
  <c r="L37" i="223" s="1"/>
  <c r="F13" i="222" s="1"/>
  <c r="K37" i="223"/>
  <c r="P27" i="223"/>
  <c r="J37" i="223"/>
  <c r="P37" i="223" s="1"/>
  <c r="O27" i="223"/>
  <c r="AB27" i="223"/>
  <c r="AC27" i="223"/>
  <c r="N37" i="223"/>
  <c r="AC19" i="223"/>
  <c r="AB19" i="223"/>
  <c r="O19" i="223"/>
  <c r="AB18" i="223"/>
  <c r="AC18" i="223"/>
  <c r="O18" i="223"/>
  <c r="O17" i="223"/>
  <c r="AB17" i="223"/>
  <c r="AC17" i="223"/>
  <c r="O16" i="223"/>
  <c r="AB16" i="223"/>
  <c r="N26" i="223"/>
  <c r="AC16" i="223"/>
  <c r="L16" i="223"/>
  <c r="L26" i="223" s="1"/>
  <c r="E13" i="222" s="1"/>
  <c r="K26" i="223"/>
  <c r="P16" i="223"/>
  <c r="J26" i="223"/>
  <c r="P26" i="223" s="1"/>
  <c r="O9" i="223"/>
  <c r="AB9" i="223"/>
  <c r="AC9" i="223"/>
  <c r="AC8" i="223"/>
  <c r="AB8" i="223"/>
  <c r="O8" i="223"/>
  <c r="O7" i="223"/>
  <c r="AB7" i="223"/>
  <c r="AC7" i="223"/>
  <c r="O6" i="223"/>
  <c r="AB6" i="223"/>
  <c r="AC6" i="223"/>
  <c r="L6" i="223"/>
  <c r="P6" i="223"/>
  <c r="N15" i="223"/>
  <c r="AB5" i="223"/>
  <c r="O5" i="223"/>
  <c r="AC5" i="223"/>
  <c r="K15" i="223"/>
  <c r="L5" i="223"/>
  <c r="L15" i="223" s="1"/>
  <c r="D13" i="222" s="1"/>
  <c r="P5" i="223"/>
  <c r="J15" i="223"/>
  <c r="P15" i="223" s="1"/>
  <c r="G2" i="223"/>
  <c r="J3" i="222"/>
  <c r="I18" i="220"/>
  <c r="P69" i="221"/>
  <c r="O63" i="221"/>
  <c r="AC63" i="221"/>
  <c r="AB63" i="221"/>
  <c r="AC62" i="221"/>
  <c r="O62" i="221"/>
  <c r="AB62" i="221"/>
  <c r="O61" i="221"/>
  <c r="AC61" i="221"/>
  <c r="AB61" i="221"/>
  <c r="AB60" i="221"/>
  <c r="O60" i="221"/>
  <c r="AC60" i="221"/>
  <c r="O59" i="221"/>
  <c r="AB59" i="221"/>
  <c r="AC59" i="221"/>
  <c r="N69" i="221"/>
  <c r="L59" i="221"/>
  <c r="L69" i="221" s="1"/>
  <c r="I13" i="220" s="1"/>
  <c r="J6" i="220" s="1"/>
  <c r="K69" i="221"/>
  <c r="J69" i="221"/>
  <c r="P59" i="221"/>
  <c r="H18" i="220"/>
  <c r="Q54" i="221"/>
  <c r="R54" i="221"/>
  <c r="AB53" i="221"/>
  <c r="O53" i="221"/>
  <c r="AC53" i="221"/>
  <c r="O52" i="221"/>
  <c r="AC52" i="221"/>
  <c r="AB52" i="221"/>
  <c r="O51" i="221"/>
  <c r="AB51" i="221"/>
  <c r="AC51" i="221"/>
  <c r="O50" i="221"/>
  <c r="AB50" i="221"/>
  <c r="AC50" i="221"/>
  <c r="AB49" i="221"/>
  <c r="O49" i="221"/>
  <c r="AC49" i="221"/>
  <c r="N58" i="221"/>
  <c r="K58" i="221"/>
  <c r="L49" i="221"/>
  <c r="L58" i="221" s="1"/>
  <c r="H13" i="220" s="1"/>
  <c r="P49" i="221"/>
  <c r="J58" i="221"/>
  <c r="P58" i="221" s="1"/>
  <c r="I1" i="221"/>
  <c r="G18" i="220"/>
  <c r="AB41" i="221"/>
  <c r="O41" i="221"/>
  <c r="AC41" i="221"/>
  <c r="K48" i="221"/>
  <c r="L41" i="221"/>
  <c r="P41" i="221"/>
  <c r="J48" i="221"/>
  <c r="P48" i="221" s="1"/>
  <c r="AC40" i="221"/>
  <c r="O40" i="221"/>
  <c r="AB40" i="221"/>
  <c r="N48" i="221"/>
  <c r="O39" i="221"/>
  <c r="AB39" i="221"/>
  <c r="AC39" i="221"/>
  <c r="AC38" i="221"/>
  <c r="O38" i="221"/>
  <c r="AB38" i="221"/>
  <c r="L38" i="221"/>
  <c r="L48" i="221" s="1"/>
  <c r="G13" i="220" s="1"/>
  <c r="P38" i="221"/>
  <c r="O31" i="221"/>
  <c r="AC31" i="221"/>
  <c r="AB31" i="221"/>
  <c r="AC30" i="221"/>
  <c r="O30" i="221"/>
  <c r="AB30" i="221"/>
  <c r="AB29" i="221"/>
  <c r="AC29" i="221"/>
  <c r="O29" i="221"/>
  <c r="O28" i="221"/>
  <c r="AB28" i="221"/>
  <c r="AC28" i="221"/>
  <c r="AB27" i="221"/>
  <c r="AC27" i="221"/>
  <c r="O27" i="221"/>
  <c r="N37" i="221"/>
  <c r="K37" i="221"/>
  <c r="L27" i="221"/>
  <c r="L37" i="221" s="1"/>
  <c r="F13" i="220" s="1"/>
  <c r="J37" i="221"/>
  <c r="P37" i="221" s="1"/>
  <c r="P27" i="221"/>
  <c r="O19" i="221"/>
  <c r="AB19" i="221"/>
  <c r="AC19" i="221"/>
  <c r="O18" i="221"/>
  <c r="AB18" i="221"/>
  <c r="AC18" i="221"/>
  <c r="AC17" i="221"/>
  <c r="AB17" i="221"/>
  <c r="O17" i="221"/>
  <c r="N26" i="221"/>
  <c r="AC16" i="221"/>
  <c r="AB16" i="221"/>
  <c r="O16" i="221"/>
  <c r="K26" i="221"/>
  <c r="L16" i="221"/>
  <c r="L26" i="221" s="1"/>
  <c r="E13" i="220" s="1"/>
  <c r="J26" i="221"/>
  <c r="P26" i="221" s="1"/>
  <c r="P16" i="221"/>
  <c r="Q10" i="221"/>
  <c r="R10" i="221"/>
  <c r="AB9" i="221"/>
  <c r="AC9" i="221"/>
  <c r="O9" i="221"/>
  <c r="O8" i="221"/>
  <c r="AB8" i="221"/>
  <c r="AC8" i="221"/>
  <c r="AC7" i="221"/>
  <c r="O7" i="221"/>
  <c r="AB7" i="221"/>
  <c r="O6" i="221"/>
  <c r="AB6" i="221"/>
  <c r="AC6" i="221"/>
  <c r="P6" i="221"/>
  <c r="L6" i="221"/>
  <c r="AC5" i="221"/>
  <c r="O5" i="221"/>
  <c r="N15" i="221"/>
  <c r="AB5" i="221"/>
  <c r="K15" i="221"/>
  <c r="L5" i="221"/>
  <c r="L15" i="221" s="1"/>
  <c r="D13" i="220" s="1"/>
  <c r="J15" i="221"/>
  <c r="P15" i="221" s="1"/>
  <c r="P5" i="221"/>
  <c r="G2" i="221"/>
  <c r="J3" i="220"/>
  <c r="O63" i="219"/>
  <c r="AB63" i="219"/>
  <c r="AC63" i="219"/>
  <c r="O62" i="219"/>
  <c r="AB62" i="219"/>
  <c r="AC62" i="219"/>
  <c r="AC61" i="219"/>
  <c r="O61" i="219"/>
  <c r="AB61" i="219"/>
  <c r="O60" i="219"/>
  <c r="AC60" i="219"/>
  <c r="AB60" i="219"/>
  <c r="AC59" i="219"/>
  <c r="AB59" i="219"/>
  <c r="O59" i="219"/>
  <c r="N69" i="219"/>
  <c r="K69" i="219"/>
  <c r="L59" i="219"/>
  <c r="L69" i="219" s="1"/>
  <c r="I13" i="218" s="1"/>
  <c r="J6" i="218" s="1"/>
  <c r="P59" i="219"/>
  <c r="J69" i="219"/>
  <c r="P69" i="219" s="1"/>
  <c r="AC53" i="219"/>
  <c r="AB53" i="219"/>
  <c r="O53" i="219"/>
  <c r="AC52" i="219"/>
  <c r="AB52" i="219"/>
  <c r="O52" i="219"/>
  <c r="AC51" i="219"/>
  <c r="O51" i="219"/>
  <c r="AB51" i="219"/>
  <c r="AB50" i="219"/>
  <c r="O50" i="219"/>
  <c r="AC50" i="219"/>
  <c r="O49" i="219"/>
  <c r="AB49" i="219"/>
  <c r="AC49" i="219"/>
  <c r="N58" i="219"/>
  <c r="L49" i="219"/>
  <c r="L58" i="219" s="1"/>
  <c r="H13" i="218" s="1"/>
  <c r="K58" i="219"/>
  <c r="P49" i="219"/>
  <c r="J58" i="219"/>
  <c r="P58" i="219" s="1"/>
  <c r="AB42" i="219"/>
  <c r="AC42" i="219"/>
  <c r="O42" i="219"/>
  <c r="AB41" i="219"/>
  <c r="O41" i="219"/>
  <c r="AC41" i="219"/>
  <c r="O40" i="219"/>
  <c r="AB40" i="219"/>
  <c r="AC40" i="219"/>
  <c r="O39" i="219"/>
  <c r="AC39" i="219"/>
  <c r="AB39" i="219"/>
  <c r="L39" i="219"/>
  <c r="K48" i="219"/>
  <c r="N48" i="219"/>
  <c r="O38" i="219"/>
  <c r="AB38" i="219"/>
  <c r="AC38" i="219"/>
  <c r="J48" i="219"/>
  <c r="P48" i="219" s="1"/>
  <c r="L38" i="219"/>
  <c r="L48" i="219" s="1"/>
  <c r="G13" i="218" s="1"/>
  <c r="P38" i="219"/>
  <c r="AB31" i="219"/>
  <c r="AC31" i="219"/>
  <c r="O31" i="219"/>
  <c r="AB30" i="219"/>
  <c r="AC30" i="219"/>
  <c r="O30" i="219"/>
  <c r="O29" i="219"/>
  <c r="AC29" i="219"/>
  <c r="AB29" i="219"/>
  <c r="AC28" i="219"/>
  <c r="AB28" i="219"/>
  <c r="O28" i="219"/>
  <c r="N37" i="219"/>
  <c r="AC27" i="219"/>
  <c r="AB27" i="219"/>
  <c r="O27" i="219"/>
  <c r="K37" i="219"/>
  <c r="L27" i="219"/>
  <c r="L37" i="219" s="1"/>
  <c r="F13" i="218" s="1"/>
  <c r="J37" i="219"/>
  <c r="P37" i="219" s="1"/>
  <c r="P27" i="219"/>
  <c r="O18" i="219"/>
  <c r="AC18" i="219"/>
  <c r="AB18" i="219"/>
  <c r="AC17" i="219"/>
  <c r="AB17" i="219"/>
  <c r="O17" i="219"/>
  <c r="N26" i="219"/>
  <c r="AC16" i="219"/>
  <c r="AB16" i="219"/>
  <c r="O16" i="219"/>
  <c r="K26" i="219"/>
  <c r="L16" i="219"/>
  <c r="L26" i="219" s="1"/>
  <c r="E13" i="218" s="1"/>
  <c r="J26" i="219"/>
  <c r="P26" i="219" s="1"/>
  <c r="P16" i="219"/>
  <c r="AC9" i="219"/>
  <c r="AB9" i="219"/>
  <c r="O9" i="219"/>
  <c r="AC8" i="219"/>
  <c r="AB8" i="219"/>
  <c r="O8" i="219"/>
  <c r="AC7" i="219"/>
  <c r="AB7" i="219"/>
  <c r="O7" i="219"/>
  <c r="AC6" i="219"/>
  <c r="AB6" i="219"/>
  <c r="O6" i="219"/>
  <c r="P6" i="219"/>
  <c r="L6" i="219"/>
  <c r="N15" i="219"/>
  <c r="AB5" i="219"/>
  <c r="O5" i="219"/>
  <c r="AC5" i="219"/>
  <c r="K15" i="219"/>
  <c r="L5" i="219"/>
  <c r="L15" i="219" s="1"/>
  <c r="D13" i="218" s="1"/>
  <c r="J15" i="219"/>
  <c r="P15" i="219" s="1"/>
  <c r="P5" i="219"/>
  <c r="G2" i="219"/>
  <c r="J3" i="218"/>
  <c r="Q62" i="216"/>
  <c r="R62" i="216"/>
  <c r="AC61" i="216"/>
  <c r="O61" i="216"/>
  <c r="AB61" i="216"/>
  <c r="AC60" i="216"/>
  <c r="AB60" i="216"/>
  <c r="O60" i="216"/>
  <c r="N69" i="216"/>
  <c r="O59" i="216"/>
  <c r="AC59" i="216"/>
  <c r="AB59" i="216"/>
  <c r="K69" i="216"/>
  <c r="L59" i="216"/>
  <c r="L69" i="216" s="1"/>
  <c r="I13" i="215" s="1"/>
  <c r="J6" i="215" s="1"/>
  <c r="J69" i="216"/>
  <c r="P69" i="216" s="1"/>
  <c r="P59" i="216"/>
  <c r="Q53" i="216"/>
  <c r="R53" i="216"/>
  <c r="O52" i="216"/>
  <c r="AC52" i="216"/>
  <c r="AB52" i="216"/>
  <c r="AC51" i="216"/>
  <c r="O51" i="216"/>
  <c r="AB51" i="216"/>
  <c r="AC50" i="216"/>
  <c r="AB50" i="216"/>
  <c r="O50" i="216"/>
  <c r="AC49" i="216"/>
  <c r="AB49" i="216"/>
  <c r="O49" i="216"/>
  <c r="N58" i="216"/>
  <c r="K58" i="216"/>
  <c r="L49" i="216"/>
  <c r="L58" i="216" s="1"/>
  <c r="H13" i="215" s="1"/>
  <c r="J58" i="216"/>
  <c r="P58" i="216" s="1"/>
  <c r="P49" i="216"/>
  <c r="Q44" i="216"/>
  <c r="R44" i="216"/>
  <c r="Q43" i="216"/>
  <c r="R43" i="216"/>
  <c r="Q42" i="216"/>
  <c r="R42" i="216"/>
  <c r="AB41" i="216"/>
  <c r="O41" i="216"/>
  <c r="AC41" i="216"/>
  <c r="AC40" i="216"/>
  <c r="O40" i="216"/>
  <c r="AB40" i="216"/>
  <c r="AC39" i="216"/>
  <c r="AB39" i="216"/>
  <c r="O39" i="216"/>
  <c r="L39" i="216"/>
  <c r="K48" i="216"/>
  <c r="N48" i="216"/>
  <c r="O38" i="216"/>
  <c r="AB38" i="216"/>
  <c r="AC38" i="216"/>
  <c r="J48" i="216"/>
  <c r="P48" i="216" s="1"/>
  <c r="L38" i="216"/>
  <c r="L48" i="216" s="1"/>
  <c r="G13" i="215" s="1"/>
  <c r="P38" i="216"/>
  <c r="Q34" i="216"/>
  <c r="R34" i="216"/>
  <c r="Q33" i="216"/>
  <c r="R33" i="216"/>
  <c r="Q32" i="216"/>
  <c r="R32" i="216"/>
  <c r="Q31" i="216"/>
  <c r="R31" i="216"/>
  <c r="O30" i="216"/>
  <c r="AC30" i="216"/>
  <c r="AB30" i="216"/>
  <c r="AB29" i="216"/>
  <c r="O29" i="216"/>
  <c r="AC29" i="216"/>
  <c r="O28" i="216"/>
  <c r="AB28" i="216"/>
  <c r="AC28" i="216"/>
  <c r="N37" i="216"/>
  <c r="O27" i="216"/>
  <c r="AB27" i="216"/>
  <c r="AC27" i="216"/>
  <c r="K37" i="216"/>
  <c r="L27" i="216"/>
  <c r="L37" i="216" s="1"/>
  <c r="F13" i="215" s="1"/>
  <c r="J37" i="216"/>
  <c r="P37" i="216" s="1"/>
  <c r="P27" i="216"/>
  <c r="AB20" i="216"/>
  <c r="AC20" i="216"/>
  <c r="O20" i="216"/>
  <c r="O19" i="216"/>
  <c r="AC19" i="216"/>
  <c r="AB19" i="216"/>
  <c r="AC18" i="216"/>
  <c r="AB18" i="216"/>
  <c r="O18" i="216"/>
  <c r="AC17" i="216"/>
  <c r="AB17" i="216"/>
  <c r="O17" i="216"/>
  <c r="AC16" i="216"/>
  <c r="AB16" i="216"/>
  <c r="N26" i="216"/>
  <c r="O16" i="216"/>
  <c r="L16" i="216"/>
  <c r="L26" i="216" s="1"/>
  <c r="E13" i="215" s="1"/>
  <c r="K26" i="216"/>
  <c r="P16" i="216"/>
  <c r="J26" i="216"/>
  <c r="P26" i="216" s="1"/>
  <c r="AC9" i="216"/>
  <c r="AB9" i="216"/>
  <c r="O9" i="216"/>
  <c r="AC8" i="216"/>
  <c r="AB8" i="216"/>
  <c r="O8" i="216"/>
  <c r="O7" i="216"/>
  <c r="AB7" i="216"/>
  <c r="AC7" i="216"/>
  <c r="AC6" i="216"/>
  <c r="AB6" i="216"/>
  <c r="O6" i="216"/>
  <c r="L6" i="216"/>
  <c r="P6" i="216"/>
  <c r="N15" i="216"/>
  <c r="AC5" i="216"/>
  <c r="O5" i="216"/>
  <c r="AB5" i="216"/>
  <c r="K15" i="216"/>
  <c r="L5" i="216"/>
  <c r="L15" i="216" s="1"/>
  <c r="D13" i="215" s="1"/>
  <c r="J15" i="216"/>
  <c r="P15" i="216" s="1"/>
  <c r="P5" i="216"/>
  <c r="G2" i="216"/>
  <c r="J3" i="215"/>
  <c r="Q63" i="214"/>
  <c r="R63" i="214"/>
  <c r="Q62" i="214"/>
  <c r="R62" i="214"/>
  <c r="O61" i="214"/>
  <c r="AB61" i="214"/>
  <c r="AC61" i="214"/>
  <c r="AC60" i="214"/>
  <c r="AB60" i="214"/>
  <c r="O60" i="214"/>
  <c r="N69" i="214"/>
  <c r="AC59" i="214"/>
  <c r="AB59" i="214"/>
  <c r="O59" i="214"/>
  <c r="L59" i="214"/>
  <c r="L69" i="214" s="1"/>
  <c r="I13" i="213" s="1"/>
  <c r="J6" i="213" s="1"/>
  <c r="K69" i="214"/>
  <c r="J69" i="214"/>
  <c r="P69" i="214" s="1"/>
  <c r="P59" i="214"/>
  <c r="Q53" i="214"/>
  <c r="R53" i="214"/>
  <c r="O52" i="214"/>
  <c r="AB52" i="214"/>
  <c r="AC52" i="214"/>
  <c r="AB51" i="214"/>
  <c r="AC51" i="214"/>
  <c r="O51" i="214"/>
  <c r="AC50" i="214"/>
  <c r="O50" i="214"/>
  <c r="AB50" i="214"/>
  <c r="AC49" i="214"/>
  <c r="AB49" i="214"/>
  <c r="O49" i="214"/>
  <c r="N58" i="214"/>
  <c r="K58" i="214"/>
  <c r="L49" i="214"/>
  <c r="L58" i="214" s="1"/>
  <c r="H13" i="213" s="1"/>
  <c r="J58" i="214"/>
  <c r="P58" i="214" s="1"/>
  <c r="P49" i="214"/>
  <c r="Q42" i="214"/>
  <c r="R42" i="214"/>
  <c r="O41" i="214"/>
  <c r="AC41" i="214"/>
  <c r="AB41" i="214"/>
  <c r="O40" i="214"/>
  <c r="AC40" i="214"/>
  <c r="AB40" i="214"/>
  <c r="AC39" i="214"/>
  <c r="O39" i="214"/>
  <c r="AB39" i="214"/>
  <c r="K48" i="214"/>
  <c r="L39" i="214"/>
  <c r="N48" i="214"/>
  <c r="AC38" i="214"/>
  <c r="AB38" i="214"/>
  <c r="O38" i="214"/>
  <c r="J48" i="214"/>
  <c r="P48" i="214" s="1"/>
  <c r="P38" i="214"/>
  <c r="L38" i="214"/>
  <c r="L48" i="214" s="1"/>
  <c r="G13" i="213" s="1"/>
  <c r="O30" i="214"/>
  <c r="AB30" i="214"/>
  <c r="AC30" i="214"/>
  <c r="AC29" i="214"/>
  <c r="O29" i="214"/>
  <c r="AB29" i="214"/>
  <c r="AB28" i="214"/>
  <c r="O28" i="214"/>
  <c r="AC28" i="214"/>
  <c r="AB27" i="214"/>
  <c r="O27" i="214"/>
  <c r="AC27" i="214"/>
  <c r="N37" i="214"/>
  <c r="L27" i="214"/>
  <c r="L37" i="214" s="1"/>
  <c r="F13" i="213" s="1"/>
  <c r="K37" i="214"/>
  <c r="P27" i="214"/>
  <c r="J37" i="214"/>
  <c r="P37" i="214" s="1"/>
  <c r="O20" i="214"/>
  <c r="AC20" i="214"/>
  <c r="AB20" i="214"/>
  <c r="AB19" i="214"/>
  <c r="O19" i="214"/>
  <c r="AC19" i="214"/>
  <c r="AC18" i="214"/>
  <c r="AB18" i="214"/>
  <c r="O18" i="214"/>
  <c r="AC17" i="214"/>
  <c r="AB17" i="214"/>
  <c r="O17" i="214"/>
  <c r="AC16" i="214"/>
  <c r="N26" i="214"/>
  <c r="AB16" i="214"/>
  <c r="O16" i="214"/>
  <c r="K26" i="214"/>
  <c r="L16" i="214"/>
  <c r="L26" i="214" s="1"/>
  <c r="E13" i="213" s="1"/>
  <c r="J26" i="214"/>
  <c r="P26" i="214" s="1"/>
  <c r="P16" i="214"/>
  <c r="Q10" i="214"/>
  <c r="R10" i="214"/>
  <c r="O9" i="214"/>
  <c r="AB9" i="214"/>
  <c r="AC9" i="214"/>
  <c r="AC8" i="214"/>
  <c r="AB8" i="214"/>
  <c r="O8" i="214"/>
  <c r="O7" i="214"/>
  <c r="AB7" i="214"/>
  <c r="AC7" i="214"/>
  <c r="O6" i="214"/>
  <c r="AC6" i="214"/>
  <c r="AB6" i="214"/>
  <c r="L6" i="214"/>
  <c r="P6" i="214"/>
  <c r="N15" i="214"/>
  <c r="AB5" i="214"/>
  <c r="AC5" i="214"/>
  <c r="O5" i="214"/>
  <c r="K15" i="214"/>
  <c r="L5" i="214"/>
  <c r="L15" i="214" s="1"/>
  <c r="D13" i="213" s="1"/>
  <c r="P5" i="214"/>
  <c r="J15" i="214"/>
  <c r="P15" i="214" s="1"/>
  <c r="G2" i="214"/>
  <c r="J3" i="213"/>
  <c r="Q62" i="212"/>
  <c r="R62" i="212"/>
  <c r="O61" i="212"/>
  <c r="AC61" i="212"/>
  <c r="AB61" i="212"/>
  <c r="AC60" i="212"/>
  <c r="AB60" i="212"/>
  <c r="O60" i="212"/>
  <c r="N69" i="212"/>
  <c r="O59" i="212"/>
  <c r="AB59" i="212"/>
  <c r="AC59" i="212"/>
  <c r="L59" i="212"/>
  <c r="L69" i="212" s="1"/>
  <c r="I13" i="211" s="1"/>
  <c r="J6" i="211" s="1"/>
  <c r="K69" i="212"/>
  <c r="J69" i="212"/>
  <c r="P69" i="212" s="1"/>
  <c r="P59" i="212"/>
  <c r="Q53" i="212"/>
  <c r="R53" i="212"/>
  <c r="O52" i="212"/>
  <c r="AB52" i="212"/>
  <c r="AC52" i="212"/>
  <c r="AB51" i="212"/>
  <c r="AC51" i="212"/>
  <c r="O51" i="212"/>
  <c r="AB50" i="212"/>
  <c r="AC50" i="212"/>
  <c r="O50" i="212"/>
  <c r="AB49" i="212"/>
  <c r="N58" i="212"/>
  <c r="AC49" i="212"/>
  <c r="O49" i="212"/>
  <c r="L49" i="212"/>
  <c r="L58" i="212" s="1"/>
  <c r="H13" i="211" s="1"/>
  <c r="K58" i="212"/>
  <c r="P49" i="212"/>
  <c r="J58" i="212"/>
  <c r="P58" i="212" s="1"/>
  <c r="Q43" i="212"/>
  <c r="R43" i="212"/>
  <c r="Q42" i="212"/>
  <c r="R42" i="212"/>
  <c r="AC41" i="212"/>
  <c r="AB41" i="212"/>
  <c r="O41" i="212"/>
  <c r="AC40" i="212"/>
  <c r="O40" i="212"/>
  <c r="AB40" i="212"/>
  <c r="AB39" i="212"/>
  <c r="AC39" i="212"/>
  <c r="O39" i="212"/>
  <c r="K48" i="212"/>
  <c r="L39" i="212"/>
  <c r="O38" i="212"/>
  <c r="N48" i="212"/>
  <c r="AC38" i="212"/>
  <c r="AB38" i="212"/>
  <c r="P38" i="212"/>
  <c r="L38" i="212"/>
  <c r="L48" i="212" s="1"/>
  <c r="G13" i="211" s="1"/>
  <c r="J48" i="212"/>
  <c r="P48" i="212" s="1"/>
  <c r="Q31" i="212"/>
  <c r="R31" i="212"/>
  <c r="O30" i="212"/>
  <c r="AC30" i="212"/>
  <c r="AB30" i="212"/>
  <c r="O29" i="212"/>
  <c r="AB29" i="212"/>
  <c r="AC29" i="212"/>
  <c r="O28" i="212"/>
  <c r="AB28" i="212"/>
  <c r="AC28" i="212"/>
  <c r="N37" i="212"/>
  <c r="AC27" i="212"/>
  <c r="AB27" i="212"/>
  <c r="O27" i="212"/>
  <c r="L27" i="212"/>
  <c r="L37" i="212" s="1"/>
  <c r="F13" i="211" s="1"/>
  <c r="K37" i="212"/>
  <c r="P27" i="212"/>
  <c r="J37" i="212"/>
  <c r="P37" i="212" s="1"/>
  <c r="AC20" i="212"/>
  <c r="AB20" i="212"/>
  <c r="O20" i="212"/>
  <c r="AC19" i="212"/>
  <c r="O19" i="212"/>
  <c r="AB19" i="212"/>
  <c r="O18" i="212"/>
  <c r="AC18" i="212"/>
  <c r="AB18" i="212"/>
  <c r="AC17" i="212"/>
  <c r="AB17" i="212"/>
  <c r="O17" i="212"/>
  <c r="AB16" i="212"/>
  <c r="AC16" i="212"/>
  <c r="N26" i="212"/>
  <c r="O16" i="212"/>
  <c r="K26" i="212"/>
  <c r="L16" i="212"/>
  <c r="L26" i="212" s="1"/>
  <c r="E13" i="211" s="1"/>
  <c r="J26" i="212"/>
  <c r="P26" i="212" s="1"/>
  <c r="P16" i="212"/>
  <c r="AB9" i="212"/>
  <c r="O9" i="212"/>
  <c r="AC9" i="212"/>
  <c r="O8" i="212"/>
  <c r="AB8" i="212"/>
  <c r="AC8" i="212"/>
  <c r="AB7" i="212"/>
  <c r="AC7" i="212"/>
  <c r="O7" i="212"/>
  <c r="AC6" i="212"/>
  <c r="AB6" i="212"/>
  <c r="O6" i="212"/>
  <c r="L6" i="212"/>
  <c r="P6" i="212"/>
  <c r="N15" i="212"/>
  <c r="O5" i="212"/>
  <c r="AB5" i="212"/>
  <c r="AC5" i="212"/>
  <c r="K15" i="212"/>
  <c r="L5" i="212"/>
  <c r="L15" i="212" s="1"/>
  <c r="D13" i="211" s="1"/>
  <c r="J15" i="212"/>
  <c r="P15" i="212" s="1"/>
  <c r="P5" i="212"/>
  <c r="G2" i="212"/>
  <c r="J3" i="211"/>
  <c r="AC61" i="210"/>
  <c r="AB61" i="210"/>
  <c r="O61" i="210"/>
  <c r="O60" i="210"/>
  <c r="AB60" i="210"/>
  <c r="AC60" i="210"/>
  <c r="O59" i="210"/>
  <c r="N69" i="210"/>
  <c r="AC59" i="210"/>
  <c r="AB59" i="210"/>
  <c r="L59" i="210"/>
  <c r="L69" i="210" s="1"/>
  <c r="I13" i="209" s="1"/>
  <c r="J6" i="209" s="1"/>
  <c r="K69" i="210"/>
  <c r="J69" i="210"/>
  <c r="P69" i="210" s="1"/>
  <c r="P59" i="210"/>
  <c r="AC52" i="210"/>
  <c r="AB52" i="210"/>
  <c r="O52" i="210"/>
  <c r="AC51" i="210"/>
  <c r="AB51" i="210"/>
  <c r="O51" i="210"/>
  <c r="AC50" i="210"/>
  <c r="AB50" i="210"/>
  <c r="O50" i="210"/>
  <c r="N58" i="210"/>
  <c r="AC49" i="210"/>
  <c r="AB49" i="210"/>
  <c r="O49" i="210"/>
  <c r="K58" i="210"/>
  <c r="L49" i="210"/>
  <c r="L58" i="210" s="1"/>
  <c r="H13" i="209" s="1"/>
  <c r="P49" i="210"/>
  <c r="J58" i="210"/>
  <c r="P58" i="210" s="1"/>
  <c r="AB40" i="210"/>
  <c r="O40" i="210"/>
  <c r="AC40" i="210"/>
  <c r="AB39" i="210"/>
  <c r="O39" i="210"/>
  <c r="AC39" i="210"/>
  <c r="K48" i="210"/>
  <c r="L39" i="210"/>
  <c r="AB38" i="210"/>
  <c r="AC38" i="210"/>
  <c r="N48" i="210"/>
  <c r="O38" i="210"/>
  <c r="J48" i="210"/>
  <c r="P48" i="210" s="1"/>
  <c r="L38" i="210"/>
  <c r="L48" i="210" s="1"/>
  <c r="G13" i="209" s="1"/>
  <c r="P38" i="210"/>
  <c r="Q31" i="210"/>
  <c r="R31" i="210"/>
  <c r="O30" i="210"/>
  <c r="AC30" i="210"/>
  <c r="AB30" i="210"/>
  <c r="AC29" i="210"/>
  <c r="O29" i="210"/>
  <c r="AB29" i="210"/>
  <c r="AC28" i="210"/>
  <c r="AB28" i="210"/>
  <c r="O28" i="210"/>
  <c r="AC27" i="210"/>
  <c r="AB27" i="210"/>
  <c r="N37" i="210"/>
  <c r="O27" i="210"/>
  <c r="K37" i="210"/>
  <c r="L27" i="210"/>
  <c r="L37" i="210" s="1"/>
  <c r="F13" i="209" s="1"/>
  <c r="P27" i="210"/>
  <c r="J37" i="210"/>
  <c r="P37" i="210" s="1"/>
  <c r="AB19" i="210"/>
  <c r="O19" i="210"/>
  <c r="AC19" i="210"/>
  <c r="O18" i="210"/>
  <c r="AB18" i="210"/>
  <c r="AC18" i="210"/>
  <c r="AC17" i="210"/>
  <c r="AB17" i="210"/>
  <c r="O17" i="210"/>
  <c r="O16" i="210"/>
  <c r="AB16" i="210"/>
  <c r="AC16" i="210"/>
  <c r="N26" i="210"/>
  <c r="L16" i="210"/>
  <c r="L26" i="210" s="1"/>
  <c r="E13" i="209" s="1"/>
  <c r="K26" i="210"/>
  <c r="J26" i="210"/>
  <c r="P26" i="210" s="1"/>
  <c r="P16" i="210"/>
  <c r="AB9" i="210"/>
  <c r="AC9" i="210"/>
  <c r="O9" i="210"/>
  <c r="O8" i="210"/>
  <c r="AC8" i="210"/>
  <c r="AB8" i="210"/>
  <c r="O7" i="210"/>
  <c r="AB7" i="210"/>
  <c r="AC7" i="210"/>
  <c r="AB6" i="210"/>
  <c r="AC6" i="210"/>
  <c r="O6" i="210"/>
  <c r="P6" i="210"/>
  <c r="L6" i="210"/>
  <c r="AB5" i="210"/>
  <c r="AC5" i="210"/>
  <c r="N15" i="210"/>
  <c r="O5" i="210"/>
  <c r="L5" i="210"/>
  <c r="L15" i="210" s="1"/>
  <c r="D13" i="209" s="1"/>
  <c r="K15" i="210"/>
  <c r="P5" i="210"/>
  <c r="J15" i="210"/>
  <c r="P15" i="210" s="1"/>
  <c r="G2" i="210"/>
  <c r="J3" i="209"/>
  <c r="AB61" i="208"/>
  <c r="AC61" i="208"/>
  <c r="O61" i="208"/>
  <c r="AB60" i="208"/>
  <c r="O60" i="208"/>
  <c r="AC60" i="208"/>
  <c r="N69" i="208"/>
  <c r="O59" i="208"/>
  <c r="AB59" i="208"/>
  <c r="AC59" i="208"/>
  <c r="K69" i="208"/>
  <c r="L59" i="208"/>
  <c r="L69" i="208" s="1"/>
  <c r="I13" i="207" s="1"/>
  <c r="J6" i="207" s="1"/>
  <c r="P59" i="208"/>
  <c r="J69" i="208"/>
  <c r="P69" i="208" s="1"/>
  <c r="O52" i="208"/>
  <c r="AB52" i="208"/>
  <c r="AC52" i="208"/>
  <c r="AB51" i="208"/>
  <c r="AC51" i="208"/>
  <c r="O51" i="208"/>
  <c r="AC50" i="208"/>
  <c r="O50" i="208"/>
  <c r="AB50" i="208"/>
  <c r="AC49" i="208"/>
  <c r="N58" i="208"/>
  <c r="O49" i="208"/>
  <c r="AB49" i="208"/>
  <c r="K58" i="208"/>
  <c r="L49" i="208"/>
  <c r="L58" i="208" s="1"/>
  <c r="H13" i="207" s="1"/>
  <c r="P49" i="208"/>
  <c r="J58" i="208"/>
  <c r="P58" i="208" s="1"/>
  <c r="AB41" i="208"/>
  <c r="O41" i="208"/>
  <c r="AC41" i="208"/>
  <c r="AB40" i="208"/>
  <c r="O40" i="208"/>
  <c r="AC40" i="208"/>
  <c r="O39" i="208"/>
  <c r="AB39" i="208"/>
  <c r="AC39" i="208"/>
  <c r="K48" i="208"/>
  <c r="L39" i="208"/>
  <c r="AC38" i="208"/>
  <c r="N48" i="208"/>
  <c r="O38" i="208"/>
  <c r="AB38" i="208"/>
  <c r="J48" i="208"/>
  <c r="P48" i="208" s="1"/>
  <c r="L38" i="208"/>
  <c r="L48" i="208" s="1"/>
  <c r="G13" i="207" s="1"/>
  <c r="P38" i="208"/>
  <c r="AC29" i="208"/>
  <c r="O29" i="208"/>
  <c r="AB29" i="208"/>
  <c r="AB28" i="208"/>
  <c r="AC28" i="208"/>
  <c r="O28" i="208"/>
  <c r="O27" i="208"/>
  <c r="AB27" i="208"/>
  <c r="N37" i="208"/>
  <c r="AC27" i="208"/>
  <c r="K37" i="208"/>
  <c r="L27" i="208"/>
  <c r="L37" i="208" s="1"/>
  <c r="F13" i="207" s="1"/>
  <c r="P27" i="208"/>
  <c r="J37" i="208"/>
  <c r="P37" i="208" s="1"/>
  <c r="O18" i="208"/>
  <c r="AC18" i="208"/>
  <c r="AB18" i="208"/>
  <c r="AC17" i="208"/>
  <c r="AB17" i="208"/>
  <c r="O17" i="208"/>
  <c r="N26" i="208"/>
  <c r="AC16" i="208"/>
  <c r="O16" i="208"/>
  <c r="AB16" i="208"/>
  <c r="K26" i="208"/>
  <c r="L16" i="208"/>
  <c r="L26" i="208" s="1"/>
  <c r="E13" i="207" s="1"/>
  <c r="J26" i="208"/>
  <c r="P26" i="208" s="1"/>
  <c r="P16" i="208"/>
  <c r="AC8" i="208"/>
  <c r="O8" i="208"/>
  <c r="AB8" i="208"/>
  <c r="O7" i="208"/>
  <c r="AB7" i="208"/>
  <c r="AC7" i="208"/>
  <c r="AB6" i="208"/>
  <c r="O6" i="208"/>
  <c r="AC6" i="208"/>
  <c r="L6" i="208"/>
  <c r="P6" i="208"/>
  <c r="AC5" i="208"/>
  <c r="O5" i="208"/>
  <c r="N15" i="208"/>
  <c r="AB5" i="208"/>
  <c r="L5" i="208"/>
  <c r="L15" i="208" s="1"/>
  <c r="D13" i="207" s="1"/>
  <c r="K15" i="208"/>
  <c r="P5" i="208"/>
  <c r="J15" i="208"/>
  <c r="P15" i="208" s="1"/>
  <c r="G2" i="208"/>
  <c r="J3" i="207"/>
  <c r="O61" i="206"/>
  <c r="AC61" i="206"/>
  <c r="AB61" i="206"/>
  <c r="O60" i="206"/>
  <c r="AB60" i="206"/>
  <c r="AC60" i="206"/>
  <c r="AC59" i="206"/>
  <c r="AB59" i="206"/>
  <c r="O59" i="206"/>
  <c r="N69" i="206"/>
  <c r="L59" i="206"/>
  <c r="L69" i="206" s="1"/>
  <c r="I13" i="205" s="1"/>
  <c r="J6" i="205" s="1"/>
  <c r="K69" i="206"/>
  <c r="J69" i="206"/>
  <c r="P69" i="206" s="1"/>
  <c r="P59" i="206"/>
  <c r="Q53" i="206"/>
  <c r="R53" i="206"/>
  <c r="AB52" i="206"/>
  <c r="AC52" i="206"/>
  <c r="O52" i="206"/>
  <c r="AC51" i="206"/>
  <c r="AB51" i="206"/>
  <c r="O51" i="206"/>
  <c r="O50" i="206"/>
  <c r="AB50" i="206"/>
  <c r="AC50" i="206"/>
  <c r="N58" i="206"/>
  <c r="O49" i="206"/>
  <c r="AC49" i="206"/>
  <c r="AB49" i="206"/>
  <c r="K58" i="206"/>
  <c r="L49" i="206"/>
  <c r="L58" i="206" s="1"/>
  <c r="H13" i="205" s="1"/>
  <c r="J58" i="206"/>
  <c r="P58" i="206" s="1"/>
  <c r="P49" i="206"/>
  <c r="AB40" i="206"/>
  <c r="AC40" i="206"/>
  <c r="O40" i="206"/>
  <c r="O39" i="206"/>
  <c r="AC39" i="206"/>
  <c r="AB39" i="206"/>
  <c r="K48" i="206"/>
  <c r="L39" i="206"/>
  <c r="AB38" i="206"/>
  <c r="AC38" i="206"/>
  <c r="O38" i="206"/>
  <c r="N48" i="206"/>
  <c r="P38" i="206"/>
  <c r="L38" i="206"/>
  <c r="L48" i="206" s="1"/>
  <c r="G13" i="205" s="1"/>
  <c r="J48" i="206"/>
  <c r="P48" i="206" s="1"/>
  <c r="AC30" i="206"/>
  <c r="AB30" i="206"/>
  <c r="O30" i="206"/>
  <c r="O29" i="206"/>
  <c r="AC29" i="206"/>
  <c r="AB29" i="206"/>
  <c r="O28" i="206"/>
  <c r="AC28" i="206"/>
  <c r="AB28" i="206"/>
  <c r="AC27" i="206"/>
  <c r="AB27" i="206"/>
  <c r="O27" i="206"/>
  <c r="N37" i="206"/>
  <c r="L27" i="206"/>
  <c r="L37" i="206" s="1"/>
  <c r="F13" i="205" s="1"/>
  <c r="K37" i="206"/>
  <c r="P27" i="206"/>
  <c r="J37" i="206"/>
  <c r="P37" i="206" s="1"/>
  <c r="AB19" i="206"/>
  <c r="AC19" i="206"/>
  <c r="O19" i="206"/>
  <c r="O18" i="206"/>
  <c r="AC18" i="206"/>
  <c r="AB18" i="206"/>
  <c r="AB17" i="206"/>
  <c r="AC17" i="206"/>
  <c r="O17" i="206"/>
  <c r="O16" i="206"/>
  <c r="N26" i="206"/>
  <c r="AC16" i="206"/>
  <c r="AB16" i="206"/>
  <c r="L16" i="206"/>
  <c r="L26" i="206" s="1"/>
  <c r="E13" i="205" s="1"/>
  <c r="K26" i="206"/>
  <c r="J26" i="206"/>
  <c r="P26" i="206" s="1"/>
  <c r="P16" i="206"/>
  <c r="AB9" i="206"/>
  <c r="O9" i="206"/>
  <c r="AC9" i="206"/>
  <c r="O8" i="206"/>
  <c r="AB8" i="206"/>
  <c r="AC8" i="206"/>
  <c r="AB7" i="206"/>
  <c r="AC7" i="206"/>
  <c r="O7" i="206"/>
  <c r="O6" i="206"/>
  <c r="AB6" i="206"/>
  <c r="AC6" i="206"/>
  <c r="P6" i="206"/>
  <c r="L6" i="206"/>
  <c r="AC5" i="206"/>
  <c r="N15" i="206"/>
  <c r="AB5" i="206"/>
  <c r="O5" i="206"/>
  <c r="K15" i="206"/>
  <c r="L5" i="206"/>
  <c r="L15" i="206" s="1"/>
  <c r="D13" i="205" s="1"/>
  <c r="P5" i="206"/>
  <c r="J15" i="206"/>
  <c r="P15" i="206" s="1"/>
  <c r="G2" i="206"/>
  <c r="J3" i="205"/>
  <c r="AB61" i="204"/>
  <c r="O61" i="204"/>
  <c r="AC61" i="204"/>
  <c r="O60" i="204"/>
  <c r="AC60" i="204"/>
  <c r="AB60" i="204"/>
  <c r="N69" i="204"/>
  <c r="AB59" i="204"/>
  <c r="O59" i="204"/>
  <c r="AC59" i="204"/>
  <c r="L59" i="204"/>
  <c r="L69" i="204" s="1"/>
  <c r="I13" i="203" s="1"/>
  <c r="J6" i="203" s="1"/>
  <c r="K69" i="204"/>
  <c r="P59" i="204"/>
  <c r="J69" i="204"/>
  <c r="P69" i="204" s="1"/>
  <c r="Q54" i="204"/>
  <c r="R54" i="204"/>
  <c r="Q53" i="204"/>
  <c r="R53" i="204"/>
  <c r="AC52" i="204"/>
  <c r="O52" i="204"/>
  <c r="AB52" i="204"/>
  <c r="AB51" i="204"/>
  <c r="AC51" i="204"/>
  <c r="O51" i="204"/>
  <c r="AB50" i="204"/>
  <c r="O50" i="204"/>
  <c r="AC50" i="204"/>
  <c r="AB49" i="204"/>
  <c r="O49" i="204"/>
  <c r="N58" i="204"/>
  <c r="AC49" i="204"/>
  <c r="L49" i="204"/>
  <c r="L58" i="204" s="1"/>
  <c r="H13" i="203" s="1"/>
  <c r="K58" i="204"/>
  <c r="P49" i="204"/>
  <c r="J58" i="204"/>
  <c r="P58" i="204" s="1"/>
  <c r="Q42" i="204"/>
  <c r="R42" i="204"/>
  <c r="O41" i="204"/>
  <c r="AC41" i="204"/>
  <c r="AB41" i="204"/>
  <c r="O40" i="204"/>
  <c r="AC40" i="204"/>
  <c r="AB40" i="204"/>
  <c r="AC39" i="204"/>
  <c r="AB39" i="204"/>
  <c r="O39" i="204"/>
  <c r="K48" i="204"/>
  <c r="L39" i="204"/>
  <c r="O38" i="204"/>
  <c r="AC38" i="204"/>
  <c r="AB38" i="204"/>
  <c r="N48" i="204"/>
  <c r="L38" i="204"/>
  <c r="L48" i="204" s="1"/>
  <c r="G13" i="203" s="1"/>
  <c r="J48" i="204"/>
  <c r="P48" i="204" s="1"/>
  <c r="P38" i="204"/>
  <c r="AB30" i="204"/>
  <c r="O30" i="204"/>
  <c r="AC30" i="204"/>
  <c r="O29" i="204"/>
  <c r="AB29" i="204"/>
  <c r="AC29" i="204"/>
  <c r="AB28" i="204"/>
  <c r="AC28" i="204"/>
  <c r="O28" i="204"/>
  <c r="AB27" i="204"/>
  <c r="O27" i="204"/>
  <c r="AC27" i="204"/>
  <c r="N37" i="204"/>
  <c r="L27" i="204"/>
  <c r="L37" i="204" s="1"/>
  <c r="F13" i="203" s="1"/>
  <c r="K37" i="204"/>
  <c r="J37" i="204"/>
  <c r="P37" i="204" s="1"/>
  <c r="P27" i="204"/>
  <c r="O20" i="204"/>
  <c r="AC20" i="204"/>
  <c r="AB20" i="204"/>
  <c r="O19" i="204"/>
  <c r="AB19" i="204"/>
  <c r="AC19" i="204"/>
  <c r="O18" i="204"/>
  <c r="AC18" i="204"/>
  <c r="AB18" i="204"/>
  <c r="AB17" i="204"/>
  <c r="O17" i="204"/>
  <c r="AC17" i="204"/>
  <c r="AB16" i="204"/>
  <c r="N26" i="204"/>
  <c r="AC16" i="204"/>
  <c r="O16" i="204"/>
  <c r="K26" i="204"/>
  <c r="L16" i="204"/>
  <c r="L26" i="204" s="1"/>
  <c r="E13" i="203" s="1"/>
  <c r="J26" i="204"/>
  <c r="P26" i="204" s="1"/>
  <c r="P16" i="204"/>
  <c r="AC9" i="204"/>
  <c r="AB9" i="204"/>
  <c r="O9" i="204"/>
  <c r="O8" i="204"/>
  <c r="AB8" i="204"/>
  <c r="AC8" i="204"/>
  <c r="O7" i="204"/>
  <c r="AB7" i="204"/>
  <c r="AC7" i="204"/>
  <c r="AC6" i="204"/>
  <c r="AB6" i="204"/>
  <c r="O6" i="204"/>
  <c r="L6" i="204"/>
  <c r="P6" i="204"/>
  <c r="AB5" i="204"/>
  <c r="AC5" i="204"/>
  <c r="O5" i="204"/>
  <c r="N15" i="204"/>
  <c r="L5" i="204"/>
  <c r="L15" i="204" s="1"/>
  <c r="D13" i="203" s="1"/>
  <c r="K15" i="204"/>
  <c r="J15" i="204"/>
  <c r="P15" i="204" s="1"/>
  <c r="P5" i="204"/>
  <c r="J3" i="203"/>
  <c r="G2" i="204"/>
  <c r="Q71" i="202"/>
  <c r="R71" i="202"/>
  <c r="O70" i="202"/>
  <c r="AB70" i="202"/>
  <c r="AC70" i="202"/>
  <c r="M79" i="202"/>
  <c r="R63" i="202"/>
  <c r="Q63" i="202"/>
  <c r="Q62" i="202"/>
  <c r="R62" i="202"/>
  <c r="AC61" i="202"/>
  <c r="AB61" i="202"/>
  <c r="O61" i="202"/>
  <c r="AC60" i="202"/>
  <c r="O60" i="202"/>
  <c r="AB60" i="202"/>
  <c r="AB59" i="202"/>
  <c r="N69" i="202"/>
  <c r="O59" i="202"/>
  <c r="AC59" i="202"/>
  <c r="L59" i="202"/>
  <c r="L69" i="202" s="1"/>
  <c r="K69" i="202"/>
  <c r="K79" i="202" s="1"/>
  <c r="P59" i="202"/>
  <c r="J69" i="202"/>
  <c r="Q54" i="202"/>
  <c r="R54" i="202"/>
  <c r="Q53" i="202"/>
  <c r="R53" i="202"/>
  <c r="O52" i="202"/>
  <c r="AB52" i="202"/>
  <c r="AC52" i="202"/>
  <c r="AB51" i="202"/>
  <c r="AC51" i="202"/>
  <c r="O51" i="202"/>
  <c r="O50" i="202"/>
  <c r="AB50" i="202"/>
  <c r="AC50" i="202"/>
  <c r="O49" i="202"/>
  <c r="N58" i="202"/>
  <c r="AC49" i="202"/>
  <c r="AB49" i="202"/>
  <c r="K58" i="202"/>
  <c r="L49" i="202"/>
  <c r="L58" i="202" s="1"/>
  <c r="H13" i="201" s="1"/>
  <c r="P49" i="202"/>
  <c r="J58" i="202"/>
  <c r="P58" i="202" s="1"/>
  <c r="Q42" i="202"/>
  <c r="R42" i="202"/>
  <c r="AC41" i="202"/>
  <c r="AB41" i="202"/>
  <c r="O41" i="202"/>
  <c r="AC40" i="202"/>
  <c r="AB40" i="202"/>
  <c r="O40" i="202"/>
  <c r="O39" i="202"/>
  <c r="AB39" i="202"/>
  <c r="AC39" i="202"/>
  <c r="K48" i="202"/>
  <c r="L39" i="202"/>
  <c r="O38" i="202"/>
  <c r="AB38" i="202"/>
  <c r="N48" i="202"/>
  <c r="AC38" i="202"/>
  <c r="P38" i="202"/>
  <c r="L38" i="202"/>
  <c r="L48" i="202" s="1"/>
  <c r="G13" i="201" s="1"/>
  <c r="J48" i="202"/>
  <c r="P48" i="202" s="1"/>
  <c r="AC30" i="202"/>
  <c r="O30" i="202"/>
  <c r="AB30" i="202"/>
  <c r="AC29" i="202"/>
  <c r="AB29" i="202"/>
  <c r="O29" i="202"/>
  <c r="AC28" i="202"/>
  <c r="AB28" i="202"/>
  <c r="O28" i="202"/>
  <c r="O27" i="202"/>
  <c r="N37" i="202"/>
  <c r="AB27" i="202"/>
  <c r="AC27" i="202"/>
  <c r="K37" i="202"/>
  <c r="L27" i="202"/>
  <c r="L37" i="202" s="1"/>
  <c r="F13" i="201" s="1"/>
  <c r="J37" i="202"/>
  <c r="P37" i="202" s="1"/>
  <c r="P27" i="202"/>
  <c r="AC20" i="202"/>
  <c r="AB20" i="202"/>
  <c r="O20" i="202"/>
  <c r="O19" i="202"/>
  <c r="AB19" i="202"/>
  <c r="AC19" i="202"/>
  <c r="O18" i="202"/>
  <c r="AB18" i="202"/>
  <c r="AC18" i="202"/>
  <c r="AB17" i="202"/>
  <c r="AC17" i="202"/>
  <c r="O17" i="202"/>
  <c r="AC16" i="202"/>
  <c r="O16" i="202"/>
  <c r="N26" i="202"/>
  <c r="AB16" i="202"/>
  <c r="K26" i="202"/>
  <c r="L16" i="202"/>
  <c r="L26" i="202" s="1"/>
  <c r="E13" i="201" s="1"/>
  <c r="P16" i="202"/>
  <c r="J26" i="202"/>
  <c r="P26" i="202" s="1"/>
  <c r="O9" i="202"/>
  <c r="AB9" i="202"/>
  <c r="AC9" i="202"/>
  <c r="AB8" i="202"/>
  <c r="AC8" i="202"/>
  <c r="O8" i="202"/>
  <c r="O7" i="202"/>
  <c r="AB7" i="202"/>
  <c r="AC7" i="202"/>
  <c r="AC6" i="202"/>
  <c r="O6" i="202"/>
  <c r="AB6" i="202"/>
  <c r="P6" i="202"/>
  <c r="L6" i="202"/>
  <c r="AC5" i="202"/>
  <c r="N15" i="202"/>
  <c r="O5" i="202"/>
  <c r="AB5" i="202"/>
  <c r="L5" i="202"/>
  <c r="L15" i="202" s="1"/>
  <c r="D13" i="201" s="1"/>
  <c r="K15" i="202"/>
  <c r="J15" i="202"/>
  <c r="P15" i="202" s="1"/>
  <c r="P5" i="202"/>
  <c r="G2" i="202"/>
  <c r="J3" i="201"/>
  <c r="O61" i="200"/>
  <c r="AC61" i="200"/>
  <c r="AB61" i="200"/>
  <c r="O60" i="200"/>
  <c r="AB60" i="200"/>
  <c r="AC60" i="200"/>
  <c r="O59" i="200"/>
  <c r="AB59" i="200"/>
  <c r="AC59" i="200"/>
  <c r="N69" i="200"/>
  <c r="L59" i="200"/>
  <c r="L69" i="200" s="1"/>
  <c r="I13" i="199" s="1"/>
  <c r="J6" i="199" s="1"/>
  <c r="K69" i="200"/>
  <c r="P59" i="200"/>
  <c r="J69" i="200"/>
  <c r="P69" i="200" s="1"/>
  <c r="AC52" i="200"/>
  <c r="O52" i="200"/>
  <c r="AB52" i="200"/>
  <c r="AB51" i="200"/>
  <c r="O51" i="200"/>
  <c r="AC51" i="200"/>
  <c r="O50" i="200"/>
  <c r="AC50" i="200"/>
  <c r="AB50" i="200"/>
  <c r="N58" i="200"/>
  <c r="O49" i="200"/>
  <c r="AB49" i="200"/>
  <c r="AC49" i="200"/>
  <c r="K58" i="200"/>
  <c r="L49" i="200"/>
  <c r="L58" i="200" s="1"/>
  <c r="H13" i="199" s="1"/>
  <c r="P49" i="200"/>
  <c r="J58" i="200"/>
  <c r="P58" i="200" s="1"/>
  <c r="Q42" i="200"/>
  <c r="R42" i="200"/>
  <c r="AB41" i="200"/>
  <c r="AC41" i="200"/>
  <c r="O41" i="200"/>
  <c r="AC40" i="200"/>
  <c r="AB40" i="200"/>
  <c r="O40" i="200"/>
  <c r="AB39" i="200"/>
  <c r="AC39" i="200"/>
  <c r="O39" i="200"/>
  <c r="L39" i="200"/>
  <c r="K48" i="200"/>
  <c r="N48" i="200"/>
  <c r="O38" i="200"/>
  <c r="AB38" i="200"/>
  <c r="AC38" i="200"/>
  <c r="L38" i="200"/>
  <c r="L48" i="200" s="1"/>
  <c r="G13" i="199" s="1"/>
  <c r="J48" i="200"/>
  <c r="P48" i="200" s="1"/>
  <c r="P38" i="200"/>
  <c r="AC30" i="200"/>
  <c r="O30" i="200"/>
  <c r="AB30" i="200"/>
  <c r="O29" i="200"/>
  <c r="AB29" i="200"/>
  <c r="AC29" i="200"/>
  <c r="O28" i="200"/>
  <c r="AB28" i="200"/>
  <c r="AC28" i="200"/>
  <c r="N37" i="200"/>
  <c r="O27" i="200"/>
  <c r="AC27" i="200"/>
  <c r="AB27" i="200"/>
  <c r="K37" i="200"/>
  <c r="L27" i="200"/>
  <c r="L37" i="200" s="1"/>
  <c r="F13" i="199" s="1"/>
  <c r="P27" i="200"/>
  <c r="J37" i="200"/>
  <c r="P37" i="200" s="1"/>
  <c r="R20" i="200"/>
  <c r="Q20" i="200"/>
  <c r="AC20" i="200"/>
  <c r="AB20" i="200"/>
  <c r="O19" i="200"/>
  <c r="AB19" i="200"/>
  <c r="AC19" i="200"/>
  <c r="AC18" i="200"/>
  <c r="O18" i="200"/>
  <c r="AB18" i="200"/>
  <c r="O17" i="200"/>
  <c r="AB17" i="200"/>
  <c r="AC17" i="200"/>
  <c r="AC16" i="200"/>
  <c r="O16" i="200"/>
  <c r="N26" i="200"/>
  <c r="AB16" i="200"/>
  <c r="L16" i="200"/>
  <c r="L26" i="200" s="1"/>
  <c r="E13" i="199" s="1"/>
  <c r="K26" i="200"/>
  <c r="J26" i="200"/>
  <c r="P26" i="200" s="1"/>
  <c r="P16" i="200"/>
  <c r="AB9" i="200"/>
  <c r="AC9" i="200"/>
  <c r="O9" i="200"/>
  <c r="AC8" i="200"/>
  <c r="AB8" i="200"/>
  <c r="O8" i="200"/>
  <c r="AB7" i="200"/>
  <c r="AC7" i="200"/>
  <c r="O7" i="200"/>
  <c r="AB6" i="200"/>
  <c r="O6" i="200"/>
  <c r="AC6" i="200"/>
  <c r="L6" i="200"/>
  <c r="P6" i="200"/>
  <c r="N15" i="200"/>
  <c r="AC5" i="200"/>
  <c r="AB5" i="200"/>
  <c r="O5" i="200"/>
  <c r="K15" i="200"/>
  <c r="L5" i="200"/>
  <c r="L15" i="200" s="1"/>
  <c r="D13" i="199" s="1"/>
  <c r="J15" i="200"/>
  <c r="P15" i="200" s="1"/>
  <c r="P5" i="200"/>
  <c r="G2" i="200"/>
  <c r="J3" i="199"/>
  <c r="Q62" i="198"/>
  <c r="R62" i="198"/>
  <c r="O61" i="198"/>
  <c r="AB61" i="198"/>
  <c r="AC61" i="198"/>
  <c r="O60" i="198"/>
  <c r="AC60" i="198"/>
  <c r="AB60" i="198"/>
  <c r="O69" i="198"/>
  <c r="N69" i="198"/>
  <c r="AB59" i="198"/>
  <c r="AC59" i="198"/>
  <c r="L59" i="198"/>
  <c r="K69" i="198"/>
  <c r="P59" i="198"/>
  <c r="J69" i="198"/>
  <c r="P69" i="198" s="1"/>
  <c r="R52" i="198"/>
  <c r="Q52" i="198"/>
  <c r="AB52" i="198"/>
  <c r="AC52" i="198"/>
  <c r="AB51" i="198"/>
  <c r="AC51" i="198"/>
  <c r="O51" i="198"/>
  <c r="AB50" i="198"/>
  <c r="AC50" i="198"/>
  <c r="O50" i="198"/>
  <c r="AB49" i="198"/>
  <c r="AC49" i="198"/>
  <c r="O49" i="198"/>
  <c r="N58" i="198"/>
  <c r="L49" i="198"/>
  <c r="L58" i="198" s="1"/>
  <c r="H13" i="197" s="1"/>
  <c r="K58" i="198"/>
  <c r="P49" i="198"/>
  <c r="J58" i="198"/>
  <c r="P58" i="198" s="1"/>
  <c r="O41" i="198"/>
  <c r="AB41" i="198"/>
  <c r="AC41" i="198"/>
  <c r="AB40" i="198"/>
  <c r="AC40" i="198"/>
  <c r="O40" i="198"/>
  <c r="AC39" i="198"/>
  <c r="AB39" i="198"/>
  <c r="O39" i="198"/>
  <c r="L39" i="198"/>
  <c r="K48" i="198"/>
  <c r="AC38" i="198"/>
  <c r="AB38" i="198"/>
  <c r="O38" i="198"/>
  <c r="N48" i="198"/>
  <c r="L38" i="198"/>
  <c r="L48" i="198" s="1"/>
  <c r="G13" i="197" s="1"/>
  <c r="P38" i="198"/>
  <c r="J48" i="198"/>
  <c r="P48" i="198" s="1"/>
  <c r="AC30" i="198"/>
  <c r="AB30" i="198"/>
  <c r="O30" i="198"/>
  <c r="AB29" i="198"/>
  <c r="AC29" i="198"/>
  <c r="O29" i="198"/>
  <c r="O28" i="198"/>
  <c r="AB28" i="198"/>
  <c r="AC28" i="198"/>
  <c r="N37" i="198"/>
  <c r="AC27" i="198"/>
  <c r="AB27" i="198"/>
  <c r="O27" i="198"/>
  <c r="K37" i="198"/>
  <c r="L27" i="198"/>
  <c r="L37" i="198" s="1"/>
  <c r="F13" i="197" s="1"/>
  <c r="P27" i="198"/>
  <c r="J37" i="198"/>
  <c r="P37" i="198" s="1"/>
  <c r="AB20" i="198"/>
  <c r="O20" i="198"/>
  <c r="AC20" i="198"/>
  <c r="AC19" i="198"/>
  <c r="AB19" i="198"/>
  <c r="O19" i="198"/>
  <c r="O18" i="198"/>
  <c r="AB18" i="198"/>
  <c r="AC18" i="198"/>
  <c r="O17" i="198"/>
  <c r="AC17" i="198"/>
  <c r="AB17" i="198"/>
  <c r="AC16" i="198"/>
  <c r="N26" i="198"/>
  <c r="AB16" i="198"/>
  <c r="O16" i="198"/>
  <c r="L16" i="198"/>
  <c r="L26" i="198" s="1"/>
  <c r="E13" i="197" s="1"/>
  <c r="K26" i="198"/>
  <c r="P16" i="198"/>
  <c r="J26" i="198"/>
  <c r="P26" i="198" s="1"/>
  <c r="AC9" i="198"/>
  <c r="AB9" i="198"/>
  <c r="O9" i="198"/>
  <c r="AC8" i="198"/>
  <c r="O8" i="198"/>
  <c r="AB8" i="198"/>
  <c r="O7" i="198"/>
  <c r="AC7" i="198"/>
  <c r="AB7" i="198"/>
  <c r="O6" i="198"/>
  <c r="AB6" i="198"/>
  <c r="AC6" i="198"/>
  <c r="L6" i="198"/>
  <c r="P6" i="198"/>
  <c r="O5" i="198"/>
  <c r="N15" i="198"/>
  <c r="AB5" i="198"/>
  <c r="AC5" i="198"/>
  <c r="K15" i="198"/>
  <c r="L5" i="198"/>
  <c r="L15" i="198" s="1"/>
  <c r="D13" i="197" s="1"/>
  <c r="J15" i="198"/>
  <c r="P15" i="198" s="1"/>
  <c r="P5" i="198"/>
  <c r="G2" i="198"/>
  <c r="J3" i="197"/>
  <c r="AC61" i="196"/>
  <c r="O61" i="196"/>
  <c r="AB61" i="196"/>
  <c r="O60" i="196"/>
  <c r="AB60" i="196"/>
  <c r="AC60" i="196"/>
  <c r="N69" i="196"/>
  <c r="AB59" i="196"/>
  <c r="AC59" i="196"/>
  <c r="O59" i="196"/>
  <c r="L59" i="196"/>
  <c r="L69" i="196" s="1"/>
  <c r="I13" i="195" s="1"/>
  <c r="J6" i="195" s="1"/>
  <c r="K69" i="196"/>
  <c r="J69" i="196"/>
  <c r="P69" i="196" s="1"/>
  <c r="P59" i="196"/>
  <c r="Q52" i="196"/>
  <c r="R52" i="196"/>
  <c r="AB52" i="196"/>
  <c r="AC52" i="196"/>
  <c r="O51" i="196"/>
  <c r="AC51" i="196"/>
  <c r="AB51" i="196"/>
  <c r="AB50" i="196"/>
  <c r="AC50" i="196"/>
  <c r="O50" i="196"/>
  <c r="AB49" i="196"/>
  <c r="N58" i="196"/>
  <c r="O49" i="196"/>
  <c r="AC49" i="196"/>
  <c r="L49" i="196"/>
  <c r="L58" i="196" s="1"/>
  <c r="H13" i="195" s="1"/>
  <c r="K58" i="196"/>
  <c r="J58" i="196"/>
  <c r="P58" i="196" s="1"/>
  <c r="P49" i="196"/>
  <c r="O41" i="196"/>
  <c r="AB41" i="196"/>
  <c r="AC41" i="196"/>
  <c r="AC40" i="196"/>
  <c r="AB40" i="196"/>
  <c r="O40" i="196"/>
  <c r="O39" i="196"/>
  <c r="AB39" i="196"/>
  <c r="AC39" i="196"/>
  <c r="L39" i="196"/>
  <c r="K48" i="196"/>
  <c r="N48" i="196"/>
  <c r="AC38" i="196"/>
  <c r="AB38" i="196"/>
  <c r="O38" i="196"/>
  <c r="P38" i="196"/>
  <c r="J48" i="196"/>
  <c r="P48" i="196" s="1"/>
  <c r="L38" i="196"/>
  <c r="L48" i="196" s="1"/>
  <c r="G13" i="195" s="1"/>
  <c r="AC30" i="196"/>
  <c r="AB30" i="196"/>
  <c r="O30" i="196"/>
  <c r="AC29" i="196"/>
  <c r="O29" i="196"/>
  <c r="AB29" i="196"/>
  <c r="AB28" i="196"/>
  <c r="O28" i="196"/>
  <c r="AC28" i="196"/>
  <c r="AC27" i="196"/>
  <c r="AB27" i="196"/>
  <c r="O27" i="196"/>
  <c r="N37" i="196"/>
  <c r="K37" i="196"/>
  <c r="L27" i="196"/>
  <c r="L37" i="196" s="1"/>
  <c r="F13" i="195" s="1"/>
  <c r="P27" i="196"/>
  <c r="J37" i="196"/>
  <c r="P37" i="196" s="1"/>
  <c r="O20" i="196"/>
  <c r="AC20" i="196"/>
  <c r="AB20" i="196"/>
  <c r="AC19" i="196"/>
  <c r="AB19" i="196"/>
  <c r="O19" i="196"/>
  <c r="O18" i="196"/>
  <c r="AB18" i="196"/>
  <c r="AC18" i="196"/>
  <c r="O17" i="196"/>
  <c r="AC17" i="196"/>
  <c r="AB17" i="196"/>
  <c r="O16" i="196"/>
  <c r="N26" i="196"/>
  <c r="AB16" i="196"/>
  <c r="AC16" i="196"/>
  <c r="L16" i="196"/>
  <c r="L26" i="196" s="1"/>
  <c r="E13" i="195" s="1"/>
  <c r="K26" i="196"/>
  <c r="J26" i="196"/>
  <c r="P26" i="196" s="1"/>
  <c r="P16" i="196"/>
  <c r="AC8" i="196"/>
  <c r="O8" i="196"/>
  <c r="AB8" i="196"/>
  <c r="O7" i="196"/>
  <c r="AC7" i="196"/>
  <c r="AB7" i="196"/>
  <c r="AC6" i="196"/>
  <c r="O6" i="196"/>
  <c r="AB6" i="196"/>
  <c r="L6" i="196"/>
  <c r="P6" i="196"/>
  <c r="AC5" i="196"/>
  <c r="N15" i="196"/>
  <c r="AB5" i="196"/>
  <c r="O5" i="196"/>
  <c r="L5" i="196"/>
  <c r="L15" i="196" s="1"/>
  <c r="D13" i="195" s="1"/>
  <c r="K15" i="196"/>
  <c r="J15" i="196"/>
  <c r="P15" i="196" s="1"/>
  <c r="P5" i="196"/>
  <c r="J3" i="195"/>
  <c r="G2" i="196"/>
  <c r="I18" i="193"/>
  <c r="AB61" i="194"/>
  <c r="AC61" i="194"/>
  <c r="O61" i="194"/>
  <c r="AC60" i="194"/>
  <c r="O60" i="194"/>
  <c r="AB60" i="194"/>
  <c r="AC59" i="194"/>
  <c r="O59" i="194"/>
  <c r="AB59" i="194"/>
  <c r="N69" i="194"/>
  <c r="L59" i="194"/>
  <c r="L69" i="194" s="1"/>
  <c r="I13" i="193" s="1"/>
  <c r="J6" i="193" s="1"/>
  <c r="K69" i="194"/>
  <c r="J69" i="194"/>
  <c r="P69" i="194" s="1"/>
  <c r="P59" i="194"/>
  <c r="H18" i="193"/>
  <c r="AC50" i="194"/>
  <c r="O50" i="194"/>
  <c r="AB50" i="194"/>
  <c r="AC49" i="194"/>
  <c r="AB49" i="194"/>
  <c r="O49" i="194"/>
  <c r="N58" i="194"/>
  <c r="L49" i="194"/>
  <c r="L58" i="194" s="1"/>
  <c r="H13" i="193" s="1"/>
  <c r="K58" i="194"/>
  <c r="P49" i="194"/>
  <c r="J58" i="194"/>
  <c r="P58" i="194" s="1"/>
  <c r="I1" i="194"/>
  <c r="G18" i="193"/>
  <c r="AC41" i="194"/>
  <c r="O41" i="194"/>
  <c r="AB41" i="194"/>
  <c r="AC40" i="194"/>
  <c r="AB40" i="194"/>
  <c r="O40" i="194"/>
  <c r="O39" i="194"/>
  <c r="AC39" i="194"/>
  <c r="AB39" i="194"/>
  <c r="L39" i="194"/>
  <c r="K48" i="194"/>
  <c r="O38" i="194"/>
  <c r="N48" i="194"/>
  <c r="AC38" i="194"/>
  <c r="AB38" i="194"/>
  <c r="P38" i="194"/>
  <c r="L38" i="194"/>
  <c r="L48" i="194" s="1"/>
  <c r="G13" i="193" s="1"/>
  <c r="J48" i="194"/>
  <c r="P48" i="194" s="1"/>
  <c r="Q37" i="194"/>
  <c r="AB37" i="194"/>
  <c r="AC37" i="194"/>
  <c r="AD27" i="194" s="1"/>
  <c r="F18" i="193"/>
  <c r="O30" i="194"/>
  <c r="AB30" i="194"/>
  <c r="AC30" i="194"/>
  <c r="O29" i="194"/>
  <c r="AB29" i="194"/>
  <c r="AC29" i="194"/>
  <c r="AB28" i="194"/>
  <c r="AC28" i="194"/>
  <c r="O28" i="194"/>
  <c r="O27" i="194"/>
  <c r="AC27" i="194"/>
  <c r="AB27" i="194"/>
  <c r="J37" i="194"/>
  <c r="P37" i="194" s="1"/>
  <c r="P27" i="194"/>
  <c r="AC19" i="194"/>
  <c r="AB19" i="194"/>
  <c r="O19" i="194"/>
  <c r="AC18" i="194"/>
  <c r="AB18" i="194"/>
  <c r="O18" i="194"/>
  <c r="AC17" i="194"/>
  <c r="AB17" i="194"/>
  <c r="O17" i="194"/>
  <c r="AB16" i="194"/>
  <c r="AC16" i="194"/>
  <c r="O16" i="194"/>
  <c r="N26" i="194"/>
  <c r="K26" i="194"/>
  <c r="L16" i="194"/>
  <c r="L26" i="194" s="1"/>
  <c r="E13" i="193" s="1"/>
  <c r="J26" i="194"/>
  <c r="P26" i="194" s="1"/>
  <c r="P16" i="194"/>
  <c r="AC8" i="194"/>
  <c r="AB8" i="194"/>
  <c r="O8" i="194"/>
  <c r="AC7" i="194"/>
  <c r="O7" i="194"/>
  <c r="AB7" i="194"/>
  <c r="O6" i="194"/>
  <c r="AB6" i="194"/>
  <c r="AC6" i="194"/>
  <c r="P6" i="194"/>
  <c r="L6" i="194"/>
  <c r="N15" i="194"/>
  <c r="AC5" i="194"/>
  <c r="O5" i="194"/>
  <c r="AB5" i="194"/>
  <c r="K15" i="194"/>
  <c r="L5" i="194"/>
  <c r="L15" i="194" s="1"/>
  <c r="D13" i="193" s="1"/>
  <c r="P5" i="194"/>
  <c r="J15" i="194"/>
  <c r="P15" i="194" s="1"/>
  <c r="G2" i="194"/>
  <c r="J3" i="193"/>
  <c r="O62" i="192"/>
  <c r="AB62" i="192"/>
  <c r="AC62" i="192"/>
  <c r="AC61" i="192"/>
  <c r="AB61" i="192"/>
  <c r="O61" i="192"/>
  <c r="O60" i="192"/>
  <c r="AB60" i="192"/>
  <c r="AC60" i="192"/>
  <c r="AB59" i="192"/>
  <c r="AC59" i="192"/>
  <c r="N69" i="192"/>
  <c r="O59" i="192"/>
  <c r="L59" i="192"/>
  <c r="L69" i="192" s="1"/>
  <c r="I13" i="191" s="1"/>
  <c r="J6" i="191" s="1"/>
  <c r="K69" i="192"/>
  <c r="P59" i="192"/>
  <c r="J69" i="192"/>
  <c r="P69" i="192" s="1"/>
  <c r="AB52" i="192"/>
  <c r="AC52" i="192"/>
  <c r="O52" i="192"/>
  <c r="AB51" i="192"/>
  <c r="O51" i="192"/>
  <c r="AC51" i="192"/>
  <c r="AB50" i="192"/>
  <c r="O50" i="192"/>
  <c r="AC50" i="192"/>
  <c r="AC49" i="192"/>
  <c r="AB49" i="192"/>
  <c r="O49" i="192"/>
  <c r="N58" i="192"/>
  <c r="K58" i="192"/>
  <c r="L49" i="192"/>
  <c r="L58" i="192" s="1"/>
  <c r="H13" i="191" s="1"/>
  <c r="P49" i="192"/>
  <c r="J58" i="192"/>
  <c r="P58" i="192" s="1"/>
  <c r="O41" i="192"/>
  <c r="AB41" i="192"/>
  <c r="AC41" i="192"/>
  <c r="AC40" i="192"/>
  <c r="O40" i="192"/>
  <c r="AB40" i="192"/>
  <c r="AC39" i="192"/>
  <c r="AB39" i="192"/>
  <c r="O39" i="192"/>
  <c r="K48" i="192"/>
  <c r="L39" i="192"/>
  <c r="AC38" i="192"/>
  <c r="N48" i="192"/>
  <c r="AB38" i="192"/>
  <c r="O38" i="192"/>
  <c r="L38" i="192"/>
  <c r="L48" i="192" s="1"/>
  <c r="G13" i="191" s="1"/>
  <c r="P38" i="192"/>
  <c r="J48" i="192"/>
  <c r="P48" i="192" s="1"/>
  <c r="AB30" i="192"/>
  <c r="AC30" i="192"/>
  <c r="O30" i="192"/>
  <c r="AC29" i="192"/>
  <c r="AB29" i="192"/>
  <c r="O29" i="192"/>
  <c r="AB28" i="192"/>
  <c r="AC28" i="192"/>
  <c r="O28" i="192"/>
  <c r="N37" i="192"/>
  <c r="O27" i="192"/>
  <c r="AC27" i="192"/>
  <c r="AB27" i="192"/>
  <c r="L27" i="192"/>
  <c r="L37" i="192" s="1"/>
  <c r="F13" i="191" s="1"/>
  <c r="K37" i="192"/>
  <c r="J37" i="192"/>
  <c r="P37" i="192" s="1"/>
  <c r="P27" i="192"/>
  <c r="AC19" i="192"/>
  <c r="AB19" i="192"/>
  <c r="O19" i="192"/>
  <c r="O18" i="192"/>
  <c r="AB18" i="192"/>
  <c r="AC18" i="192"/>
  <c r="AB17" i="192"/>
  <c r="O17" i="192"/>
  <c r="AC17" i="192"/>
  <c r="AB16" i="192"/>
  <c r="N26" i="192"/>
  <c r="AC16" i="192"/>
  <c r="O16" i="192"/>
  <c r="K26" i="192"/>
  <c r="L16" i="192"/>
  <c r="L26" i="192" s="1"/>
  <c r="E13" i="191" s="1"/>
  <c r="J26" i="192"/>
  <c r="P26" i="192" s="1"/>
  <c r="P16" i="192"/>
  <c r="O9" i="192"/>
  <c r="AB9" i="192"/>
  <c r="AC9" i="192"/>
  <c r="AC8" i="192"/>
  <c r="AB8" i="192"/>
  <c r="O8" i="192"/>
  <c r="AC7" i="192"/>
  <c r="AB7" i="192"/>
  <c r="O7" i="192"/>
  <c r="AC6" i="192"/>
  <c r="AB6" i="192"/>
  <c r="O6" i="192"/>
  <c r="P6" i="192"/>
  <c r="L6" i="192"/>
  <c r="N15" i="192"/>
  <c r="AC5" i="192"/>
  <c r="AB5" i="192"/>
  <c r="O5" i="192"/>
  <c r="K15" i="192"/>
  <c r="L5" i="192"/>
  <c r="L15" i="192" s="1"/>
  <c r="D13" i="191" s="1"/>
  <c r="J15" i="192"/>
  <c r="P15" i="192" s="1"/>
  <c r="P5" i="192"/>
  <c r="G2" i="192"/>
  <c r="J3" i="191"/>
  <c r="AC63" i="190"/>
  <c r="AB63" i="190"/>
  <c r="O63" i="190"/>
  <c r="AC62" i="190"/>
  <c r="AB62" i="190"/>
  <c r="O62" i="190"/>
  <c r="O61" i="190"/>
  <c r="AB61" i="190"/>
  <c r="AC61" i="190"/>
  <c r="AB60" i="190"/>
  <c r="O60" i="190"/>
  <c r="AC60" i="190"/>
  <c r="O59" i="190"/>
  <c r="AB59" i="190"/>
  <c r="AC59" i="190"/>
  <c r="N69" i="190"/>
  <c r="L59" i="190"/>
  <c r="L69" i="190" s="1"/>
  <c r="I13" i="189" s="1"/>
  <c r="J6" i="189" s="1"/>
  <c r="K69" i="190"/>
  <c r="P59" i="190"/>
  <c r="J69" i="190"/>
  <c r="P69" i="190" s="1"/>
  <c r="O52" i="190"/>
  <c r="AB52" i="190"/>
  <c r="AC52" i="190"/>
  <c r="AB51" i="190"/>
  <c r="O51" i="190"/>
  <c r="AC51" i="190"/>
  <c r="AC50" i="190"/>
  <c r="O50" i="190"/>
  <c r="AB50" i="190"/>
  <c r="N58" i="190"/>
  <c r="O49" i="190"/>
  <c r="AC49" i="190"/>
  <c r="AB49" i="190"/>
  <c r="K58" i="190"/>
  <c r="L49" i="190"/>
  <c r="L58" i="190" s="1"/>
  <c r="H13" i="189" s="1"/>
  <c r="J58" i="190"/>
  <c r="P58" i="190" s="1"/>
  <c r="P49" i="190"/>
  <c r="Q42" i="190"/>
  <c r="R42" i="190"/>
  <c r="AB41" i="190"/>
  <c r="O41" i="190"/>
  <c r="AC41" i="190"/>
  <c r="O40" i="190"/>
  <c r="AB40" i="190"/>
  <c r="AC40" i="190"/>
  <c r="P40" i="190"/>
  <c r="J48" i="190"/>
  <c r="P48" i="190" s="1"/>
  <c r="AB39" i="190"/>
  <c r="AC39" i="190"/>
  <c r="O39" i="190"/>
  <c r="L39" i="190"/>
  <c r="L48" i="190" s="1"/>
  <c r="G13" i="189" s="1"/>
  <c r="K48" i="190"/>
  <c r="N48" i="190"/>
  <c r="AC38" i="190"/>
  <c r="AB38" i="190"/>
  <c r="O38" i="190"/>
  <c r="Q31" i="190"/>
  <c r="R31" i="190"/>
  <c r="AC30" i="190"/>
  <c r="AB30" i="190"/>
  <c r="O30" i="190"/>
  <c r="AB29" i="190"/>
  <c r="AC29" i="190"/>
  <c r="O29" i="190"/>
  <c r="AB28" i="190"/>
  <c r="AC28" i="190"/>
  <c r="O28" i="190"/>
  <c r="N37" i="190"/>
  <c r="AC27" i="190"/>
  <c r="O27" i="190"/>
  <c r="AB27" i="190"/>
  <c r="K37" i="190"/>
  <c r="L27" i="190"/>
  <c r="L37" i="190" s="1"/>
  <c r="F13" i="189" s="1"/>
  <c r="J37" i="190"/>
  <c r="P37" i="190" s="1"/>
  <c r="P27" i="190"/>
  <c r="AB19" i="190"/>
  <c r="AC19" i="190"/>
  <c r="O19" i="190"/>
  <c r="AB18" i="190"/>
  <c r="AC18" i="190"/>
  <c r="O18" i="190"/>
  <c r="O17" i="190"/>
  <c r="AB17" i="190"/>
  <c r="AC17" i="190"/>
  <c r="AC16" i="190"/>
  <c r="O16" i="190"/>
  <c r="N26" i="190"/>
  <c r="AB16" i="190"/>
  <c r="L16" i="190"/>
  <c r="L26" i="190" s="1"/>
  <c r="E13" i="189" s="1"/>
  <c r="K26" i="190"/>
  <c r="P16" i="190"/>
  <c r="J26" i="190"/>
  <c r="P26" i="190" s="1"/>
  <c r="AB9" i="190"/>
  <c r="O9" i="190"/>
  <c r="AC9" i="190"/>
  <c r="AC8" i="190"/>
  <c r="AB8" i="190"/>
  <c r="O8" i="190"/>
  <c r="AC7" i="190"/>
  <c r="O7" i="190"/>
  <c r="AB7" i="190"/>
  <c r="AB6" i="190"/>
  <c r="AC6" i="190"/>
  <c r="O6" i="190"/>
  <c r="P6" i="190"/>
  <c r="L6" i="190"/>
  <c r="O5" i="190"/>
  <c r="AC5" i="190"/>
  <c r="AB5" i="190"/>
  <c r="N15" i="190"/>
  <c r="L5" i="190"/>
  <c r="L15" i="190" s="1"/>
  <c r="D13" i="189" s="1"/>
  <c r="K15" i="190"/>
  <c r="J15" i="190"/>
  <c r="P15" i="190" s="1"/>
  <c r="P5" i="190"/>
  <c r="G2" i="190"/>
  <c r="J3" i="189"/>
  <c r="I18" i="187"/>
  <c r="P69" i="188"/>
  <c r="I1" i="188"/>
  <c r="AC62" i="188"/>
  <c r="AB62" i="188"/>
  <c r="O62" i="188"/>
  <c r="AC61" i="188"/>
  <c r="AB61" i="188"/>
  <c r="O61" i="188"/>
  <c r="L61" i="188"/>
  <c r="L69" i="188" s="1"/>
  <c r="I13" i="187" s="1"/>
  <c r="J6" i="187" s="1"/>
  <c r="K69" i="188"/>
  <c r="J69" i="188"/>
  <c r="P61" i="188"/>
  <c r="O60" i="188"/>
  <c r="AB60" i="188"/>
  <c r="AC60" i="188"/>
  <c r="N69" i="188"/>
  <c r="O59" i="188"/>
  <c r="AB59" i="188"/>
  <c r="AC59" i="188"/>
  <c r="O52" i="188"/>
  <c r="AB52" i="188"/>
  <c r="AC52" i="188"/>
  <c r="AB51" i="188"/>
  <c r="AC51" i="188"/>
  <c r="O51" i="188"/>
  <c r="AC50" i="188"/>
  <c r="O50" i="188"/>
  <c r="AB50" i="188"/>
  <c r="O49" i="188"/>
  <c r="N58" i="188"/>
  <c r="AC49" i="188"/>
  <c r="AB49" i="188"/>
  <c r="L49" i="188"/>
  <c r="L58" i="188" s="1"/>
  <c r="H13" i="187" s="1"/>
  <c r="K58" i="188"/>
  <c r="P49" i="188"/>
  <c r="J58" i="188"/>
  <c r="P58" i="188" s="1"/>
  <c r="O41" i="188"/>
  <c r="AB41" i="188"/>
  <c r="AC41" i="188"/>
  <c r="O40" i="188"/>
  <c r="AB40" i="188"/>
  <c r="AC40" i="188"/>
  <c r="J48" i="188"/>
  <c r="P48" i="188" s="1"/>
  <c r="P40" i="188"/>
  <c r="AC39" i="188"/>
  <c r="O39" i="188"/>
  <c r="AB39" i="188"/>
  <c r="L39" i="188"/>
  <c r="L48" i="188" s="1"/>
  <c r="G13" i="187" s="1"/>
  <c r="K48" i="188"/>
  <c r="AB38" i="188"/>
  <c r="AC38" i="188"/>
  <c r="N48" i="188"/>
  <c r="O38" i="188"/>
  <c r="O30" i="188"/>
  <c r="AB30" i="188"/>
  <c r="AC30" i="188"/>
  <c r="O29" i="188"/>
  <c r="AB29" i="188"/>
  <c r="AC29" i="188"/>
  <c r="O28" i="188"/>
  <c r="AB28" i="188"/>
  <c r="AC28" i="188"/>
  <c r="AB27" i="188"/>
  <c r="O27" i="188"/>
  <c r="N37" i="188"/>
  <c r="AC27" i="188"/>
  <c r="L27" i="188"/>
  <c r="L37" i="188" s="1"/>
  <c r="F13" i="187" s="1"/>
  <c r="K37" i="188"/>
  <c r="P27" i="188"/>
  <c r="J37" i="188"/>
  <c r="P37" i="188" s="1"/>
  <c r="AB20" i="188"/>
  <c r="AC20" i="188"/>
  <c r="O20" i="188"/>
  <c r="AC19" i="188"/>
  <c r="AB19" i="188"/>
  <c r="O19" i="188"/>
  <c r="O18" i="188"/>
  <c r="AC18" i="188"/>
  <c r="AB18" i="188"/>
  <c r="AC17" i="188"/>
  <c r="AB17" i="188"/>
  <c r="O17" i="188"/>
  <c r="AC16" i="188"/>
  <c r="AB16" i="188"/>
  <c r="O16" i="188"/>
  <c r="N26" i="188"/>
  <c r="K26" i="188"/>
  <c r="L16" i="188"/>
  <c r="L26" i="188" s="1"/>
  <c r="E13" i="187" s="1"/>
  <c r="P16" i="188"/>
  <c r="J26" i="188"/>
  <c r="P26" i="188" s="1"/>
  <c r="AC9" i="188"/>
  <c r="AB9" i="188"/>
  <c r="O9" i="188"/>
  <c r="O8" i="188"/>
  <c r="AC8" i="188"/>
  <c r="AB8" i="188"/>
  <c r="AB7" i="188"/>
  <c r="AC7" i="188"/>
  <c r="O7" i="188"/>
  <c r="AC6" i="188"/>
  <c r="AB6" i="188"/>
  <c r="O6" i="188"/>
  <c r="P6" i="188"/>
  <c r="L6" i="188"/>
  <c r="N15" i="188"/>
  <c r="AC5" i="188"/>
  <c r="AB5" i="188"/>
  <c r="O5" i="188"/>
  <c r="L5" i="188"/>
  <c r="L15" i="188" s="1"/>
  <c r="D13" i="187" s="1"/>
  <c r="K15" i="188"/>
  <c r="J15" i="188"/>
  <c r="P15" i="188" s="1"/>
  <c r="P5" i="188"/>
  <c r="AB62" i="186"/>
  <c r="O62" i="186"/>
  <c r="AC62" i="186"/>
  <c r="AB61" i="186"/>
  <c r="AC61" i="186"/>
  <c r="O61" i="186"/>
  <c r="O60" i="186"/>
  <c r="AB60" i="186"/>
  <c r="AC60" i="186"/>
  <c r="N69" i="186"/>
  <c r="AC59" i="186"/>
  <c r="AB59" i="186"/>
  <c r="O59" i="186"/>
  <c r="K69" i="186"/>
  <c r="L59" i="186"/>
  <c r="L69" i="186" s="1"/>
  <c r="I13" i="185" s="1"/>
  <c r="J6" i="185" s="1"/>
  <c r="J69" i="186"/>
  <c r="P69" i="186" s="1"/>
  <c r="P59" i="186"/>
  <c r="O52" i="186"/>
  <c r="AC52" i="186"/>
  <c r="AB52" i="186"/>
  <c r="O51" i="186"/>
  <c r="AB51" i="186"/>
  <c r="AC51" i="186"/>
  <c r="AB50" i="186"/>
  <c r="AC50" i="186"/>
  <c r="O50" i="186"/>
  <c r="AC49" i="186"/>
  <c r="N58" i="186"/>
  <c r="O49" i="186"/>
  <c r="AB49" i="186"/>
  <c r="L49" i="186"/>
  <c r="L58" i="186" s="1"/>
  <c r="H13" i="185" s="1"/>
  <c r="K58" i="186"/>
  <c r="J58" i="186"/>
  <c r="P58" i="186" s="1"/>
  <c r="P49" i="186"/>
  <c r="AC41" i="186"/>
  <c r="O41" i="186"/>
  <c r="AB41" i="186"/>
  <c r="O40" i="186"/>
  <c r="AC40" i="186"/>
  <c r="AB40" i="186"/>
  <c r="J48" i="186"/>
  <c r="P48" i="186" s="1"/>
  <c r="P40" i="186"/>
  <c r="O39" i="186"/>
  <c r="AC39" i="186"/>
  <c r="AB39" i="186"/>
  <c r="K48" i="186"/>
  <c r="L39" i="186"/>
  <c r="L48" i="186" s="1"/>
  <c r="G13" i="185" s="1"/>
  <c r="N48" i="186"/>
  <c r="AB38" i="186"/>
  <c r="O38" i="186"/>
  <c r="AC38" i="186"/>
  <c r="O30" i="186"/>
  <c r="AB30" i="186"/>
  <c r="AC30" i="186"/>
  <c r="AC29" i="186"/>
  <c r="AB29" i="186"/>
  <c r="O29" i="186"/>
  <c r="O28" i="186"/>
  <c r="AB28" i="186"/>
  <c r="AC28" i="186"/>
  <c r="AC27" i="186"/>
  <c r="O27" i="186"/>
  <c r="AB27" i="186"/>
  <c r="N37" i="186"/>
  <c r="L27" i="186"/>
  <c r="L37" i="186" s="1"/>
  <c r="F13" i="185" s="1"/>
  <c r="K37" i="186"/>
  <c r="J37" i="186"/>
  <c r="P37" i="186" s="1"/>
  <c r="P27" i="186"/>
  <c r="AC20" i="186"/>
  <c r="AB20" i="186"/>
  <c r="O20" i="186"/>
  <c r="AB19" i="186"/>
  <c r="O19" i="186"/>
  <c r="AC19" i="186"/>
  <c r="AC18" i="186"/>
  <c r="AB18" i="186"/>
  <c r="O18" i="186"/>
  <c r="AC17" i="186"/>
  <c r="O17" i="186"/>
  <c r="AB17" i="186"/>
  <c r="O16" i="186"/>
  <c r="AC16" i="186"/>
  <c r="N26" i="186"/>
  <c r="AB16" i="186"/>
  <c r="L16" i="186"/>
  <c r="L26" i="186" s="1"/>
  <c r="E13" i="185" s="1"/>
  <c r="K26" i="186"/>
  <c r="P16" i="186"/>
  <c r="J26" i="186"/>
  <c r="P26" i="186" s="1"/>
  <c r="AC9" i="186"/>
  <c r="AB9" i="186"/>
  <c r="O9" i="186"/>
  <c r="AC8" i="186"/>
  <c r="O8" i="186"/>
  <c r="AB8" i="186"/>
  <c r="O7" i="186"/>
  <c r="AB7" i="186"/>
  <c r="AC7" i="186"/>
  <c r="AB6" i="186"/>
  <c r="O6" i="186"/>
  <c r="AC6" i="186"/>
  <c r="P6" i="186"/>
  <c r="L6" i="186"/>
  <c r="N15" i="186"/>
  <c r="AC5" i="186"/>
  <c r="AB5" i="186"/>
  <c r="O5" i="186"/>
  <c r="K15" i="186"/>
  <c r="L5" i="186"/>
  <c r="L15" i="186" s="1"/>
  <c r="D13" i="185" s="1"/>
  <c r="P5" i="186"/>
  <c r="J15" i="186"/>
  <c r="P15" i="186" s="1"/>
  <c r="G2" i="186"/>
  <c r="J3" i="185"/>
  <c r="G1" i="188"/>
  <c r="Q79" i="263" l="1"/>
  <c r="AB79" i="263"/>
  <c r="AC79" i="263"/>
  <c r="AD70" i="263" s="1"/>
  <c r="Q70" i="263"/>
  <c r="R70" i="263"/>
  <c r="O79" i="263"/>
  <c r="Q62" i="263"/>
  <c r="R62" i="263"/>
  <c r="Q61" i="263"/>
  <c r="R61" i="263"/>
  <c r="Q60" i="263"/>
  <c r="R60" i="263"/>
  <c r="Q69" i="263"/>
  <c r="AB69" i="263"/>
  <c r="AC69" i="263"/>
  <c r="AD59" i="263" s="1"/>
  <c r="Q59" i="263"/>
  <c r="R59" i="263"/>
  <c r="O69" i="263"/>
  <c r="Q52" i="263"/>
  <c r="R52" i="263"/>
  <c r="Q51" i="263"/>
  <c r="R51" i="263"/>
  <c r="Q50" i="263"/>
  <c r="R50" i="263"/>
  <c r="Q49" i="263"/>
  <c r="R49" i="263"/>
  <c r="O58" i="263"/>
  <c r="Q58" i="263"/>
  <c r="AB58" i="263"/>
  <c r="AC58" i="263"/>
  <c r="AD49" i="263" s="1"/>
  <c r="Q40" i="263"/>
  <c r="R40" i="263"/>
  <c r="Q39" i="263"/>
  <c r="R39" i="263"/>
  <c r="Q48" i="263"/>
  <c r="AB48" i="263"/>
  <c r="AC48" i="263"/>
  <c r="AD38" i="263" s="1"/>
  <c r="Q38" i="263"/>
  <c r="R38" i="263"/>
  <c r="O48" i="263"/>
  <c r="Q30" i="263"/>
  <c r="R30" i="263"/>
  <c r="Q29" i="263"/>
  <c r="R29" i="263"/>
  <c r="Q28" i="263"/>
  <c r="R28" i="263"/>
  <c r="Q27" i="263"/>
  <c r="R27" i="263"/>
  <c r="O37" i="263"/>
  <c r="Q37" i="263"/>
  <c r="AB37" i="263"/>
  <c r="AC37" i="263"/>
  <c r="AD27" i="263" s="1"/>
  <c r="Q19" i="263"/>
  <c r="R19" i="263"/>
  <c r="Q18" i="263"/>
  <c r="R18" i="263"/>
  <c r="Q17" i="263"/>
  <c r="R17" i="263"/>
  <c r="AB26" i="263"/>
  <c r="AC26" i="263"/>
  <c r="AD16" i="263" s="1"/>
  <c r="Q16" i="263"/>
  <c r="R16" i="263"/>
  <c r="O26" i="263"/>
  <c r="Q8" i="263"/>
  <c r="R8" i="263"/>
  <c r="Q7" i="263"/>
  <c r="R7" i="263"/>
  <c r="Q6" i="263"/>
  <c r="R6" i="263"/>
  <c r="Q5" i="263"/>
  <c r="R5" i="263"/>
  <c r="O15" i="263"/>
  <c r="AB15" i="263"/>
  <c r="AC15" i="263"/>
  <c r="AD5" i="263" s="1"/>
  <c r="F6" i="262"/>
  <c r="H6" i="262"/>
  <c r="Q70" i="261"/>
  <c r="R70" i="261"/>
  <c r="O79" i="261"/>
  <c r="Q79" i="261"/>
  <c r="AB79" i="261"/>
  <c r="AC79" i="261"/>
  <c r="AD70" i="261" s="1"/>
  <c r="Q62" i="261"/>
  <c r="R62" i="261"/>
  <c r="Q61" i="261"/>
  <c r="R61" i="261"/>
  <c r="Q60" i="261"/>
  <c r="R60" i="261"/>
  <c r="Q69" i="261"/>
  <c r="AB69" i="261"/>
  <c r="AC69" i="261"/>
  <c r="AD59" i="261" s="1"/>
  <c r="Q59" i="261"/>
  <c r="R59" i="261"/>
  <c r="O69" i="261"/>
  <c r="Q52" i="261"/>
  <c r="R52" i="261"/>
  <c r="Q51" i="261"/>
  <c r="R51" i="261"/>
  <c r="Q50" i="261"/>
  <c r="R50" i="261"/>
  <c r="Q58" i="261"/>
  <c r="AB58" i="261"/>
  <c r="AC58" i="261"/>
  <c r="AD49" i="261" s="1"/>
  <c r="Q49" i="261"/>
  <c r="R49" i="261"/>
  <c r="O58" i="261"/>
  <c r="Q40" i="261"/>
  <c r="R40" i="261"/>
  <c r="Q39" i="261"/>
  <c r="R39" i="261"/>
  <c r="Q38" i="261"/>
  <c r="R38" i="261"/>
  <c r="O48" i="261"/>
  <c r="Q48" i="261"/>
  <c r="AB48" i="261"/>
  <c r="AC48" i="261"/>
  <c r="AD38" i="261" s="1"/>
  <c r="Q30" i="261"/>
  <c r="R30" i="261"/>
  <c r="Q29" i="261"/>
  <c r="R29" i="261"/>
  <c r="Q28" i="261"/>
  <c r="R28" i="261"/>
  <c r="Q27" i="261"/>
  <c r="R27" i="261"/>
  <c r="O37" i="261"/>
  <c r="Q37" i="261"/>
  <c r="AB37" i="261"/>
  <c r="AC37" i="261"/>
  <c r="AD27" i="261" s="1"/>
  <c r="Q19" i="261"/>
  <c r="R19" i="261"/>
  <c r="Q18" i="261"/>
  <c r="R18" i="261"/>
  <c r="Q17" i="261"/>
  <c r="R17" i="261"/>
  <c r="Q16" i="261"/>
  <c r="R16" i="261"/>
  <c r="O26" i="261"/>
  <c r="AB26" i="261"/>
  <c r="AC26" i="261"/>
  <c r="AD16" i="261" s="1"/>
  <c r="Q8" i="261"/>
  <c r="R8" i="261"/>
  <c r="Q7" i="261"/>
  <c r="R7" i="261"/>
  <c r="Q6" i="261"/>
  <c r="R6" i="261"/>
  <c r="Q5" i="261"/>
  <c r="R5" i="261"/>
  <c r="O15" i="261"/>
  <c r="AB15" i="261"/>
  <c r="AC15" i="261"/>
  <c r="AD5" i="261" s="1"/>
  <c r="F6" i="260"/>
  <c r="H6" i="260"/>
  <c r="Q79" i="259"/>
  <c r="AB79" i="259"/>
  <c r="AC79" i="259"/>
  <c r="AD70" i="259" s="1"/>
  <c r="Q70" i="259"/>
  <c r="R70" i="259"/>
  <c r="O79" i="259"/>
  <c r="Q62" i="259"/>
  <c r="R62" i="259"/>
  <c r="Q61" i="259"/>
  <c r="R61" i="259"/>
  <c r="Q60" i="259"/>
  <c r="R60" i="259"/>
  <c r="Q69" i="259"/>
  <c r="AB69" i="259"/>
  <c r="AC69" i="259"/>
  <c r="AD59" i="259" s="1"/>
  <c r="Q59" i="259"/>
  <c r="R59" i="259"/>
  <c r="O69" i="259"/>
  <c r="Q52" i="259"/>
  <c r="R52" i="259"/>
  <c r="Q51" i="259"/>
  <c r="R51" i="259"/>
  <c r="Q50" i="259"/>
  <c r="R50" i="259"/>
  <c r="Q49" i="259"/>
  <c r="R49" i="259"/>
  <c r="O58" i="259"/>
  <c r="Q58" i="259"/>
  <c r="AB58" i="259"/>
  <c r="AC58" i="259"/>
  <c r="AD49" i="259" s="1"/>
  <c r="Q40" i="259"/>
  <c r="R40" i="259"/>
  <c r="Q39" i="259"/>
  <c r="R39" i="259"/>
  <c r="Q48" i="259"/>
  <c r="AB48" i="259"/>
  <c r="AC48" i="259"/>
  <c r="AD38" i="259" s="1"/>
  <c r="Q38" i="259"/>
  <c r="R38" i="259"/>
  <c r="O48" i="259"/>
  <c r="Q30" i="259"/>
  <c r="R30" i="259"/>
  <c r="Q29" i="259"/>
  <c r="R29" i="259"/>
  <c r="Q28" i="259"/>
  <c r="R28" i="259"/>
  <c r="Q27" i="259"/>
  <c r="R27" i="259"/>
  <c r="O37" i="259"/>
  <c r="Q37" i="259"/>
  <c r="AB37" i="259"/>
  <c r="AC37" i="259"/>
  <c r="AD27" i="259" s="1"/>
  <c r="Q19" i="259"/>
  <c r="R19" i="259"/>
  <c r="Q18" i="259"/>
  <c r="R18" i="259"/>
  <c r="AB26" i="259"/>
  <c r="AC26" i="259"/>
  <c r="AD16" i="259" s="1"/>
  <c r="Q17" i="259"/>
  <c r="R17" i="259"/>
  <c r="Q16" i="259"/>
  <c r="R16" i="259"/>
  <c r="O26" i="259"/>
  <c r="Q8" i="259"/>
  <c r="R8" i="259"/>
  <c r="Q7" i="259"/>
  <c r="R7" i="259"/>
  <c r="Q6" i="259"/>
  <c r="R6" i="259"/>
  <c r="AB15" i="259"/>
  <c r="AC15" i="259"/>
  <c r="AD5" i="259" s="1"/>
  <c r="Q5" i="259"/>
  <c r="R5" i="259"/>
  <c r="O15" i="259"/>
  <c r="F6" i="258"/>
  <c r="H6" i="258"/>
  <c r="Q79" i="257"/>
  <c r="AB79" i="257"/>
  <c r="AC79" i="257"/>
  <c r="AD70" i="257" s="1"/>
  <c r="Q70" i="257"/>
  <c r="R70" i="257"/>
  <c r="O79" i="257"/>
  <c r="Q63" i="257"/>
  <c r="R63" i="257"/>
  <c r="Q62" i="257"/>
  <c r="R62" i="257"/>
  <c r="Q61" i="257"/>
  <c r="R61" i="257"/>
  <c r="Q60" i="257"/>
  <c r="R60" i="257"/>
  <c r="Q69" i="257"/>
  <c r="AB69" i="257"/>
  <c r="AC69" i="257"/>
  <c r="AD59" i="257" s="1"/>
  <c r="Q59" i="257"/>
  <c r="R59" i="257"/>
  <c r="O69" i="257"/>
  <c r="Q52" i="257"/>
  <c r="R52" i="257"/>
  <c r="Q51" i="257"/>
  <c r="R51" i="257"/>
  <c r="Q50" i="257"/>
  <c r="R50" i="257"/>
  <c r="Q49" i="257"/>
  <c r="R49" i="257"/>
  <c r="O58" i="257"/>
  <c r="Q58" i="257"/>
  <c r="AB58" i="257"/>
  <c r="AC58" i="257"/>
  <c r="AD49" i="257" s="1"/>
  <c r="Q40" i="257"/>
  <c r="R40" i="257"/>
  <c r="Q39" i="257"/>
  <c r="R39" i="257"/>
  <c r="Q48" i="257"/>
  <c r="AB48" i="257"/>
  <c r="AC48" i="257"/>
  <c r="AD38" i="257" s="1"/>
  <c r="Q38" i="257"/>
  <c r="R38" i="257"/>
  <c r="O48" i="257"/>
  <c r="Q30" i="257"/>
  <c r="R30" i="257"/>
  <c r="Q29" i="257"/>
  <c r="R29" i="257"/>
  <c r="Q28" i="257"/>
  <c r="R28" i="257"/>
  <c r="Q37" i="257"/>
  <c r="AB37" i="257"/>
  <c r="AC37" i="257"/>
  <c r="AD27" i="257" s="1"/>
  <c r="Q27" i="257"/>
  <c r="R27" i="257"/>
  <c r="O37" i="257"/>
  <c r="Q19" i="257"/>
  <c r="R19" i="257"/>
  <c r="Q18" i="257"/>
  <c r="R18" i="257"/>
  <c r="Q17" i="257"/>
  <c r="R17" i="257"/>
  <c r="Q16" i="257"/>
  <c r="R16" i="257"/>
  <c r="O26" i="257"/>
  <c r="AB26" i="257"/>
  <c r="AC26" i="257"/>
  <c r="AD16" i="257" s="1"/>
  <c r="Q9" i="257"/>
  <c r="R9" i="257"/>
  <c r="Q8" i="257"/>
  <c r="R8" i="257"/>
  <c r="Q7" i="257"/>
  <c r="R7" i="257"/>
  <c r="Q6" i="257"/>
  <c r="R6" i="257"/>
  <c r="AB15" i="257"/>
  <c r="AC15" i="257"/>
  <c r="AD5" i="257" s="1"/>
  <c r="Q5" i="257"/>
  <c r="R5" i="257"/>
  <c r="O15" i="257"/>
  <c r="F6" i="256"/>
  <c r="H6" i="256"/>
  <c r="Q79" i="255"/>
  <c r="AB79" i="255"/>
  <c r="AC79" i="255"/>
  <c r="AD70" i="255" s="1"/>
  <c r="Q70" i="255"/>
  <c r="R70" i="255"/>
  <c r="O79" i="255"/>
  <c r="Q62" i="255"/>
  <c r="R62" i="255"/>
  <c r="Q61" i="255"/>
  <c r="R61" i="255"/>
  <c r="Q60" i="255"/>
  <c r="R60" i="255"/>
  <c r="Q69" i="255"/>
  <c r="AB69" i="255"/>
  <c r="AC69" i="255"/>
  <c r="AD59" i="255" s="1"/>
  <c r="Q59" i="255"/>
  <c r="R59" i="255"/>
  <c r="O69" i="255"/>
  <c r="Q53" i="255"/>
  <c r="R53" i="255"/>
  <c r="Q52" i="255"/>
  <c r="R52" i="255"/>
  <c r="Q51" i="255"/>
  <c r="R51" i="255"/>
  <c r="Q50" i="255"/>
  <c r="R50" i="255"/>
  <c r="Q58" i="255"/>
  <c r="AB58" i="255"/>
  <c r="AC58" i="255"/>
  <c r="AD49" i="255" s="1"/>
  <c r="Q49" i="255"/>
  <c r="R49" i="255"/>
  <c r="O58" i="255"/>
  <c r="Q40" i="255"/>
  <c r="R40" i="255"/>
  <c r="Q39" i="255"/>
  <c r="R39" i="255"/>
  <c r="Q48" i="255"/>
  <c r="AB48" i="255"/>
  <c r="AC48" i="255"/>
  <c r="AD38" i="255" s="1"/>
  <c r="Q38" i="255"/>
  <c r="R38" i="255"/>
  <c r="O48" i="255"/>
  <c r="Q30" i="255"/>
  <c r="R30" i="255"/>
  <c r="Q29" i="255"/>
  <c r="R29" i="255"/>
  <c r="Q28" i="255"/>
  <c r="R28" i="255"/>
  <c r="Q37" i="255"/>
  <c r="AB37" i="255"/>
  <c r="AC37" i="255"/>
  <c r="AD27" i="255" s="1"/>
  <c r="Q27" i="255"/>
  <c r="R27" i="255"/>
  <c r="O37" i="255"/>
  <c r="Q19" i="255"/>
  <c r="R19" i="255"/>
  <c r="Q18" i="255"/>
  <c r="R18" i="255"/>
  <c r="Q17" i="255"/>
  <c r="R17" i="255"/>
  <c r="AB26" i="255"/>
  <c r="AC26" i="255"/>
  <c r="AD16" i="255" s="1"/>
  <c r="Q16" i="255"/>
  <c r="R16" i="255"/>
  <c r="O26" i="255"/>
  <c r="Q9" i="255"/>
  <c r="R9" i="255"/>
  <c r="Q8" i="255"/>
  <c r="R8" i="255"/>
  <c r="Q7" i="255"/>
  <c r="R7" i="255"/>
  <c r="Q6" i="255"/>
  <c r="R6" i="255"/>
  <c r="AB15" i="255"/>
  <c r="AC15" i="255"/>
  <c r="AD5" i="255" s="1"/>
  <c r="Q5" i="255"/>
  <c r="R5" i="255"/>
  <c r="O15" i="255"/>
  <c r="F6" i="254"/>
  <c r="H6" i="254"/>
  <c r="Q79" i="253"/>
  <c r="AB79" i="253"/>
  <c r="AC79" i="253"/>
  <c r="AD70" i="253" s="1"/>
  <c r="Q70" i="253"/>
  <c r="R70" i="253"/>
  <c r="O79" i="253"/>
  <c r="Q61" i="253"/>
  <c r="R61" i="253"/>
  <c r="Q60" i="253"/>
  <c r="R60" i="253"/>
  <c r="Q69" i="253"/>
  <c r="AB69" i="253"/>
  <c r="AC69" i="253"/>
  <c r="AD59" i="253" s="1"/>
  <c r="Q59" i="253"/>
  <c r="R59" i="253"/>
  <c r="O69" i="253"/>
  <c r="Q53" i="253"/>
  <c r="R53" i="253"/>
  <c r="Q52" i="253"/>
  <c r="R52" i="253"/>
  <c r="Q51" i="253"/>
  <c r="R51" i="253"/>
  <c r="Q50" i="253"/>
  <c r="R50" i="253"/>
  <c r="Q58" i="253"/>
  <c r="AB58" i="253"/>
  <c r="AC58" i="253"/>
  <c r="AD49" i="253" s="1"/>
  <c r="Q49" i="253"/>
  <c r="R49" i="253"/>
  <c r="O58" i="253"/>
  <c r="Q40" i="253"/>
  <c r="R40" i="253"/>
  <c r="Q39" i="253"/>
  <c r="R39" i="253"/>
  <c r="Q48" i="253"/>
  <c r="AB48" i="253"/>
  <c r="AC48" i="253"/>
  <c r="AD38" i="253" s="1"/>
  <c r="Q38" i="253"/>
  <c r="R38" i="253"/>
  <c r="O48" i="253"/>
  <c r="R30" i="253"/>
  <c r="Q30" i="253"/>
  <c r="Q29" i="253"/>
  <c r="R29" i="253"/>
  <c r="Q28" i="253"/>
  <c r="R28" i="253"/>
  <c r="Q27" i="253"/>
  <c r="O37" i="253"/>
  <c r="R27" i="253"/>
  <c r="Q37" i="253"/>
  <c r="AB37" i="253"/>
  <c r="AC37" i="253"/>
  <c r="AD27" i="253" s="1"/>
  <c r="Q19" i="253"/>
  <c r="R19" i="253"/>
  <c r="Q18" i="253"/>
  <c r="R18" i="253"/>
  <c r="Q17" i="253"/>
  <c r="R17" i="253"/>
  <c r="Q16" i="253"/>
  <c r="R16" i="253"/>
  <c r="O26" i="253"/>
  <c r="AB26" i="253"/>
  <c r="AC26" i="253"/>
  <c r="AD16" i="253" s="1"/>
  <c r="Q8" i="253"/>
  <c r="R8" i="253"/>
  <c r="Q7" i="253"/>
  <c r="R7" i="253"/>
  <c r="Q6" i="253"/>
  <c r="R6" i="253"/>
  <c r="AB15" i="253"/>
  <c r="AC15" i="253"/>
  <c r="AD5" i="253" s="1"/>
  <c r="Q5" i="253"/>
  <c r="R5" i="253"/>
  <c r="O15" i="253"/>
  <c r="F6" i="252"/>
  <c r="H6" i="252"/>
  <c r="O79" i="239"/>
  <c r="Q70" i="239"/>
  <c r="R70" i="239"/>
  <c r="Q79" i="239"/>
  <c r="AC79" i="239"/>
  <c r="AD70" i="239" s="1"/>
  <c r="AB79" i="239"/>
  <c r="Q61" i="239"/>
  <c r="R61" i="239"/>
  <c r="Q60" i="239"/>
  <c r="R60" i="239"/>
  <c r="Q69" i="239"/>
  <c r="AB69" i="239"/>
  <c r="AC69" i="239"/>
  <c r="AD59" i="239" s="1"/>
  <c r="Q59" i="239"/>
  <c r="R59" i="239"/>
  <c r="O69" i="239"/>
  <c r="R52" i="239"/>
  <c r="Q52" i="239"/>
  <c r="Q51" i="239"/>
  <c r="R51" i="239"/>
  <c r="Q50" i="239"/>
  <c r="R50" i="239"/>
  <c r="Q49" i="239"/>
  <c r="R49" i="239"/>
  <c r="O58" i="239"/>
  <c r="Q58" i="239"/>
  <c r="AB58" i="239"/>
  <c r="AC58" i="239"/>
  <c r="AD49" i="239" s="1"/>
  <c r="Q41" i="239"/>
  <c r="R41" i="239"/>
  <c r="Q40" i="239"/>
  <c r="R40" i="239"/>
  <c r="Q39" i="239"/>
  <c r="R39" i="239"/>
  <c r="Q38" i="239"/>
  <c r="R38" i="239"/>
  <c r="O48" i="239"/>
  <c r="Q48" i="239"/>
  <c r="AB48" i="239"/>
  <c r="AC48" i="239"/>
  <c r="AD38" i="239" s="1"/>
  <c r="Q30" i="239"/>
  <c r="R30" i="239"/>
  <c r="Q29" i="239"/>
  <c r="R29" i="239"/>
  <c r="Q28" i="239"/>
  <c r="R28" i="239"/>
  <c r="Q27" i="239"/>
  <c r="R27" i="239"/>
  <c r="O37" i="239"/>
  <c r="Q37" i="239"/>
  <c r="AB37" i="239"/>
  <c r="AC37" i="239"/>
  <c r="AD27" i="239" s="1"/>
  <c r="R19" i="239"/>
  <c r="Q19" i="239"/>
  <c r="Q18" i="239"/>
  <c r="R18" i="239"/>
  <c r="Q17" i="239"/>
  <c r="R17" i="239"/>
  <c r="AB26" i="239"/>
  <c r="AC26" i="239"/>
  <c r="AD16" i="239" s="1"/>
  <c r="Q16" i="239"/>
  <c r="R16" i="239"/>
  <c r="O26" i="239"/>
  <c r="Q8" i="239"/>
  <c r="R8" i="239"/>
  <c r="Q7" i="239"/>
  <c r="R7" i="239"/>
  <c r="Q6" i="239"/>
  <c r="R6" i="239"/>
  <c r="Q5" i="239"/>
  <c r="R5" i="239"/>
  <c r="O15" i="239"/>
  <c r="AB15" i="239"/>
  <c r="AC15" i="239"/>
  <c r="AD5" i="239" s="1"/>
  <c r="H6" i="238"/>
  <c r="F6" i="238"/>
  <c r="Q79" i="237"/>
  <c r="AC79" i="237"/>
  <c r="AD70" i="237" s="1"/>
  <c r="AB79" i="237"/>
  <c r="R70" i="237"/>
  <c r="Q70" i="237"/>
  <c r="O79" i="237"/>
  <c r="Q61" i="237"/>
  <c r="R61" i="237"/>
  <c r="Q60" i="237"/>
  <c r="R60" i="237"/>
  <c r="Q59" i="237"/>
  <c r="R59" i="237"/>
  <c r="O69" i="237"/>
  <c r="Q69" i="237"/>
  <c r="AB69" i="237"/>
  <c r="AC69" i="237"/>
  <c r="AD59" i="237" s="1"/>
  <c r="Q52" i="237"/>
  <c r="R52" i="237"/>
  <c r="Q51" i="237"/>
  <c r="R51" i="237"/>
  <c r="Q50" i="237"/>
  <c r="R50" i="237"/>
  <c r="Q58" i="237"/>
  <c r="AB58" i="237"/>
  <c r="AC58" i="237"/>
  <c r="AD49" i="237" s="1"/>
  <c r="Q49" i="237"/>
  <c r="O58" i="237"/>
  <c r="R49" i="237"/>
  <c r="R40" i="237"/>
  <c r="Q40" i="237"/>
  <c r="Q39" i="237"/>
  <c r="R39" i="237"/>
  <c r="Q48" i="237"/>
  <c r="AB48" i="237"/>
  <c r="AC48" i="237"/>
  <c r="AD38" i="237" s="1"/>
  <c r="Q38" i="237"/>
  <c r="R38" i="237"/>
  <c r="O48" i="237"/>
  <c r="Q30" i="237"/>
  <c r="R30" i="237"/>
  <c r="Q29" i="237"/>
  <c r="R29" i="237"/>
  <c r="Q28" i="237"/>
  <c r="R28" i="237"/>
  <c r="Q27" i="237"/>
  <c r="R27" i="237"/>
  <c r="O37" i="237"/>
  <c r="Q37" i="237"/>
  <c r="AB37" i="237"/>
  <c r="AC37" i="237"/>
  <c r="AD27" i="237" s="1"/>
  <c r="Q18" i="237"/>
  <c r="R18" i="237"/>
  <c r="R17" i="237"/>
  <c r="Q17" i="237"/>
  <c r="AB26" i="237"/>
  <c r="AC26" i="237"/>
  <c r="AD16" i="237" s="1"/>
  <c r="Q16" i="237"/>
  <c r="R16" i="237"/>
  <c r="O26" i="237"/>
  <c r="R7" i="237"/>
  <c r="Q7" i="237"/>
  <c r="Q6" i="237"/>
  <c r="R6" i="237"/>
  <c r="AB15" i="237"/>
  <c r="AC15" i="237"/>
  <c r="AD5" i="237" s="1"/>
  <c r="Q5" i="237"/>
  <c r="R5" i="237"/>
  <c r="O15" i="237"/>
  <c r="F6" i="236"/>
  <c r="H6" i="236"/>
  <c r="Q79" i="232"/>
  <c r="AC79" i="232"/>
  <c r="AD70" i="232" s="1"/>
  <c r="AB79" i="232"/>
  <c r="Q70" i="232"/>
  <c r="R70" i="232"/>
  <c r="Q62" i="232"/>
  <c r="R62" i="232"/>
  <c r="Q61" i="232"/>
  <c r="R61" i="232"/>
  <c r="Q60" i="232"/>
  <c r="R60" i="232"/>
  <c r="Q69" i="232"/>
  <c r="AB69" i="232"/>
  <c r="AC69" i="232"/>
  <c r="AD59" i="232" s="1"/>
  <c r="Q59" i="232"/>
  <c r="R59" i="232"/>
  <c r="O69" i="232"/>
  <c r="Q53" i="232"/>
  <c r="R53" i="232"/>
  <c r="Q52" i="232"/>
  <c r="R52" i="232"/>
  <c r="Q51" i="232"/>
  <c r="R51" i="232"/>
  <c r="Q50" i="232"/>
  <c r="R50" i="232"/>
  <c r="Q58" i="232"/>
  <c r="AB58" i="232"/>
  <c r="AC58" i="232"/>
  <c r="AD49" i="232" s="1"/>
  <c r="R49" i="232"/>
  <c r="Q49" i="232"/>
  <c r="O58" i="232"/>
  <c r="Q40" i="232"/>
  <c r="R40" i="232"/>
  <c r="Q39" i="232"/>
  <c r="R39" i="232"/>
  <c r="Q38" i="232"/>
  <c r="R38" i="232"/>
  <c r="O48" i="232"/>
  <c r="Q48" i="232"/>
  <c r="AB48" i="232"/>
  <c r="AC48" i="232"/>
  <c r="AD38" i="232" s="1"/>
  <c r="R31" i="232"/>
  <c r="Q31" i="232"/>
  <c r="Q30" i="232"/>
  <c r="R30" i="232"/>
  <c r="Q29" i="232"/>
  <c r="R29" i="232"/>
  <c r="Q28" i="232"/>
  <c r="R28" i="232"/>
  <c r="Q37" i="232"/>
  <c r="AB37" i="232"/>
  <c r="AC37" i="232"/>
  <c r="AD27" i="232" s="1"/>
  <c r="Q27" i="232"/>
  <c r="R27" i="232"/>
  <c r="O37" i="232"/>
  <c r="Q19" i="232"/>
  <c r="R19" i="232"/>
  <c r="Q18" i="232"/>
  <c r="R18" i="232"/>
  <c r="Q17" i="232"/>
  <c r="R17" i="232"/>
  <c r="AB26" i="232"/>
  <c r="AC26" i="232"/>
  <c r="AD16" i="232" s="1"/>
  <c r="Q16" i="232"/>
  <c r="R16" i="232"/>
  <c r="O26" i="232"/>
  <c r="Q8" i="232"/>
  <c r="R8" i="232"/>
  <c r="Q7" i="232"/>
  <c r="R7" i="232"/>
  <c r="Q6" i="232"/>
  <c r="R6" i="232"/>
  <c r="Q5" i="232"/>
  <c r="O15" i="232"/>
  <c r="R5" i="232"/>
  <c r="AB15" i="232"/>
  <c r="AC15" i="232"/>
  <c r="AD5" i="232" s="1"/>
  <c r="H6" i="231"/>
  <c r="F6" i="231"/>
  <c r="Q62" i="230"/>
  <c r="R62" i="230"/>
  <c r="Q60" i="230"/>
  <c r="R60" i="230"/>
  <c r="Q59" i="230"/>
  <c r="R59" i="230"/>
  <c r="O69" i="230"/>
  <c r="AB69" i="230"/>
  <c r="Q69" i="230"/>
  <c r="AC69" i="230"/>
  <c r="AD59" i="230" s="1"/>
  <c r="Q53" i="230"/>
  <c r="R53" i="230"/>
  <c r="Q52" i="230"/>
  <c r="R52" i="230"/>
  <c r="Q51" i="230"/>
  <c r="R51" i="230"/>
  <c r="Q49" i="230"/>
  <c r="R49" i="230"/>
  <c r="O58" i="230"/>
  <c r="Q58" i="230"/>
  <c r="AB58" i="230"/>
  <c r="AC58" i="230"/>
  <c r="AD49" i="230" s="1"/>
  <c r="Q41" i="230"/>
  <c r="R41" i="230"/>
  <c r="Q40" i="230"/>
  <c r="R40" i="230"/>
  <c r="Q39" i="230"/>
  <c r="R39" i="230"/>
  <c r="Q48" i="230"/>
  <c r="AB48" i="230"/>
  <c r="AC48" i="230"/>
  <c r="AD38" i="230" s="1"/>
  <c r="Q38" i="230"/>
  <c r="R38" i="230"/>
  <c r="O48" i="230"/>
  <c r="Q30" i="230"/>
  <c r="R30" i="230"/>
  <c r="R29" i="230"/>
  <c r="Q29" i="230"/>
  <c r="R28" i="230"/>
  <c r="Q28" i="230"/>
  <c r="Q37" i="230"/>
  <c r="AB37" i="230"/>
  <c r="AC37" i="230"/>
  <c r="AD27" i="230" s="1"/>
  <c r="Q27" i="230"/>
  <c r="R27" i="230"/>
  <c r="O37" i="230"/>
  <c r="Q19" i="230"/>
  <c r="R19" i="230"/>
  <c r="Q18" i="230"/>
  <c r="R18" i="230"/>
  <c r="Q17" i="230"/>
  <c r="R17" i="230"/>
  <c r="AB26" i="230"/>
  <c r="AC26" i="230"/>
  <c r="AD16" i="230" s="1"/>
  <c r="Q16" i="230"/>
  <c r="R16" i="230"/>
  <c r="O26" i="230"/>
  <c r="Q10" i="230"/>
  <c r="R10" i="230"/>
  <c r="Q9" i="230"/>
  <c r="R9" i="230"/>
  <c r="Q8" i="230"/>
  <c r="R8" i="230"/>
  <c r="Q7" i="230"/>
  <c r="R7" i="230"/>
  <c r="Q6" i="230"/>
  <c r="R6" i="230"/>
  <c r="AB15" i="230"/>
  <c r="AC15" i="230"/>
  <c r="AD5" i="230" s="1"/>
  <c r="Q5" i="230"/>
  <c r="R5" i="230"/>
  <c r="O15" i="230"/>
  <c r="H6" i="229"/>
  <c r="F6" i="229"/>
  <c r="Q62" i="228"/>
  <c r="R62" i="228"/>
  <c r="Q61" i="228"/>
  <c r="R61" i="228"/>
  <c r="Q60" i="228"/>
  <c r="R60" i="228"/>
  <c r="AC69" i="228"/>
  <c r="AD59" i="228" s="1"/>
  <c r="AB69" i="228"/>
  <c r="Q69" i="228"/>
  <c r="Q59" i="228"/>
  <c r="R59" i="228"/>
  <c r="O69" i="228"/>
  <c r="R53" i="228"/>
  <c r="Q53" i="228"/>
  <c r="Q52" i="228"/>
  <c r="R52" i="228"/>
  <c r="Q51" i="228"/>
  <c r="R51" i="228"/>
  <c r="Q50" i="228"/>
  <c r="R50" i="228"/>
  <c r="Q49" i="228"/>
  <c r="R49" i="228"/>
  <c r="O58" i="228"/>
  <c r="Q58" i="228"/>
  <c r="AB58" i="228"/>
  <c r="AC58" i="228"/>
  <c r="AD49" i="228" s="1"/>
  <c r="Q41" i="228"/>
  <c r="R41" i="228"/>
  <c r="Q40" i="228"/>
  <c r="R40" i="228"/>
  <c r="Q39" i="228"/>
  <c r="R39" i="228"/>
  <c r="Q38" i="228"/>
  <c r="R38" i="228"/>
  <c r="O48" i="228"/>
  <c r="Q48" i="228"/>
  <c r="AB48" i="228"/>
  <c r="AC48" i="228"/>
  <c r="AD38" i="228" s="1"/>
  <c r="R30" i="228"/>
  <c r="Q30" i="228"/>
  <c r="Q29" i="228"/>
  <c r="R29" i="228"/>
  <c r="Q28" i="228"/>
  <c r="R28" i="228"/>
  <c r="Q37" i="228"/>
  <c r="AB37" i="228"/>
  <c r="AC37" i="228"/>
  <c r="AD27" i="228" s="1"/>
  <c r="Q27" i="228"/>
  <c r="R27" i="228"/>
  <c r="O37" i="228"/>
  <c r="Q19" i="228"/>
  <c r="R19" i="228"/>
  <c r="Q18" i="228"/>
  <c r="R18" i="228"/>
  <c r="Q17" i="228"/>
  <c r="R17" i="228"/>
  <c r="AB26" i="228"/>
  <c r="AC26" i="228"/>
  <c r="AD16" i="228" s="1"/>
  <c r="Q16" i="228"/>
  <c r="R16" i="228"/>
  <c r="O26" i="228"/>
  <c r="Q10" i="228"/>
  <c r="R10" i="228"/>
  <c r="AB15" i="228"/>
  <c r="AC15" i="228"/>
  <c r="AD5" i="228" s="1"/>
  <c r="Q9" i="228"/>
  <c r="R9" i="228"/>
  <c r="Q8" i="228"/>
  <c r="R8" i="228"/>
  <c r="Q7" i="228"/>
  <c r="R7" i="228"/>
  <c r="Q6" i="228"/>
  <c r="R6" i="228"/>
  <c r="Q5" i="228"/>
  <c r="R5" i="228"/>
  <c r="O15" i="228"/>
  <c r="Q62" i="226"/>
  <c r="R62" i="226"/>
  <c r="Q61" i="226"/>
  <c r="R61" i="226"/>
  <c r="Q60" i="226"/>
  <c r="R60" i="226"/>
  <c r="Q59" i="226"/>
  <c r="R59" i="226"/>
  <c r="O69" i="226"/>
  <c r="Q69" i="226"/>
  <c r="AB69" i="226"/>
  <c r="AC69" i="226"/>
  <c r="AD59" i="226" s="1"/>
  <c r="Q53" i="226"/>
  <c r="R53" i="226"/>
  <c r="Q52" i="226"/>
  <c r="R52" i="226"/>
  <c r="Q51" i="226"/>
  <c r="R51" i="226"/>
  <c r="Q50" i="226"/>
  <c r="R50" i="226"/>
  <c r="Q49" i="226"/>
  <c r="R49" i="226"/>
  <c r="O58" i="226"/>
  <c r="Q58" i="226"/>
  <c r="AB58" i="226"/>
  <c r="AC58" i="226"/>
  <c r="AD49" i="226" s="1"/>
  <c r="Q41" i="226"/>
  <c r="R41" i="226"/>
  <c r="Q40" i="226"/>
  <c r="R40" i="226"/>
  <c r="Q39" i="226"/>
  <c r="R39" i="226"/>
  <c r="Q38" i="226"/>
  <c r="R38" i="226"/>
  <c r="O48" i="226"/>
  <c r="Q48" i="226"/>
  <c r="AB48" i="226"/>
  <c r="AC48" i="226"/>
  <c r="AD38" i="226" s="1"/>
  <c r="Q30" i="226"/>
  <c r="R30" i="226"/>
  <c r="Q29" i="226"/>
  <c r="R29" i="226"/>
  <c r="Q28" i="226"/>
  <c r="R28" i="226"/>
  <c r="Q37" i="226"/>
  <c r="AB37" i="226"/>
  <c r="AC37" i="226"/>
  <c r="AD27" i="226" s="1"/>
  <c r="Q27" i="226"/>
  <c r="R27" i="226"/>
  <c r="O37" i="226"/>
  <c r="Q19" i="226"/>
  <c r="R19" i="226"/>
  <c r="Q18" i="226"/>
  <c r="R18" i="226"/>
  <c r="Q17" i="226"/>
  <c r="R17" i="226"/>
  <c r="AB26" i="226"/>
  <c r="AC26" i="226"/>
  <c r="AD16" i="226" s="1"/>
  <c r="Q16" i="226"/>
  <c r="R16" i="226"/>
  <c r="O26" i="226"/>
  <c r="Q11" i="226"/>
  <c r="R11" i="226"/>
  <c r="Q10" i="226"/>
  <c r="R10" i="226"/>
  <c r="Q9" i="226"/>
  <c r="R9" i="226"/>
  <c r="Q8" i="226"/>
  <c r="R8" i="226"/>
  <c r="Q7" i="226"/>
  <c r="R7" i="226"/>
  <c r="Q6" i="226"/>
  <c r="R6" i="226"/>
  <c r="Q5" i="226"/>
  <c r="R5" i="226"/>
  <c r="O15" i="226"/>
  <c r="AB15" i="226"/>
  <c r="AC15" i="226"/>
  <c r="AD5" i="226" s="1"/>
  <c r="F6" i="224"/>
  <c r="H6" i="224"/>
  <c r="Q61" i="223"/>
  <c r="R61" i="223"/>
  <c r="Q60" i="223"/>
  <c r="R60" i="223"/>
  <c r="Q59" i="223"/>
  <c r="R59" i="223"/>
  <c r="O69" i="223"/>
  <c r="Q69" i="223"/>
  <c r="AB69" i="223"/>
  <c r="AC69" i="223"/>
  <c r="AD59" i="223" s="1"/>
  <c r="Q53" i="223"/>
  <c r="R53" i="223"/>
  <c r="Q52" i="223"/>
  <c r="R52" i="223"/>
  <c r="Q51" i="223"/>
  <c r="R51" i="223"/>
  <c r="Q50" i="223"/>
  <c r="R50" i="223"/>
  <c r="Q58" i="223"/>
  <c r="AB58" i="223"/>
  <c r="AC58" i="223"/>
  <c r="AD49" i="223" s="1"/>
  <c r="Q49" i="223"/>
  <c r="R49" i="223"/>
  <c r="O58" i="223"/>
  <c r="Q41" i="223"/>
  <c r="R41" i="223"/>
  <c r="Q40" i="223"/>
  <c r="R40" i="223"/>
  <c r="Q39" i="223"/>
  <c r="R39" i="223"/>
  <c r="Q48" i="223"/>
  <c r="AB48" i="223"/>
  <c r="AC48" i="223"/>
  <c r="AD38" i="223" s="1"/>
  <c r="Q38" i="223"/>
  <c r="R38" i="223"/>
  <c r="O48" i="223"/>
  <c r="Q30" i="223"/>
  <c r="R30" i="223"/>
  <c r="Q29" i="223"/>
  <c r="R29" i="223"/>
  <c r="Q28" i="223"/>
  <c r="R28" i="223"/>
  <c r="Q27" i="223"/>
  <c r="R27" i="223"/>
  <c r="O37" i="223"/>
  <c r="Q37" i="223"/>
  <c r="AB37" i="223"/>
  <c r="AC37" i="223"/>
  <c r="AD27" i="223" s="1"/>
  <c r="Q19" i="223"/>
  <c r="R19" i="223"/>
  <c r="Q18" i="223"/>
  <c r="R18" i="223"/>
  <c r="Q17" i="223"/>
  <c r="R17" i="223"/>
  <c r="Q16" i="223"/>
  <c r="R16" i="223"/>
  <c r="O26" i="223"/>
  <c r="AB26" i="223"/>
  <c r="AC26" i="223"/>
  <c r="AD16" i="223" s="1"/>
  <c r="Q9" i="223"/>
  <c r="R9" i="223"/>
  <c r="Q8" i="223"/>
  <c r="R8" i="223"/>
  <c r="Q7" i="223"/>
  <c r="R7" i="223"/>
  <c r="Q6" i="223"/>
  <c r="R6" i="223"/>
  <c r="AB15" i="223"/>
  <c r="AC15" i="223"/>
  <c r="AD5" i="223" s="1"/>
  <c r="Q5" i="223"/>
  <c r="R5" i="223"/>
  <c r="O15" i="223"/>
  <c r="F6" i="222"/>
  <c r="H6" i="222"/>
  <c r="Q63" i="221"/>
  <c r="R63" i="221"/>
  <c r="Q62" i="221"/>
  <c r="R62" i="221"/>
  <c r="Q61" i="221"/>
  <c r="R61" i="221"/>
  <c r="Q60" i="221"/>
  <c r="R60" i="221"/>
  <c r="Q59" i="221"/>
  <c r="R59" i="221"/>
  <c r="O69" i="221"/>
  <c r="Q69" i="221"/>
  <c r="AB69" i="221"/>
  <c r="AC69" i="221"/>
  <c r="AD59" i="221" s="1"/>
  <c r="Q53" i="221"/>
  <c r="R53" i="221"/>
  <c r="Q52" i="221"/>
  <c r="R52" i="221"/>
  <c r="Q51" i="221"/>
  <c r="R51" i="221"/>
  <c r="Q50" i="221"/>
  <c r="R50" i="221"/>
  <c r="Q49" i="221"/>
  <c r="R49" i="221"/>
  <c r="O58" i="221"/>
  <c r="Q58" i="221"/>
  <c r="AB58" i="221"/>
  <c r="AC58" i="221"/>
  <c r="AD49" i="221" s="1"/>
  <c r="Q41" i="221"/>
  <c r="R41" i="221"/>
  <c r="Q40" i="221"/>
  <c r="R40" i="221"/>
  <c r="Q48" i="221"/>
  <c r="AB48" i="221"/>
  <c r="AC48" i="221"/>
  <c r="AD38" i="221" s="1"/>
  <c r="Q39" i="221"/>
  <c r="R39" i="221"/>
  <c r="Q38" i="221"/>
  <c r="R38" i="221"/>
  <c r="O48" i="221"/>
  <c r="Q31" i="221"/>
  <c r="R31" i="221"/>
  <c r="Q30" i="221"/>
  <c r="R30" i="221"/>
  <c r="Q29" i="221"/>
  <c r="R29" i="221"/>
  <c r="Q28" i="221"/>
  <c r="R28" i="221"/>
  <c r="Q27" i="221"/>
  <c r="R27" i="221"/>
  <c r="O37" i="221"/>
  <c r="Q37" i="221"/>
  <c r="AB37" i="221"/>
  <c r="AC37" i="221"/>
  <c r="AD27" i="221" s="1"/>
  <c r="Q19" i="221"/>
  <c r="R19" i="221"/>
  <c r="Q18" i="221"/>
  <c r="R18" i="221"/>
  <c r="Q17" i="221"/>
  <c r="R17" i="221"/>
  <c r="AB26" i="221"/>
  <c r="AC26" i="221"/>
  <c r="AD16" i="221" s="1"/>
  <c r="Q16" i="221"/>
  <c r="R16" i="221"/>
  <c r="O26" i="221"/>
  <c r="Q9" i="221"/>
  <c r="R9" i="221"/>
  <c r="Q8" i="221"/>
  <c r="R8" i="221"/>
  <c r="Q7" i="221"/>
  <c r="R7" i="221"/>
  <c r="Q6" i="221"/>
  <c r="R6" i="221"/>
  <c r="Q5" i="221"/>
  <c r="R5" i="221"/>
  <c r="O15" i="221"/>
  <c r="AB15" i="221"/>
  <c r="AC15" i="221"/>
  <c r="AD5" i="221" s="1"/>
  <c r="F6" i="220"/>
  <c r="H6" i="220"/>
  <c r="Q63" i="219"/>
  <c r="R63" i="219"/>
  <c r="Q62" i="219"/>
  <c r="R62" i="219"/>
  <c r="Q61" i="219"/>
  <c r="R61" i="219"/>
  <c r="Q60" i="219"/>
  <c r="R60" i="219"/>
  <c r="Q59" i="219"/>
  <c r="R59" i="219"/>
  <c r="O69" i="219"/>
  <c r="Q69" i="219"/>
  <c r="AB69" i="219"/>
  <c r="AC69" i="219"/>
  <c r="AD59" i="219" s="1"/>
  <c r="Q53" i="219"/>
  <c r="R53" i="219"/>
  <c r="Q52" i="219"/>
  <c r="R52" i="219"/>
  <c r="Q51" i="219"/>
  <c r="R51" i="219"/>
  <c r="Q50" i="219"/>
  <c r="R50" i="219"/>
  <c r="Q49" i="219"/>
  <c r="R49" i="219"/>
  <c r="O58" i="219"/>
  <c r="Q58" i="219"/>
  <c r="AB58" i="219"/>
  <c r="AC58" i="219"/>
  <c r="AD49" i="219" s="1"/>
  <c r="Q42" i="219"/>
  <c r="R42" i="219"/>
  <c r="Q41" i="219"/>
  <c r="R41" i="219"/>
  <c r="Q40" i="219"/>
  <c r="R40" i="219"/>
  <c r="Q39" i="219"/>
  <c r="R39" i="219"/>
  <c r="Q48" i="219"/>
  <c r="AB48" i="219"/>
  <c r="AC48" i="219"/>
  <c r="AD38" i="219" s="1"/>
  <c r="Q38" i="219"/>
  <c r="R38" i="219"/>
  <c r="O48" i="219"/>
  <c r="Q31" i="219"/>
  <c r="R31" i="219"/>
  <c r="Q30" i="219"/>
  <c r="R30" i="219"/>
  <c r="Q29" i="219"/>
  <c r="R29" i="219"/>
  <c r="Q28" i="219"/>
  <c r="R28" i="219"/>
  <c r="Q37" i="219"/>
  <c r="AB37" i="219"/>
  <c r="AC37" i="219"/>
  <c r="AD27" i="219" s="1"/>
  <c r="Q27" i="219"/>
  <c r="R27" i="219"/>
  <c r="O37" i="219"/>
  <c r="Q18" i="219"/>
  <c r="R18" i="219"/>
  <c r="Q17" i="219"/>
  <c r="R17" i="219"/>
  <c r="AB26" i="219"/>
  <c r="AC26" i="219"/>
  <c r="AD16" i="219" s="1"/>
  <c r="Q16" i="219"/>
  <c r="R16" i="219"/>
  <c r="O26" i="219"/>
  <c r="Q9" i="219"/>
  <c r="R9" i="219"/>
  <c r="Q8" i="219"/>
  <c r="R8" i="219"/>
  <c r="Q7" i="219"/>
  <c r="R7" i="219"/>
  <c r="Q6" i="219"/>
  <c r="R6" i="219"/>
  <c r="AB15" i="219"/>
  <c r="AC15" i="219"/>
  <c r="AD5" i="219" s="1"/>
  <c r="Q5" i="219"/>
  <c r="R5" i="219"/>
  <c r="O15" i="219"/>
  <c r="F6" i="218"/>
  <c r="H6" i="218"/>
  <c r="Q61" i="216"/>
  <c r="R61" i="216"/>
  <c r="Q60" i="216"/>
  <c r="R60" i="216"/>
  <c r="Q69" i="216"/>
  <c r="AB69" i="216"/>
  <c r="AC69" i="216"/>
  <c r="AD59" i="216" s="1"/>
  <c r="Q59" i="216"/>
  <c r="R59" i="216"/>
  <c r="O69" i="216"/>
  <c r="Q52" i="216"/>
  <c r="R52" i="216"/>
  <c r="Q51" i="216"/>
  <c r="R51" i="216"/>
  <c r="Q50" i="216"/>
  <c r="R50" i="216"/>
  <c r="Q49" i="216"/>
  <c r="R49" i="216"/>
  <c r="O58" i="216"/>
  <c r="Q58" i="216"/>
  <c r="AB58" i="216"/>
  <c r="AC58" i="216"/>
  <c r="AD49" i="216" s="1"/>
  <c r="Q41" i="216"/>
  <c r="R41" i="216"/>
  <c r="Q40" i="216"/>
  <c r="R40" i="216"/>
  <c r="Q39" i="216"/>
  <c r="R39" i="216"/>
  <c r="Q48" i="216"/>
  <c r="AB48" i="216"/>
  <c r="AC48" i="216"/>
  <c r="AD38" i="216" s="1"/>
  <c r="Q38" i="216"/>
  <c r="R38" i="216"/>
  <c r="O48" i="216"/>
  <c r="Q30" i="216"/>
  <c r="R30" i="216"/>
  <c r="Q29" i="216"/>
  <c r="R29" i="216"/>
  <c r="Q28" i="216"/>
  <c r="R28" i="216"/>
  <c r="Q37" i="216"/>
  <c r="AB37" i="216"/>
  <c r="AC37" i="216"/>
  <c r="AD27" i="216" s="1"/>
  <c r="Q27" i="216"/>
  <c r="R27" i="216"/>
  <c r="O37" i="216"/>
  <c r="Q20" i="216"/>
  <c r="R20" i="216"/>
  <c r="Q19" i="216"/>
  <c r="R19" i="216"/>
  <c r="Q18" i="216"/>
  <c r="R18" i="216"/>
  <c r="Q17" i="216"/>
  <c r="R17" i="216"/>
  <c r="AB26" i="216"/>
  <c r="AC26" i="216"/>
  <c r="AD16" i="216" s="1"/>
  <c r="Q16" i="216"/>
  <c r="R16" i="216"/>
  <c r="O26" i="216"/>
  <c r="Q9" i="216"/>
  <c r="R9" i="216"/>
  <c r="Q8" i="216"/>
  <c r="R8" i="216"/>
  <c r="Q7" i="216"/>
  <c r="R7" i="216"/>
  <c r="Q6" i="216"/>
  <c r="R6" i="216"/>
  <c r="AB15" i="216"/>
  <c r="AC15" i="216"/>
  <c r="AD5" i="216" s="1"/>
  <c r="Q5" i="216"/>
  <c r="R5" i="216"/>
  <c r="O15" i="216"/>
  <c r="F6" i="215"/>
  <c r="H6" i="215"/>
  <c r="Q61" i="214"/>
  <c r="R61" i="214"/>
  <c r="Q60" i="214"/>
  <c r="R60" i="214"/>
  <c r="Q69" i="214"/>
  <c r="AB69" i="214"/>
  <c r="AC69" i="214"/>
  <c r="AD59" i="214" s="1"/>
  <c r="Q59" i="214"/>
  <c r="R59" i="214"/>
  <c r="O69" i="214"/>
  <c r="Q52" i="214"/>
  <c r="R52" i="214"/>
  <c r="Q51" i="214"/>
  <c r="R51" i="214"/>
  <c r="Q50" i="214"/>
  <c r="R50" i="214"/>
  <c r="R49" i="214"/>
  <c r="O58" i="214"/>
  <c r="Q49" i="214"/>
  <c r="Q58" i="214"/>
  <c r="AB58" i="214"/>
  <c r="AC58" i="214"/>
  <c r="AD49" i="214" s="1"/>
  <c r="Q41" i="214"/>
  <c r="R41" i="214"/>
  <c r="Q40" i="214"/>
  <c r="R40" i="214"/>
  <c r="Q39" i="214"/>
  <c r="R39" i="214"/>
  <c r="Q48" i="214"/>
  <c r="AB48" i="214"/>
  <c r="AC48" i="214"/>
  <c r="AD38" i="214" s="1"/>
  <c r="Q38" i="214"/>
  <c r="R38" i="214"/>
  <c r="O48" i="214"/>
  <c r="Q30" i="214"/>
  <c r="R30" i="214"/>
  <c r="Q29" i="214"/>
  <c r="R29" i="214"/>
  <c r="Q28" i="214"/>
  <c r="R28" i="214"/>
  <c r="Q27" i="214"/>
  <c r="R27" i="214"/>
  <c r="O37" i="214"/>
  <c r="Q37" i="214"/>
  <c r="AB37" i="214"/>
  <c r="AC37" i="214"/>
  <c r="AD27" i="214" s="1"/>
  <c r="Q20" i="214"/>
  <c r="R20" i="214"/>
  <c r="Q19" i="214"/>
  <c r="R19" i="214"/>
  <c r="Q18" i="214"/>
  <c r="R18" i="214"/>
  <c r="Q17" i="214"/>
  <c r="R17" i="214"/>
  <c r="AB26" i="214"/>
  <c r="AC26" i="214"/>
  <c r="AD16" i="214" s="1"/>
  <c r="Q16" i="214"/>
  <c r="R16" i="214"/>
  <c r="O26" i="214"/>
  <c r="Q9" i="214"/>
  <c r="R9" i="214"/>
  <c r="Q8" i="214"/>
  <c r="R8" i="214"/>
  <c r="Q7" i="214"/>
  <c r="R7" i="214"/>
  <c r="Q6" i="214"/>
  <c r="R6" i="214"/>
  <c r="AB15" i="214"/>
  <c r="AC15" i="214"/>
  <c r="AD5" i="214" s="1"/>
  <c r="Q5" i="214"/>
  <c r="R5" i="214"/>
  <c r="O15" i="214"/>
  <c r="F6" i="213"/>
  <c r="H6" i="213"/>
  <c r="Q61" i="212"/>
  <c r="R61" i="212"/>
  <c r="Q60" i="212"/>
  <c r="R60" i="212"/>
  <c r="AB69" i="212"/>
  <c r="Q69" i="212"/>
  <c r="AC69" i="212"/>
  <c r="AD59" i="212" s="1"/>
  <c r="Q59" i="212"/>
  <c r="R59" i="212"/>
  <c r="O69" i="212"/>
  <c r="Q52" i="212"/>
  <c r="R52" i="212"/>
  <c r="Q51" i="212"/>
  <c r="R51" i="212"/>
  <c r="Q50" i="212"/>
  <c r="R50" i="212"/>
  <c r="Q58" i="212"/>
  <c r="AB58" i="212"/>
  <c r="AC58" i="212"/>
  <c r="AD49" i="212" s="1"/>
  <c r="Q49" i="212"/>
  <c r="O58" i="212"/>
  <c r="R49" i="212"/>
  <c r="Q41" i="212"/>
  <c r="R41" i="212"/>
  <c r="Q40" i="212"/>
  <c r="R40" i="212"/>
  <c r="Q39" i="212"/>
  <c r="R39" i="212"/>
  <c r="Q38" i="212"/>
  <c r="R38" i="212"/>
  <c r="O48" i="212"/>
  <c r="Q48" i="212"/>
  <c r="AB48" i="212"/>
  <c r="AC48" i="212"/>
  <c r="AD38" i="212" s="1"/>
  <c r="Q30" i="212"/>
  <c r="R30" i="212"/>
  <c r="Q29" i="212"/>
  <c r="R29" i="212"/>
  <c r="Q28" i="212"/>
  <c r="R28" i="212"/>
  <c r="AB37" i="212"/>
  <c r="Q37" i="212"/>
  <c r="AC37" i="212"/>
  <c r="AD27" i="212" s="1"/>
  <c r="Q27" i="212"/>
  <c r="O37" i="212"/>
  <c r="R27" i="212"/>
  <c r="Q20" i="212"/>
  <c r="R20" i="212"/>
  <c r="R19" i="212"/>
  <c r="Q19" i="212"/>
  <c r="Q18" i="212"/>
  <c r="R18" i="212"/>
  <c r="Q17" i="212"/>
  <c r="R17" i="212"/>
  <c r="AB26" i="212"/>
  <c r="AC26" i="212"/>
  <c r="AD16" i="212" s="1"/>
  <c r="Q16" i="212"/>
  <c r="R16" i="212"/>
  <c r="O26" i="212"/>
  <c r="Q9" i="212"/>
  <c r="R9" i="212"/>
  <c r="Q8" i="212"/>
  <c r="R8" i="212"/>
  <c r="R7" i="212"/>
  <c r="Q7" i="212"/>
  <c r="Q6" i="212"/>
  <c r="R6" i="212"/>
  <c r="AB15" i="212"/>
  <c r="AC15" i="212"/>
  <c r="AD5" i="212" s="1"/>
  <c r="Q5" i="212"/>
  <c r="R5" i="212"/>
  <c r="O15" i="212"/>
  <c r="H6" i="211"/>
  <c r="F6" i="211"/>
  <c r="Q61" i="210"/>
  <c r="R61" i="210"/>
  <c r="Q60" i="210"/>
  <c r="R60" i="210"/>
  <c r="Q59" i="210"/>
  <c r="O69" i="210"/>
  <c r="R59" i="210"/>
  <c r="Q69" i="210"/>
  <c r="AB69" i="210"/>
  <c r="AC69" i="210"/>
  <c r="AD59" i="210" s="1"/>
  <c r="Q52" i="210"/>
  <c r="R52" i="210"/>
  <c r="Q51" i="210"/>
  <c r="R51" i="210"/>
  <c r="Q50" i="210"/>
  <c r="R50" i="210"/>
  <c r="Q58" i="210"/>
  <c r="AB58" i="210"/>
  <c r="AC58" i="210"/>
  <c r="AD49" i="210" s="1"/>
  <c r="Q49" i="210"/>
  <c r="O58" i="210"/>
  <c r="R49" i="210"/>
  <c r="Q40" i="210"/>
  <c r="R40" i="210"/>
  <c r="Q39" i="210"/>
  <c r="R39" i="210"/>
  <c r="Q48" i="210"/>
  <c r="AB48" i="210"/>
  <c r="AC48" i="210"/>
  <c r="AD38" i="210" s="1"/>
  <c r="Q38" i="210"/>
  <c r="R38" i="210"/>
  <c r="O48" i="210"/>
  <c r="Q30" i="210"/>
  <c r="R30" i="210"/>
  <c r="Q29" i="210"/>
  <c r="R29" i="210"/>
  <c r="Q28" i="210"/>
  <c r="R28" i="210"/>
  <c r="Q37" i="210"/>
  <c r="AB37" i="210"/>
  <c r="AC37" i="210"/>
  <c r="AD27" i="210" s="1"/>
  <c r="Q27" i="210"/>
  <c r="O37" i="210"/>
  <c r="R27" i="210"/>
  <c r="Q19" i="210"/>
  <c r="R19" i="210"/>
  <c r="Q18" i="210"/>
  <c r="R18" i="210"/>
  <c r="Q17" i="210"/>
  <c r="R17" i="210"/>
  <c r="Q16" i="210"/>
  <c r="R16" i="210"/>
  <c r="O26" i="210"/>
  <c r="AB26" i="210"/>
  <c r="AC26" i="210"/>
  <c r="AD16" i="210" s="1"/>
  <c r="Q9" i="210"/>
  <c r="R9" i="210"/>
  <c r="Q8" i="210"/>
  <c r="R8" i="210"/>
  <c r="Q7" i="210"/>
  <c r="R7" i="210"/>
  <c r="Q6" i="210"/>
  <c r="R6" i="210"/>
  <c r="AB15" i="210"/>
  <c r="AC15" i="210"/>
  <c r="AD5" i="210" s="1"/>
  <c r="Q5" i="210"/>
  <c r="R5" i="210"/>
  <c r="O15" i="210"/>
  <c r="F6" i="209"/>
  <c r="H6" i="209"/>
  <c r="Q61" i="208"/>
  <c r="R61" i="208"/>
  <c r="Q60" i="208"/>
  <c r="R60" i="208"/>
  <c r="AB69" i="208"/>
  <c r="Q69" i="208"/>
  <c r="AC69" i="208"/>
  <c r="AD59" i="208" s="1"/>
  <c r="Q59" i="208"/>
  <c r="R59" i="208"/>
  <c r="O69" i="208"/>
  <c r="Q52" i="208"/>
  <c r="R52" i="208"/>
  <c r="Q51" i="208"/>
  <c r="R51" i="208"/>
  <c r="Q50" i="208"/>
  <c r="R50" i="208"/>
  <c r="Q58" i="208"/>
  <c r="AB58" i="208"/>
  <c r="AC58" i="208"/>
  <c r="AD49" i="208" s="1"/>
  <c r="Q49" i="208"/>
  <c r="R49" i="208"/>
  <c r="O58" i="208"/>
  <c r="Q41" i="208"/>
  <c r="R41" i="208"/>
  <c r="Q40" i="208"/>
  <c r="R40" i="208"/>
  <c r="Q39" i="208"/>
  <c r="R39" i="208"/>
  <c r="Q48" i="208"/>
  <c r="AB48" i="208"/>
  <c r="AC48" i="208"/>
  <c r="AD38" i="208" s="1"/>
  <c r="Q38" i="208"/>
  <c r="R38" i="208"/>
  <c r="O48" i="208"/>
  <c r="Q29" i="208"/>
  <c r="R29" i="208"/>
  <c r="Q28" i="208"/>
  <c r="R28" i="208"/>
  <c r="Q27" i="208"/>
  <c r="O37" i="208"/>
  <c r="R27" i="208"/>
  <c r="Q37" i="208"/>
  <c r="AB37" i="208"/>
  <c r="AC37" i="208"/>
  <c r="AD27" i="208" s="1"/>
  <c r="Q18" i="208"/>
  <c r="R18" i="208"/>
  <c r="Q17" i="208"/>
  <c r="R17" i="208"/>
  <c r="AB26" i="208"/>
  <c r="AC26" i="208"/>
  <c r="AD16" i="208" s="1"/>
  <c r="Q16" i="208"/>
  <c r="R16" i="208"/>
  <c r="O26" i="208"/>
  <c r="R8" i="208"/>
  <c r="Q8" i="208"/>
  <c r="Q7" i="208"/>
  <c r="R7" i="208"/>
  <c r="Q6" i="208"/>
  <c r="R6" i="208"/>
  <c r="Q5" i="208"/>
  <c r="R5" i="208"/>
  <c r="O15" i="208"/>
  <c r="AB15" i="208"/>
  <c r="AC15" i="208"/>
  <c r="AD5" i="208" s="1"/>
  <c r="H6" i="207"/>
  <c r="F6" i="207"/>
  <c r="Q61" i="206"/>
  <c r="R61" i="206"/>
  <c r="Q60" i="206"/>
  <c r="R60" i="206"/>
  <c r="R59" i="206"/>
  <c r="Q59" i="206"/>
  <c r="O69" i="206"/>
  <c r="AB69" i="206"/>
  <c r="Q69" i="206"/>
  <c r="AC69" i="206"/>
  <c r="AD59" i="206" s="1"/>
  <c r="Q52" i="206"/>
  <c r="R52" i="206"/>
  <c r="Q51" i="206"/>
  <c r="R51" i="206"/>
  <c r="Q50" i="206"/>
  <c r="R50" i="206"/>
  <c r="Q58" i="206"/>
  <c r="AB58" i="206"/>
  <c r="AC58" i="206"/>
  <c r="AD49" i="206" s="1"/>
  <c r="Q49" i="206"/>
  <c r="O58" i="206"/>
  <c r="R49" i="206"/>
  <c r="Q40" i="206"/>
  <c r="R40" i="206"/>
  <c r="Q39" i="206"/>
  <c r="R39" i="206"/>
  <c r="Q38" i="206"/>
  <c r="R38" i="206"/>
  <c r="O48" i="206"/>
  <c r="Q48" i="206"/>
  <c r="AB48" i="206"/>
  <c r="AC48" i="206"/>
  <c r="AD38" i="206" s="1"/>
  <c r="Q30" i="206"/>
  <c r="R30" i="206"/>
  <c r="Q29" i="206"/>
  <c r="R29" i="206"/>
  <c r="Q28" i="206"/>
  <c r="R28" i="206"/>
  <c r="Q27" i="206"/>
  <c r="O37" i="206"/>
  <c r="R27" i="206"/>
  <c r="Q37" i="206"/>
  <c r="AB37" i="206"/>
  <c r="AC37" i="206"/>
  <c r="AD27" i="206" s="1"/>
  <c r="Q19" i="206"/>
  <c r="R19" i="206"/>
  <c r="Q18" i="206"/>
  <c r="R18" i="206"/>
  <c r="Q17" i="206"/>
  <c r="R17" i="206"/>
  <c r="Q16" i="206"/>
  <c r="O26" i="206"/>
  <c r="R16" i="206"/>
  <c r="AB26" i="206"/>
  <c r="AC26" i="206"/>
  <c r="AD16" i="206" s="1"/>
  <c r="Q9" i="206"/>
  <c r="R9" i="206"/>
  <c r="Q8" i="206"/>
  <c r="R8" i="206"/>
  <c r="Q7" i="206"/>
  <c r="R7" i="206"/>
  <c r="Q6" i="206"/>
  <c r="R6" i="206"/>
  <c r="AB15" i="206"/>
  <c r="AC15" i="206"/>
  <c r="AD5" i="206" s="1"/>
  <c r="O15" i="206"/>
  <c r="Q5" i="206"/>
  <c r="R5" i="206"/>
  <c r="F6" i="205"/>
  <c r="H6" i="205"/>
  <c r="R61" i="204"/>
  <c r="Q61" i="204"/>
  <c r="Q60" i="204"/>
  <c r="R60" i="204"/>
  <c r="Q69" i="204"/>
  <c r="AC69" i="204"/>
  <c r="AD59" i="204" s="1"/>
  <c r="AB69" i="204"/>
  <c r="Q59" i="204"/>
  <c r="R59" i="204"/>
  <c r="O69" i="204"/>
  <c r="Q52" i="204"/>
  <c r="R52" i="204"/>
  <c r="Q51" i="204"/>
  <c r="R51" i="204"/>
  <c r="Q50" i="204"/>
  <c r="R50" i="204"/>
  <c r="R49" i="204"/>
  <c r="O58" i="204"/>
  <c r="Q49" i="204"/>
  <c r="Q58" i="204"/>
  <c r="AB58" i="204"/>
  <c r="AC58" i="204"/>
  <c r="AD49" i="204" s="1"/>
  <c r="Q41" i="204"/>
  <c r="R41" i="204"/>
  <c r="Q40" i="204"/>
  <c r="R40" i="204"/>
  <c r="R39" i="204"/>
  <c r="Q39" i="204"/>
  <c r="Q38" i="204"/>
  <c r="O48" i="204"/>
  <c r="R38" i="204"/>
  <c r="AB48" i="204"/>
  <c r="AC48" i="204"/>
  <c r="AD38" i="204" s="1"/>
  <c r="Q48" i="204"/>
  <c r="Q30" i="204"/>
  <c r="R30" i="204"/>
  <c r="Q29" i="204"/>
  <c r="R29" i="204"/>
  <c r="Q28" i="204"/>
  <c r="R28" i="204"/>
  <c r="Q27" i="204"/>
  <c r="R27" i="204"/>
  <c r="O37" i="204"/>
  <c r="Q37" i="204"/>
  <c r="AB37" i="204"/>
  <c r="AC37" i="204"/>
  <c r="AD27" i="204" s="1"/>
  <c r="Q20" i="204"/>
  <c r="R20" i="204"/>
  <c r="Q19" i="204"/>
  <c r="R19" i="204"/>
  <c r="Q18" i="204"/>
  <c r="R18" i="204"/>
  <c r="Q17" i="204"/>
  <c r="R17" i="204"/>
  <c r="AB26" i="204"/>
  <c r="AC26" i="204"/>
  <c r="AD16" i="204" s="1"/>
  <c r="Q16" i="204"/>
  <c r="R16" i="204"/>
  <c r="O26" i="204"/>
  <c r="R9" i="204"/>
  <c r="Q9" i="204"/>
  <c r="Q8" i="204"/>
  <c r="R8" i="204"/>
  <c r="Q7" i="204"/>
  <c r="R7" i="204"/>
  <c r="Q6" i="204"/>
  <c r="R6" i="204"/>
  <c r="Q5" i="204"/>
  <c r="R5" i="204"/>
  <c r="O15" i="204"/>
  <c r="AB15" i="204"/>
  <c r="AC15" i="204"/>
  <c r="AD5" i="204" s="1"/>
  <c r="H6" i="203"/>
  <c r="F6" i="203"/>
  <c r="Q70" i="202"/>
  <c r="R70" i="202"/>
  <c r="P79" i="202"/>
  <c r="J18" i="201"/>
  <c r="I1" i="202"/>
  <c r="Q61" i="202"/>
  <c r="R61" i="202"/>
  <c r="Q60" i="202"/>
  <c r="R60" i="202"/>
  <c r="Q69" i="202"/>
  <c r="AC69" i="202"/>
  <c r="AD59" i="202" s="1"/>
  <c r="AB69" i="202"/>
  <c r="N79" i="202"/>
  <c r="Q59" i="202"/>
  <c r="R59" i="202"/>
  <c r="O69" i="202"/>
  <c r="I13" i="201"/>
  <c r="J6" i="201" s="1"/>
  <c r="L79" i="202"/>
  <c r="J13" i="201" s="1"/>
  <c r="Q52" i="202"/>
  <c r="R52" i="202"/>
  <c r="Q51" i="202"/>
  <c r="R51" i="202"/>
  <c r="Q50" i="202"/>
  <c r="R50" i="202"/>
  <c r="O58" i="202"/>
  <c r="Q49" i="202"/>
  <c r="R49" i="202"/>
  <c r="Q58" i="202"/>
  <c r="AB58" i="202"/>
  <c r="AC58" i="202"/>
  <c r="AD49" i="202" s="1"/>
  <c r="R41" i="202"/>
  <c r="Q41" i="202"/>
  <c r="Q40" i="202"/>
  <c r="R40" i="202"/>
  <c r="Q39" i="202"/>
  <c r="R39" i="202"/>
  <c r="Q38" i="202"/>
  <c r="R38" i="202"/>
  <c r="O48" i="202"/>
  <c r="AC48" i="202"/>
  <c r="AD38" i="202" s="1"/>
  <c r="Q48" i="202"/>
  <c r="AB48" i="202"/>
  <c r="R30" i="202"/>
  <c r="Q30" i="202"/>
  <c r="Q29" i="202"/>
  <c r="R29" i="202"/>
  <c r="Q28" i="202"/>
  <c r="R28" i="202"/>
  <c r="Q27" i="202"/>
  <c r="R27" i="202"/>
  <c r="O37" i="202"/>
  <c r="Q37" i="202"/>
  <c r="AB37" i="202"/>
  <c r="AC37" i="202"/>
  <c r="AD27" i="202" s="1"/>
  <c r="R20" i="202"/>
  <c r="Q20" i="202"/>
  <c r="R19" i="202"/>
  <c r="Q19" i="202"/>
  <c r="Q18" i="202"/>
  <c r="R18" i="202"/>
  <c r="Q17" i="202"/>
  <c r="R17" i="202"/>
  <c r="Q16" i="202"/>
  <c r="R16" i="202"/>
  <c r="O26" i="202"/>
  <c r="AB26" i="202"/>
  <c r="AC26" i="202"/>
  <c r="AD16" i="202" s="1"/>
  <c r="Q9" i="202"/>
  <c r="R9" i="202"/>
  <c r="Q8" i="202"/>
  <c r="R8" i="202"/>
  <c r="Q7" i="202"/>
  <c r="R7" i="202"/>
  <c r="Q6" i="202"/>
  <c r="R6" i="202"/>
  <c r="AB15" i="202"/>
  <c r="AC15" i="202"/>
  <c r="AD5" i="202" s="1"/>
  <c r="R5" i="202"/>
  <c r="Q5" i="202"/>
  <c r="O15" i="202"/>
  <c r="F6" i="201"/>
  <c r="H6" i="201"/>
  <c r="Q61" i="200"/>
  <c r="R61" i="200"/>
  <c r="Q60" i="200"/>
  <c r="R60" i="200"/>
  <c r="Q59" i="200"/>
  <c r="R59" i="200"/>
  <c r="O69" i="200"/>
  <c r="AC69" i="200"/>
  <c r="AD59" i="200" s="1"/>
  <c r="Q69" i="200"/>
  <c r="AB69" i="200"/>
  <c r="Q52" i="200"/>
  <c r="R52" i="200"/>
  <c r="Q51" i="200"/>
  <c r="R51" i="200"/>
  <c r="Q50" i="200"/>
  <c r="R50" i="200"/>
  <c r="Q58" i="200"/>
  <c r="AB58" i="200"/>
  <c r="AC58" i="200"/>
  <c r="AD49" i="200" s="1"/>
  <c r="Q49" i="200"/>
  <c r="R49" i="200"/>
  <c r="O58" i="200"/>
  <c r="R41" i="200"/>
  <c r="Q41" i="200"/>
  <c r="Q40" i="200"/>
  <c r="R40" i="200"/>
  <c r="Q39" i="200"/>
  <c r="R39" i="200"/>
  <c r="AC48" i="200"/>
  <c r="AD38" i="200" s="1"/>
  <c r="Q48" i="200"/>
  <c r="AB48" i="200"/>
  <c r="Q38" i="200"/>
  <c r="O48" i="200"/>
  <c r="R38" i="200"/>
  <c r="Q30" i="200"/>
  <c r="R30" i="200"/>
  <c r="Q29" i="200"/>
  <c r="R29" i="200"/>
  <c r="Q28" i="200"/>
  <c r="R28" i="200"/>
  <c r="Q37" i="200"/>
  <c r="AB37" i="200"/>
  <c r="AC37" i="200"/>
  <c r="AD27" i="200" s="1"/>
  <c r="O37" i="200"/>
  <c r="Q27" i="200"/>
  <c r="R27" i="200"/>
  <c r="Q19" i="200"/>
  <c r="R19" i="200"/>
  <c r="Q18" i="200"/>
  <c r="R18" i="200"/>
  <c r="Q17" i="200"/>
  <c r="R17" i="200"/>
  <c r="O26" i="200"/>
  <c r="R16" i="200"/>
  <c r="Q16" i="200"/>
  <c r="AB26" i="200"/>
  <c r="AC26" i="200"/>
  <c r="AD16" i="200" s="1"/>
  <c r="Q9" i="200"/>
  <c r="R9" i="200"/>
  <c r="Q8" i="200"/>
  <c r="R8" i="200"/>
  <c r="Q7" i="200"/>
  <c r="R7" i="200"/>
  <c r="R6" i="200"/>
  <c r="Q6" i="200"/>
  <c r="AB15" i="200"/>
  <c r="AC15" i="200"/>
  <c r="AD5" i="200" s="1"/>
  <c r="Q5" i="200"/>
  <c r="R5" i="200"/>
  <c r="O15" i="200"/>
  <c r="H6" i="199"/>
  <c r="F6" i="199"/>
  <c r="Q61" i="198"/>
  <c r="R61" i="198"/>
  <c r="Q60" i="198"/>
  <c r="R60" i="198"/>
  <c r="R69" i="198"/>
  <c r="S59" i="198" s="1"/>
  <c r="I14" i="197"/>
  <c r="AC69" i="198"/>
  <c r="AD59" i="198" s="1"/>
  <c r="Q69" i="198"/>
  <c r="AB69" i="198"/>
  <c r="Q51" i="198"/>
  <c r="R51" i="198"/>
  <c r="Q50" i="198"/>
  <c r="R50" i="198"/>
  <c r="Q49" i="198"/>
  <c r="R49" i="198"/>
  <c r="O58" i="198"/>
  <c r="AB58" i="198"/>
  <c r="Q58" i="198"/>
  <c r="AC58" i="198"/>
  <c r="AD49" i="198" s="1"/>
  <c r="R41" i="198"/>
  <c r="Q41" i="198"/>
  <c r="Q40" i="198"/>
  <c r="R40" i="198"/>
  <c r="Q39" i="198"/>
  <c r="R39" i="198"/>
  <c r="Q38" i="198"/>
  <c r="O48" i="198"/>
  <c r="R38" i="198"/>
  <c r="Q48" i="198"/>
  <c r="AB48" i="198"/>
  <c r="AC48" i="198"/>
  <c r="AD38" i="198" s="1"/>
  <c r="R30" i="198"/>
  <c r="Q30" i="198"/>
  <c r="Q29" i="198"/>
  <c r="R29" i="198"/>
  <c r="R28" i="198"/>
  <c r="Q28" i="198"/>
  <c r="Q37" i="198"/>
  <c r="AB37" i="198"/>
  <c r="AC37" i="198"/>
  <c r="AD27" i="198" s="1"/>
  <c r="R27" i="198"/>
  <c r="Q27" i="198"/>
  <c r="O37" i="198"/>
  <c r="R20" i="198"/>
  <c r="Q20" i="198"/>
  <c r="Q19" i="198"/>
  <c r="R19" i="198"/>
  <c r="Q18" i="198"/>
  <c r="R18" i="198"/>
  <c r="Q17" i="198"/>
  <c r="R17" i="198"/>
  <c r="AB26" i="198"/>
  <c r="AC26" i="198"/>
  <c r="AD16" i="198" s="1"/>
  <c r="Q16" i="198"/>
  <c r="O26" i="198"/>
  <c r="R16" i="198"/>
  <c r="R9" i="198"/>
  <c r="Q9" i="198"/>
  <c r="R8" i="198"/>
  <c r="Q8" i="198"/>
  <c r="Q7" i="198"/>
  <c r="R7" i="198"/>
  <c r="Q6" i="198"/>
  <c r="R6" i="198"/>
  <c r="Q5" i="198"/>
  <c r="O15" i="198"/>
  <c r="R5" i="198"/>
  <c r="AB15" i="198"/>
  <c r="AC15" i="198"/>
  <c r="AD5" i="198" s="1"/>
  <c r="H6" i="197"/>
  <c r="F6" i="197"/>
  <c r="R61" i="196"/>
  <c r="Q61" i="196"/>
  <c r="Q60" i="196"/>
  <c r="R60" i="196"/>
  <c r="AC69" i="196"/>
  <c r="AD59" i="196" s="1"/>
  <c r="Q69" i="196"/>
  <c r="AB69" i="196"/>
  <c r="Q59" i="196"/>
  <c r="R59" i="196"/>
  <c r="O69" i="196"/>
  <c r="Q51" i="196"/>
  <c r="R51" i="196"/>
  <c r="Q50" i="196"/>
  <c r="R50" i="196"/>
  <c r="Q58" i="196"/>
  <c r="AB58" i="196"/>
  <c r="AC58" i="196"/>
  <c r="AD49" i="196" s="1"/>
  <c r="Q49" i="196"/>
  <c r="R49" i="196"/>
  <c r="O58" i="196"/>
  <c r="Q41" i="196"/>
  <c r="R41" i="196"/>
  <c r="Q40" i="196"/>
  <c r="R40" i="196"/>
  <c r="R39" i="196"/>
  <c r="Q39" i="196"/>
  <c r="Q48" i="196"/>
  <c r="AC48" i="196"/>
  <c r="AD38" i="196" s="1"/>
  <c r="AB48" i="196"/>
  <c r="Q38" i="196"/>
  <c r="R38" i="196"/>
  <c r="O48" i="196"/>
  <c r="Q30" i="196"/>
  <c r="R30" i="196"/>
  <c r="Q29" i="196"/>
  <c r="R29" i="196"/>
  <c r="Q28" i="196"/>
  <c r="R28" i="196"/>
  <c r="Q27" i="196"/>
  <c r="R27" i="196"/>
  <c r="O37" i="196"/>
  <c r="Q37" i="196"/>
  <c r="AB37" i="196"/>
  <c r="AC37" i="196"/>
  <c r="AD27" i="196" s="1"/>
  <c r="Q20" i="196"/>
  <c r="R20" i="196"/>
  <c r="R19" i="196"/>
  <c r="Q19" i="196"/>
  <c r="Q18" i="196"/>
  <c r="R18" i="196"/>
  <c r="Q17" i="196"/>
  <c r="R17" i="196"/>
  <c r="Q16" i="196"/>
  <c r="R16" i="196"/>
  <c r="O26" i="196"/>
  <c r="AB26" i="196"/>
  <c r="AC26" i="196"/>
  <c r="AD16" i="196" s="1"/>
  <c r="Q8" i="196"/>
  <c r="R8" i="196"/>
  <c r="Q7" i="196"/>
  <c r="R7" i="196"/>
  <c r="Q6" i="196"/>
  <c r="R6" i="196"/>
  <c r="AB15" i="196"/>
  <c r="AC15" i="196"/>
  <c r="AD5" i="196" s="1"/>
  <c r="Q5" i="196"/>
  <c r="O15" i="196"/>
  <c r="R5" i="196"/>
  <c r="F6" i="195"/>
  <c r="H6" i="195"/>
  <c r="Q61" i="194"/>
  <c r="R61" i="194"/>
  <c r="Q60" i="194"/>
  <c r="R60" i="194"/>
  <c r="R59" i="194"/>
  <c r="O69" i="194"/>
  <c r="Q59" i="194"/>
  <c r="AB69" i="194"/>
  <c r="Q69" i="194"/>
  <c r="AC69" i="194"/>
  <c r="AD59" i="194" s="1"/>
  <c r="R50" i="194"/>
  <c r="Q50" i="194"/>
  <c r="Q49" i="194"/>
  <c r="R49" i="194"/>
  <c r="O58" i="194"/>
  <c r="Q58" i="194"/>
  <c r="AB58" i="194"/>
  <c r="AC58" i="194"/>
  <c r="AD49" i="194" s="1"/>
  <c r="Q41" i="194"/>
  <c r="R41" i="194"/>
  <c r="Q40" i="194"/>
  <c r="R40" i="194"/>
  <c r="Q39" i="194"/>
  <c r="R39" i="194"/>
  <c r="Q38" i="194"/>
  <c r="O48" i="194"/>
  <c r="R38" i="194"/>
  <c r="AC48" i="194"/>
  <c r="AD38" i="194" s="1"/>
  <c r="Q48" i="194"/>
  <c r="AB48" i="194"/>
  <c r="Q30" i="194"/>
  <c r="R30" i="194"/>
  <c r="Q29" i="194"/>
  <c r="R29" i="194"/>
  <c r="Q28" i="194"/>
  <c r="R28" i="194"/>
  <c r="Q27" i="194"/>
  <c r="R27" i="194"/>
  <c r="O37" i="194"/>
  <c r="Q19" i="194"/>
  <c r="R19" i="194"/>
  <c r="Q18" i="194"/>
  <c r="R18" i="194"/>
  <c r="Q17" i="194"/>
  <c r="R17" i="194"/>
  <c r="Q16" i="194"/>
  <c r="R16" i="194"/>
  <c r="O26" i="194"/>
  <c r="AB26" i="194"/>
  <c r="AC26" i="194"/>
  <c r="AD16" i="194" s="1"/>
  <c r="Q8" i="194"/>
  <c r="R8" i="194"/>
  <c r="Q7" i="194"/>
  <c r="R7" i="194"/>
  <c r="Q6" i="194"/>
  <c r="R6" i="194"/>
  <c r="AB15" i="194"/>
  <c r="AC15" i="194"/>
  <c r="AD5" i="194" s="1"/>
  <c r="Q5" i="194"/>
  <c r="R5" i="194"/>
  <c r="O15" i="194"/>
  <c r="F6" i="193"/>
  <c r="H6" i="193"/>
  <c r="Q62" i="192"/>
  <c r="R62" i="192"/>
  <c r="Q61" i="192"/>
  <c r="R61" i="192"/>
  <c r="Q60" i="192"/>
  <c r="R60" i="192"/>
  <c r="Q69" i="192"/>
  <c r="AB69" i="192"/>
  <c r="AC69" i="192"/>
  <c r="AD59" i="192" s="1"/>
  <c r="Q59" i="192"/>
  <c r="R59" i="192"/>
  <c r="O69" i="192"/>
  <c r="Q52" i="192"/>
  <c r="R52" i="192"/>
  <c r="Q51" i="192"/>
  <c r="R51" i="192"/>
  <c r="Q50" i="192"/>
  <c r="R50" i="192"/>
  <c r="Q49" i="192"/>
  <c r="R49" i="192"/>
  <c r="O58" i="192"/>
  <c r="Q58" i="192"/>
  <c r="AB58" i="192"/>
  <c r="AC58" i="192"/>
  <c r="AD49" i="192" s="1"/>
  <c r="Q41" i="192"/>
  <c r="R41" i="192"/>
  <c r="Q40" i="192"/>
  <c r="R40" i="192"/>
  <c r="Q39" i="192"/>
  <c r="R39" i="192"/>
  <c r="Q48" i="192"/>
  <c r="AB48" i="192"/>
  <c r="AC48" i="192"/>
  <c r="AD38" i="192" s="1"/>
  <c r="Q38" i="192"/>
  <c r="R38" i="192"/>
  <c r="O48" i="192"/>
  <c r="Q30" i="192"/>
  <c r="R30" i="192"/>
  <c r="Q29" i="192"/>
  <c r="R29" i="192"/>
  <c r="Q28" i="192"/>
  <c r="R28" i="192"/>
  <c r="Q37" i="192"/>
  <c r="AB37" i="192"/>
  <c r="AC37" i="192"/>
  <c r="AD27" i="192" s="1"/>
  <c r="Q27" i="192"/>
  <c r="R27" i="192"/>
  <c r="O37" i="192"/>
  <c r="Q19" i="192"/>
  <c r="R19" i="192"/>
  <c r="Q18" i="192"/>
  <c r="R18" i="192"/>
  <c r="Q17" i="192"/>
  <c r="R17" i="192"/>
  <c r="AB26" i="192"/>
  <c r="AC26" i="192"/>
  <c r="AD16" i="192" s="1"/>
  <c r="Q16" i="192"/>
  <c r="R16" i="192"/>
  <c r="O26" i="192"/>
  <c r="Q9" i="192"/>
  <c r="R9" i="192"/>
  <c r="Q8" i="192"/>
  <c r="R8" i="192"/>
  <c r="Q7" i="192"/>
  <c r="R7" i="192"/>
  <c r="Q6" i="192"/>
  <c r="R6" i="192"/>
  <c r="AB15" i="192"/>
  <c r="AC15" i="192"/>
  <c r="AD5" i="192" s="1"/>
  <c r="Q5" i="192"/>
  <c r="R5" i="192"/>
  <c r="O15" i="192"/>
  <c r="F6" i="191"/>
  <c r="H6" i="191"/>
  <c r="Q63" i="190"/>
  <c r="R63" i="190"/>
  <c r="Q62" i="190"/>
  <c r="R62" i="190"/>
  <c r="Q61" i="190"/>
  <c r="R61" i="190"/>
  <c r="Q60" i="190"/>
  <c r="R60" i="190"/>
  <c r="Q59" i="190"/>
  <c r="R59" i="190"/>
  <c r="O69" i="190"/>
  <c r="Q69" i="190"/>
  <c r="AB69" i="190"/>
  <c r="AC69" i="190"/>
  <c r="AD59" i="190" s="1"/>
  <c r="Q52" i="190"/>
  <c r="R52" i="190"/>
  <c r="Q51" i="190"/>
  <c r="R51" i="190"/>
  <c r="Q50" i="190"/>
  <c r="R50" i="190"/>
  <c r="Q58" i="190"/>
  <c r="AB58" i="190"/>
  <c r="AC58" i="190"/>
  <c r="AD49" i="190" s="1"/>
  <c r="Q49" i="190"/>
  <c r="R49" i="190"/>
  <c r="O58" i="190"/>
  <c r="Q41" i="190"/>
  <c r="R41" i="190"/>
  <c r="Q40" i="190"/>
  <c r="R40" i="190"/>
  <c r="Q39" i="190"/>
  <c r="R39" i="190"/>
  <c r="Q48" i="190"/>
  <c r="AB48" i="190"/>
  <c r="AC48" i="190"/>
  <c r="AD38" i="190" s="1"/>
  <c r="Q38" i="190"/>
  <c r="R38" i="190"/>
  <c r="O48" i="190"/>
  <c r="Q30" i="190"/>
  <c r="R30" i="190"/>
  <c r="Q29" i="190"/>
  <c r="R29" i="190"/>
  <c r="Q28" i="190"/>
  <c r="R28" i="190"/>
  <c r="Q37" i="190"/>
  <c r="AB37" i="190"/>
  <c r="AC37" i="190"/>
  <c r="AD27" i="190" s="1"/>
  <c r="Q27" i="190"/>
  <c r="R27" i="190"/>
  <c r="O37" i="190"/>
  <c r="Q19" i="190"/>
  <c r="R19" i="190"/>
  <c r="Q18" i="190"/>
  <c r="R18" i="190"/>
  <c r="Q17" i="190"/>
  <c r="R17" i="190"/>
  <c r="Q16" i="190"/>
  <c r="R16" i="190"/>
  <c r="O26" i="190"/>
  <c r="AB26" i="190"/>
  <c r="AC26" i="190"/>
  <c r="AD16" i="190" s="1"/>
  <c r="Q9" i="190"/>
  <c r="R9" i="190"/>
  <c r="Q8" i="190"/>
  <c r="R8" i="190"/>
  <c r="Q7" i="190"/>
  <c r="R7" i="190"/>
  <c r="Q6" i="190"/>
  <c r="R6" i="190"/>
  <c r="Q5" i="190"/>
  <c r="R5" i="190"/>
  <c r="O15" i="190"/>
  <c r="AB15" i="190"/>
  <c r="AC15" i="190"/>
  <c r="AD5" i="190" s="1"/>
  <c r="F6" i="189"/>
  <c r="H6" i="189"/>
  <c r="Q62" i="188"/>
  <c r="R62" i="188"/>
  <c r="Q61" i="188"/>
  <c r="R61" i="188"/>
  <c r="Q60" i="188"/>
  <c r="R60" i="188"/>
  <c r="Q69" i="188"/>
  <c r="AB69" i="188"/>
  <c r="AC69" i="188"/>
  <c r="AD59" i="188" s="1"/>
  <c r="Q59" i="188"/>
  <c r="R59" i="188"/>
  <c r="O69" i="188"/>
  <c r="Q52" i="188"/>
  <c r="R52" i="188"/>
  <c r="Q51" i="188"/>
  <c r="R51" i="188"/>
  <c r="Q50" i="188"/>
  <c r="R50" i="188"/>
  <c r="Q49" i="188"/>
  <c r="R49" i="188"/>
  <c r="O58" i="188"/>
  <c r="Q58" i="188"/>
  <c r="AB58" i="188"/>
  <c r="AC58" i="188"/>
  <c r="AD49" i="188" s="1"/>
  <c r="Q41" i="188"/>
  <c r="R41" i="188"/>
  <c r="Q40" i="188"/>
  <c r="R40" i="188"/>
  <c r="Q39" i="188"/>
  <c r="R39" i="188"/>
  <c r="Q48" i="188"/>
  <c r="AB48" i="188"/>
  <c r="AC48" i="188"/>
  <c r="AD38" i="188" s="1"/>
  <c r="Q38" i="188"/>
  <c r="R38" i="188"/>
  <c r="O48" i="188"/>
  <c r="Q30" i="188"/>
  <c r="R30" i="188"/>
  <c r="Q29" i="188"/>
  <c r="R29" i="188"/>
  <c r="Q28" i="188"/>
  <c r="R28" i="188"/>
  <c r="Q27" i="188"/>
  <c r="R27" i="188"/>
  <c r="O37" i="188"/>
  <c r="Q37" i="188"/>
  <c r="AB37" i="188"/>
  <c r="AC37" i="188"/>
  <c r="AD27" i="188" s="1"/>
  <c r="Q20" i="188"/>
  <c r="R20" i="188"/>
  <c r="Q19" i="188"/>
  <c r="R19" i="188"/>
  <c r="Q18" i="188"/>
  <c r="R18" i="188"/>
  <c r="Q17" i="188"/>
  <c r="R17" i="188"/>
  <c r="Q16" i="188"/>
  <c r="R16" i="188"/>
  <c r="O26" i="188"/>
  <c r="AB26" i="188"/>
  <c r="AC26" i="188"/>
  <c r="AD16" i="188" s="1"/>
  <c r="Q9" i="188"/>
  <c r="R9" i="188"/>
  <c r="Q8" i="188"/>
  <c r="R8" i="188"/>
  <c r="Q7" i="188"/>
  <c r="R7" i="188"/>
  <c r="Q6" i="188"/>
  <c r="R6" i="188"/>
  <c r="AB15" i="188"/>
  <c r="AC15" i="188"/>
  <c r="AD5" i="188" s="1"/>
  <c r="Q5" i="188"/>
  <c r="R5" i="188"/>
  <c r="O15" i="188"/>
  <c r="F6" i="187"/>
  <c r="H6" i="187"/>
  <c r="Q62" i="186"/>
  <c r="R62" i="186"/>
  <c r="Q61" i="186"/>
  <c r="R61" i="186"/>
  <c r="Q60" i="186"/>
  <c r="R60" i="186"/>
  <c r="Q69" i="186"/>
  <c r="AB69" i="186"/>
  <c r="AC69" i="186"/>
  <c r="AD59" i="186" s="1"/>
  <c r="Q59" i="186"/>
  <c r="R59" i="186"/>
  <c r="O69" i="186"/>
  <c r="Q52" i="186"/>
  <c r="R52" i="186"/>
  <c r="Q51" i="186"/>
  <c r="R51" i="186"/>
  <c r="Q50" i="186"/>
  <c r="R50" i="186"/>
  <c r="Q58" i="186"/>
  <c r="AB58" i="186"/>
  <c r="AC58" i="186"/>
  <c r="AD49" i="186" s="1"/>
  <c r="Q49" i="186"/>
  <c r="R49" i="186"/>
  <c r="O58" i="186"/>
  <c r="Q41" i="186"/>
  <c r="R41" i="186"/>
  <c r="Q40" i="186"/>
  <c r="R40" i="186"/>
  <c r="Q39" i="186"/>
  <c r="R39" i="186"/>
  <c r="Q48" i="186"/>
  <c r="AB48" i="186"/>
  <c r="AC48" i="186"/>
  <c r="AD38" i="186" s="1"/>
  <c r="Q38" i="186"/>
  <c r="R38" i="186"/>
  <c r="O48" i="186"/>
  <c r="Q30" i="186"/>
  <c r="R30" i="186"/>
  <c r="Q29" i="186"/>
  <c r="R29" i="186"/>
  <c r="Q28" i="186"/>
  <c r="R28" i="186"/>
  <c r="Q27" i="186"/>
  <c r="R27" i="186"/>
  <c r="O37" i="186"/>
  <c r="Q37" i="186"/>
  <c r="AB37" i="186"/>
  <c r="AC37" i="186"/>
  <c r="AD27" i="186" s="1"/>
  <c r="Q20" i="186"/>
  <c r="R20" i="186"/>
  <c r="Q19" i="186"/>
  <c r="R19" i="186"/>
  <c r="Q18" i="186"/>
  <c r="R18" i="186"/>
  <c r="Q17" i="186"/>
  <c r="R17" i="186"/>
  <c r="Q16" i="186"/>
  <c r="R16" i="186"/>
  <c r="O26" i="186"/>
  <c r="AB26" i="186"/>
  <c r="AC26" i="186"/>
  <c r="AD16" i="186" s="1"/>
  <c r="Q9" i="186"/>
  <c r="R9" i="186"/>
  <c r="Q8" i="186"/>
  <c r="R8" i="186"/>
  <c r="Q7" i="186"/>
  <c r="R7" i="186"/>
  <c r="Q6" i="186"/>
  <c r="R6" i="186"/>
  <c r="AB15" i="186"/>
  <c r="AC15" i="186"/>
  <c r="AD5" i="186" s="1"/>
  <c r="Q5" i="186"/>
  <c r="R5" i="186"/>
  <c r="O15" i="186"/>
  <c r="F6" i="185"/>
  <c r="H6" i="185"/>
  <c r="J3" i="187"/>
  <c r="G2" i="188"/>
  <c r="J6" i="252"/>
  <c r="J79" i="202"/>
  <c r="P69" i="202"/>
  <c r="L69" i="198"/>
  <c r="I13" i="197" s="1"/>
  <c r="J6" i="197" s="1"/>
  <c r="Q59" i="198"/>
  <c r="R59" i="198"/>
  <c r="R79" i="263" l="1"/>
  <c r="S70" i="263" s="1"/>
  <c r="J14" i="262"/>
  <c r="J15" i="262" s="1"/>
  <c r="R69" i="263"/>
  <c r="S59" i="263" s="1"/>
  <c r="I14" i="262"/>
  <c r="R58" i="263"/>
  <c r="S49" i="263" s="1"/>
  <c r="H14" i="262"/>
  <c r="H15" i="262" s="1"/>
  <c r="R48" i="263"/>
  <c r="S38" i="263" s="1"/>
  <c r="G14" i="262"/>
  <c r="G15" i="262" s="1"/>
  <c r="R37" i="263"/>
  <c r="S27" i="263" s="1"/>
  <c r="F14" i="262"/>
  <c r="F15" i="262" s="1"/>
  <c r="Q26" i="263"/>
  <c r="R26" i="263"/>
  <c r="S16" i="263" s="1"/>
  <c r="E14" i="262"/>
  <c r="E15" i="262" s="1"/>
  <c r="Q15" i="263"/>
  <c r="R15" i="263"/>
  <c r="S5" i="263" s="1"/>
  <c r="D14" i="262"/>
  <c r="E2" i="263"/>
  <c r="R79" i="261"/>
  <c r="S70" i="261" s="1"/>
  <c r="J14" i="260"/>
  <c r="J15" i="260" s="1"/>
  <c r="R69" i="261"/>
  <c r="S59" i="261" s="1"/>
  <c r="I14" i="260"/>
  <c r="R58" i="261"/>
  <c r="S49" i="261" s="1"/>
  <c r="H14" i="260"/>
  <c r="H15" i="260" s="1"/>
  <c r="R48" i="261"/>
  <c r="S38" i="261" s="1"/>
  <c r="G14" i="260"/>
  <c r="G15" i="260" s="1"/>
  <c r="R37" i="261"/>
  <c r="S27" i="261" s="1"/>
  <c r="F14" i="260"/>
  <c r="F15" i="260" s="1"/>
  <c r="Q26" i="261"/>
  <c r="R26" i="261"/>
  <c r="S16" i="261" s="1"/>
  <c r="E14" i="260"/>
  <c r="E15" i="260" s="1"/>
  <c r="Q15" i="261"/>
  <c r="R15" i="261"/>
  <c r="S5" i="261" s="1"/>
  <c r="D14" i="260"/>
  <c r="E2" i="261"/>
  <c r="R79" i="259"/>
  <c r="S70" i="259" s="1"/>
  <c r="J14" i="258"/>
  <c r="J15" i="258" s="1"/>
  <c r="R69" i="259"/>
  <c r="S59" i="259" s="1"/>
  <c r="I14" i="258"/>
  <c r="R58" i="259"/>
  <c r="S49" i="259" s="1"/>
  <c r="H14" i="258"/>
  <c r="H15" i="258" s="1"/>
  <c r="R48" i="259"/>
  <c r="S38" i="259" s="1"/>
  <c r="G14" i="258"/>
  <c r="G15" i="258" s="1"/>
  <c r="R37" i="259"/>
  <c r="S27" i="259" s="1"/>
  <c r="F14" i="258"/>
  <c r="F15" i="258" s="1"/>
  <c r="Q26" i="259"/>
  <c r="R26" i="259"/>
  <c r="S16" i="259" s="1"/>
  <c r="E14" i="258"/>
  <c r="E15" i="258" s="1"/>
  <c r="Q15" i="259"/>
  <c r="R15" i="259"/>
  <c r="S5" i="259" s="1"/>
  <c r="D14" i="258"/>
  <c r="E2" i="259"/>
  <c r="R79" i="257"/>
  <c r="S70" i="257" s="1"/>
  <c r="J14" i="256"/>
  <c r="J15" i="256" s="1"/>
  <c r="R69" i="257"/>
  <c r="S59" i="257" s="1"/>
  <c r="I14" i="256"/>
  <c r="R58" i="257"/>
  <c r="S49" i="257" s="1"/>
  <c r="H14" i="256"/>
  <c r="H15" i="256" s="1"/>
  <c r="R48" i="257"/>
  <c r="S38" i="257" s="1"/>
  <c r="G14" i="256"/>
  <c r="G15" i="256" s="1"/>
  <c r="R37" i="257"/>
  <c r="S27" i="257" s="1"/>
  <c r="F14" i="256"/>
  <c r="F15" i="256" s="1"/>
  <c r="Q26" i="257"/>
  <c r="R26" i="257"/>
  <c r="S16" i="257" s="1"/>
  <c r="E14" i="256"/>
  <c r="E15" i="256" s="1"/>
  <c r="Q15" i="257"/>
  <c r="R15" i="257"/>
  <c r="S5" i="257" s="1"/>
  <c r="D14" i="256"/>
  <c r="E2" i="257"/>
  <c r="R79" i="255"/>
  <c r="S70" i="255" s="1"/>
  <c r="J14" i="254"/>
  <c r="J15" i="254" s="1"/>
  <c r="R69" i="255"/>
  <c r="S59" i="255" s="1"/>
  <c r="I14" i="254"/>
  <c r="R58" i="255"/>
  <c r="S49" i="255" s="1"/>
  <c r="H14" i="254"/>
  <c r="H15" i="254" s="1"/>
  <c r="R48" i="255"/>
  <c r="S38" i="255" s="1"/>
  <c r="G14" i="254"/>
  <c r="G15" i="254" s="1"/>
  <c r="R37" i="255"/>
  <c r="S27" i="255" s="1"/>
  <c r="F14" i="254"/>
  <c r="F15" i="254" s="1"/>
  <c r="Q26" i="255"/>
  <c r="R26" i="255"/>
  <c r="S16" i="255" s="1"/>
  <c r="E14" i="254"/>
  <c r="E15" i="254" s="1"/>
  <c r="Q15" i="255"/>
  <c r="R15" i="255"/>
  <c r="S5" i="255" s="1"/>
  <c r="D14" i="254"/>
  <c r="E2" i="255"/>
  <c r="R79" i="253"/>
  <c r="S70" i="253" s="1"/>
  <c r="J14" i="252"/>
  <c r="J15" i="252" s="1"/>
  <c r="R69" i="253"/>
  <c r="S59" i="253" s="1"/>
  <c r="I14" i="252"/>
  <c r="R58" i="253"/>
  <c r="S49" i="253" s="1"/>
  <c r="H14" i="252"/>
  <c r="H15" i="252" s="1"/>
  <c r="R48" i="253"/>
  <c r="S38" i="253" s="1"/>
  <c r="G14" i="252"/>
  <c r="G15" i="252" s="1"/>
  <c r="R37" i="253"/>
  <c r="S27" i="253" s="1"/>
  <c r="F14" i="252"/>
  <c r="F15" i="252" s="1"/>
  <c r="Q26" i="253"/>
  <c r="R26" i="253"/>
  <c r="S16" i="253" s="1"/>
  <c r="E14" i="252"/>
  <c r="E15" i="252" s="1"/>
  <c r="Q15" i="253"/>
  <c r="R15" i="253"/>
  <c r="S5" i="253" s="1"/>
  <c r="D14" i="252"/>
  <c r="E2" i="253"/>
  <c r="R79" i="239"/>
  <c r="S70" i="239" s="1"/>
  <c r="J14" i="238"/>
  <c r="J15" i="238" s="1"/>
  <c r="R69" i="239"/>
  <c r="S59" i="239" s="1"/>
  <c r="I14" i="238"/>
  <c r="R58" i="239"/>
  <c r="S49" i="239" s="1"/>
  <c r="H14" i="238"/>
  <c r="H15" i="238" s="1"/>
  <c r="R48" i="239"/>
  <c r="S38" i="239" s="1"/>
  <c r="G14" i="238"/>
  <c r="G15" i="238" s="1"/>
  <c r="R37" i="239"/>
  <c r="S27" i="239" s="1"/>
  <c r="F14" i="238"/>
  <c r="F15" i="238" s="1"/>
  <c r="Q26" i="239"/>
  <c r="R26" i="239"/>
  <c r="S16" i="239" s="1"/>
  <c r="E14" i="238"/>
  <c r="E15" i="238" s="1"/>
  <c r="Q15" i="239"/>
  <c r="R15" i="239"/>
  <c r="S5" i="239" s="1"/>
  <c r="D14" i="238"/>
  <c r="E2" i="239"/>
  <c r="J14" i="236"/>
  <c r="R79" i="237"/>
  <c r="S70" i="237" s="1"/>
  <c r="J15" i="236" s="1"/>
  <c r="I14" i="236"/>
  <c r="R69" i="237"/>
  <c r="S59" i="237" s="1"/>
  <c r="R58" i="237"/>
  <c r="S49" i="237" s="1"/>
  <c r="H14" i="236"/>
  <c r="H15" i="236" s="1"/>
  <c r="R48" i="237"/>
  <c r="S38" i="237" s="1"/>
  <c r="G14" i="236"/>
  <c r="G15" i="236" s="1"/>
  <c r="R37" i="237"/>
  <c r="S27" i="237" s="1"/>
  <c r="F14" i="236"/>
  <c r="F15" i="236" s="1"/>
  <c r="Q26" i="237"/>
  <c r="R26" i="237"/>
  <c r="S16" i="237" s="1"/>
  <c r="E14" i="236"/>
  <c r="E15" i="236" s="1"/>
  <c r="Q15" i="237"/>
  <c r="R15" i="237"/>
  <c r="S5" i="237" s="1"/>
  <c r="D14" i="236"/>
  <c r="E2" i="237"/>
  <c r="R69" i="232"/>
  <c r="S59" i="232" s="1"/>
  <c r="I14" i="231"/>
  <c r="O79" i="232"/>
  <c r="R58" i="232"/>
  <c r="S49" i="232" s="1"/>
  <c r="H14" i="231"/>
  <c r="H15" i="231" s="1"/>
  <c r="R48" i="232"/>
  <c r="S38" i="232" s="1"/>
  <c r="G14" i="231"/>
  <c r="G15" i="231" s="1"/>
  <c r="R37" i="232"/>
  <c r="S27" i="232" s="1"/>
  <c r="F14" i="231"/>
  <c r="F15" i="231" s="1"/>
  <c r="Q26" i="232"/>
  <c r="R26" i="232"/>
  <c r="S16" i="232" s="1"/>
  <c r="E14" i="231"/>
  <c r="E15" i="231" s="1"/>
  <c r="R15" i="232"/>
  <c r="S5" i="232" s="1"/>
  <c r="Q15" i="232"/>
  <c r="D14" i="231"/>
  <c r="E2" i="232"/>
  <c r="R69" i="230"/>
  <c r="S59" i="230" s="1"/>
  <c r="I14" i="229"/>
  <c r="R58" i="230"/>
  <c r="S49" i="230" s="1"/>
  <c r="H14" i="229"/>
  <c r="H15" i="229" s="1"/>
  <c r="R48" i="230"/>
  <c r="S38" i="230" s="1"/>
  <c r="G14" i="229"/>
  <c r="G15" i="229" s="1"/>
  <c r="R37" i="230"/>
  <c r="S27" i="230" s="1"/>
  <c r="F14" i="229"/>
  <c r="F15" i="229" s="1"/>
  <c r="Q26" i="230"/>
  <c r="R26" i="230"/>
  <c r="S16" i="230" s="1"/>
  <c r="E14" i="229"/>
  <c r="E15" i="229" s="1"/>
  <c r="R15" i="230"/>
  <c r="S5" i="230" s="1"/>
  <c r="E2" i="230"/>
  <c r="Q15" i="230"/>
  <c r="D14" i="229"/>
  <c r="R69" i="228"/>
  <c r="S59" i="228" s="1"/>
  <c r="I14" i="227"/>
  <c r="R58" i="228"/>
  <c r="S49" i="228" s="1"/>
  <c r="H14" i="227"/>
  <c r="H15" i="227" s="1"/>
  <c r="R48" i="228"/>
  <c r="S38" i="228" s="1"/>
  <c r="G14" i="227"/>
  <c r="G15" i="227" s="1"/>
  <c r="R37" i="228"/>
  <c r="S27" i="228" s="1"/>
  <c r="F14" i="227"/>
  <c r="F15" i="227" s="1"/>
  <c r="Q26" i="228"/>
  <c r="R26" i="228"/>
  <c r="S16" i="228" s="1"/>
  <c r="E14" i="227"/>
  <c r="E15" i="227" s="1"/>
  <c r="R15" i="228"/>
  <c r="S5" i="228" s="1"/>
  <c r="Q15" i="228"/>
  <c r="D14" i="227"/>
  <c r="E2" i="228"/>
  <c r="R69" i="226"/>
  <c r="S59" i="226" s="1"/>
  <c r="I14" i="224"/>
  <c r="R58" i="226"/>
  <c r="S49" i="226" s="1"/>
  <c r="H14" i="224"/>
  <c r="H15" i="224" s="1"/>
  <c r="R48" i="226"/>
  <c r="S38" i="226" s="1"/>
  <c r="G14" i="224"/>
  <c r="G15" i="224" s="1"/>
  <c r="R37" i="226"/>
  <c r="S27" i="226" s="1"/>
  <c r="F14" i="224"/>
  <c r="F15" i="224" s="1"/>
  <c r="Q26" i="226"/>
  <c r="R26" i="226"/>
  <c r="S16" i="226" s="1"/>
  <c r="E14" i="224"/>
  <c r="E15" i="224" s="1"/>
  <c r="Q15" i="226"/>
  <c r="R15" i="226"/>
  <c r="S5" i="226" s="1"/>
  <c r="D14" i="224"/>
  <c r="E2" i="226"/>
  <c r="R69" i="223"/>
  <c r="S59" i="223" s="1"/>
  <c r="I14" i="222"/>
  <c r="R58" i="223"/>
  <c r="S49" i="223" s="1"/>
  <c r="H14" i="222"/>
  <c r="H15" i="222" s="1"/>
  <c r="R48" i="223"/>
  <c r="S38" i="223" s="1"/>
  <c r="G14" i="222"/>
  <c r="G15" i="222" s="1"/>
  <c r="R37" i="223"/>
  <c r="S27" i="223" s="1"/>
  <c r="F14" i="222"/>
  <c r="F15" i="222" s="1"/>
  <c r="Q26" i="223"/>
  <c r="R26" i="223"/>
  <c r="S16" i="223" s="1"/>
  <c r="E14" i="222"/>
  <c r="E15" i="222" s="1"/>
  <c r="Q15" i="223"/>
  <c r="R15" i="223"/>
  <c r="S5" i="223" s="1"/>
  <c r="D14" i="222"/>
  <c r="E2" i="223"/>
  <c r="R69" i="221"/>
  <c r="S59" i="221" s="1"/>
  <c r="I14" i="220"/>
  <c r="R58" i="221"/>
  <c r="S49" i="221" s="1"/>
  <c r="H14" i="220"/>
  <c r="H15" i="220" s="1"/>
  <c r="R48" i="221"/>
  <c r="S38" i="221" s="1"/>
  <c r="G14" i="220"/>
  <c r="G15" i="220" s="1"/>
  <c r="R37" i="221"/>
  <c r="S27" i="221" s="1"/>
  <c r="F14" i="220"/>
  <c r="F15" i="220" s="1"/>
  <c r="Q26" i="221"/>
  <c r="R26" i="221"/>
  <c r="S16" i="221" s="1"/>
  <c r="E14" i="220"/>
  <c r="E15" i="220" s="1"/>
  <c r="Q15" i="221"/>
  <c r="R15" i="221"/>
  <c r="S5" i="221" s="1"/>
  <c r="D14" i="220"/>
  <c r="E2" i="221"/>
  <c r="R69" i="219"/>
  <c r="S59" i="219" s="1"/>
  <c r="I14" i="218"/>
  <c r="R58" i="219"/>
  <c r="S49" i="219" s="1"/>
  <c r="H14" i="218"/>
  <c r="H15" i="218" s="1"/>
  <c r="R48" i="219"/>
  <c r="S38" i="219" s="1"/>
  <c r="G14" i="218"/>
  <c r="G15" i="218" s="1"/>
  <c r="R37" i="219"/>
  <c r="S27" i="219" s="1"/>
  <c r="F14" i="218"/>
  <c r="F15" i="218" s="1"/>
  <c r="Q26" i="219"/>
  <c r="R26" i="219"/>
  <c r="S16" i="219" s="1"/>
  <c r="E14" i="218"/>
  <c r="E15" i="218" s="1"/>
  <c r="Q15" i="219"/>
  <c r="R15" i="219"/>
  <c r="S5" i="219" s="1"/>
  <c r="D14" i="218"/>
  <c r="E2" i="219"/>
  <c r="R69" i="216"/>
  <c r="S59" i="216" s="1"/>
  <c r="I14" i="215"/>
  <c r="R58" i="216"/>
  <c r="S49" i="216" s="1"/>
  <c r="H14" i="215"/>
  <c r="H15" i="215" s="1"/>
  <c r="R48" i="216"/>
  <c r="S38" i="216" s="1"/>
  <c r="G14" i="215"/>
  <c r="G15" i="215" s="1"/>
  <c r="R37" i="216"/>
  <c r="S27" i="216" s="1"/>
  <c r="F14" i="215"/>
  <c r="F15" i="215" s="1"/>
  <c r="Q26" i="216"/>
  <c r="R26" i="216"/>
  <c r="S16" i="216" s="1"/>
  <c r="E14" i="215"/>
  <c r="E15" i="215" s="1"/>
  <c r="Q15" i="216"/>
  <c r="R15" i="216"/>
  <c r="S5" i="216" s="1"/>
  <c r="D14" i="215"/>
  <c r="E2" i="216"/>
  <c r="R69" i="214"/>
  <c r="S59" i="214" s="1"/>
  <c r="I14" i="213"/>
  <c r="R58" i="214"/>
  <c r="S49" i="214" s="1"/>
  <c r="H14" i="213"/>
  <c r="H15" i="213" s="1"/>
  <c r="R48" i="214"/>
  <c r="S38" i="214" s="1"/>
  <c r="G14" i="213"/>
  <c r="G15" i="213" s="1"/>
  <c r="R37" i="214"/>
  <c r="S27" i="214" s="1"/>
  <c r="F14" i="213"/>
  <c r="F15" i="213" s="1"/>
  <c r="R26" i="214"/>
  <c r="S16" i="214" s="1"/>
  <c r="E14" i="213"/>
  <c r="E15" i="213" s="1"/>
  <c r="Q26" i="214"/>
  <c r="Q15" i="214"/>
  <c r="R15" i="214"/>
  <c r="S5" i="214" s="1"/>
  <c r="D14" i="213"/>
  <c r="E2" i="214"/>
  <c r="I14" i="211"/>
  <c r="R69" i="212"/>
  <c r="S59" i="212" s="1"/>
  <c r="R58" i="212"/>
  <c r="S49" i="212" s="1"/>
  <c r="H14" i="211"/>
  <c r="H15" i="211" s="1"/>
  <c r="R48" i="212"/>
  <c r="S38" i="212" s="1"/>
  <c r="G14" i="211"/>
  <c r="G15" i="211" s="1"/>
  <c r="F14" i="211"/>
  <c r="F15" i="211" s="1"/>
  <c r="R37" i="212"/>
  <c r="S27" i="212" s="1"/>
  <c r="R26" i="212"/>
  <c r="S16" i="212" s="1"/>
  <c r="E14" i="211"/>
  <c r="E15" i="211" s="1"/>
  <c r="Q26" i="212"/>
  <c r="D14" i="211"/>
  <c r="Q15" i="212"/>
  <c r="R15" i="212"/>
  <c r="S5" i="212" s="1"/>
  <c r="E2" i="212"/>
  <c r="R69" i="210"/>
  <c r="S59" i="210" s="1"/>
  <c r="I14" i="209"/>
  <c r="R58" i="210"/>
  <c r="S49" i="210" s="1"/>
  <c r="H14" i="209"/>
  <c r="H15" i="209" s="1"/>
  <c r="R48" i="210"/>
  <c r="S38" i="210" s="1"/>
  <c r="G14" i="209"/>
  <c r="G15" i="209" s="1"/>
  <c r="R37" i="210"/>
  <c r="S27" i="210" s="1"/>
  <c r="F14" i="209"/>
  <c r="F15" i="209" s="1"/>
  <c r="R26" i="210"/>
  <c r="S16" i="210" s="1"/>
  <c r="E14" i="209"/>
  <c r="E15" i="209" s="1"/>
  <c r="Q26" i="210"/>
  <c r="Q15" i="210"/>
  <c r="D14" i="209"/>
  <c r="R15" i="210"/>
  <c r="S5" i="210" s="1"/>
  <c r="E2" i="210"/>
  <c r="R69" i="208"/>
  <c r="S59" i="208" s="1"/>
  <c r="I14" i="207"/>
  <c r="R58" i="208"/>
  <c r="S49" i="208" s="1"/>
  <c r="H14" i="207"/>
  <c r="H15" i="207" s="1"/>
  <c r="R48" i="208"/>
  <c r="S38" i="208" s="1"/>
  <c r="G14" i="207"/>
  <c r="G15" i="207" s="1"/>
  <c r="F14" i="207"/>
  <c r="F15" i="207" s="1"/>
  <c r="R37" i="208"/>
  <c r="S27" i="208" s="1"/>
  <c r="Q26" i="208"/>
  <c r="R26" i="208"/>
  <c r="S16" i="208" s="1"/>
  <c r="E14" i="207"/>
  <c r="E15" i="207" s="1"/>
  <c r="Q15" i="208"/>
  <c r="R15" i="208"/>
  <c r="S5" i="208" s="1"/>
  <c r="D14" i="207"/>
  <c r="E2" i="208"/>
  <c r="R69" i="206"/>
  <c r="S59" i="206" s="1"/>
  <c r="I14" i="205"/>
  <c r="R58" i="206"/>
  <c r="S49" i="206" s="1"/>
  <c r="H14" i="205"/>
  <c r="H15" i="205" s="1"/>
  <c r="R48" i="206"/>
  <c r="S38" i="206" s="1"/>
  <c r="G14" i="205"/>
  <c r="G15" i="205" s="1"/>
  <c r="R37" i="206"/>
  <c r="S27" i="206" s="1"/>
  <c r="F14" i="205"/>
  <c r="F15" i="205" s="1"/>
  <c r="E14" i="205"/>
  <c r="E15" i="205" s="1"/>
  <c r="Q26" i="206"/>
  <c r="R26" i="206"/>
  <c r="S16" i="206" s="1"/>
  <c r="Q15" i="206"/>
  <c r="R15" i="206"/>
  <c r="S5" i="206" s="1"/>
  <c r="D14" i="205"/>
  <c r="E2" i="206"/>
  <c r="R69" i="204"/>
  <c r="S59" i="204" s="1"/>
  <c r="I14" i="203"/>
  <c r="R58" i="204"/>
  <c r="S49" i="204" s="1"/>
  <c r="H14" i="203"/>
  <c r="H15" i="203" s="1"/>
  <c r="R48" i="204"/>
  <c r="S38" i="204" s="1"/>
  <c r="G14" i="203"/>
  <c r="G15" i="203" s="1"/>
  <c r="R37" i="204"/>
  <c r="S27" i="204" s="1"/>
  <c r="F14" i="203"/>
  <c r="F15" i="203" s="1"/>
  <c r="R26" i="204"/>
  <c r="S16" i="204" s="1"/>
  <c r="Q26" i="204"/>
  <c r="E14" i="203"/>
  <c r="E15" i="203" s="1"/>
  <c r="Q15" i="204"/>
  <c r="R15" i="204"/>
  <c r="S5" i="204" s="1"/>
  <c r="E2" i="204"/>
  <c r="D14" i="203"/>
  <c r="Q79" i="202"/>
  <c r="AB79" i="202"/>
  <c r="AC79" i="202"/>
  <c r="AD70" i="202" s="1"/>
  <c r="R69" i="202"/>
  <c r="S59" i="202" s="1"/>
  <c r="I14" i="201"/>
  <c r="O79" i="202"/>
  <c r="R58" i="202"/>
  <c r="S49" i="202" s="1"/>
  <c r="H14" i="201"/>
  <c r="H15" i="201" s="1"/>
  <c r="R48" i="202"/>
  <c r="S38" i="202" s="1"/>
  <c r="G14" i="201"/>
  <c r="G15" i="201" s="1"/>
  <c r="R37" i="202"/>
  <c r="S27" i="202" s="1"/>
  <c r="F14" i="201"/>
  <c r="F15" i="201" s="1"/>
  <c r="Q26" i="202"/>
  <c r="R26" i="202"/>
  <c r="S16" i="202" s="1"/>
  <c r="E14" i="201"/>
  <c r="E15" i="201" s="1"/>
  <c r="Q15" i="202"/>
  <c r="R15" i="202"/>
  <c r="S5" i="202" s="1"/>
  <c r="D14" i="201"/>
  <c r="E2" i="202"/>
  <c r="I14" i="199"/>
  <c r="R69" i="200"/>
  <c r="S59" i="200" s="1"/>
  <c r="R58" i="200"/>
  <c r="S49" i="200" s="1"/>
  <c r="H14" i="199"/>
  <c r="H15" i="199" s="1"/>
  <c r="R48" i="200"/>
  <c r="S38" i="200" s="1"/>
  <c r="G14" i="199"/>
  <c r="G15" i="199" s="1"/>
  <c r="R37" i="200"/>
  <c r="S27" i="200" s="1"/>
  <c r="F14" i="199"/>
  <c r="F15" i="199" s="1"/>
  <c r="E14" i="199"/>
  <c r="E15" i="199" s="1"/>
  <c r="Q26" i="200"/>
  <c r="R26" i="200"/>
  <c r="S16" i="200" s="1"/>
  <c r="Q15" i="200"/>
  <c r="D14" i="199"/>
  <c r="E2" i="200"/>
  <c r="R15" i="200"/>
  <c r="S5" i="200" s="1"/>
  <c r="I15" i="197"/>
  <c r="J8" i="197" s="1"/>
  <c r="J7" i="197"/>
  <c r="R58" i="198"/>
  <c r="S49" i="198" s="1"/>
  <c r="H14" i="197"/>
  <c r="H15" i="197" s="1"/>
  <c r="G14" i="197"/>
  <c r="G15" i="197" s="1"/>
  <c r="R48" i="198"/>
  <c r="S38" i="198" s="1"/>
  <c r="R37" i="198"/>
  <c r="S27" i="198" s="1"/>
  <c r="F14" i="197"/>
  <c r="F15" i="197" s="1"/>
  <c r="Q26" i="198"/>
  <c r="R26" i="198"/>
  <c r="S16" i="198" s="1"/>
  <c r="E14" i="197"/>
  <c r="E15" i="197" s="1"/>
  <c r="D14" i="197"/>
  <c r="Q15" i="198"/>
  <c r="R15" i="198"/>
  <c r="S5" i="198" s="1"/>
  <c r="E2" i="198"/>
  <c r="I14" i="195"/>
  <c r="R69" i="196"/>
  <c r="S59" i="196" s="1"/>
  <c r="R58" i="196"/>
  <c r="S49" i="196" s="1"/>
  <c r="H14" i="195"/>
  <c r="H15" i="195" s="1"/>
  <c r="R48" i="196"/>
  <c r="S38" i="196" s="1"/>
  <c r="G14" i="195"/>
  <c r="G15" i="195" s="1"/>
  <c r="R37" i="196"/>
  <c r="S27" i="196" s="1"/>
  <c r="F14" i="195"/>
  <c r="F15" i="195" s="1"/>
  <c r="Q26" i="196"/>
  <c r="R26" i="196"/>
  <c r="S16" i="196" s="1"/>
  <c r="E14" i="195"/>
  <c r="E15" i="195" s="1"/>
  <c r="D14" i="195"/>
  <c r="E2" i="196"/>
  <c r="Q15" i="196"/>
  <c r="R15" i="196"/>
  <c r="S5" i="196" s="1"/>
  <c r="R69" i="194"/>
  <c r="S59" i="194" s="1"/>
  <c r="I14" i="193"/>
  <c r="H14" i="193"/>
  <c r="H15" i="193" s="1"/>
  <c r="R58" i="194"/>
  <c r="S49" i="194" s="1"/>
  <c r="R48" i="194"/>
  <c r="S38" i="194" s="1"/>
  <c r="G14" i="193"/>
  <c r="G15" i="193" s="1"/>
  <c r="R37" i="194"/>
  <c r="S27" i="194" s="1"/>
  <c r="F14" i="193"/>
  <c r="F15" i="193" s="1"/>
  <c r="Q26" i="194"/>
  <c r="R26" i="194"/>
  <c r="S16" i="194" s="1"/>
  <c r="E14" i="193"/>
  <c r="E15" i="193" s="1"/>
  <c r="Q15" i="194"/>
  <c r="R15" i="194"/>
  <c r="S5" i="194" s="1"/>
  <c r="D14" i="193"/>
  <c r="E2" i="194"/>
  <c r="R69" i="192"/>
  <c r="S59" i="192" s="1"/>
  <c r="I14" i="191"/>
  <c r="R58" i="192"/>
  <c r="S49" i="192" s="1"/>
  <c r="H14" i="191"/>
  <c r="H15" i="191" s="1"/>
  <c r="R48" i="192"/>
  <c r="S38" i="192" s="1"/>
  <c r="G14" i="191"/>
  <c r="G15" i="191" s="1"/>
  <c r="R37" i="192"/>
  <c r="S27" i="192" s="1"/>
  <c r="F14" i="191"/>
  <c r="F15" i="191" s="1"/>
  <c r="Q26" i="192"/>
  <c r="R26" i="192"/>
  <c r="S16" i="192" s="1"/>
  <c r="E14" i="191"/>
  <c r="E15" i="191" s="1"/>
  <c r="Q15" i="192"/>
  <c r="R15" i="192"/>
  <c r="S5" i="192" s="1"/>
  <c r="D14" i="191"/>
  <c r="E2" i="192"/>
  <c r="R69" i="190"/>
  <c r="S59" i="190" s="1"/>
  <c r="I14" i="189"/>
  <c r="R58" i="190"/>
  <c r="S49" i="190" s="1"/>
  <c r="H14" i="189"/>
  <c r="H15" i="189" s="1"/>
  <c r="R48" i="190"/>
  <c r="S38" i="190" s="1"/>
  <c r="G14" i="189"/>
  <c r="G15" i="189" s="1"/>
  <c r="R37" i="190"/>
  <c r="S27" i="190" s="1"/>
  <c r="F14" i="189"/>
  <c r="F15" i="189" s="1"/>
  <c r="Q26" i="190"/>
  <c r="R26" i="190"/>
  <c r="S16" i="190" s="1"/>
  <c r="E14" i="189"/>
  <c r="E15" i="189" s="1"/>
  <c r="Q15" i="190"/>
  <c r="R15" i="190"/>
  <c r="S5" i="190" s="1"/>
  <c r="D14" i="189"/>
  <c r="E2" i="190"/>
  <c r="R69" i="188"/>
  <c r="S59" i="188" s="1"/>
  <c r="I14" i="187"/>
  <c r="R58" i="188"/>
  <c r="S49" i="188" s="1"/>
  <c r="H14" i="187"/>
  <c r="H15" i="187" s="1"/>
  <c r="R48" i="188"/>
  <c r="S38" i="188" s="1"/>
  <c r="G14" i="187"/>
  <c r="G15" i="187" s="1"/>
  <c r="R37" i="188"/>
  <c r="S27" i="188" s="1"/>
  <c r="F14" i="187"/>
  <c r="F15" i="187" s="1"/>
  <c r="Q26" i="188"/>
  <c r="R26" i="188"/>
  <c r="S16" i="188" s="1"/>
  <c r="E14" i="187"/>
  <c r="E15" i="187" s="1"/>
  <c r="Q15" i="188"/>
  <c r="R15" i="188"/>
  <c r="S5" i="188" s="1"/>
  <c r="D14" i="187"/>
  <c r="E2" i="188"/>
  <c r="R69" i="186"/>
  <c r="S59" i="186" s="1"/>
  <c r="I14" i="185"/>
  <c r="R58" i="186"/>
  <c r="S49" i="186" s="1"/>
  <c r="H14" i="185"/>
  <c r="H15" i="185" s="1"/>
  <c r="R48" i="186"/>
  <c r="S38" i="186" s="1"/>
  <c r="G14" i="185"/>
  <c r="G15" i="185" s="1"/>
  <c r="R37" i="186"/>
  <c r="S27" i="186" s="1"/>
  <c r="F14" i="185"/>
  <c r="F15" i="185" s="1"/>
  <c r="Q26" i="186"/>
  <c r="R26" i="186"/>
  <c r="S16" i="186" s="1"/>
  <c r="E14" i="185"/>
  <c r="E15" i="185" s="1"/>
  <c r="Q15" i="186"/>
  <c r="R15" i="186"/>
  <c r="S5" i="186" s="1"/>
  <c r="D14" i="185"/>
  <c r="E2" i="186"/>
  <c r="I15" i="262" l="1"/>
  <c r="J8" i="262" s="1"/>
  <c r="J7" i="262"/>
  <c r="D15" i="262"/>
  <c r="F7" i="262"/>
  <c r="H7" i="262"/>
  <c r="I15" i="260"/>
  <c r="J8" i="260" s="1"/>
  <c r="J7" i="260"/>
  <c r="D15" i="260"/>
  <c r="F7" i="260"/>
  <c r="H7" i="260"/>
  <c r="I15" i="258"/>
  <c r="J8" i="258" s="1"/>
  <c r="J7" i="258"/>
  <c r="D15" i="258"/>
  <c r="F7" i="258"/>
  <c r="H7" i="258"/>
  <c r="I15" i="256"/>
  <c r="J8" i="256" s="1"/>
  <c r="J7" i="256"/>
  <c r="D15" i="256"/>
  <c r="F7" i="256"/>
  <c r="H7" i="256"/>
  <c r="I15" i="254"/>
  <c r="J8" i="254" s="1"/>
  <c r="J7" i="254"/>
  <c r="D15" i="254"/>
  <c r="F7" i="254"/>
  <c r="H7" i="254"/>
  <c r="I15" i="252"/>
  <c r="J8" i="252" s="1"/>
  <c r="J7" i="252"/>
  <c r="D15" i="252"/>
  <c r="H7" i="252"/>
  <c r="F7" i="252"/>
  <c r="I15" i="238"/>
  <c r="J8" i="238" s="1"/>
  <c r="J7" i="238"/>
  <c r="F7" i="238"/>
  <c r="D15" i="238"/>
  <c r="H7" i="238"/>
  <c r="J7" i="236"/>
  <c r="I15" i="236"/>
  <c r="J8" i="236" s="1"/>
  <c r="D15" i="236"/>
  <c r="H7" i="236"/>
  <c r="F7" i="236"/>
  <c r="I15" i="231"/>
  <c r="J14" i="231"/>
  <c r="J7" i="231" s="1"/>
  <c r="R79" i="232"/>
  <c r="S70" i="232" s="1"/>
  <c r="J15" i="231" s="1"/>
  <c r="D15" i="231"/>
  <c r="F7" i="231"/>
  <c r="H7" i="231"/>
  <c r="J7" i="229"/>
  <c r="I15" i="229"/>
  <c r="J8" i="229" s="1"/>
  <c r="D15" i="229"/>
  <c r="F7" i="229"/>
  <c r="H7" i="229"/>
  <c r="I15" i="227"/>
  <c r="J8" i="227" s="1"/>
  <c r="J7" i="227"/>
  <c r="D15" i="227"/>
  <c r="F7" i="227"/>
  <c r="H7" i="227"/>
  <c r="I15" i="224"/>
  <c r="J8" i="224" s="1"/>
  <c r="J7" i="224"/>
  <c r="D15" i="224"/>
  <c r="F7" i="224"/>
  <c r="H7" i="224"/>
  <c r="I15" i="222"/>
  <c r="J8" i="222" s="1"/>
  <c r="J7" i="222"/>
  <c r="D15" i="222"/>
  <c r="F7" i="222"/>
  <c r="H7" i="222"/>
  <c r="I15" i="220"/>
  <c r="J8" i="220" s="1"/>
  <c r="J7" i="220"/>
  <c r="D15" i="220"/>
  <c r="F7" i="220"/>
  <c r="H7" i="220"/>
  <c r="I15" i="218"/>
  <c r="J8" i="218" s="1"/>
  <c r="J7" i="218"/>
  <c r="D15" i="218"/>
  <c r="F7" i="218"/>
  <c r="H7" i="218"/>
  <c r="I15" i="215"/>
  <c r="J8" i="215" s="1"/>
  <c r="J7" i="215"/>
  <c r="D15" i="215"/>
  <c r="F7" i="215"/>
  <c r="H7" i="215"/>
  <c r="I15" i="213"/>
  <c r="J8" i="213" s="1"/>
  <c r="J7" i="213"/>
  <c r="D15" i="213"/>
  <c r="F7" i="213"/>
  <c r="H7" i="213"/>
  <c r="I15" i="211"/>
  <c r="J8" i="211" s="1"/>
  <c r="J7" i="211"/>
  <c r="D15" i="211"/>
  <c r="F7" i="211"/>
  <c r="H7" i="211"/>
  <c r="I15" i="209"/>
  <c r="J8" i="209" s="1"/>
  <c r="J7" i="209"/>
  <c r="D15" i="209"/>
  <c r="H7" i="209"/>
  <c r="F7" i="209"/>
  <c r="I15" i="207"/>
  <c r="J8" i="207" s="1"/>
  <c r="J7" i="207"/>
  <c r="D15" i="207"/>
  <c r="F7" i="207"/>
  <c r="H7" i="207"/>
  <c r="I15" i="205"/>
  <c r="J8" i="205" s="1"/>
  <c r="J7" i="205"/>
  <c r="D15" i="205"/>
  <c r="F7" i="205"/>
  <c r="H7" i="205"/>
  <c r="J7" i="203"/>
  <c r="I15" i="203"/>
  <c r="J8" i="203" s="1"/>
  <c r="H7" i="203"/>
  <c r="D15" i="203"/>
  <c r="F7" i="203"/>
  <c r="I15" i="201"/>
  <c r="J14" i="201"/>
  <c r="R79" i="202"/>
  <c r="S70" i="202" s="1"/>
  <c r="D15" i="201"/>
  <c r="H7" i="201"/>
  <c r="F7" i="201"/>
  <c r="I15" i="199"/>
  <c r="J8" i="199" s="1"/>
  <c r="J7" i="199"/>
  <c r="F7" i="199"/>
  <c r="D15" i="199"/>
  <c r="H7" i="199"/>
  <c r="H7" i="197"/>
  <c r="D15" i="197"/>
  <c r="F7" i="197"/>
  <c r="J7" i="195"/>
  <c r="I15" i="195"/>
  <c r="J8" i="195" s="1"/>
  <c r="F7" i="195"/>
  <c r="D15" i="195"/>
  <c r="H7" i="195"/>
  <c r="I15" i="193"/>
  <c r="J8" i="193" s="1"/>
  <c r="J7" i="193"/>
  <c r="D15" i="193"/>
  <c r="F7" i="193"/>
  <c r="H7" i="193"/>
  <c r="I15" i="191"/>
  <c r="J8" i="191" s="1"/>
  <c r="J7" i="191"/>
  <c r="D15" i="191"/>
  <c r="F7" i="191"/>
  <c r="H7" i="191"/>
  <c r="I15" i="189"/>
  <c r="J8" i="189" s="1"/>
  <c r="J7" i="189"/>
  <c r="D15" i="189"/>
  <c r="F7" i="189"/>
  <c r="H7" i="189"/>
  <c r="I15" i="187"/>
  <c r="J8" i="187" s="1"/>
  <c r="J7" i="187"/>
  <c r="D15" i="187"/>
  <c r="F7" i="187"/>
  <c r="H7" i="187"/>
  <c r="I15" i="185"/>
  <c r="J8" i="185" s="1"/>
  <c r="J7" i="185"/>
  <c r="D15" i="185"/>
  <c r="F7" i="185"/>
  <c r="H7" i="185"/>
  <c r="F8" i="262" l="1"/>
  <c r="H8" i="262"/>
  <c r="F8" i="260"/>
  <c r="H8" i="260"/>
  <c r="F8" i="258"/>
  <c r="H8" i="258"/>
  <c r="F8" i="256"/>
  <c r="H8" i="256"/>
  <c r="F8" i="254"/>
  <c r="H8" i="254"/>
  <c r="F8" i="252"/>
  <c r="H8" i="252"/>
  <c r="F8" i="238"/>
  <c r="H8" i="238"/>
  <c r="F8" i="236"/>
  <c r="H8" i="236"/>
  <c r="H8" i="231"/>
  <c r="F8" i="231"/>
  <c r="H8" i="229"/>
  <c r="F8" i="229"/>
  <c r="F8" i="227"/>
  <c r="H8" i="227"/>
  <c r="F8" i="224"/>
  <c r="H8" i="224"/>
  <c r="F8" i="222"/>
  <c r="H8" i="222"/>
  <c r="F8" i="220"/>
  <c r="H8" i="220"/>
  <c r="F8" i="218"/>
  <c r="H8" i="218"/>
  <c r="F8" i="215"/>
  <c r="H8" i="215"/>
  <c r="F8" i="213"/>
  <c r="H8" i="213"/>
  <c r="F8" i="211"/>
  <c r="H8" i="211"/>
  <c r="F8" i="209"/>
  <c r="H8" i="209"/>
  <c r="F8" i="207"/>
  <c r="H8" i="207"/>
  <c r="H8" i="205"/>
  <c r="F8" i="205"/>
  <c r="H8" i="203"/>
  <c r="F8" i="203"/>
  <c r="F8" i="201"/>
  <c r="H8" i="201"/>
  <c r="H8" i="199"/>
  <c r="F8" i="199"/>
  <c r="F8" i="197"/>
  <c r="H8" i="197"/>
  <c r="F8" i="195"/>
  <c r="H8" i="195"/>
  <c r="F8" i="193"/>
  <c r="H8" i="193"/>
  <c r="F8" i="191"/>
  <c r="H8" i="191"/>
  <c r="F8" i="189"/>
  <c r="H8" i="189"/>
  <c r="F8" i="187"/>
  <c r="H8" i="187"/>
  <c r="F8" i="185"/>
  <c r="H8" i="185"/>
  <c r="J8" i="231"/>
  <c r="J15" i="201"/>
  <c r="J8" i="201" s="1"/>
  <c r="J7" i="201"/>
</calcChain>
</file>

<file path=xl/sharedStrings.xml><?xml version="1.0" encoding="utf-8"?>
<sst xmlns="http://schemas.openxmlformats.org/spreadsheetml/2006/main" count="5331" uniqueCount="229">
  <si>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</si>
  <si>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</si>
  <si>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</si>
  <si>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</si>
  <si>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</si>
  <si>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</si>
  <si>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</si>
  <si>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</si>
  <si>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分析說明</t>
  </si>
  <si>
    <t>產能差異分析</t>
  </si>
  <si>
    <t>12月01日  星期二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</si>
  <si>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</si>
  <si>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</si>
  <si>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</si>
  <si>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</si>
  <si>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</si>
  <si>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</si>
  <si>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</si>
  <si>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</si>
  <si>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</si>
  <si>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</si>
  <si>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</si>
  <si>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</si>
  <si>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</si>
  <si>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</si>
  <si>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</si>
  <si>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</si>
  <si>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</si>
  <si>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</si>
  <si>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開始</t>
  </si>
  <si>
    <t>結束</t>
  </si>
  <si>
    <t>自動一線
(ET-600)</t>
  </si>
  <si>
    <t>白酒蛤蜊義大利麵</t>
  </si>
  <si>
    <t>韓式起司炸雞義大利麵</t>
  </si>
  <si>
    <t>奶油培根義大利麵</t>
  </si>
  <si>
    <t>南洋紅咖哩豬義大利麵</t>
  </si>
  <si>
    <t>14:28-15:36手抓麵作業</t>
  </si>
  <si>
    <t>4度一組</t>
  </si>
  <si>
    <t>平均</t>
  </si>
  <si>
    <t>自動二線
(ET-600)</t>
  </si>
  <si>
    <t>青醬蛤蜊義大利麵</t>
  </si>
  <si>
    <t>義式蕃茄起司義大利麵</t>
  </si>
  <si>
    <t>15:30~15:42玉取機停麵</t>
  </si>
  <si>
    <t xml:space="preserve">4度二組A
</t>
  </si>
  <si>
    <t>手工三線
(ET-55)</t>
  </si>
  <si>
    <t>義大利麵</t>
  </si>
  <si>
    <t>青花椒麻雞肉拌麵</t>
  </si>
  <si>
    <t xml:space="preserve"> </t>
  </si>
  <si>
    <t>奶油蒜香雞義大利麵</t>
  </si>
  <si>
    <t>奶油起司蝦仁通心粉</t>
  </si>
  <si>
    <t>10:45-10:50停線更換注醬機作業</t>
  </si>
  <si>
    <t xml:space="preserve">
4度二組B
</t>
  </si>
  <si>
    <t>手工四線
(ET-55)</t>
  </si>
  <si>
    <t>焗烤明太子筆尖麵</t>
  </si>
  <si>
    <t>濃拿坡里義大利麵</t>
  </si>
  <si>
    <t>生產數量少</t>
  </si>
  <si>
    <t xml:space="preserve">
4度二組C1
</t>
  </si>
  <si>
    <t>手工五線
(ET-55)</t>
  </si>
  <si>
    <t>剝皮辣椒雞奶油扁麵</t>
  </si>
  <si>
    <t>焗烤起司雙饗筆尖麵</t>
  </si>
  <si>
    <t xml:space="preserve">
4度二組C2
</t>
  </si>
  <si>
    <t>調理包一線
(八爪機)</t>
  </si>
  <si>
    <t>小滷青蔬</t>
  </si>
  <si>
    <t>台式綜合甜不辣</t>
  </si>
  <si>
    <t>起司馬鈴薯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</si>
  <si>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</si>
  <si>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</si>
  <si>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</si>
  <si>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</si>
  <si>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</si>
  <si>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</si>
  <si>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</si>
  <si>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</si>
  <si>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</si>
  <si>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</si>
  <si>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</si>
  <si>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</si>
  <si>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</si>
  <si>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</si>
  <si>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</si>
  <si>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</si>
  <si>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</si>
  <si>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</si>
  <si>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</si>
  <si>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</si>
  <si>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</si>
  <si>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</si>
  <si>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</si>
  <si>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</si>
  <si>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組合室</t>
  </si>
  <si>
    <t>全溫層</t>
  </si>
  <si>
    <t>袋裝小吃、義麵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</si>
  <si>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</si>
  <si>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</si>
  <si>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</si>
  <si>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</si>
  <si>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</si>
  <si>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</si>
  <si>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</si>
  <si>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</si>
  <si>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</si>
  <si>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</si>
  <si>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</si>
  <si>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</si>
  <si>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</si>
  <si>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</si>
  <si>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</si>
  <si>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</si>
  <si>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</si>
  <si>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</si>
  <si>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</si>
  <si>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</si>
  <si>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</si>
  <si>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</si>
  <si>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</si>
  <si>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</si>
  <si>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12月02日  星期二</t>
  </si>
  <si>
    <t>L型封膜機異常</t>
  </si>
  <si>
    <t>L型封膜機異常、發現麵蟲全檢</t>
  </si>
  <si>
    <t>12月03日  星期三</t>
  </si>
  <si>
    <t>商品傾倒報廢2040</t>
  </si>
  <si>
    <t>封口與熱轉印異常</t>
  </si>
  <si>
    <t>製作與補封膜(第一次生產封口異常)</t>
  </si>
  <si>
    <t>高麗菜溫度未達</t>
  </si>
  <si>
    <t>馬鈴薯溫度未達</t>
  </si>
  <si>
    <t>12月04日  星期四</t>
  </si>
  <si>
    <t>10:10~11:30注醬機異常改</t>
  </si>
  <si>
    <t>下貼標異常</t>
  </si>
  <si>
    <t>11:18~11:27封膜異常、生產數量少</t>
  </si>
  <si>
    <t>13:56~14:15熱轉印異常</t>
  </si>
  <si>
    <t>12月05日  星期五</t>
  </si>
  <si>
    <t>8:04~8:10下貼標異常，收籃80盒</t>
  </si>
  <si>
    <t>人工作業</t>
  </si>
  <si>
    <t>12月06日  星期六</t>
  </si>
  <si>
    <t>09:38-11:28玉取機頻繁停麵，總計共停13分鐘</t>
  </si>
  <si>
    <t>生產數量少、手工作業</t>
  </si>
  <si>
    <t>12月07日  星期日</t>
  </si>
  <si>
    <t>8:42-8:58待醬冷卻,停線</t>
  </si>
  <si>
    <t>手抓麵作業</t>
  </si>
  <si>
    <t>12月08日  星期一</t>
  </si>
  <si>
    <t>14:00~14:25試產沙茶豬78盒</t>
  </si>
  <si>
    <t>12月09日  星期二</t>
  </si>
  <si>
    <t>惡魔乳酪生義大利麵</t>
  </si>
  <si>
    <t>初次生產</t>
  </si>
  <si>
    <t>手工作業</t>
  </si>
  <si>
    <t>12月10日  星期三</t>
  </si>
  <si>
    <t>13:20-13:46試產鹽水意麵100盒、L型封膜機異常</t>
  </si>
  <si>
    <t>12月11日  星期四</t>
  </si>
  <si>
    <t>手工生產</t>
  </si>
  <si>
    <t>12月12日  星期五</t>
  </si>
  <si>
    <t>L型封膜機異常、補封膜</t>
  </si>
  <si>
    <t>10:45~11:12封膜異常</t>
  </si>
  <si>
    <t>12月13日  星期六</t>
  </si>
  <si>
    <t>7:18-8:03、8:08-8:22、8:30-8:52機台異常</t>
  </si>
  <si>
    <t>10:25-11:08封膜機異常,重封</t>
  </si>
  <si>
    <t xml:space="preserve">13:18-14:30封膜機輸送帶異常,換線生產
15:00-15:30下貼標異常,收籃300盒
15:35-15:55封膜機異常,收籃280盒    </t>
  </si>
  <si>
    <t>12月14日  星期日</t>
  </si>
  <si>
    <t>07:50~08:30下貼標異常</t>
  </si>
  <si>
    <t>11:05~11:16下貼標異常</t>
  </si>
  <si>
    <t>L型封膜、下貼標頻繁異常</t>
  </si>
  <si>
    <t>發現乳酪青醬顏色異常，補料重新開線</t>
  </si>
  <si>
    <t>12月15日  星期一</t>
  </si>
  <si>
    <t>14:08-14:38試產焗烤起司肉醬100盒</t>
  </si>
  <si>
    <t>7:21-8:00下貼標機異常</t>
  </si>
  <si>
    <t>12月16日  星期二</t>
  </si>
  <si>
    <t>補料</t>
  </si>
  <si>
    <t>沙茶豬肉炒麵</t>
  </si>
  <si>
    <t>府城鹽水意麵</t>
  </si>
  <si>
    <t>12月17日  星期三</t>
  </si>
  <si>
    <t>生產量少</t>
  </si>
  <si>
    <t>12月18日  星期四</t>
  </si>
  <si>
    <t>手抓麵</t>
  </si>
  <si>
    <t>小吃、微波</t>
  </si>
  <si>
    <t>生產量少，補訂單量</t>
  </si>
  <si>
    <r>
      <t>12月19日  星期</t>
    </r>
    <r>
      <rPr>
        <sz val="14"/>
        <rFont val="Microsoft JhengHei UI"/>
        <family val="2"/>
        <charset val="136"/>
      </rPr>
      <t>五</t>
    </r>
  </si>
  <si>
    <t>手抓麵,8:09~8:13待麵</t>
  </si>
  <si>
    <t>生產量少，手工作業</t>
  </si>
  <si>
    <t>12月20日  星期六</t>
  </si>
  <si>
    <t>09:15-09:45待料(起司醬冷卻)</t>
  </si>
  <si>
    <t>13:18~13:39封膜異常，停線</t>
  </si>
  <si>
    <t>10:10~10:30待料</t>
  </si>
  <si>
    <t>12月21日  星期日</t>
  </si>
  <si>
    <t>熱乾麵</t>
  </si>
  <si>
    <t>12月22日  星期一</t>
  </si>
  <si>
    <t>12月23日  星期二</t>
  </si>
  <si>
    <t>封膜雞異常</t>
  </si>
  <si>
    <t>09:25-09:35測試新包裝</t>
  </si>
  <si>
    <t>焗烤起司肉醬筆尖麵</t>
  </si>
  <si>
    <t>12月24日  星期三</t>
  </si>
  <si>
    <t>12月25日  星期四</t>
  </si>
  <si>
    <t>玉取機意常</t>
  </si>
  <si>
    <r>
      <t>12月26日  星期</t>
    </r>
    <r>
      <rPr>
        <sz val="14"/>
        <rFont val="Microsoft JhengHei UI"/>
        <family val="2"/>
        <charset val="136"/>
      </rPr>
      <t>五</t>
    </r>
  </si>
  <si>
    <t>12月27日  星期六</t>
  </si>
  <si>
    <t>玉取機停麵</t>
  </si>
  <si>
    <t>check</t>
  </si>
  <si>
    <t>類別</t>
  </si>
  <si>
    <t>4度C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</si>
  <si>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</si>
  <si>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</si>
  <si>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</si>
  <si>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</si>
  <si>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</si>
  <si>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</si>
  <si>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</si>
  <si>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</si>
  <si>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</si>
  <si>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12月28日  星期日</t>
  </si>
  <si>
    <t>人數不足</t>
  </si>
  <si>
    <t>12月29日  星期一</t>
  </si>
  <si>
    <t>封膜異常(切不斷、壓盒、清理機台)</t>
  </si>
  <si>
    <t>品項</t>
  </si>
  <si>
    <t>產能</t>
  </si>
  <si>
    <t>白酒蛤蜊義大利麵-手</t>
  </si>
  <si>
    <t>青花椒麻雞肉拌麵-降速生產</t>
  </si>
  <si>
    <t>日一二正常版</t>
  </si>
  <si>
    <t>奶油蒜香雞義大利麵-降速生產</t>
  </si>
  <si>
    <t>剝皮辣椒雞奶油扁麵-降速生產(3線)</t>
  </si>
  <si>
    <t>南洋紅咖哩豬義大利麵-手工</t>
  </si>
  <si>
    <t>調理包</t>
  </si>
  <si>
    <t>更新日期11/02</t>
  </si>
  <si>
    <t>設備異常</t>
    <phoneticPr fontId="0" type="noConversion"/>
  </si>
  <si>
    <t>補單、生產數量短</t>
    <phoneticPr fontId="0" type="noConversion"/>
  </si>
  <si>
    <t>08:08~08:15封膜溫度降溫</t>
    <phoneticPr fontId="0" type="noConversion"/>
  </si>
  <si>
    <t>補單、生產數量少</t>
    <phoneticPr fontId="0" type="noConversion"/>
  </si>
  <si>
    <t>08:20~10:40封膜異常、人數不足</t>
    <phoneticPr fontId="0" type="noConversion"/>
  </si>
  <si>
    <t>09:15~09:22封膜異常</t>
    <phoneticPr fontId="0" type="noConversion"/>
  </si>
  <si>
    <t>封膜異常多1人協助作業</t>
    <phoneticPr fontId="0" type="noConversion"/>
  </si>
  <si>
    <t>12月31日  星期三</t>
    <phoneticPr fontId="0" type="noConversion"/>
  </si>
  <si>
    <t>12月30日  星期二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</si>
</sst>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-* #,##0.00_-;\-* #,##0.00_-;_-* &quot;-&quot;??_-;_-@_-"/>
    <numFmt numFmtId="176" formatCode="_-* #,##0_-;\-* #,##0_-;_-* &quot;-&quot;??_-;_-@_-"/>
    <numFmt numFmtId="177" formatCode="0.0"/>
    <numFmt numFmtId="178" formatCode="0.0%"/>
    <numFmt numFmtId="179" formatCode="h:mm;@"/>
    <numFmt numFmtId="180" formatCode="0_ "/>
    <numFmt numFmtId="181" formatCode="0.0_ "/>
    <numFmt numFmtId="182" formatCode="0_);[Red]\(0\)"/>
    <numFmt numFmtId="183" formatCode="[$-F800]dddd\,\ mmmm\ dd\,\ yyyy"/>
    <numFmt numFmtId="184" formatCode="#,##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4"/>
      <name val="Microsoft JhengHei UI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002060"/>
        <bgColor indexed="64"/>
      </patternFill>
    </fill>
  </fills>
  <borders count="1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</borders>
  <cellStyleXfs count="158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505">
    <xf numFmtId="0" fontId="0" fillId="0" borderId="0" xfId="0">
      <alignment vertical="center"/>
    </xf>
    <xf numFmtId="0" fontId="4" fillId="0" borderId="9" xfId="2" applyFont="1" applyBorder="1" applyAlignment="1">
      <alignment horizontal="center" vertical="center"/>
    </xf>
    <xf numFmtId="0" fontId="7" fillId="0" borderId="15" xfId="8" applyFont="1" applyBorder="1">
      <alignment vertical="center"/>
    </xf>
    <xf numFmtId="176" fontId="8" fillId="6" borderId="15" xfId="90" applyNumberFormat="1" applyFont="1" applyFill="1" applyBorder="1" applyAlignment="1">
      <alignment horizontal="center" vertical="center"/>
    </xf>
    <xf numFmtId="43" fontId="7" fillId="0" borderId="15" xfId="90" applyFont="1" applyBorder="1" applyAlignment="1">
      <alignment horizontal="center" vertical="center"/>
    </xf>
    <xf numFmtId="1" fontId="7" fillId="0" borderId="15" xfId="8" applyNumberFormat="1" applyFont="1" applyBorder="1" applyAlignment="1">
      <alignment horizontal="center" vertical="center"/>
    </xf>
    <xf numFmtId="0" fontId="9" fillId="0" borderId="0" xfId="8" applyFont="1">
      <alignment vertical="center"/>
    </xf>
    <xf numFmtId="177" fontId="7" fillId="0" borderId="15" xfId="8" applyNumberFormat="1" applyFont="1" applyBorder="1" applyAlignment="1">
      <alignment horizontal="center" vertical="center"/>
    </xf>
    <xf numFmtId="177" fontId="11" fillId="0" borderId="15" xfId="8" applyNumberFormat="1" applyFont="1" applyBorder="1" applyAlignment="1">
      <alignment horizontal="center" vertical="center" wrapText="1"/>
    </xf>
    <xf numFmtId="2" fontId="7" fillId="0" borderId="15" xfId="8" applyNumberFormat="1" applyFont="1" applyBorder="1" applyAlignment="1">
      <alignment horizontal="center" vertical="center"/>
    </xf>
    <xf numFmtId="0" fontId="9" fillId="0" borderId="22" xfId="8" applyFont="1" applyBorder="1" applyAlignment="1">
      <alignment horizontal="center"/>
    </xf>
    <xf numFmtId="0" fontId="9" fillId="0" borderId="19" xfId="7" applyFont="1" applyBorder="1" applyAlignment="1"/>
    <xf numFmtId="0" fontId="9" fillId="0" borderId="20" xfId="7" applyFont="1" applyBorder="1" applyAlignment="1"/>
    <xf numFmtId="0" fontId="9" fillId="0" borderId="20" xfId="7" applyFont="1" applyBorder="1" applyAlignment="1">
      <alignment horizontal="center"/>
    </xf>
    <xf numFmtId="1" fontId="9" fillId="0" borderId="15" xfId="8" applyNumberFormat="1" applyFont="1" applyBorder="1" applyAlignment="1">
      <alignment horizontal="center" vertical="center"/>
    </xf>
    <xf numFmtId="43" fontId="9" fillId="0" borderId="15" xfId="90" applyFont="1" applyBorder="1" applyAlignment="1">
      <alignment horizontal="center" vertical="center"/>
    </xf>
    <xf numFmtId="1" fontId="9" fillId="2" borderId="15" xfId="8" applyNumberFormat="1" applyFont="1" applyFill="1" applyBorder="1" applyAlignment="1">
      <alignment horizontal="center" vertical="center"/>
    </xf>
    <xf numFmtId="177" fontId="9" fillId="0" borderId="15" xfId="8" applyNumberFormat="1" applyFont="1" applyBorder="1" applyAlignment="1">
      <alignment horizontal="center" vertical="center"/>
    </xf>
    <xf numFmtId="180" fontId="9" fillId="0" borderId="15" xfId="8" applyNumberFormat="1" applyFont="1" applyBorder="1" applyAlignment="1">
      <alignment horizontal="center" vertical="center"/>
    </xf>
    <xf numFmtId="181" fontId="9" fillId="0" borderId="15" xfId="8" applyNumberFormat="1" applyFont="1" applyBorder="1" applyAlignment="1">
      <alignment horizontal="center" vertical="center"/>
    </xf>
    <xf numFmtId="179" fontId="9" fillId="0" borderId="15" xfId="8" applyNumberFormat="1" applyFont="1" applyBorder="1" applyAlignment="1">
      <alignment horizontal="center" vertical="center"/>
    </xf>
    <xf numFmtId="0" fontId="9" fillId="2" borderId="2" xfId="8" applyFont="1" applyFill="1" applyBorder="1" applyAlignment="1">
      <alignment horizontal="center" vertical="center"/>
    </xf>
    <xf numFmtId="20" fontId="9" fillId="0" borderId="15" xfId="8" applyNumberFormat="1" applyFont="1" applyBorder="1" applyAlignment="1">
      <alignment horizontal="center" vertical="center"/>
    </xf>
    <xf numFmtId="0" fontId="9" fillId="0" borderId="19" xfId="8" applyFont="1" applyBorder="1" applyAlignment="1">
      <alignment horizontal="center"/>
    </xf>
    <xf numFmtId="0" fontId="9" fillId="0" borderId="20" xfId="8" applyFont="1" applyBorder="1" applyAlignment="1">
      <alignment horizontal="center" vertical="center" wrapText="1"/>
    </xf>
    <xf numFmtId="1" fontId="9" fillId="0" borderId="20" xfId="8" applyNumberFormat="1" applyFont="1" applyBorder="1" applyAlignment="1">
      <alignment horizontal="center" vertical="center"/>
    </xf>
    <xf numFmtId="0" fontId="9" fillId="0" borderId="23" xfId="8" applyFont="1" applyBorder="1" applyAlignment="1">
      <alignment horizontal="center" vertical="center"/>
    </xf>
    <xf numFmtId="0" fontId="9" fillId="0" borderId="24" xfId="8" applyFont="1" applyBorder="1" applyAlignment="1">
      <alignment horizontal="center" vertical="center"/>
    </xf>
    <xf numFmtId="0" fontId="9" fillId="0" borderId="21" xfId="7" applyFont="1" applyBorder="1" applyAlignment="1"/>
    <xf numFmtId="0" fontId="9" fillId="0" borderId="23" xfId="7" applyFont="1" applyBorder="1" applyAlignment="1"/>
    <xf numFmtId="1" fontId="9" fillId="0" borderId="18" xfId="8" applyNumberFormat="1" applyFont="1" applyBorder="1" applyAlignment="1">
      <alignment horizontal="center" vertical="center"/>
    </xf>
    <xf numFmtId="1" fontId="9" fillId="2" borderId="18" xfId="8" applyNumberFormat="1" applyFont="1" applyFill="1" applyBorder="1" applyAlignment="1">
      <alignment horizontal="center" vertical="center"/>
    </xf>
    <xf numFmtId="179" fontId="9" fillId="0" borderId="18" xfId="8" applyNumberFormat="1" applyFont="1" applyBorder="1" applyAlignment="1">
      <alignment horizontal="center" vertical="center"/>
    </xf>
    <xf numFmtId="20" fontId="9" fillId="0" borderId="18" xfId="8" applyNumberFormat="1" applyFont="1" applyBorder="1" applyAlignment="1">
      <alignment horizontal="center" vertical="center"/>
    </xf>
    <xf numFmtId="180" fontId="9" fillId="0" borderId="18" xfId="8" applyNumberFormat="1" applyFont="1" applyBorder="1" applyAlignment="1">
      <alignment horizontal="center" vertical="center"/>
    </xf>
    <xf numFmtId="177" fontId="9" fillId="0" borderId="18" xfId="8" applyNumberFormat="1" applyFont="1" applyBorder="1" applyAlignment="1">
      <alignment horizontal="center" vertical="center"/>
    </xf>
    <xf numFmtId="1" fontId="9" fillId="0" borderId="2" xfId="8" applyNumberFormat="1" applyFont="1" applyBorder="1" applyAlignment="1">
      <alignment horizontal="center" vertical="center"/>
    </xf>
    <xf numFmtId="1" fontId="9" fillId="2" borderId="2" xfId="8" applyNumberFormat="1" applyFont="1" applyFill="1" applyBorder="1" applyAlignment="1">
      <alignment horizontal="center" vertical="center"/>
    </xf>
    <xf numFmtId="177" fontId="9" fillId="0" borderId="2" xfId="8" applyNumberFormat="1" applyFont="1" applyBorder="1" applyAlignment="1">
      <alignment horizontal="center" vertical="center"/>
    </xf>
    <xf numFmtId="180" fontId="9" fillId="0" borderId="2" xfId="8" applyNumberFormat="1" applyFont="1" applyBorder="1" applyAlignment="1">
      <alignment horizontal="center" vertical="center"/>
    </xf>
    <xf numFmtId="181" fontId="9" fillId="0" borderId="2" xfId="8" applyNumberFormat="1" applyFont="1" applyBorder="1" applyAlignment="1">
      <alignment horizontal="center" vertical="center"/>
    </xf>
    <xf numFmtId="179" fontId="9" fillId="0" borderId="2" xfId="8" applyNumberFormat="1" applyFont="1" applyBorder="1" applyAlignment="1">
      <alignment horizontal="center" vertical="center"/>
    </xf>
    <xf numFmtId="0" fontId="9" fillId="0" borderId="2" xfId="8" applyFont="1" applyBorder="1" applyAlignment="1">
      <alignment horizontal="center" vertical="center"/>
    </xf>
    <xf numFmtId="0" fontId="9" fillId="0" borderId="2" xfId="8" applyFont="1" applyBorder="1" applyAlignment="1">
      <alignment horizontal="center" vertical="center" wrapText="1"/>
    </xf>
    <xf numFmtId="20" fontId="9" fillId="0" borderId="2" xfId="8" applyNumberFormat="1" applyFont="1" applyBorder="1" applyAlignment="1">
      <alignment horizontal="center" vertical="center"/>
    </xf>
    <xf numFmtId="1" fontId="9" fillId="0" borderId="11" xfId="8" applyNumberFormat="1" applyFont="1" applyBorder="1" applyAlignment="1">
      <alignment horizontal="center" vertical="center"/>
    </xf>
    <xf numFmtId="177" fontId="9" fillId="0" borderId="11" xfId="8" applyNumberFormat="1" applyFont="1" applyBorder="1" applyAlignment="1">
      <alignment horizontal="center" vertical="center"/>
    </xf>
    <xf numFmtId="180" fontId="9" fillId="0" borderId="11" xfId="8" applyNumberFormat="1" applyFont="1" applyBorder="1" applyAlignment="1">
      <alignment horizontal="center" vertical="center"/>
    </xf>
    <xf numFmtId="181" fontId="9" fillId="0" borderId="11" xfId="8" applyNumberFormat="1" applyFont="1" applyBorder="1" applyAlignment="1">
      <alignment horizontal="center" vertical="center"/>
    </xf>
    <xf numFmtId="178" fontId="9" fillId="0" borderId="11" xfId="157" applyNumberFormat="1" applyFont="1" applyBorder="1" applyAlignment="1">
      <alignment horizontal="center" vertical="center"/>
    </xf>
    <xf numFmtId="43" fontId="9" fillId="0" borderId="2" xfId="90" applyFont="1" applyBorder="1" applyAlignment="1">
      <alignment horizontal="center" vertical="center"/>
    </xf>
    <xf numFmtId="180" fontId="9" fillId="0" borderId="14" xfId="8" applyNumberFormat="1" applyFont="1" applyBorder="1" applyAlignment="1">
      <alignment horizontal="center" vertical="center"/>
    </xf>
    <xf numFmtId="178" fontId="9" fillId="0" borderId="14" xfId="157" applyNumberFormat="1" applyFont="1" applyBorder="1" applyAlignment="1">
      <alignment horizontal="center" vertical="center"/>
    </xf>
    <xf numFmtId="182" fontId="9" fillId="0" borderId="2" xfId="8" applyNumberFormat="1" applyFont="1" applyBorder="1" applyAlignment="1">
      <alignment horizontal="center" vertical="center"/>
    </xf>
    <xf numFmtId="20" fontId="9" fillId="0" borderId="2" xfId="7" applyNumberFormat="1" applyFont="1" applyBorder="1" applyAlignment="1">
      <alignment horizontal="center" vertical="center"/>
    </xf>
    <xf numFmtId="178" fontId="9" fillId="0" borderId="19" xfId="157" applyNumberFormat="1" applyFont="1" applyBorder="1" applyAlignment="1">
      <alignment horizontal="center" vertical="center"/>
    </xf>
    <xf numFmtId="0" fontId="9" fillId="0" borderId="2" xfId="7" applyFont="1" applyBorder="1" applyAlignment="1">
      <alignment horizontal="center"/>
    </xf>
    <xf numFmtId="178" fontId="9" fillId="0" borderId="21" xfId="157" applyNumberFormat="1" applyFont="1" applyBorder="1" applyAlignment="1">
      <alignment horizontal="center" vertical="center"/>
    </xf>
    <xf numFmtId="177" fontId="2" fillId="0" borderId="11" xfId="6" applyNumberFormat="1" applyFont="1" applyBorder="1" applyAlignment="1">
      <alignment horizontal="center" vertical="center"/>
    </xf>
    <xf numFmtId="179" fontId="2" fillId="0" borderId="11" xfId="6" applyNumberFormat="1" applyFont="1" applyBorder="1" applyAlignment="1">
      <alignment horizontal="center" vertical="center"/>
    </xf>
    <xf numFmtId="177" fontId="2" fillId="0" borderId="4" xfId="6" applyNumberFormat="1" applyFont="1" applyBorder="1" applyAlignment="1">
      <alignment horizontal="center" vertical="center"/>
    </xf>
    <xf numFmtId="178" fontId="2" fillId="0" borderId="2" xfId="156" applyNumberFormat="1" applyFont="1" applyBorder="1" applyAlignment="1">
      <alignment horizontal="center" vertical="center"/>
    </xf>
    <xf numFmtId="0" fontId="2" fillId="0" borderId="0" xfId="6" applyFont="1">
      <alignment vertical="center"/>
    </xf>
    <xf numFmtId="43" fontId="2" fillId="0" borderId="2" xfId="90" applyFont="1" applyBorder="1" applyAlignment="1">
      <alignment horizontal="center" vertical="center"/>
    </xf>
    <xf numFmtId="0" fontId="2" fillId="0" borderId="2" xfId="6" applyFont="1" applyBorder="1" applyAlignment="1">
      <alignment horizontal="center" vertical="center"/>
    </xf>
    <xf numFmtId="1" fontId="2" fillId="2" borderId="2" xfId="6" applyNumberFormat="1" applyFont="1" applyFill="1" applyBorder="1" applyAlignment="1">
      <alignment horizontal="center" vertical="center"/>
    </xf>
    <xf numFmtId="1" fontId="2" fillId="0" borderId="2" xfId="6" applyNumberFormat="1" applyFont="1" applyBorder="1" applyAlignment="1">
      <alignment horizontal="center" vertical="center"/>
    </xf>
    <xf numFmtId="177" fontId="2" fillId="0" borderId="2" xfId="6" applyNumberFormat="1" applyFont="1" applyBorder="1" applyAlignment="1">
      <alignment horizontal="center" vertical="center"/>
    </xf>
    <xf numFmtId="178" fontId="9" fillId="0" borderId="20" xfId="157" applyNumberFormat="1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 wrapText="1"/>
    </xf>
    <xf numFmtId="20" fontId="2" fillId="0" borderId="2" xfId="3" applyNumberFormat="1" applyFont="1" applyBorder="1" applyAlignment="1">
      <alignment horizontal="center" vertical="center"/>
    </xf>
    <xf numFmtId="180" fontId="2" fillId="0" borderId="16" xfId="6" applyNumberFormat="1" applyFont="1" applyBorder="1" applyAlignment="1">
      <alignment horizontal="center" vertical="center"/>
    </xf>
    <xf numFmtId="0" fontId="2" fillId="0" borderId="2" xfId="6" applyFont="1" applyBorder="1" applyAlignment="1">
      <alignment horizontal="center"/>
    </xf>
    <xf numFmtId="180" fontId="9" fillId="0" borderId="17" xfId="8" applyNumberFormat="1" applyFont="1" applyBorder="1" applyAlignment="1">
      <alignment horizontal="center" vertical="center"/>
    </xf>
    <xf numFmtId="181" fontId="9" fillId="0" borderId="17" xfId="8" applyNumberFormat="1" applyFont="1" applyBorder="1" applyAlignment="1">
      <alignment horizontal="center" vertical="center"/>
    </xf>
    <xf numFmtId="179" fontId="2" fillId="0" borderId="2" xfId="6" applyNumberFormat="1" applyFont="1" applyBorder="1" applyAlignment="1">
      <alignment horizontal="center" vertical="center"/>
    </xf>
    <xf numFmtId="43" fontId="9" fillId="0" borderId="14" xfId="90" applyFont="1" applyBorder="1" applyAlignment="1">
      <alignment horizontal="center" vertical="center"/>
    </xf>
    <xf numFmtId="1" fontId="9" fillId="0" borderId="14" xfId="8" applyNumberFormat="1" applyFont="1" applyBorder="1" applyAlignment="1">
      <alignment horizontal="center" vertical="center"/>
    </xf>
    <xf numFmtId="177" fontId="9" fillId="0" borderId="14" xfId="8" applyNumberFormat="1" applyFont="1" applyBorder="1" applyAlignment="1">
      <alignment horizontal="center" vertical="center"/>
    </xf>
    <xf numFmtId="179" fontId="2" fillId="7" borderId="11" xfId="6" applyNumberFormat="1" applyFont="1" applyFill="1" applyBorder="1" applyAlignment="1">
      <alignment horizontal="center" vertical="center"/>
    </xf>
    <xf numFmtId="0" fontId="9" fillId="7" borderId="15" xfId="8" applyFont="1" applyFill="1" applyBorder="1" applyAlignment="1">
      <alignment horizontal="center" vertical="center" wrapText="1"/>
    </xf>
    <xf numFmtId="0" fontId="9" fillId="0" borderId="17" xfId="8" applyFont="1" applyBorder="1" applyAlignment="1">
      <alignment horizontal="center" vertical="center"/>
    </xf>
    <xf numFmtId="1" fontId="9" fillId="0" borderId="17" xfId="8" applyNumberFormat="1" applyFont="1" applyBorder="1" applyAlignment="1">
      <alignment horizontal="center" vertical="center"/>
    </xf>
    <xf numFmtId="177" fontId="9" fillId="0" borderId="17" xfId="8" applyNumberFormat="1" applyFont="1" applyBorder="1" applyAlignment="1">
      <alignment horizontal="center" vertical="center"/>
    </xf>
    <xf numFmtId="20" fontId="9" fillId="0" borderId="15" xfId="7" applyNumberFormat="1" applyFont="1" applyBorder="1" applyAlignment="1">
      <alignment horizontal="center" vertical="center"/>
    </xf>
    <xf numFmtId="0" fontId="9" fillId="0" borderId="1" xfId="8" applyFont="1" applyBorder="1" applyAlignment="1">
      <alignment horizontal="center" vertical="center"/>
    </xf>
    <xf numFmtId="0" fontId="9" fillId="0" borderId="22" xfId="7" applyFont="1" applyBorder="1" applyAlignment="1"/>
    <xf numFmtId="1" fontId="9" fillId="2" borderId="17" xfId="8" applyNumberFormat="1" applyFont="1" applyFill="1" applyBorder="1" applyAlignment="1">
      <alignment horizontal="center" vertical="center"/>
    </xf>
    <xf numFmtId="0" fontId="9" fillId="0" borderId="25" xfId="8" applyFont="1" applyBorder="1" applyAlignment="1">
      <alignment horizontal="center" vertical="center" wrapText="1"/>
    </xf>
    <xf numFmtId="20" fontId="9" fillId="0" borderId="25" xfId="8" applyNumberFormat="1" applyFont="1" applyBorder="1" applyAlignment="1">
      <alignment horizontal="center" vertical="center"/>
    </xf>
    <xf numFmtId="0" fontId="9" fillId="0" borderId="14" xfId="8" applyFont="1" applyBorder="1" applyAlignment="1">
      <alignment horizontal="center" vertical="center" wrapText="1"/>
    </xf>
    <xf numFmtId="20" fontId="9" fillId="0" borderId="18" xfId="7" applyNumberFormat="1" applyFont="1" applyBorder="1" applyAlignment="1">
      <alignment horizontal="center" vertical="center"/>
    </xf>
    <xf numFmtId="0" fontId="9" fillId="0" borderId="0" xfId="8" applyFont="1" applyAlignment="1">
      <alignment vertical="center" wrapText="1"/>
    </xf>
    <xf numFmtId="0" fontId="9" fillId="0" borderId="2" xfId="8" applyFont="1" applyBorder="1">
      <alignment vertical="center"/>
    </xf>
    <xf numFmtId="20" fontId="9" fillId="0" borderId="28" xfId="0" applyNumberFormat="1" applyFont="1" applyBorder="1" applyAlignment="1">
      <alignment horizontal="center" vertical="center"/>
    </xf>
    <xf numFmtId="20" fontId="9" fillId="0" borderId="2" xfId="0" applyNumberFormat="1" applyFont="1" applyBorder="1" applyAlignment="1">
      <alignment horizontal="center" vertical="center"/>
    </xf>
    <xf numFmtId="182" fontId="9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82" fontId="2" fillId="7" borderId="2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9" fillId="0" borderId="30" xfId="8" applyFont="1" applyBorder="1" applyAlignment="1">
      <alignment horizontal="center"/>
    </xf>
    <xf numFmtId="0" fontId="9" fillId="0" borderId="31" xfId="7" applyFont="1" applyBorder="1" applyAlignment="1"/>
    <xf numFmtId="0" fontId="9" fillId="0" borderId="32" xfId="7" applyFont="1" applyBorder="1" applyAlignment="1"/>
    <xf numFmtId="1" fontId="9" fillId="0" borderId="33" xfId="8" applyNumberFormat="1" applyFont="1" applyBorder="1" applyAlignment="1">
      <alignment horizontal="center" vertical="center"/>
    </xf>
    <xf numFmtId="43" fontId="9" fillId="0" borderId="33" xfId="90" applyFont="1" applyBorder="1" applyAlignment="1">
      <alignment horizontal="center" vertical="center"/>
    </xf>
    <xf numFmtId="0" fontId="9" fillId="0" borderId="33" xfId="8" applyFont="1" applyBorder="1" applyAlignment="1">
      <alignment horizontal="center" vertical="center" wrapText="1"/>
    </xf>
    <xf numFmtId="1" fontId="9" fillId="2" borderId="33" xfId="8" applyNumberFormat="1" applyFont="1" applyFill="1" applyBorder="1" applyAlignment="1">
      <alignment horizontal="center" vertical="center"/>
    </xf>
    <xf numFmtId="177" fontId="9" fillId="0" borderId="33" xfId="8" applyNumberFormat="1" applyFont="1" applyBorder="1" applyAlignment="1">
      <alignment horizontal="center" vertical="center"/>
    </xf>
    <xf numFmtId="0" fontId="9" fillId="2" borderId="33" xfId="8" applyFont="1" applyFill="1" applyBorder="1" applyAlignment="1">
      <alignment horizontal="center" vertical="center"/>
    </xf>
    <xf numFmtId="180" fontId="9" fillId="0" borderId="33" xfId="8" applyNumberFormat="1" applyFont="1" applyBorder="1" applyAlignment="1">
      <alignment horizontal="center" vertical="center"/>
    </xf>
    <xf numFmtId="181" fontId="9" fillId="0" borderId="33" xfId="8" applyNumberFormat="1" applyFont="1" applyBorder="1" applyAlignment="1">
      <alignment horizontal="center" vertical="center"/>
    </xf>
    <xf numFmtId="0" fontId="9" fillId="0" borderId="38" xfId="8" applyFont="1" applyBorder="1" applyAlignment="1">
      <alignment horizontal="center"/>
    </xf>
    <xf numFmtId="0" fontId="9" fillId="10" borderId="39" xfId="8" applyFont="1" applyFill="1" applyBorder="1" applyAlignment="1">
      <alignment horizontal="center"/>
    </xf>
    <xf numFmtId="177" fontId="9" fillId="10" borderId="39" xfId="8" applyNumberFormat="1" applyFont="1" applyFill="1" applyBorder="1" applyAlignment="1">
      <alignment horizontal="center" vertical="center"/>
    </xf>
    <xf numFmtId="43" fontId="9" fillId="10" borderId="39" xfId="90" applyFont="1" applyFill="1" applyBorder="1" applyAlignment="1">
      <alignment horizontal="center" vertical="center"/>
    </xf>
    <xf numFmtId="0" fontId="9" fillId="10" borderId="39" xfId="8" applyFont="1" applyFill="1" applyBorder="1" applyAlignment="1">
      <alignment horizontal="center" vertical="center"/>
    </xf>
    <xf numFmtId="1" fontId="9" fillId="10" borderId="39" xfId="8" applyNumberFormat="1" applyFont="1" applyFill="1" applyBorder="1" applyAlignment="1">
      <alignment horizontal="center" vertical="center"/>
    </xf>
    <xf numFmtId="180" fontId="9" fillId="0" borderId="39" xfId="8" applyNumberFormat="1" applyFont="1" applyBorder="1" applyAlignment="1">
      <alignment horizontal="center" vertical="center"/>
    </xf>
    <xf numFmtId="181" fontId="9" fillId="0" borderId="39" xfId="8" applyNumberFormat="1" applyFont="1" applyBorder="1" applyAlignment="1">
      <alignment horizontal="center" vertical="center"/>
    </xf>
    <xf numFmtId="178" fontId="9" fillId="0" borderId="39" xfId="157" applyNumberFormat="1" applyFont="1" applyFill="1" applyBorder="1" applyAlignment="1">
      <alignment horizontal="center" vertical="center"/>
    </xf>
    <xf numFmtId="179" fontId="9" fillId="0" borderId="39" xfId="8" applyNumberFormat="1" applyFont="1" applyBorder="1" applyAlignment="1">
      <alignment horizontal="center" vertical="center"/>
    </xf>
    <xf numFmtId="0" fontId="9" fillId="0" borderId="38" xfId="8" applyFont="1" applyBorder="1" applyAlignment="1">
      <alignment horizontal="center" vertical="center" wrapText="1"/>
    </xf>
    <xf numFmtId="177" fontId="9" fillId="0" borderId="39" xfId="8" applyNumberFormat="1" applyFont="1" applyBorder="1" applyAlignment="1">
      <alignment horizontal="center" vertical="center"/>
    </xf>
    <xf numFmtId="43" fontId="9" fillId="0" borderId="28" xfId="90" applyFont="1" applyBorder="1" applyAlignment="1">
      <alignment horizontal="center" vertical="center"/>
    </xf>
    <xf numFmtId="0" fontId="9" fillId="0" borderId="28" xfId="8" applyFont="1" applyBorder="1" applyAlignment="1">
      <alignment horizontal="center" vertical="center"/>
    </xf>
    <xf numFmtId="1" fontId="9" fillId="0" borderId="28" xfId="8" applyNumberFormat="1" applyFont="1" applyBorder="1" applyAlignment="1">
      <alignment horizontal="center" vertical="center"/>
    </xf>
    <xf numFmtId="177" fontId="9" fillId="0" borderId="28" xfId="8" applyNumberFormat="1" applyFont="1" applyBorder="1" applyAlignment="1">
      <alignment horizontal="center" vertical="center"/>
    </xf>
    <xf numFmtId="180" fontId="9" fillId="0" borderId="28" xfId="8" applyNumberFormat="1" applyFont="1" applyBorder="1" applyAlignment="1">
      <alignment horizontal="center" vertical="center"/>
    </xf>
    <xf numFmtId="181" fontId="9" fillId="0" borderId="28" xfId="8" applyNumberFormat="1" applyFont="1" applyBorder="1" applyAlignment="1">
      <alignment horizontal="center" vertical="center"/>
    </xf>
    <xf numFmtId="0" fontId="9" fillId="0" borderId="28" xfId="8" applyFont="1" applyBorder="1" applyAlignment="1">
      <alignment horizontal="center" vertical="center" wrapText="1"/>
    </xf>
    <xf numFmtId="0" fontId="9" fillId="0" borderId="9" xfId="8" applyFont="1" applyBorder="1" applyAlignment="1">
      <alignment horizontal="center"/>
    </xf>
    <xf numFmtId="0" fontId="9" fillId="10" borderId="9" xfId="8" applyFont="1" applyFill="1" applyBorder="1" applyAlignment="1">
      <alignment horizontal="center"/>
    </xf>
    <xf numFmtId="1" fontId="9" fillId="10" borderId="9" xfId="8" applyNumberFormat="1" applyFont="1" applyFill="1" applyBorder="1" applyAlignment="1">
      <alignment horizontal="center" vertical="center"/>
    </xf>
    <xf numFmtId="43" fontId="9" fillId="10" borderId="9" xfId="90" applyFont="1" applyFill="1" applyBorder="1" applyAlignment="1">
      <alignment horizontal="center" vertical="center"/>
    </xf>
    <xf numFmtId="0" fontId="9" fillId="10" borderId="9" xfId="8" applyFont="1" applyFill="1" applyBorder="1" applyAlignment="1">
      <alignment horizontal="center" vertical="center"/>
    </xf>
    <xf numFmtId="177" fontId="9" fillId="10" borderId="9" xfId="8" applyNumberFormat="1" applyFont="1" applyFill="1" applyBorder="1" applyAlignment="1">
      <alignment horizontal="center" vertical="center"/>
    </xf>
    <xf numFmtId="180" fontId="9" fillId="0" borderId="9" xfId="8" applyNumberFormat="1" applyFont="1" applyBorder="1" applyAlignment="1">
      <alignment horizontal="center" vertical="center"/>
    </xf>
    <xf numFmtId="181" fontId="9" fillId="0" borderId="9" xfId="8" applyNumberFormat="1" applyFont="1" applyBorder="1" applyAlignment="1">
      <alignment horizontal="center" vertical="center"/>
    </xf>
    <xf numFmtId="178" fontId="9" fillId="0" borderId="9" xfId="157" applyNumberFormat="1" applyFont="1" applyFill="1" applyBorder="1" applyAlignment="1">
      <alignment horizontal="center" vertical="center"/>
    </xf>
    <xf numFmtId="179" fontId="9" fillId="0" borderId="9" xfId="8" applyNumberFormat="1" applyFont="1" applyBorder="1" applyAlignment="1">
      <alignment horizontal="center" vertical="center"/>
    </xf>
    <xf numFmtId="1" fontId="9" fillId="0" borderId="9" xfId="8" applyNumberFormat="1" applyFont="1" applyBorder="1" applyAlignment="1">
      <alignment horizontal="center" vertical="center"/>
    </xf>
    <xf numFmtId="177" fontId="9" fillId="0" borderId="9" xfId="8" applyNumberFormat="1" applyFont="1" applyBorder="1" applyAlignment="1">
      <alignment horizontal="center" vertical="center"/>
    </xf>
    <xf numFmtId="0" fontId="9" fillId="2" borderId="28" xfId="8" applyFont="1" applyFill="1" applyBorder="1" applyAlignment="1">
      <alignment horizontal="center" vertical="center"/>
    </xf>
    <xf numFmtId="182" fontId="9" fillId="10" borderId="9" xfId="8" applyNumberFormat="1" applyFont="1" applyFill="1" applyBorder="1" applyAlignment="1">
      <alignment horizontal="center" vertical="center"/>
    </xf>
    <xf numFmtId="0" fontId="9" fillId="0" borderId="9" xfId="8" applyFont="1" applyBorder="1" applyAlignment="1">
      <alignment horizontal="center" vertical="center"/>
    </xf>
    <xf numFmtId="0" fontId="2" fillId="0" borderId="28" xfId="6" applyFont="1" applyBorder="1" applyAlignment="1">
      <alignment horizontal="center" vertical="center"/>
    </xf>
    <xf numFmtId="1" fontId="2" fillId="0" borderId="28" xfId="6" applyNumberFormat="1" applyFont="1" applyBorder="1" applyAlignment="1">
      <alignment horizontal="center" vertical="center"/>
    </xf>
    <xf numFmtId="177" fontId="2" fillId="0" borderId="28" xfId="6" applyNumberFormat="1" applyFont="1" applyBorder="1" applyAlignment="1">
      <alignment horizontal="center" vertical="center"/>
    </xf>
    <xf numFmtId="179" fontId="2" fillId="0" borderId="28" xfId="6" applyNumberFormat="1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 wrapText="1"/>
    </xf>
    <xf numFmtId="177" fontId="2" fillId="0" borderId="6" xfId="6" applyNumberFormat="1" applyFont="1" applyBorder="1" applyAlignment="1">
      <alignment horizontal="center" vertical="center"/>
    </xf>
    <xf numFmtId="178" fontId="2" fillId="0" borderId="28" xfId="156" applyNumberFormat="1" applyFont="1" applyBorder="1" applyAlignment="1">
      <alignment horizontal="center" vertical="center"/>
    </xf>
    <xf numFmtId="0" fontId="2" fillId="0" borderId="0" xfId="6" applyFont="1" applyAlignment="1">
      <alignment horizontal="center"/>
    </xf>
    <xf numFmtId="0" fontId="9" fillId="0" borderId="47" xfId="8" applyFont="1" applyBorder="1" applyAlignment="1">
      <alignment horizontal="center"/>
    </xf>
    <xf numFmtId="180" fontId="9" fillId="0" borderId="48" xfId="8" applyNumberFormat="1" applyFont="1" applyBorder="1" applyAlignment="1">
      <alignment horizontal="center" vertical="center"/>
    </xf>
    <xf numFmtId="181" fontId="9" fillId="0" borderId="49" xfId="8" applyNumberFormat="1" applyFont="1" applyBorder="1" applyAlignment="1">
      <alignment horizontal="center" vertical="center"/>
    </xf>
    <xf numFmtId="178" fontId="9" fillId="0" borderId="49" xfId="157" applyNumberFormat="1" applyFont="1" applyFill="1" applyBorder="1" applyAlignment="1">
      <alignment horizontal="center" vertical="center"/>
    </xf>
    <xf numFmtId="179" fontId="9" fillId="0" borderId="49" xfId="8" applyNumberFormat="1" applyFont="1" applyBorder="1" applyAlignment="1">
      <alignment horizontal="center" vertical="center"/>
    </xf>
    <xf numFmtId="0" fontId="2" fillId="0" borderId="9" xfId="8" applyFont="1" applyBorder="1" applyAlignment="1">
      <alignment horizontal="center" vertical="center" wrapText="1"/>
    </xf>
    <xf numFmtId="20" fontId="9" fillId="0" borderId="49" xfId="8" applyNumberFormat="1" applyFont="1" applyBorder="1" applyAlignment="1">
      <alignment horizontal="center" vertical="center"/>
    </xf>
    <xf numFmtId="180" fontId="9" fillId="0" borderId="47" xfId="8" applyNumberFormat="1" applyFont="1" applyBorder="1" applyAlignment="1">
      <alignment horizontal="center" vertical="center"/>
    </xf>
    <xf numFmtId="180" fontId="9" fillId="0" borderId="32" xfId="8" applyNumberFormat="1" applyFont="1" applyBorder="1" applyAlignment="1">
      <alignment horizontal="center" vertical="center"/>
    </xf>
    <xf numFmtId="0" fontId="9" fillId="0" borderId="39" xfId="8" applyFont="1" applyBorder="1" applyAlignment="1">
      <alignment horizontal="center"/>
    </xf>
    <xf numFmtId="1" fontId="9" fillId="10" borderId="49" xfId="8" applyNumberFormat="1" applyFont="1" applyFill="1" applyBorder="1" applyAlignment="1">
      <alignment horizontal="center" vertical="center"/>
    </xf>
    <xf numFmtId="179" fontId="2" fillId="0" borderId="53" xfId="6" applyNumberFormat="1" applyFont="1" applyBorder="1" applyAlignment="1">
      <alignment horizontal="center" vertical="center"/>
    </xf>
    <xf numFmtId="1" fontId="9" fillId="0" borderId="39" xfId="8" applyNumberFormat="1" applyFont="1" applyBorder="1" applyAlignment="1">
      <alignment horizontal="center" vertical="center"/>
    </xf>
    <xf numFmtId="179" fontId="9" fillId="0" borderId="33" xfId="8" applyNumberFormat="1" applyFont="1" applyBorder="1" applyAlignment="1">
      <alignment horizontal="center" vertical="center"/>
    </xf>
    <xf numFmtId="0" fontId="9" fillId="10" borderId="49" xfId="8" applyFont="1" applyFill="1" applyBorder="1" applyAlignment="1">
      <alignment horizontal="center" vertical="center"/>
    </xf>
    <xf numFmtId="177" fontId="9" fillId="10" borderId="49" xfId="8" applyNumberFormat="1" applyFont="1" applyFill="1" applyBorder="1" applyAlignment="1">
      <alignment horizontal="center" vertical="center"/>
    </xf>
    <xf numFmtId="180" fontId="9" fillId="0" borderId="49" xfId="8" applyNumberFormat="1" applyFont="1" applyBorder="1" applyAlignment="1">
      <alignment horizontal="center" vertical="center"/>
    </xf>
    <xf numFmtId="43" fontId="9" fillId="10" borderId="49" xfId="90" applyFont="1" applyFill="1" applyBorder="1" applyAlignment="1">
      <alignment horizontal="center" vertical="center"/>
    </xf>
    <xf numFmtId="0" fontId="9" fillId="2" borderId="26" xfId="8" applyFont="1" applyFill="1" applyBorder="1" applyAlignment="1">
      <alignment horizontal="center" vertical="center"/>
    </xf>
    <xf numFmtId="0" fontId="7" fillId="0" borderId="15" xfId="8" applyFont="1" applyBorder="1" applyAlignment="1">
      <alignment horizontal="center" vertical="center"/>
    </xf>
    <xf numFmtId="0" fontId="7" fillId="0" borderId="15" xfId="8" applyFont="1" applyBorder="1" applyAlignment="1">
      <alignment horizontal="left" vertical="center"/>
    </xf>
    <xf numFmtId="0" fontId="9" fillId="0" borderId="15" xfId="8" applyFont="1" applyBorder="1" applyAlignment="1">
      <alignment horizontal="center" vertical="center"/>
    </xf>
    <xf numFmtId="0" fontId="9" fillId="0" borderId="18" xfId="8" applyFont="1" applyBorder="1" applyAlignment="1">
      <alignment horizontal="center" vertical="center"/>
    </xf>
    <xf numFmtId="0" fontId="5" fillId="8" borderId="18" xfId="8" applyFont="1" applyFill="1" applyBorder="1" applyAlignment="1">
      <alignment horizontal="center" vertical="center"/>
    </xf>
    <xf numFmtId="0" fontId="9" fillId="2" borderId="15" xfId="8" applyFont="1" applyFill="1" applyBorder="1" applyAlignment="1">
      <alignment horizontal="center" vertical="center"/>
    </xf>
    <xf numFmtId="0" fontId="9" fillId="2" borderId="18" xfId="8" applyFont="1" applyFill="1" applyBorder="1" applyAlignment="1">
      <alignment horizontal="center" vertical="center"/>
    </xf>
    <xf numFmtId="0" fontId="9" fillId="0" borderId="15" xfId="8" applyFont="1" applyBorder="1" applyAlignment="1">
      <alignment horizontal="center" vertical="center" wrapText="1"/>
    </xf>
    <xf numFmtId="0" fontId="9" fillId="0" borderId="19" xfId="8" applyFont="1" applyBorder="1" applyAlignment="1">
      <alignment horizontal="center" vertical="center"/>
    </xf>
    <xf numFmtId="178" fontId="9" fillId="0" borderId="33" xfId="157" applyNumberFormat="1" applyFont="1" applyBorder="1" applyAlignment="1">
      <alignment horizontal="center" vertical="center"/>
    </xf>
    <xf numFmtId="178" fontId="9" fillId="0" borderId="15" xfId="157" applyNumberFormat="1" applyFont="1" applyBorder="1" applyAlignment="1">
      <alignment horizontal="center" vertical="center"/>
    </xf>
    <xf numFmtId="178" fontId="9" fillId="0" borderId="18" xfId="157" applyNumberFormat="1" applyFont="1" applyBorder="1" applyAlignment="1">
      <alignment horizontal="center" vertical="center"/>
    </xf>
    <xf numFmtId="178" fontId="9" fillId="0" borderId="39" xfId="157" applyNumberFormat="1" applyFont="1" applyBorder="1" applyAlignment="1">
      <alignment horizontal="center" vertical="center"/>
    </xf>
    <xf numFmtId="0" fontId="9" fillId="0" borderId="33" xfId="8" applyFont="1" applyBorder="1" applyAlignment="1">
      <alignment horizontal="center" vertical="center"/>
    </xf>
    <xf numFmtId="178" fontId="9" fillId="0" borderId="28" xfId="157" applyNumberFormat="1" applyFont="1" applyBorder="1" applyAlignment="1">
      <alignment horizontal="center" vertical="center"/>
    </xf>
    <xf numFmtId="178" fontId="9" fillId="0" borderId="2" xfId="157" applyNumberFormat="1" applyFont="1" applyBorder="1" applyAlignment="1">
      <alignment horizontal="center" vertical="center"/>
    </xf>
    <xf numFmtId="178" fontId="9" fillId="0" borderId="9" xfId="157" applyNumberFormat="1" applyFont="1" applyBorder="1" applyAlignment="1">
      <alignment horizontal="center" vertical="center"/>
    </xf>
    <xf numFmtId="178" fontId="9" fillId="0" borderId="23" xfId="157" applyNumberFormat="1" applyFont="1" applyBorder="1" applyAlignment="1">
      <alignment horizontal="center" vertical="center"/>
    </xf>
    <xf numFmtId="0" fontId="9" fillId="0" borderId="14" xfId="8" applyFont="1" applyBorder="1" applyAlignment="1">
      <alignment horizontal="center" vertical="center"/>
    </xf>
    <xf numFmtId="0" fontId="9" fillId="0" borderId="34" xfId="8" applyFont="1" applyBorder="1">
      <alignment vertical="center"/>
    </xf>
    <xf numFmtId="0" fontId="9" fillId="0" borderId="39" xfId="8" applyFont="1" applyBorder="1" applyAlignment="1">
      <alignment horizontal="center" vertical="center"/>
    </xf>
    <xf numFmtId="0" fontId="9" fillId="0" borderId="49" xfId="8" applyFont="1" applyBorder="1" applyAlignment="1">
      <alignment horizontal="center" vertical="center"/>
    </xf>
    <xf numFmtId="0" fontId="9" fillId="7" borderId="15" xfId="8" applyFont="1" applyFill="1" applyBorder="1" applyAlignment="1">
      <alignment horizontal="center" vertical="center"/>
    </xf>
    <xf numFmtId="179" fontId="9" fillId="0" borderId="14" xfId="8" applyNumberFormat="1" applyFont="1" applyBorder="1" applyAlignment="1">
      <alignment horizontal="center" vertical="center"/>
    </xf>
    <xf numFmtId="0" fontId="9" fillId="0" borderId="57" xfId="7" applyFont="1" applyBorder="1" applyAlignment="1">
      <alignment horizont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14" fillId="0" borderId="0" xfId="2" applyFont="1">
      <alignment vertical="center"/>
    </xf>
    <xf numFmtId="0" fontId="2" fillId="0" borderId="0" xfId="2" applyFont="1">
      <alignment vertical="center"/>
    </xf>
    <xf numFmtId="0" fontId="15" fillId="0" borderId="2" xfId="2" applyFont="1" applyBorder="1" applyAlignment="1">
      <alignment horizontal="center" vertical="center"/>
    </xf>
    <xf numFmtId="176" fontId="15" fillId="0" borderId="0" xfId="122" applyNumberFormat="1" applyFont="1" applyBorder="1" applyAlignment="1">
      <alignment vertical="center"/>
    </xf>
    <xf numFmtId="0" fontId="15" fillId="0" borderId="59" xfId="2" applyFont="1" applyBorder="1">
      <alignment vertical="center"/>
    </xf>
    <xf numFmtId="0" fontId="15" fillId="0" borderId="0" xfId="2" applyFont="1">
      <alignment vertical="center"/>
    </xf>
    <xf numFmtId="0" fontId="19" fillId="0" borderId="0" xfId="2" applyFont="1">
      <alignment vertical="center"/>
    </xf>
    <xf numFmtId="0" fontId="20" fillId="0" borderId="0" xfId="5" applyFont="1">
      <alignment vertical="center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2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177" fontId="23" fillId="0" borderId="2" xfId="2" applyNumberFormat="1" applyFont="1" applyBorder="1" applyAlignment="1">
      <alignment horizontal="center" vertical="center"/>
    </xf>
    <xf numFmtId="1" fontId="2" fillId="0" borderId="2" xfId="2" applyNumberFormat="1" applyFont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7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9" fillId="0" borderId="26" xfId="7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180" fontId="9" fillId="0" borderId="61" xfId="8" applyNumberFormat="1" applyFont="1" applyBorder="1" applyAlignment="1">
      <alignment horizontal="center" vertical="center"/>
    </xf>
    <xf numFmtId="178" fontId="9" fillId="0" borderId="61" xfId="157" applyNumberFormat="1" applyFont="1" applyBorder="1" applyAlignment="1">
      <alignment horizontal="center" vertical="center"/>
    </xf>
    <xf numFmtId="180" fontId="9" fillId="0" borderId="62" xfId="8" applyNumberFormat="1" applyFont="1" applyBorder="1" applyAlignment="1">
      <alignment horizontal="center" vertical="center"/>
    </xf>
    <xf numFmtId="178" fontId="9" fillId="0" borderId="63" xfId="157" applyNumberFormat="1" applyFont="1" applyBorder="1" applyAlignment="1">
      <alignment horizontal="center" vertical="center"/>
    </xf>
    <xf numFmtId="0" fontId="9" fillId="0" borderId="64" xfId="7" applyFont="1" applyBorder="1" applyAlignment="1">
      <alignment horizontal="center"/>
    </xf>
    <xf numFmtId="0" fontId="9" fillId="0" borderId="66" xfId="8" applyFont="1" applyBorder="1" applyAlignment="1">
      <alignment horizontal="center" vertical="center"/>
    </xf>
    <xf numFmtId="0" fontId="9" fillId="0" borderId="67" xfId="8" applyFont="1" applyBorder="1" applyAlignment="1">
      <alignment horizontal="center" vertical="center"/>
    </xf>
    <xf numFmtId="0" fontId="9" fillId="0" borderId="68" xfId="8" applyFont="1" applyBorder="1" applyAlignment="1">
      <alignment horizontal="center" vertical="center"/>
    </xf>
    <xf numFmtId="178" fontId="23" fillId="0" borderId="17" xfId="155" applyNumberFormat="1" applyFont="1" applyBorder="1" applyAlignment="1">
      <alignment horizontal="center" vertical="center"/>
    </xf>
    <xf numFmtId="1" fontId="9" fillId="2" borderId="19" xfId="8" applyNumberFormat="1" applyFont="1" applyFill="1" applyBorder="1" applyAlignment="1">
      <alignment horizontal="center" vertical="center"/>
    </xf>
    <xf numFmtId="177" fontId="9" fillId="0" borderId="20" xfId="8" applyNumberFormat="1" applyFont="1" applyBorder="1" applyAlignment="1">
      <alignment horizontal="center" vertical="center"/>
    </xf>
    <xf numFmtId="1" fontId="9" fillId="0" borderId="61" xfId="8" applyNumberFormat="1" applyFont="1" applyBorder="1" applyAlignment="1">
      <alignment horizontal="center" vertical="center"/>
    </xf>
    <xf numFmtId="0" fontId="9" fillId="0" borderId="21" xfId="8" applyFont="1" applyBorder="1" applyAlignment="1">
      <alignment horizontal="center"/>
    </xf>
    <xf numFmtId="182" fontId="9" fillId="0" borderId="17" xfId="8" applyNumberFormat="1" applyFont="1" applyBorder="1" applyAlignment="1">
      <alignment horizontal="center" vertical="center"/>
    </xf>
    <xf numFmtId="0" fontId="9" fillId="0" borderId="65" xfId="8" applyFont="1" applyBorder="1" applyAlignment="1">
      <alignment horizontal="center" vertical="center"/>
    </xf>
    <xf numFmtId="0" fontId="9" fillId="0" borderId="71" xfId="8" applyFont="1" applyBorder="1" applyAlignment="1">
      <alignment horizontal="center" vertical="center"/>
    </xf>
    <xf numFmtId="0" fontId="9" fillId="0" borderId="71" xfId="7" applyFont="1" applyBorder="1" applyAlignment="1"/>
    <xf numFmtId="0" fontId="9" fillId="0" borderId="26" xfId="7" applyFont="1" applyBorder="1" applyAlignment="1"/>
    <xf numFmtId="182" fontId="9" fillId="0" borderId="11" xfId="8" applyNumberFormat="1" applyFont="1" applyBorder="1" applyAlignment="1">
      <alignment horizontal="center" vertical="center"/>
    </xf>
    <xf numFmtId="43" fontId="9" fillId="0" borderId="11" xfId="90" applyFont="1" applyBorder="1" applyAlignment="1">
      <alignment horizontal="center" vertical="center"/>
    </xf>
    <xf numFmtId="0" fontId="9" fillId="0" borderId="11" xfId="8" applyFont="1" applyBorder="1" applyAlignment="1">
      <alignment horizontal="center" vertical="center"/>
    </xf>
    <xf numFmtId="1" fontId="9" fillId="2" borderId="11" xfId="8" applyNumberFormat="1" applyFont="1" applyFill="1" applyBorder="1" applyAlignment="1">
      <alignment horizontal="center" vertical="center"/>
    </xf>
    <xf numFmtId="0" fontId="9" fillId="2" borderId="11" xfId="8" applyFont="1" applyFill="1" applyBorder="1" applyAlignment="1">
      <alignment horizontal="center" vertical="center"/>
    </xf>
    <xf numFmtId="0" fontId="9" fillId="0" borderId="72" xfId="8" applyFont="1" applyBorder="1" applyAlignment="1">
      <alignment horizontal="center"/>
    </xf>
    <xf numFmtId="0" fontId="9" fillId="0" borderId="73" xfId="7" applyFont="1" applyBorder="1" applyAlignment="1"/>
    <xf numFmtId="0" fontId="9" fillId="0" borderId="74" xfId="7" applyFont="1" applyBorder="1" applyAlignment="1"/>
    <xf numFmtId="0" fontId="9" fillId="0" borderId="75" xfId="8" applyFont="1" applyBorder="1" applyAlignment="1">
      <alignment horizontal="center"/>
    </xf>
    <xf numFmtId="0" fontId="9" fillId="0" borderId="75" xfId="7" applyFont="1" applyBorder="1" applyAlignment="1"/>
    <xf numFmtId="0" fontId="9" fillId="0" borderId="76" xfId="7" applyFont="1" applyBorder="1" applyAlignment="1"/>
    <xf numFmtId="1" fontId="9" fillId="2" borderId="75" xfId="8" applyNumberFormat="1" applyFont="1" applyFill="1" applyBorder="1" applyAlignment="1">
      <alignment horizontal="center" vertical="center"/>
    </xf>
    <xf numFmtId="177" fontId="9" fillId="0" borderId="76" xfId="8" applyNumberFormat="1" applyFont="1" applyBorder="1" applyAlignment="1">
      <alignment horizontal="center" vertical="center"/>
    </xf>
    <xf numFmtId="180" fontId="9" fillId="0" borderId="78" xfId="8" applyNumberFormat="1" applyFont="1" applyBorder="1" applyAlignment="1">
      <alignment horizontal="center" vertical="center"/>
    </xf>
    <xf numFmtId="178" fontId="9" fillId="0" borderId="79" xfId="157" applyNumberFormat="1" applyFont="1" applyBorder="1" applyAlignment="1">
      <alignment horizontal="center" vertical="center"/>
    </xf>
    <xf numFmtId="20" fontId="2" fillId="0" borderId="81" xfId="3" applyNumberFormat="1" applyFont="1" applyBorder="1" applyAlignment="1">
      <alignment horizontal="center" vertical="center"/>
    </xf>
    <xf numFmtId="1" fontId="9" fillId="0" borderId="80" xfId="8" applyNumberFormat="1" applyFont="1" applyBorder="1" applyAlignment="1">
      <alignment horizontal="center" vertical="center"/>
    </xf>
    <xf numFmtId="177" fontId="9" fillId="0" borderId="82" xfId="8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20" fontId="9" fillId="0" borderId="19" xfId="8" applyNumberFormat="1" applyFont="1" applyBorder="1" applyAlignment="1">
      <alignment horizontal="center" vertical="center"/>
    </xf>
    <xf numFmtId="180" fontId="9" fillId="0" borderId="20" xfId="8" applyNumberFormat="1" applyFont="1" applyBorder="1" applyAlignment="1">
      <alignment horizontal="center" vertical="center"/>
    </xf>
    <xf numFmtId="182" fontId="9" fillId="0" borderId="28" xfId="0" applyNumberFormat="1" applyFont="1" applyBorder="1" applyAlignment="1">
      <alignment horizontal="center" vertical="center"/>
    </xf>
    <xf numFmtId="182" fontId="2" fillId="0" borderId="28" xfId="0" applyNumberFormat="1" applyFont="1" applyBorder="1" applyAlignment="1">
      <alignment horizontal="center" vertical="center"/>
    </xf>
    <xf numFmtId="1" fontId="9" fillId="2" borderId="28" xfId="8" applyNumberFormat="1" applyFont="1" applyFill="1" applyBorder="1" applyAlignment="1">
      <alignment horizontal="center" vertical="center"/>
    </xf>
    <xf numFmtId="179" fontId="9" fillId="0" borderId="28" xfId="8" applyNumberFormat="1" applyFont="1" applyBorder="1" applyAlignment="1">
      <alignment horizontal="center" vertical="center"/>
    </xf>
    <xf numFmtId="182" fontId="9" fillId="0" borderId="28" xfId="8" applyNumberFormat="1" applyFont="1" applyBorder="1" applyAlignment="1">
      <alignment horizontal="center" vertical="center"/>
    </xf>
    <xf numFmtId="20" fontId="9" fillId="0" borderId="11" xfId="0" applyNumberFormat="1" applyFont="1" applyBorder="1" applyAlignment="1">
      <alignment horizontal="center" vertical="center"/>
    </xf>
    <xf numFmtId="180" fontId="2" fillId="0" borderId="2" xfId="6" applyNumberFormat="1" applyFont="1" applyBorder="1" applyAlignment="1">
      <alignment horizontal="center" vertical="center"/>
    </xf>
    <xf numFmtId="179" fontId="9" fillId="0" borderId="63" xfId="8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1" fontId="9" fillId="2" borderId="61" xfId="8" applyNumberFormat="1" applyFont="1" applyFill="1" applyBorder="1" applyAlignment="1">
      <alignment horizontal="center" vertical="center"/>
    </xf>
    <xf numFmtId="0" fontId="9" fillId="0" borderId="87" xfId="7" applyFont="1" applyBorder="1" applyAlignment="1">
      <alignment horizontal="center"/>
    </xf>
    <xf numFmtId="182" fontId="2" fillId="0" borderId="2" xfId="0" applyNumberFormat="1" applyFont="1" applyBorder="1" applyAlignment="1">
      <alignment horizontal="center" vertical="center"/>
    </xf>
    <xf numFmtId="0" fontId="9" fillId="0" borderId="81" xfId="8" applyFont="1" applyBorder="1" applyAlignment="1">
      <alignment horizontal="center"/>
    </xf>
    <xf numFmtId="0" fontId="9" fillId="0" borderId="1" xfId="7" applyFont="1" applyBorder="1" applyAlignment="1"/>
    <xf numFmtId="0" fontId="9" fillId="0" borderId="81" xfId="7" applyFont="1" applyBorder="1" applyAlignment="1"/>
    <xf numFmtId="0" fontId="9" fillId="0" borderId="34" xfId="7" applyFont="1" applyBorder="1" applyAlignment="1"/>
    <xf numFmtId="0" fontId="9" fillId="10" borderId="17" xfId="8" applyFont="1" applyFill="1" applyBorder="1" applyAlignment="1">
      <alignment horizontal="center"/>
    </xf>
    <xf numFmtId="182" fontId="9" fillId="10" borderId="17" xfId="8" applyNumberFormat="1" applyFont="1" applyFill="1" applyBorder="1" applyAlignment="1">
      <alignment horizontal="center" vertical="center"/>
    </xf>
    <xf numFmtId="43" fontId="9" fillId="10" borderId="17" xfId="90" applyFont="1" applyFill="1" applyBorder="1" applyAlignment="1">
      <alignment horizontal="center" vertical="center"/>
    </xf>
    <xf numFmtId="0" fontId="9" fillId="10" borderId="17" xfId="8" applyFont="1" applyFill="1" applyBorder="1" applyAlignment="1">
      <alignment horizontal="center" vertical="center"/>
    </xf>
    <xf numFmtId="1" fontId="9" fillId="10" borderId="17" xfId="8" applyNumberFormat="1" applyFont="1" applyFill="1" applyBorder="1" applyAlignment="1">
      <alignment horizontal="center" vertical="center"/>
    </xf>
    <xf numFmtId="177" fontId="9" fillId="10" borderId="17" xfId="8" applyNumberFormat="1" applyFont="1" applyFill="1" applyBorder="1" applyAlignment="1">
      <alignment horizontal="center" vertical="center"/>
    </xf>
    <xf numFmtId="178" fontId="9" fillId="0" borderId="17" xfId="157" applyNumberFormat="1" applyFont="1" applyFill="1" applyBorder="1" applyAlignment="1">
      <alignment horizontal="center" vertical="center"/>
    </xf>
    <xf numFmtId="177" fontId="9" fillId="0" borderId="88" xfId="8" applyNumberFormat="1" applyFont="1" applyBorder="1" applyAlignment="1">
      <alignment horizontal="center" vertical="center"/>
    </xf>
    <xf numFmtId="0" fontId="9" fillId="2" borderId="86" xfId="8" applyFont="1" applyFill="1" applyBorder="1" applyAlignment="1">
      <alignment horizontal="center" vertical="center"/>
    </xf>
    <xf numFmtId="180" fontId="2" fillId="0" borderId="28" xfId="6" applyNumberFormat="1" applyFont="1" applyBorder="1" applyAlignment="1">
      <alignment horizontal="center" vertical="center"/>
    </xf>
    <xf numFmtId="178" fontId="9" fillId="0" borderId="90" xfId="157" applyNumberFormat="1" applyFont="1" applyBorder="1" applyAlignment="1">
      <alignment horizontal="center" vertical="center"/>
    </xf>
    <xf numFmtId="180" fontId="9" fillId="0" borderId="71" xfId="8" applyNumberFormat="1" applyFont="1" applyBorder="1" applyAlignment="1">
      <alignment horizontal="center" vertical="center"/>
    </xf>
    <xf numFmtId="20" fontId="9" fillId="0" borderId="61" xfId="8" applyNumberFormat="1" applyFont="1" applyBorder="1" applyAlignment="1">
      <alignment horizontal="center" vertical="center"/>
    </xf>
    <xf numFmtId="20" fontId="9" fillId="0" borderId="14" xfId="8" applyNumberFormat="1" applyFont="1" applyBorder="1" applyAlignment="1">
      <alignment horizontal="center" vertical="center"/>
    </xf>
    <xf numFmtId="20" fontId="9" fillId="0" borderId="62" xfId="8" applyNumberFormat="1" applyFont="1" applyBorder="1" applyAlignment="1">
      <alignment horizontal="center" vertical="center"/>
    </xf>
    <xf numFmtId="20" fontId="9" fillId="0" borderId="63" xfId="8" applyNumberFormat="1" applyFont="1" applyBorder="1" applyAlignment="1">
      <alignment horizontal="center" vertical="center"/>
    </xf>
    <xf numFmtId="0" fontId="9" fillId="0" borderId="17" xfId="8" applyFont="1" applyBorder="1" applyAlignment="1">
      <alignment horizontal="center"/>
    </xf>
    <xf numFmtId="0" fontId="4" fillId="0" borderId="17" xfId="2" applyFont="1" applyBorder="1" applyAlignment="1">
      <alignment horizontal="center" vertical="center"/>
    </xf>
    <xf numFmtId="179" fontId="9" fillId="0" borderId="17" xfId="8" applyNumberFormat="1" applyFont="1" applyBorder="1" applyAlignment="1">
      <alignment horizontal="center" vertical="center"/>
    </xf>
    <xf numFmtId="20" fontId="9" fillId="0" borderId="17" xfId="8" applyNumberFormat="1" applyFont="1" applyBorder="1" applyAlignment="1">
      <alignment horizontal="center" vertical="center"/>
    </xf>
    <xf numFmtId="0" fontId="9" fillId="0" borderId="90" xfId="7" applyFont="1" applyBorder="1" applyAlignment="1"/>
    <xf numFmtId="0" fontId="9" fillId="0" borderId="28" xfId="7" applyFont="1" applyBorder="1" applyAlignment="1">
      <alignment horizontal="center"/>
    </xf>
    <xf numFmtId="180" fontId="9" fillId="0" borderId="94" xfId="8" applyNumberFormat="1" applyFont="1" applyBorder="1" applyAlignment="1">
      <alignment horizontal="center" vertical="center"/>
    </xf>
    <xf numFmtId="178" fontId="9" fillId="0" borderId="94" xfId="157" applyNumberFormat="1" applyFont="1" applyBorder="1" applyAlignment="1">
      <alignment horizontal="center" vertical="center"/>
    </xf>
    <xf numFmtId="179" fontId="2" fillId="7" borderId="2" xfId="6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9" fillId="0" borderId="92" xfId="7" applyFont="1" applyBorder="1" applyAlignment="1">
      <alignment horizontal="center"/>
    </xf>
    <xf numFmtId="0" fontId="9" fillId="0" borderId="95" xfId="7" applyFont="1" applyBorder="1" applyAlignment="1">
      <alignment horizontal="center"/>
    </xf>
    <xf numFmtId="1" fontId="9" fillId="0" borderId="96" xfId="8" applyNumberFormat="1" applyFont="1" applyBorder="1" applyAlignment="1">
      <alignment horizontal="center" vertical="center"/>
    </xf>
    <xf numFmtId="43" fontId="9" fillId="0" borderId="96" xfId="90" applyFont="1" applyBorder="1" applyAlignment="1">
      <alignment horizontal="center" vertical="center"/>
    </xf>
    <xf numFmtId="0" fontId="9" fillId="0" borderId="96" xfId="8" applyFont="1" applyBorder="1" applyAlignment="1">
      <alignment horizontal="center" vertical="center" wrapText="1"/>
    </xf>
    <xf numFmtId="1" fontId="9" fillId="2" borderId="96" xfId="8" applyNumberFormat="1" applyFont="1" applyFill="1" applyBorder="1" applyAlignment="1">
      <alignment horizontal="center" vertical="center"/>
    </xf>
    <xf numFmtId="177" fontId="9" fillId="0" borderId="96" xfId="8" applyNumberFormat="1" applyFont="1" applyBorder="1" applyAlignment="1">
      <alignment horizontal="center" vertical="center"/>
    </xf>
    <xf numFmtId="0" fontId="9" fillId="2" borderId="96" xfId="8" applyFont="1" applyFill="1" applyBorder="1" applyAlignment="1">
      <alignment horizontal="center" vertical="center"/>
    </xf>
    <xf numFmtId="180" fontId="9" fillId="0" borderId="96" xfId="8" applyNumberFormat="1" applyFont="1" applyBorder="1" applyAlignment="1">
      <alignment horizontal="center" vertical="center"/>
    </xf>
    <xf numFmtId="181" fontId="9" fillId="0" borderId="96" xfId="8" applyNumberFormat="1" applyFont="1" applyBorder="1" applyAlignment="1">
      <alignment horizontal="center" vertical="center"/>
    </xf>
    <xf numFmtId="178" fontId="9" fillId="0" borderId="96" xfId="157" applyNumberFormat="1" applyFont="1" applyBorder="1" applyAlignment="1">
      <alignment horizontal="center" vertical="center"/>
    </xf>
    <xf numFmtId="0" fontId="9" fillId="0" borderId="97" xfId="8" applyFont="1" applyBorder="1" applyAlignment="1">
      <alignment horizontal="center"/>
    </xf>
    <xf numFmtId="0" fontId="9" fillId="0" borderId="97" xfId="7" applyFont="1" applyBorder="1" applyAlignment="1"/>
    <xf numFmtId="1" fontId="9" fillId="0" borderId="98" xfId="8" applyNumberFormat="1" applyFont="1" applyBorder="1" applyAlignment="1">
      <alignment horizontal="center" vertical="center"/>
    </xf>
    <xf numFmtId="43" fontId="9" fillId="0" borderId="99" xfId="90" applyFont="1" applyBorder="1" applyAlignment="1">
      <alignment horizontal="center" vertical="center"/>
    </xf>
    <xf numFmtId="0" fontId="9" fillId="0" borderId="99" xfId="8" applyFont="1" applyBorder="1" applyAlignment="1">
      <alignment horizontal="center" vertical="center" wrapText="1"/>
    </xf>
    <xf numFmtId="1" fontId="9" fillId="2" borderId="99" xfId="8" applyNumberFormat="1" applyFont="1" applyFill="1" applyBorder="1" applyAlignment="1">
      <alignment horizontal="center" vertical="center"/>
    </xf>
    <xf numFmtId="1" fontId="9" fillId="0" borderId="99" xfId="8" applyNumberFormat="1" applyFont="1" applyBorder="1" applyAlignment="1">
      <alignment horizontal="center" vertical="center"/>
    </xf>
    <xf numFmtId="177" fontId="9" fillId="0" borderId="99" xfId="8" applyNumberFormat="1" applyFont="1" applyBorder="1" applyAlignment="1">
      <alignment horizontal="center" vertical="center"/>
    </xf>
    <xf numFmtId="0" fontId="9" fillId="2" borderId="99" xfId="8" applyFont="1" applyFill="1" applyBorder="1" applyAlignment="1">
      <alignment horizontal="center" vertical="center"/>
    </xf>
    <xf numFmtId="180" fontId="9" fillId="0" borderId="99" xfId="8" applyNumberFormat="1" applyFont="1" applyBorder="1" applyAlignment="1">
      <alignment horizontal="center" vertical="center"/>
    </xf>
    <xf numFmtId="181" fontId="9" fillId="0" borderId="99" xfId="8" applyNumberFormat="1" applyFont="1" applyBorder="1" applyAlignment="1">
      <alignment horizontal="center" vertical="center"/>
    </xf>
    <xf numFmtId="178" fontId="9" fillId="0" borderId="99" xfId="157" applyNumberFormat="1" applyFont="1" applyBorder="1" applyAlignment="1">
      <alignment horizontal="center" vertical="center"/>
    </xf>
    <xf numFmtId="179" fontId="2" fillId="7" borderId="100" xfId="6" applyNumberFormat="1" applyFont="1" applyFill="1" applyBorder="1" applyAlignment="1">
      <alignment horizontal="center" vertical="center"/>
    </xf>
    <xf numFmtId="179" fontId="2" fillId="7" borderId="101" xfId="6" applyNumberFormat="1" applyFont="1" applyFill="1" applyBorder="1" applyAlignment="1">
      <alignment horizontal="center" vertical="center"/>
    </xf>
    <xf numFmtId="0" fontId="9" fillId="0" borderId="102" xfId="7" applyFont="1" applyBorder="1" applyAlignment="1"/>
    <xf numFmtId="0" fontId="9" fillId="0" borderId="103" xfId="7" applyFont="1" applyBorder="1" applyAlignment="1"/>
    <xf numFmtId="1" fontId="9" fillId="2" borderId="104" xfId="8" applyNumberFormat="1" applyFont="1" applyFill="1" applyBorder="1" applyAlignment="1">
      <alignment horizontal="center" vertical="center"/>
    </xf>
    <xf numFmtId="19" fontId="0" fillId="0" borderId="0" xfId="0" applyNumberFormat="1">
      <alignment vertical="center"/>
    </xf>
    <xf numFmtId="20" fontId="0" fillId="0" borderId="0" xfId="0" applyNumberFormat="1">
      <alignment vertical="center"/>
    </xf>
    <xf numFmtId="177" fontId="2" fillId="0" borderId="81" xfId="6" applyNumberFormat="1" applyFont="1" applyBorder="1" applyAlignment="1">
      <alignment horizontal="center" vertical="center"/>
    </xf>
    <xf numFmtId="0" fontId="9" fillId="0" borderId="96" xfId="8" applyFont="1" applyBorder="1" applyAlignment="1">
      <alignment horizontal="center" vertical="center"/>
    </xf>
    <xf numFmtId="0" fontId="9" fillId="0" borderId="17" xfId="7" applyFont="1" applyBorder="1" applyAlignment="1">
      <alignment horizontal="center"/>
    </xf>
    <xf numFmtId="0" fontId="9" fillId="0" borderId="24" xfId="8" applyFont="1" applyBorder="1" applyAlignment="1">
      <alignment horizontal="center"/>
    </xf>
    <xf numFmtId="0" fontId="9" fillId="0" borderId="106" xfId="7" applyFont="1" applyBorder="1" applyAlignment="1"/>
    <xf numFmtId="0" fontId="9" fillId="0" borderId="24" xfId="7" applyFont="1" applyBorder="1" applyAlignment="1"/>
    <xf numFmtId="43" fontId="9" fillId="0" borderId="18" xfId="90" applyFont="1" applyBorder="1" applyAlignment="1">
      <alignment horizontal="center" vertical="center"/>
    </xf>
    <xf numFmtId="181" fontId="9" fillId="0" borderId="18" xfId="8" applyNumberFormat="1" applyFont="1" applyBorder="1" applyAlignment="1">
      <alignment horizontal="center" vertical="center"/>
    </xf>
    <xf numFmtId="0" fontId="9" fillId="0" borderId="107" xfId="7" applyFont="1" applyBorder="1" applyAlignment="1">
      <alignment horizontal="center"/>
    </xf>
    <xf numFmtId="178" fontId="23" fillId="0" borderId="17" xfId="155" applyNumberFormat="1" applyFont="1" applyFill="1" applyBorder="1" applyAlignment="1">
      <alignment horizontal="center" vertical="center"/>
    </xf>
    <xf numFmtId="20" fontId="9" fillId="0" borderId="33" xfId="8" applyNumberFormat="1" applyFont="1" applyBorder="1" applyAlignment="1">
      <alignment horizontal="center" vertical="center"/>
    </xf>
    <xf numFmtId="20" fontId="9" fillId="0" borderId="28" xfId="8" applyNumberFormat="1" applyFont="1" applyBorder="1" applyAlignment="1">
      <alignment horizontal="center" vertical="center"/>
    </xf>
    <xf numFmtId="20" fontId="2" fillId="7" borderId="100" xfId="6" applyNumberFormat="1" applyFont="1" applyFill="1" applyBorder="1" applyAlignment="1">
      <alignment horizontal="center" vertical="center"/>
    </xf>
    <xf numFmtId="20" fontId="2" fillId="7" borderId="101" xfId="6" applyNumberFormat="1" applyFont="1" applyFill="1" applyBorder="1" applyAlignment="1">
      <alignment horizontal="center" vertical="center"/>
    </xf>
    <xf numFmtId="20" fontId="2" fillId="0" borderId="28" xfId="6" applyNumberFormat="1" applyFont="1" applyBorder="1" applyAlignment="1">
      <alignment horizontal="center" vertical="center"/>
    </xf>
    <xf numFmtId="20" fontId="2" fillId="0" borderId="11" xfId="6" applyNumberFormat="1" applyFont="1" applyBorder="1" applyAlignment="1">
      <alignment horizontal="center" vertical="center"/>
    </xf>
    <xf numFmtId="20" fontId="2" fillId="0" borderId="2" xfId="6" applyNumberFormat="1" applyFont="1" applyBorder="1" applyAlignment="1">
      <alignment horizontal="center" vertical="center"/>
    </xf>
    <xf numFmtId="20" fontId="2" fillId="7" borderId="11" xfId="6" applyNumberFormat="1" applyFont="1" applyFill="1" applyBorder="1" applyAlignment="1">
      <alignment horizontal="center" vertical="center"/>
    </xf>
    <xf numFmtId="176" fontId="15" fillId="3" borderId="2" xfId="122" applyNumberFormat="1" applyFont="1" applyFill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183" fontId="16" fillId="13" borderId="2" xfId="5" applyNumberFormat="1" applyFont="1" applyFill="1" applyBorder="1" applyAlignment="1">
      <alignment horizontal="center" vertical="center"/>
    </xf>
    <xf numFmtId="184" fontId="15" fillId="0" borderId="2" xfId="151" applyNumberFormat="1" applyFont="1" applyBorder="1" applyAlignment="1">
      <alignment horizontal="center" vertical="center"/>
    </xf>
    <xf numFmtId="184" fontId="15" fillId="0" borderId="2" xfId="2" applyNumberFormat="1" applyFont="1" applyBorder="1" applyAlignment="1">
      <alignment horizontal="center" vertical="center"/>
    </xf>
    <xf numFmtId="177" fontId="15" fillId="0" borderId="2" xfId="122" applyNumberFormat="1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177" fontId="18" fillId="4" borderId="2" xfId="2" applyNumberFormat="1" applyFont="1" applyFill="1" applyBorder="1" applyAlignment="1">
      <alignment horizontal="center" vertical="center"/>
    </xf>
    <xf numFmtId="177" fontId="18" fillId="4" borderId="2" xfId="122" applyNumberFormat="1" applyFont="1" applyFill="1" applyBorder="1" applyAlignment="1">
      <alignment horizontal="center" vertical="center"/>
    </xf>
    <xf numFmtId="178" fontId="18" fillId="0" borderId="2" xfId="156" applyNumberFormat="1" applyFont="1" applyFill="1" applyBorder="1" applyAlignment="1">
      <alignment horizontal="center" vertical="center"/>
    </xf>
    <xf numFmtId="0" fontId="2" fillId="0" borderId="8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177" fontId="15" fillId="0" borderId="2" xfId="2" applyNumberFormat="1" applyFont="1" applyBorder="1" applyAlignment="1">
      <alignment horizontal="center" vertical="center"/>
    </xf>
    <xf numFmtId="0" fontId="15" fillId="2" borderId="81" xfId="2" applyFont="1" applyFill="1" applyBorder="1" applyAlignment="1">
      <alignment horizontal="center" vertical="center"/>
    </xf>
    <xf numFmtId="0" fontId="15" fillId="2" borderId="16" xfId="2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center" vertical="center"/>
    </xf>
    <xf numFmtId="0" fontId="2" fillId="0" borderId="84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 textRotation="255"/>
    </xf>
    <xf numFmtId="0" fontId="2" fillId="0" borderId="85" xfId="2" applyFont="1" applyBorder="1" applyAlignment="1">
      <alignment horizontal="center" vertical="center" textRotation="255"/>
    </xf>
    <xf numFmtId="0" fontId="2" fillId="0" borderId="11" xfId="2" applyFont="1" applyBorder="1" applyAlignment="1">
      <alignment horizontal="center" vertical="center" textRotation="255"/>
    </xf>
    <xf numFmtId="0" fontId="2" fillId="0" borderId="17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 wrapText="1"/>
    </xf>
    <xf numFmtId="176" fontId="15" fillId="2" borderId="2" xfId="122" applyNumberFormat="1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9" fillId="4" borderId="15" xfId="8" applyFont="1" applyFill="1" applyBorder="1" applyAlignment="1">
      <alignment horizontal="center" vertical="center"/>
    </xf>
    <xf numFmtId="0" fontId="9" fillId="4" borderId="18" xfId="8" applyFont="1" applyFill="1" applyBorder="1" applyAlignment="1">
      <alignment horizontal="center" vertical="center"/>
    </xf>
    <xf numFmtId="0" fontId="9" fillId="5" borderId="15" xfId="8" applyFont="1" applyFill="1" applyBorder="1" applyAlignment="1">
      <alignment horizontal="center" vertical="center" wrapText="1"/>
    </xf>
    <xf numFmtId="0" fontId="9" fillId="5" borderId="18" xfId="8" applyFont="1" applyFill="1" applyBorder="1" applyAlignment="1">
      <alignment horizontal="center" vertical="center" wrapText="1"/>
    </xf>
    <xf numFmtId="0" fontId="5" fillId="8" borderId="15" xfId="8" applyFont="1" applyFill="1" applyBorder="1" applyAlignment="1">
      <alignment horizontal="center" vertical="center"/>
    </xf>
    <xf numFmtId="0" fontId="5" fillId="8" borderId="18" xfId="8" applyFont="1" applyFill="1" applyBorder="1" applyAlignment="1">
      <alignment horizontal="center" vertical="center"/>
    </xf>
    <xf numFmtId="0" fontId="10" fillId="0" borderId="15" xfId="8" applyFont="1" applyBorder="1" applyAlignment="1">
      <alignment horizontal="center" vertical="center"/>
    </xf>
    <xf numFmtId="0" fontId="9" fillId="0" borderId="18" xfId="8" applyFont="1" applyBorder="1" applyAlignment="1">
      <alignment horizontal="center" vertical="center"/>
    </xf>
    <xf numFmtId="0" fontId="9" fillId="0" borderId="27" xfId="8" applyFont="1" applyBorder="1" applyAlignment="1">
      <alignment horizontal="center" vertical="center"/>
    </xf>
    <xf numFmtId="0" fontId="9" fillId="0" borderId="15" xfId="8" applyFont="1" applyBorder="1" applyAlignment="1">
      <alignment horizontal="center" vertical="center" wrapText="1"/>
    </xf>
    <xf numFmtId="0" fontId="9" fillId="0" borderId="18" xfId="8" applyFont="1" applyBorder="1" applyAlignment="1">
      <alignment horizontal="center" vertical="center" wrapText="1"/>
    </xf>
    <xf numFmtId="0" fontId="9" fillId="2" borderId="15" xfId="8" applyFont="1" applyFill="1" applyBorder="1" applyAlignment="1">
      <alignment horizontal="center" vertical="center"/>
    </xf>
    <xf numFmtId="0" fontId="9" fillId="2" borderId="18" xfId="8" applyFont="1" applyFill="1" applyBorder="1" applyAlignment="1">
      <alignment horizontal="center" vertical="center"/>
    </xf>
    <xf numFmtId="0" fontId="9" fillId="9" borderId="15" xfId="8" applyFont="1" applyFill="1" applyBorder="1" applyAlignment="1">
      <alignment horizontal="center" vertical="center"/>
    </xf>
    <xf numFmtId="0" fontId="9" fillId="9" borderId="18" xfId="8" applyFont="1" applyFill="1" applyBorder="1" applyAlignment="1">
      <alignment horizontal="center" vertical="center"/>
    </xf>
    <xf numFmtId="0" fontId="9" fillId="3" borderId="15" xfId="8" applyFont="1" applyFill="1" applyBorder="1" applyAlignment="1">
      <alignment horizontal="center" vertical="center"/>
    </xf>
    <xf numFmtId="0" fontId="9" fillId="3" borderId="18" xfId="8" applyFont="1" applyFill="1" applyBorder="1" applyAlignment="1">
      <alignment horizontal="center" vertical="center"/>
    </xf>
    <xf numFmtId="0" fontId="7" fillId="0" borderId="15" xfId="8" applyFont="1" applyBorder="1" applyAlignment="1">
      <alignment horizontal="center" vertical="center"/>
    </xf>
    <xf numFmtId="0" fontId="5" fillId="8" borderId="15" xfId="8" applyFont="1" applyFill="1" applyBorder="1" applyAlignment="1">
      <alignment horizontal="center" vertical="center" wrapText="1"/>
    </xf>
    <xf numFmtId="0" fontId="8" fillId="0" borderId="15" xfId="8" applyFont="1" applyBorder="1" applyAlignment="1">
      <alignment horizontal="center" vertical="center" wrapText="1"/>
    </xf>
    <xf numFmtId="0" fontId="8" fillId="0" borderId="15" xfId="8" applyFont="1" applyBorder="1" applyAlignment="1">
      <alignment horizontal="center" vertical="center"/>
    </xf>
    <xf numFmtId="0" fontId="8" fillId="0" borderId="18" xfId="8" applyFont="1" applyBorder="1" applyAlignment="1">
      <alignment horizontal="center" vertical="center"/>
    </xf>
    <xf numFmtId="14" fontId="7" fillId="0" borderId="15" xfId="8" applyNumberFormat="1" applyFont="1" applyBorder="1" applyAlignment="1">
      <alignment horizontal="left" vertical="center"/>
    </xf>
    <xf numFmtId="0" fontId="9" fillId="0" borderId="15" xfId="8" applyFont="1" applyBorder="1" applyAlignment="1">
      <alignment horizontal="center" vertical="center"/>
    </xf>
    <xf numFmtId="0" fontId="9" fillId="10" borderId="39" xfId="8" applyFont="1" applyFill="1" applyBorder="1" applyAlignment="1"/>
    <xf numFmtId="0" fontId="9" fillId="2" borderId="29" xfId="8" applyFont="1" applyFill="1" applyBorder="1" applyAlignment="1">
      <alignment horizontal="center" vertical="center" wrapText="1"/>
    </xf>
    <xf numFmtId="0" fontId="9" fillId="2" borderId="12" xfId="8" applyFont="1" applyFill="1" applyBorder="1" applyAlignment="1">
      <alignment horizontal="center" vertical="center"/>
    </xf>
    <xf numFmtId="0" fontId="9" fillId="2" borderId="8" xfId="8" applyFont="1" applyFill="1" applyBorder="1" applyAlignment="1">
      <alignment horizontal="center" vertical="center"/>
    </xf>
    <xf numFmtId="0" fontId="9" fillId="2" borderId="13" xfId="8" applyFont="1" applyFill="1" applyBorder="1" applyAlignment="1">
      <alignment horizontal="center" vertical="center"/>
    </xf>
    <xf numFmtId="178" fontId="9" fillId="0" borderId="35" xfId="157" applyNumberFormat="1" applyFont="1" applyBorder="1" applyAlignment="1">
      <alignment horizontal="center" vertical="center"/>
    </xf>
    <xf numFmtId="178" fontId="9" fillId="0" borderId="36" xfId="157" applyNumberFormat="1" applyFont="1" applyBorder="1" applyAlignment="1">
      <alignment horizontal="center" vertical="center"/>
    </xf>
    <xf numFmtId="178" fontId="9" fillId="0" borderId="37" xfId="157" applyNumberFormat="1" applyFont="1" applyBorder="1" applyAlignment="1">
      <alignment horizontal="center" vertical="center"/>
    </xf>
    <xf numFmtId="178" fontId="9" fillId="0" borderId="40" xfId="157" applyNumberFormat="1" applyFont="1" applyBorder="1" applyAlignment="1">
      <alignment horizontal="center" vertical="center"/>
    </xf>
    <xf numFmtId="0" fontId="9" fillId="0" borderId="25" xfId="8" applyFont="1" applyBorder="1" applyAlignment="1">
      <alignment horizontal="center" vertical="center"/>
    </xf>
    <xf numFmtId="0" fontId="9" fillId="0" borderId="14" xfId="8" applyFont="1" applyBorder="1" applyAlignment="1">
      <alignment horizontal="center" vertical="center" wrapText="1"/>
    </xf>
    <xf numFmtId="0" fontId="9" fillId="0" borderId="19" xfId="8" applyFont="1" applyBorder="1" applyAlignment="1">
      <alignment horizontal="center" vertical="center"/>
    </xf>
    <xf numFmtId="0" fontId="9" fillId="0" borderId="20" xfId="8" applyFont="1" applyBorder="1" applyAlignment="1">
      <alignment horizontal="center" vertical="center"/>
    </xf>
    <xf numFmtId="178" fontId="9" fillId="0" borderId="33" xfId="157" applyNumberFormat="1" applyFont="1" applyBorder="1" applyAlignment="1">
      <alignment horizontal="center" vertical="center"/>
    </xf>
    <xf numFmtId="178" fontId="9" fillId="0" borderId="15" xfId="157" applyNumberFormat="1" applyFont="1" applyBorder="1" applyAlignment="1">
      <alignment horizontal="center" vertical="center"/>
    </xf>
    <xf numFmtId="178" fontId="9" fillId="0" borderId="18" xfId="157" applyNumberFormat="1" applyFont="1" applyBorder="1" applyAlignment="1">
      <alignment horizontal="center" vertical="center"/>
    </xf>
    <xf numFmtId="178" fontId="9" fillId="0" borderId="21" xfId="157" applyNumberFormat="1" applyFont="1" applyBorder="1" applyAlignment="1">
      <alignment horizontal="center" vertical="center"/>
    </xf>
    <xf numFmtId="178" fontId="9" fillId="0" borderId="39" xfId="157" applyNumberFormat="1" applyFont="1" applyBorder="1" applyAlignment="1">
      <alignment horizontal="center" vertical="center"/>
    </xf>
    <xf numFmtId="0" fontId="9" fillId="0" borderId="39" xfId="8" applyFont="1" applyBorder="1" applyAlignment="1">
      <alignment horizontal="center" vertical="center"/>
    </xf>
    <xf numFmtId="0" fontId="9" fillId="0" borderId="33" xfId="8" applyFont="1" applyBorder="1" applyAlignment="1">
      <alignment horizontal="center" vertical="center"/>
    </xf>
    <xf numFmtId="0" fontId="9" fillId="0" borderId="70" xfId="8" applyFont="1" applyBorder="1" applyAlignment="1">
      <alignment horizontal="center" vertical="center"/>
    </xf>
    <xf numFmtId="0" fontId="9" fillId="0" borderId="38" xfId="8" applyFont="1" applyBorder="1" applyAlignment="1">
      <alignment horizontal="center" vertical="center"/>
    </xf>
    <xf numFmtId="0" fontId="9" fillId="3" borderId="41" xfId="8" applyFont="1" applyFill="1" applyBorder="1" applyAlignment="1">
      <alignment horizontal="center" vertical="center" wrapText="1"/>
    </xf>
    <xf numFmtId="0" fontId="9" fillId="3" borderId="42" xfId="8" applyFont="1" applyFill="1" applyBorder="1" applyAlignment="1">
      <alignment horizontal="center" vertical="center"/>
    </xf>
    <xf numFmtId="0" fontId="9" fillId="3" borderId="91" xfId="8" applyFont="1" applyFill="1" applyBorder="1" applyAlignment="1">
      <alignment horizontal="center" vertical="center"/>
    </xf>
    <xf numFmtId="178" fontId="9" fillId="0" borderId="28" xfId="157" applyNumberFormat="1" applyFont="1" applyBorder="1" applyAlignment="1">
      <alignment horizontal="center" vertical="center"/>
    </xf>
    <xf numFmtId="178" fontId="9" fillId="0" borderId="2" xfId="157" applyNumberFormat="1" applyFont="1" applyBorder="1" applyAlignment="1">
      <alignment horizontal="center" vertical="center"/>
    </xf>
    <xf numFmtId="178" fontId="9" fillId="0" borderId="17" xfId="157" applyNumberFormat="1" applyFont="1" applyBorder="1" applyAlignment="1">
      <alignment horizontal="center" vertical="center"/>
    </xf>
    <xf numFmtId="0" fontId="9" fillId="0" borderId="32" xfId="8" applyFont="1" applyBorder="1" applyAlignment="1">
      <alignment horizontal="center" vertical="center"/>
    </xf>
    <xf numFmtId="0" fontId="9" fillId="10" borderId="92" xfId="8" applyFont="1" applyFill="1" applyBorder="1" applyAlignment="1"/>
    <xf numFmtId="0" fontId="9" fillId="10" borderId="93" xfId="8" applyFont="1" applyFill="1" applyBorder="1" applyAlignment="1"/>
    <xf numFmtId="9" fontId="9" fillId="0" borderId="23" xfId="154" applyFont="1" applyBorder="1" applyAlignment="1">
      <alignment horizontal="center" vertical="center"/>
    </xf>
    <xf numFmtId="9" fontId="9" fillId="0" borderId="18" xfId="154" applyFont="1" applyBorder="1" applyAlignment="1">
      <alignment horizontal="center" vertical="center"/>
    </xf>
    <xf numFmtId="0" fontId="9" fillId="5" borderId="29" xfId="8" applyFont="1" applyFill="1" applyBorder="1" applyAlignment="1">
      <alignment horizontal="center" vertical="center" wrapText="1"/>
    </xf>
    <xf numFmtId="0" fontId="9" fillId="5" borderId="12" xfId="8" applyFont="1" applyFill="1" applyBorder="1" applyAlignment="1">
      <alignment horizontal="center" vertical="center"/>
    </xf>
    <xf numFmtId="0" fontId="9" fillId="5" borderId="8" xfId="8" applyFont="1" applyFill="1" applyBorder="1" applyAlignment="1">
      <alignment horizontal="center" vertical="center"/>
    </xf>
    <xf numFmtId="0" fontId="9" fillId="5" borderId="13" xfId="8" applyFont="1" applyFill="1" applyBorder="1" applyAlignment="1">
      <alignment horizontal="center" vertical="center"/>
    </xf>
    <xf numFmtId="178" fontId="9" fillId="0" borderId="9" xfId="157" applyNumberFormat="1" applyFont="1" applyBorder="1" applyAlignment="1">
      <alignment horizontal="center" vertical="center"/>
    </xf>
    <xf numFmtId="178" fontId="9" fillId="0" borderId="69" xfId="157" applyNumberFormat="1" applyFont="1" applyBorder="1" applyAlignment="1">
      <alignment horizontal="center" vertical="center"/>
    </xf>
    <xf numFmtId="178" fontId="9" fillId="0" borderId="77" xfId="157" applyNumberFormat="1" applyFont="1" applyBorder="1" applyAlignment="1">
      <alignment horizontal="center" vertical="center"/>
    </xf>
    <xf numFmtId="0" fontId="9" fillId="0" borderId="83" xfId="8" applyFont="1" applyBorder="1" applyAlignment="1">
      <alignment horizontal="center" vertical="center"/>
    </xf>
    <xf numFmtId="178" fontId="2" fillId="0" borderId="44" xfId="156" applyNumberFormat="1" applyFont="1" applyBorder="1" applyAlignment="1">
      <alignment horizontal="center" vertical="center"/>
    </xf>
    <xf numFmtId="178" fontId="2" fillId="0" borderId="7" xfId="156" applyNumberFormat="1" applyFont="1" applyBorder="1" applyAlignment="1">
      <alignment horizontal="center" vertical="center"/>
    </xf>
    <xf numFmtId="178" fontId="2" fillId="0" borderId="10" xfId="156" applyNumberFormat="1" applyFont="1" applyBorder="1" applyAlignment="1">
      <alignment horizontal="center" vertical="center"/>
    </xf>
    <xf numFmtId="0" fontId="2" fillId="0" borderId="89" xfId="6" applyFont="1" applyBorder="1" applyAlignment="1">
      <alignment horizontal="center" vertical="center"/>
    </xf>
    <xf numFmtId="0" fontId="2" fillId="0" borderId="1" xfId="6" applyFont="1" applyBorder="1" applyAlignment="1">
      <alignment horizontal="center" vertical="center"/>
    </xf>
    <xf numFmtId="0" fontId="9" fillId="0" borderId="14" xfId="8" applyFont="1" applyBorder="1" applyAlignment="1">
      <alignment horizontal="center" vertical="center"/>
    </xf>
    <xf numFmtId="0" fontId="9" fillId="0" borderId="71" xfId="8" applyFont="1" applyBorder="1" applyAlignment="1">
      <alignment horizontal="center" vertical="center"/>
    </xf>
    <xf numFmtId="0" fontId="9" fillId="3" borderId="50" xfId="8" applyFont="1" applyFill="1" applyBorder="1" applyAlignment="1">
      <alignment horizontal="center" vertical="center" wrapText="1"/>
    </xf>
    <xf numFmtId="0" fontId="9" fillId="3" borderId="51" xfId="8" applyFont="1" applyFill="1" applyBorder="1" applyAlignment="1">
      <alignment horizontal="center" vertical="center"/>
    </xf>
    <xf numFmtId="0" fontId="9" fillId="3" borderId="52" xfId="8" applyFont="1" applyFill="1" applyBorder="1" applyAlignment="1">
      <alignment horizontal="center" vertical="center"/>
    </xf>
    <xf numFmtId="0" fontId="12" fillId="12" borderId="43" xfId="6" applyFont="1" applyFill="1" applyBorder="1" applyAlignment="1">
      <alignment horizontal="center" vertical="center" wrapText="1"/>
    </xf>
    <xf numFmtId="0" fontId="12" fillId="12" borderId="45" xfId="6" applyFont="1" applyFill="1" applyBorder="1" applyAlignment="1">
      <alignment horizontal="center" vertical="center" wrapText="1"/>
    </xf>
    <xf numFmtId="0" fontId="12" fillId="12" borderId="46" xfId="6" applyFont="1" applyFill="1" applyBorder="1" applyAlignment="1">
      <alignment horizontal="center" vertical="center" wrapText="1"/>
    </xf>
    <xf numFmtId="178" fontId="9" fillId="0" borderId="32" xfId="157" applyNumberFormat="1" applyFont="1" applyBorder="1" applyAlignment="1">
      <alignment horizontal="center" vertical="center"/>
    </xf>
    <xf numFmtId="178" fontId="9" fillId="0" borderId="20" xfId="157" applyNumberFormat="1" applyFont="1" applyBorder="1" applyAlignment="1">
      <alignment horizontal="center" vertical="center"/>
    </xf>
    <xf numFmtId="20" fontId="9" fillId="0" borderId="28" xfId="8" applyNumberFormat="1" applyFont="1" applyBorder="1" applyAlignment="1">
      <alignment horizontal="center" vertical="center"/>
    </xf>
    <xf numFmtId="0" fontId="9" fillId="0" borderId="6" xfId="8" applyFont="1" applyBorder="1" applyAlignment="1">
      <alignment horizontal="center" vertical="center"/>
    </xf>
    <xf numFmtId="178" fontId="9" fillId="0" borderId="60" xfId="157" applyNumberFormat="1" applyFont="1" applyBorder="1" applyAlignment="1">
      <alignment horizontal="center" vertical="center"/>
    </xf>
    <xf numFmtId="0" fontId="9" fillId="11" borderId="54" xfId="8" applyFont="1" applyFill="1" applyBorder="1" applyAlignment="1">
      <alignment horizontal="center" vertical="center" wrapText="1"/>
    </xf>
    <xf numFmtId="0" fontId="9" fillId="11" borderId="55" xfId="8" applyFont="1" applyFill="1" applyBorder="1" applyAlignment="1">
      <alignment horizontal="center" vertical="center" wrapText="1"/>
    </xf>
    <xf numFmtId="0" fontId="9" fillId="11" borderId="56" xfId="8" applyFont="1" applyFill="1" applyBorder="1" applyAlignment="1">
      <alignment horizontal="center" vertical="center" wrapText="1"/>
    </xf>
    <xf numFmtId="178" fontId="9" fillId="0" borderId="23" xfId="157" applyNumberFormat="1" applyFont="1" applyBorder="1" applyAlignment="1">
      <alignment horizontal="center" vertical="center"/>
    </xf>
    <xf numFmtId="0" fontId="9" fillId="0" borderId="31" xfId="8" applyFont="1" applyBorder="1" applyAlignment="1">
      <alignment horizontal="center" vertical="center"/>
    </xf>
    <xf numFmtId="0" fontId="9" fillId="5" borderId="50" xfId="8" applyFont="1" applyFill="1" applyBorder="1" applyAlignment="1">
      <alignment horizontal="center" vertical="center" wrapText="1"/>
    </xf>
    <xf numFmtId="0" fontId="9" fillId="5" borderId="58" xfId="8" applyFont="1" applyFill="1" applyBorder="1" applyAlignment="1">
      <alignment horizontal="center" vertical="center" wrapText="1"/>
    </xf>
    <xf numFmtId="0" fontId="9" fillId="5" borderId="51" xfId="8" applyFont="1" applyFill="1" applyBorder="1" applyAlignment="1">
      <alignment horizontal="center" vertical="center" wrapText="1"/>
    </xf>
    <xf numFmtId="0" fontId="9" fillId="5" borderId="52" xfId="8" applyFont="1" applyFill="1" applyBorder="1" applyAlignment="1">
      <alignment horizontal="center" vertical="center"/>
    </xf>
    <xf numFmtId="178" fontId="9" fillId="0" borderId="14" xfId="157" applyNumberFormat="1" applyFont="1" applyBorder="1" applyAlignment="1">
      <alignment horizontal="center" vertical="center"/>
    </xf>
    <xf numFmtId="0" fontId="9" fillId="0" borderId="19" xfId="8" applyFont="1" applyBorder="1" applyAlignment="1">
      <alignment horizontal="center" vertical="center" wrapText="1"/>
    </xf>
    <xf numFmtId="0" fontId="9" fillId="0" borderId="20" xfId="8" applyFont="1" applyBorder="1" applyAlignment="1">
      <alignment horizontal="center" vertical="center" wrapText="1"/>
    </xf>
    <xf numFmtId="9" fontId="9" fillId="0" borderId="105" xfId="154" applyFont="1" applyBorder="1" applyAlignment="1">
      <alignment horizontal="center" vertical="center"/>
    </xf>
    <xf numFmtId="9" fontId="9" fillId="0" borderId="39" xfId="154" applyFont="1" applyBorder="1" applyAlignment="1">
      <alignment horizontal="center" vertical="center"/>
    </xf>
    <xf numFmtId="0" fontId="9" fillId="0" borderId="23" xfId="8" applyFont="1" applyBorder="1" applyAlignment="1">
      <alignment horizontal="center" vertical="center"/>
    </xf>
    <xf numFmtId="0" fontId="9" fillId="0" borderId="78" xfId="8" applyFont="1" applyBorder="1" applyAlignment="1">
      <alignment horizontal="center" vertical="center"/>
    </xf>
    <xf numFmtId="0" fontId="9" fillId="0" borderId="96" xfId="8" applyFont="1" applyBorder="1" applyAlignment="1">
      <alignment horizontal="center" vertical="center"/>
    </xf>
    <xf numFmtId="0" fontId="9" fillId="0" borderId="66" xfId="8" applyFont="1" applyBorder="1" applyAlignment="1">
      <alignment horizontal="center" vertical="center"/>
    </xf>
    <xf numFmtId="0" fontId="9" fillId="0" borderId="73" xfId="8" applyFont="1" applyBorder="1" applyAlignment="1">
      <alignment horizontal="center" vertical="center"/>
    </xf>
    <xf numFmtId="0" fontId="2" fillId="0" borderId="102" xfId="6" applyFont="1" applyBorder="1" applyAlignment="1">
      <alignment horizontal="center" vertical="center"/>
    </xf>
    <xf numFmtId="0" fontId="2" fillId="0" borderId="5" xfId="6" applyFont="1" applyBorder="1" applyAlignment="1">
      <alignment horizontal="center" vertical="center"/>
    </xf>
    <xf numFmtId="0" fontId="9" fillId="0" borderId="21" xfId="8" applyFont="1" applyBorder="1" applyAlignment="1">
      <alignment horizontal="center" vertical="center" wrapText="1"/>
    </xf>
    <xf numFmtId="0" fontId="9" fillId="0" borderId="106" xfId="8" applyFont="1" applyBorder="1" applyAlignment="1">
      <alignment horizontal="center" vertical="center"/>
    </xf>
    <xf numFmtId="0" fontId="9" fillId="0" borderId="87" xfId="8" applyFont="1" applyBorder="1" applyAlignment="1">
      <alignment horizontal="center" vertical="center"/>
    </xf>
    <xf numFmtId="0" fontId="9" fillId="0" borderId="26" xfId="8" applyFont="1" applyBorder="1" applyAlignment="1">
      <alignment horizontal="center" vertical="center"/>
    </xf>
    <xf numFmtId="0" fontId="5" fillId="0" borderId="15" xfId="8" applyFont="1" applyBorder="1" applyAlignment="1">
      <alignment horizontal="center" vertical="center" wrapText="1"/>
    </xf>
    <xf numFmtId="0" fontId="5" fillId="0" borderId="18" xfId="8" applyFont="1" applyBorder="1" applyAlignment="1">
      <alignment horizontal="center" vertical="center"/>
    </xf>
    <xf numFmtId="0" fontId="5" fillId="0" borderId="15" xfId="8" applyFont="1" applyBorder="1" applyAlignment="1">
      <alignment horizontal="center" vertical="center"/>
    </xf>
    <xf numFmtId="0" fontId="9" fillId="8" borderId="15" xfId="8" applyFont="1" applyFill="1" applyBorder="1" applyAlignment="1">
      <alignment horizontal="center" vertical="center"/>
    </xf>
    <xf numFmtId="0" fontId="9" fillId="8" borderId="18" xfId="8" applyFont="1" applyFill="1" applyBorder="1" applyAlignment="1">
      <alignment horizontal="center" vertical="center"/>
    </xf>
    <xf numFmtId="0" fontId="9" fillId="0" borderId="34" xfId="8" applyFont="1" applyBorder="1" applyAlignment="1">
      <alignment horizontal="center" vertical="center"/>
    </xf>
    <xf numFmtId="0" fontId="9" fillId="0" borderId="108" xfId="8" applyFont="1" applyBorder="1" applyAlignment="1">
      <alignment horizontal="center" vertical="center"/>
    </xf>
    <xf numFmtId="0" fontId="10" fillId="0" borderId="21" xfId="8" applyFont="1" applyBorder="1" applyAlignment="1">
      <alignment horizontal="center" vertical="center"/>
    </xf>
    <xf numFmtId="0" fontId="10" fillId="0" borderId="23" xfId="8" applyFont="1" applyBorder="1" applyAlignment="1">
      <alignment horizontal="center" vertical="center"/>
    </xf>
    <xf numFmtId="0" fontId="10" fillId="0" borderId="71" xfId="8" applyFont="1" applyBorder="1" applyAlignment="1">
      <alignment horizontal="center" vertical="center"/>
    </xf>
    <xf numFmtId="0" fontId="10" fillId="0" borderId="26" xfId="8" applyFont="1" applyBorder="1" applyAlignment="1">
      <alignment horizontal="center" vertical="center"/>
    </xf>
    <xf numFmtId="0" fontId="8" fillId="0" borderId="21" xfId="8" applyFont="1" applyBorder="1" applyAlignment="1">
      <alignment horizontal="center" vertical="center" wrapText="1"/>
    </xf>
    <xf numFmtId="0" fontId="8" fillId="0" borderId="23" xfId="8" applyFont="1" applyBorder="1" applyAlignment="1">
      <alignment horizontal="center" vertical="center" wrapText="1"/>
    </xf>
    <xf numFmtId="0" fontId="8" fillId="0" borderId="109" xfId="8" applyFont="1" applyBorder="1" applyAlignment="1">
      <alignment horizontal="center" vertical="center" wrapText="1"/>
    </xf>
    <xf numFmtId="0" fontId="8" fillId="0" borderId="48" xfId="8" applyFont="1" applyBorder="1" applyAlignment="1">
      <alignment horizontal="center" vertical="center" wrapText="1"/>
    </xf>
  </cellXfs>
  <cellStyles count="158">
    <cellStyle name="一般" xfId="0" builtinId="0"/>
    <cellStyle name="一般 2" xfId="1"/>
    <cellStyle name="一般 2 17 2" xfId="2"/>
    <cellStyle name="一般 2 18" xfId="3"/>
    <cellStyle name="一般 2 2 10" xfId="4"/>
    <cellStyle name="一般 2 2 2 2" xfId="5"/>
    <cellStyle name="一般 2 2 4" xfId="6"/>
    <cellStyle name="一般 2 4 2" xfId="7"/>
    <cellStyle name="一般 2 8" xfId="8"/>
    <cellStyle name="一般 2 8 23" xfId="9"/>
    <cellStyle name="千分位 2" xfId="10"/>
    <cellStyle name="千分位 2 10" xfId="11"/>
    <cellStyle name="千分位 2 10 2" xfId="12"/>
    <cellStyle name="千分位 2 10 2 2" xfId="13"/>
    <cellStyle name="千分位 2 10 2 2 2" xfId="14"/>
    <cellStyle name="千分位 2 10 2 2 2 2" xfId="15"/>
    <cellStyle name="千分位 2 10 2 2 2 2 2" xfId="16"/>
    <cellStyle name="千分位 2 10 2 2 2 3" xfId="17"/>
    <cellStyle name="千分位 2 10 2 2 3" xfId="18"/>
    <cellStyle name="千分位 2 10 2 2 3 2" xfId="19"/>
    <cellStyle name="千分位 2 10 2 2 4" xfId="20"/>
    <cellStyle name="千分位 2 10 2 3" xfId="21"/>
    <cellStyle name="千分位 2 10 2 3 2" xfId="22"/>
    <cellStyle name="千分位 2 10 2 3 2 2" xfId="23"/>
    <cellStyle name="千分位 2 10 2 3 3" xfId="24"/>
    <cellStyle name="千分位 2 10 2 4" xfId="25"/>
    <cellStyle name="千分位 2 10 2 4 2" xfId="26"/>
    <cellStyle name="千分位 2 10 2 5" xfId="27"/>
    <cellStyle name="千分位 2 10 3" xfId="28"/>
    <cellStyle name="千分位 2 10 3 2" xfId="29"/>
    <cellStyle name="千分位 2 10 3 2 2" xfId="30"/>
    <cellStyle name="千分位 2 10 3 2 2 2" xfId="31"/>
    <cellStyle name="千分位 2 10 3 2 3" xfId="32"/>
    <cellStyle name="千分位 2 10 3 3" xfId="33"/>
    <cellStyle name="千分位 2 10 3 3 2" xfId="34"/>
    <cellStyle name="千分位 2 10 3 4" xfId="35"/>
    <cellStyle name="千分位 2 10 4" xfId="36"/>
    <cellStyle name="千分位 2 10 4 2" xfId="37"/>
    <cellStyle name="千分位 2 10 4 2 2" xfId="38"/>
    <cellStyle name="千分位 2 10 4 3" xfId="39"/>
    <cellStyle name="千分位 2 10 5" xfId="40"/>
    <cellStyle name="千分位 2 10 5 2" xfId="41"/>
    <cellStyle name="千分位 2 10 6" xfId="42"/>
    <cellStyle name="千分位 2 2" xfId="43"/>
    <cellStyle name="千分位 2 2 2" xfId="44"/>
    <cellStyle name="千分位 2 2 2 2" xfId="45"/>
    <cellStyle name="千分位 2 2 2 2 2" xfId="46"/>
    <cellStyle name="千分位 2 2 2 2 2 2" xfId="47"/>
    <cellStyle name="千分位 2 2 2 2 3" xfId="48"/>
    <cellStyle name="千分位 2 2 2 3" xfId="49"/>
    <cellStyle name="千分位 2 2 2 3 2" xfId="50"/>
    <cellStyle name="千分位 2 2 2 4" xfId="51"/>
    <cellStyle name="千分位 2 2 3" xfId="52"/>
    <cellStyle name="千分位 2 2 3 2" xfId="53"/>
    <cellStyle name="千分位 2 2 3 2 2" xfId="54"/>
    <cellStyle name="千分位 2 2 3 3" xfId="55"/>
    <cellStyle name="千分位 2 2 4" xfId="56"/>
    <cellStyle name="千分位 2 2 4 2" xfId="57"/>
    <cellStyle name="千分位 2 2 5" xfId="58"/>
    <cellStyle name="千分位 2 3" xfId="59"/>
    <cellStyle name="千分位 2 3 2" xfId="60"/>
    <cellStyle name="千分位 2 3 2 2" xfId="61"/>
    <cellStyle name="千分位 2 3 2 2 2" xfId="62"/>
    <cellStyle name="千分位 2 3 2 2 2 2" xfId="63"/>
    <cellStyle name="千分位 2 3 2 2 3" xfId="64"/>
    <cellStyle name="千分位 2 3 2 3" xfId="65"/>
    <cellStyle name="千分位 2 3 2 3 2" xfId="66"/>
    <cellStyle name="千分位 2 3 2 4" xfId="67"/>
    <cellStyle name="千分位 2 3 3" xfId="68"/>
    <cellStyle name="千分位 2 3 3 2" xfId="69"/>
    <cellStyle name="千分位 2 3 3 2 2" xfId="70"/>
    <cellStyle name="千分位 2 3 3 3" xfId="71"/>
    <cellStyle name="千分位 2 3 4" xfId="72"/>
    <cellStyle name="千分位 2 3 4 2" xfId="73"/>
    <cellStyle name="千分位 2 3 5" xfId="74"/>
    <cellStyle name="千分位 2 4" xfId="75"/>
    <cellStyle name="千分位 2 4 2" xfId="76"/>
    <cellStyle name="千分位 2 4 2 2" xfId="77"/>
    <cellStyle name="千分位 2 4 2 2 2" xfId="78"/>
    <cellStyle name="千分位 2 4 2 3" xfId="79"/>
    <cellStyle name="千分位 2 4 3" xfId="80"/>
    <cellStyle name="千分位 2 4 3 2" xfId="81"/>
    <cellStyle name="千分位 2 4 4" xfId="82"/>
    <cellStyle name="千分位 2 5" xfId="83"/>
    <cellStyle name="千分位 2 5 2" xfId="84"/>
    <cellStyle name="千分位 2 5 2 2" xfId="85"/>
    <cellStyle name="千分位 2 5 3" xfId="86"/>
    <cellStyle name="千分位 2 6" xfId="87"/>
    <cellStyle name="千分位 2 6 2" xfId="88"/>
    <cellStyle name="千分位 2 7" xfId="89"/>
    <cellStyle name="千分位 2 8" xfId="90"/>
    <cellStyle name="千分位 2 8 2" xfId="91"/>
    <cellStyle name="千分位 2 8 2 2" xfId="92"/>
    <cellStyle name="千分位 2 8 2 2 2" xfId="93"/>
    <cellStyle name="千分位 2 8 2 2 2 2" xfId="94"/>
    <cellStyle name="千分位 2 8 2 2 2 2 2" xfId="95"/>
    <cellStyle name="千分位 2 8 2 2 2 3" xfId="96"/>
    <cellStyle name="千分位 2 8 2 2 3" xfId="97"/>
    <cellStyle name="千分位 2 8 2 2 3 2" xfId="98"/>
    <cellStyle name="千分位 2 8 2 2 4" xfId="99"/>
    <cellStyle name="千分位 2 8 2 3" xfId="100"/>
    <cellStyle name="千分位 2 8 2 3 2" xfId="101"/>
    <cellStyle name="千分位 2 8 2 3 2 2" xfId="102"/>
    <cellStyle name="千分位 2 8 2 3 3" xfId="103"/>
    <cellStyle name="千分位 2 8 2 4" xfId="104"/>
    <cellStyle name="千分位 2 8 2 4 2" xfId="105"/>
    <cellStyle name="千分位 2 8 2 5" xfId="106"/>
    <cellStyle name="千分位 2 8 3" xfId="107"/>
    <cellStyle name="千分位 2 8 3 2" xfId="108"/>
    <cellStyle name="千分位 2 8 3 2 2" xfId="109"/>
    <cellStyle name="千分位 2 8 3 2 2 2" xfId="110"/>
    <cellStyle name="千分位 2 8 3 2 3" xfId="111"/>
    <cellStyle name="千分位 2 8 3 3" xfId="112"/>
    <cellStyle name="千分位 2 8 3 3 2" xfId="113"/>
    <cellStyle name="千分位 2 8 3 4" xfId="114"/>
    <cellStyle name="千分位 2 8 4" xfId="115"/>
    <cellStyle name="千分位 2 8 4 2" xfId="116"/>
    <cellStyle name="千分位 2 8 4 2 2" xfId="117"/>
    <cellStyle name="千分位 2 8 4 3" xfId="118"/>
    <cellStyle name="千分位 2 8 5" xfId="119"/>
    <cellStyle name="千分位 2 8 5 2" xfId="120"/>
    <cellStyle name="千分位 2 8 6" xfId="121"/>
    <cellStyle name="千分位 9" xfId="122"/>
    <cellStyle name="千分位 9 2" xfId="123"/>
    <cellStyle name="千分位 9 2 2" xfId="124"/>
    <cellStyle name="千分位 9 2 2 2" xfId="125"/>
    <cellStyle name="千分位 9 2 2 2 2" xfId="126"/>
    <cellStyle name="千分位 9 2 2 2 2 2" xfId="127"/>
    <cellStyle name="千分位 9 2 2 2 3" xfId="128"/>
    <cellStyle name="千分位 9 2 2 3" xfId="129"/>
    <cellStyle name="千分位 9 2 2 3 2" xfId="130"/>
    <cellStyle name="千分位 9 2 2 4" xfId="131"/>
    <cellStyle name="千分位 9 2 3" xfId="132"/>
    <cellStyle name="千分位 9 2 3 2" xfId="133"/>
    <cellStyle name="千分位 9 2 3 2 2" xfId="134"/>
    <cellStyle name="千分位 9 2 3 3" xfId="135"/>
    <cellStyle name="千分位 9 2 4" xfId="136"/>
    <cellStyle name="千分位 9 2 4 2" xfId="137"/>
    <cellStyle name="千分位 9 2 5" xfId="138"/>
    <cellStyle name="千分位 9 3" xfId="139"/>
    <cellStyle name="千分位 9 3 2" xfId="140"/>
    <cellStyle name="千分位 9 3 2 2" xfId="141"/>
    <cellStyle name="千分位 9 3 2 2 2" xfId="142"/>
    <cellStyle name="千分位 9 3 2 3" xfId="143"/>
    <cellStyle name="千分位 9 3 3" xfId="144"/>
    <cellStyle name="千分位 9 3 3 2" xfId="145"/>
    <cellStyle name="千分位 9 3 4" xfId="146"/>
    <cellStyle name="千分位 9 4" xfId="147"/>
    <cellStyle name="千分位 9 4 2" xfId="148"/>
    <cellStyle name="千分位 9 4 2 2" xfId="149"/>
    <cellStyle name="千分位 9 4 3" xfId="150"/>
    <cellStyle name="千分位 9 5" xfId="151"/>
    <cellStyle name="千分位 9 5 2" xfId="152"/>
    <cellStyle name="千分位 9 6" xfId="153"/>
    <cellStyle name="百分比" xfId="154" builtinId="5"/>
    <cellStyle name="百分比 2 2 2 2" xfId="155"/>
    <cellStyle name="百分比 2 5" xfId="156"/>
    <cellStyle name="百分比 7" xfId="157"/>
  </cellStyles>
  <dxfs count="31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id="1" name="表格1" displayName="表格1" ref="A1:E52" totalsRowShown="0">
  <autoFilter ref="A1:E52"/>
  <tableColumns count="5">
    <tableColumn id="1" name="check" dataDxfId="310"/>
    <tableColumn id="2" name="溫層"/>
    <tableColumn id="4" name="品名"/>
    <tableColumn id="3" name="類別"/>
    <tableColumn id="5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workbookViewId="0">
      <selection activeCell="C9" sqref="C9"/>
    </sheetView>
  </sheetViews>
  <sheetFormatPr defaultRowHeight="17"/>
  <cols>
    <col min="1" max="1" width="9" style="97" customWidth="1"/>
    <col min="2" max="2" width="9.7265625" bestFit="1" customWidth="1"/>
    <col min="3" max="3" width="27.6328125" bestFit="1" customWidth="1"/>
    <col min="4" max="5" width="11.90625" bestFit="1" customWidth="1"/>
    <col min="6" max="6" width="7.36328125" bestFit="1" customWidth="1"/>
    <col min="9" max="9" width="23" bestFit="1" customWidth="1"/>
  </cols>
  <sheetData>
    <row r="1" spans="1:5">
      <c r="A1" s="97" t="s">
        <v>194</v>
      </c>
      <c r="B1" s="100" t="s">
        <v>95</v>
      </c>
      <c r="C1" s="100" t="s">
        <v>16</v>
      </c>
      <c r="D1" s="100" t="s">
        <v>195</v>
      </c>
      <c r="E1" s="100" t="s">
        <v>17</v>
      </c>
    </row>
    <row r="2" spans="1:5">
      <c r="A2" s="98"/>
      <c r="B2" s="199" t="s">
        <v>196</v>
      </c>
      <c r="C2" s="56" t="s">
        <v>32</v>
      </c>
      <c r="D2" s="199" t="s">
        <v>45</v>
      </c>
      <c r="E2" s="56">
        <v>57.21</v>
      </c>
    </row>
    <row r="3" spans="1:5">
      <c r="A3" s="98"/>
      <c r="B3" s="199" t="s">
        <v>196</v>
      </c>
      <c r="C3" s="56" t="s">
        <v>35</v>
      </c>
      <c r="D3" s="199" t="s">
        <v>45</v>
      </c>
      <c r="E3" s="56">
        <v>56.43</v>
      </c>
    </row>
    <row r="4" spans="1:5">
      <c r="A4" s="98"/>
      <c r="B4" s="199" t="s">
        <v>196</v>
      </c>
      <c r="C4" s="56" t="s">
        <v>41</v>
      </c>
      <c r="D4" s="199" t="s">
        <v>45</v>
      </c>
      <c r="E4" s="56">
        <v>50.39</v>
      </c>
    </row>
    <row r="5" spans="1:5">
      <c r="A5" s="98"/>
      <c r="B5" s="199" t="s">
        <v>196</v>
      </c>
      <c r="C5" s="56" t="s">
        <v>59</v>
      </c>
      <c r="D5" s="199" t="s">
        <v>45</v>
      </c>
      <c r="E5" s="56">
        <v>49.97</v>
      </c>
    </row>
    <row r="6" spans="1:5">
      <c r="A6" s="98"/>
      <c r="B6" s="199" t="s">
        <v>196</v>
      </c>
      <c r="C6" s="56" t="s">
        <v>34</v>
      </c>
      <c r="D6" s="199" t="s">
        <v>45</v>
      </c>
      <c r="E6" s="56">
        <v>49.14</v>
      </c>
    </row>
    <row r="7" spans="1:5">
      <c r="A7" s="98"/>
      <c r="B7" s="199" t="s">
        <v>196</v>
      </c>
      <c r="C7" s="217" t="s">
        <v>33</v>
      </c>
      <c r="D7" s="199" t="s">
        <v>45</v>
      </c>
      <c r="E7" s="56">
        <v>57.21</v>
      </c>
    </row>
    <row r="8" spans="1:5">
      <c r="A8" s="98"/>
      <c r="B8" s="199" t="s">
        <v>196</v>
      </c>
      <c r="C8" s="217" t="s">
        <v>142</v>
      </c>
      <c r="D8" s="199" t="s">
        <v>45</v>
      </c>
      <c r="E8" s="56">
        <v>57.3</v>
      </c>
    </row>
    <row r="9" spans="1:5">
      <c r="A9" s="98"/>
      <c r="B9" s="199" t="s">
        <v>196</v>
      </c>
      <c r="C9" s="72" t="s">
        <v>187</v>
      </c>
      <c r="D9" s="199" t="s">
        <v>45</v>
      </c>
      <c r="E9" s="56">
        <v>50.67</v>
      </c>
    </row>
    <row r="10" spans="1:5">
      <c r="A10" s="98"/>
      <c r="B10" s="199" t="s">
        <v>196</v>
      </c>
      <c r="C10" s="72"/>
      <c r="D10" s="199" t="s">
        <v>45</v>
      </c>
      <c r="E10" s="56"/>
    </row>
    <row r="11" spans="1:5">
      <c r="A11" s="98"/>
      <c r="B11" s="199" t="s">
        <v>196</v>
      </c>
      <c r="C11" s="56"/>
      <c r="D11" s="199" t="s">
        <v>45</v>
      </c>
      <c r="E11" s="56"/>
    </row>
    <row r="12" spans="1:5">
      <c r="A12" s="98"/>
      <c r="B12" s="199" t="s">
        <v>196</v>
      </c>
      <c r="C12" s="56" t="s">
        <v>58</v>
      </c>
      <c r="D12" s="199" t="s">
        <v>45</v>
      </c>
      <c r="E12" s="56">
        <v>56.87</v>
      </c>
    </row>
    <row r="13" spans="1:5">
      <c r="A13" s="98"/>
      <c r="B13" s="199" t="s">
        <v>196</v>
      </c>
      <c r="C13" s="56" t="s">
        <v>48</v>
      </c>
      <c r="D13" s="199" t="s">
        <v>45</v>
      </c>
      <c r="E13" s="56">
        <v>55.13</v>
      </c>
    </row>
    <row r="14" spans="1:5">
      <c r="A14" s="98"/>
      <c r="B14" s="199" t="s">
        <v>196</v>
      </c>
      <c r="C14" s="56" t="s">
        <v>40</v>
      </c>
      <c r="D14" s="199" t="s">
        <v>45</v>
      </c>
      <c r="E14" s="56">
        <v>50.67</v>
      </c>
    </row>
    <row r="15" spans="1:5">
      <c r="A15" s="98"/>
      <c r="B15" s="199" t="s">
        <v>196</v>
      </c>
      <c r="C15" s="56" t="s">
        <v>53</v>
      </c>
      <c r="D15" s="199" t="s">
        <v>45</v>
      </c>
      <c r="E15" s="56">
        <v>57.3</v>
      </c>
    </row>
    <row r="16" spans="1:5">
      <c r="A16" s="98"/>
      <c r="B16" s="199" t="s">
        <v>196</v>
      </c>
      <c r="C16" s="56" t="s">
        <v>54</v>
      </c>
      <c r="D16" s="199" t="s">
        <v>45</v>
      </c>
      <c r="E16" s="56">
        <v>56.43</v>
      </c>
    </row>
    <row r="17" spans="1:5">
      <c r="A17" s="98"/>
      <c r="B17" s="199" t="s">
        <v>196</v>
      </c>
      <c r="C17" s="56" t="s">
        <v>49</v>
      </c>
      <c r="D17" s="199" t="s">
        <v>45</v>
      </c>
      <c r="E17" s="56">
        <v>47.71</v>
      </c>
    </row>
    <row r="18" spans="1:5">
      <c r="A18" s="98"/>
      <c r="B18" s="199" t="s">
        <v>196</v>
      </c>
      <c r="C18" s="56" t="s">
        <v>46</v>
      </c>
      <c r="D18" s="199" t="s">
        <v>182</v>
      </c>
      <c r="E18" s="56">
        <v>49.91</v>
      </c>
    </row>
    <row r="19" spans="1:5">
      <c r="A19" s="98"/>
      <c r="B19" s="199" t="s">
        <v>196</v>
      </c>
      <c r="C19" s="56" t="s">
        <v>167</v>
      </c>
      <c r="D19" s="199" t="s">
        <v>182</v>
      </c>
      <c r="E19" s="56">
        <v>44.3</v>
      </c>
    </row>
    <row r="20" spans="1:5">
      <c r="A20" s="98"/>
      <c r="B20" s="199" t="s">
        <v>196</v>
      </c>
      <c r="C20" s="56" t="s">
        <v>166</v>
      </c>
      <c r="D20" s="199" t="s">
        <v>182</v>
      </c>
      <c r="E20" s="56">
        <v>49.52</v>
      </c>
    </row>
    <row r="21" spans="1:5">
      <c r="A21" s="98"/>
      <c r="B21" s="199" t="s">
        <v>196</v>
      </c>
      <c r="C21" s="56" t="s">
        <v>62</v>
      </c>
      <c r="D21" s="199" t="s">
        <v>172</v>
      </c>
      <c r="E21" s="56">
        <v>26.99</v>
      </c>
    </row>
    <row r="22" spans="1:5">
      <c r="A22" s="98"/>
      <c r="B22" s="199" t="s">
        <v>196</v>
      </c>
      <c r="C22" s="56" t="s">
        <v>64</v>
      </c>
      <c r="D22" s="199" t="s">
        <v>172</v>
      </c>
      <c r="E22" s="56">
        <v>28.26</v>
      </c>
    </row>
    <row r="23" spans="1:5">
      <c r="A23" s="98"/>
      <c r="B23" s="199" t="s">
        <v>196</v>
      </c>
      <c r="C23" s="56" t="s">
        <v>63</v>
      </c>
      <c r="D23" s="199" t="s">
        <v>172</v>
      </c>
      <c r="E23" s="56">
        <v>28.47</v>
      </c>
    </row>
    <row r="24" spans="1:5">
      <c r="A24" s="98"/>
      <c r="B24" s="199"/>
      <c r="C24" s="56"/>
      <c r="D24" s="199"/>
      <c r="E24" s="56"/>
    </row>
    <row r="25" spans="1:5">
      <c r="A25" s="98"/>
      <c r="B25" s="199"/>
      <c r="C25" s="56"/>
      <c r="D25" s="199"/>
      <c r="E25" s="56"/>
    </row>
    <row r="26" spans="1:5">
      <c r="A26" s="98"/>
      <c r="B26" s="199"/>
      <c r="C26" s="56"/>
      <c r="D26" s="199"/>
      <c r="E26" s="56"/>
    </row>
    <row r="27" spans="1:5">
      <c r="A27" s="98"/>
      <c r="B27" s="199"/>
      <c r="C27" s="56"/>
      <c r="D27" s="199"/>
      <c r="E27" s="56"/>
    </row>
    <row r="28" spans="1:5">
      <c r="A28" s="98"/>
      <c r="B28" s="199"/>
      <c r="C28" s="56"/>
      <c r="D28" s="199"/>
      <c r="E28" s="56"/>
    </row>
    <row r="29" spans="1:5">
      <c r="A29" s="98"/>
      <c r="B29" s="199"/>
      <c r="C29" s="56"/>
      <c r="D29" s="199"/>
      <c r="E29" s="56"/>
    </row>
    <row r="30" spans="1:5">
      <c r="B30" s="199"/>
      <c r="C30" s="56"/>
      <c r="D30" s="199"/>
      <c r="E30" s="56"/>
    </row>
    <row r="31" spans="1:5">
      <c r="B31" s="199"/>
      <c r="C31" s="199"/>
      <c r="D31" s="199"/>
      <c r="E31" s="56"/>
    </row>
    <row r="32" spans="1:5">
      <c r="B32" s="199"/>
      <c r="C32" s="199"/>
      <c r="D32" s="199"/>
      <c r="E32" s="199"/>
    </row>
    <row r="33" spans="2:5">
      <c r="B33" s="199"/>
      <c r="C33" s="199"/>
      <c r="D33" s="199"/>
      <c r="E33" s="199"/>
    </row>
    <row r="34" spans="2:5">
      <c r="B34" s="198"/>
      <c r="C34" s="199"/>
      <c r="D34" s="198"/>
      <c r="E34" s="199"/>
    </row>
    <row r="35" spans="2:5">
      <c r="B35" s="198"/>
      <c r="C35" s="199"/>
      <c r="D35" s="198"/>
      <c r="E35" s="199"/>
    </row>
    <row r="36" spans="2:5">
      <c r="B36" s="198"/>
      <c r="C36" s="56"/>
      <c r="D36" s="198"/>
      <c r="E36" s="56"/>
    </row>
    <row r="37" spans="2:5">
      <c r="B37" s="198"/>
      <c r="C37" s="72"/>
      <c r="D37" s="198"/>
      <c r="E37" s="56"/>
    </row>
    <row r="38" spans="2:5">
      <c r="B38" s="198"/>
      <c r="C38" s="199"/>
      <c r="D38" s="198"/>
      <c r="E38" s="199"/>
    </row>
    <row r="43" spans="2:5">
      <c r="B43" s="199" t="s">
        <v>197</v>
      </c>
      <c r="C43" s="56" t="s">
        <v>40</v>
      </c>
      <c r="D43" s="199" t="s">
        <v>198</v>
      </c>
      <c r="E43" s="56">
        <v>29.38</v>
      </c>
    </row>
    <row r="44" spans="2:5">
      <c r="B44" s="199" t="s">
        <v>197</v>
      </c>
      <c r="C44" s="56" t="s">
        <v>199</v>
      </c>
      <c r="D44" s="199" t="s">
        <v>198</v>
      </c>
      <c r="E44" s="56">
        <v>29.38</v>
      </c>
    </row>
    <row r="45" spans="2:5">
      <c r="B45" s="199" t="s">
        <v>197</v>
      </c>
      <c r="C45" s="56" t="s">
        <v>200</v>
      </c>
      <c r="D45" s="199" t="s">
        <v>198</v>
      </c>
      <c r="E45" s="56">
        <v>29.38</v>
      </c>
    </row>
    <row r="46" spans="2:5">
      <c r="B46" s="199" t="s">
        <v>197</v>
      </c>
      <c r="C46" s="56" t="s">
        <v>201</v>
      </c>
      <c r="D46" s="199" t="s">
        <v>198</v>
      </c>
      <c r="E46" s="56">
        <v>29.38</v>
      </c>
    </row>
    <row r="47" spans="2:5">
      <c r="B47" s="199" t="s">
        <v>197</v>
      </c>
      <c r="C47" s="56" t="s">
        <v>202</v>
      </c>
      <c r="D47" s="199" t="s">
        <v>198</v>
      </c>
      <c r="E47" s="56">
        <v>29.38</v>
      </c>
    </row>
    <row r="48" spans="2:5">
      <c r="B48" s="199" t="s">
        <v>197</v>
      </c>
      <c r="C48" s="56" t="s">
        <v>203</v>
      </c>
      <c r="D48" s="199" t="s">
        <v>198</v>
      </c>
      <c r="E48" s="56">
        <v>29.38</v>
      </c>
    </row>
    <row r="49" spans="2:26">
      <c r="B49" s="199" t="s">
        <v>197</v>
      </c>
      <c r="C49" s="56"/>
      <c r="D49" s="199" t="s">
        <v>198</v>
      </c>
      <c r="E49" s="56"/>
    </row>
    <row r="50" spans="2:26">
      <c r="B50" s="199" t="s">
        <v>197</v>
      </c>
      <c r="C50" s="199" t="s">
        <v>204</v>
      </c>
      <c r="D50" s="199" t="s">
        <v>198</v>
      </c>
      <c r="E50" s="56">
        <v>29.38</v>
      </c>
      <c r="M50">
        <v>19</v>
      </c>
      <c r="T50" s="332">
        <v>0.28749999999999998</v>
      </c>
      <c r="U50" s="332">
        <v>0.33750000000000002</v>
      </c>
    </row>
    <row r="51" spans="2:26">
      <c r="B51" s="199" t="s">
        <v>197</v>
      </c>
      <c r="C51" s="199"/>
      <c r="D51" s="199" t="s">
        <v>198</v>
      </c>
      <c r="E51" s="199"/>
      <c r="M51">
        <v>18</v>
      </c>
      <c r="T51" s="332">
        <v>0.34166666666666701</v>
      </c>
      <c r="U51" s="332">
        <v>0.41180555555555598</v>
      </c>
    </row>
    <row r="52" spans="2:26">
      <c r="B52" s="199" t="s">
        <v>197</v>
      </c>
      <c r="C52" s="199" t="s">
        <v>205</v>
      </c>
      <c r="D52" s="199" t="s">
        <v>198</v>
      </c>
      <c r="E52" s="199">
        <v>29.38</v>
      </c>
      <c r="T52" s="332">
        <v>0.41597222222222202</v>
      </c>
      <c r="U52" s="333">
        <v>0.47291666666666698</v>
      </c>
    </row>
    <row r="53" spans="2:26">
      <c r="M53">
        <v>18</v>
      </c>
      <c r="T53" s="332">
        <v>0.52777777777777801</v>
      </c>
      <c r="U53" s="332">
        <v>0.61319444444444404</v>
      </c>
    </row>
    <row r="54" spans="2:26">
      <c r="T54" s="332">
        <v>0.61805555555555602</v>
      </c>
      <c r="U54" s="332">
        <v>0.63611111111111096</v>
      </c>
    </row>
    <row r="55" spans="2:26">
      <c r="Z55" t="s">
        <v>55</v>
      </c>
    </row>
    <row r="60" spans="2:26">
      <c r="G60">
        <v>2772</v>
      </c>
      <c r="T60" s="332">
        <v>0.28819444444444398</v>
      </c>
      <c r="U60" s="332">
        <v>0.36458333333333298</v>
      </c>
    </row>
    <row r="63" spans="2:26">
      <c r="G63">
        <v>2367</v>
      </c>
      <c r="U63" s="332">
        <v>0.62708333333333299</v>
      </c>
    </row>
    <row r="64" spans="2:26">
      <c r="G64">
        <v>1335</v>
      </c>
      <c r="U64" s="332">
        <v>0.67361111111111105</v>
      </c>
    </row>
    <row r="71" spans="26:26">
      <c r="Z71" t="s">
        <v>144</v>
      </c>
    </row>
    <row r="72" spans="26:26">
      <c r="Z72" t="s">
        <v>144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C25" sqref="C25"/>
    </sheetView>
  </sheetViews>
  <sheetFormatPr defaultColWidth="9" defaultRowHeight="15.5"/>
  <cols>
    <col min="1" max="1" width="35.453125" style="259" customWidth="1"/>
    <col min="2" max="6" width="9" style="259" customWidth="1"/>
    <col min="7" max="7" width="22.7265625" style="259" bestFit="1" customWidth="1"/>
    <col min="8" max="17" width="9" style="259" customWidth="1"/>
    <col min="18" max="16384" width="9" style="259"/>
  </cols>
  <sheetData>
    <row r="1" spans="1:7">
      <c r="A1" s="199" t="s">
        <v>210</v>
      </c>
      <c r="B1" s="199" t="s">
        <v>21</v>
      </c>
      <c r="C1" s="199" t="s">
        <v>211</v>
      </c>
      <c r="D1" s="219"/>
    </row>
    <row r="2" spans="1:7">
      <c r="A2" s="199" t="s">
        <v>45</v>
      </c>
      <c r="B2" s="199"/>
      <c r="C2" s="199"/>
      <c r="D2" s="219"/>
    </row>
    <row r="3" spans="1:7">
      <c r="A3" s="199" t="s">
        <v>32</v>
      </c>
      <c r="B3" s="199">
        <v>13</v>
      </c>
      <c r="C3" s="199">
        <v>2105</v>
      </c>
      <c r="D3" s="220" t="s">
        <v>110</v>
      </c>
    </row>
    <row r="4" spans="1:7">
      <c r="A4" s="199" t="s">
        <v>212</v>
      </c>
      <c r="B4" s="199">
        <v>15</v>
      </c>
      <c r="C4" s="199">
        <v>1565</v>
      </c>
      <c r="D4" s="220" t="s">
        <v>111</v>
      </c>
    </row>
    <row r="5" spans="1:7">
      <c r="A5" s="199" t="s">
        <v>40</v>
      </c>
      <c r="B5" s="199">
        <v>13</v>
      </c>
      <c r="C5" s="199">
        <v>2000</v>
      </c>
      <c r="D5" s="219"/>
    </row>
    <row r="6" spans="1:7">
      <c r="A6" s="199" t="s">
        <v>41</v>
      </c>
      <c r="B6" s="199">
        <v>12</v>
      </c>
      <c r="C6" s="199">
        <v>2000</v>
      </c>
      <c r="D6" s="219"/>
    </row>
    <row r="7" spans="1:7">
      <c r="A7" s="199" t="s">
        <v>59</v>
      </c>
      <c r="B7" s="199">
        <v>18</v>
      </c>
      <c r="C7" s="199">
        <v>1600</v>
      </c>
      <c r="D7" s="219"/>
    </row>
    <row r="8" spans="1:7">
      <c r="A8" s="199" t="s">
        <v>34</v>
      </c>
      <c r="B8" s="199">
        <v>13</v>
      </c>
      <c r="C8" s="199">
        <v>2000</v>
      </c>
      <c r="D8" s="219"/>
    </row>
    <row r="9" spans="1:7">
      <c r="A9" s="199" t="s">
        <v>33</v>
      </c>
      <c r="B9" s="199">
        <v>17</v>
      </c>
      <c r="C9" s="199">
        <v>1895</v>
      </c>
      <c r="D9" s="219"/>
    </row>
    <row r="10" spans="1:7">
      <c r="A10" s="199" t="s">
        <v>58</v>
      </c>
      <c r="B10" s="199">
        <v>19</v>
      </c>
      <c r="C10" s="199">
        <v>1565</v>
      </c>
      <c r="D10" s="219"/>
    </row>
    <row r="11" spans="1:7">
      <c r="A11" s="199" t="s">
        <v>46</v>
      </c>
      <c r="B11" s="199">
        <v>17</v>
      </c>
      <c r="C11" s="199">
        <v>1565</v>
      </c>
      <c r="D11" s="219"/>
    </row>
    <row r="12" spans="1:7">
      <c r="A12" s="199" t="s">
        <v>213</v>
      </c>
      <c r="B12" s="199">
        <v>14</v>
      </c>
      <c r="C12" s="199">
        <v>1385</v>
      </c>
      <c r="D12" s="219"/>
    </row>
    <row r="13" spans="1:7">
      <c r="A13" s="199" t="s">
        <v>48</v>
      </c>
      <c r="B13" s="199">
        <v>18</v>
      </c>
      <c r="C13" s="199">
        <v>1385</v>
      </c>
      <c r="D13" s="219"/>
      <c r="G13" s="303" t="s">
        <v>214</v>
      </c>
    </row>
    <row r="14" spans="1:7">
      <c r="A14" s="199" t="s">
        <v>215</v>
      </c>
      <c r="B14" s="199">
        <v>16</v>
      </c>
      <c r="C14" s="199">
        <v>1385</v>
      </c>
      <c r="D14" s="219"/>
    </row>
    <row r="15" spans="1:7">
      <c r="A15" s="199" t="s">
        <v>53</v>
      </c>
      <c r="B15" s="199">
        <v>15</v>
      </c>
      <c r="C15" s="199">
        <v>1385</v>
      </c>
      <c r="D15" s="219"/>
    </row>
    <row r="16" spans="1:7">
      <c r="A16" s="199" t="s">
        <v>54</v>
      </c>
      <c r="B16" s="199">
        <v>15</v>
      </c>
      <c r="C16" s="199">
        <v>1406</v>
      </c>
      <c r="D16" s="219"/>
    </row>
    <row r="17" spans="1:4">
      <c r="A17" s="199" t="s">
        <v>49</v>
      </c>
      <c r="B17" s="199">
        <v>15</v>
      </c>
      <c r="C17" s="199">
        <v>1500</v>
      </c>
      <c r="D17" s="219"/>
    </row>
    <row r="18" spans="1:4">
      <c r="A18" s="199" t="s">
        <v>216</v>
      </c>
      <c r="B18" s="199">
        <v>16</v>
      </c>
      <c r="C18" s="199">
        <v>1440</v>
      </c>
      <c r="D18" s="219"/>
    </row>
    <row r="19" spans="1:4">
      <c r="A19" s="199" t="s">
        <v>35</v>
      </c>
      <c r="B19" s="199">
        <v>15</v>
      </c>
      <c r="C19" s="199">
        <v>1636</v>
      </c>
      <c r="D19" s="219"/>
    </row>
    <row r="20" spans="1:4">
      <c r="A20" s="199" t="s">
        <v>217</v>
      </c>
      <c r="B20" s="199">
        <v>16</v>
      </c>
      <c r="C20" s="199">
        <v>1500</v>
      </c>
      <c r="D20" s="219"/>
    </row>
    <row r="21" spans="1:4">
      <c r="A21" s="199" t="s">
        <v>142</v>
      </c>
      <c r="B21" s="199">
        <v>15</v>
      </c>
      <c r="C21" s="199">
        <v>1440</v>
      </c>
      <c r="D21" s="219"/>
    </row>
    <row r="22" spans="1:4">
      <c r="A22" s="199" t="s">
        <v>166</v>
      </c>
      <c r="B22" s="199">
        <v>18</v>
      </c>
      <c r="C22" s="199">
        <v>1440</v>
      </c>
      <c r="D22" s="219"/>
    </row>
    <row r="23" spans="1:4">
      <c r="A23" s="199" t="s">
        <v>167</v>
      </c>
      <c r="B23" s="199">
        <v>19</v>
      </c>
      <c r="C23" s="199">
        <v>1440</v>
      </c>
      <c r="D23" s="219"/>
    </row>
    <row r="24" spans="1:4">
      <c r="A24" s="72" t="s">
        <v>187</v>
      </c>
      <c r="B24" s="199">
        <v>15</v>
      </c>
      <c r="C24" s="199">
        <v>1440</v>
      </c>
      <c r="D24" s="219"/>
    </row>
    <row r="25" spans="1:4">
      <c r="A25" s="199" t="s">
        <v>218</v>
      </c>
      <c r="B25" s="199"/>
      <c r="C25" s="199"/>
      <c r="D25" s="219"/>
    </row>
    <row r="26" spans="1:4">
      <c r="A26" s="199" t="s">
        <v>62</v>
      </c>
      <c r="B26" s="199">
        <v>13</v>
      </c>
      <c r="C26" s="199">
        <v>1565</v>
      </c>
      <c r="D26" s="219"/>
    </row>
    <row r="27" spans="1:4">
      <c r="A27" s="199" t="s">
        <v>64</v>
      </c>
      <c r="B27" s="199">
        <v>12</v>
      </c>
      <c r="C27" s="199">
        <v>1565</v>
      </c>
      <c r="D27" s="219"/>
    </row>
    <row r="28" spans="1:4">
      <c r="A28" s="199" t="s">
        <v>63</v>
      </c>
      <c r="B28" s="199">
        <v>12</v>
      </c>
      <c r="C28" s="199">
        <v>1565</v>
      </c>
    </row>
    <row r="29" spans="1:4">
      <c r="A29" s="199"/>
      <c r="B29" s="199"/>
      <c r="C29" s="199"/>
    </row>
    <row r="30" spans="1:4">
      <c r="A30" s="199"/>
      <c r="B30" s="199"/>
      <c r="C30" s="199"/>
    </row>
    <row r="31" spans="1:4">
      <c r="A31" s="199"/>
      <c r="B31" s="199"/>
      <c r="C31" s="199"/>
    </row>
    <row r="32" spans="1:4">
      <c r="A32" s="199"/>
      <c r="B32" s="199"/>
      <c r="C32" s="199"/>
    </row>
    <row r="33" spans="5:5">
      <c r="E33" s="259" t="s">
        <v>219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D3" sqref="D3:E3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45992</v>
      </c>
      <c r="E3" s="357"/>
      <c r="F3" s="202" t="s">
        <v>84</v>
      </c>
      <c r="G3" s="358">
        <f>'1201'!E1</f>
        <v>52776</v>
      </c>
      <c r="H3" s="358"/>
      <c r="I3" s="202" t="s">
        <v>2</v>
      </c>
      <c r="J3" s="359">
        <f>'1201'!G1</f>
        <v>2567818.5999999996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116.75455357536627</v>
      </c>
      <c r="G6" s="367"/>
      <c r="H6" s="360">
        <f>AVERAGE(D13:H13)</f>
        <v>114.52373352120875</v>
      </c>
      <c r="I6" s="360"/>
      <c r="J6" s="360">
        <f>AVERAGE(I13:J13)</f>
        <v>127.90865384615384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104.67025675807893</v>
      </c>
      <c r="G7" s="362"/>
      <c r="H7" s="363">
        <f>AVERAGE(D14:H14)</f>
        <v>101.80243654376061</v>
      </c>
      <c r="I7" s="363"/>
      <c r="J7" s="363">
        <f>AVERAGE(I14:J14)</f>
        <v>119.00935782967049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0.90441505969368075</v>
      </c>
      <c r="G8" s="364"/>
      <c r="H8" s="364">
        <f>AVERAGE(D15:H15)</f>
        <v>0.89921315204157715</v>
      </c>
      <c r="I8" s="364"/>
      <c r="J8" s="364">
        <f>AVERAGE(I15:J15)</f>
        <v>0.93042459795419896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VALUE('1201'!L15)</f>
        <v>136.91288084464554</v>
      </c>
      <c r="E13" s="213">
        <f>VALUE('1201'!L26)</f>
        <v>160.58974358974359</v>
      </c>
      <c r="F13" s="213">
        <f>VALUE('1201'!L37)</f>
        <v>92.250816993464056</v>
      </c>
      <c r="G13" s="213">
        <f>VALUE('1201'!L48)</f>
        <v>94.813970588235293</v>
      </c>
      <c r="H13" s="213">
        <f>VALUE('1201'!L58)</f>
        <v>88.051255589955289</v>
      </c>
      <c r="I13" s="213">
        <f>VALUE('1201'!L69)</f>
        <v>127.90865384615384</v>
      </c>
      <c r="J13" s="213"/>
    </row>
    <row r="14" spans="2:15" ht="40" customHeight="1">
      <c r="B14" s="376"/>
      <c r="C14" s="212" t="s">
        <v>106</v>
      </c>
      <c r="D14" s="213">
        <f>VALUE('1201'!O15)</f>
        <v>117.58745244712989</v>
      </c>
      <c r="E14" s="213">
        <f>VALUE('1201'!O26)</f>
        <v>135.41864499005322</v>
      </c>
      <c r="F14" s="213">
        <f>VALUE('1201'!O37)</f>
        <v>84.69073105203627</v>
      </c>
      <c r="G14" s="213">
        <f>VALUE('1201'!O48)</f>
        <v>86.071029226855046</v>
      </c>
      <c r="H14" s="213">
        <f>VALUE('1201'!O58)</f>
        <v>85.244325002728601</v>
      </c>
      <c r="I14" s="213">
        <f>VALUE('1201'!O69)</f>
        <v>119.00935782967049</v>
      </c>
      <c r="J14" s="213"/>
    </row>
    <row r="15" spans="2:15" ht="40" customHeight="1">
      <c r="B15" s="377"/>
      <c r="C15" s="210" t="s">
        <v>23</v>
      </c>
      <c r="D15" s="231">
        <f>D14/D13</f>
        <v>0.85884871986994316</v>
      </c>
      <c r="E15" s="231">
        <f t="shared" ref="E15:I15" si="0">E14/E13</f>
        <v>0.8432583673338776</v>
      </c>
      <c r="F15" s="231">
        <f t="shared" si="0"/>
        <v>0.91804857465963241</v>
      </c>
      <c r="G15" s="231">
        <f t="shared" si="0"/>
        <v>0.90778846928213042</v>
      </c>
      <c r="H15" s="231">
        <f t="shared" si="0"/>
        <v>0.96812162906230159</v>
      </c>
      <c r="I15" s="231">
        <f t="shared" si="0"/>
        <v>0.93042459795419896</v>
      </c>
      <c r="J15" s="231"/>
    </row>
    <row r="16" spans="2:15" ht="17.25" customHeight="1">
      <c r="B16" s="378" t="s">
        <v>107</v>
      </c>
      <c r="C16" s="210" t="s">
        <v>29</v>
      </c>
      <c r="D16" s="95">
        <f>'1201'!T5</f>
        <v>0.29166666666666669</v>
      </c>
      <c r="E16" s="95">
        <f>'1201'!T16</f>
        <v>0.2902777777777778</v>
      </c>
      <c r="F16" s="95">
        <f>'1201'!T27</f>
        <v>0.29166666666666702</v>
      </c>
      <c r="G16" s="95">
        <f>'1201'!T38</f>
        <v>0.33263888888888887</v>
      </c>
      <c r="H16" s="95">
        <f>'1201'!T49</f>
        <v>0.29166666666666669</v>
      </c>
      <c r="I16" s="95">
        <f>'1201'!T59</f>
        <v>0.29166666666666669</v>
      </c>
      <c r="J16" s="269"/>
    </row>
    <row r="17" spans="2:10" ht="17.25" customHeight="1">
      <c r="B17" s="379"/>
      <c r="C17" s="210" t="s">
        <v>30</v>
      </c>
      <c r="D17" s="95">
        <v>0.65</v>
      </c>
      <c r="E17" s="41">
        <v>0.65902777777777777</v>
      </c>
      <c r="F17" s="41">
        <v>0.625</v>
      </c>
      <c r="G17" s="59">
        <v>0.61875000000000002</v>
      </c>
      <c r="H17" s="79">
        <v>0.65208333333333335</v>
      </c>
      <c r="I17" s="20">
        <v>0.57291666666666663</v>
      </c>
      <c r="J17" s="20"/>
    </row>
    <row r="18" spans="2:10" ht="17.25" customHeight="1">
      <c r="B18" s="365" t="s">
        <v>108</v>
      </c>
      <c r="C18" s="366"/>
      <c r="D18" s="214">
        <f>VALUE('1201'!M15)</f>
        <v>14.2</v>
      </c>
      <c r="E18" s="214">
        <f>VALUE('1201'!M26)</f>
        <v>12.6</v>
      </c>
      <c r="F18" s="214">
        <f>VALUE('1201'!M37)</f>
        <v>15.75</v>
      </c>
      <c r="G18" s="214">
        <f>VALUE('1201'!M48)</f>
        <v>13.5</v>
      </c>
      <c r="H18" s="214">
        <f>VALUE('1201'!M58)</f>
        <v>17.75</v>
      </c>
      <c r="I18" s="214">
        <f>VALUE('1201'!M69)</f>
        <v>12.25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L59" activePane="bottomRight" state="frozen"/>
      <selection activeCell="D4" sqref="D4:E4"/>
      <selection pane="topRight" activeCell="D4" sqref="D4:E4"/>
      <selection pane="bottomLeft" activeCell="D4" sqref="D4:E4"/>
      <selection pane="bottomRight" activeCell="V60" activeCellId="8" sqref="V6:V7 V9 V17:V18 V20 V28:V29 V39:V40 V50 V52 V60: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52776</v>
      </c>
      <c r="F1" s="175" t="s">
        <v>2</v>
      </c>
      <c r="G1" s="4">
        <f>SUM(H5:H79)</f>
        <v>2567818.5999999996</v>
      </c>
      <c r="H1" s="173" t="s">
        <v>3</v>
      </c>
      <c r="I1" s="5">
        <f>M15+M26+M48+M58+M69+M79+M37</f>
        <v>86.05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10</v>
      </c>
      <c r="B2" s="404"/>
      <c r="C2" s="174"/>
      <c r="D2" s="174" t="s">
        <v>11</v>
      </c>
      <c r="E2" s="7">
        <f>AVERAGE(O15,O26,O37,O48,O58,O69,O79)</f>
        <v>104.67025675807893</v>
      </c>
      <c r="F2" s="8" t="s">
        <v>12</v>
      </c>
      <c r="G2" s="9">
        <f>G1/E1</f>
        <v>48.655043959375469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1534</v>
      </c>
      <c r="H5" s="318">
        <f>F5*G5</f>
        <v>87760.14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8" si="0">G5/W5*60</f>
        <v>1704.4444444444453</v>
      </c>
      <c r="O5" s="322">
        <f t="shared" ref="O5:O8" si="1">N5/M5</f>
        <v>131.11111111111117</v>
      </c>
      <c r="P5" s="324">
        <f t="shared" ref="P5:P8" si="2">M5-J5</f>
        <v>0</v>
      </c>
      <c r="Q5" s="325">
        <f t="shared" ref="Q5:Q8" si="3">O5-L5</f>
        <v>-30.811965811965763</v>
      </c>
      <c r="R5" s="326">
        <f t="shared" ref="R5:R8" si="4">O5/L5</f>
        <v>0.8097123251517554</v>
      </c>
      <c r="S5" s="419">
        <f>R15</f>
        <v>0.85884871986994316</v>
      </c>
      <c r="T5" s="327">
        <v>0.29166666666666669</v>
      </c>
      <c r="U5" s="328">
        <v>0.32916666666666666</v>
      </c>
      <c r="V5" s="192"/>
      <c r="W5" s="106">
        <f t="shared" ref="W5:W14" si="5">(U5-T5)*24*60</f>
        <v>53.999999999999972</v>
      </c>
      <c r="X5" s="186"/>
      <c r="Y5" s="186"/>
      <c r="Z5" s="425"/>
      <c r="AA5" s="425"/>
      <c r="AB5" s="110">
        <f>N5-K5</f>
        <v>-400.55555555555475</v>
      </c>
      <c r="AC5" s="182">
        <f>N5/K5</f>
        <v>0.80971232515175551</v>
      </c>
      <c r="AD5" s="411">
        <f>AC15</f>
        <v>0.85654712720147907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33</v>
      </c>
      <c r="E6" s="248"/>
      <c r="F6" s="305">
        <f>VLOOKUP(D6,廠價表!$C$1:$E$40,3,0)</f>
        <v>57.21</v>
      </c>
      <c r="G6" s="306">
        <v>1986</v>
      </c>
      <c r="H6" s="307">
        <f>F6*G6</f>
        <v>113619.06</v>
      </c>
      <c r="I6" s="308"/>
      <c r="J6" s="309">
        <f>VLOOKUP(D6,產線配置圖!$A$3:$C$39,2,0)</f>
        <v>17</v>
      </c>
      <c r="K6" s="306">
        <v>1800</v>
      </c>
      <c r="L6" s="310">
        <f>K6/J6</f>
        <v>105.88235294117646</v>
      </c>
      <c r="M6" s="311">
        <v>17</v>
      </c>
      <c r="N6" s="306">
        <f t="shared" si="0"/>
        <v>1678.3098591549488</v>
      </c>
      <c r="O6" s="310">
        <f t="shared" si="1"/>
        <v>98.724109362055813</v>
      </c>
      <c r="P6" s="312">
        <f t="shared" si="2"/>
        <v>0</v>
      </c>
      <c r="Q6" s="313">
        <f t="shared" si="3"/>
        <v>-7.1582435791206507</v>
      </c>
      <c r="R6" s="314">
        <f t="shared" si="4"/>
        <v>0.93239436619719385</v>
      </c>
      <c r="S6" s="420"/>
      <c r="T6" s="267">
        <v>0.33680555555555602</v>
      </c>
      <c r="U6" s="267">
        <v>0.38611111111111102</v>
      </c>
      <c r="V6" s="175">
        <f>(T6-U5)*24*60</f>
        <v>11.00000000000068</v>
      </c>
      <c r="W6" s="180">
        <f t="shared" si="5"/>
        <v>70.99999999999919</v>
      </c>
      <c r="X6" s="22"/>
      <c r="Y6" s="22"/>
      <c r="Z6" s="391"/>
      <c r="AA6" s="391"/>
      <c r="AB6" s="18">
        <f>N6-K6</f>
        <v>-121.69014084505125</v>
      </c>
      <c r="AC6" s="183">
        <f>N6/K6</f>
        <v>0.93239436619719374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34</v>
      </c>
      <c r="E7" s="86"/>
      <c r="F7" s="56">
        <f>VLOOKUP(D7,廠價表!$C$1:$E$40,3,0)</f>
        <v>49.14</v>
      </c>
      <c r="G7" s="25">
        <v>3700</v>
      </c>
      <c r="H7" s="15">
        <f t="shared" ref="H7:H8" si="6">F7*G7</f>
        <v>181818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1819.6721311475451</v>
      </c>
      <c r="O7" s="17">
        <f t="shared" si="1"/>
        <v>139.97477931904194</v>
      </c>
      <c r="P7" s="18">
        <f t="shared" si="2"/>
        <v>0</v>
      </c>
      <c r="Q7" s="19">
        <f t="shared" si="3"/>
        <v>-13.871374527111897</v>
      </c>
      <c r="R7" s="183">
        <f t="shared" si="4"/>
        <v>0.90983606557377272</v>
      </c>
      <c r="S7" s="420"/>
      <c r="T7" s="95">
        <v>0.39305555555555599</v>
      </c>
      <c r="U7" s="95">
        <v>0.47777777777777802</v>
      </c>
      <c r="V7" s="175">
        <f>(T7-U6)*24*60</f>
        <v>10.000000000000764</v>
      </c>
      <c r="W7" s="180">
        <f t="shared" si="5"/>
        <v>121.99999999999973</v>
      </c>
      <c r="X7" s="22"/>
      <c r="Y7" s="22"/>
      <c r="Z7" s="405"/>
      <c r="AA7" s="405"/>
      <c r="AB7" s="18">
        <f>N7-K7</f>
        <v>-180.32786885245491</v>
      </c>
      <c r="AC7" s="183">
        <f>N7/K7</f>
        <v>0.9098360655737725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2094</v>
      </c>
      <c r="H8" s="15">
        <f t="shared" si="6"/>
        <v>102899.16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1963.1250000000166</v>
      </c>
      <c r="O8" s="17">
        <f t="shared" si="1"/>
        <v>151.00961538461667</v>
      </c>
      <c r="P8" s="18">
        <f t="shared" si="2"/>
        <v>0</v>
      </c>
      <c r="Q8" s="19">
        <f t="shared" si="3"/>
        <v>-2.8365384615371738</v>
      </c>
      <c r="R8" s="183">
        <f t="shared" si="4"/>
        <v>0.98156250000000833</v>
      </c>
      <c r="S8" s="420"/>
      <c r="T8" s="95">
        <v>0.54027777777777797</v>
      </c>
      <c r="U8" s="95">
        <v>0.58472222222222203</v>
      </c>
      <c r="V8" s="175">
        <f>(T8-U7)*24*60</f>
        <v>89.999999999999915</v>
      </c>
      <c r="W8" s="180">
        <f t="shared" si="5"/>
        <v>63.999999999999453</v>
      </c>
      <c r="X8" s="22"/>
      <c r="Y8" s="260"/>
      <c r="Z8" s="415"/>
      <c r="AA8" s="415"/>
      <c r="AB8" s="18">
        <f>N8-K8</f>
        <v>-36.874999999983402</v>
      </c>
      <c r="AC8" s="183">
        <f>N8/K8</f>
        <v>0.98156250000000833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35</v>
      </c>
      <c r="E9" s="86"/>
      <c r="F9" s="56">
        <f>VLOOKUP(D9,廠價表!$C$1:$E$40,3,0)</f>
        <v>56.43</v>
      </c>
      <c r="G9" s="25">
        <v>1141</v>
      </c>
      <c r="H9" s="15">
        <f>F9*G9</f>
        <v>64386.63</v>
      </c>
      <c r="I9" s="180"/>
      <c r="J9" s="16">
        <f>VLOOKUP(D9,產線配置圖!$A$3:$C$39,2,0)</f>
        <v>15</v>
      </c>
      <c r="K9" s="14">
        <f>VLOOKUP(D9,產線配置圖!$A$3:$C$39,3,0)</f>
        <v>1636</v>
      </c>
      <c r="L9" s="17">
        <f>K9/J9</f>
        <v>109.06666666666666</v>
      </c>
      <c r="M9" s="178">
        <v>15</v>
      </c>
      <c r="N9" s="14">
        <f>G9/W9*60</f>
        <v>1006.7647058823565</v>
      </c>
      <c r="O9" s="17">
        <f>N9/M9</f>
        <v>67.117647058823763</v>
      </c>
      <c r="P9" s="18">
        <f>M9-J9</f>
        <v>0</v>
      </c>
      <c r="Q9" s="19">
        <f>O9-L9</f>
        <v>-41.949019607842899</v>
      </c>
      <c r="R9" s="183">
        <f>O9/L9</f>
        <v>0.61538184956134256</v>
      </c>
      <c r="S9" s="421"/>
      <c r="T9" s="95">
        <v>0.60277777777777797</v>
      </c>
      <c r="U9" s="95">
        <v>0.65</v>
      </c>
      <c r="V9" s="175">
        <f>(T9-U8)*24*60</f>
        <v>26.000000000000547</v>
      </c>
      <c r="W9" s="180">
        <f>(U9-T9)*24*60</f>
        <v>67.999999999999758</v>
      </c>
      <c r="X9" s="22">
        <v>0.48958333333333298</v>
      </c>
      <c r="Y9" s="260">
        <v>0.53125</v>
      </c>
      <c r="Z9" s="416" t="s">
        <v>36</v>
      </c>
      <c r="AA9" s="416"/>
      <c r="AB9" s="18">
        <f>N9-K9</f>
        <v>-629.23529411764355</v>
      </c>
      <c r="AC9" s="183">
        <f>N9/K9</f>
        <v>0.61538184956134256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7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7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14.2</v>
      </c>
      <c r="K15" s="117">
        <f t="shared" si="8"/>
        <v>1908.2</v>
      </c>
      <c r="L15" s="114">
        <f t="shared" si="8"/>
        <v>136.91288084464554</v>
      </c>
      <c r="M15" s="117">
        <f t="shared" si="8"/>
        <v>14.2</v>
      </c>
      <c r="N15" s="117">
        <f t="shared" si="8"/>
        <v>1634.4632281258623</v>
      </c>
      <c r="O15" s="114">
        <f t="shared" si="8"/>
        <v>117.58745244712989</v>
      </c>
      <c r="P15" s="118">
        <f t="shared" ref="P15:P18" si="9">M15-J15</f>
        <v>0</v>
      </c>
      <c r="Q15" s="119">
        <f t="shared" ref="Q15:Q18" si="10">O15-L15</f>
        <v>-19.325428397515651</v>
      </c>
      <c r="R15" s="120">
        <f t="shared" ref="R15:R18" si="11">O15/L15</f>
        <v>0.85884871986994316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2">N15-K15</f>
        <v>-273.73677187413773</v>
      </c>
      <c r="AC15" s="185">
        <f t="shared" ref="AC15:AC20" si="13">N15/K15</f>
        <v>0.85654712720147907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1438</v>
      </c>
      <c r="H16" s="124">
        <f t="shared" ref="H16:H25" si="14">F16*G16</f>
        <v>82267.98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8" si="15">K16/J16</f>
        <v>161.92307692307693</v>
      </c>
      <c r="M16" s="264">
        <v>13</v>
      </c>
      <c r="N16" s="126">
        <f t="shared" ref="N16:N18" si="16">G16/W16*60</f>
        <v>1760.8163265306127</v>
      </c>
      <c r="O16" s="127">
        <f>N16/M16</f>
        <v>135.44740973312406</v>
      </c>
      <c r="P16" s="128">
        <f>M16-J16</f>
        <v>0</v>
      </c>
      <c r="Q16" s="129">
        <f t="shared" si="10"/>
        <v>-26.475667189952873</v>
      </c>
      <c r="R16" s="187">
        <f>O16/L16</f>
        <v>0.83649231664162127</v>
      </c>
      <c r="S16" s="431">
        <f>R26</f>
        <v>0.8432583673338776</v>
      </c>
      <c r="T16" s="265">
        <v>0.2902777777777778</v>
      </c>
      <c r="U16" s="265">
        <v>0.32430555555555557</v>
      </c>
      <c r="V16" s="125"/>
      <c r="W16" s="130">
        <f t="shared" ref="W16:W78" si="17">(U16-T16)*24*60</f>
        <v>48.999999999999986</v>
      </c>
      <c r="X16" s="127"/>
      <c r="Y16" s="127"/>
      <c r="Z16" s="425"/>
      <c r="AA16" s="425"/>
      <c r="AB16" s="110">
        <f t="shared" si="12"/>
        <v>-344.18367346938726</v>
      </c>
      <c r="AC16" s="182">
        <f t="shared" si="13"/>
        <v>0.83649231664162127</v>
      </c>
      <c r="AD16" s="411">
        <f>AC26</f>
        <v>0.84170174641639606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2664</v>
      </c>
      <c r="H17" s="15">
        <f t="shared" si="14"/>
        <v>134984.88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5"/>
        <v>153.84615384615384</v>
      </c>
      <c r="M17" s="37">
        <v>13</v>
      </c>
      <c r="N17" s="36">
        <f t="shared" si="16"/>
        <v>1795.9550561797753</v>
      </c>
      <c r="O17" s="38">
        <f t="shared" ref="O17:O18" si="18">N17/M17</f>
        <v>138.15038893690578</v>
      </c>
      <c r="P17" s="39">
        <f t="shared" si="9"/>
        <v>0</v>
      </c>
      <c r="Q17" s="40">
        <f t="shared" si="10"/>
        <v>-15.695764909248055</v>
      </c>
      <c r="R17" s="188">
        <f t="shared" si="11"/>
        <v>0.89797752808988762</v>
      </c>
      <c r="S17" s="432"/>
      <c r="T17" s="41">
        <v>0.33263888888888887</v>
      </c>
      <c r="U17" s="41">
        <v>0.39444444444444443</v>
      </c>
      <c r="V17" s="175">
        <f>(T17-U16)*24*60</f>
        <v>11.999999999999957</v>
      </c>
      <c r="W17" s="43">
        <f t="shared" si="17"/>
        <v>89</v>
      </c>
      <c r="X17" s="44"/>
      <c r="Y17" s="44"/>
      <c r="Z17" s="391"/>
      <c r="AA17" s="391"/>
      <c r="AB17" s="18">
        <f t="shared" si="12"/>
        <v>-204.04494382022472</v>
      </c>
      <c r="AC17" s="183">
        <f t="shared" si="13"/>
        <v>0.89797752808988762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3052</v>
      </c>
      <c r="H18" s="15">
        <f t="shared" si="14"/>
        <v>153790.28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5"/>
        <v>166.66666666666666</v>
      </c>
      <c r="M18" s="37">
        <v>12</v>
      </c>
      <c r="N18" s="36">
        <f t="shared" si="16"/>
        <v>1695.5555555555554</v>
      </c>
      <c r="O18" s="38">
        <f t="shared" si="18"/>
        <v>141.29629629629628</v>
      </c>
      <c r="P18" s="39">
        <f t="shared" si="9"/>
        <v>0</v>
      </c>
      <c r="Q18" s="40">
        <f t="shared" si="10"/>
        <v>-25.370370370370381</v>
      </c>
      <c r="R18" s="188">
        <f t="shared" si="11"/>
        <v>0.84777777777777774</v>
      </c>
      <c r="S18" s="432"/>
      <c r="T18" s="41">
        <v>0.40277777777777779</v>
      </c>
      <c r="U18" s="41">
        <v>0.4777777777777778</v>
      </c>
      <c r="V18" s="175">
        <f>(T18-U17)*24*60</f>
        <v>12.000000000000037</v>
      </c>
      <c r="W18" s="43">
        <f t="shared" si="17"/>
        <v>108.00000000000001</v>
      </c>
      <c r="X18" s="22"/>
      <c r="Y18" s="22"/>
      <c r="Z18" s="415"/>
      <c r="AA18" s="415"/>
      <c r="AB18" s="18">
        <f t="shared" si="12"/>
        <v>-304.44444444444457</v>
      </c>
      <c r="AC18" s="183">
        <f t="shared" si="13"/>
        <v>0.84777777777777774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2395</v>
      </c>
      <c r="H19" s="15">
        <f t="shared" ref="H19:H20" si="19">F19*G19</f>
        <v>120684.05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ref="L19:L20" si="20">K19/J19</f>
        <v>166.66666666666666</v>
      </c>
      <c r="M19" s="37">
        <v>12</v>
      </c>
      <c r="N19" s="36">
        <f t="shared" ref="N19:N20" si="21">G19/W19*60</f>
        <v>1866.2337662337652</v>
      </c>
      <c r="O19" s="38">
        <f t="shared" ref="O19:O20" si="22">N19/M19</f>
        <v>155.51948051948042</v>
      </c>
      <c r="P19" s="39">
        <f t="shared" ref="P19:P20" si="23">M19-J19</f>
        <v>0</v>
      </c>
      <c r="Q19" s="40">
        <f t="shared" ref="Q19:Q20" si="24">O19-L19</f>
        <v>-11.147186147186233</v>
      </c>
      <c r="R19" s="188">
        <f t="shared" ref="R19:R20" si="25">O19/L19</f>
        <v>0.93311688311688257</v>
      </c>
      <c r="S19" s="432"/>
      <c r="T19" s="41">
        <v>0.54166666666666663</v>
      </c>
      <c r="U19" s="41">
        <v>0.59513888888888888</v>
      </c>
      <c r="V19" s="175">
        <f t="shared" ref="V19:V20" si="26">(T19-U18)*24*60</f>
        <v>91.999999999999915</v>
      </c>
      <c r="W19" s="43">
        <f t="shared" si="17"/>
        <v>77.000000000000043</v>
      </c>
      <c r="X19" s="22">
        <v>0.48958333333333298</v>
      </c>
      <c r="Y19" s="260">
        <v>0.53125</v>
      </c>
      <c r="Z19" s="416"/>
      <c r="AA19" s="416"/>
      <c r="AB19" s="18">
        <f t="shared" si="12"/>
        <v>-133.76623376623479</v>
      </c>
      <c r="AC19" s="183">
        <f t="shared" si="13"/>
        <v>0.93311688311688257</v>
      </c>
      <c r="AD19" s="413"/>
    </row>
    <row r="20" spans="1:30" ht="15" customHeight="1">
      <c r="A20" s="440"/>
      <c r="B20" s="56" t="str">
        <f>VLOOKUP(D20,廠價表!$C$1:$E$40,2,0)</f>
        <v>義大利麵</v>
      </c>
      <c r="C20" s="10"/>
      <c r="D20" s="11" t="s">
        <v>40</v>
      </c>
      <c r="E20" s="86"/>
      <c r="F20" s="56">
        <f>VLOOKUP(D20,廠價表!$C$1:$E$40,3,0)</f>
        <v>50.67</v>
      </c>
      <c r="G20" s="96">
        <v>1826</v>
      </c>
      <c r="H20" s="15">
        <f t="shared" si="19"/>
        <v>92523.42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 t="shared" si="20"/>
        <v>153.84615384615384</v>
      </c>
      <c r="M20" s="37">
        <v>13</v>
      </c>
      <c r="N20" s="36">
        <f t="shared" si="21"/>
        <v>1386.8354430379741</v>
      </c>
      <c r="O20" s="38">
        <f t="shared" si="22"/>
        <v>106.67964946445954</v>
      </c>
      <c r="P20" s="39">
        <f t="shared" si="23"/>
        <v>0</v>
      </c>
      <c r="Q20" s="40">
        <f t="shared" si="24"/>
        <v>-47.166504381694295</v>
      </c>
      <c r="R20" s="188">
        <f t="shared" si="25"/>
        <v>0.69341772151898706</v>
      </c>
      <c r="S20" s="432"/>
      <c r="T20" s="41">
        <v>0.60416666666666663</v>
      </c>
      <c r="U20" s="41">
        <v>0.65902777777777777</v>
      </c>
      <c r="V20" s="175">
        <f t="shared" si="26"/>
        <v>12.999999999999954</v>
      </c>
      <c r="W20" s="43">
        <f t="shared" si="17"/>
        <v>79.000000000000043</v>
      </c>
      <c r="X20" s="44"/>
      <c r="Y20" s="44"/>
      <c r="Z20" s="418" t="s">
        <v>42</v>
      </c>
      <c r="AA20" s="405"/>
      <c r="AB20" s="18">
        <f t="shared" si="12"/>
        <v>-613.16455696202593</v>
      </c>
      <c r="AC20" s="183">
        <f t="shared" si="13"/>
        <v>0.69341772151898706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7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4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7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4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7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4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7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7">AVERAGE(J16:J25)</f>
        <v>12.6</v>
      </c>
      <c r="K26" s="133">
        <f t="shared" si="27"/>
        <v>2021</v>
      </c>
      <c r="L26" s="136">
        <f t="shared" si="27"/>
        <v>160.58974358974359</v>
      </c>
      <c r="M26" s="133">
        <f t="shared" si="27"/>
        <v>12.6</v>
      </c>
      <c r="N26" s="133">
        <f t="shared" si="27"/>
        <v>1701.0792295075364</v>
      </c>
      <c r="O26" s="136">
        <f t="shared" si="27"/>
        <v>135.41864499005322</v>
      </c>
      <c r="P26" s="137">
        <f t="shared" ref="P26:P30" si="28">M26-J26</f>
        <v>0</v>
      </c>
      <c r="Q26" s="138">
        <f t="shared" ref="Q26:Q30" si="29">O26-L26</f>
        <v>-25.171098599690367</v>
      </c>
      <c r="R26" s="139">
        <f t="shared" ref="R26:R30" si="30">O26/L26</f>
        <v>0.8432583673338776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-319.92077049246359</v>
      </c>
      <c r="AC26" s="185">
        <f>N26/K26</f>
        <v>0.84170174641639606</v>
      </c>
      <c r="AD26" s="414"/>
    </row>
    <row r="27" spans="1:30" ht="15" customHeight="1">
      <c r="A27" s="428" t="s">
        <v>44</v>
      </c>
      <c r="B27" s="227" t="s">
        <v>45</v>
      </c>
      <c r="C27" s="101"/>
      <c r="D27" s="102" t="s">
        <v>46</v>
      </c>
      <c r="E27" s="103"/>
      <c r="F27" s="197">
        <f>VLOOKUP(D27,廠價表!$C$1:$E$40,3,0)</f>
        <v>49.91</v>
      </c>
      <c r="G27" s="266">
        <v>1716</v>
      </c>
      <c r="H27" s="124">
        <f t="shared" ref="H27:H41" si="31">F27*G27</f>
        <v>85645.56</v>
      </c>
      <c r="I27" s="125"/>
      <c r="J27" s="16">
        <f>VLOOKUP(D27,產線配置圖!$A$3:$C$39,2,0)</f>
        <v>17</v>
      </c>
      <c r="K27" s="14">
        <f>VLOOKUP(D27,產線配置圖!$A$3:$C$39,3,0)</f>
        <v>1565</v>
      </c>
      <c r="L27" s="108">
        <f>K27/J27</f>
        <v>92.058823529411768</v>
      </c>
      <c r="M27" s="143">
        <v>15</v>
      </c>
      <c r="N27" s="126">
        <f>G27/W27*60</f>
        <v>1170.000000000002</v>
      </c>
      <c r="O27" s="127">
        <f>N27/M27</f>
        <v>78.000000000000142</v>
      </c>
      <c r="P27" s="128">
        <f t="shared" si="28"/>
        <v>-2</v>
      </c>
      <c r="Q27" s="129">
        <f t="shared" si="29"/>
        <v>-14.058823529411626</v>
      </c>
      <c r="R27" s="187">
        <f>O27/L27</f>
        <v>0.84728434504792483</v>
      </c>
      <c r="S27" s="431">
        <f>R37</f>
        <v>0.91804857465963241</v>
      </c>
      <c r="T27" s="94">
        <v>0.29166666666666702</v>
      </c>
      <c r="U27" s="94">
        <v>0.35277777777777802</v>
      </c>
      <c r="V27" s="125"/>
      <c r="W27" s="130">
        <f t="shared" si="17"/>
        <v>87.999999999999844</v>
      </c>
      <c r="X27" s="125"/>
      <c r="Y27" s="125" t="s">
        <v>47</v>
      </c>
      <c r="Z27" s="434"/>
      <c r="AA27" s="425"/>
      <c r="AB27" s="223">
        <f>N27-K27</f>
        <v>-394.99999999999795</v>
      </c>
      <c r="AC27" s="288">
        <f>N27/K27</f>
        <v>0.74760383386581597</v>
      </c>
      <c r="AD27" s="411">
        <f>AC37</f>
        <v>0.89553975436328448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11" t="s">
        <v>48</v>
      </c>
      <c r="E28" s="86"/>
      <c r="F28" s="56">
        <f>VLOOKUP(D28,廠價表!$C$1:$E$40,3,0)</f>
        <v>55.13</v>
      </c>
      <c r="G28" s="53">
        <v>2083</v>
      </c>
      <c r="H28" s="50">
        <f t="shared" si="31"/>
        <v>114835.79000000001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16</v>
      </c>
      <c r="N28" s="36">
        <f>G28/W28*60</f>
        <v>1201.7307692307727</v>
      </c>
      <c r="O28" s="38">
        <f>N28/M28</f>
        <v>75.108173076923293</v>
      </c>
      <c r="P28" s="39">
        <f t="shared" si="28"/>
        <v>-2</v>
      </c>
      <c r="Q28" s="40">
        <f t="shared" si="29"/>
        <v>-1.8362713675211495</v>
      </c>
      <c r="R28" s="188">
        <f t="shared" si="30"/>
        <v>0.976135101360736</v>
      </c>
      <c r="S28" s="432"/>
      <c r="T28" s="267">
        <v>0.359722222222222</v>
      </c>
      <c r="U28" s="267">
        <v>0.43194444444444402</v>
      </c>
      <c r="V28" s="42">
        <f>(T28-U27)*24*60</f>
        <v>9.999999999999325</v>
      </c>
      <c r="W28" s="43">
        <f t="shared" si="17"/>
        <v>103.99999999999972</v>
      </c>
      <c r="X28" s="54"/>
      <c r="Y28" s="54"/>
      <c r="Z28" s="418"/>
      <c r="AA28" s="417"/>
      <c r="AB28" s="39">
        <f>N28-K28</f>
        <v>-183.26923076922731</v>
      </c>
      <c r="AC28" s="188">
        <f>N28/K28</f>
        <v>0.86767564565398747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10"/>
      <c r="D29" s="11" t="s">
        <v>49</v>
      </c>
      <c r="E29" s="86"/>
      <c r="F29" s="56">
        <f>VLOOKUP(D29,廠價表!$C$1:$E$40,3,0)</f>
        <v>47.71</v>
      </c>
      <c r="G29" s="53">
        <v>1583</v>
      </c>
      <c r="H29" s="50">
        <f t="shared" si="31"/>
        <v>75524.930000000008</v>
      </c>
      <c r="I29" s="42"/>
      <c r="J29" s="16">
        <f>VLOOKUP(D29,產線配置圖!$A$3:$C$39,2,0)</f>
        <v>15</v>
      </c>
      <c r="K29" s="14">
        <f>VLOOKUP(D29,產線配置圖!$A$3:$C$39,3,0)</f>
        <v>1500</v>
      </c>
      <c r="L29" s="233">
        <f>K29/J29</f>
        <v>100</v>
      </c>
      <c r="M29" s="21">
        <v>17</v>
      </c>
      <c r="N29" s="36">
        <f>G29/W29*60</f>
        <v>1461.2307692307691</v>
      </c>
      <c r="O29" s="38">
        <f>N29/M29</f>
        <v>85.954751131221713</v>
      </c>
      <c r="P29" s="39">
        <f t="shared" si="28"/>
        <v>2</v>
      </c>
      <c r="Q29" s="40">
        <f t="shared" si="29"/>
        <v>-14.045248868778287</v>
      </c>
      <c r="R29" s="188">
        <f t="shared" si="30"/>
        <v>0.85954751131221707</v>
      </c>
      <c r="S29" s="432"/>
      <c r="T29" s="41">
        <v>0.4375</v>
      </c>
      <c r="U29" s="41">
        <v>0.4826388888888889</v>
      </c>
      <c r="V29" s="42">
        <f>(T29-U28)*24*60</f>
        <v>8.0000000000006111</v>
      </c>
      <c r="W29" s="43">
        <f t="shared" si="17"/>
        <v>65.000000000000014</v>
      </c>
      <c r="X29" s="22"/>
      <c r="Y29" s="22"/>
      <c r="Z29" s="418" t="s">
        <v>50</v>
      </c>
      <c r="AA29" s="417"/>
      <c r="AB29" s="289">
        <f>N29-K29</f>
        <v>-38.769230769230944</v>
      </c>
      <c r="AC29" s="188">
        <f>N29/K29</f>
        <v>0.97415384615384604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49</v>
      </c>
      <c r="E30" s="29"/>
      <c r="F30" s="56">
        <f>VLOOKUP(D30,廠價表!$C$1:$E$40,3,0)</f>
        <v>47.71</v>
      </c>
      <c r="G30" s="53">
        <v>2991</v>
      </c>
      <c r="H30" s="50">
        <f t="shared" si="31"/>
        <v>142700.61000000002</v>
      </c>
      <c r="I30" s="42"/>
      <c r="J30" s="16">
        <f>VLOOKUP(D30,產線配置圖!$A$3:$C$39,2,0)</f>
        <v>15</v>
      </c>
      <c r="K30" s="14">
        <f>VLOOKUP(D30,產線配置圖!$A$3:$C$39,3,0)</f>
        <v>1500</v>
      </c>
      <c r="L30" s="233">
        <f>K30/J30</f>
        <v>100</v>
      </c>
      <c r="M30" s="21">
        <v>15</v>
      </c>
      <c r="N30" s="36">
        <f>G30/W30*60</f>
        <v>1495.4999999999991</v>
      </c>
      <c r="O30" s="38">
        <f>N30/M30</f>
        <v>99.699999999999946</v>
      </c>
      <c r="P30" s="39">
        <f t="shared" si="28"/>
        <v>0</v>
      </c>
      <c r="Q30" s="40">
        <f t="shared" si="29"/>
        <v>-0.300000000000054</v>
      </c>
      <c r="R30" s="188">
        <f t="shared" si="30"/>
        <v>0.99699999999999944</v>
      </c>
      <c r="S30" s="432"/>
      <c r="T30" s="41">
        <v>0.54166666666666663</v>
      </c>
      <c r="U30" s="41">
        <v>0.625</v>
      </c>
      <c r="V30" s="42">
        <f>(T30-U29)*24*60</f>
        <v>84.999999999999943</v>
      </c>
      <c r="W30" s="43">
        <f t="shared" si="17"/>
        <v>120.00000000000006</v>
      </c>
      <c r="X30" s="54">
        <v>0.48958333333333298</v>
      </c>
      <c r="Y30" s="54">
        <v>0.53125</v>
      </c>
      <c r="Z30" s="426"/>
      <c r="AA30" s="446"/>
      <c r="AB30" s="289">
        <f>N30-K30</f>
        <v>-4.5000000000009095</v>
      </c>
      <c r="AC30" s="188">
        <f>N30/K30</f>
        <v>0.99699999999999944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7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7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31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7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31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7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31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7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31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7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32">AVERAGE(J27:J36)</f>
        <v>16.25</v>
      </c>
      <c r="K37" s="282">
        <f t="shared" si="32"/>
        <v>1487.5</v>
      </c>
      <c r="L37" s="283">
        <f t="shared" si="32"/>
        <v>92.250816993464056</v>
      </c>
      <c r="M37" s="282">
        <f t="shared" si="32"/>
        <v>15.75</v>
      </c>
      <c r="N37" s="282">
        <f t="shared" si="32"/>
        <v>1332.1153846153857</v>
      </c>
      <c r="O37" s="283">
        <f t="shared" si="32"/>
        <v>84.69073105203627</v>
      </c>
      <c r="P37" s="73">
        <f>M37-J37</f>
        <v>-0.5</v>
      </c>
      <c r="Q37" s="74">
        <f>N37-K37</f>
        <v>-155.38461538461434</v>
      </c>
      <c r="R37" s="284">
        <f t="shared" ref="R37:R41" si="33">O37/L37</f>
        <v>0.91804857465963241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0" si="34">N37-K37</f>
        <v>-155.38461538461434</v>
      </c>
      <c r="AC37" s="184">
        <f t="shared" ref="AC37:AC40" si="35">N37/K37</f>
        <v>0.89553975436328448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2487</v>
      </c>
      <c r="H38" s="124">
        <f t="shared" si="31"/>
        <v>142505.1</v>
      </c>
      <c r="I38" s="125"/>
      <c r="J38" s="271">
        <v>16</v>
      </c>
      <c r="K38" s="234">
        <v>1500</v>
      </c>
      <c r="L38" s="285">
        <f t="shared" ref="L38:L41" si="36">K38/J38</f>
        <v>93.75</v>
      </c>
      <c r="M38" s="286">
        <v>14</v>
      </c>
      <c r="N38" s="126">
        <f>G38/W38*60</f>
        <v>1233.223140495867</v>
      </c>
      <c r="O38" s="127">
        <f>N38/M38</f>
        <v>88.08736717827621</v>
      </c>
      <c r="P38" s="128">
        <f t="shared" ref="P38:P41" si="37">M38-J38</f>
        <v>-2</v>
      </c>
      <c r="Q38" s="129">
        <f t="shared" ref="Q38:Q41" si="38">O38-L38</f>
        <v>-5.6626328217237898</v>
      </c>
      <c r="R38" s="187">
        <f t="shared" si="33"/>
        <v>0.93959858323494627</v>
      </c>
      <c r="S38" s="460">
        <f>R48</f>
        <v>0.90778846928213042</v>
      </c>
      <c r="T38" s="149">
        <v>0.33263888888888887</v>
      </c>
      <c r="U38" s="149">
        <v>0.41666666666666669</v>
      </c>
      <c r="V38" s="146"/>
      <c r="W38" s="150">
        <f t="shared" si="17"/>
        <v>121.00000000000006</v>
      </c>
      <c r="X38" s="148"/>
      <c r="Y38" s="151"/>
      <c r="Z38" s="462"/>
      <c r="AA38" s="463"/>
      <c r="AB38" s="287">
        <f t="shared" si="34"/>
        <v>-266.77685950413297</v>
      </c>
      <c r="AC38" s="152">
        <f t="shared" si="35"/>
        <v>0.82214876033057804</v>
      </c>
      <c r="AD38" s="447">
        <f>AC48</f>
        <v>0.78283727273744874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700</v>
      </c>
      <c r="H39" s="50">
        <f t="shared" si="31"/>
        <v>39501</v>
      </c>
      <c r="I39" s="64"/>
      <c r="J39" s="37">
        <v>17</v>
      </c>
      <c r="K39" s="36">
        <f>VLOOKUP(D39,產線配置圖!$A$3:$C$39,3,0)</f>
        <v>1406</v>
      </c>
      <c r="L39" s="38">
        <f t="shared" si="36"/>
        <v>82.705882352941174</v>
      </c>
      <c r="M39" s="65">
        <v>13</v>
      </c>
      <c r="N39" s="66">
        <f>G39/W39*60</f>
        <v>1049.9999999999995</v>
      </c>
      <c r="O39" s="67">
        <f t="shared" ref="O39:O41" si="39">N39/M39</f>
        <v>80.769230769230731</v>
      </c>
      <c r="P39" s="39">
        <f t="shared" si="37"/>
        <v>-4</v>
      </c>
      <c r="Q39" s="40">
        <f t="shared" si="38"/>
        <v>-1.936651583710443</v>
      </c>
      <c r="R39" s="188">
        <f t="shared" si="33"/>
        <v>0.976583871320713</v>
      </c>
      <c r="S39" s="461"/>
      <c r="T39" s="59">
        <v>0.42708333333333331</v>
      </c>
      <c r="U39" s="59">
        <v>0.4548611111111111</v>
      </c>
      <c r="V39" s="42">
        <f>(T39-U38)*24*60</f>
        <v>14.999999999999947</v>
      </c>
      <c r="W39" s="69">
        <f t="shared" si="17"/>
        <v>40.000000000000014</v>
      </c>
      <c r="X39" s="22"/>
      <c r="Y39" s="22"/>
      <c r="Z39" s="450"/>
      <c r="AA39" s="451"/>
      <c r="AB39" s="268">
        <f t="shared" si="34"/>
        <v>-356.00000000000045</v>
      </c>
      <c r="AC39" s="61">
        <f t="shared" si="35"/>
        <v>0.74679943100995705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35</v>
      </c>
      <c r="E40" s="240"/>
      <c r="F40" s="56">
        <f>VLOOKUP(D40,廠價表!$C$1:$E$40,3,0)</f>
        <v>56.43</v>
      </c>
      <c r="G40" s="273">
        <v>898</v>
      </c>
      <c r="H40" s="50">
        <f t="shared" si="31"/>
        <v>50674.14</v>
      </c>
      <c r="I40" s="64"/>
      <c r="J40" s="37">
        <f>VLOOKUP(D40,產線配置圖!$A$3:$C$39,2,0)</f>
        <v>15</v>
      </c>
      <c r="K40" s="36">
        <f>VLOOKUP(D40,產線配置圖!$A$3:$C$39,3,0)</f>
        <v>1636</v>
      </c>
      <c r="L40" s="38">
        <f t="shared" si="36"/>
        <v>109.06666666666666</v>
      </c>
      <c r="M40" s="65">
        <v>13</v>
      </c>
      <c r="N40" s="66">
        <f>G40/W40*60</f>
        <v>1077.6000000000004</v>
      </c>
      <c r="O40" s="67">
        <f t="shared" si="39"/>
        <v>82.892307692307725</v>
      </c>
      <c r="P40" s="39">
        <f t="shared" si="37"/>
        <v>-2</v>
      </c>
      <c r="Q40" s="40">
        <f t="shared" si="38"/>
        <v>-26.174358974358938</v>
      </c>
      <c r="R40" s="188">
        <f t="shared" si="33"/>
        <v>0.76001504607861603</v>
      </c>
      <c r="S40" s="420"/>
      <c r="T40" s="59">
        <v>0.47569444444444442</v>
      </c>
      <c r="U40" s="59">
        <v>0.51041666666666663</v>
      </c>
      <c r="V40" s="42">
        <f>(T40-U39)*24*60</f>
        <v>29.999999999999972</v>
      </c>
      <c r="W40" s="69">
        <f t="shared" si="17"/>
        <v>49.999999999999986</v>
      </c>
      <c r="X40" s="70"/>
      <c r="Y40" s="256"/>
      <c r="Z40" s="450" t="s">
        <v>55</v>
      </c>
      <c r="AA40" s="451"/>
      <c r="AB40" s="268">
        <f t="shared" si="34"/>
        <v>-558.39999999999964</v>
      </c>
      <c r="AC40" s="61">
        <f t="shared" si="35"/>
        <v>0.65867970660146724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1533</v>
      </c>
      <c r="H41" s="50">
        <f t="shared" si="31"/>
        <v>86507.19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si="36"/>
        <v>93.733333333333334</v>
      </c>
      <c r="M41" s="65">
        <v>14</v>
      </c>
      <c r="N41" s="66">
        <f>G41/W41*60</f>
        <v>1295.4929577464777</v>
      </c>
      <c r="O41" s="67">
        <f t="shared" si="39"/>
        <v>92.535211267605547</v>
      </c>
      <c r="P41" s="39">
        <f t="shared" si="37"/>
        <v>-1</v>
      </c>
      <c r="Q41" s="40">
        <f t="shared" si="38"/>
        <v>-1.1981220657277873</v>
      </c>
      <c r="R41" s="188">
        <f t="shared" si="33"/>
        <v>0.98721775890048591</v>
      </c>
      <c r="S41" s="420"/>
      <c r="T41" s="59">
        <v>0.56944444444444442</v>
      </c>
      <c r="U41" s="59">
        <v>0.61875000000000002</v>
      </c>
      <c r="V41" s="42">
        <f>(T41-U40)*24*60</f>
        <v>85.000000000000014</v>
      </c>
      <c r="W41" s="69">
        <f t="shared" si="17"/>
        <v>71.000000000000071</v>
      </c>
      <c r="X41" s="70">
        <v>0.52777777777777801</v>
      </c>
      <c r="Y41" s="256">
        <v>0.56944444444444398</v>
      </c>
      <c r="Z41" s="450"/>
      <c r="AA41" s="451"/>
      <c r="AB41" s="268">
        <f>N41-K41</f>
        <v>-110.50704225352229</v>
      </c>
      <c r="AC41" s="61">
        <f>N41/K41</f>
        <v>0.92140324164045362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17"/>
        <v>0</v>
      </c>
      <c r="X42" s="70"/>
      <c r="Y42" s="60"/>
      <c r="Z42" s="452"/>
      <c r="AA42" s="453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>
        <f t="shared" ref="H43:H47" si="40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si="40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41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40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41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40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41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40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41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42">AVERAGE(J38:J47)</f>
        <v>15.75</v>
      </c>
      <c r="K48" s="133">
        <f t="shared" si="42"/>
        <v>1487</v>
      </c>
      <c r="L48" s="136">
        <f t="shared" si="42"/>
        <v>94.813970588235293</v>
      </c>
      <c r="M48" s="133">
        <f t="shared" si="42"/>
        <v>13.5</v>
      </c>
      <c r="N48" s="133">
        <f t="shared" si="42"/>
        <v>1164.0790245605863</v>
      </c>
      <c r="O48" s="136">
        <f t="shared" si="42"/>
        <v>86.071029226855046</v>
      </c>
      <c r="P48" s="155">
        <f>M48-J48</f>
        <v>-2.25</v>
      </c>
      <c r="Q48" s="156">
        <f>N48-K48</f>
        <v>-322.92097543941372</v>
      </c>
      <c r="R48" s="157">
        <f>O48/L48</f>
        <v>0.90778846928213042</v>
      </c>
      <c r="S48" s="423"/>
      <c r="T48" s="158"/>
      <c r="U48" s="158"/>
      <c r="V48" s="194"/>
      <c r="W48" s="159">
        <f t="shared" si="41"/>
        <v>0</v>
      </c>
      <c r="X48" s="160"/>
      <c r="Y48" s="160"/>
      <c r="Z48" s="424"/>
      <c r="AA48" s="424"/>
      <c r="AB48" s="161">
        <f>N48-K48</f>
        <v>-322.92097543941372</v>
      </c>
      <c r="AC48" s="189">
        <f>N48/K48</f>
        <v>0.78283727273744874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2336</v>
      </c>
      <c r="H49" s="124">
        <f t="shared" ref="H49:H57" si="43">F49*G49</f>
        <v>132848.32000000001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18</v>
      </c>
      <c r="N49" s="126">
        <f>G49/W49*60</f>
        <v>1430.2040816326535</v>
      </c>
      <c r="O49" s="127">
        <f>N49/M49</f>
        <v>79.455782312925194</v>
      </c>
      <c r="P49" s="162">
        <f>M49-J49</f>
        <v>-1</v>
      </c>
      <c r="Q49" s="111">
        <f>O49-L49</f>
        <v>-2.9126387397063809</v>
      </c>
      <c r="R49" s="182">
        <f>O49/L49</f>
        <v>0.96463889070005038</v>
      </c>
      <c r="S49" s="419">
        <f>R58</f>
        <v>0.96812162906230159</v>
      </c>
      <c r="T49" s="149">
        <v>0.29166666666666669</v>
      </c>
      <c r="U49" s="149">
        <v>0.35972222222222222</v>
      </c>
      <c r="V49" s="186"/>
      <c r="W49" s="150">
        <f t="shared" si="17"/>
        <v>97.999999999999972</v>
      </c>
      <c r="X49" s="186"/>
      <c r="Y49" s="186"/>
      <c r="Z49" s="425"/>
      <c r="AA49" s="425"/>
      <c r="AB49" s="110">
        <f>N49-K49</f>
        <v>-134.79591836734653</v>
      </c>
      <c r="AC49" s="182">
        <f>N49/K49</f>
        <v>0.91386842276846869</v>
      </c>
      <c r="AD49" s="411">
        <f>AC58</f>
        <v>0.95540633793850049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4106</v>
      </c>
      <c r="H50" s="76">
        <f t="shared" si="43"/>
        <v>205176.82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1599.7402597402597</v>
      </c>
      <c r="O50" s="78">
        <f>N50/M50</f>
        <v>88.874458874458867</v>
      </c>
      <c r="P50" s="18">
        <f>M50-J50</f>
        <v>0</v>
      </c>
      <c r="Q50" s="19">
        <f>O50-L50</f>
        <v>-1.44300144300189E-2</v>
      </c>
      <c r="R50" s="183">
        <f>O50/L50</f>
        <v>0.99983766233766225</v>
      </c>
      <c r="S50" s="420"/>
      <c r="T50" s="79">
        <v>0.3659722222222222</v>
      </c>
      <c r="U50" s="79">
        <v>0.47291666666666665</v>
      </c>
      <c r="V50" s="175">
        <f t="shared" ref="V50:V52" si="44">(T50-U49)*24*60</f>
        <v>8.999999999999968</v>
      </c>
      <c r="W50" s="80">
        <f t="shared" si="17"/>
        <v>154</v>
      </c>
      <c r="X50" s="22"/>
      <c r="Y50" s="22"/>
      <c r="Z50" s="417"/>
      <c r="AA50" s="418"/>
      <c r="AB50" s="18">
        <f>N50-K50</f>
        <v>-0.25974025974028336</v>
      </c>
      <c r="AC50" s="183">
        <f>N50/K50</f>
        <v>0.99983766233766236</v>
      </c>
      <c r="AD50" s="412"/>
    </row>
    <row r="51" spans="1:30" ht="15" customHeight="1">
      <c r="A51" s="455"/>
      <c r="B51" s="56" t="str">
        <f>VLOOKUP(D51,廠價表!$C$1:$E$40,2,0)</f>
        <v>義大利麵</v>
      </c>
      <c r="C51" s="10"/>
      <c r="D51" s="11" t="s">
        <v>59</v>
      </c>
      <c r="E51" s="86"/>
      <c r="F51" s="56">
        <f>VLOOKUP(D51,廠價表!$C$1:$E$40,3,0)</f>
        <v>49.97</v>
      </c>
      <c r="G51" s="66">
        <v>1639</v>
      </c>
      <c r="H51" s="76">
        <f t="shared" si="43"/>
        <v>81900.83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>K51/J51</f>
        <v>88.888888888888886</v>
      </c>
      <c r="M51" s="172">
        <v>18</v>
      </c>
      <c r="N51" s="77">
        <f>G51/W51*60</f>
        <v>1490.0000000000161</v>
      </c>
      <c r="O51" s="78">
        <f>N51/M51</f>
        <v>82.777777777778681</v>
      </c>
      <c r="P51" s="18">
        <f>M51-J51</f>
        <v>0</v>
      </c>
      <c r="Q51" s="19">
        <f>O51-L51</f>
        <v>-6.1111111111102048</v>
      </c>
      <c r="R51" s="183">
        <f>O51/L51</f>
        <v>0.93125000000001024</v>
      </c>
      <c r="S51" s="420"/>
      <c r="T51" s="79">
        <v>0.56111111111111112</v>
      </c>
      <c r="U51" s="44">
        <v>0.60694444444444395</v>
      </c>
      <c r="V51" s="175">
        <f t="shared" si="44"/>
        <v>127.00000000000003</v>
      </c>
      <c r="W51" s="80">
        <f t="shared" si="17"/>
        <v>65.999999999999289</v>
      </c>
      <c r="X51" s="22"/>
      <c r="Y51" s="22"/>
      <c r="Z51" s="405"/>
      <c r="AA51" s="405"/>
      <c r="AB51" s="18">
        <f>N51-K51</f>
        <v>-109.99999999998386</v>
      </c>
      <c r="AC51" s="183">
        <f>N51/K51</f>
        <v>0.93125000000001013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1375</v>
      </c>
      <c r="H52" s="76">
        <f t="shared" si="43"/>
        <v>68626.25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>K52/J52</f>
        <v>92.058823529411768</v>
      </c>
      <c r="M52" s="172">
        <v>17</v>
      </c>
      <c r="N52" s="77">
        <f>G52/W52*60</f>
        <v>1527.7777777777785</v>
      </c>
      <c r="O52" s="78">
        <f>N52/M52</f>
        <v>89.869281045751677</v>
      </c>
      <c r="P52" s="18">
        <f>M52-J52</f>
        <v>0</v>
      </c>
      <c r="Q52" s="19">
        <f>O52-L52</f>
        <v>-2.189542483660091</v>
      </c>
      <c r="R52" s="183">
        <f>O52/L52</f>
        <v>0.97621583244586485</v>
      </c>
      <c r="S52" s="420"/>
      <c r="T52" s="79">
        <v>0.61458333333333337</v>
      </c>
      <c r="U52" s="79">
        <v>0.65208333333333335</v>
      </c>
      <c r="V52" s="175">
        <f t="shared" si="44"/>
        <v>11.00000000000076</v>
      </c>
      <c r="W52" s="80">
        <f t="shared" si="17"/>
        <v>53.999999999999972</v>
      </c>
      <c r="X52" s="22">
        <v>0.48958333333333298</v>
      </c>
      <c r="Y52" s="22">
        <v>0.53125</v>
      </c>
      <c r="Z52" s="405"/>
      <c r="AA52" s="405"/>
      <c r="AB52" s="18">
        <f>N52-K52</f>
        <v>-37.22222222222149</v>
      </c>
      <c r="AC52" s="183">
        <f>N52/K52</f>
        <v>0.97621583244586485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79"/>
      <c r="U53" s="79"/>
      <c r="V53" s="175"/>
      <c r="W53" s="80">
        <f t="shared" si="17"/>
        <v>0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43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7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3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7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3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7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3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7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5">AVERAGE(J49:J57)</f>
        <v>18</v>
      </c>
      <c r="K58" s="117">
        <f t="shared" si="45"/>
        <v>1582.5</v>
      </c>
      <c r="L58" s="114">
        <f t="shared" si="45"/>
        <v>88.051255589955289</v>
      </c>
      <c r="M58" s="117">
        <f t="shared" si="45"/>
        <v>17.75</v>
      </c>
      <c r="N58" s="117">
        <f t="shared" si="45"/>
        <v>1511.930529787677</v>
      </c>
      <c r="O58" s="114">
        <f t="shared" si="45"/>
        <v>85.244325002728601</v>
      </c>
      <c r="P58" s="118">
        <f>M58-J58</f>
        <v>-0.25</v>
      </c>
      <c r="Q58" s="119">
        <f>N58-K58</f>
        <v>-70.56947021232304</v>
      </c>
      <c r="R58" s="120">
        <f t="shared" ref="R58:R59" si="46">O58/L58</f>
        <v>0.96812162906230159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47">N58-K58</f>
        <v>-70.56947021232304</v>
      </c>
      <c r="AC58" s="185">
        <f t="shared" ref="AC58:AC63" si="48">N58/K58</f>
        <v>0.95540633793850049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4273</v>
      </c>
      <c r="H59" s="105">
        <f t="shared" ref="H59:H68" si="49">F59*G59</f>
        <v>115328.26999999999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50">G59/W59*60</f>
        <v>1526.0714285714289</v>
      </c>
      <c r="O59" s="108">
        <f t="shared" ref="O59:O61" si="51">N59/M59</f>
        <v>117.39010989010991</v>
      </c>
      <c r="P59" s="110">
        <f t="shared" ref="P59:P61" si="52">M59-J59</f>
        <v>0</v>
      </c>
      <c r="Q59" s="111">
        <f t="shared" ref="Q59:Q61" si="53">O59-L59</f>
        <v>-2.994505494505475</v>
      </c>
      <c r="R59" s="182">
        <f t="shared" si="46"/>
        <v>0.97512551346417176</v>
      </c>
      <c r="S59" s="419">
        <f>R69</f>
        <v>0.93042459795419896</v>
      </c>
      <c r="T59" s="167">
        <v>0.29166666666666669</v>
      </c>
      <c r="U59" s="167">
        <v>0.40833333333333333</v>
      </c>
      <c r="V59" s="186"/>
      <c r="W59" s="106">
        <f t="shared" si="17"/>
        <v>167.99999999999997</v>
      </c>
      <c r="X59" s="186"/>
      <c r="Y59" s="186"/>
      <c r="Z59" s="469"/>
      <c r="AA59" s="434"/>
      <c r="AB59" s="223">
        <f t="shared" si="47"/>
        <v>-38.928571428571104</v>
      </c>
      <c r="AC59" s="224">
        <f t="shared" si="48"/>
        <v>0.97512551346417187</v>
      </c>
      <c r="AD59" s="411">
        <f>AC69</f>
        <v>0.9312842309447753</v>
      </c>
    </row>
    <row r="60" spans="1:30" ht="15" customHeight="1">
      <c r="A60" s="471"/>
      <c r="B60" s="56" t="str">
        <f>VLOOKUP(D60,廠價表!$C$1:$E$40,2,0)</f>
        <v>小吃、微波</v>
      </c>
      <c r="C60" s="10"/>
      <c r="D60" s="239" t="s">
        <v>63</v>
      </c>
      <c r="E60" s="86"/>
      <c r="F60" s="56">
        <f>VLOOKUP(D60,廠價表!$C$1:$E$40,3,0)</f>
        <v>28.47</v>
      </c>
      <c r="G60" s="175">
        <v>683</v>
      </c>
      <c r="H60" s="15">
        <f t="shared" si="49"/>
        <v>19445.009999999998</v>
      </c>
      <c r="I60" s="81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0"/>
        <v>1280.6250000000016</v>
      </c>
      <c r="O60" s="17">
        <f t="shared" si="51"/>
        <v>106.71875000000013</v>
      </c>
      <c r="P60" s="18">
        <f t="shared" si="52"/>
        <v>0</v>
      </c>
      <c r="Q60" s="19">
        <f t="shared" si="53"/>
        <v>-23.697916666666529</v>
      </c>
      <c r="R60" s="183">
        <f>O60/L60</f>
        <v>0.81829073482428216</v>
      </c>
      <c r="S60" s="474"/>
      <c r="T60" s="20">
        <v>0.41875000000000001</v>
      </c>
      <c r="U60" s="20">
        <v>0.44097222222222221</v>
      </c>
      <c r="V60" s="175">
        <f t="shared" ref="V60:V62" si="54">(T60-U59)*24*60</f>
        <v>15.000000000000027</v>
      </c>
      <c r="W60" s="90">
        <f t="shared" si="17"/>
        <v>31.999999999999964</v>
      </c>
      <c r="X60" s="191"/>
      <c r="Y60" s="191"/>
      <c r="Z60" s="405"/>
      <c r="AA60" s="405"/>
      <c r="AB60" s="225">
        <f t="shared" si="47"/>
        <v>-284.37499999999841</v>
      </c>
      <c r="AC60" s="226">
        <f t="shared" si="48"/>
        <v>0.81829073482428216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1805</v>
      </c>
      <c r="H61" s="15">
        <f t="shared" si="49"/>
        <v>51009.3</v>
      </c>
      <c r="I61" s="175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50"/>
        <v>1547.1428571428576</v>
      </c>
      <c r="O61" s="17">
        <f t="shared" si="51"/>
        <v>128.92857142857147</v>
      </c>
      <c r="P61" s="18">
        <f t="shared" si="52"/>
        <v>0</v>
      </c>
      <c r="Q61" s="19">
        <f t="shared" si="53"/>
        <v>-1.488095238095184</v>
      </c>
      <c r="R61" s="183">
        <f>O61/L61</f>
        <v>0.98858968507530853</v>
      </c>
      <c r="S61" s="420"/>
      <c r="T61" s="196">
        <v>0.4513888888888889</v>
      </c>
      <c r="U61" s="196">
        <v>0.5</v>
      </c>
      <c r="V61" s="175">
        <f t="shared" si="54"/>
        <v>15.000000000000027</v>
      </c>
      <c r="W61" s="88">
        <f t="shared" si="17"/>
        <v>69.999999999999986</v>
      </c>
      <c r="X61" s="22"/>
      <c r="Y61" s="22"/>
      <c r="Z61" s="405"/>
      <c r="AA61" s="405"/>
      <c r="AB61" s="51">
        <f t="shared" si="47"/>
        <v>-17.857142857142435</v>
      </c>
      <c r="AC61" s="52">
        <f t="shared" si="48"/>
        <v>0.98858968507530831</v>
      </c>
      <c r="AD61" s="412"/>
    </row>
    <row r="62" spans="1:30" ht="15" customHeight="1">
      <c r="A62" s="472"/>
      <c r="B62" s="56" t="str">
        <f>VLOOKUP(D62,廠價表!$C$1:$E$40,2,0)</f>
        <v>小吃、微波</v>
      </c>
      <c r="C62" s="23"/>
      <c r="D62" s="239" t="s">
        <v>64</v>
      </c>
      <c r="E62" s="12"/>
      <c r="F62" s="56">
        <f>VLOOKUP(D62,廠價表!$C$1:$E$40,3,0)</f>
        <v>28.26</v>
      </c>
      <c r="G62" s="175">
        <v>738</v>
      </c>
      <c r="H62" s="15">
        <f>F62*G62</f>
        <v>20855.88</v>
      </c>
      <c r="I62" s="175"/>
      <c r="J62" s="16">
        <f>VLOOKUP(D62,產線配置圖!$A$3:$C$39,2,0)</f>
        <v>12</v>
      </c>
      <c r="K62" s="14">
        <f>VLOOKUP(D62,產線配置圖!$A$3:$C$39,3,0)</f>
        <v>1565</v>
      </c>
      <c r="L62" s="17">
        <f>K62/J62</f>
        <v>130.41666666666666</v>
      </c>
      <c r="M62" s="178">
        <v>12</v>
      </c>
      <c r="N62" s="14">
        <f>G62/W62*60</f>
        <v>1476.0000000000052</v>
      </c>
      <c r="O62" s="17">
        <f>N62/M62</f>
        <v>123.00000000000044</v>
      </c>
      <c r="P62" s="18">
        <f>M62-J62</f>
        <v>0</v>
      </c>
      <c r="Q62" s="19">
        <f>O62-L62</f>
        <v>-7.4166666666662167</v>
      </c>
      <c r="R62" s="183">
        <f>O62/L62</f>
        <v>0.94313099041533888</v>
      </c>
      <c r="S62" s="420"/>
      <c r="T62" s="20">
        <v>0.55208333333333337</v>
      </c>
      <c r="U62" s="20">
        <v>0.57291666666666663</v>
      </c>
      <c r="V62" s="175">
        <f t="shared" si="54"/>
        <v>75.000000000000057</v>
      </c>
      <c r="W62" s="90">
        <f t="shared" si="17"/>
        <v>29.999999999999893</v>
      </c>
      <c r="X62" s="22"/>
      <c r="Y62" s="22"/>
      <c r="Z62" s="405"/>
      <c r="AA62" s="405"/>
      <c r="AB62" s="51">
        <f t="shared" si="47"/>
        <v>-88.99999999999477</v>
      </c>
      <c r="AC62" s="52">
        <f t="shared" si="48"/>
        <v>0.94313099041533877</v>
      </c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7"/>
        <v>0</v>
      </c>
      <c r="X63" s="84"/>
      <c r="Y63" s="84"/>
      <c r="Z63" s="405"/>
      <c r="AA63" s="405"/>
      <c r="AB63" s="51">
        <f t="shared" si="47"/>
        <v>0</v>
      </c>
      <c r="AC63" s="52" t="e">
        <f t="shared" si="48"/>
        <v>#DIV/0!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7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175"/>
      <c r="C65" s="181"/>
      <c r="D65" s="11"/>
      <c r="E65" s="12"/>
      <c r="F65" s="13"/>
      <c r="G65" s="175"/>
      <c r="H65" s="15"/>
      <c r="I65" s="175"/>
      <c r="J65" s="16"/>
      <c r="K65" s="82"/>
      <c r="L65" s="83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7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>
        <f t="shared" si="49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7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49"/>
        <v>0</v>
      </c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7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9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7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5">AVERAGE(J59:J68)</f>
        <v>12.25</v>
      </c>
      <c r="K69" s="164">
        <f t="shared" si="55"/>
        <v>1565</v>
      </c>
      <c r="L69" s="169">
        <f t="shared" si="55"/>
        <v>127.90865384615384</v>
      </c>
      <c r="M69" s="164">
        <f t="shared" si="55"/>
        <v>12.25</v>
      </c>
      <c r="N69" s="164">
        <f t="shared" si="55"/>
        <v>1457.4598214285734</v>
      </c>
      <c r="O69" s="169">
        <f t="shared" si="55"/>
        <v>119.00935782967049</v>
      </c>
      <c r="P69" s="170">
        <f>M69-J69</f>
        <v>0</v>
      </c>
      <c r="Q69" s="156">
        <f>N69-K69</f>
        <v>-107.54017857142662</v>
      </c>
      <c r="R69" s="120">
        <f>O69/L69</f>
        <v>0.93042459795419896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-107.54017857142662</v>
      </c>
      <c r="AC69" s="185">
        <f>N69/K69</f>
        <v>0.9312842309447753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7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7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7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7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6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7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6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7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6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7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6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7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6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7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 t="e">
        <f>AVERAGE(J70:J78)</f>
        <v>#DIV/0!</v>
      </c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308" priority="1" operator="greaterThan">
      <formula>0</formula>
    </cfRule>
  </conditionalFormatting>
  <conditionalFormatting sqref="Q5:Q79 AB5:AB79">
    <cfRule type="cellIs" dxfId="307" priority="4" operator="lessThan">
      <formula>0</formula>
    </cfRule>
  </conditionalFormatting>
  <conditionalFormatting sqref="R5:R79 AC5:AC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D59:AD62 S69:S76 AD69:AD76">
    <cfRule type="cellIs" dxfId="304" priority="7" operator="lessThan">
      <formula>0.8</formula>
    </cfRule>
  </conditionalFormatting>
  <conditionalFormatting sqref="S19:S25 AD19:AD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D5:AD8 S15:S16 AD15:AD16 AD49 AD79">
    <cfRule type="cellIs" dxfId="301" priority="9" operator="lessThan">
      <formula>0.8</formula>
    </cfRule>
  </conditionalFormatting>
  <conditionalFormatting sqref="AD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D3" sqref="D3:E4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45993</v>
      </c>
      <c r="E3" s="357"/>
      <c r="F3" s="202" t="s">
        <v>84</v>
      </c>
      <c r="G3" s="358">
        <f>'1202'!E1</f>
        <v>49146</v>
      </c>
      <c r="H3" s="358"/>
      <c r="I3" s="202" t="s">
        <v>2</v>
      </c>
      <c r="J3" s="359">
        <f>'1202'!G1</f>
        <v>2383910.5900000003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116.75455357536627</v>
      </c>
      <c r="G6" s="367"/>
      <c r="H6" s="360">
        <f>AVERAGE(D13:H13)</f>
        <v>114.52373352120875</v>
      </c>
      <c r="I6" s="360"/>
      <c r="J6" s="360">
        <f>AVERAGE(I13:J13)</f>
        <v>127.90865384615384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99.626735743364691</v>
      </c>
      <c r="G7" s="362"/>
      <c r="H7" s="363">
        <f>AVERAGE(D14:H14)</f>
        <v>96.125353140307865</v>
      </c>
      <c r="I7" s="363"/>
      <c r="J7" s="363">
        <f>AVERAGE(I14:J14)</f>
        <v>117.13364875864882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0.85422384888117875</v>
      </c>
      <c r="G8" s="364"/>
      <c r="H8" s="364">
        <f>AVERAGE(D15:H15)</f>
        <v>0.84191658752192144</v>
      </c>
      <c r="I8" s="364"/>
      <c r="J8" s="364">
        <f>AVERAGE(I15:J15)</f>
        <v>0.91576015567746494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VALUE('1202'!L15)</f>
        <v>136.91288084464554</v>
      </c>
      <c r="E13" s="213">
        <f>VALUE('1202'!L26)</f>
        <v>160.58974358974359</v>
      </c>
      <c r="F13" s="213">
        <f>VALUE('1202'!L37)</f>
        <v>92.250816993464056</v>
      </c>
      <c r="G13" s="213">
        <f>VALUE('1202'!L48)</f>
        <v>94.813970588235293</v>
      </c>
      <c r="H13" s="213">
        <f>VALUE('1202'!L58)</f>
        <v>88.051255589955275</v>
      </c>
      <c r="I13" s="213">
        <f>VALUE('1202'!L69)</f>
        <v>127.90865384615384</v>
      </c>
      <c r="J13" s="213"/>
    </row>
    <row r="14" spans="2:15" ht="40" customHeight="1">
      <c r="B14" s="376"/>
      <c r="C14" s="212" t="s">
        <v>106</v>
      </c>
      <c r="D14" s="213">
        <f>VALUE('1202'!O15)</f>
        <v>106.96631836166398</v>
      </c>
      <c r="E14" s="213">
        <f>VALUE('1202'!O26)</f>
        <v>139.51299158792452</v>
      </c>
      <c r="F14" s="213">
        <f>VALUE('1202'!O37)</f>
        <v>83.303881151743226</v>
      </c>
      <c r="G14" s="213">
        <f>VALUE('1202'!O48)</f>
        <v>69.863125763125822</v>
      </c>
      <c r="H14" s="213">
        <f>VALUE('1202'!O58)</f>
        <v>80.980448837081767</v>
      </c>
      <c r="I14" s="213">
        <f>VALUE('1202'!O69)</f>
        <v>117.13364875864882</v>
      </c>
      <c r="J14" s="213"/>
    </row>
    <row r="15" spans="2:15" ht="40" customHeight="1">
      <c r="B15" s="377"/>
      <c r="C15" s="210" t="s">
        <v>23</v>
      </c>
      <c r="D15" s="231">
        <f>D14/D13</f>
        <v>0.78127286272675978</v>
      </c>
      <c r="E15" s="231">
        <f t="shared" ref="E15:I15" si="0">E14/E13</f>
        <v>0.86875405906579217</v>
      </c>
      <c r="F15" s="231">
        <f t="shared" si="0"/>
        <v>0.9030151045453102</v>
      </c>
      <c r="G15" s="231">
        <f t="shared" si="0"/>
        <v>0.73684421535864442</v>
      </c>
      <c r="H15" s="231">
        <f t="shared" si="0"/>
        <v>0.91969669591310022</v>
      </c>
      <c r="I15" s="231">
        <f t="shared" si="0"/>
        <v>0.91576015567746494</v>
      </c>
      <c r="J15" s="231"/>
    </row>
    <row r="16" spans="2:15" ht="17.25" customHeight="1">
      <c r="B16" s="378" t="s">
        <v>107</v>
      </c>
      <c r="C16" s="210" t="s">
        <v>29</v>
      </c>
      <c r="D16" s="95">
        <f>'1202'!T5</f>
        <v>0.2902777777777778</v>
      </c>
      <c r="E16" s="95">
        <f>'1202'!T16</f>
        <v>0.2902777777777778</v>
      </c>
      <c r="F16" s="95">
        <f>'1202'!T27</f>
        <v>0.29166666666666702</v>
      </c>
      <c r="G16" s="95">
        <f>'1202'!T38</f>
        <v>0.29166666666666669</v>
      </c>
      <c r="H16" s="95">
        <f>'1202'!T49</f>
        <v>0.29166666666666669</v>
      </c>
      <c r="I16" s="95">
        <f>'1202'!T59</f>
        <v>0.2902777777777778</v>
      </c>
      <c r="J16" s="269"/>
    </row>
    <row r="17" spans="2:10" ht="17.25" customHeight="1">
      <c r="B17" s="379"/>
      <c r="C17" s="210" t="s">
        <v>30</v>
      </c>
      <c r="D17" s="95">
        <v>0.61875000000000002</v>
      </c>
      <c r="E17" s="41">
        <v>0.64027777777777772</v>
      </c>
      <c r="F17" s="41">
        <v>0.61805555555555558</v>
      </c>
      <c r="G17" s="59">
        <v>0.60416666666666663</v>
      </c>
      <c r="H17" s="79">
        <v>0.62916666666666665</v>
      </c>
      <c r="I17" s="196">
        <v>0.56944444444444442</v>
      </c>
      <c r="J17" s="20"/>
    </row>
    <row r="18" spans="2:10" ht="17.25" customHeight="1">
      <c r="B18" s="365" t="s">
        <v>108</v>
      </c>
      <c r="C18" s="366"/>
      <c r="D18" s="214">
        <f>VALUE('1202'!M15)</f>
        <v>14.2</v>
      </c>
      <c r="E18" s="214">
        <f>VALUE('1202'!M26)</f>
        <v>12.6</v>
      </c>
      <c r="F18" s="214">
        <f>VALUE('1202'!M37)</f>
        <v>15.25</v>
      </c>
      <c r="G18" s="214">
        <f>VALUE('1202'!M48)</f>
        <v>13.5</v>
      </c>
      <c r="H18" s="214">
        <f>VALUE('1202'!M58)</f>
        <v>17.5</v>
      </c>
      <c r="I18" s="214">
        <f>VALUE('1202'!M69)</f>
        <v>12.25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L59" activePane="bottomRight" state="frozen"/>
      <selection activeCell="D4" sqref="D4:E4"/>
      <selection pane="topRight" activeCell="D4" sqref="D4:E4"/>
      <selection pane="bottomLeft" activeCell="D4" sqref="D4:E4"/>
      <selection pane="bottomRight" activeCell="V61" activeCellId="13" sqref="V7 V6 V9 V20 V18 V17 V28 V29 V39 V40 V50 V51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49146</v>
      </c>
      <c r="F1" s="175" t="s">
        <v>2</v>
      </c>
      <c r="G1" s="4">
        <f>SUM(H5:H79)</f>
        <v>2383910.5900000003</v>
      </c>
      <c r="H1" s="173" t="s">
        <v>3</v>
      </c>
      <c r="I1" s="5">
        <f>M15+M26+M48+M58+M69+M79+M37</f>
        <v>85.3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116</v>
      </c>
      <c r="B2" s="404"/>
      <c r="C2" s="174"/>
      <c r="D2" s="174" t="s">
        <v>11</v>
      </c>
      <c r="E2" s="7">
        <f>AVERAGE(O15,O26,O37,O48,O58,O69,O79)</f>
        <v>99.626735743364691</v>
      </c>
      <c r="F2" s="8" t="s">
        <v>12</v>
      </c>
      <c r="G2" s="9">
        <f>G1/E1</f>
        <v>48.506706344361703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1525</v>
      </c>
      <c r="H5" s="318">
        <f>F5*G5</f>
        <v>87245.25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9" si="0">G5/W5*60</f>
        <v>1759.6153846153857</v>
      </c>
      <c r="O5" s="322">
        <f t="shared" ref="O5:O9" si="1">N5/M5</f>
        <v>135.35502958579889</v>
      </c>
      <c r="P5" s="324">
        <f t="shared" ref="P5:P9" si="2">M5-J5</f>
        <v>0</v>
      </c>
      <c r="Q5" s="325">
        <f t="shared" ref="Q5:Q9" si="3">O5-L5</f>
        <v>-26.568047337278045</v>
      </c>
      <c r="R5" s="326">
        <f t="shared" ref="R5:R9" si="4">O5/L5</f>
        <v>0.83592179791704768</v>
      </c>
      <c r="S5" s="419">
        <f>R15</f>
        <v>0.78127286272675978</v>
      </c>
      <c r="T5" s="327">
        <v>0.2902777777777778</v>
      </c>
      <c r="U5" s="328">
        <v>0.3263888888888889</v>
      </c>
      <c r="V5" s="192"/>
      <c r="W5" s="106">
        <f t="shared" ref="W5:W14" si="5">(U5-T5)*24*60</f>
        <v>51.999999999999972</v>
      </c>
      <c r="X5" s="186"/>
      <c r="Y5" s="186"/>
      <c r="Z5" s="425"/>
      <c r="AA5" s="425"/>
      <c r="AB5" s="110">
        <f>N5-K5</f>
        <v>-345.38461538461434</v>
      </c>
      <c r="AC5" s="182">
        <f>N5/K5</f>
        <v>0.83592179791704779</v>
      </c>
      <c r="AD5" s="411">
        <f>AC15</f>
        <v>0.77390085620729165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33</v>
      </c>
      <c r="E6" s="248"/>
      <c r="F6" s="305">
        <f>VLOOKUP(D6,廠價表!$C$1:$E$40,3,0)</f>
        <v>57.21</v>
      </c>
      <c r="G6" s="306">
        <v>1830</v>
      </c>
      <c r="H6" s="307">
        <f>F6*G6</f>
        <v>104694.3</v>
      </c>
      <c r="I6" s="308"/>
      <c r="J6" s="309">
        <f>VLOOKUP(D6,產線配置圖!$A$3:$C$39,2,0)</f>
        <v>17</v>
      </c>
      <c r="K6" s="306">
        <v>1800</v>
      </c>
      <c r="L6" s="310">
        <f>K6/J6</f>
        <v>105.88235294117646</v>
      </c>
      <c r="M6" s="311">
        <v>17</v>
      </c>
      <c r="N6" s="306">
        <f t="shared" si="0"/>
        <v>1524.9999999999989</v>
      </c>
      <c r="O6" s="310">
        <f t="shared" si="1"/>
        <v>89.705882352941103</v>
      </c>
      <c r="P6" s="312">
        <f t="shared" si="2"/>
        <v>0</v>
      </c>
      <c r="Q6" s="313">
        <f t="shared" si="3"/>
        <v>-16.176470588235361</v>
      </c>
      <c r="R6" s="314">
        <f t="shared" si="4"/>
        <v>0.84722222222222154</v>
      </c>
      <c r="S6" s="420"/>
      <c r="T6" s="267">
        <v>0.33402777777777798</v>
      </c>
      <c r="U6" s="267">
        <v>0.38402777777777802</v>
      </c>
      <c r="V6" s="175">
        <f>(T6-U5)*24*60</f>
        <v>11.000000000000281</v>
      </c>
      <c r="W6" s="180">
        <f t="shared" si="5"/>
        <v>72.000000000000057</v>
      </c>
      <c r="X6" s="22"/>
      <c r="Y6" s="22"/>
      <c r="Z6" s="391"/>
      <c r="AA6" s="391"/>
      <c r="AB6" s="18">
        <f>N6-K6</f>
        <v>-275.00000000000114</v>
      </c>
      <c r="AC6" s="183">
        <f>N6/K6</f>
        <v>0.84722222222222154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34</v>
      </c>
      <c r="E7" s="86"/>
      <c r="F7" s="56">
        <f>VLOOKUP(D7,廠價表!$C$1:$E$40,3,0)</f>
        <v>49.14</v>
      </c>
      <c r="G7" s="25">
        <v>4077</v>
      </c>
      <c r="H7" s="15">
        <f t="shared" ref="H7:H9" si="6">F7*G7</f>
        <v>200343.78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1881.6923076923028</v>
      </c>
      <c r="O7" s="17">
        <f t="shared" si="1"/>
        <v>144.74556213017715</v>
      </c>
      <c r="P7" s="18">
        <f t="shared" si="2"/>
        <v>0</v>
      </c>
      <c r="Q7" s="19">
        <f t="shared" si="3"/>
        <v>-9.1005917159766909</v>
      </c>
      <c r="R7" s="183">
        <f t="shared" si="4"/>
        <v>0.94084615384615156</v>
      </c>
      <c r="S7" s="420"/>
      <c r="T7" s="95">
        <v>0.38750000000000001</v>
      </c>
      <c r="U7" s="95">
        <v>0.47777777777777802</v>
      </c>
      <c r="V7" s="175">
        <f>(T7-U6)*24*60</f>
        <v>4.9999999999996625</v>
      </c>
      <c r="W7" s="180">
        <f t="shared" si="5"/>
        <v>130.00000000000034</v>
      </c>
      <c r="X7" s="22"/>
      <c r="Y7" s="22"/>
      <c r="Z7" s="405"/>
      <c r="AA7" s="405"/>
      <c r="AB7" s="18">
        <f>N7-K7</f>
        <v>-118.30769230769715</v>
      </c>
      <c r="AC7" s="183">
        <f>N7/K7</f>
        <v>0.94084615384615145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1369</v>
      </c>
      <c r="H8" s="15">
        <f t="shared" si="6"/>
        <v>67272.66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1676.3265306122344</v>
      </c>
      <c r="O8" s="17">
        <f t="shared" si="1"/>
        <v>128.94819466247958</v>
      </c>
      <c r="P8" s="18">
        <f t="shared" si="2"/>
        <v>0</v>
      </c>
      <c r="Q8" s="19">
        <f t="shared" si="3"/>
        <v>-24.89795918367426</v>
      </c>
      <c r="R8" s="183">
        <f t="shared" si="4"/>
        <v>0.83816326530611729</v>
      </c>
      <c r="S8" s="420"/>
      <c r="T8" s="95">
        <v>0.54027777777777797</v>
      </c>
      <c r="U8" s="95">
        <v>0.57430555555555596</v>
      </c>
      <c r="V8" s="175">
        <f t="shared" ref="V8:V9" si="7">(T8-U7)*24*60</f>
        <v>89.999999999999915</v>
      </c>
      <c r="W8" s="180">
        <f t="shared" si="5"/>
        <v>49.000000000000306</v>
      </c>
      <c r="X8" s="22"/>
      <c r="Y8" s="260"/>
      <c r="Z8" s="415"/>
      <c r="AA8" s="415"/>
      <c r="AB8" s="18">
        <f>N8-K8</f>
        <v>-323.67346938776564</v>
      </c>
      <c r="AC8" s="183">
        <f>N8/K8</f>
        <v>0.83816326530611718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35</v>
      </c>
      <c r="E9" s="86"/>
      <c r="F9" s="56">
        <f>VLOOKUP(D9,廠價表!$C$1:$E$40,3,0)</f>
        <v>56.43</v>
      </c>
      <c r="G9" s="25">
        <v>469</v>
      </c>
      <c r="H9" s="15">
        <f t="shared" si="6"/>
        <v>26465.67</v>
      </c>
      <c r="I9" s="180"/>
      <c r="J9" s="16">
        <f>VLOOKUP(D9,產線配置圖!$A$3:$C$39,2,0)</f>
        <v>15</v>
      </c>
      <c r="K9" s="14">
        <f>VLOOKUP(D9,產線配置圖!$A$3:$C$39,3,0)</f>
        <v>1636</v>
      </c>
      <c r="L9" s="17">
        <f>K9/J9</f>
        <v>109.06666666666666</v>
      </c>
      <c r="M9" s="178">
        <v>15</v>
      </c>
      <c r="N9" s="14">
        <f t="shared" si="0"/>
        <v>541.15384615384812</v>
      </c>
      <c r="O9" s="17">
        <f t="shared" si="1"/>
        <v>36.076923076923208</v>
      </c>
      <c r="P9" s="18">
        <f t="shared" si="2"/>
        <v>0</v>
      </c>
      <c r="Q9" s="19">
        <f t="shared" si="3"/>
        <v>-72.989743589743455</v>
      </c>
      <c r="R9" s="183">
        <f t="shared" si="4"/>
        <v>0.33077863456836681</v>
      </c>
      <c r="S9" s="421"/>
      <c r="T9" s="95">
        <v>0.58263888888888904</v>
      </c>
      <c r="U9" s="95">
        <v>0.61875000000000002</v>
      </c>
      <c r="V9" s="175">
        <f t="shared" si="7"/>
        <v>11.999999999999638</v>
      </c>
      <c r="W9" s="180">
        <f t="shared" si="5"/>
        <v>51.999999999999815</v>
      </c>
      <c r="X9" s="22">
        <v>0.48958333333333298</v>
      </c>
      <c r="Y9" s="260">
        <v>0.53125</v>
      </c>
      <c r="Z9" s="416" t="s">
        <v>55</v>
      </c>
      <c r="AA9" s="416"/>
      <c r="AB9" s="18">
        <f>N9-K9</f>
        <v>-1094.846153846152</v>
      </c>
      <c r="AC9" s="183">
        <f>N9/K9</f>
        <v>0.33077863456836681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8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14.2</v>
      </c>
      <c r="K15" s="117">
        <f t="shared" si="9"/>
        <v>1908.2</v>
      </c>
      <c r="L15" s="114">
        <f t="shared" si="9"/>
        <v>136.91288084464554</v>
      </c>
      <c r="M15" s="117">
        <f t="shared" si="9"/>
        <v>14.2</v>
      </c>
      <c r="N15" s="117">
        <f t="shared" si="9"/>
        <v>1476.757613814754</v>
      </c>
      <c r="O15" s="114">
        <f t="shared" si="9"/>
        <v>106.96631836166398</v>
      </c>
      <c r="P15" s="118">
        <f t="shared" ref="P15:P20" si="10">M15-J15</f>
        <v>0</v>
      </c>
      <c r="Q15" s="119">
        <f t="shared" ref="Q15:Q20" si="11">O15-L15</f>
        <v>-29.946562482981562</v>
      </c>
      <c r="R15" s="120">
        <f t="shared" ref="R15:R20" si="12">O15/L15</f>
        <v>0.78127286272675978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3">N15-K15</f>
        <v>-431.44238618524605</v>
      </c>
      <c r="AC15" s="185">
        <f t="shared" ref="AC15:AC20" si="14">N15/K15</f>
        <v>0.77390085620729165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1325</v>
      </c>
      <c r="H16" s="124">
        <f t="shared" ref="H16:H25" si="15">F16*G16</f>
        <v>75803.25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20" si="16">K16/J16</f>
        <v>161.92307692307693</v>
      </c>
      <c r="M16" s="264">
        <v>13</v>
      </c>
      <c r="N16" s="126">
        <f t="shared" ref="N16:N20" si="17">G16/W16*60</f>
        <v>1691.489361702128</v>
      </c>
      <c r="O16" s="127">
        <f>N16/M16</f>
        <v>130.11456628477907</v>
      </c>
      <c r="P16" s="128">
        <f>M16-J16</f>
        <v>0</v>
      </c>
      <c r="Q16" s="129">
        <f t="shared" si="11"/>
        <v>-31.808510638297861</v>
      </c>
      <c r="R16" s="187">
        <f>O16/L16</f>
        <v>0.80355789154495383</v>
      </c>
      <c r="S16" s="431">
        <f>R26</f>
        <v>0.86875405906579217</v>
      </c>
      <c r="T16" s="265">
        <v>0.2902777777777778</v>
      </c>
      <c r="U16" s="265">
        <v>0.32291666666666669</v>
      </c>
      <c r="V16" s="125"/>
      <c r="W16" s="130">
        <f t="shared" ref="W16:W78" si="18">(U16-T16)*24*60</f>
        <v>46.999999999999993</v>
      </c>
      <c r="X16" s="127"/>
      <c r="Y16" s="127"/>
      <c r="Z16" s="425"/>
      <c r="AA16" s="425"/>
      <c r="AB16" s="110">
        <f t="shared" si="13"/>
        <v>-413.51063829787199</v>
      </c>
      <c r="AC16" s="182">
        <f t="shared" si="14"/>
        <v>0.80355789154495394</v>
      </c>
      <c r="AD16" s="411">
        <f>AC26</f>
        <v>0.86876573840162574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2808</v>
      </c>
      <c r="H17" s="15">
        <f t="shared" si="15"/>
        <v>142281.36000000002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 t="shared" si="17"/>
        <v>1893.0337078651685</v>
      </c>
      <c r="O17" s="38">
        <f t="shared" ref="O17:O20" si="19">N17/M17</f>
        <v>145.61797752808988</v>
      </c>
      <c r="P17" s="39">
        <f t="shared" si="10"/>
        <v>0</v>
      </c>
      <c r="Q17" s="40">
        <f t="shared" si="11"/>
        <v>-8.2281763180639587</v>
      </c>
      <c r="R17" s="188">
        <f t="shared" si="12"/>
        <v>0.94651685393258422</v>
      </c>
      <c r="S17" s="432"/>
      <c r="T17" s="41">
        <v>0.33333333333333331</v>
      </c>
      <c r="U17" s="41">
        <v>0.39513888888888887</v>
      </c>
      <c r="V17" s="175">
        <f>(T17-U16)*24*60</f>
        <v>14.999999999999947</v>
      </c>
      <c r="W17" s="43">
        <f t="shared" si="18"/>
        <v>89</v>
      </c>
      <c r="X17" s="44"/>
      <c r="Y17" s="44"/>
      <c r="Z17" s="391"/>
      <c r="AA17" s="391"/>
      <c r="AB17" s="18">
        <f t="shared" si="13"/>
        <v>-106.96629213483152</v>
      </c>
      <c r="AC17" s="183">
        <f t="shared" si="14"/>
        <v>0.94651685393258422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3101</v>
      </c>
      <c r="H18" s="15">
        <f t="shared" si="15"/>
        <v>156259.39000000001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1771.9999999999995</v>
      </c>
      <c r="O18" s="38">
        <f t="shared" si="19"/>
        <v>147.66666666666663</v>
      </c>
      <c r="P18" s="39">
        <f t="shared" si="10"/>
        <v>0</v>
      </c>
      <c r="Q18" s="40">
        <f t="shared" si="11"/>
        <v>-19.000000000000028</v>
      </c>
      <c r="R18" s="188">
        <f t="shared" si="12"/>
        <v>0.88599999999999979</v>
      </c>
      <c r="S18" s="432"/>
      <c r="T18" s="41">
        <v>0.40625</v>
      </c>
      <c r="U18" s="41">
        <v>0.47916666666666669</v>
      </c>
      <c r="V18" s="175">
        <f>(T18-U17)*24*60</f>
        <v>16.000000000000021</v>
      </c>
      <c r="W18" s="43">
        <f t="shared" si="18"/>
        <v>105.00000000000003</v>
      </c>
      <c r="X18" s="22"/>
      <c r="Y18" s="22"/>
      <c r="Z18" s="415"/>
      <c r="AA18" s="415"/>
      <c r="AB18" s="18">
        <f t="shared" si="13"/>
        <v>-228.00000000000045</v>
      </c>
      <c r="AC18" s="183">
        <f t="shared" si="14"/>
        <v>0.88599999999999979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2127</v>
      </c>
      <c r="H19" s="15">
        <f t="shared" si="15"/>
        <v>107179.53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6"/>
        <v>166.66666666666666</v>
      </c>
      <c r="M19" s="37">
        <v>12</v>
      </c>
      <c r="N19" s="36">
        <f t="shared" si="17"/>
        <v>1701.5999999999988</v>
      </c>
      <c r="O19" s="38">
        <f t="shared" si="19"/>
        <v>141.7999999999999</v>
      </c>
      <c r="P19" s="39">
        <f t="shared" si="10"/>
        <v>0</v>
      </c>
      <c r="Q19" s="40">
        <f t="shared" si="11"/>
        <v>-24.86666666666676</v>
      </c>
      <c r="R19" s="188">
        <f t="shared" si="12"/>
        <v>0.85079999999999945</v>
      </c>
      <c r="S19" s="432"/>
      <c r="T19" s="41">
        <v>0.54166666666666663</v>
      </c>
      <c r="U19" s="41">
        <v>0.59375</v>
      </c>
      <c r="V19" s="175">
        <f t="shared" ref="V19:V20" si="20">(T19-U18)*24*60</f>
        <v>89.999999999999915</v>
      </c>
      <c r="W19" s="43">
        <f t="shared" si="18"/>
        <v>75.000000000000057</v>
      </c>
      <c r="X19" s="22">
        <v>0.48958333333333298</v>
      </c>
      <c r="Y19" s="260">
        <v>0.53125</v>
      </c>
      <c r="Z19" s="416"/>
      <c r="AA19" s="416"/>
      <c r="AB19" s="18">
        <f t="shared" si="13"/>
        <v>-298.40000000000123</v>
      </c>
      <c r="AC19" s="183">
        <f t="shared" si="14"/>
        <v>0.85079999999999933</v>
      </c>
      <c r="AD19" s="413"/>
    </row>
    <row r="20" spans="1:30" ht="15" customHeight="1">
      <c r="A20" s="440"/>
      <c r="B20" s="56" t="str">
        <f>VLOOKUP(D20,廠價表!$C$1:$E$40,2,0)</f>
        <v>義大利麵</v>
      </c>
      <c r="C20" s="10"/>
      <c r="D20" s="11" t="s">
        <v>40</v>
      </c>
      <c r="E20" s="86"/>
      <c r="F20" s="56">
        <f>VLOOKUP(D20,廠價表!$C$1:$E$40,3,0)</f>
        <v>50.67</v>
      </c>
      <c r="G20" s="96">
        <v>1520</v>
      </c>
      <c r="H20" s="15">
        <f t="shared" si="15"/>
        <v>77018.400000000009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 t="shared" si="16"/>
        <v>153.84615384615384</v>
      </c>
      <c r="M20" s="37">
        <v>13</v>
      </c>
      <c r="N20" s="36">
        <f t="shared" si="17"/>
        <v>1720.754716981133</v>
      </c>
      <c r="O20" s="38">
        <f t="shared" si="19"/>
        <v>132.36574746008716</v>
      </c>
      <c r="P20" s="39">
        <f t="shared" si="10"/>
        <v>0</v>
      </c>
      <c r="Q20" s="40">
        <f t="shared" si="11"/>
        <v>-21.480406386066676</v>
      </c>
      <c r="R20" s="188">
        <f t="shared" si="12"/>
        <v>0.86037735849056662</v>
      </c>
      <c r="S20" s="432"/>
      <c r="T20" s="41">
        <v>0.60347222222222219</v>
      </c>
      <c r="U20" s="41">
        <v>0.64027777777777772</v>
      </c>
      <c r="V20" s="175">
        <f t="shared" si="20"/>
        <v>13.99999999999995</v>
      </c>
      <c r="W20" s="43">
        <f t="shared" si="18"/>
        <v>52.999999999999972</v>
      </c>
      <c r="X20" s="44"/>
      <c r="Y20" s="44"/>
      <c r="Z20" s="418"/>
      <c r="AA20" s="405"/>
      <c r="AB20" s="18">
        <f t="shared" si="13"/>
        <v>-279.24528301886699</v>
      </c>
      <c r="AC20" s="183">
        <f t="shared" si="14"/>
        <v>0.86037735849056651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1">AVERAGE(J16:J25)</f>
        <v>12.6</v>
      </c>
      <c r="K26" s="133">
        <f t="shared" si="21"/>
        <v>2021</v>
      </c>
      <c r="L26" s="136">
        <f t="shared" si="21"/>
        <v>160.58974358974359</v>
      </c>
      <c r="M26" s="133">
        <f t="shared" si="21"/>
        <v>12.6</v>
      </c>
      <c r="N26" s="133">
        <f t="shared" si="21"/>
        <v>1755.7755573096856</v>
      </c>
      <c r="O26" s="136">
        <f t="shared" si="21"/>
        <v>139.51299158792452</v>
      </c>
      <c r="P26" s="137">
        <f t="shared" ref="P26:P30" si="22">M26-J26</f>
        <v>0</v>
      </c>
      <c r="Q26" s="138">
        <f t="shared" ref="Q26:Q30" si="23">O26-L26</f>
        <v>-21.076752001819074</v>
      </c>
      <c r="R26" s="139">
        <f t="shared" ref="R26:R30" si="24">O26/L26</f>
        <v>0.86875405906579217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-265.22444269031439</v>
      </c>
      <c r="AC26" s="185">
        <f>N26/K26</f>
        <v>0.86876573840162574</v>
      </c>
      <c r="AD26" s="414"/>
    </row>
    <row r="27" spans="1:30" ht="15" customHeight="1">
      <c r="A27" s="428" t="s">
        <v>44</v>
      </c>
      <c r="B27" s="227" t="s">
        <v>45</v>
      </c>
      <c r="C27" s="101"/>
      <c r="D27" s="102" t="s">
        <v>46</v>
      </c>
      <c r="E27" s="103"/>
      <c r="F27" s="197">
        <f>VLOOKUP(D27,廠價表!$C$1:$E$40,3,0)</f>
        <v>49.91</v>
      </c>
      <c r="G27" s="266">
        <v>1620</v>
      </c>
      <c r="H27" s="124">
        <f t="shared" ref="H27:H41" si="25">F27*G27</f>
        <v>80854.2</v>
      </c>
      <c r="I27" s="125"/>
      <c r="J27" s="16">
        <f>VLOOKUP(D27,產線配置圖!$A$3:$C$39,2,0)</f>
        <v>17</v>
      </c>
      <c r="K27" s="14">
        <f>VLOOKUP(D27,產線配置圖!$A$3:$C$39,3,0)</f>
        <v>1565</v>
      </c>
      <c r="L27" s="108">
        <f>K27/J27</f>
        <v>92.058823529411768</v>
      </c>
      <c r="M27" s="143">
        <v>15</v>
      </c>
      <c r="N27" s="126">
        <f>G27/W27*60</f>
        <v>1262.3376623376682</v>
      </c>
      <c r="O27" s="127">
        <f>N27/M27</f>
        <v>84.155844155844548</v>
      </c>
      <c r="P27" s="128">
        <f t="shared" si="22"/>
        <v>-2</v>
      </c>
      <c r="Q27" s="129">
        <f t="shared" si="23"/>
        <v>-7.90297937356722</v>
      </c>
      <c r="R27" s="187">
        <f>O27/L27</f>
        <v>0.91415293971204936</v>
      </c>
      <c r="S27" s="431">
        <f>R37</f>
        <v>0.9030151045453102</v>
      </c>
      <c r="T27" s="94">
        <v>0.29166666666666702</v>
      </c>
      <c r="U27" s="94">
        <v>0.34513888888888899</v>
      </c>
      <c r="V27" s="125"/>
      <c r="W27" s="130">
        <f t="shared" si="18"/>
        <v>76.999999999999645</v>
      </c>
      <c r="X27" s="125"/>
      <c r="Y27" s="125" t="s">
        <v>47</v>
      </c>
      <c r="Z27" s="434"/>
      <c r="AA27" s="425"/>
      <c r="AB27" s="223">
        <f>N27-K27</f>
        <v>-302.66233766233177</v>
      </c>
      <c r="AC27" s="288">
        <f>N27/K27</f>
        <v>0.80660553504004362</v>
      </c>
      <c r="AD27" s="411">
        <f>AC37</f>
        <v>0.85120960585191263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11" t="s">
        <v>48</v>
      </c>
      <c r="E28" s="86"/>
      <c r="F28" s="56">
        <f>VLOOKUP(D28,廠價表!$C$1:$E$40,3,0)</f>
        <v>55.13</v>
      </c>
      <c r="G28" s="53">
        <v>1861</v>
      </c>
      <c r="H28" s="50">
        <f t="shared" si="25"/>
        <v>102596.93000000001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16</v>
      </c>
      <c r="N28" s="36">
        <f>G28/W28*60</f>
        <v>1063.4285714285818</v>
      </c>
      <c r="O28" s="38">
        <f>N28/M28</f>
        <v>66.464285714286362</v>
      </c>
      <c r="P28" s="39">
        <f t="shared" si="22"/>
        <v>-2</v>
      </c>
      <c r="Q28" s="40">
        <f t="shared" si="23"/>
        <v>-10.480158730158081</v>
      </c>
      <c r="R28" s="188">
        <f t="shared" si="24"/>
        <v>0.86379577101599603</v>
      </c>
      <c r="S28" s="432"/>
      <c r="T28" s="267">
        <v>0.35416666666666702</v>
      </c>
      <c r="U28" s="267">
        <v>0.42708333333333298</v>
      </c>
      <c r="V28" s="42">
        <f>(T28-U27)*24*60</f>
        <v>13.000000000000353</v>
      </c>
      <c r="W28" s="43">
        <f t="shared" si="18"/>
        <v>104.99999999999899</v>
      </c>
      <c r="X28" s="54"/>
      <c r="Y28" s="54"/>
      <c r="Z28" s="418"/>
      <c r="AA28" s="417"/>
      <c r="AB28" s="39">
        <f>N28-K28</f>
        <v>-321.57142857141821</v>
      </c>
      <c r="AC28" s="188">
        <f>N28/K28</f>
        <v>0.76781846312532986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10"/>
      <c r="D29" s="11" t="s">
        <v>49</v>
      </c>
      <c r="E29" s="86"/>
      <c r="F29" s="56">
        <f>VLOOKUP(D29,廠價表!$C$1:$E$40,3,0)</f>
        <v>47.71</v>
      </c>
      <c r="G29" s="53">
        <v>1367</v>
      </c>
      <c r="H29" s="50">
        <f t="shared" si="25"/>
        <v>65219.57</v>
      </c>
      <c r="I29" s="42"/>
      <c r="J29" s="16">
        <f>VLOOKUP(D29,產線配置圖!$A$3:$C$39,2,0)</f>
        <v>15</v>
      </c>
      <c r="K29" s="14">
        <f>VLOOKUP(D29,產線配置圖!$A$3:$C$39,3,0)</f>
        <v>1500</v>
      </c>
      <c r="L29" s="233">
        <f>K29/J29</f>
        <v>100</v>
      </c>
      <c r="M29" s="21">
        <v>15</v>
      </c>
      <c r="N29" s="36">
        <f>G29/W29*60</f>
        <v>1281.5624999999998</v>
      </c>
      <c r="O29" s="38">
        <f>N29/M29</f>
        <v>85.437499999999986</v>
      </c>
      <c r="P29" s="39">
        <f t="shared" si="22"/>
        <v>0</v>
      </c>
      <c r="Q29" s="40">
        <f t="shared" si="23"/>
        <v>-14.562500000000014</v>
      </c>
      <c r="R29" s="188">
        <f t="shared" si="24"/>
        <v>0.85437499999999988</v>
      </c>
      <c r="S29" s="432"/>
      <c r="T29" s="41">
        <v>0.43611111111111112</v>
      </c>
      <c r="U29" s="41">
        <v>0.48055555555555557</v>
      </c>
      <c r="V29" s="42">
        <f>(T29-U28)*24*60</f>
        <v>13.000000000000513</v>
      </c>
      <c r="W29" s="43">
        <f t="shared" si="18"/>
        <v>64.000000000000014</v>
      </c>
      <c r="X29" s="22"/>
      <c r="Y29" s="22"/>
      <c r="Z29" s="418"/>
      <c r="AA29" s="417"/>
      <c r="AB29" s="289">
        <f>N29-K29</f>
        <v>-218.43750000000023</v>
      </c>
      <c r="AC29" s="188">
        <f>N29/K29</f>
        <v>0.85437499999999988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49</v>
      </c>
      <c r="E30" s="29"/>
      <c r="F30" s="56">
        <f>VLOOKUP(D30,廠價表!$C$1:$E$40,3,0)</f>
        <v>47.71</v>
      </c>
      <c r="G30" s="53">
        <v>2769</v>
      </c>
      <c r="H30" s="50">
        <f t="shared" si="25"/>
        <v>132108.99</v>
      </c>
      <c r="I30" s="42"/>
      <c r="J30" s="16">
        <f>VLOOKUP(D30,產線配置圖!$A$3:$C$39,2,0)</f>
        <v>15</v>
      </c>
      <c r="K30" s="14">
        <f>VLOOKUP(D30,產線配置圖!$A$3:$C$39,3,0)</f>
        <v>1500</v>
      </c>
      <c r="L30" s="233">
        <f>K30/J30</f>
        <v>100</v>
      </c>
      <c r="M30" s="21">
        <v>15</v>
      </c>
      <c r="N30" s="36">
        <f>G30/W30*60</f>
        <v>1457.3684210526305</v>
      </c>
      <c r="O30" s="38">
        <f>N30/M30</f>
        <v>97.157894736842039</v>
      </c>
      <c r="P30" s="39">
        <f t="shared" si="22"/>
        <v>0</v>
      </c>
      <c r="Q30" s="40">
        <f t="shared" si="23"/>
        <v>-2.8421052631579613</v>
      </c>
      <c r="R30" s="188">
        <f t="shared" si="24"/>
        <v>0.97157894736842043</v>
      </c>
      <c r="S30" s="432"/>
      <c r="T30" s="41">
        <v>0.53888888888888886</v>
      </c>
      <c r="U30" s="41">
        <v>0.61805555555555558</v>
      </c>
      <c r="V30" s="42">
        <f>(T30-U29)*24*60</f>
        <v>83.999999999999943</v>
      </c>
      <c r="W30" s="43">
        <f t="shared" si="18"/>
        <v>114.00000000000007</v>
      </c>
      <c r="X30" s="54">
        <v>0.48958333333333298</v>
      </c>
      <c r="Y30" s="54">
        <v>0.53125</v>
      </c>
      <c r="Z30" s="426"/>
      <c r="AA30" s="446"/>
      <c r="AB30" s="289">
        <f>N30-K30</f>
        <v>-42.631578947369462</v>
      </c>
      <c r="AC30" s="188">
        <f>N30/K30</f>
        <v>0.97157894736842032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8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5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5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5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6">AVERAGE(J27:J36)</f>
        <v>16.25</v>
      </c>
      <c r="K37" s="282">
        <f t="shared" si="26"/>
        <v>1487.5</v>
      </c>
      <c r="L37" s="283">
        <f t="shared" si="26"/>
        <v>92.250816993464056</v>
      </c>
      <c r="M37" s="282">
        <f t="shared" si="26"/>
        <v>15.25</v>
      </c>
      <c r="N37" s="282">
        <f t="shared" si="26"/>
        <v>1266.1742887047201</v>
      </c>
      <c r="O37" s="283">
        <f t="shared" si="26"/>
        <v>83.303881151743226</v>
      </c>
      <c r="P37" s="73">
        <f>M37-J37</f>
        <v>-1</v>
      </c>
      <c r="Q37" s="74">
        <f>N37-K37</f>
        <v>-221.32571129527992</v>
      </c>
      <c r="R37" s="284">
        <f t="shared" ref="R37:R41" si="27">O37/L37</f>
        <v>0.9030151045453102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1" si="28">N37-K37</f>
        <v>-221.32571129527992</v>
      </c>
      <c r="AC37" s="184">
        <f t="shared" ref="AC37:AC41" si="29">N37/K37</f>
        <v>0.85120960585191263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2334</v>
      </c>
      <c r="H38" s="124">
        <f t="shared" si="25"/>
        <v>133738.19999999998</v>
      </c>
      <c r="I38" s="125"/>
      <c r="J38" s="271">
        <v>16</v>
      </c>
      <c r="K38" s="234">
        <v>1500</v>
      </c>
      <c r="L38" s="285">
        <f t="shared" ref="L38:L41" si="30">K38/J38</f>
        <v>93.75</v>
      </c>
      <c r="M38" s="286">
        <v>14</v>
      </c>
      <c r="N38" s="126">
        <f>G38/W38*60</f>
        <v>933.60000000000036</v>
      </c>
      <c r="O38" s="127">
        <f>N38/M38</f>
        <v>66.685714285714312</v>
      </c>
      <c r="P38" s="128">
        <f t="shared" ref="P38:P41" si="31">M38-J38</f>
        <v>-2</v>
      </c>
      <c r="Q38" s="129">
        <f t="shared" ref="Q38:Q41" si="32">O38-L38</f>
        <v>-27.064285714285688</v>
      </c>
      <c r="R38" s="187">
        <f t="shared" si="27"/>
        <v>0.71131428571428601</v>
      </c>
      <c r="S38" s="460">
        <f>R48</f>
        <v>0.73684421535864442</v>
      </c>
      <c r="T38" s="149">
        <v>0.29166666666666669</v>
      </c>
      <c r="U38" s="149">
        <v>0.39583333333333331</v>
      </c>
      <c r="V38" s="146"/>
      <c r="W38" s="150">
        <f t="shared" si="18"/>
        <v>149.99999999999994</v>
      </c>
      <c r="X38" s="148"/>
      <c r="Y38" s="151"/>
      <c r="Z38" s="462" t="s">
        <v>117</v>
      </c>
      <c r="AA38" s="463"/>
      <c r="AB38" s="287">
        <f t="shared" si="28"/>
        <v>-566.39999999999964</v>
      </c>
      <c r="AC38" s="152">
        <f t="shared" si="29"/>
        <v>0.62240000000000029</v>
      </c>
      <c r="AD38" s="447">
        <f>AC48</f>
        <v>0.63178446002924882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1095</v>
      </c>
      <c r="H39" s="50">
        <f t="shared" si="25"/>
        <v>61790.85</v>
      </c>
      <c r="I39" s="64"/>
      <c r="J39" s="37">
        <v>17</v>
      </c>
      <c r="K39" s="36">
        <f>VLOOKUP(D39,產線配置圖!$A$3:$C$39,3,0)</f>
        <v>1406</v>
      </c>
      <c r="L39" s="38">
        <f t="shared" si="30"/>
        <v>82.705882352941174</v>
      </c>
      <c r="M39" s="65">
        <v>13</v>
      </c>
      <c r="N39" s="66">
        <f>G39/W39*60</f>
        <v>811.11111111111154</v>
      </c>
      <c r="O39" s="67">
        <f t="shared" ref="O39:O41" si="33">N39/M39</f>
        <v>62.393162393162427</v>
      </c>
      <c r="P39" s="39">
        <f t="shared" si="31"/>
        <v>-4</v>
      </c>
      <c r="Q39" s="40">
        <f t="shared" si="32"/>
        <v>-20.312719959778747</v>
      </c>
      <c r="R39" s="188">
        <f t="shared" si="27"/>
        <v>0.75439812281917584</v>
      </c>
      <c r="S39" s="461"/>
      <c r="T39" s="59">
        <v>0.39930555555555558</v>
      </c>
      <c r="U39" s="59">
        <v>0.45555555555555555</v>
      </c>
      <c r="V39" s="42">
        <f>(T39-U38)*24*60</f>
        <v>5.0000000000000622</v>
      </c>
      <c r="W39" s="69">
        <f t="shared" si="18"/>
        <v>80.999999999999957</v>
      </c>
      <c r="X39" s="22"/>
      <c r="Y39" s="22"/>
      <c r="Z39" s="450" t="s">
        <v>117</v>
      </c>
      <c r="AA39" s="451"/>
      <c r="AB39" s="268">
        <f t="shared" si="28"/>
        <v>-594.88888888888846</v>
      </c>
      <c r="AC39" s="61">
        <f t="shared" si="29"/>
        <v>0.57689268215584033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35</v>
      </c>
      <c r="E40" s="240"/>
      <c r="F40" s="56">
        <f>VLOOKUP(D40,廠價表!$C$1:$E$40,3,0)</f>
        <v>56.43</v>
      </c>
      <c r="G40" s="273">
        <v>838</v>
      </c>
      <c r="H40" s="50">
        <f t="shared" si="25"/>
        <v>47288.34</v>
      </c>
      <c r="I40" s="64"/>
      <c r="J40" s="37">
        <f>VLOOKUP(D40,產線配置圖!$A$3:$C$39,2,0)</f>
        <v>15</v>
      </c>
      <c r="K40" s="36">
        <f>VLOOKUP(D40,產線配置圖!$A$3:$C$39,3,0)</f>
        <v>1636</v>
      </c>
      <c r="L40" s="38">
        <f t="shared" si="30"/>
        <v>109.06666666666666</v>
      </c>
      <c r="M40" s="65">
        <v>13</v>
      </c>
      <c r="N40" s="66">
        <f>G40/W40*60</f>
        <v>1197.1428571428592</v>
      </c>
      <c r="O40" s="67">
        <f t="shared" si="33"/>
        <v>92.087912087912244</v>
      </c>
      <c r="P40" s="39">
        <f t="shared" si="31"/>
        <v>-2</v>
      </c>
      <c r="Q40" s="40">
        <f t="shared" si="32"/>
        <v>-16.978754578754419</v>
      </c>
      <c r="R40" s="188">
        <f t="shared" si="27"/>
        <v>0.84432682232193379</v>
      </c>
      <c r="S40" s="420"/>
      <c r="T40" s="59">
        <v>0.46180555555555558</v>
      </c>
      <c r="U40" s="59">
        <v>0.4909722222222222</v>
      </c>
      <c r="V40" s="42">
        <f>(T40-U39)*24*60</f>
        <v>9.000000000000048</v>
      </c>
      <c r="W40" s="69">
        <f t="shared" si="18"/>
        <v>41.999999999999929</v>
      </c>
      <c r="X40" s="70"/>
      <c r="Y40" s="256"/>
      <c r="Z40" s="450"/>
      <c r="AA40" s="451"/>
      <c r="AB40" s="268">
        <f t="shared" si="28"/>
        <v>-438.85714285714084</v>
      </c>
      <c r="AC40" s="61">
        <f t="shared" si="29"/>
        <v>0.73174991267900924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952</v>
      </c>
      <c r="H41" s="50">
        <f t="shared" si="25"/>
        <v>53721.36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si="30"/>
        <v>93.733333333333334</v>
      </c>
      <c r="M41" s="65">
        <v>14</v>
      </c>
      <c r="N41" s="66">
        <f>G41/W41*60</f>
        <v>816.00000000000102</v>
      </c>
      <c r="O41" s="67">
        <f t="shared" si="33"/>
        <v>58.285714285714356</v>
      </c>
      <c r="P41" s="39">
        <f t="shared" si="31"/>
        <v>-1</v>
      </c>
      <c r="Q41" s="40">
        <f t="shared" si="32"/>
        <v>-35.447619047618979</v>
      </c>
      <c r="R41" s="188">
        <f t="shared" si="27"/>
        <v>0.62182483235114883</v>
      </c>
      <c r="S41" s="420"/>
      <c r="T41" s="59">
        <v>0.55555555555555558</v>
      </c>
      <c r="U41" s="59">
        <v>0.60416666666666663</v>
      </c>
      <c r="V41" s="42">
        <f>(T41-U40)*24*60</f>
        <v>93.000000000000071</v>
      </c>
      <c r="W41" s="69">
        <f t="shared" si="18"/>
        <v>69.999999999999915</v>
      </c>
      <c r="X41" s="70">
        <v>0.52777777777777801</v>
      </c>
      <c r="Y41" s="256">
        <v>0.56944444444444398</v>
      </c>
      <c r="Z41" s="450" t="s">
        <v>118</v>
      </c>
      <c r="AA41" s="451"/>
      <c r="AB41" s="268">
        <f t="shared" si="28"/>
        <v>-589.99999999999898</v>
      </c>
      <c r="AC41" s="61">
        <f t="shared" si="29"/>
        <v>0.58036984352773902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18"/>
        <v>0</v>
      </c>
      <c r="X42" s="70"/>
      <c r="Y42" s="60"/>
      <c r="Z42" s="452"/>
      <c r="AA42" s="453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34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5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34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5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34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5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34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5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6">AVERAGE(J38:J47)</f>
        <v>15.75</v>
      </c>
      <c r="K48" s="133">
        <f t="shared" si="36"/>
        <v>1487</v>
      </c>
      <c r="L48" s="136">
        <f t="shared" si="36"/>
        <v>94.813970588235293</v>
      </c>
      <c r="M48" s="133">
        <f t="shared" si="36"/>
        <v>13.5</v>
      </c>
      <c r="N48" s="133">
        <f t="shared" si="36"/>
        <v>939.46349206349305</v>
      </c>
      <c r="O48" s="136">
        <f t="shared" si="36"/>
        <v>69.863125763125822</v>
      </c>
      <c r="P48" s="155">
        <f>M48-J48</f>
        <v>-2.25</v>
      </c>
      <c r="Q48" s="156">
        <f>N48-K48</f>
        <v>-547.53650793650695</v>
      </c>
      <c r="R48" s="157">
        <f>O48/L48</f>
        <v>0.73684421535864442</v>
      </c>
      <c r="S48" s="423"/>
      <c r="T48" s="158"/>
      <c r="U48" s="158"/>
      <c r="V48" s="194"/>
      <c r="W48" s="159">
        <f t="shared" si="35"/>
        <v>0</v>
      </c>
      <c r="X48" s="160"/>
      <c r="Y48" s="160"/>
      <c r="Z48" s="424"/>
      <c r="AA48" s="424"/>
      <c r="AB48" s="161">
        <f>N48-K48</f>
        <v>-547.53650793650695</v>
      </c>
      <c r="AC48" s="189">
        <f>N48/K48</f>
        <v>0.63178446002924882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2114</v>
      </c>
      <c r="H49" s="124">
        <f t="shared" ref="H49:H57" si="37">F49*G49</f>
        <v>120223.18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18</v>
      </c>
      <c r="N49" s="126">
        <f>G49/W49*60</f>
        <v>1243.5294117647063</v>
      </c>
      <c r="O49" s="127">
        <f>N49/M49</f>
        <v>69.084967320261455</v>
      </c>
      <c r="P49" s="162">
        <f>M49-J49</f>
        <v>-1</v>
      </c>
      <c r="Q49" s="111">
        <f>O49-L49</f>
        <v>-13.28345373237012</v>
      </c>
      <c r="R49" s="182">
        <f>O49/L49</f>
        <v>0.83873123264215188</v>
      </c>
      <c r="S49" s="419">
        <f>R58</f>
        <v>0.91969669591310022</v>
      </c>
      <c r="T49" s="149">
        <v>0.29166666666666669</v>
      </c>
      <c r="U49" s="149">
        <v>0.36249999999999999</v>
      </c>
      <c r="V49" s="186"/>
      <c r="W49" s="150">
        <f t="shared" si="18"/>
        <v>101.99999999999996</v>
      </c>
      <c r="X49" s="186"/>
      <c r="Y49" s="186"/>
      <c r="Z49" s="425"/>
      <c r="AA49" s="425"/>
      <c r="AB49" s="110">
        <f>N49-K49</f>
        <v>-321.47058823529369</v>
      </c>
      <c r="AC49" s="182">
        <f>N49/K49</f>
        <v>0.79458748355572284</v>
      </c>
      <c r="AD49" s="411">
        <f>AC58</f>
        <v>0.89472728361707532</v>
      </c>
    </row>
    <row r="50" spans="1:30" ht="15" customHeight="1">
      <c r="A50" s="455"/>
      <c r="B50" s="56" t="str">
        <f>VLOOKUP(D50,廠價表!$C$1:$E$40,2,0)</f>
        <v>熱乾麵</v>
      </c>
      <c r="C50" s="10"/>
      <c r="D50" s="11" t="s">
        <v>46</v>
      </c>
      <c r="E50" s="86"/>
      <c r="F50" s="56">
        <f>VLOOKUP(D50,廠價表!$C$1:$E$40,3,0)</f>
        <v>49.91</v>
      </c>
      <c r="G50" s="66">
        <v>1255</v>
      </c>
      <c r="H50" s="76">
        <f t="shared" si="37"/>
        <v>62637.049999999996</v>
      </c>
      <c r="I50" s="191"/>
      <c r="J50" s="16">
        <f>VLOOKUP(D50,產線配置圖!$A$3:$C$39,2,0)</f>
        <v>17</v>
      </c>
      <c r="K50" s="14">
        <f>VLOOKUP(D50,產線配置圖!$A$3:$C$39,3,0)</f>
        <v>1565</v>
      </c>
      <c r="L50" s="17">
        <f>K50/J50</f>
        <v>92.058823529411768</v>
      </c>
      <c r="M50" s="172">
        <v>17</v>
      </c>
      <c r="N50" s="77">
        <f>G50/W50*60</f>
        <v>1344.6428571428582</v>
      </c>
      <c r="O50" s="78">
        <f>N50/M50</f>
        <v>79.096638655462243</v>
      </c>
      <c r="P50" s="18">
        <f>M50-J50</f>
        <v>0</v>
      </c>
      <c r="Q50" s="19">
        <f>O50-L50</f>
        <v>-12.962184873949525</v>
      </c>
      <c r="R50" s="183">
        <f>O50/L50</f>
        <v>0.85919671382930229</v>
      </c>
      <c r="S50" s="420"/>
      <c r="T50" s="79">
        <v>0.37013888888888891</v>
      </c>
      <c r="U50" s="79">
        <v>0.40902777777777777</v>
      </c>
      <c r="V50" s="175">
        <f t="shared" ref="V50:V52" si="38">(T50-U49)*24*60</f>
        <v>11.000000000000041</v>
      </c>
      <c r="W50" s="80">
        <f t="shared" si="18"/>
        <v>55.999999999999957</v>
      </c>
      <c r="X50" s="22"/>
      <c r="Y50" s="22"/>
      <c r="Z50" s="417"/>
      <c r="AA50" s="418"/>
      <c r="AB50" s="18">
        <f>N50-K50</f>
        <v>-220.35714285714175</v>
      </c>
      <c r="AC50" s="183">
        <f>N50/K50</f>
        <v>0.85919671382930241</v>
      </c>
      <c r="AD50" s="412"/>
    </row>
    <row r="51" spans="1:30" ht="15" customHeight="1">
      <c r="A51" s="455"/>
      <c r="B51" s="56" t="str">
        <f>VLOOKUP(D51,廠價表!$C$1:$E$40,2,0)</f>
        <v>義大利麵</v>
      </c>
      <c r="C51" s="10"/>
      <c r="D51" s="11" t="s">
        <v>59</v>
      </c>
      <c r="E51" s="86"/>
      <c r="F51" s="56">
        <f>VLOOKUP(D51,廠價表!$C$1:$E$40,3,0)</f>
        <v>49.97</v>
      </c>
      <c r="G51" s="66">
        <v>2267</v>
      </c>
      <c r="H51" s="76">
        <f t="shared" si="37"/>
        <v>113281.98999999999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>K51/J51</f>
        <v>88.888888888888886</v>
      </c>
      <c r="M51" s="172">
        <v>18</v>
      </c>
      <c r="N51" s="77">
        <f>G51/W51*60</f>
        <v>1581.6279069767572</v>
      </c>
      <c r="O51" s="78">
        <f>N51/M51</f>
        <v>87.868217054264292</v>
      </c>
      <c r="P51" s="18">
        <f>M51-J51</f>
        <v>0</v>
      </c>
      <c r="Q51" s="19">
        <f>O51-L51</f>
        <v>-1.0206718346245935</v>
      </c>
      <c r="R51" s="183">
        <f>O51/L51</f>
        <v>0.9885174418604733</v>
      </c>
      <c r="S51" s="420"/>
      <c r="T51" s="79">
        <v>0.41597222222222224</v>
      </c>
      <c r="U51" s="44">
        <v>0.47569444444444398</v>
      </c>
      <c r="V51" s="175">
        <f t="shared" si="38"/>
        <v>10.000000000000044</v>
      </c>
      <c r="W51" s="80">
        <f t="shared" si="18"/>
        <v>85.999999999999289</v>
      </c>
      <c r="X51" s="22"/>
      <c r="Y51" s="22"/>
      <c r="Z51" s="405"/>
      <c r="AA51" s="405"/>
      <c r="AB51" s="18">
        <f>N51-K51</f>
        <v>-18.372093023242769</v>
      </c>
      <c r="AC51" s="183">
        <f>N51/K51</f>
        <v>0.9885174418604733</v>
      </c>
      <c r="AD51" s="412"/>
    </row>
    <row r="52" spans="1:30" ht="15" customHeight="1">
      <c r="A52" s="455"/>
      <c r="B52" s="56" t="str">
        <f>VLOOKUP(D52,廠價表!$C$1:$E$40,2,0)</f>
        <v>義大利麵</v>
      </c>
      <c r="C52" s="23"/>
      <c r="D52" s="11" t="s">
        <v>59</v>
      </c>
      <c r="E52" s="12"/>
      <c r="F52" s="56">
        <f>VLOOKUP(D52,廠價表!$C$1:$E$40,3,0)</f>
        <v>49.97</v>
      </c>
      <c r="G52" s="66">
        <v>3386</v>
      </c>
      <c r="H52" s="76">
        <f t="shared" si="37"/>
        <v>169198.41999999998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>K52/J52</f>
        <v>88.888888888888886</v>
      </c>
      <c r="M52" s="172">
        <v>17</v>
      </c>
      <c r="N52" s="77">
        <f>G52/W52*60</f>
        <v>1493.8235294117649</v>
      </c>
      <c r="O52" s="78">
        <f>N52/M52</f>
        <v>87.871972318339104</v>
      </c>
      <c r="P52" s="18">
        <f>M52-J52</f>
        <v>-1</v>
      </c>
      <c r="Q52" s="19">
        <f>O52-L52</f>
        <v>-1.0169165705497818</v>
      </c>
      <c r="R52" s="183">
        <f>O52/L52</f>
        <v>0.98855968858131493</v>
      </c>
      <c r="S52" s="420"/>
      <c r="T52" s="79">
        <v>0.53472222222222221</v>
      </c>
      <c r="U52" s="79">
        <v>0.62916666666666665</v>
      </c>
      <c r="V52" s="175">
        <f t="shared" si="38"/>
        <v>85.000000000000654</v>
      </c>
      <c r="W52" s="80">
        <f t="shared" si="18"/>
        <v>136</v>
      </c>
      <c r="X52" s="22">
        <v>0.48958333333333298</v>
      </c>
      <c r="Y52" s="22">
        <v>0.53125</v>
      </c>
      <c r="Z52" s="405"/>
      <c r="AA52" s="405"/>
      <c r="AB52" s="18">
        <f>N52-K52</f>
        <v>-106.17647058823513</v>
      </c>
      <c r="AC52" s="183">
        <f>N52/K52</f>
        <v>0.93363970588235301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79"/>
      <c r="U53" s="79"/>
      <c r="V53" s="175"/>
      <c r="W53" s="80">
        <f t="shared" si="18"/>
        <v>0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37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8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7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7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7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39">AVERAGE(J49:J57)</f>
        <v>18</v>
      </c>
      <c r="K58" s="117">
        <f t="shared" si="39"/>
        <v>1582.5</v>
      </c>
      <c r="L58" s="114">
        <f t="shared" si="39"/>
        <v>88.051255589955275</v>
      </c>
      <c r="M58" s="117">
        <f t="shared" si="39"/>
        <v>17.5</v>
      </c>
      <c r="N58" s="117">
        <f t="shared" si="39"/>
        <v>1415.9059263240217</v>
      </c>
      <c r="O58" s="114">
        <f t="shared" si="39"/>
        <v>80.980448837081767</v>
      </c>
      <c r="P58" s="118">
        <f>M58-J58</f>
        <v>-0.5</v>
      </c>
      <c r="Q58" s="119">
        <f>N58-K58</f>
        <v>-166.59407367597828</v>
      </c>
      <c r="R58" s="120">
        <f t="shared" ref="R58:R60" si="40">O58/L58</f>
        <v>0.91969669591310022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41">N58-K58</f>
        <v>-166.59407367597828</v>
      </c>
      <c r="AC58" s="185">
        <f t="shared" ref="AC58:AC63" si="42">N58/K58</f>
        <v>0.89472728361707532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4203</v>
      </c>
      <c r="H59" s="105">
        <f t="shared" ref="H59:H68" si="43">F59*G59</f>
        <v>113438.96999999999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0" si="44">G59/W59*60</f>
        <v>1556.666666666667</v>
      </c>
      <c r="O59" s="108">
        <f t="shared" ref="O59:O60" si="45">N59/M59</f>
        <v>119.74358974358977</v>
      </c>
      <c r="P59" s="110">
        <f t="shared" ref="P59:P60" si="46">M59-J59</f>
        <v>0</v>
      </c>
      <c r="Q59" s="111">
        <f t="shared" ref="Q59:Q60" si="47">O59-L59</f>
        <v>-0.64102564102562098</v>
      </c>
      <c r="R59" s="182">
        <f t="shared" si="40"/>
        <v>0.99467518636847729</v>
      </c>
      <c r="S59" s="419">
        <f>R69</f>
        <v>0.91576015567746494</v>
      </c>
      <c r="T59" s="167">
        <v>0.2902777777777778</v>
      </c>
      <c r="U59" s="167">
        <v>0.40277777777777779</v>
      </c>
      <c r="V59" s="186"/>
      <c r="W59" s="106">
        <f t="shared" si="18"/>
        <v>161.99999999999997</v>
      </c>
      <c r="X59" s="186"/>
      <c r="Y59" s="186"/>
      <c r="Z59" s="469"/>
      <c r="AA59" s="434"/>
      <c r="AB59" s="223">
        <f t="shared" si="41"/>
        <v>-8.3333333333330302</v>
      </c>
      <c r="AC59" s="224">
        <f t="shared" si="42"/>
        <v>0.99467518636847729</v>
      </c>
      <c r="AD59" s="411">
        <f>AC69</f>
        <v>0.91727775242152287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64</v>
      </c>
      <c r="E60" s="12"/>
      <c r="F60" s="56">
        <f>VLOOKUP(D60,廠價表!$C$1:$E$40,3,0)</f>
        <v>28.26</v>
      </c>
      <c r="G60" s="175">
        <v>611</v>
      </c>
      <c r="H60" s="15">
        <f t="shared" si="43"/>
        <v>17266.86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4"/>
        <v>1357.7777777777746</v>
      </c>
      <c r="O60" s="17">
        <f t="shared" si="45"/>
        <v>113.14814814814788</v>
      </c>
      <c r="P60" s="18">
        <f t="shared" si="46"/>
        <v>0</v>
      </c>
      <c r="Q60" s="19">
        <f t="shared" si="47"/>
        <v>-17.268518518518775</v>
      </c>
      <c r="R60" s="183">
        <f t="shared" si="40"/>
        <v>0.86758963436279535</v>
      </c>
      <c r="S60" s="474"/>
      <c r="T60" s="20">
        <v>0.41180555555555554</v>
      </c>
      <c r="U60" s="20">
        <v>0.43055555555555558</v>
      </c>
      <c r="V60" s="175">
        <f t="shared" ref="V60:V61" si="48">(T60-U59)*24*60</f>
        <v>12.999999999999954</v>
      </c>
      <c r="W60" s="90">
        <f t="shared" si="18"/>
        <v>27.000000000000064</v>
      </c>
      <c r="X60" s="191"/>
      <c r="Y60" s="191"/>
      <c r="Z60" s="405"/>
      <c r="AA60" s="405"/>
      <c r="AB60" s="225">
        <f t="shared" si="41"/>
        <v>-207.22222222222535</v>
      </c>
      <c r="AC60" s="226">
        <f t="shared" si="42"/>
        <v>0.86758963436279535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63</v>
      </c>
      <c r="E61" s="86"/>
      <c r="F61" s="56">
        <f>VLOOKUP(D61,廠價表!$C$1:$E$40,3,0)</f>
        <v>28.47</v>
      </c>
      <c r="G61" s="175">
        <v>1591</v>
      </c>
      <c r="H61" s="15">
        <f>F61*G61</f>
        <v>45295.77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>G61/W61*60</f>
        <v>1363.714285714286</v>
      </c>
      <c r="O61" s="17">
        <f>N61/M61</f>
        <v>113.64285714285717</v>
      </c>
      <c r="P61" s="18">
        <f>M61-J61</f>
        <v>0</v>
      </c>
      <c r="Q61" s="19">
        <f>O61-L61</f>
        <v>-16.77380952380949</v>
      </c>
      <c r="R61" s="183">
        <f>O61/L61</f>
        <v>0.87138293016887292</v>
      </c>
      <c r="S61" s="420"/>
      <c r="T61" s="20">
        <v>0.44791666666666669</v>
      </c>
      <c r="U61" s="20">
        <v>0.49652777777777779</v>
      </c>
      <c r="V61" s="175">
        <f t="shared" si="48"/>
        <v>24.999999999999993</v>
      </c>
      <c r="W61" s="88">
        <f t="shared" si="18"/>
        <v>69.999999999999986</v>
      </c>
      <c r="X61" s="22"/>
      <c r="Y61" s="22"/>
      <c r="Z61" s="405"/>
      <c r="AA61" s="405"/>
      <c r="AB61" s="51">
        <f t="shared" si="41"/>
        <v>-201.28571428571399</v>
      </c>
      <c r="AC61" s="52">
        <f t="shared" si="42"/>
        <v>0.8713829301688728</v>
      </c>
      <c r="AD61" s="412"/>
    </row>
    <row r="62" spans="1:30" ht="15" customHeight="1">
      <c r="A62" s="472"/>
      <c r="B62" s="56" t="str">
        <f>VLOOKUP(D62,廠價表!$C$1:$E$40,2,0)</f>
        <v>小吃、微波</v>
      </c>
      <c r="C62" s="10"/>
      <c r="D62" s="239" t="s">
        <v>64</v>
      </c>
      <c r="E62" s="86"/>
      <c r="F62" s="56">
        <f>VLOOKUP(D62,廠價表!$C$1:$E$40,3,0)</f>
        <v>28.26</v>
      </c>
      <c r="G62" s="175">
        <v>732</v>
      </c>
      <c r="H62" s="15">
        <f>F62*G62</f>
        <v>20686.32</v>
      </c>
      <c r="I62" s="175"/>
      <c r="J62" s="16">
        <f>VLOOKUP(D62,產線配置圖!$A$3:$C$39,2,0)</f>
        <v>12</v>
      </c>
      <c r="K62" s="14">
        <f>VLOOKUP(D62,產線配置圖!$A$3:$C$39,3,0)</f>
        <v>1565</v>
      </c>
      <c r="L62" s="17">
        <f>K62/J62</f>
        <v>130.41666666666666</v>
      </c>
      <c r="M62" s="178">
        <v>12</v>
      </c>
      <c r="N62" s="14">
        <f>G62/W62*60</f>
        <v>1464.0000000000052</v>
      </c>
      <c r="O62" s="17">
        <f>N62/M62</f>
        <v>122.00000000000044</v>
      </c>
      <c r="P62" s="18">
        <f>M62-J62</f>
        <v>0</v>
      </c>
      <c r="Q62" s="19">
        <f>O62-L62</f>
        <v>-8.4166666666662167</v>
      </c>
      <c r="R62" s="183">
        <f>O62/L62</f>
        <v>0.93546325878594594</v>
      </c>
      <c r="S62" s="420"/>
      <c r="T62" s="196">
        <v>0.54861111111111116</v>
      </c>
      <c r="U62" s="196">
        <v>0.56944444444444442</v>
      </c>
      <c r="V62" s="175"/>
      <c r="W62" s="90">
        <f t="shared" si="18"/>
        <v>29.999999999999893</v>
      </c>
      <c r="X62" s="22"/>
      <c r="Y62" s="22"/>
      <c r="Z62" s="405"/>
      <c r="AA62" s="405"/>
      <c r="AB62" s="51">
        <f t="shared" si="41"/>
        <v>-100.99999999999477</v>
      </c>
      <c r="AC62" s="52">
        <f t="shared" si="42"/>
        <v>0.93546325878594583</v>
      </c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8"/>
        <v>0</v>
      </c>
      <c r="X63" s="84"/>
      <c r="Y63" s="84"/>
      <c r="Z63" s="405"/>
      <c r="AA63" s="405"/>
      <c r="AB63" s="51">
        <f t="shared" si="41"/>
        <v>0</v>
      </c>
      <c r="AC63" s="52" t="e">
        <f t="shared" si="42"/>
        <v>#DIV/0!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43"/>
        <v>0</v>
      </c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3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49">AVERAGE(J59:J68)</f>
        <v>12.25</v>
      </c>
      <c r="K69" s="164">
        <f t="shared" si="49"/>
        <v>1565</v>
      </c>
      <c r="L69" s="169">
        <f t="shared" si="49"/>
        <v>127.90865384615384</v>
      </c>
      <c r="M69" s="164">
        <f t="shared" si="49"/>
        <v>12.25</v>
      </c>
      <c r="N69" s="164">
        <f t="shared" si="49"/>
        <v>1435.5396825396833</v>
      </c>
      <c r="O69" s="169">
        <f t="shared" si="49"/>
        <v>117.13364875864882</v>
      </c>
      <c r="P69" s="170">
        <f>M69-J69</f>
        <v>0</v>
      </c>
      <c r="Q69" s="156">
        <f>N69-K69</f>
        <v>-129.46031746031667</v>
      </c>
      <c r="R69" s="120">
        <f>O69/L69</f>
        <v>0.91576015567746494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-129.46031746031667</v>
      </c>
      <c r="AC69" s="185">
        <f>N69/K69</f>
        <v>0.91727775242152287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8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8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0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0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0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0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0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 t="e">
        <f>AVERAGE(J70:J78)</f>
        <v>#DIV/0!</v>
      </c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298" priority="1" operator="greaterThan">
      <formula>0</formula>
    </cfRule>
  </conditionalFormatting>
  <conditionalFormatting sqref="Q5:Q79 AB5:AB79">
    <cfRule type="cellIs" dxfId="297" priority="4" operator="lessThan">
      <formula>0</formula>
    </cfRule>
  </conditionalFormatting>
  <conditionalFormatting sqref="R5:R79 AC5:AC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D59:AD62 S69:S76 AD69:AD76">
    <cfRule type="cellIs" dxfId="294" priority="7" operator="lessThan">
      <formula>0.8</formula>
    </cfRule>
  </conditionalFormatting>
  <conditionalFormatting sqref="S19:S25 AD19:AD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D5:AD8 S15:S16 AD15:AD16 AD49 AD79">
    <cfRule type="cellIs" dxfId="291" priority="9" operator="lessThan">
      <formula>0.8</formula>
    </cfRule>
  </conditionalFormatting>
  <conditionalFormatting sqref="AD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I18" sqref="I18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45994</v>
      </c>
      <c r="E3" s="357"/>
      <c r="F3" s="202" t="s">
        <v>84</v>
      </c>
      <c r="G3" s="358">
        <f>'1203'!E1</f>
        <v>45862</v>
      </c>
      <c r="H3" s="358"/>
      <c r="I3" s="202" t="s">
        <v>2</v>
      </c>
      <c r="J3" s="359">
        <f>'1203'!G1</f>
        <v>2223447.21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116.69564750866608</v>
      </c>
      <c r="G6" s="367"/>
      <c r="H6" s="360">
        <f>AVERAGE(D13:H13)</f>
        <v>114.75400777963007</v>
      </c>
      <c r="I6" s="360"/>
      <c r="J6" s="360">
        <f>AVERAGE(I13:J13)</f>
        <v>126.40384615384615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90.855170442803797</v>
      </c>
      <c r="G7" s="362"/>
      <c r="H7" s="363">
        <f>AVERAGE(D14:H14)</f>
        <v>89.849162955521351</v>
      </c>
      <c r="I7" s="363"/>
      <c r="J7" s="363">
        <f>AVERAGE(I14:J14)</f>
        <v>95.885207879216026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0.77292090549225501</v>
      </c>
      <c r="G8" s="364"/>
      <c r="H8" s="364">
        <f>AVERAGE(D15:H15)</f>
        <v>0.77579260188907107</v>
      </c>
      <c r="I8" s="364"/>
      <c r="J8" s="364">
        <f>AVERAGE(I15:J15)</f>
        <v>0.75856242350817493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VALUE('1203'!L15)</f>
        <v>136.91288084464554</v>
      </c>
      <c r="E13" s="213">
        <f>VALUE('1203'!L26)</f>
        <v>162.27564102564102</v>
      </c>
      <c r="F13" s="213">
        <f>VALUE('1203'!L37)</f>
        <v>92.212418300653596</v>
      </c>
      <c r="G13" s="213">
        <f>VALUE('1203'!L48)</f>
        <v>94.317843137254897</v>
      </c>
      <c r="H13" s="213">
        <f>VALUE('1203'!L58)</f>
        <v>88.051255589955289</v>
      </c>
      <c r="I13" s="213">
        <f>VALUE('1203'!L69)</f>
        <v>126.40384615384615</v>
      </c>
      <c r="J13" s="213"/>
    </row>
    <row r="14" spans="2:15" ht="40" customHeight="1">
      <c r="B14" s="376"/>
      <c r="C14" s="212" t="s">
        <v>106</v>
      </c>
      <c r="D14" s="213">
        <f>VALUE('1203'!O15)</f>
        <v>97.725065212427438</v>
      </c>
      <c r="E14" s="213">
        <f>VALUE('1203'!O26)</f>
        <v>144.0849079782007</v>
      </c>
      <c r="F14" s="213">
        <f>VALUE('1203'!O37)</f>
        <v>62.117994623827755</v>
      </c>
      <c r="G14" s="213">
        <f>VALUE('1203'!O48)</f>
        <v>61.932876293195974</v>
      </c>
      <c r="H14" s="213">
        <f>VALUE('1203'!O58)</f>
        <v>83.384970669954896</v>
      </c>
      <c r="I14" s="213">
        <f>VALUE('1203'!O69)</f>
        <v>95.885207879216026</v>
      </c>
      <c r="J14" s="213"/>
    </row>
    <row r="15" spans="2:15" ht="40" customHeight="1">
      <c r="B15" s="377"/>
      <c r="C15" s="210" t="s">
        <v>23</v>
      </c>
      <c r="D15" s="231">
        <f>D14/D13</f>
        <v>0.71377553820750916</v>
      </c>
      <c r="E15" s="231">
        <f t="shared" ref="E15:I15" si="0">E14/E13</f>
        <v>0.88790225734146988</v>
      </c>
      <c r="F15" s="231">
        <f t="shared" si="0"/>
        <v>0.6736402294677426</v>
      </c>
      <c r="G15" s="231">
        <f t="shared" si="0"/>
        <v>0.65664008243985084</v>
      </c>
      <c r="H15" s="231">
        <f t="shared" si="0"/>
        <v>0.94700490198878307</v>
      </c>
      <c r="I15" s="231">
        <f t="shared" si="0"/>
        <v>0.75856242350817493</v>
      </c>
      <c r="J15" s="231"/>
    </row>
    <row r="16" spans="2:15" ht="17.25" customHeight="1">
      <c r="B16" s="378" t="s">
        <v>107</v>
      </c>
      <c r="C16" s="210" t="s">
        <v>29</v>
      </c>
      <c r="D16" s="95">
        <f>'1203'!T5</f>
        <v>0.2902777777777778</v>
      </c>
      <c r="E16" s="95">
        <f>'1203'!T16</f>
        <v>0.2902777777777778</v>
      </c>
      <c r="F16" s="95">
        <f>'1203'!T27</f>
        <v>0.29166666666666702</v>
      </c>
      <c r="G16" s="95">
        <f>'1203'!T38</f>
        <v>0.33333333333333331</v>
      </c>
      <c r="H16" s="95">
        <f>'1203'!T49</f>
        <v>0.2902777777777778</v>
      </c>
      <c r="I16" s="95">
        <f>'1203'!T59</f>
        <v>0.29166666666666669</v>
      </c>
      <c r="J16" s="269"/>
    </row>
    <row r="17" spans="2:10" ht="17.25" customHeight="1">
      <c r="B17" s="379"/>
      <c r="C17" s="210" t="s">
        <v>30</v>
      </c>
      <c r="D17" s="95">
        <v>0.70833333333333304</v>
      </c>
      <c r="E17" s="41">
        <v>0.59583333333333333</v>
      </c>
      <c r="F17" s="41">
        <v>0.64583333333333337</v>
      </c>
      <c r="G17" s="59">
        <v>0.63680555555555551</v>
      </c>
      <c r="H17" s="79">
        <v>0.63055555555555554</v>
      </c>
      <c r="I17" s="196">
        <v>0.62152777777777779</v>
      </c>
      <c r="J17" s="20"/>
    </row>
    <row r="18" spans="2:10" ht="17.25" customHeight="1">
      <c r="B18" s="365" t="s">
        <v>108</v>
      </c>
      <c r="C18" s="366"/>
      <c r="D18" s="214">
        <f>VALUE('1203'!M15)</f>
        <v>14.2</v>
      </c>
      <c r="E18" s="214">
        <f>VALUE('1203'!M26)</f>
        <v>12.5</v>
      </c>
      <c r="F18" s="214">
        <f>VALUE('1203'!M37)</f>
        <v>15.4</v>
      </c>
      <c r="G18" s="214">
        <f>VALUE('1203'!M48)</f>
        <v>15</v>
      </c>
      <c r="H18" s="214">
        <f>VALUE('1203'!M58)</f>
        <v>16.5</v>
      </c>
      <c r="I18" s="214">
        <f>VALUE('1203'!M69)</f>
        <v>12.4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U62" activePane="bottomRight" state="frozen"/>
      <selection activeCell="I18" sqref="I18"/>
      <selection pane="topRight" activeCell="I18" sqref="I18"/>
      <selection pane="bottomLeft" activeCell="I18" sqref="I18"/>
      <selection pane="bottomRight" activeCell="V63" activeCellId="15" sqref="Z8:AA8 V6 V7 V9 V17 V18 V28 V29 V30 V39 V40 V50 V52 V60 V61 V63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45862</v>
      </c>
      <c r="F1" s="175" t="s">
        <v>2</v>
      </c>
      <c r="G1" s="4">
        <f>SUM(H5:H79)</f>
        <v>2223447.21</v>
      </c>
      <c r="H1" s="173" t="s">
        <v>3</v>
      </c>
      <c r="I1" s="5">
        <f>M15+M26+M48+M58+M69+M79+M37</f>
        <v>86.000000000000014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119</v>
      </c>
      <c r="B2" s="404"/>
      <c r="C2" s="174"/>
      <c r="D2" s="174" t="s">
        <v>11</v>
      </c>
      <c r="E2" s="7">
        <f>AVERAGE(O15,O26,O37,O48,O58,O69,O79)</f>
        <v>90.855170442803797</v>
      </c>
      <c r="F2" s="8" t="s">
        <v>12</v>
      </c>
      <c r="G2" s="9">
        <f>G1/E1</f>
        <v>48.481252671056644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1421</v>
      </c>
      <c r="H5" s="318">
        <f>F5*G5</f>
        <v>81295.41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9" si="0">G5/W5*60</f>
        <v>1776.2500000000005</v>
      </c>
      <c r="O5" s="322">
        <f t="shared" ref="O5:O9" si="1">N5/M5</f>
        <v>136.63461538461542</v>
      </c>
      <c r="P5" s="324">
        <f t="shared" ref="P5:P9" si="2">M5-J5</f>
        <v>0</v>
      </c>
      <c r="Q5" s="325">
        <f t="shared" ref="Q5:Q9" si="3">O5-L5</f>
        <v>-25.288461538461519</v>
      </c>
      <c r="R5" s="326">
        <f t="shared" ref="R5:R9" si="4">O5/L5</f>
        <v>0.84382422802850365</v>
      </c>
      <c r="S5" s="419">
        <f>R15</f>
        <v>0.71377553820750916</v>
      </c>
      <c r="T5" s="327">
        <v>0.2902777777777778</v>
      </c>
      <c r="U5" s="328">
        <v>0.32361111111111113</v>
      </c>
      <c r="V5" s="192"/>
      <c r="W5" s="106">
        <f t="shared" ref="W5:W14" si="5">(U5-T5)*24*60</f>
        <v>47.999999999999986</v>
      </c>
      <c r="X5" s="186"/>
      <c r="Y5" s="186"/>
      <c r="Z5" s="425"/>
      <c r="AA5" s="425"/>
      <c r="AB5" s="110">
        <f>N5-K5</f>
        <v>-328.74999999999955</v>
      </c>
      <c r="AC5" s="182">
        <f>N5/K5</f>
        <v>0.84382422802850376</v>
      </c>
      <c r="AD5" s="411">
        <f>AC15</f>
        <v>0.71878282061583276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33</v>
      </c>
      <c r="E6" s="248"/>
      <c r="F6" s="305">
        <f>VLOOKUP(D6,廠價表!$C$1:$E$40,3,0)</f>
        <v>57.21</v>
      </c>
      <c r="G6" s="306">
        <v>1773</v>
      </c>
      <c r="H6" s="307">
        <f>F6*G6</f>
        <v>101433.33</v>
      </c>
      <c r="I6" s="308"/>
      <c r="J6" s="309">
        <f>VLOOKUP(D6,產線配置圖!$A$3:$C$39,2,0)</f>
        <v>17</v>
      </c>
      <c r="K6" s="306">
        <v>1800</v>
      </c>
      <c r="L6" s="310">
        <f>K6/J6</f>
        <v>105.88235294117646</v>
      </c>
      <c r="M6" s="311">
        <v>17</v>
      </c>
      <c r="N6" s="306">
        <f t="shared" si="0"/>
        <v>1611.8181818181934</v>
      </c>
      <c r="O6" s="310">
        <f t="shared" si="1"/>
        <v>94.812834224599612</v>
      </c>
      <c r="P6" s="312">
        <f t="shared" si="2"/>
        <v>0</v>
      </c>
      <c r="Q6" s="313">
        <f t="shared" si="3"/>
        <v>-11.069518716576852</v>
      </c>
      <c r="R6" s="314">
        <f t="shared" si="4"/>
        <v>0.89545454545455194</v>
      </c>
      <c r="S6" s="420"/>
      <c r="T6" s="267">
        <v>0.33888888888888902</v>
      </c>
      <c r="U6" s="267">
        <v>0.38472222222222202</v>
      </c>
      <c r="V6" s="175">
        <f>(T6-U5)*24*60</f>
        <v>22.000000000000163</v>
      </c>
      <c r="W6" s="180">
        <f t="shared" si="5"/>
        <v>65.999999999999531</v>
      </c>
      <c r="X6" s="22"/>
      <c r="Y6" s="22"/>
      <c r="Z6" s="391"/>
      <c r="AA6" s="391"/>
      <c r="AB6" s="18">
        <f>N6-K6</f>
        <v>-188.18181818180665</v>
      </c>
      <c r="AC6" s="183">
        <f>N6/K6</f>
        <v>0.89545454545455183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34</v>
      </c>
      <c r="E7" s="86"/>
      <c r="F7" s="56">
        <f>VLOOKUP(D7,廠價表!$C$1:$E$40,3,0)</f>
        <v>49.14</v>
      </c>
      <c r="G7" s="25">
        <v>1095</v>
      </c>
      <c r="H7" s="15">
        <f t="shared" ref="H7:H9" si="6">F7*G7</f>
        <v>53808.3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529.83870967741984</v>
      </c>
      <c r="O7" s="17">
        <f t="shared" si="1"/>
        <v>40.756823821339985</v>
      </c>
      <c r="P7" s="18">
        <f t="shared" si="2"/>
        <v>0</v>
      </c>
      <c r="Q7" s="19">
        <f t="shared" si="3"/>
        <v>-113.08933002481385</v>
      </c>
      <c r="R7" s="183">
        <f t="shared" si="4"/>
        <v>0.26491935483870993</v>
      </c>
      <c r="S7" s="420"/>
      <c r="T7" s="95">
        <v>0.39236111111111099</v>
      </c>
      <c r="U7" s="95">
        <v>0.47847222222222202</v>
      </c>
      <c r="V7" s="175">
        <f>(T7-U6)*24*60</f>
        <v>11.000000000000121</v>
      </c>
      <c r="W7" s="180">
        <f t="shared" si="5"/>
        <v>123.99999999999989</v>
      </c>
      <c r="X7" s="22"/>
      <c r="Y7" s="22"/>
      <c r="Z7" s="405" t="s">
        <v>120</v>
      </c>
      <c r="AA7" s="405"/>
      <c r="AB7" s="18">
        <f>N7-K7</f>
        <v>-1470.16129032258</v>
      </c>
      <c r="AC7" s="183">
        <f>N7/K7</f>
        <v>0.26491935483870993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35</v>
      </c>
      <c r="E8" s="86"/>
      <c r="F8" s="56">
        <f>VLOOKUP(D8,廠價表!$C$1:$E$40,3,0)</f>
        <v>56.43</v>
      </c>
      <c r="G8" s="25">
        <v>601</v>
      </c>
      <c r="H8" s="15">
        <f t="shared" si="6"/>
        <v>33914.43</v>
      </c>
      <c r="I8" s="180"/>
      <c r="J8" s="16">
        <f>VLOOKUP(D8,產線配置圖!$A$3:$C$39,2,0)</f>
        <v>15</v>
      </c>
      <c r="K8" s="14">
        <f>VLOOKUP(D8,產線配置圖!$A$3:$C$39,3,0)</f>
        <v>1636</v>
      </c>
      <c r="L8" s="17">
        <f>K8/J8</f>
        <v>109.06666666666666</v>
      </c>
      <c r="M8" s="178">
        <v>15</v>
      </c>
      <c r="N8" s="14">
        <f t="shared" si="0"/>
        <v>948.94736842108387</v>
      </c>
      <c r="O8" s="17">
        <f t="shared" si="1"/>
        <v>63.263157894738924</v>
      </c>
      <c r="P8" s="18">
        <f t="shared" si="2"/>
        <v>0</v>
      </c>
      <c r="Q8" s="19">
        <f t="shared" si="3"/>
        <v>-45.803508771927739</v>
      </c>
      <c r="R8" s="183">
        <f t="shared" si="4"/>
        <v>0.58004117874149386</v>
      </c>
      <c r="S8" s="420"/>
      <c r="T8" s="95">
        <v>0.59930555555555598</v>
      </c>
      <c r="U8" s="95">
        <v>0.625694444444444</v>
      </c>
      <c r="V8" s="175">
        <f t="shared" ref="V8:V9" si="7">(T8-U7)*24*60</f>
        <v>174.00000000000091</v>
      </c>
      <c r="W8" s="180">
        <f t="shared" si="5"/>
        <v>37.999999999998749</v>
      </c>
      <c r="X8" s="22"/>
      <c r="Y8" s="260"/>
      <c r="Z8" s="416" t="s">
        <v>55</v>
      </c>
      <c r="AA8" s="416"/>
      <c r="AB8" s="18">
        <f>N8-K8</f>
        <v>-687.05263157891613</v>
      </c>
      <c r="AC8" s="183">
        <f>N8/K8</f>
        <v>0.58004117874149386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3783</v>
      </c>
      <c r="H9" s="15">
        <f t="shared" si="6"/>
        <v>185896.62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>K9/J9</f>
        <v>153.84615384615384</v>
      </c>
      <c r="M9" s="178">
        <v>13</v>
      </c>
      <c r="N9" s="14">
        <f t="shared" si="0"/>
        <v>1991.0526315789625</v>
      </c>
      <c r="O9" s="17">
        <f t="shared" si="1"/>
        <v>153.15789473684328</v>
      </c>
      <c r="P9" s="18">
        <f t="shared" si="2"/>
        <v>0</v>
      </c>
      <c r="Q9" s="19">
        <f t="shared" si="3"/>
        <v>-0.68825910931056455</v>
      </c>
      <c r="R9" s="183">
        <f t="shared" si="4"/>
        <v>0.99552631578948136</v>
      </c>
      <c r="S9" s="421"/>
      <c r="T9" s="95">
        <v>0.62916666666666698</v>
      </c>
      <c r="U9" s="95">
        <v>0.70833333333333304</v>
      </c>
      <c r="V9" s="175">
        <f t="shared" si="7"/>
        <v>5.0000000000011013</v>
      </c>
      <c r="W9" s="180">
        <f t="shared" si="5"/>
        <v>113.99999999999912</v>
      </c>
      <c r="X9" s="22">
        <v>0.48958333333333298</v>
      </c>
      <c r="Y9" s="260">
        <v>0.53125</v>
      </c>
      <c r="Z9" s="416"/>
      <c r="AA9" s="416"/>
      <c r="AB9" s="18">
        <f>N9-K9</f>
        <v>-8.9473684210374813</v>
      </c>
      <c r="AC9" s="183">
        <f>N9/K9</f>
        <v>0.99552631578948125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8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14.2</v>
      </c>
      <c r="K15" s="117">
        <f t="shared" si="9"/>
        <v>1908.2</v>
      </c>
      <c r="L15" s="114">
        <f t="shared" si="9"/>
        <v>136.91288084464554</v>
      </c>
      <c r="M15" s="117">
        <f t="shared" si="9"/>
        <v>14.2</v>
      </c>
      <c r="N15" s="117">
        <f t="shared" si="9"/>
        <v>1371.5813782991322</v>
      </c>
      <c r="O15" s="114">
        <f t="shared" si="9"/>
        <v>97.725065212427438</v>
      </c>
      <c r="P15" s="118">
        <f t="shared" ref="P15:P19" si="10">M15-J15</f>
        <v>0</v>
      </c>
      <c r="Q15" s="119">
        <f t="shared" ref="Q15:Q19" si="11">O15-L15</f>
        <v>-39.187815632218104</v>
      </c>
      <c r="R15" s="120">
        <f t="shared" ref="R15:R19" si="12">O15/L15</f>
        <v>0.71377553820750916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3">N15-K15</f>
        <v>-536.61862170086783</v>
      </c>
      <c r="AC15" s="185">
        <f t="shared" ref="AC15:AC20" si="14">N15/K15</f>
        <v>0.71878282061583276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1195</v>
      </c>
      <c r="H16" s="124">
        <f t="shared" ref="H16:H25" si="15">F16*G16</f>
        <v>68365.95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6">K16/J16</f>
        <v>161.92307692307693</v>
      </c>
      <c r="M16" s="264">
        <v>13</v>
      </c>
      <c r="N16" s="126">
        <f t="shared" ref="N16:N19" si="17">G16/W16*60</f>
        <v>1707.1428571428601</v>
      </c>
      <c r="O16" s="127">
        <f>N16/M16</f>
        <v>131.31868131868154</v>
      </c>
      <c r="P16" s="128">
        <f>M16-J16</f>
        <v>0</v>
      </c>
      <c r="Q16" s="129">
        <f t="shared" si="11"/>
        <v>-30.604395604395393</v>
      </c>
      <c r="R16" s="187">
        <f>O16/L16</f>
        <v>0.81099423142178617</v>
      </c>
      <c r="S16" s="431">
        <f>R26</f>
        <v>0.88790225734146988</v>
      </c>
      <c r="T16" s="265">
        <v>0.2902777777777778</v>
      </c>
      <c r="U16" s="265">
        <v>0.31944444444444442</v>
      </c>
      <c r="V16" s="125"/>
      <c r="W16" s="130">
        <f t="shared" ref="W16:W78" si="18">(U16-T16)*24*60</f>
        <v>41.999999999999929</v>
      </c>
      <c r="X16" s="127"/>
      <c r="Y16" s="127"/>
      <c r="Z16" s="425"/>
      <c r="AA16" s="425"/>
      <c r="AB16" s="110">
        <f t="shared" si="13"/>
        <v>-397.85714285713993</v>
      </c>
      <c r="AC16" s="182">
        <f t="shared" si="14"/>
        <v>0.81099423142178628</v>
      </c>
      <c r="AD16" s="411">
        <f>AC26</f>
        <v>0.88829901234318898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3959</v>
      </c>
      <c r="H17" s="15">
        <f t="shared" si="15"/>
        <v>200602.53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 t="shared" si="17"/>
        <v>1979.5000000000005</v>
      </c>
      <c r="O17" s="38">
        <f t="shared" ref="O17:O19" si="19">N17/M17</f>
        <v>152.2692307692308</v>
      </c>
      <c r="P17" s="39">
        <f t="shared" si="10"/>
        <v>0</v>
      </c>
      <c r="Q17" s="40">
        <f t="shared" si="11"/>
        <v>-1.5769230769230376</v>
      </c>
      <c r="R17" s="188">
        <f t="shared" si="12"/>
        <v>0.98975000000000024</v>
      </c>
      <c r="S17" s="432"/>
      <c r="T17" s="41">
        <v>0.3298611111111111</v>
      </c>
      <c r="U17" s="41">
        <v>0.41319444444444442</v>
      </c>
      <c r="V17" s="175">
        <f>(T17-U16)*24*60</f>
        <v>15.000000000000027</v>
      </c>
      <c r="W17" s="43">
        <f t="shared" si="18"/>
        <v>119.99999999999997</v>
      </c>
      <c r="X17" s="44"/>
      <c r="Y17" s="44"/>
      <c r="Z17" s="391"/>
      <c r="AA17" s="391"/>
      <c r="AB17" s="18">
        <f t="shared" si="13"/>
        <v>-20.499999999999545</v>
      </c>
      <c r="AC17" s="183">
        <f t="shared" si="14"/>
        <v>0.98975000000000024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2318</v>
      </c>
      <c r="H18" s="15">
        <f t="shared" si="15"/>
        <v>116804.02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1696.0975609756092</v>
      </c>
      <c r="O18" s="38">
        <f t="shared" si="19"/>
        <v>141.34146341463409</v>
      </c>
      <c r="P18" s="39">
        <f t="shared" si="10"/>
        <v>0</v>
      </c>
      <c r="Q18" s="40">
        <f t="shared" si="11"/>
        <v>-25.325203252032566</v>
      </c>
      <c r="R18" s="188">
        <f t="shared" si="12"/>
        <v>0.84804878048780463</v>
      </c>
      <c r="S18" s="432"/>
      <c r="T18" s="41">
        <v>0.42152777777777778</v>
      </c>
      <c r="U18" s="41">
        <v>0.47847222222222224</v>
      </c>
      <c r="V18" s="175">
        <f>(T18-U17)*24*60</f>
        <v>12.000000000000037</v>
      </c>
      <c r="W18" s="43">
        <f t="shared" si="18"/>
        <v>82.000000000000028</v>
      </c>
      <c r="X18" s="22"/>
      <c r="Y18" s="22"/>
      <c r="Z18" s="415"/>
      <c r="AA18" s="415"/>
      <c r="AB18" s="18">
        <f t="shared" si="13"/>
        <v>-303.90243902439079</v>
      </c>
      <c r="AC18" s="183">
        <f t="shared" si="14"/>
        <v>0.84804878048780463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2362</v>
      </c>
      <c r="H19" s="15">
        <f t="shared" si="15"/>
        <v>119021.18000000001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6"/>
        <v>166.66666666666666</v>
      </c>
      <c r="M19" s="37">
        <v>12</v>
      </c>
      <c r="N19" s="36">
        <f t="shared" si="17"/>
        <v>1816.923076923076</v>
      </c>
      <c r="O19" s="38">
        <f t="shared" si="19"/>
        <v>151.41025641025632</v>
      </c>
      <c r="P19" s="39">
        <f t="shared" si="10"/>
        <v>0</v>
      </c>
      <c r="Q19" s="40">
        <f t="shared" si="11"/>
        <v>-15.256410256410334</v>
      </c>
      <c r="R19" s="188">
        <f t="shared" si="12"/>
        <v>0.90846153846153799</v>
      </c>
      <c r="S19" s="432"/>
      <c r="T19" s="41">
        <v>0.54166666666666663</v>
      </c>
      <c r="U19" s="41">
        <v>0.59583333333333333</v>
      </c>
      <c r="V19" s="175">
        <f>(T19-U18)*24*60</f>
        <v>90.999999999999915</v>
      </c>
      <c r="W19" s="43">
        <f t="shared" si="18"/>
        <v>78.000000000000043</v>
      </c>
      <c r="X19" s="22">
        <v>0.48958333333333298</v>
      </c>
      <c r="Y19" s="260">
        <v>0.53125</v>
      </c>
      <c r="Z19" s="416"/>
      <c r="AA19" s="416"/>
      <c r="AB19" s="18">
        <f t="shared" si="13"/>
        <v>-183.076923076924</v>
      </c>
      <c r="AC19" s="183">
        <f t="shared" si="14"/>
        <v>0.90846153846153799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/>
      <c r="W20" s="43">
        <f t="shared" si="18"/>
        <v>0</v>
      </c>
      <c r="X20" s="44"/>
      <c r="Y20" s="44"/>
      <c r="Z20" s="418"/>
      <c r="AA20" s="405"/>
      <c r="AB20" s="18">
        <f t="shared" si="13"/>
        <v>0</v>
      </c>
      <c r="AC20" s="183" t="e">
        <f t="shared" si="14"/>
        <v>#DIV/0!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12.5</v>
      </c>
      <c r="K26" s="133">
        <f t="shared" si="20"/>
        <v>2026.25</v>
      </c>
      <c r="L26" s="136">
        <f t="shared" si="20"/>
        <v>162.27564102564102</v>
      </c>
      <c r="M26" s="133">
        <f t="shared" si="20"/>
        <v>12.5</v>
      </c>
      <c r="N26" s="133">
        <f t="shared" si="20"/>
        <v>1799.9158737603866</v>
      </c>
      <c r="O26" s="136">
        <f t="shared" si="20"/>
        <v>144.0849079782007</v>
      </c>
      <c r="P26" s="137">
        <f t="shared" ref="P26:P30" si="21">M26-J26</f>
        <v>0</v>
      </c>
      <c r="Q26" s="138">
        <f t="shared" ref="Q26:Q30" si="22">O26-L26</f>
        <v>-18.190733047440318</v>
      </c>
      <c r="R26" s="139">
        <f t="shared" ref="R26:R30" si="23">O26/L26</f>
        <v>0.88790225734146988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-226.3341262396134</v>
      </c>
      <c r="AC26" s="185">
        <f>N26/K26</f>
        <v>0.88829901234318898</v>
      </c>
      <c r="AD26" s="414"/>
    </row>
    <row r="27" spans="1:30" ht="15" customHeight="1">
      <c r="A27" s="428" t="s">
        <v>44</v>
      </c>
      <c r="B27" s="227" t="str">
        <f>VLOOKUP(D27,廠價表!$C$1:$E$40,2,0)</f>
        <v>熱乾麵</v>
      </c>
      <c r="C27" s="101"/>
      <c r="D27" s="330" t="s">
        <v>46</v>
      </c>
      <c r="E27" s="103"/>
      <c r="F27" s="197">
        <f>VLOOKUP(D27,廠價表!$C$1:$E$40,3,0)</f>
        <v>49.91</v>
      </c>
      <c r="G27" s="266">
        <v>750</v>
      </c>
      <c r="H27" s="124">
        <f t="shared" ref="H27:H41" si="24">F27*G27</f>
        <v>37432.5</v>
      </c>
      <c r="I27" s="125"/>
      <c r="J27" s="16">
        <f>VLOOKUP(D27,產線配置圖!$A$3:$C$39,2,0)</f>
        <v>17</v>
      </c>
      <c r="K27" s="14">
        <f>VLOOKUP(D27,產線配置圖!$A$3:$C$39,3,0)</f>
        <v>1565</v>
      </c>
      <c r="L27" s="108">
        <f>K27/J27</f>
        <v>92.058823529411768</v>
      </c>
      <c r="M27" s="143">
        <v>15</v>
      </c>
      <c r="N27" s="126">
        <f>G27/W27*60</f>
        <v>900.00000000000614</v>
      </c>
      <c r="O27" s="127">
        <f>N27/M27</f>
        <v>60.000000000000412</v>
      </c>
      <c r="P27" s="128">
        <f t="shared" si="21"/>
        <v>-2</v>
      </c>
      <c r="Q27" s="129">
        <f t="shared" si="22"/>
        <v>-32.058823529411356</v>
      </c>
      <c r="R27" s="187">
        <f>O27/L27</f>
        <v>0.65175718849840703</v>
      </c>
      <c r="S27" s="431">
        <f>R37</f>
        <v>0.6736402294677426</v>
      </c>
      <c r="T27" s="94">
        <v>0.29166666666666702</v>
      </c>
      <c r="U27" s="94">
        <v>0.32638888888888901</v>
      </c>
      <c r="V27" s="125"/>
      <c r="W27" s="130">
        <f t="shared" si="18"/>
        <v>49.999999999999659</v>
      </c>
      <c r="X27" s="125"/>
      <c r="Y27" s="125" t="s">
        <v>47</v>
      </c>
      <c r="Z27" s="434" t="s">
        <v>121</v>
      </c>
      <c r="AA27" s="425"/>
      <c r="AB27" s="223">
        <f>N27-K27</f>
        <v>-664.99999999999386</v>
      </c>
      <c r="AC27" s="288">
        <f>N27/K27</f>
        <v>0.57507987220447676</v>
      </c>
      <c r="AD27" s="411">
        <f>AC37</f>
        <v>0.63906254320493427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1873</v>
      </c>
      <c r="H28" s="50">
        <f t="shared" si="24"/>
        <v>103258.49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16</v>
      </c>
      <c r="N28" s="36">
        <f>G28/W28*60</f>
        <v>928.76033057850964</v>
      </c>
      <c r="O28" s="38">
        <f>N28/M28</f>
        <v>58.047520661156852</v>
      </c>
      <c r="P28" s="39">
        <f t="shared" si="21"/>
        <v>-2</v>
      </c>
      <c r="Q28" s="40">
        <f t="shared" si="22"/>
        <v>-18.89692378328759</v>
      </c>
      <c r="R28" s="188">
        <f t="shared" si="23"/>
        <v>0.75440821075871722</v>
      </c>
      <c r="S28" s="432"/>
      <c r="T28" s="267">
        <v>0.33194444444444399</v>
      </c>
      <c r="U28" s="267">
        <v>0.41597222222222202</v>
      </c>
      <c r="V28" s="42">
        <f>(T28-U27)*24*60</f>
        <v>7.9999999999991722</v>
      </c>
      <c r="W28" s="43">
        <f t="shared" si="18"/>
        <v>121.00000000000037</v>
      </c>
      <c r="X28" s="54"/>
      <c r="Y28" s="54"/>
      <c r="Z28" s="418" t="s">
        <v>121</v>
      </c>
      <c r="AA28" s="417"/>
      <c r="AB28" s="39">
        <f>N28-K28</f>
        <v>-456.23966942149036</v>
      </c>
      <c r="AC28" s="188">
        <f>N28/K28</f>
        <v>0.67058507622997088</v>
      </c>
      <c r="AD28" s="444"/>
    </row>
    <row r="29" spans="1:30" ht="15" customHeight="1">
      <c r="A29" s="429"/>
      <c r="B29" s="56" t="str">
        <f>VLOOKUP(D29,廠價表!$C$1:$E$40,2,0)</f>
        <v>熱乾麵</v>
      </c>
      <c r="C29" s="10"/>
      <c r="D29" s="11" t="s">
        <v>46</v>
      </c>
      <c r="E29" s="86"/>
      <c r="F29" s="56">
        <f>VLOOKUP(D29,廠價表!$C$1:$E$40,3,0)</f>
        <v>49.91</v>
      </c>
      <c r="G29" s="53">
        <v>283</v>
      </c>
      <c r="H29" s="50">
        <f t="shared" si="24"/>
        <v>14124.529999999999</v>
      </c>
      <c r="I29" s="42"/>
      <c r="J29" s="16">
        <f>VLOOKUP(D29,產線配置圖!$A$3:$C$39,2,0)</f>
        <v>17</v>
      </c>
      <c r="K29" s="14">
        <f>VLOOKUP(D29,產線配置圖!$A$3:$C$39,3,0)</f>
        <v>1565</v>
      </c>
      <c r="L29" s="233">
        <f>K29/J29</f>
        <v>92.058823529411768</v>
      </c>
      <c r="M29" s="21">
        <v>15</v>
      </c>
      <c r="N29" s="36">
        <f>G29/W29*60</f>
        <v>369.13043478260869</v>
      </c>
      <c r="O29" s="38">
        <f>N29/M29</f>
        <v>24.608695652173914</v>
      </c>
      <c r="P29" s="39">
        <f t="shared" si="21"/>
        <v>-2</v>
      </c>
      <c r="Q29" s="40">
        <f t="shared" si="22"/>
        <v>-67.450127877237861</v>
      </c>
      <c r="R29" s="188">
        <f t="shared" si="23"/>
        <v>0.26731490484789555</v>
      </c>
      <c r="S29" s="432"/>
      <c r="T29" s="41">
        <v>0.4236111111111111</v>
      </c>
      <c r="U29" s="41">
        <v>0.45555555555555555</v>
      </c>
      <c r="V29" s="42">
        <f>(T29-U28)*24*60</f>
        <v>11.000000000000281</v>
      </c>
      <c r="W29" s="43">
        <f t="shared" si="18"/>
        <v>46</v>
      </c>
      <c r="X29" s="22"/>
      <c r="Y29" s="22"/>
      <c r="Z29" s="418" t="s">
        <v>122</v>
      </c>
      <c r="AA29" s="417"/>
      <c r="AB29" s="289">
        <f>N29-K29</f>
        <v>-1195.8695652173913</v>
      </c>
      <c r="AC29" s="188">
        <f>N29/K29</f>
        <v>0.23586609251284901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49</v>
      </c>
      <c r="E30" s="29"/>
      <c r="F30" s="56">
        <f>VLOOKUP(D30,廠價表!$C$1:$E$40,3,0)</f>
        <v>47.71</v>
      </c>
      <c r="G30" s="53">
        <v>1193</v>
      </c>
      <c r="H30" s="50">
        <f t="shared" si="24"/>
        <v>56918.03</v>
      </c>
      <c r="I30" s="42"/>
      <c r="J30" s="16">
        <f>VLOOKUP(D30,產線配置圖!$A$3:$C$39,2,0)</f>
        <v>15</v>
      </c>
      <c r="K30" s="14">
        <f>VLOOKUP(D30,產線配置圖!$A$3:$C$39,3,0)</f>
        <v>1500</v>
      </c>
      <c r="L30" s="233">
        <f>K30/J30</f>
        <v>100</v>
      </c>
      <c r="M30" s="21">
        <v>15</v>
      </c>
      <c r="N30" s="36">
        <f>G30/W30*60</f>
        <v>1234.1379310344837</v>
      </c>
      <c r="O30" s="38">
        <f>N30/M30</f>
        <v>82.27586206896558</v>
      </c>
      <c r="P30" s="39">
        <f t="shared" si="21"/>
        <v>0</v>
      </c>
      <c r="Q30" s="40">
        <f t="shared" si="22"/>
        <v>-17.72413793103442</v>
      </c>
      <c r="R30" s="188">
        <f t="shared" si="23"/>
        <v>0.82275862068965577</v>
      </c>
      <c r="S30" s="432"/>
      <c r="T30" s="41">
        <v>0.46388888888888891</v>
      </c>
      <c r="U30" s="41">
        <v>0.50416666666666665</v>
      </c>
      <c r="V30" s="42">
        <f>(T30-U29)*24*60</f>
        <v>12.000000000000037</v>
      </c>
      <c r="W30" s="43">
        <f t="shared" si="18"/>
        <v>57.999999999999957</v>
      </c>
      <c r="X30" s="54">
        <v>0.48958333333333298</v>
      </c>
      <c r="Y30" s="54">
        <v>0.53125</v>
      </c>
      <c r="Z30" s="426"/>
      <c r="AA30" s="446"/>
      <c r="AB30" s="289">
        <f>N30-K30</f>
        <v>-265.8620689655163</v>
      </c>
      <c r="AC30" s="188">
        <f>N30/K30</f>
        <v>0.82275862068965577</v>
      </c>
      <c r="AD30" s="445"/>
    </row>
    <row r="31" spans="1:30" ht="15" customHeight="1">
      <c r="A31" s="429"/>
      <c r="B31" s="56" t="str">
        <f>VLOOKUP(D31,廠價表!$C$1:$E$40,2,0)</f>
        <v>義大利麵</v>
      </c>
      <c r="C31" s="235"/>
      <c r="D31" s="11" t="s">
        <v>49</v>
      </c>
      <c r="E31" s="29"/>
      <c r="F31" s="56">
        <f>VLOOKUP(D31,廠價表!$C$1:$E$40,3,0)</f>
        <v>47.71</v>
      </c>
      <c r="G31" s="53">
        <v>2604</v>
      </c>
      <c r="H31" s="50">
        <f t="shared" si="24"/>
        <v>124236.84</v>
      </c>
      <c r="I31" s="42"/>
      <c r="J31" s="16">
        <f>VLOOKUP(D31,產線配置圖!$A$3:$C$39,2,0)</f>
        <v>15</v>
      </c>
      <c r="K31" s="14">
        <f>VLOOKUP(D31,產線配置圖!$A$3:$C$39,3,0)</f>
        <v>1500</v>
      </c>
      <c r="L31" s="233">
        <f>K31/J31</f>
        <v>100</v>
      </c>
      <c r="M31" s="21">
        <v>16</v>
      </c>
      <c r="N31" s="36">
        <f>G31/W31*60</f>
        <v>1370.5263157894728</v>
      </c>
      <c r="O31" s="38">
        <f>N31/M31</f>
        <v>85.657894736842053</v>
      </c>
      <c r="P31" s="39">
        <f>M31-J31</f>
        <v>1</v>
      </c>
      <c r="Q31" s="40">
        <f>O31-L31</f>
        <v>-14.342105263157947</v>
      </c>
      <c r="R31" s="188">
        <f>O31/L31</f>
        <v>0.85657894736842055</v>
      </c>
      <c r="S31" s="432"/>
      <c r="T31" s="41">
        <v>0.56666666666666665</v>
      </c>
      <c r="U31" s="41">
        <v>0.64583333333333337</v>
      </c>
      <c r="V31" s="42"/>
      <c r="W31" s="43">
        <f t="shared" si="18"/>
        <v>114.00000000000007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4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5">AVERAGE(J27:J36)</f>
        <v>16.399999999999999</v>
      </c>
      <c r="K37" s="282">
        <f t="shared" si="25"/>
        <v>1503</v>
      </c>
      <c r="L37" s="283">
        <f t="shared" si="25"/>
        <v>92.212418300653596</v>
      </c>
      <c r="M37" s="282">
        <f t="shared" si="25"/>
        <v>15.4</v>
      </c>
      <c r="N37" s="282">
        <f t="shared" si="25"/>
        <v>960.51100243701626</v>
      </c>
      <c r="O37" s="283">
        <f t="shared" si="25"/>
        <v>62.117994623827755</v>
      </c>
      <c r="P37" s="73">
        <f>M37-J37</f>
        <v>-0.99999999999999822</v>
      </c>
      <c r="Q37" s="74">
        <f>N37-K37</f>
        <v>-542.48899756298374</v>
      </c>
      <c r="R37" s="284">
        <f t="shared" ref="R37:R41" si="26">O37/L37</f>
        <v>0.6736402294677426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1" si="27">N37-K37</f>
        <v>-542.48899756298374</v>
      </c>
      <c r="AC37" s="184">
        <f t="shared" ref="AC37:AC41" si="28">N37/K37</f>
        <v>0.63906254320493427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1658</v>
      </c>
      <c r="H38" s="124">
        <f t="shared" si="24"/>
        <v>95003.4</v>
      </c>
      <c r="I38" s="125"/>
      <c r="J38" s="271">
        <v>16</v>
      </c>
      <c r="K38" s="234">
        <v>1500</v>
      </c>
      <c r="L38" s="285">
        <f t="shared" ref="L38:L41" si="29">K38/J38</f>
        <v>93.75</v>
      </c>
      <c r="M38" s="286">
        <v>15</v>
      </c>
      <c r="N38" s="126">
        <f>G38/W38*60</f>
        <v>912.66055045871542</v>
      </c>
      <c r="O38" s="127">
        <f>N38/M38</f>
        <v>60.844036697247695</v>
      </c>
      <c r="P38" s="128">
        <f t="shared" ref="P38:P41" si="30">M38-J38</f>
        <v>-1</v>
      </c>
      <c r="Q38" s="129">
        <f t="shared" ref="Q38:Q41" si="31">O38-L38</f>
        <v>-32.905963302752305</v>
      </c>
      <c r="R38" s="187">
        <f t="shared" si="26"/>
        <v>0.64900305810397541</v>
      </c>
      <c r="S38" s="460">
        <f>R48</f>
        <v>0.65664008243985084</v>
      </c>
      <c r="T38" s="149">
        <v>0.33333333333333331</v>
      </c>
      <c r="U38" s="149">
        <v>0.40902777777777777</v>
      </c>
      <c r="V38" s="146"/>
      <c r="W38" s="150">
        <f t="shared" si="18"/>
        <v>109.00000000000001</v>
      </c>
      <c r="X38" s="148"/>
      <c r="Y38" s="151"/>
      <c r="Z38" s="462" t="s">
        <v>117</v>
      </c>
      <c r="AA38" s="463"/>
      <c r="AB38" s="287">
        <f t="shared" si="27"/>
        <v>-587.33944954128458</v>
      </c>
      <c r="AC38" s="152">
        <f t="shared" si="28"/>
        <v>0.60844036697247694</v>
      </c>
      <c r="AD38" s="447">
        <f>AC48</f>
        <v>0.63343320905355227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1079</v>
      </c>
      <c r="H39" s="50">
        <f t="shared" si="24"/>
        <v>60887.97</v>
      </c>
      <c r="I39" s="64"/>
      <c r="J39" s="37">
        <v>17</v>
      </c>
      <c r="K39" s="36">
        <f>VLOOKUP(D39,產線配置圖!$A$3:$C$39,3,0)</f>
        <v>1406</v>
      </c>
      <c r="L39" s="38">
        <f t="shared" si="29"/>
        <v>82.705882352941174</v>
      </c>
      <c r="M39" s="65">
        <v>15</v>
      </c>
      <c r="N39" s="66">
        <f>G39/W39*60</f>
        <v>924.85714285714312</v>
      </c>
      <c r="O39" s="67">
        <f t="shared" ref="O39:O41" si="32">N39/M39</f>
        <v>61.657142857142873</v>
      </c>
      <c r="P39" s="39">
        <f t="shared" si="30"/>
        <v>-2</v>
      </c>
      <c r="Q39" s="40">
        <f t="shared" si="31"/>
        <v>-21.048739495798301</v>
      </c>
      <c r="R39" s="188">
        <f t="shared" si="26"/>
        <v>0.74549888234098782</v>
      </c>
      <c r="S39" s="461"/>
      <c r="T39" s="59">
        <v>0.41666666666666669</v>
      </c>
      <c r="U39" s="59">
        <v>0.46527777777777779</v>
      </c>
      <c r="V39" s="42">
        <f>(T39-U38)*24*60</f>
        <v>11.000000000000041</v>
      </c>
      <c r="W39" s="69">
        <f t="shared" si="18"/>
        <v>69.999999999999986</v>
      </c>
      <c r="X39" s="22"/>
      <c r="Y39" s="22"/>
      <c r="Z39" s="450" t="s">
        <v>117</v>
      </c>
      <c r="AA39" s="451"/>
      <c r="AB39" s="268">
        <f t="shared" si="27"/>
        <v>-481.14285714285688</v>
      </c>
      <c r="AC39" s="61">
        <f t="shared" si="28"/>
        <v>0.6577931314773422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35</v>
      </c>
      <c r="E40" s="240"/>
      <c r="F40" s="56">
        <f>VLOOKUP(D40,廠價表!$C$1:$E$40,3,0)</f>
        <v>56.43</v>
      </c>
      <c r="G40" s="273">
        <v>884</v>
      </c>
      <c r="H40" s="50">
        <f t="shared" si="24"/>
        <v>49884.12</v>
      </c>
      <c r="I40" s="64"/>
      <c r="J40" s="37">
        <f>VLOOKUP(D40,產線配置圖!$A$3:$C$39,2,0)</f>
        <v>15</v>
      </c>
      <c r="K40" s="36">
        <f>VLOOKUP(D40,產線配置圖!$A$3:$C$39,3,0)</f>
        <v>1636</v>
      </c>
      <c r="L40" s="38">
        <f t="shared" si="29"/>
        <v>109.06666666666666</v>
      </c>
      <c r="M40" s="65">
        <v>15</v>
      </c>
      <c r="N40" s="66">
        <f>G40/W40*60</f>
        <v>982.22222222222263</v>
      </c>
      <c r="O40" s="67">
        <f t="shared" si="32"/>
        <v>65.481481481481509</v>
      </c>
      <c r="P40" s="39">
        <f t="shared" si="30"/>
        <v>0</v>
      </c>
      <c r="Q40" s="40">
        <f t="shared" si="31"/>
        <v>-43.585185185185154</v>
      </c>
      <c r="R40" s="188">
        <f t="shared" si="26"/>
        <v>0.60038033143167646</v>
      </c>
      <c r="S40" s="420"/>
      <c r="T40" s="59">
        <v>0.47291666666666665</v>
      </c>
      <c r="U40" s="59">
        <v>0.51041666666666663</v>
      </c>
      <c r="V40" s="42">
        <f>(T40-U39)*24*60</f>
        <v>10.999999999999961</v>
      </c>
      <c r="W40" s="69">
        <f t="shared" si="18"/>
        <v>53.999999999999972</v>
      </c>
      <c r="X40" s="70"/>
      <c r="Y40" s="256"/>
      <c r="Z40" s="450" t="s">
        <v>55</v>
      </c>
      <c r="AA40" s="451"/>
      <c r="AB40" s="268">
        <f t="shared" si="27"/>
        <v>-653.77777777777737</v>
      </c>
      <c r="AC40" s="61">
        <f t="shared" si="28"/>
        <v>0.60038033143167646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954</v>
      </c>
      <c r="H41" s="50">
        <f t="shared" si="24"/>
        <v>53834.22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si="29"/>
        <v>93.733333333333334</v>
      </c>
      <c r="M41" s="65">
        <v>15</v>
      </c>
      <c r="N41" s="66">
        <f>G41/W41*60</f>
        <v>923.22580645161372</v>
      </c>
      <c r="O41" s="67">
        <f t="shared" si="32"/>
        <v>61.548387096774249</v>
      </c>
      <c r="P41" s="39">
        <f t="shared" si="30"/>
        <v>0</v>
      </c>
      <c r="Q41" s="40">
        <f t="shared" si="31"/>
        <v>-32.184946236559085</v>
      </c>
      <c r="R41" s="188">
        <f t="shared" si="26"/>
        <v>0.65663286376359442</v>
      </c>
      <c r="S41" s="420"/>
      <c r="T41" s="59">
        <v>0.56597222222222221</v>
      </c>
      <c r="U41" s="59">
        <v>0.60902777777777772</v>
      </c>
      <c r="V41" s="42">
        <f>(T41-U40)*24*60</f>
        <v>80.000000000000028</v>
      </c>
      <c r="W41" s="69">
        <f t="shared" si="18"/>
        <v>61.999999999999943</v>
      </c>
      <c r="X41" s="70">
        <v>0.52777777777777801</v>
      </c>
      <c r="Y41" s="256">
        <v>0.56944444444444398</v>
      </c>
      <c r="Z41" s="450" t="s">
        <v>117</v>
      </c>
      <c r="AA41" s="451"/>
      <c r="AB41" s="268">
        <f t="shared" si="27"/>
        <v>-482.77419354838628</v>
      </c>
      <c r="AC41" s="61">
        <f t="shared" si="28"/>
        <v>0.65663286376359442</v>
      </c>
      <c r="AD41" s="448"/>
    </row>
    <row r="42" spans="1:30" s="62" customFormat="1" ht="15" customHeight="1">
      <c r="A42" s="458"/>
      <c r="B42" s="56" t="s">
        <v>45</v>
      </c>
      <c r="C42" s="23"/>
      <c r="D42" s="276" t="s">
        <v>53</v>
      </c>
      <c r="E42" s="12"/>
      <c r="F42" s="56">
        <f>VLOOKUP(D42,廠價表!$C$1:$E$40,3,0)</f>
        <v>57.3</v>
      </c>
      <c r="G42" s="273">
        <v>451</v>
      </c>
      <c r="H42" s="50">
        <f>F42*G42</f>
        <v>25842.3</v>
      </c>
      <c r="I42" s="64"/>
      <c r="J42" s="37">
        <f>VLOOKUP(D42,產線配置圖!$A$3:$C$39,2,0)</f>
        <v>15</v>
      </c>
      <c r="K42" s="36">
        <f>VLOOKUP(D42,產線配置圖!$A$3:$C$39,3,0)</f>
        <v>1385</v>
      </c>
      <c r="L42" s="38">
        <f>K42/J42</f>
        <v>92.333333333333329</v>
      </c>
      <c r="M42" s="65">
        <v>15</v>
      </c>
      <c r="N42" s="66">
        <f>G42/W42*60</f>
        <v>902.00000000000318</v>
      </c>
      <c r="O42" s="67">
        <f>N42/M42</f>
        <v>60.133333333333546</v>
      </c>
      <c r="P42" s="39">
        <f>M42-J42</f>
        <v>0</v>
      </c>
      <c r="Q42" s="40">
        <f>O42-L42</f>
        <v>-32.199999999999783</v>
      </c>
      <c r="R42" s="188">
        <f>O42/L42</f>
        <v>0.65126353790613956</v>
      </c>
      <c r="S42" s="420"/>
      <c r="T42" s="75">
        <v>0.61597222222222225</v>
      </c>
      <c r="U42" s="75">
        <v>0.63680555555555551</v>
      </c>
      <c r="V42" s="42"/>
      <c r="W42" s="69">
        <f t="shared" si="18"/>
        <v>29.999999999999893</v>
      </c>
      <c r="X42" s="70"/>
      <c r="Y42" s="60"/>
      <c r="Z42" s="450" t="s">
        <v>117</v>
      </c>
      <c r="AA42" s="451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33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5">AVERAGE(J38:J47)</f>
        <v>15.6</v>
      </c>
      <c r="K48" s="133">
        <f t="shared" si="35"/>
        <v>1466.6</v>
      </c>
      <c r="L48" s="136">
        <f t="shared" si="35"/>
        <v>94.317843137254897</v>
      </c>
      <c r="M48" s="133">
        <f t="shared" si="35"/>
        <v>15</v>
      </c>
      <c r="N48" s="133">
        <f t="shared" si="35"/>
        <v>928.99314439793966</v>
      </c>
      <c r="O48" s="136">
        <f t="shared" si="35"/>
        <v>61.932876293195974</v>
      </c>
      <c r="P48" s="155">
        <f>M48-J48</f>
        <v>-0.59999999999999964</v>
      </c>
      <c r="Q48" s="156">
        <f>N48-K48</f>
        <v>-537.60685560206025</v>
      </c>
      <c r="R48" s="157">
        <f>O48/L48</f>
        <v>0.65664008243985084</v>
      </c>
      <c r="S48" s="423"/>
      <c r="T48" s="158"/>
      <c r="U48" s="158"/>
      <c r="V48" s="194"/>
      <c r="W48" s="159">
        <f t="shared" si="34"/>
        <v>0</v>
      </c>
      <c r="X48" s="160"/>
      <c r="Y48" s="160"/>
      <c r="Z48" s="424"/>
      <c r="AA48" s="424"/>
      <c r="AB48" s="161">
        <f>N48-K48</f>
        <v>-537.60685560206025</v>
      </c>
      <c r="AC48" s="189">
        <f>N48/K48</f>
        <v>0.63343320905355227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2121</v>
      </c>
      <c r="H49" s="124">
        <f t="shared" ref="H49:H57" si="36">F49*G49</f>
        <v>120621.26999999999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17</v>
      </c>
      <c r="N49" s="126">
        <f>G49/W49*60</f>
        <v>1311.9587628865984</v>
      </c>
      <c r="O49" s="127">
        <f>N49/M49</f>
        <v>77.174044875682256</v>
      </c>
      <c r="P49" s="162">
        <f>M49-J49</f>
        <v>-2</v>
      </c>
      <c r="Q49" s="111">
        <f>O49-L49</f>
        <v>-5.1943761769493193</v>
      </c>
      <c r="R49" s="182">
        <f>O49/L49</f>
        <v>0.93693728603064719</v>
      </c>
      <c r="S49" s="419">
        <f>R58</f>
        <v>0.94700490198878307</v>
      </c>
      <c r="T49" s="149">
        <v>0.2902777777777778</v>
      </c>
      <c r="U49" s="149">
        <v>0.3576388888888889</v>
      </c>
      <c r="V49" s="186"/>
      <c r="W49" s="150">
        <f t="shared" si="18"/>
        <v>96.999999999999972</v>
      </c>
      <c r="X49" s="186"/>
      <c r="Y49" s="186"/>
      <c r="Z49" s="425"/>
      <c r="AA49" s="425"/>
      <c r="AB49" s="110">
        <f>N49-K49</f>
        <v>-253.04123711340162</v>
      </c>
      <c r="AC49" s="182">
        <f>N49/K49</f>
        <v>0.83831230855373695</v>
      </c>
      <c r="AD49" s="411">
        <f>AC58</f>
        <v>0.86903537221481575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3310</v>
      </c>
      <c r="H50" s="76">
        <f t="shared" si="36"/>
        <v>165400.69999999998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17</v>
      </c>
      <c r="N50" s="77">
        <f>G50/W50*60</f>
        <v>1482.0895522388059</v>
      </c>
      <c r="O50" s="78">
        <f>N50/M50</f>
        <v>87.181738366988583</v>
      </c>
      <c r="P50" s="18">
        <f>M50-J50</f>
        <v>-1</v>
      </c>
      <c r="Q50" s="19">
        <f>O50-L50</f>
        <v>-1.7071505219003029</v>
      </c>
      <c r="R50" s="183">
        <f>O50/L50</f>
        <v>0.98079455662862158</v>
      </c>
      <c r="S50" s="420"/>
      <c r="T50" s="79">
        <v>0.36527777777777776</v>
      </c>
      <c r="U50" s="79">
        <v>0.45833333333333331</v>
      </c>
      <c r="V50" s="175">
        <f t="shared" ref="V50:V52" si="37">(T50-U49)*24*60</f>
        <v>10.999999999999961</v>
      </c>
      <c r="W50" s="80">
        <f t="shared" si="18"/>
        <v>134</v>
      </c>
      <c r="X50" s="22"/>
      <c r="Y50" s="22"/>
      <c r="Z50" s="417"/>
      <c r="AA50" s="418"/>
      <c r="AB50" s="18">
        <f>N50-K50</f>
        <v>-117.91044776119406</v>
      </c>
      <c r="AC50" s="183">
        <f>N50/K50</f>
        <v>0.92630597014925375</v>
      </c>
      <c r="AD50" s="412"/>
    </row>
    <row r="51" spans="1:30" ht="15" customHeight="1">
      <c r="A51" s="455"/>
      <c r="B51" s="56" t="str">
        <f>VLOOKUP(D51,廠價表!$C$1:$E$40,2,0)</f>
        <v>義大利麵</v>
      </c>
      <c r="C51" s="10"/>
      <c r="D51" s="11" t="s">
        <v>59</v>
      </c>
      <c r="E51" s="86"/>
      <c r="F51" s="56">
        <f>VLOOKUP(D51,廠價表!$C$1:$E$40,3,0)</f>
        <v>49.97</v>
      </c>
      <c r="G51" s="66">
        <v>1516</v>
      </c>
      <c r="H51" s="76">
        <f t="shared" si="36"/>
        <v>75754.52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>K51/J51</f>
        <v>88.888888888888886</v>
      </c>
      <c r="M51" s="172">
        <v>16</v>
      </c>
      <c r="N51" s="77">
        <f>G51/W51*60</f>
        <v>1399.3846153846241</v>
      </c>
      <c r="O51" s="78">
        <f>N51/M51</f>
        <v>87.461538461539007</v>
      </c>
      <c r="P51" s="18">
        <f>M51-J51</f>
        <v>-2</v>
      </c>
      <c r="Q51" s="19">
        <f>O51-L51</f>
        <v>-1.4273504273498787</v>
      </c>
      <c r="R51" s="183">
        <f>O51/L51</f>
        <v>0.98394230769231383</v>
      </c>
      <c r="S51" s="420"/>
      <c r="T51" s="79">
        <v>0.52083333333333337</v>
      </c>
      <c r="U51" s="44">
        <v>0.56597222222222199</v>
      </c>
      <c r="V51" s="175">
        <f t="shared" si="37"/>
        <v>90.000000000000085</v>
      </c>
      <c r="W51" s="80">
        <f t="shared" si="18"/>
        <v>64.999999999999602</v>
      </c>
      <c r="X51" s="22"/>
      <c r="Y51" s="22"/>
      <c r="Z51" s="405"/>
      <c r="AA51" s="405"/>
      <c r="AB51" s="18">
        <f>N51-K51</f>
        <v>-200.61538461537589</v>
      </c>
      <c r="AC51" s="183">
        <f>N51/K51</f>
        <v>0.87461538461539012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1787</v>
      </c>
      <c r="H52" s="76">
        <f t="shared" si="36"/>
        <v>89189.17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>K52/J52</f>
        <v>92.058823529411768</v>
      </c>
      <c r="M52" s="172">
        <v>16</v>
      </c>
      <c r="N52" s="77">
        <f>G52/W52*60</f>
        <v>1307.5609756097556</v>
      </c>
      <c r="O52" s="78">
        <f>N52/M52</f>
        <v>81.722560975609724</v>
      </c>
      <c r="P52" s="18">
        <f>M52-J52</f>
        <v>-1</v>
      </c>
      <c r="Q52" s="19">
        <f>O52-L52</f>
        <v>-10.336262553802044</v>
      </c>
      <c r="R52" s="183">
        <f>O52/L52</f>
        <v>0.88772110963921103</v>
      </c>
      <c r="S52" s="420"/>
      <c r="T52" s="79">
        <v>0.57361111111111107</v>
      </c>
      <c r="U52" s="79">
        <v>0.63055555555555554</v>
      </c>
      <c r="V52" s="175">
        <f t="shared" si="37"/>
        <v>11.000000000000281</v>
      </c>
      <c r="W52" s="80">
        <f t="shared" si="18"/>
        <v>82.000000000000028</v>
      </c>
      <c r="X52" s="22">
        <v>0.48958333333333298</v>
      </c>
      <c r="Y52" s="22">
        <v>0.53125</v>
      </c>
      <c r="Z52" s="405"/>
      <c r="AA52" s="405"/>
      <c r="AB52" s="18">
        <f>N52-K52</f>
        <v>-257.43902439024441</v>
      </c>
      <c r="AC52" s="183">
        <f>N52/K52</f>
        <v>0.83550222083690451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79"/>
      <c r="U53" s="79"/>
      <c r="V53" s="175"/>
      <c r="W53" s="80">
        <f t="shared" si="18"/>
        <v>0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36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8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6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6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6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38">AVERAGE(J49:J57)</f>
        <v>18</v>
      </c>
      <c r="K58" s="117">
        <f t="shared" si="38"/>
        <v>1582.5</v>
      </c>
      <c r="L58" s="114">
        <f t="shared" si="38"/>
        <v>88.051255589955289</v>
      </c>
      <c r="M58" s="117">
        <f t="shared" si="38"/>
        <v>16.5</v>
      </c>
      <c r="N58" s="117">
        <f t="shared" si="38"/>
        <v>1375.2484765299459</v>
      </c>
      <c r="O58" s="114">
        <f t="shared" si="38"/>
        <v>83.384970669954896</v>
      </c>
      <c r="P58" s="118">
        <f>M58-J58</f>
        <v>-1.5</v>
      </c>
      <c r="Q58" s="119">
        <f>N58-K58</f>
        <v>-207.25152347005405</v>
      </c>
      <c r="R58" s="120">
        <f t="shared" ref="R58:R60" si="39">O58/L58</f>
        <v>0.94700490198878307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40">N58-K58</f>
        <v>-207.25152347005405</v>
      </c>
      <c r="AC58" s="185">
        <f t="shared" ref="AC58:AC63" si="41">N58/K58</f>
        <v>0.86903537221481575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2483</v>
      </c>
      <c r="H59" s="105">
        <f t="shared" ref="H59:H68" si="42">F59*G59</f>
        <v>67016.17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43">G59/W59*60</f>
        <v>1241.5000000000002</v>
      </c>
      <c r="O59" s="108">
        <f t="shared" ref="O59:O62" si="44">N59/M59</f>
        <v>95.500000000000014</v>
      </c>
      <c r="P59" s="110">
        <f t="shared" ref="P59:P62" si="45">M59-J59</f>
        <v>0</v>
      </c>
      <c r="Q59" s="111">
        <f t="shared" ref="Q59:Q62" si="46">O59-L59</f>
        <v>-24.884615384615373</v>
      </c>
      <c r="R59" s="182">
        <f t="shared" si="39"/>
        <v>0.79329073482428125</v>
      </c>
      <c r="S59" s="419">
        <f>R69</f>
        <v>0.75856242350817493</v>
      </c>
      <c r="T59" s="167">
        <v>0.29166666666666669</v>
      </c>
      <c r="U59" s="167">
        <v>0.375</v>
      </c>
      <c r="V59" s="186"/>
      <c r="W59" s="106">
        <f t="shared" si="18"/>
        <v>119.99999999999997</v>
      </c>
      <c r="X59" s="186"/>
      <c r="Y59" s="186"/>
      <c r="Z59" s="469" t="s">
        <v>123</v>
      </c>
      <c r="AA59" s="434"/>
      <c r="AB59" s="223">
        <f t="shared" si="40"/>
        <v>-323.49999999999977</v>
      </c>
      <c r="AC59" s="224">
        <f t="shared" si="41"/>
        <v>0.79329073482428125</v>
      </c>
      <c r="AD59" s="411">
        <f>AC69</f>
        <v>0.75991693665355253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627</v>
      </c>
      <c r="H60" s="15">
        <f t="shared" si="42"/>
        <v>17850.689999999999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3"/>
        <v>1074.8571428571418</v>
      </c>
      <c r="O60" s="17">
        <f t="shared" si="44"/>
        <v>89.571428571428484</v>
      </c>
      <c r="P60" s="18">
        <f t="shared" si="45"/>
        <v>0</v>
      </c>
      <c r="Q60" s="19">
        <f t="shared" si="46"/>
        <v>-40.845238095238173</v>
      </c>
      <c r="R60" s="183">
        <f t="shared" si="39"/>
        <v>0.68680967594705555</v>
      </c>
      <c r="S60" s="474"/>
      <c r="T60" s="20">
        <v>0.3923611111111111</v>
      </c>
      <c r="U60" s="20">
        <v>0.41666666666666669</v>
      </c>
      <c r="V60" s="175">
        <f t="shared" ref="V60:V63" si="47">(T60-U59)*24*60</f>
        <v>24.999999999999993</v>
      </c>
      <c r="W60" s="90">
        <f t="shared" si="18"/>
        <v>35.000000000000036</v>
      </c>
      <c r="X60" s="191"/>
      <c r="Y60" s="191"/>
      <c r="Z60" s="405" t="s">
        <v>55</v>
      </c>
      <c r="AA60" s="405"/>
      <c r="AB60" s="225">
        <f t="shared" si="40"/>
        <v>-490.14285714285825</v>
      </c>
      <c r="AC60" s="226">
        <f t="shared" si="41"/>
        <v>0.68680967594705544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1526</v>
      </c>
      <c r="H61" s="15">
        <f t="shared" si="42"/>
        <v>43124.76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3"/>
        <v>1220.799999999999</v>
      </c>
      <c r="O61" s="17">
        <f t="shared" si="44"/>
        <v>101.73333333333325</v>
      </c>
      <c r="P61" s="18">
        <f t="shared" si="45"/>
        <v>0</v>
      </c>
      <c r="Q61" s="19">
        <f t="shared" si="46"/>
        <v>-28.683333333333408</v>
      </c>
      <c r="R61" s="183">
        <f>O61/L61</f>
        <v>0.78006389776357765</v>
      </c>
      <c r="S61" s="420"/>
      <c r="T61" s="20">
        <v>0.42708333333333331</v>
      </c>
      <c r="U61" s="20">
        <v>0.47916666666666669</v>
      </c>
      <c r="V61" s="175">
        <f t="shared" si="47"/>
        <v>14.999999999999947</v>
      </c>
      <c r="W61" s="88">
        <f t="shared" si="18"/>
        <v>75.000000000000057</v>
      </c>
      <c r="X61" s="22"/>
      <c r="Y61" s="22"/>
      <c r="Z61" s="405" t="s">
        <v>124</v>
      </c>
      <c r="AA61" s="405"/>
      <c r="AB61" s="51">
        <f t="shared" si="40"/>
        <v>-344.20000000000095</v>
      </c>
      <c r="AC61" s="52">
        <f t="shared" si="41"/>
        <v>0.78006389776357765</v>
      </c>
      <c r="AD61" s="412"/>
    </row>
    <row r="62" spans="1:30" ht="15" customHeight="1">
      <c r="A62" s="472"/>
      <c r="B62" s="56" t="str">
        <f>VLOOKUP(D62,廠價表!$C$1:$E$40,2,0)</f>
        <v>小吃、微波</v>
      </c>
      <c r="C62" s="10"/>
      <c r="D62" s="239" t="s">
        <v>64</v>
      </c>
      <c r="E62" s="86"/>
      <c r="F62" s="56">
        <f>VLOOKUP(D62,廠價表!$C$1:$E$40,3,0)</f>
        <v>28.26</v>
      </c>
      <c r="G62" s="175">
        <v>816</v>
      </c>
      <c r="H62" s="15">
        <f t="shared" si="42"/>
        <v>23060.16</v>
      </c>
      <c r="I62" s="175"/>
      <c r="J62" s="16">
        <f>VLOOKUP(D62,產線配置圖!$A$3:$C$39,2,0)</f>
        <v>12</v>
      </c>
      <c r="K62" s="14">
        <f>VLOOKUP(D62,產線配置圖!$A$3:$C$39,3,0)</f>
        <v>1565</v>
      </c>
      <c r="L62" s="17">
        <f>K62/J62</f>
        <v>130.41666666666666</v>
      </c>
      <c r="M62" s="178">
        <v>12</v>
      </c>
      <c r="N62" s="14">
        <f t="shared" si="43"/>
        <v>1138.6046511627906</v>
      </c>
      <c r="O62" s="17">
        <f t="shared" si="44"/>
        <v>94.883720930232542</v>
      </c>
      <c r="P62" s="18">
        <f t="shared" si="45"/>
        <v>0</v>
      </c>
      <c r="Q62" s="19">
        <f t="shared" si="46"/>
        <v>-35.532945736434115</v>
      </c>
      <c r="R62" s="183">
        <f>O62/L62</f>
        <v>0.72754290809124</v>
      </c>
      <c r="S62" s="420"/>
      <c r="T62" s="196">
        <v>0.53125</v>
      </c>
      <c r="U62" s="196">
        <v>0.56111111111111112</v>
      </c>
      <c r="V62" s="175">
        <f t="shared" si="47"/>
        <v>74.999999999999972</v>
      </c>
      <c r="W62" s="90">
        <f t="shared" si="18"/>
        <v>43.000000000000007</v>
      </c>
      <c r="X62" s="22"/>
      <c r="Y62" s="22"/>
      <c r="Z62" s="405" t="s">
        <v>55</v>
      </c>
      <c r="AA62" s="405"/>
      <c r="AB62" s="51">
        <f t="shared" si="40"/>
        <v>-426.39534883720944</v>
      </c>
      <c r="AC62" s="52">
        <f t="shared" si="41"/>
        <v>0.72754290809124</v>
      </c>
      <c r="AD62" s="412"/>
    </row>
    <row r="63" spans="1:30" ht="15" customHeight="1">
      <c r="A63" s="472"/>
      <c r="B63" s="56" t="str">
        <f>VLOOKUP(D63,廠價表!$C$1:$E$40,2,0)</f>
        <v>小吃、微波</v>
      </c>
      <c r="C63" s="10"/>
      <c r="D63" s="239" t="s">
        <v>62</v>
      </c>
      <c r="E63" s="86"/>
      <c r="F63" s="56">
        <f>VLOOKUP(D63,廠價表!$C$1:$E$40,3,0)</f>
        <v>26.99</v>
      </c>
      <c r="G63" s="175">
        <v>1440</v>
      </c>
      <c r="H63" s="15">
        <f>F63*G63</f>
        <v>38865.599999999999</v>
      </c>
      <c r="I63" s="81"/>
      <c r="J63" s="16">
        <f>VLOOKUP(D63,產線配置圖!$A$3:$C$39,2,0)</f>
        <v>13</v>
      </c>
      <c r="K63" s="14">
        <f>VLOOKUP(D63,產線配置圖!$A$3:$C$39,3,0)</f>
        <v>1565</v>
      </c>
      <c r="L63" s="17">
        <f>K63/J63</f>
        <v>120.38461538461539</v>
      </c>
      <c r="M63" s="178">
        <v>13</v>
      </c>
      <c r="N63" s="14">
        <f>G63/W63*60</f>
        <v>1270.5882352941162</v>
      </c>
      <c r="O63" s="17">
        <f>N63/M63</f>
        <v>97.737556561085867</v>
      </c>
      <c r="P63" s="18">
        <f>M63-J63</f>
        <v>0</v>
      </c>
      <c r="Q63" s="19">
        <f>O63-L63</f>
        <v>-22.64705882352952</v>
      </c>
      <c r="R63" s="183">
        <f>O63/L63</f>
        <v>0.81187746664160787</v>
      </c>
      <c r="S63" s="420"/>
      <c r="T63" s="20">
        <v>0.57291666666666663</v>
      </c>
      <c r="U63" s="20">
        <v>0.62013888888888891</v>
      </c>
      <c r="V63" s="175">
        <f t="shared" si="47"/>
        <v>16.99999999999994</v>
      </c>
      <c r="W63" s="90">
        <f t="shared" si="18"/>
        <v>68.000000000000085</v>
      </c>
      <c r="X63" s="84"/>
      <c r="Y63" s="84"/>
      <c r="Z63" s="405"/>
      <c r="AA63" s="405"/>
      <c r="AB63" s="51">
        <f t="shared" si="40"/>
        <v>-294.4117647058838</v>
      </c>
      <c r="AC63" s="52">
        <f t="shared" si="41"/>
        <v>0.81187746664160776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42"/>
        <v>0</v>
      </c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2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48">AVERAGE(J59:J68)</f>
        <v>12.4</v>
      </c>
      <c r="K69" s="164">
        <f t="shared" si="48"/>
        <v>1565</v>
      </c>
      <c r="L69" s="169">
        <f t="shared" si="48"/>
        <v>126.40384615384615</v>
      </c>
      <c r="M69" s="164">
        <f t="shared" si="48"/>
        <v>12.4</v>
      </c>
      <c r="N69" s="164">
        <f t="shared" si="48"/>
        <v>1189.2700058628097</v>
      </c>
      <c r="O69" s="169">
        <f t="shared" si="48"/>
        <v>95.885207879216026</v>
      </c>
      <c r="P69" s="170">
        <f>M69-J69</f>
        <v>0</v>
      </c>
      <c r="Q69" s="156">
        <f>N69-K69</f>
        <v>-375.72999413719026</v>
      </c>
      <c r="R69" s="120">
        <f>O69/L69</f>
        <v>0.75856242350817493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-375.72999413719026</v>
      </c>
      <c r="AC69" s="185">
        <f>N69/K69</f>
        <v>0.75991693665355253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8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8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49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49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49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49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49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 t="e">
        <f>AVERAGE(J70:J78)</f>
        <v>#DIV/0!</v>
      </c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P1:S2"/>
    <mergeCell ref="V3:V4"/>
    <mergeCell ref="T1:Y2"/>
    <mergeCell ref="Z1:AA2"/>
    <mergeCell ref="AB1:AD2"/>
    <mergeCell ref="AC3:AC4"/>
    <mergeCell ref="AD3:AD4"/>
    <mergeCell ref="P3:P4"/>
    <mergeCell ref="Q3:Q4"/>
    <mergeCell ref="R3:R4"/>
    <mergeCell ref="T3:U3"/>
    <mergeCell ref="S3:S4"/>
    <mergeCell ref="AB3:AB4"/>
    <mergeCell ref="Z3:AA4"/>
    <mergeCell ref="A5:A15"/>
    <mergeCell ref="N3:N4"/>
    <mergeCell ref="O3:O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H3:H4"/>
    <mergeCell ref="I3:I4"/>
    <mergeCell ref="J3:J4"/>
    <mergeCell ref="K3:K4"/>
    <mergeCell ref="L3:L4"/>
    <mergeCell ref="S5:S15"/>
    <mergeCell ref="M3:M4"/>
    <mergeCell ref="Z5:AA5"/>
    <mergeCell ref="AD5:AD15"/>
    <mergeCell ref="Z6:AA6"/>
    <mergeCell ref="Z7:AA7"/>
    <mergeCell ref="Z8:AA8"/>
    <mergeCell ref="Z9:AA9"/>
    <mergeCell ref="Z15:AA15"/>
    <mergeCell ref="Z10:AA10"/>
    <mergeCell ref="Z11:AA11"/>
    <mergeCell ref="Z12:AA12"/>
    <mergeCell ref="Z13:AA13"/>
    <mergeCell ref="Z14:AA14"/>
    <mergeCell ref="W3:W4"/>
    <mergeCell ref="X3:Y3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88" priority="1" operator="greaterThan">
      <formula>0</formula>
    </cfRule>
  </conditionalFormatting>
  <conditionalFormatting sqref="Q5:Q79 AB5:AB79">
    <cfRule type="cellIs" dxfId="287" priority="4" operator="lessThan">
      <formula>0</formula>
    </cfRule>
  </conditionalFormatting>
  <conditionalFormatting sqref="R5:R79 AC5:AC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D59:AD62 S69:S76 AD69:AD76">
    <cfRule type="cellIs" dxfId="284" priority="7" operator="lessThan">
      <formula>0.8</formula>
    </cfRule>
  </conditionalFormatting>
  <conditionalFormatting sqref="S19:S25 AD19:AD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D5:AD8 S15:S16 AD15:AD16 AD49 AD79">
    <cfRule type="cellIs" dxfId="281" priority="9" operator="lessThan">
      <formula>0.8</formula>
    </cfRule>
  </conditionalFormatting>
  <conditionalFormatting sqref="AD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J28" sqref="J28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45995</v>
      </c>
      <c r="E3" s="357"/>
      <c r="F3" s="202" t="s">
        <v>84</v>
      </c>
      <c r="G3" s="358">
        <f>'1204'!E1</f>
        <v>44569</v>
      </c>
      <c r="H3" s="358"/>
      <c r="I3" s="202" t="s">
        <v>2</v>
      </c>
      <c r="J3" s="359">
        <f>'1204'!G1</f>
        <v>2165820.1999999997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117.3374281354467</v>
      </c>
      <c r="G6" s="367"/>
      <c r="H6" s="360">
        <f>AVERAGE(D13:H13)</f>
        <v>115.72478555740784</v>
      </c>
      <c r="I6" s="360"/>
      <c r="J6" s="360">
        <f>AVERAGE(I13:J13)</f>
        <v>125.40064102564102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100.17317582345937</v>
      </c>
      <c r="G7" s="362"/>
      <c r="H7" s="363">
        <f>AVERAGE(D14:H14)</f>
        <v>97.820456062375285</v>
      </c>
      <c r="I7" s="363"/>
      <c r="J7" s="363">
        <f>AVERAGE(I14:J14)</f>
        <v>111.93677462887985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0.85210475739235514</v>
      </c>
      <c r="G8" s="364"/>
      <c r="H8" s="364">
        <f>AVERAGE(D15:H15)</f>
        <v>0.84399907022949439</v>
      </c>
      <c r="I8" s="364"/>
      <c r="J8" s="364">
        <f>AVERAGE(I15:J15)</f>
        <v>0.89263319320665846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VALUE('1204'!L15)</f>
        <v>136.91288084464554</v>
      </c>
      <c r="E13" s="213">
        <f>VALUE('1204'!L26)</f>
        <v>162.27564102564102</v>
      </c>
      <c r="F13" s="213">
        <f>VALUE('1204'!L37)</f>
        <v>92.250816993464056</v>
      </c>
      <c r="G13" s="213">
        <f>VALUE('1204'!L48)</f>
        <v>99.13333333333334</v>
      </c>
      <c r="H13" s="213">
        <f>VALUE('1204'!L58)</f>
        <v>88.051255589955289</v>
      </c>
      <c r="I13" s="213">
        <f>VALUE('1204'!L69)</f>
        <v>125.40064102564102</v>
      </c>
      <c r="J13" s="213"/>
    </row>
    <row r="14" spans="2:15" ht="40" customHeight="1">
      <c r="B14" s="376"/>
      <c r="C14" s="212" t="s">
        <v>106</v>
      </c>
      <c r="D14" s="213">
        <f>VALUE('1204'!O15)</f>
        <v>120.92064210299527</v>
      </c>
      <c r="E14" s="213">
        <f>VALUE('1204'!O26)</f>
        <v>137.06760976300356</v>
      </c>
      <c r="F14" s="213">
        <f>VALUE('1204'!O37)</f>
        <v>80.980215866047573</v>
      </c>
      <c r="G14" s="213">
        <f>VALUE('1204'!O48)</f>
        <v>71.485163053794437</v>
      </c>
      <c r="H14" s="213">
        <f>VALUE('1204'!O58)</f>
        <v>78.648649526035555</v>
      </c>
      <c r="I14" s="213">
        <f>VALUE('1204'!O69)</f>
        <v>111.93677462887985</v>
      </c>
      <c r="J14" s="213"/>
    </row>
    <row r="15" spans="2:15" ht="40" customHeight="1">
      <c r="B15" s="377"/>
      <c r="C15" s="210" t="s">
        <v>23</v>
      </c>
      <c r="D15" s="231">
        <f>D14/D13</f>
        <v>0.88319405272176987</v>
      </c>
      <c r="E15" s="231">
        <f t="shared" ref="E15:I15" si="0">E14/E13</f>
        <v>0.8446591792624355</v>
      </c>
      <c r="F15" s="231">
        <f t="shared" si="0"/>
        <v>0.87782654403792437</v>
      </c>
      <c r="G15" s="231">
        <f t="shared" si="0"/>
        <v>0.72110117404634599</v>
      </c>
      <c r="H15" s="231">
        <f t="shared" si="0"/>
        <v>0.89321440107899652</v>
      </c>
      <c r="I15" s="231">
        <f t="shared" si="0"/>
        <v>0.89263319320665846</v>
      </c>
      <c r="J15" s="231"/>
    </row>
    <row r="16" spans="2:15" ht="17.25" customHeight="1">
      <c r="B16" s="378" t="s">
        <v>107</v>
      </c>
      <c r="C16" s="210" t="s">
        <v>29</v>
      </c>
      <c r="D16" s="95">
        <f>'1204'!T5</f>
        <v>0.2902777777777778</v>
      </c>
      <c r="E16" s="95">
        <f>'1204'!T16</f>
        <v>0.2902777777777778</v>
      </c>
      <c r="F16" s="95">
        <f>'1204'!T27</f>
        <v>0.29027777777777802</v>
      </c>
      <c r="G16" s="95">
        <f>'1204'!T38</f>
        <v>0.33333333333333331</v>
      </c>
      <c r="H16" s="95">
        <f>'1204'!T49</f>
        <v>0.29166666666666669</v>
      </c>
      <c r="I16" s="95">
        <f>'1204'!T59</f>
        <v>0.29166666666666669</v>
      </c>
      <c r="J16" s="269"/>
    </row>
    <row r="17" spans="2:10" ht="17.25" customHeight="1">
      <c r="B17" s="379"/>
      <c r="C17" s="210" t="s">
        <v>30</v>
      </c>
      <c r="D17" s="95">
        <v>0.624305555555556</v>
      </c>
      <c r="E17" s="41">
        <v>0.59097222222222223</v>
      </c>
      <c r="F17" s="41">
        <v>0.61458333333333337</v>
      </c>
      <c r="G17" s="59">
        <v>0.59375</v>
      </c>
      <c r="H17" s="79">
        <v>0.6118055555555556</v>
      </c>
      <c r="I17" s="196">
        <v>0.55208333333333337</v>
      </c>
      <c r="J17" s="20"/>
    </row>
    <row r="18" spans="2:10" ht="17.25" customHeight="1">
      <c r="B18" s="365" t="s">
        <v>108</v>
      </c>
      <c r="C18" s="366"/>
      <c r="D18" s="214">
        <f>VALUE('1204'!M15)</f>
        <v>14.2</v>
      </c>
      <c r="E18" s="214">
        <f>VALUE('1204'!M26)</f>
        <v>12.5</v>
      </c>
      <c r="F18" s="214">
        <f>VALUE('1204'!M37)</f>
        <v>14.5</v>
      </c>
      <c r="G18" s="214">
        <f>VALUE('1204'!M48)</f>
        <v>15</v>
      </c>
      <c r="H18" s="214">
        <f>VALUE('1204'!M58)</f>
        <v>16.5</v>
      </c>
      <c r="I18" s="214">
        <f>VALUE('1204'!M69)</f>
        <v>12.5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L59" activePane="bottomRight" state="frozen"/>
      <selection activeCell="J28" sqref="J28"/>
      <selection pane="topRight" activeCell="J28" sqref="J28"/>
      <selection pane="bottomLeft" activeCell="J28" sqref="J28"/>
      <selection pane="bottomRight" activeCell="V61" activeCellId="12" sqref="V6 V7 V9 V17 V18 V28 V29 V39 V40 V50 V52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44569</v>
      </c>
      <c r="F1" s="175" t="s">
        <v>2</v>
      </c>
      <c r="G1" s="4">
        <f>SUM(H5:H79)</f>
        <v>2165820.1999999997</v>
      </c>
      <c r="H1" s="173" t="s">
        <v>3</v>
      </c>
      <c r="I1" s="5">
        <f>M15+M26+M48+M58+M69+M79+M37</f>
        <v>85.2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125</v>
      </c>
      <c r="B2" s="404"/>
      <c r="C2" s="174"/>
      <c r="D2" s="174" t="s">
        <v>11</v>
      </c>
      <c r="E2" s="7">
        <f>AVERAGE(O15,O26,O37,O48,O58,O69,O79)</f>
        <v>100.17317582345937</v>
      </c>
      <c r="F2" s="8" t="s">
        <v>12</v>
      </c>
      <c r="G2" s="9">
        <f>G1/E1</f>
        <v>48.59476766362269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1369</v>
      </c>
      <c r="H5" s="318">
        <f>F5*G5</f>
        <v>78320.490000000005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9" si="0">G5/W5*60</f>
        <v>1825.3333333333333</v>
      </c>
      <c r="O5" s="322">
        <f t="shared" ref="O5:O9" si="1">N5/M5</f>
        <v>140.41025641025641</v>
      </c>
      <c r="P5" s="324">
        <f t="shared" ref="P5:P9" si="2">M5-J5</f>
        <v>0</v>
      </c>
      <c r="Q5" s="325">
        <f t="shared" ref="Q5:Q9" si="3">O5-L5</f>
        <v>-21.512820512820525</v>
      </c>
      <c r="R5" s="326">
        <f t="shared" ref="R5:R9" si="4">O5/L5</f>
        <v>0.86714172604908946</v>
      </c>
      <c r="S5" s="419">
        <f>R15</f>
        <v>0.88319405272176987</v>
      </c>
      <c r="T5" s="327">
        <v>0.2902777777777778</v>
      </c>
      <c r="U5" s="328">
        <v>0.3215277777777778</v>
      </c>
      <c r="V5" s="192"/>
      <c r="W5" s="106">
        <f t="shared" ref="W5:W14" si="5">(U5-T5)*24*60</f>
        <v>45</v>
      </c>
      <c r="X5" s="186"/>
      <c r="Y5" s="186"/>
      <c r="Z5" s="425"/>
      <c r="AA5" s="425"/>
      <c r="AB5" s="110">
        <f>N5-K5</f>
        <v>-279.66666666666674</v>
      </c>
      <c r="AC5" s="182">
        <f>N5/K5</f>
        <v>0.86714172604908946</v>
      </c>
      <c r="AD5" s="411">
        <f>AC15</f>
        <v>0.88087692890802816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33</v>
      </c>
      <c r="E6" s="248"/>
      <c r="F6" s="305">
        <f>VLOOKUP(D6,廠價表!$C$1:$E$40,3,0)</f>
        <v>57.21</v>
      </c>
      <c r="G6" s="306">
        <v>1773</v>
      </c>
      <c r="H6" s="307">
        <f>F6*G6</f>
        <v>101433.33</v>
      </c>
      <c r="I6" s="308"/>
      <c r="J6" s="309">
        <f>VLOOKUP(D6,產線配置圖!$A$3:$C$39,2,0)</f>
        <v>17</v>
      </c>
      <c r="K6" s="306">
        <v>1800</v>
      </c>
      <c r="L6" s="310">
        <f>K6/J6</f>
        <v>105.88235294117646</v>
      </c>
      <c r="M6" s="311">
        <v>17</v>
      </c>
      <c r="N6" s="306">
        <f t="shared" si="0"/>
        <v>1772.9999999999852</v>
      </c>
      <c r="O6" s="310">
        <f t="shared" si="1"/>
        <v>104.29411764705796</v>
      </c>
      <c r="P6" s="312">
        <f t="shared" si="2"/>
        <v>0</v>
      </c>
      <c r="Q6" s="313">
        <f t="shared" si="3"/>
        <v>-1.5882352941185047</v>
      </c>
      <c r="R6" s="314">
        <f t="shared" si="4"/>
        <v>0.98499999999999188</v>
      </c>
      <c r="S6" s="420"/>
      <c r="T6" s="267">
        <v>0.33124999999999999</v>
      </c>
      <c r="U6" s="267">
        <v>0.37291666666666701</v>
      </c>
      <c r="V6" s="175">
        <f>(T6-U5)*24*60</f>
        <v>13.99999999999995</v>
      </c>
      <c r="W6" s="180">
        <f t="shared" si="5"/>
        <v>60.000000000000504</v>
      </c>
      <c r="X6" s="22"/>
      <c r="Y6" s="22"/>
      <c r="Z6" s="391"/>
      <c r="AA6" s="391"/>
      <c r="AB6" s="18">
        <f>N6-K6</f>
        <v>-27.000000000014779</v>
      </c>
      <c r="AC6" s="183">
        <f>N6/K6</f>
        <v>0.98499999999999177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34</v>
      </c>
      <c r="E7" s="86"/>
      <c r="F7" s="56">
        <f>VLOOKUP(D7,廠價表!$C$1:$E$40,3,0)</f>
        <v>49.14</v>
      </c>
      <c r="G7" s="25">
        <v>4361</v>
      </c>
      <c r="H7" s="15">
        <f t="shared" ref="H7:H9" si="6">F7*G7</f>
        <v>214299.54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1923.9705882352828</v>
      </c>
      <c r="O7" s="17">
        <f t="shared" si="1"/>
        <v>147.99773755656022</v>
      </c>
      <c r="P7" s="18">
        <f t="shared" si="2"/>
        <v>0</v>
      </c>
      <c r="Q7" s="19">
        <f t="shared" si="3"/>
        <v>-5.8484162895936151</v>
      </c>
      <c r="R7" s="183">
        <f t="shared" si="4"/>
        <v>0.96198529411764155</v>
      </c>
      <c r="S7" s="420"/>
      <c r="T7" s="95">
        <v>0.38194444444444398</v>
      </c>
      <c r="U7" s="95">
        <v>0.47638888888888897</v>
      </c>
      <c r="V7" s="175">
        <f>(T7-U6)*24*60</f>
        <v>12.999999999998835</v>
      </c>
      <c r="W7" s="180">
        <f t="shared" si="5"/>
        <v>136.0000000000008</v>
      </c>
      <c r="X7" s="22"/>
      <c r="Y7" s="22"/>
      <c r="Z7" s="405"/>
      <c r="AA7" s="405"/>
      <c r="AB7" s="18">
        <f>N7-K7</f>
        <v>-76.029411764717224</v>
      </c>
      <c r="AC7" s="183">
        <f>N7/K7</f>
        <v>0.96198529411764144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899</v>
      </c>
      <c r="H8" s="15">
        <f t="shared" si="6"/>
        <v>44176.86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1926.4285714286113</v>
      </c>
      <c r="O8" s="17">
        <f t="shared" si="1"/>
        <v>148.18681318681627</v>
      </c>
      <c r="P8" s="18">
        <f t="shared" si="2"/>
        <v>0</v>
      </c>
      <c r="Q8" s="19">
        <f t="shared" si="3"/>
        <v>-5.6593406593375732</v>
      </c>
      <c r="R8" s="183">
        <f t="shared" si="4"/>
        <v>0.96321428571430578</v>
      </c>
      <c r="S8" s="420"/>
      <c r="T8" s="95">
        <v>0.54305555555555596</v>
      </c>
      <c r="U8" s="95">
        <v>0.5625</v>
      </c>
      <c r="V8" s="175">
        <f t="shared" ref="V8:V9" si="7">(T8-U7)*24*60</f>
        <v>96.000000000000455</v>
      </c>
      <c r="W8" s="180">
        <f t="shared" si="5"/>
        <v>27.999999999999421</v>
      </c>
      <c r="X8" s="22"/>
      <c r="Y8" s="260"/>
      <c r="Z8" s="416"/>
      <c r="AA8" s="416"/>
      <c r="AB8" s="18">
        <f>N8-K8</f>
        <v>-73.571428571388651</v>
      </c>
      <c r="AC8" s="183">
        <f>N8/K8</f>
        <v>0.96321428571430567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35</v>
      </c>
      <c r="E9" s="86"/>
      <c r="F9" s="56">
        <f>VLOOKUP(D9,廠價表!$C$1:$E$40,3,0)</f>
        <v>56.43</v>
      </c>
      <c r="G9" s="25">
        <v>892</v>
      </c>
      <c r="H9" s="15">
        <f t="shared" si="6"/>
        <v>50335.56</v>
      </c>
      <c r="I9" s="180"/>
      <c r="J9" s="16">
        <f>VLOOKUP(D9,產線配置圖!$A$3:$C$39,2,0)</f>
        <v>15</v>
      </c>
      <c r="K9" s="14">
        <f>VLOOKUP(D9,產線配置圖!$A$3:$C$39,3,0)</f>
        <v>1636</v>
      </c>
      <c r="L9" s="17">
        <f>K9/J9</f>
        <v>109.06666666666666</v>
      </c>
      <c r="M9" s="178">
        <v>15</v>
      </c>
      <c r="N9" s="14">
        <f t="shared" si="0"/>
        <v>955.71428571428373</v>
      </c>
      <c r="O9" s="17">
        <f t="shared" si="1"/>
        <v>63.71428571428558</v>
      </c>
      <c r="P9" s="18">
        <f t="shared" si="2"/>
        <v>0</v>
      </c>
      <c r="Q9" s="19">
        <f t="shared" si="3"/>
        <v>-45.352380952381083</v>
      </c>
      <c r="R9" s="183">
        <f t="shared" si="4"/>
        <v>0.58417743625567464</v>
      </c>
      <c r="S9" s="421"/>
      <c r="T9" s="95">
        <v>0.58541666666666703</v>
      </c>
      <c r="U9" s="95">
        <v>0.624305555555556</v>
      </c>
      <c r="V9" s="175">
        <f t="shared" si="7"/>
        <v>33.000000000000526</v>
      </c>
      <c r="W9" s="180">
        <f t="shared" si="5"/>
        <v>56.000000000000121</v>
      </c>
      <c r="X9" s="22">
        <v>0.48958333333333298</v>
      </c>
      <c r="Y9" s="260">
        <v>0.53125</v>
      </c>
      <c r="Z9" s="416" t="s">
        <v>55</v>
      </c>
      <c r="AA9" s="416"/>
      <c r="AB9" s="18">
        <f>N9-K9</f>
        <v>-680.28571428571627</v>
      </c>
      <c r="AC9" s="183">
        <f>N9/K9</f>
        <v>0.58417743625567464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8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14.2</v>
      </c>
      <c r="K15" s="117">
        <f t="shared" si="9"/>
        <v>1908.2</v>
      </c>
      <c r="L15" s="114">
        <f t="shared" si="9"/>
        <v>136.91288084464554</v>
      </c>
      <c r="M15" s="117">
        <f t="shared" si="9"/>
        <v>14.2</v>
      </c>
      <c r="N15" s="117">
        <f t="shared" si="9"/>
        <v>1680.8893557422994</v>
      </c>
      <c r="O15" s="114">
        <f t="shared" si="9"/>
        <v>120.92064210299527</v>
      </c>
      <c r="P15" s="118">
        <f t="shared" ref="P15:P19" si="10">M15-J15</f>
        <v>0</v>
      </c>
      <c r="Q15" s="119">
        <f t="shared" ref="Q15:Q19" si="11">O15-L15</f>
        <v>-15.992238741650269</v>
      </c>
      <c r="R15" s="120">
        <f t="shared" ref="R15:R19" si="12">O15/L15</f>
        <v>0.88319405272176987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3">N15-K15</f>
        <v>-227.31064425770069</v>
      </c>
      <c r="AC15" s="185">
        <f t="shared" ref="AC15:AC20" si="14">N15/K15</f>
        <v>0.88087692890802816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1175</v>
      </c>
      <c r="H16" s="124">
        <f t="shared" ref="H16:H25" si="15">F16*G16</f>
        <v>67221.75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6">K16/J16</f>
        <v>161.92307692307693</v>
      </c>
      <c r="M16" s="264">
        <v>13</v>
      </c>
      <c r="N16" s="126">
        <f t="shared" ref="N16:N19" si="17">G16/W16*60</f>
        <v>1855.2631578947396</v>
      </c>
      <c r="O16" s="127">
        <f>N16/M16</f>
        <v>142.71255060728765</v>
      </c>
      <c r="P16" s="128">
        <f>M16-J16</f>
        <v>0</v>
      </c>
      <c r="Q16" s="129">
        <f t="shared" si="11"/>
        <v>-19.210526315789281</v>
      </c>
      <c r="R16" s="187">
        <f>O16/L16</f>
        <v>0.88136017002125389</v>
      </c>
      <c r="S16" s="431">
        <f>R26</f>
        <v>0.8446591792624355</v>
      </c>
      <c r="T16" s="265">
        <v>0.2902777777777778</v>
      </c>
      <c r="U16" s="265">
        <v>0.31666666666666665</v>
      </c>
      <c r="V16" s="125"/>
      <c r="W16" s="130">
        <f t="shared" ref="W16:W78" si="18">(U16-T16)*24*60</f>
        <v>37.999999999999943</v>
      </c>
      <c r="X16" s="127"/>
      <c r="Y16" s="127"/>
      <c r="Z16" s="425"/>
      <c r="AA16" s="425"/>
      <c r="AB16" s="110">
        <f t="shared" si="13"/>
        <v>-249.73684210526039</v>
      </c>
      <c r="AC16" s="182">
        <f t="shared" si="14"/>
        <v>0.881360170021254</v>
      </c>
      <c r="AD16" s="411">
        <f>AC26</f>
        <v>0.846082206140644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3524</v>
      </c>
      <c r="H17" s="15">
        <f t="shared" si="15"/>
        <v>178561.08000000002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 t="shared" si="17"/>
        <v>1762.0000000000005</v>
      </c>
      <c r="O17" s="38">
        <f t="shared" ref="O17:O19" si="19">N17/M17</f>
        <v>135.53846153846158</v>
      </c>
      <c r="P17" s="39">
        <f t="shared" si="10"/>
        <v>0</v>
      </c>
      <c r="Q17" s="40">
        <f t="shared" si="11"/>
        <v>-18.307692307692264</v>
      </c>
      <c r="R17" s="188">
        <f t="shared" si="12"/>
        <v>0.88100000000000023</v>
      </c>
      <c r="S17" s="432"/>
      <c r="T17" s="41">
        <v>0.3263888888888889</v>
      </c>
      <c r="U17" s="41">
        <v>0.40972222222222221</v>
      </c>
      <c r="V17" s="175">
        <f>(T17-U16)*24*60</f>
        <v>14.00000000000003</v>
      </c>
      <c r="W17" s="43">
        <f t="shared" si="18"/>
        <v>119.99999999999997</v>
      </c>
      <c r="X17" s="44"/>
      <c r="Y17" s="44"/>
      <c r="Z17" s="391"/>
      <c r="AA17" s="391"/>
      <c r="AB17" s="18">
        <f t="shared" si="13"/>
        <v>-237.99999999999955</v>
      </c>
      <c r="AC17" s="183">
        <f t="shared" si="14"/>
        <v>0.88100000000000023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2043</v>
      </c>
      <c r="H18" s="15">
        <f t="shared" si="15"/>
        <v>102946.77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1408.9655172413791</v>
      </c>
      <c r="O18" s="38">
        <f t="shared" si="19"/>
        <v>117.41379310344826</v>
      </c>
      <c r="P18" s="39">
        <f t="shared" si="10"/>
        <v>0</v>
      </c>
      <c r="Q18" s="40">
        <f t="shared" si="11"/>
        <v>-49.252873563218401</v>
      </c>
      <c r="R18" s="188">
        <f t="shared" si="12"/>
        <v>0.70448275862068954</v>
      </c>
      <c r="S18" s="432"/>
      <c r="T18" s="41">
        <v>0.41875000000000001</v>
      </c>
      <c r="U18" s="41">
        <v>0.47916666666666669</v>
      </c>
      <c r="V18" s="175">
        <f>(T18-U17)*24*60</f>
        <v>13.000000000000034</v>
      </c>
      <c r="W18" s="43">
        <f t="shared" si="18"/>
        <v>87.000000000000014</v>
      </c>
      <c r="X18" s="22"/>
      <c r="Y18" s="22"/>
      <c r="Z18" s="415" t="s">
        <v>126</v>
      </c>
      <c r="AA18" s="415"/>
      <c r="AB18" s="18">
        <f t="shared" si="13"/>
        <v>-591.03448275862092</v>
      </c>
      <c r="AC18" s="183">
        <f t="shared" si="14"/>
        <v>0.70448275862068954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2167</v>
      </c>
      <c r="H19" s="15">
        <f t="shared" si="15"/>
        <v>109195.13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6"/>
        <v>166.66666666666666</v>
      </c>
      <c r="M19" s="37">
        <v>12</v>
      </c>
      <c r="N19" s="36">
        <f t="shared" si="17"/>
        <v>1831.2676056338009</v>
      </c>
      <c r="O19" s="38">
        <f t="shared" si="19"/>
        <v>152.60563380281675</v>
      </c>
      <c r="P19" s="39">
        <f t="shared" si="10"/>
        <v>0</v>
      </c>
      <c r="Q19" s="40">
        <f t="shared" si="11"/>
        <v>-14.061032863849903</v>
      </c>
      <c r="R19" s="188">
        <f t="shared" si="12"/>
        <v>0.91563380281690054</v>
      </c>
      <c r="S19" s="432"/>
      <c r="T19" s="41">
        <v>0.54166666666666663</v>
      </c>
      <c r="U19" s="41">
        <v>0.59097222222222223</v>
      </c>
      <c r="V19" s="175">
        <f>(T19-U18)*24*60</f>
        <v>89.999999999999915</v>
      </c>
      <c r="W19" s="43">
        <f t="shared" si="18"/>
        <v>71.000000000000071</v>
      </c>
      <c r="X19" s="22">
        <v>0.48958333333333298</v>
      </c>
      <c r="Y19" s="260">
        <v>0.53125</v>
      </c>
      <c r="Z19" s="416"/>
      <c r="AA19" s="416"/>
      <c r="AB19" s="18">
        <f t="shared" si="13"/>
        <v>-168.73239436619906</v>
      </c>
      <c r="AC19" s="183">
        <f t="shared" si="14"/>
        <v>0.91563380281690043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/>
      <c r="W20" s="43">
        <f t="shared" si="18"/>
        <v>0</v>
      </c>
      <c r="X20" s="44"/>
      <c r="Y20" s="44"/>
      <c r="Z20" s="418"/>
      <c r="AA20" s="405"/>
      <c r="AB20" s="18">
        <f t="shared" si="13"/>
        <v>0</v>
      </c>
      <c r="AC20" s="183" t="e">
        <f t="shared" si="14"/>
        <v>#DIV/0!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12.5</v>
      </c>
      <c r="K26" s="133">
        <f t="shared" si="20"/>
        <v>2026.25</v>
      </c>
      <c r="L26" s="136">
        <f t="shared" si="20"/>
        <v>162.27564102564102</v>
      </c>
      <c r="M26" s="133">
        <f t="shared" si="20"/>
        <v>12.5</v>
      </c>
      <c r="N26" s="133">
        <f t="shared" si="20"/>
        <v>1714.3740701924798</v>
      </c>
      <c r="O26" s="136">
        <f t="shared" si="20"/>
        <v>137.06760976300356</v>
      </c>
      <c r="P26" s="137">
        <f t="shared" ref="P26:P30" si="21">M26-J26</f>
        <v>0</v>
      </c>
      <c r="Q26" s="138">
        <f t="shared" ref="Q26:Q30" si="22">O26-L26</f>
        <v>-25.208031262637462</v>
      </c>
      <c r="R26" s="139">
        <f t="shared" ref="R26:R30" si="23">O26/L26</f>
        <v>0.8446591792624355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-311.87592980752015</v>
      </c>
      <c r="AC26" s="185">
        <f>N26/K26</f>
        <v>0.846082206140644</v>
      </c>
      <c r="AD26" s="414"/>
    </row>
    <row r="27" spans="1:30" ht="15" customHeight="1">
      <c r="A27" s="428" t="s">
        <v>44</v>
      </c>
      <c r="B27" s="227" t="str">
        <f>VLOOKUP(D27,廠價表!$C$1:$E$40,2,0)</f>
        <v>熱乾麵</v>
      </c>
      <c r="C27" s="101"/>
      <c r="D27" s="330" t="s">
        <v>46</v>
      </c>
      <c r="E27" s="103"/>
      <c r="F27" s="197">
        <f>VLOOKUP(D27,廠價表!$C$1:$E$40,3,0)</f>
        <v>49.91</v>
      </c>
      <c r="G27" s="266">
        <v>1920</v>
      </c>
      <c r="H27" s="124">
        <f t="shared" ref="H27:H41" si="24">F27*G27</f>
        <v>95827.199999999997</v>
      </c>
      <c r="I27" s="125"/>
      <c r="J27" s="16">
        <f>VLOOKUP(D27,產線配置圖!$A$3:$C$39,2,0)</f>
        <v>17</v>
      </c>
      <c r="K27" s="14">
        <f>VLOOKUP(D27,產線配置圖!$A$3:$C$39,3,0)</f>
        <v>1565</v>
      </c>
      <c r="L27" s="108">
        <f>K27/J27</f>
        <v>92.058823529411768</v>
      </c>
      <c r="M27" s="143">
        <v>13</v>
      </c>
      <c r="N27" s="126">
        <f>G27/W27*60</f>
        <v>1140.5940594059393</v>
      </c>
      <c r="O27" s="127">
        <f>N27/M27</f>
        <v>87.738004569687646</v>
      </c>
      <c r="P27" s="128">
        <f t="shared" si="21"/>
        <v>-4</v>
      </c>
      <c r="Q27" s="129">
        <f t="shared" si="22"/>
        <v>-4.3208189597241216</v>
      </c>
      <c r="R27" s="187">
        <f>O27/L27</f>
        <v>0.95306458637999358</v>
      </c>
      <c r="S27" s="431">
        <f>R37</f>
        <v>0.87782654403792437</v>
      </c>
      <c r="T27" s="94">
        <v>0.29027777777777802</v>
      </c>
      <c r="U27" s="94">
        <v>0.360416666666667</v>
      </c>
      <c r="V27" s="125"/>
      <c r="W27" s="130">
        <f t="shared" si="18"/>
        <v>101.00000000000011</v>
      </c>
      <c r="X27" s="125"/>
      <c r="Y27" s="125" t="s">
        <v>47</v>
      </c>
      <c r="Z27" s="434"/>
      <c r="AA27" s="425"/>
      <c r="AB27" s="223">
        <f>N27-K27</f>
        <v>-424.40594059406067</v>
      </c>
      <c r="AC27" s="288">
        <f>N27/K27</f>
        <v>0.72881409546705389</v>
      </c>
      <c r="AD27" s="411">
        <f>AC37</f>
        <v>0.79060493086130035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1778</v>
      </c>
      <c r="H28" s="50">
        <f t="shared" si="24"/>
        <v>98021.14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13</v>
      </c>
      <c r="N28" s="36">
        <f>G28/W28*60</f>
        <v>944.07079646017974</v>
      </c>
      <c r="O28" s="38">
        <f>N28/M28</f>
        <v>72.620830496936904</v>
      </c>
      <c r="P28" s="39">
        <f t="shared" si="21"/>
        <v>-5</v>
      </c>
      <c r="Q28" s="40">
        <f t="shared" si="22"/>
        <v>-4.323613947507539</v>
      </c>
      <c r="R28" s="188">
        <f t="shared" si="23"/>
        <v>0.94380862739701388</v>
      </c>
      <c r="S28" s="432"/>
      <c r="T28" s="267">
        <v>0.37291666666666701</v>
      </c>
      <c r="U28" s="267">
        <v>0.45138888888888901</v>
      </c>
      <c r="V28" s="42">
        <f>(T28-U27)*24*60</f>
        <v>18.000000000000014</v>
      </c>
      <c r="W28" s="43">
        <f t="shared" si="18"/>
        <v>112.99999999999967</v>
      </c>
      <c r="X28" s="54"/>
      <c r="Y28" s="54"/>
      <c r="Z28" s="418"/>
      <c r="AA28" s="417"/>
      <c r="AB28" s="39">
        <f>N28-K28</f>
        <v>-440.92920353982026</v>
      </c>
      <c r="AC28" s="188">
        <f>N28/K28</f>
        <v>0.68163956423117666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10"/>
      <c r="D29" s="11" t="s">
        <v>49</v>
      </c>
      <c r="E29" s="86"/>
      <c r="F29" s="56">
        <f>VLOOKUP(D29,廠價表!$C$1:$E$40,3,0)</f>
        <v>47.71</v>
      </c>
      <c r="G29" s="53">
        <v>1364</v>
      </c>
      <c r="H29" s="50">
        <f t="shared" si="24"/>
        <v>65076.44</v>
      </c>
      <c r="I29" s="42"/>
      <c r="J29" s="16">
        <f>VLOOKUP(D29,產線配置圖!$A$3:$C$39,2,0)</f>
        <v>15</v>
      </c>
      <c r="K29" s="14">
        <f>VLOOKUP(D29,產線配置圖!$A$3:$C$39,3,0)</f>
        <v>1500</v>
      </c>
      <c r="L29" s="233">
        <f>K29/J29</f>
        <v>100</v>
      </c>
      <c r="M29" s="21">
        <v>17</v>
      </c>
      <c r="N29" s="36">
        <f>G29/W29*60</f>
        <v>1411.0344827586198</v>
      </c>
      <c r="O29" s="38">
        <f>N29/M29</f>
        <v>83.002028397565866</v>
      </c>
      <c r="P29" s="39">
        <f t="shared" si="21"/>
        <v>2</v>
      </c>
      <c r="Q29" s="40">
        <f t="shared" si="22"/>
        <v>-16.997971602434134</v>
      </c>
      <c r="R29" s="188">
        <f t="shared" si="23"/>
        <v>0.83002028397565863</v>
      </c>
      <c r="S29" s="432"/>
      <c r="T29" s="41">
        <v>0.45624999999999999</v>
      </c>
      <c r="U29" s="41">
        <v>0.49652777777777779</v>
      </c>
      <c r="V29" s="42">
        <f>(T29-U28)*24*60</f>
        <v>6.9999999999998153</v>
      </c>
      <c r="W29" s="43">
        <f t="shared" si="18"/>
        <v>58.000000000000036</v>
      </c>
      <c r="X29" s="22"/>
      <c r="Y29" s="22"/>
      <c r="Z29" s="418"/>
      <c r="AA29" s="417"/>
      <c r="AB29" s="289">
        <f>N29-K29</f>
        <v>-88.965517241380212</v>
      </c>
      <c r="AC29" s="188">
        <f>N29/K29</f>
        <v>0.94068965517241321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49</v>
      </c>
      <c r="E30" s="29"/>
      <c r="F30" s="56">
        <f>VLOOKUP(D30,廠價表!$C$1:$E$40,3,0)</f>
        <v>47.71</v>
      </c>
      <c r="G30" s="53">
        <v>2014</v>
      </c>
      <c r="H30" s="50">
        <f t="shared" si="24"/>
        <v>96087.94</v>
      </c>
      <c r="I30" s="42"/>
      <c r="J30" s="16">
        <f>VLOOKUP(D30,產線配置圖!$A$3:$C$39,2,0)</f>
        <v>15</v>
      </c>
      <c r="K30" s="14">
        <f>VLOOKUP(D30,產線配置圖!$A$3:$C$39,3,0)</f>
        <v>1500</v>
      </c>
      <c r="L30" s="233">
        <f>K30/J30</f>
        <v>100</v>
      </c>
      <c r="M30" s="21">
        <v>15</v>
      </c>
      <c r="N30" s="36">
        <f>G30/W30*60</f>
        <v>1208.3999999999985</v>
      </c>
      <c r="O30" s="38">
        <f>N30/M30</f>
        <v>80.559999999999903</v>
      </c>
      <c r="P30" s="39">
        <f t="shared" si="21"/>
        <v>0</v>
      </c>
      <c r="Q30" s="40">
        <f t="shared" si="22"/>
        <v>-19.440000000000097</v>
      </c>
      <c r="R30" s="188">
        <f t="shared" si="23"/>
        <v>0.80559999999999898</v>
      </c>
      <c r="S30" s="432"/>
      <c r="T30" s="41">
        <v>0.54513888888888884</v>
      </c>
      <c r="U30" s="41">
        <v>0.61458333333333337</v>
      </c>
      <c r="V30" s="42">
        <f>(T30-U29)*24*60</f>
        <v>69.999999999999915</v>
      </c>
      <c r="W30" s="43">
        <f t="shared" si="18"/>
        <v>100.00000000000013</v>
      </c>
      <c r="X30" s="54">
        <v>0.48958333333333298</v>
      </c>
      <c r="Y30" s="54">
        <v>0.53125</v>
      </c>
      <c r="Z30" s="426"/>
      <c r="AA30" s="446"/>
      <c r="AB30" s="289">
        <f>N30-K30</f>
        <v>-291.6000000000015</v>
      </c>
      <c r="AC30" s="188">
        <f>N30/K30</f>
        <v>0.80559999999999898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8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4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5">AVERAGE(J27:J36)</f>
        <v>16.25</v>
      </c>
      <c r="K37" s="282">
        <f t="shared" si="25"/>
        <v>1487.5</v>
      </c>
      <c r="L37" s="283">
        <f t="shared" si="25"/>
        <v>92.250816993464056</v>
      </c>
      <c r="M37" s="282">
        <f t="shared" si="25"/>
        <v>14.5</v>
      </c>
      <c r="N37" s="282">
        <f t="shared" si="25"/>
        <v>1176.0248346561843</v>
      </c>
      <c r="O37" s="283">
        <f t="shared" si="25"/>
        <v>80.980215866047573</v>
      </c>
      <c r="P37" s="73">
        <f>M37-J37</f>
        <v>-1.75</v>
      </c>
      <c r="Q37" s="74">
        <f>N37-K37</f>
        <v>-311.47516534381566</v>
      </c>
      <c r="R37" s="284">
        <f t="shared" ref="R37:R41" si="26">O37/L37</f>
        <v>0.87782654403792437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1" si="27">N37-K37</f>
        <v>-311.47516534381566</v>
      </c>
      <c r="AC37" s="184">
        <f t="shared" ref="AC37:AC41" si="28">N37/K37</f>
        <v>0.79060493086130035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1964</v>
      </c>
      <c r="H38" s="124">
        <f t="shared" si="24"/>
        <v>112537.2</v>
      </c>
      <c r="I38" s="125"/>
      <c r="J38" s="331">
        <f>VLOOKUP(D38,產線配置圖!$A$3:$C$39,2,0)</f>
        <v>15</v>
      </c>
      <c r="K38" s="234">
        <v>1500</v>
      </c>
      <c r="L38" s="285">
        <f t="shared" ref="L38:L41" si="29">K38/J38</f>
        <v>100</v>
      </c>
      <c r="M38" s="286">
        <v>15</v>
      </c>
      <c r="N38" s="126">
        <f>G38/W38*60</f>
        <v>1111.6981132075468</v>
      </c>
      <c r="O38" s="127">
        <f>N38/M38</f>
        <v>74.113207547169793</v>
      </c>
      <c r="P38" s="128">
        <f t="shared" ref="P38:P41" si="30">M38-J38</f>
        <v>0</v>
      </c>
      <c r="Q38" s="129">
        <f t="shared" ref="Q38:Q41" si="31">O38-L38</f>
        <v>-25.886792452830207</v>
      </c>
      <c r="R38" s="187">
        <f t="shared" si="26"/>
        <v>0.7411320754716979</v>
      </c>
      <c r="S38" s="460">
        <f>R48</f>
        <v>0.72110117404634599</v>
      </c>
      <c r="T38" s="149">
        <v>0.33333333333333331</v>
      </c>
      <c r="U38" s="149">
        <v>0.40694444444444444</v>
      </c>
      <c r="V38" s="146"/>
      <c r="W38" s="150">
        <f t="shared" si="18"/>
        <v>106.00000000000003</v>
      </c>
      <c r="X38" s="148"/>
      <c r="Y38" s="151"/>
      <c r="Z38" s="462" t="s">
        <v>127</v>
      </c>
      <c r="AA38" s="463"/>
      <c r="AB38" s="287">
        <f t="shared" si="27"/>
        <v>-388.30188679245316</v>
      </c>
      <c r="AC38" s="152">
        <f t="shared" si="28"/>
        <v>0.7411320754716979</v>
      </c>
      <c r="AD38" s="447">
        <f>AC48</f>
        <v>0.72110117404634611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1109</v>
      </c>
      <c r="H39" s="50">
        <f t="shared" si="24"/>
        <v>62580.87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9"/>
        <v>93.733333333333334</v>
      </c>
      <c r="M39" s="65">
        <v>15</v>
      </c>
      <c r="N39" s="66">
        <f>G39/W39*60</f>
        <v>937.1830985915484</v>
      </c>
      <c r="O39" s="67">
        <f t="shared" ref="O39:O41" si="32">N39/M39</f>
        <v>62.47887323943656</v>
      </c>
      <c r="P39" s="39">
        <f t="shared" si="30"/>
        <v>0</v>
      </c>
      <c r="Q39" s="40">
        <f t="shared" si="31"/>
        <v>-31.254460093896775</v>
      </c>
      <c r="R39" s="188">
        <f t="shared" si="26"/>
        <v>0.66655981407649245</v>
      </c>
      <c r="S39" s="461"/>
      <c r="T39" s="59">
        <v>0.41319444444444442</v>
      </c>
      <c r="U39" s="59">
        <v>0.46250000000000002</v>
      </c>
      <c r="V39" s="42">
        <f>(T39-U38)*24*60</f>
        <v>8.999999999999968</v>
      </c>
      <c r="W39" s="69">
        <f t="shared" si="18"/>
        <v>71.000000000000071</v>
      </c>
      <c r="X39" s="22"/>
      <c r="Y39" s="22"/>
      <c r="Z39" s="450" t="s">
        <v>127</v>
      </c>
      <c r="AA39" s="451"/>
      <c r="AB39" s="268">
        <f t="shared" si="27"/>
        <v>-468.8169014084516</v>
      </c>
      <c r="AC39" s="61">
        <f t="shared" si="28"/>
        <v>0.66655981407649245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35</v>
      </c>
      <c r="E40" s="240"/>
      <c r="F40" s="56">
        <f>VLOOKUP(D40,廠價表!$C$1:$E$40,3,0)</f>
        <v>56.43</v>
      </c>
      <c r="G40" s="273">
        <v>876</v>
      </c>
      <c r="H40" s="50">
        <f t="shared" si="24"/>
        <v>49432.68</v>
      </c>
      <c r="I40" s="64"/>
      <c r="J40" s="37">
        <f>VLOOKUP(D40,產線配置圖!$A$3:$C$39,2,0)</f>
        <v>15</v>
      </c>
      <c r="K40" s="36">
        <f>VLOOKUP(D40,產線配置圖!$A$3:$C$39,3,0)</f>
        <v>1636</v>
      </c>
      <c r="L40" s="38">
        <f t="shared" si="29"/>
        <v>109.06666666666666</v>
      </c>
      <c r="M40" s="65">
        <v>15</v>
      </c>
      <c r="N40" s="66">
        <f>G40/W40*60</f>
        <v>1251.4285714285711</v>
      </c>
      <c r="O40" s="67">
        <f t="shared" si="32"/>
        <v>83.428571428571402</v>
      </c>
      <c r="P40" s="39">
        <f t="shared" si="30"/>
        <v>0</v>
      </c>
      <c r="Q40" s="40">
        <f t="shared" si="31"/>
        <v>-25.638095238095261</v>
      </c>
      <c r="R40" s="188">
        <f t="shared" si="26"/>
        <v>0.7649318896262659</v>
      </c>
      <c r="S40" s="420"/>
      <c r="T40" s="59">
        <v>0.47083333333333333</v>
      </c>
      <c r="U40" s="59">
        <v>0.5</v>
      </c>
      <c r="V40" s="42">
        <f>(T40-U39)*24*60</f>
        <v>11.999999999999957</v>
      </c>
      <c r="W40" s="69">
        <f t="shared" si="18"/>
        <v>42.000000000000014</v>
      </c>
      <c r="X40" s="70"/>
      <c r="Y40" s="256"/>
      <c r="Z40" s="450" t="s">
        <v>128</v>
      </c>
      <c r="AA40" s="451"/>
      <c r="AB40" s="268">
        <f t="shared" si="27"/>
        <v>-384.5714285714289</v>
      </c>
      <c r="AC40" s="61">
        <f t="shared" si="28"/>
        <v>0.7649318896262659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824</v>
      </c>
      <c r="H41" s="50">
        <f t="shared" si="24"/>
        <v>46498.32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si="29"/>
        <v>93.733333333333334</v>
      </c>
      <c r="M41" s="65">
        <v>15</v>
      </c>
      <c r="N41" s="66">
        <f>G41/W41*60</f>
        <v>988.80000000000018</v>
      </c>
      <c r="O41" s="67">
        <f t="shared" si="32"/>
        <v>65.920000000000016</v>
      </c>
      <c r="P41" s="39">
        <f t="shared" si="30"/>
        <v>0</v>
      </c>
      <c r="Q41" s="40">
        <f t="shared" si="31"/>
        <v>-27.813333333333318</v>
      </c>
      <c r="R41" s="188">
        <f t="shared" si="26"/>
        <v>0.70327169274537715</v>
      </c>
      <c r="S41" s="420"/>
      <c r="T41" s="59">
        <v>0.55902777777777779</v>
      </c>
      <c r="U41" s="59">
        <v>0.59375</v>
      </c>
      <c r="V41" s="42">
        <f>(T41-U40)*24*60</f>
        <v>85.000000000000014</v>
      </c>
      <c r="W41" s="69">
        <f t="shared" si="18"/>
        <v>49.999999999999986</v>
      </c>
      <c r="X41" s="70">
        <v>0.52777777777777801</v>
      </c>
      <c r="Y41" s="256">
        <v>0.56944444444444398</v>
      </c>
      <c r="Z41" s="450" t="s">
        <v>117</v>
      </c>
      <c r="AA41" s="451"/>
      <c r="AB41" s="268">
        <f t="shared" si="27"/>
        <v>-417.19999999999982</v>
      </c>
      <c r="AC41" s="61">
        <f t="shared" si="28"/>
        <v>0.70327169274537704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18"/>
        <v>0</v>
      </c>
      <c r="X42" s="70"/>
      <c r="Y42" s="60"/>
      <c r="Z42" s="450"/>
      <c r="AA42" s="451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33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5">AVERAGE(J38:J47)</f>
        <v>15</v>
      </c>
      <c r="K48" s="133">
        <f t="shared" si="35"/>
        <v>1487</v>
      </c>
      <c r="L48" s="136">
        <f t="shared" si="35"/>
        <v>99.13333333333334</v>
      </c>
      <c r="M48" s="133">
        <f t="shared" si="35"/>
        <v>15</v>
      </c>
      <c r="N48" s="133">
        <f t="shared" si="35"/>
        <v>1072.2774458069166</v>
      </c>
      <c r="O48" s="136">
        <f t="shared" si="35"/>
        <v>71.485163053794437</v>
      </c>
      <c r="P48" s="155">
        <f>M48-J48</f>
        <v>0</v>
      </c>
      <c r="Q48" s="156">
        <f>N48-K48</f>
        <v>-414.7225541930834</v>
      </c>
      <c r="R48" s="157">
        <f>O48/L48</f>
        <v>0.72110117404634599</v>
      </c>
      <c r="S48" s="423"/>
      <c r="T48" s="158"/>
      <c r="U48" s="158"/>
      <c r="V48" s="194"/>
      <c r="W48" s="159">
        <f t="shared" si="34"/>
        <v>0</v>
      </c>
      <c r="X48" s="160"/>
      <c r="Y48" s="160"/>
      <c r="Z48" s="424"/>
      <c r="AA48" s="424"/>
      <c r="AB48" s="161">
        <f>N48-K48</f>
        <v>-414.7225541930834</v>
      </c>
      <c r="AC48" s="189">
        <f>N48/K48</f>
        <v>0.72110117404634611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2035</v>
      </c>
      <c r="H49" s="124">
        <f t="shared" ref="H49:H57" si="36">F49*G49</f>
        <v>115730.45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16</v>
      </c>
      <c r="N49" s="126">
        <f>G49/W49*60</f>
        <v>1233.3333333333337</v>
      </c>
      <c r="O49" s="127">
        <f>N49/M49</f>
        <v>77.083333333333357</v>
      </c>
      <c r="P49" s="162">
        <f>M49-J49</f>
        <v>-3</v>
      </c>
      <c r="Q49" s="111">
        <f>O49-L49</f>
        <v>-5.2850877192982182</v>
      </c>
      <c r="R49" s="182">
        <f>O49/L49</f>
        <v>0.93583599574014942</v>
      </c>
      <c r="S49" s="419">
        <f>R58</f>
        <v>0.89321440107899652</v>
      </c>
      <c r="T49" s="149">
        <v>0.29166666666666669</v>
      </c>
      <c r="U49" s="149">
        <v>0.36041666666666666</v>
      </c>
      <c r="V49" s="186"/>
      <c r="W49" s="150">
        <f t="shared" si="18"/>
        <v>98.999999999999972</v>
      </c>
      <c r="X49" s="186"/>
      <c r="Y49" s="186"/>
      <c r="Z49" s="425"/>
      <c r="AA49" s="425"/>
      <c r="AB49" s="110">
        <f>N49-K49</f>
        <v>-331.66666666666629</v>
      </c>
      <c r="AC49" s="182">
        <f>N49/K49</f>
        <v>0.78807241746538892</v>
      </c>
      <c r="AD49" s="411">
        <f>AC58</f>
        <v>0.82281856257563202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3709</v>
      </c>
      <c r="H50" s="76">
        <f t="shared" si="36"/>
        <v>185338.72999999998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17</v>
      </c>
      <c r="N50" s="77">
        <f>G50/W50*60</f>
        <v>1473.7748344370866</v>
      </c>
      <c r="O50" s="78">
        <f>N50/M50</f>
        <v>86.69263731982862</v>
      </c>
      <c r="P50" s="18">
        <f>M50-J50</f>
        <v>-1</v>
      </c>
      <c r="Q50" s="19">
        <f>O50-L50</f>
        <v>-2.1962515690602658</v>
      </c>
      <c r="R50" s="183">
        <f>O50/L50</f>
        <v>0.97529216984807199</v>
      </c>
      <c r="S50" s="420"/>
      <c r="T50" s="79">
        <v>0.36805555555555558</v>
      </c>
      <c r="U50" s="79">
        <v>0.47291666666666665</v>
      </c>
      <c r="V50" s="175">
        <f t="shared" ref="V50:V52" si="37">(T50-U49)*24*60</f>
        <v>11.000000000000041</v>
      </c>
      <c r="W50" s="80">
        <f t="shared" si="18"/>
        <v>150.99999999999994</v>
      </c>
      <c r="X50" s="22"/>
      <c r="Y50" s="22"/>
      <c r="Z50" s="417"/>
      <c r="AA50" s="418"/>
      <c r="AB50" s="18">
        <f>N50-K50</f>
        <v>-126.22516556291339</v>
      </c>
      <c r="AC50" s="183">
        <f>N50/K50</f>
        <v>0.92110927152317912</v>
      </c>
      <c r="AD50" s="412"/>
    </row>
    <row r="51" spans="1:30" ht="15" customHeight="1">
      <c r="A51" s="455"/>
      <c r="B51" s="56" t="str">
        <f>VLOOKUP(D51,廠價表!$C$1:$E$40,2,0)</f>
        <v>義大利麵</v>
      </c>
      <c r="C51" s="10"/>
      <c r="D51" s="11" t="s">
        <v>59</v>
      </c>
      <c r="E51" s="86"/>
      <c r="F51" s="56">
        <f>VLOOKUP(D51,廠價表!$C$1:$E$40,3,0)</f>
        <v>49.97</v>
      </c>
      <c r="G51" s="66">
        <v>1500</v>
      </c>
      <c r="H51" s="76">
        <f t="shared" si="36"/>
        <v>74955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>K51/J51</f>
        <v>88.888888888888886</v>
      </c>
      <c r="M51" s="172">
        <v>17</v>
      </c>
      <c r="N51" s="77">
        <f>G51/W51*60</f>
        <v>1499.9999999999975</v>
      </c>
      <c r="O51" s="78">
        <f>N51/M51</f>
        <v>88.235294117646916</v>
      </c>
      <c r="P51" s="18">
        <f>M51-J51</f>
        <v>-1</v>
      </c>
      <c r="Q51" s="19">
        <f>O51-L51</f>
        <v>-0.65359477124196985</v>
      </c>
      <c r="R51" s="183">
        <f>O51/L51</f>
        <v>0.99264705882352788</v>
      </c>
      <c r="S51" s="420"/>
      <c r="T51" s="79">
        <v>0.53472222222222221</v>
      </c>
      <c r="U51" s="44">
        <v>0.57638888888888895</v>
      </c>
      <c r="V51" s="175">
        <f t="shared" si="37"/>
        <v>89</v>
      </c>
      <c r="W51" s="80">
        <f t="shared" si="18"/>
        <v>60.000000000000107</v>
      </c>
      <c r="X51" s="22"/>
      <c r="Y51" s="22"/>
      <c r="Z51" s="405"/>
      <c r="AA51" s="405"/>
      <c r="AB51" s="18">
        <f>N51-K51</f>
        <v>-100.0000000000025</v>
      </c>
      <c r="AC51" s="183">
        <f>N51/K51</f>
        <v>0.93749999999999845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751</v>
      </c>
      <c r="H52" s="76">
        <f t="shared" si="36"/>
        <v>37482.409999999996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>K52/J52</f>
        <v>92.058823529411768</v>
      </c>
      <c r="M52" s="172">
        <v>16</v>
      </c>
      <c r="N52" s="77">
        <f>G52/W52*60</f>
        <v>1001.3333333333334</v>
      </c>
      <c r="O52" s="78">
        <f>N52/M52</f>
        <v>62.583333333333336</v>
      </c>
      <c r="P52" s="18">
        <f>M52-J52</f>
        <v>-1</v>
      </c>
      <c r="Q52" s="19">
        <f>O52-L52</f>
        <v>-29.475490196078432</v>
      </c>
      <c r="R52" s="183">
        <f>O52/L52</f>
        <v>0.67981895633652822</v>
      </c>
      <c r="S52" s="420"/>
      <c r="T52" s="79">
        <v>0.5805555555555556</v>
      </c>
      <c r="U52" s="79">
        <v>0.6118055555555556</v>
      </c>
      <c r="V52" s="175">
        <f t="shared" si="37"/>
        <v>5.9999999999999787</v>
      </c>
      <c r="W52" s="80">
        <f t="shared" si="18"/>
        <v>45</v>
      </c>
      <c r="X52" s="22">
        <v>0.48958333333333298</v>
      </c>
      <c r="Y52" s="22">
        <v>0.53125</v>
      </c>
      <c r="Z52" s="405" t="s">
        <v>129</v>
      </c>
      <c r="AA52" s="405"/>
      <c r="AB52" s="18">
        <f>N52-K52</f>
        <v>-563.66666666666663</v>
      </c>
      <c r="AC52" s="183">
        <f>N52/K52</f>
        <v>0.63982960596379124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79"/>
      <c r="U53" s="79"/>
      <c r="V53" s="175"/>
      <c r="W53" s="80">
        <f t="shared" si="18"/>
        <v>0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36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8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6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6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6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38">AVERAGE(J49:J57)</f>
        <v>18</v>
      </c>
      <c r="K58" s="117">
        <f t="shared" si="38"/>
        <v>1582.5</v>
      </c>
      <c r="L58" s="114">
        <f t="shared" si="38"/>
        <v>88.051255589955289</v>
      </c>
      <c r="M58" s="117">
        <f t="shared" si="38"/>
        <v>16.5</v>
      </c>
      <c r="N58" s="117">
        <f t="shared" si="38"/>
        <v>1302.1103752759377</v>
      </c>
      <c r="O58" s="114">
        <f t="shared" si="38"/>
        <v>78.648649526035555</v>
      </c>
      <c r="P58" s="118">
        <f>M58-J58</f>
        <v>-1.5</v>
      </c>
      <c r="Q58" s="119">
        <f>N58-K58</f>
        <v>-280.38962472406229</v>
      </c>
      <c r="R58" s="120">
        <f t="shared" ref="R58:R60" si="39">O58/L58</f>
        <v>0.89321440107899652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40">N58-K58</f>
        <v>-280.38962472406229</v>
      </c>
      <c r="AC58" s="185">
        <f t="shared" ref="AC58:AC63" si="41">N58/K58</f>
        <v>0.82281856257563202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3111</v>
      </c>
      <c r="H59" s="105">
        <f t="shared" ref="H59:H68" si="42">F59*G59</f>
        <v>83965.89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43">G59/W59*60</f>
        <v>1555.5000000000005</v>
      </c>
      <c r="O59" s="108">
        <f t="shared" ref="O59:O62" si="44">N59/M59</f>
        <v>119.65384615384619</v>
      </c>
      <c r="P59" s="110">
        <f t="shared" ref="P59:P62" si="45">M59-J59</f>
        <v>0</v>
      </c>
      <c r="Q59" s="111">
        <f t="shared" ref="Q59:Q62" si="46">O59-L59</f>
        <v>-0.73076923076919797</v>
      </c>
      <c r="R59" s="182">
        <f t="shared" si="39"/>
        <v>0.99392971246006412</v>
      </c>
      <c r="S59" s="419">
        <f>R69</f>
        <v>0.89263319320665846</v>
      </c>
      <c r="T59" s="167">
        <v>0.29166666666666669</v>
      </c>
      <c r="U59" s="167">
        <v>0.375</v>
      </c>
      <c r="V59" s="186"/>
      <c r="W59" s="106">
        <f t="shared" si="18"/>
        <v>119.99999999999997</v>
      </c>
      <c r="X59" s="186"/>
      <c r="Y59" s="186"/>
      <c r="Z59" s="469"/>
      <c r="AA59" s="434"/>
      <c r="AB59" s="223">
        <f t="shared" si="40"/>
        <v>-9.4999999999995453</v>
      </c>
      <c r="AC59" s="224">
        <f t="shared" si="41"/>
        <v>0.99392971246006423</v>
      </c>
      <c r="AD59" s="411">
        <f>AC69</f>
        <v>0.89443164620817184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635</v>
      </c>
      <c r="H60" s="15">
        <f t="shared" si="42"/>
        <v>18078.45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3"/>
        <v>1270.0000000000011</v>
      </c>
      <c r="O60" s="17">
        <f t="shared" si="44"/>
        <v>105.83333333333343</v>
      </c>
      <c r="P60" s="18">
        <f t="shared" si="45"/>
        <v>0</v>
      </c>
      <c r="Q60" s="19">
        <f t="shared" si="46"/>
        <v>-24.583333333333229</v>
      </c>
      <c r="R60" s="183">
        <f t="shared" si="39"/>
        <v>0.81150159744409023</v>
      </c>
      <c r="S60" s="474"/>
      <c r="T60" s="20">
        <v>0.38541666666666669</v>
      </c>
      <c r="U60" s="20">
        <v>0.40625</v>
      </c>
      <c r="V60" s="175">
        <f t="shared" ref="V60:V62" si="47">(T60-U59)*24*60</f>
        <v>15.000000000000027</v>
      </c>
      <c r="W60" s="90">
        <f t="shared" si="18"/>
        <v>29.999999999999972</v>
      </c>
      <c r="X60" s="191"/>
      <c r="Y60" s="191"/>
      <c r="Z60" s="405"/>
      <c r="AA60" s="405"/>
      <c r="AB60" s="225">
        <f t="shared" si="40"/>
        <v>-294.99999999999886</v>
      </c>
      <c r="AC60" s="226">
        <f t="shared" si="41"/>
        <v>0.81150159744409023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2199</v>
      </c>
      <c r="H61" s="15">
        <f t="shared" si="42"/>
        <v>62143.740000000005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3"/>
        <v>1388.8421052631581</v>
      </c>
      <c r="O61" s="17">
        <f t="shared" si="44"/>
        <v>115.73684210526318</v>
      </c>
      <c r="P61" s="18">
        <f t="shared" si="45"/>
        <v>0</v>
      </c>
      <c r="Q61" s="19">
        <f t="shared" si="46"/>
        <v>-14.679824561403478</v>
      </c>
      <c r="R61" s="183">
        <f>O61/L61</f>
        <v>0.88743904489658676</v>
      </c>
      <c r="S61" s="420"/>
      <c r="T61" s="20">
        <v>0.41666666666666669</v>
      </c>
      <c r="U61" s="20">
        <v>0.4826388888888889</v>
      </c>
      <c r="V61" s="175">
        <f t="shared" si="47"/>
        <v>15.000000000000027</v>
      </c>
      <c r="W61" s="88">
        <f t="shared" si="18"/>
        <v>94.999999999999986</v>
      </c>
      <c r="X61" s="22"/>
      <c r="Y61" s="22"/>
      <c r="Z61" s="405"/>
      <c r="AA61" s="405"/>
      <c r="AB61" s="51">
        <f t="shared" si="40"/>
        <v>-176.15789473684185</v>
      </c>
      <c r="AC61" s="52">
        <f t="shared" si="41"/>
        <v>0.88743904489658665</v>
      </c>
      <c r="AD61" s="412"/>
    </row>
    <row r="62" spans="1:30" ht="15" customHeight="1">
      <c r="A62" s="472"/>
      <c r="B62" s="56" t="str">
        <f>VLOOKUP(D62,廠價表!$C$1:$E$40,2,0)</f>
        <v>小吃、微波</v>
      </c>
      <c r="C62" s="10"/>
      <c r="D62" s="239" t="s">
        <v>62</v>
      </c>
      <c r="E62" s="86"/>
      <c r="F62" s="56">
        <f>VLOOKUP(D62,廠價表!$C$1:$E$40,3,0)</f>
        <v>26.99</v>
      </c>
      <c r="G62" s="175">
        <v>577</v>
      </c>
      <c r="H62" s="15">
        <f t="shared" si="42"/>
        <v>15573.23</v>
      </c>
      <c r="I62" s="175"/>
      <c r="J62" s="16">
        <f>VLOOKUP(D62,產線配置圖!$A$3:$C$39,2,0)</f>
        <v>13</v>
      </c>
      <c r="K62" s="14">
        <f>VLOOKUP(D62,產線配置圖!$A$3:$C$39,3,0)</f>
        <v>1565</v>
      </c>
      <c r="L62" s="17">
        <f>K62/J62</f>
        <v>120.38461538461539</v>
      </c>
      <c r="M62" s="178">
        <v>13</v>
      </c>
      <c r="N62" s="14">
        <f t="shared" si="43"/>
        <v>1384.7999999999961</v>
      </c>
      <c r="O62" s="17">
        <f t="shared" si="44"/>
        <v>106.52307692307662</v>
      </c>
      <c r="P62" s="18">
        <f t="shared" si="45"/>
        <v>0</v>
      </c>
      <c r="Q62" s="19">
        <f t="shared" si="46"/>
        <v>-13.861538461538771</v>
      </c>
      <c r="R62" s="183">
        <f>O62/L62</f>
        <v>0.88485623003194636</v>
      </c>
      <c r="S62" s="420"/>
      <c r="T62" s="196">
        <v>0.53472222222222221</v>
      </c>
      <c r="U62" s="196">
        <v>0.55208333333333337</v>
      </c>
      <c r="V62" s="175">
        <f t="shared" si="47"/>
        <v>74.999999999999972</v>
      </c>
      <c r="W62" s="90">
        <f t="shared" si="18"/>
        <v>25.000000000000071</v>
      </c>
      <c r="X62" s="22"/>
      <c r="Y62" s="22"/>
      <c r="Z62" s="405"/>
      <c r="AA62" s="405"/>
      <c r="AB62" s="51">
        <f t="shared" si="40"/>
        <v>-180.20000000000391</v>
      </c>
      <c r="AC62" s="52">
        <f t="shared" si="41"/>
        <v>0.88485623003194636</v>
      </c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8"/>
        <v>0</v>
      </c>
      <c r="X63" s="84"/>
      <c r="Y63" s="84"/>
      <c r="Z63" s="405"/>
      <c r="AA63" s="405"/>
      <c r="AB63" s="51">
        <f t="shared" si="40"/>
        <v>0</v>
      </c>
      <c r="AC63" s="52" t="e">
        <f t="shared" si="41"/>
        <v>#DIV/0!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42"/>
        <v>0</v>
      </c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2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48">AVERAGE(J59:J68)</f>
        <v>12.5</v>
      </c>
      <c r="K69" s="164">
        <f t="shared" si="48"/>
        <v>1565</v>
      </c>
      <c r="L69" s="169">
        <f t="shared" si="48"/>
        <v>125.40064102564102</v>
      </c>
      <c r="M69" s="164">
        <f t="shared" si="48"/>
        <v>12.5</v>
      </c>
      <c r="N69" s="164">
        <f t="shared" si="48"/>
        <v>1399.785526315789</v>
      </c>
      <c r="O69" s="169">
        <f t="shared" si="48"/>
        <v>111.93677462887985</v>
      </c>
      <c r="P69" s="170">
        <f>M69-J69</f>
        <v>0</v>
      </c>
      <c r="Q69" s="156">
        <f>N69-K69</f>
        <v>-165.21447368421104</v>
      </c>
      <c r="R69" s="120">
        <f>O69/L69</f>
        <v>0.89263319320665846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-165.21447368421104</v>
      </c>
      <c r="AC69" s="185">
        <f>N69/K69</f>
        <v>0.89443164620817184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8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8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49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49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49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49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49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 t="e">
        <f>AVERAGE(J70:J78)</f>
        <v>#DIV/0!</v>
      </c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P1:S2"/>
    <mergeCell ref="V3:V4"/>
    <mergeCell ref="T1:Y2"/>
    <mergeCell ref="Z1:AA2"/>
    <mergeCell ref="AB1:AD2"/>
    <mergeCell ref="AC3:AC4"/>
    <mergeCell ref="AD3:AD4"/>
    <mergeCell ref="P3:P4"/>
    <mergeCell ref="Q3:Q4"/>
    <mergeCell ref="R3:R4"/>
    <mergeCell ref="T3:U3"/>
    <mergeCell ref="S3:S4"/>
    <mergeCell ref="AB3:AB4"/>
    <mergeCell ref="Z3:AA4"/>
    <mergeCell ref="A5:A15"/>
    <mergeCell ref="N3:N4"/>
    <mergeCell ref="O3:O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H3:H4"/>
    <mergeCell ref="I3:I4"/>
    <mergeCell ref="J3:J4"/>
    <mergeCell ref="K3:K4"/>
    <mergeCell ref="L3:L4"/>
    <mergeCell ref="S5:S15"/>
    <mergeCell ref="M3:M4"/>
    <mergeCell ref="Z5:AA5"/>
    <mergeCell ref="AD5:AD15"/>
    <mergeCell ref="Z6:AA6"/>
    <mergeCell ref="Z7:AA7"/>
    <mergeCell ref="Z8:AA8"/>
    <mergeCell ref="Z9:AA9"/>
    <mergeCell ref="Z15:AA15"/>
    <mergeCell ref="Z10:AA10"/>
    <mergeCell ref="Z11:AA11"/>
    <mergeCell ref="Z12:AA12"/>
    <mergeCell ref="Z13:AA13"/>
    <mergeCell ref="Z14:AA14"/>
    <mergeCell ref="W3:W4"/>
    <mergeCell ref="X3:Y3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78" priority="1" operator="greaterThan">
      <formula>0</formula>
    </cfRule>
  </conditionalFormatting>
  <conditionalFormatting sqref="Q5:Q79 AB5:AB79">
    <cfRule type="cellIs" dxfId="277" priority="4" operator="lessThan">
      <formula>0</formula>
    </cfRule>
  </conditionalFormatting>
  <conditionalFormatting sqref="R5:R79 AC5:AC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D59:AD62 S69:S76 AD69:AD76">
    <cfRule type="cellIs" dxfId="274" priority="7" operator="lessThan">
      <formula>0.8</formula>
    </cfRule>
  </conditionalFormatting>
  <conditionalFormatting sqref="S19:S25 AD19:AD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D5:AD8 S15:S16 AD15:AD16 AD49 AD79">
    <cfRule type="cellIs" dxfId="271" priority="9" operator="lessThan">
      <formula>0.8</formula>
    </cfRule>
  </conditionalFormatting>
  <conditionalFormatting sqref="AD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A2" sqref="A1:K2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45996</v>
      </c>
      <c r="E3" s="357"/>
      <c r="F3" s="202" t="s">
        <v>84</v>
      </c>
      <c r="G3" s="358">
        <f>'1205'!E1</f>
        <v>38620</v>
      </c>
      <c r="H3" s="358"/>
      <c r="I3" s="202" t="s">
        <v>2</v>
      </c>
      <c r="J3" s="359">
        <f>'1205'!G1</f>
        <v>1870192.2700000003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116.50677641501944</v>
      </c>
      <c r="G6" s="367"/>
      <c r="H6" s="360">
        <f>AVERAGE(D13:H13)</f>
        <v>114.39360178349344</v>
      </c>
      <c r="I6" s="360"/>
      <c r="J6" s="360">
        <f>AVERAGE(I13:J13)</f>
        <v>127.07264957264958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98.255158951747774</v>
      </c>
      <c r="G7" s="362"/>
      <c r="H7" s="363">
        <f>AVERAGE(D14:H14)</f>
        <v>96.630661485029606</v>
      </c>
      <c r="I7" s="363"/>
      <c r="J7" s="363">
        <f>AVERAGE(I14:J14)</f>
        <v>106.37764628533854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0.84766790163824624</v>
      </c>
      <c r="G8" s="364"/>
      <c r="H8" s="364">
        <f>AVERAGE(D15:H15)</f>
        <v>0.84977340575423099</v>
      </c>
      <c r="I8" s="364"/>
      <c r="J8" s="364">
        <f>AVERAGE(I15:J15)</f>
        <v>0.83714038105832245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VALUE('1205'!L15)</f>
        <v>132.67956259426848</v>
      </c>
      <c r="E13" s="213">
        <f>VALUE('1205'!L26)</f>
        <v>162.27564102564102</v>
      </c>
      <c r="F13" s="213">
        <f>VALUE('1205'!L37)</f>
        <v>92.250816993464056</v>
      </c>
      <c r="G13" s="213">
        <f>VALUE('1205'!L48)</f>
        <v>99.13333333333334</v>
      </c>
      <c r="H13" s="213">
        <f>VALUE('1205'!L58)</f>
        <v>85.628654970760238</v>
      </c>
      <c r="I13" s="213">
        <f>VALUE('1205'!L69)</f>
        <v>127.07264957264958</v>
      </c>
      <c r="J13" s="213"/>
    </row>
    <row r="14" spans="2:15" ht="40" customHeight="1">
      <c r="B14" s="376"/>
      <c r="C14" s="212" t="s">
        <v>106</v>
      </c>
      <c r="D14" s="213">
        <f>VALUE('1205'!O15)</f>
        <v>111.16464422813792</v>
      </c>
      <c r="E14" s="213">
        <f>VALUE('1205'!O26)</f>
        <v>135.66047745358088</v>
      </c>
      <c r="F14" s="213">
        <f>VALUE('1205'!O37)</f>
        <v>78.853810843497527</v>
      </c>
      <c r="G14" s="213">
        <f>VALUE('1205'!O48)</f>
        <v>74.660754828247107</v>
      </c>
      <c r="H14" s="213">
        <f>VALUE('1205'!O58)</f>
        <v>82.813620071684625</v>
      </c>
      <c r="I14" s="213">
        <f>VALUE('1205'!O69)</f>
        <v>106.37764628533854</v>
      </c>
      <c r="J14" s="213"/>
    </row>
    <row r="15" spans="2:15" ht="40" customHeight="1">
      <c r="B15" s="377"/>
      <c r="C15" s="210" t="s">
        <v>23</v>
      </c>
      <c r="D15" s="231">
        <f>D14/D13</f>
        <v>0.83784301104516934</v>
      </c>
      <c r="E15" s="231">
        <f t="shared" ref="E15:I15" si="0">E14/E13</f>
        <v>0.83598793137501948</v>
      </c>
      <c r="F15" s="231">
        <f t="shared" si="0"/>
        <v>0.85477628722880905</v>
      </c>
      <c r="G15" s="231">
        <f t="shared" si="0"/>
        <v>0.75313471581957403</v>
      </c>
      <c r="H15" s="231">
        <f t="shared" si="0"/>
        <v>0.96712508330258296</v>
      </c>
      <c r="I15" s="231">
        <f t="shared" si="0"/>
        <v>0.83714038105832245</v>
      </c>
      <c r="J15" s="231"/>
    </row>
    <row r="16" spans="2:15" ht="17.25" customHeight="1">
      <c r="B16" s="378" t="s">
        <v>107</v>
      </c>
      <c r="C16" s="210" t="s">
        <v>29</v>
      </c>
      <c r="D16" s="95">
        <f>'1205'!T5</f>
        <v>0.2902777777777778</v>
      </c>
      <c r="E16" s="95">
        <f>'1205'!T16</f>
        <v>0.2902777777777778</v>
      </c>
      <c r="F16" s="95">
        <f>'1205'!T27</f>
        <v>0.28819444444444398</v>
      </c>
      <c r="G16" s="95">
        <f>'1205'!T38</f>
        <v>0.33333333333333331</v>
      </c>
      <c r="H16" s="95">
        <f>'1205'!T49</f>
        <v>0.29166666666666669</v>
      </c>
      <c r="I16" s="95">
        <f>'1205'!T59</f>
        <v>0.29166666666666669</v>
      </c>
      <c r="J16" s="269"/>
    </row>
    <row r="17" spans="2:10" ht="17.25" customHeight="1">
      <c r="B17" s="379"/>
      <c r="C17" s="210" t="s">
        <v>30</v>
      </c>
      <c r="D17" s="95">
        <v>0.56597222222222199</v>
      </c>
      <c r="E17" s="41">
        <v>0.58194444444444449</v>
      </c>
      <c r="F17" s="41">
        <v>0.6020833333333333</v>
      </c>
      <c r="G17" s="59">
        <v>0.55902777777777779</v>
      </c>
      <c r="H17" s="79">
        <v>0.47083333333333333</v>
      </c>
      <c r="I17" s="20">
        <v>0.46180555555555558</v>
      </c>
      <c r="J17" s="20"/>
    </row>
    <row r="18" spans="2:10" ht="17.25" customHeight="1">
      <c r="B18" s="365" t="s">
        <v>108</v>
      </c>
      <c r="C18" s="366"/>
      <c r="D18" s="214">
        <f>VALUE('1205'!M15)</f>
        <v>14.5</v>
      </c>
      <c r="E18" s="214">
        <f>VALUE('1205'!M26)</f>
        <v>12.5</v>
      </c>
      <c r="F18" s="214">
        <f>VALUE('1205'!M37)</f>
        <v>16.75</v>
      </c>
      <c r="G18" s="214">
        <f>VALUE('1205'!M48)</f>
        <v>15</v>
      </c>
      <c r="H18" s="214">
        <f>VALUE('1205'!M58)</f>
        <v>18</v>
      </c>
      <c r="I18" s="214">
        <f>VALUE('1205'!M69)</f>
        <v>12.333333333333334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P62" activePane="bottomRight" state="frozen"/>
      <selection activeCell="A2" sqref="A1:K2"/>
      <selection pane="topRight" activeCell="A2" sqref="A1:K2"/>
      <selection pane="bottomLeft" activeCell="A2" sqref="A1:K2"/>
      <selection pane="bottomRight" activeCell="V61" activeCellId="10" sqref="V6 V7 V17 V18 V28 V29 V39 V40 V50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38620</v>
      </c>
      <c r="F1" s="175" t="s">
        <v>2</v>
      </c>
      <c r="G1" s="4">
        <f>SUM(H5:H79)</f>
        <v>1870192.2700000003</v>
      </c>
      <c r="H1" s="173" t="s">
        <v>3</v>
      </c>
      <c r="I1" s="5">
        <f>M15+M26+M48+M58+M69+M79+M37</f>
        <v>89.083333333333329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130</v>
      </c>
      <c r="B2" s="404"/>
      <c r="C2" s="174"/>
      <c r="D2" s="174" t="s">
        <v>11</v>
      </c>
      <c r="E2" s="7">
        <f>AVERAGE(O15,O26,O37,O48,O58,O69,O79)</f>
        <v>98.255158951747774</v>
      </c>
      <c r="F2" s="8" t="s">
        <v>12</v>
      </c>
      <c r="G2" s="9">
        <f>G1/E1</f>
        <v>48.425486017607462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1024</v>
      </c>
      <c r="H5" s="318">
        <f>F5*G5</f>
        <v>58583.040000000001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8" si="0">G5/W5*60</f>
        <v>1861.8181818181838</v>
      </c>
      <c r="O5" s="322">
        <f t="shared" ref="O5:O8" si="1">N5/M5</f>
        <v>143.21678321678337</v>
      </c>
      <c r="P5" s="324">
        <f t="shared" ref="P5:P8" si="2">M5-J5</f>
        <v>0</v>
      </c>
      <c r="Q5" s="325">
        <f t="shared" ref="Q5:Q8" si="3">O5-L5</f>
        <v>-18.706293706293565</v>
      </c>
      <c r="R5" s="326">
        <f t="shared" ref="R5:R8" si="4">O5/L5</f>
        <v>0.88447419563809204</v>
      </c>
      <c r="S5" s="419">
        <f>R15</f>
        <v>0.83784301104516934</v>
      </c>
      <c r="T5" s="327">
        <v>0.2902777777777778</v>
      </c>
      <c r="U5" s="328">
        <v>0.31319444444444444</v>
      </c>
      <c r="V5" s="192"/>
      <c r="W5" s="106">
        <f t="shared" ref="W5:W14" si="5">(U5-T5)*24*60</f>
        <v>32.999999999999964</v>
      </c>
      <c r="X5" s="186"/>
      <c r="Y5" s="186"/>
      <c r="Z5" s="425"/>
      <c r="AA5" s="425"/>
      <c r="AB5" s="110">
        <f>N5-K5</f>
        <v>-243.1818181818162</v>
      </c>
      <c r="AC5" s="182">
        <f>N5/K5</f>
        <v>0.88447419563809204</v>
      </c>
      <c r="AD5" s="411">
        <f>AC15</f>
        <v>0.83443815444324576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33</v>
      </c>
      <c r="E6" s="248"/>
      <c r="F6" s="305">
        <f>VLOOKUP(D6,廠價表!$C$1:$E$40,3,0)</f>
        <v>57.21</v>
      </c>
      <c r="G6" s="306">
        <v>1244</v>
      </c>
      <c r="H6" s="307">
        <f>F6*G6</f>
        <v>71169.240000000005</v>
      </c>
      <c r="I6" s="308"/>
      <c r="J6" s="309">
        <f>VLOOKUP(D6,產線配置圖!$A$3:$C$39,2,0)</f>
        <v>17</v>
      </c>
      <c r="K6" s="306">
        <v>1800</v>
      </c>
      <c r="L6" s="310">
        <f>K6/J6</f>
        <v>105.88235294117646</v>
      </c>
      <c r="M6" s="311">
        <v>17</v>
      </c>
      <c r="N6" s="306">
        <f t="shared" si="0"/>
        <v>1622.6086956521965</v>
      </c>
      <c r="O6" s="310">
        <f t="shared" si="1"/>
        <v>95.447570332482144</v>
      </c>
      <c r="P6" s="312">
        <f t="shared" si="2"/>
        <v>0</v>
      </c>
      <c r="Q6" s="313">
        <f t="shared" si="3"/>
        <v>-10.43478260869432</v>
      </c>
      <c r="R6" s="314">
        <f t="shared" si="4"/>
        <v>0.90144927536233144</v>
      </c>
      <c r="S6" s="420"/>
      <c r="T6" s="267">
        <v>0.32430555555555601</v>
      </c>
      <c r="U6" s="267">
        <v>0.35625000000000001</v>
      </c>
      <c r="V6" s="175">
        <f>(T6-U5)*24*60</f>
        <v>16.000000000000661</v>
      </c>
      <c r="W6" s="180">
        <f t="shared" si="5"/>
        <v>45.999999999999361</v>
      </c>
      <c r="X6" s="22"/>
      <c r="Y6" s="22"/>
      <c r="Z6" s="391"/>
      <c r="AA6" s="391"/>
      <c r="AB6" s="18">
        <f>N6-K6</f>
        <v>-177.3913043478035</v>
      </c>
      <c r="AC6" s="183">
        <f>N6/K6</f>
        <v>0.90144927536233144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34</v>
      </c>
      <c r="E7" s="86"/>
      <c r="F7" s="56">
        <f>VLOOKUP(D7,廠價表!$C$1:$E$40,3,0)</f>
        <v>49.14</v>
      </c>
      <c r="G7" s="25">
        <v>4641</v>
      </c>
      <c r="H7" s="15">
        <f t="shared" ref="H7:H8" si="6">F7*G7</f>
        <v>228058.74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1831.9736842105185</v>
      </c>
      <c r="O7" s="17">
        <f t="shared" si="1"/>
        <v>140.92105263157833</v>
      </c>
      <c r="P7" s="18">
        <f t="shared" si="2"/>
        <v>0</v>
      </c>
      <c r="Q7" s="19">
        <f t="shared" si="3"/>
        <v>-12.925101214575506</v>
      </c>
      <c r="R7" s="183">
        <f t="shared" si="4"/>
        <v>0.91598684210525916</v>
      </c>
      <c r="S7" s="420"/>
      <c r="T7" s="95">
        <v>0.36458333333333298</v>
      </c>
      <c r="U7" s="95">
        <v>0.47013888888888899</v>
      </c>
      <c r="V7" s="175">
        <f>(T7-U6)*24*60</f>
        <v>11.999999999999478</v>
      </c>
      <c r="W7" s="180">
        <f t="shared" si="5"/>
        <v>152.00000000000065</v>
      </c>
      <c r="X7" s="22"/>
      <c r="Y7" s="22"/>
      <c r="Z7" s="405"/>
      <c r="AA7" s="405"/>
      <c r="AB7" s="18">
        <f>N7-K7</f>
        <v>-168.02631578948149</v>
      </c>
      <c r="AC7" s="183">
        <f>N7/K7</f>
        <v>0.91598684210525927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35</v>
      </c>
      <c r="E8" s="86"/>
      <c r="F8" s="56">
        <f>VLOOKUP(D8,廠價表!$C$1:$E$40,3,0)</f>
        <v>56.43</v>
      </c>
      <c r="G8" s="25">
        <v>667</v>
      </c>
      <c r="H8" s="15">
        <f t="shared" si="6"/>
        <v>37638.81</v>
      </c>
      <c r="I8" s="180"/>
      <c r="J8" s="16">
        <f>VLOOKUP(D8,產線配置圖!$A$3:$C$39,2,0)</f>
        <v>15</v>
      </c>
      <c r="K8" s="14">
        <f>VLOOKUP(D8,產線配置圖!$A$3:$C$39,3,0)</f>
        <v>1636</v>
      </c>
      <c r="L8" s="17">
        <f>K8/J8</f>
        <v>109.06666666666666</v>
      </c>
      <c r="M8" s="178">
        <v>15</v>
      </c>
      <c r="N8" s="14">
        <f t="shared" si="0"/>
        <v>976.09756097561706</v>
      </c>
      <c r="O8" s="17">
        <f t="shared" si="1"/>
        <v>65.073170731707805</v>
      </c>
      <c r="P8" s="18">
        <f t="shared" si="2"/>
        <v>0</v>
      </c>
      <c r="Q8" s="19">
        <f t="shared" si="3"/>
        <v>-43.993495934958858</v>
      </c>
      <c r="R8" s="183">
        <f t="shared" si="4"/>
        <v>0.59663665096309115</v>
      </c>
      <c r="S8" s="420"/>
      <c r="T8" s="95">
        <v>0.53749999999999998</v>
      </c>
      <c r="U8" s="95">
        <v>0.56597222222222199</v>
      </c>
      <c r="V8" s="175">
        <f>(T8-U7)*24*60</f>
        <v>96.999999999999815</v>
      </c>
      <c r="W8" s="180">
        <f t="shared" si="5"/>
        <v>40.999999999999694</v>
      </c>
      <c r="X8" s="22"/>
      <c r="Y8" s="260"/>
      <c r="Z8" s="416" t="s">
        <v>55</v>
      </c>
      <c r="AA8" s="416"/>
      <c r="AB8" s="18">
        <f>N8-K8</f>
        <v>-659.90243902438294</v>
      </c>
      <c r="AC8" s="183">
        <f>N8/K8</f>
        <v>0.59663665096309115</v>
      </c>
      <c r="AD8" s="412"/>
    </row>
    <row r="9" spans="1:30" ht="15" customHeight="1">
      <c r="A9" s="409"/>
      <c r="B9" s="56"/>
      <c r="C9" s="10"/>
      <c r="D9" s="11"/>
      <c r="E9" s="86"/>
      <c r="F9" s="56"/>
      <c r="G9" s="25"/>
      <c r="H9" s="15"/>
      <c r="I9" s="180"/>
      <c r="J9" s="16"/>
      <c r="K9" s="14"/>
      <c r="L9" s="17"/>
      <c r="M9" s="178"/>
      <c r="N9" s="14"/>
      <c r="O9" s="17"/>
      <c r="P9" s="18"/>
      <c r="Q9" s="19"/>
      <c r="R9" s="183"/>
      <c r="S9" s="421"/>
      <c r="T9" s="95"/>
      <c r="U9" s="95"/>
      <c r="V9" s="175"/>
      <c r="W9" s="180">
        <f t="shared" si="5"/>
        <v>0</v>
      </c>
      <c r="X9" s="22"/>
      <c r="Y9" s="260"/>
      <c r="Z9" s="416"/>
      <c r="AA9" s="416"/>
      <c r="AB9" s="18">
        <f>N9-K9</f>
        <v>0</v>
      </c>
      <c r="AC9" s="183" t="e">
        <f>N9/K9</f>
        <v>#DIV/0!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7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7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14.5</v>
      </c>
      <c r="K15" s="117">
        <f t="shared" si="8"/>
        <v>1885.25</v>
      </c>
      <c r="L15" s="114">
        <f t="shared" si="8"/>
        <v>132.67956259426848</v>
      </c>
      <c r="M15" s="117">
        <f t="shared" si="8"/>
        <v>14.5</v>
      </c>
      <c r="N15" s="117">
        <f t="shared" si="8"/>
        <v>1573.124530664129</v>
      </c>
      <c r="O15" s="114">
        <f t="shared" si="8"/>
        <v>111.16464422813792</v>
      </c>
      <c r="P15" s="118">
        <f t="shared" ref="P15:P19" si="9">M15-J15</f>
        <v>0</v>
      </c>
      <c r="Q15" s="119">
        <f t="shared" ref="Q15:Q19" si="10">O15-L15</f>
        <v>-21.514918366130559</v>
      </c>
      <c r="R15" s="120">
        <f t="shared" ref="R15:R19" si="11">O15/L15</f>
        <v>0.83784301104516934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2">N15-K15</f>
        <v>-312.125469335871</v>
      </c>
      <c r="AC15" s="185">
        <f t="shared" ref="AC15:AC20" si="13">N15/K15</f>
        <v>0.83443815444324576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1001</v>
      </c>
      <c r="H16" s="124">
        <f t="shared" ref="H16:H25" si="14">F16*G16</f>
        <v>57267.21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5">K16/J16</f>
        <v>161.92307692307693</v>
      </c>
      <c r="M16" s="264">
        <v>13</v>
      </c>
      <c r="N16" s="126">
        <f t="shared" ref="N16:N19" si="16">G16/W16*60</f>
        <v>1430.0000000000025</v>
      </c>
      <c r="O16" s="127">
        <f>N16/M16</f>
        <v>110.0000000000002</v>
      </c>
      <c r="P16" s="128">
        <f>M16-J16</f>
        <v>0</v>
      </c>
      <c r="Q16" s="129">
        <f t="shared" si="10"/>
        <v>-51.923076923076735</v>
      </c>
      <c r="R16" s="187">
        <f>O16/L16</f>
        <v>0.67933491686460923</v>
      </c>
      <c r="S16" s="431">
        <f>R26</f>
        <v>0.83598793137501948</v>
      </c>
      <c r="T16" s="265">
        <v>0.2902777777777778</v>
      </c>
      <c r="U16" s="265">
        <v>0.31944444444444442</v>
      </c>
      <c r="V16" s="125"/>
      <c r="W16" s="130">
        <f t="shared" ref="W16:W78" si="17">(U16-T16)*24*60</f>
        <v>41.999999999999929</v>
      </c>
      <c r="X16" s="127"/>
      <c r="Y16" s="127"/>
      <c r="Z16" s="425"/>
      <c r="AA16" s="425"/>
      <c r="AB16" s="110">
        <f t="shared" si="12"/>
        <v>-674.9999999999975</v>
      </c>
      <c r="AC16" s="182">
        <f t="shared" si="13"/>
        <v>0.67933491686460923</v>
      </c>
      <c r="AD16" s="411">
        <f>AC26</f>
        <v>0.83358931268480485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3498</v>
      </c>
      <c r="H17" s="15">
        <f t="shared" si="14"/>
        <v>177243.66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5"/>
        <v>153.84615384615384</v>
      </c>
      <c r="M17" s="37">
        <v>13</v>
      </c>
      <c r="N17" s="36">
        <f t="shared" si="16"/>
        <v>1748.9999999999993</v>
      </c>
      <c r="O17" s="38">
        <f t="shared" ref="O17:O19" si="18">N17/M17</f>
        <v>134.53846153846149</v>
      </c>
      <c r="P17" s="39">
        <f t="shared" si="9"/>
        <v>0</v>
      </c>
      <c r="Q17" s="40">
        <f t="shared" si="10"/>
        <v>-19.307692307692349</v>
      </c>
      <c r="R17" s="188">
        <f t="shared" si="11"/>
        <v>0.87449999999999972</v>
      </c>
      <c r="S17" s="432"/>
      <c r="T17" s="41">
        <v>0.33333333333333331</v>
      </c>
      <c r="U17" s="41">
        <v>0.41666666666666669</v>
      </c>
      <c r="V17" s="175">
        <f>(T17-U16)*24*60</f>
        <v>20.000000000000007</v>
      </c>
      <c r="W17" s="43">
        <f t="shared" si="17"/>
        <v>120.00000000000006</v>
      </c>
      <c r="X17" s="44"/>
      <c r="Y17" s="44"/>
      <c r="Z17" s="391"/>
      <c r="AA17" s="391"/>
      <c r="AB17" s="18">
        <f t="shared" si="12"/>
        <v>-251.00000000000068</v>
      </c>
      <c r="AC17" s="183">
        <f t="shared" si="13"/>
        <v>0.87449999999999961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1960</v>
      </c>
      <c r="H18" s="15">
        <f t="shared" si="14"/>
        <v>98764.4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5"/>
        <v>166.66666666666666</v>
      </c>
      <c r="M18" s="37">
        <v>12</v>
      </c>
      <c r="N18" s="36">
        <f t="shared" si="16"/>
        <v>1680.0000000000005</v>
      </c>
      <c r="O18" s="38">
        <f t="shared" si="18"/>
        <v>140.00000000000003</v>
      </c>
      <c r="P18" s="39">
        <f t="shared" si="9"/>
        <v>0</v>
      </c>
      <c r="Q18" s="40">
        <f t="shared" si="10"/>
        <v>-26.666666666666629</v>
      </c>
      <c r="R18" s="188">
        <f t="shared" si="11"/>
        <v>0.84000000000000019</v>
      </c>
      <c r="S18" s="432"/>
      <c r="T18" s="41">
        <v>0.43055555555555558</v>
      </c>
      <c r="U18" s="41">
        <v>0.47916666666666669</v>
      </c>
      <c r="V18" s="175">
        <f>(T18-U17)*24*60</f>
        <v>20.000000000000007</v>
      </c>
      <c r="W18" s="43">
        <f t="shared" si="17"/>
        <v>69.999999999999986</v>
      </c>
      <c r="X18" s="22"/>
      <c r="Y18" s="22"/>
      <c r="Z18" s="415" t="s">
        <v>126</v>
      </c>
      <c r="AA18" s="415"/>
      <c r="AB18" s="18">
        <f t="shared" si="12"/>
        <v>-319.99999999999955</v>
      </c>
      <c r="AC18" s="183">
        <f t="shared" si="13"/>
        <v>0.84000000000000019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1834</v>
      </c>
      <c r="H19" s="15">
        <f t="shared" si="14"/>
        <v>92415.26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5"/>
        <v>166.66666666666666</v>
      </c>
      <c r="M19" s="37">
        <v>12</v>
      </c>
      <c r="N19" s="36">
        <f t="shared" si="16"/>
        <v>1897.2413793103412</v>
      </c>
      <c r="O19" s="38">
        <f t="shared" si="18"/>
        <v>158.10344827586178</v>
      </c>
      <c r="P19" s="39">
        <f t="shared" si="9"/>
        <v>0</v>
      </c>
      <c r="Q19" s="40">
        <f t="shared" si="10"/>
        <v>-8.5632183908048773</v>
      </c>
      <c r="R19" s="188">
        <f t="shared" si="11"/>
        <v>0.94862068965517077</v>
      </c>
      <c r="S19" s="432"/>
      <c r="T19" s="41">
        <v>0.54166666666666663</v>
      </c>
      <c r="U19" s="41">
        <v>0.58194444444444449</v>
      </c>
      <c r="V19" s="175">
        <f>(T19-U18)*24*60</f>
        <v>89.999999999999915</v>
      </c>
      <c r="W19" s="43">
        <f t="shared" si="17"/>
        <v>58.000000000000114</v>
      </c>
      <c r="X19" s="22">
        <v>0.48958333333333298</v>
      </c>
      <c r="Y19" s="260">
        <v>0.53125</v>
      </c>
      <c r="Z19" s="416"/>
      <c r="AA19" s="416"/>
      <c r="AB19" s="18">
        <f t="shared" si="12"/>
        <v>-102.75862068965876</v>
      </c>
      <c r="AC19" s="183">
        <f t="shared" si="13"/>
        <v>0.94862068965517066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/>
      <c r="W20" s="43">
        <f t="shared" si="17"/>
        <v>0</v>
      </c>
      <c r="X20" s="44"/>
      <c r="Y20" s="44"/>
      <c r="Z20" s="418"/>
      <c r="AA20" s="405"/>
      <c r="AB20" s="18">
        <f t="shared" si="12"/>
        <v>0</v>
      </c>
      <c r="AC20" s="183" t="e">
        <f t="shared" si="13"/>
        <v>#DIV/0!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7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4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7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4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7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4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7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19">AVERAGE(J16:J25)</f>
        <v>12.5</v>
      </c>
      <c r="K26" s="133">
        <f t="shared" si="19"/>
        <v>2026.25</v>
      </c>
      <c r="L26" s="136">
        <f t="shared" si="19"/>
        <v>162.27564102564102</v>
      </c>
      <c r="M26" s="133">
        <f t="shared" si="19"/>
        <v>12.5</v>
      </c>
      <c r="N26" s="133">
        <f t="shared" si="19"/>
        <v>1689.0603448275858</v>
      </c>
      <c r="O26" s="136">
        <f t="shared" si="19"/>
        <v>135.66047745358088</v>
      </c>
      <c r="P26" s="137">
        <f t="shared" ref="P26:P30" si="20">M26-J26</f>
        <v>0</v>
      </c>
      <c r="Q26" s="138">
        <f t="shared" ref="Q26:Q30" si="21">O26-L26</f>
        <v>-26.61516357206014</v>
      </c>
      <c r="R26" s="139">
        <f t="shared" ref="R26:R30" si="22">O26/L26</f>
        <v>0.83598793137501948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-337.18965517241418</v>
      </c>
      <c r="AC26" s="185">
        <f>N26/K26</f>
        <v>0.83358931268480485</v>
      </c>
      <c r="AD26" s="414"/>
    </row>
    <row r="27" spans="1:30" ht="15" customHeight="1">
      <c r="A27" s="428" t="s">
        <v>44</v>
      </c>
      <c r="B27" s="227" t="str">
        <f>VLOOKUP(D27,廠價表!$C$1:$E$40,2,0)</f>
        <v>熱乾麵</v>
      </c>
      <c r="C27" s="101"/>
      <c r="D27" s="330" t="s">
        <v>46</v>
      </c>
      <c r="E27" s="103"/>
      <c r="F27" s="197">
        <f>VLOOKUP(D27,廠價表!$C$1:$E$40,3,0)</f>
        <v>49.91</v>
      </c>
      <c r="G27" s="266">
        <v>2242</v>
      </c>
      <c r="H27" s="124">
        <f t="shared" ref="H27:H41" si="23">F27*G27</f>
        <v>111898.21999999999</v>
      </c>
      <c r="I27" s="125"/>
      <c r="J27" s="16">
        <f>VLOOKUP(D27,產線配置圖!$A$3:$C$39,2,0)</f>
        <v>17</v>
      </c>
      <c r="K27" s="14">
        <f>VLOOKUP(D27,產線配置圖!$A$3:$C$39,3,0)</f>
        <v>1565</v>
      </c>
      <c r="L27" s="108">
        <f>K27/J27</f>
        <v>92.058823529411768</v>
      </c>
      <c r="M27" s="143">
        <v>15</v>
      </c>
      <c r="N27" s="126">
        <f>G27/W27*60</f>
        <v>1120.9999999999907</v>
      </c>
      <c r="O27" s="127">
        <f>N27/M27</f>
        <v>74.733333333332709</v>
      </c>
      <c r="P27" s="128">
        <f t="shared" si="20"/>
        <v>-2</v>
      </c>
      <c r="Q27" s="129">
        <f t="shared" si="21"/>
        <v>-17.325490196079059</v>
      </c>
      <c r="R27" s="187">
        <f>O27/L27</f>
        <v>0.81179978700744793</v>
      </c>
      <c r="S27" s="431">
        <f>R37</f>
        <v>0.85477628722880905</v>
      </c>
      <c r="T27" s="94">
        <v>0.28819444444444398</v>
      </c>
      <c r="U27" s="94">
        <v>0.37152777777777801</v>
      </c>
      <c r="V27" s="125"/>
      <c r="W27" s="130">
        <f t="shared" si="17"/>
        <v>120.00000000000101</v>
      </c>
      <c r="X27" s="125"/>
      <c r="Y27" s="125" t="s">
        <v>47</v>
      </c>
      <c r="Z27" s="434"/>
      <c r="AA27" s="425"/>
      <c r="AB27" s="223">
        <f>N27-K27</f>
        <v>-444.00000000000932</v>
      </c>
      <c r="AC27" s="288">
        <f>N27/K27</f>
        <v>0.71629392971245409</v>
      </c>
      <c r="AD27" s="411">
        <f>AC37</f>
        <v>0.88715338150334422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1326</v>
      </c>
      <c r="H28" s="50">
        <f t="shared" si="23"/>
        <v>73102.38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18</v>
      </c>
      <c r="N28" s="36">
        <f>G28/W28*60</f>
        <v>1187.4626865671585</v>
      </c>
      <c r="O28" s="38">
        <f>N28/M28</f>
        <v>65.970149253731023</v>
      </c>
      <c r="P28" s="39">
        <f t="shared" si="20"/>
        <v>0</v>
      </c>
      <c r="Q28" s="40">
        <f t="shared" si="21"/>
        <v>-10.97429519071342</v>
      </c>
      <c r="R28" s="188">
        <f t="shared" si="22"/>
        <v>0.8573737809149159</v>
      </c>
      <c r="S28" s="432"/>
      <c r="T28" s="267">
        <v>0.38124999999999998</v>
      </c>
      <c r="U28" s="267">
        <v>0.42777777777777798</v>
      </c>
      <c r="V28" s="42">
        <f>(T28-U27)*24*60</f>
        <v>13.999999999999631</v>
      </c>
      <c r="W28" s="43">
        <f t="shared" si="17"/>
        <v>67.000000000000327</v>
      </c>
      <c r="X28" s="54"/>
      <c r="Y28" s="54"/>
      <c r="Z28" s="418"/>
      <c r="AA28" s="417"/>
      <c r="AB28" s="39">
        <f>N28-K28</f>
        <v>-197.53731343284153</v>
      </c>
      <c r="AC28" s="188">
        <f>N28/K28</f>
        <v>0.8573737809149159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10"/>
      <c r="D29" s="11" t="s">
        <v>49</v>
      </c>
      <c r="E29" s="86"/>
      <c r="F29" s="56">
        <f>VLOOKUP(D29,廠價表!$C$1:$E$40,3,0)</f>
        <v>47.71</v>
      </c>
      <c r="G29" s="53">
        <v>1494</v>
      </c>
      <c r="H29" s="50">
        <f t="shared" si="23"/>
        <v>71278.740000000005</v>
      </c>
      <c r="I29" s="42"/>
      <c r="J29" s="16">
        <f>VLOOKUP(D29,產線配置圖!$A$3:$C$39,2,0)</f>
        <v>15</v>
      </c>
      <c r="K29" s="14">
        <f>VLOOKUP(D29,產線配置圖!$A$3:$C$39,3,0)</f>
        <v>1500</v>
      </c>
      <c r="L29" s="233">
        <f>K29/J29</f>
        <v>100</v>
      </c>
      <c r="M29" s="21">
        <v>17</v>
      </c>
      <c r="N29" s="36">
        <f>G29/W29*60</f>
        <v>1572.6315789473674</v>
      </c>
      <c r="O29" s="38">
        <f>N29/M29</f>
        <v>92.507739938080434</v>
      </c>
      <c r="P29" s="39">
        <f t="shared" si="20"/>
        <v>2</v>
      </c>
      <c r="Q29" s="40">
        <f t="shared" si="21"/>
        <v>-7.4922600619195663</v>
      </c>
      <c r="R29" s="188">
        <f t="shared" si="22"/>
        <v>0.92507739938080435</v>
      </c>
      <c r="S29" s="432"/>
      <c r="T29" s="41">
        <v>0.43819444444444444</v>
      </c>
      <c r="U29" s="41">
        <v>0.4777777777777778</v>
      </c>
      <c r="V29" s="42">
        <f>(T29-U28)*24*60</f>
        <v>14.999999999999707</v>
      </c>
      <c r="W29" s="43">
        <f t="shared" si="17"/>
        <v>57.000000000000036</v>
      </c>
      <c r="X29" s="22"/>
      <c r="Y29" s="22"/>
      <c r="Z29" s="418"/>
      <c r="AA29" s="417"/>
      <c r="AB29" s="289">
        <f>N29-K29</f>
        <v>72.631578947367416</v>
      </c>
      <c r="AC29" s="188">
        <f>N29/K29</f>
        <v>1.0484210526315783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49</v>
      </c>
      <c r="E30" s="29"/>
      <c r="F30" s="56">
        <f>VLOOKUP(D30,廠價表!$C$1:$E$40,3,0)</f>
        <v>47.71</v>
      </c>
      <c r="G30" s="53">
        <v>1840</v>
      </c>
      <c r="H30" s="50">
        <f t="shared" si="23"/>
        <v>87786.400000000009</v>
      </c>
      <c r="I30" s="42"/>
      <c r="J30" s="16">
        <f>VLOOKUP(D30,產線配置圖!$A$3:$C$39,2,0)</f>
        <v>15</v>
      </c>
      <c r="K30" s="14">
        <f>VLOOKUP(D30,產線配置圖!$A$3:$C$39,3,0)</f>
        <v>1500</v>
      </c>
      <c r="L30" s="233">
        <f>K30/J30</f>
        <v>100</v>
      </c>
      <c r="M30" s="21">
        <v>17</v>
      </c>
      <c r="N30" s="36">
        <f>G30/W30*60</f>
        <v>1397.4683544303816</v>
      </c>
      <c r="O30" s="38">
        <f>N30/M30</f>
        <v>82.204020848845971</v>
      </c>
      <c r="P30" s="39">
        <f t="shared" si="20"/>
        <v>2</v>
      </c>
      <c r="Q30" s="40">
        <f t="shared" si="21"/>
        <v>-17.795979151154029</v>
      </c>
      <c r="R30" s="188">
        <f t="shared" si="22"/>
        <v>0.82204020848845971</v>
      </c>
      <c r="S30" s="432"/>
      <c r="T30" s="41">
        <v>0.54722222222222228</v>
      </c>
      <c r="U30" s="41">
        <v>0.6020833333333333</v>
      </c>
      <c r="V30" s="42">
        <f>(T30-U29)*24*60</f>
        <v>100.00000000000004</v>
      </c>
      <c r="W30" s="43">
        <f t="shared" si="17"/>
        <v>78.999999999999886</v>
      </c>
      <c r="X30" s="54">
        <v>0.48958333333333298</v>
      </c>
      <c r="Y30" s="54">
        <v>0.53125</v>
      </c>
      <c r="Z30" s="426"/>
      <c r="AA30" s="446"/>
      <c r="AB30" s="289">
        <f>N30-K30</f>
        <v>-102.53164556961838</v>
      </c>
      <c r="AC30" s="188">
        <f>N30/K30</f>
        <v>0.93164556962025447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7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7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3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7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3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7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3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7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3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7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4">AVERAGE(J27:J36)</f>
        <v>16.25</v>
      </c>
      <c r="K37" s="282">
        <f t="shared" si="24"/>
        <v>1487.5</v>
      </c>
      <c r="L37" s="283">
        <f t="shared" si="24"/>
        <v>92.250816993464056</v>
      </c>
      <c r="M37" s="282">
        <f t="shared" si="24"/>
        <v>16.75</v>
      </c>
      <c r="N37" s="282">
        <f t="shared" si="24"/>
        <v>1319.6406549862245</v>
      </c>
      <c r="O37" s="283">
        <f t="shared" si="24"/>
        <v>78.853810843497527</v>
      </c>
      <c r="P37" s="73">
        <f>M37-J37</f>
        <v>0.5</v>
      </c>
      <c r="Q37" s="74">
        <f>N37-K37</f>
        <v>-167.85934501377551</v>
      </c>
      <c r="R37" s="284">
        <f t="shared" ref="R37:R41" si="25">O37/L37</f>
        <v>0.85477628722880905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1" si="26">N37-K37</f>
        <v>-167.85934501377551</v>
      </c>
      <c r="AC37" s="184">
        <f t="shared" ref="AC37:AC41" si="27">N37/K37</f>
        <v>0.88715338150334422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1676</v>
      </c>
      <c r="H38" s="124">
        <f t="shared" si="23"/>
        <v>96034.799999999988</v>
      </c>
      <c r="I38" s="125"/>
      <c r="J38" s="331">
        <f>VLOOKUP(D38,產線配置圖!$A$3:$C$39,2,0)</f>
        <v>15</v>
      </c>
      <c r="K38" s="234">
        <v>1500</v>
      </c>
      <c r="L38" s="285">
        <f t="shared" ref="L38:L41" si="28">K38/J38</f>
        <v>100</v>
      </c>
      <c r="M38" s="286">
        <v>15</v>
      </c>
      <c r="N38" s="126">
        <f>G38/W38*60</f>
        <v>1183.0588235294117</v>
      </c>
      <c r="O38" s="127">
        <f>N38/M38</f>
        <v>78.870588235294107</v>
      </c>
      <c r="P38" s="128">
        <f t="shared" ref="P38:P41" si="29">M38-J38</f>
        <v>0</v>
      </c>
      <c r="Q38" s="129">
        <f t="shared" ref="Q38:Q41" si="30">O38-L38</f>
        <v>-21.129411764705893</v>
      </c>
      <c r="R38" s="187">
        <f t="shared" si="25"/>
        <v>0.78870588235294103</v>
      </c>
      <c r="S38" s="460">
        <f>R48</f>
        <v>0.75313471581957403</v>
      </c>
      <c r="T38" s="149">
        <v>0.33333333333333331</v>
      </c>
      <c r="U38" s="149">
        <v>0.3923611111111111</v>
      </c>
      <c r="V38" s="146"/>
      <c r="W38" s="150">
        <f t="shared" si="17"/>
        <v>85.000000000000014</v>
      </c>
      <c r="X38" s="148"/>
      <c r="Y38" s="151"/>
      <c r="Z38" s="462" t="s">
        <v>131</v>
      </c>
      <c r="AA38" s="463"/>
      <c r="AB38" s="287">
        <f t="shared" si="26"/>
        <v>-316.94117647058829</v>
      </c>
      <c r="AC38" s="152">
        <f t="shared" si="27"/>
        <v>0.78870588235294115</v>
      </c>
      <c r="AD38" s="447">
        <f>AC48</f>
        <v>0.75313471581957414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926</v>
      </c>
      <c r="H39" s="50">
        <f t="shared" si="23"/>
        <v>52254.18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8"/>
        <v>93.733333333333334</v>
      </c>
      <c r="M39" s="65">
        <v>15</v>
      </c>
      <c r="N39" s="66">
        <f>G39/W39*60</f>
        <v>926.00000000000091</v>
      </c>
      <c r="O39" s="67">
        <f t="shared" ref="O39:O41" si="31">N39/M39</f>
        <v>61.733333333333391</v>
      </c>
      <c r="P39" s="39">
        <f t="shared" si="29"/>
        <v>0</v>
      </c>
      <c r="Q39" s="40">
        <f t="shared" si="30"/>
        <v>-31.999999999999943</v>
      </c>
      <c r="R39" s="188">
        <f t="shared" si="25"/>
        <v>0.65860597439544866</v>
      </c>
      <c r="S39" s="461"/>
      <c r="T39" s="59">
        <v>0.39930555555555558</v>
      </c>
      <c r="U39" s="59">
        <v>0.44097222222222221</v>
      </c>
      <c r="V39" s="42">
        <f>(T39-U38)*24*60</f>
        <v>10.000000000000044</v>
      </c>
      <c r="W39" s="69">
        <f t="shared" si="17"/>
        <v>59.999999999999943</v>
      </c>
      <c r="X39" s="22"/>
      <c r="Y39" s="22"/>
      <c r="Z39" s="450" t="s">
        <v>117</v>
      </c>
      <c r="AA39" s="451"/>
      <c r="AB39" s="268">
        <f t="shared" si="26"/>
        <v>-479.99999999999909</v>
      </c>
      <c r="AC39" s="61">
        <f t="shared" si="27"/>
        <v>0.65860597439544877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35</v>
      </c>
      <c r="E40" s="240"/>
      <c r="F40" s="56">
        <f>VLOOKUP(D40,廠價表!$C$1:$E$40,3,0)</f>
        <v>56.43</v>
      </c>
      <c r="G40" s="273">
        <v>800</v>
      </c>
      <c r="H40" s="50">
        <f t="shared" si="23"/>
        <v>45144</v>
      </c>
      <c r="I40" s="64"/>
      <c r="J40" s="37">
        <f>VLOOKUP(D40,產線配置圖!$A$3:$C$39,2,0)</f>
        <v>15</v>
      </c>
      <c r="K40" s="36">
        <f>VLOOKUP(D40,產線配置圖!$A$3:$C$39,3,0)</f>
        <v>1636</v>
      </c>
      <c r="L40" s="38">
        <f t="shared" si="28"/>
        <v>109.06666666666666</v>
      </c>
      <c r="M40" s="65">
        <v>15</v>
      </c>
      <c r="N40" s="66">
        <f>G40/W40*60</f>
        <v>1263.1578947368439</v>
      </c>
      <c r="O40" s="67">
        <f t="shared" si="31"/>
        <v>84.210526315789593</v>
      </c>
      <c r="P40" s="39">
        <f t="shared" si="29"/>
        <v>0</v>
      </c>
      <c r="Q40" s="40">
        <f t="shared" si="30"/>
        <v>-24.85614035087707</v>
      </c>
      <c r="R40" s="188">
        <f t="shared" si="25"/>
        <v>0.77210140265088256</v>
      </c>
      <c r="S40" s="420"/>
      <c r="T40" s="59">
        <v>0.44791666666666669</v>
      </c>
      <c r="U40" s="59">
        <v>0.47430555555555554</v>
      </c>
      <c r="V40" s="42">
        <f>(T40-U39)*24*60</f>
        <v>10.000000000000044</v>
      </c>
      <c r="W40" s="69">
        <f t="shared" si="17"/>
        <v>37.999999999999943</v>
      </c>
      <c r="X40" s="70"/>
      <c r="Y40" s="256"/>
      <c r="Z40" s="450" t="s">
        <v>55</v>
      </c>
      <c r="AA40" s="451"/>
      <c r="AB40" s="268">
        <f t="shared" si="26"/>
        <v>-372.8421052631561</v>
      </c>
      <c r="AC40" s="61">
        <f t="shared" si="27"/>
        <v>0.77210140265088256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646</v>
      </c>
      <c r="H41" s="50">
        <f t="shared" si="23"/>
        <v>36453.78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si="28"/>
        <v>93.733333333333334</v>
      </c>
      <c r="M41" s="65">
        <v>15</v>
      </c>
      <c r="N41" s="66">
        <f>G41/W41*60</f>
        <v>1107.4285714285702</v>
      </c>
      <c r="O41" s="67">
        <f t="shared" si="31"/>
        <v>73.828571428571351</v>
      </c>
      <c r="P41" s="39">
        <f t="shared" si="29"/>
        <v>0</v>
      </c>
      <c r="Q41" s="40">
        <f t="shared" si="30"/>
        <v>-19.904761904761983</v>
      </c>
      <c r="R41" s="188">
        <f t="shared" si="25"/>
        <v>0.78764478764478685</v>
      </c>
      <c r="S41" s="420"/>
      <c r="T41" s="59">
        <v>0.53472222222222221</v>
      </c>
      <c r="U41" s="59">
        <v>0.55902777777777779</v>
      </c>
      <c r="V41" s="42">
        <f>(T41-U40)*24*60</f>
        <v>87.000000000000014</v>
      </c>
      <c r="W41" s="69">
        <f t="shared" si="17"/>
        <v>35.000000000000036</v>
      </c>
      <c r="X41" s="70">
        <v>0.52777777777777801</v>
      </c>
      <c r="Y41" s="256">
        <v>0.56944444444444398</v>
      </c>
      <c r="Z41" s="450" t="s">
        <v>117</v>
      </c>
      <c r="AA41" s="451"/>
      <c r="AB41" s="268">
        <f t="shared" si="26"/>
        <v>-298.57142857142981</v>
      </c>
      <c r="AC41" s="61">
        <f t="shared" si="27"/>
        <v>0.78764478764478674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17"/>
        <v>0</v>
      </c>
      <c r="X42" s="70"/>
      <c r="Y42" s="60"/>
      <c r="Z42" s="450"/>
      <c r="AA42" s="451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32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3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32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3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32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3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32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3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4">AVERAGE(J38:J47)</f>
        <v>15</v>
      </c>
      <c r="K48" s="133">
        <f t="shared" si="34"/>
        <v>1487</v>
      </c>
      <c r="L48" s="136">
        <f t="shared" si="34"/>
        <v>99.13333333333334</v>
      </c>
      <c r="M48" s="133">
        <f t="shared" si="34"/>
        <v>15</v>
      </c>
      <c r="N48" s="133">
        <f t="shared" si="34"/>
        <v>1119.9113224237067</v>
      </c>
      <c r="O48" s="136">
        <f t="shared" si="34"/>
        <v>74.660754828247107</v>
      </c>
      <c r="P48" s="155">
        <f>M48-J48</f>
        <v>0</v>
      </c>
      <c r="Q48" s="156">
        <f>N48-K48</f>
        <v>-367.08867757629332</v>
      </c>
      <c r="R48" s="157">
        <f>O48/L48</f>
        <v>0.75313471581957403</v>
      </c>
      <c r="S48" s="423"/>
      <c r="T48" s="158"/>
      <c r="U48" s="158"/>
      <c r="V48" s="194"/>
      <c r="W48" s="159">
        <f t="shared" si="33"/>
        <v>0</v>
      </c>
      <c r="X48" s="160"/>
      <c r="Y48" s="160"/>
      <c r="Z48" s="424"/>
      <c r="AA48" s="424"/>
      <c r="AB48" s="161">
        <f>N48-K48</f>
        <v>-367.08867757629332</v>
      </c>
      <c r="AC48" s="189">
        <f>N48/K48</f>
        <v>0.75313471581957414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1504</v>
      </c>
      <c r="H49" s="124">
        <f t="shared" ref="H49:H57" si="35">F49*G49</f>
        <v>85532.479999999996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18</v>
      </c>
      <c r="N49" s="126">
        <f>G49/W49*60</f>
        <v>1455.4838709677433</v>
      </c>
      <c r="O49" s="127">
        <f>N49/M49</f>
        <v>80.860215053763511</v>
      </c>
      <c r="P49" s="162">
        <f>M49-J49</f>
        <v>-1</v>
      </c>
      <c r="Q49" s="111">
        <f>O49-L49</f>
        <v>-1.5082059988680641</v>
      </c>
      <c r="R49" s="182">
        <f>O49/L49</f>
        <v>0.98168951183482867</v>
      </c>
      <c r="S49" s="419">
        <f>R58</f>
        <v>0.96712508330258296</v>
      </c>
      <c r="T49" s="149">
        <v>0.29166666666666669</v>
      </c>
      <c r="U49" s="149">
        <v>0.3347222222222222</v>
      </c>
      <c r="V49" s="186"/>
      <c r="W49" s="150">
        <f t="shared" si="17"/>
        <v>61.999999999999943</v>
      </c>
      <c r="X49" s="186"/>
      <c r="Y49" s="186"/>
      <c r="Z49" s="425"/>
      <c r="AA49" s="425"/>
      <c r="AB49" s="110">
        <f>N49-K49</f>
        <v>-109.51612903225669</v>
      </c>
      <c r="AC49" s="182">
        <f>N49/K49</f>
        <v>0.93002164279089028</v>
      </c>
      <c r="AD49" s="411">
        <f>AC58</f>
        <v>0.94195586811394838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4730</v>
      </c>
      <c r="H50" s="76">
        <f t="shared" si="35"/>
        <v>236358.1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1525.8064516129034</v>
      </c>
      <c r="O50" s="78">
        <f>N50/M50</f>
        <v>84.767025089605738</v>
      </c>
      <c r="P50" s="18">
        <f>M50-J50</f>
        <v>0</v>
      </c>
      <c r="Q50" s="19">
        <f>O50-L50</f>
        <v>-4.1218637992831475</v>
      </c>
      <c r="R50" s="183">
        <f>O50/L50</f>
        <v>0.95362903225806461</v>
      </c>
      <c r="S50" s="420"/>
      <c r="T50" s="79">
        <v>0.34166666666666667</v>
      </c>
      <c r="U50" s="79">
        <v>0.47083333333333333</v>
      </c>
      <c r="V50" s="175">
        <f>(T50-U49)*24*60</f>
        <v>10.000000000000044</v>
      </c>
      <c r="W50" s="80">
        <f t="shared" si="17"/>
        <v>185.99999999999997</v>
      </c>
      <c r="X50" s="22"/>
      <c r="Y50" s="22"/>
      <c r="Z50" s="417"/>
      <c r="AA50" s="418"/>
      <c r="AB50" s="18">
        <f>N50-K50</f>
        <v>-74.193548387096598</v>
      </c>
      <c r="AC50" s="183">
        <f>N50/K50</f>
        <v>0.95362903225806461</v>
      </c>
      <c r="AD50" s="412"/>
    </row>
    <row r="51" spans="1:30" ht="15" customHeight="1">
      <c r="A51" s="455"/>
      <c r="B51" s="56"/>
      <c r="C51" s="10"/>
      <c r="D51" s="11"/>
      <c r="E51" s="86"/>
      <c r="F51" s="56"/>
      <c r="G51" s="66"/>
      <c r="H51" s="76"/>
      <c r="I51" s="191"/>
      <c r="J51" s="16"/>
      <c r="K51" s="14"/>
      <c r="L51" s="17"/>
      <c r="M51" s="172"/>
      <c r="N51" s="77"/>
      <c r="O51" s="78"/>
      <c r="P51" s="18"/>
      <c r="Q51" s="19"/>
      <c r="R51" s="183"/>
      <c r="S51" s="420"/>
      <c r="T51" s="79"/>
      <c r="U51" s="44"/>
      <c r="V51" s="175"/>
      <c r="W51" s="80">
        <f t="shared" si="17"/>
        <v>0</v>
      </c>
      <c r="X51" s="22"/>
      <c r="Y51" s="22"/>
      <c r="Z51" s="405"/>
      <c r="AA51" s="405"/>
      <c r="AB51" s="18">
        <f>N51-K51</f>
        <v>0</v>
      </c>
      <c r="AC51" s="183" t="e">
        <f>N51/K51</f>
        <v>#DIV/0!</v>
      </c>
      <c r="AD51" s="412"/>
    </row>
    <row r="52" spans="1:30" ht="15" customHeight="1">
      <c r="A52" s="455"/>
      <c r="B52" s="56"/>
      <c r="C52" s="23"/>
      <c r="D52" s="11"/>
      <c r="E52" s="12"/>
      <c r="F52" s="56"/>
      <c r="G52" s="66"/>
      <c r="H52" s="76"/>
      <c r="I52" s="191"/>
      <c r="J52" s="16"/>
      <c r="K52" s="14"/>
      <c r="L52" s="17"/>
      <c r="M52" s="172"/>
      <c r="N52" s="77"/>
      <c r="O52" s="78"/>
      <c r="P52" s="18"/>
      <c r="Q52" s="19"/>
      <c r="R52" s="183"/>
      <c r="S52" s="420"/>
      <c r="T52" s="79"/>
      <c r="U52" s="79"/>
      <c r="V52" s="175"/>
      <c r="W52" s="80">
        <f t="shared" si="17"/>
        <v>0</v>
      </c>
      <c r="X52" s="22"/>
      <c r="Y52" s="22"/>
      <c r="Z52" s="405"/>
      <c r="AA52" s="405"/>
      <c r="AB52" s="18">
        <f>N52-K52</f>
        <v>0</v>
      </c>
      <c r="AC52" s="183" t="e">
        <f>N52/K52</f>
        <v>#DIV/0!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79"/>
      <c r="U53" s="79"/>
      <c r="V53" s="175"/>
      <c r="W53" s="80">
        <f t="shared" si="17"/>
        <v>0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35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7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5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7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5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7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5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7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36">AVERAGE(J49:J57)</f>
        <v>18.5</v>
      </c>
      <c r="K58" s="117">
        <f t="shared" si="36"/>
        <v>1582.5</v>
      </c>
      <c r="L58" s="114">
        <f t="shared" si="36"/>
        <v>85.628654970760238</v>
      </c>
      <c r="M58" s="117">
        <f t="shared" si="36"/>
        <v>18</v>
      </c>
      <c r="N58" s="117">
        <f t="shared" si="36"/>
        <v>1490.6451612903234</v>
      </c>
      <c r="O58" s="114">
        <f t="shared" si="36"/>
        <v>82.813620071684625</v>
      </c>
      <c r="P58" s="118">
        <f>M58-J58</f>
        <v>-0.5</v>
      </c>
      <c r="Q58" s="119">
        <f>N58-K58</f>
        <v>-91.854838709676642</v>
      </c>
      <c r="R58" s="120">
        <f t="shared" ref="R58:R60" si="37">O58/L58</f>
        <v>0.96712508330258296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38">N58-K58</f>
        <v>-91.854838709676642</v>
      </c>
      <c r="AC58" s="185">
        <f t="shared" ref="AC58:AC63" si="39">N58/K58</f>
        <v>0.94195586811394838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3303</v>
      </c>
      <c r="H59" s="105">
        <f t="shared" ref="H59:H68" si="40">F59*G59</f>
        <v>89147.97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41">G59/W59*60</f>
        <v>1524.461538461539</v>
      </c>
      <c r="O59" s="108">
        <f t="shared" ref="O59:O61" si="42">N59/M59</f>
        <v>117.26627218934915</v>
      </c>
      <c r="P59" s="110">
        <f t="shared" ref="P59:P61" si="43">M59-J59</f>
        <v>0</v>
      </c>
      <c r="Q59" s="111">
        <f t="shared" ref="Q59:Q61" si="44">O59-L59</f>
        <v>-3.1183431952662346</v>
      </c>
      <c r="R59" s="182">
        <f t="shared" si="37"/>
        <v>0.97409682968788436</v>
      </c>
      <c r="S59" s="419">
        <f>R69</f>
        <v>0.83714038105832245</v>
      </c>
      <c r="T59" s="167">
        <v>0.29166666666666669</v>
      </c>
      <c r="U59" s="167">
        <v>0.38194444444444442</v>
      </c>
      <c r="V59" s="186"/>
      <c r="W59" s="106">
        <f t="shared" si="17"/>
        <v>129.99999999999994</v>
      </c>
      <c r="X59" s="186"/>
      <c r="Y59" s="186"/>
      <c r="Z59" s="469"/>
      <c r="AA59" s="434"/>
      <c r="AB59" s="223">
        <f t="shared" si="38"/>
        <v>-40.538461538460979</v>
      </c>
      <c r="AC59" s="224">
        <f t="shared" si="39"/>
        <v>0.97409682968788436</v>
      </c>
      <c r="AD59" s="411">
        <f>AC69</f>
        <v>0.84065208486933685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64</v>
      </c>
      <c r="E60" s="12"/>
      <c r="F60" s="56">
        <f>VLOOKUP(D60,廠價表!$C$1:$E$40,3,0)</f>
        <v>28.26</v>
      </c>
      <c r="G60" s="175">
        <v>1882</v>
      </c>
      <c r="H60" s="15">
        <f t="shared" si="40"/>
        <v>53185.32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1"/>
        <v>1505.6000000000006</v>
      </c>
      <c r="O60" s="17">
        <f t="shared" si="42"/>
        <v>125.46666666666671</v>
      </c>
      <c r="P60" s="18">
        <f t="shared" si="43"/>
        <v>0</v>
      </c>
      <c r="Q60" s="19">
        <f t="shared" si="44"/>
        <v>-4.949999999999946</v>
      </c>
      <c r="R60" s="183">
        <f t="shared" si="37"/>
        <v>0.96204472843450517</v>
      </c>
      <c r="S60" s="474"/>
      <c r="T60" s="20">
        <v>0.3888888888888889</v>
      </c>
      <c r="U60" s="20">
        <v>0.44097222222222221</v>
      </c>
      <c r="V60" s="175">
        <f t="shared" ref="V60:V61" si="45">(T60-U59)*24*60</f>
        <v>10.000000000000044</v>
      </c>
      <c r="W60" s="90">
        <f t="shared" si="17"/>
        <v>74.999999999999972</v>
      </c>
      <c r="X60" s="191"/>
      <c r="Y60" s="191"/>
      <c r="Z60" s="405"/>
      <c r="AA60" s="405"/>
      <c r="AB60" s="225">
        <f t="shared" si="38"/>
        <v>-59.399999999999409</v>
      </c>
      <c r="AC60" s="226">
        <f t="shared" si="39"/>
        <v>0.96204472843450517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63</v>
      </c>
      <c r="E61" s="86"/>
      <c r="F61" s="56">
        <f>VLOOKUP(D61,廠價表!$C$1:$E$40,3,0)</f>
        <v>28.47</v>
      </c>
      <c r="G61" s="175">
        <v>382</v>
      </c>
      <c r="H61" s="15">
        <f t="shared" si="40"/>
        <v>10875.539999999999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1"/>
        <v>916.79999999999745</v>
      </c>
      <c r="O61" s="17">
        <f t="shared" si="42"/>
        <v>76.399999999999793</v>
      </c>
      <c r="P61" s="18">
        <f t="shared" si="43"/>
        <v>0</v>
      </c>
      <c r="Q61" s="19">
        <f t="shared" si="44"/>
        <v>-54.016666666666865</v>
      </c>
      <c r="R61" s="183">
        <f>O61/L61</f>
        <v>0.58581469648562146</v>
      </c>
      <c r="S61" s="420"/>
      <c r="T61" s="20">
        <v>0.44444444444444442</v>
      </c>
      <c r="U61" s="20">
        <v>0.46180555555555558</v>
      </c>
      <c r="V61" s="175">
        <f t="shared" si="45"/>
        <v>4.9999999999999822</v>
      </c>
      <c r="W61" s="88">
        <f t="shared" si="17"/>
        <v>25.000000000000071</v>
      </c>
      <c r="X61" s="22"/>
      <c r="Y61" s="22"/>
      <c r="Z61" s="405" t="s">
        <v>132</v>
      </c>
      <c r="AA61" s="405"/>
      <c r="AB61" s="51">
        <f t="shared" si="38"/>
        <v>-648.20000000000255</v>
      </c>
      <c r="AC61" s="52">
        <f t="shared" si="39"/>
        <v>0.58581469648562134</v>
      </c>
      <c r="AD61" s="412"/>
    </row>
    <row r="62" spans="1:30" ht="15" customHeight="1">
      <c r="A62" s="472"/>
      <c r="B62" s="56"/>
      <c r="C62" s="10"/>
      <c r="D62" s="239"/>
      <c r="E62" s="86"/>
      <c r="F62" s="56"/>
      <c r="G62" s="175"/>
      <c r="H62" s="15"/>
      <c r="I62" s="175"/>
      <c r="J62" s="16"/>
      <c r="K62" s="14"/>
      <c r="L62" s="17"/>
      <c r="M62" s="178"/>
      <c r="N62" s="14"/>
      <c r="O62" s="17"/>
      <c r="P62" s="18"/>
      <c r="Q62" s="19"/>
      <c r="R62" s="183"/>
      <c r="S62" s="420"/>
      <c r="T62" s="196"/>
      <c r="U62" s="196"/>
      <c r="V62" s="175"/>
      <c r="W62" s="90">
        <f t="shared" si="17"/>
        <v>0</v>
      </c>
      <c r="X62" s="22"/>
      <c r="Y62" s="22"/>
      <c r="Z62" s="405"/>
      <c r="AA62" s="405"/>
      <c r="AB62" s="51">
        <f t="shared" si="38"/>
        <v>0</v>
      </c>
      <c r="AC62" s="52" t="e">
        <f t="shared" si="39"/>
        <v>#DIV/0!</v>
      </c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7"/>
        <v>0</v>
      </c>
      <c r="X63" s="84"/>
      <c r="Y63" s="84"/>
      <c r="Z63" s="405"/>
      <c r="AA63" s="405"/>
      <c r="AB63" s="51">
        <f t="shared" si="38"/>
        <v>0</v>
      </c>
      <c r="AC63" s="52" t="e">
        <f t="shared" si="39"/>
        <v>#DIV/0!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7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7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7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40"/>
        <v>0</v>
      </c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7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0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7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46">AVERAGE(J59:J68)</f>
        <v>12.333333333333334</v>
      </c>
      <c r="K69" s="164">
        <f t="shared" si="46"/>
        <v>1565</v>
      </c>
      <c r="L69" s="169">
        <f t="shared" si="46"/>
        <v>127.07264957264958</v>
      </c>
      <c r="M69" s="164">
        <f t="shared" si="46"/>
        <v>12.333333333333334</v>
      </c>
      <c r="N69" s="164">
        <f t="shared" si="46"/>
        <v>1315.6205128205122</v>
      </c>
      <c r="O69" s="169">
        <f t="shared" si="46"/>
        <v>106.37764628533854</v>
      </c>
      <c r="P69" s="170">
        <f>M69-J69</f>
        <v>0</v>
      </c>
      <c r="Q69" s="156">
        <f>N69-K69</f>
        <v>-249.3794871794878</v>
      </c>
      <c r="R69" s="120">
        <f>O69/L69</f>
        <v>0.83714038105832245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-249.3794871794878</v>
      </c>
      <c r="AC69" s="185">
        <f>N69/K69</f>
        <v>0.84065208486933685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7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7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7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7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47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7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47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7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47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7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47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7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47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7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 t="e">
        <f>AVERAGE(J70:J78)</f>
        <v>#DIV/0!</v>
      </c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P1:S2"/>
    <mergeCell ref="V3:V4"/>
    <mergeCell ref="T1:Y2"/>
    <mergeCell ref="Z1:AA2"/>
    <mergeCell ref="AB1:AD2"/>
    <mergeCell ref="AC3:AC4"/>
    <mergeCell ref="AD3:AD4"/>
    <mergeCell ref="P3:P4"/>
    <mergeCell ref="Q3:Q4"/>
    <mergeCell ref="R3:R4"/>
    <mergeCell ref="T3:U3"/>
    <mergeCell ref="S3:S4"/>
    <mergeCell ref="AB3:AB4"/>
    <mergeCell ref="Z3:AA4"/>
    <mergeCell ref="A5:A15"/>
    <mergeCell ref="N3:N4"/>
    <mergeCell ref="O3:O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H3:H4"/>
    <mergeCell ref="I3:I4"/>
    <mergeCell ref="J3:J4"/>
    <mergeCell ref="K3:K4"/>
    <mergeCell ref="L3:L4"/>
    <mergeCell ref="S5:S15"/>
    <mergeCell ref="M3:M4"/>
    <mergeCell ref="Z5:AA5"/>
    <mergeCell ref="AD5:AD15"/>
    <mergeCell ref="Z6:AA6"/>
    <mergeCell ref="Z7:AA7"/>
    <mergeCell ref="Z8:AA8"/>
    <mergeCell ref="Z9:AA9"/>
    <mergeCell ref="Z15:AA15"/>
    <mergeCell ref="Z10:AA10"/>
    <mergeCell ref="Z11:AA11"/>
    <mergeCell ref="Z12:AA12"/>
    <mergeCell ref="Z13:AA13"/>
    <mergeCell ref="Z14:AA14"/>
    <mergeCell ref="W3:W4"/>
    <mergeCell ref="X3:Y3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68" priority="1" operator="greaterThan">
      <formula>0</formula>
    </cfRule>
  </conditionalFormatting>
  <conditionalFormatting sqref="Q5:Q79 AB5:AB79">
    <cfRule type="cellIs" dxfId="267" priority="4" operator="lessThan">
      <formula>0</formula>
    </cfRule>
  </conditionalFormatting>
  <conditionalFormatting sqref="R5:R79 AC5:AC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D59:AD62 S69:S76 AD69:AD76">
    <cfRule type="cellIs" dxfId="264" priority="7" operator="lessThan">
      <formula>0.8</formula>
    </cfRule>
  </conditionalFormatting>
  <conditionalFormatting sqref="S19:S25 AD19:AD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D5:AD8 S15:S16 AD15:AD16 AD49 AD79">
    <cfRule type="cellIs" dxfId="261" priority="9" operator="lessThan">
      <formula>0.8</formula>
    </cfRule>
  </conditionalFormatting>
  <conditionalFormatting sqref="AD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S70" sqref="S70:S79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45997</v>
      </c>
      <c r="E3" s="357"/>
      <c r="F3" s="202" t="s">
        <v>84</v>
      </c>
      <c r="G3" s="358">
        <f>'1206'!E1</f>
        <v>42133</v>
      </c>
      <c r="H3" s="358"/>
      <c r="I3" s="202" t="s">
        <v>2</v>
      </c>
      <c r="J3" s="359">
        <f>'1206'!G1</f>
        <v>2043010.9800000002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118.82625459765552</v>
      </c>
      <c r="G6" s="367"/>
      <c r="H6" s="360">
        <f>AVERAGE(D13:H13)</f>
        <v>117.17697560265671</v>
      </c>
      <c r="I6" s="360"/>
      <c r="J6" s="360">
        <f>AVERAGE(I13:J13)</f>
        <v>127.07264957264958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97.414676872952612</v>
      </c>
      <c r="G7" s="362"/>
      <c r="H7" s="363">
        <f>AVERAGE(D14:H14)</f>
        <v>94.927422193808781</v>
      </c>
      <c r="I7" s="363"/>
      <c r="J7" s="363">
        <f>AVERAGE(I14:J14)</f>
        <v>109.85095026867175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0.82541638460524114</v>
      </c>
      <c r="G8" s="364"/>
      <c r="H8" s="364">
        <f>AVERAGE(D15:H15)</f>
        <v>0.81760494242173787</v>
      </c>
      <c r="I8" s="364"/>
      <c r="J8" s="364">
        <f>AVERAGE(I15:J15)</f>
        <v>0.86447359552275727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VALUE('1206'!L15)</f>
        <v>143.87443438914025</v>
      </c>
      <c r="E13" s="213">
        <f>VALUE('1206'!L26)</f>
        <v>160.58974358974359</v>
      </c>
      <c r="F13" s="213">
        <f>VALUE('1206'!L37)</f>
        <v>92.250816993464056</v>
      </c>
      <c r="G13" s="213">
        <f>VALUE('1206'!L48)</f>
        <v>99.13333333333334</v>
      </c>
      <c r="H13" s="213">
        <f>VALUE('1206'!L58)</f>
        <v>90.036549707602347</v>
      </c>
      <c r="I13" s="213">
        <f>VALUE('1206'!L69)</f>
        <v>127.07264957264958</v>
      </c>
      <c r="J13" s="213"/>
    </row>
    <row r="14" spans="2:15" ht="40" customHeight="1">
      <c r="B14" s="376"/>
      <c r="C14" s="212" t="s">
        <v>106</v>
      </c>
      <c r="D14" s="213">
        <f>VALUE('1206'!O15)</f>
        <v>114.32248387248173</v>
      </c>
      <c r="E14" s="213">
        <f>VALUE('1206'!O26)</f>
        <v>125.05155085968877</v>
      </c>
      <c r="F14" s="213">
        <f>VALUE('1206'!O37)</f>
        <v>83.480036800242374</v>
      </c>
      <c r="G14" s="213">
        <f>VALUE('1206'!O48)</f>
        <v>74.564643049258422</v>
      </c>
      <c r="H14" s="213">
        <f>VALUE('1206'!O58)</f>
        <v>77.218396387372536</v>
      </c>
      <c r="I14" s="213">
        <f>VALUE('1206'!O69)</f>
        <v>109.85095026867175</v>
      </c>
      <c r="J14" s="213"/>
    </row>
    <row r="15" spans="2:15" ht="40" customHeight="1">
      <c r="B15" s="377"/>
      <c r="C15" s="210" t="s">
        <v>23</v>
      </c>
      <c r="D15" s="231">
        <f>D14/D13</f>
        <v>0.79459901516117359</v>
      </c>
      <c r="E15" s="231">
        <f t="shared" ref="E15:I15" si="0">E14/E13</f>
        <v>0.77870197725177426</v>
      </c>
      <c r="F15" s="231">
        <f t="shared" si="0"/>
        <v>0.90492463395914324</v>
      </c>
      <c r="G15" s="231">
        <f t="shared" si="0"/>
        <v>0.75216519552042782</v>
      </c>
      <c r="H15" s="231">
        <f t="shared" si="0"/>
        <v>0.85763389021616965</v>
      </c>
      <c r="I15" s="231">
        <f t="shared" si="0"/>
        <v>0.86447359552275727</v>
      </c>
      <c r="J15" s="231"/>
    </row>
    <row r="16" spans="2:15" ht="17.25" customHeight="1">
      <c r="B16" s="378" t="s">
        <v>107</v>
      </c>
      <c r="C16" s="210" t="s">
        <v>29</v>
      </c>
      <c r="D16" s="95">
        <f>'1206'!T5</f>
        <v>0.2902777777777778</v>
      </c>
      <c r="E16" s="95">
        <f>'1206'!T16</f>
        <v>0.2902777777777778</v>
      </c>
      <c r="F16" s="95">
        <f>'1206'!T27</f>
        <v>0.29166666666666702</v>
      </c>
      <c r="G16" s="95">
        <f>'1206'!T38</f>
        <v>0.3298611111111111</v>
      </c>
      <c r="H16" s="95">
        <f>'1206'!T49</f>
        <v>0.28888888888888886</v>
      </c>
      <c r="I16" s="95">
        <f>'1206'!T59</f>
        <v>0.29166666666666669</v>
      </c>
      <c r="J16" s="269"/>
    </row>
    <row r="17" spans="2:10" ht="17.25" customHeight="1">
      <c r="B17" s="379"/>
      <c r="C17" s="210" t="s">
        <v>30</v>
      </c>
      <c r="D17" s="95">
        <v>0.59166666666666701</v>
      </c>
      <c r="E17" s="41">
        <v>0.63055555555555554</v>
      </c>
      <c r="F17" s="41">
        <v>0.60416666666666663</v>
      </c>
      <c r="G17" s="75">
        <v>0.62152777777777779</v>
      </c>
      <c r="H17" s="79">
        <v>0.59166666666666667</v>
      </c>
      <c r="I17" s="20">
        <v>0.4826388888888889</v>
      </c>
      <c r="J17" s="20"/>
    </row>
    <row r="18" spans="2:10" ht="17.25" customHeight="1">
      <c r="B18" s="365" t="s">
        <v>108</v>
      </c>
      <c r="C18" s="366"/>
      <c r="D18" s="214">
        <f>VALUE('1206'!M15)</f>
        <v>14</v>
      </c>
      <c r="E18" s="214">
        <f>VALUE('1206'!M26)</f>
        <v>12.6</v>
      </c>
      <c r="F18" s="214">
        <f>VALUE('1206'!M37)</f>
        <v>14.75</v>
      </c>
      <c r="G18" s="214">
        <f>VALUE('1206'!M48)</f>
        <v>13</v>
      </c>
      <c r="H18" s="214">
        <f>VALUE('1206'!M58)</f>
        <v>16.5</v>
      </c>
      <c r="I18" s="214">
        <f>VALUE('1206'!M69)</f>
        <v>12.333333333333334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M65" activePane="bottomRight" state="frozen"/>
      <selection activeCell="S70" sqref="S70:S79"/>
      <selection pane="topRight" activeCell="S70" sqref="S70:S79"/>
      <selection pane="bottomLeft" activeCell="S70" sqref="S70:S79"/>
      <selection pane="bottomRight" activeCell="V61" activeCellId="11" sqref="V6 V7 V17:V18 V18 V28 V29 V39 V40 V50 V52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42133</v>
      </c>
      <c r="F1" s="175" t="s">
        <v>2</v>
      </c>
      <c r="G1" s="4">
        <f>SUM(H5:H79)</f>
        <v>2043010.9800000002</v>
      </c>
      <c r="H1" s="173" t="s">
        <v>3</v>
      </c>
      <c r="I1" s="5">
        <f>M15+M26+M48+M58+M69+M79+M37</f>
        <v>83.183333333333337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133</v>
      </c>
      <c r="B2" s="404"/>
      <c r="C2" s="174"/>
      <c r="D2" s="174" t="s">
        <v>11</v>
      </c>
      <c r="E2" s="7">
        <f>AVERAGE(O15,O26,O37,O48,O58,O69,O79)</f>
        <v>97.414676872952612</v>
      </c>
      <c r="F2" s="8" t="s">
        <v>12</v>
      </c>
      <c r="G2" s="9">
        <f>G1/E1</f>
        <v>48.489568271900893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1152</v>
      </c>
      <c r="H5" s="318">
        <f>F5*G5</f>
        <v>65905.919999999998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8" si="0">G5/W5*60</f>
        <v>1502.608695652174</v>
      </c>
      <c r="O5" s="322">
        <f t="shared" ref="O5:O8" si="1">N5/M5</f>
        <v>115.58528428093646</v>
      </c>
      <c r="P5" s="324">
        <f t="shared" ref="P5:P8" si="2">M5-J5</f>
        <v>0</v>
      </c>
      <c r="Q5" s="325">
        <f t="shared" ref="Q5:Q8" si="3">O5-L5</f>
        <v>-46.337792642140471</v>
      </c>
      <c r="R5" s="326">
        <f t="shared" ref="R5:R8" si="4">O5/L5</f>
        <v>0.71382835897965502</v>
      </c>
      <c r="S5" s="419">
        <f>R15</f>
        <v>0.79459901516117359</v>
      </c>
      <c r="T5" s="327">
        <v>0.2902777777777778</v>
      </c>
      <c r="U5" s="328">
        <v>0.32222222222222224</v>
      </c>
      <c r="V5" s="192"/>
      <c r="W5" s="106">
        <f t="shared" ref="W5:W14" si="5">(U5-T5)*24*60</f>
        <v>46</v>
      </c>
      <c r="X5" s="186"/>
      <c r="Y5" s="186"/>
      <c r="Z5" s="425" t="s">
        <v>55</v>
      </c>
      <c r="AA5" s="425"/>
      <c r="AB5" s="110">
        <f>N5-K5</f>
        <v>-602.39130434782601</v>
      </c>
      <c r="AC5" s="182">
        <f>N5/K5</f>
        <v>0.71382835897965513</v>
      </c>
      <c r="AD5" s="411">
        <f>AC15</f>
        <v>0.80027540402205133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33</v>
      </c>
      <c r="E6" s="248"/>
      <c r="F6" s="305">
        <f>VLOOKUP(D6,廠價表!$C$1:$E$40,3,0)</f>
        <v>57.21</v>
      </c>
      <c r="G6" s="306">
        <v>1648</v>
      </c>
      <c r="H6" s="307">
        <f>F6*G6</f>
        <v>94282.08</v>
      </c>
      <c r="I6" s="308"/>
      <c r="J6" s="309">
        <f>VLOOKUP(D6,產線配置圖!$A$3:$C$39,2,0)</f>
        <v>17</v>
      </c>
      <c r="K6" s="306">
        <v>1800</v>
      </c>
      <c r="L6" s="310">
        <f>K6/J6</f>
        <v>105.88235294117646</v>
      </c>
      <c r="M6" s="311">
        <v>17</v>
      </c>
      <c r="N6" s="306">
        <f t="shared" si="0"/>
        <v>1620.9836065573827</v>
      </c>
      <c r="O6" s="310">
        <f t="shared" si="1"/>
        <v>95.351976856316625</v>
      </c>
      <c r="P6" s="312">
        <f t="shared" si="2"/>
        <v>0</v>
      </c>
      <c r="Q6" s="313">
        <f t="shared" si="3"/>
        <v>-10.530376084859839</v>
      </c>
      <c r="R6" s="314">
        <f t="shared" si="4"/>
        <v>0.90054644808743489</v>
      </c>
      <c r="S6" s="420"/>
      <c r="T6" s="267">
        <v>0.35208333333333303</v>
      </c>
      <c r="U6" s="267">
        <v>0.39444444444444399</v>
      </c>
      <c r="V6" s="175">
        <f>(T6-U5)*24*60</f>
        <v>42.999999999999531</v>
      </c>
      <c r="W6" s="180">
        <f t="shared" si="5"/>
        <v>60.999999999999787</v>
      </c>
      <c r="X6" s="22"/>
      <c r="Y6" s="22"/>
      <c r="Z6" s="391"/>
      <c r="AA6" s="391"/>
      <c r="AB6" s="18">
        <f>N6-K6</f>
        <v>-179.0163934426173</v>
      </c>
      <c r="AC6" s="183">
        <f>N6/K6</f>
        <v>0.90054644808743478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34</v>
      </c>
      <c r="E7" s="86"/>
      <c r="F7" s="56">
        <f>VLOOKUP(D7,廠價表!$C$1:$E$40,3,0)</f>
        <v>49.14</v>
      </c>
      <c r="G7" s="25">
        <v>2891</v>
      </c>
      <c r="H7" s="15">
        <f t="shared" ref="H7:H8" si="6">F7*G7</f>
        <v>142063.74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1576.9090909090885</v>
      </c>
      <c r="O7" s="17">
        <f t="shared" si="1"/>
        <v>121.30069930069911</v>
      </c>
      <c r="P7" s="18">
        <f t="shared" si="2"/>
        <v>0</v>
      </c>
      <c r="Q7" s="19">
        <f t="shared" si="3"/>
        <v>-32.545454545454731</v>
      </c>
      <c r="R7" s="183">
        <f t="shared" si="4"/>
        <v>0.78845454545454419</v>
      </c>
      <c r="S7" s="420"/>
      <c r="T7" s="95">
        <v>0.40138888888888902</v>
      </c>
      <c r="U7" s="95">
        <v>0.47777777777777802</v>
      </c>
      <c r="V7" s="175">
        <f>(T7-U6)*24*60</f>
        <v>10.000000000000844</v>
      </c>
      <c r="W7" s="180">
        <f t="shared" si="5"/>
        <v>110.00000000000017</v>
      </c>
      <c r="X7" s="22"/>
      <c r="Y7" s="22"/>
      <c r="Z7" s="405" t="s">
        <v>134</v>
      </c>
      <c r="AA7" s="405"/>
      <c r="AB7" s="18">
        <f>N7-K7</f>
        <v>-423.09090909091151</v>
      </c>
      <c r="AC7" s="183">
        <f>N7/K7</f>
        <v>0.7884545454545443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2005</v>
      </c>
      <c r="H8" s="15">
        <f t="shared" si="6"/>
        <v>98525.7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1625.6756756756708</v>
      </c>
      <c r="O8" s="17">
        <f t="shared" si="1"/>
        <v>125.05197505197468</v>
      </c>
      <c r="P8" s="18">
        <f t="shared" si="2"/>
        <v>0</v>
      </c>
      <c r="Q8" s="19">
        <f t="shared" si="3"/>
        <v>-28.79417879417916</v>
      </c>
      <c r="R8" s="183">
        <f t="shared" si="4"/>
        <v>0.81283783783783548</v>
      </c>
      <c r="S8" s="420"/>
      <c r="T8" s="95">
        <v>0.54027777777777797</v>
      </c>
      <c r="U8" s="95">
        <v>0.59166666666666701</v>
      </c>
      <c r="V8" s="175">
        <f>(T8-U7)*24*60</f>
        <v>89.999999999999915</v>
      </c>
      <c r="W8" s="180">
        <f t="shared" si="5"/>
        <v>74.000000000000213</v>
      </c>
      <c r="X8" s="22"/>
      <c r="Y8" s="260"/>
      <c r="Z8" s="416" t="s">
        <v>55</v>
      </c>
      <c r="AA8" s="416"/>
      <c r="AB8" s="18">
        <f>N8-K8</f>
        <v>-374.32432432432915</v>
      </c>
      <c r="AC8" s="183">
        <f>N8/K8</f>
        <v>0.81283783783783548</v>
      </c>
      <c r="AD8" s="412"/>
    </row>
    <row r="9" spans="1:30" ht="15" customHeight="1">
      <c r="A9" s="409"/>
      <c r="B9" s="56"/>
      <c r="C9" s="10"/>
      <c r="D9" s="11"/>
      <c r="E9" s="86"/>
      <c r="F9" s="56"/>
      <c r="G9" s="25"/>
      <c r="H9" s="15"/>
      <c r="I9" s="180"/>
      <c r="J9" s="16"/>
      <c r="K9" s="14"/>
      <c r="L9" s="17"/>
      <c r="M9" s="178"/>
      <c r="N9" s="14"/>
      <c r="O9" s="17"/>
      <c r="P9" s="18"/>
      <c r="Q9" s="19"/>
      <c r="R9" s="183"/>
      <c r="S9" s="421"/>
      <c r="T9" s="95"/>
      <c r="U9" s="95"/>
      <c r="V9" s="175"/>
      <c r="W9" s="180">
        <f t="shared" si="5"/>
        <v>0</v>
      </c>
      <c r="X9" s="22"/>
      <c r="Y9" s="260"/>
      <c r="Z9" s="416"/>
      <c r="AA9" s="416"/>
      <c r="AB9" s="18">
        <f>N9-K9</f>
        <v>0</v>
      </c>
      <c r="AC9" s="183" t="e">
        <f>N9/K9</f>
        <v>#DIV/0!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7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7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14</v>
      </c>
      <c r="K15" s="117">
        <f t="shared" si="8"/>
        <v>1976.25</v>
      </c>
      <c r="L15" s="114">
        <f t="shared" si="8"/>
        <v>143.87443438914025</v>
      </c>
      <c r="M15" s="117">
        <f t="shared" si="8"/>
        <v>14</v>
      </c>
      <c r="N15" s="117">
        <f t="shared" si="8"/>
        <v>1581.5442671985788</v>
      </c>
      <c r="O15" s="114">
        <f t="shared" si="8"/>
        <v>114.32248387248173</v>
      </c>
      <c r="P15" s="118">
        <f t="shared" ref="P15:P20" si="9">M15-J15</f>
        <v>0</v>
      </c>
      <c r="Q15" s="119">
        <f t="shared" ref="Q15:Q19" si="10">O15-L15</f>
        <v>-29.551950516658522</v>
      </c>
      <c r="R15" s="120">
        <f t="shared" ref="R15:R19" si="11">O15/L15</f>
        <v>0.79459901516117359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2">N15-K15</f>
        <v>-394.70573280142116</v>
      </c>
      <c r="AC15" s="185">
        <f t="shared" ref="AC15:AC20" si="13">N15/K15</f>
        <v>0.80027540402205133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1129</v>
      </c>
      <c r="H16" s="124">
        <f t="shared" ref="H16:H25" si="14">F16*G16</f>
        <v>64590.090000000004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5">K16/J16</f>
        <v>161.92307692307693</v>
      </c>
      <c r="M16" s="264">
        <v>13</v>
      </c>
      <c r="N16" s="126">
        <f t="shared" ref="N16:N19" si="16">G16/W16*60</f>
        <v>1612.8571428571456</v>
      </c>
      <c r="O16" s="127">
        <f>N16/M16</f>
        <v>124.06593406593427</v>
      </c>
      <c r="P16" s="128">
        <f>M16-J16</f>
        <v>0</v>
      </c>
      <c r="Q16" s="129">
        <f t="shared" si="10"/>
        <v>-37.857142857142662</v>
      </c>
      <c r="R16" s="187">
        <f>O16/L16</f>
        <v>0.76620291822192177</v>
      </c>
      <c r="S16" s="431">
        <f>R26</f>
        <v>0.77870197725177426</v>
      </c>
      <c r="T16" s="265">
        <v>0.2902777777777778</v>
      </c>
      <c r="U16" s="265">
        <v>0.31944444444444442</v>
      </c>
      <c r="V16" s="125"/>
      <c r="W16" s="130">
        <f t="shared" ref="W16:W78" si="17">(U16-T16)*24*60</f>
        <v>41.999999999999929</v>
      </c>
      <c r="X16" s="127"/>
      <c r="Y16" s="127"/>
      <c r="Z16" s="425" t="s">
        <v>55</v>
      </c>
      <c r="AA16" s="425"/>
      <c r="AB16" s="110">
        <f t="shared" si="12"/>
        <v>-492.14285714285438</v>
      </c>
      <c r="AC16" s="182">
        <f t="shared" si="13"/>
        <v>0.76620291822192188</v>
      </c>
      <c r="AD16" s="411">
        <f>AC26</f>
        <v>0.77678392065582635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2431</v>
      </c>
      <c r="H17" s="15">
        <f t="shared" si="14"/>
        <v>123178.77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5"/>
        <v>153.84615384615384</v>
      </c>
      <c r="M17" s="37">
        <v>13</v>
      </c>
      <c r="N17" s="36">
        <f t="shared" si="16"/>
        <v>1257.4137931034484</v>
      </c>
      <c r="O17" s="38">
        <f t="shared" ref="O17:O19" si="18">N17/M17</f>
        <v>96.724137931034491</v>
      </c>
      <c r="P17" s="39">
        <f t="shared" si="9"/>
        <v>0</v>
      </c>
      <c r="Q17" s="40">
        <f t="shared" si="10"/>
        <v>-57.122015915119349</v>
      </c>
      <c r="R17" s="188">
        <f t="shared" si="11"/>
        <v>0.62870689655172418</v>
      </c>
      <c r="S17" s="432"/>
      <c r="T17" s="41">
        <v>0.32777777777777778</v>
      </c>
      <c r="U17" s="41">
        <v>0.40833333333333333</v>
      </c>
      <c r="V17" s="175">
        <f>(T17-U16)*24*60</f>
        <v>12.000000000000037</v>
      </c>
      <c r="W17" s="43">
        <f t="shared" si="17"/>
        <v>115.99999999999999</v>
      </c>
      <c r="X17" s="44"/>
      <c r="Y17" s="44"/>
      <c r="Z17" s="405" t="s">
        <v>134</v>
      </c>
      <c r="AA17" s="405"/>
      <c r="AB17" s="18">
        <f t="shared" si="12"/>
        <v>-742.58620689655163</v>
      </c>
      <c r="AC17" s="183">
        <f t="shared" si="13"/>
        <v>0.62870689655172418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2171</v>
      </c>
      <c r="H18" s="15">
        <f t="shared" si="14"/>
        <v>109396.69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5"/>
        <v>166.66666666666666</v>
      </c>
      <c r="M18" s="37">
        <v>12</v>
      </c>
      <c r="N18" s="36">
        <f t="shared" si="16"/>
        <v>1480.2272727272727</v>
      </c>
      <c r="O18" s="38">
        <f t="shared" si="18"/>
        <v>123.35227272727273</v>
      </c>
      <c r="P18" s="39">
        <f t="shared" si="9"/>
        <v>0</v>
      </c>
      <c r="Q18" s="40">
        <f t="shared" si="10"/>
        <v>-43.314393939393923</v>
      </c>
      <c r="R18" s="188">
        <f t="shared" si="11"/>
        <v>0.74011363636363647</v>
      </c>
      <c r="S18" s="432"/>
      <c r="T18" s="41">
        <v>0.41666666666666669</v>
      </c>
      <c r="U18" s="41">
        <v>0.4777777777777778</v>
      </c>
      <c r="V18" s="175">
        <f>(T18-U17)*24*60</f>
        <v>12.000000000000037</v>
      </c>
      <c r="W18" s="43">
        <f t="shared" si="17"/>
        <v>88</v>
      </c>
      <c r="X18" s="22"/>
      <c r="Y18" s="22"/>
      <c r="Z18" s="405" t="s">
        <v>134</v>
      </c>
      <c r="AA18" s="405"/>
      <c r="AB18" s="18">
        <f t="shared" si="12"/>
        <v>-519.77272727272725</v>
      </c>
      <c r="AC18" s="183">
        <f t="shared" si="13"/>
        <v>0.74011363636363636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2085</v>
      </c>
      <c r="H19" s="15">
        <f t="shared" si="14"/>
        <v>105063.15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5"/>
        <v>166.66666666666666</v>
      </c>
      <c r="M19" s="37">
        <v>12</v>
      </c>
      <c r="N19" s="36">
        <f t="shared" si="16"/>
        <v>1867.1641791044751</v>
      </c>
      <c r="O19" s="38">
        <f t="shared" si="18"/>
        <v>155.59701492537292</v>
      </c>
      <c r="P19" s="39">
        <f t="shared" si="9"/>
        <v>0</v>
      </c>
      <c r="Q19" s="40">
        <f t="shared" si="10"/>
        <v>-11.06965174129374</v>
      </c>
      <c r="R19" s="188">
        <f t="shared" si="11"/>
        <v>0.93358208955223754</v>
      </c>
      <c r="S19" s="432"/>
      <c r="T19" s="41">
        <v>0.54236111111111107</v>
      </c>
      <c r="U19" s="41">
        <v>0.58888888888888891</v>
      </c>
      <c r="V19" s="175">
        <f>(T19-U18)*24*60</f>
        <v>92.999999999999915</v>
      </c>
      <c r="W19" s="43">
        <f t="shared" si="17"/>
        <v>67.000000000000085</v>
      </c>
      <c r="X19" s="22">
        <v>0.48958333333333298</v>
      </c>
      <c r="Y19" s="260">
        <v>0.53125</v>
      </c>
      <c r="Z19" s="416"/>
      <c r="AA19" s="416"/>
      <c r="AB19" s="18">
        <f t="shared" si="12"/>
        <v>-132.83582089552488</v>
      </c>
      <c r="AC19" s="183">
        <f t="shared" si="13"/>
        <v>0.93358208955223754</v>
      </c>
      <c r="AD19" s="413"/>
    </row>
    <row r="20" spans="1:30" ht="15" customHeight="1">
      <c r="A20" s="440"/>
      <c r="B20" s="56" t="str">
        <f>VLOOKUP(D20,廠價表!$C$1:$E$40,2,0)</f>
        <v>義大利麵</v>
      </c>
      <c r="C20" s="10"/>
      <c r="D20" s="11" t="s">
        <v>40</v>
      </c>
      <c r="E20" s="86"/>
      <c r="F20" s="56">
        <f>VLOOKUP(D20,廠價表!$C$1:$E$40,3,0)</f>
        <v>50.67</v>
      </c>
      <c r="G20" s="96">
        <v>1251</v>
      </c>
      <c r="H20" s="15">
        <f>F20*G20</f>
        <v>63388.170000000006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>K20/J20</f>
        <v>153.84615384615384</v>
      </c>
      <c r="M20" s="37">
        <v>13</v>
      </c>
      <c r="N20" s="36">
        <f>G20/W20*60</f>
        <v>1631.7391304347825</v>
      </c>
      <c r="O20" s="38">
        <f>N20/M20</f>
        <v>125.51839464882943</v>
      </c>
      <c r="P20" s="39">
        <f t="shared" si="9"/>
        <v>0</v>
      </c>
      <c r="Q20" s="40">
        <f>O20-L20</f>
        <v>-28.327759197324411</v>
      </c>
      <c r="R20" s="188">
        <f>O20/L20</f>
        <v>0.81586956521739129</v>
      </c>
      <c r="S20" s="432"/>
      <c r="T20" s="41">
        <v>0.59861111111111109</v>
      </c>
      <c r="U20" s="41">
        <v>0.63055555555555554</v>
      </c>
      <c r="V20" s="175"/>
      <c r="W20" s="43">
        <f t="shared" si="17"/>
        <v>46</v>
      </c>
      <c r="X20" s="44"/>
      <c r="Y20" s="44"/>
      <c r="Z20" s="418"/>
      <c r="AA20" s="405"/>
      <c r="AB20" s="18">
        <f t="shared" si="12"/>
        <v>-368.26086956521749</v>
      </c>
      <c r="AC20" s="183">
        <f t="shared" si="13"/>
        <v>0.81586956521739129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7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4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7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4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7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4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7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19">AVERAGE(J16:J25)</f>
        <v>12.6</v>
      </c>
      <c r="K26" s="133">
        <f t="shared" si="19"/>
        <v>2021</v>
      </c>
      <c r="L26" s="136">
        <f t="shared" si="19"/>
        <v>160.58974358974359</v>
      </c>
      <c r="M26" s="133">
        <f t="shared" si="19"/>
        <v>12.6</v>
      </c>
      <c r="N26" s="133">
        <f t="shared" si="19"/>
        <v>1569.8803036454251</v>
      </c>
      <c r="O26" s="136">
        <f t="shared" si="19"/>
        <v>125.05155085968877</v>
      </c>
      <c r="P26" s="137">
        <f t="shared" ref="P26:P30" si="20">M26-J26</f>
        <v>0</v>
      </c>
      <c r="Q26" s="138">
        <f t="shared" ref="Q26:Q30" si="21">O26-L26</f>
        <v>-35.538192730054817</v>
      </c>
      <c r="R26" s="139">
        <f t="shared" ref="R26:R30" si="22">O26/L26</f>
        <v>0.77870197725177426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-451.1196963545749</v>
      </c>
      <c r="AC26" s="185">
        <f>N26/K26</f>
        <v>0.77678392065582635</v>
      </c>
      <c r="AD26" s="414"/>
    </row>
    <row r="27" spans="1:30" ht="15" customHeight="1">
      <c r="A27" s="428" t="s">
        <v>44</v>
      </c>
      <c r="B27" s="227" t="str">
        <f>VLOOKUP(D27,廠價表!$C$1:$E$40,2,0)</f>
        <v>熱乾麵</v>
      </c>
      <c r="C27" s="101"/>
      <c r="D27" s="330" t="s">
        <v>46</v>
      </c>
      <c r="E27" s="103"/>
      <c r="F27" s="197">
        <f>VLOOKUP(D27,廠價表!$C$1:$E$40,3,0)</f>
        <v>49.91</v>
      </c>
      <c r="G27" s="266">
        <v>2424</v>
      </c>
      <c r="H27" s="124">
        <f t="shared" ref="H27:H41" si="23">F27*G27</f>
        <v>120981.84</v>
      </c>
      <c r="I27" s="125"/>
      <c r="J27" s="16">
        <f>VLOOKUP(D27,產線配置圖!$A$3:$C$39,2,0)</f>
        <v>17</v>
      </c>
      <c r="K27" s="14">
        <f>VLOOKUP(D27,產線配置圖!$A$3:$C$39,3,0)</f>
        <v>1565</v>
      </c>
      <c r="L27" s="108">
        <f>K27/J27</f>
        <v>92.058823529411768</v>
      </c>
      <c r="M27" s="143">
        <v>14</v>
      </c>
      <c r="N27" s="126">
        <f>G27/W27*60</f>
        <v>1163.5200000000079</v>
      </c>
      <c r="O27" s="127">
        <f>N27/M27</f>
        <v>83.108571428571992</v>
      </c>
      <c r="P27" s="128">
        <f t="shared" si="20"/>
        <v>-3</v>
      </c>
      <c r="Q27" s="129">
        <f t="shared" si="21"/>
        <v>-8.9502521008397764</v>
      </c>
      <c r="R27" s="187">
        <f>O27/L27</f>
        <v>0.90277681424007916</v>
      </c>
      <c r="S27" s="431">
        <f>R37</f>
        <v>0.90492463395914324</v>
      </c>
      <c r="T27" s="94">
        <v>0.29166666666666702</v>
      </c>
      <c r="U27" s="94">
        <v>0.37847222222222199</v>
      </c>
      <c r="V27" s="125"/>
      <c r="W27" s="130">
        <f t="shared" si="17"/>
        <v>124.99999999999916</v>
      </c>
      <c r="X27" s="125"/>
      <c r="Y27" s="125" t="s">
        <v>47</v>
      </c>
      <c r="Z27" s="434"/>
      <c r="AA27" s="425"/>
      <c r="AB27" s="223">
        <f>N27-K27</f>
        <v>-401.47999999999206</v>
      </c>
      <c r="AC27" s="288">
        <f>N27/K27</f>
        <v>0.74346325878594754</v>
      </c>
      <c r="AD27" s="411">
        <f>AC37</f>
        <v>0.82784767001444892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1588</v>
      </c>
      <c r="H28" s="50">
        <f t="shared" si="23"/>
        <v>87546.44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15</v>
      </c>
      <c r="N28" s="36">
        <f>G28/W28*60</f>
        <v>1058.6666666666667</v>
      </c>
      <c r="O28" s="38">
        <f>N28/M28</f>
        <v>70.577777777777783</v>
      </c>
      <c r="P28" s="39">
        <f t="shared" si="20"/>
        <v>-3</v>
      </c>
      <c r="Q28" s="40">
        <f t="shared" si="21"/>
        <v>-6.36666666666666</v>
      </c>
      <c r="R28" s="188">
        <f t="shared" si="22"/>
        <v>0.91725631768953075</v>
      </c>
      <c r="S28" s="432"/>
      <c r="T28" s="267">
        <v>0.38888888888888901</v>
      </c>
      <c r="U28" s="267">
        <v>0.45138888888888901</v>
      </c>
      <c r="V28" s="42">
        <f>(T28-U27)*24*60</f>
        <v>15.000000000000506</v>
      </c>
      <c r="W28" s="43">
        <f t="shared" si="17"/>
        <v>90</v>
      </c>
      <c r="X28" s="54"/>
      <c r="Y28" s="54"/>
      <c r="Z28" s="418"/>
      <c r="AA28" s="417"/>
      <c r="AB28" s="39">
        <f>N28-K28</f>
        <v>-326.33333333333326</v>
      </c>
      <c r="AC28" s="188">
        <f>N28/K28</f>
        <v>0.76438026474127563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10"/>
      <c r="D29" s="11" t="s">
        <v>49</v>
      </c>
      <c r="E29" s="86"/>
      <c r="F29" s="56">
        <f>VLOOKUP(D29,廠價表!$C$1:$E$40,3,0)</f>
        <v>47.71</v>
      </c>
      <c r="G29" s="53">
        <v>1067</v>
      </c>
      <c r="H29" s="50">
        <f t="shared" si="23"/>
        <v>50906.57</v>
      </c>
      <c r="I29" s="42"/>
      <c r="J29" s="16">
        <f>VLOOKUP(D29,產線配置圖!$A$3:$C$39,2,0)</f>
        <v>15</v>
      </c>
      <c r="K29" s="14">
        <f>VLOOKUP(D29,產線配置圖!$A$3:$C$39,3,0)</f>
        <v>1500</v>
      </c>
      <c r="L29" s="233">
        <f>K29/J29</f>
        <v>100</v>
      </c>
      <c r="M29" s="21">
        <v>15</v>
      </c>
      <c r="N29" s="36">
        <f>G29/W29*60</f>
        <v>1362.1276595744685</v>
      </c>
      <c r="O29" s="38">
        <f>N29/M29</f>
        <v>90.808510638297903</v>
      </c>
      <c r="P29" s="39">
        <f t="shared" si="20"/>
        <v>0</v>
      </c>
      <c r="Q29" s="40">
        <f t="shared" si="21"/>
        <v>-9.1914893617020965</v>
      </c>
      <c r="R29" s="188">
        <f t="shared" si="22"/>
        <v>0.90808510638297901</v>
      </c>
      <c r="S29" s="432"/>
      <c r="T29" s="41">
        <v>0.45555555555555555</v>
      </c>
      <c r="U29" s="41">
        <v>0.48819444444444443</v>
      </c>
      <c r="V29" s="42">
        <f>(T29-U28)*24*60</f>
        <v>5.9999999999998188</v>
      </c>
      <c r="W29" s="43">
        <f t="shared" si="17"/>
        <v>46.999999999999993</v>
      </c>
      <c r="X29" s="22"/>
      <c r="Y29" s="22"/>
      <c r="Z29" s="418"/>
      <c r="AA29" s="417"/>
      <c r="AB29" s="289">
        <f>N29-K29</f>
        <v>-137.87234042553155</v>
      </c>
      <c r="AC29" s="188">
        <f>N29/K29</f>
        <v>0.90808510638297901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49</v>
      </c>
      <c r="E30" s="29"/>
      <c r="F30" s="56">
        <f>VLOOKUP(D30,廠價表!$C$1:$E$40,3,0)</f>
        <v>47.71</v>
      </c>
      <c r="G30" s="53">
        <v>1945</v>
      </c>
      <c r="H30" s="50">
        <f t="shared" si="23"/>
        <v>92795.95</v>
      </c>
      <c r="I30" s="42"/>
      <c r="J30" s="16">
        <f>VLOOKUP(D30,產線配置圖!$A$3:$C$39,2,0)</f>
        <v>15</v>
      </c>
      <c r="K30" s="14">
        <f>VLOOKUP(D30,產線配置圖!$A$3:$C$39,3,0)</f>
        <v>1500</v>
      </c>
      <c r="L30" s="233">
        <f>K30/J30</f>
        <v>100</v>
      </c>
      <c r="M30" s="21">
        <v>15</v>
      </c>
      <c r="N30" s="36">
        <f>G30/W30*60</f>
        <v>1341.3793103448274</v>
      </c>
      <c r="O30" s="38">
        <f>N30/M30</f>
        <v>89.425287356321832</v>
      </c>
      <c r="P30" s="39">
        <f t="shared" si="20"/>
        <v>0</v>
      </c>
      <c r="Q30" s="40">
        <f t="shared" si="21"/>
        <v>-10.574712643678168</v>
      </c>
      <c r="R30" s="188">
        <f t="shared" si="22"/>
        <v>0.89425287356321836</v>
      </c>
      <c r="S30" s="432"/>
      <c r="T30" s="41">
        <v>0.54374999999999996</v>
      </c>
      <c r="U30" s="41">
        <v>0.60416666666666663</v>
      </c>
      <c r="V30" s="42">
        <f>(T30-U29)*24*60</f>
        <v>79.999999999999957</v>
      </c>
      <c r="W30" s="43">
        <f t="shared" si="17"/>
        <v>87.000000000000014</v>
      </c>
      <c r="X30" s="54">
        <v>0.48958333333333298</v>
      </c>
      <c r="Y30" s="54">
        <v>0.53125</v>
      </c>
      <c r="Z30" s="426"/>
      <c r="AA30" s="446"/>
      <c r="AB30" s="289">
        <f>N30-K30</f>
        <v>-158.62068965517255</v>
      </c>
      <c r="AC30" s="188">
        <f>N30/K30</f>
        <v>0.89425287356321825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7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7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3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7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3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7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3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7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3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7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4">AVERAGE(J27:J36)</f>
        <v>16.25</v>
      </c>
      <c r="K37" s="282">
        <f t="shared" si="24"/>
        <v>1487.5</v>
      </c>
      <c r="L37" s="283">
        <f t="shared" si="24"/>
        <v>92.250816993464056</v>
      </c>
      <c r="M37" s="282">
        <f t="shared" si="24"/>
        <v>14.75</v>
      </c>
      <c r="N37" s="282">
        <f t="shared" si="24"/>
        <v>1231.4234091464928</v>
      </c>
      <c r="O37" s="283">
        <f t="shared" si="24"/>
        <v>83.480036800242374</v>
      </c>
      <c r="P37" s="73">
        <f>M37-J37</f>
        <v>-1.5</v>
      </c>
      <c r="Q37" s="74">
        <f>N37-K37</f>
        <v>-256.07659085350724</v>
      </c>
      <c r="R37" s="284">
        <f t="shared" ref="R37:R41" si="25">O37/L37</f>
        <v>0.90492463395914324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1" si="26">N37-K37</f>
        <v>-256.07659085350724</v>
      </c>
      <c r="AC37" s="184">
        <f t="shared" ref="AC37:AC41" si="27">N37/K37</f>
        <v>0.82784767001444892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1810</v>
      </c>
      <c r="H38" s="124">
        <f t="shared" si="23"/>
        <v>103713</v>
      </c>
      <c r="I38" s="125"/>
      <c r="J38" s="331">
        <f>VLOOKUP(D38,產線配置圖!$A$3:$C$39,2,0)</f>
        <v>15</v>
      </c>
      <c r="K38" s="234">
        <v>1500</v>
      </c>
      <c r="L38" s="285">
        <f t="shared" ref="L38:L41" si="28">K38/J38</f>
        <v>100</v>
      </c>
      <c r="M38" s="286">
        <v>13</v>
      </c>
      <c r="N38" s="126">
        <f>G38/W38*60</f>
        <v>1044.2307692307691</v>
      </c>
      <c r="O38" s="127">
        <f>N38/M38</f>
        <v>80.325443786982234</v>
      </c>
      <c r="P38" s="128">
        <f t="shared" ref="P38:P41" si="29">M38-J38</f>
        <v>-2</v>
      </c>
      <c r="Q38" s="129">
        <f t="shared" ref="Q38:Q41" si="30">O38-L38</f>
        <v>-19.674556213017766</v>
      </c>
      <c r="R38" s="187">
        <f t="shared" si="25"/>
        <v>0.80325443786982231</v>
      </c>
      <c r="S38" s="460">
        <f>R48</f>
        <v>0.75216519552042782</v>
      </c>
      <c r="T38" s="149">
        <v>0.3298611111111111</v>
      </c>
      <c r="U38" s="149">
        <v>0.40208333333333335</v>
      </c>
      <c r="V38" s="146"/>
      <c r="W38" s="150">
        <f t="shared" si="17"/>
        <v>104.00000000000003</v>
      </c>
      <c r="X38" s="148"/>
      <c r="Y38" s="151"/>
      <c r="Z38" s="462"/>
      <c r="AA38" s="463"/>
      <c r="AB38" s="287">
        <f t="shared" si="26"/>
        <v>-455.76923076923094</v>
      </c>
      <c r="AC38" s="152">
        <f t="shared" si="27"/>
        <v>0.69615384615384601</v>
      </c>
      <c r="AD38" s="447">
        <f>AC48</f>
        <v>0.65187650278437081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829</v>
      </c>
      <c r="H39" s="50">
        <f t="shared" si="23"/>
        <v>46780.47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8"/>
        <v>93.733333333333334</v>
      </c>
      <c r="M39" s="65">
        <v>13</v>
      </c>
      <c r="N39" s="66">
        <f>G39/W39*60</f>
        <v>956.53846153846052</v>
      </c>
      <c r="O39" s="67">
        <f t="shared" ref="O39:O41" si="31">N39/M39</f>
        <v>73.579881656804659</v>
      </c>
      <c r="P39" s="39">
        <f t="shared" si="29"/>
        <v>-2</v>
      </c>
      <c r="Q39" s="40">
        <f t="shared" si="30"/>
        <v>-20.153451676528675</v>
      </c>
      <c r="R39" s="188">
        <f t="shared" si="25"/>
        <v>0.7849916250725959</v>
      </c>
      <c r="S39" s="461"/>
      <c r="T39" s="59">
        <v>0.41041666666666665</v>
      </c>
      <c r="U39" s="59">
        <v>0.4465277777777778</v>
      </c>
      <c r="V39" s="42">
        <f>(T39-U38)*24*60</f>
        <v>11.999999999999957</v>
      </c>
      <c r="W39" s="69">
        <f t="shared" si="17"/>
        <v>52.000000000000057</v>
      </c>
      <c r="X39" s="22"/>
      <c r="Y39" s="22"/>
      <c r="Z39" s="450" t="s">
        <v>117</v>
      </c>
      <c r="AA39" s="451"/>
      <c r="AB39" s="268">
        <f t="shared" si="26"/>
        <v>-449.46153846153948</v>
      </c>
      <c r="AC39" s="61">
        <f t="shared" si="27"/>
        <v>0.68032607506291642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35</v>
      </c>
      <c r="E40" s="240"/>
      <c r="F40" s="56">
        <f>VLOOKUP(D40,廠價表!$C$1:$E$40,3,0)</f>
        <v>56.43</v>
      </c>
      <c r="G40" s="273">
        <v>1436</v>
      </c>
      <c r="H40" s="50">
        <f t="shared" si="23"/>
        <v>81033.48</v>
      </c>
      <c r="I40" s="64"/>
      <c r="J40" s="37">
        <f>VLOOKUP(D40,產線配置圖!$A$3:$C$39,2,0)</f>
        <v>15</v>
      </c>
      <c r="K40" s="36">
        <f>VLOOKUP(D40,產線配置圖!$A$3:$C$39,3,0)</f>
        <v>1636</v>
      </c>
      <c r="L40" s="38">
        <f t="shared" si="28"/>
        <v>109.06666666666666</v>
      </c>
      <c r="M40" s="65">
        <v>13</v>
      </c>
      <c r="N40" s="66">
        <f>G40/W40*60</f>
        <v>1148.8000000000006</v>
      </c>
      <c r="O40" s="67">
        <f t="shared" si="31"/>
        <v>88.369230769230825</v>
      </c>
      <c r="P40" s="39">
        <f t="shared" si="29"/>
        <v>-2</v>
      </c>
      <c r="Q40" s="40">
        <f t="shared" si="30"/>
        <v>-20.697435897435838</v>
      </c>
      <c r="R40" s="188">
        <f t="shared" si="25"/>
        <v>0.8102313334587179</v>
      </c>
      <c r="S40" s="420"/>
      <c r="T40" s="59">
        <v>0.4513888888888889</v>
      </c>
      <c r="U40" s="59">
        <v>0.50347222222222221</v>
      </c>
      <c r="V40" s="42">
        <f>(T40-U39)*24*60</f>
        <v>6.9999999999999751</v>
      </c>
      <c r="W40" s="69">
        <f t="shared" si="17"/>
        <v>74.999999999999972</v>
      </c>
      <c r="X40" s="70"/>
      <c r="Y40" s="256"/>
      <c r="Z40" s="450"/>
      <c r="AA40" s="451"/>
      <c r="AB40" s="268">
        <f t="shared" si="26"/>
        <v>-487.19999999999936</v>
      </c>
      <c r="AC40" s="61">
        <f t="shared" si="27"/>
        <v>0.70220048899755538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934</v>
      </c>
      <c r="H41" s="50">
        <f t="shared" si="23"/>
        <v>52705.62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si="28"/>
        <v>93.733333333333334</v>
      </c>
      <c r="M41" s="65">
        <v>13</v>
      </c>
      <c r="N41" s="66">
        <f>G41/W41*60</f>
        <v>727.79220779220748</v>
      </c>
      <c r="O41" s="67">
        <f t="shared" si="31"/>
        <v>55.984015984015961</v>
      </c>
      <c r="P41" s="39">
        <f t="shared" si="29"/>
        <v>-2</v>
      </c>
      <c r="Q41" s="40">
        <f t="shared" si="30"/>
        <v>-37.749317349317373</v>
      </c>
      <c r="R41" s="188">
        <f t="shared" si="25"/>
        <v>0.59726901832164969</v>
      </c>
      <c r="S41" s="420"/>
      <c r="T41" s="59">
        <v>0.56805555555555554</v>
      </c>
      <c r="U41" s="75">
        <v>0.62152777777777779</v>
      </c>
      <c r="V41" s="42">
        <f>(T41-U40)*24*60</f>
        <v>92.999999999999986</v>
      </c>
      <c r="W41" s="69">
        <f t="shared" si="17"/>
        <v>77.000000000000043</v>
      </c>
      <c r="X41" s="70">
        <v>0.52777777777777801</v>
      </c>
      <c r="Y41" s="256">
        <v>0.56944444444444398</v>
      </c>
      <c r="Z41" s="450" t="s">
        <v>117</v>
      </c>
      <c r="AA41" s="451"/>
      <c r="AB41" s="268">
        <f t="shared" si="26"/>
        <v>-678.20779220779252</v>
      </c>
      <c r="AC41" s="61">
        <f t="shared" si="27"/>
        <v>0.51763314921209636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17"/>
        <v>0</v>
      </c>
      <c r="X42" s="70"/>
      <c r="Y42" s="60"/>
      <c r="Z42" s="450"/>
      <c r="AA42" s="451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32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3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32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3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32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3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32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3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4">AVERAGE(J38:J47)</f>
        <v>15</v>
      </c>
      <c r="K48" s="133">
        <f t="shared" si="34"/>
        <v>1487</v>
      </c>
      <c r="L48" s="136">
        <f t="shared" si="34"/>
        <v>99.13333333333334</v>
      </c>
      <c r="M48" s="133">
        <f t="shared" si="34"/>
        <v>13</v>
      </c>
      <c r="N48" s="133">
        <f t="shared" si="34"/>
        <v>969.34035964035945</v>
      </c>
      <c r="O48" s="136">
        <f t="shared" si="34"/>
        <v>74.564643049258422</v>
      </c>
      <c r="P48" s="155">
        <f>M48-J48</f>
        <v>-2</v>
      </c>
      <c r="Q48" s="156">
        <f>N48-K48</f>
        <v>-517.65964035964055</v>
      </c>
      <c r="R48" s="157">
        <f>O48/L48</f>
        <v>0.75216519552042782</v>
      </c>
      <c r="S48" s="423"/>
      <c r="T48" s="158"/>
      <c r="U48" s="158"/>
      <c r="V48" s="194"/>
      <c r="W48" s="159">
        <f t="shared" si="33"/>
        <v>0</v>
      </c>
      <c r="X48" s="160"/>
      <c r="Y48" s="160"/>
      <c r="Z48" s="424"/>
      <c r="AA48" s="424"/>
      <c r="AB48" s="161">
        <f>N48-K48</f>
        <v>-517.65964035964055</v>
      </c>
      <c r="AC48" s="189">
        <f>N48/K48</f>
        <v>0.65187650278437081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1632</v>
      </c>
      <c r="H49" s="124">
        <f t="shared" ref="H49:H57" si="35">F49*G49</f>
        <v>92811.839999999997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17</v>
      </c>
      <c r="N49" s="126">
        <f>G49/W49*60</f>
        <v>1359.9999999999991</v>
      </c>
      <c r="O49" s="127">
        <f>N49/M49</f>
        <v>79.999999999999943</v>
      </c>
      <c r="P49" s="162">
        <f>M49-J49</f>
        <v>-2</v>
      </c>
      <c r="Q49" s="111">
        <f>O49-L49</f>
        <v>-2.3684210526316321</v>
      </c>
      <c r="R49" s="182">
        <f>O49/L49</f>
        <v>0.97124600638977576</v>
      </c>
      <c r="S49" s="419">
        <f>R58</f>
        <v>0.85763389021616965</v>
      </c>
      <c r="T49" s="149">
        <v>0.28888888888888886</v>
      </c>
      <c r="U49" s="149">
        <v>0.33888888888888891</v>
      </c>
      <c r="V49" s="186"/>
      <c r="W49" s="150">
        <f t="shared" si="17"/>
        <v>72.000000000000057</v>
      </c>
      <c r="X49" s="186"/>
      <c r="Y49" s="186"/>
      <c r="Z49" s="425"/>
      <c r="AA49" s="425"/>
      <c r="AB49" s="110">
        <f>N49-K49</f>
        <v>-205.00000000000091</v>
      </c>
      <c r="AC49" s="182">
        <f>N49/K49</f>
        <v>0.86900958466453615</v>
      </c>
      <c r="AD49" s="411">
        <f>AC58</f>
        <v>0.81541665272806563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4098</v>
      </c>
      <c r="H50" s="76">
        <f t="shared" si="35"/>
        <v>204777.06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17</v>
      </c>
      <c r="N50" s="77">
        <f>G50/W50*60</f>
        <v>1472.3353293413168</v>
      </c>
      <c r="O50" s="78">
        <f>N50/M50</f>
        <v>86.607960549489221</v>
      </c>
      <c r="P50" s="18">
        <f>M50-J50</f>
        <v>-1</v>
      </c>
      <c r="Q50" s="19">
        <f>O50-L50</f>
        <v>-2.2809283393996651</v>
      </c>
      <c r="R50" s="183">
        <f>O50/L50</f>
        <v>0.97433955618175372</v>
      </c>
      <c r="S50" s="420"/>
      <c r="T50" s="79">
        <v>0.34583333333333333</v>
      </c>
      <c r="U50" s="79">
        <v>0.46180555555555558</v>
      </c>
      <c r="V50" s="175">
        <f t="shared" ref="V50:V52" si="36">(T50-U49)*24*60</f>
        <v>9.9999999999999645</v>
      </c>
      <c r="W50" s="80">
        <f t="shared" si="17"/>
        <v>167.00000000000006</v>
      </c>
      <c r="X50" s="22"/>
      <c r="Y50" s="22"/>
      <c r="Z50" s="417"/>
      <c r="AA50" s="418"/>
      <c r="AB50" s="18">
        <f>N50-K50</f>
        <v>-127.66467065868324</v>
      </c>
      <c r="AC50" s="183">
        <f>N50/K50</f>
        <v>0.92020958083832294</v>
      </c>
      <c r="AD50" s="412"/>
    </row>
    <row r="51" spans="1:30" ht="15" customHeight="1">
      <c r="A51" s="455"/>
      <c r="B51" s="56" t="str">
        <f>VLOOKUP(D51,廠價表!$C$1:$E$40,2,0)</f>
        <v>義大利麵</v>
      </c>
      <c r="C51" s="10"/>
      <c r="D51" s="11" t="s">
        <v>59</v>
      </c>
      <c r="E51" s="86"/>
      <c r="F51" s="56">
        <f>VLOOKUP(D51,廠價表!$C$1:$E$40,3,0)</f>
        <v>49.97</v>
      </c>
      <c r="G51" s="66">
        <v>1021</v>
      </c>
      <c r="H51" s="76">
        <f t="shared" si="35"/>
        <v>51019.369999999995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 t="shared" ref="L51:L52" si="37">K51/J51</f>
        <v>88.888888888888886</v>
      </c>
      <c r="M51" s="172">
        <v>16</v>
      </c>
      <c r="N51" s="77">
        <f t="shared" ref="N51:N52" si="38">G51/W51*60</f>
        <v>1276.2500000000175</v>
      </c>
      <c r="O51" s="78">
        <f t="shared" ref="O51:O52" si="39">N51/M51</f>
        <v>79.765625000001094</v>
      </c>
      <c r="P51" s="18">
        <f t="shared" ref="P51:P52" si="40">M51-J51</f>
        <v>-2</v>
      </c>
      <c r="Q51" s="19">
        <f t="shared" ref="Q51:Q52" si="41">O51-L51</f>
        <v>-9.1232638888877915</v>
      </c>
      <c r="R51" s="183">
        <f t="shared" ref="R51:R52" si="42">O51/L51</f>
        <v>0.8973632812500123</v>
      </c>
      <c r="S51" s="420"/>
      <c r="T51" s="79">
        <v>0.52986111111111112</v>
      </c>
      <c r="U51" s="44">
        <v>0.563194444444444</v>
      </c>
      <c r="V51" s="175">
        <f t="shared" si="36"/>
        <v>97.999999999999972</v>
      </c>
      <c r="W51" s="80">
        <f t="shared" si="17"/>
        <v>47.999999999999346</v>
      </c>
      <c r="X51" s="22"/>
      <c r="Y51" s="22"/>
      <c r="Z51" s="405"/>
      <c r="AA51" s="405"/>
      <c r="AB51" s="18">
        <f>N51-K51</f>
        <v>-323.74999999998249</v>
      </c>
      <c r="AC51" s="183">
        <f>N51/K51</f>
        <v>0.79765625000001095</v>
      </c>
      <c r="AD51" s="412"/>
    </row>
    <row r="52" spans="1:30" ht="15" customHeight="1">
      <c r="A52" s="455"/>
      <c r="B52" s="56" t="str">
        <f>VLOOKUP(D52,廠價表!$C$1:$E$40,2,0)</f>
        <v>義大利麵</v>
      </c>
      <c r="C52" s="23"/>
      <c r="D52" s="11" t="s">
        <v>49</v>
      </c>
      <c r="E52" s="12"/>
      <c r="F52" s="56">
        <f>VLOOKUP(D52,廠價表!$C$1:$E$40,3,0)</f>
        <v>47.71</v>
      </c>
      <c r="G52" s="66">
        <v>500</v>
      </c>
      <c r="H52" s="76">
        <f t="shared" si="35"/>
        <v>23855</v>
      </c>
      <c r="I52" s="191"/>
      <c r="J52" s="16">
        <f>VLOOKUP(D52,產線配置圖!$A$3:$C$39,2,0)</f>
        <v>15</v>
      </c>
      <c r="K52" s="14">
        <f>VLOOKUP(D52,產線配置圖!$A$3:$C$39,3,0)</f>
        <v>1500</v>
      </c>
      <c r="L52" s="17">
        <f t="shared" si="37"/>
        <v>100</v>
      </c>
      <c r="M52" s="172">
        <v>16</v>
      </c>
      <c r="N52" s="77">
        <f t="shared" si="38"/>
        <v>999.99999999999818</v>
      </c>
      <c r="O52" s="78">
        <f t="shared" si="39"/>
        <v>62.499999999999886</v>
      </c>
      <c r="P52" s="18">
        <f t="shared" si="40"/>
        <v>1</v>
      </c>
      <c r="Q52" s="19">
        <f t="shared" si="41"/>
        <v>-37.500000000000114</v>
      </c>
      <c r="R52" s="183">
        <f t="shared" si="42"/>
        <v>0.62499999999999889</v>
      </c>
      <c r="S52" s="420"/>
      <c r="T52" s="79">
        <v>0.5708333333333333</v>
      </c>
      <c r="U52" s="79">
        <v>0.59166666666666667</v>
      </c>
      <c r="V52" s="175">
        <f t="shared" si="36"/>
        <v>11.0000000000006</v>
      </c>
      <c r="W52" s="80">
        <f t="shared" si="17"/>
        <v>30.000000000000053</v>
      </c>
      <c r="X52" s="22"/>
      <c r="Y52" s="22"/>
      <c r="Z52" s="405" t="s">
        <v>55</v>
      </c>
      <c r="AA52" s="405"/>
      <c r="AB52" s="18">
        <f>N52-K52</f>
        <v>-500.00000000000182</v>
      </c>
      <c r="AC52" s="183">
        <f>N52/K52</f>
        <v>0.66666666666666541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79"/>
      <c r="U53" s="79"/>
      <c r="V53" s="175"/>
      <c r="W53" s="80">
        <f t="shared" si="17"/>
        <v>0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35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7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5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7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5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7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5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7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3">AVERAGE(J49:J57)</f>
        <v>17.5</v>
      </c>
      <c r="K58" s="117">
        <f t="shared" si="43"/>
        <v>1566.25</v>
      </c>
      <c r="L58" s="114">
        <f t="shared" si="43"/>
        <v>90.036549707602347</v>
      </c>
      <c r="M58" s="117">
        <f t="shared" si="43"/>
        <v>16.5</v>
      </c>
      <c r="N58" s="117">
        <f t="shared" si="43"/>
        <v>1277.1463323353328</v>
      </c>
      <c r="O58" s="114">
        <f t="shared" si="43"/>
        <v>77.218396387372536</v>
      </c>
      <c r="P58" s="118">
        <f>M58-J58</f>
        <v>-1</v>
      </c>
      <c r="Q58" s="119">
        <f>N58-K58</f>
        <v>-289.10366766466723</v>
      </c>
      <c r="R58" s="120">
        <f t="shared" ref="R58:R60" si="44">O58/L58</f>
        <v>0.85763389021616965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45">N58-K58</f>
        <v>-289.10366766466723</v>
      </c>
      <c r="AC58" s="185">
        <f t="shared" ref="AC58:AC61" si="46">N58/K58</f>
        <v>0.81541665272806563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3481</v>
      </c>
      <c r="H59" s="105">
        <f t="shared" ref="H59:H68" si="47">F59*G59</f>
        <v>93952.189999999988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48">G59/W59*60</f>
        <v>1547.1111111111111</v>
      </c>
      <c r="O59" s="108">
        <f t="shared" ref="O59:O61" si="49">N59/M59</f>
        <v>119.00854700854701</v>
      </c>
      <c r="P59" s="110">
        <f t="shared" ref="P59:P61" si="50">M59-J59</f>
        <v>0</v>
      </c>
      <c r="Q59" s="111">
        <f t="shared" ref="Q59:Q61" si="51">O59-L59</f>
        <v>-1.3760683760683747</v>
      </c>
      <c r="R59" s="182">
        <f t="shared" si="44"/>
        <v>0.98856940007099747</v>
      </c>
      <c r="S59" s="419">
        <f>R69</f>
        <v>0.86447359552275727</v>
      </c>
      <c r="T59" s="167">
        <v>0.29166666666666669</v>
      </c>
      <c r="U59" s="167">
        <v>0.38541666666666669</v>
      </c>
      <c r="V59" s="186"/>
      <c r="W59" s="106">
        <f t="shared" si="17"/>
        <v>135</v>
      </c>
      <c r="X59" s="186"/>
      <c r="Y59" s="186"/>
      <c r="Z59" s="405"/>
      <c r="AA59" s="405"/>
      <c r="AB59" s="223">
        <f t="shared" si="45"/>
        <v>-17.888888888888914</v>
      </c>
      <c r="AC59" s="224">
        <f t="shared" si="46"/>
        <v>0.98856940007099747</v>
      </c>
      <c r="AD59" s="411">
        <f>AC69</f>
        <v>0.86765553922912242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574</v>
      </c>
      <c r="H60" s="15">
        <f t="shared" si="47"/>
        <v>16341.779999999999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8"/>
        <v>983.99999999999909</v>
      </c>
      <c r="O60" s="17">
        <f t="shared" si="49"/>
        <v>81.999999999999929</v>
      </c>
      <c r="P60" s="18">
        <f t="shared" si="50"/>
        <v>0</v>
      </c>
      <c r="Q60" s="19">
        <f t="shared" si="51"/>
        <v>-48.416666666666728</v>
      </c>
      <c r="R60" s="183">
        <f t="shared" si="44"/>
        <v>0.62875399361022311</v>
      </c>
      <c r="S60" s="474"/>
      <c r="T60" s="20">
        <v>0.39583333333333331</v>
      </c>
      <c r="U60" s="20">
        <v>0.4201388888888889</v>
      </c>
      <c r="V60" s="175">
        <f t="shared" ref="V60:V61" si="52">(T60-U59)*24*60</f>
        <v>14.999999999999947</v>
      </c>
      <c r="W60" s="90">
        <f t="shared" si="17"/>
        <v>35.000000000000036</v>
      </c>
      <c r="X60" s="191"/>
      <c r="Y60" s="191"/>
      <c r="Z60" s="405" t="s">
        <v>135</v>
      </c>
      <c r="AA60" s="405"/>
      <c r="AB60" s="225">
        <f t="shared" si="45"/>
        <v>-581.00000000000091</v>
      </c>
      <c r="AC60" s="226">
        <f t="shared" si="46"/>
        <v>0.62875399361022311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2031</v>
      </c>
      <c r="H61" s="15">
        <f t="shared" si="47"/>
        <v>57396.060000000005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8"/>
        <v>1542.5316455696195</v>
      </c>
      <c r="O61" s="17">
        <f t="shared" si="49"/>
        <v>128.5443037974683</v>
      </c>
      <c r="P61" s="18">
        <f t="shared" si="50"/>
        <v>0</v>
      </c>
      <c r="Q61" s="19">
        <f t="shared" si="51"/>
        <v>-1.8723628691983549</v>
      </c>
      <c r="R61" s="183">
        <f>O61/L61</f>
        <v>0.98564322400614679</v>
      </c>
      <c r="S61" s="420"/>
      <c r="T61" s="20">
        <v>0.42777777777777776</v>
      </c>
      <c r="U61" s="20">
        <v>0.4826388888888889</v>
      </c>
      <c r="V61" s="175">
        <f t="shared" si="52"/>
        <v>10.999999999999961</v>
      </c>
      <c r="W61" s="88">
        <f t="shared" si="17"/>
        <v>79.000000000000043</v>
      </c>
      <c r="X61" s="22"/>
      <c r="Y61" s="22"/>
      <c r="Z61" s="405"/>
      <c r="AA61" s="405"/>
      <c r="AB61" s="51">
        <f t="shared" si="45"/>
        <v>-22.468354430380487</v>
      </c>
      <c r="AC61" s="52">
        <f t="shared" si="46"/>
        <v>0.98564322400614668</v>
      </c>
      <c r="AD61" s="412"/>
    </row>
    <row r="62" spans="1:30" ht="15" customHeight="1">
      <c r="A62" s="472"/>
      <c r="B62" s="56"/>
      <c r="C62" s="10"/>
      <c r="D62" s="239"/>
      <c r="E62" s="86"/>
      <c r="F62" s="56"/>
      <c r="G62" s="175"/>
      <c r="H62" s="15"/>
      <c r="I62" s="175"/>
      <c r="J62" s="16"/>
      <c r="K62" s="14"/>
      <c r="L62" s="17"/>
      <c r="M62" s="178"/>
      <c r="N62" s="14"/>
      <c r="O62" s="17"/>
      <c r="P62" s="18"/>
      <c r="Q62" s="19"/>
      <c r="R62" s="183"/>
      <c r="S62" s="420"/>
      <c r="T62" s="196"/>
      <c r="U62" s="196"/>
      <c r="V62" s="175"/>
      <c r="W62" s="90">
        <f t="shared" si="17"/>
        <v>0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7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7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7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7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47"/>
        <v>0</v>
      </c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7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7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7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3">AVERAGE(J59:J68)</f>
        <v>12.333333333333334</v>
      </c>
      <c r="K69" s="164">
        <f t="shared" si="53"/>
        <v>1565</v>
      </c>
      <c r="L69" s="169">
        <f t="shared" si="53"/>
        <v>127.07264957264958</v>
      </c>
      <c r="M69" s="164">
        <f t="shared" si="53"/>
        <v>12.333333333333334</v>
      </c>
      <c r="N69" s="164">
        <f t="shared" si="53"/>
        <v>1357.8809188935766</v>
      </c>
      <c r="O69" s="169">
        <f t="shared" si="53"/>
        <v>109.85095026867175</v>
      </c>
      <c r="P69" s="170">
        <f>M69-J69</f>
        <v>0</v>
      </c>
      <c r="Q69" s="156">
        <f>N69-K69</f>
        <v>-207.11908110642344</v>
      </c>
      <c r="R69" s="120">
        <f>O69/L69</f>
        <v>0.86447359552275727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-207.11908110642344</v>
      </c>
      <c r="AC69" s="185">
        <f>N69/K69</f>
        <v>0.86765553922912242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7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7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7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7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4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7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4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7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4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7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4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7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4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7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 t="e">
        <f>AVERAGE(J70:J78)</f>
        <v>#DIV/0!</v>
      </c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258" priority="1" operator="greaterThan">
      <formula>0</formula>
    </cfRule>
  </conditionalFormatting>
  <conditionalFormatting sqref="Q5:Q79 AB5:AB79">
    <cfRule type="cellIs" dxfId="257" priority="4" operator="lessThan">
      <formula>0</formula>
    </cfRule>
  </conditionalFormatting>
  <conditionalFormatting sqref="R5:R79 AC5:AC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D59:AD62 S69:S76 AD69:AD76">
    <cfRule type="cellIs" dxfId="254" priority="7" operator="lessThan">
      <formula>0.8</formula>
    </cfRule>
  </conditionalFormatting>
  <conditionalFormatting sqref="S19:S25 AD19:AD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D5:AD8 S15:S16 AD15:AD16 AD49 AD79">
    <cfRule type="cellIs" dxfId="251" priority="9" operator="lessThan">
      <formula>0.8</formula>
    </cfRule>
  </conditionalFormatting>
  <conditionalFormatting sqref="AD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U9" sqref="U9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45998</v>
      </c>
      <c r="E3" s="357"/>
      <c r="F3" s="202" t="s">
        <v>84</v>
      </c>
      <c r="G3" s="358">
        <f>'1207'!E1</f>
        <v>52933</v>
      </c>
      <c r="H3" s="358"/>
      <c r="I3" s="202" t="s">
        <v>2</v>
      </c>
      <c r="J3" s="359">
        <f>'1207'!G1</f>
        <v>2564166.58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117.0564452294638</v>
      </c>
      <c r="G6" s="367"/>
      <c r="H6" s="360">
        <f>AVERAGE(D13:H13)</f>
        <v>115.38760607022837</v>
      </c>
      <c r="I6" s="360"/>
      <c r="J6" s="360">
        <f>AVERAGE(I13:J13)</f>
        <v>125.40064102564102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101.88338415351201</v>
      </c>
      <c r="G7" s="362"/>
      <c r="H7" s="363">
        <f>AVERAGE(D14:H14)</f>
        <v>102.46335310272393</v>
      </c>
      <c r="I7" s="363"/>
      <c r="J7" s="363">
        <f>AVERAGE(I14:J14)</f>
        <v>98.983539407452469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0.87113711380159076</v>
      </c>
      <c r="G8" s="364"/>
      <c r="H8" s="364">
        <f>AVERAGE(D15:H15)</f>
        <v>0.88749685965392078</v>
      </c>
      <c r="I8" s="364"/>
      <c r="J8" s="364">
        <f>AVERAGE(I15:J15)</f>
        <v>0.78933838453994043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VALUE('1207'!L15)</f>
        <v>136.91288084464554</v>
      </c>
      <c r="E13" s="213">
        <f>VALUE('1207'!L26)</f>
        <v>160.58974358974359</v>
      </c>
      <c r="F13" s="213">
        <f>VALUE('1207'!L37)</f>
        <v>92.250816993464056</v>
      </c>
      <c r="G13" s="213">
        <f>VALUE('1207'!L48)</f>
        <v>99.13333333333334</v>
      </c>
      <c r="H13" s="213">
        <f>VALUE('1207'!L58)</f>
        <v>88.051255589955289</v>
      </c>
      <c r="I13" s="213">
        <f>VALUE('1207'!L69)</f>
        <v>125.40064102564102</v>
      </c>
      <c r="J13" s="213"/>
    </row>
    <row r="14" spans="2:15" ht="40" customHeight="1">
      <c r="B14" s="376"/>
      <c r="C14" s="212" t="s">
        <v>106</v>
      </c>
      <c r="D14" s="213">
        <f>VALUE('1207'!O15)</f>
        <v>118.29117693356284</v>
      </c>
      <c r="E14" s="213">
        <f>VALUE('1207'!O26)</f>
        <v>148.4504058229775</v>
      </c>
      <c r="F14" s="213">
        <f>VALUE('1207'!O37)</f>
        <v>83.432357768500793</v>
      </c>
      <c r="G14" s="213">
        <f>VALUE('1207'!O48)</f>
        <v>76.228485799914353</v>
      </c>
      <c r="H14" s="213">
        <f>VALUE('1207'!O58)</f>
        <v>85.9143391886643</v>
      </c>
      <c r="I14" s="213">
        <f>VALUE('1207'!O69)</f>
        <v>98.983539407452469</v>
      </c>
      <c r="J14" s="213"/>
    </row>
    <row r="15" spans="2:15" ht="40" customHeight="1">
      <c r="B15" s="377"/>
      <c r="C15" s="210" t="s">
        <v>23</v>
      </c>
      <c r="D15" s="231">
        <f>D14/D13</f>
        <v>0.86398866347562531</v>
      </c>
      <c r="E15" s="231">
        <f t="shared" ref="E15:I15" si="0">E14/E13</f>
        <v>0.924407764185873</v>
      </c>
      <c r="F15" s="231">
        <f t="shared" si="0"/>
        <v>0.90440779266390614</v>
      </c>
      <c r="G15" s="231">
        <f t="shared" si="0"/>
        <v>0.76894908338851053</v>
      </c>
      <c r="H15" s="231">
        <f t="shared" si="0"/>
        <v>0.97573099455568968</v>
      </c>
      <c r="I15" s="231">
        <f t="shared" si="0"/>
        <v>0.78933838453994043</v>
      </c>
      <c r="J15" s="231"/>
    </row>
    <row r="16" spans="2:15" ht="17.25" customHeight="1">
      <c r="B16" s="378" t="s">
        <v>107</v>
      </c>
      <c r="C16" s="210" t="s">
        <v>29</v>
      </c>
      <c r="D16" s="95">
        <f>'1207'!T5</f>
        <v>0.2902777777777778</v>
      </c>
      <c r="E16" s="95">
        <f>'1207'!T16</f>
        <v>0.2902777777777778</v>
      </c>
      <c r="F16" s="95">
        <f>'1207'!T27</f>
        <v>0.29166666666666702</v>
      </c>
      <c r="G16" s="95">
        <f>'1207'!T38</f>
        <v>0.33333333333333331</v>
      </c>
      <c r="H16" s="95">
        <f>'1207'!T49</f>
        <v>0.2902777777777778</v>
      </c>
      <c r="I16" s="95">
        <f>'1207'!T59</f>
        <v>0.29166666666666669</v>
      </c>
      <c r="J16" s="269"/>
    </row>
    <row r="17" spans="2:10" ht="17.25" customHeight="1">
      <c r="B17" s="379"/>
      <c r="C17" s="210" t="s">
        <v>30</v>
      </c>
      <c r="D17" s="95">
        <v>0.63472222222222197</v>
      </c>
      <c r="E17" s="41">
        <v>0.6381944444444444</v>
      </c>
      <c r="F17" s="41">
        <v>0.64583333333333337</v>
      </c>
      <c r="G17" s="75">
        <v>0.61111111111111116</v>
      </c>
      <c r="H17" s="79">
        <v>0.63611111111111107</v>
      </c>
      <c r="I17" s="196">
        <v>0.58333333333333337</v>
      </c>
      <c r="J17" s="20"/>
    </row>
    <row r="18" spans="2:10" ht="17.25" customHeight="1">
      <c r="B18" s="365" t="s">
        <v>108</v>
      </c>
      <c r="C18" s="366"/>
      <c r="D18" s="214">
        <f>VALUE('1207'!M15)</f>
        <v>14.2</v>
      </c>
      <c r="E18" s="214">
        <f>VALUE('1207'!M26)</f>
        <v>12.6</v>
      </c>
      <c r="F18" s="214">
        <f>VALUE('1207'!M37)</f>
        <v>14.75</v>
      </c>
      <c r="G18" s="214">
        <f>VALUE('1207'!M48)</f>
        <v>13.75</v>
      </c>
      <c r="H18" s="214">
        <f>VALUE('1207'!M58)</f>
        <v>18</v>
      </c>
      <c r="I18" s="214">
        <f>VALUE('1207'!M69)</f>
        <v>12.5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L56" activePane="bottomRight" state="frozen"/>
      <selection activeCell="U9" sqref="U9"/>
      <selection pane="topRight" activeCell="U9" sqref="U9"/>
      <selection pane="bottomLeft" activeCell="U9" sqref="U9"/>
      <selection pane="bottomRight" activeCell="V61" activeCellId="12" sqref="V6 V7 V9 V17 V18 V28 V29 V39 V40 V50 V52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52933</v>
      </c>
      <c r="F1" s="175" t="s">
        <v>2</v>
      </c>
      <c r="G1" s="4">
        <f>SUM(H5:H79)</f>
        <v>2564166.58</v>
      </c>
      <c r="H1" s="173" t="s">
        <v>3</v>
      </c>
      <c r="I1" s="5">
        <f>M15+M26+M48+M58+M69+M79+M37</f>
        <v>85.8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136</v>
      </c>
      <c r="B2" s="404"/>
      <c r="C2" s="174"/>
      <c r="D2" s="174" t="s">
        <v>11</v>
      </c>
      <c r="E2" s="7">
        <f>AVERAGE(O15,O26,O37,O48,O58,O69,O79)</f>
        <v>101.88338415351201</v>
      </c>
      <c r="F2" s="8" t="s">
        <v>12</v>
      </c>
      <c r="G2" s="9">
        <f>G1/E1</f>
        <v>48.441739179717757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1492</v>
      </c>
      <c r="H5" s="318">
        <f>F5*G5</f>
        <v>85357.32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8" si="0">G5/W5*60</f>
        <v>1826.9387755102046</v>
      </c>
      <c r="O5" s="322">
        <f t="shared" ref="O5:O8" si="1">N5/M5</f>
        <v>140.53375196232344</v>
      </c>
      <c r="P5" s="324">
        <f t="shared" ref="P5:P8" si="2">M5-J5</f>
        <v>0</v>
      </c>
      <c r="Q5" s="325">
        <f t="shared" ref="Q5:Q8" si="3">O5-L5</f>
        <v>-21.389324960753498</v>
      </c>
      <c r="R5" s="326">
        <f t="shared" ref="R5:R8" si="4">O5/L5</f>
        <v>0.86790440641814948</v>
      </c>
      <c r="S5" s="419">
        <f>R15</f>
        <v>0.86398866347562531</v>
      </c>
      <c r="T5" s="327">
        <v>0.2902777777777778</v>
      </c>
      <c r="U5" s="328">
        <v>0.32430555555555557</v>
      </c>
      <c r="V5" s="192"/>
      <c r="W5" s="106">
        <f t="shared" ref="W5:W14" si="5">(U5-T5)*24*60</f>
        <v>48.999999999999986</v>
      </c>
      <c r="X5" s="186"/>
      <c r="Y5" s="186"/>
      <c r="Z5" s="425"/>
      <c r="AA5" s="425"/>
      <c r="AB5" s="110">
        <f>N5-K5</f>
        <v>-278.06122448979545</v>
      </c>
      <c r="AC5" s="182">
        <f>N5/K5</f>
        <v>0.86790440641814948</v>
      </c>
      <c r="AD5" s="411">
        <f>AC15</f>
        <v>0.85461827125258882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33</v>
      </c>
      <c r="E6" s="248"/>
      <c r="F6" s="305">
        <f>VLOOKUP(D6,廠價表!$C$1:$E$40,3,0)</f>
        <v>57.21</v>
      </c>
      <c r="G6" s="306">
        <v>1674</v>
      </c>
      <c r="H6" s="307">
        <f>F6*G6</f>
        <v>95769.540000000008</v>
      </c>
      <c r="I6" s="308"/>
      <c r="J6" s="309">
        <f>VLOOKUP(D6,產線配置圖!$A$3:$C$39,2,0)</f>
        <v>17</v>
      </c>
      <c r="K6" s="306">
        <v>1800</v>
      </c>
      <c r="L6" s="310">
        <f>K6/J6</f>
        <v>105.88235294117646</v>
      </c>
      <c r="M6" s="311">
        <v>17</v>
      </c>
      <c r="N6" s="306">
        <f t="shared" si="0"/>
        <v>1287.692307692299</v>
      </c>
      <c r="O6" s="310">
        <f t="shared" si="1"/>
        <v>75.746606334841118</v>
      </c>
      <c r="P6" s="312">
        <f t="shared" si="2"/>
        <v>0</v>
      </c>
      <c r="Q6" s="313">
        <f t="shared" si="3"/>
        <v>-30.135746606335346</v>
      </c>
      <c r="R6" s="314">
        <f t="shared" si="4"/>
        <v>0.71538461538461062</v>
      </c>
      <c r="S6" s="420"/>
      <c r="T6" s="267">
        <v>0.33333333333333298</v>
      </c>
      <c r="U6" s="267">
        <v>0.38750000000000001</v>
      </c>
      <c r="V6" s="175">
        <f>(T6-U5)*24*60</f>
        <v>12.999999999999474</v>
      </c>
      <c r="W6" s="180">
        <f t="shared" si="5"/>
        <v>78.000000000000526</v>
      </c>
      <c r="X6" s="22"/>
      <c r="Y6" s="22"/>
      <c r="Z6" s="391" t="s">
        <v>137</v>
      </c>
      <c r="AA6" s="391"/>
      <c r="AB6" s="18">
        <f>N6-K6</f>
        <v>-512.30769230770102</v>
      </c>
      <c r="AC6" s="183">
        <f>N6/K6</f>
        <v>0.71538461538461051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34</v>
      </c>
      <c r="E7" s="86"/>
      <c r="F7" s="56">
        <f>VLOOKUP(D7,廠價表!$C$1:$E$40,3,0)</f>
        <v>49.14</v>
      </c>
      <c r="G7" s="25">
        <v>4045</v>
      </c>
      <c r="H7" s="15">
        <f t="shared" ref="H7:H8" si="6">F7*G7</f>
        <v>198771.3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1973.1707317073319</v>
      </c>
      <c r="O7" s="17">
        <f t="shared" si="1"/>
        <v>151.78236397748708</v>
      </c>
      <c r="P7" s="18">
        <f t="shared" si="2"/>
        <v>0</v>
      </c>
      <c r="Q7" s="19">
        <f t="shared" si="3"/>
        <v>-2.0637898686667597</v>
      </c>
      <c r="R7" s="183">
        <f t="shared" si="4"/>
        <v>0.98658536585366607</v>
      </c>
      <c r="S7" s="420"/>
      <c r="T7" s="95">
        <v>0.39305555555555599</v>
      </c>
      <c r="U7" s="95">
        <v>0.47847222222222202</v>
      </c>
      <c r="V7" s="175">
        <f>(T7-U6)*24*60</f>
        <v>8.0000000000006111</v>
      </c>
      <c r="W7" s="180">
        <f t="shared" si="5"/>
        <v>122.99999999999909</v>
      </c>
      <c r="X7" s="22"/>
      <c r="Y7" s="22"/>
      <c r="Z7" s="405"/>
      <c r="AA7" s="405"/>
      <c r="AB7" s="18">
        <f>N7-K7</f>
        <v>-26.829268292668075</v>
      </c>
      <c r="AC7" s="183">
        <f>N7/K7</f>
        <v>0.98658536585366596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2499</v>
      </c>
      <c r="H8" s="15">
        <f t="shared" si="6"/>
        <v>122800.86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1851.1111111111104</v>
      </c>
      <c r="O8" s="17">
        <f t="shared" si="1"/>
        <v>142.39316239316233</v>
      </c>
      <c r="P8" s="18">
        <f t="shared" si="2"/>
        <v>0</v>
      </c>
      <c r="Q8" s="19">
        <f t="shared" si="3"/>
        <v>-11.452991452991512</v>
      </c>
      <c r="R8" s="183">
        <f t="shared" si="4"/>
        <v>0.92555555555555513</v>
      </c>
      <c r="S8" s="420"/>
      <c r="T8" s="95">
        <v>0.54027777777777797</v>
      </c>
      <c r="U8" s="95">
        <v>0.59652777777777799</v>
      </c>
      <c r="V8" s="175">
        <f t="shared" ref="V8:V9" si="7">(T8-U7)*24*60</f>
        <v>89.000000000000568</v>
      </c>
      <c r="W8" s="180">
        <f t="shared" si="5"/>
        <v>81.000000000000028</v>
      </c>
      <c r="X8" s="22"/>
      <c r="Y8" s="260"/>
      <c r="Z8" s="416"/>
      <c r="AA8" s="416"/>
      <c r="AB8" s="18">
        <f>N8-K8</f>
        <v>-148.8888888888896</v>
      </c>
      <c r="AC8" s="183">
        <f>N8/K8</f>
        <v>0.92555555555555524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35</v>
      </c>
      <c r="E9" s="86"/>
      <c r="F9" s="56">
        <f>VLOOKUP(D9,廠價表!$C$1:$E$40,3,0)</f>
        <v>56.43</v>
      </c>
      <c r="G9" s="25">
        <v>729</v>
      </c>
      <c r="H9" s="15">
        <f>F9*G9</f>
        <v>41137.47</v>
      </c>
      <c r="I9" s="180"/>
      <c r="J9" s="16">
        <f>VLOOKUP(D9,產線配置圖!$A$3:$C$39,2,0)</f>
        <v>15</v>
      </c>
      <c r="K9" s="14">
        <f>VLOOKUP(D9,產線配置圖!$A$3:$C$39,3,0)</f>
        <v>1636</v>
      </c>
      <c r="L9" s="17">
        <f>K9/J9</f>
        <v>109.06666666666666</v>
      </c>
      <c r="M9" s="178">
        <v>15</v>
      </c>
      <c r="N9" s="14">
        <f>G9/W9*60</f>
        <v>1215.0000000000043</v>
      </c>
      <c r="O9" s="17">
        <f>N9/M9</f>
        <v>81.000000000000284</v>
      </c>
      <c r="P9" s="18">
        <f>M9-J9</f>
        <v>0</v>
      </c>
      <c r="Q9" s="19">
        <f>O9-L9</f>
        <v>-28.066666666666379</v>
      </c>
      <c r="R9" s="183">
        <f>O9/L9</f>
        <v>0.74266503667481931</v>
      </c>
      <c r="S9" s="421"/>
      <c r="T9" s="95">
        <v>0.60972222222222205</v>
      </c>
      <c r="U9" s="95">
        <v>0.63472222222222197</v>
      </c>
      <c r="V9" s="175">
        <f t="shared" si="7"/>
        <v>18.999999999999453</v>
      </c>
      <c r="W9" s="180">
        <f t="shared" si="5"/>
        <v>35.999999999999872</v>
      </c>
      <c r="X9" s="22"/>
      <c r="Y9" s="260"/>
      <c r="Z9" s="475" t="s">
        <v>138</v>
      </c>
      <c r="AA9" s="476"/>
      <c r="AB9" s="18">
        <f>N9-K9</f>
        <v>-420.99999999999568</v>
      </c>
      <c r="AC9" s="183">
        <f>N9/K9</f>
        <v>0.74266503667481931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8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14.2</v>
      </c>
      <c r="K15" s="117">
        <f t="shared" si="9"/>
        <v>1908.2</v>
      </c>
      <c r="L15" s="114">
        <f t="shared" si="9"/>
        <v>136.91288084464554</v>
      </c>
      <c r="M15" s="117">
        <f t="shared" si="9"/>
        <v>14.2</v>
      </c>
      <c r="N15" s="117">
        <f t="shared" si="9"/>
        <v>1630.7825852041901</v>
      </c>
      <c r="O15" s="114">
        <f t="shared" si="9"/>
        <v>118.29117693356284</v>
      </c>
      <c r="P15" s="118">
        <f t="shared" ref="P15:P20" si="10">M15-J15</f>
        <v>0</v>
      </c>
      <c r="Q15" s="119">
        <f t="shared" ref="Q15:Q20" si="11">O15-L15</f>
        <v>-18.621703911082705</v>
      </c>
      <c r="R15" s="120">
        <f t="shared" ref="R15:R20" si="12">O15/L15</f>
        <v>0.86398866347562531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3">N15-K15</f>
        <v>-277.41741479580992</v>
      </c>
      <c r="AC15" s="185">
        <f t="shared" ref="AC15:AC20" si="14">N15/K15</f>
        <v>0.85461827125258882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1365</v>
      </c>
      <c r="H16" s="124">
        <f t="shared" ref="H16:H25" si="15">F16*G16</f>
        <v>78091.649999999994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20" si="16">K16/J16</f>
        <v>161.92307692307693</v>
      </c>
      <c r="M16" s="264">
        <v>13</v>
      </c>
      <c r="N16" s="126">
        <f t="shared" ref="N16:N20" si="17">G16/W16*60</f>
        <v>1780.4347826086957</v>
      </c>
      <c r="O16" s="127">
        <f>N16/M16</f>
        <v>136.95652173913044</v>
      </c>
      <c r="P16" s="128">
        <f>M16-J16</f>
        <v>0</v>
      </c>
      <c r="Q16" s="129">
        <f t="shared" si="11"/>
        <v>-24.966555183946497</v>
      </c>
      <c r="R16" s="187">
        <f>O16/L16</f>
        <v>0.84581224827016421</v>
      </c>
      <c r="S16" s="431">
        <f>R26</f>
        <v>0.924407764185873</v>
      </c>
      <c r="T16" s="265">
        <v>0.2902777777777778</v>
      </c>
      <c r="U16" s="265">
        <v>0.32222222222222224</v>
      </c>
      <c r="V16" s="125"/>
      <c r="W16" s="130">
        <f t="shared" ref="W16:W78" si="18">(U16-T16)*24*60</f>
        <v>46</v>
      </c>
      <c r="X16" s="127"/>
      <c r="Y16" s="127"/>
      <c r="Z16" s="425"/>
      <c r="AA16" s="425"/>
      <c r="AB16" s="110">
        <f t="shared" si="13"/>
        <v>-324.56521739130426</v>
      </c>
      <c r="AC16" s="182">
        <f t="shared" si="14"/>
        <v>0.84581224827016421</v>
      </c>
      <c r="AD16" s="411">
        <f>AC26</f>
        <v>0.9236406429820998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2929</v>
      </c>
      <c r="H17" s="15">
        <f t="shared" si="15"/>
        <v>148412.43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 t="shared" si="17"/>
        <v>1869.5744680851067</v>
      </c>
      <c r="O17" s="38">
        <f t="shared" ref="O17:O20" si="19">N17/M17</f>
        <v>143.81342062193127</v>
      </c>
      <c r="P17" s="39">
        <f t="shared" si="10"/>
        <v>0</v>
      </c>
      <c r="Q17" s="40">
        <f t="shared" si="11"/>
        <v>-10.032733224222568</v>
      </c>
      <c r="R17" s="188">
        <f t="shared" si="12"/>
        <v>0.93478723404255326</v>
      </c>
      <c r="S17" s="432"/>
      <c r="T17" s="41">
        <v>0.33055555555555555</v>
      </c>
      <c r="U17" s="41">
        <v>0.39583333333333331</v>
      </c>
      <c r="V17" s="175">
        <f>(T17-U16)*24*60</f>
        <v>11.999999999999957</v>
      </c>
      <c r="W17" s="43">
        <f t="shared" si="18"/>
        <v>93.999999999999986</v>
      </c>
      <c r="X17" s="44"/>
      <c r="Y17" s="44"/>
      <c r="Z17" s="405"/>
      <c r="AA17" s="405"/>
      <c r="AB17" s="18">
        <f t="shared" si="13"/>
        <v>-130.42553191489333</v>
      </c>
      <c r="AC17" s="183">
        <f t="shared" si="14"/>
        <v>0.93478723404255337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3411</v>
      </c>
      <c r="H18" s="15">
        <f t="shared" si="15"/>
        <v>171880.29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1894.9999999999998</v>
      </c>
      <c r="O18" s="38">
        <f t="shared" si="19"/>
        <v>157.91666666666666</v>
      </c>
      <c r="P18" s="39">
        <f t="shared" si="10"/>
        <v>0</v>
      </c>
      <c r="Q18" s="40">
        <f t="shared" si="11"/>
        <v>-8.75</v>
      </c>
      <c r="R18" s="188">
        <f t="shared" si="12"/>
        <v>0.94750000000000001</v>
      </c>
      <c r="S18" s="432"/>
      <c r="T18" s="41">
        <v>0.40416666666666667</v>
      </c>
      <c r="U18" s="41">
        <v>0.47916666666666669</v>
      </c>
      <c r="V18" s="175">
        <f>(T18-U17)*24*60</f>
        <v>12.000000000000037</v>
      </c>
      <c r="W18" s="43">
        <f t="shared" si="18"/>
        <v>108.00000000000001</v>
      </c>
      <c r="X18" s="22"/>
      <c r="Y18" s="22"/>
      <c r="Z18" s="405"/>
      <c r="AA18" s="405"/>
      <c r="AB18" s="18">
        <f t="shared" si="13"/>
        <v>-105.00000000000023</v>
      </c>
      <c r="AC18" s="183">
        <f t="shared" si="14"/>
        <v>0.9474999999999999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2180</v>
      </c>
      <c r="H19" s="15">
        <f t="shared" si="15"/>
        <v>109850.2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6"/>
        <v>166.66666666666666</v>
      </c>
      <c r="M19" s="37">
        <v>12</v>
      </c>
      <c r="N19" s="36">
        <f t="shared" si="17"/>
        <v>1895.6521739130415</v>
      </c>
      <c r="O19" s="38">
        <f t="shared" si="19"/>
        <v>157.97101449275345</v>
      </c>
      <c r="P19" s="39">
        <f t="shared" si="10"/>
        <v>0</v>
      </c>
      <c r="Q19" s="40">
        <f t="shared" si="11"/>
        <v>-8.6956521739132029</v>
      </c>
      <c r="R19" s="188">
        <f t="shared" si="12"/>
        <v>0.94782608695652082</v>
      </c>
      <c r="S19" s="432"/>
      <c r="T19" s="41">
        <v>0.54166666666666663</v>
      </c>
      <c r="U19" s="41">
        <v>0.58958333333333335</v>
      </c>
      <c r="V19" s="175">
        <f>(T19-U18)*24*60</f>
        <v>89.999999999999915</v>
      </c>
      <c r="W19" s="43">
        <f t="shared" si="18"/>
        <v>69.000000000000071</v>
      </c>
      <c r="X19" s="22">
        <v>0.48958333333333298</v>
      </c>
      <c r="Y19" s="260">
        <v>0.53125</v>
      </c>
      <c r="Z19" s="416"/>
      <c r="AA19" s="416"/>
      <c r="AB19" s="18">
        <f t="shared" si="13"/>
        <v>-104.34782608695855</v>
      </c>
      <c r="AC19" s="183">
        <f t="shared" si="14"/>
        <v>0.94782608695652071</v>
      </c>
      <c r="AD19" s="413"/>
    </row>
    <row r="20" spans="1:30" ht="15" customHeight="1">
      <c r="A20" s="440"/>
      <c r="B20" s="56" t="str">
        <f>VLOOKUP(D20,廠價表!$C$1:$E$40,2,0)</f>
        <v>義大利麵</v>
      </c>
      <c r="C20" s="10"/>
      <c r="D20" s="11" t="s">
        <v>40</v>
      </c>
      <c r="E20" s="86"/>
      <c r="F20" s="56">
        <f>VLOOKUP(D20,廠價表!$C$1:$E$40,3,0)</f>
        <v>50.67</v>
      </c>
      <c r="G20" s="96">
        <v>1735</v>
      </c>
      <c r="H20" s="15">
        <f t="shared" si="15"/>
        <v>87912.45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 t="shared" si="16"/>
        <v>153.84615384615384</v>
      </c>
      <c r="M20" s="37">
        <v>13</v>
      </c>
      <c r="N20" s="36">
        <f t="shared" si="17"/>
        <v>1892.7272727272739</v>
      </c>
      <c r="O20" s="38">
        <f t="shared" si="19"/>
        <v>145.59440559440569</v>
      </c>
      <c r="P20" s="39">
        <f t="shared" si="10"/>
        <v>0</v>
      </c>
      <c r="Q20" s="40">
        <f t="shared" si="11"/>
        <v>-8.251748251748154</v>
      </c>
      <c r="R20" s="188">
        <f t="shared" si="12"/>
        <v>0.94636363636363696</v>
      </c>
      <c r="S20" s="432"/>
      <c r="T20" s="41">
        <v>0.6</v>
      </c>
      <c r="U20" s="41">
        <v>0.6381944444444444</v>
      </c>
      <c r="V20" s="175"/>
      <c r="W20" s="43">
        <f t="shared" si="18"/>
        <v>54.999999999999964</v>
      </c>
      <c r="X20" s="44"/>
      <c r="Y20" s="44"/>
      <c r="Z20" s="418"/>
      <c r="AA20" s="405"/>
      <c r="AB20" s="18">
        <f t="shared" si="13"/>
        <v>-107.27272727272612</v>
      </c>
      <c r="AC20" s="183">
        <f t="shared" si="14"/>
        <v>0.94636363636363696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12.6</v>
      </c>
      <c r="K26" s="133">
        <f t="shared" si="20"/>
        <v>2021</v>
      </c>
      <c r="L26" s="136">
        <f t="shared" si="20"/>
        <v>160.58974358974359</v>
      </c>
      <c r="M26" s="133">
        <f t="shared" si="20"/>
        <v>12.6</v>
      </c>
      <c r="N26" s="133">
        <f t="shared" si="20"/>
        <v>1866.6777394668236</v>
      </c>
      <c r="O26" s="136">
        <f t="shared" si="20"/>
        <v>148.4504058229775</v>
      </c>
      <c r="P26" s="137">
        <f t="shared" ref="P26:P28" si="21">M26-J26</f>
        <v>0</v>
      </c>
      <c r="Q26" s="138">
        <f t="shared" ref="Q26:Q28" si="22">O26-L26</f>
        <v>-12.13933776676609</v>
      </c>
      <c r="R26" s="139">
        <f t="shared" ref="R26:R28" si="23">O26/L26</f>
        <v>0.924407764185873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-154.3222605331764</v>
      </c>
      <c r="AC26" s="185">
        <f>N26/K26</f>
        <v>0.9236406429820998</v>
      </c>
      <c r="AD26" s="414"/>
    </row>
    <row r="27" spans="1:30" ht="15" customHeight="1">
      <c r="A27" s="428" t="s">
        <v>44</v>
      </c>
      <c r="B27" s="227" t="str">
        <f>VLOOKUP(D27,廠價表!$C$1:$E$40,2,0)</f>
        <v>熱乾麵</v>
      </c>
      <c r="C27" s="101"/>
      <c r="D27" s="330" t="s">
        <v>46</v>
      </c>
      <c r="E27" s="103"/>
      <c r="F27" s="197">
        <f>VLOOKUP(D27,廠價表!$C$1:$E$40,3,0)</f>
        <v>49.91</v>
      </c>
      <c r="G27" s="266">
        <v>1664</v>
      </c>
      <c r="H27" s="124">
        <f t="shared" ref="H27:H41" si="24">F27*G27</f>
        <v>83050.239999999991</v>
      </c>
      <c r="I27" s="125"/>
      <c r="J27" s="16">
        <f>VLOOKUP(D27,產線配置圖!$A$3:$C$39,2,0)</f>
        <v>17</v>
      </c>
      <c r="K27" s="14">
        <f>VLOOKUP(D27,產線配置圖!$A$3:$C$39,3,0)</f>
        <v>1565</v>
      </c>
      <c r="L27" s="108">
        <f>K27/J27</f>
        <v>92.058823529411768</v>
      </c>
      <c r="M27" s="143">
        <v>17</v>
      </c>
      <c r="N27" s="126">
        <f>G27/W27*60</f>
        <v>1468.2352941176541</v>
      </c>
      <c r="O27" s="127">
        <f>N27/M27</f>
        <v>86.366782006920829</v>
      </c>
      <c r="P27" s="128">
        <f t="shared" si="21"/>
        <v>0</v>
      </c>
      <c r="Q27" s="129">
        <f t="shared" si="22"/>
        <v>-5.6920415224909391</v>
      </c>
      <c r="R27" s="187">
        <f>O27/L27</f>
        <v>0.9381695170080856</v>
      </c>
      <c r="S27" s="431">
        <f>R37</f>
        <v>0.90440779266390614</v>
      </c>
      <c r="T27" s="94">
        <v>0.29166666666666702</v>
      </c>
      <c r="U27" s="94">
        <v>0.33888888888888902</v>
      </c>
      <c r="V27" s="125"/>
      <c r="W27" s="130">
        <f t="shared" si="18"/>
        <v>67.999999999999673</v>
      </c>
      <c r="X27" s="125"/>
      <c r="Y27" s="125" t="s">
        <v>47</v>
      </c>
      <c r="Z27" s="434"/>
      <c r="AA27" s="425"/>
      <c r="AB27" s="223">
        <f>N27-K27</f>
        <v>-96.764705882345879</v>
      </c>
      <c r="AC27" s="288">
        <f>N27/K27</f>
        <v>0.93816951700808571</v>
      </c>
      <c r="AD27" s="411">
        <f>AC37</f>
        <v>0.82879199681627003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1892</v>
      </c>
      <c r="H28" s="50">
        <f t="shared" si="24"/>
        <v>104305.96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14</v>
      </c>
      <c r="N28" s="36">
        <f>G28/W28*60</f>
        <v>1022.7027027026996</v>
      </c>
      <c r="O28" s="38">
        <f>N28/M28</f>
        <v>73.050193050192831</v>
      </c>
      <c r="P28" s="39">
        <f t="shared" si="21"/>
        <v>-4</v>
      </c>
      <c r="Q28" s="40">
        <f t="shared" si="22"/>
        <v>-3.8942513942516115</v>
      </c>
      <c r="R28" s="188">
        <f t="shared" si="23"/>
        <v>0.94938879054402237</v>
      </c>
      <c r="S28" s="432"/>
      <c r="T28" s="267">
        <v>0.34722222222222199</v>
      </c>
      <c r="U28" s="41">
        <v>0.42430555555555555</v>
      </c>
      <c r="V28" s="42">
        <f>(T28-U27)*24*60</f>
        <v>11.999999999999478</v>
      </c>
      <c r="W28" s="43">
        <f t="shared" si="18"/>
        <v>111.00000000000033</v>
      </c>
      <c r="X28" s="54"/>
      <c r="Y28" s="54"/>
      <c r="Z28" s="418"/>
      <c r="AA28" s="417"/>
      <c r="AB28" s="39">
        <f>N28-K28</f>
        <v>-362.29729729730036</v>
      </c>
      <c r="AC28" s="188">
        <f>N28/K28</f>
        <v>0.73841350375646186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49</v>
      </c>
      <c r="E29" s="29"/>
      <c r="F29" s="56">
        <f>VLOOKUP(D29,廠價表!$C$1:$E$40,3,0)</f>
        <v>47.71</v>
      </c>
      <c r="G29" s="53">
        <v>1310</v>
      </c>
      <c r="H29" s="50">
        <f t="shared" ref="H29:H30" si="25">F29*G29</f>
        <v>62500.1</v>
      </c>
      <c r="I29" s="42"/>
      <c r="J29" s="16">
        <f>VLOOKUP(D29,產線配置圖!$A$3:$C$39,2,0)</f>
        <v>15</v>
      </c>
      <c r="K29" s="14">
        <f>VLOOKUP(D29,產線配置圖!$A$3:$C$39,3,0)</f>
        <v>1500</v>
      </c>
      <c r="L29" s="233">
        <f>K29/J29</f>
        <v>100</v>
      </c>
      <c r="M29" s="21">
        <v>14</v>
      </c>
      <c r="N29" s="36">
        <f>G29/W29*60</f>
        <v>1122.8571428571431</v>
      </c>
      <c r="O29" s="38">
        <f>N29/M29</f>
        <v>80.204081632653086</v>
      </c>
      <c r="P29" s="39">
        <f t="shared" ref="P29:P30" si="26">M29-J29</f>
        <v>-1</v>
      </c>
      <c r="Q29" s="40">
        <f t="shared" ref="Q29:Q30" si="27">O29-L29</f>
        <v>-19.795918367346914</v>
      </c>
      <c r="R29" s="188">
        <f t="shared" ref="R29:R30" si="28">O29/L29</f>
        <v>0.8020408163265309</v>
      </c>
      <c r="S29" s="432"/>
      <c r="T29" s="41">
        <v>0.43402777777777779</v>
      </c>
      <c r="U29" s="41">
        <v>0.4826388888888889</v>
      </c>
      <c r="V29" s="42">
        <f>(T29-U28)*24*60</f>
        <v>14.00000000000003</v>
      </c>
      <c r="W29" s="43">
        <f t="shared" si="18"/>
        <v>69.999999999999986</v>
      </c>
      <c r="X29" s="22"/>
      <c r="Y29" s="22"/>
      <c r="Z29" s="418"/>
      <c r="AA29" s="417"/>
      <c r="AB29" s="289">
        <f>N29-K29</f>
        <v>-377.14285714285688</v>
      </c>
      <c r="AC29" s="188">
        <f>N29/K29</f>
        <v>0.74857142857142878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49</v>
      </c>
      <c r="E30" s="29"/>
      <c r="F30" s="56">
        <f>VLOOKUP(D30,廠價表!$C$1:$E$40,3,0)</f>
        <v>47.71</v>
      </c>
      <c r="G30" s="53">
        <v>3184</v>
      </c>
      <c r="H30" s="50">
        <f t="shared" si="25"/>
        <v>151908.64000000001</v>
      </c>
      <c r="I30" s="42"/>
      <c r="J30" s="16">
        <f>VLOOKUP(D30,產線配置圖!$A$3:$C$39,2,0)</f>
        <v>15</v>
      </c>
      <c r="K30" s="14">
        <f>VLOOKUP(D30,產線配置圖!$A$3:$C$39,3,0)</f>
        <v>1500</v>
      </c>
      <c r="L30" s="233">
        <f>K30/J30</f>
        <v>100</v>
      </c>
      <c r="M30" s="21">
        <v>14</v>
      </c>
      <c r="N30" s="36">
        <f>G30/W30*60</f>
        <v>1317.5172413793093</v>
      </c>
      <c r="O30" s="38">
        <f>N30/M30</f>
        <v>94.108374384236384</v>
      </c>
      <c r="P30" s="39">
        <f t="shared" si="26"/>
        <v>-1</v>
      </c>
      <c r="Q30" s="40">
        <f t="shared" si="27"/>
        <v>-5.8916256157636155</v>
      </c>
      <c r="R30" s="188">
        <f t="shared" si="28"/>
        <v>0.94108374384236382</v>
      </c>
      <c r="S30" s="432"/>
      <c r="T30" s="41">
        <v>0.54513888888888884</v>
      </c>
      <c r="U30" s="41">
        <v>0.64583333333333337</v>
      </c>
      <c r="V30" s="42">
        <f>(T30-U29)*24*60</f>
        <v>89.999999999999915</v>
      </c>
      <c r="W30" s="43">
        <f t="shared" si="18"/>
        <v>145.00000000000011</v>
      </c>
      <c r="X30" s="54">
        <v>0.48958333333333298</v>
      </c>
      <c r="Y30" s="54">
        <v>0.53125</v>
      </c>
      <c r="Z30" s="426"/>
      <c r="AA30" s="446"/>
      <c r="AB30" s="289">
        <f>N30-K30</f>
        <v>-182.48275862069067</v>
      </c>
      <c r="AC30" s="188">
        <f>N30/K30</f>
        <v>0.87834482758620624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8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4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9">AVERAGE(J27:J36)</f>
        <v>16.25</v>
      </c>
      <c r="K37" s="282">
        <f t="shared" si="29"/>
        <v>1487.5</v>
      </c>
      <c r="L37" s="283">
        <f t="shared" si="29"/>
        <v>92.250816993464056</v>
      </c>
      <c r="M37" s="282">
        <f t="shared" si="29"/>
        <v>14.75</v>
      </c>
      <c r="N37" s="282">
        <f t="shared" si="29"/>
        <v>1232.8280952642017</v>
      </c>
      <c r="O37" s="283">
        <f t="shared" si="29"/>
        <v>83.432357768500793</v>
      </c>
      <c r="P37" s="73">
        <f>M37-J37</f>
        <v>-1.5</v>
      </c>
      <c r="Q37" s="74">
        <f>N37-K37</f>
        <v>-254.67190473579831</v>
      </c>
      <c r="R37" s="284">
        <f t="shared" ref="R37:R41" si="30">O37/L37</f>
        <v>0.90440779266390614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1" si="31">N37-K37</f>
        <v>-254.67190473579831</v>
      </c>
      <c r="AC37" s="184">
        <f t="shared" ref="AC37:AC41" si="32">N37/K37</f>
        <v>0.82879199681627003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2199</v>
      </c>
      <c r="H38" s="124">
        <f t="shared" si="24"/>
        <v>126002.7</v>
      </c>
      <c r="I38" s="125"/>
      <c r="J38" s="331">
        <f>VLOOKUP(D38,產線配置圖!$A$3:$C$39,2,0)</f>
        <v>15</v>
      </c>
      <c r="K38" s="234">
        <v>1500</v>
      </c>
      <c r="L38" s="285">
        <f t="shared" ref="L38:L41" si="33">K38/J38</f>
        <v>100</v>
      </c>
      <c r="M38" s="286">
        <v>14</v>
      </c>
      <c r="N38" s="126">
        <f>G38/W38*60</f>
        <v>1199.4545454545453</v>
      </c>
      <c r="O38" s="127">
        <f>N38/M38</f>
        <v>85.67532467532466</v>
      </c>
      <c r="P38" s="128">
        <f t="shared" ref="P38:P41" si="34">M38-J38</f>
        <v>-1</v>
      </c>
      <c r="Q38" s="129">
        <f t="shared" ref="Q38:Q41" si="35">O38-L38</f>
        <v>-14.32467532467534</v>
      </c>
      <c r="R38" s="187">
        <f t="shared" si="30"/>
        <v>0.8567532467532466</v>
      </c>
      <c r="S38" s="460">
        <f>R48</f>
        <v>0.76894908338851053</v>
      </c>
      <c r="T38" s="149">
        <v>0.33333333333333331</v>
      </c>
      <c r="U38" s="149">
        <v>0.40972222222222221</v>
      </c>
      <c r="V38" s="146"/>
      <c r="W38" s="150">
        <f t="shared" si="18"/>
        <v>110.00000000000001</v>
      </c>
      <c r="X38" s="148"/>
      <c r="Y38" s="151"/>
      <c r="Z38" s="462"/>
      <c r="AA38" s="463"/>
      <c r="AB38" s="287">
        <f t="shared" si="31"/>
        <v>-300.54545454545473</v>
      </c>
      <c r="AC38" s="152">
        <f t="shared" si="32"/>
        <v>0.79963636363636348</v>
      </c>
      <c r="AD38" s="447">
        <f>AC48</f>
        <v>0.70994974379065046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789</v>
      </c>
      <c r="H39" s="50">
        <f t="shared" si="24"/>
        <v>44523.27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3"/>
        <v>93.733333333333334</v>
      </c>
      <c r="M39" s="65">
        <v>13</v>
      </c>
      <c r="N39" s="66">
        <f>G39/W39*60</f>
        <v>788.99999999999955</v>
      </c>
      <c r="O39" s="67">
        <f t="shared" ref="O39:O41" si="36">N39/M39</f>
        <v>60.692307692307658</v>
      </c>
      <c r="P39" s="39">
        <f t="shared" si="34"/>
        <v>-2</v>
      </c>
      <c r="Q39" s="40">
        <f t="shared" si="35"/>
        <v>-33.041025641025676</v>
      </c>
      <c r="R39" s="188">
        <f t="shared" si="30"/>
        <v>0.64749972644709453</v>
      </c>
      <c r="S39" s="461"/>
      <c r="T39" s="59">
        <v>0.4201388888888889</v>
      </c>
      <c r="U39" s="59">
        <v>0.46180555555555558</v>
      </c>
      <c r="V39" s="42">
        <f>(T39-U38)*24*60</f>
        <v>15.000000000000027</v>
      </c>
      <c r="W39" s="69">
        <f t="shared" si="18"/>
        <v>60.000000000000028</v>
      </c>
      <c r="X39" s="22"/>
      <c r="Y39" s="22"/>
      <c r="Z39" s="450" t="s">
        <v>117</v>
      </c>
      <c r="AA39" s="451"/>
      <c r="AB39" s="268">
        <f t="shared" si="31"/>
        <v>-617.00000000000045</v>
      </c>
      <c r="AC39" s="61">
        <f t="shared" si="32"/>
        <v>0.56116642958748186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35</v>
      </c>
      <c r="E40" s="240"/>
      <c r="F40" s="56">
        <f>VLOOKUP(D40,廠價表!$C$1:$E$40,3,0)</f>
        <v>56.43</v>
      </c>
      <c r="G40" s="273">
        <v>1061</v>
      </c>
      <c r="H40" s="50">
        <f t="shared" si="24"/>
        <v>59872.23</v>
      </c>
      <c r="I40" s="64"/>
      <c r="J40" s="37">
        <f>VLOOKUP(D40,產線配置圖!$A$3:$C$39,2,0)</f>
        <v>15</v>
      </c>
      <c r="K40" s="36">
        <f>VLOOKUP(D40,產線配置圖!$A$3:$C$39,3,0)</f>
        <v>1636</v>
      </c>
      <c r="L40" s="38">
        <f t="shared" si="33"/>
        <v>109.06666666666666</v>
      </c>
      <c r="M40" s="65">
        <v>15</v>
      </c>
      <c r="N40" s="66">
        <f>G40/W40*60</f>
        <v>1299.1836734693882</v>
      </c>
      <c r="O40" s="67">
        <f t="shared" si="36"/>
        <v>86.612244897959215</v>
      </c>
      <c r="P40" s="39">
        <f t="shared" si="34"/>
        <v>0</v>
      </c>
      <c r="Q40" s="40">
        <f t="shared" si="35"/>
        <v>-22.454421768707448</v>
      </c>
      <c r="R40" s="188">
        <f t="shared" si="30"/>
        <v>0.79412204979791456</v>
      </c>
      <c r="S40" s="420"/>
      <c r="T40" s="59">
        <v>0.46875</v>
      </c>
      <c r="U40" s="59">
        <v>0.50277777777777777</v>
      </c>
      <c r="V40" s="42">
        <f>(T40-U39)*24*60</f>
        <v>9.9999999999999645</v>
      </c>
      <c r="W40" s="69">
        <f t="shared" si="18"/>
        <v>48.999999999999986</v>
      </c>
      <c r="X40" s="70"/>
      <c r="Y40" s="256"/>
      <c r="Z40" s="450" t="s">
        <v>55</v>
      </c>
      <c r="AA40" s="451"/>
      <c r="AB40" s="268">
        <f t="shared" si="31"/>
        <v>-336.81632653061183</v>
      </c>
      <c r="AC40" s="61">
        <f t="shared" si="32"/>
        <v>0.79412204979791456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1091</v>
      </c>
      <c r="H41" s="50">
        <f t="shared" si="24"/>
        <v>61565.13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si="33"/>
        <v>93.733333333333334</v>
      </c>
      <c r="M41" s="65">
        <v>13</v>
      </c>
      <c r="N41" s="66">
        <f>G41/W41*60</f>
        <v>935.1428571428562</v>
      </c>
      <c r="O41" s="67">
        <f t="shared" si="36"/>
        <v>71.934065934065856</v>
      </c>
      <c r="P41" s="39">
        <f t="shared" si="34"/>
        <v>-2</v>
      </c>
      <c r="Q41" s="40">
        <f t="shared" si="35"/>
        <v>-21.799267399267478</v>
      </c>
      <c r="R41" s="188">
        <f t="shared" si="30"/>
        <v>0.7674331358541876</v>
      </c>
      <c r="S41" s="420"/>
      <c r="T41" s="59">
        <v>0.5625</v>
      </c>
      <c r="U41" s="75">
        <v>0.61111111111111116</v>
      </c>
      <c r="V41" s="42">
        <f>(T41-U40)*24*60</f>
        <v>86.000000000000014</v>
      </c>
      <c r="W41" s="69">
        <f t="shared" si="18"/>
        <v>70.000000000000071</v>
      </c>
      <c r="X41" s="70">
        <v>0.52777777777777801</v>
      </c>
      <c r="Y41" s="256">
        <v>0.56944444444444398</v>
      </c>
      <c r="Z41" s="450" t="s">
        <v>117</v>
      </c>
      <c r="AA41" s="451"/>
      <c r="AB41" s="268">
        <f t="shared" si="31"/>
        <v>-470.8571428571438</v>
      </c>
      <c r="AC41" s="61">
        <f t="shared" si="32"/>
        <v>0.66510871774029601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18"/>
        <v>0</v>
      </c>
      <c r="X42" s="70"/>
      <c r="Y42" s="60"/>
      <c r="Z42" s="450"/>
      <c r="AA42" s="451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37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8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37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8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37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8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37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8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9">AVERAGE(J38:J47)</f>
        <v>15</v>
      </c>
      <c r="K48" s="133">
        <f t="shared" si="39"/>
        <v>1487</v>
      </c>
      <c r="L48" s="136">
        <f t="shared" si="39"/>
        <v>99.13333333333334</v>
      </c>
      <c r="M48" s="133">
        <f t="shared" si="39"/>
        <v>13.75</v>
      </c>
      <c r="N48" s="133">
        <f t="shared" si="39"/>
        <v>1055.6952690166972</v>
      </c>
      <c r="O48" s="136">
        <f t="shared" si="39"/>
        <v>76.228485799914353</v>
      </c>
      <c r="P48" s="155">
        <f>M48-J48</f>
        <v>-1.25</v>
      </c>
      <c r="Q48" s="156">
        <f>N48-K48</f>
        <v>-431.30473098330276</v>
      </c>
      <c r="R48" s="157">
        <f>O48/L48</f>
        <v>0.76894908338851053</v>
      </c>
      <c r="S48" s="423"/>
      <c r="T48" s="158"/>
      <c r="U48" s="158"/>
      <c r="V48" s="194"/>
      <c r="W48" s="159">
        <f t="shared" si="38"/>
        <v>0</v>
      </c>
      <c r="X48" s="160"/>
      <c r="Y48" s="160"/>
      <c r="Z48" s="424"/>
      <c r="AA48" s="424"/>
      <c r="AB48" s="161">
        <f>N48-K48</f>
        <v>-431.30473098330276</v>
      </c>
      <c r="AC48" s="189">
        <f>N48/K48</f>
        <v>0.70994974379065046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2152</v>
      </c>
      <c r="H49" s="124">
        <f t="shared" ref="H49:H57" si="40">F49*G49</f>
        <v>122384.23999999999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1555.6626506024106</v>
      </c>
      <c r="O49" s="127">
        <f>N49/M49</f>
        <v>81.876981610653189</v>
      </c>
      <c r="P49" s="162">
        <f>M49-J49</f>
        <v>0</v>
      </c>
      <c r="Q49" s="111">
        <f>O49-L49</f>
        <v>-0.49143944197838607</v>
      </c>
      <c r="R49" s="182">
        <f>O49/L49</f>
        <v>0.99403364255745086</v>
      </c>
      <c r="S49" s="419">
        <f>R58</f>
        <v>0.97573099455568968</v>
      </c>
      <c r="T49" s="149">
        <v>0.2902777777777778</v>
      </c>
      <c r="U49" s="149">
        <v>0.34791666666666665</v>
      </c>
      <c r="V49" s="186"/>
      <c r="W49" s="150">
        <f t="shared" si="18"/>
        <v>82.999999999999943</v>
      </c>
      <c r="X49" s="186"/>
      <c r="Y49" s="186"/>
      <c r="Z49" s="425"/>
      <c r="AA49" s="425"/>
      <c r="AB49" s="110">
        <f>N49-K49</f>
        <v>-9.337349397589378</v>
      </c>
      <c r="AC49" s="182">
        <f>N49/K49</f>
        <v>0.99403364255745086</v>
      </c>
      <c r="AD49" s="411">
        <f>AC58</f>
        <v>0.97621028181149305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4386</v>
      </c>
      <c r="H50" s="76">
        <f t="shared" si="40"/>
        <v>219168.41999999998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1557.1597633136098</v>
      </c>
      <c r="O50" s="78">
        <f>N50/M50</f>
        <v>86.508875739644992</v>
      </c>
      <c r="P50" s="18">
        <f>M50-J50</f>
        <v>0</v>
      </c>
      <c r="Q50" s="19">
        <f>O50-L50</f>
        <v>-2.3800131492438936</v>
      </c>
      <c r="R50" s="183">
        <f>O50/L50</f>
        <v>0.97322485207100617</v>
      </c>
      <c r="S50" s="420"/>
      <c r="T50" s="79">
        <v>0.35416666666666669</v>
      </c>
      <c r="U50" s="79">
        <v>0.47152777777777777</v>
      </c>
      <c r="V50" s="175">
        <f t="shared" ref="V50:V52" si="41">(T50-U49)*24*60</f>
        <v>9.000000000000048</v>
      </c>
      <c r="W50" s="80">
        <f t="shared" si="18"/>
        <v>168.99999999999997</v>
      </c>
      <c r="X50" s="22"/>
      <c r="Y50" s="22"/>
      <c r="Z50" s="417"/>
      <c r="AA50" s="418"/>
      <c r="AB50" s="18">
        <f>N50-K50</f>
        <v>-42.840236686390199</v>
      </c>
      <c r="AC50" s="183">
        <f>N50/K50</f>
        <v>0.97322485207100617</v>
      </c>
      <c r="AD50" s="412"/>
    </row>
    <row r="51" spans="1:30" ht="15" customHeight="1">
      <c r="A51" s="455"/>
      <c r="B51" s="56" t="str">
        <f>VLOOKUP(D51,廠價表!$C$1:$E$40,2,0)</f>
        <v>義大利麵</v>
      </c>
      <c r="C51" s="10"/>
      <c r="D51" s="11" t="s">
        <v>59</v>
      </c>
      <c r="E51" s="86"/>
      <c r="F51" s="56">
        <f>VLOOKUP(D51,廠價表!$C$1:$E$40,3,0)</f>
        <v>49.97</v>
      </c>
      <c r="G51" s="66">
        <v>2270</v>
      </c>
      <c r="H51" s="76">
        <f t="shared" si="40"/>
        <v>113431.9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 t="shared" ref="L51:L52" si="42">K51/J51</f>
        <v>88.888888888888886</v>
      </c>
      <c r="M51" s="172">
        <v>18</v>
      </c>
      <c r="N51" s="77">
        <f t="shared" ref="N51:N52" si="43">G51/W51*60</f>
        <v>1565.5172413793016</v>
      </c>
      <c r="O51" s="78">
        <f t="shared" ref="O51:O52" si="44">N51/M51</f>
        <v>86.97318007662787</v>
      </c>
      <c r="P51" s="18">
        <f t="shared" ref="P51:P52" si="45">M51-J51</f>
        <v>0</v>
      </c>
      <c r="Q51" s="19">
        <f t="shared" ref="Q51:Q52" si="46">O51-L51</f>
        <v>-1.9157088122610162</v>
      </c>
      <c r="R51" s="183">
        <f t="shared" ref="R51:R52" si="47">O51/L51</f>
        <v>0.97844827586206362</v>
      </c>
      <c r="S51" s="420"/>
      <c r="T51" s="79">
        <v>0.53125</v>
      </c>
      <c r="U51" s="44">
        <v>0.59166666666666701</v>
      </c>
      <c r="V51" s="175">
        <f t="shared" si="41"/>
        <v>86.000000000000014</v>
      </c>
      <c r="W51" s="80">
        <f t="shared" si="18"/>
        <v>87.000000000000483</v>
      </c>
      <c r="X51" s="22"/>
      <c r="Y51" s="22"/>
      <c r="Z51" s="405"/>
      <c r="AA51" s="405"/>
      <c r="AB51" s="18">
        <f>N51-K51</f>
        <v>-34.482758620698405</v>
      </c>
      <c r="AC51" s="183">
        <f>N51/K51</f>
        <v>0.97844827586206351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1401</v>
      </c>
      <c r="H52" s="76">
        <f t="shared" si="40"/>
        <v>69923.909999999989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si="42"/>
        <v>92.058823529411768</v>
      </c>
      <c r="M52" s="172">
        <v>17</v>
      </c>
      <c r="N52" s="77">
        <f t="shared" si="43"/>
        <v>1501.0714285714298</v>
      </c>
      <c r="O52" s="78">
        <f t="shared" si="44"/>
        <v>88.298319327731164</v>
      </c>
      <c r="P52" s="18">
        <f t="shared" si="45"/>
        <v>0</v>
      </c>
      <c r="Q52" s="19">
        <f t="shared" si="46"/>
        <v>-3.7605042016806038</v>
      </c>
      <c r="R52" s="183">
        <f t="shared" si="47"/>
        <v>0.95915107256960364</v>
      </c>
      <c r="S52" s="420"/>
      <c r="T52" s="79">
        <v>0.59722222222222221</v>
      </c>
      <c r="U52" s="79">
        <v>0.63611111111111107</v>
      </c>
      <c r="V52" s="175">
        <f t="shared" si="41"/>
        <v>7.999999999999492</v>
      </c>
      <c r="W52" s="80">
        <f t="shared" si="18"/>
        <v>55.999999999999957</v>
      </c>
      <c r="X52" s="22"/>
      <c r="Y52" s="22"/>
      <c r="Z52" s="405"/>
      <c r="AA52" s="405"/>
      <c r="AB52" s="18">
        <f>N52-K52</f>
        <v>-63.928571428570194</v>
      </c>
      <c r="AC52" s="183">
        <f>N52/K52</f>
        <v>0.95915107256960375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79"/>
      <c r="U53" s="79"/>
      <c r="V53" s="175"/>
      <c r="W53" s="80">
        <f t="shared" si="18"/>
        <v>0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40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8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0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0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0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8">AVERAGE(J49:J57)</f>
        <v>18</v>
      </c>
      <c r="K58" s="117">
        <f t="shared" si="48"/>
        <v>1582.5</v>
      </c>
      <c r="L58" s="114">
        <f t="shared" si="48"/>
        <v>88.051255589955289</v>
      </c>
      <c r="M58" s="117">
        <f t="shared" si="48"/>
        <v>18</v>
      </c>
      <c r="N58" s="117">
        <f t="shared" si="48"/>
        <v>1544.8527709666878</v>
      </c>
      <c r="O58" s="114">
        <f t="shared" si="48"/>
        <v>85.9143391886643</v>
      </c>
      <c r="P58" s="118">
        <f>M58-J58</f>
        <v>0</v>
      </c>
      <c r="Q58" s="119">
        <f>N58-K58</f>
        <v>-37.647229033312215</v>
      </c>
      <c r="R58" s="120">
        <f t="shared" ref="R58:R60" si="49">O58/L58</f>
        <v>0.97573099455568968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50">N58-K58</f>
        <v>-37.647229033312215</v>
      </c>
      <c r="AC58" s="185">
        <f t="shared" ref="AC58:AC61" si="51">N58/K58</f>
        <v>0.97621028181149305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3419</v>
      </c>
      <c r="H59" s="105">
        <f t="shared" ref="H59:H68" si="52">F59*G59</f>
        <v>92278.81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53">G59/W59*60</f>
        <v>1554.0909090909092</v>
      </c>
      <c r="O59" s="108">
        <f t="shared" ref="O59:O61" si="54">N59/M59</f>
        <v>119.54545454545456</v>
      </c>
      <c r="P59" s="110">
        <f t="shared" ref="P59:P61" si="55">M59-J59</f>
        <v>0</v>
      </c>
      <c r="Q59" s="111">
        <f t="shared" ref="Q59:Q61" si="56">O59-L59</f>
        <v>-0.83916083916082584</v>
      </c>
      <c r="R59" s="182">
        <f t="shared" si="49"/>
        <v>0.99302933488237011</v>
      </c>
      <c r="S59" s="419">
        <f>R69</f>
        <v>0.78933838453994043</v>
      </c>
      <c r="T59" s="167">
        <v>0.29166666666666669</v>
      </c>
      <c r="U59" s="167">
        <v>0.38333333333333336</v>
      </c>
      <c r="V59" s="186"/>
      <c r="W59" s="106">
        <f t="shared" si="18"/>
        <v>132</v>
      </c>
      <c r="X59" s="186"/>
      <c r="Y59" s="186"/>
      <c r="Z59" s="469"/>
      <c r="AA59" s="434"/>
      <c r="AB59" s="223">
        <f t="shared" si="50"/>
        <v>-10.909090909090764</v>
      </c>
      <c r="AC59" s="224">
        <f t="shared" si="51"/>
        <v>0.99302933488237011</v>
      </c>
      <c r="AD59" s="411">
        <f>AC69</f>
        <v>0.79685204594914283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478</v>
      </c>
      <c r="H60" s="15">
        <f t="shared" si="52"/>
        <v>13608.66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3"/>
        <v>637.33333333333326</v>
      </c>
      <c r="O60" s="17">
        <f t="shared" si="54"/>
        <v>53.111111111111107</v>
      </c>
      <c r="P60" s="18">
        <f t="shared" si="55"/>
        <v>0</v>
      </c>
      <c r="Q60" s="19">
        <f t="shared" si="56"/>
        <v>-77.305555555555543</v>
      </c>
      <c r="R60" s="183">
        <f t="shared" si="49"/>
        <v>0.40724174653887113</v>
      </c>
      <c r="S60" s="474"/>
      <c r="T60" s="20">
        <v>0.38541666666666669</v>
      </c>
      <c r="U60" s="20">
        <v>0.41666666666666669</v>
      </c>
      <c r="V60" s="175">
        <f t="shared" ref="V60:V62" si="57">(T60-U59)*24*60</f>
        <v>2.9999999999999893</v>
      </c>
      <c r="W60" s="90">
        <f t="shared" si="18"/>
        <v>45</v>
      </c>
      <c r="X60" s="191"/>
      <c r="Y60" s="191"/>
      <c r="Z60" s="405" t="s">
        <v>135</v>
      </c>
      <c r="AA60" s="405"/>
      <c r="AB60" s="225">
        <f t="shared" si="50"/>
        <v>-927.66666666666674</v>
      </c>
      <c r="AC60" s="226">
        <f t="shared" si="51"/>
        <v>0.40724174653887107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2432</v>
      </c>
      <c r="H61" s="15">
        <f t="shared" si="52"/>
        <v>68728.320000000007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53"/>
        <v>1268.8695652173915</v>
      </c>
      <c r="O61" s="17">
        <f t="shared" si="54"/>
        <v>105.73913043478262</v>
      </c>
      <c r="P61" s="18">
        <f t="shared" si="55"/>
        <v>0</v>
      </c>
      <c r="Q61" s="19">
        <f t="shared" si="56"/>
        <v>-24.677536231884034</v>
      </c>
      <c r="R61" s="183">
        <f>O61/L61</f>
        <v>0.81077927489929169</v>
      </c>
      <c r="S61" s="420"/>
      <c r="T61" s="20">
        <v>0.4201388888888889</v>
      </c>
      <c r="U61" s="20">
        <v>0.5</v>
      </c>
      <c r="V61" s="175">
        <f t="shared" si="57"/>
        <v>4.9999999999999822</v>
      </c>
      <c r="W61" s="88">
        <f t="shared" si="18"/>
        <v>114.99999999999999</v>
      </c>
      <c r="X61" s="22"/>
      <c r="Y61" s="22"/>
      <c r="Z61" s="405"/>
      <c r="AA61" s="405"/>
      <c r="AB61" s="51">
        <f t="shared" si="50"/>
        <v>-296.13043478260852</v>
      </c>
      <c r="AC61" s="52">
        <f t="shared" si="51"/>
        <v>0.81077927489929169</v>
      </c>
      <c r="AD61" s="412"/>
    </row>
    <row r="62" spans="1:30" ht="15" customHeight="1">
      <c r="A62" s="472"/>
      <c r="B62" s="56" t="str">
        <f>VLOOKUP(D62,廠價表!$C$1:$E$40,2,0)</f>
        <v>小吃、微波</v>
      </c>
      <c r="C62" s="10"/>
      <c r="D62" s="239" t="s">
        <v>62</v>
      </c>
      <c r="E62" s="86"/>
      <c r="F62" s="56">
        <f>VLOOKUP(D62,廠價表!$C$1:$E$40,3,0)</f>
        <v>26.99</v>
      </c>
      <c r="G62" s="175">
        <v>1146</v>
      </c>
      <c r="H62" s="15">
        <f>F62*G62</f>
        <v>30930.539999999997</v>
      </c>
      <c r="I62" s="81"/>
      <c r="J62" s="16">
        <f>VLOOKUP(D62,產線配置圖!$A$3:$C$39,2,0)</f>
        <v>13</v>
      </c>
      <c r="K62" s="14">
        <f>VLOOKUP(D62,產線配置圖!$A$3:$C$39,3,0)</f>
        <v>1565</v>
      </c>
      <c r="L62" s="17">
        <f>K62/J62</f>
        <v>120.38461538461539</v>
      </c>
      <c r="M62" s="178">
        <v>13</v>
      </c>
      <c r="N62" s="14">
        <f>G62/W62*60</f>
        <v>1528</v>
      </c>
      <c r="O62" s="17">
        <f>N62/M62</f>
        <v>117.53846153846153</v>
      </c>
      <c r="P62" s="18">
        <f>M62-J62</f>
        <v>0</v>
      </c>
      <c r="Q62" s="19">
        <f>O62-L62</f>
        <v>-2.8461538461538538</v>
      </c>
      <c r="R62" s="183">
        <f>O62/L62</f>
        <v>0.97635782747603828</v>
      </c>
      <c r="S62" s="420"/>
      <c r="T62" s="196">
        <v>0.55208333333333337</v>
      </c>
      <c r="U62" s="196">
        <v>0.58333333333333337</v>
      </c>
      <c r="V62" s="175">
        <f t="shared" si="57"/>
        <v>75.000000000000057</v>
      </c>
      <c r="W62" s="90">
        <f t="shared" si="18"/>
        <v>45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8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52"/>
        <v>0</v>
      </c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2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8">AVERAGE(J59:J68)</f>
        <v>12.5</v>
      </c>
      <c r="K69" s="164">
        <f t="shared" si="58"/>
        <v>1565</v>
      </c>
      <c r="L69" s="169">
        <f t="shared" si="58"/>
        <v>125.40064102564102</v>
      </c>
      <c r="M69" s="164">
        <f t="shared" si="58"/>
        <v>12.5</v>
      </c>
      <c r="N69" s="164">
        <f t="shared" si="58"/>
        <v>1247.0734519104085</v>
      </c>
      <c r="O69" s="169">
        <f t="shared" si="58"/>
        <v>98.983539407452469</v>
      </c>
      <c r="P69" s="170">
        <f>M69-J69</f>
        <v>0</v>
      </c>
      <c r="Q69" s="156">
        <f>N69-K69</f>
        <v>-317.92654808959151</v>
      </c>
      <c r="R69" s="120">
        <f>O69/L69</f>
        <v>0.78933838453994043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-317.92654808959151</v>
      </c>
      <c r="AC69" s="185">
        <f>N69/K69</f>
        <v>0.79685204594914283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8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8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9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9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9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9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9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 t="e">
        <f>AVERAGE(J70:J78)</f>
        <v>#DIV/0!</v>
      </c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248" priority="1" operator="greaterThan">
      <formula>0</formula>
    </cfRule>
  </conditionalFormatting>
  <conditionalFormatting sqref="Q5:Q79 AB5:AB79">
    <cfRule type="cellIs" dxfId="247" priority="4" operator="lessThan">
      <formula>0</formula>
    </cfRule>
  </conditionalFormatting>
  <conditionalFormatting sqref="R5:R79 AC5:AC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D59:AD62 S69:S76 AD69:AD76">
    <cfRule type="cellIs" dxfId="244" priority="7" operator="lessThan">
      <formula>0.8</formula>
    </cfRule>
  </conditionalFormatting>
  <conditionalFormatting sqref="S19:S25 AD19:AD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D5:AD8 S15:S16 AD15:AD16 AD49 AD79">
    <cfRule type="cellIs" dxfId="241" priority="9" operator="lessThan">
      <formula>0.8</formula>
    </cfRule>
  </conditionalFormatting>
  <conditionalFormatting sqref="AD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J24" sqref="J24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45999</v>
      </c>
      <c r="E3" s="357"/>
      <c r="F3" s="202" t="s">
        <v>84</v>
      </c>
      <c r="G3" s="358">
        <f>'1208'!E1</f>
        <v>50421</v>
      </c>
      <c r="H3" s="358"/>
      <c r="I3" s="202" t="s">
        <v>2</v>
      </c>
      <c r="J3" s="359">
        <f>'1208'!G1</f>
        <v>2444877.3800000004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117.15511332063188</v>
      </c>
      <c r="G6" s="367"/>
      <c r="H6" s="360">
        <f>AVERAGE(D13:H13)</f>
        <v>115.17160607022836</v>
      </c>
      <c r="I6" s="360"/>
      <c r="J6" s="360">
        <f>AVERAGE(I13:J13)</f>
        <v>127.07264957264958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103.72340120433449</v>
      </c>
      <c r="G7" s="362"/>
      <c r="H7" s="363">
        <f>AVERAGE(D14:H14)</f>
        <v>102.98312418024413</v>
      </c>
      <c r="I7" s="363"/>
      <c r="J7" s="363">
        <f>AVERAGE(I14:J14)</f>
        <v>107.42478632478633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0.88430027811954981</v>
      </c>
      <c r="G8" s="364"/>
      <c r="H8" s="364">
        <f>AVERAGE(D15:H15)</f>
        <v>0.89208416088319409</v>
      </c>
      <c r="I8" s="364"/>
      <c r="J8" s="364">
        <f>AVERAGE(I15:J15)</f>
        <v>0.84538086430132831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VALUE('1208'!L15)</f>
        <v>136.91288084464554</v>
      </c>
      <c r="E13" s="213">
        <f>VALUE('1208'!L26)</f>
        <v>160.58974358974359</v>
      </c>
      <c r="F13" s="213">
        <f>VALUE('1208'!L37)</f>
        <v>92.250816993464056</v>
      </c>
      <c r="G13" s="213">
        <f>VALUE('1208'!L48)</f>
        <v>98.053333333333342</v>
      </c>
      <c r="H13" s="213">
        <f>VALUE('1208'!L58)</f>
        <v>88.051255589955289</v>
      </c>
      <c r="I13" s="213">
        <f>VALUE('1208'!L69)</f>
        <v>127.07264957264958</v>
      </c>
      <c r="J13" s="213"/>
    </row>
    <row r="14" spans="2:15" ht="40" customHeight="1">
      <c r="B14" s="376"/>
      <c r="C14" s="212" t="s">
        <v>106</v>
      </c>
      <c r="D14" s="213">
        <f>VALUE('1208'!O15)</f>
        <v>121.72879807101256</v>
      </c>
      <c r="E14" s="213">
        <f>VALUE('1208'!O26)</f>
        <v>147.62089113825147</v>
      </c>
      <c r="F14" s="213">
        <f>VALUE('1208'!O37)</f>
        <v>79.356245035070032</v>
      </c>
      <c r="G14" s="213">
        <f>VALUE('1208'!O48)</f>
        <v>82.683443223443177</v>
      </c>
      <c r="H14" s="213">
        <f>VALUE('1208'!O58)</f>
        <v>83.526243433443412</v>
      </c>
      <c r="I14" s="213">
        <f>VALUE('1208'!O69)</f>
        <v>107.42478632478633</v>
      </c>
      <c r="J14" s="213"/>
    </row>
    <row r="15" spans="2:15" ht="40" customHeight="1">
      <c r="B15" s="377"/>
      <c r="C15" s="210" t="s">
        <v>23</v>
      </c>
      <c r="D15" s="231">
        <f>D14/D13</f>
        <v>0.88909675495863461</v>
      </c>
      <c r="E15" s="231">
        <f t="shared" ref="E15:I15" si="0">E14/E13</f>
        <v>0.91924233664247279</v>
      </c>
      <c r="F15" s="231">
        <f t="shared" si="0"/>
        <v>0.86022268009498926</v>
      </c>
      <c r="G15" s="231">
        <f t="shared" si="0"/>
        <v>0.8432496929233394</v>
      </c>
      <c r="H15" s="231">
        <f t="shared" si="0"/>
        <v>0.94860933979653461</v>
      </c>
      <c r="I15" s="231">
        <f t="shared" si="0"/>
        <v>0.84538086430132831</v>
      </c>
      <c r="J15" s="231"/>
    </row>
    <row r="16" spans="2:15" ht="17.25" customHeight="1">
      <c r="B16" s="378" t="s">
        <v>107</v>
      </c>
      <c r="C16" s="210" t="s">
        <v>29</v>
      </c>
      <c r="D16" s="95">
        <f>'1208'!T5</f>
        <v>0.2902777777777778</v>
      </c>
      <c r="E16" s="95">
        <f>'1208'!T16</f>
        <v>0.2902777777777778</v>
      </c>
      <c r="F16" s="95">
        <f>'1208'!T27</f>
        <v>0.28958333333333303</v>
      </c>
      <c r="G16" s="95">
        <f>'1208'!T38</f>
        <v>0.33333333333333331</v>
      </c>
      <c r="H16" s="95">
        <f>'1208'!T49</f>
        <v>0.2902777777777778</v>
      </c>
      <c r="I16" s="95">
        <f>'1208'!T59</f>
        <v>0.2902777777777778</v>
      </c>
      <c r="J16" s="269"/>
    </row>
    <row r="17" spans="2:10" ht="17.25" customHeight="1">
      <c r="B17" s="379"/>
      <c r="C17" s="210" t="s">
        <v>30</v>
      </c>
      <c r="D17" s="95">
        <v>0.60694444444444395</v>
      </c>
      <c r="E17" s="41">
        <v>0.62430555555555556</v>
      </c>
      <c r="F17" s="41">
        <v>0.64583333333333337</v>
      </c>
      <c r="G17" s="75">
        <v>0.62777777777777777</v>
      </c>
      <c r="H17" s="79">
        <v>0.625</v>
      </c>
      <c r="I17" s="20">
        <v>0.51736111111111116</v>
      </c>
      <c r="J17" s="20"/>
    </row>
    <row r="18" spans="2:10" ht="17.25" customHeight="1">
      <c r="B18" s="365" t="s">
        <v>108</v>
      </c>
      <c r="C18" s="366"/>
      <c r="D18" s="214">
        <f>VALUE('1208'!M15)</f>
        <v>14.2</v>
      </c>
      <c r="E18" s="214">
        <f>VALUE('1208'!M26)</f>
        <v>12.6</v>
      </c>
      <c r="F18" s="214">
        <f>VALUE('1208'!M37)</f>
        <v>14.25</v>
      </c>
      <c r="G18" s="214">
        <f>VALUE('1208'!M48)</f>
        <v>13.8</v>
      </c>
      <c r="H18" s="214">
        <f>VALUE('1208'!M58)</f>
        <v>18</v>
      </c>
      <c r="I18" s="214">
        <f>VALUE('1208'!M69)</f>
        <v>12.333333333333334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M59" activePane="bottomRight" state="frozen"/>
      <selection activeCell="J24" sqref="J24"/>
      <selection pane="topRight" activeCell="J24" sqref="J24"/>
      <selection pane="bottomLeft" activeCell="J24" sqref="J24"/>
      <selection pane="bottomRight" activeCell="V61" activeCellId="13" sqref="Z41:AA41 V6 V7 V9 V17 V18 V28 V29 V39 V40 V50 V52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50421</v>
      </c>
      <c r="F1" s="175" t="s">
        <v>2</v>
      </c>
      <c r="G1" s="4">
        <f>SUM(H5:H79)</f>
        <v>2444877.3800000004</v>
      </c>
      <c r="H1" s="173" t="s">
        <v>3</v>
      </c>
      <c r="I1" s="5">
        <f>M15+M26+M48+M58+M69+M79+M37</f>
        <v>85.183333333333323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139</v>
      </c>
      <c r="B2" s="404"/>
      <c r="C2" s="174"/>
      <c r="D2" s="174" t="s">
        <v>11</v>
      </c>
      <c r="E2" s="7">
        <f>AVERAGE(O15,O26,O37,O48,O58,O69,O79)</f>
        <v>103.72340120433449</v>
      </c>
      <c r="F2" s="8" t="s">
        <v>12</v>
      </c>
      <c r="G2" s="9">
        <f>G1/E1</f>
        <v>48.48926796374527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1451</v>
      </c>
      <c r="H5" s="318">
        <f>F5*G5</f>
        <v>83011.710000000006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9" si="0">G5/W5*60</f>
        <v>1776.7346938775515</v>
      </c>
      <c r="O5" s="322">
        <f t="shared" ref="O5:O9" si="1">N5/M5</f>
        <v>136.67189952904243</v>
      </c>
      <c r="P5" s="324">
        <f t="shared" ref="P5:P9" si="2">M5-J5</f>
        <v>0</v>
      </c>
      <c r="Q5" s="325">
        <f t="shared" ref="Q5:Q9" si="3">O5-L5</f>
        <v>-25.251177394034499</v>
      </c>
      <c r="R5" s="326">
        <f t="shared" ref="R5:R9" si="4">O5/L5</f>
        <v>0.84405448640263736</v>
      </c>
      <c r="S5" s="419">
        <f>R15</f>
        <v>0.88909675495863461</v>
      </c>
      <c r="T5" s="327">
        <v>0.2902777777777778</v>
      </c>
      <c r="U5" s="328">
        <v>0.32430555555555557</v>
      </c>
      <c r="V5" s="192"/>
      <c r="W5" s="106">
        <f t="shared" ref="W5:W14" si="5">(U5-T5)*24*60</f>
        <v>48.999999999999986</v>
      </c>
      <c r="X5" s="186"/>
      <c r="Y5" s="186"/>
      <c r="Z5" s="425"/>
      <c r="AA5" s="425"/>
      <c r="AB5" s="110">
        <f>N5-K5</f>
        <v>-328.26530612244846</v>
      </c>
      <c r="AC5" s="182">
        <f>N5/K5</f>
        <v>0.84405448640263736</v>
      </c>
      <c r="AD5" s="411">
        <f>AC15</f>
        <v>0.88912914199539073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33</v>
      </c>
      <c r="E6" s="248"/>
      <c r="F6" s="305">
        <f>VLOOKUP(D6,廠價表!$C$1:$E$40,3,0)</f>
        <v>57.21</v>
      </c>
      <c r="G6" s="306">
        <v>1933</v>
      </c>
      <c r="H6" s="307">
        <f>F6*G6</f>
        <v>110586.93000000001</v>
      </c>
      <c r="I6" s="308"/>
      <c r="J6" s="309">
        <f>VLOOKUP(D6,產線配置圖!$A$3:$C$39,2,0)</f>
        <v>17</v>
      </c>
      <c r="K6" s="306">
        <v>1800</v>
      </c>
      <c r="L6" s="310">
        <f>K6/J6</f>
        <v>105.88235294117646</v>
      </c>
      <c r="M6" s="311">
        <v>17</v>
      </c>
      <c r="N6" s="306">
        <f t="shared" si="0"/>
        <v>1757.2727272727016</v>
      </c>
      <c r="O6" s="310">
        <f t="shared" si="1"/>
        <v>103.36898395721774</v>
      </c>
      <c r="P6" s="312">
        <f t="shared" si="2"/>
        <v>0</v>
      </c>
      <c r="Q6" s="313">
        <f t="shared" si="3"/>
        <v>-2.5133689839587277</v>
      </c>
      <c r="R6" s="314">
        <f t="shared" si="4"/>
        <v>0.97626262626261207</v>
      </c>
      <c r="S6" s="420"/>
      <c r="T6" s="267">
        <v>0.33194444444444399</v>
      </c>
      <c r="U6" s="267">
        <v>0.37777777777777799</v>
      </c>
      <c r="V6" s="175">
        <f>(T6-U5)*24*60</f>
        <v>10.999999999999321</v>
      </c>
      <c r="W6" s="180">
        <f t="shared" si="5"/>
        <v>66.000000000000966</v>
      </c>
      <c r="X6" s="22"/>
      <c r="Y6" s="22"/>
      <c r="Z6" s="391"/>
      <c r="AA6" s="391"/>
      <c r="AB6" s="18">
        <f>N6-K6</f>
        <v>-42.727272727298441</v>
      </c>
      <c r="AC6" s="183">
        <f>N6/K6</f>
        <v>0.97626262626261195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34</v>
      </c>
      <c r="E7" s="86"/>
      <c r="F7" s="56">
        <f>VLOOKUP(D7,廠價表!$C$1:$E$40,3,0)</f>
        <v>49.14</v>
      </c>
      <c r="G7" s="25">
        <v>4436</v>
      </c>
      <c r="H7" s="15">
        <f t="shared" ref="H7:H9" si="6">F7*G7</f>
        <v>217985.04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1942.7737226277352</v>
      </c>
      <c r="O7" s="17">
        <f t="shared" si="1"/>
        <v>149.44413250982578</v>
      </c>
      <c r="P7" s="18">
        <f t="shared" si="2"/>
        <v>0</v>
      </c>
      <c r="Q7" s="19">
        <f t="shared" si="3"/>
        <v>-4.4020213363280618</v>
      </c>
      <c r="R7" s="183">
        <f t="shared" si="4"/>
        <v>0.97138686131386764</v>
      </c>
      <c r="S7" s="420"/>
      <c r="T7" s="95">
        <v>0.38333333333333303</v>
      </c>
      <c r="U7" s="95">
        <v>0.47847222222222202</v>
      </c>
      <c r="V7" s="175">
        <f>(T7-U6)*24*60</f>
        <v>7.9999999999992522</v>
      </c>
      <c r="W7" s="180">
        <f t="shared" si="5"/>
        <v>137.00000000000014</v>
      </c>
      <c r="X7" s="22"/>
      <c r="Y7" s="22"/>
      <c r="Z7" s="405"/>
      <c r="AA7" s="405"/>
      <c r="AB7" s="18">
        <f>N7-K7</f>
        <v>-57.226277372264803</v>
      </c>
      <c r="AC7" s="183">
        <f>N7/K7</f>
        <v>0.97138686131386764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1522</v>
      </c>
      <c r="H8" s="15">
        <f t="shared" si="6"/>
        <v>74791.08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1826.4000000000124</v>
      </c>
      <c r="O8" s="17">
        <f t="shared" si="1"/>
        <v>140.49230769230866</v>
      </c>
      <c r="P8" s="18">
        <f t="shared" si="2"/>
        <v>0</v>
      </c>
      <c r="Q8" s="19">
        <f t="shared" si="3"/>
        <v>-13.353846153845183</v>
      </c>
      <c r="R8" s="183">
        <f t="shared" si="4"/>
        <v>0.91320000000000634</v>
      </c>
      <c r="S8" s="420"/>
      <c r="T8" s="95">
        <v>0.54027777777777797</v>
      </c>
      <c r="U8" s="95">
        <v>0.57499999999999996</v>
      </c>
      <c r="V8" s="175">
        <f t="shared" ref="V8:V9" si="7">(T8-U7)*24*60</f>
        <v>89.000000000000568</v>
      </c>
      <c r="W8" s="180">
        <f t="shared" si="5"/>
        <v>49.999999999999659</v>
      </c>
      <c r="X8" s="22"/>
      <c r="Y8" s="260"/>
      <c r="Z8" s="416"/>
      <c r="AA8" s="416"/>
      <c r="AB8" s="18">
        <f>N8-K8</f>
        <v>-173.59999999998763</v>
      </c>
      <c r="AC8" s="183">
        <f>N8/K8</f>
        <v>0.91320000000000623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35</v>
      </c>
      <c r="E9" s="86"/>
      <c r="F9" s="56">
        <f>VLOOKUP(D9,廠價表!$C$1:$E$40,3,0)</f>
        <v>56.43</v>
      </c>
      <c r="G9" s="25">
        <v>590</v>
      </c>
      <c r="H9" s="15">
        <f t="shared" si="6"/>
        <v>33293.699999999997</v>
      </c>
      <c r="I9" s="180"/>
      <c r="J9" s="16">
        <f>VLOOKUP(D9,產線配置圖!$A$3:$C$39,2,0)</f>
        <v>15</v>
      </c>
      <c r="K9" s="14">
        <f>VLOOKUP(D9,產線配置圖!$A$3:$C$39,3,0)</f>
        <v>1636</v>
      </c>
      <c r="L9" s="17">
        <f>K9/J9</f>
        <v>109.06666666666666</v>
      </c>
      <c r="M9" s="178">
        <v>15</v>
      </c>
      <c r="N9" s="14">
        <f t="shared" si="0"/>
        <v>1180.0000000000232</v>
      </c>
      <c r="O9" s="17">
        <f t="shared" si="1"/>
        <v>78.666666666668206</v>
      </c>
      <c r="P9" s="18">
        <f t="shared" si="2"/>
        <v>0</v>
      </c>
      <c r="Q9" s="19">
        <f t="shared" si="3"/>
        <v>-30.399999999998457</v>
      </c>
      <c r="R9" s="183">
        <f t="shared" si="4"/>
        <v>0.72127139364304593</v>
      </c>
      <c r="S9" s="421"/>
      <c r="T9" s="95">
        <v>0.58611111111111103</v>
      </c>
      <c r="U9" s="95">
        <v>0.60694444444444395</v>
      </c>
      <c r="V9" s="175">
        <f t="shared" si="7"/>
        <v>15.999999999999943</v>
      </c>
      <c r="W9" s="180">
        <f t="shared" si="5"/>
        <v>29.999999999999414</v>
      </c>
      <c r="X9" s="22"/>
      <c r="Y9" s="260"/>
      <c r="Z9" s="475" t="s">
        <v>138</v>
      </c>
      <c r="AA9" s="476"/>
      <c r="AB9" s="18">
        <f>N9-K9</f>
        <v>-455.99999999997681</v>
      </c>
      <c r="AC9" s="183">
        <f>N9/K9</f>
        <v>0.72127139364304593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8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14.2</v>
      </c>
      <c r="K15" s="117">
        <f t="shared" si="9"/>
        <v>1908.2</v>
      </c>
      <c r="L15" s="114">
        <f t="shared" si="9"/>
        <v>136.91288084464554</v>
      </c>
      <c r="M15" s="117">
        <f t="shared" si="9"/>
        <v>14.2</v>
      </c>
      <c r="N15" s="117">
        <f t="shared" si="9"/>
        <v>1696.6362287556046</v>
      </c>
      <c r="O15" s="114">
        <f t="shared" si="9"/>
        <v>121.72879807101256</v>
      </c>
      <c r="P15" s="118">
        <f t="shared" ref="P15:P20" si="10">M15-J15</f>
        <v>0</v>
      </c>
      <c r="Q15" s="119">
        <f t="shared" ref="Q15:Q20" si="11">O15-L15</f>
        <v>-15.18408277363298</v>
      </c>
      <c r="R15" s="120">
        <f t="shared" ref="R15:R20" si="12">O15/L15</f>
        <v>0.88909675495863461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3">N15-K15</f>
        <v>-211.56377124439541</v>
      </c>
      <c r="AC15" s="185">
        <f t="shared" ref="AC15:AC20" si="14">N15/K15</f>
        <v>0.88912914199539073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1329</v>
      </c>
      <c r="H16" s="124">
        <f t="shared" ref="H16:H25" si="15">F16*G16</f>
        <v>76032.09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20" si="16">K16/J16</f>
        <v>161.92307692307693</v>
      </c>
      <c r="M16" s="264">
        <v>13</v>
      </c>
      <c r="N16" s="126">
        <f t="shared" ref="N16:N20" si="17">G16/W16*60</f>
        <v>1812.2727272727273</v>
      </c>
      <c r="O16" s="127">
        <f>N16/M16</f>
        <v>139.4055944055944</v>
      </c>
      <c r="P16" s="128">
        <f>M16-J16</f>
        <v>0</v>
      </c>
      <c r="Q16" s="129">
        <f t="shared" si="11"/>
        <v>-22.517482517482534</v>
      </c>
      <c r="R16" s="187">
        <f>O16/L16</f>
        <v>0.8609371625998703</v>
      </c>
      <c r="S16" s="431">
        <f>R26</f>
        <v>0.91924233664247279</v>
      </c>
      <c r="T16" s="265">
        <v>0.2902777777777778</v>
      </c>
      <c r="U16" s="265">
        <v>0.32083333333333336</v>
      </c>
      <c r="V16" s="125"/>
      <c r="W16" s="130">
        <f t="shared" ref="W16:W78" si="18">(U16-T16)*24*60</f>
        <v>44</v>
      </c>
      <c r="X16" s="127"/>
      <c r="Y16" s="127"/>
      <c r="Z16" s="425"/>
      <c r="AA16" s="425"/>
      <c r="AB16" s="110">
        <f t="shared" si="13"/>
        <v>-292.72727272727275</v>
      </c>
      <c r="AC16" s="182">
        <f t="shared" si="14"/>
        <v>0.86093716259987041</v>
      </c>
      <c r="AD16" s="411">
        <f>AC26</f>
        <v>0.91872092422226392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3081</v>
      </c>
      <c r="H17" s="15">
        <f t="shared" si="15"/>
        <v>156114.27000000002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>G17/W17*60</f>
        <v>1925.6250000000005</v>
      </c>
      <c r="O17" s="38">
        <f t="shared" ref="O17:O20" si="19">N17/M17</f>
        <v>148.12500000000003</v>
      </c>
      <c r="P17" s="39">
        <f t="shared" si="10"/>
        <v>0</v>
      </c>
      <c r="Q17" s="40">
        <f t="shared" si="11"/>
        <v>-5.7211538461538112</v>
      </c>
      <c r="R17" s="188">
        <f t="shared" si="12"/>
        <v>0.96281250000000018</v>
      </c>
      <c r="S17" s="432"/>
      <c r="T17" s="41">
        <v>0.3298611111111111</v>
      </c>
      <c r="U17" s="41">
        <v>0.39652777777777776</v>
      </c>
      <c r="V17" s="175">
        <f>(T17-U16)*24*60</f>
        <v>12.999999999999954</v>
      </c>
      <c r="W17" s="43">
        <f t="shared" si="18"/>
        <v>95.999999999999972</v>
      </c>
      <c r="X17" s="44"/>
      <c r="Y17" s="44"/>
      <c r="Z17" s="405"/>
      <c r="AA17" s="405"/>
      <c r="AB17" s="18">
        <f t="shared" si="13"/>
        <v>-74.374999999999545</v>
      </c>
      <c r="AC17" s="183">
        <f t="shared" si="14"/>
        <v>0.96281250000000018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3263</v>
      </c>
      <c r="H18" s="15">
        <f t="shared" si="15"/>
        <v>164422.57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1829.7196261682241</v>
      </c>
      <c r="O18" s="38">
        <f t="shared" si="19"/>
        <v>152.47663551401868</v>
      </c>
      <c r="P18" s="39">
        <f t="shared" si="10"/>
        <v>0</v>
      </c>
      <c r="Q18" s="40">
        <f t="shared" si="11"/>
        <v>-14.190031152647975</v>
      </c>
      <c r="R18" s="188">
        <f t="shared" si="12"/>
        <v>0.91485981308411213</v>
      </c>
      <c r="S18" s="432"/>
      <c r="T18" s="41">
        <v>0.40486111111111112</v>
      </c>
      <c r="U18" s="41">
        <v>0.47916666666666669</v>
      </c>
      <c r="V18" s="175">
        <f>(T18-U17)*24*60</f>
        <v>12.000000000000037</v>
      </c>
      <c r="W18" s="43">
        <f t="shared" si="18"/>
        <v>107.00000000000001</v>
      </c>
      <c r="X18" s="22"/>
      <c r="Y18" s="22"/>
      <c r="Z18" s="405"/>
      <c r="AA18" s="405"/>
      <c r="AB18" s="18">
        <f t="shared" si="13"/>
        <v>-170.28037383177593</v>
      </c>
      <c r="AC18" s="183">
        <f t="shared" si="14"/>
        <v>0.91485981308411202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2006</v>
      </c>
      <c r="H19" s="15">
        <f t="shared" si="15"/>
        <v>101082.34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6"/>
        <v>166.66666666666666</v>
      </c>
      <c r="M19" s="37">
        <v>12</v>
      </c>
      <c r="N19" s="36">
        <f t="shared" si="17"/>
        <v>1910.4761904761876</v>
      </c>
      <c r="O19" s="38">
        <f t="shared" si="19"/>
        <v>159.20634920634896</v>
      </c>
      <c r="P19" s="39">
        <f t="shared" si="10"/>
        <v>0</v>
      </c>
      <c r="Q19" s="40">
        <f t="shared" si="11"/>
        <v>-7.4603174603176967</v>
      </c>
      <c r="R19" s="188">
        <f t="shared" si="12"/>
        <v>0.95523809523809378</v>
      </c>
      <c r="S19" s="432"/>
      <c r="T19" s="41">
        <v>0.54166666666666663</v>
      </c>
      <c r="U19" s="41">
        <v>0.5854166666666667</v>
      </c>
      <c r="V19" s="175">
        <f>(T19-U18)*24*60</f>
        <v>89.999999999999915</v>
      </c>
      <c r="W19" s="43">
        <f t="shared" si="18"/>
        <v>63.000000000000099</v>
      </c>
      <c r="X19" s="22">
        <v>0.48958333333333298</v>
      </c>
      <c r="Y19" s="260">
        <v>0.53125</v>
      </c>
      <c r="Z19" s="416"/>
      <c r="AA19" s="416"/>
      <c r="AB19" s="18">
        <f t="shared" si="13"/>
        <v>-89.523809523812361</v>
      </c>
      <c r="AC19" s="183">
        <f t="shared" si="14"/>
        <v>0.95523809523809378</v>
      </c>
      <c r="AD19" s="413"/>
    </row>
    <row r="20" spans="1:30" ht="15" customHeight="1">
      <c r="A20" s="440"/>
      <c r="B20" s="56" t="str">
        <f>VLOOKUP(D20,廠價表!$C$1:$E$40,2,0)</f>
        <v>義大利麵</v>
      </c>
      <c r="C20" s="10"/>
      <c r="D20" s="11" t="s">
        <v>40</v>
      </c>
      <c r="E20" s="86"/>
      <c r="F20" s="56">
        <f>VLOOKUP(D20,廠價表!$C$1:$E$40,3,0)</f>
        <v>50.67</v>
      </c>
      <c r="G20" s="96">
        <v>1294</v>
      </c>
      <c r="H20" s="15">
        <f t="shared" si="15"/>
        <v>65566.98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 t="shared" si="16"/>
        <v>153.84615384615384</v>
      </c>
      <c r="M20" s="37">
        <v>13</v>
      </c>
      <c r="N20" s="36">
        <f t="shared" si="17"/>
        <v>1805.5813953488371</v>
      </c>
      <c r="O20" s="38">
        <f t="shared" si="19"/>
        <v>138.89087656529517</v>
      </c>
      <c r="P20" s="39">
        <f t="shared" si="10"/>
        <v>0</v>
      </c>
      <c r="Q20" s="40">
        <f t="shared" si="11"/>
        <v>-14.955277280858667</v>
      </c>
      <c r="R20" s="188">
        <f t="shared" si="12"/>
        <v>0.90279069767441866</v>
      </c>
      <c r="S20" s="432"/>
      <c r="T20" s="41">
        <v>0.59444444444444444</v>
      </c>
      <c r="U20" s="41">
        <v>0.62430555555555556</v>
      </c>
      <c r="V20" s="175"/>
      <c r="W20" s="43">
        <f t="shared" si="18"/>
        <v>43.000000000000007</v>
      </c>
      <c r="X20" s="44"/>
      <c r="Y20" s="44"/>
      <c r="Z20" s="418"/>
      <c r="AA20" s="405"/>
      <c r="AB20" s="18">
        <f t="shared" si="13"/>
        <v>-194.41860465116292</v>
      </c>
      <c r="AC20" s="183">
        <f t="shared" si="14"/>
        <v>0.90279069767441855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12.6</v>
      </c>
      <c r="K26" s="133">
        <f t="shared" si="20"/>
        <v>2021</v>
      </c>
      <c r="L26" s="136">
        <f t="shared" si="20"/>
        <v>160.58974358974359</v>
      </c>
      <c r="M26" s="133">
        <f t="shared" si="20"/>
        <v>12.6</v>
      </c>
      <c r="N26" s="133">
        <f t="shared" si="20"/>
        <v>1856.7349878531954</v>
      </c>
      <c r="O26" s="136">
        <f t="shared" si="20"/>
        <v>147.62089113825147</v>
      </c>
      <c r="P26" s="137">
        <f t="shared" ref="P26:P30" si="21">M26-J26</f>
        <v>0</v>
      </c>
      <c r="Q26" s="138">
        <f t="shared" ref="Q26:Q30" si="22">O26-L26</f>
        <v>-12.968852451492126</v>
      </c>
      <c r="R26" s="139">
        <f t="shared" ref="R26:R30" si="23">O26/L26</f>
        <v>0.91924233664247279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-164.26501214680457</v>
      </c>
      <c r="AC26" s="185">
        <f>N26/K26</f>
        <v>0.91872092422226392</v>
      </c>
      <c r="AD26" s="414"/>
    </row>
    <row r="27" spans="1:30" ht="15" customHeight="1">
      <c r="A27" s="428" t="s">
        <v>44</v>
      </c>
      <c r="B27" s="227" t="str">
        <f>VLOOKUP(D27,廠價表!$C$1:$E$40,2,0)</f>
        <v>熱乾麵</v>
      </c>
      <c r="C27" s="101"/>
      <c r="D27" s="330" t="s">
        <v>46</v>
      </c>
      <c r="E27" s="103"/>
      <c r="F27" s="197">
        <f>VLOOKUP(D27,廠價表!$C$1:$E$40,3,0)</f>
        <v>49.91</v>
      </c>
      <c r="G27" s="266">
        <v>1654</v>
      </c>
      <c r="H27" s="124">
        <f t="shared" ref="H27:H41" si="24">F27*G27</f>
        <v>82551.14</v>
      </c>
      <c r="I27" s="125"/>
      <c r="J27" s="16">
        <f>VLOOKUP(D27,產線配置圖!$A$3:$C$39,2,0)</f>
        <v>17</v>
      </c>
      <c r="K27" s="14">
        <f>VLOOKUP(D27,產線配置圖!$A$3:$C$39,3,0)</f>
        <v>1565</v>
      </c>
      <c r="L27" s="108">
        <f>K27/J27</f>
        <v>92.058823529411768</v>
      </c>
      <c r="M27" s="143">
        <v>14</v>
      </c>
      <c r="N27" s="126">
        <f>G27/W27*60</f>
        <v>1067.0967741935376</v>
      </c>
      <c r="O27" s="127">
        <f>N27/M27</f>
        <v>76.221198156681254</v>
      </c>
      <c r="P27" s="128">
        <f t="shared" si="21"/>
        <v>-3</v>
      </c>
      <c r="Q27" s="129">
        <f t="shared" si="22"/>
        <v>-15.837625372730514</v>
      </c>
      <c r="R27" s="187">
        <f>O27/L27</f>
        <v>0.82796189690963662</v>
      </c>
      <c r="S27" s="431">
        <f>R37</f>
        <v>0.86022268009498926</v>
      </c>
      <c r="T27" s="94">
        <v>0.28958333333333303</v>
      </c>
      <c r="U27" s="94">
        <v>0.35416666666666702</v>
      </c>
      <c r="V27" s="125"/>
      <c r="W27" s="130">
        <f t="shared" si="18"/>
        <v>93.000000000000952</v>
      </c>
      <c r="X27" s="125"/>
      <c r="Y27" s="125" t="s">
        <v>47</v>
      </c>
      <c r="Z27" s="434"/>
      <c r="AA27" s="425"/>
      <c r="AB27" s="223">
        <f>N27-K27</f>
        <v>-497.90322580646239</v>
      </c>
      <c r="AC27" s="288">
        <f>N27/K27</f>
        <v>0.68185097392558314</v>
      </c>
      <c r="AD27" s="411">
        <f>AC37</f>
        <v>0.76160716389743333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1977</v>
      </c>
      <c r="H28" s="50">
        <f t="shared" si="24"/>
        <v>108992.01000000001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14</v>
      </c>
      <c r="N28" s="36">
        <f>G28/W28*60</f>
        <v>905.49618320611</v>
      </c>
      <c r="O28" s="38">
        <f>N28/M28</f>
        <v>64.678298800436423</v>
      </c>
      <c r="P28" s="39">
        <f t="shared" si="21"/>
        <v>-4</v>
      </c>
      <c r="Q28" s="40">
        <f t="shared" si="22"/>
        <v>-12.26614564400802</v>
      </c>
      <c r="R28" s="188">
        <f t="shared" si="23"/>
        <v>0.84058438874213404</v>
      </c>
      <c r="S28" s="432"/>
      <c r="T28" s="267">
        <v>0.360416666666667</v>
      </c>
      <c r="U28" s="41">
        <v>0.4513888888888889</v>
      </c>
      <c r="V28" s="42">
        <f>(T28-U27)*24*60</f>
        <v>8.999999999999968</v>
      </c>
      <c r="W28" s="43">
        <f t="shared" si="18"/>
        <v>130.99999999999955</v>
      </c>
      <c r="X28" s="54"/>
      <c r="Y28" s="54"/>
      <c r="Z28" s="418"/>
      <c r="AA28" s="417"/>
      <c r="AB28" s="39">
        <f>N28-K28</f>
        <v>-479.50381679389</v>
      </c>
      <c r="AC28" s="188">
        <f>N28/K28</f>
        <v>0.65378785791054872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49</v>
      </c>
      <c r="E29" s="29"/>
      <c r="F29" s="56">
        <f>VLOOKUP(D29,廠價表!$C$1:$E$40,3,0)</f>
        <v>47.71</v>
      </c>
      <c r="G29" s="53">
        <v>1358</v>
      </c>
      <c r="H29" s="50">
        <f t="shared" si="24"/>
        <v>64790.18</v>
      </c>
      <c r="I29" s="42"/>
      <c r="J29" s="16">
        <f>VLOOKUP(D29,產線配置圖!$A$3:$C$39,2,0)</f>
        <v>15</v>
      </c>
      <c r="K29" s="14">
        <f>VLOOKUP(D29,產線配置圖!$A$3:$C$39,3,0)</f>
        <v>1500</v>
      </c>
      <c r="L29" s="233">
        <f>K29/J29</f>
        <v>100</v>
      </c>
      <c r="M29" s="21">
        <v>15</v>
      </c>
      <c r="N29" s="36">
        <f>G29/W29*60</f>
        <v>1314.1935483870964</v>
      </c>
      <c r="O29" s="38">
        <f>N29/M29</f>
        <v>87.61290322580642</v>
      </c>
      <c r="P29" s="39">
        <f t="shared" si="21"/>
        <v>0</v>
      </c>
      <c r="Q29" s="40">
        <f t="shared" si="22"/>
        <v>-12.38709677419358</v>
      </c>
      <c r="R29" s="188">
        <f t="shared" si="23"/>
        <v>0.87612903225806416</v>
      </c>
      <c r="S29" s="432"/>
      <c r="T29" s="41">
        <v>0.45694444444444443</v>
      </c>
      <c r="U29" s="41">
        <v>0.5</v>
      </c>
      <c r="V29" s="42">
        <f>(T29-U28)*24*60</f>
        <v>7.9999999999999716</v>
      </c>
      <c r="W29" s="43">
        <f t="shared" si="18"/>
        <v>62.000000000000021</v>
      </c>
      <c r="X29" s="22"/>
      <c r="Y29" s="22"/>
      <c r="Z29" s="418"/>
      <c r="AA29" s="417"/>
      <c r="AB29" s="289">
        <f>N29-K29</f>
        <v>-185.80645161290363</v>
      </c>
      <c r="AC29" s="188">
        <f>N29/K29</f>
        <v>0.87612903225806427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49</v>
      </c>
      <c r="E30" s="29"/>
      <c r="F30" s="56">
        <f>VLOOKUP(D30,廠價表!$C$1:$E$40,3,0)</f>
        <v>47.71</v>
      </c>
      <c r="G30" s="53">
        <v>2780</v>
      </c>
      <c r="H30" s="50">
        <f t="shared" si="24"/>
        <v>132633.79999999999</v>
      </c>
      <c r="I30" s="42"/>
      <c r="J30" s="16">
        <f>VLOOKUP(D30,產線配置圖!$A$3:$C$39,2,0)</f>
        <v>15</v>
      </c>
      <c r="K30" s="14">
        <f>VLOOKUP(D30,產線配置圖!$A$3:$C$39,3,0)</f>
        <v>1500</v>
      </c>
      <c r="L30" s="233">
        <f>K30/J30</f>
        <v>100</v>
      </c>
      <c r="M30" s="21">
        <v>14</v>
      </c>
      <c r="N30" s="36">
        <f>G30/W30*60</f>
        <v>1244.7761194029849</v>
      </c>
      <c r="O30" s="38">
        <f>N30/M30</f>
        <v>88.912579957356073</v>
      </c>
      <c r="P30" s="39">
        <f t="shared" si="21"/>
        <v>-1</v>
      </c>
      <c r="Q30" s="40">
        <f t="shared" si="22"/>
        <v>-11.087420042643927</v>
      </c>
      <c r="R30" s="188">
        <f t="shared" si="23"/>
        <v>0.88912579957356075</v>
      </c>
      <c r="S30" s="432"/>
      <c r="T30" s="41">
        <v>0.55277777777777781</v>
      </c>
      <c r="U30" s="41">
        <v>0.64583333333333337</v>
      </c>
      <c r="V30" s="42">
        <f>(T30-U29)*24*60</f>
        <v>76.000000000000057</v>
      </c>
      <c r="W30" s="43">
        <f t="shared" si="18"/>
        <v>134</v>
      </c>
      <c r="X30" s="54">
        <v>0.48958333333333298</v>
      </c>
      <c r="Y30" s="54">
        <v>0.53125</v>
      </c>
      <c r="Z30" s="426"/>
      <c r="AA30" s="446"/>
      <c r="AB30" s="289">
        <f>N30-K30</f>
        <v>-255.22388059701507</v>
      </c>
      <c r="AC30" s="188">
        <f>N30/K30</f>
        <v>0.82985074626865662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8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4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5">AVERAGE(J27:J36)</f>
        <v>16.25</v>
      </c>
      <c r="K37" s="282">
        <f t="shared" si="25"/>
        <v>1487.5</v>
      </c>
      <c r="L37" s="283">
        <f t="shared" si="25"/>
        <v>92.250816993464056</v>
      </c>
      <c r="M37" s="282">
        <f t="shared" si="25"/>
        <v>14.25</v>
      </c>
      <c r="N37" s="282">
        <f t="shared" si="25"/>
        <v>1132.8906562974321</v>
      </c>
      <c r="O37" s="283">
        <f t="shared" si="25"/>
        <v>79.356245035070032</v>
      </c>
      <c r="P37" s="73">
        <f>M37-J37</f>
        <v>-2</v>
      </c>
      <c r="Q37" s="74">
        <f>N37-K37</f>
        <v>-354.60934370256791</v>
      </c>
      <c r="R37" s="284">
        <f t="shared" ref="R37:R41" si="26">O37/L37</f>
        <v>0.86022268009498926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1" si="27">N37-K37</f>
        <v>-354.60934370256791</v>
      </c>
      <c r="AC37" s="184">
        <f t="shared" ref="AC37:AC41" si="28">N37/K37</f>
        <v>0.76160716389743333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2191</v>
      </c>
      <c r="H38" s="124">
        <f t="shared" si="24"/>
        <v>125544.29999999999</v>
      </c>
      <c r="I38" s="125"/>
      <c r="J38" s="331">
        <f>VLOOKUP(D38,產線配置圖!$A$3:$C$39,2,0)</f>
        <v>15</v>
      </c>
      <c r="K38" s="234">
        <v>1500</v>
      </c>
      <c r="L38" s="285">
        <f t="shared" ref="L38:L41" si="29">K38/J38</f>
        <v>100</v>
      </c>
      <c r="M38" s="286">
        <v>14</v>
      </c>
      <c r="N38" s="126">
        <f>G38/W38*60</f>
        <v>1251.9999999999995</v>
      </c>
      <c r="O38" s="127">
        <f>N38/M38</f>
        <v>89.428571428571402</v>
      </c>
      <c r="P38" s="128">
        <f t="shared" ref="P38:P41" si="30">M38-J38</f>
        <v>-1</v>
      </c>
      <c r="Q38" s="129">
        <f t="shared" ref="Q38:Q41" si="31">O38-L38</f>
        <v>-10.571428571428598</v>
      </c>
      <c r="R38" s="187">
        <f t="shared" si="26"/>
        <v>0.89428571428571402</v>
      </c>
      <c r="S38" s="460">
        <f>R48</f>
        <v>0.8432496929233394</v>
      </c>
      <c r="T38" s="149">
        <v>0.33333333333333331</v>
      </c>
      <c r="U38" s="149">
        <v>0.40625</v>
      </c>
      <c r="V38" s="146"/>
      <c r="W38" s="150">
        <f t="shared" si="18"/>
        <v>105.00000000000003</v>
      </c>
      <c r="X38" s="148"/>
      <c r="Y38" s="151"/>
      <c r="Z38" s="462"/>
      <c r="AA38" s="463"/>
      <c r="AB38" s="287">
        <f t="shared" si="27"/>
        <v>-248.00000000000045</v>
      </c>
      <c r="AC38" s="152">
        <f t="shared" si="28"/>
        <v>0.83466666666666633</v>
      </c>
      <c r="AD38" s="447">
        <f>AC48</f>
        <v>0.77783065905176263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800</v>
      </c>
      <c r="H39" s="50">
        <f t="shared" si="24"/>
        <v>45144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9"/>
        <v>93.733333333333334</v>
      </c>
      <c r="M39" s="65">
        <v>13</v>
      </c>
      <c r="N39" s="66">
        <f>G39/W39*60</f>
        <v>1066.6666666666667</v>
      </c>
      <c r="O39" s="67">
        <f t="shared" ref="O39:O41" si="32">N39/M39</f>
        <v>82.051282051282058</v>
      </c>
      <c r="P39" s="39">
        <f t="shared" si="30"/>
        <v>-2</v>
      </c>
      <c r="Q39" s="40">
        <f t="shared" si="31"/>
        <v>-11.682051282051276</v>
      </c>
      <c r="R39" s="188">
        <f t="shared" si="26"/>
        <v>0.87536929642192807</v>
      </c>
      <c r="S39" s="461"/>
      <c r="T39" s="59">
        <v>0.4201388888888889</v>
      </c>
      <c r="U39" s="59">
        <v>0.4513888888888889</v>
      </c>
      <c r="V39" s="42">
        <f>(T39-U38)*24*60</f>
        <v>20.000000000000007</v>
      </c>
      <c r="W39" s="69">
        <f t="shared" si="18"/>
        <v>45</v>
      </c>
      <c r="X39" s="22"/>
      <c r="Y39" s="22"/>
      <c r="Z39" s="450"/>
      <c r="AA39" s="451"/>
      <c r="AB39" s="268">
        <f t="shared" si="27"/>
        <v>-339.33333333333326</v>
      </c>
      <c r="AC39" s="61">
        <f t="shared" si="28"/>
        <v>0.75865339023233769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35</v>
      </c>
      <c r="E40" s="240"/>
      <c r="F40" s="56">
        <f>VLOOKUP(D40,廠價表!$C$1:$E$40,3,0)</f>
        <v>56.43</v>
      </c>
      <c r="G40" s="273">
        <v>843</v>
      </c>
      <c r="H40" s="50">
        <f t="shared" si="24"/>
        <v>47570.49</v>
      </c>
      <c r="I40" s="64"/>
      <c r="J40" s="37">
        <f>VLOOKUP(D40,產線配置圖!$A$3:$C$39,2,0)</f>
        <v>15</v>
      </c>
      <c r="K40" s="36">
        <f>VLOOKUP(D40,產線配置圖!$A$3:$C$39,3,0)</f>
        <v>1636</v>
      </c>
      <c r="L40" s="38">
        <f t="shared" si="29"/>
        <v>109.06666666666666</v>
      </c>
      <c r="M40" s="65">
        <v>15</v>
      </c>
      <c r="N40" s="66">
        <f>G40/W40*60</f>
        <v>1264.4999999999995</v>
      </c>
      <c r="O40" s="67">
        <f t="shared" si="32"/>
        <v>84.299999999999969</v>
      </c>
      <c r="P40" s="39">
        <f t="shared" si="30"/>
        <v>0</v>
      </c>
      <c r="Q40" s="40">
        <f t="shared" si="31"/>
        <v>-24.766666666666694</v>
      </c>
      <c r="R40" s="188">
        <f t="shared" si="26"/>
        <v>0.77292176039119775</v>
      </c>
      <c r="S40" s="420"/>
      <c r="T40" s="59">
        <v>0.46527777777777779</v>
      </c>
      <c r="U40" s="59">
        <v>0.49305555555555558</v>
      </c>
      <c r="V40" s="42">
        <f>(T40-U39)*24*60</f>
        <v>20.000000000000007</v>
      </c>
      <c r="W40" s="69">
        <f t="shared" si="18"/>
        <v>40.000000000000014</v>
      </c>
      <c r="X40" s="70"/>
      <c r="Y40" s="256"/>
      <c r="Z40" s="450" t="s">
        <v>55</v>
      </c>
      <c r="AA40" s="451"/>
      <c r="AB40" s="268">
        <f t="shared" si="27"/>
        <v>-371.50000000000045</v>
      </c>
      <c r="AC40" s="61">
        <f t="shared" si="28"/>
        <v>0.77292176039119775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606</v>
      </c>
      <c r="H41" s="50">
        <f t="shared" si="24"/>
        <v>34196.58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si="29"/>
        <v>93.733333333333334</v>
      </c>
      <c r="M41" s="65">
        <v>13</v>
      </c>
      <c r="N41" s="66">
        <f>G41/W41*60</f>
        <v>908.99999999999966</v>
      </c>
      <c r="O41" s="67">
        <f t="shared" si="32"/>
        <v>69.923076923076891</v>
      </c>
      <c r="P41" s="39">
        <f t="shared" si="30"/>
        <v>-2</v>
      </c>
      <c r="Q41" s="40">
        <f t="shared" si="31"/>
        <v>-23.810256410256443</v>
      </c>
      <c r="R41" s="188">
        <f t="shared" si="26"/>
        <v>0.74597877229456144</v>
      </c>
      <c r="S41" s="420"/>
      <c r="T41" s="59">
        <v>0.55208333333333337</v>
      </c>
      <c r="U41" s="75">
        <v>0.57986111111111116</v>
      </c>
      <c r="V41" s="42">
        <f>(T41-U40)*24*60</f>
        <v>85.000000000000014</v>
      </c>
      <c r="W41" s="69">
        <f t="shared" si="18"/>
        <v>40.000000000000014</v>
      </c>
      <c r="X41" s="70">
        <v>0.52777777777777801</v>
      </c>
      <c r="Y41" s="256">
        <v>0.56944444444444398</v>
      </c>
      <c r="Z41" s="450" t="s">
        <v>117</v>
      </c>
      <c r="AA41" s="451"/>
      <c r="AB41" s="268">
        <f t="shared" si="27"/>
        <v>-497.00000000000034</v>
      </c>
      <c r="AC41" s="61">
        <f t="shared" si="28"/>
        <v>0.64651493598861998</v>
      </c>
      <c r="AD41" s="448"/>
    </row>
    <row r="42" spans="1:30" s="62" customFormat="1" ht="15" customHeight="1">
      <c r="A42" s="458"/>
      <c r="B42" s="56" t="s">
        <v>45</v>
      </c>
      <c r="C42" s="23"/>
      <c r="D42" s="276" t="s">
        <v>54</v>
      </c>
      <c r="E42" s="12"/>
      <c r="F42" s="56">
        <f>VLOOKUP(D42,廠價表!$C$1:$E$40,3,0)</f>
        <v>56.43</v>
      </c>
      <c r="G42" s="273">
        <v>614</v>
      </c>
      <c r="H42" s="50">
        <f>F42*G42</f>
        <v>34648.019999999997</v>
      </c>
      <c r="I42" s="64"/>
      <c r="J42" s="37">
        <f>VLOOKUP(D42,產線配置圖!$A$3:$C$39,2,0)</f>
        <v>15</v>
      </c>
      <c r="K42" s="36">
        <f>VLOOKUP(D42,產線配置圖!$A$3:$C$39,3,0)</f>
        <v>1406</v>
      </c>
      <c r="L42" s="38">
        <f>K42/J42</f>
        <v>93.733333333333334</v>
      </c>
      <c r="M42" s="65">
        <v>14</v>
      </c>
      <c r="N42" s="66">
        <f>G42/W42*60</f>
        <v>1227.9999999999977</v>
      </c>
      <c r="O42" s="67">
        <f>N42/M42</f>
        <v>87.714285714285552</v>
      </c>
      <c r="P42" s="39">
        <f>M42-J42</f>
        <v>-1</v>
      </c>
      <c r="Q42" s="40">
        <f>O42-L42</f>
        <v>-6.0190476190477824</v>
      </c>
      <c r="R42" s="188">
        <f>O42/L42</f>
        <v>0.9357854094696183</v>
      </c>
      <c r="S42" s="420"/>
      <c r="T42" s="75">
        <v>0.6069444444444444</v>
      </c>
      <c r="U42" s="75">
        <v>0.62777777777777777</v>
      </c>
      <c r="V42" s="42">
        <f>(T42-U41)*24*60</f>
        <v>38.999999999999858</v>
      </c>
      <c r="W42" s="69">
        <f t="shared" si="18"/>
        <v>30.000000000000053</v>
      </c>
      <c r="X42" s="70"/>
      <c r="Y42" s="60"/>
      <c r="Z42" s="450" t="s">
        <v>140</v>
      </c>
      <c r="AA42" s="451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33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5">AVERAGE(J38:J47)</f>
        <v>15</v>
      </c>
      <c r="K48" s="133">
        <f t="shared" si="35"/>
        <v>1470.8</v>
      </c>
      <c r="L48" s="136">
        <f t="shared" si="35"/>
        <v>98.053333333333342</v>
      </c>
      <c r="M48" s="133">
        <f t="shared" si="35"/>
        <v>13.8</v>
      </c>
      <c r="N48" s="133">
        <f t="shared" si="35"/>
        <v>1144.0333333333324</v>
      </c>
      <c r="O48" s="136">
        <f t="shared" si="35"/>
        <v>82.683443223443177</v>
      </c>
      <c r="P48" s="155">
        <f>M48-J48</f>
        <v>-1.1999999999999993</v>
      </c>
      <c r="Q48" s="156">
        <f>N48-K48</f>
        <v>-326.76666666666756</v>
      </c>
      <c r="R48" s="157">
        <f>O48/L48</f>
        <v>0.8432496929233394</v>
      </c>
      <c r="S48" s="423"/>
      <c r="T48" s="158"/>
      <c r="U48" s="158"/>
      <c r="V48" s="194"/>
      <c r="W48" s="159">
        <f t="shared" si="34"/>
        <v>0</v>
      </c>
      <c r="X48" s="160"/>
      <c r="Y48" s="160"/>
      <c r="Z48" s="424"/>
      <c r="AA48" s="424"/>
      <c r="AB48" s="161">
        <f>N48-K48</f>
        <v>-326.76666666666756</v>
      </c>
      <c r="AC48" s="189">
        <f>N48/K48</f>
        <v>0.77783065905176263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2152</v>
      </c>
      <c r="H49" s="124">
        <f t="shared" ref="H49:H57" si="36">F49*G49</f>
        <v>122384.23999999999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1359.1578947368423</v>
      </c>
      <c r="O49" s="127">
        <f>N49/M49</f>
        <v>71.53462603878117</v>
      </c>
      <c r="P49" s="162">
        <f>M49-J49</f>
        <v>0</v>
      </c>
      <c r="Q49" s="111">
        <f>O49-L49</f>
        <v>-10.833795013850406</v>
      </c>
      <c r="R49" s="182">
        <f>O49/L49</f>
        <v>0.86847149823440406</v>
      </c>
      <c r="S49" s="419">
        <f>R58</f>
        <v>0.94860933979653461</v>
      </c>
      <c r="T49" s="149">
        <v>0.2902777777777778</v>
      </c>
      <c r="U49" s="149">
        <v>0.35625000000000001</v>
      </c>
      <c r="V49" s="186"/>
      <c r="W49" s="150">
        <f t="shared" si="18"/>
        <v>94.999999999999986</v>
      </c>
      <c r="X49" s="186"/>
      <c r="Y49" s="186"/>
      <c r="Z49" s="425"/>
      <c r="AA49" s="425"/>
      <c r="AB49" s="110">
        <f>N49-K49</f>
        <v>-205.84210526315769</v>
      </c>
      <c r="AC49" s="182">
        <f>N49/K49</f>
        <v>0.86847149823440406</v>
      </c>
      <c r="AD49" s="411">
        <f>AC58</f>
        <v>0.94701868965179181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3959</v>
      </c>
      <c r="H50" s="76">
        <f t="shared" si="36"/>
        <v>197831.22999999998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1512.9936305732483</v>
      </c>
      <c r="O50" s="78">
        <f>N50/M50</f>
        <v>84.055201698513798</v>
      </c>
      <c r="P50" s="18">
        <f>M50-J50</f>
        <v>0</v>
      </c>
      <c r="Q50" s="19">
        <f>O50-L50</f>
        <v>-4.8336871903750875</v>
      </c>
      <c r="R50" s="183">
        <f>O50/L50</f>
        <v>0.94562101910828023</v>
      </c>
      <c r="S50" s="420"/>
      <c r="T50" s="79">
        <v>0.36319444444444443</v>
      </c>
      <c r="U50" s="79">
        <v>0.47222222222222221</v>
      </c>
      <c r="V50" s="175">
        <f t="shared" ref="V50:V52" si="37">(T50-U49)*24*60</f>
        <v>9.9999999999999645</v>
      </c>
      <c r="W50" s="80">
        <f t="shared" si="18"/>
        <v>157</v>
      </c>
      <c r="X50" s="22"/>
      <c r="Y50" s="22"/>
      <c r="Z50" s="417"/>
      <c r="AA50" s="418"/>
      <c r="AB50" s="18">
        <f>N50-K50</f>
        <v>-87.006369426751689</v>
      </c>
      <c r="AC50" s="183">
        <f>N50/K50</f>
        <v>0.94562101910828023</v>
      </c>
      <c r="AD50" s="412"/>
    </row>
    <row r="51" spans="1:30" ht="15" customHeight="1">
      <c r="A51" s="455"/>
      <c r="B51" s="56" t="str">
        <f>VLOOKUP(D51,廠價表!$C$1:$E$40,2,0)</f>
        <v>義大利麵</v>
      </c>
      <c r="C51" s="10"/>
      <c r="D51" s="11" t="s">
        <v>59</v>
      </c>
      <c r="E51" s="86"/>
      <c r="F51" s="56">
        <f>VLOOKUP(D51,廠價表!$C$1:$E$40,3,0)</f>
        <v>49.97</v>
      </c>
      <c r="G51" s="66">
        <v>2000</v>
      </c>
      <c r="H51" s="76">
        <f t="shared" si="36"/>
        <v>99940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 t="shared" ref="L51:L52" si="38">K51/J51</f>
        <v>88.888888888888886</v>
      </c>
      <c r="M51" s="172">
        <v>18</v>
      </c>
      <c r="N51" s="77">
        <f t="shared" ref="N51:N52" si="39">G51/W51*60</f>
        <v>1578.9473684210448</v>
      </c>
      <c r="O51" s="78">
        <f t="shared" ref="O51:O52" si="40">N51/M51</f>
        <v>87.719298245613601</v>
      </c>
      <c r="P51" s="18">
        <f t="shared" ref="P51:P52" si="41">M51-J51</f>
        <v>0</v>
      </c>
      <c r="Q51" s="19">
        <f t="shared" ref="Q51:Q52" si="42">O51-L51</f>
        <v>-1.1695906432752849</v>
      </c>
      <c r="R51" s="183">
        <f t="shared" ref="R51:R52" si="43">O51/L51</f>
        <v>0.98684210526315308</v>
      </c>
      <c r="S51" s="420"/>
      <c r="T51" s="79">
        <v>0.53125</v>
      </c>
      <c r="U51" s="44">
        <v>0.58402777777777803</v>
      </c>
      <c r="V51" s="175">
        <f t="shared" si="37"/>
        <v>85.000000000000014</v>
      </c>
      <c r="W51" s="80">
        <f t="shared" si="18"/>
        <v>76.000000000000369</v>
      </c>
      <c r="X51" s="22"/>
      <c r="Y51" s="22"/>
      <c r="Z51" s="405"/>
      <c r="AA51" s="405"/>
      <c r="AB51" s="18">
        <f>N51-K51</f>
        <v>-21.052631578955243</v>
      </c>
      <c r="AC51" s="183">
        <f>N51/K51</f>
        <v>0.98684210526315297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1312</v>
      </c>
      <c r="H52" s="76">
        <f t="shared" si="36"/>
        <v>65481.919999999998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si="38"/>
        <v>92.058823529411768</v>
      </c>
      <c r="M52" s="172">
        <v>17</v>
      </c>
      <c r="N52" s="77">
        <f t="shared" si="39"/>
        <v>1543.5294117647065</v>
      </c>
      <c r="O52" s="78">
        <f t="shared" si="40"/>
        <v>90.795847750865093</v>
      </c>
      <c r="P52" s="18">
        <f t="shared" si="41"/>
        <v>0</v>
      </c>
      <c r="Q52" s="19">
        <f t="shared" si="42"/>
        <v>-1.2629757785466751</v>
      </c>
      <c r="R52" s="183">
        <f t="shared" si="43"/>
        <v>0.98628077429054728</v>
      </c>
      <c r="S52" s="420"/>
      <c r="T52" s="79">
        <v>0.58958333333333335</v>
      </c>
      <c r="U52" s="79">
        <v>0.625</v>
      </c>
      <c r="V52" s="175">
        <f t="shared" si="37"/>
        <v>7.9999999999996518</v>
      </c>
      <c r="W52" s="80">
        <f t="shared" si="18"/>
        <v>50.999999999999979</v>
      </c>
      <c r="X52" s="22"/>
      <c r="Y52" s="22"/>
      <c r="Z52" s="405"/>
      <c r="AA52" s="405"/>
      <c r="AB52" s="18">
        <f>N52-K52</f>
        <v>-21.470588235293462</v>
      </c>
      <c r="AC52" s="183">
        <f>N52/K52</f>
        <v>0.98628077429054728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79"/>
      <c r="U53" s="79"/>
      <c r="V53" s="175"/>
      <c r="W53" s="80">
        <f t="shared" si="18"/>
        <v>0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36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8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6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6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6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4">AVERAGE(J49:J57)</f>
        <v>18</v>
      </c>
      <c r="K58" s="117">
        <f t="shared" si="44"/>
        <v>1582.5</v>
      </c>
      <c r="L58" s="114">
        <f t="shared" si="44"/>
        <v>88.051255589955289</v>
      </c>
      <c r="M58" s="117">
        <f t="shared" si="44"/>
        <v>18</v>
      </c>
      <c r="N58" s="117">
        <f t="shared" si="44"/>
        <v>1498.6570763739605</v>
      </c>
      <c r="O58" s="114">
        <f t="shared" si="44"/>
        <v>83.526243433443412</v>
      </c>
      <c r="P58" s="118">
        <f>M58-J58</f>
        <v>0</v>
      </c>
      <c r="Q58" s="119">
        <f>N58-K58</f>
        <v>-83.842923626039465</v>
      </c>
      <c r="R58" s="120">
        <f t="shared" ref="R58:R60" si="45">O58/L58</f>
        <v>0.94860933979653461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46">N58-K58</f>
        <v>-83.842923626039465</v>
      </c>
      <c r="AC58" s="185">
        <f t="shared" ref="AC58:AC61" si="47">N58/K58</f>
        <v>0.94701868965179181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4176</v>
      </c>
      <c r="H59" s="105">
        <f t="shared" ref="H59:H68" si="48">F59*G59</f>
        <v>112710.23999999999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49">G59/W59*60</f>
        <v>1546.666666666667</v>
      </c>
      <c r="O59" s="108">
        <f t="shared" ref="O59:O61" si="50">N59/M59</f>
        <v>118.97435897435899</v>
      </c>
      <c r="P59" s="110">
        <f t="shared" ref="P59:P61" si="51">M59-J59</f>
        <v>0</v>
      </c>
      <c r="Q59" s="111">
        <f t="shared" ref="Q59:Q61" si="52">O59-L59</f>
        <v>-1.4102564102563946</v>
      </c>
      <c r="R59" s="182">
        <f t="shared" si="45"/>
        <v>0.98828541001064973</v>
      </c>
      <c r="S59" s="419">
        <f>R69</f>
        <v>0.84538086430132831</v>
      </c>
      <c r="T59" s="167">
        <v>0.2902777777777778</v>
      </c>
      <c r="U59" s="167">
        <v>0.40277777777777779</v>
      </c>
      <c r="V59" s="186"/>
      <c r="W59" s="106">
        <f t="shared" si="18"/>
        <v>161.99999999999997</v>
      </c>
      <c r="X59" s="186"/>
      <c r="Y59" s="186"/>
      <c r="Z59" s="469"/>
      <c r="AA59" s="434"/>
      <c r="AB59" s="223">
        <f t="shared" si="46"/>
        <v>-18.33333333333303</v>
      </c>
      <c r="AC59" s="224">
        <f t="shared" si="47"/>
        <v>0.98828541001064985</v>
      </c>
      <c r="AD59" s="411">
        <f>AC69</f>
        <v>0.84904508342208018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648</v>
      </c>
      <c r="H60" s="15">
        <f t="shared" si="48"/>
        <v>18448.559999999998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9"/>
        <v>971.99999999999977</v>
      </c>
      <c r="O60" s="17">
        <f t="shared" si="50"/>
        <v>80.999999999999986</v>
      </c>
      <c r="P60" s="18">
        <f t="shared" si="51"/>
        <v>0</v>
      </c>
      <c r="Q60" s="19">
        <f t="shared" si="52"/>
        <v>-49.416666666666671</v>
      </c>
      <c r="R60" s="183">
        <f t="shared" si="45"/>
        <v>0.62108626198083061</v>
      </c>
      <c r="S60" s="474"/>
      <c r="T60" s="20">
        <v>0.40972222222222221</v>
      </c>
      <c r="U60" s="20">
        <v>0.4375</v>
      </c>
      <c r="V60" s="175">
        <f t="shared" ref="V60:V61" si="53">(T60-U59)*24*60</f>
        <v>9.9999999999999645</v>
      </c>
      <c r="W60" s="90">
        <f t="shared" si="18"/>
        <v>40.000000000000014</v>
      </c>
      <c r="X60" s="191"/>
      <c r="Y60" s="191"/>
      <c r="Z60" s="405" t="s">
        <v>135</v>
      </c>
      <c r="AA60" s="405"/>
      <c r="AB60" s="225">
        <f t="shared" si="46"/>
        <v>-593.00000000000023</v>
      </c>
      <c r="AC60" s="226">
        <f t="shared" si="47"/>
        <v>0.6210862619808305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2446</v>
      </c>
      <c r="H61" s="15">
        <f t="shared" si="48"/>
        <v>69123.960000000006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9"/>
        <v>1467.5999999999995</v>
      </c>
      <c r="O61" s="17">
        <f t="shared" si="50"/>
        <v>122.29999999999995</v>
      </c>
      <c r="P61" s="18">
        <f t="shared" si="51"/>
        <v>0</v>
      </c>
      <c r="Q61" s="19">
        <f t="shared" si="52"/>
        <v>-8.1166666666667027</v>
      </c>
      <c r="R61" s="183">
        <f>O61/L61</f>
        <v>0.93776357827476009</v>
      </c>
      <c r="S61" s="420"/>
      <c r="T61" s="20">
        <v>0.44791666666666669</v>
      </c>
      <c r="U61" s="20">
        <v>0.51736111111111116</v>
      </c>
      <c r="V61" s="175">
        <f t="shared" si="53"/>
        <v>15.000000000000027</v>
      </c>
      <c r="W61" s="88">
        <f t="shared" si="18"/>
        <v>100.00000000000004</v>
      </c>
      <c r="X61" s="22"/>
      <c r="Y61" s="22"/>
      <c r="Z61" s="405"/>
      <c r="AA61" s="405"/>
      <c r="AB61" s="51">
        <f t="shared" si="46"/>
        <v>-97.400000000000546</v>
      </c>
      <c r="AC61" s="52">
        <f t="shared" si="47"/>
        <v>0.93776357827476009</v>
      </c>
      <c r="AD61" s="412"/>
    </row>
    <row r="62" spans="1:30" ht="15" customHeight="1">
      <c r="A62" s="472"/>
      <c r="B62" s="56"/>
      <c r="C62" s="10"/>
      <c r="D62" s="239"/>
      <c r="E62" s="86"/>
      <c r="F62" s="56"/>
      <c r="G62" s="175"/>
      <c r="H62" s="15"/>
      <c r="I62" s="81"/>
      <c r="J62" s="16"/>
      <c r="K62" s="14"/>
      <c r="L62" s="17"/>
      <c r="M62" s="178"/>
      <c r="N62" s="14"/>
      <c r="O62" s="17"/>
      <c r="P62" s="18"/>
      <c r="Q62" s="19"/>
      <c r="R62" s="183"/>
      <c r="S62" s="420"/>
      <c r="T62" s="196"/>
      <c r="U62" s="196"/>
      <c r="V62" s="175"/>
      <c r="W62" s="90">
        <f t="shared" si="18"/>
        <v>0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8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48"/>
        <v>0</v>
      </c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8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4">AVERAGE(J59:J68)</f>
        <v>12.333333333333334</v>
      </c>
      <c r="K69" s="164">
        <f t="shared" si="54"/>
        <v>1565</v>
      </c>
      <c r="L69" s="169">
        <f t="shared" si="54"/>
        <v>127.07264957264958</v>
      </c>
      <c r="M69" s="164">
        <f t="shared" si="54"/>
        <v>12.333333333333334</v>
      </c>
      <c r="N69" s="164">
        <f t="shared" si="54"/>
        <v>1328.7555555555555</v>
      </c>
      <c r="O69" s="169">
        <f t="shared" si="54"/>
        <v>107.42478632478633</v>
      </c>
      <c r="P69" s="170">
        <f>M69-J69</f>
        <v>0</v>
      </c>
      <c r="Q69" s="156">
        <f>N69-K69</f>
        <v>-236.24444444444453</v>
      </c>
      <c r="R69" s="120">
        <f>O69/L69</f>
        <v>0.84538086430132831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-236.24444444444453</v>
      </c>
      <c r="AC69" s="185">
        <f>N69/K69</f>
        <v>0.84904508342208018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8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8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5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5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5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5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5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 t="e">
        <f>AVERAGE(J70:J78)</f>
        <v>#DIV/0!</v>
      </c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238" priority="1" operator="greaterThan">
      <formula>0</formula>
    </cfRule>
  </conditionalFormatting>
  <conditionalFormatting sqref="Q5:Q79 AB5:AB79">
    <cfRule type="cellIs" dxfId="237" priority="4" operator="lessThan">
      <formula>0</formula>
    </cfRule>
  </conditionalFormatting>
  <conditionalFormatting sqref="R5:R79 AC5:AC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D59:AD62 S69:S76 AD69:AD76">
    <cfRule type="cellIs" dxfId="234" priority="7" operator="lessThan">
      <formula>0.8</formula>
    </cfRule>
  </conditionalFormatting>
  <conditionalFormatting sqref="S19:S25 AD19:AD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D5:AD8 S15:S16 AD15:AD16 AD49 AD79">
    <cfRule type="cellIs" dxfId="231" priority="9" operator="lessThan">
      <formula>0.8</formula>
    </cfRule>
  </conditionalFormatting>
  <conditionalFormatting sqref="AD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S90" sqref="S90:S91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46000</v>
      </c>
      <c r="E3" s="357"/>
      <c r="F3" s="202" t="s">
        <v>84</v>
      </c>
      <c r="G3" s="358">
        <f>'1209'!E1</f>
        <v>63073</v>
      </c>
      <c r="H3" s="358"/>
      <c r="I3" s="202" t="s">
        <v>2</v>
      </c>
      <c r="J3" s="359">
        <f>'1209'!G1</f>
        <v>2998775.6799999997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119.30427565268123</v>
      </c>
      <c r="G6" s="367"/>
      <c r="H6" s="360">
        <f>AVERAGE(D13:H13)</f>
        <v>115.92940471717252</v>
      </c>
      <c r="I6" s="360"/>
      <c r="J6" s="360">
        <f>AVERAGE(I13:J13)</f>
        <v>127.74145299145297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105.16789812744504</v>
      </c>
      <c r="G7" s="362"/>
      <c r="H7" s="363">
        <f>AVERAGE(D14:H14)</f>
        <v>102.07936909697135</v>
      </c>
      <c r="I7" s="363"/>
      <c r="J7" s="363">
        <f>AVERAGE(I14:J14)</f>
        <v>112.88922070362929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0.88011706937414302</v>
      </c>
      <c r="G8" s="364"/>
      <c r="H8" s="364">
        <f>AVERAGE(D15:H15)</f>
        <v>0.87834447743624655</v>
      </c>
      <c r="I8" s="364"/>
      <c r="J8" s="364">
        <f>AVERAGE(I15:J15)</f>
        <v>0.88454854921888404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VALUE('1209'!L15)</f>
        <v>140.21719457013575</v>
      </c>
      <c r="E13" s="213">
        <f>VALUE('1209'!L26)</f>
        <v>160.58974358974359</v>
      </c>
      <c r="F13" s="213">
        <f>VALUE('1209'!L37)</f>
        <v>92.236111111111114</v>
      </c>
      <c r="G13" s="213">
        <f>VALUE('1209'!L48)</f>
        <v>95.893333333333345</v>
      </c>
      <c r="H13" s="213">
        <f>VALUE('1209'!L58)</f>
        <v>90.710640981538816</v>
      </c>
      <c r="I13" s="213">
        <f>VALUE('1209'!L69)</f>
        <v>126.40384615384615</v>
      </c>
      <c r="J13" s="213">
        <f>'1209'!L79</f>
        <v>129.07905982905982</v>
      </c>
    </row>
    <row r="14" spans="2:15" ht="40" customHeight="1">
      <c r="B14" s="376"/>
      <c r="C14" s="212" t="s">
        <v>106</v>
      </c>
      <c r="D14" s="213">
        <f>VALUE('1209'!O15)</f>
        <v>122.79821635943965</v>
      </c>
      <c r="E14" s="213">
        <f>VALUE('1209'!O26)</f>
        <v>144.76653625029735</v>
      </c>
      <c r="F14" s="213">
        <f>VALUE('1209'!O37)</f>
        <v>81.267838302856347</v>
      </c>
      <c r="G14" s="213">
        <f>VALUE('1209'!O48)</f>
        <v>80.05364230540701</v>
      </c>
      <c r="H14" s="213">
        <f>VALUE('1209'!O58)</f>
        <v>81.510612266856342</v>
      </c>
      <c r="I14" s="213">
        <f>VALUE('1209'!O69)</f>
        <v>121.66633105544395</v>
      </c>
      <c r="J14" s="213">
        <f>'1209'!O79</f>
        <v>104.11211035181464</v>
      </c>
    </row>
    <row r="15" spans="2:15" ht="40" customHeight="1">
      <c r="B15" s="377"/>
      <c r="C15" s="210" t="s">
        <v>23</v>
      </c>
      <c r="D15" s="231">
        <f>D14/D13</f>
        <v>0.87577145396399136</v>
      </c>
      <c r="E15" s="231">
        <f t="shared" ref="E15:J15" si="0">E14/E13</f>
        <v>0.90146813248628399</v>
      </c>
      <c r="F15" s="231">
        <f t="shared" si="0"/>
        <v>0.88108483026737794</v>
      </c>
      <c r="G15" s="231">
        <f t="shared" si="0"/>
        <v>0.83481968477551793</v>
      </c>
      <c r="H15" s="231">
        <f t="shared" si="0"/>
        <v>0.8985782856880612</v>
      </c>
      <c r="I15" s="231">
        <f t="shared" si="0"/>
        <v>0.96252079946494529</v>
      </c>
      <c r="J15" s="231">
        <f t="shared" si="0"/>
        <v>0.80657629897282279</v>
      </c>
    </row>
    <row r="16" spans="2:15" ht="17.25" customHeight="1">
      <c r="B16" s="378" t="s">
        <v>107</v>
      </c>
      <c r="C16" s="210" t="s">
        <v>29</v>
      </c>
      <c r="D16" s="95">
        <f>'1209'!T5</f>
        <v>0.2902777777777778</v>
      </c>
      <c r="E16" s="95">
        <f>'1209'!T16</f>
        <v>0.28958333333333336</v>
      </c>
      <c r="F16" s="95">
        <f>'1209'!T27</f>
        <v>0.29166666666666702</v>
      </c>
      <c r="G16" s="95">
        <f>'1209'!T38</f>
        <v>0.29166666666666669</v>
      </c>
      <c r="H16" s="95">
        <f>'1209'!T49</f>
        <v>0.28749999999999998</v>
      </c>
      <c r="I16" s="95">
        <f>'1209'!T59</f>
        <v>0.28819444444444442</v>
      </c>
      <c r="J16" s="269">
        <f>'1209'!T70</f>
        <v>0.44097222222222221</v>
      </c>
    </row>
    <row r="17" spans="2:10" ht="17.25" customHeight="1">
      <c r="B17" s="379"/>
      <c r="C17" s="210" t="s">
        <v>30</v>
      </c>
      <c r="D17" s="95">
        <v>0.60972222222222205</v>
      </c>
      <c r="E17" s="41">
        <v>0.61805555555555558</v>
      </c>
      <c r="F17" s="41">
        <v>0.65902777777777777</v>
      </c>
      <c r="G17" s="75">
        <v>0.66666666666666663</v>
      </c>
      <c r="H17" s="79">
        <v>0.66597222222222219</v>
      </c>
      <c r="I17" s="20">
        <v>0.67361111111111116</v>
      </c>
      <c r="J17" s="20">
        <v>0.61458333333333337</v>
      </c>
    </row>
    <row r="18" spans="2:10" ht="17.25" customHeight="1">
      <c r="B18" s="365" t="s">
        <v>108</v>
      </c>
      <c r="C18" s="366"/>
      <c r="D18" s="214">
        <f>VALUE('1209'!M15)</f>
        <v>14.2</v>
      </c>
      <c r="E18" s="214">
        <f>VALUE('1209'!M26)</f>
        <v>12.6</v>
      </c>
      <c r="F18" s="214">
        <f>VALUE('1209'!M37)</f>
        <v>16.75</v>
      </c>
      <c r="G18" s="214">
        <f>VALUE('1209'!M48)</f>
        <v>15.8</v>
      </c>
      <c r="H18" s="214">
        <f>VALUE('1209'!M58)</f>
        <v>17.333333333333332</v>
      </c>
      <c r="I18" s="214">
        <f>VALUE('1209'!M69)</f>
        <v>12.4</v>
      </c>
      <c r="J18" s="214">
        <f>'1209'!M79</f>
        <v>10.133333333333333</v>
      </c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L53" activePane="bottomRight" state="frozen"/>
      <selection activeCell="S90" sqref="S90:S91"/>
      <selection pane="topRight" activeCell="S90" sqref="S90:S91"/>
      <selection pane="bottomLeft" activeCell="S90" sqref="S90:S91"/>
      <selection pane="bottomRight" activeCell="V63" activeCellId="16" sqref="V6 V7 V8 V17 V18 V29 V28 V39 V40 V42 V50 V51 V53 V54 V60 V61 V63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63073</v>
      </c>
      <c r="F1" s="175" t="s">
        <v>2</v>
      </c>
      <c r="G1" s="4">
        <f>SUM(H5:H79)</f>
        <v>2998775.6799999997</v>
      </c>
      <c r="H1" s="173" t="s">
        <v>3</v>
      </c>
      <c r="I1" s="5">
        <f>M15+M26+M48+M58+M69+M79+M37</f>
        <v>99.216666666666669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141</v>
      </c>
      <c r="B2" s="404"/>
      <c r="C2" s="174"/>
      <c r="D2" s="174" t="s">
        <v>11</v>
      </c>
      <c r="E2" s="7">
        <f>AVERAGE(O15,O26,O37,O48,O58,O69,O79)</f>
        <v>105.16789812744504</v>
      </c>
      <c r="F2" s="8" t="s">
        <v>12</v>
      </c>
      <c r="G2" s="9">
        <f>G1/E1</f>
        <v>47.544522695923767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1229</v>
      </c>
      <c r="H5" s="318">
        <f>F5*G5</f>
        <v>70311.09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9" si="0">G5/W5*60</f>
        <v>1798.5365853658566</v>
      </c>
      <c r="O5" s="322">
        <f t="shared" ref="O5:O9" si="1">N5/M5</f>
        <v>138.34896810506589</v>
      </c>
      <c r="P5" s="324">
        <f t="shared" ref="P5:P9" si="2">M5-J5</f>
        <v>0</v>
      </c>
      <c r="Q5" s="325">
        <f t="shared" ref="Q5:Q9" si="3">O5-L5</f>
        <v>-23.574108818011041</v>
      </c>
      <c r="R5" s="326">
        <f t="shared" ref="R5:R9" si="4">O5/L5</f>
        <v>0.85441167950872043</v>
      </c>
      <c r="S5" s="419">
        <f>R15</f>
        <v>0.87577145396399136</v>
      </c>
      <c r="T5" s="327">
        <v>0.2902777777777778</v>
      </c>
      <c r="U5" s="328">
        <v>0.31874999999999998</v>
      </c>
      <c r="V5" s="192"/>
      <c r="W5" s="106">
        <f t="shared" ref="W5:W14" si="5">(U5-T5)*24*60</f>
        <v>40.999999999999936</v>
      </c>
      <c r="X5" s="186"/>
      <c r="Y5" s="186"/>
      <c r="Z5" s="425"/>
      <c r="AA5" s="425"/>
      <c r="AB5" s="110">
        <f>N5-K5</f>
        <v>-306.46341463414342</v>
      </c>
      <c r="AC5" s="182">
        <f>N5/K5</f>
        <v>0.85441167950872043</v>
      </c>
      <c r="AD5" s="411">
        <f>AC15</f>
        <v>0.87515702674746765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1107</v>
      </c>
      <c r="H6" s="307">
        <f>F6*G6</f>
        <v>62468.01</v>
      </c>
      <c r="I6" s="308"/>
      <c r="J6" s="309">
        <f>VLOOKUP(D6,產線配置圖!$A$3:$C$39,2,0)</f>
        <v>15</v>
      </c>
      <c r="K6" s="306">
        <v>1800</v>
      </c>
      <c r="L6" s="310">
        <f>K6/J6</f>
        <v>120</v>
      </c>
      <c r="M6" s="311">
        <v>15</v>
      </c>
      <c r="N6" s="306">
        <f t="shared" si="0"/>
        <v>1383.7500000000141</v>
      </c>
      <c r="O6" s="310">
        <f t="shared" si="1"/>
        <v>92.250000000000938</v>
      </c>
      <c r="P6" s="312">
        <f t="shared" si="2"/>
        <v>0</v>
      </c>
      <c r="Q6" s="313">
        <f t="shared" si="3"/>
        <v>-27.749999999999062</v>
      </c>
      <c r="R6" s="314">
        <f t="shared" si="4"/>
        <v>0.76875000000000782</v>
      </c>
      <c r="S6" s="420"/>
      <c r="T6" s="267">
        <v>0.327777777777778</v>
      </c>
      <c r="U6" s="267">
        <v>0.36111111111111099</v>
      </c>
      <c r="V6" s="175">
        <f>(T6-U5)*24*60</f>
        <v>13.000000000000353</v>
      </c>
      <c r="W6" s="180">
        <f t="shared" si="5"/>
        <v>47.99999999999951</v>
      </c>
      <c r="X6" s="22"/>
      <c r="Y6" s="22"/>
      <c r="Z6" s="475" t="s">
        <v>138</v>
      </c>
      <c r="AA6" s="476"/>
      <c r="AB6" s="18">
        <f>N6-K6</f>
        <v>-416.2499999999859</v>
      </c>
      <c r="AC6" s="183">
        <f>N6/K6</f>
        <v>0.76875000000000782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v>1656</v>
      </c>
      <c r="H7" s="15">
        <f t="shared" ref="H7:H9" si="6">F7*G7</f>
        <v>94739.76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>K7/J7</f>
        <v>111.47058823529412</v>
      </c>
      <c r="M7" s="178">
        <v>17</v>
      </c>
      <c r="N7" s="14">
        <f t="shared" si="0"/>
        <v>1743.1578947368141</v>
      </c>
      <c r="O7" s="17">
        <f t="shared" si="1"/>
        <v>102.53869969040083</v>
      </c>
      <c r="P7" s="18">
        <f t="shared" si="2"/>
        <v>0</v>
      </c>
      <c r="Q7" s="19">
        <f t="shared" si="3"/>
        <v>-8.9318885448932832</v>
      </c>
      <c r="R7" s="183">
        <f t="shared" si="4"/>
        <v>0.91987223996665657</v>
      </c>
      <c r="S7" s="420"/>
      <c r="T7" s="267">
        <v>0.36944444444444402</v>
      </c>
      <c r="U7" s="267">
        <v>0.40902777777777799</v>
      </c>
      <c r="V7" s="175">
        <f>(T7-U6)*24*60</f>
        <v>11.999999999999558</v>
      </c>
      <c r="W7" s="180">
        <f t="shared" si="5"/>
        <v>57.000000000000917</v>
      </c>
      <c r="X7" s="22"/>
      <c r="Y7" s="22"/>
      <c r="Z7" s="405"/>
      <c r="AA7" s="405"/>
      <c r="AB7" s="18">
        <f>N7-K7</f>
        <v>-151.84210526318589</v>
      </c>
      <c r="AC7" s="183">
        <f>N7/K7</f>
        <v>0.91987223996665657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2558</v>
      </c>
      <c r="H8" s="15">
        <f t="shared" si="6"/>
        <v>125700.12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1724.4943820224873</v>
      </c>
      <c r="O8" s="17">
        <f t="shared" si="1"/>
        <v>132.6534140017298</v>
      </c>
      <c r="P8" s="18">
        <f t="shared" si="2"/>
        <v>0</v>
      </c>
      <c r="Q8" s="19">
        <f t="shared" si="3"/>
        <v>-21.19273984442404</v>
      </c>
      <c r="R8" s="183">
        <f t="shared" si="4"/>
        <v>0.8622471910112437</v>
      </c>
      <c r="S8" s="420"/>
      <c r="T8" s="95">
        <v>0.41666666666666702</v>
      </c>
      <c r="U8" s="95">
        <v>0.47847222222222202</v>
      </c>
      <c r="V8" s="175">
        <f t="shared" ref="V8:V9" si="7">(T8-U7)*24*60</f>
        <v>11.000000000000201</v>
      </c>
      <c r="W8" s="180">
        <f t="shared" si="5"/>
        <v>88.999999999999204</v>
      </c>
      <c r="X8" s="22"/>
      <c r="Y8" s="260"/>
      <c r="Z8" s="416"/>
      <c r="AA8" s="416"/>
      <c r="AB8" s="18">
        <f>N8-K8</f>
        <v>-275.50561797751266</v>
      </c>
      <c r="AC8" s="183">
        <f>N8/K8</f>
        <v>0.8622471910112437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3211</v>
      </c>
      <c r="H9" s="15">
        <f t="shared" si="6"/>
        <v>157788.54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>K9/J9</f>
        <v>153.84615384615384</v>
      </c>
      <c r="M9" s="178">
        <v>13</v>
      </c>
      <c r="N9" s="14">
        <f t="shared" si="0"/>
        <v>1926.6000000000097</v>
      </c>
      <c r="O9" s="17">
        <f t="shared" si="1"/>
        <v>148.20000000000076</v>
      </c>
      <c r="P9" s="18">
        <f t="shared" si="2"/>
        <v>0</v>
      </c>
      <c r="Q9" s="19">
        <f t="shared" si="3"/>
        <v>-5.6461538461530836</v>
      </c>
      <c r="R9" s="183">
        <f t="shared" si="4"/>
        <v>0.96330000000000493</v>
      </c>
      <c r="S9" s="421"/>
      <c r="T9" s="95">
        <v>0.54027777777777797</v>
      </c>
      <c r="U9" s="95">
        <v>0.60972222222222205</v>
      </c>
      <c r="V9" s="175">
        <f t="shared" si="7"/>
        <v>89.000000000000568</v>
      </c>
      <c r="W9" s="180">
        <f t="shared" si="5"/>
        <v>99.999999999999488</v>
      </c>
      <c r="X9" s="22"/>
      <c r="Y9" s="260"/>
      <c r="Z9" s="475"/>
      <c r="AA9" s="476"/>
      <c r="AB9" s="18">
        <f>N9-K9</f>
        <v>-73.399999999990314</v>
      </c>
      <c r="AC9" s="183">
        <f>N9/K9</f>
        <v>0.96330000000000482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8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14.2</v>
      </c>
      <c r="K15" s="117">
        <f t="shared" si="9"/>
        <v>1960</v>
      </c>
      <c r="L15" s="114">
        <f t="shared" si="9"/>
        <v>140.21719457013575</v>
      </c>
      <c r="M15" s="117">
        <f t="shared" si="9"/>
        <v>14.2</v>
      </c>
      <c r="N15" s="117">
        <f t="shared" si="9"/>
        <v>1715.3077724250365</v>
      </c>
      <c r="O15" s="114">
        <f t="shared" si="9"/>
        <v>122.79821635943965</v>
      </c>
      <c r="P15" s="118">
        <f t="shared" ref="P15:P20" si="10">M15-J15</f>
        <v>0</v>
      </c>
      <c r="Q15" s="119">
        <f t="shared" ref="Q15:Q20" si="11">O15-L15</f>
        <v>-17.418978210696096</v>
      </c>
      <c r="R15" s="120">
        <f t="shared" ref="R15:R20" si="12">O15/L15</f>
        <v>0.87577145396399136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3">N15-K15</f>
        <v>-244.69222757496345</v>
      </c>
      <c r="AC15" s="185">
        <f t="shared" ref="AC15:AC20" si="14">N15/K15</f>
        <v>0.87515702674746765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1281</v>
      </c>
      <c r="H16" s="124">
        <f t="shared" ref="H16:H25" si="15">F16*G16</f>
        <v>73286.009999999995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20" si="16">K16/J16</f>
        <v>161.92307692307693</v>
      </c>
      <c r="M16" s="264">
        <v>13</v>
      </c>
      <c r="N16" s="126">
        <f t="shared" ref="N16:N20" si="17">G16/W16*60</f>
        <v>1787.4418604651191</v>
      </c>
      <c r="O16" s="127">
        <f>N16/M16</f>
        <v>137.49552772808607</v>
      </c>
      <c r="P16" s="128">
        <f>M16-J16</f>
        <v>0</v>
      </c>
      <c r="Q16" s="129">
        <f t="shared" si="11"/>
        <v>-24.42754919499086</v>
      </c>
      <c r="R16" s="187">
        <f>O16/L16</f>
        <v>0.84914102634922506</v>
      </c>
      <c r="S16" s="431">
        <f>R26</f>
        <v>0.90146813248628399</v>
      </c>
      <c r="T16" s="265">
        <v>0.28958333333333336</v>
      </c>
      <c r="U16" s="265">
        <v>0.31944444444444442</v>
      </c>
      <c r="V16" s="125"/>
      <c r="W16" s="130">
        <f t="shared" ref="W16:W78" si="18">(U16-T16)*24*60</f>
        <v>42.999999999999929</v>
      </c>
      <c r="X16" s="127"/>
      <c r="Y16" s="127"/>
      <c r="Z16" s="425"/>
      <c r="AA16" s="425"/>
      <c r="AB16" s="110">
        <f t="shared" si="13"/>
        <v>-317.55813953488087</v>
      </c>
      <c r="AC16" s="182">
        <f t="shared" si="14"/>
        <v>0.84914102634922528</v>
      </c>
      <c r="AD16" s="411">
        <f>AC26</f>
        <v>0.90110414738525535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2975</v>
      </c>
      <c r="H17" s="15">
        <f t="shared" si="15"/>
        <v>150743.25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>G17/W17*60</f>
        <v>1840.2061855670108</v>
      </c>
      <c r="O17" s="38">
        <f t="shared" ref="O17:O20" si="19">N17/M17</f>
        <v>141.55432196669315</v>
      </c>
      <c r="P17" s="39">
        <f t="shared" si="10"/>
        <v>0</v>
      </c>
      <c r="Q17" s="40">
        <f t="shared" si="11"/>
        <v>-12.291831879460688</v>
      </c>
      <c r="R17" s="188">
        <f t="shared" si="12"/>
        <v>0.92010309278350555</v>
      </c>
      <c r="S17" s="432"/>
      <c r="T17" s="41">
        <v>0.3298611111111111</v>
      </c>
      <c r="U17" s="41">
        <v>0.3972222222222222</v>
      </c>
      <c r="V17" s="175">
        <f>(T17-U16)*24*60</f>
        <v>15.000000000000027</v>
      </c>
      <c r="W17" s="43">
        <f t="shared" si="18"/>
        <v>96.999999999999972</v>
      </c>
      <c r="X17" s="44"/>
      <c r="Y17" s="44"/>
      <c r="Z17" s="405"/>
      <c r="AA17" s="405"/>
      <c r="AB17" s="18">
        <f t="shared" si="13"/>
        <v>-159.79381443298917</v>
      </c>
      <c r="AC17" s="183">
        <f t="shared" si="14"/>
        <v>0.92010309278350544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2560</v>
      </c>
      <c r="H18" s="15">
        <f t="shared" si="15"/>
        <v>128998.39999999999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1725.8426966292134</v>
      </c>
      <c r="O18" s="38">
        <f t="shared" si="19"/>
        <v>143.82022471910111</v>
      </c>
      <c r="P18" s="39">
        <f t="shared" si="10"/>
        <v>0</v>
      </c>
      <c r="Q18" s="40">
        <f t="shared" si="11"/>
        <v>-22.846441947565552</v>
      </c>
      <c r="R18" s="188">
        <f t="shared" si="12"/>
        <v>0.86292134831460665</v>
      </c>
      <c r="S18" s="432"/>
      <c r="T18" s="41">
        <v>0.40625</v>
      </c>
      <c r="U18" s="41">
        <v>0.46805555555555556</v>
      </c>
      <c r="V18" s="175">
        <f>(T18-U17)*24*60</f>
        <v>13.000000000000034</v>
      </c>
      <c r="W18" s="43">
        <f t="shared" si="18"/>
        <v>89</v>
      </c>
      <c r="X18" s="22"/>
      <c r="Y18" s="22"/>
      <c r="Z18" s="405"/>
      <c r="AA18" s="405"/>
      <c r="AB18" s="18">
        <f t="shared" si="13"/>
        <v>-274.15730337078662</v>
      </c>
      <c r="AC18" s="183">
        <f t="shared" si="14"/>
        <v>0.86292134831460665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2309</v>
      </c>
      <c r="H19" s="15">
        <f t="shared" si="15"/>
        <v>116350.51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6"/>
        <v>166.66666666666666</v>
      </c>
      <c r="M19" s="37">
        <v>12</v>
      </c>
      <c r="N19" s="36">
        <f t="shared" si="17"/>
        <v>1924.1666666666654</v>
      </c>
      <c r="O19" s="38">
        <f t="shared" si="19"/>
        <v>160.34722222222211</v>
      </c>
      <c r="P19" s="39">
        <f t="shared" si="10"/>
        <v>0</v>
      </c>
      <c r="Q19" s="40">
        <f t="shared" si="11"/>
        <v>-6.3194444444445423</v>
      </c>
      <c r="R19" s="188">
        <f t="shared" si="12"/>
        <v>0.96208333333333274</v>
      </c>
      <c r="S19" s="432"/>
      <c r="T19" s="41">
        <v>0.54166666666666663</v>
      </c>
      <c r="U19" s="41">
        <v>0.59166666666666667</v>
      </c>
      <c r="V19" s="175">
        <f>(T19-U18)*24*60</f>
        <v>105.99999999999994</v>
      </c>
      <c r="W19" s="43">
        <f t="shared" si="18"/>
        <v>72.000000000000057</v>
      </c>
      <c r="X19" s="22">
        <v>0.48958333333333298</v>
      </c>
      <c r="Y19" s="260">
        <v>0.53125</v>
      </c>
      <c r="Z19" s="416"/>
      <c r="AA19" s="416"/>
      <c r="AB19" s="18">
        <f t="shared" si="13"/>
        <v>-75.833333333334622</v>
      </c>
      <c r="AC19" s="183">
        <f t="shared" si="14"/>
        <v>0.96208333333333274</v>
      </c>
      <c r="AD19" s="413"/>
    </row>
    <row r="20" spans="1:30" ht="15" customHeight="1">
      <c r="A20" s="440"/>
      <c r="B20" s="56" t="str">
        <f>VLOOKUP(D20,廠價表!$C$1:$E$40,2,0)</f>
        <v>義大利麵</v>
      </c>
      <c r="C20" s="10"/>
      <c r="D20" s="11" t="s">
        <v>40</v>
      </c>
      <c r="E20" s="86"/>
      <c r="F20" s="56">
        <f>VLOOKUP(D20,廠價表!$C$1:$E$40,3,0)</f>
        <v>50.67</v>
      </c>
      <c r="G20" s="96">
        <v>914</v>
      </c>
      <c r="H20" s="15">
        <f t="shared" si="15"/>
        <v>46312.380000000005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 t="shared" si="16"/>
        <v>153.84615384615384</v>
      </c>
      <c r="M20" s="37">
        <v>13</v>
      </c>
      <c r="N20" s="36">
        <f t="shared" si="17"/>
        <v>1827.9999999999968</v>
      </c>
      <c r="O20" s="38">
        <f t="shared" si="19"/>
        <v>140.61538461538436</v>
      </c>
      <c r="P20" s="39">
        <f t="shared" si="10"/>
        <v>0</v>
      </c>
      <c r="Q20" s="40">
        <f t="shared" si="11"/>
        <v>-13.230769230769482</v>
      </c>
      <c r="R20" s="188">
        <f t="shared" si="12"/>
        <v>0.91399999999999837</v>
      </c>
      <c r="S20" s="432"/>
      <c r="T20" s="41">
        <v>0.59722222222222221</v>
      </c>
      <c r="U20" s="41">
        <v>0.61805555555555558</v>
      </c>
      <c r="V20" s="175"/>
      <c r="W20" s="43">
        <f t="shared" si="18"/>
        <v>30.000000000000053</v>
      </c>
      <c r="X20" s="44"/>
      <c r="Y20" s="44"/>
      <c r="Z20" s="418"/>
      <c r="AA20" s="405"/>
      <c r="AB20" s="18">
        <f t="shared" si="13"/>
        <v>-172.00000000000318</v>
      </c>
      <c r="AC20" s="183">
        <f t="shared" si="14"/>
        <v>0.91399999999999837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12.6</v>
      </c>
      <c r="K26" s="133">
        <f t="shared" si="20"/>
        <v>2021</v>
      </c>
      <c r="L26" s="136">
        <f t="shared" si="20"/>
        <v>160.58974358974359</v>
      </c>
      <c r="M26" s="133">
        <f t="shared" si="20"/>
        <v>12.6</v>
      </c>
      <c r="N26" s="133">
        <f t="shared" si="20"/>
        <v>1821.131481865601</v>
      </c>
      <c r="O26" s="136">
        <f t="shared" si="20"/>
        <v>144.76653625029735</v>
      </c>
      <c r="P26" s="137">
        <f t="shared" ref="P26:P30" si="21">M26-J26</f>
        <v>0</v>
      </c>
      <c r="Q26" s="138">
        <f t="shared" ref="Q26:Q30" si="22">O26-L26</f>
        <v>-15.823207339446242</v>
      </c>
      <c r="R26" s="139">
        <f t="shared" ref="R26:R30" si="23">O26/L26</f>
        <v>0.90146813248628399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-199.86851813439898</v>
      </c>
      <c r="AC26" s="185">
        <f>N26/K26</f>
        <v>0.90110414738525535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v>3124</v>
      </c>
      <c r="H27" s="124">
        <f t="shared" ref="H27:H42" si="24">F27*G27</f>
        <v>149046.04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15</v>
      </c>
      <c r="N27" s="126">
        <f>G27/W27*60</f>
        <v>1441.846153846167</v>
      </c>
      <c r="O27" s="127">
        <f>N27/M27</f>
        <v>96.123076923077804</v>
      </c>
      <c r="P27" s="128">
        <f t="shared" si="21"/>
        <v>0</v>
      </c>
      <c r="Q27" s="129">
        <f t="shared" si="22"/>
        <v>-3.8769230769221963</v>
      </c>
      <c r="R27" s="187">
        <f>O27/L27</f>
        <v>0.96123076923077799</v>
      </c>
      <c r="S27" s="431">
        <f>R37</f>
        <v>0.88108483026737794</v>
      </c>
      <c r="T27" s="94">
        <v>0.29166666666666702</v>
      </c>
      <c r="U27" s="94">
        <v>0.38194444444444398</v>
      </c>
      <c r="V27" s="125"/>
      <c r="W27" s="130">
        <f t="shared" si="18"/>
        <v>129.99999999999881</v>
      </c>
      <c r="X27" s="125"/>
      <c r="Y27" s="125" t="s">
        <v>47</v>
      </c>
      <c r="Z27" s="434"/>
      <c r="AA27" s="425"/>
      <c r="AB27" s="223">
        <f>N27-K27</f>
        <v>-58.153846153833001</v>
      </c>
      <c r="AC27" s="288">
        <f>N27/K27</f>
        <v>0.96123076923077799</v>
      </c>
      <c r="AD27" s="411">
        <f>AC37</f>
        <v>0.93823844380327026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1687</v>
      </c>
      <c r="H28" s="50">
        <f t="shared" si="24"/>
        <v>93004.31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18</v>
      </c>
      <c r="N28" s="36">
        <f>G28/W28*60</f>
        <v>1349.6000000000033</v>
      </c>
      <c r="O28" s="38">
        <f>N28/M28</f>
        <v>74.977777777777959</v>
      </c>
      <c r="P28" s="39">
        <f t="shared" si="21"/>
        <v>0</v>
      </c>
      <c r="Q28" s="40">
        <f t="shared" si="22"/>
        <v>-1.9666666666664838</v>
      </c>
      <c r="R28" s="188">
        <f t="shared" si="23"/>
        <v>0.97444043321299878</v>
      </c>
      <c r="S28" s="432"/>
      <c r="T28" s="267">
        <v>0.38888888888888901</v>
      </c>
      <c r="U28" s="41">
        <v>0.44097222222222221</v>
      </c>
      <c r="V28" s="42">
        <f>(T28-U27)*24*60</f>
        <v>10.000000000000844</v>
      </c>
      <c r="W28" s="43">
        <f t="shared" si="18"/>
        <v>74.999999999999815</v>
      </c>
      <c r="X28" s="54"/>
      <c r="Y28" s="54"/>
      <c r="Z28" s="418"/>
      <c r="AA28" s="417"/>
      <c r="AB28" s="39">
        <f>N28-K28</f>
        <v>-35.39999999999668</v>
      </c>
      <c r="AC28" s="188">
        <f>N28/K28</f>
        <v>0.97444043321299878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1402</v>
      </c>
      <c r="H29" s="50">
        <f t="shared" si="24"/>
        <v>80334.599999999991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17</v>
      </c>
      <c r="N29" s="36">
        <f>G29/W29*60</f>
        <v>1274.5454545454545</v>
      </c>
      <c r="O29" s="38">
        <f>N29/M29</f>
        <v>74.973262032085557</v>
      </c>
      <c r="P29" s="39">
        <f t="shared" si="21"/>
        <v>2</v>
      </c>
      <c r="Q29" s="40">
        <f t="shared" si="22"/>
        <v>-21.026737967914443</v>
      </c>
      <c r="R29" s="188">
        <f t="shared" si="23"/>
        <v>0.78097147950089119</v>
      </c>
      <c r="S29" s="432"/>
      <c r="T29" s="41">
        <v>0.4513888888888889</v>
      </c>
      <c r="U29" s="41">
        <v>0.49722222222222223</v>
      </c>
      <c r="V29" s="42">
        <f>(T29-U28)*24*60</f>
        <v>15.000000000000027</v>
      </c>
      <c r="W29" s="43">
        <f t="shared" si="18"/>
        <v>66</v>
      </c>
      <c r="X29" s="22"/>
      <c r="Y29" s="22"/>
      <c r="Z29" s="418" t="s">
        <v>143</v>
      </c>
      <c r="AA29" s="417"/>
      <c r="AB29" s="289">
        <f>N29-K29</f>
        <v>-165.4545454545455</v>
      </c>
      <c r="AC29" s="188">
        <f>N29/K29</f>
        <v>0.88510101010101006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142</v>
      </c>
      <c r="E30" s="29"/>
      <c r="F30" s="56">
        <f>VLOOKUP(D30,廠價表!$C$1:$E$40,3,0)</f>
        <v>57.3</v>
      </c>
      <c r="G30" s="53">
        <v>3335</v>
      </c>
      <c r="H30" s="50">
        <f t="shared" si="24"/>
        <v>191095.5</v>
      </c>
      <c r="I30" s="42"/>
      <c r="J30" s="16">
        <f>VLOOKUP(D30,產線配置圖!$A$3:$C$39,2,0)</f>
        <v>15</v>
      </c>
      <c r="K30" s="14">
        <f>VLOOKUP(D30,產線配置圖!$A$3:$C$39,3,0)</f>
        <v>1440</v>
      </c>
      <c r="L30" s="233">
        <f>K30/J30</f>
        <v>96</v>
      </c>
      <c r="M30" s="21">
        <v>17</v>
      </c>
      <c r="N30" s="36">
        <f>G30/W30*60</f>
        <v>1342.9530201342286</v>
      </c>
      <c r="O30" s="38">
        <f>N30/M30</f>
        <v>78.997236478484041</v>
      </c>
      <c r="P30" s="39">
        <f t="shared" si="21"/>
        <v>2</v>
      </c>
      <c r="Q30" s="40">
        <f t="shared" si="22"/>
        <v>-17.002763521515959</v>
      </c>
      <c r="R30" s="188">
        <f t="shared" si="23"/>
        <v>0.82288787998420876</v>
      </c>
      <c r="S30" s="432"/>
      <c r="T30" s="41">
        <v>0.55555555555555558</v>
      </c>
      <c r="U30" s="41">
        <v>0.65902777777777777</v>
      </c>
      <c r="V30" s="42">
        <f>(T30-U29)*24*60</f>
        <v>84.000000000000028</v>
      </c>
      <c r="W30" s="43">
        <f t="shared" si="18"/>
        <v>148.99999999999994</v>
      </c>
      <c r="X30" s="54">
        <v>0.48958333333333298</v>
      </c>
      <c r="Y30" s="54">
        <v>0.53125</v>
      </c>
      <c r="Z30" s="418" t="s">
        <v>143</v>
      </c>
      <c r="AA30" s="417"/>
      <c r="AB30" s="289">
        <f>N30-K30</f>
        <v>-97.046979865771391</v>
      </c>
      <c r="AC30" s="188">
        <f>N30/K30</f>
        <v>0.93260626398210322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8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4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5">AVERAGE(J27:J36)</f>
        <v>15.75</v>
      </c>
      <c r="K37" s="282">
        <f t="shared" si="25"/>
        <v>1441.25</v>
      </c>
      <c r="L37" s="283">
        <f t="shared" si="25"/>
        <v>92.236111111111114</v>
      </c>
      <c r="M37" s="282">
        <f t="shared" si="25"/>
        <v>16.75</v>
      </c>
      <c r="N37" s="282">
        <f t="shared" si="25"/>
        <v>1352.2361571314632</v>
      </c>
      <c r="O37" s="283">
        <f t="shared" si="25"/>
        <v>81.267838302856347</v>
      </c>
      <c r="P37" s="73">
        <f>M37-J37</f>
        <v>1</v>
      </c>
      <c r="Q37" s="74">
        <f>N37-K37</f>
        <v>-89.013842868536813</v>
      </c>
      <c r="R37" s="284">
        <f t="shared" ref="R37:R42" si="26">O37/L37</f>
        <v>0.88108483026737794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1" si="27">N37-K37</f>
        <v>-89.013842868536813</v>
      </c>
      <c r="AC37" s="184">
        <f t="shared" ref="AC37:AC41" si="28">N37/K37</f>
        <v>0.93823844380327026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1871</v>
      </c>
      <c r="H38" s="124">
        <f t="shared" si="24"/>
        <v>107208.29999999999</v>
      </c>
      <c r="I38" s="125"/>
      <c r="J38" s="331">
        <f>VLOOKUP(D38,產線配置圖!$A$3:$C$39,2,0)</f>
        <v>15</v>
      </c>
      <c r="K38" s="234">
        <v>1500</v>
      </c>
      <c r="L38" s="285">
        <f t="shared" ref="L38:L42" si="29">K38/J38</f>
        <v>100</v>
      </c>
      <c r="M38" s="286">
        <v>15</v>
      </c>
      <c r="N38" s="126">
        <f>G38/W38*60</f>
        <v>1247.3333333333333</v>
      </c>
      <c r="O38" s="127">
        <f>N38/M38</f>
        <v>83.155555555555551</v>
      </c>
      <c r="P38" s="128">
        <f t="shared" ref="P38:P42" si="30">M38-J38</f>
        <v>0</v>
      </c>
      <c r="Q38" s="129">
        <f t="shared" ref="Q38:Q42" si="31">O38-L38</f>
        <v>-16.844444444444449</v>
      </c>
      <c r="R38" s="187">
        <f t="shared" si="26"/>
        <v>0.83155555555555549</v>
      </c>
      <c r="S38" s="460">
        <f>R48</f>
        <v>0.83481968477551793</v>
      </c>
      <c r="T38" s="149">
        <v>0.29166666666666669</v>
      </c>
      <c r="U38" s="149">
        <v>0.35416666666666669</v>
      </c>
      <c r="V38" s="146"/>
      <c r="W38" s="150">
        <f t="shared" si="18"/>
        <v>90</v>
      </c>
      <c r="X38" s="148"/>
      <c r="Y38" s="151"/>
      <c r="Z38" s="462"/>
      <c r="AA38" s="463"/>
      <c r="AB38" s="287">
        <f t="shared" si="27"/>
        <v>-252.66666666666674</v>
      </c>
      <c r="AC38" s="152">
        <f t="shared" si="28"/>
        <v>0.83155555555555549</v>
      </c>
      <c r="AD38" s="447">
        <f>AC48</f>
        <v>0.87957826977489328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994</v>
      </c>
      <c r="H39" s="50">
        <f t="shared" si="24"/>
        <v>56091.42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9"/>
        <v>93.733333333333334</v>
      </c>
      <c r="M39" s="65">
        <v>15</v>
      </c>
      <c r="N39" s="66">
        <f>G39/W39*60</f>
        <v>1169.4117647058829</v>
      </c>
      <c r="O39" s="67">
        <f t="shared" ref="O39:O42" si="32">N39/M39</f>
        <v>77.960784313725526</v>
      </c>
      <c r="P39" s="39">
        <f t="shared" si="30"/>
        <v>0</v>
      </c>
      <c r="Q39" s="40">
        <f t="shared" si="31"/>
        <v>-15.772549019607808</v>
      </c>
      <c r="R39" s="188">
        <f t="shared" si="26"/>
        <v>0.83172956237971751</v>
      </c>
      <c r="S39" s="461"/>
      <c r="T39" s="59">
        <v>0.36041666666666666</v>
      </c>
      <c r="U39" s="59">
        <v>0.39583333333333331</v>
      </c>
      <c r="V39" s="42">
        <f>(T39-U38)*24*60</f>
        <v>8.999999999999968</v>
      </c>
      <c r="W39" s="69">
        <f t="shared" si="18"/>
        <v>50.999999999999979</v>
      </c>
      <c r="X39" s="22"/>
      <c r="Y39" s="22"/>
      <c r="Z39" s="450"/>
      <c r="AA39" s="451"/>
      <c r="AB39" s="268">
        <f t="shared" si="27"/>
        <v>-236.58823529411711</v>
      </c>
      <c r="AC39" s="61">
        <f t="shared" si="28"/>
        <v>0.83172956237971751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142</v>
      </c>
      <c r="E40" s="240"/>
      <c r="F40" s="56">
        <f>VLOOKUP(D40,廠價表!$C$1:$E$40,3,0)</f>
        <v>57.3</v>
      </c>
      <c r="G40" s="273">
        <v>3142</v>
      </c>
      <c r="H40" s="50">
        <f t="shared" si="24"/>
        <v>180036.59999999998</v>
      </c>
      <c r="I40" s="64"/>
      <c r="J40" s="37">
        <f>VLOOKUP(D40,產線配置圖!$A$3:$C$39,2,0)</f>
        <v>15</v>
      </c>
      <c r="K40" s="36">
        <f>VLOOKUP(D40,產線配置圖!$A$3:$C$39,3,0)</f>
        <v>1440</v>
      </c>
      <c r="L40" s="38">
        <f t="shared" si="29"/>
        <v>96</v>
      </c>
      <c r="M40" s="65">
        <v>17</v>
      </c>
      <c r="N40" s="66">
        <f>G40/W40*60</f>
        <v>1428.1818181818182</v>
      </c>
      <c r="O40" s="67">
        <f t="shared" si="32"/>
        <v>84.01069518716578</v>
      </c>
      <c r="P40" s="39">
        <f t="shared" si="30"/>
        <v>2</v>
      </c>
      <c r="Q40" s="40">
        <f t="shared" si="31"/>
        <v>-11.98930481283422</v>
      </c>
      <c r="R40" s="188">
        <f t="shared" si="26"/>
        <v>0.8751114081996435</v>
      </c>
      <c r="S40" s="420"/>
      <c r="T40" s="59">
        <v>0.40625</v>
      </c>
      <c r="U40" s="59">
        <v>0.49791666666666667</v>
      </c>
      <c r="V40" s="42">
        <f>(T40-U39)*24*60</f>
        <v>15.000000000000027</v>
      </c>
      <c r="W40" s="69">
        <f t="shared" si="18"/>
        <v>132</v>
      </c>
      <c r="X40" s="70"/>
      <c r="Y40" s="256"/>
      <c r="Z40" s="418" t="s">
        <v>143</v>
      </c>
      <c r="AA40" s="417"/>
      <c r="AB40" s="268">
        <f t="shared" si="27"/>
        <v>-11.818181818181756</v>
      </c>
      <c r="AC40" s="61">
        <f t="shared" si="28"/>
        <v>0.99179292929292928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782</v>
      </c>
      <c r="H41" s="50">
        <f t="shared" si="24"/>
        <v>44128.26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si="29"/>
        <v>93.733333333333334</v>
      </c>
      <c r="M41" s="65">
        <v>15</v>
      </c>
      <c r="N41" s="66">
        <f>G41/W41*60</f>
        <v>1172.9999999999995</v>
      </c>
      <c r="O41" s="67">
        <f t="shared" si="32"/>
        <v>78.199999999999974</v>
      </c>
      <c r="P41" s="39">
        <f t="shared" si="30"/>
        <v>0</v>
      </c>
      <c r="Q41" s="40">
        <f t="shared" si="31"/>
        <v>-15.53333333333336</v>
      </c>
      <c r="R41" s="188">
        <f t="shared" si="26"/>
        <v>0.83428165007112343</v>
      </c>
      <c r="S41" s="420"/>
      <c r="T41" s="59">
        <v>0.5625</v>
      </c>
      <c r="U41" s="75">
        <v>0.59027777777777779</v>
      </c>
      <c r="V41" s="42">
        <f>(T41-U40)*24*60</f>
        <v>92.999999999999986</v>
      </c>
      <c r="W41" s="69">
        <f t="shared" si="18"/>
        <v>40.000000000000014</v>
      </c>
      <c r="X41" s="70">
        <v>0.52777777777777801</v>
      </c>
      <c r="Y41" s="256">
        <v>0.56944444444444398</v>
      </c>
      <c r="Z41" s="418"/>
      <c r="AA41" s="417"/>
      <c r="AB41" s="268">
        <f t="shared" si="27"/>
        <v>-233.00000000000045</v>
      </c>
      <c r="AC41" s="61">
        <f t="shared" si="28"/>
        <v>0.83428165007112343</v>
      </c>
      <c r="AD41" s="448"/>
    </row>
    <row r="42" spans="1:30" s="62" customFormat="1" ht="15" customHeight="1">
      <c r="A42" s="458"/>
      <c r="B42" s="56" t="s">
        <v>45</v>
      </c>
      <c r="C42" s="23"/>
      <c r="D42" s="276" t="s">
        <v>142</v>
      </c>
      <c r="E42" s="12"/>
      <c r="F42" s="56">
        <f>VLOOKUP(D42,廠價表!$C$1:$E$40,3,0)</f>
        <v>57.3</v>
      </c>
      <c r="G42" s="273">
        <v>2180</v>
      </c>
      <c r="H42" s="50">
        <f t="shared" si="24"/>
        <v>124914</v>
      </c>
      <c r="I42" s="64"/>
      <c r="J42" s="37">
        <f>VLOOKUP(D42,產線配置圖!$A$3:$C$39,2,0)</f>
        <v>15</v>
      </c>
      <c r="K42" s="36">
        <f>VLOOKUP(D42,產線配置圖!$A$3:$C$39,3,0)</f>
        <v>1440</v>
      </c>
      <c r="L42" s="38">
        <f t="shared" si="29"/>
        <v>96</v>
      </c>
      <c r="M42" s="65">
        <v>17</v>
      </c>
      <c r="N42" s="66">
        <f>G42/W42*60</f>
        <v>1308.0000000000005</v>
      </c>
      <c r="O42" s="67">
        <f t="shared" si="32"/>
        <v>76.94117647058826</v>
      </c>
      <c r="P42" s="39">
        <f t="shared" si="30"/>
        <v>2</v>
      </c>
      <c r="Q42" s="40">
        <f t="shared" si="31"/>
        <v>-19.05882352941174</v>
      </c>
      <c r="R42" s="188">
        <f t="shared" si="26"/>
        <v>0.80147058823529438</v>
      </c>
      <c r="S42" s="420"/>
      <c r="T42" s="75">
        <v>0.59722222222222221</v>
      </c>
      <c r="U42" s="75">
        <v>0.66666666666666663</v>
      </c>
      <c r="V42" s="42">
        <f>(T42-U41)*24*60</f>
        <v>9.9999999999999645</v>
      </c>
      <c r="W42" s="69">
        <f t="shared" si="18"/>
        <v>99.999999999999972</v>
      </c>
      <c r="X42" s="70"/>
      <c r="Y42" s="60"/>
      <c r="Z42" s="418" t="s">
        <v>143</v>
      </c>
      <c r="AA42" s="417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33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5">AVERAGE(J38:J47)</f>
        <v>15</v>
      </c>
      <c r="K48" s="133">
        <f t="shared" si="35"/>
        <v>1438.4</v>
      </c>
      <c r="L48" s="136">
        <f t="shared" si="35"/>
        <v>95.893333333333345</v>
      </c>
      <c r="M48" s="133">
        <f t="shared" si="35"/>
        <v>15.8</v>
      </c>
      <c r="N48" s="133">
        <f t="shared" si="35"/>
        <v>1265.1853832442066</v>
      </c>
      <c r="O48" s="136">
        <f t="shared" si="35"/>
        <v>80.05364230540701</v>
      </c>
      <c r="P48" s="155">
        <f>M48-J48</f>
        <v>0.80000000000000071</v>
      </c>
      <c r="Q48" s="156">
        <f>N48-K48</f>
        <v>-173.21461675579349</v>
      </c>
      <c r="R48" s="157">
        <f>O48/L48</f>
        <v>0.83481968477551793</v>
      </c>
      <c r="S48" s="423"/>
      <c r="T48" s="158"/>
      <c r="U48" s="158"/>
      <c r="V48" s="194"/>
      <c r="W48" s="159">
        <f t="shared" si="34"/>
        <v>0</v>
      </c>
      <c r="X48" s="160"/>
      <c r="Y48" s="160"/>
      <c r="Z48" s="424"/>
      <c r="AA48" s="424"/>
      <c r="AB48" s="161">
        <f>N48-K48</f>
        <v>-173.21461675579349</v>
      </c>
      <c r="AC48" s="189">
        <f>N48/K48</f>
        <v>0.87957826977489328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1852</v>
      </c>
      <c r="H49" s="124">
        <f t="shared" ref="H49:H57" si="36">F49*G49</f>
        <v>105323.23999999999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1543.3333333333321</v>
      </c>
      <c r="O49" s="127">
        <f>N49/M49</f>
        <v>81.228070175438532</v>
      </c>
      <c r="P49" s="162">
        <f>M49-J49</f>
        <v>0</v>
      </c>
      <c r="Q49" s="111">
        <f>O49-L49</f>
        <v>-1.1403508771930433</v>
      </c>
      <c r="R49" s="182">
        <f>O49/L49</f>
        <v>0.9861554845580397</v>
      </c>
      <c r="S49" s="419">
        <f>R58</f>
        <v>0.8985782856880612</v>
      </c>
      <c r="T49" s="149">
        <v>0.28749999999999998</v>
      </c>
      <c r="U49" s="149">
        <v>0.33750000000000002</v>
      </c>
      <c r="V49" s="186"/>
      <c r="W49" s="150">
        <f t="shared" si="18"/>
        <v>72.000000000000057</v>
      </c>
      <c r="X49" s="186"/>
      <c r="Y49" s="186"/>
      <c r="Z49" s="425"/>
      <c r="AA49" s="425"/>
      <c r="AB49" s="110">
        <f>N49-K49</f>
        <v>-21.666666666667879</v>
      </c>
      <c r="AC49" s="182">
        <f>N49/K49</f>
        <v>0.9861554845580397</v>
      </c>
      <c r="AD49" s="411">
        <f>AC58</f>
        <v>0.9085524418331935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2682</v>
      </c>
      <c r="H50" s="76">
        <f t="shared" si="36"/>
        <v>134019.54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1593.2673267326738</v>
      </c>
      <c r="O50" s="78">
        <f>N50/M50</f>
        <v>88.51485148514854</v>
      </c>
      <c r="P50" s="18">
        <f>M50-J50</f>
        <v>0</v>
      </c>
      <c r="Q50" s="19">
        <f>O50-L50</f>
        <v>-0.37403740374034555</v>
      </c>
      <c r="R50" s="183">
        <f>O50/L50</f>
        <v>0.99579207920792112</v>
      </c>
      <c r="S50" s="420"/>
      <c r="T50" s="79">
        <v>0.34166666666666667</v>
      </c>
      <c r="U50" s="79">
        <v>0.41180555555555554</v>
      </c>
      <c r="V50" s="175">
        <f t="shared" ref="V50:V54" si="37">(T50-U49)*24*60</f>
        <v>5.9999999999999787</v>
      </c>
      <c r="W50" s="80">
        <f t="shared" si="18"/>
        <v>100.99999999999996</v>
      </c>
      <c r="X50" s="22"/>
      <c r="Y50" s="22"/>
      <c r="Z50" s="417"/>
      <c r="AA50" s="418"/>
      <c r="AB50" s="18">
        <f>N50-K50</f>
        <v>-6.7326732673261631</v>
      </c>
      <c r="AC50" s="183">
        <f>N50/K50</f>
        <v>0.99579207920792112</v>
      </c>
      <c r="AD50" s="412"/>
    </row>
    <row r="51" spans="1:30" ht="15" customHeight="1">
      <c r="A51" s="455"/>
      <c r="B51" s="56" t="str">
        <f>VLOOKUP(D51,廠價表!$C$1:$E$40,2,0)</f>
        <v>熱乾麵</v>
      </c>
      <c r="C51" s="10"/>
      <c r="D51" s="11" t="s">
        <v>46</v>
      </c>
      <c r="E51" s="86"/>
      <c r="F51" s="56">
        <f>VLOOKUP(D51,廠價表!$C$1:$E$40,3,0)</f>
        <v>49.91</v>
      </c>
      <c r="G51" s="66">
        <v>2116</v>
      </c>
      <c r="H51" s="76">
        <f t="shared" si="36"/>
        <v>105609.56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2" si="38">K51/J51</f>
        <v>92.058823529411768</v>
      </c>
      <c r="M51" s="172">
        <v>17</v>
      </c>
      <c r="N51" s="77">
        <f t="shared" ref="N51:N52" si="39">G51/W51*60</f>
        <v>1548.2926829268213</v>
      </c>
      <c r="O51" s="78">
        <f t="shared" ref="O51:O52" si="40">N51/M51</f>
        <v>91.07604017216596</v>
      </c>
      <c r="P51" s="18">
        <f t="shared" ref="P51:P52" si="41">M51-J51</f>
        <v>0</v>
      </c>
      <c r="Q51" s="19">
        <f t="shared" ref="Q51:Q52" si="42">O51-L51</f>
        <v>-0.98278335724580757</v>
      </c>
      <c r="R51" s="183">
        <f t="shared" ref="R51:R52" si="43">O51/L51</f>
        <v>0.98932439803630756</v>
      </c>
      <c r="S51" s="420"/>
      <c r="T51" s="79">
        <v>0.41597222222222224</v>
      </c>
      <c r="U51" s="44">
        <v>0.47291666666666698</v>
      </c>
      <c r="V51" s="175">
        <f t="shared" si="37"/>
        <v>6.0000000000000586</v>
      </c>
      <c r="W51" s="80">
        <f t="shared" si="18"/>
        <v>82.000000000000426</v>
      </c>
      <c r="X51" s="22"/>
      <c r="Y51" s="22"/>
      <c r="Z51" s="405"/>
      <c r="AA51" s="405"/>
      <c r="AB51" s="18">
        <f>N51-K51</f>
        <v>-16.707317073178729</v>
      </c>
      <c r="AC51" s="183">
        <f>N51/K51</f>
        <v>0.98932439803630756</v>
      </c>
      <c r="AD51" s="412"/>
    </row>
    <row r="52" spans="1:30" ht="15" customHeight="1">
      <c r="A52" s="455"/>
      <c r="B52" s="56" t="str">
        <f>VLOOKUP(D52,廠價表!$C$1:$E$40,2,0)</f>
        <v>義大利麵</v>
      </c>
      <c r="C52" s="23"/>
      <c r="D52" s="11" t="s">
        <v>59</v>
      </c>
      <c r="E52" s="12"/>
      <c r="F52" s="56">
        <f>VLOOKUP(D52,廠價表!$C$1:$E$40,3,0)</f>
        <v>49.97</v>
      </c>
      <c r="G52" s="66">
        <v>3252</v>
      </c>
      <c r="H52" s="76">
        <f t="shared" si="36"/>
        <v>162502.44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 t="shared" si="38"/>
        <v>88.888888888888886</v>
      </c>
      <c r="M52" s="172">
        <v>18</v>
      </c>
      <c r="N52" s="77">
        <f t="shared" si="39"/>
        <v>1586.3414634146336</v>
      </c>
      <c r="O52" s="78">
        <f t="shared" si="40"/>
        <v>88.130081300812975</v>
      </c>
      <c r="P52" s="18">
        <f t="shared" si="41"/>
        <v>0</v>
      </c>
      <c r="Q52" s="19">
        <f t="shared" si="42"/>
        <v>-0.75880758807591064</v>
      </c>
      <c r="R52" s="183">
        <f t="shared" si="43"/>
        <v>0.991463414634146</v>
      </c>
      <c r="S52" s="420"/>
      <c r="T52" s="79">
        <v>0.52777777777777779</v>
      </c>
      <c r="U52" s="79">
        <v>0.61319444444444449</v>
      </c>
      <c r="V52" s="175">
        <f t="shared" si="37"/>
        <v>78.999999999999559</v>
      </c>
      <c r="W52" s="80">
        <f t="shared" si="18"/>
        <v>123.00000000000004</v>
      </c>
      <c r="X52" s="22"/>
      <c r="Y52" s="22"/>
      <c r="Z52" s="405"/>
      <c r="AA52" s="405"/>
      <c r="AB52" s="18">
        <f>N52-K52</f>
        <v>-13.658536585366392</v>
      </c>
      <c r="AC52" s="183">
        <f>N52/K52</f>
        <v>0.991463414634146</v>
      </c>
      <c r="AD52" s="412"/>
    </row>
    <row r="53" spans="1:30" ht="15" customHeight="1">
      <c r="A53" s="455"/>
      <c r="B53" s="56" t="str">
        <f>VLOOKUP(D53,廠價表!$C$1:$E$40,2,0)</f>
        <v>熱乾麵</v>
      </c>
      <c r="C53" s="23"/>
      <c r="D53" s="11" t="s">
        <v>46</v>
      </c>
      <c r="E53" s="12"/>
      <c r="F53" s="56">
        <f>VLOOKUP(D53,廠價表!$C$1:$E$40,3,0)</f>
        <v>49.91</v>
      </c>
      <c r="G53" s="66">
        <v>600</v>
      </c>
      <c r="H53" s="76">
        <f>F53*G53</f>
        <v>29945.999999999996</v>
      </c>
      <c r="I53" s="191"/>
      <c r="J53" s="16">
        <f>VLOOKUP(D53,產線配置圖!$A$3:$C$39,2,0)</f>
        <v>17</v>
      </c>
      <c r="K53" s="14">
        <f>VLOOKUP(D53,產線配置圖!$A$3:$C$39,3,0)</f>
        <v>1565</v>
      </c>
      <c r="L53" s="17">
        <f t="shared" ref="L53:L54" si="44">K53/J53</f>
        <v>92.058823529411768</v>
      </c>
      <c r="M53" s="172">
        <v>17</v>
      </c>
      <c r="N53" s="77">
        <f t="shared" ref="N53:N54" si="45">G53/W53*60</f>
        <v>1384.6153846153895</v>
      </c>
      <c r="O53" s="78">
        <f t="shared" ref="O53:O54" si="46">N53/M53</f>
        <v>81.447963800905271</v>
      </c>
      <c r="P53" s="18">
        <f t="shared" ref="P53:P54" si="47">M53-J53</f>
        <v>0</v>
      </c>
      <c r="Q53" s="19">
        <f t="shared" ref="Q53:Q54" si="48">O53-L53</f>
        <v>-10.610859728506497</v>
      </c>
      <c r="R53" s="183">
        <f t="shared" ref="R53:R54" si="49">O53/L53</f>
        <v>0.88473826492996133</v>
      </c>
      <c r="S53" s="420"/>
      <c r="T53" s="79">
        <v>0.61805555555555558</v>
      </c>
      <c r="U53" s="79">
        <v>0.63611111111111107</v>
      </c>
      <c r="V53" s="175">
        <f t="shared" si="37"/>
        <v>6.9999999999999751</v>
      </c>
      <c r="W53" s="80">
        <f t="shared" si="18"/>
        <v>25.999999999999908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56" t="str">
        <f>VLOOKUP(D54,廠價表!$C$1:$E$40,2,0)</f>
        <v>義大利麵</v>
      </c>
      <c r="C54" s="181"/>
      <c r="D54" s="11" t="s">
        <v>49</v>
      </c>
      <c r="E54" s="12"/>
      <c r="F54" s="56">
        <f>VLOOKUP(D54,廠價表!$C$1:$E$40,3,0)</f>
        <v>47.71</v>
      </c>
      <c r="G54" s="66">
        <v>528</v>
      </c>
      <c r="H54" s="76">
        <f>F54*G54</f>
        <v>25190.880000000001</v>
      </c>
      <c r="I54" s="175"/>
      <c r="J54" s="16">
        <f>VLOOKUP(D54,產線配置圖!$A$3:$C$39,2,0)</f>
        <v>15</v>
      </c>
      <c r="K54" s="14">
        <f>VLOOKUP(D54,產線配置圖!$A$3:$C$39,3,0)</f>
        <v>1500</v>
      </c>
      <c r="L54" s="17">
        <f t="shared" si="44"/>
        <v>100</v>
      </c>
      <c r="M54" s="179">
        <v>15</v>
      </c>
      <c r="N54" s="77">
        <f t="shared" si="45"/>
        <v>880.00000000000318</v>
      </c>
      <c r="O54" s="78">
        <f t="shared" si="46"/>
        <v>58.666666666666877</v>
      </c>
      <c r="P54" s="18">
        <f t="shared" si="47"/>
        <v>0</v>
      </c>
      <c r="Q54" s="19">
        <f t="shared" si="48"/>
        <v>-41.333333333333123</v>
      </c>
      <c r="R54" s="183">
        <f t="shared" si="49"/>
        <v>0.58666666666666878</v>
      </c>
      <c r="S54" s="420"/>
      <c r="T54" s="79">
        <v>0.64097222222222228</v>
      </c>
      <c r="U54" s="79">
        <v>0.66597222222222219</v>
      </c>
      <c r="V54" s="175">
        <f t="shared" si="37"/>
        <v>7.000000000000135</v>
      </c>
      <c r="W54" s="80">
        <f t="shared" si="18"/>
        <v>35.999999999999872</v>
      </c>
      <c r="X54" s="175"/>
      <c r="Y54" s="175"/>
      <c r="Z54" s="417" t="s">
        <v>55</v>
      </c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6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6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6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50">AVERAGE(J49:J57)</f>
        <v>17.333333333333332</v>
      </c>
      <c r="K58" s="117">
        <f t="shared" si="50"/>
        <v>1565.8333333333333</v>
      </c>
      <c r="L58" s="114">
        <f t="shared" si="50"/>
        <v>90.710640981538816</v>
      </c>
      <c r="M58" s="117">
        <f t="shared" si="50"/>
        <v>17.333333333333332</v>
      </c>
      <c r="N58" s="117">
        <f t="shared" si="50"/>
        <v>1422.6416985038088</v>
      </c>
      <c r="O58" s="114">
        <f t="shared" si="50"/>
        <v>81.510612266856342</v>
      </c>
      <c r="P58" s="118">
        <f>M58-J58</f>
        <v>0</v>
      </c>
      <c r="Q58" s="119">
        <f>N58-K58</f>
        <v>-143.19163482952445</v>
      </c>
      <c r="R58" s="120">
        <f t="shared" ref="R58:R60" si="51">O58/L58</f>
        <v>0.8985782856880612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52">N58-K58</f>
        <v>-143.19163482952445</v>
      </c>
      <c r="AC58" s="185">
        <f t="shared" ref="AC58:AC61" si="53">N58/K58</f>
        <v>0.9085524418331935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2772</v>
      </c>
      <c r="H59" s="105">
        <f t="shared" ref="H59:H68" si="54">F59*G59</f>
        <v>74816.28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55">G59/W59*60</f>
        <v>1511.9999999999998</v>
      </c>
      <c r="O59" s="108">
        <f t="shared" ref="O59:O61" si="56">N59/M59</f>
        <v>116.30769230769229</v>
      </c>
      <c r="P59" s="110">
        <f t="shared" ref="P59:P61" si="57">M59-J59</f>
        <v>0</v>
      </c>
      <c r="Q59" s="111">
        <f t="shared" ref="Q59:Q61" si="58">O59-L59</f>
        <v>-4.0769230769230944</v>
      </c>
      <c r="R59" s="182">
        <f t="shared" si="51"/>
        <v>0.96613418530351425</v>
      </c>
      <c r="S59" s="419">
        <f>R69</f>
        <v>0.96252079946494529</v>
      </c>
      <c r="T59" s="167">
        <v>0.28819444444444442</v>
      </c>
      <c r="U59" s="167">
        <v>0.36458333333333331</v>
      </c>
      <c r="V59" s="186"/>
      <c r="W59" s="106">
        <f t="shared" si="18"/>
        <v>110.00000000000001</v>
      </c>
      <c r="X59" s="186"/>
      <c r="Y59" s="186"/>
      <c r="Z59" s="469"/>
      <c r="AA59" s="434"/>
      <c r="AB59" s="223">
        <f t="shared" si="52"/>
        <v>-53.000000000000227</v>
      </c>
      <c r="AC59" s="224">
        <f t="shared" si="53"/>
        <v>0.96613418530351425</v>
      </c>
      <c r="AD59" s="411">
        <f>AC69</f>
        <v>0.96182939657019828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2041</v>
      </c>
      <c r="H60" s="15">
        <f t="shared" si="54"/>
        <v>58107.27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5"/>
        <v>1530.7500000000009</v>
      </c>
      <c r="O60" s="17">
        <f t="shared" si="56"/>
        <v>127.56250000000007</v>
      </c>
      <c r="P60" s="18">
        <f t="shared" si="57"/>
        <v>0</v>
      </c>
      <c r="Q60" s="19">
        <f t="shared" si="58"/>
        <v>-2.8541666666665861</v>
      </c>
      <c r="R60" s="183">
        <f t="shared" si="51"/>
        <v>0.9781150159744415</v>
      </c>
      <c r="S60" s="474"/>
      <c r="T60" s="20">
        <v>0.37152777777777779</v>
      </c>
      <c r="U60" s="20">
        <v>0.42708333333333331</v>
      </c>
      <c r="V60" s="175">
        <f t="shared" ref="V60:V63" si="59">(T60-U59)*24*60</f>
        <v>10.000000000000044</v>
      </c>
      <c r="W60" s="90">
        <f t="shared" si="18"/>
        <v>79.999999999999957</v>
      </c>
      <c r="X60" s="191"/>
      <c r="Y60" s="191"/>
      <c r="Z60" s="405" t="s">
        <v>135</v>
      </c>
      <c r="AA60" s="405"/>
      <c r="AB60" s="225">
        <f t="shared" si="52"/>
        <v>-34.249999999999091</v>
      </c>
      <c r="AC60" s="226">
        <f t="shared" si="53"/>
        <v>0.9781150159744415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2747</v>
      </c>
      <c r="H61" s="15">
        <f t="shared" si="54"/>
        <v>77630.22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55"/>
        <v>1526.1111111111118</v>
      </c>
      <c r="O61" s="17">
        <f t="shared" si="56"/>
        <v>127.17592592592598</v>
      </c>
      <c r="P61" s="18">
        <f t="shared" si="57"/>
        <v>0</v>
      </c>
      <c r="Q61" s="19">
        <f t="shared" si="58"/>
        <v>-3.2407407407406765</v>
      </c>
      <c r="R61" s="183">
        <f>O61/L61</f>
        <v>0.97515086971956033</v>
      </c>
      <c r="S61" s="420"/>
      <c r="T61" s="20">
        <v>0.43541666666666667</v>
      </c>
      <c r="U61" s="20">
        <v>0.51041666666666663</v>
      </c>
      <c r="V61" s="175">
        <f t="shared" si="59"/>
        <v>12.000000000000037</v>
      </c>
      <c r="W61" s="88">
        <f t="shared" si="18"/>
        <v>107.99999999999994</v>
      </c>
      <c r="X61" s="22"/>
      <c r="Y61" s="22"/>
      <c r="Z61" s="405"/>
      <c r="AA61" s="405"/>
      <c r="AB61" s="51">
        <f t="shared" si="52"/>
        <v>-38.888888888888232</v>
      </c>
      <c r="AC61" s="52">
        <f t="shared" si="53"/>
        <v>0.97515086971956022</v>
      </c>
      <c r="AD61" s="412"/>
    </row>
    <row r="62" spans="1:30" ht="15" customHeight="1">
      <c r="A62" s="472"/>
      <c r="B62" s="56" t="str">
        <f>VLOOKUP(D62,廠價表!$C$1:$E$40,2,0)</f>
        <v>小吃、微波</v>
      </c>
      <c r="C62" s="10"/>
      <c r="D62" s="239" t="s">
        <v>64</v>
      </c>
      <c r="E62" s="86"/>
      <c r="F62" s="56">
        <f>VLOOKUP(D62,廠價表!$C$1:$E$40,3,0)</f>
        <v>28.26</v>
      </c>
      <c r="G62" s="175">
        <v>2367</v>
      </c>
      <c r="H62" s="15">
        <f t="shared" ref="H62:H63" si="60">F62*G62</f>
        <v>66891.42</v>
      </c>
      <c r="I62" s="81"/>
      <c r="J62" s="16">
        <f>VLOOKUP(D62,產線配置圖!$A$3:$C$39,2,0)</f>
        <v>12</v>
      </c>
      <c r="K62" s="14">
        <f>VLOOKUP(D62,產線配置圖!$A$3:$C$39,3,0)</f>
        <v>1565</v>
      </c>
      <c r="L62" s="17">
        <f t="shared" ref="L62:L63" si="61">K62/J62</f>
        <v>130.41666666666666</v>
      </c>
      <c r="M62" s="178">
        <v>12</v>
      </c>
      <c r="N62" s="14">
        <f t="shared" ref="N62:N63" si="62">G62/W62*60</f>
        <v>1527.0967741935488</v>
      </c>
      <c r="O62" s="17">
        <f t="shared" ref="O62:O63" si="63">N62/M62</f>
        <v>127.25806451612907</v>
      </c>
      <c r="P62" s="18">
        <f t="shared" ref="P62:P63" si="64">M62-J62</f>
        <v>0</v>
      </c>
      <c r="Q62" s="19">
        <f t="shared" ref="Q62:Q63" si="65">O62-L62</f>
        <v>-3.1586021505375896</v>
      </c>
      <c r="R62" s="183">
        <f t="shared" ref="R62:R63" si="66">O62/L62</f>
        <v>0.97578068638565429</v>
      </c>
      <c r="S62" s="420"/>
      <c r="T62" s="20">
        <v>0.5625</v>
      </c>
      <c r="U62" s="20">
        <v>0.62708333333333333</v>
      </c>
      <c r="V62" s="175">
        <f t="shared" si="59"/>
        <v>75.000000000000057</v>
      </c>
      <c r="W62" s="90">
        <f t="shared" si="18"/>
        <v>92.999999999999986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 t="str">
        <f>VLOOKUP(D63,廠價表!$C$1:$E$40,2,0)</f>
        <v>小吃、微波</v>
      </c>
      <c r="C63" s="10"/>
      <c r="D63" s="239" t="s">
        <v>62</v>
      </c>
      <c r="E63" s="86"/>
      <c r="F63" s="56">
        <f>VLOOKUP(D63,廠價表!$C$1:$E$40,3,0)</f>
        <v>26.99</v>
      </c>
      <c r="G63" s="175">
        <v>1335</v>
      </c>
      <c r="H63" s="15">
        <f t="shared" si="60"/>
        <v>36031.65</v>
      </c>
      <c r="I63" s="81"/>
      <c r="J63" s="16">
        <f>VLOOKUP(D63,產線配置圖!$A$3:$C$39,2,0)</f>
        <v>13</v>
      </c>
      <c r="K63" s="14">
        <f>VLOOKUP(D63,產線配置圖!$A$3:$C$39,3,0)</f>
        <v>1565</v>
      </c>
      <c r="L63" s="17">
        <f t="shared" si="61"/>
        <v>120.38461538461539</v>
      </c>
      <c r="M63" s="178">
        <v>13</v>
      </c>
      <c r="N63" s="14">
        <f t="shared" si="62"/>
        <v>1430.3571428571397</v>
      </c>
      <c r="O63" s="17">
        <f t="shared" si="63"/>
        <v>110.02747252747228</v>
      </c>
      <c r="P63" s="18">
        <f t="shared" si="64"/>
        <v>0</v>
      </c>
      <c r="Q63" s="19">
        <f t="shared" si="65"/>
        <v>-10.357142857143103</v>
      </c>
      <c r="R63" s="183">
        <f t="shared" si="66"/>
        <v>0.91396622546782091</v>
      </c>
      <c r="S63" s="420"/>
      <c r="T63" s="20">
        <v>0.63472222222222219</v>
      </c>
      <c r="U63" s="20">
        <v>0.67361111111111116</v>
      </c>
      <c r="V63" s="175">
        <f t="shared" si="59"/>
        <v>10.999999999999961</v>
      </c>
      <c r="W63" s="90">
        <f t="shared" si="18"/>
        <v>56.000000000000121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4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67">AVERAGE(J59:J68)</f>
        <v>12.4</v>
      </c>
      <c r="K69" s="164">
        <f t="shared" si="67"/>
        <v>1565</v>
      </c>
      <c r="L69" s="169">
        <f t="shared" si="67"/>
        <v>126.40384615384615</v>
      </c>
      <c r="M69" s="164">
        <f t="shared" si="67"/>
        <v>12.4</v>
      </c>
      <c r="N69" s="164">
        <f t="shared" si="67"/>
        <v>1505.2630056323603</v>
      </c>
      <c r="O69" s="169">
        <f t="shared" si="67"/>
        <v>121.66633105544395</v>
      </c>
      <c r="P69" s="170">
        <f>M69-J69</f>
        <v>0</v>
      </c>
      <c r="Q69" s="156">
        <f>N69-K69</f>
        <v>-59.736994367639682</v>
      </c>
      <c r="R69" s="120">
        <f>O69/L69</f>
        <v>0.96252079946494529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-59.736994367639682</v>
      </c>
      <c r="AC69" s="185">
        <f>N69/K69</f>
        <v>0.96182939657019828</v>
      </c>
      <c r="AD69" s="414"/>
    </row>
    <row r="70" spans="1:32" ht="15" customHeight="1">
      <c r="A70" s="465" t="s">
        <v>67</v>
      </c>
      <c r="B70" s="197" t="str">
        <f>VLOOKUP(D70,廠價表!$C$1:$E$40,2,0)</f>
        <v>小吃、微波</v>
      </c>
      <c r="C70" s="197"/>
      <c r="D70" s="102" t="s">
        <v>63</v>
      </c>
      <c r="E70" s="103"/>
      <c r="F70" s="197">
        <f>VLOOKUP(D70,廠價表!$C$1:$E$40,3,0)</f>
        <v>28.47</v>
      </c>
      <c r="G70" s="186">
        <v>1290</v>
      </c>
      <c r="H70" s="105">
        <f t="shared" ref="H70:H71" si="68">F70*G70</f>
        <v>36726.299999999996</v>
      </c>
      <c r="I70" s="186"/>
      <c r="J70" s="107">
        <f>VLOOKUP(D70,產線配置圖!$A$3:$C$39,2,0)</f>
        <v>12</v>
      </c>
      <c r="K70" s="104">
        <f>VLOOKUP(D70,產線配置圖!$A$3:$C$39,3,0)</f>
        <v>1565</v>
      </c>
      <c r="L70" s="108">
        <f>K70/J70</f>
        <v>130.41666666666666</v>
      </c>
      <c r="M70" s="109">
        <v>8</v>
      </c>
      <c r="N70" s="104">
        <f t="shared" ref="N70:N71" si="69">G70/W70*60</f>
        <v>774.00000000000023</v>
      </c>
      <c r="O70" s="108">
        <f t="shared" ref="O70:O71" si="70">N70/M70</f>
        <v>96.750000000000028</v>
      </c>
      <c r="P70" s="110">
        <f t="shared" ref="P70:P71" si="71">M70-J70</f>
        <v>-4</v>
      </c>
      <c r="Q70" s="111">
        <f t="shared" ref="Q70:Q71" si="72">O70-L70</f>
        <v>-33.666666666666629</v>
      </c>
      <c r="R70" s="182">
        <f t="shared" ref="R70:R71" si="73">O70/L70</f>
        <v>0.74185303514377021</v>
      </c>
      <c r="S70" s="419">
        <f>R79</f>
        <v>0.80657629897282279</v>
      </c>
      <c r="T70" s="167">
        <v>0.44097222222222221</v>
      </c>
      <c r="U70" s="167">
        <v>0.51041666666666663</v>
      </c>
      <c r="V70" s="186"/>
      <c r="W70" s="106">
        <f t="shared" si="18"/>
        <v>99.999999999999972</v>
      </c>
      <c r="X70" s="290"/>
      <c r="Y70" s="290"/>
      <c r="Z70" s="469" t="s">
        <v>144</v>
      </c>
      <c r="AA70" s="434"/>
      <c r="AB70" s="223">
        <f>N70-K70</f>
        <v>-790.99999999999977</v>
      </c>
      <c r="AC70" s="224">
        <f>N70/K70</f>
        <v>0.49456869009584681</v>
      </c>
      <c r="AD70" s="411">
        <f>AC79</f>
        <v>0.68550862739773366</v>
      </c>
    </row>
    <row r="71" spans="1:32" ht="15" customHeight="1">
      <c r="A71" s="466"/>
      <c r="B71" s="56" t="str">
        <f>VLOOKUP(D71,廠價表!$C$1:$E$40,2,0)</f>
        <v>小吃、微波</v>
      </c>
      <c r="C71" s="10"/>
      <c r="D71" s="11" t="s">
        <v>63</v>
      </c>
      <c r="E71" s="86"/>
      <c r="F71" s="56">
        <f>VLOOKUP(D71,廠價表!$C$1:$E$40,3,0)</f>
        <v>28.47</v>
      </c>
      <c r="G71" s="175">
        <v>1174</v>
      </c>
      <c r="H71" s="15">
        <f t="shared" si="68"/>
        <v>33423.78</v>
      </c>
      <c r="I71" s="191"/>
      <c r="J71" s="16">
        <f>VLOOKUP(D71,產線配置圖!$A$3:$C$39,2,0)</f>
        <v>12</v>
      </c>
      <c r="K71" s="14">
        <f>VLOOKUP(D71,產線配置圖!$A$3:$C$39,3,0)</f>
        <v>1565</v>
      </c>
      <c r="L71" s="17">
        <f>K71/J71</f>
        <v>130.41666666666666</v>
      </c>
      <c r="M71" s="178">
        <v>10</v>
      </c>
      <c r="N71" s="14">
        <f t="shared" si="69"/>
        <v>939.19999999999936</v>
      </c>
      <c r="O71" s="17">
        <f t="shared" si="70"/>
        <v>93.919999999999931</v>
      </c>
      <c r="P71" s="18">
        <f t="shared" si="71"/>
        <v>-2</v>
      </c>
      <c r="Q71" s="19">
        <f t="shared" si="72"/>
        <v>-36.496666666666727</v>
      </c>
      <c r="R71" s="183">
        <f t="shared" si="73"/>
        <v>0.72015335463258734</v>
      </c>
      <c r="S71" s="420"/>
      <c r="T71" s="20">
        <v>0.5625</v>
      </c>
      <c r="U71" s="20">
        <v>0.61458333333333337</v>
      </c>
      <c r="V71" s="175"/>
      <c r="W71" s="180">
        <f t="shared" si="18"/>
        <v>75.000000000000057</v>
      </c>
      <c r="X71" s="292"/>
      <c r="Y71" s="293"/>
      <c r="Z71" s="450" t="s">
        <v>144</v>
      </c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74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74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74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74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74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>
        <f t="shared" ref="J79:O79" si="75">AVERAGE(J69:J78)</f>
        <v>12.133333333333333</v>
      </c>
      <c r="K79" s="164">
        <f t="shared" si="75"/>
        <v>1565</v>
      </c>
      <c r="L79" s="169">
        <f t="shared" si="75"/>
        <v>129.07905982905982</v>
      </c>
      <c r="M79" s="164">
        <f t="shared" si="75"/>
        <v>10.133333333333333</v>
      </c>
      <c r="N79" s="164">
        <f t="shared" si="75"/>
        <v>1072.8210018774532</v>
      </c>
      <c r="O79" s="169">
        <f t="shared" si="75"/>
        <v>104.11211035181464</v>
      </c>
      <c r="P79" s="170">
        <f>M79-J79</f>
        <v>-2</v>
      </c>
      <c r="Q79" s="156">
        <f>N79-K79</f>
        <v>-492.17899812254677</v>
      </c>
      <c r="R79" s="157">
        <f>O79/L79</f>
        <v>0.80657629897282279</v>
      </c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-492.17899812254677</v>
      </c>
      <c r="AC79" s="185">
        <f>N79/K79</f>
        <v>0.68550862739773366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228" priority="1" operator="greaterThan">
      <formula>0</formula>
    </cfRule>
  </conditionalFormatting>
  <conditionalFormatting sqref="Q5:Q79 AB5:AB79">
    <cfRule type="cellIs" dxfId="227" priority="4" operator="lessThan">
      <formula>0</formula>
    </cfRule>
  </conditionalFormatting>
  <conditionalFormatting sqref="R5:R79 AC5:AC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D59:AD62 S69:S76 AD69:AD76">
    <cfRule type="cellIs" dxfId="224" priority="7" operator="lessThan">
      <formula>0.8</formula>
    </cfRule>
  </conditionalFormatting>
  <conditionalFormatting sqref="S19:S25 AD19:AD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D5:AD8 S15:S16 AD15:AD16 AD49 AD79">
    <cfRule type="cellIs" dxfId="221" priority="9" operator="lessThan">
      <formula>0.8</formula>
    </cfRule>
  </conditionalFormatting>
  <conditionalFormatting sqref="AD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U9" sqref="U9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46001</v>
      </c>
      <c r="E3" s="357"/>
      <c r="F3" s="202" t="s">
        <v>84</v>
      </c>
      <c r="G3" s="358">
        <f>'1210'!E1</f>
        <v>53635</v>
      </c>
      <c r="H3" s="358"/>
      <c r="I3" s="202" t="s">
        <v>2</v>
      </c>
      <c r="J3" s="359">
        <f>'1210'!G1</f>
        <v>2661736.6399999997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117.78661219308536</v>
      </c>
      <c r="G6" s="367"/>
      <c r="H6" s="360">
        <f>AVERAGE(D13:H13)</f>
        <v>115.92940471717252</v>
      </c>
      <c r="I6" s="360"/>
      <c r="J6" s="360">
        <f>AVERAGE(I13:J13)</f>
        <v>127.07264957264958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107.68054318848944</v>
      </c>
      <c r="G7" s="362"/>
      <c r="H7" s="363">
        <f>AVERAGE(D14:H14)</f>
        <v>105.06071027669741</v>
      </c>
      <c r="I7" s="363"/>
      <c r="J7" s="363">
        <f>AVERAGE(I14:J14)</f>
        <v>120.77970774744962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0.91530114762355019</v>
      </c>
      <c r="G8" s="364"/>
      <c r="H8" s="364">
        <f>AVERAGE(D15:H15)</f>
        <v>0.90826585595839493</v>
      </c>
      <c r="I8" s="364"/>
      <c r="J8" s="364">
        <f>AVERAGE(I15:J15)</f>
        <v>0.95047760594932607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VALUE('1210'!L15)</f>
        <v>140.21719457013575</v>
      </c>
      <c r="E13" s="213">
        <f>VALUE('1210'!L26)</f>
        <v>160.58974358974359</v>
      </c>
      <c r="F13" s="213">
        <f>VALUE('1210'!L37)</f>
        <v>92.236111111111114</v>
      </c>
      <c r="G13" s="213">
        <f>VALUE('1210'!L48)</f>
        <v>95.893333333333345</v>
      </c>
      <c r="H13" s="213">
        <f>VALUE('1210'!L58)</f>
        <v>90.710640981538816</v>
      </c>
      <c r="I13" s="213">
        <f>VALUE('1210'!L69)</f>
        <v>127.07264957264958</v>
      </c>
      <c r="J13" s="213"/>
    </row>
    <row r="14" spans="2:15" ht="40" customHeight="1">
      <c r="B14" s="376"/>
      <c r="C14" s="212" t="s">
        <v>106</v>
      </c>
      <c r="D14" s="213">
        <f>VALUE('1210'!O15)</f>
        <v>122.45268927754778</v>
      </c>
      <c r="E14" s="213">
        <f>VALUE('1210'!O26)</f>
        <v>147.90474236788356</v>
      </c>
      <c r="F14" s="213">
        <f>VALUE('1210'!O37)</f>
        <v>85.882158119658101</v>
      </c>
      <c r="G14" s="213">
        <f>VALUE('1210'!O48)</f>
        <v>80.347620967552601</v>
      </c>
      <c r="H14" s="213">
        <f>VALUE('1210'!O58)</f>
        <v>88.716340650844927</v>
      </c>
      <c r="I14" s="213">
        <f>VALUE('1210'!O69)</f>
        <v>120.77970774744962</v>
      </c>
      <c r="J14" s="213"/>
    </row>
    <row r="15" spans="2:15" ht="40" customHeight="1">
      <c r="B15" s="377"/>
      <c r="C15" s="210" t="s">
        <v>23</v>
      </c>
      <c r="D15" s="231">
        <f>D14/D13</f>
        <v>0.87330722635659153</v>
      </c>
      <c r="E15" s="231">
        <f t="shared" ref="E15:I15" si="0">E14/E13</f>
        <v>0.92100989180064807</v>
      </c>
      <c r="F15" s="231">
        <f t="shared" si="0"/>
        <v>0.93111208923586553</v>
      </c>
      <c r="G15" s="231">
        <f t="shared" si="0"/>
        <v>0.8378853688218082</v>
      </c>
      <c r="H15" s="231">
        <f t="shared" si="0"/>
        <v>0.97801470357706144</v>
      </c>
      <c r="I15" s="231">
        <f t="shared" si="0"/>
        <v>0.95047760594932607</v>
      </c>
      <c r="J15" s="231"/>
    </row>
    <row r="16" spans="2:15" ht="17.25" customHeight="1">
      <c r="B16" s="378" t="s">
        <v>107</v>
      </c>
      <c r="C16" s="210" t="s">
        <v>29</v>
      </c>
      <c r="D16" s="95">
        <f>'1210'!T5</f>
        <v>0.2902777777777778</v>
      </c>
      <c r="E16" s="95">
        <f>'1210'!T16</f>
        <v>0.2902777777777778</v>
      </c>
      <c r="F16" s="95">
        <f>'1210'!T27</f>
        <v>0.29166666666666702</v>
      </c>
      <c r="G16" s="95">
        <f>'1210'!T38</f>
        <v>0.29166666666666669</v>
      </c>
      <c r="H16" s="95">
        <f>'1210'!T49</f>
        <v>0.29166666666666669</v>
      </c>
      <c r="I16" s="95">
        <f>'1210'!T59</f>
        <v>0.29166666666666669</v>
      </c>
      <c r="J16" s="269"/>
    </row>
    <row r="17" spans="2:10" ht="17.25" customHeight="1">
      <c r="B17" s="379"/>
      <c r="C17" s="210" t="s">
        <v>30</v>
      </c>
      <c r="D17" s="95">
        <v>0.59722222222222199</v>
      </c>
      <c r="E17" s="41">
        <v>0.58611111111111114</v>
      </c>
      <c r="F17" s="41">
        <v>0.65625</v>
      </c>
      <c r="G17" s="75">
        <v>0.66319444444444442</v>
      </c>
      <c r="H17" s="79">
        <v>0.65486111111111112</v>
      </c>
      <c r="I17" s="20">
        <v>0.51388888888888884</v>
      </c>
      <c r="J17" s="20"/>
    </row>
    <row r="18" spans="2:10" ht="17.25" customHeight="1">
      <c r="B18" s="365" t="s">
        <v>108</v>
      </c>
      <c r="C18" s="366"/>
      <c r="D18" s="214">
        <f>VALUE('1210'!M15)</f>
        <v>14.2</v>
      </c>
      <c r="E18" s="214">
        <f>VALUE('1210'!M26)</f>
        <v>12.6</v>
      </c>
      <c r="F18" s="214">
        <f>VALUE('1210'!M37)</f>
        <v>15.75</v>
      </c>
      <c r="G18" s="214">
        <f>VALUE('1210'!M48)</f>
        <v>15</v>
      </c>
      <c r="H18" s="214">
        <f>VALUE('1210'!M58)</f>
        <v>17.333333333333332</v>
      </c>
      <c r="I18" s="214">
        <f>VALUE('1210'!M69)</f>
        <v>12.333333333333334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L53" activePane="bottomRight" state="frozen"/>
      <selection activeCell="U9" sqref="U9"/>
      <selection pane="topRight" activeCell="U9" sqref="U9"/>
      <selection pane="bottomLeft" activeCell="U9" sqref="U9"/>
      <selection pane="bottomRight" activeCell="V61" activeCellId="16" sqref="G10 V6 V7 V8 V17 V18 V28 V29 V39 V40 V42 V50 V51 V53 V54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53635</v>
      </c>
      <c r="F1" s="175" t="s">
        <v>2</v>
      </c>
      <c r="G1" s="4">
        <f>SUM(H5:H79)</f>
        <v>2661736.6399999997</v>
      </c>
      <c r="H1" s="173" t="s">
        <v>3</v>
      </c>
      <c r="I1" s="5">
        <f>M15+M26+M48+M58+M69+M79+M37</f>
        <v>87.216666666666654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145</v>
      </c>
      <c r="B2" s="404"/>
      <c r="C2" s="174"/>
      <c r="D2" s="174" t="s">
        <v>11</v>
      </c>
      <c r="E2" s="7">
        <f>AVERAGE(O15,O26,O37,O48,O58,O69,O79)</f>
        <v>107.68054318848944</v>
      </c>
      <c r="F2" s="8" t="s">
        <v>12</v>
      </c>
      <c r="G2" s="9">
        <f>G1/E1</f>
        <v>49.626860072713704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1334</v>
      </c>
      <c r="H5" s="318">
        <f>F5*G5</f>
        <v>76318.14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9" si="0">G5/W5*60</f>
        <v>1778.6666666666667</v>
      </c>
      <c r="O5" s="322">
        <f t="shared" ref="O5:O9" si="1">N5/M5</f>
        <v>136.82051282051282</v>
      </c>
      <c r="P5" s="324">
        <f t="shared" ref="P5:P9" si="2">M5-J5</f>
        <v>0</v>
      </c>
      <c r="Q5" s="325">
        <f t="shared" ref="Q5:Q9" si="3">O5-L5</f>
        <v>-25.102564102564116</v>
      </c>
      <c r="R5" s="326">
        <f t="shared" ref="R5:R9" si="4">O5/L5</f>
        <v>0.84497228820269188</v>
      </c>
      <c r="S5" s="419">
        <f>R15</f>
        <v>0.87330722635659153</v>
      </c>
      <c r="T5" s="327">
        <v>0.2902777777777778</v>
      </c>
      <c r="U5" s="328">
        <v>0.3215277777777778</v>
      </c>
      <c r="V5" s="192"/>
      <c r="W5" s="106">
        <f t="shared" ref="W5:W14" si="5">(U5-T5)*24*60</f>
        <v>45</v>
      </c>
      <c r="X5" s="186"/>
      <c r="Y5" s="186"/>
      <c r="Z5" s="425"/>
      <c r="AA5" s="425"/>
      <c r="AB5" s="110">
        <f>N5-K5</f>
        <v>-326.33333333333326</v>
      </c>
      <c r="AC5" s="182">
        <f>N5/K5</f>
        <v>0.84497228820269199</v>
      </c>
      <c r="AD5" s="411">
        <f>AC15</f>
        <v>0.86994864540069106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1295</v>
      </c>
      <c r="H6" s="307">
        <f>F6*G6</f>
        <v>73076.850000000006</v>
      </c>
      <c r="I6" s="308"/>
      <c r="J6" s="309">
        <f>VLOOKUP(D6,產線配置圖!$A$3:$C$39,2,0)</f>
        <v>15</v>
      </c>
      <c r="K6" s="306">
        <v>1800</v>
      </c>
      <c r="L6" s="310">
        <f>K6/J6</f>
        <v>120</v>
      </c>
      <c r="M6" s="311">
        <v>15</v>
      </c>
      <c r="N6" s="306">
        <f t="shared" si="0"/>
        <v>1195.3846153846123</v>
      </c>
      <c r="O6" s="310">
        <f t="shared" si="1"/>
        <v>79.69230769230748</v>
      </c>
      <c r="P6" s="312">
        <f t="shared" si="2"/>
        <v>0</v>
      </c>
      <c r="Q6" s="313">
        <f t="shared" si="3"/>
        <v>-40.30769230769252</v>
      </c>
      <c r="R6" s="314">
        <f t="shared" si="4"/>
        <v>0.6641025641025623</v>
      </c>
      <c r="S6" s="420"/>
      <c r="T6" s="95">
        <v>0.329166666666667</v>
      </c>
      <c r="U6" s="95">
        <v>0.374305555555556</v>
      </c>
      <c r="V6" s="175">
        <f>(T6-U5)*24*60</f>
        <v>11.000000000000441</v>
      </c>
      <c r="W6" s="180">
        <f t="shared" si="5"/>
        <v>65.000000000000171</v>
      </c>
      <c r="X6" s="22"/>
      <c r="Y6" s="22"/>
      <c r="Z6" s="475" t="s">
        <v>138</v>
      </c>
      <c r="AA6" s="476"/>
      <c r="AB6" s="18">
        <f>N6-K6</f>
        <v>-604.61538461538771</v>
      </c>
      <c r="AC6" s="183">
        <f>N6/K6</f>
        <v>0.66410256410256241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v>1642</v>
      </c>
      <c r="H7" s="15">
        <f t="shared" ref="H7:H9" si="6">F7*G7</f>
        <v>93938.82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>K7/J7</f>
        <v>111.47058823529412</v>
      </c>
      <c r="M7" s="178">
        <v>17</v>
      </c>
      <c r="N7" s="14">
        <f t="shared" si="0"/>
        <v>1728.4210526315924</v>
      </c>
      <c r="O7" s="17">
        <f t="shared" si="1"/>
        <v>101.67182662538778</v>
      </c>
      <c r="P7" s="18">
        <f t="shared" si="2"/>
        <v>0</v>
      </c>
      <c r="Q7" s="19">
        <f t="shared" si="3"/>
        <v>-9.7987616099063359</v>
      </c>
      <c r="R7" s="183">
        <f t="shared" si="4"/>
        <v>0.9120955422858007</v>
      </c>
      <c r="S7" s="420"/>
      <c r="T7" s="267">
        <v>0.37986111111111098</v>
      </c>
      <c r="U7" s="267">
        <v>0.41944444444444401</v>
      </c>
      <c r="V7" s="175">
        <f>(T7-U6)*24*60</f>
        <v>7.9999999999991722</v>
      </c>
      <c r="W7" s="180">
        <f t="shared" si="5"/>
        <v>56.999999999999559</v>
      </c>
      <c r="X7" s="22"/>
      <c r="Y7" s="22"/>
      <c r="Z7" s="405"/>
      <c r="AA7" s="405"/>
      <c r="AB7" s="18">
        <f>N7-K7</f>
        <v>-166.57894736840763</v>
      </c>
      <c r="AC7" s="183">
        <f>N7/K7</f>
        <v>0.9120955422858007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2552</v>
      </c>
      <c r="H8" s="15">
        <f t="shared" si="6"/>
        <v>125405.28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1913.9999999999836</v>
      </c>
      <c r="O8" s="17">
        <f t="shared" si="1"/>
        <v>147.23076923076798</v>
      </c>
      <c r="P8" s="18">
        <f t="shared" si="2"/>
        <v>0</v>
      </c>
      <c r="Q8" s="19">
        <f t="shared" si="3"/>
        <v>-6.6153846153858638</v>
      </c>
      <c r="R8" s="183">
        <f t="shared" si="4"/>
        <v>0.95699999999999186</v>
      </c>
      <c r="S8" s="420"/>
      <c r="T8" s="95">
        <v>0.42569444444444399</v>
      </c>
      <c r="U8" s="95">
        <v>0.48125000000000001</v>
      </c>
      <c r="V8" s="175">
        <f t="shared" ref="V8:V9" si="7">(T8-U7)*24*60</f>
        <v>8.999999999999968</v>
      </c>
      <c r="W8" s="180">
        <f t="shared" si="5"/>
        <v>80.000000000000682</v>
      </c>
      <c r="X8" s="22"/>
      <c r="Y8" s="260"/>
      <c r="Z8" s="416"/>
      <c r="AA8" s="416"/>
      <c r="AB8" s="18">
        <f>N8-K8</f>
        <v>-86.000000000016371</v>
      </c>
      <c r="AC8" s="183">
        <f>N8/K8</f>
        <v>0.95699999999999186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2609</v>
      </c>
      <c r="H9" s="15">
        <f t="shared" si="6"/>
        <v>128206.26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>K9/J9</f>
        <v>153.84615384615384</v>
      </c>
      <c r="M9" s="178">
        <v>13</v>
      </c>
      <c r="N9" s="14">
        <f t="shared" si="0"/>
        <v>1909.0243902439167</v>
      </c>
      <c r="O9" s="17">
        <f t="shared" si="1"/>
        <v>146.84803001876281</v>
      </c>
      <c r="P9" s="18">
        <f t="shared" si="2"/>
        <v>0</v>
      </c>
      <c r="Q9" s="19">
        <f t="shared" si="3"/>
        <v>-6.9981238273910265</v>
      </c>
      <c r="R9" s="183">
        <f t="shared" si="4"/>
        <v>0.95451219512195828</v>
      </c>
      <c r="S9" s="421"/>
      <c r="T9" s="95">
        <v>0.54027777777777797</v>
      </c>
      <c r="U9" s="95">
        <v>0.59722222222222199</v>
      </c>
      <c r="V9" s="175">
        <f t="shared" si="7"/>
        <v>85.000000000000256</v>
      </c>
      <c r="W9" s="180">
        <f t="shared" si="5"/>
        <v>81.999999999999389</v>
      </c>
      <c r="X9" s="22"/>
      <c r="Y9" s="260"/>
      <c r="Z9" s="475"/>
      <c r="AA9" s="476"/>
      <c r="AB9" s="18">
        <f>N9-K9</f>
        <v>-90.975609756083259</v>
      </c>
      <c r="AC9" s="183">
        <f>N9/K9</f>
        <v>0.9545121951219584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8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14.2</v>
      </c>
      <c r="K15" s="117">
        <f t="shared" si="9"/>
        <v>1960</v>
      </c>
      <c r="L15" s="114">
        <f t="shared" si="9"/>
        <v>140.21719457013575</v>
      </c>
      <c r="M15" s="117">
        <f t="shared" si="9"/>
        <v>14.2</v>
      </c>
      <c r="N15" s="117">
        <f t="shared" si="9"/>
        <v>1705.0993449853545</v>
      </c>
      <c r="O15" s="114">
        <f t="shared" si="9"/>
        <v>122.45268927754778</v>
      </c>
      <c r="P15" s="118">
        <f t="shared" ref="P15:P20" si="10">M15-J15</f>
        <v>0</v>
      </c>
      <c r="Q15" s="119">
        <f t="shared" ref="Q15:Q20" si="11">O15-L15</f>
        <v>-17.76450529258797</v>
      </c>
      <c r="R15" s="120">
        <f t="shared" ref="R15:R20" si="12">O15/L15</f>
        <v>0.87330722635659153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3">N15-K15</f>
        <v>-254.90065501464551</v>
      </c>
      <c r="AC15" s="185">
        <f t="shared" ref="AC15:AC20" si="14">N15/K15</f>
        <v>0.86994864540069106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1134</v>
      </c>
      <c r="H16" s="124">
        <f t="shared" ref="H16:H25" si="15">F16*G16</f>
        <v>64876.14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20" si="16">K16/J16</f>
        <v>161.92307692307693</v>
      </c>
      <c r="M16" s="264">
        <v>13</v>
      </c>
      <c r="N16" s="126">
        <f t="shared" ref="N16:N20" si="17">G16/W16*60</f>
        <v>1838.9189189189212</v>
      </c>
      <c r="O16" s="127">
        <f>N16/M16</f>
        <v>141.45530145530162</v>
      </c>
      <c r="P16" s="128">
        <f>M16-J16</f>
        <v>0</v>
      </c>
      <c r="Q16" s="129">
        <f t="shared" si="11"/>
        <v>-20.467775467775311</v>
      </c>
      <c r="R16" s="187">
        <f>O16/L16</f>
        <v>0.87359568594723092</v>
      </c>
      <c r="S16" s="431">
        <f>R26</f>
        <v>0.92100989180064807</v>
      </c>
      <c r="T16" s="265">
        <v>0.2902777777777778</v>
      </c>
      <c r="U16" s="265">
        <v>0.31597222222222221</v>
      </c>
      <c r="V16" s="125"/>
      <c r="W16" s="130">
        <f t="shared" ref="W16:W78" si="18">(U16-T16)*24*60</f>
        <v>36.99999999999995</v>
      </c>
      <c r="X16" s="127"/>
      <c r="Y16" s="127"/>
      <c r="Z16" s="425"/>
      <c r="AA16" s="425"/>
      <c r="AB16" s="110">
        <f t="shared" si="13"/>
        <v>-266.08108108107876</v>
      </c>
      <c r="AC16" s="182">
        <f t="shared" si="14"/>
        <v>0.87359568594723103</v>
      </c>
      <c r="AD16" s="411">
        <f>AC26</f>
        <v>0.92049236885649599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2759</v>
      </c>
      <c r="H17" s="15">
        <f t="shared" si="15"/>
        <v>139798.53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>G17/W17*60</f>
        <v>1860</v>
      </c>
      <c r="O17" s="38">
        <f t="shared" ref="O17:O20" si="19">N17/M17</f>
        <v>143.07692307692307</v>
      </c>
      <c r="P17" s="39">
        <f t="shared" si="10"/>
        <v>0</v>
      </c>
      <c r="Q17" s="40">
        <f t="shared" si="11"/>
        <v>-10.769230769230774</v>
      </c>
      <c r="R17" s="188">
        <f t="shared" si="12"/>
        <v>0.92999999999999994</v>
      </c>
      <c r="S17" s="432"/>
      <c r="T17" s="41">
        <v>0.32430555555555557</v>
      </c>
      <c r="U17" s="41">
        <v>0.38611111111111113</v>
      </c>
      <c r="V17" s="175">
        <f>(T17-U16)*24*60</f>
        <v>12.000000000000037</v>
      </c>
      <c r="W17" s="43">
        <f t="shared" si="18"/>
        <v>89</v>
      </c>
      <c r="X17" s="44"/>
      <c r="Y17" s="44"/>
      <c r="Z17" s="405"/>
      <c r="AA17" s="405"/>
      <c r="AB17" s="18">
        <f t="shared" si="13"/>
        <v>-140</v>
      </c>
      <c r="AC17" s="183">
        <f t="shared" si="14"/>
        <v>0.93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3762</v>
      </c>
      <c r="H18" s="15">
        <f t="shared" si="15"/>
        <v>189567.18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1912.8813559322036</v>
      </c>
      <c r="O18" s="38">
        <f t="shared" si="19"/>
        <v>159.40677966101697</v>
      </c>
      <c r="P18" s="39">
        <f t="shared" si="10"/>
        <v>0</v>
      </c>
      <c r="Q18" s="40">
        <f t="shared" si="11"/>
        <v>-7.2598870056496878</v>
      </c>
      <c r="R18" s="188">
        <f t="shared" si="12"/>
        <v>0.95644067796610188</v>
      </c>
      <c r="S18" s="432"/>
      <c r="T18" s="41">
        <v>0.39444444444444443</v>
      </c>
      <c r="U18" s="41">
        <v>0.47638888888888886</v>
      </c>
      <c r="V18" s="175">
        <f>(T18-U17)*24*60</f>
        <v>11.999999999999957</v>
      </c>
      <c r="W18" s="43">
        <f t="shared" si="18"/>
        <v>117.99999999999999</v>
      </c>
      <c r="X18" s="22"/>
      <c r="Y18" s="22"/>
      <c r="Z18" s="405"/>
      <c r="AA18" s="405"/>
      <c r="AB18" s="18">
        <f t="shared" si="13"/>
        <v>-87.118644067796367</v>
      </c>
      <c r="AC18" s="183">
        <f t="shared" si="14"/>
        <v>0.95644067796610177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703</v>
      </c>
      <c r="H19" s="15">
        <f t="shared" si="15"/>
        <v>35424.17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6"/>
        <v>166.66666666666666</v>
      </c>
      <c r="M19" s="37">
        <v>12</v>
      </c>
      <c r="N19" s="36">
        <f t="shared" si="17"/>
        <v>1833.9130434782546</v>
      </c>
      <c r="O19" s="38">
        <f t="shared" si="19"/>
        <v>152.82608695652121</v>
      </c>
      <c r="P19" s="39">
        <f t="shared" si="10"/>
        <v>0</v>
      </c>
      <c r="Q19" s="40">
        <f t="shared" si="11"/>
        <v>-13.840579710145448</v>
      </c>
      <c r="R19" s="188">
        <f t="shared" si="12"/>
        <v>0.91695652173912734</v>
      </c>
      <c r="S19" s="432"/>
      <c r="T19" s="41">
        <v>0.54166666666666663</v>
      </c>
      <c r="U19" s="41">
        <v>0.55763888888888891</v>
      </c>
      <c r="V19" s="175">
        <f>(T19-U18)*24*60</f>
        <v>93.999999999999986</v>
      </c>
      <c r="W19" s="43">
        <f t="shared" si="18"/>
        <v>23.000000000000078</v>
      </c>
      <c r="X19" s="22">
        <v>0.48958333333333298</v>
      </c>
      <c r="Y19" s="260">
        <v>0.53125</v>
      </c>
      <c r="Z19" s="416"/>
      <c r="AA19" s="416"/>
      <c r="AB19" s="18">
        <f t="shared" si="13"/>
        <v>-166.08695652174538</v>
      </c>
      <c r="AC19" s="183">
        <f t="shared" si="14"/>
        <v>0.91695652173912734</v>
      </c>
      <c r="AD19" s="413"/>
    </row>
    <row r="20" spans="1:30" ht="15" customHeight="1">
      <c r="A20" s="440"/>
      <c r="B20" s="56" t="str">
        <f>VLOOKUP(D20,廠價表!$C$1:$E$40,2,0)</f>
        <v>義大利麵</v>
      </c>
      <c r="C20" s="10"/>
      <c r="D20" s="11" t="s">
        <v>40</v>
      </c>
      <c r="E20" s="86"/>
      <c r="F20" s="56">
        <f>VLOOKUP(D20,廠價表!$C$1:$E$40,3,0)</f>
        <v>50.67</v>
      </c>
      <c r="G20" s="96">
        <v>897</v>
      </c>
      <c r="H20" s="15">
        <f t="shared" si="15"/>
        <v>45450.99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 t="shared" si="16"/>
        <v>153.84615384615384</v>
      </c>
      <c r="M20" s="37">
        <v>13</v>
      </c>
      <c r="N20" s="36">
        <f t="shared" si="17"/>
        <v>1855.8620689655136</v>
      </c>
      <c r="O20" s="38">
        <f t="shared" si="19"/>
        <v>142.75862068965489</v>
      </c>
      <c r="P20" s="39">
        <f t="shared" si="10"/>
        <v>0</v>
      </c>
      <c r="Q20" s="40">
        <f t="shared" si="11"/>
        <v>-11.087533156498949</v>
      </c>
      <c r="R20" s="188">
        <f t="shared" si="12"/>
        <v>0.92793103448275682</v>
      </c>
      <c r="S20" s="432"/>
      <c r="T20" s="41">
        <v>0.56597222222222221</v>
      </c>
      <c r="U20" s="41">
        <v>0.58611111111111114</v>
      </c>
      <c r="V20" s="175"/>
      <c r="W20" s="43">
        <f t="shared" si="18"/>
        <v>29.000000000000057</v>
      </c>
      <c r="X20" s="44"/>
      <c r="Y20" s="44"/>
      <c r="Z20" s="418"/>
      <c r="AA20" s="405"/>
      <c r="AB20" s="18">
        <f t="shared" si="13"/>
        <v>-144.13793103448643</v>
      </c>
      <c r="AC20" s="183">
        <f t="shared" si="14"/>
        <v>0.92793103448275682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12.6</v>
      </c>
      <c r="K26" s="133">
        <f t="shared" si="20"/>
        <v>2021</v>
      </c>
      <c r="L26" s="136">
        <f t="shared" si="20"/>
        <v>160.58974358974359</v>
      </c>
      <c r="M26" s="133">
        <f t="shared" si="20"/>
        <v>12.6</v>
      </c>
      <c r="N26" s="133">
        <f t="shared" si="20"/>
        <v>1860.3150774589783</v>
      </c>
      <c r="O26" s="136">
        <f t="shared" si="20"/>
        <v>147.90474236788356</v>
      </c>
      <c r="P26" s="137">
        <f t="shared" ref="P26:P30" si="21">M26-J26</f>
        <v>0</v>
      </c>
      <c r="Q26" s="138">
        <f t="shared" ref="Q26:Q30" si="22">O26-L26</f>
        <v>-12.685001221860034</v>
      </c>
      <c r="R26" s="139">
        <f t="shared" ref="R26:R30" si="23">O26/L26</f>
        <v>0.92100989180064807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-160.68492254102171</v>
      </c>
      <c r="AC26" s="185">
        <f>N26/K26</f>
        <v>0.92049236885649599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v>2804</v>
      </c>
      <c r="H27" s="124">
        <f t="shared" ref="H27:H42" si="24">F27*G27</f>
        <v>133778.84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15</v>
      </c>
      <c r="N27" s="126">
        <f>G27/W27*60</f>
        <v>1437.9487179487182</v>
      </c>
      <c r="O27" s="127">
        <f>N27/M27</f>
        <v>95.863247863247878</v>
      </c>
      <c r="P27" s="128">
        <f t="shared" si="21"/>
        <v>0</v>
      </c>
      <c r="Q27" s="129">
        <f t="shared" si="22"/>
        <v>-4.1367521367521221</v>
      </c>
      <c r="R27" s="187">
        <f>O27/L27</f>
        <v>0.9586324786324788</v>
      </c>
      <c r="S27" s="431">
        <f>R37</f>
        <v>0.93111208923586553</v>
      </c>
      <c r="T27" s="94">
        <v>0.29166666666666702</v>
      </c>
      <c r="U27" s="94">
        <v>0.37291666666666701</v>
      </c>
      <c r="V27" s="125"/>
      <c r="W27" s="130">
        <f t="shared" si="18"/>
        <v>116.99999999999999</v>
      </c>
      <c r="X27" s="125"/>
      <c r="Y27" s="125" t="s">
        <v>47</v>
      </c>
      <c r="Z27" s="434"/>
      <c r="AA27" s="425"/>
      <c r="AB27" s="223">
        <f>N27-K27</f>
        <v>-62.05128205128176</v>
      </c>
      <c r="AC27" s="288">
        <f>N27/K27</f>
        <v>0.9586324786324788</v>
      </c>
      <c r="AD27" s="411">
        <f>AC37</f>
        <v>0.92671117549695148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1725</v>
      </c>
      <c r="H28" s="50">
        <f t="shared" si="24"/>
        <v>95099.25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18</v>
      </c>
      <c r="N28" s="36">
        <f>G28/W28*60</f>
        <v>1137.3626373626355</v>
      </c>
      <c r="O28" s="38">
        <f>N28/M28</f>
        <v>63.186813186813083</v>
      </c>
      <c r="P28" s="39">
        <f t="shared" si="21"/>
        <v>0</v>
      </c>
      <c r="Q28" s="40">
        <f t="shared" si="22"/>
        <v>-13.75763125763136</v>
      </c>
      <c r="R28" s="188">
        <f t="shared" si="23"/>
        <v>0.82120046018962856</v>
      </c>
      <c r="S28" s="432"/>
      <c r="T28" s="267">
        <v>0.37986111111111098</v>
      </c>
      <c r="U28" s="41">
        <v>0.44305555555555554</v>
      </c>
      <c r="V28" s="42">
        <f>(T28-U27)*24*60</f>
        <v>9.999999999999325</v>
      </c>
      <c r="W28" s="43">
        <f t="shared" si="18"/>
        <v>91.000000000000156</v>
      </c>
      <c r="X28" s="54"/>
      <c r="Y28" s="54"/>
      <c r="Z28" s="418"/>
      <c r="AA28" s="417"/>
      <c r="AB28" s="39">
        <f>N28-K28</f>
        <v>-247.6373626373645</v>
      </c>
      <c r="AC28" s="188">
        <f>N28/K28</f>
        <v>0.82120046018962856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1322</v>
      </c>
      <c r="H29" s="50">
        <f t="shared" si="24"/>
        <v>75750.599999999991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15</v>
      </c>
      <c r="N29" s="36">
        <f>G29/W29*60</f>
        <v>1416.4285714285725</v>
      </c>
      <c r="O29" s="38">
        <f>N29/M29</f>
        <v>94.428571428571502</v>
      </c>
      <c r="P29" s="39">
        <f t="shared" si="21"/>
        <v>0</v>
      </c>
      <c r="Q29" s="40">
        <f t="shared" si="22"/>
        <v>-1.5714285714284983</v>
      </c>
      <c r="R29" s="188">
        <f t="shared" si="23"/>
        <v>0.98363095238095311</v>
      </c>
      <c r="S29" s="432"/>
      <c r="T29" s="41">
        <v>0.4513888888888889</v>
      </c>
      <c r="U29" s="41">
        <v>0.49027777777777776</v>
      </c>
      <c r="V29" s="42">
        <f>(T29-U28)*24*60</f>
        <v>12.000000000000037</v>
      </c>
      <c r="W29" s="43">
        <f t="shared" si="18"/>
        <v>55.999999999999957</v>
      </c>
      <c r="X29" s="22"/>
      <c r="Y29" s="22"/>
      <c r="Z29" s="418"/>
      <c r="AA29" s="417"/>
      <c r="AB29" s="289">
        <f>N29-K29</f>
        <v>-23.571428571427532</v>
      </c>
      <c r="AC29" s="188">
        <f>N29/K29</f>
        <v>0.98363095238095311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142</v>
      </c>
      <c r="E30" s="29"/>
      <c r="F30" s="56">
        <f>VLOOKUP(D30,廠價表!$C$1:$E$40,3,0)</f>
        <v>57.3</v>
      </c>
      <c r="G30" s="53">
        <v>3602</v>
      </c>
      <c r="H30" s="50">
        <f t="shared" si="24"/>
        <v>206394.59999999998</v>
      </c>
      <c r="I30" s="42"/>
      <c r="J30" s="16">
        <f>VLOOKUP(D30,產線配置圖!$A$3:$C$39,2,0)</f>
        <v>15</v>
      </c>
      <c r="K30" s="14">
        <f>VLOOKUP(D30,產線配置圖!$A$3:$C$39,3,0)</f>
        <v>1440</v>
      </c>
      <c r="L30" s="233">
        <f>K30/J30</f>
        <v>96</v>
      </c>
      <c r="M30" s="21">
        <v>15</v>
      </c>
      <c r="N30" s="36">
        <f>G30/W30*60</f>
        <v>1350.7499999999995</v>
      </c>
      <c r="O30" s="38">
        <f>N30/M30</f>
        <v>90.049999999999969</v>
      </c>
      <c r="P30" s="39">
        <f t="shared" si="21"/>
        <v>0</v>
      </c>
      <c r="Q30" s="40">
        <f t="shared" si="22"/>
        <v>-5.9500000000000313</v>
      </c>
      <c r="R30" s="188">
        <f t="shared" si="23"/>
        <v>0.93802083333333297</v>
      </c>
      <c r="S30" s="432"/>
      <c r="T30" s="41">
        <v>0.54513888888888884</v>
      </c>
      <c r="U30" s="41">
        <v>0.65625</v>
      </c>
      <c r="V30" s="42">
        <f>(T30-U29)*24*60</f>
        <v>78.999999999999957</v>
      </c>
      <c r="W30" s="43">
        <f t="shared" si="18"/>
        <v>160.00000000000006</v>
      </c>
      <c r="X30" s="54">
        <v>0.48958333333333298</v>
      </c>
      <c r="Y30" s="54">
        <v>0.53125</v>
      </c>
      <c r="Z30" s="418"/>
      <c r="AA30" s="417"/>
      <c r="AB30" s="289">
        <f>N30-K30</f>
        <v>-89.250000000000455</v>
      </c>
      <c r="AC30" s="188">
        <f>N30/K30</f>
        <v>0.93802083333333297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8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4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79"/>
      <c r="AA34" s="389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5">AVERAGE(J27:J36)</f>
        <v>15.75</v>
      </c>
      <c r="K37" s="282">
        <f t="shared" si="25"/>
        <v>1441.25</v>
      </c>
      <c r="L37" s="283">
        <f t="shared" si="25"/>
        <v>92.236111111111114</v>
      </c>
      <c r="M37" s="282">
        <f t="shared" si="25"/>
        <v>15.75</v>
      </c>
      <c r="N37" s="282">
        <f t="shared" si="25"/>
        <v>1335.6224816849813</v>
      </c>
      <c r="O37" s="283">
        <f t="shared" si="25"/>
        <v>85.882158119658101</v>
      </c>
      <c r="P37" s="73">
        <f>M37-J37</f>
        <v>0</v>
      </c>
      <c r="Q37" s="74">
        <f>N37-K37</f>
        <v>-105.62751831501873</v>
      </c>
      <c r="R37" s="284">
        <f t="shared" ref="R37:R42" si="26">O37/L37</f>
        <v>0.93111208923586553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27">N37-K37</f>
        <v>-105.62751831501873</v>
      </c>
      <c r="AC37" s="184">
        <f t="shared" ref="AC37:AC41" si="28">N37/K37</f>
        <v>0.92671117549695148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1923</v>
      </c>
      <c r="H38" s="124">
        <f t="shared" si="24"/>
        <v>110187.9</v>
      </c>
      <c r="I38" s="125"/>
      <c r="J38" s="331">
        <f>VLOOKUP(D38,產線配置圖!$A$3:$C$39,2,0)</f>
        <v>15</v>
      </c>
      <c r="K38" s="234">
        <v>1500</v>
      </c>
      <c r="L38" s="285">
        <f t="shared" ref="L38:L42" si="29">K38/J38</f>
        <v>100</v>
      </c>
      <c r="M38" s="286">
        <v>15</v>
      </c>
      <c r="N38" s="126">
        <f>G38/W38*60</f>
        <v>1177.3469387755104</v>
      </c>
      <c r="O38" s="127">
        <f>N38/M38</f>
        <v>78.489795918367363</v>
      </c>
      <c r="P38" s="128">
        <f t="shared" ref="P38:P42" si="30">M38-J38</f>
        <v>0</v>
      </c>
      <c r="Q38" s="129">
        <f t="shared" ref="Q38:Q42" si="31">O38-L38</f>
        <v>-21.510204081632637</v>
      </c>
      <c r="R38" s="187">
        <f t="shared" si="26"/>
        <v>0.78489795918367367</v>
      </c>
      <c r="S38" s="460">
        <f>R48</f>
        <v>0.8378853688218082</v>
      </c>
      <c r="T38" s="149">
        <v>0.29166666666666669</v>
      </c>
      <c r="U38" s="149">
        <v>0.35972222222222222</v>
      </c>
      <c r="V38" s="146"/>
      <c r="W38" s="150">
        <f t="shared" si="18"/>
        <v>97.999999999999972</v>
      </c>
      <c r="X38" s="148"/>
      <c r="Y38" s="151"/>
      <c r="Z38" s="484" t="s">
        <v>117</v>
      </c>
      <c r="AA38" s="485"/>
      <c r="AB38" s="287">
        <f t="shared" si="27"/>
        <v>-322.65306122448965</v>
      </c>
      <c r="AC38" s="152">
        <f t="shared" si="28"/>
        <v>0.78489795918367355</v>
      </c>
      <c r="AD38" s="447">
        <f>AC48</f>
        <v>0.83788536882180831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898</v>
      </c>
      <c r="H39" s="50">
        <f t="shared" si="24"/>
        <v>50674.14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9"/>
        <v>93.733333333333334</v>
      </c>
      <c r="M39" s="65">
        <v>15</v>
      </c>
      <c r="N39" s="66">
        <f>G39/W39*60</f>
        <v>1036.1538461538448</v>
      </c>
      <c r="O39" s="67">
        <f t="shared" ref="O39:O42" si="32">N39/M39</f>
        <v>69.076923076922995</v>
      </c>
      <c r="P39" s="39">
        <f t="shared" si="30"/>
        <v>0</v>
      </c>
      <c r="Q39" s="40">
        <f t="shared" si="31"/>
        <v>-24.656410256410339</v>
      </c>
      <c r="R39" s="188">
        <f t="shared" si="26"/>
        <v>0.73695152642520978</v>
      </c>
      <c r="S39" s="461"/>
      <c r="T39" s="59">
        <v>0.36666666666666664</v>
      </c>
      <c r="U39" s="59">
        <v>0.40277777777777779</v>
      </c>
      <c r="V39" s="42">
        <f>(T39-U38)*24*60</f>
        <v>9.9999999999999645</v>
      </c>
      <c r="W39" s="69">
        <f t="shared" si="18"/>
        <v>52.000000000000057</v>
      </c>
      <c r="X39" s="22"/>
      <c r="Y39" s="22"/>
      <c r="Z39" s="450" t="s">
        <v>117</v>
      </c>
      <c r="AA39" s="451"/>
      <c r="AB39" s="268">
        <f t="shared" si="27"/>
        <v>-369.84615384615518</v>
      </c>
      <c r="AC39" s="61">
        <f t="shared" si="28"/>
        <v>0.73695152642520967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142</v>
      </c>
      <c r="E40" s="240"/>
      <c r="F40" s="56">
        <f>VLOOKUP(D40,廠價表!$C$1:$E$40,3,0)</f>
        <v>57.3</v>
      </c>
      <c r="G40" s="273">
        <v>2859</v>
      </c>
      <c r="H40" s="50">
        <f t="shared" si="24"/>
        <v>163820.69999999998</v>
      </c>
      <c r="I40" s="64"/>
      <c r="J40" s="37">
        <f>VLOOKUP(D40,產線配置圖!$A$3:$C$39,2,0)</f>
        <v>15</v>
      </c>
      <c r="K40" s="36">
        <f>VLOOKUP(D40,產線配置圖!$A$3:$C$39,3,0)</f>
        <v>1440</v>
      </c>
      <c r="L40" s="38">
        <f t="shared" si="29"/>
        <v>96</v>
      </c>
      <c r="M40" s="65">
        <v>15</v>
      </c>
      <c r="N40" s="66">
        <f>G40/W40*60</f>
        <v>1429.4999999999993</v>
      </c>
      <c r="O40" s="67">
        <f t="shared" si="32"/>
        <v>95.299999999999955</v>
      </c>
      <c r="P40" s="39">
        <f t="shared" si="30"/>
        <v>0</v>
      </c>
      <c r="Q40" s="40">
        <f t="shared" si="31"/>
        <v>-0.70000000000004547</v>
      </c>
      <c r="R40" s="188">
        <f t="shared" si="26"/>
        <v>0.99270833333333286</v>
      </c>
      <c r="S40" s="420"/>
      <c r="T40" s="59">
        <v>0.40972222222222221</v>
      </c>
      <c r="U40" s="59">
        <v>0.49305555555555558</v>
      </c>
      <c r="V40" s="42">
        <f>(T40-U39)*24*60</f>
        <v>9.9999999999999645</v>
      </c>
      <c r="W40" s="69">
        <f t="shared" si="18"/>
        <v>120.00000000000006</v>
      </c>
      <c r="X40" s="70"/>
      <c r="Y40" s="256"/>
      <c r="Z40" s="480"/>
      <c r="AA40" s="483"/>
      <c r="AB40" s="268">
        <f t="shared" si="27"/>
        <v>-10.500000000000682</v>
      </c>
      <c r="AC40" s="61">
        <f t="shared" si="28"/>
        <v>0.99270833333333286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831</v>
      </c>
      <c r="H41" s="50">
        <f t="shared" si="24"/>
        <v>46893.33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si="29"/>
        <v>93.733333333333334</v>
      </c>
      <c r="M41" s="65">
        <v>15</v>
      </c>
      <c r="N41" s="66">
        <f>G41/W41*60</f>
        <v>977.64705882352973</v>
      </c>
      <c r="O41" s="67">
        <f t="shared" si="32"/>
        <v>65.176470588235318</v>
      </c>
      <c r="P41" s="39">
        <f t="shared" si="30"/>
        <v>0</v>
      </c>
      <c r="Q41" s="40">
        <f t="shared" si="31"/>
        <v>-28.556862745098016</v>
      </c>
      <c r="R41" s="188">
        <f t="shared" si="26"/>
        <v>0.69533930215044792</v>
      </c>
      <c r="S41" s="420"/>
      <c r="T41" s="59">
        <v>0.57916666666666672</v>
      </c>
      <c r="U41" s="75">
        <v>0.61458333333333337</v>
      </c>
      <c r="V41" s="42">
        <f>(T41-U40)*24*60</f>
        <v>124.00000000000004</v>
      </c>
      <c r="W41" s="69">
        <f t="shared" si="18"/>
        <v>50.999999999999979</v>
      </c>
      <c r="X41" s="70">
        <v>0.52777777777777801</v>
      </c>
      <c r="Y41" s="256">
        <v>0.56944444444444398</v>
      </c>
      <c r="Z41" s="482" t="s">
        <v>146</v>
      </c>
      <c r="AA41" s="417"/>
      <c r="AB41" s="268">
        <f t="shared" si="27"/>
        <v>-428.35294117647027</v>
      </c>
      <c r="AC41" s="61">
        <f t="shared" si="28"/>
        <v>0.69533930215044792</v>
      </c>
      <c r="AD41" s="448"/>
    </row>
    <row r="42" spans="1:30" s="62" customFormat="1" ht="15" customHeight="1">
      <c r="A42" s="458"/>
      <c r="B42" s="56" t="s">
        <v>45</v>
      </c>
      <c r="C42" s="23"/>
      <c r="D42" s="276" t="s">
        <v>142</v>
      </c>
      <c r="E42" s="12"/>
      <c r="F42" s="56">
        <f>VLOOKUP(D42,廠價表!$C$1:$E$40,3,0)</f>
        <v>57.3</v>
      </c>
      <c r="G42" s="273">
        <v>1382</v>
      </c>
      <c r="H42" s="50">
        <f t="shared" si="24"/>
        <v>79188.599999999991</v>
      </c>
      <c r="I42" s="64"/>
      <c r="J42" s="37">
        <f>VLOOKUP(D42,產線配置圖!$A$3:$C$39,2,0)</f>
        <v>15</v>
      </c>
      <c r="K42" s="36">
        <f>VLOOKUP(D42,產線配置圖!$A$3:$C$39,3,0)</f>
        <v>1440</v>
      </c>
      <c r="L42" s="38">
        <f t="shared" si="29"/>
        <v>96</v>
      </c>
      <c r="M42" s="65">
        <v>15</v>
      </c>
      <c r="N42" s="66">
        <f>G42/W42*60</f>
        <v>1405.4237288135605</v>
      </c>
      <c r="O42" s="67">
        <f t="shared" si="32"/>
        <v>93.694915254237372</v>
      </c>
      <c r="P42" s="39">
        <f t="shared" si="30"/>
        <v>0</v>
      </c>
      <c r="Q42" s="40">
        <f t="shared" si="31"/>
        <v>-2.3050847457626276</v>
      </c>
      <c r="R42" s="188">
        <f t="shared" si="26"/>
        <v>0.97598870056497267</v>
      </c>
      <c r="S42" s="420"/>
      <c r="T42" s="75">
        <v>0.62222222222222223</v>
      </c>
      <c r="U42" s="75">
        <v>0.66319444444444442</v>
      </c>
      <c r="V42" s="42">
        <f>(T42-U41)*24*60</f>
        <v>10.999999999999961</v>
      </c>
      <c r="W42" s="69">
        <f t="shared" si="18"/>
        <v>58.99999999999995</v>
      </c>
      <c r="X42" s="70"/>
      <c r="Y42" s="60"/>
      <c r="Z42" s="482"/>
      <c r="AA42" s="417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334"/>
      <c r="Z43" s="482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33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5">AVERAGE(J38:J47)</f>
        <v>15</v>
      </c>
      <c r="K48" s="133">
        <f t="shared" si="35"/>
        <v>1438.4</v>
      </c>
      <c r="L48" s="136">
        <f t="shared" si="35"/>
        <v>95.893333333333345</v>
      </c>
      <c r="M48" s="133">
        <f t="shared" si="35"/>
        <v>15</v>
      </c>
      <c r="N48" s="133">
        <f t="shared" si="35"/>
        <v>1205.2143145132891</v>
      </c>
      <c r="O48" s="136">
        <f t="shared" si="35"/>
        <v>80.347620967552601</v>
      </c>
      <c r="P48" s="155">
        <f>M48-J48</f>
        <v>0</v>
      </c>
      <c r="Q48" s="156">
        <f>N48-K48</f>
        <v>-233.18568548671101</v>
      </c>
      <c r="R48" s="157">
        <f>O48/L48</f>
        <v>0.8378853688218082</v>
      </c>
      <c r="S48" s="423"/>
      <c r="T48" s="158"/>
      <c r="U48" s="158"/>
      <c r="V48" s="194"/>
      <c r="W48" s="159">
        <f t="shared" si="34"/>
        <v>0</v>
      </c>
      <c r="X48" s="160"/>
      <c r="Y48" s="160"/>
      <c r="Z48" s="424"/>
      <c r="AA48" s="424"/>
      <c r="AB48" s="161">
        <f>N48-K48</f>
        <v>-233.18568548671101</v>
      </c>
      <c r="AC48" s="189">
        <f>N48/K48</f>
        <v>0.83788536882180831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1844</v>
      </c>
      <c r="H49" s="124">
        <f t="shared" ref="H49:H57" si="36">F49*G49</f>
        <v>104868.28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1475.2000000000005</v>
      </c>
      <c r="O49" s="127">
        <f>N49/M49</f>
        <v>77.642105263157916</v>
      </c>
      <c r="P49" s="162">
        <f>M49-J49</f>
        <v>0</v>
      </c>
      <c r="Q49" s="111">
        <f>O49-L49</f>
        <v>-4.7263157894736594</v>
      </c>
      <c r="R49" s="182">
        <f>O49/L49</f>
        <v>0.94261980830670955</v>
      </c>
      <c r="S49" s="419">
        <f>R58</f>
        <v>0.97801470357706144</v>
      </c>
      <c r="T49" s="149">
        <v>0.29166666666666669</v>
      </c>
      <c r="U49" s="149">
        <v>0.34375</v>
      </c>
      <c r="V49" s="186"/>
      <c r="W49" s="150">
        <f t="shared" si="18"/>
        <v>74.999999999999972</v>
      </c>
      <c r="X49" s="186"/>
      <c r="Y49" s="186"/>
      <c r="Z49" s="425"/>
      <c r="AA49" s="425"/>
      <c r="AB49" s="110">
        <f>N49-K49</f>
        <v>-89.7999999999995</v>
      </c>
      <c r="AC49" s="182">
        <f>N49/K49</f>
        <v>0.94261980830670955</v>
      </c>
      <c r="AD49" s="411">
        <f>AC58</f>
        <v>0.97805302903369928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2649</v>
      </c>
      <c r="H50" s="76">
        <f t="shared" si="36"/>
        <v>132370.53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1589.3999999999992</v>
      </c>
      <c r="O50" s="78">
        <f>N50/M50</f>
        <v>88.299999999999955</v>
      </c>
      <c r="P50" s="18">
        <f>M50-J50</f>
        <v>0</v>
      </c>
      <c r="Q50" s="19">
        <f>O50-L50</f>
        <v>-0.58888888888893121</v>
      </c>
      <c r="R50" s="183">
        <f>O50/L50</f>
        <v>0.99337499999999956</v>
      </c>
      <c r="S50" s="420"/>
      <c r="T50" s="79">
        <v>0.34930555555555554</v>
      </c>
      <c r="U50" s="79">
        <v>0.41875000000000001</v>
      </c>
      <c r="V50" s="175">
        <f t="shared" ref="V50:V54" si="37">(T50-U49)*24*60</f>
        <v>7.9999999999999716</v>
      </c>
      <c r="W50" s="80">
        <f t="shared" si="18"/>
        <v>100.00000000000004</v>
      </c>
      <c r="X50" s="22"/>
      <c r="Y50" s="22"/>
      <c r="Z50" s="417"/>
      <c r="AA50" s="418"/>
      <c r="AB50" s="18">
        <f>N50-K50</f>
        <v>-10.600000000000819</v>
      </c>
      <c r="AC50" s="183">
        <f>N50/K50</f>
        <v>0.99337499999999945</v>
      </c>
      <c r="AD50" s="412"/>
    </row>
    <row r="51" spans="1:30" ht="15" customHeight="1">
      <c r="A51" s="455"/>
      <c r="B51" s="56" t="str">
        <f>VLOOKUP(D51,廠價表!$C$1:$E$40,2,0)</f>
        <v>熱乾麵</v>
      </c>
      <c r="C51" s="10"/>
      <c r="D51" s="11" t="s">
        <v>46</v>
      </c>
      <c r="E51" s="86"/>
      <c r="F51" s="56">
        <f>VLOOKUP(D51,廠價表!$C$1:$E$40,3,0)</f>
        <v>49.91</v>
      </c>
      <c r="G51" s="66">
        <v>1652</v>
      </c>
      <c r="H51" s="76">
        <f t="shared" si="36"/>
        <v>82451.319999999992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4" si="38">K51/J51</f>
        <v>92.058823529411768</v>
      </c>
      <c r="M51" s="172">
        <v>17</v>
      </c>
      <c r="N51" s="77">
        <f t="shared" ref="N51:N54" si="39">G51/W51*60</f>
        <v>1548.7499999999995</v>
      </c>
      <c r="O51" s="78">
        <f t="shared" ref="O51:O54" si="40">N51/M51</f>
        <v>91.102941176470566</v>
      </c>
      <c r="P51" s="18">
        <f t="shared" ref="P51:P54" si="41">M51-J51</f>
        <v>0</v>
      </c>
      <c r="Q51" s="19">
        <f t="shared" ref="Q51:Q54" si="42">O51-L51</f>
        <v>-0.95588235294120238</v>
      </c>
      <c r="R51" s="183">
        <f t="shared" ref="R51:R54" si="43">O51/L51</f>
        <v>0.98961661341853002</v>
      </c>
      <c r="S51" s="420"/>
      <c r="T51" s="79">
        <v>0.42430555555555555</v>
      </c>
      <c r="U51" s="44">
        <v>0.46875</v>
      </c>
      <c r="V51" s="175">
        <f t="shared" si="37"/>
        <v>7.9999999999999716</v>
      </c>
      <c r="W51" s="80">
        <f t="shared" si="18"/>
        <v>64.000000000000014</v>
      </c>
      <c r="X51" s="22"/>
      <c r="Y51" s="22"/>
      <c r="Z51" s="405"/>
      <c r="AA51" s="405"/>
      <c r="AB51" s="18">
        <f>N51-K51</f>
        <v>-16.250000000000455</v>
      </c>
      <c r="AC51" s="183">
        <f>N51/K51</f>
        <v>0.98961661341853002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996</v>
      </c>
      <c r="H52" s="76">
        <f t="shared" si="36"/>
        <v>49710.359999999993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si="38"/>
        <v>92.058823529411768</v>
      </c>
      <c r="M52" s="172">
        <v>17</v>
      </c>
      <c r="N52" s="77">
        <f t="shared" si="39"/>
        <v>1532.3076923076915</v>
      </c>
      <c r="O52" s="78">
        <f t="shared" si="40"/>
        <v>90.135746606334791</v>
      </c>
      <c r="P52" s="18">
        <f t="shared" si="41"/>
        <v>0</v>
      </c>
      <c r="Q52" s="19">
        <f t="shared" si="42"/>
        <v>-1.9230769230769766</v>
      </c>
      <c r="R52" s="183">
        <f t="shared" si="43"/>
        <v>0.97911034652248652</v>
      </c>
      <c r="S52" s="420"/>
      <c r="T52" s="79">
        <v>0.53055555555555556</v>
      </c>
      <c r="U52" s="79">
        <v>0.55763888888888891</v>
      </c>
      <c r="V52" s="175">
        <f t="shared" si="37"/>
        <v>89</v>
      </c>
      <c r="W52" s="80">
        <f t="shared" si="18"/>
        <v>39.000000000000021</v>
      </c>
      <c r="X52" s="22"/>
      <c r="Y52" s="22"/>
      <c r="Z52" s="405"/>
      <c r="AA52" s="405"/>
      <c r="AB52" s="18">
        <f>N52-K52</f>
        <v>-32.692307692308532</v>
      </c>
      <c r="AC52" s="183">
        <f>N52/K52</f>
        <v>0.97911034652248652</v>
      </c>
      <c r="AD52" s="412"/>
    </row>
    <row r="53" spans="1:30" ht="15" customHeight="1">
      <c r="A53" s="455"/>
      <c r="B53" s="56" t="str">
        <f>VLOOKUP(D53,廠價表!$C$1:$E$40,2,0)</f>
        <v>義大利麵</v>
      </c>
      <c r="C53" s="23"/>
      <c r="D53" s="11" t="s">
        <v>59</v>
      </c>
      <c r="E53" s="12"/>
      <c r="F53" s="56">
        <f>VLOOKUP(D53,廠價表!$C$1:$E$40,3,0)</f>
        <v>49.97</v>
      </c>
      <c r="G53" s="66">
        <v>2584</v>
      </c>
      <c r="H53" s="76">
        <f t="shared" si="36"/>
        <v>129122.48</v>
      </c>
      <c r="I53" s="191"/>
      <c r="J53" s="16">
        <f>VLOOKUP(D53,產線配置圖!$A$3:$C$39,2,0)</f>
        <v>18</v>
      </c>
      <c r="K53" s="14">
        <f>VLOOKUP(D53,產線配置圖!$A$3:$C$39,3,0)</f>
        <v>1600</v>
      </c>
      <c r="L53" s="17">
        <f t="shared" si="38"/>
        <v>88.888888888888886</v>
      </c>
      <c r="M53" s="172">
        <v>18</v>
      </c>
      <c r="N53" s="77">
        <f t="shared" si="39"/>
        <v>1598.3505154639181</v>
      </c>
      <c r="O53" s="78">
        <f t="shared" si="40"/>
        <v>88.797250859106555</v>
      </c>
      <c r="P53" s="18">
        <f t="shared" si="41"/>
        <v>0</v>
      </c>
      <c r="Q53" s="19">
        <f t="shared" si="42"/>
        <v>-9.1638029782330932E-2</v>
      </c>
      <c r="R53" s="183">
        <f t="shared" si="43"/>
        <v>0.99896907216494879</v>
      </c>
      <c r="S53" s="420"/>
      <c r="T53" s="79">
        <v>0.56388888888888888</v>
      </c>
      <c r="U53" s="79">
        <v>0.63124999999999998</v>
      </c>
      <c r="V53" s="175">
        <f t="shared" si="37"/>
        <v>8.999999999999968</v>
      </c>
      <c r="W53" s="80">
        <f t="shared" si="18"/>
        <v>96.999999999999972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56" t="str">
        <f>VLOOKUP(D54,廠價表!$C$1:$E$40,2,0)</f>
        <v>義大利麵</v>
      </c>
      <c r="C54" s="181"/>
      <c r="D54" s="11" t="s">
        <v>49</v>
      </c>
      <c r="E54" s="12"/>
      <c r="F54" s="56">
        <f>VLOOKUP(D54,廠價表!$C$1:$E$40,3,0)</f>
        <v>47.71</v>
      </c>
      <c r="G54" s="66">
        <v>602</v>
      </c>
      <c r="H54" s="76">
        <f t="shared" si="36"/>
        <v>28721.420000000002</v>
      </c>
      <c r="I54" s="175"/>
      <c r="J54" s="16">
        <f>VLOOKUP(D54,產線配置圖!$A$3:$C$39,2,0)</f>
        <v>15</v>
      </c>
      <c r="K54" s="14">
        <f>VLOOKUP(D54,產線配置圖!$A$3:$C$39,3,0)</f>
        <v>1500</v>
      </c>
      <c r="L54" s="17">
        <f t="shared" si="38"/>
        <v>100</v>
      </c>
      <c r="M54" s="179">
        <v>15</v>
      </c>
      <c r="N54" s="77">
        <f t="shared" si="39"/>
        <v>1444.7999999999959</v>
      </c>
      <c r="O54" s="78">
        <f t="shared" si="40"/>
        <v>96.319999999999723</v>
      </c>
      <c r="P54" s="18">
        <f t="shared" si="41"/>
        <v>0</v>
      </c>
      <c r="Q54" s="19">
        <f t="shared" si="42"/>
        <v>-3.6800000000002768</v>
      </c>
      <c r="R54" s="183">
        <f t="shared" si="43"/>
        <v>0.96319999999999728</v>
      </c>
      <c r="S54" s="420"/>
      <c r="T54" s="79">
        <v>0.63749999999999996</v>
      </c>
      <c r="U54" s="79">
        <v>0.65486111111111112</v>
      </c>
      <c r="V54" s="175">
        <f t="shared" si="37"/>
        <v>8.999999999999968</v>
      </c>
      <c r="W54" s="80">
        <f t="shared" si="18"/>
        <v>25.000000000000071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6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6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6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4">AVERAGE(J49:J57)</f>
        <v>17.333333333333332</v>
      </c>
      <c r="K58" s="117">
        <f t="shared" si="44"/>
        <v>1565.8333333333333</v>
      </c>
      <c r="L58" s="114">
        <f t="shared" si="44"/>
        <v>90.710640981538816</v>
      </c>
      <c r="M58" s="117">
        <f t="shared" si="44"/>
        <v>17.333333333333332</v>
      </c>
      <c r="N58" s="117">
        <f t="shared" si="44"/>
        <v>1531.4680346286007</v>
      </c>
      <c r="O58" s="114">
        <f t="shared" si="44"/>
        <v>88.716340650844927</v>
      </c>
      <c r="P58" s="118">
        <f>M58-J58</f>
        <v>0</v>
      </c>
      <c r="Q58" s="119">
        <f>N58-K58</f>
        <v>-34.365298704732595</v>
      </c>
      <c r="R58" s="120">
        <f t="shared" ref="R58:R60" si="45">O58/L58</f>
        <v>0.97801470357706144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46">N58-K58</f>
        <v>-34.365298704732595</v>
      </c>
      <c r="AC58" s="185">
        <f t="shared" ref="AC58:AC61" si="47">N58/K58</f>
        <v>0.97805302903369928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4019</v>
      </c>
      <c r="H59" s="105">
        <f t="shared" ref="H59:H68" si="48">F59*G59</f>
        <v>108472.81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49">G59/W59*60</f>
        <v>1555.741935483871</v>
      </c>
      <c r="O59" s="108">
        <f t="shared" ref="O59:O61" si="50">N59/M59</f>
        <v>119.67245657568239</v>
      </c>
      <c r="P59" s="110">
        <f t="shared" ref="P59:P61" si="51">M59-J59</f>
        <v>0</v>
      </c>
      <c r="Q59" s="111">
        <f t="shared" ref="Q59:Q61" si="52">O59-L59</f>
        <v>-0.71215880893299754</v>
      </c>
      <c r="R59" s="182">
        <f t="shared" si="45"/>
        <v>0.99408430382355972</v>
      </c>
      <c r="S59" s="419">
        <f>R69</f>
        <v>0.95047760594932607</v>
      </c>
      <c r="T59" s="167">
        <v>0.29166666666666669</v>
      </c>
      <c r="U59" s="167">
        <v>0.39930555555555558</v>
      </c>
      <c r="V59" s="186"/>
      <c r="W59" s="106">
        <f t="shared" si="18"/>
        <v>155</v>
      </c>
      <c r="X59" s="186"/>
      <c r="Y59" s="186"/>
      <c r="Z59" s="469"/>
      <c r="AA59" s="434"/>
      <c r="AB59" s="223">
        <f t="shared" si="46"/>
        <v>-9.2580645161290249</v>
      </c>
      <c r="AC59" s="224">
        <f t="shared" si="47"/>
        <v>0.99408430382355972</v>
      </c>
      <c r="AD59" s="411">
        <f>AC69</f>
        <v>0.95159572640764001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736</v>
      </c>
      <c r="H60" s="15">
        <f t="shared" si="48"/>
        <v>20953.919999999998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9"/>
        <v>1471.9999999999973</v>
      </c>
      <c r="O60" s="17">
        <f t="shared" si="50"/>
        <v>122.66666666666644</v>
      </c>
      <c r="P60" s="18">
        <f t="shared" si="51"/>
        <v>0</v>
      </c>
      <c r="Q60" s="19">
        <f t="shared" si="52"/>
        <v>-7.7500000000002132</v>
      </c>
      <c r="R60" s="183">
        <f t="shared" si="45"/>
        <v>0.94057507987220279</v>
      </c>
      <c r="S60" s="474"/>
      <c r="T60" s="20">
        <v>0.40972222222222221</v>
      </c>
      <c r="U60" s="20">
        <v>0.43055555555555558</v>
      </c>
      <c r="V60" s="175">
        <f t="shared" ref="V60:V61" si="53">(T60-U59)*24*60</f>
        <v>14.999999999999947</v>
      </c>
      <c r="W60" s="90">
        <f t="shared" si="18"/>
        <v>30.000000000000053</v>
      </c>
      <c r="X60" s="191"/>
      <c r="Y60" s="191"/>
      <c r="Z60" s="405"/>
      <c r="AA60" s="405"/>
      <c r="AB60" s="225">
        <f t="shared" si="46"/>
        <v>-93.000000000002728</v>
      </c>
      <c r="AC60" s="226">
        <f t="shared" si="47"/>
        <v>0.94057507987220268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2520</v>
      </c>
      <c r="H61" s="15">
        <f t="shared" si="48"/>
        <v>71215.199999999997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9"/>
        <v>1440.0000000000009</v>
      </c>
      <c r="O61" s="17">
        <f t="shared" si="50"/>
        <v>120.00000000000007</v>
      </c>
      <c r="P61" s="18">
        <f t="shared" si="51"/>
        <v>0</v>
      </c>
      <c r="Q61" s="19">
        <f t="shared" si="52"/>
        <v>-10.416666666666586</v>
      </c>
      <c r="R61" s="183">
        <f>O61/L61</f>
        <v>0.92012779552715718</v>
      </c>
      <c r="S61" s="420"/>
      <c r="T61" s="20">
        <v>0.44097222222222221</v>
      </c>
      <c r="U61" s="20">
        <v>0.51388888888888884</v>
      </c>
      <c r="V61" s="175">
        <f t="shared" si="53"/>
        <v>14.999999999999947</v>
      </c>
      <c r="W61" s="88">
        <f t="shared" si="18"/>
        <v>104.99999999999994</v>
      </c>
      <c r="X61" s="22"/>
      <c r="Y61" s="22"/>
      <c r="Z61" s="405"/>
      <c r="AA61" s="405"/>
      <c r="AB61" s="51">
        <f t="shared" si="46"/>
        <v>-124.99999999999909</v>
      </c>
      <c r="AC61" s="52">
        <f t="shared" si="47"/>
        <v>0.92012779552715718</v>
      </c>
      <c r="AD61" s="412"/>
    </row>
    <row r="62" spans="1:30" ht="15" customHeight="1">
      <c r="A62" s="472"/>
      <c r="B62" s="56"/>
      <c r="C62" s="10"/>
      <c r="D62" s="239"/>
      <c r="E62" s="86"/>
      <c r="F62" s="56"/>
      <c r="G62" s="175"/>
      <c r="H62" s="15"/>
      <c r="I62" s="81"/>
      <c r="J62" s="16"/>
      <c r="K62" s="14"/>
      <c r="L62" s="17"/>
      <c r="M62" s="178"/>
      <c r="N62" s="14"/>
      <c r="O62" s="17"/>
      <c r="P62" s="18"/>
      <c r="Q62" s="19"/>
      <c r="R62" s="183"/>
      <c r="S62" s="420"/>
      <c r="T62" s="20"/>
      <c r="U62" s="20"/>
      <c r="V62" s="175"/>
      <c r="W62" s="90">
        <f t="shared" si="18"/>
        <v>0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8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8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4">AVERAGE(J59:J68)</f>
        <v>12.333333333333334</v>
      </c>
      <c r="K69" s="164">
        <f t="shared" si="54"/>
        <v>1565</v>
      </c>
      <c r="L69" s="169">
        <f t="shared" si="54"/>
        <v>127.07264957264958</v>
      </c>
      <c r="M69" s="164">
        <f t="shared" si="54"/>
        <v>12.333333333333334</v>
      </c>
      <c r="N69" s="164">
        <f t="shared" si="54"/>
        <v>1489.2473118279565</v>
      </c>
      <c r="O69" s="169">
        <f t="shared" si="54"/>
        <v>120.77970774744962</v>
      </c>
      <c r="P69" s="170">
        <f>M69-J69</f>
        <v>0</v>
      </c>
      <c r="Q69" s="156">
        <f>N69-K69</f>
        <v>-75.752688172043463</v>
      </c>
      <c r="R69" s="120">
        <f>O69/L69</f>
        <v>0.95047760594932607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-75.752688172043463</v>
      </c>
      <c r="AC69" s="185">
        <f>N69/K69</f>
        <v>0.95159572640764001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8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8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5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5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5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5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5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218" priority="1" operator="greaterThan">
      <formula>0</formula>
    </cfRule>
  </conditionalFormatting>
  <conditionalFormatting sqref="Q5:Q79 AB5:AB79">
    <cfRule type="cellIs" dxfId="217" priority="4" operator="lessThan">
      <formula>0</formula>
    </cfRule>
  </conditionalFormatting>
  <conditionalFormatting sqref="R5:R79 AC5:AC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D59:AD62 S69:S76 AD69:AD76">
    <cfRule type="cellIs" dxfId="214" priority="7" operator="lessThan">
      <formula>0.8</formula>
    </cfRule>
  </conditionalFormatting>
  <conditionalFormatting sqref="S19:S25 AD19:AD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D5:AD8 S15:S16 AD15:AD16 AD49 AD79">
    <cfRule type="cellIs" dxfId="211" priority="9" operator="lessThan">
      <formula>0.8</formula>
    </cfRule>
  </conditionalFormatting>
  <conditionalFormatting sqref="AD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U61" sqref="U61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46002</v>
      </c>
      <c r="E3" s="357"/>
      <c r="F3" s="202" t="s">
        <v>84</v>
      </c>
      <c r="G3" s="358">
        <f>'1211'!E1</f>
        <v>46504</v>
      </c>
      <c r="H3" s="358"/>
      <c r="I3" s="202" t="s">
        <v>2</v>
      </c>
      <c r="J3" s="359">
        <f>'1211'!G1</f>
        <v>2302878.3199999998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117.87202387252695</v>
      </c>
      <c r="G6" s="367"/>
      <c r="H6" s="360">
        <f>AVERAGE(D13:H13)</f>
        <v>116.03189873250244</v>
      </c>
      <c r="I6" s="360"/>
      <c r="J6" s="360">
        <f>AVERAGE(I13:J13)</f>
        <v>127.07264957264958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98.199068238651378</v>
      </c>
      <c r="G7" s="362"/>
      <c r="H7" s="363">
        <f>AVERAGE(D14:H14)</f>
        <v>99.41590973308692</v>
      </c>
      <c r="I7" s="363"/>
      <c r="J7" s="363">
        <f>AVERAGE(I14:J14)</f>
        <v>92.114860766473711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0.83373859516859949</v>
      </c>
      <c r="G8" s="364"/>
      <c r="H8" s="364">
        <f>AVERAGE(D15:H15)</f>
        <v>0.85550647617067421</v>
      </c>
      <c r="I8" s="364"/>
      <c r="J8" s="364">
        <f>AVERAGE(I15:J15)</f>
        <v>0.7248991901582259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VALUE('1211'!L15)</f>
        <v>140.21719457013575</v>
      </c>
      <c r="E13" s="213">
        <f>VALUE('1211'!L26)</f>
        <v>162.27564102564102</v>
      </c>
      <c r="F13" s="213">
        <f>VALUE('1211'!L37)</f>
        <v>92.236111111111114</v>
      </c>
      <c r="G13" s="213">
        <f>VALUE('1211'!L48)</f>
        <v>96.577777777777783</v>
      </c>
      <c r="H13" s="213">
        <f>VALUE('1211'!L58)</f>
        <v>88.852769177846582</v>
      </c>
      <c r="I13" s="213">
        <f>VALUE('1211'!L69)</f>
        <v>127.07264957264958</v>
      </c>
      <c r="J13" s="213"/>
    </row>
    <row r="14" spans="2:15" ht="40" customHeight="1">
      <c r="B14" s="376"/>
      <c r="C14" s="212" t="s">
        <v>106</v>
      </c>
      <c r="D14" s="213">
        <f>VALUE('1211'!O15)</f>
        <v>115.87032124963166</v>
      </c>
      <c r="E14" s="213">
        <f>VALUE('1211'!O26)</f>
        <v>145.09007568008184</v>
      </c>
      <c r="F14" s="213">
        <f>VALUE('1211'!O37)</f>
        <v>80.950371776329419</v>
      </c>
      <c r="G14" s="213">
        <f>VALUE('1211'!O48)</f>
        <v>74.346525325796549</v>
      </c>
      <c r="H14" s="213">
        <f>VALUE('1211'!O58)</f>
        <v>80.822254633595122</v>
      </c>
      <c r="I14" s="213">
        <f>VALUE('1211'!O69)</f>
        <v>92.114860766473711</v>
      </c>
      <c r="J14" s="213"/>
    </row>
    <row r="15" spans="2:15" ht="40" customHeight="1">
      <c r="B15" s="377"/>
      <c r="C15" s="210" t="s">
        <v>23</v>
      </c>
      <c r="D15" s="231">
        <f>D14/D13</f>
        <v>0.82636314044690196</v>
      </c>
      <c r="E15" s="231">
        <f t="shared" ref="E15:I15" si="0">E14/E13</f>
        <v>0.89409645688693529</v>
      </c>
      <c r="F15" s="231">
        <f t="shared" si="0"/>
        <v>0.87764294050530312</v>
      </c>
      <c r="G15" s="231">
        <f t="shared" si="0"/>
        <v>0.76980985726204432</v>
      </c>
      <c r="H15" s="231">
        <f t="shared" si="0"/>
        <v>0.9096199857521865</v>
      </c>
      <c r="I15" s="231">
        <f t="shared" si="0"/>
        <v>0.7248991901582259</v>
      </c>
      <c r="J15" s="231"/>
    </row>
    <row r="16" spans="2:15" ht="17.25" customHeight="1">
      <c r="B16" s="378" t="s">
        <v>107</v>
      </c>
      <c r="C16" s="210" t="s">
        <v>29</v>
      </c>
      <c r="D16" s="95">
        <f>'1211'!T5</f>
        <v>0.2902777777777778</v>
      </c>
      <c r="E16" s="95">
        <f>'1211'!T16</f>
        <v>0.2902777777777778</v>
      </c>
      <c r="F16" s="95">
        <f>'1211'!T27</f>
        <v>0.29166666666666702</v>
      </c>
      <c r="G16" s="95">
        <f>'1211'!T38</f>
        <v>0.29166666666666669</v>
      </c>
      <c r="H16" s="95">
        <f>'1211'!T49</f>
        <v>0.29166666666666669</v>
      </c>
      <c r="I16" s="95">
        <f>'1211'!T59</f>
        <v>0.29166666666666669</v>
      </c>
      <c r="J16" s="269"/>
    </row>
    <row r="17" spans="2:10" ht="17.25" customHeight="1">
      <c r="B17" s="379"/>
      <c r="C17" s="210" t="s">
        <v>30</v>
      </c>
      <c r="D17" s="95">
        <v>0.61319444444444404</v>
      </c>
      <c r="E17" s="41">
        <v>0.56597222222222221</v>
      </c>
      <c r="F17" s="41">
        <v>0.65277777777777779</v>
      </c>
      <c r="G17" s="59">
        <v>0.49652777777777779</v>
      </c>
      <c r="H17" s="79">
        <v>0.6333333333333333</v>
      </c>
      <c r="I17" s="20">
        <v>0.49513888888888891</v>
      </c>
      <c r="J17" s="20"/>
    </row>
    <row r="18" spans="2:10" ht="17.25" customHeight="1">
      <c r="B18" s="365" t="s">
        <v>108</v>
      </c>
      <c r="C18" s="366"/>
      <c r="D18" s="214">
        <f>VALUE('1211'!M15)</f>
        <v>14.2</v>
      </c>
      <c r="E18" s="214">
        <f>VALUE('1211'!M26)</f>
        <v>12.5</v>
      </c>
      <c r="F18" s="214">
        <f>VALUE('1211'!M37)</f>
        <v>15.75</v>
      </c>
      <c r="G18" s="214">
        <f>VALUE('1211'!M48)</f>
        <v>15</v>
      </c>
      <c r="H18" s="214">
        <f>VALUE('1211'!M58)</f>
        <v>17.8</v>
      </c>
      <c r="I18" s="214">
        <f>VALUE('1211'!M69)</f>
        <v>12.333333333333334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R53" activePane="bottomRight" state="frozen"/>
      <selection activeCell="U9" sqref="U9"/>
      <selection pane="topRight" activeCell="U9" sqref="U9"/>
      <selection pane="bottomLeft" activeCell="U9" sqref="U9"/>
      <selection pane="bottomRight" activeCell="V61" activeCellId="12" sqref="V8 V6 V7 V17 V18 V28 V29 V39 V40 V51 V50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46504</v>
      </c>
      <c r="F1" s="175" t="s">
        <v>2</v>
      </c>
      <c r="G1" s="4">
        <f>SUM(H5:H79)</f>
        <v>2302878.3199999998</v>
      </c>
      <c r="H1" s="173" t="s">
        <v>3</v>
      </c>
      <c r="I1" s="5">
        <f>M15+M26+M48+M58+M69+M79+M37</f>
        <v>87.583333333333329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147</v>
      </c>
      <c r="B2" s="404"/>
      <c r="C2" s="174"/>
      <c r="D2" s="174" t="s">
        <v>11</v>
      </c>
      <c r="E2" s="7">
        <f>AVERAGE(O15,O26,O37,O48,O58,O69,O79)</f>
        <v>98.199068238651378</v>
      </c>
      <c r="F2" s="8" t="s">
        <v>12</v>
      </c>
      <c r="G2" s="9">
        <f>G1/E1</f>
        <v>49.520005160846374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1192</v>
      </c>
      <c r="H5" s="318">
        <f>F5*G5</f>
        <v>68194.320000000007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9" si="0">G5/W5*60</f>
        <v>1702.8571428571458</v>
      </c>
      <c r="O5" s="322">
        <f t="shared" ref="O5:O9" si="1">N5/M5</f>
        <v>130.98901098901121</v>
      </c>
      <c r="P5" s="324">
        <f t="shared" ref="P5:P9" si="2">M5-J5</f>
        <v>0</v>
      </c>
      <c r="Q5" s="325">
        <f t="shared" ref="Q5:Q9" si="3">O5-L5</f>
        <v>-30.934065934065728</v>
      </c>
      <c r="R5" s="326">
        <f t="shared" ref="R5:R9" si="4">O5/L5</f>
        <v>0.80895826263997417</v>
      </c>
      <c r="S5" s="419">
        <f>R15</f>
        <v>0.82636314044690196</v>
      </c>
      <c r="T5" s="327">
        <v>0.2902777777777778</v>
      </c>
      <c r="U5" s="328">
        <v>0.31944444444444442</v>
      </c>
      <c r="V5" s="192"/>
      <c r="W5" s="106">
        <f t="shared" ref="W5:W14" si="5">(U5-T5)*24*60</f>
        <v>41.999999999999929</v>
      </c>
      <c r="X5" s="186"/>
      <c r="Y5" s="186"/>
      <c r="Z5" s="425"/>
      <c r="AA5" s="425"/>
      <c r="AB5" s="110">
        <f>N5-K5</f>
        <v>-402.14285714285415</v>
      </c>
      <c r="AC5" s="182">
        <f>N5/K5</f>
        <v>0.80895826263997428</v>
      </c>
      <c r="AD5" s="411">
        <f>AC15</f>
        <v>0.82009176842392939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1159</v>
      </c>
      <c r="H6" s="307">
        <f>F6*G6</f>
        <v>65402.37</v>
      </c>
      <c r="I6" s="308"/>
      <c r="J6" s="309">
        <f>VLOOKUP(D6,產線配置圖!$A$3:$C$39,2,0)</f>
        <v>15</v>
      </c>
      <c r="K6" s="306">
        <v>1800</v>
      </c>
      <c r="L6" s="310">
        <f>K6/J6</f>
        <v>120</v>
      </c>
      <c r="M6" s="311">
        <v>15</v>
      </c>
      <c r="N6" s="306">
        <f t="shared" si="0"/>
        <v>1103.8095238095234</v>
      </c>
      <c r="O6" s="310">
        <f t="shared" si="1"/>
        <v>73.587301587301553</v>
      </c>
      <c r="P6" s="312">
        <f t="shared" si="2"/>
        <v>0</v>
      </c>
      <c r="Q6" s="313">
        <f t="shared" si="3"/>
        <v>-46.412698412698447</v>
      </c>
      <c r="R6" s="314">
        <f t="shared" si="4"/>
        <v>0.6132275132275129</v>
      </c>
      <c r="S6" s="420"/>
      <c r="T6" s="95">
        <v>0.32986111111111099</v>
      </c>
      <c r="U6" s="95">
        <v>0.37361111111111101</v>
      </c>
      <c r="V6" s="175">
        <f>(T6-U5)*24*60</f>
        <v>14.999999999999867</v>
      </c>
      <c r="W6" s="180">
        <f t="shared" si="5"/>
        <v>63.000000000000014</v>
      </c>
      <c r="X6" s="22"/>
      <c r="Y6" s="22"/>
      <c r="Z6" s="475" t="s">
        <v>138</v>
      </c>
      <c r="AA6" s="476"/>
      <c r="AB6" s="18">
        <f>N6-K6</f>
        <v>-696.1904761904766</v>
      </c>
      <c r="AC6" s="183">
        <f>N6/K6</f>
        <v>0.61322751322751301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v>1649</v>
      </c>
      <c r="H7" s="15">
        <f t="shared" ref="H7:H9" si="6">F7*G7</f>
        <v>94339.290000000008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>K7/J7</f>
        <v>111.47058823529412</v>
      </c>
      <c r="M7" s="178">
        <v>17</v>
      </c>
      <c r="N7" s="14">
        <f t="shared" si="0"/>
        <v>1522.1538461538441</v>
      </c>
      <c r="O7" s="17">
        <f t="shared" si="1"/>
        <v>89.538461538461419</v>
      </c>
      <c r="P7" s="18">
        <f t="shared" si="2"/>
        <v>0</v>
      </c>
      <c r="Q7" s="19">
        <f t="shared" si="3"/>
        <v>-21.932126696832697</v>
      </c>
      <c r="R7" s="183">
        <f t="shared" si="4"/>
        <v>0.80324741221838747</v>
      </c>
      <c r="S7" s="420"/>
      <c r="T7" s="267">
        <v>0.38402777777777802</v>
      </c>
      <c r="U7" s="267">
        <v>0.42916666666666697</v>
      </c>
      <c r="V7" s="175">
        <f>(T7-U6)*24*60</f>
        <v>15.000000000000506</v>
      </c>
      <c r="W7" s="180">
        <f t="shared" si="5"/>
        <v>65.000000000000085</v>
      </c>
      <c r="X7" s="22"/>
      <c r="Y7" s="22"/>
      <c r="Z7" s="405"/>
      <c r="AA7" s="405"/>
      <c r="AB7" s="18">
        <f>N7-K7</f>
        <v>-372.84615384615586</v>
      </c>
      <c r="AC7" s="183">
        <f>N7/K7</f>
        <v>0.80324741221838736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1792</v>
      </c>
      <c r="H8" s="15">
        <f t="shared" si="6"/>
        <v>88058.880000000005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1853.7931034482644</v>
      </c>
      <c r="O8" s="17">
        <f t="shared" si="1"/>
        <v>142.59946949602033</v>
      </c>
      <c r="P8" s="18">
        <f t="shared" si="2"/>
        <v>0</v>
      </c>
      <c r="Q8" s="19">
        <f t="shared" si="3"/>
        <v>-11.246684350133506</v>
      </c>
      <c r="R8" s="183">
        <f t="shared" si="4"/>
        <v>0.92689655172413221</v>
      </c>
      <c r="S8" s="420"/>
      <c r="T8" s="95">
        <v>0.438194444444444</v>
      </c>
      <c r="U8" s="95">
        <v>0.47847222222222202</v>
      </c>
      <c r="V8" s="175">
        <f t="shared" ref="V8:V9" si="7">(T8-U7)*24*60</f>
        <v>12.999999999998915</v>
      </c>
      <c r="W8" s="180">
        <f t="shared" si="5"/>
        <v>58.000000000000355</v>
      </c>
      <c r="X8" s="22"/>
      <c r="Y8" s="260"/>
      <c r="Z8" s="416"/>
      <c r="AA8" s="416"/>
      <c r="AB8" s="18">
        <f>N8-K8</f>
        <v>-146.20689655173555</v>
      </c>
      <c r="AC8" s="183">
        <f>N8/K8</f>
        <v>0.92689655172413221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3245</v>
      </c>
      <c r="H9" s="15">
        <f t="shared" si="6"/>
        <v>159459.29999999999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>K9/J9</f>
        <v>153.84615384615384</v>
      </c>
      <c r="M9" s="178">
        <v>13</v>
      </c>
      <c r="N9" s="14">
        <f t="shared" si="0"/>
        <v>1854.2857142857295</v>
      </c>
      <c r="O9" s="17">
        <f t="shared" si="1"/>
        <v>142.63736263736379</v>
      </c>
      <c r="P9" s="18">
        <f t="shared" si="2"/>
        <v>0</v>
      </c>
      <c r="Q9" s="19">
        <f t="shared" si="3"/>
        <v>-11.208791208790046</v>
      </c>
      <c r="R9" s="183">
        <f t="shared" si="4"/>
        <v>0.92714285714286471</v>
      </c>
      <c r="S9" s="421"/>
      <c r="T9" s="95">
        <v>0.54027777777777797</v>
      </c>
      <c r="U9" s="95">
        <v>0.61319444444444404</v>
      </c>
      <c r="V9" s="175">
        <f t="shared" si="7"/>
        <v>89.000000000000568</v>
      </c>
      <c r="W9" s="180">
        <f t="shared" si="5"/>
        <v>104.99999999999915</v>
      </c>
      <c r="X9" s="22"/>
      <c r="Y9" s="260"/>
      <c r="Z9" s="475"/>
      <c r="AA9" s="476"/>
      <c r="AB9" s="18">
        <f>N9-K9</f>
        <v>-145.71428571427055</v>
      </c>
      <c r="AC9" s="183">
        <f>N9/K9</f>
        <v>0.92714285714286471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8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14.2</v>
      </c>
      <c r="K15" s="117">
        <f t="shared" si="9"/>
        <v>1960</v>
      </c>
      <c r="L15" s="114">
        <f t="shared" si="9"/>
        <v>140.21719457013575</v>
      </c>
      <c r="M15" s="117">
        <f t="shared" si="9"/>
        <v>14.2</v>
      </c>
      <c r="N15" s="117">
        <f t="shared" si="9"/>
        <v>1607.3798661109015</v>
      </c>
      <c r="O15" s="114">
        <f t="shared" si="9"/>
        <v>115.87032124963166</v>
      </c>
      <c r="P15" s="118">
        <f t="shared" ref="P15:P19" si="10">M15-J15</f>
        <v>0</v>
      </c>
      <c r="Q15" s="119">
        <f t="shared" ref="Q15:Q19" si="11">O15-L15</f>
        <v>-24.346873320504088</v>
      </c>
      <c r="R15" s="120">
        <f t="shared" ref="R15:R19" si="12">O15/L15</f>
        <v>0.82636314044690196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3">N15-K15</f>
        <v>-352.6201338890985</v>
      </c>
      <c r="AC15" s="185">
        <f t="shared" ref="AC15:AC20" si="14">N15/K15</f>
        <v>0.82009176842392939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1169</v>
      </c>
      <c r="H16" s="124">
        <f t="shared" ref="H16:H25" si="15">F16*G16</f>
        <v>66878.490000000005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6">K16/J16</f>
        <v>161.92307692307693</v>
      </c>
      <c r="M16" s="264">
        <v>13</v>
      </c>
      <c r="N16" s="126">
        <f t="shared" ref="N16:N19" si="17">G16/W16*60</f>
        <v>1710.7317073170759</v>
      </c>
      <c r="O16" s="127">
        <f>N16/M16</f>
        <v>131.59474671669815</v>
      </c>
      <c r="P16" s="128">
        <f>M16-J16</f>
        <v>0</v>
      </c>
      <c r="Q16" s="129">
        <f t="shared" si="11"/>
        <v>-30.32833020637878</v>
      </c>
      <c r="R16" s="187">
        <f>O16/L16</f>
        <v>0.81269914836915724</v>
      </c>
      <c r="S16" s="431">
        <f>R26</f>
        <v>0.89409645688693529</v>
      </c>
      <c r="T16" s="265">
        <v>0.2902777777777778</v>
      </c>
      <c r="U16" s="265">
        <v>0.31874999999999998</v>
      </c>
      <c r="V16" s="125"/>
      <c r="W16" s="130">
        <f t="shared" ref="W16:W78" si="18">(U16-T16)*24*60</f>
        <v>40.999999999999936</v>
      </c>
      <c r="X16" s="127"/>
      <c r="Y16" s="127"/>
      <c r="Z16" s="425"/>
      <c r="AA16" s="425"/>
      <c r="AB16" s="110">
        <f t="shared" si="13"/>
        <v>-394.26829268292408</v>
      </c>
      <c r="AC16" s="182">
        <f t="shared" si="14"/>
        <v>0.81269914836915724</v>
      </c>
      <c r="AD16" s="411">
        <f>AC26</f>
        <v>0.89333987040715224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3415</v>
      </c>
      <c r="H17" s="15">
        <f t="shared" si="15"/>
        <v>173038.05000000002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>G17/W17*60</f>
        <v>1879.8165137614678</v>
      </c>
      <c r="O17" s="38">
        <f t="shared" ref="O17:O19" si="19">N17/M17</f>
        <v>144.60127028934369</v>
      </c>
      <c r="P17" s="39">
        <f t="shared" si="10"/>
        <v>0</v>
      </c>
      <c r="Q17" s="40">
        <f t="shared" si="11"/>
        <v>-9.2448835568101515</v>
      </c>
      <c r="R17" s="188">
        <f t="shared" si="12"/>
        <v>0.93990825688073398</v>
      </c>
      <c r="S17" s="432"/>
      <c r="T17" s="41">
        <v>0.32708333333333334</v>
      </c>
      <c r="U17" s="41">
        <v>0.40277777777777779</v>
      </c>
      <c r="V17" s="175">
        <f>(T17-U16)*24*60</f>
        <v>12.000000000000037</v>
      </c>
      <c r="W17" s="43">
        <f t="shared" si="18"/>
        <v>109.00000000000001</v>
      </c>
      <c r="X17" s="44"/>
      <c r="Y17" s="44"/>
      <c r="Z17" s="405"/>
      <c r="AA17" s="405"/>
      <c r="AB17" s="18">
        <f t="shared" si="13"/>
        <v>-120.18348623853217</v>
      </c>
      <c r="AC17" s="183">
        <f t="shared" si="14"/>
        <v>0.93990825688073387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3149</v>
      </c>
      <c r="H18" s="15">
        <f t="shared" si="15"/>
        <v>158678.11000000002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1889.3999999999992</v>
      </c>
      <c r="O18" s="38">
        <f t="shared" si="19"/>
        <v>157.44999999999993</v>
      </c>
      <c r="P18" s="39">
        <f t="shared" si="10"/>
        <v>0</v>
      </c>
      <c r="Q18" s="40">
        <f t="shared" si="11"/>
        <v>-9.2166666666667254</v>
      </c>
      <c r="R18" s="188">
        <f t="shared" si="12"/>
        <v>0.94469999999999965</v>
      </c>
      <c r="S18" s="432"/>
      <c r="T18" s="41">
        <v>0.40972222222222221</v>
      </c>
      <c r="U18" s="41">
        <v>0.47916666666666669</v>
      </c>
      <c r="V18" s="175">
        <f>(T18-U17)*24*60</f>
        <v>9.9999999999999645</v>
      </c>
      <c r="W18" s="43">
        <f t="shared" si="18"/>
        <v>100.00000000000004</v>
      </c>
      <c r="X18" s="22"/>
      <c r="Y18" s="22"/>
      <c r="Z18" s="405"/>
      <c r="AA18" s="405"/>
      <c r="AB18" s="18">
        <f t="shared" si="13"/>
        <v>-110.60000000000082</v>
      </c>
      <c r="AC18" s="183">
        <f t="shared" si="14"/>
        <v>0.94469999999999954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1027</v>
      </c>
      <c r="H19" s="15">
        <f t="shared" si="15"/>
        <v>51750.53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6"/>
        <v>166.66666666666666</v>
      </c>
      <c r="M19" s="37">
        <v>12</v>
      </c>
      <c r="N19" s="36">
        <f t="shared" si="17"/>
        <v>1760.5714285714268</v>
      </c>
      <c r="O19" s="38">
        <f t="shared" si="19"/>
        <v>146.71428571428558</v>
      </c>
      <c r="P19" s="39">
        <f t="shared" si="10"/>
        <v>0</v>
      </c>
      <c r="Q19" s="40">
        <f t="shared" si="11"/>
        <v>-19.952380952381077</v>
      </c>
      <c r="R19" s="188">
        <f t="shared" si="12"/>
        <v>0.88028571428571356</v>
      </c>
      <c r="S19" s="432"/>
      <c r="T19" s="41">
        <v>0.54166666666666663</v>
      </c>
      <c r="U19" s="41">
        <v>0.56597222222222221</v>
      </c>
      <c r="V19" s="175">
        <f>(T19-U18)*24*60</f>
        <v>89.999999999999915</v>
      </c>
      <c r="W19" s="43">
        <f t="shared" si="18"/>
        <v>35.000000000000036</v>
      </c>
      <c r="X19" s="22">
        <v>0.48958333333333298</v>
      </c>
      <c r="Y19" s="260">
        <v>0.53125</v>
      </c>
      <c r="Z19" s="416"/>
      <c r="AA19" s="416"/>
      <c r="AB19" s="18">
        <f t="shared" si="13"/>
        <v>-239.42857142857315</v>
      </c>
      <c r="AC19" s="183">
        <f t="shared" si="14"/>
        <v>0.88028571428571345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/>
      <c r="W20" s="43">
        <f t="shared" si="18"/>
        <v>0</v>
      </c>
      <c r="X20" s="44"/>
      <c r="Y20" s="44"/>
      <c r="Z20" s="418"/>
      <c r="AA20" s="405"/>
      <c r="AB20" s="18">
        <f t="shared" si="13"/>
        <v>0</v>
      </c>
      <c r="AC20" s="183" t="e">
        <f t="shared" si="14"/>
        <v>#DIV/0!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12.5</v>
      </c>
      <c r="K26" s="133">
        <f t="shared" si="20"/>
        <v>2026.25</v>
      </c>
      <c r="L26" s="136">
        <f t="shared" si="20"/>
        <v>162.27564102564102</v>
      </c>
      <c r="M26" s="133">
        <f t="shared" si="20"/>
        <v>12.5</v>
      </c>
      <c r="N26" s="133">
        <f t="shared" si="20"/>
        <v>1810.1299124124923</v>
      </c>
      <c r="O26" s="136">
        <f t="shared" si="20"/>
        <v>145.09007568008184</v>
      </c>
      <c r="P26" s="137">
        <f t="shared" ref="P26:P30" si="21">M26-J26</f>
        <v>0</v>
      </c>
      <c r="Q26" s="138">
        <f t="shared" ref="Q26:Q30" si="22">O26-L26</f>
        <v>-17.185565345559183</v>
      </c>
      <c r="R26" s="139">
        <f t="shared" ref="R26:R30" si="23">O26/L26</f>
        <v>0.89409645688693529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-216.12008758750767</v>
      </c>
      <c r="AC26" s="185">
        <f>N26/K26</f>
        <v>0.89333987040715224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v>3135</v>
      </c>
      <c r="H27" s="124">
        <f t="shared" ref="H27:H40" si="24">F27*G27</f>
        <v>149570.85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15</v>
      </c>
      <c r="N27" s="126">
        <f>G27/W27*60</f>
        <v>1372.9927007299257</v>
      </c>
      <c r="O27" s="127">
        <f>N27/M27</f>
        <v>91.532846715328375</v>
      </c>
      <c r="P27" s="128">
        <f t="shared" si="21"/>
        <v>0</v>
      </c>
      <c r="Q27" s="129">
        <f t="shared" si="22"/>
        <v>-8.4671532846716246</v>
      </c>
      <c r="R27" s="187">
        <f>O27/L27</f>
        <v>0.91532846715328375</v>
      </c>
      <c r="S27" s="431">
        <f>R37</f>
        <v>0.87764294050530312</v>
      </c>
      <c r="T27" s="94">
        <v>0.29166666666666702</v>
      </c>
      <c r="U27" s="94">
        <v>0.38680555555555601</v>
      </c>
      <c r="V27" s="125"/>
      <c r="W27" s="130">
        <f t="shared" si="18"/>
        <v>137.00000000000014</v>
      </c>
      <c r="X27" s="125"/>
      <c r="Y27" s="125" t="s">
        <v>47</v>
      </c>
      <c r="Z27" s="434"/>
      <c r="AA27" s="425"/>
      <c r="AB27" s="223">
        <f>N27-K27</f>
        <v>-127.00729927007433</v>
      </c>
      <c r="AC27" s="288">
        <f>N27/K27</f>
        <v>0.91532846715328375</v>
      </c>
      <c r="AD27" s="411">
        <f>AC37</f>
        <v>0.87584900218404194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1711</v>
      </c>
      <c r="H28" s="50">
        <f t="shared" si="24"/>
        <v>94327.430000000008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18</v>
      </c>
      <c r="N28" s="36">
        <f>G28/W28*60</f>
        <v>1153.4831460674238</v>
      </c>
      <c r="O28" s="38">
        <f>N28/M28</f>
        <v>64.082397003745768</v>
      </c>
      <c r="P28" s="39">
        <f t="shared" si="21"/>
        <v>0</v>
      </c>
      <c r="Q28" s="40">
        <f t="shared" si="22"/>
        <v>-12.862047440698674</v>
      </c>
      <c r="R28" s="188">
        <f t="shared" si="23"/>
        <v>0.8328398166551797</v>
      </c>
      <c r="S28" s="432"/>
      <c r="T28" s="267">
        <v>0.39305555555555599</v>
      </c>
      <c r="U28" s="41">
        <v>0.4548611111111111</v>
      </c>
      <c r="V28" s="42">
        <f>(T28-U27)*24*60</f>
        <v>8.999999999999968</v>
      </c>
      <c r="W28" s="43">
        <f t="shared" si="18"/>
        <v>88.999999999999361</v>
      </c>
      <c r="X28" s="54"/>
      <c r="Y28" s="54"/>
      <c r="Z28" s="418"/>
      <c r="AA28" s="417"/>
      <c r="AB28" s="39">
        <f>N28-K28</f>
        <v>-231.51685393257617</v>
      </c>
      <c r="AC28" s="188">
        <f>N28/K28</f>
        <v>0.8328398166551797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719</v>
      </c>
      <c r="H29" s="50">
        <f t="shared" si="24"/>
        <v>41198.699999999997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15</v>
      </c>
      <c r="N29" s="36">
        <f>G29/W29*60</f>
        <v>1232.5714285714303</v>
      </c>
      <c r="O29" s="38">
        <f>N29/M29</f>
        <v>82.171428571428677</v>
      </c>
      <c r="P29" s="39">
        <f t="shared" si="21"/>
        <v>0</v>
      </c>
      <c r="Q29" s="40">
        <f t="shared" si="22"/>
        <v>-13.828571428571323</v>
      </c>
      <c r="R29" s="188">
        <f t="shared" si="23"/>
        <v>0.85595238095238202</v>
      </c>
      <c r="S29" s="432"/>
      <c r="T29" s="41">
        <v>0.46180555555555558</v>
      </c>
      <c r="U29" s="41">
        <v>0.4861111111111111</v>
      </c>
      <c r="V29" s="42">
        <f>(T29-U28)*24*60</f>
        <v>10.000000000000044</v>
      </c>
      <c r="W29" s="43">
        <f t="shared" si="18"/>
        <v>34.999999999999957</v>
      </c>
      <c r="X29" s="22"/>
      <c r="Y29" s="22"/>
      <c r="Z29" s="418" t="s">
        <v>55</v>
      </c>
      <c r="AA29" s="417"/>
      <c r="AB29" s="289">
        <f>N29-K29</f>
        <v>-207.42857142856974</v>
      </c>
      <c r="AC29" s="188">
        <f>N29/K29</f>
        <v>0.85595238095238213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142</v>
      </c>
      <c r="E30" s="29"/>
      <c r="F30" s="56">
        <f>VLOOKUP(D30,廠價表!$C$1:$E$40,3,0)</f>
        <v>57.3</v>
      </c>
      <c r="G30" s="53">
        <v>2903</v>
      </c>
      <c r="H30" s="50">
        <f t="shared" si="24"/>
        <v>166341.9</v>
      </c>
      <c r="I30" s="42"/>
      <c r="J30" s="16">
        <f>VLOOKUP(D30,產線配置圖!$A$3:$C$39,2,0)</f>
        <v>15</v>
      </c>
      <c r="K30" s="14">
        <f>VLOOKUP(D30,產線配置圖!$A$3:$C$39,3,0)</f>
        <v>1440</v>
      </c>
      <c r="L30" s="233">
        <f>K30/J30</f>
        <v>96</v>
      </c>
      <c r="M30" s="21">
        <v>15</v>
      </c>
      <c r="N30" s="36">
        <f>G30/W30*60</f>
        <v>1290.2222222222222</v>
      </c>
      <c r="O30" s="38">
        <f>N30/M30</f>
        <v>86.014814814814812</v>
      </c>
      <c r="P30" s="39">
        <f t="shared" si="21"/>
        <v>0</v>
      </c>
      <c r="Q30" s="40">
        <f t="shared" si="22"/>
        <v>-9.9851851851851876</v>
      </c>
      <c r="R30" s="188">
        <f t="shared" si="23"/>
        <v>0.89598765432098759</v>
      </c>
      <c r="S30" s="432"/>
      <c r="T30" s="41">
        <v>0.55902777777777779</v>
      </c>
      <c r="U30" s="41">
        <v>0.65277777777777779</v>
      </c>
      <c r="V30" s="42">
        <f>(T30-U29)*24*60</f>
        <v>105.00000000000003</v>
      </c>
      <c r="W30" s="43">
        <f t="shared" si="18"/>
        <v>135</v>
      </c>
      <c r="X30" s="54">
        <v>0.48958333333333298</v>
      </c>
      <c r="Y30" s="54">
        <v>0.53125</v>
      </c>
      <c r="Z30" s="418"/>
      <c r="AA30" s="417"/>
      <c r="AB30" s="289">
        <f>N30-K30</f>
        <v>-149.77777777777783</v>
      </c>
      <c r="AC30" s="188">
        <f>N30/K30</f>
        <v>0.89598765432098759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8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4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79"/>
      <c r="AA34" s="389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5">AVERAGE(J27:J36)</f>
        <v>15.75</v>
      </c>
      <c r="K37" s="282">
        <f t="shared" si="25"/>
        <v>1441.25</v>
      </c>
      <c r="L37" s="283">
        <f t="shared" si="25"/>
        <v>92.236111111111114</v>
      </c>
      <c r="M37" s="282">
        <f t="shared" si="25"/>
        <v>15.75</v>
      </c>
      <c r="N37" s="282">
        <f t="shared" si="25"/>
        <v>1262.3173743977504</v>
      </c>
      <c r="O37" s="283">
        <f t="shared" si="25"/>
        <v>80.950371776329419</v>
      </c>
      <c r="P37" s="73">
        <f>M37-J37</f>
        <v>0</v>
      </c>
      <c r="Q37" s="74">
        <f>N37-K37</f>
        <v>-178.93262560224957</v>
      </c>
      <c r="R37" s="284">
        <f t="shared" ref="R37:R40" si="26">O37/L37</f>
        <v>0.87764294050530312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27">N37-K37</f>
        <v>-178.93262560224957</v>
      </c>
      <c r="AC37" s="184">
        <f t="shared" ref="AC37:AC41" si="28">N37/K37</f>
        <v>0.87584900218404194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1803</v>
      </c>
      <c r="H38" s="124">
        <f t="shared" si="24"/>
        <v>103311.9</v>
      </c>
      <c r="I38" s="125"/>
      <c r="J38" s="331">
        <f>VLOOKUP(D38,產線配置圖!$A$3:$C$39,2,0)</f>
        <v>15</v>
      </c>
      <c r="K38" s="234">
        <v>1500</v>
      </c>
      <c r="L38" s="285">
        <f t="shared" ref="L38:L40" si="29">K38/J38</f>
        <v>100</v>
      </c>
      <c r="M38" s="286">
        <v>15</v>
      </c>
      <c r="N38" s="126">
        <f>G38/W38*60</f>
        <v>1163.2258064516132</v>
      </c>
      <c r="O38" s="127">
        <f>N38/M38</f>
        <v>77.548387096774206</v>
      </c>
      <c r="P38" s="128">
        <f t="shared" ref="P38:P40" si="30">M38-J38</f>
        <v>0</v>
      </c>
      <c r="Q38" s="129">
        <f t="shared" ref="Q38:Q40" si="31">O38-L38</f>
        <v>-22.451612903225794</v>
      </c>
      <c r="R38" s="187">
        <f t="shared" si="26"/>
        <v>0.77548387096774207</v>
      </c>
      <c r="S38" s="460">
        <f>R48</f>
        <v>0.76980985726204432</v>
      </c>
      <c r="T38" s="149">
        <v>0.29166666666666669</v>
      </c>
      <c r="U38" s="149">
        <v>0.35625000000000001</v>
      </c>
      <c r="V38" s="146"/>
      <c r="W38" s="150">
        <f t="shared" si="18"/>
        <v>92.999999999999986</v>
      </c>
      <c r="X38" s="148"/>
      <c r="Y38" s="151"/>
      <c r="Z38" s="484" t="s">
        <v>117</v>
      </c>
      <c r="AA38" s="485"/>
      <c r="AB38" s="287">
        <f t="shared" si="27"/>
        <v>-336.77419354838685</v>
      </c>
      <c r="AC38" s="152">
        <f t="shared" si="28"/>
        <v>0.77548387096774207</v>
      </c>
      <c r="AD38" s="447">
        <f>AC48</f>
        <v>0.76980985726204443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1732</v>
      </c>
      <c r="H39" s="50">
        <f t="shared" si="24"/>
        <v>97736.76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9"/>
        <v>93.733333333333334</v>
      </c>
      <c r="M39" s="65">
        <v>15</v>
      </c>
      <c r="N39" s="66">
        <f>G39/W39*60</f>
        <v>1018.8235294117643</v>
      </c>
      <c r="O39" s="67">
        <f t="shared" ref="O39:O40" si="32">N39/M39</f>
        <v>67.921568627450952</v>
      </c>
      <c r="P39" s="39">
        <f t="shared" si="30"/>
        <v>0</v>
      </c>
      <c r="Q39" s="40">
        <f t="shared" si="31"/>
        <v>-25.811764705882382</v>
      </c>
      <c r="R39" s="188">
        <f t="shared" si="26"/>
        <v>0.72462555434691622</v>
      </c>
      <c r="S39" s="461"/>
      <c r="T39" s="59">
        <v>0.36458333333333331</v>
      </c>
      <c r="U39" s="59">
        <v>0.43541666666666667</v>
      </c>
      <c r="V39" s="42">
        <f>(T39-U38)*24*60</f>
        <v>11.999999999999957</v>
      </c>
      <c r="W39" s="69">
        <f t="shared" si="18"/>
        <v>102.00000000000004</v>
      </c>
      <c r="X39" s="22"/>
      <c r="Y39" s="22"/>
      <c r="Z39" s="450" t="s">
        <v>117</v>
      </c>
      <c r="AA39" s="451"/>
      <c r="AB39" s="268">
        <f t="shared" si="27"/>
        <v>-387.1764705882357</v>
      </c>
      <c r="AC39" s="61">
        <f t="shared" si="28"/>
        <v>0.72462555434691633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142</v>
      </c>
      <c r="E40" s="240"/>
      <c r="F40" s="56">
        <f>VLOOKUP(D40,廠價表!$C$1:$E$40,3,0)</f>
        <v>57.3</v>
      </c>
      <c r="G40" s="273">
        <v>1532</v>
      </c>
      <c r="H40" s="50">
        <f t="shared" si="24"/>
        <v>87783.599999999991</v>
      </c>
      <c r="I40" s="64"/>
      <c r="J40" s="37">
        <f>VLOOKUP(D40,產線配置圖!$A$3:$C$39,2,0)</f>
        <v>15</v>
      </c>
      <c r="K40" s="36">
        <f>VLOOKUP(D40,產線配置圖!$A$3:$C$39,3,0)</f>
        <v>1440</v>
      </c>
      <c r="L40" s="38">
        <f t="shared" si="29"/>
        <v>96</v>
      </c>
      <c r="M40" s="65">
        <v>15</v>
      </c>
      <c r="N40" s="66">
        <f>G40/W40*60</f>
        <v>1163.5443037974678</v>
      </c>
      <c r="O40" s="67">
        <f t="shared" si="32"/>
        <v>77.569620253164516</v>
      </c>
      <c r="P40" s="39">
        <f t="shared" si="30"/>
        <v>0</v>
      </c>
      <c r="Q40" s="40">
        <f t="shared" si="31"/>
        <v>-18.430379746835484</v>
      </c>
      <c r="R40" s="188">
        <f t="shared" si="26"/>
        <v>0.80801687763713037</v>
      </c>
      <c r="S40" s="420"/>
      <c r="T40" s="59">
        <v>0.44166666666666665</v>
      </c>
      <c r="U40" s="59">
        <v>0.49652777777777779</v>
      </c>
      <c r="V40" s="42">
        <f>(T40-U39)*24*60</f>
        <v>8.999999999999968</v>
      </c>
      <c r="W40" s="69">
        <f t="shared" si="18"/>
        <v>79.000000000000043</v>
      </c>
      <c r="X40" s="70"/>
      <c r="Y40" s="256"/>
      <c r="Z40" s="480"/>
      <c r="AA40" s="483"/>
      <c r="AB40" s="268">
        <f t="shared" si="27"/>
        <v>-276.45569620253218</v>
      </c>
      <c r="AC40" s="61">
        <f t="shared" si="28"/>
        <v>0.80801687763713048</v>
      </c>
      <c r="AD40" s="448"/>
    </row>
    <row r="41" spans="1:30" s="62" customFormat="1" ht="15" customHeight="1">
      <c r="A41" s="458"/>
      <c r="B41" s="56"/>
      <c r="C41" s="272"/>
      <c r="D41" s="276"/>
      <c r="E41" s="240"/>
      <c r="F41" s="56"/>
      <c r="G41" s="273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88"/>
      <c r="S41" s="420"/>
      <c r="T41" s="59"/>
      <c r="U41" s="75"/>
      <c r="V41" s="42"/>
      <c r="W41" s="69">
        <f t="shared" si="18"/>
        <v>0</v>
      </c>
      <c r="X41" s="70"/>
      <c r="Y41" s="256"/>
      <c r="Z41" s="482"/>
      <c r="AA41" s="417"/>
      <c r="AB41" s="268">
        <f t="shared" si="27"/>
        <v>0</v>
      </c>
      <c r="AC41" s="61" t="e">
        <f t="shared" si="28"/>
        <v>#DIV/0!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18"/>
        <v>0</v>
      </c>
      <c r="X42" s="70"/>
      <c r="Y42" s="60"/>
      <c r="Z42" s="482"/>
      <c r="AA42" s="417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334"/>
      <c r="Z43" s="482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33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5">AVERAGE(J38:J47)</f>
        <v>15</v>
      </c>
      <c r="K48" s="133">
        <f t="shared" si="35"/>
        <v>1448.6666666666667</v>
      </c>
      <c r="L48" s="136">
        <f t="shared" si="35"/>
        <v>96.577777777777783</v>
      </c>
      <c r="M48" s="133">
        <f t="shared" si="35"/>
        <v>15</v>
      </c>
      <c r="N48" s="133">
        <f t="shared" si="35"/>
        <v>1115.1978798869484</v>
      </c>
      <c r="O48" s="136">
        <f t="shared" si="35"/>
        <v>74.346525325796549</v>
      </c>
      <c r="P48" s="155">
        <f>M48-J48</f>
        <v>0</v>
      </c>
      <c r="Q48" s="156">
        <f>N48-K48</f>
        <v>-333.46878677971836</v>
      </c>
      <c r="R48" s="157">
        <f>O48/L48</f>
        <v>0.76980985726204432</v>
      </c>
      <c r="S48" s="423"/>
      <c r="T48" s="158"/>
      <c r="U48" s="158"/>
      <c r="V48" s="194"/>
      <c r="W48" s="159">
        <f t="shared" si="34"/>
        <v>0</v>
      </c>
      <c r="X48" s="160"/>
      <c r="Y48" s="160"/>
      <c r="Z48" s="424"/>
      <c r="AA48" s="424"/>
      <c r="AB48" s="161">
        <f>N48-K48</f>
        <v>-333.46878677971836</v>
      </c>
      <c r="AC48" s="189">
        <f>N48/K48</f>
        <v>0.76980985726204443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1794</v>
      </c>
      <c r="H49" s="124">
        <f t="shared" ref="H49:H57" si="36">F49*G49</f>
        <v>102024.78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1281.4285714285722</v>
      </c>
      <c r="O49" s="127">
        <f>N49/M49</f>
        <v>67.44360902255643</v>
      </c>
      <c r="P49" s="162">
        <f>M49-J49</f>
        <v>0</v>
      </c>
      <c r="Q49" s="111">
        <f>O49-L49</f>
        <v>-14.924812030075145</v>
      </c>
      <c r="R49" s="182">
        <f>O49/L49</f>
        <v>0.81880419899589285</v>
      </c>
      <c r="S49" s="419">
        <f>R58</f>
        <v>0.9096199857521865</v>
      </c>
      <c r="T49" s="149">
        <v>0.29166666666666669</v>
      </c>
      <c r="U49" s="149">
        <v>0.35</v>
      </c>
      <c r="V49" s="186"/>
      <c r="W49" s="150">
        <f t="shared" si="18"/>
        <v>83.999999999999943</v>
      </c>
      <c r="X49" s="186"/>
      <c r="Y49" s="186"/>
      <c r="Z49" s="425"/>
      <c r="AA49" s="425"/>
      <c r="AB49" s="110">
        <f>N49-K49</f>
        <v>-283.57142857142776</v>
      </c>
      <c r="AC49" s="182">
        <f>N49/K49</f>
        <v>0.81880419899589285</v>
      </c>
      <c r="AD49" s="411">
        <f>AC58</f>
        <v>0.90838852376827306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2220</v>
      </c>
      <c r="H50" s="76">
        <f t="shared" si="36"/>
        <v>110933.4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1432.2580645161293</v>
      </c>
      <c r="O50" s="78">
        <f>N50/M50</f>
        <v>79.569892473118287</v>
      </c>
      <c r="P50" s="18">
        <f>M50-J50</f>
        <v>0</v>
      </c>
      <c r="Q50" s="19">
        <f>O50-L50</f>
        <v>-9.3189964157705987</v>
      </c>
      <c r="R50" s="183">
        <f>O50/L50</f>
        <v>0.89516129032258074</v>
      </c>
      <c r="S50" s="420"/>
      <c r="T50" s="79">
        <v>0.35416666666666669</v>
      </c>
      <c r="U50" s="79">
        <v>0.41875000000000001</v>
      </c>
      <c r="V50" s="175">
        <f t="shared" ref="V50:V53" si="37">(T50-U49)*24*60</f>
        <v>6.0000000000000586</v>
      </c>
      <c r="W50" s="80">
        <f t="shared" si="18"/>
        <v>92.999999999999986</v>
      </c>
      <c r="X50" s="22"/>
      <c r="Y50" s="22"/>
      <c r="Z50" s="417"/>
      <c r="AA50" s="418"/>
      <c r="AB50" s="18">
        <f>N50-K50</f>
        <v>-167.74193548387075</v>
      </c>
      <c r="AC50" s="183">
        <f>N50/K50</f>
        <v>0.89516129032258074</v>
      </c>
      <c r="AD50" s="412"/>
    </row>
    <row r="51" spans="1:30" ht="15" customHeight="1">
      <c r="A51" s="455"/>
      <c r="B51" s="56" t="str">
        <f>VLOOKUP(D51,廠價表!$C$1:$E$40,2,0)</f>
        <v>熱乾麵</v>
      </c>
      <c r="C51" s="10"/>
      <c r="D51" s="11" t="s">
        <v>46</v>
      </c>
      <c r="E51" s="86"/>
      <c r="F51" s="56">
        <f>VLOOKUP(D51,廠價表!$C$1:$E$40,3,0)</f>
        <v>49.91</v>
      </c>
      <c r="G51" s="66">
        <v>1914</v>
      </c>
      <c r="H51" s="76">
        <f t="shared" si="36"/>
        <v>95527.739999999991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3" si="38">K51/J51</f>
        <v>92.058823529411768</v>
      </c>
      <c r="M51" s="172">
        <v>17</v>
      </c>
      <c r="N51" s="77">
        <f t="shared" ref="N51:N53" si="39">G51/W51*60</f>
        <v>1551.8918918919007</v>
      </c>
      <c r="O51" s="78">
        <f t="shared" ref="O51:O53" si="40">N51/M51</f>
        <v>91.287758346582393</v>
      </c>
      <c r="P51" s="18">
        <f t="shared" ref="P51:P53" si="41">M51-J51</f>
        <v>0</v>
      </c>
      <c r="Q51" s="19">
        <f t="shared" ref="Q51:Q53" si="42">O51-L51</f>
        <v>-0.77106518282937486</v>
      </c>
      <c r="R51" s="183">
        <f t="shared" ref="R51:R53" si="43">O51/L51</f>
        <v>0.99162421207150198</v>
      </c>
      <c r="S51" s="420"/>
      <c r="T51" s="79">
        <v>0.42569444444444443</v>
      </c>
      <c r="U51" s="44">
        <v>0.47708333333333303</v>
      </c>
      <c r="V51" s="175">
        <f t="shared" si="37"/>
        <v>9.9999999999999645</v>
      </c>
      <c r="W51" s="80">
        <f t="shared" si="18"/>
        <v>73.999999999999574</v>
      </c>
      <c r="X51" s="22"/>
      <c r="Y51" s="22"/>
      <c r="Z51" s="405"/>
      <c r="AA51" s="405"/>
      <c r="AB51" s="18">
        <f>N51-K51</f>
        <v>-13.108108108099259</v>
      </c>
      <c r="AC51" s="183">
        <f>N51/K51</f>
        <v>0.99162421207150209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600</v>
      </c>
      <c r="H52" s="76">
        <f t="shared" si="36"/>
        <v>29945.999999999996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si="38"/>
        <v>92.058823529411768</v>
      </c>
      <c r="M52" s="172">
        <v>17</v>
      </c>
      <c r="N52" s="77">
        <f t="shared" si="39"/>
        <v>1333.3333333333301</v>
      </c>
      <c r="O52" s="78">
        <f t="shared" si="40"/>
        <v>78.431372549019414</v>
      </c>
      <c r="P52" s="18">
        <f t="shared" si="41"/>
        <v>0</v>
      </c>
      <c r="Q52" s="19">
        <f t="shared" si="42"/>
        <v>-13.627450980392354</v>
      </c>
      <c r="R52" s="183">
        <f t="shared" si="43"/>
        <v>0.85197018104366129</v>
      </c>
      <c r="S52" s="420"/>
      <c r="T52" s="79">
        <v>0.53611111111111109</v>
      </c>
      <c r="U52" s="79">
        <v>0.55486111111111114</v>
      </c>
      <c r="V52" s="175">
        <f t="shared" si="37"/>
        <v>85.000000000000412</v>
      </c>
      <c r="W52" s="80">
        <f t="shared" si="18"/>
        <v>27.000000000000064</v>
      </c>
      <c r="X52" s="22"/>
      <c r="Y52" s="22"/>
      <c r="Z52" s="405"/>
      <c r="AA52" s="405"/>
      <c r="AB52" s="18">
        <f>N52-K52</f>
        <v>-231.66666666666993</v>
      </c>
      <c r="AC52" s="183">
        <f>N52/K52</f>
        <v>0.8519701810436614</v>
      </c>
      <c r="AD52" s="412"/>
    </row>
    <row r="53" spans="1:30" ht="15" customHeight="1">
      <c r="A53" s="455"/>
      <c r="B53" s="56" t="str">
        <f>VLOOKUP(D53,廠價表!$C$1:$E$40,2,0)</f>
        <v>義大利麵</v>
      </c>
      <c r="C53" s="23"/>
      <c r="D53" s="11" t="s">
        <v>59</v>
      </c>
      <c r="E53" s="12"/>
      <c r="F53" s="56">
        <f>VLOOKUP(D53,廠價表!$C$1:$E$40,3,0)</f>
        <v>49.97</v>
      </c>
      <c r="G53" s="66">
        <v>2700</v>
      </c>
      <c r="H53" s="76">
        <f t="shared" si="36"/>
        <v>134919</v>
      </c>
      <c r="I53" s="191"/>
      <c r="J53" s="16">
        <f>VLOOKUP(D53,產線配置圖!$A$3:$C$39,2,0)</f>
        <v>18</v>
      </c>
      <c r="K53" s="14">
        <f>VLOOKUP(D53,產線配置圖!$A$3:$C$39,3,0)</f>
        <v>1600</v>
      </c>
      <c r="L53" s="17">
        <f t="shared" si="38"/>
        <v>88.888888888888886</v>
      </c>
      <c r="M53" s="172">
        <v>18</v>
      </c>
      <c r="N53" s="77">
        <f t="shared" si="39"/>
        <v>1572.8155339805833</v>
      </c>
      <c r="O53" s="78">
        <f t="shared" si="40"/>
        <v>87.378640776699072</v>
      </c>
      <c r="P53" s="18">
        <f t="shared" si="41"/>
        <v>0</v>
      </c>
      <c r="Q53" s="19">
        <f t="shared" si="42"/>
        <v>-1.5102481121898137</v>
      </c>
      <c r="R53" s="183">
        <f t="shared" si="43"/>
        <v>0.98300970873786464</v>
      </c>
      <c r="S53" s="420"/>
      <c r="T53" s="79">
        <v>0.56180555555555556</v>
      </c>
      <c r="U53" s="79">
        <v>0.6333333333333333</v>
      </c>
      <c r="V53" s="175">
        <f t="shared" si="37"/>
        <v>9.9999999999999645</v>
      </c>
      <c r="W53" s="80">
        <f t="shared" si="18"/>
        <v>102.99999999999996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56"/>
      <c r="C54" s="181"/>
      <c r="D54" s="11"/>
      <c r="E54" s="12"/>
      <c r="F54" s="56"/>
      <c r="G54" s="66"/>
      <c r="H54" s="76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79"/>
      <c r="U54" s="79"/>
      <c r="V54" s="175"/>
      <c r="W54" s="80">
        <f t="shared" si="18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6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6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6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4">AVERAGE(J49:J57)</f>
        <v>17.8</v>
      </c>
      <c r="K58" s="117">
        <f t="shared" si="44"/>
        <v>1579</v>
      </c>
      <c r="L58" s="114">
        <f t="shared" si="44"/>
        <v>88.852769177846582</v>
      </c>
      <c r="M58" s="117">
        <f t="shared" si="44"/>
        <v>17.8</v>
      </c>
      <c r="N58" s="117">
        <f t="shared" si="44"/>
        <v>1434.3454790301032</v>
      </c>
      <c r="O58" s="114">
        <f t="shared" si="44"/>
        <v>80.822254633595122</v>
      </c>
      <c r="P58" s="118">
        <f>M58-J58</f>
        <v>0</v>
      </c>
      <c r="Q58" s="119">
        <f>N58-K58</f>
        <v>-144.65452096989679</v>
      </c>
      <c r="R58" s="120">
        <f t="shared" ref="R58:R60" si="45">O58/L58</f>
        <v>0.9096199857521865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46">N58-K58</f>
        <v>-144.65452096989679</v>
      </c>
      <c r="AC58" s="185">
        <f t="shared" ref="AC58:AC61" si="47">N58/K58</f>
        <v>0.90838852376827306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3618</v>
      </c>
      <c r="H59" s="105">
        <f t="shared" ref="H59:H68" si="48">F59*G59</f>
        <v>97649.819999999992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49">G59/W59*60</f>
        <v>1447.2000000000005</v>
      </c>
      <c r="O59" s="108">
        <f t="shared" ref="O59:O61" si="50">N59/M59</f>
        <v>111.32307692307697</v>
      </c>
      <c r="P59" s="110">
        <f t="shared" ref="P59:P61" si="51">M59-J59</f>
        <v>0</v>
      </c>
      <c r="Q59" s="111">
        <f t="shared" ref="Q59:Q61" si="52">O59-L59</f>
        <v>-9.0615384615384187</v>
      </c>
      <c r="R59" s="182">
        <f t="shared" si="45"/>
        <v>0.9247284345047927</v>
      </c>
      <c r="S59" s="419">
        <f>R69</f>
        <v>0.7248991901582259</v>
      </c>
      <c r="T59" s="167">
        <v>0.29166666666666669</v>
      </c>
      <c r="U59" s="167">
        <v>0.39583333333333331</v>
      </c>
      <c r="V59" s="186"/>
      <c r="W59" s="106">
        <f t="shared" si="18"/>
        <v>149.99999999999994</v>
      </c>
      <c r="X59" s="186"/>
      <c r="Y59" s="186"/>
      <c r="Z59" s="469"/>
      <c r="AA59" s="434"/>
      <c r="AB59" s="223">
        <f t="shared" si="46"/>
        <v>-117.7999999999995</v>
      </c>
      <c r="AC59" s="224">
        <f t="shared" si="47"/>
        <v>0.9247284345047927</v>
      </c>
      <c r="AD59" s="411">
        <f>AC69</f>
        <v>0.73002301693634297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354</v>
      </c>
      <c r="H60" s="15">
        <f t="shared" si="48"/>
        <v>10078.379999999999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9"/>
        <v>708.00000000000068</v>
      </c>
      <c r="O60" s="17">
        <f t="shared" si="50"/>
        <v>59.000000000000057</v>
      </c>
      <c r="P60" s="18">
        <f t="shared" si="51"/>
        <v>0</v>
      </c>
      <c r="Q60" s="19">
        <f t="shared" si="52"/>
        <v>-71.4166666666666</v>
      </c>
      <c r="R60" s="183">
        <f t="shared" si="45"/>
        <v>0.45239616613418576</v>
      </c>
      <c r="S60" s="474"/>
      <c r="T60" s="20">
        <v>0.40277777777777779</v>
      </c>
      <c r="U60" s="20">
        <v>0.4236111111111111</v>
      </c>
      <c r="V60" s="175">
        <f t="shared" ref="V60:V61" si="53">(T60-U59)*24*60</f>
        <v>10.000000000000044</v>
      </c>
      <c r="W60" s="90">
        <f t="shared" si="18"/>
        <v>29.999999999999972</v>
      </c>
      <c r="X60" s="191"/>
      <c r="Y60" s="191"/>
      <c r="Z60" s="405" t="s">
        <v>148</v>
      </c>
      <c r="AA60" s="405"/>
      <c r="AB60" s="225">
        <f t="shared" si="46"/>
        <v>-856.99999999999932</v>
      </c>
      <c r="AC60" s="226">
        <f t="shared" si="47"/>
        <v>0.45239616613418576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1972</v>
      </c>
      <c r="H61" s="15">
        <f t="shared" si="48"/>
        <v>55728.72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9"/>
        <v>1272.2580645161293</v>
      </c>
      <c r="O61" s="17">
        <f t="shared" si="50"/>
        <v>106.02150537634411</v>
      </c>
      <c r="P61" s="18">
        <f t="shared" si="51"/>
        <v>0</v>
      </c>
      <c r="Q61" s="19">
        <f t="shared" si="52"/>
        <v>-24.395161290322548</v>
      </c>
      <c r="R61" s="183">
        <f>O61/L61</f>
        <v>0.81294445017005068</v>
      </c>
      <c r="S61" s="420"/>
      <c r="T61" s="20">
        <v>0.43055555555555558</v>
      </c>
      <c r="U61" s="20">
        <v>0.49513888888888891</v>
      </c>
      <c r="V61" s="175">
        <f t="shared" si="53"/>
        <v>10.000000000000044</v>
      </c>
      <c r="W61" s="88">
        <f t="shared" si="18"/>
        <v>92.999999999999986</v>
      </c>
      <c r="X61" s="22"/>
      <c r="Y61" s="22"/>
      <c r="Z61" s="405"/>
      <c r="AA61" s="405"/>
      <c r="AB61" s="51">
        <f t="shared" si="46"/>
        <v>-292.74193548387075</v>
      </c>
      <c r="AC61" s="52">
        <f t="shared" si="47"/>
        <v>0.81294445017005068</v>
      </c>
      <c r="AD61" s="412"/>
    </row>
    <row r="62" spans="1:30" ht="15" customHeight="1">
      <c r="A62" s="472"/>
      <c r="B62" s="56"/>
      <c r="C62" s="10"/>
      <c r="D62" s="239"/>
      <c r="E62" s="86"/>
      <c r="F62" s="56"/>
      <c r="G62" s="175"/>
      <c r="H62" s="15"/>
      <c r="I62" s="81"/>
      <c r="J62" s="16"/>
      <c r="K62" s="14"/>
      <c r="L62" s="17"/>
      <c r="M62" s="178"/>
      <c r="N62" s="14"/>
      <c r="O62" s="17"/>
      <c r="P62" s="18"/>
      <c r="Q62" s="19"/>
      <c r="R62" s="183"/>
      <c r="S62" s="420"/>
      <c r="T62" s="20"/>
      <c r="U62" s="20"/>
      <c r="V62" s="175"/>
      <c r="W62" s="90">
        <f t="shared" si="18"/>
        <v>0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8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8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4">AVERAGE(J59:J68)</f>
        <v>12.333333333333334</v>
      </c>
      <c r="K69" s="164">
        <f t="shared" si="54"/>
        <v>1565</v>
      </c>
      <c r="L69" s="169">
        <f t="shared" si="54"/>
        <v>127.07264957264958</v>
      </c>
      <c r="M69" s="164">
        <f t="shared" si="54"/>
        <v>12.333333333333334</v>
      </c>
      <c r="N69" s="164">
        <f t="shared" si="54"/>
        <v>1142.4860215053768</v>
      </c>
      <c r="O69" s="169">
        <f t="shared" si="54"/>
        <v>92.114860766473711</v>
      </c>
      <c r="P69" s="170">
        <f>M69-J69</f>
        <v>0</v>
      </c>
      <c r="Q69" s="156">
        <f>N69-K69</f>
        <v>-422.51397849462319</v>
      </c>
      <c r="R69" s="120">
        <f>O69/L69</f>
        <v>0.7248991901582259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-422.51397849462319</v>
      </c>
      <c r="AC69" s="185">
        <f>N69/K69</f>
        <v>0.73002301693634297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8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8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5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5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5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5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5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208" priority="1" operator="greaterThan">
      <formula>0</formula>
    </cfRule>
  </conditionalFormatting>
  <conditionalFormatting sqref="Q5:Q79 AB5:AB79">
    <cfRule type="cellIs" dxfId="207" priority="4" operator="lessThan">
      <formula>0</formula>
    </cfRule>
  </conditionalFormatting>
  <conditionalFormatting sqref="R5:R79 AC5:AC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D59:AD62 S69:S76 AD69:AD76">
    <cfRule type="cellIs" dxfId="204" priority="7" operator="lessThan">
      <formula>0.8</formula>
    </cfRule>
  </conditionalFormatting>
  <conditionalFormatting sqref="S19:S25 AD19:AD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D5:AD8 S15:S16 AD15:AD16 AD49 AD79">
    <cfRule type="cellIs" dxfId="201" priority="9" operator="lessThan">
      <formula>0.8</formula>
    </cfRule>
  </conditionalFormatting>
  <conditionalFormatting sqref="AD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P22" sqref="P22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46003</v>
      </c>
      <c r="E3" s="357"/>
      <c r="F3" s="202" t="s">
        <v>84</v>
      </c>
      <c r="G3" s="358">
        <f>'1212'!E1</f>
        <v>37707</v>
      </c>
      <c r="H3" s="358"/>
      <c r="I3" s="202" t="s">
        <v>2</v>
      </c>
      <c r="J3" s="359">
        <f>'1212'!G1</f>
        <v>1835283.7499999995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116.6934400900861</v>
      </c>
      <c r="G6" s="367"/>
      <c r="H6" s="360">
        <f>AVERAGE(D13:H13)</f>
        <v>114.61759819357341</v>
      </c>
      <c r="I6" s="360"/>
      <c r="J6" s="360">
        <f>AVERAGE(I13:J13)</f>
        <v>127.07264957264958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98.61066896098248</v>
      </c>
      <c r="G7" s="362"/>
      <c r="H7" s="363">
        <f>AVERAGE(D14:H14)</f>
        <v>97.185076798891942</v>
      </c>
      <c r="I7" s="363"/>
      <c r="J7" s="363">
        <f>AVERAGE(I14:J14)</f>
        <v>105.73862977143523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0.83994231324622604</v>
      </c>
      <c r="G8" s="364"/>
      <c r="H8" s="364">
        <f>AVERAGE(D15:H15)</f>
        <v>0.84150844956948612</v>
      </c>
      <c r="I8" s="364"/>
      <c r="J8" s="364">
        <f>AVERAGE(I15:J15)</f>
        <v>0.83211163162992574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VALUE('1212'!L15)</f>
        <v>136.80995475113122</v>
      </c>
      <c r="E13" s="213">
        <f>VALUE('1212'!L26)</f>
        <v>160.81196581196582</v>
      </c>
      <c r="F13" s="213">
        <f>VALUE('1212'!L37)</f>
        <v>90.981481481481481</v>
      </c>
      <c r="G13" s="213">
        <f>VALUE('1212'!L48)</f>
        <v>96.433333333333337</v>
      </c>
      <c r="H13" s="213">
        <f>VALUE('1212'!L58)</f>
        <v>88.051255589955275</v>
      </c>
      <c r="I13" s="213">
        <f>VALUE('1212'!L69)</f>
        <v>127.07264957264958</v>
      </c>
      <c r="J13" s="213"/>
    </row>
    <row r="14" spans="2:15" ht="40" customHeight="1">
      <c r="B14" s="376"/>
      <c r="C14" s="212" t="s">
        <v>106</v>
      </c>
      <c r="D14" s="213">
        <f>VALUE('1212'!O15)</f>
        <v>111.23686285020652</v>
      </c>
      <c r="E14" s="213">
        <f>VALUE('1212'!O26)</f>
        <v>147.08982738394511</v>
      </c>
      <c r="F14" s="213">
        <f>VALUE('1212'!O37)</f>
        <v>78.890901320901449</v>
      </c>
      <c r="G14" s="213">
        <f>VALUE('1212'!O48)</f>
        <v>77.181003707391</v>
      </c>
      <c r="H14" s="213">
        <f>VALUE('1212'!O58)</f>
        <v>71.52678873201566</v>
      </c>
      <c r="I14" s="213">
        <f>VALUE('1212'!O69)</f>
        <v>105.73862977143523</v>
      </c>
      <c r="J14" s="213"/>
    </row>
    <row r="15" spans="2:15" ht="40" customHeight="1">
      <c r="B15" s="377"/>
      <c r="C15" s="210" t="s">
        <v>23</v>
      </c>
      <c r="D15" s="231">
        <f>D14/D13</f>
        <v>0.8130757959284155</v>
      </c>
      <c r="E15" s="231">
        <f t="shared" ref="E15:I15" si="0">E14/E13</f>
        <v>0.91466966802665839</v>
      </c>
      <c r="F15" s="231">
        <f t="shared" si="0"/>
        <v>0.86710943849555833</v>
      </c>
      <c r="G15" s="231">
        <f t="shared" si="0"/>
        <v>0.80035607024601796</v>
      </c>
      <c r="H15" s="231">
        <f t="shared" si="0"/>
        <v>0.81233127515078052</v>
      </c>
      <c r="I15" s="231">
        <f t="shared" si="0"/>
        <v>0.83211163162992574</v>
      </c>
      <c r="J15" s="231"/>
    </row>
    <row r="16" spans="2:15" ht="17.25" customHeight="1">
      <c r="B16" s="378" t="s">
        <v>107</v>
      </c>
      <c r="C16" s="210" t="s">
        <v>29</v>
      </c>
      <c r="D16" s="95">
        <f>'1212'!T5</f>
        <v>0.2902777777777778</v>
      </c>
      <c r="E16" s="95">
        <f>'1212'!T16</f>
        <v>0.2902777777777778</v>
      </c>
      <c r="F16" s="95">
        <f>'1212'!T27</f>
        <v>0.29166666666666702</v>
      </c>
      <c r="G16" s="95">
        <f>'1212'!T38</f>
        <v>0.29166666666666669</v>
      </c>
      <c r="H16" s="95">
        <f>'1212'!T49</f>
        <v>0.29166666666666669</v>
      </c>
      <c r="I16" s="95">
        <f>'1212'!T59</f>
        <v>0.29166666666666669</v>
      </c>
      <c r="J16" s="269"/>
    </row>
    <row r="17" spans="2:10" ht="17.25" customHeight="1">
      <c r="B17" s="379"/>
      <c r="C17" s="210" t="s">
        <v>30</v>
      </c>
      <c r="D17" s="95">
        <v>0.468055555555556</v>
      </c>
      <c r="E17" s="41">
        <v>0.4826388888888889</v>
      </c>
      <c r="F17" s="41">
        <v>0.60555555555555551</v>
      </c>
      <c r="G17" s="75">
        <v>0.57916666666666672</v>
      </c>
      <c r="H17" s="79">
        <v>0.59861111111111109</v>
      </c>
      <c r="I17" s="20">
        <v>0.48958333333333331</v>
      </c>
      <c r="J17" s="20"/>
    </row>
    <row r="18" spans="2:10" ht="17.25" customHeight="1">
      <c r="B18" s="365" t="s">
        <v>108</v>
      </c>
      <c r="C18" s="366"/>
      <c r="D18" s="214">
        <f>VALUE('1212'!M15)</f>
        <v>14.5</v>
      </c>
      <c r="E18" s="214">
        <f>VALUE('1212'!M26)</f>
        <v>12.666666666666666</v>
      </c>
      <c r="F18" s="214">
        <f>VALUE('1212'!M37)</f>
        <v>14.333333333333334</v>
      </c>
      <c r="G18" s="214">
        <f>VALUE('1212'!M48)</f>
        <v>14</v>
      </c>
      <c r="H18" s="214">
        <f>VALUE('1212'!M58)</f>
        <v>17.75</v>
      </c>
      <c r="I18" s="214">
        <f>VALUE('1212'!M69)</f>
        <v>12.333333333333334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L53" activePane="bottomRight" state="frozen"/>
      <selection activeCell="P22" sqref="P22"/>
      <selection pane="topRight" activeCell="P22" sqref="P22"/>
      <selection pane="bottomLeft" activeCell="P22" sqref="P22"/>
      <selection pane="bottomRight" activeCell="V61" activeCellId="11" sqref="V6 V7 V8 V17 V18 V28 V39 V40 V50 V51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37707</v>
      </c>
      <c r="F1" s="175" t="s">
        <v>2</v>
      </c>
      <c r="G1" s="4">
        <f>SUM(H5:H79)</f>
        <v>1835283.7499999995</v>
      </c>
      <c r="H1" s="173" t="s">
        <v>3</v>
      </c>
      <c r="I1" s="5">
        <f>M15+M26+M48+M58+M69+M79+M37</f>
        <v>85.583333333333329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149</v>
      </c>
      <c r="B2" s="404"/>
      <c r="C2" s="174"/>
      <c r="D2" s="174" t="s">
        <v>11</v>
      </c>
      <c r="E2" s="7">
        <f>AVERAGE(O15,O26,O37,O48,O58,O69,O79)</f>
        <v>98.61066896098248</v>
      </c>
      <c r="F2" s="8" t="s">
        <v>12</v>
      </c>
      <c r="G2" s="9">
        <f>G1/E1</f>
        <v>48.672229294295477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954</v>
      </c>
      <c r="H5" s="318">
        <f>F5*G5</f>
        <v>54578.340000000004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8" si="0">G5/W5*60</f>
        <v>1635.4285714285736</v>
      </c>
      <c r="O5" s="322">
        <f t="shared" ref="O5:O8" si="1">N5/M5</f>
        <v>125.80219780219797</v>
      </c>
      <c r="P5" s="324">
        <f t="shared" ref="P5:P8" si="2">M5-J5</f>
        <v>0</v>
      </c>
      <c r="Q5" s="325">
        <f t="shared" ref="Q5:Q8" si="3">O5-L5</f>
        <v>-36.120879120878968</v>
      </c>
      <c r="R5" s="326">
        <f t="shared" ref="R5:R8" si="4">O5/L5</f>
        <v>0.77692568713946486</v>
      </c>
      <c r="S5" s="419">
        <f>R15</f>
        <v>0.8130757959284155</v>
      </c>
      <c r="T5" s="327">
        <v>0.2902777777777778</v>
      </c>
      <c r="U5" s="328">
        <v>0.31458333333333333</v>
      </c>
      <c r="V5" s="192"/>
      <c r="W5" s="106">
        <f t="shared" ref="W5:W14" si="5">(U5-T5)*24*60</f>
        <v>34.999999999999957</v>
      </c>
      <c r="X5" s="186"/>
      <c r="Y5" s="186"/>
      <c r="Z5" s="425" t="s">
        <v>55</v>
      </c>
      <c r="AA5" s="425"/>
      <c r="AB5" s="110">
        <f>N5-K5</f>
        <v>-469.5714285714264</v>
      </c>
      <c r="AC5" s="182">
        <f>N5/K5</f>
        <v>0.77692568713946486</v>
      </c>
      <c r="AD5" s="411">
        <f>AC15</f>
        <v>0.81133654962923907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742</v>
      </c>
      <c r="H6" s="307">
        <f>F6*G6</f>
        <v>41871.06</v>
      </c>
      <c r="I6" s="308"/>
      <c r="J6" s="309">
        <f>VLOOKUP(D6,產線配置圖!$A$3:$C$39,2,0)</f>
        <v>15</v>
      </c>
      <c r="K6" s="306">
        <v>1800</v>
      </c>
      <c r="L6" s="310">
        <f>K6/J6</f>
        <v>120</v>
      </c>
      <c r="M6" s="311">
        <v>15</v>
      </c>
      <c r="N6" s="306">
        <f t="shared" si="0"/>
        <v>1085.8536585365955</v>
      </c>
      <c r="O6" s="310">
        <f t="shared" si="1"/>
        <v>72.390243902439707</v>
      </c>
      <c r="P6" s="312">
        <f t="shared" si="2"/>
        <v>0</v>
      </c>
      <c r="Q6" s="313">
        <f t="shared" si="3"/>
        <v>-47.609756097560293</v>
      </c>
      <c r="R6" s="314">
        <f t="shared" si="4"/>
        <v>0.60325203252033088</v>
      </c>
      <c r="S6" s="420"/>
      <c r="T6" s="95">
        <v>0.32291666666666702</v>
      </c>
      <c r="U6" s="95">
        <v>0.35138888888888897</v>
      </c>
      <c r="V6" s="175">
        <f>(T6-U5)*24*60</f>
        <v>12.000000000000517</v>
      </c>
      <c r="W6" s="180">
        <f t="shared" si="5"/>
        <v>40.999999999999616</v>
      </c>
      <c r="X6" s="22"/>
      <c r="Y6" s="22"/>
      <c r="Z6" s="475" t="s">
        <v>138</v>
      </c>
      <c r="AA6" s="476"/>
      <c r="AB6" s="18">
        <f>N6-K6</f>
        <v>-714.1463414634045</v>
      </c>
      <c r="AC6" s="183">
        <f>N6/K6</f>
        <v>0.60325203252033088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v>1188</v>
      </c>
      <c r="H7" s="15">
        <f t="shared" ref="H7:H8" si="6">F7*G7</f>
        <v>67965.48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>K7/J7</f>
        <v>111.47058823529412</v>
      </c>
      <c r="M7" s="178">
        <v>17</v>
      </c>
      <c r="N7" s="14">
        <f t="shared" si="0"/>
        <v>1697.1428571428958</v>
      </c>
      <c r="O7" s="17">
        <f t="shared" si="1"/>
        <v>99.831932773111518</v>
      </c>
      <c r="P7" s="18">
        <f t="shared" si="2"/>
        <v>0</v>
      </c>
      <c r="Q7" s="19">
        <f t="shared" si="3"/>
        <v>-11.638655462182598</v>
      </c>
      <c r="R7" s="183">
        <f t="shared" si="4"/>
        <v>0.89558989822844104</v>
      </c>
      <c r="S7" s="420"/>
      <c r="T7" s="267">
        <v>0.35555555555555601</v>
      </c>
      <c r="U7" s="267">
        <v>0.38472222222222202</v>
      </c>
      <c r="V7" s="175">
        <f>(T7-U6)*24*60</f>
        <v>6.0000000000005382</v>
      </c>
      <c r="W7" s="180">
        <f t="shared" si="5"/>
        <v>41.999999999999048</v>
      </c>
      <c r="X7" s="22"/>
      <c r="Y7" s="22"/>
      <c r="Z7" s="405"/>
      <c r="AA7" s="405"/>
      <c r="AB7" s="18">
        <f>N7-K7</f>
        <v>-197.85714285710424</v>
      </c>
      <c r="AC7" s="183">
        <f>N7/K7</f>
        <v>0.89558989822844104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3438</v>
      </c>
      <c r="H8" s="15">
        <f t="shared" si="6"/>
        <v>168943.32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1909.9999999999998</v>
      </c>
      <c r="O8" s="17">
        <f t="shared" si="1"/>
        <v>146.92307692307691</v>
      </c>
      <c r="P8" s="18">
        <f t="shared" si="2"/>
        <v>0</v>
      </c>
      <c r="Q8" s="19">
        <f t="shared" si="3"/>
        <v>-6.923076923076934</v>
      </c>
      <c r="R8" s="183">
        <f t="shared" si="4"/>
        <v>0.95499999999999996</v>
      </c>
      <c r="S8" s="420"/>
      <c r="T8" s="95">
        <v>0.39305555555555599</v>
      </c>
      <c r="U8" s="95">
        <v>0.468055555555556</v>
      </c>
      <c r="V8" s="175">
        <f>(T8-U7)*24*60</f>
        <v>12.000000000000917</v>
      </c>
      <c r="W8" s="180">
        <f t="shared" si="5"/>
        <v>108.00000000000001</v>
      </c>
      <c r="X8" s="22"/>
      <c r="Y8" s="260"/>
      <c r="Z8" s="416"/>
      <c r="AA8" s="416"/>
      <c r="AB8" s="18">
        <f>N8-K8</f>
        <v>-90.000000000000227</v>
      </c>
      <c r="AC8" s="183">
        <f>N8/K8</f>
        <v>0.95499999999999985</v>
      </c>
      <c r="AD8" s="412"/>
    </row>
    <row r="9" spans="1:30" ht="15" customHeight="1">
      <c r="A9" s="409"/>
      <c r="B9" s="56"/>
      <c r="C9" s="10"/>
      <c r="D9" s="11"/>
      <c r="E9" s="86"/>
      <c r="F9" s="56"/>
      <c r="G9" s="25"/>
      <c r="H9" s="15"/>
      <c r="I9" s="180"/>
      <c r="J9" s="16"/>
      <c r="K9" s="14"/>
      <c r="L9" s="17"/>
      <c r="M9" s="178"/>
      <c r="N9" s="14"/>
      <c r="O9" s="17"/>
      <c r="P9" s="18"/>
      <c r="Q9" s="19"/>
      <c r="R9" s="183"/>
      <c r="S9" s="421"/>
      <c r="T9" s="95"/>
      <c r="U9" s="95"/>
      <c r="V9" s="175"/>
      <c r="W9" s="180">
        <f t="shared" si="5"/>
        <v>0</v>
      </c>
      <c r="X9" s="22"/>
      <c r="Y9" s="260"/>
      <c r="Z9" s="475"/>
      <c r="AA9" s="476"/>
      <c r="AB9" s="18">
        <f>N9-K9</f>
        <v>0</v>
      </c>
      <c r="AC9" s="183" t="e">
        <f>N9/K9</f>
        <v>#DIV/0!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7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7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14.5</v>
      </c>
      <c r="K15" s="117">
        <f t="shared" si="8"/>
        <v>1950</v>
      </c>
      <c r="L15" s="114">
        <f t="shared" si="8"/>
        <v>136.80995475113122</v>
      </c>
      <c r="M15" s="117">
        <f t="shared" si="8"/>
        <v>14.5</v>
      </c>
      <c r="N15" s="117">
        <f t="shared" si="8"/>
        <v>1582.1062717770162</v>
      </c>
      <c r="O15" s="114">
        <f t="shared" si="8"/>
        <v>111.23686285020652</v>
      </c>
      <c r="P15" s="118">
        <f t="shared" ref="P15:P18" si="9">M15-J15</f>
        <v>0</v>
      </c>
      <c r="Q15" s="119">
        <f t="shared" ref="Q15:Q18" si="10">O15-L15</f>
        <v>-25.573091900924695</v>
      </c>
      <c r="R15" s="120">
        <f t="shared" ref="R15:R18" si="11">O15/L15</f>
        <v>0.8130757959284155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2">N15-K15</f>
        <v>-367.89372822298378</v>
      </c>
      <c r="AC15" s="185">
        <f t="shared" ref="AC15:AC20" si="13">N15/K15</f>
        <v>0.81133654962923907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948</v>
      </c>
      <c r="H16" s="124">
        <f t="shared" ref="H16:H25" si="14">F16*G16</f>
        <v>54235.08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8" si="15">K16/J16</f>
        <v>161.92307692307693</v>
      </c>
      <c r="M16" s="264">
        <v>13</v>
      </c>
      <c r="N16" s="126">
        <f t="shared" ref="N16:N18" si="16">G16/W16*60</f>
        <v>1672.9411764705903</v>
      </c>
      <c r="O16" s="127">
        <f>N16/M16</f>
        <v>128.68778280543003</v>
      </c>
      <c r="P16" s="128">
        <f>M16-J16</f>
        <v>0</v>
      </c>
      <c r="Q16" s="129">
        <f t="shared" si="10"/>
        <v>-33.235294117646902</v>
      </c>
      <c r="R16" s="187">
        <f>O16/L16</f>
        <v>0.79474640212379588</v>
      </c>
      <c r="S16" s="431">
        <f>R26</f>
        <v>0.91466966802665839</v>
      </c>
      <c r="T16" s="265">
        <v>0.2902777777777778</v>
      </c>
      <c r="U16" s="265">
        <v>0.31388888888888888</v>
      </c>
      <c r="V16" s="125"/>
      <c r="W16" s="130">
        <f t="shared" ref="W16:W78" si="17">(U16-T16)*24*60</f>
        <v>33.999999999999957</v>
      </c>
      <c r="X16" s="127"/>
      <c r="Y16" s="127"/>
      <c r="Z16" s="425" t="s">
        <v>55</v>
      </c>
      <c r="AA16" s="425"/>
      <c r="AB16" s="110">
        <f t="shared" si="12"/>
        <v>-432.05882352940966</v>
      </c>
      <c r="AC16" s="182">
        <f t="shared" si="13"/>
        <v>0.79474640212379588</v>
      </c>
      <c r="AD16" s="411">
        <f>AC26</f>
        <v>0.91306114835526653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3322</v>
      </c>
      <c r="H17" s="15">
        <f t="shared" si="14"/>
        <v>168325.74000000002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5"/>
        <v>153.84615384615384</v>
      </c>
      <c r="M17" s="37">
        <v>13</v>
      </c>
      <c r="N17" s="36">
        <f>G17/W17*60</f>
        <v>1954.1176470588246</v>
      </c>
      <c r="O17" s="38">
        <f t="shared" ref="O17:O18" si="18">N17/M17</f>
        <v>150.31674208144804</v>
      </c>
      <c r="P17" s="39">
        <f t="shared" si="9"/>
        <v>0</v>
      </c>
      <c r="Q17" s="40">
        <f t="shared" si="10"/>
        <v>-3.5294117647057988</v>
      </c>
      <c r="R17" s="188">
        <f t="shared" si="11"/>
        <v>0.97705882352941231</v>
      </c>
      <c r="S17" s="432"/>
      <c r="T17" s="41">
        <v>0.32222222222222224</v>
      </c>
      <c r="U17" s="41">
        <v>0.39305555555555555</v>
      </c>
      <c r="V17" s="175">
        <f>(T17-U16)*24*60</f>
        <v>12.000000000000037</v>
      </c>
      <c r="W17" s="43">
        <f t="shared" si="17"/>
        <v>101.99999999999996</v>
      </c>
      <c r="X17" s="44"/>
      <c r="Y17" s="44"/>
      <c r="Z17" s="405"/>
      <c r="AA17" s="405"/>
      <c r="AB17" s="18">
        <f t="shared" si="12"/>
        <v>-45.882352941175441</v>
      </c>
      <c r="AC17" s="183">
        <f t="shared" si="13"/>
        <v>0.97705882352941231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3797</v>
      </c>
      <c r="H18" s="15">
        <f t="shared" si="14"/>
        <v>191330.83000000002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5"/>
        <v>166.66666666666666</v>
      </c>
      <c r="M18" s="37">
        <v>12</v>
      </c>
      <c r="N18" s="36">
        <f t="shared" si="16"/>
        <v>1947.1794871794873</v>
      </c>
      <c r="O18" s="38">
        <f t="shared" si="18"/>
        <v>162.26495726495727</v>
      </c>
      <c r="P18" s="39">
        <f t="shared" si="9"/>
        <v>0</v>
      </c>
      <c r="Q18" s="40">
        <f t="shared" si="10"/>
        <v>-4.4017094017093825</v>
      </c>
      <c r="R18" s="188">
        <f t="shared" si="11"/>
        <v>0.97358974358974371</v>
      </c>
      <c r="S18" s="432"/>
      <c r="T18" s="41">
        <v>0.40138888888888891</v>
      </c>
      <c r="U18" s="41">
        <v>0.4826388888888889</v>
      </c>
      <c r="V18" s="175">
        <f>(T18-U17)*24*60</f>
        <v>12.000000000000037</v>
      </c>
      <c r="W18" s="43">
        <f t="shared" si="17"/>
        <v>116.99999999999999</v>
      </c>
      <c r="X18" s="22"/>
      <c r="Y18" s="22"/>
      <c r="Z18" s="405"/>
      <c r="AA18" s="405"/>
      <c r="AB18" s="18">
        <f t="shared" si="12"/>
        <v>-52.820512820512704</v>
      </c>
      <c r="AC18" s="183">
        <f t="shared" si="13"/>
        <v>0.97358974358974359</v>
      </c>
      <c r="AD18" s="412"/>
    </row>
    <row r="19" spans="1:30" ht="15" customHeight="1">
      <c r="A19" s="440"/>
      <c r="B19" s="56"/>
      <c r="C19" s="10"/>
      <c r="D19" s="11"/>
      <c r="E19" s="86"/>
      <c r="F19" s="56"/>
      <c r="G19" s="96"/>
      <c r="H19" s="15"/>
      <c r="I19" s="175"/>
      <c r="J19" s="16"/>
      <c r="K19" s="14"/>
      <c r="L19" s="17"/>
      <c r="M19" s="37"/>
      <c r="N19" s="36"/>
      <c r="O19" s="38"/>
      <c r="P19" s="39"/>
      <c r="Q19" s="40"/>
      <c r="R19" s="188"/>
      <c r="S19" s="432"/>
      <c r="T19" s="41"/>
      <c r="U19" s="41"/>
      <c r="V19" s="175"/>
      <c r="W19" s="43">
        <f t="shared" si="17"/>
        <v>0</v>
      </c>
      <c r="X19" s="22"/>
      <c r="Y19" s="260"/>
      <c r="Z19" s="416"/>
      <c r="AA19" s="416"/>
      <c r="AB19" s="18">
        <f t="shared" si="12"/>
        <v>0</v>
      </c>
      <c r="AC19" s="183" t="e">
        <f t="shared" si="13"/>
        <v>#DIV/0!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/>
      <c r="W20" s="43">
        <f t="shared" si="17"/>
        <v>0</v>
      </c>
      <c r="X20" s="44"/>
      <c r="Y20" s="44"/>
      <c r="Z20" s="418"/>
      <c r="AA20" s="405"/>
      <c r="AB20" s="18">
        <f t="shared" si="12"/>
        <v>0</v>
      </c>
      <c r="AC20" s="183" t="e">
        <f t="shared" si="13"/>
        <v>#DIV/0!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7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4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7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4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7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4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7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19">AVERAGE(J16:J25)</f>
        <v>12.666666666666666</v>
      </c>
      <c r="K26" s="133">
        <f t="shared" si="19"/>
        <v>2035</v>
      </c>
      <c r="L26" s="136">
        <f t="shared" si="19"/>
        <v>160.81196581196582</v>
      </c>
      <c r="M26" s="133">
        <f t="shared" si="19"/>
        <v>12.666666666666666</v>
      </c>
      <c r="N26" s="133">
        <f t="shared" si="19"/>
        <v>1858.0794369029675</v>
      </c>
      <c r="O26" s="136">
        <f t="shared" si="19"/>
        <v>147.08982738394511</v>
      </c>
      <c r="P26" s="137">
        <f t="shared" ref="P26:P29" si="20">M26-J26</f>
        <v>0</v>
      </c>
      <c r="Q26" s="138">
        <f t="shared" ref="Q26:Q29" si="21">O26-L26</f>
        <v>-13.722138428020713</v>
      </c>
      <c r="R26" s="139">
        <f t="shared" ref="R26:R29" si="22">O26/L26</f>
        <v>0.91466966802665839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-176.92056309703253</v>
      </c>
      <c r="AC26" s="185">
        <f>N26/K26</f>
        <v>0.91306114835526653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v>3026</v>
      </c>
      <c r="H27" s="124">
        <f t="shared" ref="H27:H40" si="23">F27*G27</f>
        <v>144370.46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13</v>
      </c>
      <c r="N27" s="126">
        <f>G27/W27*60</f>
        <v>1134.7500000000011</v>
      </c>
      <c r="O27" s="127">
        <f>N27/M27</f>
        <v>87.288461538461632</v>
      </c>
      <c r="P27" s="128">
        <f t="shared" si="20"/>
        <v>-2</v>
      </c>
      <c r="Q27" s="129">
        <f t="shared" si="21"/>
        <v>-12.711538461538368</v>
      </c>
      <c r="R27" s="187">
        <f>O27/L27</f>
        <v>0.87288461538461637</v>
      </c>
      <c r="S27" s="431">
        <f>R37</f>
        <v>0.86710943849555833</v>
      </c>
      <c r="T27" s="94">
        <v>0.29166666666666702</v>
      </c>
      <c r="U27" s="94">
        <v>0.40277777777777801</v>
      </c>
      <c r="V27" s="125"/>
      <c r="W27" s="130">
        <f t="shared" si="17"/>
        <v>159.99999999999983</v>
      </c>
      <c r="X27" s="125"/>
      <c r="Y27" s="125" t="s">
        <v>47</v>
      </c>
      <c r="Z27" s="434"/>
      <c r="AA27" s="425"/>
      <c r="AB27" s="223">
        <f>N27-K27</f>
        <v>-365.24999999999886</v>
      </c>
      <c r="AC27" s="288">
        <f>N27/K27</f>
        <v>0.75650000000000073</v>
      </c>
      <c r="AD27" s="411">
        <f>AC37</f>
        <v>0.78046558066211358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1151</v>
      </c>
      <c r="H28" s="50">
        <f t="shared" si="23"/>
        <v>63454.630000000005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15</v>
      </c>
      <c r="N28" s="36">
        <f>G28/W28*60</f>
        <v>1046.3636363636388</v>
      </c>
      <c r="O28" s="38">
        <f>N28/M28</f>
        <v>69.757575757575921</v>
      </c>
      <c r="P28" s="39">
        <f t="shared" si="20"/>
        <v>-3</v>
      </c>
      <c r="Q28" s="40">
        <f t="shared" si="21"/>
        <v>-7.1868686868685216</v>
      </c>
      <c r="R28" s="188">
        <f t="shared" si="22"/>
        <v>0.90659665244503007</v>
      </c>
      <c r="S28" s="432"/>
      <c r="T28" s="267">
        <v>0.41388888888888897</v>
      </c>
      <c r="U28" s="41">
        <v>0.4597222222222222</v>
      </c>
      <c r="V28" s="42">
        <f>(T28-U27)*24*60</f>
        <v>15.999999999999783</v>
      </c>
      <c r="W28" s="43">
        <f t="shared" si="17"/>
        <v>65.999999999999844</v>
      </c>
      <c r="X28" s="54"/>
      <c r="Y28" s="54"/>
      <c r="Z28" s="418"/>
      <c r="AA28" s="417"/>
      <c r="AB28" s="39">
        <f>N28-K28</f>
        <v>-338.63636363636124</v>
      </c>
      <c r="AC28" s="188">
        <f>N28/K28</f>
        <v>0.75549721037085826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1493</v>
      </c>
      <c r="H29" s="50">
        <f t="shared" si="23"/>
        <v>85548.9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15</v>
      </c>
      <c r="N29" s="36">
        <f>G29/W29*60</f>
        <v>1194.4000000000019</v>
      </c>
      <c r="O29" s="38">
        <f>N29/M29</f>
        <v>79.626666666666793</v>
      </c>
      <c r="P29" s="39">
        <f t="shared" si="20"/>
        <v>0</v>
      </c>
      <c r="Q29" s="40">
        <f t="shared" si="21"/>
        <v>-16.373333333333207</v>
      </c>
      <c r="R29" s="188">
        <f t="shared" si="22"/>
        <v>0.82944444444444576</v>
      </c>
      <c r="S29" s="432"/>
      <c r="T29" s="41">
        <v>0.55347222222222225</v>
      </c>
      <c r="U29" s="41">
        <v>0.60555555555555551</v>
      </c>
      <c r="V29" s="42">
        <f>(T29-U28)*24*60</f>
        <v>135.00000000000009</v>
      </c>
      <c r="W29" s="43">
        <f t="shared" si="17"/>
        <v>74.999999999999886</v>
      </c>
      <c r="X29" s="22"/>
      <c r="Y29" s="22"/>
      <c r="Z29" s="418"/>
      <c r="AA29" s="417"/>
      <c r="AB29" s="289">
        <f>N29-K29</f>
        <v>-245.59999999999809</v>
      </c>
      <c r="AC29" s="188">
        <f>N29/K29</f>
        <v>0.82944444444444576</v>
      </c>
      <c r="AD29" s="444"/>
    </row>
    <row r="30" spans="1:30" ht="15" customHeight="1">
      <c r="A30" s="429"/>
      <c r="B30" s="56"/>
      <c r="C30" s="235"/>
      <c r="D30" s="11"/>
      <c r="E30" s="29"/>
      <c r="F30" s="56"/>
      <c r="G30" s="53"/>
      <c r="H30" s="50"/>
      <c r="I30" s="42"/>
      <c r="J30" s="16"/>
      <c r="K30" s="14"/>
      <c r="L30" s="233"/>
      <c r="M30" s="21"/>
      <c r="N30" s="36"/>
      <c r="O30" s="38"/>
      <c r="P30" s="39"/>
      <c r="Q30" s="40"/>
      <c r="R30" s="188"/>
      <c r="S30" s="432"/>
      <c r="T30" s="41"/>
      <c r="U30" s="41"/>
      <c r="V30" s="42"/>
      <c r="W30" s="43">
        <f t="shared" si="17"/>
        <v>0</v>
      </c>
      <c r="X30" s="54"/>
      <c r="Y30" s="54"/>
      <c r="Z30" s="418"/>
      <c r="AA30" s="417"/>
      <c r="AB30" s="289">
        <f>N30-K30</f>
        <v>0</v>
      </c>
      <c r="AC30" s="188" t="e">
        <f>N30/K30</f>
        <v>#DIV/0!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7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7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3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7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3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7"/>
        <v>0</v>
      </c>
      <c r="X34" s="54"/>
      <c r="Y34" s="54"/>
      <c r="Z34" s="479"/>
      <c r="AA34" s="389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3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7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3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7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4">AVERAGE(J27:J36)</f>
        <v>16</v>
      </c>
      <c r="K37" s="282">
        <f t="shared" si="24"/>
        <v>1441.6666666666667</v>
      </c>
      <c r="L37" s="283">
        <f t="shared" si="24"/>
        <v>90.981481481481481</v>
      </c>
      <c r="M37" s="282">
        <f t="shared" si="24"/>
        <v>14.333333333333334</v>
      </c>
      <c r="N37" s="282">
        <f t="shared" si="24"/>
        <v>1125.1712121212138</v>
      </c>
      <c r="O37" s="283">
        <f t="shared" si="24"/>
        <v>78.890901320901449</v>
      </c>
      <c r="P37" s="73">
        <f>M37-J37</f>
        <v>-1.6666666666666661</v>
      </c>
      <c r="Q37" s="74">
        <f>N37-K37</f>
        <v>-316.49545454545296</v>
      </c>
      <c r="R37" s="284">
        <f t="shared" ref="R37:R40" si="25">O37/L37</f>
        <v>0.86710943849555833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26">N37-K37</f>
        <v>-316.49545454545296</v>
      </c>
      <c r="AC37" s="184">
        <f t="shared" ref="AC37:AC41" si="27">N37/K37</f>
        <v>0.78046558066211358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1443</v>
      </c>
      <c r="H38" s="124">
        <f t="shared" si="23"/>
        <v>82683.899999999994</v>
      </c>
      <c r="I38" s="125"/>
      <c r="J38" s="331">
        <f>VLOOKUP(D38,產線配置圖!$A$3:$C$39,2,0)</f>
        <v>15</v>
      </c>
      <c r="K38" s="234">
        <v>1500</v>
      </c>
      <c r="L38" s="285">
        <f t="shared" ref="L38:L40" si="28">K38/J38</f>
        <v>100</v>
      </c>
      <c r="M38" s="286">
        <v>14</v>
      </c>
      <c r="N38" s="126">
        <f>G38/W38*60</f>
        <v>911.36842105263167</v>
      </c>
      <c r="O38" s="127">
        <f>N38/M38</f>
        <v>65.097744360902269</v>
      </c>
      <c r="P38" s="128">
        <f t="shared" ref="P38:P40" si="29">M38-J38</f>
        <v>-1</v>
      </c>
      <c r="Q38" s="129">
        <f t="shared" ref="Q38:Q40" si="30">O38-L38</f>
        <v>-34.902255639097731</v>
      </c>
      <c r="R38" s="187">
        <f t="shared" si="25"/>
        <v>0.65097744360902265</v>
      </c>
      <c r="S38" s="460">
        <f>R48</f>
        <v>0.80035607024601796</v>
      </c>
      <c r="T38" s="149">
        <v>0.29166666666666669</v>
      </c>
      <c r="U38" s="149">
        <v>0.3576388888888889</v>
      </c>
      <c r="V38" s="146"/>
      <c r="W38" s="150">
        <f t="shared" si="17"/>
        <v>94.999999999999986</v>
      </c>
      <c r="X38" s="148"/>
      <c r="Y38" s="151"/>
      <c r="Z38" s="484" t="s">
        <v>117</v>
      </c>
      <c r="AA38" s="485"/>
      <c r="AB38" s="287">
        <f t="shared" si="26"/>
        <v>-588.63157894736833</v>
      </c>
      <c r="AC38" s="152">
        <f t="shared" si="27"/>
        <v>0.60757894736842111</v>
      </c>
      <c r="AD38" s="447">
        <f>AC48</f>
        <v>0.74699899889628341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1383</v>
      </c>
      <c r="H39" s="50">
        <f t="shared" si="23"/>
        <v>78042.69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8"/>
        <v>93.733333333333334</v>
      </c>
      <c r="M39" s="65">
        <v>14</v>
      </c>
      <c r="N39" s="66">
        <f>G39/W39*60</f>
        <v>1037.2499999999995</v>
      </c>
      <c r="O39" s="67">
        <f t="shared" ref="O39:O40" si="31">N39/M39</f>
        <v>74.08928571428568</v>
      </c>
      <c r="P39" s="39">
        <f t="shared" si="29"/>
        <v>-1</v>
      </c>
      <c r="Q39" s="40">
        <f t="shared" si="30"/>
        <v>-19.644047619047655</v>
      </c>
      <c r="R39" s="188">
        <f t="shared" si="25"/>
        <v>0.79042623450518146</v>
      </c>
      <c r="S39" s="461"/>
      <c r="T39" s="59">
        <v>0.36458333333333331</v>
      </c>
      <c r="U39" s="59">
        <v>0.4201388888888889</v>
      </c>
      <c r="V39" s="42">
        <f>(T39-U38)*24*60</f>
        <v>9.9999999999999645</v>
      </c>
      <c r="W39" s="69">
        <f t="shared" si="17"/>
        <v>80.000000000000028</v>
      </c>
      <c r="X39" s="22"/>
      <c r="Y39" s="22"/>
      <c r="Z39" s="450" t="s">
        <v>150</v>
      </c>
      <c r="AA39" s="451"/>
      <c r="AB39" s="268">
        <f t="shared" si="26"/>
        <v>-368.75000000000045</v>
      </c>
      <c r="AC39" s="61">
        <f t="shared" si="27"/>
        <v>0.73773115220483609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142</v>
      </c>
      <c r="E40" s="240"/>
      <c r="F40" s="56">
        <f>VLOOKUP(D40,廠價表!$C$1:$E$40,3,0)</f>
        <v>57.3</v>
      </c>
      <c r="G40" s="273">
        <v>1406</v>
      </c>
      <c r="H40" s="50">
        <f t="shared" si="23"/>
        <v>80563.8</v>
      </c>
      <c r="I40" s="64"/>
      <c r="J40" s="37">
        <f>VLOOKUP(D40,產線配置圖!$A$3:$C$39,2,0)</f>
        <v>15</v>
      </c>
      <c r="K40" s="36">
        <f>VLOOKUP(D40,產線配置圖!$A$3:$C$39,3,0)</f>
        <v>1440</v>
      </c>
      <c r="L40" s="38">
        <f t="shared" si="28"/>
        <v>96</v>
      </c>
      <c r="M40" s="65">
        <v>14</v>
      </c>
      <c r="N40" s="66">
        <f>G40/W40*60</f>
        <v>1222.608695652174</v>
      </c>
      <c r="O40" s="67">
        <f t="shared" si="31"/>
        <v>87.329192546583855</v>
      </c>
      <c r="P40" s="39">
        <f t="shared" si="29"/>
        <v>-1</v>
      </c>
      <c r="Q40" s="40">
        <f t="shared" si="30"/>
        <v>-8.6708074534161454</v>
      </c>
      <c r="R40" s="188">
        <f t="shared" si="25"/>
        <v>0.90967908902691519</v>
      </c>
      <c r="S40" s="420"/>
      <c r="T40" s="59">
        <v>0.43125000000000002</v>
      </c>
      <c r="U40" s="59">
        <v>0.47916666666666669</v>
      </c>
      <c r="V40" s="42">
        <f>(T40-U39)*24*60</f>
        <v>16.000000000000021</v>
      </c>
      <c r="W40" s="69">
        <f t="shared" si="17"/>
        <v>69</v>
      </c>
      <c r="X40" s="70"/>
      <c r="Y40" s="256"/>
      <c r="Z40" s="480"/>
      <c r="AA40" s="483"/>
      <c r="AB40" s="268">
        <f t="shared" si="26"/>
        <v>-217.39130434782601</v>
      </c>
      <c r="AC40" s="61">
        <f t="shared" si="27"/>
        <v>0.84903381642512088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142</v>
      </c>
      <c r="E41" s="240"/>
      <c r="F41" s="56">
        <f>VLOOKUP(D41,廠價表!$C$1:$E$40,3,0)</f>
        <v>57.3</v>
      </c>
      <c r="G41" s="273">
        <v>844</v>
      </c>
      <c r="H41" s="50">
        <f>F41*G41</f>
        <v>48361.2</v>
      </c>
      <c r="I41" s="64"/>
      <c r="J41" s="37">
        <f>VLOOKUP(D41,產線配置圖!$A$3:$C$39,2,0)</f>
        <v>15</v>
      </c>
      <c r="K41" s="36">
        <f>VLOOKUP(D41,產線配置圖!$A$3:$C$39,3,0)</f>
        <v>1440</v>
      </c>
      <c r="L41" s="38">
        <f>K41/J41</f>
        <v>96</v>
      </c>
      <c r="M41" s="65">
        <v>14</v>
      </c>
      <c r="N41" s="66">
        <f>G41/W41*60</f>
        <v>1150.909090909091</v>
      </c>
      <c r="O41" s="67">
        <f>N41/M41</f>
        <v>82.20779220779221</v>
      </c>
      <c r="P41" s="39">
        <f>M41-J41</f>
        <v>-1</v>
      </c>
      <c r="Q41" s="40">
        <f>O41-L41</f>
        <v>-13.79220779220779</v>
      </c>
      <c r="R41" s="188">
        <f>O41/L41</f>
        <v>0.85633116883116889</v>
      </c>
      <c r="S41" s="420"/>
      <c r="T41" s="59">
        <v>0.54861111111111116</v>
      </c>
      <c r="U41" s="75">
        <v>0.57916666666666672</v>
      </c>
      <c r="V41" s="42">
        <f>(T41-U40)*24*60</f>
        <v>100.00000000000004</v>
      </c>
      <c r="W41" s="69">
        <f t="shared" si="17"/>
        <v>44</v>
      </c>
      <c r="X41" s="70"/>
      <c r="Y41" s="256"/>
      <c r="Z41" s="482"/>
      <c r="AA41" s="417"/>
      <c r="AB41" s="268">
        <f t="shared" si="26"/>
        <v>-289.09090909090901</v>
      </c>
      <c r="AC41" s="61">
        <f t="shared" si="27"/>
        <v>0.79924242424242431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17"/>
        <v>0</v>
      </c>
      <c r="X42" s="70"/>
      <c r="Y42" s="60"/>
      <c r="Z42" s="482"/>
      <c r="AA42" s="417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334"/>
      <c r="Z43" s="482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32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3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32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3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32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3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32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3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4">AVERAGE(J38:J47)</f>
        <v>15</v>
      </c>
      <c r="K48" s="133">
        <f t="shared" si="34"/>
        <v>1446.5</v>
      </c>
      <c r="L48" s="136">
        <f t="shared" si="34"/>
        <v>96.433333333333337</v>
      </c>
      <c r="M48" s="133">
        <f t="shared" si="34"/>
        <v>14</v>
      </c>
      <c r="N48" s="133">
        <f t="shared" si="34"/>
        <v>1080.5340519034739</v>
      </c>
      <c r="O48" s="136">
        <f t="shared" si="34"/>
        <v>77.181003707391</v>
      </c>
      <c r="P48" s="155">
        <f>M48-J48</f>
        <v>-1</v>
      </c>
      <c r="Q48" s="156">
        <f>N48-K48</f>
        <v>-365.96594809652606</v>
      </c>
      <c r="R48" s="157">
        <f>O48/L48</f>
        <v>0.80035607024601796</v>
      </c>
      <c r="S48" s="423"/>
      <c r="T48" s="158"/>
      <c r="U48" s="158"/>
      <c r="V48" s="194"/>
      <c r="W48" s="159">
        <f t="shared" si="33"/>
        <v>0</v>
      </c>
      <c r="X48" s="160"/>
      <c r="Y48" s="160"/>
      <c r="Z48" s="424"/>
      <c r="AA48" s="424"/>
      <c r="AB48" s="161">
        <f>N48-K48</f>
        <v>-365.96594809652606</v>
      </c>
      <c r="AC48" s="189">
        <f>N48/K48</f>
        <v>0.74699899889628341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1251</v>
      </c>
      <c r="H49" s="124">
        <f t="shared" ref="H49:H57" si="35">F49*G49</f>
        <v>71144.37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1294.1379310344837</v>
      </c>
      <c r="O49" s="127">
        <f>N49/M49</f>
        <v>68.112522686025457</v>
      </c>
      <c r="P49" s="162">
        <f>M49-J49</f>
        <v>0</v>
      </c>
      <c r="Q49" s="111">
        <f>O49-L49</f>
        <v>-14.255898366606118</v>
      </c>
      <c r="R49" s="182">
        <f>O49/L49</f>
        <v>0.82692519554919086</v>
      </c>
      <c r="S49" s="419">
        <f>R58</f>
        <v>0.81233127515078052</v>
      </c>
      <c r="T49" s="149">
        <v>0.29166666666666669</v>
      </c>
      <c r="U49" s="149">
        <v>0.33194444444444443</v>
      </c>
      <c r="V49" s="186"/>
      <c r="W49" s="150">
        <f t="shared" si="17"/>
        <v>57.999999999999957</v>
      </c>
      <c r="X49" s="186"/>
      <c r="Y49" s="186"/>
      <c r="Z49" s="425"/>
      <c r="AA49" s="425"/>
      <c r="AB49" s="110">
        <f>N49-K49</f>
        <v>-270.8620689655163</v>
      </c>
      <c r="AC49" s="182">
        <f>N49/K49</f>
        <v>0.82692519554919086</v>
      </c>
      <c r="AD49" s="411">
        <f>AC58</f>
        <v>0.8013299327047253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2258</v>
      </c>
      <c r="H50" s="76">
        <f t="shared" si="35"/>
        <v>112832.26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1302.6923076923085</v>
      </c>
      <c r="O50" s="78">
        <f>N50/M50</f>
        <v>72.371794871794918</v>
      </c>
      <c r="P50" s="18">
        <f>M50-J50</f>
        <v>0</v>
      </c>
      <c r="Q50" s="19">
        <f>O50-L50</f>
        <v>-16.517094017093967</v>
      </c>
      <c r="R50" s="183">
        <f>O50/L50</f>
        <v>0.81418269230769291</v>
      </c>
      <c r="S50" s="420"/>
      <c r="T50" s="79">
        <v>0.33888888888888891</v>
      </c>
      <c r="U50" s="79">
        <v>0.41111111111111109</v>
      </c>
      <c r="V50" s="175">
        <f t="shared" ref="V50:V52" si="36">(T50-U49)*24*60</f>
        <v>10.000000000000044</v>
      </c>
      <c r="W50" s="80">
        <f t="shared" si="17"/>
        <v>103.99999999999994</v>
      </c>
      <c r="X50" s="22"/>
      <c r="Y50" s="22"/>
      <c r="Z50" s="417"/>
      <c r="AA50" s="418"/>
      <c r="AB50" s="18">
        <f>N50-K50</f>
        <v>-297.30769230769147</v>
      </c>
      <c r="AC50" s="183">
        <f>N50/K50</f>
        <v>0.8141826923076928</v>
      </c>
      <c r="AD50" s="412"/>
    </row>
    <row r="51" spans="1:30" ht="15" customHeight="1">
      <c r="A51" s="455"/>
      <c r="B51" s="56" t="str">
        <f>VLOOKUP(D51,廠價表!$C$1:$E$40,2,0)</f>
        <v>熱乾麵</v>
      </c>
      <c r="C51" s="10"/>
      <c r="D51" s="11" t="s">
        <v>46</v>
      </c>
      <c r="E51" s="86"/>
      <c r="F51" s="56">
        <f>VLOOKUP(D51,廠價表!$C$1:$E$40,3,0)</f>
        <v>49.91</v>
      </c>
      <c r="G51" s="66">
        <v>2092</v>
      </c>
      <c r="H51" s="76">
        <f t="shared" si="35"/>
        <v>104411.71999999999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2" si="37">K51/J51</f>
        <v>92.058823529411768</v>
      </c>
      <c r="M51" s="172">
        <v>17</v>
      </c>
      <c r="N51" s="77">
        <f t="shared" ref="N51:N52" si="38">G51/W51*60</f>
        <v>1230.5882352941182</v>
      </c>
      <c r="O51" s="78">
        <f t="shared" ref="O51:O52" si="39">N51/M51</f>
        <v>72.387543252595194</v>
      </c>
      <c r="P51" s="18">
        <f t="shared" ref="P51:P52" si="40">M51-J51</f>
        <v>0</v>
      </c>
      <c r="Q51" s="19">
        <f t="shared" ref="Q51:Q52" si="41">O51-L51</f>
        <v>-19.671280276816574</v>
      </c>
      <c r="R51" s="183">
        <f t="shared" ref="R51:R52" si="42">O51/L51</f>
        <v>0.78631836121029919</v>
      </c>
      <c r="S51" s="420"/>
      <c r="T51" s="79">
        <v>0.41666666666666669</v>
      </c>
      <c r="U51" s="44">
        <v>0.48749999999999999</v>
      </c>
      <c r="V51" s="175">
        <f t="shared" si="36"/>
        <v>8.0000000000000515</v>
      </c>
      <c r="W51" s="80">
        <f t="shared" si="17"/>
        <v>101.99999999999996</v>
      </c>
      <c r="X51" s="22"/>
      <c r="Y51" s="22"/>
      <c r="Z51" s="405" t="s">
        <v>151</v>
      </c>
      <c r="AA51" s="405"/>
      <c r="AB51" s="18">
        <f>N51-K51</f>
        <v>-334.41176470588175</v>
      </c>
      <c r="AC51" s="183">
        <f>N51/K51</f>
        <v>0.78631836121029919</v>
      </c>
      <c r="AD51" s="412"/>
    </row>
    <row r="52" spans="1:30" ht="15" customHeight="1">
      <c r="A52" s="455"/>
      <c r="B52" s="56" t="str">
        <f>VLOOKUP(D52,廠價表!$C$1:$E$40,2,0)</f>
        <v>義大利麵</v>
      </c>
      <c r="C52" s="23"/>
      <c r="D52" s="11" t="s">
        <v>59</v>
      </c>
      <c r="E52" s="12"/>
      <c r="F52" s="56">
        <f>VLOOKUP(D52,廠價表!$C$1:$E$40,3,0)</f>
        <v>49.97</v>
      </c>
      <c r="G52" s="66">
        <v>1079</v>
      </c>
      <c r="H52" s="76">
        <f t="shared" si="35"/>
        <v>53917.63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 t="shared" si="37"/>
        <v>88.888888888888886</v>
      </c>
      <c r="M52" s="172">
        <v>17</v>
      </c>
      <c r="N52" s="77">
        <f t="shared" si="38"/>
        <v>1245.0000000000007</v>
      </c>
      <c r="O52" s="78">
        <f t="shared" si="39"/>
        <v>73.235294117647101</v>
      </c>
      <c r="P52" s="18">
        <f t="shared" si="40"/>
        <v>-1</v>
      </c>
      <c r="Q52" s="19">
        <f t="shared" si="41"/>
        <v>-15.653594771241785</v>
      </c>
      <c r="R52" s="183">
        <f t="shared" si="42"/>
        <v>0.82389705882352993</v>
      </c>
      <c r="S52" s="420"/>
      <c r="T52" s="79">
        <v>0.5625</v>
      </c>
      <c r="U52" s="79">
        <v>0.59861111111111109</v>
      </c>
      <c r="V52" s="175">
        <f t="shared" si="36"/>
        <v>108.00000000000001</v>
      </c>
      <c r="W52" s="80">
        <f t="shared" si="17"/>
        <v>51.999999999999972</v>
      </c>
      <c r="X52" s="22"/>
      <c r="Y52" s="22"/>
      <c r="Z52" s="405"/>
      <c r="AA52" s="405"/>
      <c r="AB52" s="18">
        <f>N52-K52</f>
        <v>-354.99999999999932</v>
      </c>
      <c r="AC52" s="183">
        <f>N52/K52</f>
        <v>0.7781250000000004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79"/>
      <c r="U53" s="79"/>
      <c r="V53" s="175"/>
      <c r="W53" s="80">
        <f t="shared" si="17"/>
        <v>0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56"/>
      <c r="C54" s="181"/>
      <c r="D54" s="11"/>
      <c r="E54" s="12"/>
      <c r="F54" s="56"/>
      <c r="G54" s="66"/>
      <c r="H54" s="76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79"/>
      <c r="U54" s="79"/>
      <c r="V54" s="175"/>
      <c r="W54" s="80">
        <f t="shared" si="17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5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7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5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7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5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7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3">AVERAGE(J49:J57)</f>
        <v>18</v>
      </c>
      <c r="K58" s="117">
        <f t="shared" si="43"/>
        <v>1582.5</v>
      </c>
      <c r="L58" s="114">
        <f t="shared" si="43"/>
        <v>88.051255589955275</v>
      </c>
      <c r="M58" s="117">
        <f t="shared" si="43"/>
        <v>17.75</v>
      </c>
      <c r="N58" s="117">
        <f t="shared" si="43"/>
        <v>1268.1046185052278</v>
      </c>
      <c r="O58" s="114">
        <f t="shared" si="43"/>
        <v>71.52678873201566</v>
      </c>
      <c r="P58" s="118">
        <f>M58-J58</f>
        <v>-0.25</v>
      </c>
      <c r="Q58" s="119">
        <f>N58-K58</f>
        <v>-314.39538149477221</v>
      </c>
      <c r="R58" s="120">
        <f t="shared" ref="R58:R60" si="44">O58/L58</f>
        <v>0.81233127515078052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45">N58-K58</f>
        <v>-314.39538149477221</v>
      </c>
      <c r="AC58" s="185">
        <f t="shared" ref="AC58:AC61" si="46">N58/K58</f>
        <v>0.8013299327047253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3104</v>
      </c>
      <c r="H59" s="105">
        <f t="shared" ref="H59:H68" si="47">F59*G59</f>
        <v>83776.959999999992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48">G59/W59*60</f>
        <v>1432.6153846153852</v>
      </c>
      <c r="O59" s="108">
        <f t="shared" ref="O59:O61" si="49">N59/M59</f>
        <v>110.20118343195271</v>
      </c>
      <c r="P59" s="110">
        <f t="shared" ref="P59:P61" si="50">M59-J59</f>
        <v>0</v>
      </c>
      <c r="Q59" s="111">
        <f t="shared" ref="Q59:Q61" si="51">O59-L59</f>
        <v>-10.183431952662673</v>
      </c>
      <c r="R59" s="182">
        <f t="shared" si="44"/>
        <v>0.91540919144753052</v>
      </c>
      <c r="S59" s="419">
        <f>R69</f>
        <v>0.83211163162992574</v>
      </c>
      <c r="T59" s="167">
        <v>0.29166666666666669</v>
      </c>
      <c r="U59" s="167">
        <v>0.38194444444444442</v>
      </c>
      <c r="V59" s="186"/>
      <c r="W59" s="106">
        <f t="shared" si="17"/>
        <v>129.99999999999994</v>
      </c>
      <c r="X59" s="186"/>
      <c r="Y59" s="186"/>
      <c r="Z59" s="469"/>
      <c r="AA59" s="434"/>
      <c r="AB59" s="223">
        <f t="shared" si="45"/>
        <v>-132.38461538461479</v>
      </c>
      <c r="AC59" s="224">
        <f t="shared" si="46"/>
        <v>0.91540919144753052</v>
      </c>
      <c r="AD59" s="411">
        <f>AC69</f>
        <v>0.83424746649704384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650</v>
      </c>
      <c r="H60" s="15">
        <f t="shared" si="47"/>
        <v>18505.5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8"/>
        <v>974.99999999999955</v>
      </c>
      <c r="O60" s="17">
        <f t="shared" si="49"/>
        <v>81.249999999999957</v>
      </c>
      <c r="P60" s="18">
        <f t="shared" si="50"/>
        <v>0</v>
      </c>
      <c r="Q60" s="19">
        <f t="shared" si="51"/>
        <v>-49.1666666666667</v>
      </c>
      <c r="R60" s="183">
        <f t="shared" si="44"/>
        <v>0.62300319488817868</v>
      </c>
      <c r="S60" s="474"/>
      <c r="T60" s="20">
        <v>0.3923611111111111</v>
      </c>
      <c r="U60" s="20">
        <v>0.4201388888888889</v>
      </c>
      <c r="V60" s="175">
        <f t="shared" ref="V60:V61" si="52">(T60-U59)*24*60</f>
        <v>15.000000000000027</v>
      </c>
      <c r="W60" s="90">
        <f t="shared" si="17"/>
        <v>40.000000000000014</v>
      </c>
      <c r="X60" s="191"/>
      <c r="Y60" s="191"/>
      <c r="Z60" s="405" t="s">
        <v>148</v>
      </c>
      <c r="AA60" s="405"/>
      <c r="AB60" s="225">
        <f t="shared" si="45"/>
        <v>-590.00000000000045</v>
      </c>
      <c r="AC60" s="226">
        <f t="shared" si="46"/>
        <v>0.62300319488817857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2138</v>
      </c>
      <c r="H61" s="15">
        <f t="shared" si="47"/>
        <v>60419.880000000005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8"/>
        <v>1509.1764705882363</v>
      </c>
      <c r="O61" s="17">
        <f t="shared" si="49"/>
        <v>125.76470588235303</v>
      </c>
      <c r="P61" s="18">
        <f t="shared" si="50"/>
        <v>0</v>
      </c>
      <c r="Q61" s="19">
        <f t="shared" si="51"/>
        <v>-4.6519607843136299</v>
      </c>
      <c r="R61" s="183">
        <f>O61/L61</f>
        <v>0.96433001315542266</v>
      </c>
      <c r="S61" s="420"/>
      <c r="T61" s="20">
        <v>0.43055555555555558</v>
      </c>
      <c r="U61" s="20">
        <v>0.48958333333333331</v>
      </c>
      <c r="V61" s="175">
        <f t="shared" si="52"/>
        <v>15.000000000000027</v>
      </c>
      <c r="W61" s="88">
        <f t="shared" si="17"/>
        <v>84.999999999999943</v>
      </c>
      <c r="X61" s="22"/>
      <c r="Y61" s="22"/>
      <c r="Z61" s="405"/>
      <c r="AA61" s="405"/>
      <c r="AB61" s="51">
        <f t="shared" si="45"/>
        <v>-55.82352941176373</v>
      </c>
      <c r="AC61" s="52">
        <f t="shared" si="46"/>
        <v>0.96433001315542255</v>
      </c>
      <c r="AD61" s="412"/>
    </row>
    <row r="62" spans="1:30" ht="15" customHeight="1">
      <c r="A62" s="472"/>
      <c r="B62" s="56"/>
      <c r="C62" s="10"/>
      <c r="D62" s="239"/>
      <c r="E62" s="86"/>
      <c r="F62" s="56"/>
      <c r="G62" s="175"/>
      <c r="H62" s="15"/>
      <c r="I62" s="81"/>
      <c r="J62" s="16"/>
      <c r="K62" s="14"/>
      <c r="L62" s="17"/>
      <c r="M62" s="178"/>
      <c r="N62" s="14"/>
      <c r="O62" s="17"/>
      <c r="P62" s="18"/>
      <c r="Q62" s="19"/>
      <c r="R62" s="183"/>
      <c r="S62" s="420"/>
      <c r="T62" s="20"/>
      <c r="U62" s="20"/>
      <c r="V62" s="175"/>
      <c r="W62" s="90">
        <f t="shared" si="17"/>
        <v>0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7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7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7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7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7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7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7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3">AVERAGE(J59:J68)</f>
        <v>12.333333333333334</v>
      </c>
      <c r="K69" s="164">
        <f t="shared" si="53"/>
        <v>1565</v>
      </c>
      <c r="L69" s="169">
        <f t="shared" si="53"/>
        <v>127.07264957264958</v>
      </c>
      <c r="M69" s="164">
        <f t="shared" si="53"/>
        <v>12.333333333333334</v>
      </c>
      <c r="N69" s="164">
        <f t="shared" si="53"/>
        <v>1305.5972850678736</v>
      </c>
      <c r="O69" s="169">
        <f t="shared" si="53"/>
        <v>105.73862977143523</v>
      </c>
      <c r="P69" s="170">
        <f>M69-J69</f>
        <v>0</v>
      </c>
      <c r="Q69" s="156">
        <f>N69-K69</f>
        <v>-259.4027149321264</v>
      </c>
      <c r="R69" s="120">
        <f>O69/L69</f>
        <v>0.83211163162992574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-259.4027149321264</v>
      </c>
      <c r="AC69" s="185">
        <f>N69/K69</f>
        <v>0.83424746649704384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7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7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7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7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4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7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4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7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4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7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4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7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4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7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198" priority="1" operator="greaterThan">
      <formula>0</formula>
    </cfRule>
  </conditionalFormatting>
  <conditionalFormatting sqref="Q5:Q79 AB5:AB79">
    <cfRule type="cellIs" dxfId="197" priority="4" operator="lessThan">
      <formula>0</formula>
    </cfRule>
  </conditionalFormatting>
  <conditionalFormatting sqref="R5:R79 AC5:AC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D59:AD62 S69:S76 AD69:AD76">
    <cfRule type="cellIs" dxfId="194" priority="7" operator="lessThan">
      <formula>0.8</formula>
    </cfRule>
  </conditionalFormatting>
  <conditionalFormatting sqref="S19:S25 AD19:AD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D5:AD8 S15:S16 AD15:AD16 AD49 AD79">
    <cfRule type="cellIs" dxfId="191" priority="9" operator="lessThan">
      <formula>0.8</formula>
    </cfRule>
  </conditionalFormatting>
  <conditionalFormatting sqref="AD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U9" sqref="U9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46004</v>
      </c>
      <c r="E3" s="357"/>
      <c r="F3" s="202" t="s">
        <v>84</v>
      </c>
      <c r="G3" s="358">
        <f>'1213'!E1</f>
        <v>43137</v>
      </c>
      <c r="H3" s="358"/>
      <c r="I3" s="202" t="s">
        <v>2</v>
      </c>
      <c r="J3" s="359">
        <f>'1213'!G1</f>
        <v>2090242.0700000003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117.99723457084139</v>
      </c>
      <c r="G6" s="367"/>
      <c r="H6" s="360">
        <f>AVERAGE(D13:H13)</f>
        <v>116.18215157047976</v>
      </c>
      <c r="I6" s="360"/>
      <c r="J6" s="360">
        <f>AVERAGE(I13:J13)</f>
        <v>127.07264957264958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99.685866896509125</v>
      </c>
      <c r="G7" s="362"/>
      <c r="H7" s="363">
        <f>AVERAGE(D14:H14)</f>
        <v>95.782819291915558</v>
      </c>
      <c r="I7" s="363"/>
      <c r="J7" s="363">
        <f>AVERAGE(I14:J14)</f>
        <v>119.20110491947689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0.83620264478003115</v>
      </c>
      <c r="G8" s="364"/>
      <c r="H8" s="364">
        <f>AVERAGE(D15:H15)</f>
        <v>0.81583221997005384</v>
      </c>
      <c r="I8" s="364"/>
      <c r="J8" s="364">
        <f>AVERAGE(I15:J15)</f>
        <v>0.93805476882991723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VALUE('1213'!L15)</f>
        <v>140.21719457013575</v>
      </c>
      <c r="E13" s="213">
        <f>VALUE('1213'!L26)</f>
        <v>162.27564102564102</v>
      </c>
      <c r="F13" s="213">
        <f>VALUE('1213'!L37)</f>
        <v>93.788888888888891</v>
      </c>
      <c r="G13" s="213">
        <f>VALUE('1213'!L48)</f>
        <v>96.577777777777783</v>
      </c>
      <c r="H13" s="213">
        <f>VALUE('1213'!L58)</f>
        <v>88.051255589955275</v>
      </c>
      <c r="I13" s="213">
        <f>VALUE('1213'!L69)</f>
        <v>127.07264957264958</v>
      </c>
      <c r="J13" s="213"/>
    </row>
    <row r="14" spans="2:15" ht="40" customHeight="1">
      <c r="B14" s="376"/>
      <c r="C14" s="212" t="s">
        <v>106</v>
      </c>
      <c r="D14" s="213">
        <f>VALUE('1213'!O15)</f>
        <v>112.45866967161074</v>
      </c>
      <c r="E14" s="213">
        <f>VALUE('1213'!O26)</f>
        <v>146.78432296186358</v>
      </c>
      <c r="F14" s="213">
        <f>VALUE('1213'!O37)</f>
        <v>73.022925704426029</v>
      </c>
      <c r="G14" s="213">
        <f>VALUE('1213'!O48)</f>
        <v>71.292063492063491</v>
      </c>
      <c r="H14" s="213">
        <f>VALUE('1213'!O58)</f>
        <v>75.356114629613955</v>
      </c>
      <c r="I14" s="213">
        <f>VALUE('1213'!O69)</f>
        <v>119.20110491947689</v>
      </c>
      <c r="J14" s="213"/>
    </row>
    <row r="15" spans="2:15" ht="40" customHeight="1">
      <c r="B15" s="377"/>
      <c r="C15" s="210" t="s">
        <v>23</v>
      </c>
      <c r="D15" s="231">
        <f>D14/D13</f>
        <v>0.80203194776771569</v>
      </c>
      <c r="E15" s="231">
        <f t="shared" ref="E15:I15" si="0">E14/E13</f>
        <v>0.90453700896901912</v>
      </c>
      <c r="F15" s="231">
        <f t="shared" si="0"/>
        <v>0.77858823757828954</v>
      </c>
      <c r="G15" s="231">
        <f t="shared" si="0"/>
        <v>0.7381828939583196</v>
      </c>
      <c r="H15" s="231">
        <f t="shared" si="0"/>
        <v>0.85582101157692569</v>
      </c>
      <c r="I15" s="231">
        <f t="shared" si="0"/>
        <v>0.93805476882991723</v>
      </c>
      <c r="J15" s="231"/>
    </row>
    <row r="16" spans="2:15" ht="17.25" customHeight="1">
      <c r="B16" s="378" t="s">
        <v>107</v>
      </c>
      <c r="C16" s="210" t="s">
        <v>29</v>
      </c>
      <c r="D16" s="95">
        <f>'1213'!T5</f>
        <v>0.2902777777777778</v>
      </c>
      <c r="E16" s="95">
        <f>'1213'!T16</f>
        <v>0.2902777777777778</v>
      </c>
      <c r="F16" s="95">
        <f>'1213'!T27</f>
        <v>0.29166666666666702</v>
      </c>
      <c r="G16" s="95">
        <f>'1213'!T38</f>
        <v>0.29166666666666669</v>
      </c>
      <c r="H16" s="95">
        <f>'1213'!T49</f>
        <v>0.2902777777777778</v>
      </c>
      <c r="I16" s="95">
        <f>'1213'!T59</f>
        <v>0.29166666666666669</v>
      </c>
      <c r="J16" s="269"/>
    </row>
    <row r="17" spans="2:10" ht="17.25" customHeight="1">
      <c r="B17" s="379"/>
      <c r="C17" s="210" t="s">
        <v>30</v>
      </c>
      <c r="D17" s="95">
        <v>0.58611111111111103</v>
      </c>
      <c r="E17" s="41">
        <v>0.57916666666666672</v>
      </c>
      <c r="F17" s="41">
        <v>0.65972222222222221</v>
      </c>
      <c r="G17" s="59">
        <v>0.49652777777777779</v>
      </c>
      <c r="H17" s="79">
        <v>0.66666666666666663</v>
      </c>
      <c r="I17" s="20">
        <v>0.50902777777777775</v>
      </c>
      <c r="J17" s="20"/>
    </row>
    <row r="18" spans="2:10" ht="17.25" customHeight="1">
      <c r="B18" s="365" t="s">
        <v>108</v>
      </c>
      <c r="C18" s="366"/>
      <c r="D18" s="214">
        <f>VALUE('1213'!M15)</f>
        <v>14.2</v>
      </c>
      <c r="E18" s="214">
        <f>VALUE('1213'!M26)</f>
        <v>12.5</v>
      </c>
      <c r="F18" s="214">
        <f>VALUE('1213'!M37)</f>
        <v>13.8</v>
      </c>
      <c r="G18" s="214">
        <f>VALUE('1213'!M48)</f>
        <v>14.666666666666666</v>
      </c>
      <c r="H18" s="214">
        <f>VALUE('1213'!M58)</f>
        <v>16</v>
      </c>
      <c r="I18" s="214">
        <f>VALUE('1213'!M69)</f>
        <v>12.333333333333334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L56" activePane="bottomRight" state="frozen"/>
      <selection activeCell="U9" sqref="U9"/>
      <selection pane="topRight" activeCell="U9" sqref="U9"/>
      <selection pane="bottomLeft" activeCell="U9" sqref="U9"/>
      <selection pane="bottomRight" activeCell="V61" activeCellId="13" sqref="V6 V7 V8 V17 V18 V28 V29 V31 V39 V40 V50 V51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43137</v>
      </c>
      <c r="F1" s="175" t="s">
        <v>2</v>
      </c>
      <c r="G1" s="4">
        <f>SUM(H5:H79)</f>
        <v>2090242.0700000003</v>
      </c>
      <c r="H1" s="173" t="s">
        <v>3</v>
      </c>
      <c r="I1" s="5">
        <f>M15+M26+M48+M58+M69+M79+M37</f>
        <v>83.5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152</v>
      </c>
      <c r="B2" s="404"/>
      <c r="C2" s="174"/>
      <c r="D2" s="174" t="s">
        <v>11</v>
      </c>
      <c r="E2" s="7">
        <f>AVERAGE(O15,O26,O37,O48,O58,O69,O79)</f>
        <v>99.685866896509125</v>
      </c>
      <c r="F2" s="8" t="s">
        <v>12</v>
      </c>
      <c r="G2" s="9">
        <f>G1/E1</f>
        <v>48.455897953033364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905</v>
      </c>
      <c r="H5" s="318">
        <f>F5*G5</f>
        <v>51775.05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8" si="0">G5/W5*60</f>
        <v>969.64285714285791</v>
      </c>
      <c r="O5" s="322">
        <f t="shared" ref="O5:O8" si="1">N5/M5</f>
        <v>74.587912087912144</v>
      </c>
      <c r="P5" s="324">
        <f t="shared" ref="P5:P8" si="2">M5-J5</f>
        <v>0</v>
      </c>
      <c r="Q5" s="325">
        <f t="shared" ref="Q5:Q8" si="3">O5-L5</f>
        <v>-87.33516483516479</v>
      </c>
      <c r="R5" s="326">
        <f t="shared" ref="R5:R8" si="4">O5/L5</f>
        <v>0.46063793688496807</v>
      </c>
      <c r="S5" s="419">
        <f>R15</f>
        <v>0.80203194776771569</v>
      </c>
      <c r="T5" s="327">
        <v>0.2902777777777778</v>
      </c>
      <c r="U5" s="328">
        <v>0.32916666666666666</v>
      </c>
      <c r="V5" s="192"/>
      <c r="W5" s="106">
        <f t="shared" ref="W5:W14" si="5">(U5-T5)*24*60</f>
        <v>55.999999999999957</v>
      </c>
      <c r="X5" s="186"/>
      <c r="Y5" s="186"/>
      <c r="Z5" s="425" t="s">
        <v>55</v>
      </c>
      <c r="AA5" s="425"/>
      <c r="AB5" s="110">
        <f>N5-K5</f>
        <v>-1135.3571428571422</v>
      </c>
      <c r="AC5" s="182">
        <f>N5/K5</f>
        <v>0.46063793688496812</v>
      </c>
      <c r="AD5" s="411">
        <f>AC15</f>
        <v>0.8071448664407842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932</v>
      </c>
      <c r="H6" s="307">
        <f>F6*G6</f>
        <v>52592.76</v>
      </c>
      <c r="I6" s="308"/>
      <c r="J6" s="309">
        <f>VLOOKUP(D6,產線配置圖!$A$3:$C$39,2,0)</f>
        <v>15</v>
      </c>
      <c r="K6" s="306">
        <v>1800</v>
      </c>
      <c r="L6" s="310">
        <f>K6/J6</f>
        <v>120</v>
      </c>
      <c r="M6" s="311">
        <v>15</v>
      </c>
      <c r="N6" s="306">
        <f t="shared" si="0"/>
        <v>1331.4285714285584</v>
      </c>
      <c r="O6" s="310">
        <f t="shared" si="1"/>
        <v>88.761904761903892</v>
      </c>
      <c r="P6" s="312">
        <f t="shared" si="2"/>
        <v>0</v>
      </c>
      <c r="Q6" s="313">
        <f t="shared" si="3"/>
        <v>-31.238095238096108</v>
      </c>
      <c r="R6" s="314">
        <f t="shared" si="4"/>
        <v>0.73968253968253239</v>
      </c>
      <c r="S6" s="420"/>
      <c r="T6" s="95">
        <v>0.33750000000000002</v>
      </c>
      <c r="U6" s="95">
        <v>0.36666666666666697</v>
      </c>
      <c r="V6" s="175">
        <f>(T6-U5)*24*60</f>
        <v>12.000000000000037</v>
      </c>
      <c r="W6" s="180">
        <f t="shared" si="5"/>
        <v>42.000000000000412</v>
      </c>
      <c r="X6" s="22"/>
      <c r="Y6" s="22"/>
      <c r="Z6" s="475" t="s">
        <v>138</v>
      </c>
      <c r="AA6" s="476"/>
      <c r="AB6" s="18">
        <f>N6-K6</f>
        <v>-468.57142857144163</v>
      </c>
      <c r="AC6" s="183">
        <f>N6/K6</f>
        <v>0.73968253968253239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v>1497</v>
      </c>
      <c r="H7" s="15">
        <f t="shared" ref="H7:H8" si="6">F7*G7</f>
        <v>85643.37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>K7/J7</f>
        <v>111.47058823529412</v>
      </c>
      <c r="M7" s="178">
        <v>17</v>
      </c>
      <c r="N7" s="14">
        <f t="shared" si="0"/>
        <v>1796.4000000000121</v>
      </c>
      <c r="O7" s="17">
        <f t="shared" si="1"/>
        <v>105.67058823529483</v>
      </c>
      <c r="P7" s="18">
        <f t="shared" si="2"/>
        <v>0</v>
      </c>
      <c r="Q7" s="19">
        <f t="shared" si="3"/>
        <v>-5.7999999999992866</v>
      </c>
      <c r="R7" s="183">
        <f t="shared" si="4"/>
        <v>0.94796833773087708</v>
      </c>
      <c r="S7" s="420"/>
      <c r="T7" s="267">
        <v>0.37222222222222201</v>
      </c>
      <c r="U7" s="267">
        <v>0.406944444444444</v>
      </c>
      <c r="V7" s="175">
        <f>(T7-U6)*24*60</f>
        <v>7.9999999999992522</v>
      </c>
      <c r="W7" s="180">
        <f t="shared" si="5"/>
        <v>49.999999999999659</v>
      </c>
      <c r="X7" s="22"/>
      <c r="Y7" s="22"/>
      <c r="Z7" s="405"/>
      <c r="AA7" s="405"/>
      <c r="AB7" s="18">
        <f>N7-K7</f>
        <v>-98.599999999987858</v>
      </c>
      <c r="AC7" s="183">
        <f>N7/K7</f>
        <v>0.94796833773087708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1971</v>
      </c>
      <c r="H8" s="15">
        <f t="shared" si="6"/>
        <v>96854.94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1877.1428571428567</v>
      </c>
      <c r="O8" s="17">
        <f t="shared" si="1"/>
        <v>144.39560439560435</v>
      </c>
      <c r="P8" s="18">
        <f t="shared" si="2"/>
        <v>0</v>
      </c>
      <c r="Q8" s="19">
        <f t="shared" si="3"/>
        <v>-9.450549450549488</v>
      </c>
      <c r="R8" s="183">
        <f t="shared" si="4"/>
        <v>0.93857142857142828</v>
      </c>
      <c r="S8" s="420"/>
      <c r="T8" s="95">
        <v>0.41805555555555601</v>
      </c>
      <c r="U8" s="95">
        <v>0.46180555555555602</v>
      </c>
      <c r="V8" s="175">
        <f t="shared" ref="V8:V9" si="7">(T8-U7)*24*60</f>
        <v>16.0000000000013</v>
      </c>
      <c r="W8" s="180">
        <f t="shared" si="5"/>
        <v>63.000000000000014</v>
      </c>
      <c r="X8" s="22"/>
      <c r="Y8" s="260"/>
      <c r="Z8" s="416"/>
      <c r="AA8" s="416"/>
      <c r="AB8" s="18">
        <f>N8-K8</f>
        <v>-122.85714285714334</v>
      </c>
      <c r="AC8" s="183">
        <f>N8/K8</f>
        <v>0.93857142857142828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2387</v>
      </c>
      <c r="H9" s="15">
        <f>F9*G9</f>
        <v>117297.18000000001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>K9/J9</f>
        <v>153.84615384615384</v>
      </c>
      <c r="M9" s="178">
        <v>13</v>
      </c>
      <c r="N9" s="14">
        <f>G9/W9*60</f>
        <v>1935.4054054054</v>
      </c>
      <c r="O9" s="17">
        <f>N9/M9</f>
        <v>148.87733887733845</v>
      </c>
      <c r="P9" s="18">
        <f>M9-J9</f>
        <v>0</v>
      </c>
      <c r="Q9" s="19">
        <f>O9-L9</f>
        <v>-4.9688149688153942</v>
      </c>
      <c r="R9" s="183">
        <f>O9/L9</f>
        <v>0.96770270270269998</v>
      </c>
      <c r="S9" s="421"/>
      <c r="T9" s="95">
        <v>0.53472222222222199</v>
      </c>
      <c r="U9" s="95">
        <v>0.58611111111111103</v>
      </c>
      <c r="V9" s="175">
        <f t="shared" si="7"/>
        <v>104.99999999999899</v>
      </c>
      <c r="W9" s="180">
        <f t="shared" si="5"/>
        <v>74.000000000000213</v>
      </c>
      <c r="X9" s="22"/>
      <c r="Y9" s="260"/>
      <c r="Z9" s="475"/>
      <c r="AA9" s="476"/>
      <c r="AB9" s="18">
        <f>N9-K9</f>
        <v>-64.594594594600039</v>
      </c>
      <c r="AC9" s="183">
        <f>N9/K9</f>
        <v>0.96770270270269998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8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14.2</v>
      </c>
      <c r="K15" s="117">
        <f t="shared" si="9"/>
        <v>1960</v>
      </c>
      <c r="L15" s="114">
        <f t="shared" si="9"/>
        <v>140.21719457013575</v>
      </c>
      <c r="M15" s="117">
        <f t="shared" si="9"/>
        <v>14.2</v>
      </c>
      <c r="N15" s="117">
        <f t="shared" si="9"/>
        <v>1582.003938223937</v>
      </c>
      <c r="O15" s="114">
        <f t="shared" si="9"/>
        <v>112.45866967161074</v>
      </c>
      <c r="P15" s="118">
        <f t="shared" ref="P15:P18" si="10">M15-J15</f>
        <v>0</v>
      </c>
      <c r="Q15" s="119">
        <f t="shared" ref="Q15:Q18" si="11">O15-L15</f>
        <v>-27.75852489852501</v>
      </c>
      <c r="R15" s="120">
        <f t="shared" ref="R15:R18" si="12">O15/L15</f>
        <v>0.80203194776771569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3">N15-K15</f>
        <v>-377.99606177606302</v>
      </c>
      <c r="AC15" s="185">
        <f t="shared" ref="AC15:AC20" si="14">N15/K15</f>
        <v>0.8071448664407842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1257</v>
      </c>
      <c r="H16" s="124">
        <f t="shared" ref="H16:H25" si="15">F16*G16</f>
        <v>71912.97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8" si="16">K16/J16</f>
        <v>161.92307692307693</v>
      </c>
      <c r="M16" s="264">
        <v>13</v>
      </c>
      <c r="N16" s="126">
        <f t="shared" ref="N16:N18" si="17">G16/W16*60</f>
        <v>1539.1836734693882</v>
      </c>
      <c r="O16" s="127">
        <f>N16/M16</f>
        <v>118.39874411302986</v>
      </c>
      <c r="P16" s="128">
        <f>M16-J16</f>
        <v>0</v>
      </c>
      <c r="Q16" s="129">
        <f t="shared" si="11"/>
        <v>-43.524332810047071</v>
      </c>
      <c r="R16" s="187">
        <f>O16/L16</f>
        <v>0.73120364535362858</v>
      </c>
      <c r="S16" s="431">
        <f>R26</f>
        <v>0.90453700896901912</v>
      </c>
      <c r="T16" s="265">
        <v>0.2902777777777778</v>
      </c>
      <c r="U16" s="265">
        <v>0.32430555555555557</v>
      </c>
      <c r="V16" s="125"/>
      <c r="W16" s="130">
        <f t="shared" ref="W16:W78" si="18">(U16-T16)*24*60</f>
        <v>48.999999999999986</v>
      </c>
      <c r="X16" s="127"/>
      <c r="Y16" s="127"/>
      <c r="Z16" s="425" t="s">
        <v>55</v>
      </c>
      <c r="AA16" s="425"/>
      <c r="AB16" s="110">
        <f t="shared" si="13"/>
        <v>-565.81632653061183</v>
      </c>
      <c r="AC16" s="182">
        <f t="shared" si="14"/>
        <v>0.73120364535362858</v>
      </c>
      <c r="AD16" s="411">
        <f>AC26</f>
        <v>0.9028013966956514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3418</v>
      </c>
      <c r="H17" s="15">
        <f t="shared" si="15"/>
        <v>173190.06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>G17/W17*60</f>
        <v>1991.0679611650478</v>
      </c>
      <c r="O17" s="38">
        <f t="shared" ref="O17:O18" si="19">N17/M17</f>
        <v>153.15907393577291</v>
      </c>
      <c r="P17" s="39">
        <f t="shared" si="10"/>
        <v>0</v>
      </c>
      <c r="Q17" s="40">
        <f t="shared" si="11"/>
        <v>-0.68707991038093041</v>
      </c>
      <c r="R17" s="188">
        <f t="shared" si="12"/>
        <v>0.99553398058252396</v>
      </c>
      <c r="S17" s="432"/>
      <c r="T17" s="41">
        <v>0.33263888888888887</v>
      </c>
      <c r="U17" s="41">
        <v>0.40416666666666667</v>
      </c>
      <c r="V17" s="175">
        <f>(T17-U16)*24*60</f>
        <v>11.999999999999957</v>
      </c>
      <c r="W17" s="43">
        <f t="shared" si="18"/>
        <v>103.00000000000003</v>
      </c>
      <c r="X17" s="44"/>
      <c r="Y17" s="44"/>
      <c r="Z17" s="405"/>
      <c r="AA17" s="405"/>
      <c r="AB17" s="18">
        <f t="shared" si="13"/>
        <v>-8.9320388349522091</v>
      </c>
      <c r="AC17" s="183">
        <f t="shared" si="14"/>
        <v>0.99553398058252385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2217</v>
      </c>
      <c r="H18" s="15">
        <f t="shared" si="15"/>
        <v>111714.63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1822.1917808219164</v>
      </c>
      <c r="O18" s="38">
        <f t="shared" si="19"/>
        <v>151.84931506849304</v>
      </c>
      <c r="P18" s="39">
        <f t="shared" si="10"/>
        <v>0</v>
      </c>
      <c r="Q18" s="40">
        <f t="shared" si="11"/>
        <v>-14.817351598173616</v>
      </c>
      <c r="R18" s="188">
        <f t="shared" si="12"/>
        <v>0.91109589041095829</v>
      </c>
      <c r="S18" s="432"/>
      <c r="T18" s="41">
        <v>0.41180555555555554</v>
      </c>
      <c r="U18" s="41">
        <v>0.46250000000000002</v>
      </c>
      <c r="V18" s="175">
        <f>(T18-U17)*24*60</f>
        <v>10.999999999999961</v>
      </c>
      <c r="W18" s="43">
        <f t="shared" si="18"/>
        <v>73.000000000000057</v>
      </c>
      <c r="X18" s="22"/>
      <c r="Y18" s="22"/>
      <c r="Z18" s="405"/>
      <c r="AA18" s="405"/>
      <c r="AB18" s="18">
        <f t="shared" si="13"/>
        <v>-177.80821917808362</v>
      </c>
      <c r="AC18" s="183">
        <f t="shared" si="14"/>
        <v>0.91109589041095818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2063</v>
      </c>
      <c r="H19" s="15">
        <f>F19*G19</f>
        <v>103954.57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>K19/J19</f>
        <v>166.66666666666666</v>
      </c>
      <c r="M19" s="37">
        <v>12</v>
      </c>
      <c r="N19" s="36">
        <f>G19/W19*60</f>
        <v>1964.7619047619019</v>
      </c>
      <c r="O19" s="38">
        <f>N19/M19</f>
        <v>163.73015873015848</v>
      </c>
      <c r="P19" s="39">
        <f>M19-J19</f>
        <v>0</v>
      </c>
      <c r="Q19" s="40">
        <f>O19-L19</f>
        <v>-2.9365079365081783</v>
      </c>
      <c r="R19" s="188">
        <f>O19/L19</f>
        <v>0.98238095238095091</v>
      </c>
      <c r="S19" s="432"/>
      <c r="T19" s="41">
        <v>0.53541666666666665</v>
      </c>
      <c r="U19" s="41">
        <v>0.57916666666666672</v>
      </c>
      <c r="V19" s="175">
        <f>(T19-U18)*24*60</f>
        <v>104.99999999999994</v>
      </c>
      <c r="W19" s="43">
        <f t="shared" si="18"/>
        <v>63.000000000000099</v>
      </c>
      <c r="X19" s="22"/>
      <c r="Y19" s="260"/>
      <c r="Z19" s="416"/>
      <c r="AA19" s="416"/>
      <c r="AB19" s="18">
        <f t="shared" si="13"/>
        <v>-35.23809523809814</v>
      </c>
      <c r="AC19" s="183">
        <f t="shared" si="14"/>
        <v>0.98238095238095091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/>
      <c r="W20" s="43">
        <f t="shared" si="18"/>
        <v>0</v>
      </c>
      <c r="X20" s="44"/>
      <c r="Y20" s="44"/>
      <c r="Z20" s="418"/>
      <c r="AA20" s="405"/>
      <c r="AB20" s="18">
        <f t="shared" si="13"/>
        <v>0</v>
      </c>
      <c r="AC20" s="183" t="e">
        <f t="shared" si="14"/>
        <v>#DIV/0!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12.5</v>
      </c>
      <c r="K26" s="133">
        <f t="shared" si="20"/>
        <v>2026.25</v>
      </c>
      <c r="L26" s="136">
        <f t="shared" si="20"/>
        <v>162.27564102564102</v>
      </c>
      <c r="M26" s="133">
        <f t="shared" si="20"/>
        <v>12.5</v>
      </c>
      <c r="N26" s="133">
        <f t="shared" si="20"/>
        <v>1829.3013300545636</v>
      </c>
      <c r="O26" s="136">
        <f t="shared" si="20"/>
        <v>146.78432296186358</v>
      </c>
      <c r="P26" s="137">
        <f t="shared" ref="P26:P29" si="21">M26-J26</f>
        <v>0</v>
      </c>
      <c r="Q26" s="138">
        <f t="shared" ref="Q26:Q29" si="22">O26-L26</f>
        <v>-15.491318063777442</v>
      </c>
      <c r="R26" s="139">
        <f t="shared" ref="R26:R29" si="23">O26/L26</f>
        <v>0.90453700896901912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-196.94866994543645</v>
      </c>
      <c r="AC26" s="185">
        <f>N26/K26</f>
        <v>0.9028013966956514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v>2257</v>
      </c>
      <c r="H27" s="124">
        <f t="shared" ref="H27:H40" si="24">F27*G27</f>
        <v>107681.47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13</v>
      </c>
      <c r="N27" s="126">
        <f>G27/W27*60</f>
        <v>873.67741935483775</v>
      </c>
      <c r="O27" s="127">
        <f>N27/M27</f>
        <v>67.205955334987522</v>
      </c>
      <c r="P27" s="128">
        <f t="shared" si="21"/>
        <v>-2</v>
      </c>
      <c r="Q27" s="129">
        <f t="shared" si="22"/>
        <v>-32.794044665012478</v>
      </c>
      <c r="R27" s="187">
        <f>O27/L27</f>
        <v>0.67205955334987522</v>
      </c>
      <c r="S27" s="431">
        <f>R37</f>
        <v>0.77858823757828954</v>
      </c>
      <c r="T27" s="94">
        <v>0.29166666666666702</v>
      </c>
      <c r="U27" s="94">
        <v>0.39930555555555602</v>
      </c>
      <c r="V27" s="125"/>
      <c r="W27" s="130">
        <f t="shared" si="18"/>
        <v>155.00000000000017</v>
      </c>
      <c r="X27" s="125"/>
      <c r="Y27" s="125" t="s">
        <v>47</v>
      </c>
      <c r="Z27" s="434" t="s">
        <v>153</v>
      </c>
      <c r="AA27" s="425"/>
      <c r="AB27" s="223">
        <f>N27-K27</f>
        <v>-626.32258064516225</v>
      </c>
      <c r="AC27" s="288">
        <f>N27/K27</f>
        <v>0.58245161290322511</v>
      </c>
      <c r="AD27" s="411">
        <f>AC37</f>
        <v>0.69434258003783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1519</v>
      </c>
      <c r="H28" s="50">
        <f t="shared" si="24"/>
        <v>83742.47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14</v>
      </c>
      <c r="N28" s="36">
        <f>G28/W28*60</f>
        <v>1047.5862068965439</v>
      </c>
      <c r="O28" s="38">
        <f>N28/M28</f>
        <v>74.827586206895987</v>
      </c>
      <c r="P28" s="39">
        <f t="shared" si="21"/>
        <v>-4</v>
      </c>
      <c r="Q28" s="40">
        <f t="shared" si="22"/>
        <v>-2.1168582375484561</v>
      </c>
      <c r="R28" s="188">
        <f t="shared" si="23"/>
        <v>0.97248848499937024</v>
      </c>
      <c r="S28" s="432"/>
      <c r="T28" s="267">
        <v>0.406944444444444</v>
      </c>
      <c r="U28" s="41">
        <v>0.46736111111111112</v>
      </c>
      <c r="V28" s="42">
        <f>(T28-U27)*24*60</f>
        <v>10.999999999998682</v>
      </c>
      <c r="W28" s="43">
        <f t="shared" si="18"/>
        <v>87.000000000000654</v>
      </c>
      <c r="X28" s="54"/>
      <c r="Y28" s="54"/>
      <c r="Z28" s="418"/>
      <c r="AA28" s="417"/>
      <c r="AB28" s="39">
        <f>N28-K28</f>
        <v>-337.4137931034561</v>
      </c>
      <c r="AC28" s="188">
        <f>N28/K28</f>
        <v>0.75637993277728799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600</v>
      </c>
      <c r="H29" s="50">
        <f t="shared" si="24"/>
        <v>34380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14</v>
      </c>
      <c r="N29" s="36">
        <f>G29/W29*60</f>
        <v>1058.8235294117633</v>
      </c>
      <c r="O29" s="38">
        <f>N29/M29</f>
        <v>75.630252100840238</v>
      </c>
      <c r="P29" s="39">
        <f t="shared" si="21"/>
        <v>-1</v>
      </c>
      <c r="Q29" s="40">
        <f t="shared" si="22"/>
        <v>-20.369747899159762</v>
      </c>
      <c r="R29" s="188">
        <f t="shared" si="23"/>
        <v>0.78781512605041915</v>
      </c>
      <c r="S29" s="432"/>
      <c r="T29" s="41">
        <v>0.47638888888888886</v>
      </c>
      <c r="U29" s="41">
        <v>0.5</v>
      </c>
      <c r="V29" s="42">
        <f>(T29-U28)*24*60</f>
        <v>12.999999999999954</v>
      </c>
      <c r="W29" s="43">
        <f t="shared" si="18"/>
        <v>34.000000000000043</v>
      </c>
      <c r="X29" s="22"/>
      <c r="Y29" s="22"/>
      <c r="Z29" s="418" t="s">
        <v>55</v>
      </c>
      <c r="AA29" s="417"/>
      <c r="AB29" s="289">
        <f>N29-K29</f>
        <v>-381.17647058823673</v>
      </c>
      <c r="AC29" s="188">
        <f>N29/K29</f>
        <v>0.73529411764705788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49</v>
      </c>
      <c r="E30" s="29"/>
      <c r="F30" s="56">
        <f>VLOOKUP(D30,廠價表!$C$1:$E$40,3,0)</f>
        <v>47.71</v>
      </c>
      <c r="G30" s="53">
        <v>863</v>
      </c>
      <c r="H30" s="50">
        <f t="shared" ref="H30:H31" si="25">F30*G30</f>
        <v>41173.730000000003</v>
      </c>
      <c r="I30" s="42"/>
      <c r="J30" s="16">
        <f>VLOOKUP(D30,產線配置圖!$A$3:$C$39,2,0)</f>
        <v>15</v>
      </c>
      <c r="K30" s="14">
        <f>VLOOKUP(D30,產線配置圖!$A$3:$C$39,3,0)</f>
        <v>1500</v>
      </c>
      <c r="L30" s="233">
        <f t="shared" ref="L30:L31" si="26">K30/J30</f>
        <v>100</v>
      </c>
      <c r="M30" s="21">
        <v>14</v>
      </c>
      <c r="N30" s="36">
        <f t="shared" ref="N30:N31" si="27">G30/W30*60</f>
        <v>941.45454545454606</v>
      </c>
      <c r="O30" s="38">
        <f t="shared" ref="O30:O31" si="28">N30/M30</f>
        <v>67.246753246753286</v>
      </c>
      <c r="P30" s="39">
        <f t="shared" ref="P30:P31" si="29">M30-J30</f>
        <v>-1</v>
      </c>
      <c r="Q30" s="40">
        <f t="shared" ref="Q30:Q31" si="30">O30-L30</f>
        <v>-32.753246753246714</v>
      </c>
      <c r="R30" s="188">
        <f t="shared" ref="R30:R31" si="31">O30/L30</f>
        <v>0.67246753246753288</v>
      </c>
      <c r="S30" s="432"/>
      <c r="T30" s="41">
        <v>0.5625</v>
      </c>
      <c r="U30" s="41">
        <v>0.60069444444444442</v>
      </c>
      <c r="V30" s="42">
        <f t="shared" ref="V30:V31" si="32">(T30-U29)*24*60</f>
        <v>90</v>
      </c>
      <c r="W30" s="43">
        <f t="shared" si="18"/>
        <v>54.999999999999964</v>
      </c>
      <c r="X30" s="54"/>
      <c r="Y30" s="54"/>
      <c r="Z30" s="418" t="s">
        <v>55</v>
      </c>
      <c r="AA30" s="417"/>
      <c r="AB30" s="289">
        <f>N30-K30</f>
        <v>-558.54545454545394</v>
      </c>
      <c r="AC30" s="188">
        <f>N30/K30</f>
        <v>0.62763636363636399</v>
      </c>
      <c r="AD30" s="445"/>
    </row>
    <row r="31" spans="1:30" ht="15" customHeight="1">
      <c r="A31" s="429"/>
      <c r="B31" s="56" t="str">
        <f>VLOOKUP(D31,廠價表!$C$1:$E$40,2,0)</f>
        <v>義大利麵</v>
      </c>
      <c r="C31" s="235"/>
      <c r="D31" s="11" t="s">
        <v>142</v>
      </c>
      <c r="E31" s="29"/>
      <c r="F31" s="56">
        <f>VLOOKUP(D31,廠價表!$C$1:$E$40,3,0)</f>
        <v>57.3</v>
      </c>
      <c r="G31" s="53">
        <v>1310</v>
      </c>
      <c r="H31" s="50">
        <f t="shared" si="25"/>
        <v>75063</v>
      </c>
      <c r="I31" s="42"/>
      <c r="J31" s="16">
        <f>VLOOKUP(D31,產線配置圖!$A$3:$C$39,2,0)</f>
        <v>15</v>
      </c>
      <c r="K31" s="14">
        <f>VLOOKUP(D31,產線配置圖!$A$3:$C$39,3,0)</f>
        <v>1440</v>
      </c>
      <c r="L31" s="233">
        <f t="shared" si="26"/>
        <v>96</v>
      </c>
      <c r="M31" s="21">
        <v>14</v>
      </c>
      <c r="N31" s="36">
        <f t="shared" si="27"/>
        <v>1122.8571428571443</v>
      </c>
      <c r="O31" s="38">
        <f t="shared" si="28"/>
        <v>80.204081632653157</v>
      </c>
      <c r="P31" s="39">
        <f t="shared" si="29"/>
        <v>-1</v>
      </c>
      <c r="Q31" s="40">
        <f t="shared" si="30"/>
        <v>-15.795918367346843</v>
      </c>
      <c r="R31" s="188">
        <f t="shared" si="31"/>
        <v>0.83545918367347038</v>
      </c>
      <c r="S31" s="432"/>
      <c r="T31" s="41">
        <v>0.61111111111111116</v>
      </c>
      <c r="U31" s="41">
        <v>0.65972222222222221</v>
      </c>
      <c r="V31" s="42">
        <f t="shared" si="32"/>
        <v>15.000000000000107</v>
      </c>
      <c r="W31" s="43">
        <f t="shared" si="18"/>
        <v>69.999999999999915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4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79"/>
      <c r="AA34" s="389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33">AVERAGE(J27:J36)</f>
        <v>15.6</v>
      </c>
      <c r="K37" s="282">
        <f t="shared" si="33"/>
        <v>1453</v>
      </c>
      <c r="L37" s="283">
        <f t="shared" si="33"/>
        <v>93.788888888888891</v>
      </c>
      <c r="M37" s="282">
        <f t="shared" si="33"/>
        <v>13.8</v>
      </c>
      <c r="N37" s="282">
        <f t="shared" si="33"/>
        <v>1008.8797687949669</v>
      </c>
      <c r="O37" s="283">
        <f t="shared" si="33"/>
        <v>73.022925704426029</v>
      </c>
      <c r="P37" s="73">
        <f>M37-J37</f>
        <v>-1.7999999999999989</v>
      </c>
      <c r="Q37" s="74">
        <f>N37-K37</f>
        <v>-444.12023120503306</v>
      </c>
      <c r="R37" s="284">
        <f t="shared" ref="R37:R40" si="34">O37/L37</f>
        <v>0.77858823757828954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35">N37-K37</f>
        <v>-444.12023120503306</v>
      </c>
      <c r="AC37" s="184">
        <f t="shared" ref="AC37:AC41" si="36">N37/K37</f>
        <v>0.69434258003783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1606</v>
      </c>
      <c r="H38" s="124">
        <f t="shared" si="24"/>
        <v>92023.799999999988</v>
      </c>
      <c r="I38" s="125"/>
      <c r="J38" s="331">
        <f>VLOOKUP(D38,產線配置圖!$A$3:$C$39,2,0)</f>
        <v>15</v>
      </c>
      <c r="K38" s="234">
        <v>1500</v>
      </c>
      <c r="L38" s="285">
        <f t="shared" ref="L38:L40" si="37">K38/J38</f>
        <v>100</v>
      </c>
      <c r="M38" s="286">
        <v>15</v>
      </c>
      <c r="N38" s="126">
        <f>G38/W38*60</f>
        <v>1070.6666666666667</v>
      </c>
      <c r="O38" s="127">
        <f>N38/M38</f>
        <v>71.37777777777778</v>
      </c>
      <c r="P38" s="128">
        <f t="shared" ref="P38:P40" si="38">M38-J38</f>
        <v>0</v>
      </c>
      <c r="Q38" s="129">
        <f t="shared" ref="Q38:Q40" si="39">O38-L38</f>
        <v>-28.62222222222222</v>
      </c>
      <c r="R38" s="187">
        <f t="shared" si="34"/>
        <v>0.71377777777777784</v>
      </c>
      <c r="S38" s="460">
        <f>R48</f>
        <v>0.7381828939583196</v>
      </c>
      <c r="T38" s="149">
        <v>0.29166666666666669</v>
      </c>
      <c r="U38" s="149">
        <v>0.35416666666666669</v>
      </c>
      <c r="V38" s="146"/>
      <c r="W38" s="150">
        <f t="shared" si="18"/>
        <v>90</v>
      </c>
      <c r="X38" s="148"/>
      <c r="Y38" s="151"/>
      <c r="Z38" s="484" t="s">
        <v>117</v>
      </c>
      <c r="AA38" s="485"/>
      <c r="AB38" s="287">
        <f t="shared" si="35"/>
        <v>-429.33333333333326</v>
      </c>
      <c r="AC38" s="152">
        <f t="shared" si="36"/>
        <v>0.71377777777777784</v>
      </c>
      <c r="AD38" s="447">
        <f>AC48</f>
        <v>0.72188986040803804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1613</v>
      </c>
      <c r="H39" s="50">
        <f t="shared" si="24"/>
        <v>91021.59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7"/>
        <v>93.733333333333334</v>
      </c>
      <c r="M39" s="65">
        <v>15</v>
      </c>
      <c r="N39" s="66">
        <f>G39/W39*60</f>
        <v>1075.3333333333333</v>
      </c>
      <c r="O39" s="67">
        <f t="shared" ref="O39:O40" si="40">N39/M39</f>
        <v>71.688888888888883</v>
      </c>
      <c r="P39" s="39">
        <f t="shared" si="38"/>
        <v>0</v>
      </c>
      <c r="Q39" s="40">
        <f t="shared" si="39"/>
        <v>-22.044444444444451</v>
      </c>
      <c r="R39" s="188">
        <f t="shared" si="34"/>
        <v>0.76481744902797533</v>
      </c>
      <c r="S39" s="461"/>
      <c r="T39" s="59">
        <v>0.3611111111111111</v>
      </c>
      <c r="U39" s="59">
        <v>0.4236111111111111</v>
      </c>
      <c r="V39" s="42">
        <f>(T39-U38)*24*60</f>
        <v>9.9999999999999645</v>
      </c>
      <c r="W39" s="69">
        <f t="shared" si="18"/>
        <v>90</v>
      </c>
      <c r="X39" s="22"/>
      <c r="Y39" s="22"/>
      <c r="Z39" s="450" t="s">
        <v>150</v>
      </c>
      <c r="AA39" s="451"/>
      <c r="AB39" s="268">
        <f t="shared" si="35"/>
        <v>-330.66666666666674</v>
      </c>
      <c r="AC39" s="61">
        <f t="shared" si="36"/>
        <v>0.76481744902797533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142</v>
      </c>
      <c r="E40" s="240"/>
      <c r="F40" s="56">
        <f>VLOOKUP(D40,廠價表!$C$1:$E$40,3,0)</f>
        <v>57.3</v>
      </c>
      <c r="G40" s="273">
        <v>1487</v>
      </c>
      <c r="H40" s="50">
        <f t="shared" si="24"/>
        <v>85205.099999999991</v>
      </c>
      <c r="I40" s="64"/>
      <c r="J40" s="37">
        <f>VLOOKUP(D40,產線配置圖!$A$3:$C$39,2,0)</f>
        <v>15</v>
      </c>
      <c r="K40" s="36">
        <f>VLOOKUP(D40,產線配置圖!$A$3:$C$39,3,0)</f>
        <v>1440</v>
      </c>
      <c r="L40" s="38">
        <f t="shared" si="37"/>
        <v>96</v>
      </c>
      <c r="M40" s="65">
        <v>14</v>
      </c>
      <c r="N40" s="66">
        <f>G40/W40*60</f>
        <v>991.33333333333337</v>
      </c>
      <c r="O40" s="67">
        <f t="shared" si="40"/>
        <v>70.80952380952381</v>
      </c>
      <c r="P40" s="39">
        <f t="shared" si="38"/>
        <v>-1</v>
      </c>
      <c r="Q40" s="40">
        <f t="shared" si="39"/>
        <v>-25.19047619047619</v>
      </c>
      <c r="R40" s="188">
        <f t="shared" si="34"/>
        <v>0.73759920634920639</v>
      </c>
      <c r="S40" s="420"/>
      <c r="T40" s="59">
        <v>0.43402777777777779</v>
      </c>
      <c r="U40" s="59">
        <v>0.49652777777777779</v>
      </c>
      <c r="V40" s="42">
        <f>(T40-U39)*24*60</f>
        <v>15.000000000000027</v>
      </c>
      <c r="W40" s="69">
        <f t="shared" si="18"/>
        <v>90</v>
      </c>
      <c r="X40" s="70"/>
      <c r="Y40" s="256"/>
      <c r="Z40" s="480" t="s">
        <v>154</v>
      </c>
      <c r="AA40" s="483"/>
      <c r="AB40" s="268">
        <f t="shared" si="35"/>
        <v>-448.66666666666663</v>
      </c>
      <c r="AC40" s="61">
        <f t="shared" si="36"/>
        <v>0.688425925925926</v>
      </c>
      <c r="AD40" s="448"/>
    </row>
    <row r="41" spans="1:30" s="62" customFormat="1" ht="15" customHeight="1">
      <c r="A41" s="458"/>
      <c r="B41" s="56"/>
      <c r="C41" s="272"/>
      <c r="D41" s="276"/>
      <c r="E41" s="240"/>
      <c r="F41" s="56"/>
      <c r="G41" s="273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88"/>
      <c r="S41" s="420"/>
      <c r="T41" s="59"/>
      <c r="U41" s="75"/>
      <c r="V41" s="42"/>
      <c r="W41" s="69">
        <f t="shared" si="18"/>
        <v>0</v>
      </c>
      <c r="X41" s="70"/>
      <c r="Y41" s="256"/>
      <c r="Z41" s="482"/>
      <c r="AA41" s="417"/>
      <c r="AB41" s="268">
        <f t="shared" si="35"/>
        <v>0</v>
      </c>
      <c r="AC41" s="61" t="e">
        <f t="shared" si="36"/>
        <v>#DIV/0!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18"/>
        <v>0</v>
      </c>
      <c r="X42" s="70"/>
      <c r="Y42" s="60"/>
      <c r="Z42" s="482"/>
      <c r="AA42" s="417"/>
      <c r="AB42" s="268"/>
      <c r="AC42" s="61"/>
      <c r="AD42" s="448"/>
    </row>
    <row r="43" spans="1:30" s="62" customFormat="1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334"/>
      <c r="Z43" s="482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41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42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41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42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41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42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41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42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43">AVERAGE(J38:J47)</f>
        <v>15</v>
      </c>
      <c r="K48" s="133">
        <f t="shared" si="43"/>
        <v>1448.6666666666667</v>
      </c>
      <c r="L48" s="136">
        <f t="shared" si="43"/>
        <v>96.577777777777783</v>
      </c>
      <c r="M48" s="133">
        <f t="shared" si="43"/>
        <v>14.666666666666666</v>
      </c>
      <c r="N48" s="133">
        <f t="shared" si="43"/>
        <v>1045.7777777777778</v>
      </c>
      <c r="O48" s="136">
        <f t="shared" si="43"/>
        <v>71.292063492063491</v>
      </c>
      <c r="P48" s="155">
        <f>M48-J48</f>
        <v>-0.33333333333333393</v>
      </c>
      <c r="Q48" s="156">
        <f>N48-K48</f>
        <v>-402.88888888888891</v>
      </c>
      <c r="R48" s="157">
        <f>O48/L48</f>
        <v>0.7381828939583196</v>
      </c>
      <c r="S48" s="423"/>
      <c r="T48" s="158"/>
      <c r="U48" s="158"/>
      <c r="V48" s="194"/>
      <c r="W48" s="159">
        <f t="shared" si="42"/>
        <v>0</v>
      </c>
      <c r="X48" s="160"/>
      <c r="Y48" s="160"/>
      <c r="Z48" s="424"/>
      <c r="AA48" s="424"/>
      <c r="AB48" s="161">
        <f>N48-K48</f>
        <v>-402.88888888888891</v>
      </c>
      <c r="AC48" s="189">
        <f>N48/K48</f>
        <v>0.72188986040803804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1544</v>
      </c>
      <c r="H49" s="124">
        <f t="shared" ref="H49:H57" si="44">F49*G49</f>
        <v>87807.28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16</v>
      </c>
      <c r="N49" s="126">
        <f>G49/W49*60</f>
        <v>1235.2000000000003</v>
      </c>
      <c r="O49" s="127">
        <f>N49/M49</f>
        <v>77.200000000000017</v>
      </c>
      <c r="P49" s="162">
        <f>M49-J49</f>
        <v>-3</v>
      </c>
      <c r="Q49" s="111">
        <f>O49-L49</f>
        <v>-5.1684210526315582</v>
      </c>
      <c r="R49" s="182">
        <f>O49/L49</f>
        <v>0.93725239616613443</v>
      </c>
      <c r="S49" s="419">
        <f>R58</f>
        <v>0.85582101157692569</v>
      </c>
      <c r="T49" s="149">
        <v>0.2902777777777778</v>
      </c>
      <c r="U49" s="149">
        <v>0.34236111111111112</v>
      </c>
      <c r="V49" s="186"/>
      <c r="W49" s="150">
        <f t="shared" si="18"/>
        <v>74.999999999999972</v>
      </c>
      <c r="X49" s="186"/>
      <c r="Y49" s="186"/>
      <c r="Z49" s="425"/>
      <c r="AA49" s="425"/>
      <c r="AB49" s="110">
        <f>N49-K49</f>
        <v>-329.79999999999973</v>
      </c>
      <c r="AC49" s="182">
        <f>N49/K49</f>
        <v>0.78926517571885002</v>
      </c>
      <c r="AD49" s="411">
        <f>AC58</f>
        <v>0.76189436592342707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1696</v>
      </c>
      <c r="H50" s="76">
        <f t="shared" si="44"/>
        <v>84749.119999999995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16</v>
      </c>
      <c r="N50" s="77">
        <f>G50/W50*60</f>
        <v>1321.558441558441</v>
      </c>
      <c r="O50" s="78">
        <f>N50/M50</f>
        <v>82.597402597402564</v>
      </c>
      <c r="P50" s="18">
        <f>M50-J50</f>
        <v>-2</v>
      </c>
      <c r="Q50" s="19">
        <f>O50-L50</f>
        <v>-6.2914862914863221</v>
      </c>
      <c r="R50" s="183">
        <f>O50/L50</f>
        <v>0.92922077922077884</v>
      </c>
      <c r="S50" s="420"/>
      <c r="T50" s="79">
        <v>0.34930555555555554</v>
      </c>
      <c r="U50" s="79">
        <v>0.40277777777777779</v>
      </c>
      <c r="V50" s="175">
        <f t="shared" ref="V50:V52" si="45">(T50-U49)*24*60</f>
        <v>9.9999999999999645</v>
      </c>
      <c r="W50" s="80">
        <f t="shared" si="18"/>
        <v>77.000000000000043</v>
      </c>
      <c r="X50" s="22"/>
      <c r="Y50" s="22"/>
      <c r="Z50" s="417"/>
      <c r="AA50" s="418"/>
      <c r="AB50" s="18">
        <f>N50-K50</f>
        <v>-278.44155844155898</v>
      </c>
      <c r="AC50" s="183">
        <f>N50/K50</f>
        <v>0.82597402597402558</v>
      </c>
      <c r="AD50" s="412"/>
    </row>
    <row r="51" spans="1:30" ht="15" customHeight="1">
      <c r="A51" s="455"/>
      <c r="B51" s="56" t="str">
        <f>VLOOKUP(D51,廠價表!$C$1:$E$40,2,0)</f>
        <v>熱乾麵</v>
      </c>
      <c r="C51" s="10"/>
      <c r="D51" s="11" t="s">
        <v>46</v>
      </c>
      <c r="E51" s="86"/>
      <c r="F51" s="56">
        <f>VLOOKUP(D51,廠價表!$C$1:$E$40,3,0)</f>
        <v>49.91</v>
      </c>
      <c r="G51" s="66">
        <v>2247</v>
      </c>
      <c r="H51" s="76">
        <f t="shared" si="44"/>
        <v>112147.76999999999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2" si="46">K51/J51</f>
        <v>92.058823529411768</v>
      </c>
      <c r="M51" s="172">
        <v>16</v>
      </c>
      <c r="N51" s="77">
        <f t="shared" ref="N51:N52" si="47">G51/W51*60</f>
        <v>1419.1578947368519</v>
      </c>
      <c r="O51" s="78">
        <f t="shared" ref="O51:O52" si="48">N51/M51</f>
        <v>88.697368421053241</v>
      </c>
      <c r="P51" s="18">
        <f t="shared" ref="P51:P52" si="49">M51-J51</f>
        <v>-1</v>
      </c>
      <c r="Q51" s="19">
        <f t="shared" ref="Q51:Q52" si="50">O51-L51</f>
        <v>-3.3614551083585269</v>
      </c>
      <c r="R51" s="183">
        <f t="shared" ref="R51:R52" si="51">O51/L51</f>
        <v>0.96348579115521094</v>
      </c>
      <c r="S51" s="420"/>
      <c r="T51" s="79">
        <v>0.40972222222222221</v>
      </c>
      <c r="U51" s="44">
        <v>0.47569444444444398</v>
      </c>
      <c r="V51" s="175">
        <f t="shared" si="45"/>
        <v>9.9999999999999645</v>
      </c>
      <c r="W51" s="80">
        <f t="shared" si="18"/>
        <v>94.999999999999346</v>
      </c>
      <c r="X51" s="22"/>
      <c r="Y51" s="22"/>
      <c r="Z51" s="405"/>
      <c r="AA51" s="405"/>
      <c r="AB51" s="18">
        <f>N51-K51</f>
        <v>-145.84210526314814</v>
      </c>
      <c r="AC51" s="183">
        <f>N51/K51</f>
        <v>0.90681015638137497</v>
      </c>
      <c r="AD51" s="412"/>
    </row>
    <row r="52" spans="1:30" ht="15" customHeight="1">
      <c r="A52" s="455"/>
      <c r="B52" s="56" t="str">
        <f>VLOOKUP(D52,廠價表!$C$1:$E$40,2,0)</f>
        <v>義大利麵</v>
      </c>
      <c r="C52" s="23"/>
      <c r="D52" s="11" t="s">
        <v>59</v>
      </c>
      <c r="E52" s="12"/>
      <c r="F52" s="56">
        <f>VLOOKUP(D52,廠價表!$C$1:$E$40,3,0)</f>
        <v>49.97</v>
      </c>
      <c r="G52" s="66">
        <v>2710</v>
      </c>
      <c r="H52" s="76">
        <f t="shared" si="44"/>
        <v>135418.69999999998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 t="shared" si="46"/>
        <v>88.888888888888886</v>
      </c>
      <c r="M52" s="172">
        <v>16</v>
      </c>
      <c r="N52" s="77">
        <f t="shared" si="47"/>
        <v>846.87500000000023</v>
      </c>
      <c r="O52" s="78">
        <f t="shared" si="48"/>
        <v>52.929687500000014</v>
      </c>
      <c r="P52" s="18">
        <f t="shared" si="49"/>
        <v>-2</v>
      </c>
      <c r="Q52" s="19">
        <f t="shared" si="50"/>
        <v>-35.959201388888872</v>
      </c>
      <c r="R52" s="183">
        <f t="shared" si="51"/>
        <v>0.59545898437500022</v>
      </c>
      <c r="S52" s="420"/>
      <c r="T52" s="79">
        <v>0.53333333333333333</v>
      </c>
      <c r="U52" s="79">
        <v>0.66666666666666663</v>
      </c>
      <c r="V52" s="175">
        <f t="shared" si="45"/>
        <v>83.000000000000668</v>
      </c>
      <c r="W52" s="80">
        <f t="shared" si="18"/>
        <v>191.99999999999994</v>
      </c>
      <c r="X52" s="22"/>
      <c r="Y52" s="22"/>
      <c r="Z52" s="486" t="s">
        <v>155</v>
      </c>
      <c r="AA52" s="479"/>
      <c r="AB52" s="18">
        <f>N52-K52</f>
        <v>-753.12499999999977</v>
      </c>
      <c r="AC52" s="183">
        <f>N52/K52</f>
        <v>0.52929687500000011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79"/>
      <c r="U53" s="79"/>
      <c r="V53" s="175"/>
      <c r="W53" s="80">
        <f t="shared" si="18"/>
        <v>0</v>
      </c>
      <c r="X53" s="175"/>
      <c r="Y53" s="175"/>
      <c r="Z53" s="487"/>
      <c r="AA53" s="488"/>
      <c r="AB53" s="18"/>
      <c r="AC53" s="183"/>
      <c r="AD53" s="412"/>
    </row>
    <row r="54" spans="1:30" ht="15" customHeight="1">
      <c r="A54" s="455"/>
      <c r="B54" s="56"/>
      <c r="C54" s="181"/>
      <c r="D54" s="11"/>
      <c r="E54" s="12"/>
      <c r="F54" s="56"/>
      <c r="G54" s="66"/>
      <c r="H54" s="76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79"/>
      <c r="U54" s="79"/>
      <c r="V54" s="175"/>
      <c r="W54" s="80">
        <f t="shared" si="18"/>
        <v>0</v>
      </c>
      <c r="X54" s="175"/>
      <c r="Y54" s="175"/>
      <c r="Z54" s="487"/>
      <c r="AA54" s="48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4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53"/>
      <c r="AA55" s="489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4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4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52">AVERAGE(J49:J57)</f>
        <v>18</v>
      </c>
      <c r="K58" s="117">
        <f t="shared" si="52"/>
        <v>1582.5</v>
      </c>
      <c r="L58" s="114">
        <f t="shared" si="52"/>
        <v>88.051255589955275</v>
      </c>
      <c r="M58" s="117">
        <f t="shared" si="52"/>
        <v>16</v>
      </c>
      <c r="N58" s="117">
        <f t="shared" si="52"/>
        <v>1205.6978340738233</v>
      </c>
      <c r="O58" s="114">
        <f t="shared" si="52"/>
        <v>75.356114629613955</v>
      </c>
      <c r="P58" s="118">
        <f>M58-J58</f>
        <v>-2</v>
      </c>
      <c r="Q58" s="119">
        <f>N58-K58</f>
        <v>-376.80216592617671</v>
      </c>
      <c r="R58" s="120">
        <f t="shared" ref="R58:R60" si="53">O58/L58</f>
        <v>0.85582101157692569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54">N58-K58</f>
        <v>-376.80216592617671</v>
      </c>
      <c r="AC58" s="185">
        <f t="shared" ref="AC58:AC61" si="55">N58/K58</f>
        <v>0.76189436592342707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3342</v>
      </c>
      <c r="H59" s="105">
        <f t="shared" ref="H59:H68" si="56">F59*G59</f>
        <v>90200.58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57">G59/W59*60</f>
        <v>1542.4615384615392</v>
      </c>
      <c r="O59" s="108">
        <f t="shared" ref="O59:O61" si="58">N59/M59</f>
        <v>118.65088757396455</v>
      </c>
      <c r="P59" s="110">
        <f t="shared" ref="P59:P61" si="59">M59-J59</f>
        <v>0</v>
      </c>
      <c r="Q59" s="111">
        <f t="shared" ref="Q59:Q61" si="60">O59-L59</f>
        <v>-1.7337278106508336</v>
      </c>
      <c r="R59" s="182">
        <f t="shared" si="53"/>
        <v>0.98559842713197388</v>
      </c>
      <c r="S59" s="419">
        <f>R69</f>
        <v>0.93805476882991723</v>
      </c>
      <c r="T59" s="167">
        <v>0.29166666666666669</v>
      </c>
      <c r="U59" s="167">
        <v>0.38194444444444442</v>
      </c>
      <c r="V59" s="186"/>
      <c r="W59" s="106">
        <f t="shared" si="18"/>
        <v>129.99999999999994</v>
      </c>
      <c r="X59" s="186"/>
      <c r="Y59" s="186"/>
      <c r="Z59" s="469"/>
      <c r="AA59" s="434"/>
      <c r="AB59" s="223">
        <f t="shared" si="54"/>
        <v>-22.538461538460751</v>
      </c>
      <c r="AC59" s="224">
        <f t="shared" si="55"/>
        <v>0.98559842713197399</v>
      </c>
      <c r="AD59" s="411">
        <f>AC69</f>
        <v>0.93927383699150835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1157</v>
      </c>
      <c r="H60" s="15">
        <f t="shared" si="56"/>
        <v>32939.79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7"/>
        <v>1388.4000000000005</v>
      </c>
      <c r="O60" s="17">
        <f t="shared" si="58"/>
        <v>115.70000000000005</v>
      </c>
      <c r="P60" s="18">
        <f t="shared" si="59"/>
        <v>0</v>
      </c>
      <c r="Q60" s="19">
        <f t="shared" si="60"/>
        <v>-14.716666666666612</v>
      </c>
      <c r="R60" s="183">
        <f t="shared" si="53"/>
        <v>0.88715654952076717</v>
      </c>
      <c r="S60" s="474"/>
      <c r="T60" s="20">
        <v>0.3923611111111111</v>
      </c>
      <c r="U60" s="20">
        <v>0.42708333333333331</v>
      </c>
      <c r="V60" s="175">
        <f t="shared" ref="V60:V61" si="61">(T60-U59)*24*60</f>
        <v>15.000000000000027</v>
      </c>
      <c r="W60" s="90">
        <f t="shared" si="18"/>
        <v>49.999999999999986</v>
      </c>
      <c r="X60" s="191"/>
      <c r="Y60" s="191"/>
      <c r="Z60" s="405"/>
      <c r="AA60" s="405"/>
      <c r="AB60" s="225">
        <f t="shared" si="54"/>
        <v>-176.59999999999945</v>
      </c>
      <c r="AC60" s="226">
        <f t="shared" si="55"/>
        <v>0.88715654952076717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2539</v>
      </c>
      <c r="H61" s="15">
        <f t="shared" si="56"/>
        <v>71752.14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57"/>
        <v>1479.0291262135927</v>
      </c>
      <c r="O61" s="17">
        <f t="shared" si="58"/>
        <v>123.25242718446606</v>
      </c>
      <c r="P61" s="18">
        <f t="shared" si="59"/>
        <v>0</v>
      </c>
      <c r="Q61" s="19">
        <f t="shared" si="60"/>
        <v>-7.1642394822005997</v>
      </c>
      <c r="R61" s="183">
        <f>O61/L61</f>
        <v>0.94506653432178456</v>
      </c>
      <c r="S61" s="420"/>
      <c r="T61" s="20">
        <v>0.4375</v>
      </c>
      <c r="U61" s="20">
        <v>0.50902777777777775</v>
      </c>
      <c r="V61" s="175">
        <f t="shared" si="61"/>
        <v>15.000000000000027</v>
      </c>
      <c r="W61" s="88">
        <f t="shared" si="18"/>
        <v>102.99999999999996</v>
      </c>
      <c r="X61" s="22"/>
      <c r="Y61" s="22"/>
      <c r="Z61" s="405"/>
      <c r="AA61" s="405"/>
      <c r="AB61" s="51">
        <f t="shared" si="54"/>
        <v>-85.97087378640731</v>
      </c>
      <c r="AC61" s="52">
        <f t="shared" si="55"/>
        <v>0.94506653432178445</v>
      </c>
      <c r="AD61" s="412"/>
    </row>
    <row r="62" spans="1:30" ht="15" customHeight="1">
      <c r="A62" s="472"/>
      <c r="B62" s="56"/>
      <c r="C62" s="10"/>
      <c r="D62" s="239"/>
      <c r="E62" s="86"/>
      <c r="F62" s="56"/>
      <c r="G62" s="175"/>
      <c r="H62" s="15"/>
      <c r="I62" s="81"/>
      <c r="J62" s="16"/>
      <c r="K62" s="14"/>
      <c r="L62" s="17"/>
      <c r="M62" s="178"/>
      <c r="N62" s="14"/>
      <c r="O62" s="17"/>
      <c r="P62" s="18"/>
      <c r="Q62" s="19"/>
      <c r="R62" s="183"/>
      <c r="S62" s="420"/>
      <c r="T62" s="20"/>
      <c r="U62" s="20"/>
      <c r="V62" s="175"/>
      <c r="W62" s="90">
        <f t="shared" si="18"/>
        <v>0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8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6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62">AVERAGE(J59:J68)</f>
        <v>12.333333333333334</v>
      </c>
      <c r="K69" s="164">
        <f t="shared" si="62"/>
        <v>1565</v>
      </c>
      <c r="L69" s="169">
        <f t="shared" si="62"/>
        <v>127.07264957264958</v>
      </c>
      <c r="M69" s="164">
        <f t="shared" si="62"/>
        <v>12.333333333333334</v>
      </c>
      <c r="N69" s="164">
        <f t="shared" si="62"/>
        <v>1469.9635548917106</v>
      </c>
      <c r="O69" s="169">
        <f t="shared" si="62"/>
        <v>119.20110491947689</v>
      </c>
      <c r="P69" s="170">
        <f>M69-J69</f>
        <v>0</v>
      </c>
      <c r="Q69" s="156">
        <f>N69-K69</f>
        <v>-95.036445108289399</v>
      </c>
      <c r="R69" s="120">
        <f>O69/L69</f>
        <v>0.93805476882991723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-95.036445108289399</v>
      </c>
      <c r="AC69" s="185">
        <f>N69/K69</f>
        <v>0.93927383699150835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8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8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63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63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63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63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63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2">
    <mergeCell ref="A49:A58"/>
    <mergeCell ref="S49:S58"/>
    <mergeCell ref="Z49:AA49"/>
    <mergeCell ref="D58:E58"/>
    <mergeCell ref="Z52:AA55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A70:A79"/>
    <mergeCell ref="S70:S79"/>
    <mergeCell ref="Z70:AA70"/>
    <mergeCell ref="D79:E79"/>
    <mergeCell ref="A59:A69"/>
    <mergeCell ref="S59:S69"/>
    <mergeCell ref="Z59:AA59"/>
    <mergeCell ref="D69:E69"/>
    <mergeCell ref="Z47:AA47"/>
    <mergeCell ref="D48:E48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Z69:AA69"/>
    <mergeCell ref="A27:A37"/>
    <mergeCell ref="S27:S37"/>
    <mergeCell ref="Z27:AA27"/>
    <mergeCell ref="D37:E37"/>
    <mergeCell ref="Z37:AA37"/>
    <mergeCell ref="AD38:AD48"/>
    <mergeCell ref="Z45:AA45"/>
    <mergeCell ref="AD49:AD58"/>
    <mergeCell ref="Z50:AA50"/>
    <mergeCell ref="Z51:AA51"/>
    <mergeCell ref="Z56:AA56"/>
    <mergeCell ref="Z57:AA57"/>
    <mergeCell ref="Z58:AA58"/>
    <mergeCell ref="Z48:AA48"/>
    <mergeCell ref="A38:A48"/>
    <mergeCell ref="S38:S48"/>
    <mergeCell ref="Z38:AA38"/>
    <mergeCell ref="Z39:AA39"/>
    <mergeCell ref="Z40:AA40"/>
    <mergeCell ref="Z41:AA41"/>
    <mergeCell ref="Z42:AA42"/>
    <mergeCell ref="Z43:AA43"/>
    <mergeCell ref="Z44:AA44"/>
    <mergeCell ref="Z46:AA46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188" priority="1" operator="greaterThan">
      <formula>0</formula>
    </cfRule>
  </conditionalFormatting>
  <conditionalFormatting sqref="Q5:Q79 AB5:AB79">
    <cfRule type="cellIs" dxfId="187" priority="4" operator="lessThan">
      <formula>0</formula>
    </cfRule>
  </conditionalFormatting>
  <conditionalFormatting sqref="R5:R79 AC5:AC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D59:AD62 S69:S76 AD69:AD76">
    <cfRule type="cellIs" dxfId="184" priority="7" operator="lessThan">
      <formula>0.8</formula>
    </cfRule>
  </conditionalFormatting>
  <conditionalFormatting sqref="S19:S25 AD19:AD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D5:AD8 S15:S16 AD15:AD16 AD49 AD79">
    <cfRule type="cellIs" dxfId="181" priority="9" operator="lessThan">
      <formula>0.8</formula>
    </cfRule>
  </conditionalFormatting>
  <conditionalFormatting sqref="AD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U9" sqref="U9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46005</v>
      </c>
      <c r="E3" s="357"/>
      <c r="F3" s="202" t="s">
        <v>84</v>
      </c>
      <c r="G3" s="358">
        <f>'1214'!E1</f>
        <v>56736</v>
      </c>
      <c r="H3" s="358"/>
      <c r="I3" s="202" t="s">
        <v>2</v>
      </c>
      <c r="J3" s="359">
        <f>'1214'!G1</f>
        <v>2782363.6799999997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117.46005806056115</v>
      </c>
      <c r="G6" s="367"/>
      <c r="H6" s="360">
        <f>AVERAGE(D13:H13)</f>
        <v>115.87194146754518</v>
      </c>
      <c r="I6" s="360"/>
      <c r="J6" s="360">
        <f>AVERAGE(I13:J13)</f>
        <v>125.40064102564102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104.10773037182753</v>
      </c>
      <c r="G7" s="362"/>
      <c r="H7" s="363">
        <f>AVERAGE(D14:H14)</f>
        <v>101.84026952919699</v>
      </c>
      <c r="I7" s="363"/>
      <c r="J7" s="363">
        <f>AVERAGE(I14:J14)</f>
        <v>115.44503458498031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0.88327477127922405</v>
      </c>
      <c r="G8" s="364"/>
      <c r="H8" s="364">
        <f>AVERAGE(D15:H15)</f>
        <v>0.875807804561196</v>
      </c>
      <c r="I8" s="364"/>
      <c r="J8" s="364">
        <f>AVERAGE(I15:J15)</f>
        <v>0.92060960486936372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VALUE('1214'!L15)</f>
        <v>140.21719457013575</v>
      </c>
      <c r="E13" s="213">
        <f>VALUE('1214'!L26)</f>
        <v>160.58974358974359</v>
      </c>
      <c r="F13" s="213">
        <f>VALUE('1214'!L37)</f>
        <v>93.788888888888891</v>
      </c>
      <c r="G13" s="213">
        <f>VALUE('1214'!L48)</f>
        <v>95.911111111111111</v>
      </c>
      <c r="H13" s="213">
        <f>VALUE('1214'!L58)</f>
        <v>88.852769177846582</v>
      </c>
      <c r="I13" s="213">
        <f>VALUE('1214'!L69)</f>
        <v>125.40064102564102</v>
      </c>
      <c r="J13" s="213"/>
    </row>
    <row r="14" spans="2:15" ht="40" customHeight="1">
      <c r="B14" s="376"/>
      <c r="C14" s="212" t="s">
        <v>106</v>
      </c>
      <c r="D14" s="213">
        <f>VALUE('1214'!O15)</f>
        <v>123.26716409890014</v>
      </c>
      <c r="E14" s="213">
        <f>VALUE('1214'!O26)</f>
        <v>146.08963626034142</v>
      </c>
      <c r="F14" s="213">
        <f>VALUE('1214'!O37)</f>
        <v>81.40782821035171</v>
      </c>
      <c r="G14" s="213">
        <f>VALUE('1214'!O48)</f>
        <v>73.542520201080876</v>
      </c>
      <c r="H14" s="213">
        <f>VALUE('1214'!O58)</f>
        <v>84.894198875310792</v>
      </c>
      <c r="I14" s="213">
        <f>VALUE('1214'!O69)</f>
        <v>115.44503458498031</v>
      </c>
      <c r="J14" s="213"/>
    </row>
    <row r="15" spans="2:15" ht="40" customHeight="1">
      <c r="B15" s="377"/>
      <c r="C15" s="210" t="s">
        <v>23</v>
      </c>
      <c r="D15" s="231">
        <f>D14/D13</f>
        <v>0.87911589214718378</v>
      </c>
      <c r="E15" s="231">
        <f t="shared" ref="E15:I15" si="0">E14/E13</f>
        <v>0.90970713941454817</v>
      </c>
      <c r="F15" s="231">
        <f t="shared" si="0"/>
        <v>0.86799011241934054</v>
      </c>
      <c r="G15" s="231">
        <f t="shared" si="0"/>
        <v>0.76677789829671905</v>
      </c>
      <c r="H15" s="231">
        <f t="shared" si="0"/>
        <v>0.95544798052818858</v>
      </c>
      <c r="I15" s="231">
        <f t="shared" si="0"/>
        <v>0.92060960486936372</v>
      </c>
      <c r="J15" s="231"/>
    </row>
    <row r="16" spans="2:15" ht="17.25" customHeight="1">
      <c r="B16" s="378" t="s">
        <v>107</v>
      </c>
      <c r="C16" s="210" t="s">
        <v>29</v>
      </c>
      <c r="D16" s="95">
        <f>'1214'!T5</f>
        <v>0.2902777777777778</v>
      </c>
      <c r="E16" s="95">
        <f>'1214'!T16</f>
        <v>0.2902777777777778</v>
      </c>
      <c r="F16" s="95">
        <f>'1214'!T27</f>
        <v>0.29166666666666702</v>
      </c>
      <c r="G16" s="95">
        <f>'1214'!T38</f>
        <v>0.29166666666666669</v>
      </c>
      <c r="H16" s="95">
        <f>'1214'!T49</f>
        <v>0.2902777777777778</v>
      </c>
      <c r="I16" s="95">
        <f>'1214'!T59</f>
        <v>0.29166666666666669</v>
      </c>
      <c r="J16" s="269"/>
    </row>
    <row r="17" spans="2:10" ht="17.25" customHeight="1">
      <c r="B17" s="379"/>
      <c r="C17" s="210" t="s">
        <v>30</v>
      </c>
      <c r="D17" s="95">
        <v>0.60624999999999996</v>
      </c>
      <c r="E17" s="41">
        <v>0.64722222222222225</v>
      </c>
      <c r="F17" s="41">
        <v>0.6875</v>
      </c>
      <c r="G17" s="75">
        <v>0.80972222222222223</v>
      </c>
      <c r="H17" s="79">
        <v>0.66388888888888886</v>
      </c>
      <c r="I17" s="20">
        <v>0.59375</v>
      </c>
      <c r="J17" s="20"/>
    </row>
    <row r="18" spans="2:10" ht="17.25" customHeight="1">
      <c r="B18" s="365" t="s">
        <v>108</v>
      </c>
      <c r="C18" s="366"/>
      <c r="D18" s="214">
        <f>VALUE('1214'!M15)</f>
        <v>14.2</v>
      </c>
      <c r="E18" s="214">
        <f>VALUE('1214'!M26)</f>
        <v>12.6</v>
      </c>
      <c r="F18" s="214">
        <f>VALUE('1214'!M37)</f>
        <v>14.2</v>
      </c>
      <c r="G18" s="214">
        <f>VALUE('1214'!M48)</f>
        <v>15.333333333333334</v>
      </c>
      <c r="H18" s="214">
        <f>VALUE('1214'!M58)</f>
        <v>17.600000000000001</v>
      </c>
      <c r="I18" s="214">
        <f>VALUE('1214'!M69)</f>
        <v>12.5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K47" activePane="bottomRight" state="frozen"/>
      <selection activeCell="U9" sqref="U9"/>
      <selection pane="topRight" activeCell="U9" sqref="U9"/>
      <selection pane="bottomLeft" activeCell="U9" sqref="U9"/>
      <selection pane="bottomRight" activeCell="V61" activeCellId="16" sqref="V6 V7 V8 V17 V18 V20 V28 V29 V31 V39 V40 V42 V50 V51 V53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56736</v>
      </c>
      <c r="F1" s="175" t="s">
        <v>2</v>
      </c>
      <c r="G1" s="4">
        <f>SUM(H5:H79)</f>
        <v>2782363.6799999997</v>
      </c>
      <c r="H1" s="173" t="s">
        <v>3</v>
      </c>
      <c r="I1" s="5">
        <f>M15+M26+M48+M58+M69+M79+M37</f>
        <v>86.433333333333337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156</v>
      </c>
      <c r="B2" s="404"/>
      <c r="C2" s="174"/>
      <c r="D2" s="174" t="s">
        <v>11</v>
      </c>
      <c r="E2" s="7">
        <f>AVERAGE(O15,O26,O37,O48,O58,O69,O79)</f>
        <v>104.10773037182753</v>
      </c>
      <c r="F2" s="8" t="s">
        <v>12</v>
      </c>
      <c r="G2" s="9">
        <f>G1/E1</f>
        <v>49.040532994923851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1472</v>
      </c>
      <c r="H5" s="318">
        <f>F5*G5</f>
        <v>84213.119999999995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9" si="0">G5/W5*60</f>
        <v>1698.4615384615395</v>
      </c>
      <c r="O5" s="322">
        <f t="shared" ref="O5:O9" si="1">N5/M5</f>
        <v>130.65088757396458</v>
      </c>
      <c r="P5" s="324">
        <f t="shared" ref="P5:P9" si="2">M5-J5</f>
        <v>0</v>
      </c>
      <c r="Q5" s="325">
        <f t="shared" ref="Q5:Q9" si="3">O5-L5</f>
        <v>-31.272189349112352</v>
      </c>
      <c r="R5" s="326">
        <f t="shared" ref="R5:R9" si="4">O5/L5</f>
        <v>0.8068700895304225</v>
      </c>
      <c r="S5" s="419">
        <f>R15</f>
        <v>0.87911589214718378</v>
      </c>
      <c r="T5" s="327">
        <v>0.2902777777777778</v>
      </c>
      <c r="U5" s="328">
        <v>0.3263888888888889</v>
      </c>
      <c r="V5" s="192"/>
      <c r="W5" s="106">
        <f t="shared" ref="W5:W14" si="5">(U5-T5)*24*60</f>
        <v>51.999999999999972</v>
      </c>
      <c r="X5" s="186"/>
      <c r="Y5" s="186"/>
      <c r="Z5" s="425"/>
      <c r="AA5" s="425"/>
      <c r="AB5" s="110">
        <f>N5-K5</f>
        <v>-406.53846153846052</v>
      </c>
      <c r="AC5" s="182">
        <f>N5/K5</f>
        <v>0.80687008953042261</v>
      </c>
      <c r="AD5" s="411">
        <f>AC15</f>
        <v>0.87896528408934371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978</v>
      </c>
      <c r="H6" s="307">
        <f>F6*G6</f>
        <v>55188.54</v>
      </c>
      <c r="I6" s="308"/>
      <c r="J6" s="309">
        <f>VLOOKUP(D6,產線配置圖!$A$3:$C$39,2,0)</f>
        <v>15</v>
      </c>
      <c r="K6" s="306">
        <v>1800</v>
      </c>
      <c r="L6" s="310">
        <f>K6/J6</f>
        <v>120</v>
      </c>
      <c r="M6" s="311">
        <v>15</v>
      </c>
      <c r="N6" s="306">
        <f t="shared" si="0"/>
        <v>1222.4999999999739</v>
      </c>
      <c r="O6" s="310">
        <f t="shared" si="1"/>
        <v>81.499999999998252</v>
      </c>
      <c r="P6" s="312">
        <f t="shared" si="2"/>
        <v>0</v>
      </c>
      <c r="Q6" s="313">
        <f t="shared" si="3"/>
        <v>-38.500000000001748</v>
      </c>
      <c r="R6" s="314">
        <f t="shared" si="4"/>
        <v>0.67916666666665215</v>
      </c>
      <c r="S6" s="420"/>
      <c r="T6" s="95">
        <v>0.33472222222222198</v>
      </c>
      <c r="U6" s="95">
        <v>0.36805555555555602</v>
      </c>
      <c r="V6" s="175">
        <f>(T6-U5)*24*60</f>
        <v>11.999999999999638</v>
      </c>
      <c r="W6" s="180">
        <f t="shared" si="5"/>
        <v>48.00000000000103</v>
      </c>
      <c r="X6" s="22"/>
      <c r="Y6" s="22"/>
      <c r="Z6" s="475" t="s">
        <v>138</v>
      </c>
      <c r="AA6" s="476"/>
      <c r="AB6" s="18">
        <f>N6-K6</f>
        <v>-577.50000000002615</v>
      </c>
      <c r="AC6" s="183">
        <f>N6/K6</f>
        <v>0.67916666666665215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v>1553</v>
      </c>
      <c r="H7" s="15">
        <f t="shared" ref="H7:H9" si="6">F7*G7</f>
        <v>88847.13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>K7/J7</f>
        <v>111.47058823529412</v>
      </c>
      <c r="M7" s="178">
        <v>17</v>
      </c>
      <c r="N7" s="14">
        <f t="shared" si="0"/>
        <v>1863.6000000000126</v>
      </c>
      <c r="O7" s="17">
        <f t="shared" si="1"/>
        <v>109.62352941176545</v>
      </c>
      <c r="P7" s="18">
        <f t="shared" si="2"/>
        <v>0</v>
      </c>
      <c r="Q7" s="19">
        <f t="shared" si="3"/>
        <v>-1.8470588235286698</v>
      </c>
      <c r="R7" s="183">
        <f t="shared" si="4"/>
        <v>0.98343007915567948</v>
      </c>
      <c r="S7" s="420"/>
      <c r="T7" s="267">
        <v>0.375</v>
      </c>
      <c r="U7" s="267">
        <v>0.40972222222222199</v>
      </c>
      <c r="V7" s="175">
        <f>(T7-U6)*24*60</f>
        <v>9.999999999999325</v>
      </c>
      <c r="W7" s="180">
        <f t="shared" si="5"/>
        <v>49.999999999999659</v>
      </c>
      <c r="X7" s="22"/>
      <c r="Y7" s="22"/>
      <c r="Z7" s="405"/>
      <c r="AA7" s="405"/>
      <c r="AB7" s="18">
        <f>N7-K7</f>
        <v>-31.399999999987358</v>
      </c>
      <c r="AC7" s="183">
        <f>N7/K7</f>
        <v>0.98343007915567948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2917</v>
      </c>
      <c r="H8" s="15">
        <f t="shared" si="6"/>
        <v>143341.38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1944.6666666666667</v>
      </c>
      <c r="O8" s="17">
        <f t="shared" si="1"/>
        <v>149.58974358974359</v>
      </c>
      <c r="P8" s="18">
        <f t="shared" si="2"/>
        <v>0</v>
      </c>
      <c r="Q8" s="19">
        <f t="shared" si="3"/>
        <v>-4.2564102564102484</v>
      </c>
      <c r="R8" s="183">
        <f t="shared" si="4"/>
        <v>0.97233333333333338</v>
      </c>
      <c r="S8" s="420"/>
      <c r="T8" s="95">
        <v>0.41666666666666702</v>
      </c>
      <c r="U8" s="95">
        <v>0.47916666666666702</v>
      </c>
      <c r="V8" s="175">
        <f t="shared" ref="V8:V9" si="7">(T8-U7)*24*60</f>
        <v>10.000000000000844</v>
      </c>
      <c r="W8" s="180">
        <f t="shared" si="5"/>
        <v>90</v>
      </c>
      <c r="X8" s="22"/>
      <c r="Y8" s="260"/>
      <c r="Z8" s="416"/>
      <c r="AA8" s="416"/>
      <c r="AB8" s="18">
        <f>N8-K8</f>
        <v>-55.333333333333258</v>
      </c>
      <c r="AC8" s="183">
        <f>N8/K8</f>
        <v>0.97233333333333338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2984</v>
      </c>
      <c r="H9" s="15">
        <f t="shared" si="6"/>
        <v>146633.76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>K9/J9</f>
        <v>153.84615384615384</v>
      </c>
      <c r="M9" s="178">
        <v>13</v>
      </c>
      <c r="N9" s="14">
        <f t="shared" si="0"/>
        <v>1884.6315789473751</v>
      </c>
      <c r="O9" s="17">
        <f t="shared" si="1"/>
        <v>144.97165991902887</v>
      </c>
      <c r="P9" s="18">
        <f t="shared" si="2"/>
        <v>0</v>
      </c>
      <c r="Q9" s="19">
        <f t="shared" si="3"/>
        <v>-8.8744939271249734</v>
      </c>
      <c r="R9" s="183">
        <f t="shared" si="4"/>
        <v>0.94231578947368766</v>
      </c>
      <c r="S9" s="421"/>
      <c r="T9" s="95">
        <v>0.54027777777777797</v>
      </c>
      <c r="U9" s="95">
        <v>0.60624999999999996</v>
      </c>
      <c r="V9" s="175">
        <f t="shared" si="7"/>
        <v>87.999999999999773</v>
      </c>
      <c r="W9" s="180">
        <f t="shared" si="5"/>
        <v>94.999999999999659</v>
      </c>
      <c r="X9" s="22"/>
      <c r="Y9" s="260"/>
      <c r="Z9" s="475"/>
      <c r="AA9" s="476"/>
      <c r="AB9" s="18">
        <f>N9-K9</f>
        <v>-115.36842105262485</v>
      </c>
      <c r="AC9" s="183">
        <f>N9/K9</f>
        <v>0.94231578947368755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8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14.2</v>
      </c>
      <c r="K15" s="117">
        <f t="shared" si="9"/>
        <v>1960</v>
      </c>
      <c r="L15" s="114">
        <f t="shared" si="9"/>
        <v>140.21719457013575</v>
      </c>
      <c r="M15" s="117">
        <f t="shared" si="9"/>
        <v>14.2</v>
      </c>
      <c r="N15" s="117">
        <f t="shared" si="9"/>
        <v>1722.7719568151138</v>
      </c>
      <c r="O15" s="114">
        <f t="shared" si="9"/>
        <v>123.26716409890014</v>
      </c>
      <c r="P15" s="118">
        <f t="shared" ref="P15:P19" si="10">M15-J15</f>
        <v>0</v>
      </c>
      <c r="Q15" s="119">
        <f t="shared" ref="Q15:Q19" si="11">O15-L15</f>
        <v>-16.950030471235607</v>
      </c>
      <c r="R15" s="120">
        <f t="shared" ref="R15:R19" si="12">O15/L15</f>
        <v>0.87911589214718378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3">N15-K15</f>
        <v>-237.22804318488625</v>
      </c>
      <c r="AC15" s="185">
        <f t="shared" ref="AC15:AC20" si="14">N15/K15</f>
        <v>0.87896528408934371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1307</v>
      </c>
      <c r="H16" s="124">
        <f t="shared" ref="H16:H25" si="15">F16*G16</f>
        <v>74773.47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6">K16/J16</f>
        <v>161.92307692307693</v>
      </c>
      <c r="M16" s="264">
        <v>13</v>
      </c>
      <c r="N16" s="126">
        <f t="shared" ref="N16:N19" si="17">G16/W16*60</f>
        <v>1704.7826086956522</v>
      </c>
      <c r="O16" s="127">
        <f>N16/M16</f>
        <v>131.13712374581939</v>
      </c>
      <c r="P16" s="128">
        <f>M16-J16</f>
        <v>0</v>
      </c>
      <c r="Q16" s="129">
        <f t="shared" si="11"/>
        <v>-30.785953177257539</v>
      </c>
      <c r="R16" s="187">
        <f>O16/L16</f>
        <v>0.80987297325209118</v>
      </c>
      <c r="S16" s="431">
        <f>R26</f>
        <v>0.90970713941454817</v>
      </c>
      <c r="T16" s="265">
        <v>0.2902777777777778</v>
      </c>
      <c r="U16" s="265">
        <v>0.32222222222222224</v>
      </c>
      <c r="V16" s="125"/>
      <c r="W16" s="130">
        <f t="shared" ref="W16:W78" si="18">(U16-T16)*24*60</f>
        <v>46</v>
      </c>
      <c r="X16" s="127"/>
      <c r="Y16" s="127"/>
      <c r="Z16" s="425" t="s">
        <v>55</v>
      </c>
      <c r="AA16" s="425"/>
      <c r="AB16" s="110">
        <f t="shared" si="13"/>
        <v>-400.21739130434776</v>
      </c>
      <c r="AC16" s="182">
        <f t="shared" si="14"/>
        <v>0.80987297325209129</v>
      </c>
      <c r="AD16" s="411">
        <f>AC26</f>
        <v>0.9092222718010935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2327</v>
      </c>
      <c r="H17" s="15">
        <f t="shared" si="15"/>
        <v>117909.09000000001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>G17/W17*60</f>
        <v>1966.478873239437</v>
      </c>
      <c r="O17" s="38">
        <f t="shared" ref="O17:O19" si="19">N17/M17</f>
        <v>151.26760563380284</v>
      </c>
      <c r="P17" s="39">
        <f t="shared" si="10"/>
        <v>0</v>
      </c>
      <c r="Q17" s="40">
        <f t="shared" si="11"/>
        <v>-2.5785482123509951</v>
      </c>
      <c r="R17" s="188">
        <f t="shared" si="12"/>
        <v>0.98323943661971858</v>
      </c>
      <c r="S17" s="432"/>
      <c r="T17" s="41">
        <v>0.34375</v>
      </c>
      <c r="U17" s="41">
        <v>0.39305555555555555</v>
      </c>
      <c r="V17" s="175">
        <f>(T17-U16)*24*60</f>
        <v>30.999999999999972</v>
      </c>
      <c r="W17" s="43">
        <f t="shared" si="18"/>
        <v>70.999999999999986</v>
      </c>
      <c r="X17" s="44"/>
      <c r="Y17" s="44"/>
      <c r="Z17" s="405"/>
      <c r="AA17" s="405"/>
      <c r="AB17" s="18">
        <f t="shared" si="13"/>
        <v>-33.521126760562993</v>
      </c>
      <c r="AC17" s="183">
        <f t="shared" si="14"/>
        <v>0.98323943661971847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3092</v>
      </c>
      <c r="H18" s="15">
        <f t="shared" si="15"/>
        <v>155805.88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1873.9393939393944</v>
      </c>
      <c r="O18" s="38">
        <f t="shared" si="19"/>
        <v>156.16161616161619</v>
      </c>
      <c r="P18" s="39">
        <f t="shared" si="10"/>
        <v>0</v>
      </c>
      <c r="Q18" s="40">
        <f t="shared" si="11"/>
        <v>-10.505050505050463</v>
      </c>
      <c r="R18" s="188">
        <f t="shared" si="12"/>
        <v>0.93696969696969723</v>
      </c>
      <c r="S18" s="432"/>
      <c r="T18" s="41">
        <v>0.40138888888888891</v>
      </c>
      <c r="U18" s="41">
        <v>0.47013888888888888</v>
      </c>
      <c r="V18" s="175">
        <f>(T18-U17)*24*60</f>
        <v>12.000000000000037</v>
      </c>
      <c r="W18" s="43">
        <f t="shared" si="18"/>
        <v>98.999999999999972</v>
      </c>
      <c r="X18" s="22"/>
      <c r="Y18" s="22"/>
      <c r="Z18" s="405"/>
      <c r="AA18" s="405"/>
      <c r="AB18" s="18">
        <f t="shared" si="13"/>
        <v>-126.06060606060555</v>
      </c>
      <c r="AC18" s="183">
        <f t="shared" si="14"/>
        <v>0.93696969696969723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2310</v>
      </c>
      <c r="H19" s="15">
        <f t="shared" si="15"/>
        <v>116400.9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6"/>
        <v>166.66666666666666</v>
      </c>
      <c r="M19" s="37">
        <v>12</v>
      </c>
      <c r="N19" s="36">
        <f t="shared" si="17"/>
        <v>1823.6842105263142</v>
      </c>
      <c r="O19" s="38">
        <f t="shared" si="19"/>
        <v>151.97368421052619</v>
      </c>
      <c r="P19" s="39">
        <f t="shared" si="10"/>
        <v>0</v>
      </c>
      <c r="Q19" s="40">
        <f t="shared" si="11"/>
        <v>-14.69298245614047</v>
      </c>
      <c r="R19" s="188">
        <f t="shared" si="12"/>
        <v>0.91184210526315712</v>
      </c>
      <c r="S19" s="432"/>
      <c r="T19" s="41">
        <v>0.5395833333333333</v>
      </c>
      <c r="U19" s="41">
        <v>0.59236111111111112</v>
      </c>
      <c r="V19" s="175">
        <f>(T19-U18)*24*60</f>
        <v>99.999999999999972</v>
      </c>
      <c r="W19" s="43">
        <f t="shared" si="18"/>
        <v>76.000000000000057</v>
      </c>
      <c r="X19" s="22"/>
      <c r="Y19" s="260"/>
      <c r="Z19" s="416"/>
      <c r="AA19" s="416"/>
      <c r="AB19" s="18">
        <f t="shared" si="13"/>
        <v>-176.31578947368575</v>
      </c>
      <c r="AC19" s="183">
        <f t="shared" si="14"/>
        <v>0.91184210526315712</v>
      </c>
      <c r="AD19" s="413"/>
    </row>
    <row r="20" spans="1:30" ht="15" customHeight="1">
      <c r="A20" s="440"/>
      <c r="B20" s="56" t="str">
        <f>VLOOKUP(D20,廠價表!$C$1:$E$40,2,0)</f>
        <v>義大利麵</v>
      </c>
      <c r="C20" s="10"/>
      <c r="D20" s="11" t="s">
        <v>40</v>
      </c>
      <c r="E20" s="86"/>
      <c r="F20" s="56">
        <f>VLOOKUP(D20,廠價表!$C$1:$E$40,3,0)</f>
        <v>50.67</v>
      </c>
      <c r="G20" s="96">
        <v>2031</v>
      </c>
      <c r="H20" s="15">
        <f>F20*G20</f>
        <v>102910.77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>K20/J20</f>
        <v>153.84615384615384</v>
      </c>
      <c r="M20" s="37">
        <v>13</v>
      </c>
      <c r="N20" s="36">
        <f>G20/W20*60</f>
        <v>1818.8059701492516</v>
      </c>
      <c r="O20" s="38">
        <f>N20/M20</f>
        <v>139.90815154994243</v>
      </c>
      <c r="P20" s="39">
        <f>M20-J20</f>
        <v>0</v>
      </c>
      <c r="Q20" s="40">
        <f>O20-L20</f>
        <v>-13.938002296211408</v>
      </c>
      <c r="R20" s="188">
        <f>O20/L20</f>
        <v>0.9094029850746258</v>
      </c>
      <c r="S20" s="432"/>
      <c r="T20" s="41">
        <v>0.60069444444444442</v>
      </c>
      <c r="U20" s="41">
        <v>0.64722222222222225</v>
      </c>
      <c r="V20" s="175">
        <f>(T20-U19)*24*60</f>
        <v>11.999999999999957</v>
      </c>
      <c r="W20" s="43">
        <f t="shared" si="18"/>
        <v>67.000000000000085</v>
      </c>
      <c r="X20" s="44"/>
      <c r="Y20" s="44"/>
      <c r="Z20" s="418"/>
      <c r="AA20" s="405"/>
      <c r="AB20" s="18">
        <f t="shared" si="13"/>
        <v>-181.19402985074839</v>
      </c>
      <c r="AC20" s="183">
        <f t="shared" si="14"/>
        <v>0.9094029850746258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12.6</v>
      </c>
      <c r="K26" s="133">
        <f t="shared" si="20"/>
        <v>2021</v>
      </c>
      <c r="L26" s="136">
        <f t="shared" si="20"/>
        <v>160.58974358974359</v>
      </c>
      <c r="M26" s="133">
        <f t="shared" si="20"/>
        <v>12.6</v>
      </c>
      <c r="N26" s="133">
        <f t="shared" si="20"/>
        <v>1837.53821131001</v>
      </c>
      <c r="O26" s="136">
        <f t="shared" si="20"/>
        <v>146.08963626034142</v>
      </c>
      <c r="P26" s="137">
        <f t="shared" ref="P26:P31" si="21">M26-J26</f>
        <v>0</v>
      </c>
      <c r="Q26" s="138">
        <f t="shared" ref="Q26:Q31" si="22">O26-L26</f>
        <v>-14.500107329402169</v>
      </c>
      <c r="R26" s="139">
        <f t="shared" ref="R26:R31" si="23">O26/L26</f>
        <v>0.90970713941454817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-183.46178868999004</v>
      </c>
      <c r="AC26" s="185">
        <f>N26/K26</f>
        <v>0.9092222718010935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v>2526</v>
      </c>
      <c r="H27" s="124">
        <f t="shared" ref="H27:H40" si="24">F27*G27</f>
        <v>120515.46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13</v>
      </c>
      <c r="N27" s="126">
        <f>G27/W27*60</f>
        <v>1024.0540540540621</v>
      </c>
      <c r="O27" s="127">
        <f>N27/M27</f>
        <v>78.773388773389399</v>
      </c>
      <c r="P27" s="128">
        <f t="shared" si="21"/>
        <v>-2</v>
      </c>
      <c r="Q27" s="129">
        <f t="shared" si="22"/>
        <v>-21.226611226610601</v>
      </c>
      <c r="R27" s="187">
        <f>O27/L27</f>
        <v>0.78773388773389397</v>
      </c>
      <c r="S27" s="431">
        <f>R37</f>
        <v>0.86799011241934054</v>
      </c>
      <c r="T27" s="94">
        <v>0.29166666666666702</v>
      </c>
      <c r="U27" s="94">
        <v>0.39444444444444399</v>
      </c>
      <c r="V27" s="125"/>
      <c r="W27" s="130">
        <f t="shared" si="18"/>
        <v>147.99999999999883</v>
      </c>
      <c r="X27" s="125"/>
      <c r="Y27" s="125" t="s">
        <v>47</v>
      </c>
      <c r="Z27" s="434" t="s">
        <v>157</v>
      </c>
      <c r="AA27" s="425"/>
      <c r="AB27" s="223">
        <f>N27-K27</f>
        <v>-475.94594594593786</v>
      </c>
      <c r="AC27" s="288">
        <f>N27/K27</f>
        <v>0.68270270270270805</v>
      </c>
      <c r="AD27" s="411">
        <f>AC37</f>
        <v>0.79456096756018202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1690</v>
      </c>
      <c r="H28" s="50">
        <f t="shared" si="24"/>
        <v>93169.7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16</v>
      </c>
      <c r="N28" s="36">
        <f>G28/W28*60</f>
        <v>1221.6867469879442</v>
      </c>
      <c r="O28" s="38">
        <f>N28/M28</f>
        <v>76.35542168674651</v>
      </c>
      <c r="P28" s="39">
        <f t="shared" si="21"/>
        <v>-2</v>
      </c>
      <c r="Q28" s="40">
        <f t="shared" si="22"/>
        <v>-0.58902275769793278</v>
      </c>
      <c r="R28" s="188">
        <f t="shared" si="23"/>
        <v>0.99234483058587519</v>
      </c>
      <c r="S28" s="432"/>
      <c r="T28" s="267">
        <v>0.39583333333333298</v>
      </c>
      <c r="U28" s="41">
        <v>0.45347222222222222</v>
      </c>
      <c r="V28" s="42">
        <f>(T28-U27)*24*60</f>
        <v>2.0000000000001528</v>
      </c>
      <c r="W28" s="43">
        <f t="shared" si="18"/>
        <v>83.000000000000512</v>
      </c>
      <c r="X28" s="54"/>
      <c r="Y28" s="54"/>
      <c r="Z28" s="418"/>
      <c r="AA28" s="417"/>
      <c r="AB28" s="39">
        <f>N28-K28</f>
        <v>-163.31325301205584</v>
      </c>
      <c r="AC28" s="188">
        <f>N28/K28</f>
        <v>0.88208429385411136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1097</v>
      </c>
      <c r="H29" s="50">
        <f t="shared" si="24"/>
        <v>62858.1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14</v>
      </c>
      <c r="N29" s="36">
        <f>G29/W29*60</f>
        <v>1175.3571428571438</v>
      </c>
      <c r="O29" s="38">
        <f>N29/M29</f>
        <v>83.954081632653129</v>
      </c>
      <c r="P29" s="39">
        <f t="shared" si="21"/>
        <v>-1</v>
      </c>
      <c r="Q29" s="40">
        <f t="shared" si="22"/>
        <v>-12.045918367346871</v>
      </c>
      <c r="R29" s="188">
        <f t="shared" si="23"/>
        <v>0.87452168367347005</v>
      </c>
      <c r="S29" s="432"/>
      <c r="T29" s="41">
        <v>0.46111111111111114</v>
      </c>
      <c r="U29" s="41">
        <v>0.5</v>
      </c>
      <c r="V29" s="42">
        <f>(T29-U28)*24*60</f>
        <v>11.000000000000041</v>
      </c>
      <c r="W29" s="43">
        <f t="shared" si="18"/>
        <v>55.999999999999957</v>
      </c>
      <c r="X29" s="22"/>
      <c r="Y29" s="22"/>
      <c r="Z29" s="418" t="s">
        <v>158</v>
      </c>
      <c r="AA29" s="417"/>
      <c r="AB29" s="289">
        <f>N29-K29</f>
        <v>-264.6428571428562</v>
      </c>
      <c r="AC29" s="188">
        <f>N29/K29</f>
        <v>0.8162202380952388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142</v>
      </c>
      <c r="E30" s="29"/>
      <c r="F30" s="56">
        <f>VLOOKUP(D30,廠價表!$C$1:$E$40,3,0)</f>
        <v>57.3</v>
      </c>
      <c r="G30" s="53">
        <v>1848</v>
      </c>
      <c r="H30" s="50">
        <f t="shared" si="24"/>
        <v>105890.4</v>
      </c>
      <c r="I30" s="42"/>
      <c r="J30" s="16">
        <f>VLOOKUP(D30,產線配置圖!$A$3:$C$39,2,0)</f>
        <v>15</v>
      </c>
      <c r="K30" s="14">
        <f>VLOOKUP(D30,產線配置圖!$A$3:$C$39,3,0)</f>
        <v>1440</v>
      </c>
      <c r="L30" s="233">
        <f t="shared" ref="L30:L31" si="25">K30/J30</f>
        <v>96</v>
      </c>
      <c r="M30" s="21">
        <v>14</v>
      </c>
      <c r="N30" s="36">
        <f t="shared" ref="N30:N31" si="26">G30/W30*60</f>
        <v>1335.9036144578308</v>
      </c>
      <c r="O30" s="38">
        <f t="shared" ref="O30:O31" si="27">N30/M30</f>
        <v>95.421686746987916</v>
      </c>
      <c r="P30" s="39">
        <f t="shared" si="21"/>
        <v>-1</v>
      </c>
      <c r="Q30" s="40">
        <f t="shared" si="22"/>
        <v>-0.57831325301208381</v>
      </c>
      <c r="R30" s="188">
        <f t="shared" si="23"/>
        <v>0.99397590361445742</v>
      </c>
      <c r="S30" s="432"/>
      <c r="T30" s="41">
        <v>0.56041666666666667</v>
      </c>
      <c r="U30" s="41">
        <v>0.61805555555555558</v>
      </c>
      <c r="V30" s="42">
        <f t="shared" ref="V30:V31" si="28">(T30-U29)*24*60</f>
        <v>87.000000000000014</v>
      </c>
      <c r="W30" s="43">
        <f t="shared" si="18"/>
        <v>83.000000000000028</v>
      </c>
      <c r="X30" s="54"/>
      <c r="Y30" s="54"/>
      <c r="Z30" s="418"/>
      <c r="AA30" s="417"/>
      <c r="AB30" s="289">
        <f>N30-K30</f>
        <v>-104.09638554216917</v>
      </c>
      <c r="AC30" s="188">
        <f>N30/K30</f>
        <v>0.92771084337349363</v>
      </c>
      <c r="AD30" s="445"/>
    </row>
    <row r="31" spans="1:30" ht="15" customHeight="1">
      <c r="A31" s="429"/>
      <c r="B31" s="56" t="str">
        <f>VLOOKUP(D31,廠價表!$C$1:$E$40,2,0)</f>
        <v>義大利麵</v>
      </c>
      <c r="C31" s="235"/>
      <c r="D31" s="11" t="s">
        <v>49</v>
      </c>
      <c r="E31" s="29"/>
      <c r="F31" s="56">
        <f>VLOOKUP(D31,廠價表!$C$1:$E$40,3,0)</f>
        <v>47.71</v>
      </c>
      <c r="G31" s="53">
        <v>1574</v>
      </c>
      <c r="H31" s="50">
        <f t="shared" si="24"/>
        <v>75095.540000000008</v>
      </c>
      <c r="I31" s="42"/>
      <c r="J31" s="16">
        <f>VLOOKUP(D31,產線配置圖!$A$3:$C$39,2,0)</f>
        <v>15</v>
      </c>
      <c r="K31" s="14">
        <f>VLOOKUP(D31,產線配置圖!$A$3:$C$39,3,0)</f>
        <v>1500</v>
      </c>
      <c r="L31" s="233">
        <f t="shared" si="25"/>
        <v>100</v>
      </c>
      <c r="M31" s="21">
        <v>14</v>
      </c>
      <c r="N31" s="36">
        <f t="shared" si="26"/>
        <v>1015.483870967742</v>
      </c>
      <c r="O31" s="38">
        <f t="shared" si="27"/>
        <v>72.534562211981566</v>
      </c>
      <c r="P31" s="39">
        <f t="shared" si="21"/>
        <v>-1</v>
      </c>
      <c r="Q31" s="40">
        <f t="shared" si="22"/>
        <v>-27.465437788018434</v>
      </c>
      <c r="R31" s="188">
        <f t="shared" si="23"/>
        <v>0.72534562211981568</v>
      </c>
      <c r="S31" s="432"/>
      <c r="T31" s="41">
        <v>0.62291666666666667</v>
      </c>
      <c r="U31" s="41">
        <v>0.6875</v>
      </c>
      <c r="V31" s="42">
        <f t="shared" si="28"/>
        <v>6.9999999999999751</v>
      </c>
      <c r="W31" s="43">
        <f t="shared" si="18"/>
        <v>92.999999999999986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4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79"/>
      <c r="AA34" s="389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9">AVERAGE(J27:J36)</f>
        <v>15.6</v>
      </c>
      <c r="K37" s="282">
        <f t="shared" si="29"/>
        <v>1453</v>
      </c>
      <c r="L37" s="283">
        <f t="shared" si="29"/>
        <v>93.788888888888891</v>
      </c>
      <c r="M37" s="282">
        <f t="shared" si="29"/>
        <v>14.2</v>
      </c>
      <c r="N37" s="282">
        <f t="shared" si="29"/>
        <v>1154.4970858649444</v>
      </c>
      <c r="O37" s="283">
        <f t="shared" si="29"/>
        <v>81.40782821035171</v>
      </c>
      <c r="P37" s="73">
        <f>M37-J37</f>
        <v>-1.4000000000000004</v>
      </c>
      <c r="Q37" s="74">
        <f>N37-K37</f>
        <v>-298.50291413505556</v>
      </c>
      <c r="R37" s="284">
        <f t="shared" ref="R37:R40" si="30">O37/L37</f>
        <v>0.86799011241934054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31">N37-K37</f>
        <v>-298.50291413505556</v>
      </c>
      <c r="AC37" s="184">
        <f t="shared" ref="AC37:AC41" si="32">N37/K37</f>
        <v>0.79456096756018202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1892</v>
      </c>
      <c r="H38" s="124">
        <f t="shared" si="24"/>
        <v>108411.59999999999</v>
      </c>
      <c r="I38" s="125"/>
      <c r="J38" s="331">
        <f>VLOOKUP(D38,產線配置圖!$A$3:$C$39,2,0)</f>
        <v>15</v>
      </c>
      <c r="K38" s="234">
        <v>1500</v>
      </c>
      <c r="L38" s="285">
        <f t="shared" ref="L38:L40" si="33">K38/J38</f>
        <v>100</v>
      </c>
      <c r="M38" s="286">
        <v>15</v>
      </c>
      <c r="N38" s="126">
        <f>G38/W38*60</f>
        <v>962.0338983050849</v>
      </c>
      <c r="O38" s="127">
        <f>N38/M38</f>
        <v>64.13559322033899</v>
      </c>
      <c r="P38" s="128">
        <f t="shared" ref="P38:P40" si="34">M38-J38</f>
        <v>0</v>
      </c>
      <c r="Q38" s="129">
        <f t="shared" ref="Q38:Q40" si="35">O38-L38</f>
        <v>-35.86440677966101</v>
      </c>
      <c r="R38" s="187">
        <f t="shared" si="30"/>
        <v>0.64135593220338993</v>
      </c>
      <c r="S38" s="460">
        <f>R48</f>
        <v>0.76677789829671905</v>
      </c>
      <c r="T38" s="149">
        <v>0.29166666666666669</v>
      </c>
      <c r="U38" s="149">
        <v>0.37361111111111112</v>
      </c>
      <c r="V38" s="146"/>
      <c r="W38" s="150">
        <f t="shared" si="18"/>
        <v>117.99999999999999</v>
      </c>
      <c r="X38" s="148"/>
      <c r="Y38" s="151"/>
      <c r="Z38" s="484" t="s">
        <v>159</v>
      </c>
      <c r="AA38" s="485"/>
      <c r="AB38" s="287">
        <f t="shared" si="31"/>
        <v>-537.9661016949151</v>
      </c>
      <c r="AC38" s="152">
        <f t="shared" si="32"/>
        <v>0.64135593220338993</v>
      </c>
      <c r="AD38" s="447">
        <f>AC48</f>
        <v>0.78699588302569778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825</v>
      </c>
      <c r="H39" s="50">
        <f t="shared" si="24"/>
        <v>46554.75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3"/>
        <v>93.733333333333334</v>
      </c>
      <c r="M39" s="65">
        <v>15</v>
      </c>
      <c r="N39" s="66">
        <f>G39/W39*60</f>
        <v>883.92857142857076</v>
      </c>
      <c r="O39" s="67">
        <f t="shared" ref="O39:O40" si="36">N39/M39</f>
        <v>58.928571428571381</v>
      </c>
      <c r="P39" s="39">
        <f t="shared" si="34"/>
        <v>0</v>
      </c>
      <c r="Q39" s="40">
        <f t="shared" si="35"/>
        <v>-34.804761904761953</v>
      </c>
      <c r="R39" s="188">
        <f t="shared" si="30"/>
        <v>0.62868319447266763</v>
      </c>
      <c r="S39" s="461"/>
      <c r="T39" s="59">
        <v>0.38124999999999998</v>
      </c>
      <c r="U39" s="59">
        <v>0.4201388888888889</v>
      </c>
      <c r="V39" s="42">
        <f>(T39-U38)*24*60</f>
        <v>10.999999999999961</v>
      </c>
      <c r="W39" s="69">
        <f t="shared" si="18"/>
        <v>56.000000000000043</v>
      </c>
      <c r="X39" s="22"/>
      <c r="Y39" s="22"/>
      <c r="Z39" s="450" t="s">
        <v>150</v>
      </c>
      <c r="AA39" s="451"/>
      <c r="AB39" s="268">
        <f t="shared" si="31"/>
        <v>-522.07142857142924</v>
      </c>
      <c r="AC39" s="61">
        <f t="shared" si="32"/>
        <v>0.62868319447266763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142</v>
      </c>
      <c r="E40" s="240"/>
      <c r="F40" s="56">
        <f>VLOOKUP(D40,廠價表!$C$1:$E$40,3,0)</f>
        <v>57.3</v>
      </c>
      <c r="G40" s="273">
        <v>2223</v>
      </c>
      <c r="H40" s="50">
        <f t="shared" si="24"/>
        <v>127377.9</v>
      </c>
      <c r="I40" s="64"/>
      <c r="J40" s="37">
        <f>VLOOKUP(D40,產線配置圖!$A$3:$C$39,2,0)</f>
        <v>15</v>
      </c>
      <c r="K40" s="36">
        <f>VLOOKUP(D40,產線配置圖!$A$3:$C$39,3,0)</f>
        <v>1440</v>
      </c>
      <c r="L40" s="38">
        <f t="shared" si="33"/>
        <v>96</v>
      </c>
      <c r="M40" s="65">
        <v>14</v>
      </c>
      <c r="N40" s="66">
        <f>G40/W40*60</f>
        <v>1180.353982300885</v>
      </c>
      <c r="O40" s="67">
        <f t="shared" si="36"/>
        <v>84.310998735777503</v>
      </c>
      <c r="P40" s="39">
        <f t="shared" si="34"/>
        <v>-1</v>
      </c>
      <c r="Q40" s="40">
        <f t="shared" si="35"/>
        <v>-11.689001264222497</v>
      </c>
      <c r="R40" s="188">
        <f t="shared" si="30"/>
        <v>0.87823957016434895</v>
      </c>
      <c r="S40" s="420"/>
      <c r="T40" s="59">
        <v>0.4284722222222222</v>
      </c>
      <c r="U40" s="59">
        <v>0.50694444444444442</v>
      </c>
      <c r="V40" s="42">
        <f>(T40-U39)*24*60</f>
        <v>11.999999999999957</v>
      </c>
      <c r="W40" s="69">
        <f t="shared" si="18"/>
        <v>113</v>
      </c>
      <c r="X40" s="70"/>
      <c r="Y40" s="256"/>
      <c r="Z40" s="480"/>
      <c r="AA40" s="483"/>
      <c r="AB40" s="268">
        <f t="shared" si="31"/>
        <v>-259.64601769911496</v>
      </c>
      <c r="AC40" s="61">
        <f t="shared" si="32"/>
        <v>0.81969026548672574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797</v>
      </c>
      <c r="H41" s="50">
        <f t="shared" ref="H41:H42" si="37">F41*G41</f>
        <v>44974.71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ref="L41:L43" si="38">K41/J41</f>
        <v>93.733333333333334</v>
      </c>
      <c r="M41" s="65">
        <v>15</v>
      </c>
      <c r="N41" s="66">
        <f t="shared" ref="N41:N43" si="39">G41/W41*60</f>
        <v>869.45454545454606</v>
      </c>
      <c r="O41" s="67">
        <f t="shared" ref="O41:O43" si="40">N41/M41</f>
        <v>57.963636363636404</v>
      </c>
      <c r="P41" s="39">
        <f t="shared" ref="P41:P43" si="41">M41-J41</f>
        <v>0</v>
      </c>
      <c r="Q41" s="40">
        <f t="shared" ref="Q41:Q43" si="42">O41-L41</f>
        <v>-35.76969696969693</v>
      </c>
      <c r="R41" s="188">
        <f t="shared" ref="R41:R43" si="43">O41/L41</f>
        <v>0.61838872365188202</v>
      </c>
      <c r="S41" s="420"/>
      <c r="T41" s="59">
        <v>0.56597222222222221</v>
      </c>
      <c r="U41" s="75">
        <v>0.60416666666666663</v>
      </c>
      <c r="V41" s="42">
        <f t="shared" ref="V41:V43" si="44">(T41-U40)*24*60</f>
        <v>85.000000000000014</v>
      </c>
      <c r="W41" s="69">
        <f t="shared" si="18"/>
        <v>54.999999999999964</v>
      </c>
      <c r="X41" s="70"/>
      <c r="Y41" s="256"/>
      <c r="Z41" s="450" t="s">
        <v>150</v>
      </c>
      <c r="AA41" s="451"/>
      <c r="AB41" s="268">
        <f t="shared" si="31"/>
        <v>-536.54545454545394</v>
      </c>
      <c r="AC41" s="61">
        <f t="shared" si="32"/>
        <v>0.61838872365188202</v>
      </c>
      <c r="AD41" s="448"/>
    </row>
    <row r="42" spans="1:30" s="62" customFormat="1" ht="15" customHeight="1">
      <c r="A42" s="458"/>
      <c r="B42" s="56" t="s">
        <v>45</v>
      </c>
      <c r="C42" s="23"/>
      <c r="D42" s="276" t="s">
        <v>142</v>
      </c>
      <c r="E42" s="12"/>
      <c r="F42" s="56">
        <f>VLOOKUP(D42,廠價表!$C$1:$E$40,3,0)</f>
        <v>57.3</v>
      </c>
      <c r="G42" s="273">
        <v>744</v>
      </c>
      <c r="H42" s="50">
        <f t="shared" si="37"/>
        <v>42631.199999999997</v>
      </c>
      <c r="I42" s="64"/>
      <c r="J42" s="37">
        <f>VLOOKUP(D42,產線配置圖!$A$3:$C$39,2,0)</f>
        <v>15</v>
      </c>
      <c r="K42" s="36">
        <f>VLOOKUP(D42,產線配置圖!$A$3:$C$39,3,0)</f>
        <v>1440</v>
      </c>
      <c r="L42" s="38">
        <f t="shared" si="38"/>
        <v>96</v>
      </c>
      <c r="M42" s="65">
        <v>16</v>
      </c>
      <c r="N42" s="66">
        <f t="shared" si="39"/>
        <v>1488.0000000000055</v>
      </c>
      <c r="O42" s="67">
        <f t="shared" si="40"/>
        <v>93.000000000000341</v>
      </c>
      <c r="P42" s="39">
        <f t="shared" si="41"/>
        <v>1</v>
      </c>
      <c r="Q42" s="40">
        <f t="shared" si="42"/>
        <v>-2.9999999999996589</v>
      </c>
      <c r="R42" s="188">
        <f t="shared" si="43"/>
        <v>0.96875000000000355</v>
      </c>
      <c r="S42" s="420"/>
      <c r="T42" s="75">
        <v>0.61111111111111116</v>
      </c>
      <c r="U42" s="75">
        <v>0.63194444444444442</v>
      </c>
      <c r="V42" s="42">
        <f t="shared" si="44"/>
        <v>10.000000000000124</v>
      </c>
      <c r="W42" s="69">
        <f t="shared" si="18"/>
        <v>29.999999999999893</v>
      </c>
      <c r="X42" s="70"/>
      <c r="Y42" s="60"/>
      <c r="Z42" s="482"/>
      <c r="AA42" s="417"/>
      <c r="AB42" s="268"/>
      <c r="AC42" s="61"/>
      <c r="AD42" s="448"/>
    </row>
    <row r="43" spans="1:30" s="62" customFormat="1" ht="15" customHeight="1">
      <c r="A43" s="458"/>
      <c r="B43" s="56" t="s">
        <v>45</v>
      </c>
      <c r="C43" s="23"/>
      <c r="D43" s="276" t="s">
        <v>142</v>
      </c>
      <c r="E43" s="12"/>
      <c r="F43" s="56">
        <f>VLOOKUP(D43,廠價表!$C$1:$E$40,3,0)</f>
        <v>57.3</v>
      </c>
      <c r="G43" s="273">
        <v>1668</v>
      </c>
      <c r="H43" s="50">
        <f>F43*G43</f>
        <v>95576.4</v>
      </c>
      <c r="I43" s="64"/>
      <c r="J43" s="37">
        <f>VLOOKUP(D43,產線配置圖!$A$3:$C$39,2,0)</f>
        <v>15</v>
      </c>
      <c r="K43" s="36">
        <f>VLOOKUP(D43,產線配置圖!$A$3:$C$39,3,0)</f>
        <v>1440</v>
      </c>
      <c r="L43" s="38">
        <f t="shared" si="38"/>
        <v>96</v>
      </c>
      <c r="M43" s="65">
        <v>17</v>
      </c>
      <c r="N43" s="66">
        <f t="shared" si="39"/>
        <v>1409.577464788731</v>
      </c>
      <c r="O43" s="67">
        <f t="shared" si="40"/>
        <v>82.916321458160652</v>
      </c>
      <c r="P43" s="39">
        <f t="shared" si="41"/>
        <v>2</v>
      </c>
      <c r="Q43" s="40">
        <f t="shared" si="42"/>
        <v>-13.083678541839348</v>
      </c>
      <c r="R43" s="188">
        <f t="shared" si="43"/>
        <v>0.86371168185584013</v>
      </c>
      <c r="S43" s="420"/>
      <c r="T43" s="75">
        <v>0.76041666666666663</v>
      </c>
      <c r="U43" s="75">
        <v>0.80972222222222223</v>
      </c>
      <c r="V43" s="42">
        <f t="shared" si="44"/>
        <v>184.99999999999997</v>
      </c>
      <c r="W43" s="69">
        <f>(U43-T43)*24*60</f>
        <v>71.000000000000071</v>
      </c>
      <c r="X43" s="70"/>
      <c r="Y43" s="334"/>
      <c r="Z43" s="482" t="s">
        <v>160</v>
      </c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>
        <f t="shared" ref="H44:H47" si="45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46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45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46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45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46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45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46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47">AVERAGE(J38:J47)</f>
        <v>15</v>
      </c>
      <c r="K48" s="133">
        <f t="shared" si="47"/>
        <v>1438.6666666666667</v>
      </c>
      <c r="L48" s="136">
        <f t="shared" si="47"/>
        <v>95.911111111111111</v>
      </c>
      <c r="M48" s="133">
        <f t="shared" si="47"/>
        <v>15.333333333333334</v>
      </c>
      <c r="N48" s="133">
        <f t="shared" si="47"/>
        <v>1132.2247437129706</v>
      </c>
      <c r="O48" s="136">
        <f t="shared" si="47"/>
        <v>73.542520201080876</v>
      </c>
      <c r="P48" s="155">
        <f>M48-J48</f>
        <v>0.33333333333333393</v>
      </c>
      <c r="Q48" s="156">
        <f>N48-K48</f>
        <v>-306.44192295369612</v>
      </c>
      <c r="R48" s="157">
        <f>O48/L48</f>
        <v>0.76677789829671905</v>
      </c>
      <c r="S48" s="423"/>
      <c r="T48" s="158"/>
      <c r="U48" s="158"/>
      <c r="V48" s="194"/>
      <c r="W48" s="159">
        <f t="shared" si="46"/>
        <v>0</v>
      </c>
      <c r="X48" s="160"/>
      <c r="Y48" s="160"/>
      <c r="Z48" s="424"/>
      <c r="AA48" s="424"/>
      <c r="AB48" s="161">
        <f>N48-K48</f>
        <v>-306.44192295369612</v>
      </c>
      <c r="AC48" s="189">
        <f>N48/K48</f>
        <v>0.78699588302569778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1868</v>
      </c>
      <c r="H49" s="124">
        <f t="shared" ref="H49:H57" si="48">F49*G49</f>
        <v>106233.15999999999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18</v>
      </c>
      <c r="N49" s="126">
        <f>G49/W49*60</f>
        <v>1455.5844155844161</v>
      </c>
      <c r="O49" s="127">
        <f>N49/M49</f>
        <v>80.865800865800892</v>
      </c>
      <c r="P49" s="162">
        <f>M49-J49</f>
        <v>-1</v>
      </c>
      <c r="Q49" s="111">
        <f>O49-L49</f>
        <v>-1.5026201868306828</v>
      </c>
      <c r="R49" s="182">
        <f>O49/L49</f>
        <v>0.98175732680525052</v>
      </c>
      <c r="S49" s="419">
        <f>R58</f>
        <v>0.95544798052818858</v>
      </c>
      <c r="T49" s="149">
        <v>0.2902777777777778</v>
      </c>
      <c r="U49" s="149">
        <v>0.34375</v>
      </c>
      <c r="V49" s="186"/>
      <c r="W49" s="150">
        <f t="shared" si="18"/>
        <v>76.999999999999972</v>
      </c>
      <c r="X49" s="186"/>
      <c r="Y49" s="186"/>
      <c r="Z49" s="425"/>
      <c r="AA49" s="425"/>
      <c r="AB49" s="110">
        <f>N49-K49</f>
        <v>-109.41558441558391</v>
      </c>
      <c r="AC49" s="182">
        <f>N49/K49</f>
        <v>0.93008588855234253</v>
      </c>
      <c r="AD49" s="411">
        <f>AC58</f>
        <v>0.94652072078083116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2709</v>
      </c>
      <c r="H50" s="76">
        <f t="shared" si="48"/>
        <v>135368.73000000001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1578.0582524271852</v>
      </c>
      <c r="O50" s="78">
        <f>N50/M50</f>
        <v>87.669902912621396</v>
      </c>
      <c r="P50" s="18">
        <f>M50-J50</f>
        <v>0</v>
      </c>
      <c r="Q50" s="19">
        <f>O50-L50</f>
        <v>-1.2189859762674899</v>
      </c>
      <c r="R50" s="183">
        <f>O50/L50</f>
        <v>0.98628640776699072</v>
      </c>
      <c r="S50" s="420"/>
      <c r="T50" s="79">
        <v>0.35416666666666669</v>
      </c>
      <c r="U50" s="79">
        <v>0.42569444444444443</v>
      </c>
      <c r="V50" s="175">
        <f t="shared" ref="V50:V53" si="49">(T50-U49)*24*60</f>
        <v>15.000000000000027</v>
      </c>
      <c r="W50" s="80">
        <f t="shared" si="18"/>
        <v>102.99999999999996</v>
      </c>
      <c r="X50" s="22"/>
      <c r="Y50" s="22"/>
      <c r="Z50" s="417"/>
      <c r="AA50" s="418"/>
      <c r="AB50" s="18">
        <f>N50-K50</f>
        <v>-21.941747572814847</v>
      </c>
      <c r="AC50" s="183">
        <f>N50/K50</f>
        <v>0.98628640776699072</v>
      </c>
      <c r="AD50" s="412"/>
    </row>
    <row r="51" spans="1:30" ht="15" customHeight="1">
      <c r="A51" s="455"/>
      <c r="B51" s="56" t="str">
        <f>VLOOKUP(D51,廠價表!$C$1:$E$40,2,0)</f>
        <v>熱乾麵</v>
      </c>
      <c r="C51" s="10"/>
      <c r="D51" s="11" t="s">
        <v>46</v>
      </c>
      <c r="E51" s="86"/>
      <c r="F51" s="56">
        <f>VLOOKUP(D51,廠價表!$C$1:$E$40,3,0)</f>
        <v>49.91</v>
      </c>
      <c r="G51" s="66">
        <v>1989</v>
      </c>
      <c r="H51" s="76">
        <f t="shared" si="48"/>
        <v>99270.989999999991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2" si="50">K51/J51</f>
        <v>92.058823529411768</v>
      </c>
      <c r="M51" s="172">
        <v>17</v>
      </c>
      <c r="N51" s="77">
        <f t="shared" ref="N51:N52" si="51">G51/W51*60</f>
        <v>1549.870129870134</v>
      </c>
      <c r="O51" s="78">
        <f t="shared" ref="O51:O52" si="52">N51/M51</f>
        <v>91.168831168831403</v>
      </c>
      <c r="P51" s="18">
        <f t="shared" ref="P51:P52" si="53">M51-J51</f>
        <v>0</v>
      </c>
      <c r="Q51" s="19">
        <f t="shared" ref="Q51:Q52" si="54">O51-L51</f>
        <v>-0.88999236058036502</v>
      </c>
      <c r="R51" s="183">
        <f t="shared" ref="R51:R52" si="55">O51/L51</f>
        <v>0.99033235135471809</v>
      </c>
      <c r="S51" s="420"/>
      <c r="T51" s="79">
        <v>0.43263888888888891</v>
      </c>
      <c r="U51" s="44">
        <v>0.48611111111111099</v>
      </c>
      <c r="V51" s="175">
        <f t="shared" si="49"/>
        <v>10.000000000000044</v>
      </c>
      <c r="W51" s="80">
        <f t="shared" si="18"/>
        <v>76.999999999999801</v>
      </c>
      <c r="X51" s="22"/>
      <c r="Y51" s="22"/>
      <c r="Z51" s="405"/>
      <c r="AA51" s="405"/>
      <c r="AB51" s="18">
        <f>N51-K51</f>
        <v>-15.129870129866049</v>
      </c>
      <c r="AC51" s="183">
        <f>N51/K51</f>
        <v>0.9903323513547182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889</v>
      </c>
      <c r="H52" s="76">
        <f t="shared" si="48"/>
        <v>44369.99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si="50"/>
        <v>92.058823529411768</v>
      </c>
      <c r="M52" s="172">
        <v>17</v>
      </c>
      <c r="N52" s="77">
        <f t="shared" si="51"/>
        <v>1300.9756097560971</v>
      </c>
      <c r="O52" s="78">
        <f t="shared" si="52"/>
        <v>76.527977044476302</v>
      </c>
      <c r="P52" s="18">
        <f t="shared" si="53"/>
        <v>0</v>
      </c>
      <c r="Q52" s="19">
        <f t="shared" si="54"/>
        <v>-15.530846484935466</v>
      </c>
      <c r="R52" s="183">
        <f t="shared" si="55"/>
        <v>0.83129431933296938</v>
      </c>
      <c r="S52" s="420"/>
      <c r="T52" s="79">
        <v>0.54374999999999996</v>
      </c>
      <c r="U52" s="79">
        <v>0.57222222222222219</v>
      </c>
      <c r="V52" s="175">
        <f t="shared" si="49"/>
        <v>83.000000000000099</v>
      </c>
      <c r="W52" s="80">
        <f t="shared" si="18"/>
        <v>41.000000000000014</v>
      </c>
      <c r="X52" s="22"/>
      <c r="Y52" s="22"/>
      <c r="Z52" s="417"/>
      <c r="AA52" s="418"/>
      <c r="AB52" s="18">
        <f>N52-K52</f>
        <v>-264.02439024390287</v>
      </c>
      <c r="AC52" s="183">
        <f>N52/K52</f>
        <v>0.83129431933296938</v>
      </c>
      <c r="AD52" s="412"/>
    </row>
    <row r="53" spans="1:30" ht="15" customHeight="1">
      <c r="A53" s="455"/>
      <c r="B53" s="56" t="str">
        <f>VLOOKUP(D53,廠價表!$C$1:$E$40,2,0)</f>
        <v>義大利麵</v>
      </c>
      <c r="C53" s="23"/>
      <c r="D53" s="11" t="s">
        <v>59</v>
      </c>
      <c r="E53" s="12"/>
      <c r="F53" s="56">
        <f>VLOOKUP(D53,廠價表!$C$1:$E$40,3,0)</f>
        <v>49.97</v>
      </c>
      <c r="G53" s="66">
        <v>3256</v>
      </c>
      <c r="H53" s="76">
        <f>F53*G53</f>
        <v>162702.32</v>
      </c>
      <c r="I53" s="191"/>
      <c r="J53" s="16">
        <f>VLOOKUP(D53,產線配置圖!$A$3:$C$39,2,0)</f>
        <v>18</v>
      </c>
      <c r="K53" s="14">
        <f>VLOOKUP(D53,產線配置圖!$A$3:$C$39,3,0)</f>
        <v>1600</v>
      </c>
      <c r="L53" s="17">
        <f>K53/J53</f>
        <v>88.888888888888886</v>
      </c>
      <c r="M53" s="172">
        <v>18</v>
      </c>
      <c r="N53" s="77">
        <f>G53/W53*60</f>
        <v>1588.2926829268308</v>
      </c>
      <c r="O53" s="78">
        <f>N53/M53</f>
        <v>88.238482384823939</v>
      </c>
      <c r="P53" s="18">
        <f>M53-J53</f>
        <v>0</v>
      </c>
      <c r="Q53" s="19">
        <f>O53-L53</f>
        <v>-0.65040650406494649</v>
      </c>
      <c r="R53" s="183">
        <f>O53/L53</f>
        <v>0.9926829268292694</v>
      </c>
      <c r="S53" s="420"/>
      <c r="T53" s="79">
        <v>0.57847222222222228</v>
      </c>
      <c r="U53" s="79">
        <v>0.66388888888888886</v>
      </c>
      <c r="V53" s="175">
        <f t="shared" si="49"/>
        <v>9.0000000000001279</v>
      </c>
      <c r="W53" s="80">
        <f t="shared" si="18"/>
        <v>122.99999999999989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56"/>
      <c r="C54" s="181"/>
      <c r="D54" s="11"/>
      <c r="E54" s="12"/>
      <c r="F54" s="56"/>
      <c r="G54" s="66"/>
      <c r="H54" s="76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79"/>
      <c r="U54" s="79"/>
      <c r="V54" s="175"/>
      <c r="W54" s="80">
        <f t="shared" si="18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8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8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8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56">AVERAGE(J49:J57)</f>
        <v>17.8</v>
      </c>
      <c r="K58" s="117">
        <f t="shared" si="56"/>
        <v>1579</v>
      </c>
      <c r="L58" s="114">
        <f t="shared" si="56"/>
        <v>88.852769177846582</v>
      </c>
      <c r="M58" s="117">
        <f t="shared" si="56"/>
        <v>17.600000000000001</v>
      </c>
      <c r="N58" s="117">
        <f t="shared" si="56"/>
        <v>1494.5562181129324</v>
      </c>
      <c r="O58" s="114">
        <f t="shared" si="56"/>
        <v>84.894198875310792</v>
      </c>
      <c r="P58" s="118">
        <f>M58-J58</f>
        <v>-0.19999999999999929</v>
      </c>
      <c r="Q58" s="119">
        <f>N58-K58</f>
        <v>-84.443781887067644</v>
      </c>
      <c r="R58" s="120">
        <f t="shared" ref="R58:R60" si="57">O58/L58</f>
        <v>0.95544798052818858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58">N58-K58</f>
        <v>-84.443781887067644</v>
      </c>
      <c r="AC58" s="185">
        <f t="shared" ref="AC58:AC61" si="59">N58/K58</f>
        <v>0.94652072078083116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3083</v>
      </c>
      <c r="H59" s="105">
        <f t="shared" ref="H59:H68" si="60">F59*G59</f>
        <v>83210.17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61">G59/W59*60</f>
        <v>1541.5000000000005</v>
      </c>
      <c r="O59" s="108">
        <f t="shared" ref="O59:O61" si="62">N59/M59</f>
        <v>118.57692307692311</v>
      </c>
      <c r="P59" s="110">
        <f t="shared" ref="P59:P61" si="63">M59-J59</f>
        <v>0</v>
      </c>
      <c r="Q59" s="111">
        <f t="shared" ref="Q59:Q61" si="64">O59-L59</f>
        <v>-1.8076923076922782</v>
      </c>
      <c r="R59" s="182">
        <f t="shared" si="57"/>
        <v>0.98498402555910569</v>
      </c>
      <c r="S59" s="419">
        <f>R69</f>
        <v>0.92060960486936372</v>
      </c>
      <c r="T59" s="167">
        <v>0.29166666666666669</v>
      </c>
      <c r="U59" s="167">
        <v>0.375</v>
      </c>
      <c r="V59" s="186"/>
      <c r="W59" s="106">
        <f t="shared" si="18"/>
        <v>119.99999999999997</v>
      </c>
      <c r="X59" s="186"/>
      <c r="Y59" s="186"/>
      <c r="Z59" s="469"/>
      <c r="AA59" s="434"/>
      <c r="AB59" s="223">
        <f t="shared" si="58"/>
        <v>-23.499999999999545</v>
      </c>
      <c r="AC59" s="224">
        <f t="shared" si="59"/>
        <v>0.98498402555910569</v>
      </c>
      <c r="AD59" s="411">
        <f>AC69</f>
        <v>0.92311179583022951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795</v>
      </c>
      <c r="H60" s="15">
        <f t="shared" si="60"/>
        <v>22633.649999999998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61"/>
        <v>1192.5000000000018</v>
      </c>
      <c r="O60" s="17">
        <f t="shared" si="62"/>
        <v>99.375000000000156</v>
      </c>
      <c r="P60" s="18">
        <f t="shared" si="63"/>
        <v>0</v>
      </c>
      <c r="Q60" s="19">
        <f t="shared" si="64"/>
        <v>-31.041666666666501</v>
      </c>
      <c r="R60" s="183">
        <f t="shared" si="57"/>
        <v>0.76198083067092781</v>
      </c>
      <c r="S60" s="474"/>
      <c r="T60" s="20">
        <v>0.38541666666666669</v>
      </c>
      <c r="U60" s="20">
        <v>0.41319444444444442</v>
      </c>
      <c r="V60" s="175">
        <f t="shared" ref="V60:V62" si="65">(T60-U59)*24*60</f>
        <v>15.000000000000027</v>
      </c>
      <c r="W60" s="90">
        <f t="shared" si="18"/>
        <v>39.999999999999936</v>
      </c>
      <c r="X60" s="191"/>
      <c r="Y60" s="191"/>
      <c r="Z60" s="405" t="s">
        <v>144</v>
      </c>
      <c r="AA60" s="405"/>
      <c r="AB60" s="225">
        <f t="shared" si="58"/>
        <v>-372.49999999999818</v>
      </c>
      <c r="AC60" s="226">
        <f t="shared" si="59"/>
        <v>0.7619808306709277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2877</v>
      </c>
      <c r="H61" s="15">
        <f t="shared" si="60"/>
        <v>81304.02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61"/>
        <v>1501.0434782608697</v>
      </c>
      <c r="O61" s="17">
        <f t="shared" si="62"/>
        <v>125.08695652173914</v>
      </c>
      <c r="P61" s="18">
        <f t="shared" si="63"/>
        <v>0</v>
      </c>
      <c r="Q61" s="19">
        <f t="shared" si="64"/>
        <v>-5.3297101449275175</v>
      </c>
      <c r="R61" s="183">
        <f>O61/L61</f>
        <v>0.95913321294624265</v>
      </c>
      <c r="S61" s="420"/>
      <c r="T61" s="20">
        <v>0.4236111111111111</v>
      </c>
      <c r="U61" s="20">
        <v>0.50347222222222221</v>
      </c>
      <c r="V61" s="175">
        <f t="shared" si="65"/>
        <v>15.000000000000027</v>
      </c>
      <c r="W61" s="88">
        <f t="shared" si="18"/>
        <v>114.99999999999999</v>
      </c>
      <c r="X61" s="22"/>
      <c r="Y61" s="22"/>
      <c r="Z61" s="405"/>
      <c r="AA61" s="405"/>
      <c r="AB61" s="51">
        <f t="shared" si="58"/>
        <v>-63.956521739130267</v>
      </c>
      <c r="AC61" s="52">
        <f t="shared" si="59"/>
        <v>0.95913321294624265</v>
      </c>
      <c r="AD61" s="412"/>
    </row>
    <row r="62" spans="1:30" ht="15" customHeight="1">
      <c r="A62" s="472"/>
      <c r="B62" s="56" t="str">
        <f>VLOOKUP(D62,廠價表!$C$1:$E$40,2,0)</f>
        <v>小吃、微波</v>
      </c>
      <c r="C62" s="10"/>
      <c r="D62" s="239" t="s">
        <v>62</v>
      </c>
      <c r="E62" s="86"/>
      <c r="F62" s="56">
        <f>VLOOKUP(D62,廠價表!$C$1:$E$40,3,0)</f>
        <v>26.99</v>
      </c>
      <c r="G62" s="175">
        <v>1415</v>
      </c>
      <c r="H62" s="15">
        <f>F62*G62</f>
        <v>38190.85</v>
      </c>
      <c r="I62" s="81"/>
      <c r="J62" s="16">
        <f>VLOOKUP(D62,產線配置圖!$A$3:$C$39,2,0)</f>
        <v>13</v>
      </c>
      <c r="K62" s="14">
        <f>VLOOKUP(D62,產線配置圖!$A$3:$C$39,3,0)</f>
        <v>1565</v>
      </c>
      <c r="L62" s="17">
        <f>K62/J62</f>
        <v>120.38461538461539</v>
      </c>
      <c r="M62" s="178">
        <v>13</v>
      </c>
      <c r="N62" s="14">
        <f>G62/W62*60</f>
        <v>1543.6363636363646</v>
      </c>
      <c r="O62" s="17">
        <f>N62/M62</f>
        <v>118.74125874125882</v>
      </c>
      <c r="P62" s="18">
        <f>M62-J62</f>
        <v>0</v>
      </c>
      <c r="Q62" s="19">
        <f>O62-L62</f>
        <v>-1.6433566433565687</v>
      </c>
      <c r="R62" s="183">
        <f>O62/L62</f>
        <v>0.98634911414464188</v>
      </c>
      <c r="S62" s="420"/>
      <c r="T62" s="20">
        <v>0.55555555555555558</v>
      </c>
      <c r="U62" s="20">
        <v>0.59375</v>
      </c>
      <c r="V62" s="175">
        <f t="shared" si="65"/>
        <v>75.000000000000057</v>
      </c>
      <c r="W62" s="90">
        <f t="shared" si="18"/>
        <v>54.999999999999964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8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60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66">AVERAGE(J59:J68)</f>
        <v>12.5</v>
      </c>
      <c r="K69" s="164">
        <f t="shared" si="66"/>
        <v>1565</v>
      </c>
      <c r="L69" s="169">
        <f t="shared" si="66"/>
        <v>125.40064102564102</v>
      </c>
      <c r="M69" s="164">
        <f t="shared" si="66"/>
        <v>12.5</v>
      </c>
      <c r="N69" s="164">
        <f t="shared" si="66"/>
        <v>1444.6699604743092</v>
      </c>
      <c r="O69" s="169">
        <f t="shared" si="66"/>
        <v>115.44503458498031</v>
      </c>
      <c r="P69" s="170">
        <f>M69-J69</f>
        <v>0</v>
      </c>
      <c r="Q69" s="156">
        <f>N69-K69</f>
        <v>-120.33003952569084</v>
      </c>
      <c r="R69" s="120">
        <f>O69/L69</f>
        <v>0.92060960486936372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-120.33003952569084</v>
      </c>
      <c r="AC69" s="185">
        <f>N69/K69</f>
        <v>0.92311179583022951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8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8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67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67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67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67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67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P1:S2"/>
    <mergeCell ref="V3:V4"/>
    <mergeCell ref="T1:Y2"/>
    <mergeCell ref="Z1:AA2"/>
    <mergeCell ref="AB1:AD2"/>
    <mergeCell ref="AC3:AC4"/>
    <mergeCell ref="AD3:AD4"/>
    <mergeCell ref="P3:P4"/>
    <mergeCell ref="Q3:Q4"/>
    <mergeCell ref="R3:R4"/>
    <mergeCell ref="T3:U3"/>
    <mergeCell ref="S3:S4"/>
    <mergeCell ref="AB3:AB4"/>
    <mergeCell ref="Z3:AA4"/>
    <mergeCell ref="A5:A15"/>
    <mergeCell ref="N3:N4"/>
    <mergeCell ref="O3:O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H3:H4"/>
    <mergeCell ref="I3:I4"/>
    <mergeCell ref="J3:J4"/>
    <mergeCell ref="K3:K4"/>
    <mergeCell ref="L3:L4"/>
    <mergeCell ref="S5:S15"/>
    <mergeCell ref="M3:M4"/>
    <mergeCell ref="Z5:AA5"/>
    <mergeCell ref="AD5:AD15"/>
    <mergeCell ref="Z6:AA6"/>
    <mergeCell ref="Z7:AA7"/>
    <mergeCell ref="Z8:AA8"/>
    <mergeCell ref="Z9:AA9"/>
    <mergeCell ref="Z15:AA15"/>
    <mergeCell ref="Z10:AA10"/>
    <mergeCell ref="Z11:AA11"/>
    <mergeCell ref="Z12:AA12"/>
    <mergeCell ref="Z13:AA13"/>
    <mergeCell ref="Z14:AA14"/>
    <mergeCell ref="W3:W4"/>
    <mergeCell ref="X3:Y3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48:E48"/>
    <mergeCell ref="Z48:AA48"/>
    <mergeCell ref="A49:A58"/>
    <mergeCell ref="S49:S58"/>
    <mergeCell ref="Z49:AA49"/>
    <mergeCell ref="D58:E58"/>
    <mergeCell ref="Z55:AA55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6:AA56"/>
    <mergeCell ref="Z57:AA57"/>
    <mergeCell ref="Z58:AA58"/>
    <mergeCell ref="Z52:AA52"/>
    <mergeCell ref="Z53:AA53"/>
    <mergeCell ref="Z54:AA54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78" priority="1" operator="greaterThan">
      <formula>0</formula>
    </cfRule>
  </conditionalFormatting>
  <conditionalFormatting sqref="Q5:Q79 AB5:AB79">
    <cfRule type="cellIs" dxfId="177" priority="4" operator="lessThan">
      <formula>0</formula>
    </cfRule>
  </conditionalFormatting>
  <conditionalFormatting sqref="R5:R79 AC5:AC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D59:AD62 S69:S76 AD69:AD76">
    <cfRule type="cellIs" dxfId="174" priority="7" operator="lessThan">
      <formula>0.8</formula>
    </cfRule>
  </conditionalFormatting>
  <conditionalFormatting sqref="S19:S25 AD19:AD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D5:AD8 S15:S16 AD15:AD16 AD49 AD79">
    <cfRule type="cellIs" dxfId="171" priority="9" operator="lessThan">
      <formula>0.8</formula>
    </cfRule>
  </conditionalFormatting>
  <conditionalFormatting sqref="AD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M11" sqref="M11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46006</v>
      </c>
      <c r="E3" s="357"/>
      <c r="F3" s="202" t="s">
        <v>84</v>
      </c>
      <c r="G3" s="358">
        <f>'1215'!E1</f>
        <v>54654</v>
      </c>
      <c r="H3" s="358"/>
      <c r="I3" s="202" t="s">
        <v>2</v>
      </c>
      <c r="J3" s="359">
        <f>'1215'!G1</f>
        <v>2655256.7899999991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117.91074852478103</v>
      </c>
      <c r="G6" s="367"/>
      <c r="H6" s="360">
        <f>AVERAGE(D13:H13)</f>
        <v>116.212128998968</v>
      </c>
      <c r="I6" s="360"/>
      <c r="J6" s="360">
        <f>AVERAGE(I13:J13)</f>
        <v>126.40384615384615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106.14187557585331</v>
      </c>
      <c r="G7" s="362"/>
      <c r="H7" s="363">
        <f>AVERAGE(D14:H14)</f>
        <v>103.72966162037241</v>
      </c>
      <c r="I7" s="363"/>
      <c r="J7" s="363">
        <f>AVERAGE(I14:J14)</f>
        <v>118.20294535325777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0.89750880710484882</v>
      </c>
      <c r="G8" s="364"/>
      <c r="H8" s="364">
        <f>AVERAGE(D15:H15)</f>
        <v>0.88998628255687273</v>
      </c>
      <c r="I8" s="364"/>
      <c r="J8" s="364">
        <f>AVERAGE(I15:J15)</f>
        <v>0.93512142984472912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VALUE('1215'!L15)</f>
        <v>142.48868778280541</v>
      </c>
      <c r="E13" s="213">
        <f>VALUE('1215'!L26)</f>
        <v>160.58974358974359</v>
      </c>
      <c r="F13" s="213">
        <f>VALUE('1215'!L37)</f>
        <v>93.236111111111114</v>
      </c>
      <c r="G13" s="213">
        <f>VALUE('1215'!L48)</f>
        <v>95.893333333333345</v>
      </c>
      <c r="H13" s="213">
        <f>VALUE('1215'!L58)</f>
        <v>88.852769177846582</v>
      </c>
      <c r="I13" s="213">
        <f>VALUE('1215'!L69)</f>
        <v>126.40384615384615</v>
      </c>
      <c r="J13" s="213"/>
    </row>
    <row r="14" spans="2:15" ht="40" customHeight="1">
      <c r="B14" s="376"/>
      <c r="C14" s="212" t="s">
        <v>106</v>
      </c>
      <c r="D14" s="213">
        <f>VALUE('1215'!O15)</f>
        <v>129.3715014955178</v>
      </c>
      <c r="E14" s="213">
        <f>VALUE('1215'!O26)</f>
        <v>145.68984189778874</v>
      </c>
      <c r="F14" s="213">
        <f>VALUE('1215'!O37)</f>
        <v>80.364445798562244</v>
      </c>
      <c r="G14" s="213">
        <f>VALUE('1215'!O48)</f>
        <v>77.66212577208475</v>
      </c>
      <c r="H14" s="213">
        <f>VALUE('1215'!O58)</f>
        <v>85.560393137908548</v>
      </c>
      <c r="I14" s="213">
        <f>VALUE('1215'!O69)</f>
        <v>118.20294535325777</v>
      </c>
      <c r="J14" s="213"/>
    </row>
    <row r="15" spans="2:15" ht="40" customHeight="1">
      <c r="B15" s="377"/>
      <c r="C15" s="210" t="s">
        <v>23</v>
      </c>
      <c r="D15" s="231">
        <f>D14/D13</f>
        <v>0.90794226200411043</v>
      </c>
      <c r="E15" s="231">
        <f t="shared" ref="E15:I15" si="0">E14/E13</f>
        <v>0.90721760083247016</v>
      </c>
      <c r="F15" s="231">
        <f t="shared" si="0"/>
        <v>0.86194549344502924</v>
      </c>
      <c r="G15" s="231">
        <f t="shared" si="0"/>
        <v>0.80988034384126184</v>
      </c>
      <c r="H15" s="231">
        <f t="shared" si="0"/>
        <v>0.9629457126614922</v>
      </c>
      <c r="I15" s="231">
        <f t="shared" si="0"/>
        <v>0.93512142984472912</v>
      </c>
      <c r="J15" s="231"/>
    </row>
    <row r="16" spans="2:15" ht="17.25" customHeight="1">
      <c r="B16" s="378" t="s">
        <v>107</v>
      </c>
      <c r="C16" s="210" t="s">
        <v>29</v>
      </c>
      <c r="D16" s="95">
        <f>'1215'!T5</f>
        <v>0.2902777777777778</v>
      </c>
      <c r="E16" s="95">
        <f>'1215'!T16</f>
        <v>0.2902777777777778</v>
      </c>
      <c r="F16" s="95">
        <f>'1215'!T27</f>
        <v>0.29861111111111099</v>
      </c>
      <c r="G16" s="95">
        <f>'1215'!T38</f>
        <v>0.29166666666666669</v>
      </c>
      <c r="H16" s="95">
        <f>'1215'!T49</f>
        <v>0.29097222222222224</v>
      </c>
      <c r="I16" s="95">
        <f>'1215'!T59</f>
        <v>0.2902777777777778</v>
      </c>
      <c r="J16" s="269"/>
    </row>
    <row r="17" spans="2:10" ht="17.25" customHeight="1">
      <c r="B17" s="379"/>
      <c r="C17" s="210" t="s">
        <v>30</v>
      </c>
      <c r="D17" s="20">
        <v>0.64097222222222228</v>
      </c>
      <c r="E17" s="41">
        <v>0.62013888888888891</v>
      </c>
      <c r="F17" s="41">
        <v>0.65277777777777779</v>
      </c>
      <c r="G17" s="75">
        <v>0.67361111111111116</v>
      </c>
      <c r="H17" s="79">
        <v>0.65763888888888888</v>
      </c>
      <c r="I17" s="20">
        <v>0.61458333333333337</v>
      </c>
      <c r="J17" s="20"/>
    </row>
    <row r="18" spans="2:10" ht="17.25" customHeight="1">
      <c r="B18" s="365" t="s">
        <v>108</v>
      </c>
      <c r="C18" s="366"/>
      <c r="D18" s="214">
        <f>VALUE('1215'!M15)</f>
        <v>14</v>
      </c>
      <c r="E18" s="214">
        <f>VALUE('1215'!M26)</f>
        <v>12.6</v>
      </c>
      <c r="F18" s="214">
        <f>VALUE('1215'!M37)</f>
        <v>14.25</v>
      </c>
      <c r="G18" s="214">
        <f>VALUE('1215'!M48)</f>
        <v>15</v>
      </c>
      <c r="H18" s="214">
        <f>VALUE('1215'!M58)</f>
        <v>17.8</v>
      </c>
      <c r="I18" s="214">
        <f>VALUE('1215'!M69)</f>
        <v>12.4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J50" activePane="bottomRight" state="frozen"/>
      <selection activeCell="M11" sqref="M11"/>
      <selection pane="topRight" activeCell="M11" sqref="M11"/>
      <selection pane="bottomLeft" activeCell="M11" sqref="M11"/>
      <selection pane="bottomRight" activeCell="V63" activeCellId="15" sqref="V6 V7 V8 V17 V18 V20 V28 V30 V39 V40 V42 V50 V51 V60 V61 V63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54654</v>
      </c>
      <c r="F1" s="175" t="s">
        <v>2</v>
      </c>
      <c r="G1" s="4">
        <f>SUM(H5:H79)</f>
        <v>2655256.7899999991</v>
      </c>
      <c r="H1" s="173" t="s">
        <v>3</v>
      </c>
      <c r="I1" s="5">
        <f>M15+M26+M48+M58+M69+M79+M37</f>
        <v>86.050000000000011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161</v>
      </c>
      <c r="B2" s="404"/>
      <c r="C2" s="174"/>
      <c r="D2" s="174" t="s">
        <v>11</v>
      </c>
      <c r="E2" s="7">
        <f>AVERAGE(O15,O26,O37,O48,O58,O69,O79)</f>
        <v>106.14187557585331</v>
      </c>
      <c r="F2" s="8" t="s">
        <v>12</v>
      </c>
      <c r="G2" s="9">
        <f>G1/E1</f>
        <v>48.583027591759048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1496</v>
      </c>
      <c r="H5" s="318">
        <f>F5*G5</f>
        <v>85586.16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 t="shared" ref="L5:L10" si="0">K5/J5</f>
        <v>161.92307692307693</v>
      </c>
      <c r="M5" s="323">
        <v>13</v>
      </c>
      <c r="N5" s="321">
        <f t="shared" ref="N5:N9" si="1">G5/W5*60</f>
        <v>1831.836734693878</v>
      </c>
      <c r="O5" s="322">
        <f t="shared" ref="O5:O9" si="2">N5/M5</f>
        <v>140.91051805337523</v>
      </c>
      <c r="P5" s="324">
        <f t="shared" ref="P5:P9" si="3">M5-J5</f>
        <v>0</v>
      </c>
      <c r="Q5" s="325">
        <f t="shared" ref="Q5:Q9" si="4">O5-L5</f>
        <v>-21.012558869701706</v>
      </c>
      <c r="R5" s="326">
        <f t="shared" ref="R5:R10" si="5">O5/L5</f>
        <v>0.87023122788307739</v>
      </c>
      <c r="S5" s="419">
        <f>R15</f>
        <v>0.90794226200411043</v>
      </c>
      <c r="T5" s="327">
        <v>0.2902777777777778</v>
      </c>
      <c r="U5" s="328">
        <v>0.32430555555555557</v>
      </c>
      <c r="V5" s="192"/>
      <c r="W5" s="106">
        <f t="shared" ref="W5:W14" si="6">(U5-T5)*24*60</f>
        <v>48.999999999999986</v>
      </c>
      <c r="X5" s="186"/>
      <c r="Y5" s="186"/>
      <c r="Z5" s="425"/>
      <c r="AA5" s="425"/>
      <c r="AB5" s="110">
        <f>N5-K5</f>
        <v>-273.16326530612196</v>
      </c>
      <c r="AC5" s="182">
        <f>N5/K5</f>
        <v>0.8702312278830775</v>
      </c>
      <c r="AD5" s="411">
        <f>AC15</f>
        <v>0.90704420300801347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1208</v>
      </c>
      <c r="H6" s="307">
        <f>F6*G6</f>
        <v>68167.44</v>
      </c>
      <c r="I6" s="308"/>
      <c r="J6" s="309">
        <f>VLOOKUP(D6,產線配置圖!$A$3:$C$39,2,0)</f>
        <v>15</v>
      </c>
      <c r="K6" s="306">
        <v>1800</v>
      </c>
      <c r="L6" s="310">
        <f t="shared" si="0"/>
        <v>120</v>
      </c>
      <c r="M6" s="311">
        <v>15</v>
      </c>
      <c r="N6" s="306">
        <f t="shared" si="1"/>
        <v>1271.5789473683988</v>
      </c>
      <c r="O6" s="310">
        <f t="shared" si="2"/>
        <v>84.771929824559919</v>
      </c>
      <c r="P6" s="312">
        <f t="shared" si="3"/>
        <v>0</v>
      </c>
      <c r="Q6" s="313">
        <f t="shared" si="4"/>
        <v>-35.228070175440081</v>
      </c>
      <c r="R6" s="314">
        <f t="shared" si="5"/>
        <v>0.70643274853799931</v>
      </c>
      <c r="S6" s="420"/>
      <c r="T6" s="95">
        <v>0.33333333333333298</v>
      </c>
      <c r="U6" s="95">
        <v>0.37291666666666701</v>
      </c>
      <c r="V6" s="175">
        <f>(T6-U5)*24*60</f>
        <v>12.999999999999474</v>
      </c>
      <c r="W6" s="180">
        <f t="shared" si="6"/>
        <v>57.000000000000995</v>
      </c>
      <c r="X6" s="22"/>
      <c r="Y6" s="22"/>
      <c r="Z6" s="475" t="s">
        <v>138</v>
      </c>
      <c r="AA6" s="476"/>
      <c r="AB6" s="18">
        <f>N6-K6</f>
        <v>-528.42105263160124</v>
      </c>
      <c r="AC6" s="183">
        <f>N6/K6</f>
        <v>0.70643274853799931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v>1787</v>
      </c>
      <c r="H7" s="15">
        <f t="shared" ref="H7:H9" si="7">F7*G7</f>
        <v>102234.27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 t="shared" si="0"/>
        <v>111.47058823529412</v>
      </c>
      <c r="M7" s="178">
        <v>17</v>
      </c>
      <c r="N7" s="14">
        <f t="shared" si="1"/>
        <v>1881.0526315789618</v>
      </c>
      <c r="O7" s="17">
        <f t="shared" si="2"/>
        <v>110.65015479876246</v>
      </c>
      <c r="P7" s="18">
        <f t="shared" si="3"/>
        <v>0</v>
      </c>
      <c r="Q7" s="19">
        <f t="shared" si="4"/>
        <v>-0.82043343653165834</v>
      </c>
      <c r="R7" s="183">
        <f t="shared" si="5"/>
        <v>0.99263991112346273</v>
      </c>
      <c r="S7" s="420"/>
      <c r="T7" s="267">
        <v>0.37986111111111098</v>
      </c>
      <c r="U7" s="267">
        <v>0.41944444444444401</v>
      </c>
      <c r="V7" s="175">
        <f>(T7-U6)*24*60</f>
        <v>9.999999999999325</v>
      </c>
      <c r="W7" s="180">
        <f t="shared" si="6"/>
        <v>56.999999999999559</v>
      </c>
      <c r="X7" s="22"/>
      <c r="Y7" s="22"/>
      <c r="Z7" s="405"/>
      <c r="AA7" s="405"/>
      <c r="AB7" s="18">
        <f>N7-K7</f>
        <v>-13.947368421038163</v>
      </c>
      <c r="AC7" s="183">
        <f>N7/K7</f>
        <v>0.99263991112346273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2371</v>
      </c>
      <c r="H8" s="15">
        <f t="shared" si="7"/>
        <v>116510.94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 t="shared" si="0"/>
        <v>153.84615384615384</v>
      </c>
      <c r="M8" s="178">
        <v>13</v>
      </c>
      <c r="N8" s="14">
        <f t="shared" si="1"/>
        <v>1896.8000000000109</v>
      </c>
      <c r="O8" s="17">
        <f t="shared" si="2"/>
        <v>145.90769230769314</v>
      </c>
      <c r="P8" s="18">
        <f t="shared" si="3"/>
        <v>0</v>
      </c>
      <c r="Q8" s="19">
        <f t="shared" si="4"/>
        <v>-7.9384615384607002</v>
      </c>
      <c r="R8" s="183">
        <f t="shared" si="5"/>
        <v>0.94840000000000546</v>
      </c>
      <c r="S8" s="420"/>
      <c r="T8" s="95">
        <v>0.42499999999999999</v>
      </c>
      <c r="U8" s="95">
        <v>0.47708333333333303</v>
      </c>
      <c r="V8" s="175">
        <f t="shared" ref="V8:V9" si="8">(T8-U7)*24*60</f>
        <v>8.0000000000006111</v>
      </c>
      <c r="W8" s="180">
        <f t="shared" si="6"/>
        <v>74.999999999999574</v>
      </c>
      <c r="X8" s="22"/>
      <c r="Y8" s="260"/>
      <c r="Z8" s="416"/>
      <c r="AA8" s="416"/>
      <c r="AB8" s="18">
        <f>N8-K8</f>
        <v>-103.19999999998913</v>
      </c>
      <c r="AC8" s="183">
        <f>N8/K8</f>
        <v>0.94840000000000546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1164</v>
      </c>
      <c r="H9" s="15">
        <f t="shared" si="7"/>
        <v>57198.96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 t="shared" si="0"/>
        <v>153.84615384615384</v>
      </c>
      <c r="M9" s="178">
        <v>13</v>
      </c>
      <c r="N9" s="14">
        <f t="shared" si="1"/>
        <v>1887.5675675675986</v>
      </c>
      <c r="O9" s="17">
        <f t="shared" si="2"/>
        <v>145.19750519750758</v>
      </c>
      <c r="P9" s="18">
        <f t="shared" si="3"/>
        <v>0</v>
      </c>
      <c r="Q9" s="19">
        <f t="shared" si="4"/>
        <v>-8.6486486486462582</v>
      </c>
      <c r="R9" s="183">
        <f t="shared" si="5"/>
        <v>0.94378378378379935</v>
      </c>
      <c r="S9" s="421"/>
      <c r="T9" s="95">
        <v>0.54027777777777797</v>
      </c>
      <c r="U9" s="95">
        <v>0.56597222222222199</v>
      </c>
      <c r="V9" s="175">
        <f t="shared" si="8"/>
        <v>91.000000000000711</v>
      </c>
      <c r="W9" s="180">
        <f t="shared" si="6"/>
        <v>36.999999999999389</v>
      </c>
      <c r="X9" s="22"/>
      <c r="Y9" s="260"/>
      <c r="Z9" s="475"/>
      <c r="AA9" s="476"/>
      <c r="AB9" s="18">
        <f>N9-K9</f>
        <v>-112.43243243240136</v>
      </c>
      <c r="AC9" s="183">
        <f>N9/K9</f>
        <v>0.94378378378379935</v>
      </c>
      <c r="AD9" s="413"/>
    </row>
    <row r="10" spans="1:30" ht="15" customHeight="1">
      <c r="A10" s="409"/>
      <c r="B10" s="56" t="str">
        <f>VLOOKUP(D10,廠價表!$C$1:$E$40,2,0)</f>
        <v>義大利麵</v>
      </c>
      <c r="C10" s="23"/>
      <c r="D10" s="11" t="s">
        <v>34</v>
      </c>
      <c r="E10" s="12"/>
      <c r="F10" s="56">
        <f>VLOOKUP(D10,廠價表!$C$1:$E$40,3,0)</f>
        <v>49.14</v>
      </c>
      <c r="G10" s="25">
        <v>2031</v>
      </c>
      <c r="H10" s="15">
        <f>F10*G10</f>
        <v>99803.34</v>
      </c>
      <c r="I10" s="180"/>
      <c r="J10" s="16">
        <f>VLOOKUP(D10,產線配置圖!$A$3:$C$39,2,0)</f>
        <v>13</v>
      </c>
      <c r="K10" s="14">
        <f>VLOOKUP(D10,產線配置圖!$A$3:$C$39,3,0)</f>
        <v>2000</v>
      </c>
      <c r="L10" s="17">
        <f t="shared" si="0"/>
        <v>153.84615384615384</v>
      </c>
      <c r="M10" s="178">
        <v>13</v>
      </c>
      <c r="N10" s="14">
        <f>G10/W10*60</f>
        <v>1934.285714285711</v>
      </c>
      <c r="O10" s="17">
        <f>N10/M10</f>
        <v>148.79120879120853</v>
      </c>
      <c r="P10" s="18">
        <f>M10-J10</f>
        <v>0</v>
      </c>
      <c r="Q10" s="19">
        <f>O10-L10</f>
        <v>-5.054945054945307</v>
      </c>
      <c r="R10" s="183">
        <f t="shared" si="5"/>
        <v>0.96714285714285553</v>
      </c>
      <c r="S10" s="421"/>
      <c r="T10" s="20">
        <v>0.59722222222222221</v>
      </c>
      <c r="U10" s="20">
        <v>0.64097222222222228</v>
      </c>
      <c r="V10" s="175"/>
      <c r="W10" s="180">
        <f t="shared" si="6"/>
        <v>63.000000000000099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9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6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9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6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6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6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10">AVERAGE(J5:J14)</f>
        <v>14</v>
      </c>
      <c r="K15" s="117">
        <f t="shared" si="10"/>
        <v>1966.6666666666667</v>
      </c>
      <c r="L15" s="114">
        <f t="shared" si="10"/>
        <v>142.48868778280541</v>
      </c>
      <c r="M15" s="117">
        <f t="shared" si="10"/>
        <v>14</v>
      </c>
      <c r="N15" s="117">
        <f t="shared" si="10"/>
        <v>1783.8535992490931</v>
      </c>
      <c r="O15" s="114">
        <f t="shared" si="10"/>
        <v>129.3715014955178</v>
      </c>
      <c r="P15" s="118">
        <f t="shared" ref="P15:P20" si="11">M15-J15</f>
        <v>0</v>
      </c>
      <c r="Q15" s="119">
        <f t="shared" ref="Q15:Q20" si="12">O15-L15</f>
        <v>-13.117186287287609</v>
      </c>
      <c r="R15" s="120">
        <f t="shared" ref="R15:R20" si="13">O15/L15</f>
        <v>0.90794226200411043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4">N15-K15</f>
        <v>-182.81306741757362</v>
      </c>
      <c r="AC15" s="185">
        <f t="shared" ref="AC15:AC20" si="15">N15/K15</f>
        <v>0.90704420300801347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1294</v>
      </c>
      <c r="H16" s="124">
        <f t="shared" ref="H16:H25" si="16">F16*G16</f>
        <v>74029.740000000005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20" si="17">K16/J16</f>
        <v>161.92307692307693</v>
      </c>
      <c r="M16" s="264">
        <v>13</v>
      </c>
      <c r="N16" s="126">
        <f t="shared" ref="N16:N20" si="18">G16/W16*60</f>
        <v>1764.5454545454545</v>
      </c>
      <c r="O16" s="127">
        <f>N16/M16</f>
        <v>135.73426573426573</v>
      </c>
      <c r="P16" s="128">
        <f>M16-J16</f>
        <v>0</v>
      </c>
      <c r="Q16" s="129">
        <f t="shared" si="12"/>
        <v>-26.188811188811201</v>
      </c>
      <c r="R16" s="187">
        <f>O16/L16</f>
        <v>0.83826387389332746</v>
      </c>
      <c r="S16" s="431">
        <f>R26</f>
        <v>0.90721760083247016</v>
      </c>
      <c r="T16" s="265">
        <v>0.2902777777777778</v>
      </c>
      <c r="U16" s="265">
        <v>0.32083333333333336</v>
      </c>
      <c r="V16" s="125"/>
      <c r="W16" s="130">
        <f t="shared" ref="W16:W78" si="19">(U16-T16)*24*60</f>
        <v>44</v>
      </c>
      <c r="X16" s="127"/>
      <c r="Y16" s="127"/>
      <c r="Z16" s="425" t="s">
        <v>55</v>
      </c>
      <c r="AA16" s="425"/>
      <c r="AB16" s="110">
        <f t="shared" si="14"/>
        <v>-340.4545454545455</v>
      </c>
      <c r="AC16" s="182">
        <f t="shared" si="15"/>
        <v>0.83826387389332757</v>
      </c>
      <c r="AD16" s="411">
        <f>AC26</f>
        <v>0.9063537308195212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2922</v>
      </c>
      <c r="H17" s="15">
        <f t="shared" si="16"/>
        <v>148057.74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7"/>
        <v>153.84615384615384</v>
      </c>
      <c r="M17" s="37">
        <v>13</v>
      </c>
      <c r="N17" s="36">
        <f>G17/W17*60</f>
        <v>1826.2500000000007</v>
      </c>
      <c r="O17" s="38">
        <f t="shared" ref="O17:O20" si="20">N17/M17</f>
        <v>140.48076923076928</v>
      </c>
      <c r="P17" s="39">
        <f t="shared" si="11"/>
        <v>0</v>
      </c>
      <c r="Q17" s="40">
        <f t="shared" si="12"/>
        <v>-13.365384615384556</v>
      </c>
      <c r="R17" s="188">
        <f t="shared" si="13"/>
        <v>0.91312500000000041</v>
      </c>
      <c r="S17" s="432"/>
      <c r="T17" s="41">
        <v>0.32916666666666666</v>
      </c>
      <c r="U17" s="41">
        <v>0.39583333333333331</v>
      </c>
      <c r="V17" s="175">
        <f>(T17-U16)*24*60</f>
        <v>11.999999999999957</v>
      </c>
      <c r="W17" s="43">
        <f t="shared" si="19"/>
        <v>95.999999999999972</v>
      </c>
      <c r="X17" s="44"/>
      <c r="Y17" s="44"/>
      <c r="Z17" s="405"/>
      <c r="AA17" s="405"/>
      <c r="AB17" s="18">
        <f t="shared" si="14"/>
        <v>-173.74999999999932</v>
      </c>
      <c r="AC17" s="183">
        <f t="shared" si="15"/>
        <v>0.9131250000000003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3346</v>
      </c>
      <c r="H18" s="15">
        <f t="shared" si="16"/>
        <v>168604.94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7"/>
        <v>166.66666666666666</v>
      </c>
      <c r="M18" s="37">
        <v>12</v>
      </c>
      <c r="N18" s="36">
        <f t="shared" si="18"/>
        <v>1893.9622641509429</v>
      </c>
      <c r="O18" s="38">
        <f t="shared" si="20"/>
        <v>157.83018867924525</v>
      </c>
      <c r="P18" s="39">
        <f t="shared" si="11"/>
        <v>0</v>
      </c>
      <c r="Q18" s="40">
        <f t="shared" si="12"/>
        <v>-8.8364779874214037</v>
      </c>
      <c r="R18" s="188">
        <f t="shared" si="13"/>
        <v>0.94698113207547152</v>
      </c>
      <c r="S18" s="432"/>
      <c r="T18" s="41">
        <v>0.40555555555555556</v>
      </c>
      <c r="U18" s="41">
        <v>0.47916666666666669</v>
      </c>
      <c r="V18" s="175">
        <f>(T18-U17)*24*60</f>
        <v>14.00000000000003</v>
      </c>
      <c r="W18" s="43">
        <f t="shared" si="19"/>
        <v>106.00000000000003</v>
      </c>
      <c r="X18" s="22"/>
      <c r="Y18" s="22"/>
      <c r="Z18" s="405"/>
      <c r="AA18" s="405"/>
      <c r="AB18" s="18">
        <f t="shared" si="14"/>
        <v>-106.03773584905707</v>
      </c>
      <c r="AC18" s="183">
        <f t="shared" si="15"/>
        <v>0.94698113207547141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41</v>
      </c>
      <c r="E19" s="86"/>
      <c r="F19" s="56">
        <f>VLOOKUP(D19,廠價表!$C$1:$E$40,3,0)</f>
        <v>50.39</v>
      </c>
      <c r="G19" s="96">
        <v>1809</v>
      </c>
      <c r="H19" s="15">
        <f t="shared" si="16"/>
        <v>91155.51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7"/>
        <v>166.66666666666666</v>
      </c>
      <c r="M19" s="37">
        <v>12</v>
      </c>
      <c r="N19" s="36">
        <f t="shared" si="18"/>
        <v>1839.6610169491489</v>
      </c>
      <c r="O19" s="38">
        <f t="shared" si="20"/>
        <v>153.3050847457624</v>
      </c>
      <c r="P19" s="39">
        <f t="shared" si="11"/>
        <v>0</v>
      </c>
      <c r="Q19" s="40">
        <f t="shared" si="12"/>
        <v>-13.361581920904257</v>
      </c>
      <c r="R19" s="188">
        <f t="shared" si="13"/>
        <v>0.91983050847457448</v>
      </c>
      <c r="S19" s="432"/>
      <c r="T19" s="41">
        <v>0.54166666666666663</v>
      </c>
      <c r="U19" s="41">
        <v>0.58263888888888893</v>
      </c>
      <c r="V19" s="175">
        <f>(T19-U18)*24*60</f>
        <v>89.999999999999915</v>
      </c>
      <c r="W19" s="43">
        <f t="shared" si="19"/>
        <v>59.000000000000114</v>
      </c>
      <c r="X19" s="22"/>
      <c r="Y19" s="260"/>
      <c r="Z19" s="416"/>
      <c r="AA19" s="416"/>
      <c r="AB19" s="18">
        <f t="shared" si="14"/>
        <v>-160.33898305085108</v>
      </c>
      <c r="AC19" s="183">
        <f t="shared" si="15"/>
        <v>0.91983050847457448</v>
      </c>
      <c r="AD19" s="413"/>
    </row>
    <row r="20" spans="1:30" ht="15" customHeight="1">
      <c r="A20" s="440"/>
      <c r="B20" s="56" t="str">
        <f>VLOOKUP(D20,廠價表!$C$1:$E$40,2,0)</f>
        <v>義大利麵</v>
      </c>
      <c r="C20" s="10"/>
      <c r="D20" s="11" t="s">
        <v>40</v>
      </c>
      <c r="E20" s="86"/>
      <c r="F20" s="56">
        <f>VLOOKUP(D20,廠價表!$C$1:$E$40,3,0)</f>
        <v>50.67</v>
      </c>
      <c r="G20" s="96">
        <v>1284</v>
      </c>
      <c r="H20" s="15">
        <f t="shared" si="16"/>
        <v>65060.28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 t="shared" si="17"/>
        <v>153.84615384615384</v>
      </c>
      <c r="M20" s="37">
        <v>13</v>
      </c>
      <c r="N20" s="36">
        <f t="shared" si="18"/>
        <v>1834.2857142857138</v>
      </c>
      <c r="O20" s="38">
        <f t="shared" si="20"/>
        <v>141.09890109890105</v>
      </c>
      <c r="P20" s="39">
        <f t="shared" si="11"/>
        <v>0</v>
      </c>
      <c r="Q20" s="40">
        <f t="shared" si="12"/>
        <v>-12.747252747252787</v>
      </c>
      <c r="R20" s="188">
        <f t="shared" si="13"/>
        <v>0.91714285714285693</v>
      </c>
      <c r="S20" s="432"/>
      <c r="T20" s="41">
        <v>0.59097222222222223</v>
      </c>
      <c r="U20" s="41">
        <v>0.62013888888888891</v>
      </c>
      <c r="V20" s="175">
        <f>(T20-U19)*24*60</f>
        <v>11.999999999999957</v>
      </c>
      <c r="W20" s="43">
        <f t="shared" si="19"/>
        <v>42.000000000000014</v>
      </c>
      <c r="X20" s="44"/>
      <c r="Y20" s="44"/>
      <c r="Z20" s="418"/>
      <c r="AA20" s="405"/>
      <c r="AB20" s="18">
        <f t="shared" si="14"/>
        <v>-165.71428571428623</v>
      </c>
      <c r="AC20" s="183">
        <f t="shared" si="15"/>
        <v>0.91714285714285693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9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9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9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9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1">AVERAGE(J16:J25)</f>
        <v>12.6</v>
      </c>
      <c r="K26" s="133">
        <f t="shared" si="21"/>
        <v>2021</v>
      </c>
      <c r="L26" s="136">
        <f t="shared" si="21"/>
        <v>160.58974358974359</v>
      </c>
      <c r="M26" s="133">
        <f t="shared" si="21"/>
        <v>12.6</v>
      </c>
      <c r="N26" s="133">
        <f t="shared" si="21"/>
        <v>1831.7408899862523</v>
      </c>
      <c r="O26" s="136">
        <f t="shared" si="21"/>
        <v>145.68984189778874</v>
      </c>
      <c r="P26" s="137">
        <f t="shared" ref="P26:P30" si="22">M26-J26</f>
        <v>0</v>
      </c>
      <c r="Q26" s="138">
        <f t="shared" ref="Q26:Q30" si="23">O26-L26</f>
        <v>-14.899901691954852</v>
      </c>
      <c r="R26" s="139">
        <f t="shared" ref="R26:R30" si="24">O26/L26</f>
        <v>0.90721760083247016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-189.25911001374766</v>
      </c>
      <c r="AC26" s="185">
        <f>N26/K26</f>
        <v>0.9063537308195212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v>2315</v>
      </c>
      <c r="H27" s="124">
        <f t="shared" ref="H27:H47" si="25">F27*G27</f>
        <v>110448.65000000001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13</v>
      </c>
      <c r="N27" s="126">
        <f>G27/W27*60</f>
        <v>925.99999999999682</v>
      </c>
      <c r="O27" s="127">
        <f>N27/M27</f>
        <v>71.230769230768985</v>
      </c>
      <c r="P27" s="128">
        <f t="shared" si="22"/>
        <v>-2</v>
      </c>
      <c r="Q27" s="129">
        <f t="shared" si="23"/>
        <v>-28.769230769231015</v>
      </c>
      <c r="R27" s="187">
        <f>O27/L27</f>
        <v>0.71230769230768987</v>
      </c>
      <c r="S27" s="431">
        <f>R37</f>
        <v>0.86194549344502924</v>
      </c>
      <c r="T27" s="94">
        <v>0.29861111111111099</v>
      </c>
      <c r="U27" s="94">
        <v>0.40277777777777801</v>
      </c>
      <c r="V27" s="125"/>
      <c r="W27" s="130">
        <f t="shared" si="19"/>
        <v>150.00000000000051</v>
      </c>
      <c r="X27" s="125"/>
      <c r="Y27" s="125" t="s">
        <v>47</v>
      </c>
      <c r="Z27" s="434" t="s">
        <v>157</v>
      </c>
      <c r="AA27" s="425"/>
      <c r="AB27" s="223">
        <f>N27-K27</f>
        <v>-574.00000000000318</v>
      </c>
      <c r="AC27" s="288">
        <f>N27/K27</f>
        <v>0.61733333333333118</v>
      </c>
      <c r="AD27" s="411">
        <f>AC37</f>
        <v>0.78494588402336241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1813</v>
      </c>
      <c r="H28" s="50">
        <f t="shared" si="25"/>
        <v>99950.69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16</v>
      </c>
      <c r="N28" s="36">
        <f>G28/W28*60</f>
        <v>1145.0526315789475</v>
      </c>
      <c r="O28" s="38">
        <f>N28/M28</f>
        <v>71.56578947368422</v>
      </c>
      <c r="P28" s="39">
        <f t="shared" si="22"/>
        <v>-2</v>
      </c>
      <c r="Q28" s="40">
        <f t="shared" si="23"/>
        <v>-5.3786549707602234</v>
      </c>
      <c r="R28" s="188">
        <f t="shared" si="24"/>
        <v>0.93009690290708735</v>
      </c>
      <c r="S28" s="432"/>
      <c r="T28" s="267">
        <v>0.40625</v>
      </c>
      <c r="U28" s="41">
        <v>0.47222222222222221</v>
      </c>
      <c r="V28" s="42">
        <f>(T28-U27)*24*60</f>
        <v>4.9999999999996625</v>
      </c>
      <c r="W28" s="43">
        <f t="shared" si="19"/>
        <v>94.999999999999986</v>
      </c>
      <c r="X28" s="54"/>
      <c r="Y28" s="54"/>
      <c r="Z28" s="418"/>
      <c r="AA28" s="417"/>
      <c r="AB28" s="39">
        <f>N28-K28</f>
        <v>-239.94736842105249</v>
      </c>
      <c r="AC28" s="188">
        <f>N28/K28</f>
        <v>0.82675280258407757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1498</v>
      </c>
      <c r="H29" s="50">
        <f t="shared" si="25"/>
        <v>85835.4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14</v>
      </c>
      <c r="N29" s="36">
        <f>G29/W29*60</f>
        <v>1198.3999999999992</v>
      </c>
      <c r="O29" s="38">
        <f>N29/M29</f>
        <v>85.599999999999937</v>
      </c>
      <c r="P29" s="39">
        <f t="shared" si="22"/>
        <v>-1</v>
      </c>
      <c r="Q29" s="40">
        <f t="shared" si="23"/>
        <v>-10.400000000000063</v>
      </c>
      <c r="R29" s="188">
        <f t="shared" si="24"/>
        <v>0.89166666666666605</v>
      </c>
      <c r="S29" s="432"/>
      <c r="T29" s="41">
        <v>0.53819444444444442</v>
      </c>
      <c r="U29" s="41">
        <v>0.59027777777777779</v>
      </c>
      <c r="V29" s="42">
        <f>(T29-U28)*24*60</f>
        <v>94.999999999999986</v>
      </c>
      <c r="W29" s="43">
        <f t="shared" si="19"/>
        <v>75.000000000000057</v>
      </c>
      <c r="X29" s="22"/>
      <c r="Y29" s="22"/>
      <c r="Z29" s="418"/>
      <c r="AA29" s="417"/>
      <c r="AB29" s="289">
        <f>N29-K29</f>
        <v>-241.60000000000082</v>
      </c>
      <c r="AC29" s="188">
        <f>N29/K29</f>
        <v>0.83222222222222164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49</v>
      </c>
      <c r="E30" s="29"/>
      <c r="F30" s="56">
        <f>VLOOKUP(D30,廠價表!$C$1:$E$40,3,0)</f>
        <v>47.71</v>
      </c>
      <c r="G30" s="53">
        <v>1520</v>
      </c>
      <c r="H30" s="50">
        <f t="shared" si="25"/>
        <v>72519.199999999997</v>
      </c>
      <c r="I30" s="42"/>
      <c r="J30" s="16">
        <f>VLOOKUP(D30,產線配置圖!$A$3:$C$39,2,0)</f>
        <v>15</v>
      </c>
      <c r="K30" s="14">
        <f>VLOOKUP(D30,產線配置圖!$A$3:$C$39,3,0)</f>
        <v>1500</v>
      </c>
      <c r="L30" s="233">
        <f>K30/J30</f>
        <v>100</v>
      </c>
      <c r="M30" s="21">
        <v>14</v>
      </c>
      <c r="N30" s="36">
        <f>G30/W30*60</f>
        <v>1302.8571428571418</v>
      </c>
      <c r="O30" s="38">
        <f>N30/M30</f>
        <v>93.061224489795833</v>
      </c>
      <c r="P30" s="39">
        <f t="shared" si="22"/>
        <v>-1</v>
      </c>
      <c r="Q30" s="40">
        <f t="shared" si="23"/>
        <v>-6.9387755102041666</v>
      </c>
      <c r="R30" s="188">
        <f t="shared" si="24"/>
        <v>0.93061224489795835</v>
      </c>
      <c r="S30" s="432"/>
      <c r="T30" s="41">
        <v>0.60416666666666663</v>
      </c>
      <c r="U30" s="41">
        <v>0.65277777777777779</v>
      </c>
      <c r="V30" s="42">
        <f>(T30-U29)*24*60</f>
        <v>19.999999999999929</v>
      </c>
      <c r="W30" s="43">
        <f t="shared" si="19"/>
        <v>70.000000000000071</v>
      </c>
      <c r="X30" s="54"/>
      <c r="Y30" s="54"/>
      <c r="Z30" s="418"/>
      <c r="AA30" s="417"/>
      <c r="AB30" s="289">
        <f>N30-K30</f>
        <v>-197.14285714285825</v>
      </c>
      <c r="AC30" s="188">
        <f>N30/K30</f>
        <v>0.86857142857142788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9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9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5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9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5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9"/>
        <v>0</v>
      </c>
      <c r="X34" s="54"/>
      <c r="Y34" s="54"/>
      <c r="Z34" s="479"/>
      <c r="AA34" s="389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5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9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9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6">AVERAGE(J27:J36)</f>
        <v>15.75</v>
      </c>
      <c r="K37" s="282">
        <f t="shared" si="26"/>
        <v>1456.25</v>
      </c>
      <c r="L37" s="283">
        <f t="shared" si="26"/>
        <v>93.236111111111114</v>
      </c>
      <c r="M37" s="282">
        <f t="shared" si="26"/>
        <v>14.25</v>
      </c>
      <c r="N37" s="282">
        <f t="shared" si="26"/>
        <v>1143.0774436090214</v>
      </c>
      <c r="O37" s="283">
        <f t="shared" si="26"/>
        <v>80.364445798562244</v>
      </c>
      <c r="P37" s="73">
        <f>M37-J37</f>
        <v>-1.5</v>
      </c>
      <c r="Q37" s="74">
        <f>N37-K37</f>
        <v>-313.17255639097857</v>
      </c>
      <c r="R37" s="284">
        <f t="shared" ref="R37:R42" si="27">O37/L37</f>
        <v>0.86194549344502924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28">N37-K37</f>
        <v>-313.17255639097857</v>
      </c>
      <c r="AC37" s="184">
        <f t="shared" ref="AC37:AC41" si="29">N37/K37</f>
        <v>0.78494588402336241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1934</v>
      </c>
      <c r="H38" s="124">
        <f t="shared" si="25"/>
        <v>110818.2</v>
      </c>
      <c r="I38" s="125"/>
      <c r="J38" s="331">
        <f>VLOOKUP(D38,產線配置圖!$A$3:$C$39,2,0)</f>
        <v>15</v>
      </c>
      <c r="K38" s="234">
        <v>1500</v>
      </c>
      <c r="L38" s="285">
        <f t="shared" ref="L38:L42" si="30">K38/J38</f>
        <v>100</v>
      </c>
      <c r="M38" s="286">
        <v>15</v>
      </c>
      <c r="N38" s="126">
        <f>G38/W38*60</f>
        <v>1054.9090909090908</v>
      </c>
      <c r="O38" s="127">
        <f>N38/M38</f>
        <v>70.327272727272714</v>
      </c>
      <c r="P38" s="128">
        <f t="shared" ref="P38:P42" si="31">M38-J38</f>
        <v>0</v>
      </c>
      <c r="Q38" s="129">
        <f t="shared" ref="Q38:Q42" si="32">O38-L38</f>
        <v>-29.672727272727286</v>
      </c>
      <c r="R38" s="187">
        <f t="shared" si="27"/>
        <v>0.70327272727272716</v>
      </c>
      <c r="S38" s="460">
        <f>R48</f>
        <v>0.80988034384126184</v>
      </c>
      <c r="T38" s="149">
        <v>0.29166666666666669</v>
      </c>
      <c r="U38" s="149">
        <v>0.36805555555555558</v>
      </c>
      <c r="V38" s="146"/>
      <c r="W38" s="150">
        <f t="shared" si="19"/>
        <v>110.00000000000001</v>
      </c>
      <c r="X38" s="148"/>
      <c r="Y38" s="151"/>
      <c r="Z38" s="484" t="s">
        <v>150</v>
      </c>
      <c r="AA38" s="485"/>
      <c r="AB38" s="287">
        <f t="shared" si="28"/>
        <v>-445.09090909090924</v>
      </c>
      <c r="AC38" s="152">
        <f t="shared" si="29"/>
        <v>0.70327272727272716</v>
      </c>
      <c r="AD38" s="447">
        <f>AC48</f>
        <v>0.80725173917488224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1021</v>
      </c>
      <c r="H39" s="50">
        <f t="shared" si="25"/>
        <v>57615.03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0"/>
        <v>93.733333333333334</v>
      </c>
      <c r="M39" s="65">
        <v>15</v>
      </c>
      <c r="N39" s="66">
        <f>G39/W39*60</f>
        <v>1201.1764705882358</v>
      </c>
      <c r="O39" s="67">
        <f t="shared" ref="O39:O42" si="33">N39/M39</f>
        <v>80.078431372549048</v>
      </c>
      <c r="P39" s="39">
        <f t="shared" si="31"/>
        <v>0</v>
      </c>
      <c r="Q39" s="40">
        <f t="shared" si="32"/>
        <v>-13.654901960784287</v>
      </c>
      <c r="R39" s="188">
        <f t="shared" si="27"/>
        <v>0.85432181407413632</v>
      </c>
      <c r="S39" s="461"/>
      <c r="T39" s="59">
        <v>0.38472222222222224</v>
      </c>
      <c r="U39" s="59">
        <v>0.4201388888888889</v>
      </c>
      <c r="V39" s="42">
        <f>(T39-U38)*24*60</f>
        <v>23.999999999999993</v>
      </c>
      <c r="W39" s="69">
        <f t="shared" si="19"/>
        <v>50.999999999999979</v>
      </c>
      <c r="X39" s="22"/>
      <c r="Y39" s="22"/>
      <c r="Z39" s="450"/>
      <c r="AA39" s="451"/>
      <c r="AB39" s="268">
        <f t="shared" si="28"/>
        <v>-204.82352941176418</v>
      </c>
      <c r="AC39" s="61">
        <f t="shared" si="29"/>
        <v>0.85432181407413643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142</v>
      </c>
      <c r="E40" s="240"/>
      <c r="F40" s="56">
        <f>VLOOKUP(D40,廠價表!$C$1:$E$40,3,0)</f>
        <v>57.3</v>
      </c>
      <c r="G40" s="273">
        <v>1918</v>
      </c>
      <c r="H40" s="50">
        <f t="shared" si="25"/>
        <v>109901.4</v>
      </c>
      <c r="I40" s="64"/>
      <c r="J40" s="37">
        <f>VLOOKUP(D40,產線配置圖!$A$3:$C$39,2,0)</f>
        <v>15</v>
      </c>
      <c r="K40" s="36">
        <f>VLOOKUP(D40,產線配置圖!$A$3:$C$39,3,0)</f>
        <v>1440</v>
      </c>
      <c r="L40" s="38">
        <f t="shared" si="30"/>
        <v>96</v>
      </c>
      <c r="M40" s="65">
        <v>14</v>
      </c>
      <c r="N40" s="66">
        <f>G40/W40*60</f>
        <v>1338.139534883722</v>
      </c>
      <c r="O40" s="67">
        <f t="shared" si="33"/>
        <v>95.58139534883729</v>
      </c>
      <c r="P40" s="39">
        <f t="shared" si="31"/>
        <v>-1</v>
      </c>
      <c r="Q40" s="40">
        <f t="shared" si="32"/>
        <v>-0.41860465116270973</v>
      </c>
      <c r="R40" s="188">
        <f t="shared" si="27"/>
        <v>0.99563953488372181</v>
      </c>
      <c r="S40" s="420"/>
      <c r="T40" s="59">
        <v>0.43055555555555558</v>
      </c>
      <c r="U40" s="59">
        <v>0.49027777777777776</v>
      </c>
      <c r="V40" s="42">
        <f>(T40-U39)*24*60</f>
        <v>15.000000000000027</v>
      </c>
      <c r="W40" s="69">
        <f t="shared" si="19"/>
        <v>85.999999999999929</v>
      </c>
      <c r="X40" s="70"/>
      <c r="Y40" s="256"/>
      <c r="Z40" s="480"/>
      <c r="AA40" s="483"/>
      <c r="AB40" s="268">
        <f t="shared" si="28"/>
        <v>-101.86046511627796</v>
      </c>
      <c r="AC40" s="61">
        <f t="shared" si="29"/>
        <v>0.92926356589147363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54</v>
      </c>
      <c r="E41" s="240"/>
      <c r="F41" s="56">
        <f>VLOOKUP(D41,廠價表!$C$1:$E$40,3,0)</f>
        <v>56.43</v>
      </c>
      <c r="G41" s="273">
        <v>837</v>
      </c>
      <c r="H41" s="50">
        <f t="shared" si="25"/>
        <v>47231.909999999996</v>
      </c>
      <c r="I41" s="64"/>
      <c r="J41" s="37">
        <f>VLOOKUP(D41,產線配置圖!$A$3:$C$39,2,0)</f>
        <v>15</v>
      </c>
      <c r="K41" s="36">
        <f>VLOOKUP(D41,產線配置圖!$A$3:$C$39,3,0)</f>
        <v>1406</v>
      </c>
      <c r="L41" s="38">
        <f t="shared" si="30"/>
        <v>93.733333333333334</v>
      </c>
      <c r="M41" s="65">
        <v>15</v>
      </c>
      <c r="N41" s="66">
        <f t="shared" ref="N41:N42" si="34">G41/W41*60</f>
        <v>984.70588235294156</v>
      </c>
      <c r="O41" s="67">
        <f t="shared" si="33"/>
        <v>65.647058823529434</v>
      </c>
      <c r="P41" s="39">
        <f t="shared" si="31"/>
        <v>0</v>
      </c>
      <c r="Q41" s="40">
        <f t="shared" si="32"/>
        <v>-28.0862745098039</v>
      </c>
      <c r="R41" s="188">
        <f t="shared" si="27"/>
        <v>0.70035980252698538</v>
      </c>
      <c r="S41" s="420"/>
      <c r="T41" s="59">
        <v>0.55208333333333337</v>
      </c>
      <c r="U41" s="75">
        <v>0.58750000000000002</v>
      </c>
      <c r="V41" s="42">
        <f t="shared" ref="V41:V42" si="35">(T41-U40)*24*60</f>
        <v>89.000000000000085</v>
      </c>
      <c r="W41" s="69">
        <f t="shared" si="19"/>
        <v>50.999999999999979</v>
      </c>
      <c r="X41" s="70"/>
      <c r="Y41" s="256"/>
      <c r="Z41" s="450" t="s">
        <v>150</v>
      </c>
      <c r="AA41" s="451"/>
      <c r="AB41" s="268">
        <f t="shared" si="28"/>
        <v>-421.29411764705844</v>
      </c>
      <c r="AC41" s="61">
        <f t="shared" si="29"/>
        <v>0.70035980252698549</v>
      </c>
      <c r="AD41" s="448"/>
    </row>
    <row r="42" spans="1:30" s="62" customFormat="1" ht="15" customHeight="1">
      <c r="A42" s="458"/>
      <c r="B42" s="56" t="s">
        <v>45</v>
      </c>
      <c r="C42" s="23"/>
      <c r="D42" s="276" t="s">
        <v>142</v>
      </c>
      <c r="E42" s="12"/>
      <c r="F42" s="56">
        <f>VLOOKUP(D42,廠價表!$C$1:$E$40,3,0)</f>
        <v>57.3</v>
      </c>
      <c r="G42" s="273">
        <v>1738</v>
      </c>
      <c r="H42" s="50">
        <f t="shared" si="25"/>
        <v>99587.4</v>
      </c>
      <c r="I42" s="64"/>
      <c r="J42" s="37">
        <f>VLOOKUP(D42,產線配置圖!$A$3:$C$39,2,0)</f>
        <v>15</v>
      </c>
      <c r="K42" s="36">
        <f>VLOOKUP(D42,產線配置圖!$A$3:$C$39,3,0)</f>
        <v>1440</v>
      </c>
      <c r="L42" s="38">
        <f t="shared" si="30"/>
        <v>96</v>
      </c>
      <c r="M42" s="65">
        <v>16</v>
      </c>
      <c r="N42" s="66">
        <f t="shared" si="34"/>
        <v>1226.8235294117644</v>
      </c>
      <c r="O42" s="67">
        <f t="shared" si="33"/>
        <v>76.676470588235276</v>
      </c>
      <c r="P42" s="39">
        <f t="shared" si="31"/>
        <v>1</v>
      </c>
      <c r="Q42" s="40">
        <f t="shared" si="32"/>
        <v>-19.323529411764724</v>
      </c>
      <c r="R42" s="188">
        <f t="shared" si="27"/>
        <v>0.79871323529411742</v>
      </c>
      <c r="S42" s="420"/>
      <c r="T42" s="75">
        <v>0.61458333333333337</v>
      </c>
      <c r="U42" s="75">
        <v>0.67361111111111116</v>
      </c>
      <c r="V42" s="42">
        <f t="shared" si="35"/>
        <v>39.000000000000021</v>
      </c>
      <c r="W42" s="69">
        <f t="shared" si="19"/>
        <v>85.000000000000014</v>
      </c>
      <c r="X42" s="70"/>
      <c r="Y42" s="60"/>
      <c r="Z42" s="482" t="s">
        <v>162</v>
      </c>
      <c r="AA42" s="417"/>
      <c r="AB42" s="268"/>
      <c r="AC42" s="61"/>
      <c r="AD42" s="448"/>
    </row>
    <row r="43" spans="1:30" s="62" customFormat="1" ht="15" customHeight="1">
      <c r="A43" s="458"/>
      <c r="B43" s="56"/>
      <c r="C43" s="23"/>
      <c r="D43" s="276"/>
      <c r="E43" s="12"/>
      <c r="F43" s="56"/>
      <c r="G43" s="273"/>
      <c r="H43" s="50"/>
      <c r="I43" s="64"/>
      <c r="J43" s="37"/>
      <c r="K43" s="36"/>
      <c r="L43" s="38"/>
      <c r="M43" s="65"/>
      <c r="N43" s="66"/>
      <c r="O43" s="67"/>
      <c r="P43" s="39"/>
      <c r="Q43" s="40"/>
      <c r="R43" s="188"/>
      <c r="S43" s="420"/>
      <c r="T43" s="75"/>
      <c r="U43" s="75"/>
      <c r="V43" s="42"/>
      <c r="W43" s="69">
        <f>(U43-T43)*24*60</f>
        <v>0</v>
      </c>
      <c r="X43" s="70"/>
      <c r="Y43" s="334"/>
      <c r="Z43" s="482"/>
      <c r="AA43" s="405"/>
      <c r="AB43" s="71"/>
      <c r="AC43" s="61"/>
      <c r="AD43" s="448"/>
    </row>
    <row r="44" spans="1:30" s="62" customFormat="1" ht="15" customHeight="1">
      <c r="A44" s="458"/>
      <c r="B44" s="228"/>
      <c r="C44" s="181"/>
      <c r="D44" s="11"/>
      <c r="E44" s="12"/>
      <c r="F44" s="13"/>
      <c r="G44" s="99"/>
      <c r="H44" s="63"/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6">(U44-T44)*24*60</f>
        <v>0</v>
      </c>
      <c r="X44" s="70"/>
      <c r="Y44" s="67"/>
      <c r="Z44" s="405"/>
      <c r="AA44" s="405"/>
      <c r="AB44" s="71"/>
      <c r="AC44" s="61"/>
      <c r="AD44" s="448"/>
    </row>
    <row r="45" spans="1:30" s="62" customFormat="1" ht="15" customHeight="1">
      <c r="A45" s="458"/>
      <c r="B45" s="229"/>
      <c r="C45" s="27"/>
      <c r="D45" s="28"/>
      <c r="E45" s="29"/>
      <c r="F45" s="13"/>
      <c r="G45" s="66"/>
      <c r="H45" s="63">
        <f t="shared" si="25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6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>
        <f t="shared" si="25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6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25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6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7">AVERAGE(J38:J47)</f>
        <v>15</v>
      </c>
      <c r="K48" s="133">
        <f t="shared" si="37"/>
        <v>1438.4</v>
      </c>
      <c r="L48" s="136">
        <f t="shared" si="37"/>
        <v>95.893333333333345</v>
      </c>
      <c r="M48" s="133">
        <f t="shared" si="37"/>
        <v>15</v>
      </c>
      <c r="N48" s="133">
        <f t="shared" si="37"/>
        <v>1161.1509016291507</v>
      </c>
      <c r="O48" s="136">
        <f t="shared" si="37"/>
        <v>77.66212577208475</v>
      </c>
      <c r="P48" s="155">
        <f>M48-J48</f>
        <v>0</v>
      </c>
      <c r="Q48" s="156">
        <f>N48-K48</f>
        <v>-277.24909837084942</v>
      </c>
      <c r="R48" s="157">
        <f>O48/L48</f>
        <v>0.80988034384126184</v>
      </c>
      <c r="S48" s="423"/>
      <c r="T48" s="158"/>
      <c r="U48" s="158"/>
      <c r="V48" s="194"/>
      <c r="W48" s="159">
        <f t="shared" si="36"/>
        <v>0</v>
      </c>
      <c r="X48" s="160"/>
      <c r="Y48" s="160"/>
      <c r="Z48" s="424"/>
      <c r="AA48" s="424"/>
      <c r="AB48" s="161">
        <f>N48-K48</f>
        <v>-277.24909837084942</v>
      </c>
      <c r="AC48" s="189">
        <f>N48/K48</f>
        <v>0.80725173917488224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1991</v>
      </c>
      <c r="H49" s="124">
        <f t="shared" ref="H49:H57" si="38">F49*G49</f>
        <v>113228.17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1551.428571428572</v>
      </c>
      <c r="O49" s="127">
        <f>N49/M49</f>
        <v>81.654135338345895</v>
      </c>
      <c r="P49" s="162">
        <f>M49-J49</f>
        <v>0</v>
      </c>
      <c r="Q49" s="111">
        <f>O49-L49</f>
        <v>-0.71428571428567977</v>
      </c>
      <c r="R49" s="182">
        <f>O49/L49</f>
        <v>0.9913281606572345</v>
      </c>
      <c r="S49" s="419">
        <f>R58</f>
        <v>0.9629457126614922</v>
      </c>
      <c r="T49" s="149">
        <v>0.29097222222222224</v>
      </c>
      <c r="U49" s="149">
        <v>0.34444444444444444</v>
      </c>
      <c r="V49" s="186"/>
      <c r="W49" s="150">
        <f t="shared" si="19"/>
        <v>76.999999999999972</v>
      </c>
      <c r="X49" s="186"/>
      <c r="Y49" s="186"/>
      <c r="Z49" s="425" t="s">
        <v>163</v>
      </c>
      <c r="AA49" s="425"/>
      <c r="AB49" s="110">
        <f>N49-K49</f>
        <v>-13.571428571427987</v>
      </c>
      <c r="AC49" s="182">
        <f>N49/K49</f>
        <v>0.9913281606572345</v>
      </c>
      <c r="AD49" s="411">
        <f>AC58</f>
        <v>0.96297640884289137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2880</v>
      </c>
      <c r="H50" s="76">
        <f t="shared" si="38"/>
        <v>143913.60000000001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1416.3934426229503</v>
      </c>
      <c r="O50" s="78">
        <f>N50/M50</f>
        <v>78.688524590163908</v>
      </c>
      <c r="P50" s="18">
        <f>M50-J50</f>
        <v>0</v>
      </c>
      <c r="Q50" s="19">
        <f>O50-L50</f>
        <v>-10.200364298724978</v>
      </c>
      <c r="R50" s="183">
        <f>O50/L50</f>
        <v>0.88524590163934402</v>
      </c>
      <c r="S50" s="420"/>
      <c r="T50" s="79">
        <v>0.35138888888888886</v>
      </c>
      <c r="U50" s="79">
        <v>0.43611111111111112</v>
      </c>
      <c r="V50" s="175">
        <f t="shared" ref="V50:V53" si="39">(T50-U49)*24*60</f>
        <v>9.9999999999999645</v>
      </c>
      <c r="W50" s="80">
        <f t="shared" si="19"/>
        <v>122.00000000000004</v>
      </c>
      <c r="X50" s="22"/>
      <c r="Y50" s="22"/>
      <c r="Z50" s="417"/>
      <c r="AA50" s="418"/>
      <c r="AB50" s="18">
        <f>N50-K50</f>
        <v>-183.60655737704974</v>
      </c>
      <c r="AC50" s="183">
        <f>N50/K50</f>
        <v>0.88524590163934391</v>
      </c>
      <c r="AD50" s="412"/>
    </row>
    <row r="51" spans="1:30" ht="15" customHeight="1">
      <c r="A51" s="455"/>
      <c r="B51" s="56" t="str">
        <f>VLOOKUP(D51,廠價表!$C$1:$E$40,2,0)</f>
        <v>熱乾麵</v>
      </c>
      <c r="C51" s="10"/>
      <c r="D51" s="11" t="s">
        <v>46</v>
      </c>
      <c r="E51" s="86"/>
      <c r="F51" s="56">
        <f>VLOOKUP(D51,廠價表!$C$1:$E$40,3,0)</f>
        <v>49.91</v>
      </c>
      <c r="G51" s="66">
        <v>1140</v>
      </c>
      <c r="H51" s="76">
        <f t="shared" si="38"/>
        <v>56897.399999999994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3" si="40">K51/J51</f>
        <v>92.058823529411768</v>
      </c>
      <c r="M51" s="172">
        <v>17</v>
      </c>
      <c r="N51" s="77">
        <f t="shared" ref="N51:N53" si="41">G51/W51*60</f>
        <v>1486.9565217391098</v>
      </c>
      <c r="O51" s="78">
        <f t="shared" ref="O51:O53" si="42">N51/M51</f>
        <v>87.468030690535869</v>
      </c>
      <c r="P51" s="18">
        <f t="shared" ref="P51:P53" si="43">M51-J51</f>
        <v>0</v>
      </c>
      <c r="Q51" s="19">
        <f t="shared" ref="Q51:Q53" si="44">O51-L51</f>
        <v>-4.590792838875899</v>
      </c>
      <c r="R51" s="183">
        <f t="shared" ref="R51:R53" si="45">O51/L51</f>
        <v>0.95013196277259404</v>
      </c>
      <c r="S51" s="420"/>
      <c r="T51" s="79">
        <v>0.44236111111111109</v>
      </c>
      <c r="U51" s="44">
        <v>0.47430555555555598</v>
      </c>
      <c r="V51" s="175">
        <f t="shared" si="39"/>
        <v>8.999999999999968</v>
      </c>
      <c r="W51" s="80">
        <f t="shared" si="19"/>
        <v>46.000000000000639</v>
      </c>
      <c r="X51" s="22"/>
      <c r="Y51" s="22"/>
      <c r="Z51" s="405"/>
      <c r="AA51" s="405"/>
      <c r="AB51" s="18">
        <f>N51-K51</f>
        <v>-78.043478260890197</v>
      </c>
      <c r="AC51" s="183">
        <f>N51/K51</f>
        <v>0.95013196277259415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1745</v>
      </c>
      <c r="H52" s="76">
        <f t="shared" si="38"/>
        <v>87092.95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si="40"/>
        <v>92.058823529411768</v>
      </c>
      <c r="M52" s="172">
        <v>17</v>
      </c>
      <c r="N52" s="77">
        <f t="shared" si="41"/>
        <v>1562.686567164181</v>
      </c>
      <c r="O52" s="78">
        <f t="shared" si="42"/>
        <v>91.922739244951828</v>
      </c>
      <c r="P52" s="18">
        <f t="shared" si="43"/>
        <v>0</v>
      </c>
      <c r="Q52" s="19">
        <f t="shared" si="44"/>
        <v>-0.13608428445994036</v>
      </c>
      <c r="R52" s="183">
        <f t="shared" si="45"/>
        <v>0.99852176815602622</v>
      </c>
      <c r="S52" s="420"/>
      <c r="T52" s="79">
        <v>0.52986111111111112</v>
      </c>
      <c r="U52" s="79">
        <v>0.57638888888888884</v>
      </c>
      <c r="V52" s="175">
        <f t="shared" si="39"/>
        <v>79.999999999999403</v>
      </c>
      <c r="W52" s="80">
        <f t="shared" si="19"/>
        <v>66.999999999999915</v>
      </c>
      <c r="X52" s="22"/>
      <c r="Y52" s="22"/>
      <c r="Z52" s="417"/>
      <c r="AA52" s="418"/>
      <c r="AB52" s="18">
        <f>N52-K52</f>
        <v>-2.3134328358189578</v>
      </c>
      <c r="AC52" s="183">
        <f>N52/K52</f>
        <v>0.99852176815602622</v>
      </c>
      <c r="AD52" s="412"/>
    </row>
    <row r="53" spans="1:30" ht="15" customHeight="1">
      <c r="A53" s="455"/>
      <c r="B53" s="56" t="str">
        <f>VLOOKUP(D53,廠價表!$C$1:$E$40,2,0)</f>
        <v>義大利麵</v>
      </c>
      <c r="C53" s="23"/>
      <c r="D53" s="11" t="s">
        <v>59</v>
      </c>
      <c r="E53" s="12"/>
      <c r="F53" s="56">
        <f>VLOOKUP(D53,廠價表!$C$1:$E$40,3,0)</f>
        <v>49.97</v>
      </c>
      <c r="G53" s="66">
        <v>2827</v>
      </c>
      <c r="H53" s="76">
        <f t="shared" si="38"/>
        <v>141265.19</v>
      </c>
      <c r="I53" s="191"/>
      <c r="J53" s="16">
        <f>VLOOKUP(D53,產線配置圖!$A$3:$C$39,2,0)</f>
        <v>18</v>
      </c>
      <c r="K53" s="14">
        <f>VLOOKUP(D53,產線配置圖!$A$3:$C$39,3,0)</f>
        <v>1600</v>
      </c>
      <c r="L53" s="17">
        <f t="shared" si="40"/>
        <v>88.888888888888886</v>
      </c>
      <c r="M53" s="172">
        <v>18</v>
      </c>
      <c r="N53" s="77">
        <f t="shared" si="41"/>
        <v>1585.2336448598139</v>
      </c>
      <c r="O53" s="78">
        <f t="shared" si="42"/>
        <v>88.068535825545212</v>
      </c>
      <c r="P53" s="18">
        <f t="shared" si="43"/>
        <v>0</v>
      </c>
      <c r="Q53" s="19">
        <f t="shared" si="44"/>
        <v>-0.82035306334367419</v>
      </c>
      <c r="R53" s="183">
        <f t="shared" si="45"/>
        <v>0.99077102803738371</v>
      </c>
      <c r="S53" s="420"/>
      <c r="T53" s="79">
        <v>0.58333333333333337</v>
      </c>
      <c r="U53" s="79">
        <v>0.65763888888888888</v>
      </c>
      <c r="V53" s="175">
        <f t="shared" si="39"/>
        <v>10.000000000000124</v>
      </c>
      <c r="W53" s="80">
        <f t="shared" si="19"/>
        <v>106.99999999999994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56"/>
      <c r="C54" s="181"/>
      <c r="D54" s="11"/>
      <c r="E54" s="12"/>
      <c r="F54" s="56"/>
      <c r="G54" s="66"/>
      <c r="H54" s="76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79"/>
      <c r="U54" s="79"/>
      <c r="V54" s="175"/>
      <c r="W54" s="80">
        <f t="shared" si="19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8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9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8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9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8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9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6">AVERAGE(J49:J57)</f>
        <v>17.8</v>
      </c>
      <c r="K58" s="117">
        <f t="shared" si="46"/>
        <v>1579</v>
      </c>
      <c r="L58" s="114">
        <f t="shared" si="46"/>
        <v>88.852769177846582</v>
      </c>
      <c r="M58" s="117">
        <f t="shared" si="46"/>
        <v>17.8</v>
      </c>
      <c r="N58" s="117">
        <f t="shared" si="46"/>
        <v>1520.5397495629254</v>
      </c>
      <c r="O58" s="114">
        <f t="shared" si="46"/>
        <v>85.560393137908548</v>
      </c>
      <c r="P58" s="118">
        <f>M58-J58</f>
        <v>0</v>
      </c>
      <c r="Q58" s="119">
        <f>N58-K58</f>
        <v>-58.460250437074592</v>
      </c>
      <c r="R58" s="120">
        <f t="shared" ref="R58:R60" si="47">O58/L58</f>
        <v>0.9629457126614922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48">N58-K58</f>
        <v>-58.460250437074592</v>
      </c>
      <c r="AC58" s="185">
        <f t="shared" ref="AC58:AC61" si="49">N58/K58</f>
        <v>0.96297640884289137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3272</v>
      </c>
      <c r="H59" s="105">
        <f t="shared" ref="H59:H68" si="50">F59*G59</f>
        <v>88311.28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51">G59/W59*60</f>
        <v>1545.826771653544</v>
      </c>
      <c r="O59" s="108">
        <f t="shared" ref="O59:O62" si="52">N59/M59</f>
        <v>118.90975166565724</v>
      </c>
      <c r="P59" s="110">
        <f t="shared" ref="P59:P62" si="53">M59-J59</f>
        <v>0</v>
      </c>
      <c r="Q59" s="111">
        <f t="shared" ref="Q59:Q62" si="54">O59-L59</f>
        <v>-1.4748637189581473</v>
      </c>
      <c r="R59" s="182">
        <f t="shared" si="47"/>
        <v>0.98774873588085887</v>
      </c>
      <c r="S59" s="419">
        <f>R69</f>
        <v>0.93512142984472912</v>
      </c>
      <c r="T59" s="167">
        <v>0.2902777777777778</v>
      </c>
      <c r="U59" s="167">
        <v>0.37847222222222221</v>
      </c>
      <c r="V59" s="186"/>
      <c r="W59" s="106">
        <f t="shared" si="19"/>
        <v>126.99999999999994</v>
      </c>
      <c r="X59" s="186"/>
      <c r="Y59" s="186"/>
      <c r="Z59" s="469"/>
      <c r="AA59" s="434"/>
      <c r="AB59" s="223">
        <f t="shared" si="48"/>
        <v>-19.173228346455971</v>
      </c>
      <c r="AC59" s="224">
        <f t="shared" si="49"/>
        <v>0.98774873588085876</v>
      </c>
      <c r="AD59" s="411">
        <f>AC69</f>
        <v>0.93517612006744932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1522</v>
      </c>
      <c r="H60" s="15">
        <f t="shared" si="50"/>
        <v>43331.34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1"/>
        <v>1304.5714285714289</v>
      </c>
      <c r="O60" s="17">
        <f t="shared" si="52"/>
        <v>108.71428571428574</v>
      </c>
      <c r="P60" s="18">
        <f t="shared" si="53"/>
        <v>0</v>
      </c>
      <c r="Q60" s="19">
        <f t="shared" si="54"/>
        <v>-21.702380952380921</v>
      </c>
      <c r="R60" s="183">
        <f t="shared" si="47"/>
        <v>0.8335919671382932</v>
      </c>
      <c r="S60" s="474"/>
      <c r="T60" s="20">
        <v>0.38541666666666669</v>
      </c>
      <c r="U60" s="20">
        <v>0.43402777777777779</v>
      </c>
      <c r="V60" s="175">
        <f t="shared" ref="V60:V63" si="55">(T60-U59)*24*60</f>
        <v>10.000000000000044</v>
      </c>
      <c r="W60" s="90">
        <f t="shared" si="19"/>
        <v>69.999999999999986</v>
      </c>
      <c r="X60" s="191"/>
      <c r="Y60" s="191"/>
      <c r="Z60" s="405"/>
      <c r="AA60" s="405"/>
      <c r="AB60" s="225">
        <f t="shared" si="48"/>
        <v>-260.4285714285711</v>
      </c>
      <c r="AC60" s="226">
        <f t="shared" si="49"/>
        <v>0.8335919671382932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1884</v>
      </c>
      <c r="H61" s="15">
        <f t="shared" si="50"/>
        <v>53241.840000000004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 t="shared" ref="L61:L62" si="56">K61/J61</f>
        <v>130.41666666666666</v>
      </c>
      <c r="M61" s="178">
        <v>12</v>
      </c>
      <c r="N61" s="14">
        <f t="shared" si="51"/>
        <v>1548.4931506849318</v>
      </c>
      <c r="O61" s="17">
        <f t="shared" si="52"/>
        <v>129.04109589041099</v>
      </c>
      <c r="P61" s="18">
        <f t="shared" si="53"/>
        <v>0</v>
      </c>
      <c r="Q61" s="19">
        <f t="shared" si="54"/>
        <v>-1.375570776255671</v>
      </c>
      <c r="R61" s="183">
        <f>O61/L61</f>
        <v>0.98945249245043576</v>
      </c>
      <c r="S61" s="420"/>
      <c r="T61" s="20">
        <v>0.44027777777777777</v>
      </c>
      <c r="U61" s="20">
        <v>0.4909722222222222</v>
      </c>
      <c r="V61" s="175">
        <f t="shared" si="55"/>
        <v>8.999999999999968</v>
      </c>
      <c r="W61" s="88">
        <f t="shared" si="19"/>
        <v>72.999999999999986</v>
      </c>
      <c r="X61" s="22"/>
      <c r="Y61" s="22"/>
      <c r="Z61" s="405"/>
      <c r="AA61" s="405"/>
      <c r="AB61" s="51">
        <f t="shared" si="48"/>
        <v>-16.506849315068166</v>
      </c>
      <c r="AC61" s="52">
        <f t="shared" si="49"/>
        <v>0.98945249245043565</v>
      </c>
      <c r="AD61" s="412"/>
    </row>
    <row r="62" spans="1:30" ht="15" customHeight="1">
      <c r="A62" s="472"/>
      <c r="B62" s="56" t="str">
        <f>VLOOKUP(D62,廠價表!$C$1:$E$40,2,0)</f>
        <v>小吃、微波</v>
      </c>
      <c r="C62" s="10"/>
      <c r="D62" s="239" t="s">
        <v>64</v>
      </c>
      <c r="E62" s="86"/>
      <c r="F62" s="56">
        <f>VLOOKUP(D62,廠價表!$C$1:$E$40,3,0)</f>
        <v>28.26</v>
      </c>
      <c r="G62" s="175">
        <v>1047</v>
      </c>
      <c r="H62" s="15">
        <f t="shared" si="50"/>
        <v>29588.22</v>
      </c>
      <c r="I62" s="81"/>
      <c r="J62" s="16">
        <f>VLOOKUP(D62,產線配置圖!$A$3:$C$39,2,0)</f>
        <v>12</v>
      </c>
      <c r="K62" s="14">
        <f>VLOOKUP(D62,產線配置圖!$A$3:$C$39,3,0)</f>
        <v>1565</v>
      </c>
      <c r="L62" s="17">
        <f t="shared" si="56"/>
        <v>130.41666666666666</v>
      </c>
      <c r="M62" s="178">
        <v>12</v>
      </c>
      <c r="N62" s="14">
        <f t="shared" si="51"/>
        <v>1532.1951219512191</v>
      </c>
      <c r="O62" s="17">
        <f t="shared" si="52"/>
        <v>127.68292682926825</v>
      </c>
      <c r="P62" s="18">
        <f t="shared" si="53"/>
        <v>0</v>
      </c>
      <c r="Q62" s="19">
        <f t="shared" si="54"/>
        <v>-2.733739837398403</v>
      </c>
      <c r="R62" s="183">
        <f>O62/L62</f>
        <v>0.97903841658224866</v>
      </c>
      <c r="S62" s="420"/>
      <c r="T62" s="20">
        <v>0.54513888888888884</v>
      </c>
      <c r="U62" s="20">
        <v>0.57361111111111107</v>
      </c>
      <c r="V62" s="175">
        <f t="shared" si="55"/>
        <v>77.999999999999957</v>
      </c>
      <c r="W62" s="90">
        <f t="shared" si="19"/>
        <v>41.000000000000014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 t="str">
        <f>VLOOKUP(D63,廠價表!$C$1:$E$40,2,0)</f>
        <v>小吃、微波</v>
      </c>
      <c r="C63" s="10"/>
      <c r="D63" s="239" t="s">
        <v>62</v>
      </c>
      <c r="E63" s="86"/>
      <c r="F63" s="56">
        <f>VLOOKUP(D63,廠價表!$C$1:$E$40,3,0)</f>
        <v>26.99</v>
      </c>
      <c r="G63" s="175">
        <v>1040</v>
      </c>
      <c r="H63" s="15">
        <f>F63*G63</f>
        <v>28069.599999999999</v>
      </c>
      <c r="I63" s="81"/>
      <c r="J63" s="16">
        <f>VLOOKUP(D63,產線配置圖!$A$3:$C$39,2,0)</f>
        <v>13</v>
      </c>
      <c r="K63" s="14">
        <f>VLOOKUP(D63,產線配置圖!$A$3:$C$39,3,0)</f>
        <v>1565</v>
      </c>
      <c r="L63" s="17">
        <f>K63/J63</f>
        <v>120.38461538461539</v>
      </c>
      <c r="M63" s="178">
        <v>13</v>
      </c>
      <c r="N63" s="14">
        <f>G63/W63*60</f>
        <v>1386.6666666666667</v>
      </c>
      <c r="O63" s="17">
        <f>N63/M63</f>
        <v>106.66666666666667</v>
      </c>
      <c r="P63" s="18">
        <f>M63-J63</f>
        <v>0</v>
      </c>
      <c r="Q63" s="19">
        <f>O63-L63</f>
        <v>-13.717948717948715</v>
      </c>
      <c r="R63" s="183">
        <f>O63/L63</f>
        <v>0.88604898828541001</v>
      </c>
      <c r="S63" s="420"/>
      <c r="T63" s="20">
        <v>0.58333333333333337</v>
      </c>
      <c r="U63" s="20">
        <v>0.61458333333333337</v>
      </c>
      <c r="V63" s="175">
        <f t="shared" si="55"/>
        <v>14.00000000000011</v>
      </c>
      <c r="W63" s="90">
        <f t="shared" si="19"/>
        <v>45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9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9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9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9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0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9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7">AVERAGE(J59:J68)</f>
        <v>12.4</v>
      </c>
      <c r="K69" s="164">
        <f t="shared" si="57"/>
        <v>1565</v>
      </c>
      <c r="L69" s="169">
        <f t="shared" si="57"/>
        <v>126.40384615384615</v>
      </c>
      <c r="M69" s="164">
        <f t="shared" si="57"/>
        <v>12.4</v>
      </c>
      <c r="N69" s="164">
        <f t="shared" si="57"/>
        <v>1463.5506279055583</v>
      </c>
      <c r="O69" s="169">
        <f t="shared" si="57"/>
        <v>118.20294535325777</v>
      </c>
      <c r="P69" s="170">
        <f>M69-J69</f>
        <v>0</v>
      </c>
      <c r="Q69" s="156">
        <f>N69-K69</f>
        <v>-101.44937209444174</v>
      </c>
      <c r="R69" s="120">
        <f>O69/L69</f>
        <v>0.93512142984472912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-101.44937209444174</v>
      </c>
      <c r="AC69" s="185">
        <f>N69/K69</f>
        <v>0.93517612006744932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9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9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9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9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8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9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8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9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8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9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8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9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8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9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P1:S2"/>
    <mergeCell ref="V3:V4"/>
    <mergeCell ref="T1:Y2"/>
    <mergeCell ref="Z1:AA2"/>
    <mergeCell ref="AB1:AD2"/>
    <mergeCell ref="AC3:AC4"/>
    <mergeCell ref="AD3:AD4"/>
    <mergeCell ref="P3:P4"/>
    <mergeCell ref="Q3:Q4"/>
    <mergeCell ref="R3:R4"/>
    <mergeCell ref="T3:U3"/>
    <mergeCell ref="S3:S4"/>
    <mergeCell ref="AB3:AB4"/>
    <mergeCell ref="Z3:AA4"/>
    <mergeCell ref="A5:A15"/>
    <mergeCell ref="N3:N4"/>
    <mergeCell ref="O3:O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H3:H4"/>
    <mergeCell ref="I3:I4"/>
    <mergeCell ref="J3:J4"/>
    <mergeCell ref="K3:K4"/>
    <mergeCell ref="L3:L4"/>
    <mergeCell ref="S5:S15"/>
    <mergeCell ref="M3:M4"/>
    <mergeCell ref="Z5:AA5"/>
    <mergeCell ref="AD5:AD15"/>
    <mergeCell ref="Z6:AA6"/>
    <mergeCell ref="Z7:AA7"/>
    <mergeCell ref="Z8:AA8"/>
    <mergeCell ref="Z9:AA9"/>
    <mergeCell ref="Z15:AA15"/>
    <mergeCell ref="Z10:AA10"/>
    <mergeCell ref="Z11:AA11"/>
    <mergeCell ref="Z12:AA12"/>
    <mergeCell ref="Z13:AA13"/>
    <mergeCell ref="Z14:AA14"/>
    <mergeCell ref="W3:W4"/>
    <mergeCell ref="X3:Y3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68" priority="1" operator="greaterThan">
      <formula>0</formula>
    </cfRule>
  </conditionalFormatting>
  <conditionalFormatting sqref="Q5:Q79 AB5:AB79">
    <cfRule type="cellIs" dxfId="167" priority="4" operator="lessThan">
      <formula>0</formula>
    </cfRule>
  </conditionalFormatting>
  <conditionalFormatting sqref="R5:R79 AC5:AC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D59:AD62 S69:S76 AD69:AD76">
    <cfRule type="cellIs" dxfId="164" priority="7" operator="lessThan">
      <formula>0.8</formula>
    </cfRule>
  </conditionalFormatting>
  <conditionalFormatting sqref="S19:S25 AD19:AD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D5:AD8 S15:S16 AD15:AD16 AD49 AD79">
    <cfRule type="cellIs" dxfId="161" priority="9" operator="lessThan">
      <formula>0.8</formula>
    </cfRule>
  </conditionalFormatting>
  <conditionalFormatting sqref="AD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D4" sqref="D4:E4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46007</v>
      </c>
      <c r="E3" s="357"/>
      <c r="F3" s="202" t="s">
        <v>84</v>
      </c>
      <c r="G3" s="358">
        <f>'1216'!E1</f>
        <v>54867</v>
      </c>
      <c r="H3" s="358"/>
      <c r="I3" s="202" t="s">
        <v>2</v>
      </c>
      <c r="J3" s="359">
        <f>'1216'!G1</f>
        <v>2661197.419999999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115.65341873254023</v>
      </c>
      <c r="G6" s="367"/>
      <c r="H6" s="360">
        <f>AVERAGE(D13:H13)</f>
        <v>113.20237170981753</v>
      </c>
      <c r="I6" s="360"/>
      <c r="J6" s="360">
        <f>AVERAGE(I13:J13)</f>
        <v>127.90865384615384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102.70269677474046</v>
      </c>
      <c r="G7" s="362"/>
      <c r="H7" s="363">
        <f>AVERAGE(D14:H14)</f>
        <v>99.712734900611395</v>
      </c>
      <c r="I7" s="363"/>
      <c r="J7" s="363">
        <f>AVERAGE(I14:J14)</f>
        <v>117.65250614538583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0.87988149895301593</v>
      </c>
      <c r="G8" s="364"/>
      <c r="H8" s="364">
        <f>AVERAGE(D15:H15)</f>
        <v>0.87189447396827424</v>
      </c>
      <c r="I8" s="364"/>
      <c r="J8" s="364">
        <f>AVERAGE(I15:J15)</f>
        <v>0.91981662387672447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VALUE('1216'!L15)</f>
        <v>140.21719457013575</v>
      </c>
      <c r="E13" s="213">
        <f>VALUE('1216'!L26)</f>
        <v>160.58974358974359</v>
      </c>
      <c r="F13" s="213">
        <f>VALUE('1216'!L37)</f>
        <v>92.736111111111114</v>
      </c>
      <c r="G13" s="213">
        <f>VALUE('1216'!L48)</f>
        <v>83.616040100250629</v>
      </c>
      <c r="H13" s="213">
        <f>VALUE('1216'!L58)</f>
        <v>88.852769177846582</v>
      </c>
      <c r="I13" s="213">
        <f>VALUE('1216'!L69)</f>
        <v>127.90865384615384</v>
      </c>
      <c r="J13" s="213"/>
    </row>
    <row r="14" spans="2:15" ht="40" customHeight="1">
      <c r="B14" s="376"/>
      <c r="C14" s="212" t="s">
        <v>106</v>
      </c>
      <c r="D14" s="213">
        <f>VALUE('1216'!O15)</f>
        <v>116.03562636948607</v>
      </c>
      <c r="E14" s="213">
        <f>VALUE('1216'!O26)</f>
        <v>156.01185689477603</v>
      </c>
      <c r="F14" s="213">
        <f>VALUE('1216'!O37)</f>
        <v>74.904679734196762</v>
      </c>
      <c r="G14" s="213">
        <f>VALUE('1216'!O48)</f>
        <v>65.822916625105563</v>
      </c>
      <c r="H14" s="213">
        <f>VALUE('1216'!O58)</f>
        <v>85.788594879492535</v>
      </c>
      <c r="I14" s="213">
        <f>VALUE('1216'!O69)</f>
        <v>117.65250614538583</v>
      </c>
      <c r="J14" s="213"/>
    </row>
    <row r="15" spans="2:15" ht="40" customHeight="1">
      <c r="B15" s="377"/>
      <c r="C15" s="210" t="s">
        <v>23</v>
      </c>
      <c r="D15" s="231">
        <f>D14/D13</f>
        <v>0.82754206233562733</v>
      </c>
      <c r="E15" s="231">
        <f t="shared" ref="E15:I15" si="0">E14/E13</f>
        <v>0.97149328099892462</v>
      </c>
      <c r="F15" s="231">
        <f t="shared" si="0"/>
        <v>0.80771857733445662</v>
      </c>
      <c r="G15" s="231">
        <f t="shared" si="0"/>
        <v>0.78720442329232321</v>
      </c>
      <c r="H15" s="231">
        <f t="shared" si="0"/>
        <v>0.96551402588003943</v>
      </c>
      <c r="I15" s="231">
        <f t="shared" si="0"/>
        <v>0.91981662387672447</v>
      </c>
      <c r="J15" s="231"/>
    </row>
    <row r="16" spans="2:15" ht="17.25" customHeight="1">
      <c r="B16" s="378" t="s">
        <v>107</v>
      </c>
      <c r="C16" s="210" t="s">
        <v>29</v>
      </c>
      <c r="D16" s="95">
        <f>'1216'!T5</f>
        <v>0.2902777777777778</v>
      </c>
      <c r="E16" s="95">
        <f>'1216'!T16</f>
        <v>0.2902777777777778</v>
      </c>
      <c r="F16" s="95">
        <f>'1216'!T27</f>
        <v>0.29166666666666702</v>
      </c>
      <c r="G16" s="95">
        <f>'1216'!T38</f>
        <v>0.29166666666666669</v>
      </c>
      <c r="H16" s="95">
        <f>'1216'!T49</f>
        <v>0.2902777777777778</v>
      </c>
      <c r="I16" s="95">
        <f>'1216'!T59</f>
        <v>0.29166666666666669</v>
      </c>
      <c r="J16" s="269"/>
    </row>
    <row r="17" spans="2:10" ht="17.25" customHeight="1">
      <c r="B17" s="379"/>
      <c r="C17" s="210" t="s">
        <v>30</v>
      </c>
      <c r="D17" s="95">
        <v>0.59722222222222199</v>
      </c>
      <c r="E17" s="41">
        <v>0.67083333333333328</v>
      </c>
      <c r="F17" s="41">
        <v>0.70138888888888884</v>
      </c>
      <c r="G17" s="75">
        <v>0.76180555555555551</v>
      </c>
      <c r="H17" s="79">
        <v>0.6333333333333333</v>
      </c>
      <c r="I17" s="20">
        <v>0.58194444444444449</v>
      </c>
      <c r="J17" s="20"/>
    </row>
    <row r="18" spans="2:10" ht="17.25" customHeight="1">
      <c r="B18" s="365" t="s">
        <v>108</v>
      </c>
      <c r="C18" s="366"/>
      <c r="D18" s="214">
        <f>VALUE('1216'!M15)</f>
        <v>14.2</v>
      </c>
      <c r="E18" s="214">
        <f>VALUE('1216'!M26)</f>
        <v>12.4</v>
      </c>
      <c r="F18" s="214">
        <f>VALUE('1216'!M37)</f>
        <v>15.875</v>
      </c>
      <c r="G18" s="214">
        <f>VALUE('1216'!M48)</f>
        <v>17.142857142857142</v>
      </c>
      <c r="H18" s="214">
        <f>VALUE('1216'!M58)</f>
        <v>17.8</v>
      </c>
      <c r="I18" s="214">
        <f>VALUE('1216'!M69)</f>
        <v>12.25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N53" activePane="bottomRight" state="frozen"/>
      <selection activeCell="M11" sqref="M11"/>
      <selection pane="topRight" activeCell="M11" sqref="M11"/>
      <selection pane="bottomLeft" activeCell="M11" sqref="M11"/>
      <selection pane="bottomRight" activeCell="V61" activeCellId="19" sqref="V6 V7 V8 V17 V18 V28 V29 V31 V32 V34 V33 V39 V40 V42 V44 V50 V51 V53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54867</v>
      </c>
      <c r="F1" s="175" t="s">
        <v>2</v>
      </c>
      <c r="G1" s="4">
        <f>SUM(H5:H79)</f>
        <v>2661197.419999999</v>
      </c>
      <c r="H1" s="173" t="s">
        <v>3</v>
      </c>
      <c r="I1" s="5">
        <f>M15+M26+M48+M58+M69+M79+M37</f>
        <v>89.667857142857144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164</v>
      </c>
      <c r="B2" s="404"/>
      <c r="C2" s="174"/>
      <c r="D2" s="174" t="s">
        <v>11</v>
      </c>
      <c r="E2" s="7">
        <f>AVERAGE(O15,O26,O37,O48,O58,O69,O79)</f>
        <v>102.70269677474046</v>
      </c>
      <c r="F2" s="8" t="s">
        <v>12</v>
      </c>
      <c r="G2" s="9">
        <f>G1/E1</f>
        <v>48.502695973900508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1102</v>
      </c>
      <c r="H5" s="318">
        <f>F5*G5</f>
        <v>63045.42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9" si="0">G5/W5*60</f>
        <v>1740.0000000000025</v>
      </c>
      <c r="O5" s="322">
        <f t="shared" ref="O5:O9" si="1">N5/M5</f>
        <v>133.84615384615404</v>
      </c>
      <c r="P5" s="324">
        <f t="shared" ref="P5:P9" si="2">M5-J5</f>
        <v>0</v>
      </c>
      <c r="Q5" s="325">
        <f t="shared" ref="Q5:Q9" si="3">O5-L5</f>
        <v>-28.076923076922895</v>
      </c>
      <c r="R5" s="326">
        <f t="shared" ref="R5:R9" si="4">O5/L5</f>
        <v>0.82660332541567805</v>
      </c>
      <c r="S5" s="419">
        <f>R15</f>
        <v>0.82754206233562733</v>
      </c>
      <c r="T5" s="327">
        <v>0.2902777777777778</v>
      </c>
      <c r="U5" s="328">
        <v>0.31666666666666665</v>
      </c>
      <c r="V5" s="192"/>
      <c r="W5" s="106">
        <f t="shared" ref="W5:W14" si="5">(U5-T5)*24*60</f>
        <v>37.999999999999943</v>
      </c>
      <c r="X5" s="186"/>
      <c r="Y5" s="186"/>
      <c r="Z5" s="425"/>
      <c r="AA5" s="425"/>
      <c r="AB5" s="110">
        <f>N5-K5</f>
        <v>-364.9999999999975</v>
      </c>
      <c r="AC5" s="182">
        <f>N5/K5</f>
        <v>0.82660332541567816</v>
      </c>
      <c r="AD5" s="411">
        <f>AC15</f>
        <v>0.81943007009582614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979</v>
      </c>
      <c r="H6" s="307">
        <f>F6*G6</f>
        <v>55244.97</v>
      </c>
      <c r="I6" s="308"/>
      <c r="J6" s="309">
        <f>VLOOKUP(D6,產線配置圖!$A$3:$C$39,2,0)</f>
        <v>15</v>
      </c>
      <c r="K6" s="306">
        <v>1800</v>
      </c>
      <c r="L6" s="310">
        <f>K6/J6</f>
        <v>120</v>
      </c>
      <c r="M6" s="311">
        <v>15</v>
      </c>
      <c r="N6" s="306">
        <f t="shared" si="0"/>
        <v>932.38095238095218</v>
      </c>
      <c r="O6" s="310">
        <f t="shared" si="1"/>
        <v>62.158730158730144</v>
      </c>
      <c r="P6" s="312">
        <f t="shared" si="2"/>
        <v>0</v>
      </c>
      <c r="Q6" s="313">
        <f t="shared" si="3"/>
        <v>-57.841269841269856</v>
      </c>
      <c r="R6" s="314">
        <f t="shared" si="4"/>
        <v>0.51798941798941789</v>
      </c>
      <c r="S6" s="420"/>
      <c r="T6" s="95">
        <v>0.32361111111111102</v>
      </c>
      <c r="U6" s="95">
        <v>0.36736111111111103</v>
      </c>
      <c r="V6" s="175">
        <f>(T6-U5)*24*60</f>
        <v>9.9999999999998845</v>
      </c>
      <c r="W6" s="180">
        <f t="shared" si="5"/>
        <v>63.000000000000014</v>
      </c>
      <c r="X6" s="22"/>
      <c r="Y6" s="22"/>
      <c r="Z6" s="475" t="s">
        <v>138</v>
      </c>
      <c r="AA6" s="476"/>
      <c r="AB6" s="18">
        <f>N6-K6</f>
        <v>-867.61904761904782</v>
      </c>
      <c r="AC6" s="183">
        <f>N6/K6</f>
        <v>0.51798941798941789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v>1443</v>
      </c>
      <c r="H7" s="15">
        <f t="shared" ref="H7:H12" si="6">F7*G7</f>
        <v>82554.03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>K7/J7</f>
        <v>111.47058823529412</v>
      </c>
      <c r="M7" s="178">
        <v>17</v>
      </c>
      <c r="N7" s="14">
        <f t="shared" si="0"/>
        <v>1546.071428571425</v>
      </c>
      <c r="O7" s="17">
        <f t="shared" si="1"/>
        <v>90.9453781512603</v>
      </c>
      <c r="P7" s="18">
        <f t="shared" si="2"/>
        <v>0</v>
      </c>
      <c r="Q7" s="19">
        <f t="shared" si="3"/>
        <v>-20.525210084033816</v>
      </c>
      <c r="R7" s="183">
        <f t="shared" si="4"/>
        <v>0.81586882774217684</v>
      </c>
      <c r="S7" s="420"/>
      <c r="T7" s="267">
        <v>0.37222222222222201</v>
      </c>
      <c r="U7" s="267">
        <v>0.41111111111111098</v>
      </c>
      <c r="V7" s="175">
        <f>(T7-U6)*24*60</f>
        <v>6.9999999999998153</v>
      </c>
      <c r="W7" s="180">
        <f t="shared" si="5"/>
        <v>56.000000000000121</v>
      </c>
      <c r="X7" s="22"/>
      <c r="Y7" s="22"/>
      <c r="Z7" s="405"/>
      <c r="AA7" s="405"/>
      <c r="AB7" s="18">
        <f>N7-K7</f>
        <v>-348.92857142857497</v>
      </c>
      <c r="AC7" s="183">
        <f>N7/K7</f>
        <v>0.81586882774217684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2718</v>
      </c>
      <c r="H8" s="15">
        <f t="shared" si="6"/>
        <v>133562.51999999999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1853.1818181818228</v>
      </c>
      <c r="O8" s="17">
        <f t="shared" si="1"/>
        <v>142.55244755244792</v>
      </c>
      <c r="P8" s="18">
        <f t="shared" si="2"/>
        <v>0</v>
      </c>
      <c r="Q8" s="19">
        <f t="shared" si="3"/>
        <v>-11.293706293705924</v>
      </c>
      <c r="R8" s="183">
        <f t="shared" si="4"/>
        <v>0.92659090909091146</v>
      </c>
      <c r="S8" s="420"/>
      <c r="T8" s="95">
        <v>0.41527777777777802</v>
      </c>
      <c r="U8" s="95">
        <v>0.47638888888888897</v>
      </c>
      <c r="V8" s="175">
        <f t="shared" ref="V8:V9" si="7">(T8-U7)*24*60</f>
        <v>6.0000000000005382</v>
      </c>
      <c r="W8" s="180">
        <f t="shared" si="5"/>
        <v>87.999999999999773</v>
      </c>
      <c r="X8" s="22"/>
      <c r="Y8" s="260"/>
      <c r="Z8" s="416"/>
      <c r="AA8" s="416"/>
      <c r="AB8" s="18">
        <f>N8-K8</f>
        <v>-146.81818181817721</v>
      </c>
      <c r="AC8" s="183">
        <f>N8/K8</f>
        <v>0.92659090909091135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2677</v>
      </c>
      <c r="H9" s="15">
        <f t="shared" si="6"/>
        <v>131547.78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>K9/J9</f>
        <v>153.84615384615384</v>
      </c>
      <c r="M9" s="178">
        <v>13</v>
      </c>
      <c r="N9" s="14">
        <f t="shared" si="0"/>
        <v>1958.7804878048926</v>
      </c>
      <c r="O9" s="17">
        <f t="shared" si="1"/>
        <v>150.67542213883789</v>
      </c>
      <c r="P9" s="18">
        <f t="shared" si="2"/>
        <v>0</v>
      </c>
      <c r="Q9" s="19">
        <f t="shared" si="3"/>
        <v>-3.1707317073159516</v>
      </c>
      <c r="R9" s="183">
        <f t="shared" si="4"/>
        <v>0.97939024390244633</v>
      </c>
      <c r="S9" s="421"/>
      <c r="T9" s="95">
        <v>0.54027777777777797</v>
      </c>
      <c r="U9" s="95">
        <v>0.59722222222222199</v>
      </c>
      <c r="V9" s="175">
        <f t="shared" si="7"/>
        <v>92.000000000000156</v>
      </c>
      <c r="W9" s="180">
        <f t="shared" si="5"/>
        <v>81.999999999999389</v>
      </c>
      <c r="X9" s="22"/>
      <c r="Y9" s="260"/>
      <c r="Z9" s="475"/>
      <c r="AA9" s="476"/>
      <c r="AB9" s="18">
        <f>N9-K9</f>
        <v>-41.219512195107427</v>
      </c>
      <c r="AC9" s="183">
        <f>N9/K9</f>
        <v>0.97939024390244633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/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6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14.2</v>
      </c>
      <c r="K15" s="117">
        <f t="shared" si="8"/>
        <v>1960</v>
      </c>
      <c r="L15" s="114">
        <f t="shared" si="8"/>
        <v>140.21719457013575</v>
      </c>
      <c r="M15" s="117">
        <f t="shared" si="8"/>
        <v>14.2</v>
      </c>
      <c r="N15" s="117">
        <f t="shared" si="8"/>
        <v>1606.0829373878191</v>
      </c>
      <c r="O15" s="114">
        <f t="shared" si="8"/>
        <v>116.03562636948607</v>
      </c>
      <c r="P15" s="118">
        <f t="shared" ref="P15:P20" si="9">M15-J15</f>
        <v>0</v>
      </c>
      <c r="Q15" s="119">
        <f t="shared" ref="Q15:Q20" si="10">O15-L15</f>
        <v>-24.181568200649679</v>
      </c>
      <c r="R15" s="120">
        <f t="shared" ref="R15:R20" si="11">O15/L15</f>
        <v>0.82754206233562733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2">N15-K15</f>
        <v>-353.91706261218087</v>
      </c>
      <c r="AC15" s="185">
        <f t="shared" ref="AC15:AC20" si="13">N15/K15</f>
        <v>0.81943007009582614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1499</v>
      </c>
      <c r="H16" s="124">
        <f t="shared" ref="H16:H25" si="14">F16*G16</f>
        <v>85757.790000000008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20" si="15">K16/J16</f>
        <v>161.92307692307693</v>
      </c>
      <c r="M16" s="264">
        <v>13</v>
      </c>
      <c r="N16" s="126">
        <f t="shared" ref="N16:N20" si="16">G16/W16*60</f>
        <v>2091.6279069767479</v>
      </c>
      <c r="O16" s="127">
        <f>N16/M16</f>
        <v>160.89445438282675</v>
      </c>
      <c r="P16" s="128">
        <f>M16-J16</f>
        <v>0</v>
      </c>
      <c r="Q16" s="129">
        <f t="shared" si="10"/>
        <v>-1.0286225402501827</v>
      </c>
      <c r="R16" s="187">
        <f>O16/L16</f>
        <v>0.99364746174667351</v>
      </c>
      <c r="S16" s="431">
        <f>R26</f>
        <v>0.97149328099892462</v>
      </c>
      <c r="T16" s="265">
        <v>0.2902777777777778</v>
      </c>
      <c r="U16" s="265">
        <v>0.32013888888888886</v>
      </c>
      <c r="V16" s="125"/>
      <c r="W16" s="130">
        <f t="shared" ref="W16:W78" si="17">(U16-T16)*24*60</f>
        <v>42.999999999999929</v>
      </c>
      <c r="X16" s="127"/>
      <c r="Y16" s="127"/>
      <c r="Z16" s="425"/>
      <c r="AA16" s="425"/>
      <c r="AB16" s="110">
        <f t="shared" si="12"/>
        <v>-13.372093023252091</v>
      </c>
      <c r="AC16" s="182">
        <f t="shared" si="13"/>
        <v>0.99364746174667362</v>
      </c>
      <c r="AD16" s="411">
        <f>AC26</f>
        <v>0.95741279227584097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2885</v>
      </c>
      <c r="H17" s="15">
        <f t="shared" si="14"/>
        <v>146182.95000000001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5"/>
        <v>153.84615384615384</v>
      </c>
      <c r="M17" s="37">
        <v>13</v>
      </c>
      <c r="N17" s="36">
        <f>G17/W17*60</f>
        <v>1989.6551724137926</v>
      </c>
      <c r="O17" s="38">
        <f t="shared" ref="O17:O20" si="18">N17/M17</f>
        <v>153.05039787798404</v>
      </c>
      <c r="P17" s="39">
        <f t="shared" si="9"/>
        <v>0</v>
      </c>
      <c r="Q17" s="40">
        <f t="shared" si="10"/>
        <v>-0.7957559681698001</v>
      </c>
      <c r="R17" s="188">
        <f t="shared" si="11"/>
        <v>0.99482758620689626</v>
      </c>
      <c r="S17" s="432"/>
      <c r="T17" s="41">
        <v>0.3298611111111111</v>
      </c>
      <c r="U17" s="41">
        <v>0.39027777777777778</v>
      </c>
      <c r="V17" s="175">
        <f>(T17-U16)*24*60</f>
        <v>14.00000000000003</v>
      </c>
      <c r="W17" s="43">
        <f t="shared" si="17"/>
        <v>87.000000000000014</v>
      </c>
      <c r="X17" s="44"/>
      <c r="Y17" s="44"/>
      <c r="Z17" s="405"/>
      <c r="AA17" s="405"/>
      <c r="AB17" s="18">
        <f t="shared" si="12"/>
        <v>-10.34482758620743</v>
      </c>
      <c r="AC17" s="183">
        <f t="shared" si="13"/>
        <v>0.99482758620689626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3580</v>
      </c>
      <c r="H18" s="15">
        <f t="shared" si="14"/>
        <v>180396.2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5"/>
        <v>166.66666666666666</v>
      </c>
      <c r="M18" s="37">
        <v>12</v>
      </c>
      <c r="N18" s="36">
        <f t="shared" si="16"/>
        <v>1851.7241379310346</v>
      </c>
      <c r="O18" s="38">
        <f t="shared" si="18"/>
        <v>154.31034482758622</v>
      </c>
      <c r="P18" s="39">
        <f t="shared" si="9"/>
        <v>0</v>
      </c>
      <c r="Q18" s="40">
        <f t="shared" si="10"/>
        <v>-12.356321839080437</v>
      </c>
      <c r="R18" s="188">
        <f t="shared" si="11"/>
        <v>0.92586206896551737</v>
      </c>
      <c r="S18" s="432"/>
      <c r="T18" s="41">
        <v>0.39861111111111114</v>
      </c>
      <c r="U18" s="41">
        <v>0.47916666666666669</v>
      </c>
      <c r="V18" s="175">
        <f>(T18-U17)*24*60</f>
        <v>12.000000000000037</v>
      </c>
      <c r="W18" s="43">
        <f t="shared" si="17"/>
        <v>115.99999999999999</v>
      </c>
      <c r="X18" s="22"/>
      <c r="Y18" s="22"/>
      <c r="Z18" s="405"/>
      <c r="AA18" s="405"/>
      <c r="AB18" s="18">
        <f t="shared" si="12"/>
        <v>-148.27586206896535</v>
      </c>
      <c r="AC18" s="183">
        <f t="shared" si="13"/>
        <v>0.92586206896551737</v>
      </c>
      <c r="AD18" s="412"/>
    </row>
    <row r="19" spans="1:30" ht="15" customHeight="1">
      <c r="A19" s="440"/>
      <c r="B19" s="56" t="str">
        <f>VLOOKUP(D19,廠價表!$C$1:$E$40,2,0)</f>
        <v>義大利麵</v>
      </c>
      <c r="C19" s="10"/>
      <c r="D19" s="11" t="s">
        <v>40</v>
      </c>
      <c r="E19" s="86"/>
      <c r="F19" s="56">
        <f>VLOOKUP(D19,廠價表!$C$1:$E$40,3,0)</f>
        <v>50.67</v>
      </c>
      <c r="G19" s="96">
        <v>995</v>
      </c>
      <c r="H19" s="15">
        <f t="shared" si="14"/>
        <v>50416.65</v>
      </c>
      <c r="I19" s="175"/>
      <c r="J19" s="16">
        <f>VLOOKUP(D19,產線配置圖!$A$3:$C$39,2,0)</f>
        <v>13</v>
      </c>
      <c r="K19" s="14">
        <f>VLOOKUP(D19,產線配置圖!$A$3:$C$39,3,0)</f>
        <v>2000</v>
      </c>
      <c r="L19" s="17">
        <f t="shared" si="15"/>
        <v>153.84615384615384</v>
      </c>
      <c r="M19" s="37">
        <v>12</v>
      </c>
      <c r="N19" s="36">
        <f t="shared" si="16"/>
        <v>1809.0909090909067</v>
      </c>
      <c r="O19" s="38">
        <f t="shared" si="18"/>
        <v>150.75757575757555</v>
      </c>
      <c r="P19" s="39">
        <f t="shared" si="9"/>
        <v>-1</v>
      </c>
      <c r="Q19" s="40">
        <f t="shared" si="10"/>
        <v>-3.0885780885782879</v>
      </c>
      <c r="R19" s="188">
        <f t="shared" si="11"/>
        <v>0.97992424242424114</v>
      </c>
      <c r="S19" s="432"/>
      <c r="T19" s="41">
        <v>0.54166666666666663</v>
      </c>
      <c r="U19" s="41">
        <v>0.56458333333333333</v>
      </c>
      <c r="V19" s="175">
        <f>(T19-U18)*24*60</f>
        <v>89.999999999999915</v>
      </c>
      <c r="W19" s="43">
        <f t="shared" si="17"/>
        <v>33.000000000000043</v>
      </c>
      <c r="X19" s="22"/>
      <c r="Y19" s="260"/>
      <c r="Z19" s="416"/>
      <c r="AA19" s="416"/>
      <c r="AB19" s="18">
        <f t="shared" si="12"/>
        <v>-190.90909090909327</v>
      </c>
      <c r="AC19" s="183">
        <f t="shared" si="13"/>
        <v>0.90454545454545332</v>
      </c>
      <c r="AD19" s="413"/>
    </row>
    <row r="20" spans="1:30" ht="15" customHeight="1">
      <c r="A20" s="440"/>
      <c r="B20" s="56" t="str">
        <f>VLOOKUP(D20,廠價表!$C$1:$E$40,2,0)</f>
        <v>義大利麵</v>
      </c>
      <c r="C20" s="10"/>
      <c r="D20" s="11" t="s">
        <v>41</v>
      </c>
      <c r="E20" s="86"/>
      <c r="F20" s="56">
        <f>VLOOKUP(D20,廠價表!$C$1:$E$40,3,0)</f>
        <v>50.39</v>
      </c>
      <c r="G20" s="96">
        <v>1385</v>
      </c>
      <c r="H20" s="15">
        <f t="shared" si="14"/>
        <v>69790.149999999994</v>
      </c>
      <c r="I20" s="175"/>
      <c r="J20" s="16">
        <f>VLOOKUP(D20,產線配置圖!$A$3:$C$39,2,0)</f>
        <v>12</v>
      </c>
      <c r="K20" s="14">
        <f>VLOOKUP(D20,產線配置圖!$A$3:$C$39,3,0)</f>
        <v>2000</v>
      </c>
      <c r="L20" s="17">
        <f t="shared" si="15"/>
        <v>166.66666666666666</v>
      </c>
      <c r="M20" s="37">
        <v>12</v>
      </c>
      <c r="N20" s="36">
        <f t="shared" si="16"/>
        <v>1932.5581395348906</v>
      </c>
      <c r="O20" s="38">
        <f t="shared" si="18"/>
        <v>161.04651162790756</v>
      </c>
      <c r="P20" s="39">
        <f t="shared" si="9"/>
        <v>0</v>
      </c>
      <c r="Q20" s="40">
        <f t="shared" si="10"/>
        <v>-5.6201550387590942</v>
      </c>
      <c r="R20" s="188">
        <f t="shared" si="11"/>
        <v>0.96627906976744549</v>
      </c>
      <c r="S20" s="432"/>
      <c r="T20" s="41">
        <v>0.64097222222222228</v>
      </c>
      <c r="U20" s="41">
        <v>0.67083333333333328</v>
      </c>
      <c r="V20" s="175">
        <f>(T20-U19)*24*60</f>
        <v>110.00000000000009</v>
      </c>
      <c r="W20" s="43">
        <f t="shared" si="17"/>
        <v>42.999999999999844</v>
      </c>
      <c r="X20" s="44"/>
      <c r="Y20" s="44"/>
      <c r="Z20" s="418" t="s">
        <v>165</v>
      </c>
      <c r="AA20" s="405"/>
      <c r="AB20" s="18">
        <f t="shared" si="12"/>
        <v>-67.441860465109357</v>
      </c>
      <c r="AC20" s="183">
        <f t="shared" si="13"/>
        <v>0.96627906976744538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7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4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7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4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7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4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7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19">AVERAGE(J16:J25)</f>
        <v>12.6</v>
      </c>
      <c r="K26" s="133">
        <f t="shared" si="19"/>
        <v>2021</v>
      </c>
      <c r="L26" s="136">
        <f t="shared" si="19"/>
        <v>160.58974358974359</v>
      </c>
      <c r="M26" s="133">
        <f t="shared" si="19"/>
        <v>12.4</v>
      </c>
      <c r="N26" s="133">
        <f t="shared" si="19"/>
        <v>1934.9312531894745</v>
      </c>
      <c r="O26" s="136">
        <f t="shared" si="19"/>
        <v>156.01185689477603</v>
      </c>
      <c r="P26" s="137">
        <f t="shared" ref="P26:P32" si="20">M26-J26</f>
        <v>-0.19999999999999929</v>
      </c>
      <c r="Q26" s="138">
        <f t="shared" ref="Q26:Q32" si="21">O26-L26</f>
        <v>-4.5778866949675603</v>
      </c>
      <c r="R26" s="139">
        <f t="shared" ref="R26:R32" si="22">O26/L26</f>
        <v>0.97149328099892462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-86.068746810525454</v>
      </c>
      <c r="AC26" s="185">
        <f>N26/K26</f>
        <v>0.95741279227584097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v>2175</v>
      </c>
      <c r="H27" s="124">
        <f t="shared" ref="H27:H47" si="23">F27*G27</f>
        <v>103769.25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15</v>
      </c>
      <c r="N27" s="126">
        <f>G27/W27*60</f>
        <v>1359.3750000000139</v>
      </c>
      <c r="O27" s="127">
        <f>N27/M27</f>
        <v>90.625000000000924</v>
      </c>
      <c r="P27" s="128">
        <f t="shared" si="20"/>
        <v>0</v>
      </c>
      <c r="Q27" s="129">
        <f t="shared" si="21"/>
        <v>-9.3749999999990763</v>
      </c>
      <c r="R27" s="187">
        <f>O27/L27</f>
        <v>0.90625000000000921</v>
      </c>
      <c r="S27" s="431">
        <f>R37</f>
        <v>0.80771857733445662</v>
      </c>
      <c r="T27" s="94">
        <v>0.29166666666666702</v>
      </c>
      <c r="U27" s="94">
        <v>0.358333333333333</v>
      </c>
      <c r="V27" s="125"/>
      <c r="W27" s="130">
        <f t="shared" si="17"/>
        <v>95.999999999999019</v>
      </c>
      <c r="X27" s="125"/>
      <c r="Y27" s="125" t="s">
        <v>47</v>
      </c>
      <c r="Z27" s="434" t="s">
        <v>157</v>
      </c>
      <c r="AA27" s="425"/>
      <c r="AB27" s="223">
        <f>N27-K27</f>
        <v>-140.62499999998613</v>
      </c>
      <c r="AC27" s="288">
        <f>N27/K27</f>
        <v>0.90625000000000921</v>
      </c>
      <c r="AD27" s="411">
        <f>AC37</f>
        <v>0.82189515471370034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1186</v>
      </c>
      <c r="H28" s="50">
        <f t="shared" si="23"/>
        <v>65384.18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17</v>
      </c>
      <c r="N28" s="36">
        <f>G28/W28*60</f>
        <v>1147.7419354838619</v>
      </c>
      <c r="O28" s="38">
        <f>N28/M28</f>
        <v>67.514231499050695</v>
      </c>
      <c r="P28" s="39">
        <f t="shared" si="20"/>
        <v>-1</v>
      </c>
      <c r="Q28" s="40">
        <f t="shared" si="21"/>
        <v>-9.4302129453937482</v>
      </c>
      <c r="R28" s="188">
        <f t="shared" si="22"/>
        <v>0.8774412757999368</v>
      </c>
      <c r="S28" s="432"/>
      <c r="T28" s="267">
        <v>0.36458333333333298</v>
      </c>
      <c r="U28" s="41">
        <v>0.40763888888888888</v>
      </c>
      <c r="V28" s="42">
        <f>(T28-U27)*24*60</f>
        <v>8.999999999999968</v>
      </c>
      <c r="W28" s="43">
        <f t="shared" si="17"/>
        <v>62.000000000000497</v>
      </c>
      <c r="X28" s="54"/>
      <c r="Y28" s="54"/>
      <c r="Z28" s="418"/>
      <c r="AA28" s="417"/>
      <c r="AB28" s="39">
        <f>N28-K28</f>
        <v>-237.25806451613812</v>
      </c>
      <c r="AC28" s="188">
        <f>N28/K28</f>
        <v>0.82869453825549599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2748</v>
      </c>
      <c r="H29" s="50">
        <f t="shared" si="23"/>
        <v>157460.4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19</v>
      </c>
      <c r="N29" s="36">
        <f>G29/W29*60</f>
        <v>1472.1428571428571</v>
      </c>
      <c r="O29" s="38">
        <f>N29/M29</f>
        <v>77.481203007518801</v>
      </c>
      <c r="P29" s="39">
        <f t="shared" si="20"/>
        <v>4</v>
      </c>
      <c r="Q29" s="40">
        <f t="shared" si="21"/>
        <v>-18.518796992481199</v>
      </c>
      <c r="R29" s="188">
        <f t="shared" si="22"/>
        <v>0.80709586466165417</v>
      </c>
      <c r="S29" s="432"/>
      <c r="T29" s="41">
        <v>0.41319444444444442</v>
      </c>
      <c r="U29" s="41">
        <v>0.4909722222222222</v>
      </c>
      <c r="V29" s="42">
        <f>(T29-U28)*24*60</f>
        <v>7.9999999999999716</v>
      </c>
      <c r="W29" s="43">
        <f t="shared" si="17"/>
        <v>112</v>
      </c>
      <c r="X29" s="22"/>
      <c r="Y29" s="22"/>
      <c r="Z29" s="418"/>
      <c r="AA29" s="417"/>
      <c r="AB29" s="289">
        <f>N29-K29</f>
        <v>32.14285714285711</v>
      </c>
      <c r="AC29" s="188">
        <f>N29/K29</f>
        <v>1.0223214285714286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142</v>
      </c>
      <c r="E30" s="29"/>
      <c r="F30" s="56">
        <f>VLOOKUP(D30,廠價表!$C$1:$E$40,3,0)</f>
        <v>57.3</v>
      </c>
      <c r="G30" s="53">
        <v>1353</v>
      </c>
      <c r="H30" s="50">
        <f t="shared" si="23"/>
        <v>77526.899999999994</v>
      </c>
      <c r="I30" s="42"/>
      <c r="J30" s="16">
        <f>VLOOKUP(D30,產線配置圖!$A$3:$C$39,2,0)</f>
        <v>15</v>
      </c>
      <c r="K30" s="14">
        <f>VLOOKUP(D30,產線配置圖!$A$3:$C$39,3,0)</f>
        <v>1440</v>
      </c>
      <c r="L30" s="233">
        <f t="shared" ref="L30:L32" si="24">K30/J30</f>
        <v>96</v>
      </c>
      <c r="M30" s="21">
        <v>16</v>
      </c>
      <c r="N30" s="36">
        <f t="shared" ref="N30:N32" si="25">G30/W30*60</f>
        <v>1475.9999999999964</v>
      </c>
      <c r="O30" s="38">
        <f t="shared" ref="O30:O32" si="26">N30/M30</f>
        <v>92.249999999999773</v>
      </c>
      <c r="P30" s="39">
        <f t="shared" si="20"/>
        <v>1</v>
      </c>
      <c r="Q30" s="40">
        <f t="shared" si="21"/>
        <v>-3.7500000000002274</v>
      </c>
      <c r="R30" s="188">
        <f t="shared" si="22"/>
        <v>0.96093749999999767</v>
      </c>
      <c r="S30" s="432"/>
      <c r="T30" s="41">
        <v>0.54652777777777772</v>
      </c>
      <c r="U30" s="41">
        <v>0.58472222222222225</v>
      </c>
      <c r="V30" s="42">
        <f t="shared" ref="V30:V34" si="27">(T30-U29)*24*60</f>
        <v>79.999999999999957</v>
      </c>
      <c r="W30" s="43">
        <f t="shared" si="17"/>
        <v>55.000000000000128</v>
      </c>
      <c r="X30" s="54"/>
      <c r="Y30" s="54"/>
      <c r="Z30" s="418"/>
      <c r="AA30" s="417"/>
      <c r="AB30" s="289">
        <f>N30-K30</f>
        <v>35.999999999996362</v>
      </c>
      <c r="AC30" s="188">
        <f>N30/K30</f>
        <v>1.0249999999999975</v>
      </c>
      <c r="AD30" s="445"/>
    </row>
    <row r="31" spans="1:30" ht="15" customHeight="1">
      <c r="A31" s="429"/>
      <c r="B31" s="56" t="str">
        <f>VLOOKUP(D31,廠價表!$C$1:$E$40,2,0)</f>
        <v>義大利麵</v>
      </c>
      <c r="C31" s="249"/>
      <c r="D31" s="11" t="s">
        <v>49</v>
      </c>
      <c r="E31" s="251"/>
      <c r="F31" s="56">
        <f>VLOOKUP(D31,廠價表!$C$1:$E$40,3,0)</f>
        <v>47.71</v>
      </c>
      <c r="G31" s="53">
        <v>495</v>
      </c>
      <c r="H31" s="50">
        <f t="shared" si="23"/>
        <v>23616.45</v>
      </c>
      <c r="I31" s="42"/>
      <c r="J31" s="16">
        <f>VLOOKUP(D31,產線配置圖!$A$3:$C$39,2,0)</f>
        <v>15</v>
      </c>
      <c r="K31" s="14">
        <f>VLOOKUP(D31,產線配置圖!$A$3:$C$39,3,0)</f>
        <v>1500</v>
      </c>
      <c r="L31" s="233">
        <f t="shared" si="24"/>
        <v>100</v>
      </c>
      <c r="M31" s="21">
        <v>15</v>
      </c>
      <c r="N31" s="36">
        <f t="shared" si="25"/>
        <v>1485.0000000000052</v>
      </c>
      <c r="O31" s="38">
        <f t="shared" si="26"/>
        <v>99.000000000000355</v>
      </c>
      <c r="P31" s="39">
        <f t="shared" si="20"/>
        <v>0</v>
      </c>
      <c r="Q31" s="40">
        <f t="shared" si="21"/>
        <v>-0.99999999999964473</v>
      </c>
      <c r="R31" s="188">
        <f t="shared" si="22"/>
        <v>0.99000000000000354</v>
      </c>
      <c r="S31" s="432"/>
      <c r="T31" s="41">
        <v>0.59027777777777779</v>
      </c>
      <c r="U31" s="41">
        <v>0.60416666666666663</v>
      </c>
      <c r="V31" s="42">
        <f t="shared" si="27"/>
        <v>7.9999999999999716</v>
      </c>
      <c r="W31" s="43">
        <f t="shared" si="17"/>
        <v>19.999999999999929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 t="str">
        <f>VLOOKUP(D32,廠價表!$C$1:$E$40,2,0)</f>
        <v>義大利麵</v>
      </c>
      <c r="C32" s="27"/>
      <c r="D32" s="239" t="s">
        <v>48</v>
      </c>
      <c r="E32" s="29"/>
      <c r="F32" s="56">
        <f>VLOOKUP(D32,廠價表!$C$1:$E$40,3,0)</f>
        <v>55.13</v>
      </c>
      <c r="G32" s="53">
        <v>488</v>
      </c>
      <c r="H32" s="50">
        <f t="shared" si="23"/>
        <v>26903.440000000002</v>
      </c>
      <c r="I32" s="42"/>
      <c r="J32" s="16">
        <f>VLOOKUP(D32,產線配置圖!$A$3:$C$39,2,0)</f>
        <v>18</v>
      </c>
      <c r="K32" s="14">
        <f>VLOOKUP(D32,產線配置圖!$A$3:$C$39,3,0)</f>
        <v>1385</v>
      </c>
      <c r="L32" s="233">
        <f t="shared" si="24"/>
        <v>76.944444444444443</v>
      </c>
      <c r="M32" s="21">
        <v>15</v>
      </c>
      <c r="N32" s="36">
        <f t="shared" si="25"/>
        <v>915.00000000000318</v>
      </c>
      <c r="O32" s="38">
        <f t="shared" si="26"/>
        <v>61.000000000000213</v>
      </c>
      <c r="P32" s="39">
        <f t="shared" si="20"/>
        <v>-3</v>
      </c>
      <c r="Q32" s="40">
        <f t="shared" si="21"/>
        <v>-15.94444444444423</v>
      </c>
      <c r="R32" s="188">
        <f t="shared" si="22"/>
        <v>0.79277978339350463</v>
      </c>
      <c r="S32" s="432"/>
      <c r="T32" s="41">
        <v>0.60972222222222228</v>
      </c>
      <c r="U32" s="41">
        <v>0.63194444444444442</v>
      </c>
      <c r="V32" s="42">
        <f t="shared" si="27"/>
        <v>8.0000000000001315</v>
      </c>
      <c r="W32" s="43">
        <f t="shared" si="17"/>
        <v>31.999999999999886</v>
      </c>
      <c r="X32" s="54"/>
      <c r="Y32" s="54"/>
      <c r="Z32" s="418" t="s">
        <v>55</v>
      </c>
      <c r="AA32" s="405"/>
      <c r="AB32" s="18"/>
      <c r="AC32" s="183"/>
      <c r="AD32" s="413"/>
    </row>
    <row r="33" spans="1:30" ht="15" customHeight="1">
      <c r="A33" s="429"/>
      <c r="B33" s="56" t="str">
        <f>VLOOKUP(D33,廠價表!$C$1:$E$40,2,0)</f>
        <v>義大利麵</v>
      </c>
      <c r="C33" s="238"/>
      <c r="D33" s="11" t="s">
        <v>142</v>
      </c>
      <c r="E33" s="240"/>
      <c r="F33" s="56">
        <f>VLOOKUP(D33,廠價表!$C$1:$E$40,3,0)</f>
        <v>57.3</v>
      </c>
      <c r="G33" s="53">
        <v>436</v>
      </c>
      <c r="H33" s="50">
        <f t="shared" ref="H33:H34" si="28">F33*G33</f>
        <v>24982.799999999999</v>
      </c>
      <c r="I33" s="42"/>
      <c r="J33" s="16">
        <f>VLOOKUP(D33,產線配置圖!$A$3:$C$39,2,0)</f>
        <v>15</v>
      </c>
      <c r="K33" s="14">
        <f>VLOOKUP(D33,產線配置圖!$A$3:$C$39,3,0)</f>
        <v>1440</v>
      </c>
      <c r="L33" s="233">
        <f t="shared" ref="L33:L34" si="29">K33/J33</f>
        <v>96</v>
      </c>
      <c r="M33" s="21">
        <v>15</v>
      </c>
      <c r="N33" s="36">
        <f t="shared" ref="N33:N34" si="30">G33/W33*60</f>
        <v>792.72727272727172</v>
      </c>
      <c r="O33" s="38">
        <f t="shared" ref="O33:O34" si="31">N33/M33</f>
        <v>52.84848484848478</v>
      </c>
      <c r="P33" s="39">
        <f t="shared" ref="P33:P34" si="32">M33-J33</f>
        <v>0</v>
      </c>
      <c r="Q33" s="40">
        <f t="shared" ref="Q33:Q34" si="33">O33-L33</f>
        <v>-43.15151515151522</v>
      </c>
      <c r="R33" s="188">
        <f t="shared" ref="R33:R34" si="34">O33/L33</f>
        <v>0.55050505050504983</v>
      </c>
      <c r="S33" s="432"/>
      <c r="T33" s="41">
        <v>0.63680555555555551</v>
      </c>
      <c r="U33" s="41">
        <v>0.65972222222222221</v>
      </c>
      <c r="V33" s="42">
        <f t="shared" si="27"/>
        <v>6.9999999999999751</v>
      </c>
      <c r="W33" s="43">
        <f t="shared" si="17"/>
        <v>33.000000000000043</v>
      </c>
      <c r="X33" s="54"/>
      <c r="Y33" s="54"/>
      <c r="Z33" s="418" t="s">
        <v>55</v>
      </c>
      <c r="AA33" s="405"/>
      <c r="AB33" s="18"/>
      <c r="AC33" s="57"/>
      <c r="AD33" s="413"/>
    </row>
    <row r="34" spans="1:30" ht="15" customHeight="1">
      <c r="A34" s="429"/>
      <c r="B34" s="56" t="str">
        <f>VLOOKUP(D34,廠價表!$C$1:$E$40,2,0)</f>
        <v>義大利麵</v>
      </c>
      <c r="C34" s="235"/>
      <c r="D34" s="11" t="s">
        <v>49</v>
      </c>
      <c r="E34" s="29"/>
      <c r="F34" s="56">
        <f>VLOOKUP(D34,廠價表!$C$1:$E$40,3,0)</f>
        <v>47.71</v>
      </c>
      <c r="G34" s="53">
        <v>790</v>
      </c>
      <c r="H34" s="50">
        <f t="shared" si="28"/>
        <v>37690.9</v>
      </c>
      <c r="I34" s="42"/>
      <c r="J34" s="16">
        <f>VLOOKUP(D34,產線配置圖!$A$3:$C$39,2,0)</f>
        <v>15</v>
      </c>
      <c r="K34" s="14">
        <f>VLOOKUP(D34,產線配置圖!$A$3:$C$39,3,0)</f>
        <v>1500</v>
      </c>
      <c r="L34" s="233">
        <f t="shared" si="29"/>
        <v>100</v>
      </c>
      <c r="M34" s="21">
        <v>15</v>
      </c>
      <c r="N34" s="36">
        <f t="shared" si="30"/>
        <v>877.77777777777817</v>
      </c>
      <c r="O34" s="38">
        <f t="shared" si="31"/>
        <v>58.518518518518547</v>
      </c>
      <c r="P34" s="39">
        <f t="shared" si="32"/>
        <v>0</v>
      </c>
      <c r="Q34" s="40">
        <f t="shared" si="33"/>
        <v>-41.481481481481453</v>
      </c>
      <c r="R34" s="188">
        <f t="shared" si="34"/>
        <v>0.58518518518518547</v>
      </c>
      <c r="S34" s="432"/>
      <c r="T34" s="41">
        <v>0.66388888888888886</v>
      </c>
      <c r="U34" s="41">
        <v>0.70138888888888884</v>
      </c>
      <c r="V34" s="42">
        <f t="shared" si="27"/>
        <v>5.9999999999999787</v>
      </c>
      <c r="W34" s="43">
        <f t="shared" si="17"/>
        <v>53.999999999999972</v>
      </c>
      <c r="X34" s="54"/>
      <c r="Y34" s="54"/>
      <c r="Z34" s="418" t="s">
        <v>55</v>
      </c>
      <c r="AA34" s="405"/>
      <c r="AB34" s="18"/>
      <c r="AC34" s="57"/>
      <c r="AD34" s="413"/>
    </row>
    <row r="35" spans="1:30" ht="15" customHeight="1">
      <c r="A35" s="429"/>
      <c r="B35" s="56"/>
      <c r="C35" s="235"/>
      <c r="D35" s="11"/>
      <c r="E35" s="29"/>
      <c r="F35" s="56"/>
      <c r="G35" s="53"/>
      <c r="H35" s="50"/>
      <c r="I35" s="42"/>
      <c r="J35" s="16"/>
      <c r="K35" s="14"/>
      <c r="L35" s="233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7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3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7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35">AVERAGE(J27:J36)</f>
        <v>15.75</v>
      </c>
      <c r="K37" s="282">
        <f t="shared" si="35"/>
        <v>1448.75</v>
      </c>
      <c r="L37" s="283">
        <f t="shared" si="35"/>
        <v>92.736111111111114</v>
      </c>
      <c r="M37" s="282">
        <f t="shared" si="35"/>
        <v>15.875</v>
      </c>
      <c r="N37" s="282">
        <f t="shared" si="35"/>
        <v>1190.7206053914733</v>
      </c>
      <c r="O37" s="283">
        <f t="shared" si="35"/>
        <v>74.904679734196762</v>
      </c>
      <c r="P37" s="73">
        <f>M37-J37</f>
        <v>0.125</v>
      </c>
      <c r="Q37" s="74">
        <f>N37-K37</f>
        <v>-258.02939460852667</v>
      </c>
      <c r="R37" s="284">
        <f t="shared" ref="R37:R44" si="36">O37/L37</f>
        <v>0.80771857733445662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37">N37-K37</f>
        <v>-258.02939460852667</v>
      </c>
      <c r="AC37" s="184">
        <f t="shared" ref="AC37:AC41" si="38">N37/K37</f>
        <v>0.82189515471370034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1884</v>
      </c>
      <c r="H38" s="124">
        <f t="shared" si="23"/>
        <v>107953.2</v>
      </c>
      <c r="I38" s="125"/>
      <c r="J38" s="331">
        <f>VLOOKUP(D38,產線配置圖!$A$3:$C$39,2,0)</f>
        <v>15</v>
      </c>
      <c r="K38" s="234">
        <v>1500</v>
      </c>
      <c r="L38" s="285">
        <f t="shared" ref="L38:L44" si="39">K38/J38</f>
        <v>100</v>
      </c>
      <c r="M38" s="286">
        <v>15</v>
      </c>
      <c r="N38" s="126">
        <f>G38/W38*60</f>
        <v>1256</v>
      </c>
      <c r="O38" s="127">
        <f>N38/M38</f>
        <v>83.733333333333334</v>
      </c>
      <c r="P38" s="128">
        <f t="shared" ref="P38:P44" si="40">M38-J38</f>
        <v>0</v>
      </c>
      <c r="Q38" s="129">
        <f t="shared" ref="Q38:Q44" si="41">O38-L38</f>
        <v>-16.266666666666666</v>
      </c>
      <c r="R38" s="187">
        <f t="shared" si="36"/>
        <v>0.83733333333333337</v>
      </c>
      <c r="S38" s="460">
        <f>R48</f>
        <v>0.78720442329232321</v>
      </c>
      <c r="T38" s="149">
        <v>0.29166666666666669</v>
      </c>
      <c r="U38" s="149">
        <v>0.35416666666666669</v>
      </c>
      <c r="V38" s="146"/>
      <c r="W38" s="150">
        <f t="shared" si="17"/>
        <v>90</v>
      </c>
      <c r="X38" s="148"/>
      <c r="Y38" s="151"/>
      <c r="Z38" s="484"/>
      <c r="AA38" s="485"/>
      <c r="AB38" s="287">
        <f t="shared" si="37"/>
        <v>-244</v>
      </c>
      <c r="AC38" s="152">
        <f t="shared" si="38"/>
        <v>0.83733333333333337</v>
      </c>
      <c r="AD38" s="447">
        <f>AC48</f>
        <v>0.77205001927204631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1601</v>
      </c>
      <c r="H39" s="50">
        <f t="shared" si="23"/>
        <v>90344.43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9"/>
        <v>93.733333333333334</v>
      </c>
      <c r="M39" s="65">
        <v>15</v>
      </c>
      <c r="N39" s="66">
        <f>G39/W39*60</f>
        <v>1200.7499999999995</v>
      </c>
      <c r="O39" s="67">
        <f t="shared" ref="O39:O44" si="42">N39/M39</f>
        <v>80.049999999999969</v>
      </c>
      <c r="P39" s="39">
        <f t="shared" si="40"/>
        <v>0</v>
      </c>
      <c r="Q39" s="40">
        <f t="shared" si="41"/>
        <v>-13.683333333333366</v>
      </c>
      <c r="R39" s="188">
        <f t="shared" si="36"/>
        <v>0.85401849217638659</v>
      </c>
      <c r="S39" s="461"/>
      <c r="T39" s="59">
        <v>0.36249999999999999</v>
      </c>
      <c r="U39" s="59">
        <v>0.41805555555555557</v>
      </c>
      <c r="V39" s="42">
        <f>(T39-U38)*24*60</f>
        <v>11.999999999999957</v>
      </c>
      <c r="W39" s="69">
        <f t="shared" si="17"/>
        <v>80.000000000000028</v>
      </c>
      <c r="X39" s="22"/>
      <c r="Y39" s="22"/>
      <c r="Z39" s="450"/>
      <c r="AA39" s="451"/>
      <c r="AB39" s="268">
        <f t="shared" si="37"/>
        <v>-205.25000000000045</v>
      </c>
      <c r="AC39" s="61">
        <f t="shared" si="38"/>
        <v>0.85401849217638659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166</v>
      </c>
      <c r="E40" s="240"/>
      <c r="F40" s="56">
        <f>VLOOKUP(D40,廠價表!$C$1:$E$40,3,0)</f>
        <v>49.52</v>
      </c>
      <c r="G40" s="273">
        <v>1391</v>
      </c>
      <c r="H40" s="50">
        <f t="shared" si="23"/>
        <v>68882.320000000007</v>
      </c>
      <c r="I40" s="64"/>
      <c r="J40" s="37">
        <f>VLOOKUP(D40,產線配置圖!$A$3:$C$39,2,0)</f>
        <v>18</v>
      </c>
      <c r="K40" s="36">
        <f>VLOOKUP(D40,產線配置圖!$A$3:$C$39,3,0)</f>
        <v>1440</v>
      </c>
      <c r="L40" s="38">
        <f t="shared" si="39"/>
        <v>80</v>
      </c>
      <c r="M40" s="65">
        <v>18</v>
      </c>
      <c r="N40" s="66">
        <f>G40/W40*60</f>
        <v>1112.7999999999993</v>
      </c>
      <c r="O40" s="67">
        <f t="shared" si="42"/>
        <v>61.82222222222218</v>
      </c>
      <c r="P40" s="39">
        <f t="shared" si="40"/>
        <v>0</v>
      </c>
      <c r="Q40" s="40">
        <f t="shared" si="41"/>
        <v>-18.17777777777782</v>
      </c>
      <c r="R40" s="188">
        <f t="shared" si="36"/>
        <v>0.77277777777777723</v>
      </c>
      <c r="S40" s="420"/>
      <c r="T40" s="59">
        <v>0.42708333333333331</v>
      </c>
      <c r="U40" s="59">
        <v>0.47916666666666669</v>
      </c>
      <c r="V40" s="42">
        <f>(T40-U39)*24*60</f>
        <v>12.999999999999954</v>
      </c>
      <c r="W40" s="69">
        <f t="shared" si="17"/>
        <v>75.000000000000057</v>
      </c>
      <c r="X40" s="70"/>
      <c r="Y40" s="256"/>
      <c r="Z40" s="480" t="s">
        <v>143</v>
      </c>
      <c r="AA40" s="483"/>
      <c r="AB40" s="268">
        <f t="shared" si="37"/>
        <v>-327.20000000000073</v>
      </c>
      <c r="AC40" s="61">
        <f t="shared" si="38"/>
        <v>0.77277777777777723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167</v>
      </c>
      <c r="E41" s="240"/>
      <c r="F41" s="56">
        <f>VLOOKUP(D41,廠價表!$C$1:$E$40,3,0)</f>
        <v>44.3</v>
      </c>
      <c r="G41" s="273">
        <v>1733</v>
      </c>
      <c r="H41" s="50">
        <f t="shared" si="23"/>
        <v>76771.899999999994</v>
      </c>
      <c r="I41" s="64"/>
      <c r="J41" s="37">
        <f>VLOOKUP(D41,產線配置圖!$A$3:$C$39,2,0)</f>
        <v>19</v>
      </c>
      <c r="K41" s="36">
        <f>VLOOKUP(D41,產線配置圖!$A$3:$C$39,3,0)</f>
        <v>1440</v>
      </c>
      <c r="L41" s="38">
        <f t="shared" si="39"/>
        <v>75.78947368421052</v>
      </c>
      <c r="M41" s="65">
        <v>18</v>
      </c>
      <c r="N41" s="66">
        <f t="shared" ref="N41:N44" si="43">G41/W41*60</f>
        <v>1237.8571428571424</v>
      </c>
      <c r="O41" s="67">
        <f t="shared" si="42"/>
        <v>68.769841269841251</v>
      </c>
      <c r="P41" s="39">
        <f t="shared" si="40"/>
        <v>-1</v>
      </c>
      <c r="Q41" s="40">
        <f t="shared" si="41"/>
        <v>-7.0196324143692692</v>
      </c>
      <c r="R41" s="188">
        <f t="shared" si="36"/>
        <v>0.90737985008818323</v>
      </c>
      <c r="S41" s="420"/>
      <c r="T41" s="59">
        <v>0.57708333333333328</v>
      </c>
      <c r="U41" s="75">
        <v>0.63541666666666663</v>
      </c>
      <c r="V41" s="42">
        <f t="shared" ref="V41:V44" si="44">(T41-U40)*24*60</f>
        <v>140.99999999999989</v>
      </c>
      <c r="W41" s="69">
        <f t="shared" si="17"/>
        <v>84.000000000000028</v>
      </c>
      <c r="X41" s="70"/>
      <c r="Y41" s="256"/>
      <c r="Z41" s="480" t="s">
        <v>143</v>
      </c>
      <c r="AA41" s="483"/>
      <c r="AB41" s="268">
        <f t="shared" si="37"/>
        <v>-202.14285714285757</v>
      </c>
      <c r="AC41" s="61">
        <f t="shared" si="38"/>
        <v>0.85962301587301559</v>
      </c>
      <c r="AD41" s="448"/>
    </row>
    <row r="42" spans="1:30" s="62" customFormat="1" ht="15" customHeight="1">
      <c r="A42" s="458"/>
      <c r="B42" s="56" t="s">
        <v>45</v>
      </c>
      <c r="C42" s="23"/>
      <c r="D42" s="276" t="s">
        <v>166</v>
      </c>
      <c r="E42" s="12"/>
      <c r="F42" s="56">
        <f>VLOOKUP(D42,廠價表!$C$1:$E$40,3,0)</f>
        <v>49.52</v>
      </c>
      <c r="G42" s="273">
        <v>446</v>
      </c>
      <c r="H42" s="50">
        <f t="shared" ref="H42:H44" si="45">F42*G42</f>
        <v>22085.920000000002</v>
      </c>
      <c r="I42" s="64"/>
      <c r="J42" s="37">
        <f>VLOOKUP(D42,產線配置圖!$A$3:$C$39,2,0)</f>
        <v>18</v>
      </c>
      <c r="K42" s="36">
        <f>VLOOKUP(D42,產線配置圖!$A$3:$C$39,3,0)</f>
        <v>1440</v>
      </c>
      <c r="L42" s="38">
        <f t="shared" si="39"/>
        <v>80</v>
      </c>
      <c r="M42" s="65">
        <v>18</v>
      </c>
      <c r="N42" s="66">
        <f t="shared" si="43"/>
        <v>836.25000000000296</v>
      </c>
      <c r="O42" s="67">
        <f t="shared" si="42"/>
        <v>46.458333333333499</v>
      </c>
      <c r="P42" s="39">
        <f t="shared" si="40"/>
        <v>0</v>
      </c>
      <c r="Q42" s="40">
        <f t="shared" si="41"/>
        <v>-33.541666666666501</v>
      </c>
      <c r="R42" s="188">
        <f t="shared" si="36"/>
        <v>0.58072916666666874</v>
      </c>
      <c r="S42" s="420"/>
      <c r="T42" s="75">
        <v>0.64583333333333337</v>
      </c>
      <c r="U42" s="75">
        <v>0.66805555555555551</v>
      </c>
      <c r="V42" s="42">
        <f t="shared" si="44"/>
        <v>15.000000000000107</v>
      </c>
      <c r="W42" s="69">
        <f t="shared" si="17"/>
        <v>31.999999999999886</v>
      </c>
      <c r="X42" s="70"/>
      <c r="Y42" s="60"/>
      <c r="Z42" s="480" t="s">
        <v>143</v>
      </c>
      <c r="AA42" s="483"/>
      <c r="AB42" s="268"/>
      <c r="AC42" s="61"/>
      <c r="AD42" s="448"/>
    </row>
    <row r="43" spans="1:30" s="62" customFormat="1" ht="15" customHeight="1">
      <c r="A43" s="458"/>
      <c r="B43" s="56" t="s">
        <v>45</v>
      </c>
      <c r="C43" s="27"/>
      <c r="D43" s="276" t="s">
        <v>166</v>
      </c>
      <c r="E43" s="29"/>
      <c r="F43" s="56">
        <f>VLOOKUP(D43,廠價表!$C$1:$E$40,3,0)</f>
        <v>49.52</v>
      </c>
      <c r="G43" s="66">
        <v>387</v>
      </c>
      <c r="H43" s="50">
        <f t="shared" si="45"/>
        <v>19164.240000000002</v>
      </c>
      <c r="I43" s="64"/>
      <c r="J43" s="37">
        <f>VLOOKUP(D43,產線配置圖!$A$3:$C$39,2,0)</f>
        <v>18</v>
      </c>
      <c r="K43" s="36">
        <f>VLOOKUP(D43,產線配置圖!$A$3:$C$39,3,0)</f>
        <v>1440</v>
      </c>
      <c r="L43" s="38">
        <f t="shared" si="39"/>
        <v>80</v>
      </c>
      <c r="M43" s="65">
        <v>18</v>
      </c>
      <c r="N43" s="66">
        <f t="shared" si="43"/>
        <v>1055.4545454545416</v>
      </c>
      <c r="O43" s="67">
        <f t="shared" si="42"/>
        <v>58.636363636363427</v>
      </c>
      <c r="P43" s="39">
        <f t="shared" si="40"/>
        <v>0</v>
      </c>
      <c r="Q43" s="40">
        <f t="shared" si="41"/>
        <v>-21.363636363636573</v>
      </c>
      <c r="R43" s="188">
        <f t="shared" si="36"/>
        <v>0.73295454545454286</v>
      </c>
      <c r="S43" s="420"/>
      <c r="T43" s="75">
        <v>0.7</v>
      </c>
      <c r="U43" s="75">
        <v>0.71527777777777779</v>
      </c>
      <c r="V43" s="42">
        <f t="shared" si="44"/>
        <v>46</v>
      </c>
      <c r="W43" s="69">
        <f>(U43-T43)*24*60</f>
        <v>22.000000000000082</v>
      </c>
      <c r="X43" s="70"/>
      <c r="Y43" s="334"/>
      <c r="Z43" s="480" t="s">
        <v>143</v>
      </c>
      <c r="AA43" s="483"/>
      <c r="AB43" s="71"/>
      <c r="AC43" s="61"/>
      <c r="AD43" s="448"/>
    </row>
    <row r="44" spans="1:30" s="62" customFormat="1" ht="15" customHeight="1">
      <c r="A44" s="458"/>
      <c r="B44" s="56" t="s">
        <v>45</v>
      </c>
      <c r="C44" s="23"/>
      <c r="D44" s="276" t="s">
        <v>167</v>
      </c>
      <c r="E44" s="12"/>
      <c r="F44" s="56">
        <f>VLOOKUP(D44,廠價表!$C$1:$E$40,3,0)</f>
        <v>44.3</v>
      </c>
      <c r="G44" s="273">
        <v>1140</v>
      </c>
      <c r="H44" s="50">
        <f t="shared" si="45"/>
        <v>50502</v>
      </c>
      <c r="I44" s="64"/>
      <c r="J44" s="37">
        <f>VLOOKUP(D44,產線配置圖!$A$3:$C$39,2,0)</f>
        <v>19</v>
      </c>
      <c r="K44" s="36">
        <f>VLOOKUP(D44,產線配置圖!$A$3:$C$39,3,0)</f>
        <v>1440</v>
      </c>
      <c r="L44" s="38">
        <f t="shared" si="39"/>
        <v>75.78947368421052</v>
      </c>
      <c r="M44" s="65">
        <v>18</v>
      </c>
      <c r="N44" s="66">
        <f t="shared" si="43"/>
        <v>1103.2258064516141</v>
      </c>
      <c r="O44" s="67">
        <f t="shared" si="42"/>
        <v>61.290322580645224</v>
      </c>
      <c r="P44" s="39">
        <f t="shared" si="40"/>
        <v>-1</v>
      </c>
      <c r="Q44" s="40">
        <f t="shared" si="41"/>
        <v>-14.499151103565296</v>
      </c>
      <c r="R44" s="188">
        <f t="shared" si="36"/>
        <v>0.80869175627240231</v>
      </c>
      <c r="S44" s="420"/>
      <c r="T44" s="75">
        <v>0.71875</v>
      </c>
      <c r="U44" s="75">
        <v>0.76180555555555551</v>
      </c>
      <c r="V44" s="42">
        <f t="shared" si="44"/>
        <v>4.9999999999999822</v>
      </c>
      <c r="W44" s="69">
        <f t="shared" ref="W44:W48" si="46">(U44-T44)*24*60</f>
        <v>61.999999999999943</v>
      </c>
      <c r="X44" s="70"/>
      <c r="Y44" s="67"/>
      <c r="Z44" s="480" t="s">
        <v>143</v>
      </c>
      <c r="AA44" s="483"/>
      <c r="AB44" s="71"/>
      <c r="AC44" s="61"/>
      <c r="AD44" s="448"/>
    </row>
    <row r="45" spans="1:30" s="62" customFormat="1" ht="15" customHeight="1">
      <c r="A45" s="458"/>
      <c r="B45" s="56"/>
      <c r="C45" s="23"/>
      <c r="D45" s="276"/>
      <c r="E45" s="12"/>
      <c r="F45" s="56"/>
      <c r="G45" s="273"/>
      <c r="H45" s="50"/>
      <c r="I45" s="64"/>
      <c r="J45" s="37"/>
      <c r="K45" s="36"/>
      <c r="L45" s="38"/>
      <c r="M45" s="65"/>
      <c r="N45" s="66"/>
      <c r="O45" s="67"/>
      <c r="P45" s="39"/>
      <c r="Q45" s="40"/>
      <c r="R45" s="188"/>
      <c r="S45" s="420"/>
      <c r="T45" s="75"/>
      <c r="U45" s="75"/>
      <c r="V45" s="64"/>
      <c r="W45" s="69">
        <f t="shared" si="46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/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46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2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46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47">AVERAGE(J38:J47)</f>
        <v>17.428571428571427</v>
      </c>
      <c r="K48" s="133">
        <f t="shared" si="47"/>
        <v>1443.7142857142858</v>
      </c>
      <c r="L48" s="136">
        <f t="shared" si="47"/>
        <v>83.616040100250629</v>
      </c>
      <c r="M48" s="133">
        <f t="shared" si="47"/>
        <v>17.142857142857142</v>
      </c>
      <c r="N48" s="133">
        <f t="shared" si="47"/>
        <v>1114.6196421090428</v>
      </c>
      <c r="O48" s="136">
        <f t="shared" si="47"/>
        <v>65.822916625105563</v>
      </c>
      <c r="P48" s="155">
        <f>M48-J48</f>
        <v>-0.2857142857142847</v>
      </c>
      <c r="Q48" s="156">
        <f>N48-K48</f>
        <v>-329.09464360524294</v>
      </c>
      <c r="R48" s="157">
        <f>O48/L48</f>
        <v>0.78720442329232321</v>
      </c>
      <c r="S48" s="423"/>
      <c r="T48" s="158"/>
      <c r="U48" s="158"/>
      <c r="V48" s="194"/>
      <c r="W48" s="159">
        <f t="shared" si="46"/>
        <v>0</v>
      </c>
      <c r="X48" s="160"/>
      <c r="Y48" s="160"/>
      <c r="Z48" s="424"/>
      <c r="AA48" s="424"/>
      <c r="AB48" s="161">
        <f>N48-K48</f>
        <v>-329.09464360524294</v>
      </c>
      <c r="AC48" s="189">
        <f>N48/K48</f>
        <v>0.77205001927204631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1735</v>
      </c>
      <c r="H49" s="124">
        <f t="shared" ref="H49:H57" si="48">F49*G49</f>
        <v>98669.45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1334.6153846153852</v>
      </c>
      <c r="O49" s="127">
        <f>N49/M49</f>
        <v>70.242914979757117</v>
      </c>
      <c r="P49" s="162">
        <f>M49-J49</f>
        <v>0</v>
      </c>
      <c r="Q49" s="111">
        <f>O49-L49</f>
        <v>-12.125506072874458</v>
      </c>
      <c r="R49" s="182">
        <f>O49/L49</f>
        <v>0.85278938314082131</v>
      </c>
      <c r="S49" s="419">
        <f>R58</f>
        <v>0.96551402588003943</v>
      </c>
      <c r="T49" s="149">
        <v>0.2902777777777778</v>
      </c>
      <c r="U49" s="149">
        <v>0.34444444444444444</v>
      </c>
      <c r="V49" s="186"/>
      <c r="W49" s="150">
        <f t="shared" si="17"/>
        <v>77.999999999999957</v>
      </c>
      <c r="X49" s="186"/>
      <c r="Y49" s="186"/>
      <c r="Z49" s="425"/>
      <c r="AA49" s="425"/>
      <c r="AB49" s="110">
        <f>N49-K49</f>
        <v>-230.38461538461479</v>
      </c>
      <c r="AC49" s="182">
        <f>N49/K49</f>
        <v>0.8527893831408212</v>
      </c>
      <c r="AD49" s="411">
        <f>AC58</f>
        <v>0.96372480098889013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2508</v>
      </c>
      <c r="H50" s="76">
        <f t="shared" si="48"/>
        <v>125324.76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1583.9999999999991</v>
      </c>
      <c r="O50" s="78">
        <f>N50/M50</f>
        <v>87.999999999999943</v>
      </c>
      <c r="P50" s="18">
        <f>M50-J50</f>
        <v>0</v>
      </c>
      <c r="Q50" s="19">
        <f>O50-L50</f>
        <v>-0.88888888888894257</v>
      </c>
      <c r="R50" s="183">
        <f>O50/L50</f>
        <v>0.98999999999999944</v>
      </c>
      <c r="S50" s="420"/>
      <c r="T50" s="79">
        <v>0.35069444444444442</v>
      </c>
      <c r="U50" s="79">
        <v>0.41666666666666669</v>
      </c>
      <c r="V50" s="175">
        <f t="shared" ref="V50:V53" si="49">(T50-U49)*24*60</f>
        <v>8.999999999999968</v>
      </c>
      <c r="W50" s="80">
        <f t="shared" si="17"/>
        <v>95.000000000000057</v>
      </c>
      <c r="X50" s="22"/>
      <c r="Y50" s="22"/>
      <c r="Z50" s="417"/>
      <c r="AA50" s="418"/>
      <c r="AB50" s="18">
        <f>N50-K50</f>
        <v>-16.000000000000909</v>
      </c>
      <c r="AC50" s="183">
        <f>N50/K50</f>
        <v>0.98999999999999944</v>
      </c>
      <c r="AD50" s="412"/>
    </row>
    <row r="51" spans="1:30" ht="15" customHeight="1">
      <c r="A51" s="455"/>
      <c r="B51" s="56" t="str">
        <f>VLOOKUP(D51,廠價表!$C$1:$E$40,2,0)</f>
        <v>熱乾麵</v>
      </c>
      <c r="C51" s="10"/>
      <c r="D51" s="11" t="s">
        <v>46</v>
      </c>
      <c r="E51" s="86"/>
      <c r="F51" s="56">
        <f>VLOOKUP(D51,廠價表!$C$1:$E$40,3,0)</f>
        <v>49.91</v>
      </c>
      <c r="G51" s="66">
        <v>1936</v>
      </c>
      <c r="H51" s="76">
        <f t="shared" si="48"/>
        <v>96625.76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3" si="50">K51/J51</f>
        <v>92.058823529411768</v>
      </c>
      <c r="M51" s="172">
        <v>17</v>
      </c>
      <c r="N51" s="77">
        <f t="shared" ref="N51:N53" si="51">G51/W51*60</f>
        <v>1548.7999999999874</v>
      </c>
      <c r="O51" s="78">
        <f t="shared" ref="O51:O53" si="52">N51/M51</f>
        <v>91.105882352940441</v>
      </c>
      <c r="P51" s="18">
        <f t="shared" ref="P51:P53" si="53">M51-J51</f>
        <v>0</v>
      </c>
      <c r="Q51" s="19">
        <f t="shared" ref="Q51:Q53" si="54">O51-L51</f>
        <v>-0.95294117647132737</v>
      </c>
      <c r="R51" s="183">
        <f t="shared" ref="R51:R53" si="55">O51/L51</f>
        <v>0.98964856230031151</v>
      </c>
      <c r="S51" s="420"/>
      <c r="T51" s="79">
        <v>0.42222222222222222</v>
      </c>
      <c r="U51" s="44">
        <v>0.47430555555555598</v>
      </c>
      <c r="V51" s="175">
        <f t="shared" si="49"/>
        <v>7.9999999999999716</v>
      </c>
      <c r="W51" s="80">
        <f t="shared" si="17"/>
        <v>75.000000000000611</v>
      </c>
      <c r="X51" s="22"/>
      <c r="Y51" s="22"/>
      <c r="Z51" s="405"/>
      <c r="AA51" s="405"/>
      <c r="AB51" s="18">
        <f>N51-K51</f>
        <v>-16.200000000012551</v>
      </c>
      <c r="AC51" s="183">
        <f>N51/K51</f>
        <v>0.98964856230031151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700</v>
      </c>
      <c r="H52" s="76">
        <f t="shared" si="48"/>
        <v>34937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si="50"/>
        <v>92.058823529411768</v>
      </c>
      <c r="M52" s="172">
        <v>17</v>
      </c>
      <c r="N52" s="77">
        <f t="shared" si="51"/>
        <v>1555.5555555555518</v>
      </c>
      <c r="O52" s="78">
        <f t="shared" si="52"/>
        <v>91.503267973855984</v>
      </c>
      <c r="P52" s="18">
        <f t="shared" si="53"/>
        <v>0</v>
      </c>
      <c r="Q52" s="19">
        <f t="shared" si="54"/>
        <v>-0.55555555555578451</v>
      </c>
      <c r="R52" s="183">
        <f t="shared" si="55"/>
        <v>0.99396521121760495</v>
      </c>
      <c r="S52" s="420"/>
      <c r="T52" s="79">
        <v>0.53333333333333333</v>
      </c>
      <c r="U52" s="79">
        <v>0.55208333333333337</v>
      </c>
      <c r="V52" s="175">
        <f t="shared" si="49"/>
        <v>84.999999999999375</v>
      </c>
      <c r="W52" s="80">
        <f t="shared" si="17"/>
        <v>27.000000000000064</v>
      </c>
      <c r="X52" s="22"/>
      <c r="Y52" s="22"/>
      <c r="Z52" s="417"/>
      <c r="AA52" s="418"/>
      <c r="AB52" s="18">
        <f>N52-K52</f>
        <v>-9.4444444444482087</v>
      </c>
      <c r="AC52" s="183">
        <f>N52/K52</f>
        <v>0.99396521121760495</v>
      </c>
      <c r="AD52" s="412"/>
    </row>
    <row r="53" spans="1:30" ht="15" customHeight="1">
      <c r="A53" s="455"/>
      <c r="B53" s="56" t="str">
        <f>VLOOKUP(D53,廠價表!$C$1:$E$40,2,0)</f>
        <v>義大利麵</v>
      </c>
      <c r="C53" s="23"/>
      <c r="D53" s="11" t="s">
        <v>59</v>
      </c>
      <c r="E53" s="12"/>
      <c r="F53" s="56">
        <f>VLOOKUP(D53,廠價表!$C$1:$E$40,3,0)</f>
        <v>49.97</v>
      </c>
      <c r="G53" s="66">
        <v>2907</v>
      </c>
      <c r="H53" s="76">
        <f t="shared" si="48"/>
        <v>145262.79</v>
      </c>
      <c r="I53" s="191"/>
      <c r="J53" s="16">
        <f>VLOOKUP(D53,產線配置圖!$A$3:$C$39,2,0)</f>
        <v>18</v>
      </c>
      <c r="K53" s="14">
        <f>VLOOKUP(D53,產線配置圖!$A$3:$C$39,3,0)</f>
        <v>1600</v>
      </c>
      <c r="L53" s="17">
        <f t="shared" si="50"/>
        <v>88.888888888888886</v>
      </c>
      <c r="M53" s="172">
        <v>18</v>
      </c>
      <c r="N53" s="77">
        <f t="shared" si="51"/>
        <v>1585.6363636363646</v>
      </c>
      <c r="O53" s="78">
        <f t="shared" si="52"/>
        <v>88.09090909090915</v>
      </c>
      <c r="P53" s="18">
        <f t="shared" si="53"/>
        <v>0</v>
      </c>
      <c r="Q53" s="19">
        <f t="shared" si="54"/>
        <v>-0.79797979797973539</v>
      </c>
      <c r="R53" s="183">
        <f t="shared" si="55"/>
        <v>0.991022727272728</v>
      </c>
      <c r="S53" s="420"/>
      <c r="T53" s="79">
        <v>0.55694444444444446</v>
      </c>
      <c r="U53" s="79">
        <v>0.6333333333333333</v>
      </c>
      <c r="V53" s="175">
        <f t="shared" si="49"/>
        <v>6.9999999999999751</v>
      </c>
      <c r="W53" s="80">
        <f t="shared" si="17"/>
        <v>109.99999999999993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56"/>
      <c r="C54" s="181"/>
      <c r="D54" s="11"/>
      <c r="E54" s="12"/>
      <c r="F54" s="56"/>
      <c r="G54" s="66"/>
      <c r="H54" s="76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79"/>
      <c r="U54" s="79"/>
      <c r="V54" s="175"/>
      <c r="W54" s="80">
        <f t="shared" si="17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8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7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8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7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8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7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56">AVERAGE(J49:J57)</f>
        <v>17.8</v>
      </c>
      <c r="K58" s="117">
        <f t="shared" si="56"/>
        <v>1579</v>
      </c>
      <c r="L58" s="114">
        <f t="shared" si="56"/>
        <v>88.852769177846582</v>
      </c>
      <c r="M58" s="117">
        <f t="shared" si="56"/>
        <v>17.8</v>
      </c>
      <c r="N58" s="117">
        <f t="shared" si="56"/>
        <v>1521.7214607614576</v>
      </c>
      <c r="O58" s="114">
        <f t="shared" si="56"/>
        <v>85.788594879492535</v>
      </c>
      <c r="P58" s="118">
        <f>M58-J58</f>
        <v>0</v>
      </c>
      <c r="Q58" s="119">
        <f>N58-K58</f>
        <v>-57.278539238542407</v>
      </c>
      <c r="R58" s="120">
        <f t="shared" ref="R58:R60" si="57">O58/L58</f>
        <v>0.96551402588003943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58">N58-K58</f>
        <v>-57.278539238542407</v>
      </c>
      <c r="AC58" s="185">
        <f t="shared" ref="AC58:AC61" si="59">N58/K58</f>
        <v>0.96372480098889013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4043</v>
      </c>
      <c r="H59" s="105">
        <f t="shared" ref="H59:H68" si="60">F59*G59</f>
        <v>109120.56999999999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61">G59/W59*60</f>
        <v>1535.3164556962024</v>
      </c>
      <c r="O59" s="108">
        <f t="shared" ref="O59:O62" si="62">N59/M59</f>
        <v>118.1012658227848</v>
      </c>
      <c r="P59" s="110">
        <f t="shared" ref="P59:P62" si="63">M59-J59</f>
        <v>0</v>
      </c>
      <c r="Q59" s="111">
        <f t="shared" ref="Q59:Q62" si="64">O59-L59</f>
        <v>-2.2833495618305903</v>
      </c>
      <c r="R59" s="182">
        <f t="shared" si="57"/>
        <v>0.98103287903910696</v>
      </c>
      <c r="S59" s="419">
        <f>R69</f>
        <v>0.91981662387672447</v>
      </c>
      <c r="T59" s="167">
        <v>0.29166666666666669</v>
      </c>
      <c r="U59" s="167">
        <v>0.40138888888888891</v>
      </c>
      <c r="V59" s="186"/>
      <c r="W59" s="106">
        <f t="shared" si="17"/>
        <v>158</v>
      </c>
      <c r="X59" s="186"/>
      <c r="Y59" s="186"/>
      <c r="Z59" s="469"/>
      <c r="AA59" s="434"/>
      <c r="AB59" s="223">
        <f t="shared" si="58"/>
        <v>-29.683544303797589</v>
      </c>
      <c r="AC59" s="224">
        <f t="shared" si="59"/>
        <v>0.98103287903910696</v>
      </c>
      <c r="AD59" s="411">
        <f>AC69</f>
        <v>0.92099385955292423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898</v>
      </c>
      <c r="H60" s="15">
        <f t="shared" si="60"/>
        <v>25566.059999999998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61"/>
        <v>1456.2162162162151</v>
      </c>
      <c r="O60" s="17">
        <f t="shared" si="62"/>
        <v>121.35135135135125</v>
      </c>
      <c r="P60" s="18">
        <f t="shared" si="63"/>
        <v>0</v>
      </c>
      <c r="Q60" s="19">
        <f t="shared" si="64"/>
        <v>-9.0653153153154022</v>
      </c>
      <c r="R60" s="183">
        <f t="shared" si="57"/>
        <v>0.93048959502633555</v>
      </c>
      <c r="S60" s="474"/>
      <c r="T60" s="20">
        <v>0.41180555555555554</v>
      </c>
      <c r="U60" s="20">
        <v>0.4375</v>
      </c>
      <c r="V60" s="175">
        <f t="shared" ref="V60:V62" si="65">(T60-U59)*24*60</f>
        <v>14.999999999999947</v>
      </c>
      <c r="W60" s="90">
        <f t="shared" si="17"/>
        <v>37.000000000000028</v>
      </c>
      <c r="X60" s="191"/>
      <c r="Y60" s="191"/>
      <c r="Z60" s="405"/>
      <c r="AA60" s="405"/>
      <c r="AB60" s="225">
        <f t="shared" si="58"/>
        <v>-108.78378378378488</v>
      </c>
      <c r="AC60" s="226">
        <f t="shared" si="59"/>
        <v>0.93048959502633555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1349</v>
      </c>
      <c r="H61" s="15">
        <f t="shared" si="60"/>
        <v>38122.740000000005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 t="shared" ref="L61:L62" si="66">K61/J61</f>
        <v>130.41666666666666</v>
      </c>
      <c r="M61" s="178">
        <v>12</v>
      </c>
      <c r="N61" s="14">
        <f t="shared" si="61"/>
        <v>1498.8888888888896</v>
      </c>
      <c r="O61" s="17">
        <f t="shared" si="62"/>
        <v>124.90740740740746</v>
      </c>
      <c r="P61" s="18">
        <f t="shared" si="63"/>
        <v>0</v>
      </c>
      <c r="Q61" s="19">
        <f t="shared" si="64"/>
        <v>-5.5092592592591956</v>
      </c>
      <c r="R61" s="183">
        <f>O61/L61</f>
        <v>0.95775647852325219</v>
      </c>
      <c r="S61" s="420"/>
      <c r="T61" s="20">
        <v>0.44861111111111113</v>
      </c>
      <c r="U61" s="20">
        <v>0.4861111111111111</v>
      </c>
      <c r="V61" s="175">
        <f t="shared" si="65"/>
        <v>16.000000000000021</v>
      </c>
      <c r="W61" s="88">
        <f t="shared" si="17"/>
        <v>53.999999999999972</v>
      </c>
      <c r="X61" s="22"/>
      <c r="Y61" s="22"/>
      <c r="Z61" s="405"/>
      <c r="AA61" s="405"/>
      <c r="AB61" s="51">
        <f t="shared" si="58"/>
        <v>-66.111111111110404</v>
      </c>
      <c r="AC61" s="52">
        <f t="shared" si="59"/>
        <v>0.95775647852325219</v>
      </c>
      <c r="AD61" s="412"/>
    </row>
    <row r="62" spans="1:30" ht="15" customHeight="1">
      <c r="A62" s="472"/>
      <c r="B62" s="56" t="str">
        <f>VLOOKUP(D62,廠價表!$C$1:$E$40,2,0)</f>
        <v>小吃、微波</v>
      </c>
      <c r="C62" s="10"/>
      <c r="D62" s="239" t="s">
        <v>64</v>
      </c>
      <c r="E62" s="86"/>
      <c r="F62" s="56">
        <f>VLOOKUP(D62,廠價表!$C$1:$E$40,3,0)</f>
        <v>28.26</v>
      </c>
      <c r="G62" s="175">
        <v>1275</v>
      </c>
      <c r="H62" s="15">
        <f t="shared" si="60"/>
        <v>36031.5</v>
      </c>
      <c r="I62" s="81"/>
      <c r="J62" s="16">
        <f>VLOOKUP(D62,產線配置圖!$A$3:$C$39,2,0)</f>
        <v>12</v>
      </c>
      <c r="K62" s="14">
        <f>VLOOKUP(D62,產線配置圖!$A$3:$C$39,3,0)</f>
        <v>1565</v>
      </c>
      <c r="L62" s="17">
        <f t="shared" si="66"/>
        <v>130.41666666666666</v>
      </c>
      <c r="M62" s="178">
        <v>12</v>
      </c>
      <c r="N62" s="14">
        <f t="shared" si="61"/>
        <v>1274.9999999999977</v>
      </c>
      <c r="O62" s="17">
        <f t="shared" si="62"/>
        <v>106.24999999999982</v>
      </c>
      <c r="P62" s="18">
        <f t="shared" si="63"/>
        <v>0</v>
      </c>
      <c r="Q62" s="19">
        <f t="shared" si="64"/>
        <v>-24.166666666666842</v>
      </c>
      <c r="R62" s="183">
        <f>O62/L62</f>
        <v>0.81469648562300179</v>
      </c>
      <c r="S62" s="420"/>
      <c r="T62" s="20">
        <v>0.54027777777777775</v>
      </c>
      <c r="U62" s="20">
        <v>0.58194444444444449</v>
      </c>
      <c r="V62" s="175">
        <f t="shared" si="65"/>
        <v>77.999999999999957</v>
      </c>
      <c r="W62" s="90">
        <f t="shared" si="17"/>
        <v>60.000000000000107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7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7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7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7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7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60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7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67">AVERAGE(J59:J68)</f>
        <v>12.25</v>
      </c>
      <c r="K69" s="164">
        <f t="shared" si="67"/>
        <v>1565</v>
      </c>
      <c r="L69" s="169">
        <f t="shared" si="67"/>
        <v>127.90865384615384</v>
      </c>
      <c r="M69" s="164">
        <f t="shared" si="67"/>
        <v>12.25</v>
      </c>
      <c r="N69" s="164">
        <f t="shared" si="67"/>
        <v>1441.3553902003264</v>
      </c>
      <c r="O69" s="169">
        <f t="shared" si="67"/>
        <v>117.65250614538583</v>
      </c>
      <c r="P69" s="170">
        <f>M69-J69</f>
        <v>0</v>
      </c>
      <c r="Q69" s="156">
        <f>N69-K69</f>
        <v>-123.64460979967362</v>
      </c>
      <c r="R69" s="120">
        <f>O69/L69</f>
        <v>0.91981662387672447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-123.64460979967362</v>
      </c>
      <c r="AC69" s="185">
        <f>N69/K69</f>
        <v>0.92099385955292423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7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7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7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7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68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7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68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7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68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7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68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7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68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7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59:AD69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7:AA67"/>
    <mergeCell ref="Z68:AA68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Z60:AA60"/>
    <mergeCell ref="Z61:AA61"/>
    <mergeCell ref="Z62:AA62"/>
    <mergeCell ref="Z63:AA63"/>
    <mergeCell ref="Z64:AA64"/>
    <mergeCell ref="Z65:AA65"/>
    <mergeCell ref="Z66:AA66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Z40:AA40"/>
    <mergeCell ref="AD38:AD48"/>
    <mergeCell ref="Z39:AA39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158" priority="1" operator="greaterThan">
      <formula>0</formula>
    </cfRule>
  </conditionalFormatting>
  <conditionalFormatting sqref="Q5:Q79 AB5:AB79">
    <cfRule type="cellIs" dxfId="157" priority="4" operator="lessThan">
      <formula>0</formula>
    </cfRule>
  </conditionalFormatting>
  <conditionalFormatting sqref="R5:R79 AC5:AC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D59:AD62 S69:S76 AD69:AD76">
    <cfRule type="cellIs" dxfId="154" priority="7" operator="lessThan">
      <formula>0.8</formula>
    </cfRule>
  </conditionalFormatting>
  <conditionalFormatting sqref="S19:S25 AD19:AD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D5:AD8 S15:S16 AD15:AD16 AD49 AD79">
    <cfRule type="cellIs" dxfId="151" priority="9" operator="lessThan">
      <formula>0.8</formula>
    </cfRule>
  </conditionalFormatting>
  <conditionalFormatting sqref="AD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topLeftCell="A5" zoomScale="70" zoomScaleNormal="70" workbookViewId="0">
      <selection activeCell="L18" sqref="L18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46008</v>
      </c>
      <c r="E3" s="357"/>
      <c r="F3" s="202" t="s">
        <v>84</v>
      </c>
      <c r="G3" s="358">
        <f>'1217'!E1</f>
        <v>51643</v>
      </c>
      <c r="H3" s="358"/>
      <c r="I3" s="202" t="s">
        <v>2</v>
      </c>
      <c r="J3" s="359">
        <f>'1217'!G1</f>
        <v>2498274.6700000009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116.24048353664453</v>
      </c>
      <c r="G6" s="367"/>
      <c r="H6" s="360">
        <f>AVERAGE(D13:H13)</f>
        <v>114.20781101320419</v>
      </c>
      <c r="I6" s="360"/>
      <c r="J6" s="360">
        <f>AVERAGE(I13:J13)</f>
        <v>126.40384615384615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102.75226755519434</v>
      </c>
      <c r="G7" s="362"/>
      <c r="H7" s="363">
        <f>AVERAGE(D14:H14)</f>
        <v>101.91372619412405</v>
      </c>
      <c r="I7" s="363"/>
      <c r="J7" s="363">
        <f>AVERAGE(I14:J14)</f>
        <v>106.94497436054567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0.88216844755682178</v>
      </c>
      <c r="G8" s="364"/>
      <c r="H8" s="364">
        <f>AVERAGE(D15:H15)</f>
        <v>0.88939055432823866</v>
      </c>
      <c r="I8" s="364"/>
      <c r="J8" s="364">
        <f>AVERAGE(I15:J15)</f>
        <v>0.8460579136997376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VALUE('1217'!L15)</f>
        <v>140.21719457013575</v>
      </c>
      <c r="E13" s="213">
        <f>VALUE('1217'!L26)</f>
        <v>162.27564102564102</v>
      </c>
      <c r="F13" s="213">
        <f>VALUE('1217'!L37)</f>
        <v>93.788888888888891</v>
      </c>
      <c r="G13" s="213">
        <f>VALUE('1217'!L48)</f>
        <v>85.904561403508779</v>
      </c>
      <c r="H13" s="213">
        <f>VALUE('1217'!L58)</f>
        <v>88.852769177846582</v>
      </c>
      <c r="I13" s="213">
        <f>VALUE('1217'!L69)</f>
        <v>126.40384615384615</v>
      </c>
      <c r="J13" s="213"/>
    </row>
    <row r="14" spans="2:15" ht="40" customHeight="1">
      <c r="B14" s="376"/>
      <c r="C14" s="212" t="s">
        <v>106</v>
      </c>
      <c r="D14" s="213">
        <f>VALUE('1217'!O15)</f>
        <v>123.56317766792972</v>
      </c>
      <c r="E14" s="213">
        <f>VALUE('1217'!O26)</f>
        <v>148.63979850277929</v>
      </c>
      <c r="F14" s="213">
        <f>VALUE('1217'!O37)</f>
        <v>83.225193518267517</v>
      </c>
      <c r="G14" s="213">
        <f>VALUE('1217'!O48)</f>
        <v>71.461733285634892</v>
      </c>
      <c r="H14" s="213">
        <f>VALUE('1217'!O58)</f>
        <v>82.678727996008845</v>
      </c>
      <c r="I14" s="213">
        <f>VALUE('1217'!O69)</f>
        <v>106.94497436054567</v>
      </c>
      <c r="J14" s="213"/>
    </row>
    <row r="15" spans="2:15" ht="40" customHeight="1">
      <c r="B15" s="377"/>
      <c r="C15" s="210" t="s">
        <v>23</v>
      </c>
      <c r="D15" s="231">
        <f>D14/D13</f>
        <v>0.88122699963251805</v>
      </c>
      <c r="E15" s="231">
        <f t="shared" ref="E15:I15" si="0">E14/E13</f>
        <v>0.91597110671276194</v>
      </c>
      <c r="F15" s="231">
        <f t="shared" si="0"/>
        <v>0.88736730442412937</v>
      </c>
      <c r="G15" s="231">
        <f t="shared" si="0"/>
        <v>0.83187355965845178</v>
      </c>
      <c r="H15" s="231">
        <f t="shared" si="0"/>
        <v>0.93051380121333238</v>
      </c>
      <c r="I15" s="231">
        <f t="shared" si="0"/>
        <v>0.8460579136997376</v>
      </c>
      <c r="J15" s="231"/>
    </row>
    <row r="16" spans="2:15" ht="17.25" customHeight="1">
      <c r="B16" s="378" t="s">
        <v>107</v>
      </c>
      <c r="C16" s="210" t="s">
        <v>29</v>
      </c>
      <c r="D16" s="95">
        <f>'1217'!T5</f>
        <v>0.2902777777777778</v>
      </c>
      <c r="E16" s="95">
        <f>'1217'!T16</f>
        <v>0.2902777777777778</v>
      </c>
      <c r="F16" s="95">
        <f>'1217'!T27</f>
        <v>0.29027777777777802</v>
      </c>
      <c r="G16" s="95">
        <f>'1217'!T38</f>
        <v>0.29166666666666669</v>
      </c>
      <c r="H16" s="95">
        <f>'1217'!T49</f>
        <v>0.29097222222222224</v>
      </c>
      <c r="I16" s="95">
        <f>'1217'!T59</f>
        <v>0.29166666666666669</v>
      </c>
      <c r="J16" s="269"/>
    </row>
    <row r="17" spans="2:10" ht="17.25" customHeight="1">
      <c r="B17" s="379"/>
      <c r="C17" s="210" t="s">
        <v>30</v>
      </c>
      <c r="D17" s="95">
        <v>0.58194444444444404</v>
      </c>
      <c r="E17" s="41">
        <v>0.5756944444444444</v>
      </c>
      <c r="F17" s="41">
        <v>0.65833333333333333</v>
      </c>
      <c r="G17" s="75">
        <v>0.70138888888888884</v>
      </c>
      <c r="H17" s="79">
        <v>0.62708333333333333</v>
      </c>
      <c r="I17" s="20">
        <v>0.61319444444444449</v>
      </c>
      <c r="J17" s="20"/>
    </row>
    <row r="18" spans="2:10" ht="17.25" customHeight="1">
      <c r="B18" s="365" t="s">
        <v>108</v>
      </c>
      <c r="C18" s="366"/>
      <c r="D18" s="214">
        <f>VALUE('1217'!M15)</f>
        <v>14.2</v>
      </c>
      <c r="E18" s="214">
        <f>VALUE('1217'!M26)</f>
        <v>12.5</v>
      </c>
      <c r="F18" s="214">
        <f>VALUE('1217'!M37)</f>
        <v>15.8</v>
      </c>
      <c r="G18" s="214">
        <f>VALUE('1217'!M48)</f>
        <v>17</v>
      </c>
      <c r="H18" s="214">
        <f>VALUE('1217'!M58)</f>
        <v>17.8</v>
      </c>
      <c r="I18" s="214">
        <f>VALUE('1217'!M69)</f>
        <v>12.4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J56" activePane="bottomRight" state="frozen"/>
      <selection activeCell="M11" sqref="M11"/>
      <selection pane="topRight" activeCell="M11" sqref="M11"/>
      <selection pane="bottomLeft" activeCell="M11" sqref="M11"/>
      <selection pane="bottomRight" activeCell="V63" activeCellId="17" sqref="B71 V6 V7 V8 V17 V18 V28 V29 V31 V40 V39 V42 V50 V51 V53 V60 V61 V63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51643</v>
      </c>
      <c r="F1" s="175" t="s">
        <v>2</v>
      </c>
      <c r="G1" s="4">
        <f>SUM(H5:H79)</f>
        <v>2498274.6700000009</v>
      </c>
      <c r="H1" s="173" t="s">
        <v>3</v>
      </c>
      <c r="I1" s="5">
        <f>M15+M26+M48+M58+M69+M79+M37</f>
        <v>89.7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168</v>
      </c>
      <c r="B2" s="404"/>
      <c r="C2" s="174"/>
      <c r="D2" s="174" t="s">
        <v>11</v>
      </c>
      <c r="E2" s="7">
        <f>AVERAGE(O15,O26,O37,O48,O58,O69,O79)</f>
        <v>102.75226755519434</v>
      </c>
      <c r="F2" s="8" t="s">
        <v>12</v>
      </c>
      <c r="G2" s="9">
        <f>G1/E1</f>
        <v>48.375862556396818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1458</v>
      </c>
      <c r="H5" s="318">
        <f>F5*G5</f>
        <v>83412.180000000008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9" si="0">G5/W5*60</f>
        <v>1861.2765957446811</v>
      </c>
      <c r="O5" s="322">
        <f t="shared" ref="O5:O9" si="1">N5/M5</f>
        <v>143.17512274959086</v>
      </c>
      <c r="P5" s="324">
        <f t="shared" ref="P5:P9" si="2">M5-J5</f>
        <v>0</v>
      </c>
      <c r="Q5" s="325">
        <f t="shared" ref="Q5:Q9" si="3">O5-L5</f>
        <v>-18.747954173486079</v>
      </c>
      <c r="R5" s="326">
        <f t="shared" ref="R5:R9" si="4">O5/L5</f>
        <v>0.88421691009248504</v>
      </c>
      <c r="S5" s="419">
        <f>R15</f>
        <v>0.88122699963251805</v>
      </c>
      <c r="T5" s="327">
        <v>0.2902777777777778</v>
      </c>
      <c r="U5" s="328">
        <v>0.32291666666666669</v>
      </c>
      <c r="V5" s="192"/>
      <c r="W5" s="106">
        <f t="shared" ref="W5:W14" si="5">(U5-T5)*24*60</f>
        <v>46.999999999999993</v>
      </c>
      <c r="X5" s="186"/>
      <c r="Y5" s="186"/>
      <c r="Z5" s="425"/>
      <c r="AA5" s="425"/>
      <c r="AB5" s="110">
        <f>N5-K5</f>
        <v>-243.72340425531888</v>
      </c>
      <c r="AC5" s="182">
        <f>N5/K5</f>
        <v>0.88421691009248504</v>
      </c>
      <c r="AD5" s="411">
        <f>AC15</f>
        <v>0.87744833268258771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1041</v>
      </c>
      <c r="H6" s="307">
        <f>F6*G6</f>
        <v>58743.63</v>
      </c>
      <c r="I6" s="308"/>
      <c r="J6" s="309">
        <f>VLOOKUP(D6,產線配置圖!$A$3:$C$39,2,0)</f>
        <v>15</v>
      </c>
      <c r="K6" s="306">
        <v>1800</v>
      </c>
      <c r="L6" s="310">
        <f>K6/J6</f>
        <v>120</v>
      </c>
      <c r="M6" s="311">
        <v>15</v>
      </c>
      <c r="N6" s="306">
        <f t="shared" si="0"/>
        <v>1076.8965517241313</v>
      </c>
      <c r="O6" s="310">
        <f t="shared" si="1"/>
        <v>71.793103448275417</v>
      </c>
      <c r="P6" s="312">
        <f t="shared" si="2"/>
        <v>0</v>
      </c>
      <c r="Q6" s="313">
        <f t="shared" si="3"/>
        <v>-48.206896551724583</v>
      </c>
      <c r="R6" s="314">
        <f t="shared" si="4"/>
        <v>0.59827586206896177</v>
      </c>
      <c r="S6" s="420"/>
      <c r="T6" s="95">
        <v>0.327777777777778</v>
      </c>
      <c r="U6" s="95">
        <v>0.36805555555555602</v>
      </c>
      <c r="V6" s="175">
        <f>(T6-U5)*24*60</f>
        <v>7.0000000000002949</v>
      </c>
      <c r="W6" s="180">
        <f t="shared" si="5"/>
        <v>58.000000000000355</v>
      </c>
      <c r="X6" s="22"/>
      <c r="Y6" s="22"/>
      <c r="Z6" s="475" t="s">
        <v>138</v>
      </c>
      <c r="AA6" s="476"/>
      <c r="AB6" s="18">
        <f>N6-K6</f>
        <v>-723.10344827586869</v>
      </c>
      <c r="AC6" s="183">
        <f>N6/K6</f>
        <v>0.59827586206896188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v>1561</v>
      </c>
      <c r="H7" s="15">
        <f t="shared" ref="H7:H12" si="6">F7*G7</f>
        <v>89304.81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>K7/J7</f>
        <v>111.47058823529412</v>
      </c>
      <c r="M7" s="178">
        <v>17</v>
      </c>
      <c r="N7" s="14">
        <f t="shared" si="0"/>
        <v>1801.1538461538526</v>
      </c>
      <c r="O7" s="17">
        <f t="shared" si="1"/>
        <v>105.95022624434426</v>
      </c>
      <c r="P7" s="18">
        <f t="shared" si="2"/>
        <v>0</v>
      </c>
      <c r="Q7" s="19">
        <f t="shared" si="3"/>
        <v>-5.5203619909498514</v>
      </c>
      <c r="R7" s="183">
        <f t="shared" si="4"/>
        <v>0.95047696366957912</v>
      </c>
      <c r="S7" s="420"/>
      <c r="T7" s="267">
        <v>0.374305555555556</v>
      </c>
      <c r="U7" s="267">
        <v>0.41041666666666698</v>
      </c>
      <c r="V7" s="175">
        <f>(T7-U6)*24*60</f>
        <v>8.999999999999968</v>
      </c>
      <c r="W7" s="180">
        <f t="shared" si="5"/>
        <v>51.999999999999815</v>
      </c>
      <c r="X7" s="22"/>
      <c r="Y7" s="22"/>
      <c r="Z7" s="405"/>
      <c r="AA7" s="405"/>
      <c r="AB7" s="18">
        <f>N7-K7</f>
        <v>-93.846153846147445</v>
      </c>
      <c r="AC7" s="183">
        <f>N7/K7</f>
        <v>0.95047696366957923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2884</v>
      </c>
      <c r="H8" s="15">
        <f t="shared" si="6"/>
        <v>141719.76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1922.6666666666667</v>
      </c>
      <c r="O8" s="17">
        <f t="shared" si="1"/>
        <v>147.89743589743591</v>
      </c>
      <c r="P8" s="18">
        <f t="shared" si="2"/>
        <v>0</v>
      </c>
      <c r="Q8" s="19">
        <f t="shared" si="3"/>
        <v>-5.9487179487179276</v>
      </c>
      <c r="R8" s="183">
        <f t="shared" si="4"/>
        <v>0.96133333333333348</v>
      </c>
      <c r="S8" s="420"/>
      <c r="T8" s="95">
        <v>0.41666666666666702</v>
      </c>
      <c r="U8" s="95">
        <v>0.47916666666666702</v>
      </c>
      <c r="V8" s="175">
        <f t="shared" ref="V8:V9" si="7">(T8-U7)*24*60</f>
        <v>9.000000000000048</v>
      </c>
      <c r="W8" s="180">
        <f t="shared" si="5"/>
        <v>90</v>
      </c>
      <c r="X8" s="22">
        <v>0.48611111111111099</v>
      </c>
      <c r="Y8" s="260">
        <v>0.52777777777777801</v>
      </c>
      <c r="Z8" s="416"/>
      <c r="AA8" s="416"/>
      <c r="AB8" s="18">
        <f>N8-K8</f>
        <v>-77.333333333333258</v>
      </c>
      <c r="AC8" s="183">
        <f>N8/K8</f>
        <v>0.96133333333333337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1937</v>
      </c>
      <c r="H9" s="15">
        <f t="shared" si="6"/>
        <v>95184.180000000008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>K9/J9</f>
        <v>153.84615384615384</v>
      </c>
      <c r="M9" s="178">
        <v>13</v>
      </c>
      <c r="N9" s="14">
        <f t="shared" si="0"/>
        <v>1937.0000000000275</v>
      </c>
      <c r="O9" s="17">
        <f t="shared" si="1"/>
        <v>149.0000000000021</v>
      </c>
      <c r="P9" s="18">
        <f t="shared" si="2"/>
        <v>0</v>
      </c>
      <c r="Q9" s="19">
        <f t="shared" si="3"/>
        <v>-4.8461538461517364</v>
      </c>
      <c r="R9" s="183">
        <f t="shared" si="4"/>
        <v>0.96850000000001368</v>
      </c>
      <c r="S9" s="421"/>
      <c r="T9" s="95">
        <v>0.54027777777777797</v>
      </c>
      <c r="U9" s="95">
        <v>0.58194444444444404</v>
      </c>
      <c r="V9" s="175">
        <f t="shared" si="7"/>
        <v>87.999999999999773</v>
      </c>
      <c r="W9" s="180">
        <f t="shared" si="5"/>
        <v>59.999999999999147</v>
      </c>
      <c r="X9" s="22"/>
      <c r="Y9" s="260"/>
      <c r="Z9" s="475"/>
      <c r="AA9" s="476"/>
      <c r="AB9" s="18">
        <f>N9-K9</f>
        <v>-62.999999999972488</v>
      </c>
      <c r="AC9" s="183">
        <f>N9/K9</f>
        <v>0.96850000000001379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/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6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14.2</v>
      </c>
      <c r="K15" s="117">
        <f t="shared" si="8"/>
        <v>1960</v>
      </c>
      <c r="L15" s="114">
        <f t="shared" si="8"/>
        <v>140.21719457013575</v>
      </c>
      <c r="M15" s="117">
        <f t="shared" si="8"/>
        <v>14.2</v>
      </c>
      <c r="N15" s="117">
        <f t="shared" si="8"/>
        <v>1719.7987320578718</v>
      </c>
      <c r="O15" s="114">
        <f t="shared" si="8"/>
        <v>123.56317766792972</v>
      </c>
      <c r="P15" s="118">
        <f t="shared" ref="P15:P18" si="9">M15-J15</f>
        <v>0</v>
      </c>
      <c r="Q15" s="119">
        <f t="shared" ref="Q15:Q18" si="10">O15-L15</f>
        <v>-16.654016902206024</v>
      </c>
      <c r="R15" s="120">
        <f t="shared" ref="R15:R18" si="11">O15/L15</f>
        <v>0.88122699963251805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2">N15-K15</f>
        <v>-240.2012679421282</v>
      </c>
      <c r="AC15" s="185">
        <f t="shared" ref="AC15:AC19" si="13">N15/K15</f>
        <v>0.87744833268258771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1029</v>
      </c>
      <c r="H16" s="124">
        <f t="shared" ref="H16:H25" si="14">F16*G16</f>
        <v>58869.090000000004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8" si="15">K16/J16</f>
        <v>161.92307692307693</v>
      </c>
      <c r="M16" s="264">
        <v>13</v>
      </c>
      <c r="N16" s="126">
        <f t="shared" ref="N16:N18" si="16">G16/W16*60</f>
        <v>1764.000000000002</v>
      </c>
      <c r="O16" s="127">
        <f>N16/M16</f>
        <v>135.69230769230785</v>
      </c>
      <c r="P16" s="128">
        <f>M16-J16</f>
        <v>0</v>
      </c>
      <c r="Q16" s="129">
        <f t="shared" si="10"/>
        <v>-26.230769230769084</v>
      </c>
      <c r="R16" s="187">
        <f>O16/L16</f>
        <v>0.83800475059382518</v>
      </c>
      <c r="S16" s="431">
        <f>R26</f>
        <v>0.91597110671276194</v>
      </c>
      <c r="T16" s="265">
        <v>0.2902777777777778</v>
      </c>
      <c r="U16" s="265">
        <v>0.31458333333333333</v>
      </c>
      <c r="V16" s="125"/>
      <c r="W16" s="130">
        <f t="shared" ref="W16:W78" si="17">(U16-T16)*24*60</f>
        <v>34.999999999999957</v>
      </c>
      <c r="X16" s="127"/>
      <c r="Y16" s="127"/>
      <c r="Z16" s="425"/>
      <c r="AA16" s="425"/>
      <c r="AB16" s="110">
        <f t="shared" si="12"/>
        <v>-340.99999999999795</v>
      </c>
      <c r="AC16" s="182">
        <f t="shared" si="13"/>
        <v>0.83800475059382518</v>
      </c>
      <c r="AD16" s="411">
        <f>AC26</f>
        <v>0.91507400680750473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3708</v>
      </c>
      <c r="H17" s="15">
        <f t="shared" si="14"/>
        <v>187884.36000000002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5"/>
        <v>153.84615384615384</v>
      </c>
      <c r="M17" s="37">
        <v>13</v>
      </c>
      <c r="N17" s="36">
        <f>G17/W17*60</f>
        <v>1901.5384615384619</v>
      </c>
      <c r="O17" s="38">
        <f t="shared" ref="O17:O18" si="18">N17/M17</f>
        <v>146.27218934911247</v>
      </c>
      <c r="P17" s="39">
        <f t="shared" si="9"/>
        <v>0</v>
      </c>
      <c r="Q17" s="40">
        <f t="shared" si="10"/>
        <v>-7.5739644970413735</v>
      </c>
      <c r="R17" s="188">
        <f t="shared" si="11"/>
        <v>0.95076923076923103</v>
      </c>
      <c r="S17" s="432"/>
      <c r="T17" s="41">
        <v>0.32291666666666669</v>
      </c>
      <c r="U17" s="41">
        <v>0.40416666666666667</v>
      </c>
      <c r="V17" s="175">
        <f>(T17-U16)*24*60</f>
        <v>12.000000000000037</v>
      </c>
      <c r="W17" s="43">
        <f t="shared" si="17"/>
        <v>116.99999999999999</v>
      </c>
      <c r="X17" s="44"/>
      <c r="Y17" s="44"/>
      <c r="Z17" s="405"/>
      <c r="AA17" s="405"/>
      <c r="AB17" s="18">
        <f t="shared" si="12"/>
        <v>-98.461538461538112</v>
      </c>
      <c r="AC17" s="183">
        <f t="shared" si="13"/>
        <v>0.95076923076923092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3108</v>
      </c>
      <c r="H18" s="15">
        <f t="shared" si="14"/>
        <v>156612.12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5"/>
        <v>166.66666666666666</v>
      </c>
      <c r="M18" s="37">
        <v>12</v>
      </c>
      <c r="N18" s="36">
        <f t="shared" si="16"/>
        <v>1883.6363636363628</v>
      </c>
      <c r="O18" s="38">
        <f t="shared" si="18"/>
        <v>156.96969696969691</v>
      </c>
      <c r="P18" s="39">
        <f t="shared" si="9"/>
        <v>0</v>
      </c>
      <c r="Q18" s="40">
        <f t="shared" si="10"/>
        <v>-9.6969696969697452</v>
      </c>
      <c r="R18" s="188">
        <f t="shared" si="11"/>
        <v>0.94181818181818155</v>
      </c>
      <c r="S18" s="432"/>
      <c r="T18" s="41">
        <v>0.41041666666666665</v>
      </c>
      <c r="U18" s="41">
        <v>0.47916666666666669</v>
      </c>
      <c r="V18" s="175">
        <f>(T18-U17)*24*60</f>
        <v>8.999999999999968</v>
      </c>
      <c r="W18" s="43">
        <f t="shared" si="17"/>
        <v>99.000000000000043</v>
      </c>
      <c r="X18" s="22">
        <v>0.48611111111111099</v>
      </c>
      <c r="Y18" s="260">
        <v>0.52777777777777801</v>
      </c>
      <c r="Z18" s="405"/>
      <c r="AA18" s="405"/>
      <c r="AB18" s="18">
        <f t="shared" si="12"/>
        <v>-116.36363636363717</v>
      </c>
      <c r="AC18" s="183">
        <f t="shared" si="13"/>
        <v>0.94181818181818144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v>50.39</v>
      </c>
      <c r="G19" s="96">
        <v>1408</v>
      </c>
      <c r="H19" s="15">
        <v>62735.55</v>
      </c>
      <c r="I19" s="175"/>
      <c r="J19" s="16">
        <v>12</v>
      </c>
      <c r="K19" s="14">
        <v>2000</v>
      </c>
      <c r="L19" s="17">
        <v>166.66666666666666</v>
      </c>
      <c r="M19" s="37">
        <v>12</v>
      </c>
      <c r="N19" s="36">
        <v>1867.4999999999993</v>
      </c>
      <c r="O19" s="38">
        <v>155.62499999999994</v>
      </c>
      <c r="P19" s="39">
        <v>0</v>
      </c>
      <c r="Q19" s="40">
        <v>-11.041666666666714</v>
      </c>
      <c r="R19" s="188">
        <v>0.93374999999999975</v>
      </c>
      <c r="S19" s="432"/>
      <c r="T19" s="41">
        <v>0.54097222222222219</v>
      </c>
      <c r="U19" s="41">
        <v>0.5756944444444444</v>
      </c>
      <c r="V19" s="175">
        <f>(T19-U18)*24*60</f>
        <v>88.999999999999929</v>
      </c>
      <c r="W19" s="43">
        <f t="shared" si="17"/>
        <v>49.999999999999986</v>
      </c>
      <c r="X19" s="22"/>
      <c r="Y19" s="260"/>
      <c r="Z19" s="475"/>
      <c r="AA19" s="476"/>
      <c r="AB19" s="18">
        <f t="shared" si="12"/>
        <v>-132.50000000000068</v>
      </c>
      <c r="AC19" s="183">
        <f t="shared" si="13"/>
        <v>0.93374999999999964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/>
      <c r="W20" s="43">
        <f t="shared" si="17"/>
        <v>0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7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4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7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4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7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4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7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19">AVERAGE(J16:J25)</f>
        <v>12.5</v>
      </c>
      <c r="K26" s="133">
        <f t="shared" si="19"/>
        <v>2026.25</v>
      </c>
      <c r="L26" s="136">
        <f t="shared" si="19"/>
        <v>162.27564102564102</v>
      </c>
      <c r="M26" s="133">
        <f t="shared" si="19"/>
        <v>12.5</v>
      </c>
      <c r="N26" s="133">
        <f t="shared" si="19"/>
        <v>1854.1687062937065</v>
      </c>
      <c r="O26" s="136">
        <f t="shared" si="19"/>
        <v>148.63979850277929</v>
      </c>
      <c r="P26" s="137">
        <f t="shared" ref="P26:P31" si="20">M26-J26</f>
        <v>0</v>
      </c>
      <c r="Q26" s="138">
        <f t="shared" ref="Q26:Q31" si="21">O26-L26</f>
        <v>-13.635842522861736</v>
      </c>
      <c r="R26" s="139">
        <f t="shared" ref="R26:R31" si="22">O26/L26</f>
        <v>0.91597110671276194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 t="shared" ref="AB26:AB31" si="23">N26-K26</f>
        <v>-172.08129370629354</v>
      </c>
      <c r="AC26" s="185">
        <f t="shared" ref="AC26:AC31" si="24">N26/K26</f>
        <v>0.91507400680750473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v>2516</v>
      </c>
      <c r="H27" s="124">
        <f t="shared" ref="H27:H47" si="25">F27*G27</f>
        <v>120038.36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14</v>
      </c>
      <c r="N27" s="126">
        <f>G27/W27*60</f>
        <v>1397.7777777777785</v>
      </c>
      <c r="O27" s="127">
        <f>N27/M27</f>
        <v>99.841269841269892</v>
      </c>
      <c r="P27" s="128">
        <f t="shared" si="20"/>
        <v>-1</v>
      </c>
      <c r="Q27" s="129">
        <f t="shared" si="21"/>
        <v>-0.15873015873010843</v>
      </c>
      <c r="R27" s="187">
        <f>O27/L27</f>
        <v>0.99841269841269886</v>
      </c>
      <c r="S27" s="431">
        <f>R37</f>
        <v>0.88736730442412937</v>
      </c>
      <c r="T27" s="94">
        <v>0.29027777777777802</v>
      </c>
      <c r="U27" s="94">
        <v>0.36527777777777798</v>
      </c>
      <c r="V27" s="125"/>
      <c r="W27" s="130">
        <f t="shared" si="17"/>
        <v>107.99999999999994</v>
      </c>
      <c r="X27" s="125"/>
      <c r="Y27" s="125" t="s">
        <v>47</v>
      </c>
      <c r="Z27" s="434"/>
      <c r="AA27" s="425"/>
      <c r="AB27" s="223">
        <f t="shared" si="23"/>
        <v>-102.22222222222149</v>
      </c>
      <c r="AC27" s="288">
        <f t="shared" si="24"/>
        <v>0.93185185185185238</v>
      </c>
      <c r="AD27" s="411">
        <f>AC37</f>
        <v>0.89609850763415144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1675</v>
      </c>
      <c r="H28" s="50">
        <f t="shared" si="25"/>
        <v>92342.75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17</v>
      </c>
      <c r="N28" s="36">
        <f>G28/W28*60</f>
        <v>1080.6451612903245</v>
      </c>
      <c r="O28" s="38">
        <f>N28/M28</f>
        <v>63.567362428842614</v>
      </c>
      <c r="P28" s="39">
        <f t="shared" si="20"/>
        <v>-1</v>
      </c>
      <c r="Q28" s="40">
        <f t="shared" si="21"/>
        <v>-13.377082015601829</v>
      </c>
      <c r="R28" s="188">
        <f t="shared" si="22"/>
        <v>0.82614622651203395</v>
      </c>
      <c r="S28" s="432"/>
      <c r="T28" s="267">
        <v>0.37013888888888902</v>
      </c>
      <c r="U28" s="41">
        <v>0.43472222222222223</v>
      </c>
      <c r="V28" s="42">
        <f>(T28-U27)*24*60</f>
        <v>6.9999999999998952</v>
      </c>
      <c r="W28" s="43">
        <f t="shared" si="17"/>
        <v>92.999999999999829</v>
      </c>
      <c r="X28" s="54"/>
      <c r="Y28" s="54"/>
      <c r="Z28" s="418"/>
      <c r="AA28" s="417"/>
      <c r="AB28" s="39">
        <f t="shared" si="23"/>
        <v>-304.35483870967551</v>
      </c>
      <c r="AC28" s="188">
        <f t="shared" si="24"/>
        <v>0.78024921392803215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1950</v>
      </c>
      <c r="H29" s="50">
        <f t="shared" si="25"/>
        <v>111735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17</v>
      </c>
      <c r="N29" s="36">
        <f>G29/W29*60</f>
        <v>1392.8571428571424</v>
      </c>
      <c r="O29" s="38">
        <f>N29/M29</f>
        <v>81.932773109243669</v>
      </c>
      <c r="P29" s="39">
        <f t="shared" si="20"/>
        <v>2</v>
      </c>
      <c r="Q29" s="40">
        <f t="shared" si="21"/>
        <v>-14.067226890756331</v>
      </c>
      <c r="R29" s="188">
        <f t="shared" si="22"/>
        <v>0.85346638655462159</v>
      </c>
      <c r="S29" s="432"/>
      <c r="T29" s="41">
        <v>0.43958333333333333</v>
      </c>
      <c r="U29" s="41">
        <v>0.49791666666666667</v>
      </c>
      <c r="V29" s="42">
        <f>(T29-U28)*24*60</f>
        <v>6.9999999999999751</v>
      </c>
      <c r="W29" s="43">
        <f t="shared" si="17"/>
        <v>84.000000000000028</v>
      </c>
      <c r="X29" s="22"/>
      <c r="Y29" s="22"/>
      <c r="Z29" s="418"/>
      <c r="AA29" s="417"/>
      <c r="AB29" s="289">
        <f t="shared" si="23"/>
        <v>-47.142857142857565</v>
      </c>
      <c r="AC29" s="188">
        <f t="shared" si="24"/>
        <v>0.96726190476190443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142</v>
      </c>
      <c r="E30" s="29"/>
      <c r="F30" s="56">
        <f>VLOOKUP(D30,廠價表!$C$1:$E$40,3,0)</f>
        <v>57.3</v>
      </c>
      <c r="G30" s="53">
        <v>2159</v>
      </c>
      <c r="H30" s="50">
        <f t="shared" si="25"/>
        <v>123710.7</v>
      </c>
      <c r="I30" s="42"/>
      <c r="J30" s="16">
        <f>VLOOKUP(D30,產線配置圖!$A$3:$C$39,2,0)</f>
        <v>15</v>
      </c>
      <c r="K30" s="14">
        <f>VLOOKUP(D30,產線配置圖!$A$3:$C$39,3,0)</f>
        <v>1440</v>
      </c>
      <c r="L30" s="233">
        <f t="shared" ref="L30:L31" si="26">K30/J30</f>
        <v>96</v>
      </c>
      <c r="M30" s="21">
        <v>16</v>
      </c>
      <c r="N30" s="36">
        <f t="shared" ref="N30:N31" si="27">G30/W30*60</f>
        <v>1233.7142857142865</v>
      </c>
      <c r="O30" s="38">
        <f t="shared" ref="O30:O31" si="28">N30/M30</f>
        <v>77.107142857142904</v>
      </c>
      <c r="P30" s="39">
        <f t="shared" si="20"/>
        <v>1</v>
      </c>
      <c r="Q30" s="40">
        <f t="shared" si="21"/>
        <v>-18.892857142857096</v>
      </c>
      <c r="R30" s="188">
        <f t="shared" si="22"/>
        <v>0.80319940476190521</v>
      </c>
      <c r="S30" s="432"/>
      <c r="T30" s="41">
        <v>0.55902777777777779</v>
      </c>
      <c r="U30" s="41">
        <v>0.63194444444444442</v>
      </c>
      <c r="V30" s="42">
        <f t="shared" ref="V30:V31" si="29">(T30-U29)*24*60</f>
        <v>88</v>
      </c>
      <c r="W30" s="43">
        <f t="shared" si="17"/>
        <v>104.99999999999994</v>
      </c>
      <c r="X30" s="54">
        <v>0.50694444444444398</v>
      </c>
      <c r="Y30" s="54">
        <v>0.54861111111111105</v>
      </c>
      <c r="Z30" s="418"/>
      <c r="AA30" s="417"/>
      <c r="AB30" s="289">
        <f t="shared" si="23"/>
        <v>-206.28571428571354</v>
      </c>
      <c r="AC30" s="188">
        <f t="shared" si="24"/>
        <v>0.85674603174603225</v>
      </c>
      <c r="AD30" s="445"/>
    </row>
    <row r="31" spans="1:30" ht="15" customHeight="1">
      <c r="A31" s="429"/>
      <c r="B31" s="56" t="str">
        <f>VLOOKUP(D31,廠價表!$C$1:$E$40,2,0)</f>
        <v>義大利麵</v>
      </c>
      <c r="C31" s="249"/>
      <c r="D31" s="11" t="s">
        <v>49</v>
      </c>
      <c r="E31" s="251"/>
      <c r="F31" s="56">
        <f>VLOOKUP(D31,廠價表!$C$1:$E$40,3,0)</f>
        <v>47.71</v>
      </c>
      <c r="G31" s="53">
        <v>726</v>
      </c>
      <c r="H31" s="50">
        <f t="shared" si="25"/>
        <v>34637.46</v>
      </c>
      <c r="I31" s="42"/>
      <c r="J31" s="16">
        <f>VLOOKUP(D31,產線配置圖!$A$3:$C$39,2,0)</f>
        <v>15</v>
      </c>
      <c r="K31" s="14">
        <f>VLOOKUP(D31,產線配置圖!$A$3:$C$39,3,0)</f>
        <v>1500</v>
      </c>
      <c r="L31" s="233">
        <f t="shared" si="26"/>
        <v>100</v>
      </c>
      <c r="M31" s="21">
        <v>15</v>
      </c>
      <c r="N31" s="36">
        <f t="shared" si="27"/>
        <v>1405.1612903225785</v>
      </c>
      <c r="O31" s="38">
        <f t="shared" si="28"/>
        <v>93.677419354838563</v>
      </c>
      <c r="P31" s="39">
        <f t="shared" si="20"/>
        <v>0</v>
      </c>
      <c r="Q31" s="40">
        <f t="shared" si="21"/>
        <v>-6.3225806451614375</v>
      </c>
      <c r="R31" s="188">
        <f t="shared" si="22"/>
        <v>0.93677419354838565</v>
      </c>
      <c r="S31" s="432"/>
      <c r="T31" s="41">
        <v>0.63680555555555551</v>
      </c>
      <c r="U31" s="41">
        <v>0.65833333333333333</v>
      </c>
      <c r="V31" s="42">
        <f t="shared" si="29"/>
        <v>6.9999999999999751</v>
      </c>
      <c r="W31" s="43">
        <f t="shared" si="17"/>
        <v>31.00000000000005</v>
      </c>
      <c r="X31" s="54"/>
      <c r="Y31" s="54"/>
      <c r="Z31" s="426"/>
      <c r="AA31" s="446"/>
      <c r="AB31" s="289">
        <f t="shared" si="23"/>
        <v>-94.838709677421548</v>
      </c>
      <c r="AC31" s="188">
        <f t="shared" si="24"/>
        <v>0.93677419354838565</v>
      </c>
      <c r="AD31" s="413"/>
    </row>
    <row r="32" spans="1:30" ht="15" customHeight="1">
      <c r="A32" s="429"/>
      <c r="B32" s="56"/>
      <c r="C32" s="27"/>
      <c r="D32" s="239"/>
      <c r="E32" s="275"/>
      <c r="F32" s="56"/>
      <c r="G32" s="53"/>
      <c r="H32" s="50"/>
      <c r="I32" s="42"/>
      <c r="J32" s="16"/>
      <c r="K32" s="14"/>
      <c r="L32" s="23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7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56"/>
      <c r="C33" s="238"/>
      <c r="D33" s="11"/>
      <c r="E33" s="240"/>
      <c r="F33" s="56"/>
      <c r="G33" s="53"/>
      <c r="H33" s="50"/>
      <c r="I33" s="42"/>
      <c r="J33" s="16"/>
      <c r="K33" s="14"/>
      <c r="L33" s="233"/>
      <c r="M33" s="21"/>
      <c r="N33" s="36"/>
      <c r="O33" s="38"/>
      <c r="P33" s="39"/>
      <c r="Q33" s="40"/>
      <c r="R33" s="188"/>
      <c r="S33" s="432"/>
      <c r="T33" s="41"/>
      <c r="U33" s="41"/>
      <c r="V33" s="42"/>
      <c r="W33" s="43">
        <f t="shared" si="17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56"/>
      <c r="C34" s="235"/>
      <c r="D34" s="11"/>
      <c r="E34" s="29"/>
      <c r="F34" s="56"/>
      <c r="G34" s="53"/>
      <c r="H34" s="50"/>
      <c r="I34" s="42"/>
      <c r="J34" s="16"/>
      <c r="K34" s="14"/>
      <c r="L34" s="233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7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56"/>
      <c r="C35" s="235"/>
      <c r="D35" s="11"/>
      <c r="E35" s="29"/>
      <c r="F35" s="56"/>
      <c r="G35" s="53"/>
      <c r="H35" s="50"/>
      <c r="I35" s="42"/>
      <c r="J35" s="16"/>
      <c r="K35" s="14"/>
      <c r="L35" s="233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7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7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30">AVERAGE(J27:J36)</f>
        <v>15.6</v>
      </c>
      <c r="K37" s="282">
        <f t="shared" si="30"/>
        <v>1453</v>
      </c>
      <c r="L37" s="283">
        <f t="shared" si="30"/>
        <v>93.788888888888891</v>
      </c>
      <c r="M37" s="282">
        <f t="shared" si="30"/>
        <v>15.8</v>
      </c>
      <c r="N37" s="282">
        <f t="shared" si="30"/>
        <v>1302.0311315924221</v>
      </c>
      <c r="O37" s="283">
        <f t="shared" si="30"/>
        <v>83.225193518267517</v>
      </c>
      <c r="P37" s="73">
        <f>M37-J37</f>
        <v>0.20000000000000107</v>
      </c>
      <c r="Q37" s="74">
        <f>N37-K37</f>
        <v>-150.96886840757793</v>
      </c>
      <c r="R37" s="284">
        <f t="shared" ref="R37:R42" si="31">O37/L37</f>
        <v>0.88736730442412937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32">N37-K37</f>
        <v>-150.96886840757793</v>
      </c>
      <c r="AC37" s="184">
        <f t="shared" ref="AC37:AC41" si="33">N37/K37</f>
        <v>0.89609850763415144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1797</v>
      </c>
      <c r="H38" s="124">
        <f t="shared" si="25"/>
        <v>102968.09999999999</v>
      </c>
      <c r="I38" s="125"/>
      <c r="J38" s="331">
        <f>VLOOKUP(D38,產線配置圖!$A$3:$C$39,2,0)</f>
        <v>15</v>
      </c>
      <c r="K38" s="234">
        <v>1500</v>
      </c>
      <c r="L38" s="285">
        <f t="shared" ref="L38:L42" si="34">K38/J38</f>
        <v>100</v>
      </c>
      <c r="M38" s="286">
        <v>15</v>
      </c>
      <c r="N38" s="126">
        <f>G38/W38*60</f>
        <v>1211.4606741573034</v>
      </c>
      <c r="O38" s="127">
        <f>N38/M38</f>
        <v>80.764044943820224</v>
      </c>
      <c r="P38" s="128">
        <f t="shared" ref="P38:P42" si="35">M38-J38</f>
        <v>0</v>
      </c>
      <c r="Q38" s="129">
        <f t="shared" ref="Q38:Q42" si="36">O38-L38</f>
        <v>-19.235955056179776</v>
      </c>
      <c r="R38" s="187">
        <f>O38/L38</f>
        <v>0.80764044943820223</v>
      </c>
      <c r="S38" s="460">
        <f>R48</f>
        <v>0.83187355965845178</v>
      </c>
      <c r="T38" s="149">
        <v>0.29166666666666669</v>
      </c>
      <c r="U38" s="149">
        <v>0.35347222222222224</v>
      </c>
      <c r="V38" s="146"/>
      <c r="W38" s="150">
        <f t="shared" si="17"/>
        <v>89</v>
      </c>
      <c r="X38" s="148"/>
      <c r="Y38" s="151"/>
      <c r="Z38" s="484"/>
      <c r="AA38" s="485"/>
      <c r="AB38" s="287">
        <f t="shared" si="32"/>
        <v>-288.5393258426966</v>
      </c>
      <c r="AC38" s="152">
        <f t="shared" si="33"/>
        <v>0.80764044943820223</v>
      </c>
      <c r="AD38" s="447">
        <f>AC48</f>
        <v>0.83261853344216352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1603</v>
      </c>
      <c r="H39" s="50">
        <f t="shared" si="25"/>
        <v>90457.29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4"/>
        <v>93.733333333333334</v>
      </c>
      <c r="M39" s="65">
        <v>15</v>
      </c>
      <c r="N39" s="66">
        <f>G39/W39*60</f>
        <v>1202.2499999999995</v>
      </c>
      <c r="O39" s="67">
        <f t="shared" ref="O39:O42" si="37">N39/M39</f>
        <v>80.149999999999963</v>
      </c>
      <c r="P39" s="39">
        <f t="shared" si="35"/>
        <v>0</v>
      </c>
      <c r="Q39" s="40">
        <f t="shared" si="36"/>
        <v>-13.583333333333371</v>
      </c>
      <c r="R39" s="188">
        <f t="shared" si="31"/>
        <v>0.85508534850640072</v>
      </c>
      <c r="S39" s="461"/>
      <c r="T39" s="59">
        <v>0.3611111111111111</v>
      </c>
      <c r="U39" s="59">
        <v>0.41666666666666669</v>
      </c>
      <c r="V39" s="42">
        <f>(T39-U38)*24*60</f>
        <v>10.999999999999961</v>
      </c>
      <c r="W39" s="69">
        <f t="shared" si="17"/>
        <v>80.000000000000028</v>
      </c>
      <c r="X39" s="22"/>
      <c r="Y39" s="22"/>
      <c r="Z39" s="450"/>
      <c r="AA39" s="451"/>
      <c r="AB39" s="268">
        <f t="shared" si="32"/>
        <v>-203.75000000000045</v>
      </c>
      <c r="AC39" s="61">
        <f t="shared" si="33"/>
        <v>0.85508534850640083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166</v>
      </c>
      <c r="E40" s="240"/>
      <c r="F40" s="56">
        <f>VLOOKUP(D40,廠價表!$C$1:$E$40,3,0)</f>
        <v>49.52</v>
      </c>
      <c r="G40" s="273">
        <v>1503</v>
      </c>
      <c r="H40" s="50">
        <f t="shared" si="25"/>
        <v>74428.56</v>
      </c>
      <c r="I40" s="64"/>
      <c r="J40" s="37">
        <f>VLOOKUP(D40,產線配置圖!$A$3:$C$39,2,0)</f>
        <v>18</v>
      </c>
      <c r="K40" s="36">
        <f>VLOOKUP(D40,產線配置圖!$A$3:$C$39,3,0)</f>
        <v>1440</v>
      </c>
      <c r="L40" s="38">
        <f t="shared" si="34"/>
        <v>80</v>
      </c>
      <c r="M40" s="65">
        <v>18</v>
      </c>
      <c r="N40" s="66">
        <f>G40/W40*60</f>
        <v>1156.1538461538455</v>
      </c>
      <c r="O40" s="67">
        <f t="shared" si="37"/>
        <v>64.230769230769198</v>
      </c>
      <c r="P40" s="39">
        <f t="shared" si="35"/>
        <v>0</v>
      </c>
      <c r="Q40" s="40">
        <f t="shared" si="36"/>
        <v>-15.769230769230802</v>
      </c>
      <c r="R40" s="188">
        <f t="shared" si="31"/>
        <v>0.80288461538461497</v>
      </c>
      <c r="S40" s="420"/>
      <c r="T40" s="59">
        <v>0.42291666666666666</v>
      </c>
      <c r="U40" s="59">
        <v>0.47708333333333336</v>
      </c>
      <c r="V40" s="42">
        <f>(T40-U39)*24*60</f>
        <v>8.999999999999968</v>
      </c>
      <c r="W40" s="69">
        <f t="shared" si="17"/>
        <v>78.000000000000043</v>
      </c>
      <c r="X40" s="70"/>
      <c r="Y40" s="256"/>
      <c r="Z40" s="480"/>
      <c r="AA40" s="483"/>
      <c r="AB40" s="268">
        <f t="shared" si="32"/>
        <v>-283.84615384615449</v>
      </c>
      <c r="AC40" s="61">
        <f t="shared" si="33"/>
        <v>0.80288461538461497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167</v>
      </c>
      <c r="E41" s="240"/>
      <c r="F41" s="56">
        <f>VLOOKUP(D41,廠價表!$C$1:$E$40,3,0)</f>
        <v>44.3</v>
      </c>
      <c r="G41" s="273">
        <v>2615</v>
      </c>
      <c r="H41" s="50">
        <f t="shared" si="25"/>
        <v>115844.49999999999</v>
      </c>
      <c r="I41" s="64"/>
      <c r="J41" s="37">
        <f>VLOOKUP(D41,產線配置圖!$A$3:$C$39,2,0)</f>
        <v>19</v>
      </c>
      <c r="K41" s="36">
        <f>VLOOKUP(D41,產線配置圖!$A$3:$C$39,3,0)</f>
        <v>1440</v>
      </c>
      <c r="L41" s="38">
        <f t="shared" si="34"/>
        <v>75.78947368421052</v>
      </c>
      <c r="M41" s="65">
        <v>19</v>
      </c>
      <c r="N41" s="66">
        <f t="shared" ref="N41:N42" si="38">G41/W41*60</f>
        <v>1286.0655737704928</v>
      </c>
      <c r="O41" s="67">
        <f t="shared" si="37"/>
        <v>67.687661777394354</v>
      </c>
      <c r="P41" s="39">
        <f t="shared" si="35"/>
        <v>0</v>
      </c>
      <c r="Q41" s="40">
        <f t="shared" si="36"/>
        <v>-8.1018119068161667</v>
      </c>
      <c r="R41" s="188">
        <f t="shared" si="31"/>
        <v>0.89310109289617556</v>
      </c>
      <c r="S41" s="420"/>
      <c r="T41" s="59">
        <v>0.58194444444444449</v>
      </c>
      <c r="U41" s="75">
        <v>0.66666666666666663</v>
      </c>
      <c r="V41" s="42">
        <f t="shared" ref="V41:V42" si="39">(T41-U40)*24*60</f>
        <v>151.00000000000003</v>
      </c>
      <c r="W41" s="69">
        <f t="shared" si="17"/>
        <v>121.99999999999989</v>
      </c>
      <c r="X41" s="70">
        <v>0.48611111111111099</v>
      </c>
      <c r="Y41" s="256">
        <v>0.52777777777777801</v>
      </c>
      <c r="Z41" s="480"/>
      <c r="AA41" s="483"/>
      <c r="AB41" s="268">
        <f t="shared" si="32"/>
        <v>-153.93442622950715</v>
      </c>
      <c r="AC41" s="61">
        <f t="shared" si="33"/>
        <v>0.89310109289617556</v>
      </c>
      <c r="AD41" s="448"/>
    </row>
    <row r="42" spans="1:30" s="62" customFormat="1" ht="15" customHeight="1">
      <c r="A42" s="458"/>
      <c r="B42" s="56" t="s">
        <v>45</v>
      </c>
      <c r="C42" s="23"/>
      <c r="D42" s="276" t="s">
        <v>166</v>
      </c>
      <c r="E42" s="12"/>
      <c r="F42" s="56">
        <f>VLOOKUP(D42,廠價表!$C$1:$E$40,3,0)</f>
        <v>49.52</v>
      </c>
      <c r="G42" s="273">
        <v>677</v>
      </c>
      <c r="H42" s="50">
        <f t="shared" si="25"/>
        <v>33525.040000000001</v>
      </c>
      <c r="I42" s="64"/>
      <c r="J42" s="37">
        <f>VLOOKUP(D42,產線配置圖!$A$3:$C$39,2,0)</f>
        <v>18</v>
      </c>
      <c r="K42" s="36">
        <f>VLOOKUP(D42,產線配置圖!$A$3:$C$39,3,0)</f>
        <v>1440</v>
      </c>
      <c r="L42" s="38">
        <f t="shared" si="34"/>
        <v>80</v>
      </c>
      <c r="M42" s="65">
        <v>18</v>
      </c>
      <c r="N42" s="66">
        <f t="shared" si="38"/>
        <v>1160.5714285714328</v>
      </c>
      <c r="O42" s="67">
        <f t="shared" si="37"/>
        <v>64.476190476190709</v>
      </c>
      <c r="P42" s="39">
        <f t="shared" si="35"/>
        <v>0</v>
      </c>
      <c r="Q42" s="40">
        <f t="shared" si="36"/>
        <v>-15.523809523809291</v>
      </c>
      <c r="R42" s="188">
        <f t="shared" si="31"/>
        <v>0.80595238095238386</v>
      </c>
      <c r="S42" s="420"/>
      <c r="T42" s="75">
        <v>0.67708333333333337</v>
      </c>
      <c r="U42" s="75">
        <v>0.70138888888888884</v>
      </c>
      <c r="V42" s="42">
        <f t="shared" si="39"/>
        <v>15.000000000000107</v>
      </c>
      <c r="W42" s="69">
        <f t="shared" si="17"/>
        <v>34.999999999999872</v>
      </c>
      <c r="X42" s="70"/>
      <c r="Y42" s="60"/>
      <c r="Z42" s="480"/>
      <c r="AA42" s="483"/>
      <c r="AB42" s="268">
        <f>N42-K42</f>
        <v>-279.42857142856724</v>
      </c>
      <c r="AC42" s="61">
        <f>N42/K42</f>
        <v>0.80595238095238386</v>
      </c>
      <c r="AD42" s="448"/>
    </row>
    <row r="43" spans="1:30" s="62" customFormat="1" ht="15" customHeight="1">
      <c r="A43" s="458"/>
      <c r="B43" s="56"/>
      <c r="C43" s="27"/>
      <c r="D43" s="276"/>
      <c r="E43" s="29"/>
      <c r="F43" s="56"/>
      <c r="G43" s="66"/>
      <c r="H43" s="50"/>
      <c r="I43" s="64"/>
      <c r="J43" s="37"/>
      <c r="K43" s="36"/>
      <c r="L43" s="38"/>
      <c r="M43" s="65"/>
      <c r="N43" s="66"/>
      <c r="O43" s="67"/>
      <c r="P43" s="39"/>
      <c r="Q43" s="40"/>
      <c r="R43" s="188"/>
      <c r="S43" s="420"/>
      <c r="T43" s="75"/>
      <c r="U43" s="75"/>
      <c r="V43" s="42"/>
      <c r="W43" s="69">
        <f>(U43-T43)*24*60</f>
        <v>0</v>
      </c>
      <c r="X43" s="70"/>
      <c r="Y43" s="334"/>
      <c r="Z43" s="480"/>
      <c r="AA43" s="483"/>
      <c r="AB43" s="71"/>
      <c r="AC43" s="61"/>
      <c r="AD43" s="448"/>
    </row>
    <row r="44" spans="1:30" s="62" customFormat="1" ht="15" customHeight="1">
      <c r="A44" s="458"/>
      <c r="B44" s="56"/>
      <c r="C44" s="23"/>
      <c r="D44" s="276"/>
      <c r="E44" s="12"/>
      <c r="F44" s="56"/>
      <c r="G44" s="273"/>
      <c r="H44" s="50"/>
      <c r="I44" s="64"/>
      <c r="J44" s="37"/>
      <c r="K44" s="36"/>
      <c r="L44" s="38"/>
      <c r="M44" s="65"/>
      <c r="N44" s="66"/>
      <c r="O44" s="67"/>
      <c r="P44" s="39"/>
      <c r="Q44" s="40"/>
      <c r="R44" s="188"/>
      <c r="S44" s="420"/>
      <c r="T44" s="75"/>
      <c r="U44" s="75"/>
      <c r="V44" s="42"/>
      <c r="W44" s="69">
        <f t="shared" ref="W44:W48" si="40">(U44-T44)*24*60</f>
        <v>0</v>
      </c>
      <c r="X44" s="70"/>
      <c r="Y44" s="67"/>
      <c r="Z44" s="480"/>
      <c r="AA44" s="483"/>
      <c r="AB44" s="71"/>
      <c r="AC44" s="61"/>
      <c r="AD44" s="448"/>
    </row>
    <row r="45" spans="1:30" s="62" customFormat="1" ht="15" customHeight="1">
      <c r="A45" s="458"/>
      <c r="B45" s="56"/>
      <c r="C45" s="23"/>
      <c r="D45" s="276"/>
      <c r="E45" s="12"/>
      <c r="F45" s="56"/>
      <c r="G45" s="273"/>
      <c r="H45" s="50"/>
      <c r="I45" s="64"/>
      <c r="J45" s="37"/>
      <c r="K45" s="36"/>
      <c r="L45" s="38"/>
      <c r="M45" s="65"/>
      <c r="N45" s="66"/>
      <c r="O45" s="67"/>
      <c r="P45" s="39"/>
      <c r="Q45" s="40"/>
      <c r="R45" s="188"/>
      <c r="S45" s="420"/>
      <c r="T45" s="75"/>
      <c r="U45" s="75"/>
      <c r="V45" s="64"/>
      <c r="W45" s="69">
        <f t="shared" si="40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/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40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25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40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41">AVERAGE(J38:J47)</f>
        <v>17</v>
      </c>
      <c r="K48" s="133">
        <f t="shared" si="41"/>
        <v>1445.2</v>
      </c>
      <c r="L48" s="136">
        <f t="shared" si="41"/>
        <v>85.904561403508779</v>
      </c>
      <c r="M48" s="133">
        <f t="shared" si="41"/>
        <v>17</v>
      </c>
      <c r="N48" s="133">
        <f t="shared" si="41"/>
        <v>1203.3003045306148</v>
      </c>
      <c r="O48" s="136">
        <f t="shared" si="41"/>
        <v>71.461733285634892</v>
      </c>
      <c r="P48" s="155">
        <f>M48-J48</f>
        <v>0</v>
      </c>
      <c r="Q48" s="156">
        <f>N48-K48</f>
        <v>-241.89969546938528</v>
      </c>
      <c r="R48" s="157">
        <f>O48/L48</f>
        <v>0.83187355965845178</v>
      </c>
      <c r="S48" s="423"/>
      <c r="T48" s="158"/>
      <c r="U48" s="158"/>
      <c r="V48" s="194"/>
      <c r="W48" s="159">
        <f t="shared" si="40"/>
        <v>0</v>
      </c>
      <c r="X48" s="160"/>
      <c r="Y48" s="160"/>
      <c r="Z48" s="424"/>
      <c r="AA48" s="424"/>
      <c r="AB48" s="161">
        <f t="shared" ref="AB48:AB53" si="42">N48-K48</f>
        <v>-241.89969546938528</v>
      </c>
      <c r="AC48" s="189">
        <f t="shared" ref="AC48:AC53" si="43">N48/K48</f>
        <v>0.83261853344216352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1778</v>
      </c>
      <c r="H49" s="124">
        <f t="shared" ref="H49:H57" si="44">F49*G49</f>
        <v>101114.86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1422.4000000000005</v>
      </c>
      <c r="O49" s="127">
        <f>N49/M49</f>
        <v>74.863157894736872</v>
      </c>
      <c r="P49" s="162">
        <f>M49-J49</f>
        <v>0</v>
      </c>
      <c r="Q49" s="111">
        <f>O49-L49</f>
        <v>-7.5052631578947029</v>
      </c>
      <c r="R49" s="182">
        <f>O49/L49</f>
        <v>0.9088817891373806</v>
      </c>
      <c r="S49" s="419">
        <f>R58</f>
        <v>0.93051380121333238</v>
      </c>
      <c r="T49" s="149">
        <v>0.29097222222222224</v>
      </c>
      <c r="U49" s="149">
        <v>0.34305555555555556</v>
      </c>
      <c r="V49" s="186"/>
      <c r="W49" s="150">
        <f t="shared" si="17"/>
        <v>74.999999999999972</v>
      </c>
      <c r="X49" s="186"/>
      <c r="Y49" s="186"/>
      <c r="Z49" s="425"/>
      <c r="AA49" s="425"/>
      <c r="AB49" s="110">
        <f t="shared" si="42"/>
        <v>-142.59999999999945</v>
      </c>
      <c r="AC49" s="182">
        <f t="shared" si="43"/>
        <v>0.90888178913738049</v>
      </c>
      <c r="AD49" s="411">
        <f>AC58</f>
        <v>0.93068144228416017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2591</v>
      </c>
      <c r="H50" s="76">
        <f t="shared" si="44"/>
        <v>129472.27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1586.3265306122439</v>
      </c>
      <c r="O50" s="78">
        <f>N50/M50</f>
        <v>88.129251700680214</v>
      </c>
      <c r="P50" s="18">
        <f>M50-J50</f>
        <v>0</v>
      </c>
      <c r="Q50" s="19">
        <f>O50-L50</f>
        <v>-0.75963718820867143</v>
      </c>
      <c r="R50" s="183">
        <f>O50/L50</f>
        <v>0.99145408163265247</v>
      </c>
      <c r="S50" s="420"/>
      <c r="T50" s="79">
        <v>0.34930555555555554</v>
      </c>
      <c r="U50" s="79">
        <v>0.41736111111111113</v>
      </c>
      <c r="V50" s="175">
        <f t="shared" ref="V50:V53" si="45">(T50-U49)*24*60</f>
        <v>8.999999999999968</v>
      </c>
      <c r="W50" s="80">
        <f t="shared" si="17"/>
        <v>98.000000000000057</v>
      </c>
      <c r="X50" s="22"/>
      <c r="Y50" s="22"/>
      <c r="Z50" s="417"/>
      <c r="AA50" s="418"/>
      <c r="AB50" s="18">
        <f t="shared" si="42"/>
        <v>-13.673469387756086</v>
      </c>
      <c r="AC50" s="183">
        <f t="shared" si="43"/>
        <v>0.99145408163265247</v>
      </c>
      <c r="AD50" s="412"/>
    </row>
    <row r="51" spans="1:30" ht="15" customHeight="1">
      <c r="A51" s="455"/>
      <c r="B51" s="56" t="str">
        <f>VLOOKUP(D51,廠價表!$C$1:$E$40,2,0)</f>
        <v>熱乾麵</v>
      </c>
      <c r="C51" s="10"/>
      <c r="D51" s="11" t="s">
        <v>46</v>
      </c>
      <c r="E51" s="86"/>
      <c r="F51" s="56">
        <f>VLOOKUP(D51,廠價表!$C$1:$E$40,3,0)</f>
        <v>49.91</v>
      </c>
      <c r="G51" s="66">
        <v>1396</v>
      </c>
      <c r="H51" s="76">
        <f t="shared" si="44"/>
        <v>69674.36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3" si="46">K51/J51</f>
        <v>92.058823529411768</v>
      </c>
      <c r="M51" s="172">
        <v>17</v>
      </c>
      <c r="N51" s="77">
        <f t="shared" ref="N51:N53" si="47">G51/W51*60</f>
        <v>1350.9677419354871</v>
      </c>
      <c r="O51" s="78">
        <f t="shared" ref="O51:O53" si="48">N51/M51</f>
        <v>79.468690702087471</v>
      </c>
      <c r="P51" s="18">
        <f t="shared" ref="P51:P53" si="49">M51-J51</f>
        <v>0</v>
      </c>
      <c r="Q51" s="19">
        <f t="shared" ref="Q51:Q53" si="50">O51-L51</f>
        <v>-12.590132827324297</v>
      </c>
      <c r="R51" s="183">
        <f t="shared" ref="R51:R53" si="51">O51/L51</f>
        <v>0.86323817376069456</v>
      </c>
      <c r="S51" s="420"/>
      <c r="T51" s="79">
        <v>0.42430555555555555</v>
      </c>
      <c r="U51" s="44">
        <v>0.46736111111111101</v>
      </c>
      <c r="V51" s="175">
        <f t="shared" si="45"/>
        <v>9.9999999999999645</v>
      </c>
      <c r="W51" s="80">
        <f t="shared" si="17"/>
        <v>61.999999999999858</v>
      </c>
      <c r="X51" s="22"/>
      <c r="Y51" s="22"/>
      <c r="Z51" s="405"/>
      <c r="AA51" s="405"/>
      <c r="AB51" s="18">
        <f t="shared" si="42"/>
        <v>-214.03225806451292</v>
      </c>
      <c r="AC51" s="183">
        <f t="shared" si="43"/>
        <v>0.86323817376069467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1207</v>
      </c>
      <c r="H52" s="76">
        <f t="shared" si="44"/>
        <v>60241.369999999995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si="46"/>
        <v>92.058823529411768</v>
      </c>
      <c r="M52" s="172">
        <v>17</v>
      </c>
      <c r="N52" s="77">
        <f t="shared" si="47"/>
        <v>1508.7500000000005</v>
      </c>
      <c r="O52" s="78">
        <f t="shared" si="48"/>
        <v>88.750000000000028</v>
      </c>
      <c r="P52" s="18">
        <f t="shared" si="49"/>
        <v>0</v>
      </c>
      <c r="Q52" s="19">
        <f t="shared" si="50"/>
        <v>-3.3088235294117396</v>
      </c>
      <c r="R52" s="183">
        <f t="shared" si="51"/>
        <v>0.96405750798722067</v>
      </c>
      <c r="S52" s="420"/>
      <c r="T52" s="79">
        <v>0.52986111111111112</v>
      </c>
      <c r="U52" s="79">
        <v>0.56319444444444444</v>
      </c>
      <c r="V52" s="175">
        <f t="shared" si="45"/>
        <v>90.000000000000156</v>
      </c>
      <c r="W52" s="80">
        <f t="shared" si="17"/>
        <v>47.999999999999986</v>
      </c>
      <c r="X52" s="22">
        <v>0.47916666666666702</v>
      </c>
      <c r="Y52" s="22">
        <v>0.52083333333333304</v>
      </c>
      <c r="Z52" s="417"/>
      <c r="AA52" s="418"/>
      <c r="AB52" s="18">
        <f t="shared" si="42"/>
        <v>-56.249999999999545</v>
      </c>
      <c r="AC52" s="183">
        <f t="shared" si="43"/>
        <v>0.96405750798722079</v>
      </c>
      <c r="AD52" s="412"/>
    </row>
    <row r="53" spans="1:30" ht="15" customHeight="1">
      <c r="A53" s="455"/>
      <c r="B53" s="56" t="str">
        <f>VLOOKUP(D53,廠價表!$C$1:$E$40,2,0)</f>
        <v>義大利麵</v>
      </c>
      <c r="C53" s="23"/>
      <c r="D53" s="11" t="s">
        <v>59</v>
      </c>
      <c r="E53" s="12"/>
      <c r="F53" s="56">
        <f>VLOOKUP(D53,廠價表!$C$1:$E$40,3,0)</f>
        <v>49.97</v>
      </c>
      <c r="G53" s="66">
        <v>2071</v>
      </c>
      <c r="H53" s="76">
        <f t="shared" si="44"/>
        <v>103487.87</v>
      </c>
      <c r="I53" s="191"/>
      <c r="J53" s="16">
        <f>VLOOKUP(D53,產線配置圖!$A$3:$C$39,2,0)</f>
        <v>18</v>
      </c>
      <c r="K53" s="14">
        <f>VLOOKUP(D53,產線配置圖!$A$3:$C$39,3,0)</f>
        <v>1600</v>
      </c>
      <c r="L53" s="17">
        <f t="shared" si="46"/>
        <v>88.888888888888886</v>
      </c>
      <c r="M53" s="172">
        <v>18</v>
      </c>
      <c r="N53" s="77">
        <f t="shared" si="47"/>
        <v>1479.2857142857138</v>
      </c>
      <c r="O53" s="78">
        <f t="shared" si="48"/>
        <v>82.182539682539655</v>
      </c>
      <c r="P53" s="18">
        <f t="shared" si="49"/>
        <v>0</v>
      </c>
      <c r="Q53" s="19">
        <f t="shared" si="50"/>
        <v>-6.7063492063492305</v>
      </c>
      <c r="R53" s="183">
        <f t="shared" si="51"/>
        <v>0.9245535714285712</v>
      </c>
      <c r="S53" s="420"/>
      <c r="T53" s="79">
        <v>0.56874999999999998</v>
      </c>
      <c r="U53" s="79">
        <v>0.62708333333333333</v>
      </c>
      <c r="V53" s="175">
        <f t="shared" si="45"/>
        <v>7.9999999999999716</v>
      </c>
      <c r="W53" s="80">
        <f t="shared" si="17"/>
        <v>84.000000000000028</v>
      </c>
      <c r="X53" s="175"/>
      <c r="Y53" s="175"/>
      <c r="Z53" s="417"/>
      <c r="AA53" s="418"/>
      <c r="AB53" s="18">
        <f t="shared" si="42"/>
        <v>-120.71428571428623</v>
      </c>
      <c r="AC53" s="183">
        <f t="shared" si="43"/>
        <v>0.92455357142857109</v>
      </c>
      <c r="AD53" s="412"/>
    </row>
    <row r="54" spans="1:30" ht="15" customHeight="1">
      <c r="A54" s="455"/>
      <c r="B54" s="56"/>
      <c r="C54" s="181"/>
      <c r="D54" s="11"/>
      <c r="E54" s="12"/>
      <c r="F54" s="56"/>
      <c r="G54" s="66"/>
      <c r="H54" s="76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79"/>
      <c r="U54" s="79"/>
      <c r="V54" s="175"/>
      <c r="W54" s="80">
        <f t="shared" si="17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4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7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4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7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4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7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52">AVERAGE(J49:J57)</f>
        <v>17.8</v>
      </c>
      <c r="K58" s="117">
        <f t="shared" si="52"/>
        <v>1579</v>
      </c>
      <c r="L58" s="114">
        <f t="shared" si="52"/>
        <v>88.852769177846582</v>
      </c>
      <c r="M58" s="117">
        <f t="shared" si="52"/>
        <v>17.8</v>
      </c>
      <c r="N58" s="117">
        <f t="shared" si="52"/>
        <v>1469.5459973666889</v>
      </c>
      <c r="O58" s="114">
        <f t="shared" si="52"/>
        <v>82.678727996008845</v>
      </c>
      <c r="P58" s="118">
        <f>M58-J58</f>
        <v>0</v>
      </c>
      <c r="Q58" s="119">
        <f>N58-K58</f>
        <v>-109.45400263331112</v>
      </c>
      <c r="R58" s="120">
        <f t="shared" ref="R58:R60" si="53">O58/L58</f>
        <v>0.93051380121333238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54">N58-K58</f>
        <v>-109.45400263331112</v>
      </c>
      <c r="AC58" s="185">
        <f t="shared" ref="AC58:AC61" si="55">N58/K58</f>
        <v>0.93068144228416017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2855</v>
      </c>
      <c r="H59" s="105">
        <f t="shared" ref="H59:H68" si="56">F59*G59</f>
        <v>77056.45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57">G59/W59*60</f>
        <v>1489.5652173913045</v>
      </c>
      <c r="O59" s="108">
        <f t="shared" ref="O59:O62" si="58">N59/M59</f>
        <v>114.58193979933111</v>
      </c>
      <c r="P59" s="110">
        <f t="shared" ref="P59:P62" si="59">M59-J59</f>
        <v>0</v>
      </c>
      <c r="Q59" s="111">
        <f t="shared" ref="Q59:Q62" si="60">O59-L59</f>
        <v>-5.8026755852842768</v>
      </c>
      <c r="R59" s="182">
        <f t="shared" si="53"/>
        <v>0.95179886095291011</v>
      </c>
      <c r="S59" s="419">
        <f>R69</f>
        <v>0.8460579136997376</v>
      </c>
      <c r="T59" s="167">
        <v>0.29166666666666669</v>
      </c>
      <c r="U59" s="167">
        <v>0.37152777777777779</v>
      </c>
      <c r="V59" s="186"/>
      <c r="W59" s="106">
        <f t="shared" si="17"/>
        <v>114.99999999999999</v>
      </c>
      <c r="X59" s="186"/>
      <c r="Y59" s="186"/>
      <c r="Z59" s="469"/>
      <c r="AA59" s="434"/>
      <c r="AB59" s="223">
        <f t="shared" si="54"/>
        <v>-75.434782608695514</v>
      </c>
      <c r="AC59" s="224">
        <f t="shared" si="55"/>
        <v>0.95179886095291022</v>
      </c>
      <c r="AD59" s="411">
        <f>AC69</f>
        <v>0.84724679382981427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844</v>
      </c>
      <c r="H60" s="15">
        <f t="shared" si="56"/>
        <v>24028.68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7"/>
        <v>1125.3333333333335</v>
      </c>
      <c r="O60" s="17">
        <f t="shared" si="58"/>
        <v>93.777777777777786</v>
      </c>
      <c r="P60" s="18">
        <f t="shared" si="59"/>
        <v>0</v>
      </c>
      <c r="Q60" s="19">
        <f t="shared" si="60"/>
        <v>-36.638888888888872</v>
      </c>
      <c r="R60" s="183">
        <f t="shared" si="53"/>
        <v>0.71906283280085204</v>
      </c>
      <c r="S60" s="474"/>
      <c r="T60" s="20">
        <v>0.38194444444444442</v>
      </c>
      <c r="U60" s="20">
        <v>0.41319444444444442</v>
      </c>
      <c r="V60" s="175">
        <f t="shared" ref="V60:V63" si="61">(T60-U59)*24*60</f>
        <v>14.999999999999947</v>
      </c>
      <c r="W60" s="90">
        <f t="shared" si="17"/>
        <v>45</v>
      </c>
      <c r="X60" s="191"/>
      <c r="Y60" s="191"/>
      <c r="Z60" s="405" t="s">
        <v>169</v>
      </c>
      <c r="AA60" s="405"/>
      <c r="AB60" s="225">
        <f t="shared" si="54"/>
        <v>-439.66666666666652</v>
      </c>
      <c r="AC60" s="226">
        <f t="shared" si="55"/>
        <v>0.71906283280085204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1169</v>
      </c>
      <c r="H61" s="15">
        <f t="shared" si="56"/>
        <v>33035.94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 t="shared" ref="L61:L62" si="62">K61/J61</f>
        <v>130.41666666666666</v>
      </c>
      <c r="M61" s="178">
        <v>12</v>
      </c>
      <c r="N61" s="14">
        <f t="shared" si="57"/>
        <v>1275.2727272727263</v>
      </c>
      <c r="O61" s="17">
        <f t="shared" si="58"/>
        <v>106.2727272727272</v>
      </c>
      <c r="P61" s="18">
        <f t="shared" si="59"/>
        <v>0</v>
      </c>
      <c r="Q61" s="19">
        <f t="shared" si="60"/>
        <v>-24.143939393939462</v>
      </c>
      <c r="R61" s="183">
        <f>O61/L61</f>
        <v>0.81487075225094341</v>
      </c>
      <c r="S61" s="420"/>
      <c r="T61" s="20">
        <v>0.4236111111111111</v>
      </c>
      <c r="U61" s="20">
        <v>0.46180555555555558</v>
      </c>
      <c r="V61" s="175">
        <f t="shared" si="61"/>
        <v>15.000000000000027</v>
      </c>
      <c r="W61" s="88">
        <f t="shared" si="17"/>
        <v>55.000000000000043</v>
      </c>
      <c r="X61" s="22"/>
      <c r="Y61" s="22"/>
      <c r="Z61" s="405"/>
      <c r="AA61" s="405"/>
      <c r="AB61" s="51">
        <f t="shared" si="54"/>
        <v>-289.72727272727366</v>
      </c>
      <c r="AC61" s="52">
        <f t="shared" si="55"/>
        <v>0.8148707522509433</v>
      </c>
      <c r="AD61" s="412"/>
    </row>
    <row r="62" spans="1:30" ht="15" customHeight="1">
      <c r="A62" s="472"/>
      <c r="B62" s="336" t="str">
        <f>VLOOKUP(D62,廠價表!$C$1:$E$40,2,0)</f>
        <v>小吃、微波</v>
      </c>
      <c r="C62" s="337"/>
      <c r="D62" s="338" t="s">
        <v>64</v>
      </c>
      <c r="E62" s="339"/>
      <c r="F62" s="336">
        <f>VLOOKUP(D62,廠價表!$C$1:$E$40,3,0)</f>
        <v>28.26</v>
      </c>
      <c r="G62" s="176">
        <v>1460</v>
      </c>
      <c r="H62" s="340">
        <f t="shared" si="56"/>
        <v>41259.600000000006</v>
      </c>
      <c r="I62" s="81"/>
      <c r="J62" s="31">
        <f>VLOOKUP(D62,產線配置圖!$A$3:$C$39,2,0)</f>
        <v>12</v>
      </c>
      <c r="K62" s="30">
        <f>VLOOKUP(D62,產線配置圖!$A$3:$C$39,3,0)</f>
        <v>1565</v>
      </c>
      <c r="L62" s="35">
        <f t="shared" si="62"/>
        <v>130.41666666666666</v>
      </c>
      <c r="M62" s="179">
        <v>12</v>
      </c>
      <c r="N62" s="30">
        <f t="shared" si="57"/>
        <v>1460.0000000000014</v>
      </c>
      <c r="O62" s="35">
        <f t="shared" si="58"/>
        <v>121.66666666666679</v>
      </c>
      <c r="P62" s="34">
        <f t="shared" si="59"/>
        <v>0</v>
      </c>
      <c r="Q62" s="341">
        <f t="shared" si="60"/>
        <v>-8.7499999999998721</v>
      </c>
      <c r="R62" s="184">
        <f>O62/L62</f>
        <v>0.93290734824281252</v>
      </c>
      <c r="S62" s="420"/>
      <c r="T62" s="20">
        <v>0.51736111111111116</v>
      </c>
      <c r="U62" s="20">
        <v>0.55902777777777779</v>
      </c>
      <c r="V62" s="175">
        <f t="shared" si="61"/>
        <v>80.000000000000028</v>
      </c>
      <c r="W62" s="90">
        <f t="shared" si="17"/>
        <v>59.999999999999943</v>
      </c>
      <c r="X62" s="22">
        <v>0.46875</v>
      </c>
      <c r="Y62" s="22">
        <v>0.51041666666666696</v>
      </c>
      <c r="Z62" s="405"/>
      <c r="AA62" s="405"/>
      <c r="AB62" s="51">
        <f t="shared" ref="AB62:AB63" si="63">N62-K62</f>
        <v>-104.99999999999864</v>
      </c>
      <c r="AC62" s="52">
        <f t="shared" ref="AC62:AC63" si="64">N62/K62</f>
        <v>0.93290734824281241</v>
      </c>
      <c r="AD62" s="412"/>
    </row>
    <row r="63" spans="1:30" ht="15" customHeight="1">
      <c r="A63" s="472"/>
      <c r="B63" s="342" t="str">
        <f>VLOOKUP(D63,廠價表!$C$1:$E$40,2,0)</f>
        <v>小吃、微波</v>
      </c>
      <c r="C63" s="246"/>
      <c r="D63" s="247" t="s">
        <v>62</v>
      </c>
      <c r="E63" s="248"/>
      <c r="F63" s="305">
        <f>VLOOKUP(D63,廠價表!$C$1:$E$40,3,0)</f>
        <v>26.99</v>
      </c>
      <c r="G63" s="335">
        <v>917</v>
      </c>
      <c r="H63" s="307">
        <f>F63*G63</f>
        <v>24749.829999999998</v>
      </c>
      <c r="I63" s="335"/>
      <c r="J63" s="309">
        <f>VLOOKUP(D63,產線配置圖!$A$3:$C$39,2,0)</f>
        <v>13</v>
      </c>
      <c r="K63" s="306">
        <f>VLOOKUP(D63,產線配置圖!$A$3:$C$39,3,0)</f>
        <v>1565</v>
      </c>
      <c r="L63" s="310">
        <f>K63/J63</f>
        <v>120.38461538461539</v>
      </c>
      <c r="M63" s="311">
        <v>13</v>
      </c>
      <c r="N63" s="306">
        <f>G63/W63*60</f>
        <v>1279.5348837209301</v>
      </c>
      <c r="O63" s="310">
        <f>N63/M63</f>
        <v>98.425760286225398</v>
      </c>
      <c r="P63" s="312">
        <f>M63-J63</f>
        <v>0</v>
      </c>
      <c r="Q63" s="313">
        <f>O63-L63</f>
        <v>-21.958855098389989</v>
      </c>
      <c r="R63" s="314">
        <f>O63/L63</f>
        <v>0.81759417490155284</v>
      </c>
      <c r="S63" s="420"/>
      <c r="T63" s="20">
        <v>0.58333333333333337</v>
      </c>
      <c r="U63" s="20">
        <v>0.61319444444444449</v>
      </c>
      <c r="V63" s="175">
        <f t="shared" si="61"/>
        <v>35.000000000000036</v>
      </c>
      <c r="W63" s="90">
        <f t="shared" si="17"/>
        <v>43.000000000000007</v>
      </c>
      <c r="X63" s="84"/>
      <c r="Y63" s="84"/>
      <c r="Z63" s="405"/>
      <c r="AA63" s="405"/>
      <c r="AB63" s="51">
        <f t="shared" si="63"/>
        <v>-285.46511627906989</v>
      </c>
      <c r="AC63" s="52">
        <f t="shared" si="64"/>
        <v>0.81759417490155284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7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7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7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7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6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7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65">AVERAGE(J59:J68)</f>
        <v>12.4</v>
      </c>
      <c r="K69" s="164">
        <f t="shared" si="65"/>
        <v>1565</v>
      </c>
      <c r="L69" s="169">
        <f t="shared" si="65"/>
        <v>126.40384615384615</v>
      </c>
      <c r="M69" s="164">
        <f t="shared" si="65"/>
        <v>12.4</v>
      </c>
      <c r="N69" s="164">
        <f t="shared" si="65"/>
        <v>1325.9412323436593</v>
      </c>
      <c r="O69" s="169">
        <f t="shared" si="65"/>
        <v>106.94497436054567</v>
      </c>
      <c r="P69" s="170">
        <f>M69-J69</f>
        <v>0</v>
      </c>
      <c r="Q69" s="156">
        <f>N69-K69</f>
        <v>-239.05876765634071</v>
      </c>
      <c r="R69" s="120">
        <f>O69/L69</f>
        <v>0.8460579136997376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-239.05876765634071</v>
      </c>
      <c r="AC69" s="185">
        <f>N69/K69</f>
        <v>0.84724679382981427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7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7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7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7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66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7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66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7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66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7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66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7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66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7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P1:S2"/>
    <mergeCell ref="V3:V4"/>
    <mergeCell ref="T1:Y2"/>
    <mergeCell ref="Z1:AA2"/>
    <mergeCell ref="AB1:AD2"/>
    <mergeCell ref="AC3:AC4"/>
    <mergeCell ref="AD3:AD4"/>
    <mergeCell ref="P3:P4"/>
    <mergeCell ref="Q3:Q4"/>
    <mergeCell ref="R3:R4"/>
    <mergeCell ref="T3:U3"/>
    <mergeCell ref="S3:S4"/>
    <mergeCell ref="AB3:AB4"/>
    <mergeCell ref="Z3:AA4"/>
    <mergeCell ref="A5:A15"/>
    <mergeCell ref="N3:N4"/>
    <mergeCell ref="O3:O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H3:H4"/>
    <mergeCell ref="I3:I4"/>
    <mergeCell ref="J3:J4"/>
    <mergeCell ref="K3:K4"/>
    <mergeCell ref="L3:L4"/>
    <mergeCell ref="S5:S15"/>
    <mergeCell ref="M3:M4"/>
    <mergeCell ref="Z5:AA5"/>
    <mergeCell ref="AD5:AD15"/>
    <mergeCell ref="Z6:AA6"/>
    <mergeCell ref="Z7:AA7"/>
    <mergeCell ref="Z8:AA8"/>
    <mergeCell ref="Z9:AA9"/>
    <mergeCell ref="Z15:AA15"/>
    <mergeCell ref="Z10:AA10"/>
    <mergeCell ref="Z11:AA11"/>
    <mergeCell ref="Z12:AA12"/>
    <mergeCell ref="Z13:AA13"/>
    <mergeCell ref="Z14:AA14"/>
    <mergeCell ref="W3:W4"/>
    <mergeCell ref="X3:Y3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48" priority="1" operator="greaterThan">
      <formula>0</formula>
    </cfRule>
  </conditionalFormatting>
  <conditionalFormatting sqref="Q5:Q79 AB5:AB79">
    <cfRule type="cellIs" dxfId="147" priority="4" operator="lessThan">
      <formula>0</formula>
    </cfRule>
  </conditionalFormatting>
  <conditionalFormatting sqref="R5:R79 AC5:AC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D59:AD62 S69:S76 AD69:AD76">
    <cfRule type="cellIs" dxfId="144" priority="7" operator="lessThan">
      <formula>0.8</formula>
    </cfRule>
  </conditionalFormatting>
  <conditionalFormatting sqref="S19:S25 AD19:AD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D5:AD8 S15:S16 AD15:AD16 AD49 AD79">
    <cfRule type="cellIs" dxfId="141" priority="9" operator="lessThan">
      <formula>0.8</formula>
    </cfRule>
  </conditionalFormatting>
  <conditionalFormatting sqref="AD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M18" sqref="M18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46009</v>
      </c>
      <c r="E3" s="357"/>
      <c r="F3" s="202" t="s">
        <v>84</v>
      </c>
      <c r="G3" s="358">
        <f>'1218'!E1</f>
        <v>49206</v>
      </c>
      <c r="H3" s="358"/>
      <c r="I3" s="202" t="s">
        <v>2</v>
      </c>
      <c r="J3" s="359">
        <f>'1218'!G1</f>
        <v>2388445.3000000003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114.67422835830989</v>
      </c>
      <c r="G6" s="367"/>
      <c r="H6" s="360">
        <f>AVERAGE(D13:H13)</f>
        <v>111.92702274792059</v>
      </c>
      <c r="I6" s="360"/>
      <c r="J6" s="360">
        <f>AVERAGE(I13:J13)</f>
        <v>128.41025641025641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102.17101254202295</v>
      </c>
      <c r="G7" s="362"/>
      <c r="H7" s="363">
        <f>AVERAGE(D14:H14)</f>
        <v>101.092661827155</v>
      </c>
      <c r="I7" s="363"/>
      <c r="J7" s="363">
        <f>AVERAGE(I14:J14)</f>
        <v>107.56276611636278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0.89100727116371781</v>
      </c>
      <c r="G8" s="364"/>
      <c r="H8" s="364">
        <f>AVERAGE(D15:H15)</f>
        <v>0.90167885804270154</v>
      </c>
      <c r="I8" s="364"/>
      <c r="J8" s="364">
        <f>AVERAGE(I15:J15)</f>
        <v>0.8376493367687996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VALUE('1218'!L15)</f>
        <v>129.47924108914819</v>
      </c>
      <c r="E13" s="213">
        <f>VALUE('1218'!L26)</f>
        <v>162.27564102564102</v>
      </c>
      <c r="F13" s="213">
        <f>VALUE('1218'!L37)</f>
        <v>89.788888888888891</v>
      </c>
      <c r="G13" s="213">
        <f>VALUE('1218'!L48)</f>
        <v>87.380701754385967</v>
      </c>
      <c r="H13" s="213">
        <f>VALUE('1218'!L58)</f>
        <v>90.710640981538816</v>
      </c>
      <c r="I13" s="213">
        <f>VALUE('1218'!L69)</f>
        <v>128.41025641025641</v>
      </c>
      <c r="J13" s="213"/>
    </row>
    <row r="14" spans="2:15" ht="40" customHeight="1">
      <c r="B14" s="376"/>
      <c r="C14" s="212" t="s">
        <v>106</v>
      </c>
      <c r="D14" s="213">
        <f>VALUE('1218'!O15)</f>
        <v>111.42478191456503</v>
      </c>
      <c r="E14" s="213">
        <f>VALUE('1218'!O26)</f>
        <v>151.44789740234876</v>
      </c>
      <c r="F14" s="213">
        <f>VALUE('1218'!O37)</f>
        <v>82.778031494648957</v>
      </c>
      <c r="G14" s="213">
        <f>VALUE('1218'!O48)</f>
        <v>73.444679734785126</v>
      </c>
      <c r="H14" s="213">
        <f>VALUE('1218'!O58)</f>
        <v>86.367918589427134</v>
      </c>
      <c r="I14" s="213">
        <f>VALUE('1218'!O69)</f>
        <v>107.56276611636278</v>
      </c>
      <c r="J14" s="213"/>
    </row>
    <row r="15" spans="2:15" ht="40" customHeight="1">
      <c r="B15" s="377"/>
      <c r="C15" s="210" t="s">
        <v>23</v>
      </c>
      <c r="D15" s="231">
        <f>D14/D13</f>
        <v>0.8605609746959173</v>
      </c>
      <c r="E15" s="231">
        <f t="shared" ref="E15:I15" si="0">E14/E13</f>
        <v>0.93327560714068369</v>
      </c>
      <c r="F15" s="231">
        <f t="shared" si="0"/>
        <v>0.92191843020893527</v>
      </c>
      <c r="G15" s="231">
        <f t="shared" si="0"/>
        <v>0.84051373198200097</v>
      </c>
      <c r="H15" s="231">
        <f t="shared" si="0"/>
        <v>0.95212554618597056</v>
      </c>
      <c r="I15" s="231">
        <f t="shared" si="0"/>
        <v>0.8376493367687996</v>
      </c>
      <c r="J15" s="343"/>
    </row>
    <row r="16" spans="2:15" ht="17.25" customHeight="1">
      <c r="B16" s="378" t="s">
        <v>107</v>
      </c>
      <c r="C16" s="210" t="s">
        <v>29</v>
      </c>
      <c r="D16" s="95">
        <f>'1218'!T5</f>
        <v>0.2902777777777778</v>
      </c>
      <c r="E16" s="95">
        <f>'1218'!T16</f>
        <v>0.29444444444444445</v>
      </c>
      <c r="F16" s="95">
        <f>'1218'!T27</f>
        <v>0.28819444444444398</v>
      </c>
      <c r="G16" s="95">
        <f>'1218'!T38</f>
        <v>0.2951388888888889</v>
      </c>
      <c r="H16" s="95">
        <f>'1218'!T49</f>
        <v>0.2902777777777778</v>
      </c>
      <c r="I16" s="95">
        <f>'1218'!T59</f>
        <v>0.2902777777777778</v>
      </c>
      <c r="J16" s="269"/>
    </row>
    <row r="17" spans="2:10" ht="17.25" customHeight="1">
      <c r="B17" s="379"/>
      <c r="C17" s="210" t="s">
        <v>30</v>
      </c>
      <c r="D17" s="20">
        <v>0.65277777777777779</v>
      </c>
      <c r="E17" s="41">
        <v>0.57708333333333328</v>
      </c>
      <c r="F17" s="41">
        <v>0.65555555555555556</v>
      </c>
      <c r="G17" s="75">
        <v>0.58194444444444449</v>
      </c>
      <c r="H17" s="79">
        <v>0.64236111111111116</v>
      </c>
      <c r="I17" s="20">
        <v>0.57638888888888884</v>
      </c>
      <c r="J17" s="20"/>
    </row>
    <row r="18" spans="2:10" ht="17.25" customHeight="1">
      <c r="B18" s="365" t="s">
        <v>108</v>
      </c>
      <c r="C18" s="366"/>
      <c r="D18" s="214">
        <f>VALUE('1218'!M15)</f>
        <v>15</v>
      </c>
      <c r="E18" s="214">
        <f>VALUE('1218'!M26)</f>
        <v>12.5</v>
      </c>
      <c r="F18" s="214">
        <f>VALUE('1218'!M37)</f>
        <v>15.8</v>
      </c>
      <c r="G18" s="214">
        <f>VALUE('1218'!M48)</f>
        <v>15.5</v>
      </c>
      <c r="H18" s="214">
        <f>VALUE('1218'!M58)</f>
        <v>17.166666666666668</v>
      </c>
      <c r="I18" s="214">
        <f>VALUE('1218'!M69)</f>
        <v>12.2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U56" activePane="bottomRight" state="frozen"/>
      <selection activeCell="M11" sqref="M11"/>
      <selection pane="topRight" activeCell="M11" sqref="M11"/>
      <selection pane="bottomLeft" activeCell="M11" sqref="M11"/>
      <selection pane="bottomRight" activeCell="V62" activeCellId="17" sqref="V6 V7 V8 V10 V17 V18 V28 V29 V39 V40 V51 V51 V50 V53 V54 V60 V61 V62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49206</v>
      </c>
      <c r="F1" s="175" t="s">
        <v>2</v>
      </c>
      <c r="G1" s="4">
        <f>SUM(H5:H79)</f>
        <v>2388445.3000000003</v>
      </c>
      <c r="H1" s="173" t="s">
        <v>3</v>
      </c>
      <c r="I1" s="5">
        <f>M15+M26+M48+M58+M69+M79+M37</f>
        <v>88.166666666666671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170</v>
      </c>
      <c r="B2" s="404"/>
      <c r="C2" s="174"/>
      <c r="D2" s="174" t="s">
        <v>11</v>
      </c>
      <c r="E2" s="7">
        <f>AVERAGE(O15,O26,O37,O48,O58,O69,O79)</f>
        <v>102.17101254202295</v>
      </c>
      <c r="F2" s="8" t="s">
        <v>12</v>
      </c>
      <c r="G2" s="9">
        <f>G1/E1</f>
        <v>48.539716701215305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1228</v>
      </c>
      <c r="H5" s="318">
        <f>F5*G5</f>
        <v>70253.88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 t="shared" ref="L5:L10" si="0">K5/J5</f>
        <v>161.92307692307693</v>
      </c>
      <c r="M5" s="323">
        <v>13</v>
      </c>
      <c r="N5" s="321">
        <f t="shared" ref="N5:N10" si="1">G5/W5*60</f>
        <v>1754.2857142857172</v>
      </c>
      <c r="O5" s="322">
        <f t="shared" ref="O5:O10" si="2">N5/M5</f>
        <v>134.94505494505518</v>
      </c>
      <c r="P5" s="324">
        <f t="shared" ref="P5:P10" si="3">M5-J5</f>
        <v>0</v>
      </c>
      <c r="Q5" s="325">
        <f t="shared" ref="Q5:Q10" si="4">O5-L5</f>
        <v>-26.978021978021758</v>
      </c>
      <c r="R5" s="326">
        <f t="shared" ref="R5:R10" si="5">O5/L5</f>
        <v>0.83338988802171832</v>
      </c>
      <c r="S5" s="419">
        <f>R15</f>
        <v>0.8605609746959173</v>
      </c>
      <c r="T5" s="327">
        <v>0.2902777777777778</v>
      </c>
      <c r="U5" s="328">
        <v>0.31944444444444442</v>
      </c>
      <c r="V5" s="192"/>
      <c r="W5" s="106">
        <f t="shared" ref="W5:W14" si="6">(U5-T5)*24*60</f>
        <v>41.999999999999929</v>
      </c>
      <c r="X5" s="186"/>
      <c r="Y5" s="186"/>
      <c r="Z5" s="425"/>
      <c r="AA5" s="425"/>
      <c r="AB5" s="110">
        <f>N5-K5</f>
        <v>-350.71428571428282</v>
      </c>
      <c r="AC5" s="182">
        <f>N5/K5</f>
        <v>0.83338988802171843</v>
      </c>
      <c r="AD5" s="411">
        <f>AC15</f>
        <v>0.85569038253997864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908</v>
      </c>
      <c r="H6" s="307">
        <f>F6*G6</f>
        <v>51238.44</v>
      </c>
      <c r="I6" s="308"/>
      <c r="J6" s="309">
        <f>VLOOKUP(D6,產線配置圖!$A$3:$C$39,2,0)</f>
        <v>15</v>
      </c>
      <c r="K6" s="306">
        <v>1800</v>
      </c>
      <c r="L6" s="310">
        <f t="shared" si="0"/>
        <v>120</v>
      </c>
      <c r="M6" s="311">
        <v>15</v>
      </c>
      <c r="N6" s="306">
        <f t="shared" si="1"/>
        <v>1210.6666666666665</v>
      </c>
      <c r="O6" s="310">
        <f t="shared" si="2"/>
        <v>80.711111111111094</v>
      </c>
      <c r="P6" s="312">
        <f t="shared" si="3"/>
        <v>0</v>
      </c>
      <c r="Q6" s="313">
        <f t="shared" si="4"/>
        <v>-39.288888888888906</v>
      </c>
      <c r="R6" s="314">
        <f t="shared" si="5"/>
        <v>0.67259259259259241</v>
      </c>
      <c r="S6" s="420"/>
      <c r="T6" s="95">
        <v>0.34027777777777801</v>
      </c>
      <c r="U6" s="95">
        <v>0.37152777777777801</v>
      </c>
      <c r="V6" s="175">
        <f>(T6-U5)*24*60</f>
        <v>30.000000000000373</v>
      </c>
      <c r="W6" s="180">
        <f t="shared" si="6"/>
        <v>45</v>
      </c>
      <c r="X6" s="22"/>
      <c r="Y6" s="22"/>
      <c r="Z6" s="475" t="s">
        <v>171</v>
      </c>
      <c r="AA6" s="476"/>
      <c r="AB6" s="18">
        <f>N6-K6</f>
        <v>-589.33333333333348</v>
      </c>
      <c r="AC6" s="183">
        <f>N6/K6</f>
        <v>0.67259259259259252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v>1558</v>
      </c>
      <c r="H7" s="15">
        <f t="shared" ref="H7:H12" si="7">F7*G7</f>
        <v>89133.180000000008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 t="shared" si="0"/>
        <v>111.47058823529412</v>
      </c>
      <c r="M7" s="178">
        <v>17</v>
      </c>
      <c r="N7" s="14">
        <f t="shared" si="1"/>
        <v>1669.2857142857083</v>
      </c>
      <c r="O7" s="17">
        <f t="shared" si="2"/>
        <v>98.193277310924017</v>
      </c>
      <c r="P7" s="18">
        <f t="shared" si="3"/>
        <v>0</v>
      </c>
      <c r="Q7" s="19">
        <f t="shared" si="4"/>
        <v>-13.277310924370099</v>
      </c>
      <c r="R7" s="183">
        <f t="shared" si="5"/>
        <v>0.88088955898981969</v>
      </c>
      <c r="S7" s="420"/>
      <c r="T7" s="267">
        <v>0.37847222222222199</v>
      </c>
      <c r="U7" s="267">
        <v>0.41736111111111102</v>
      </c>
      <c r="V7" s="175">
        <f>(T7-U6)*24*60</f>
        <v>9.999999999999325</v>
      </c>
      <c r="W7" s="180">
        <f t="shared" si="6"/>
        <v>56.000000000000199</v>
      </c>
      <c r="X7" s="22"/>
      <c r="Y7" s="22"/>
      <c r="Z7" s="405"/>
      <c r="AA7" s="405"/>
      <c r="AB7" s="18">
        <f>N7-K7</f>
        <v>-225.71428571429169</v>
      </c>
      <c r="AC7" s="183">
        <f>N7/K7</f>
        <v>0.88088955898981969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2491</v>
      </c>
      <c r="H8" s="15">
        <f t="shared" si="7"/>
        <v>122407.74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 t="shared" si="0"/>
        <v>153.84615384615384</v>
      </c>
      <c r="M8" s="178">
        <v>13</v>
      </c>
      <c r="N8" s="14">
        <f t="shared" si="1"/>
        <v>1966.5789473684138</v>
      </c>
      <c r="O8" s="17">
        <f t="shared" si="2"/>
        <v>151.27530364372413</v>
      </c>
      <c r="P8" s="18">
        <f t="shared" si="3"/>
        <v>0</v>
      </c>
      <c r="Q8" s="19">
        <f t="shared" si="4"/>
        <v>-2.5708502024297104</v>
      </c>
      <c r="R8" s="183">
        <f t="shared" si="5"/>
        <v>0.98328947368420683</v>
      </c>
      <c r="S8" s="420"/>
      <c r="T8" s="95">
        <v>0.42361111111111099</v>
      </c>
      <c r="U8" s="95">
        <v>0.47638888888888897</v>
      </c>
      <c r="V8" s="175">
        <f t="shared" ref="V8:V10" si="8">(T8-U7)*24*60</f>
        <v>8.999999999999968</v>
      </c>
      <c r="W8" s="180">
        <f t="shared" si="6"/>
        <v>76.000000000000284</v>
      </c>
      <c r="X8" s="22">
        <v>0.48611111111111099</v>
      </c>
      <c r="Y8" s="260">
        <v>0.52777777777777801</v>
      </c>
      <c r="Z8" s="416"/>
      <c r="AA8" s="416"/>
      <c r="AB8" s="18">
        <f>N8-K8</f>
        <v>-33.421052631586235</v>
      </c>
      <c r="AC8" s="183">
        <f>N8/K8</f>
        <v>0.98328947368420683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1929</v>
      </c>
      <c r="H9" s="15">
        <f t="shared" si="7"/>
        <v>94791.06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 t="shared" si="0"/>
        <v>153.84615384615384</v>
      </c>
      <c r="M9" s="178">
        <v>13</v>
      </c>
      <c r="N9" s="14">
        <f t="shared" si="1"/>
        <v>1837.1428571428542</v>
      </c>
      <c r="O9" s="17">
        <f t="shared" si="2"/>
        <v>141.31868131868109</v>
      </c>
      <c r="P9" s="18">
        <f t="shared" si="3"/>
        <v>0</v>
      </c>
      <c r="Q9" s="19">
        <f t="shared" si="4"/>
        <v>-12.527472527472753</v>
      </c>
      <c r="R9" s="183">
        <f t="shared" si="5"/>
        <v>0.91857142857142715</v>
      </c>
      <c r="S9" s="421"/>
      <c r="T9" s="95">
        <v>0.54027777777777797</v>
      </c>
      <c r="U9" s="95">
        <v>0.58402777777777803</v>
      </c>
      <c r="V9" s="175">
        <f t="shared" si="8"/>
        <v>92.000000000000156</v>
      </c>
      <c r="W9" s="180">
        <f t="shared" si="6"/>
        <v>63.000000000000099</v>
      </c>
      <c r="X9" s="22"/>
      <c r="Y9" s="260"/>
      <c r="Z9" s="475"/>
      <c r="AA9" s="476"/>
      <c r="AB9" s="18">
        <f>N9-K9</f>
        <v>-162.85714285714585</v>
      </c>
      <c r="AC9" s="183">
        <f>N9/K9</f>
        <v>0.91857142857142704</v>
      </c>
      <c r="AD9" s="413"/>
    </row>
    <row r="10" spans="1:30" ht="15" customHeight="1">
      <c r="A10" s="409"/>
      <c r="B10" s="56" t="s">
        <v>45</v>
      </c>
      <c r="C10" s="23"/>
      <c r="D10" s="11" t="s">
        <v>167</v>
      </c>
      <c r="E10" s="12"/>
      <c r="F10" s="56">
        <f>VLOOKUP(D10,廠價表!$C$1:$E$40,3,0)</f>
        <v>44.3</v>
      </c>
      <c r="G10" s="25">
        <v>1652</v>
      </c>
      <c r="H10" s="15">
        <f t="shared" si="7"/>
        <v>73183.599999999991</v>
      </c>
      <c r="I10" s="180"/>
      <c r="J10" s="16">
        <f>VLOOKUP(D10,產線配置圖!$A$3:$C$39,2,0)</f>
        <v>19</v>
      </c>
      <c r="K10" s="14">
        <f>VLOOKUP(D10,產線配置圖!$A$3:$C$39,3,0)</f>
        <v>1440</v>
      </c>
      <c r="L10" s="17">
        <f t="shared" si="0"/>
        <v>75.78947368421052</v>
      </c>
      <c r="M10" s="178">
        <v>19</v>
      </c>
      <c r="N10" s="14">
        <f t="shared" si="1"/>
        <v>1179.9999999999995</v>
      </c>
      <c r="O10" s="17">
        <f t="shared" si="2"/>
        <v>62.105263157894711</v>
      </c>
      <c r="P10" s="18">
        <f t="shared" si="3"/>
        <v>0</v>
      </c>
      <c r="Q10" s="19">
        <f t="shared" si="4"/>
        <v>-13.684210526315809</v>
      </c>
      <c r="R10" s="183">
        <f t="shared" si="5"/>
        <v>0.8194444444444442</v>
      </c>
      <c r="S10" s="421"/>
      <c r="T10" s="20">
        <v>0.59444444444444444</v>
      </c>
      <c r="U10" s="20">
        <v>0.65277777777777779</v>
      </c>
      <c r="V10" s="175">
        <f t="shared" si="8"/>
        <v>14.999999999999627</v>
      </c>
      <c r="W10" s="180">
        <f t="shared" si="6"/>
        <v>84.000000000000028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/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6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7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6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6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6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15</v>
      </c>
      <c r="K15" s="117">
        <f t="shared" si="9"/>
        <v>1873.3333333333333</v>
      </c>
      <c r="L15" s="114">
        <f t="shared" si="9"/>
        <v>129.47924108914819</v>
      </c>
      <c r="M15" s="117">
        <f t="shared" si="9"/>
        <v>15</v>
      </c>
      <c r="N15" s="117">
        <f t="shared" si="9"/>
        <v>1602.9933166248932</v>
      </c>
      <c r="O15" s="114">
        <f t="shared" si="9"/>
        <v>111.42478191456503</v>
      </c>
      <c r="P15" s="118">
        <f t="shared" ref="P15:P18" si="10">M15-J15</f>
        <v>0</v>
      </c>
      <c r="Q15" s="119">
        <f t="shared" ref="Q15:Q18" si="11">O15-L15</f>
        <v>-18.054459174583158</v>
      </c>
      <c r="R15" s="120">
        <f t="shared" ref="R15:R18" si="12">O15/L15</f>
        <v>0.8605609746959173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3">N15-K15</f>
        <v>-270.34001670844009</v>
      </c>
      <c r="AC15" s="185">
        <f t="shared" ref="AC15:AC19" si="14">N15/K15</f>
        <v>0.85569038253997864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1100</v>
      </c>
      <c r="H16" s="124">
        <f t="shared" ref="H16:H25" si="15">F16*G16</f>
        <v>62931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8" si="16">K16/J16</f>
        <v>161.92307692307693</v>
      </c>
      <c r="M16" s="264">
        <v>13</v>
      </c>
      <c r="N16" s="126">
        <f t="shared" ref="N16:N18" si="17">G16/W16*60</f>
        <v>1833.3333333333358</v>
      </c>
      <c r="O16" s="127">
        <f>N16/M16</f>
        <v>141.02564102564122</v>
      </c>
      <c r="P16" s="128">
        <f>M16-J16</f>
        <v>0</v>
      </c>
      <c r="Q16" s="129">
        <f t="shared" si="11"/>
        <v>-20.897435897435713</v>
      </c>
      <c r="R16" s="187">
        <f>O16/L16</f>
        <v>0.87094220110847309</v>
      </c>
      <c r="S16" s="431">
        <f>R26</f>
        <v>0.93327560714068369</v>
      </c>
      <c r="T16" s="265">
        <v>0.29444444444444445</v>
      </c>
      <c r="U16" s="265">
        <v>0.31944444444444442</v>
      </c>
      <c r="V16" s="125"/>
      <c r="W16" s="130">
        <f t="shared" ref="W16:W78" si="18">(U16-T16)*24*60</f>
        <v>35.99999999999995</v>
      </c>
      <c r="X16" s="127"/>
      <c r="Y16" s="127"/>
      <c r="Z16" s="425"/>
      <c r="AA16" s="425"/>
      <c r="AB16" s="110">
        <f t="shared" si="13"/>
        <v>-271.66666666666424</v>
      </c>
      <c r="AC16" s="182">
        <f t="shared" si="14"/>
        <v>0.87094220110847309</v>
      </c>
      <c r="AD16" s="411">
        <f>AC26</f>
        <v>0.9328880025560865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3392</v>
      </c>
      <c r="H17" s="15">
        <f t="shared" si="15"/>
        <v>171872.64000000001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>G17/W17*60</f>
        <v>1956.923076923078</v>
      </c>
      <c r="O17" s="38">
        <f t="shared" ref="O17:O18" si="19">N17/M17</f>
        <v>150.5325443786983</v>
      </c>
      <c r="P17" s="39">
        <f t="shared" si="10"/>
        <v>0</v>
      </c>
      <c r="Q17" s="40">
        <f t="shared" si="11"/>
        <v>-3.3136094674555352</v>
      </c>
      <c r="R17" s="188">
        <f t="shared" si="12"/>
        <v>0.97846153846153905</v>
      </c>
      <c r="S17" s="432"/>
      <c r="T17" s="41">
        <v>0.33958333333333335</v>
      </c>
      <c r="U17" s="41">
        <v>0.41180555555555554</v>
      </c>
      <c r="V17" s="175">
        <f>(T17-U16)*24*60</f>
        <v>29.000000000000057</v>
      </c>
      <c r="W17" s="43">
        <f t="shared" si="18"/>
        <v>103.99999999999994</v>
      </c>
      <c r="X17" s="44"/>
      <c r="Y17" s="44"/>
      <c r="Z17" s="405"/>
      <c r="AA17" s="405"/>
      <c r="AB17" s="18">
        <f t="shared" si="13"/>
        <v>-43.076923076921958</v>
      </c>
      <c r="AC17" s="183">
        <f t="shared" si="14"/>
        <v>0.97846153846153905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2544</v>
      </c>
      <c r="H18" s="15">
        <f t="shared" si="15"/>
        <v>128192.16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1839.0361445783126</v>
      </c>
      <c r="O18" s="38">
        <f t="shared" si="19"/>
        <v>153.25301204819272</v>
      </c>
      <c r="P18" s="39">
        <f t="shared" si="10"/>
        <v>0</v>
      </c>
      <c r="Q18" s="40">
        <f t="shared" si="11"/>
        <v>-13.413654618473942</v>
      </c>
      <c r="R18" s="188">
        <f t="shared" si="12"/>
        <v>0.91951807228915639</v>
      </c>
      <c r="S18" s="432"/>
      <c r="T18" s="41">
        <v>0.4201388888888889</v>
      </c>
      <c r="U18" s="41">
        <v>0.4777777777777778</v>
      </c>
      <c r="V18" s="175">
        <f>(T18-U17)*24*60</f>
        <v>12.000000000000037</v>
      </c>
      <c r="W18" s="43">
        <f t="shared" si="18"/>
        <v>83.000000000000028</v>
      </c>
      <c r="X18" s="22">
        <v>0.48611111111111099</v>
      </c>
      <c r="Y18" s="260">
        <v>0.52777777777777801</v>
      </c>
      <c r="Z18" s="405"/>
      <c r="AA18" s="405"/>
      <c r="AB18" s="18">
        <f t="shared" si="13"/>
        <v>-160.96385542168741</v>
      </c>
      <c r="AC18" s="183">
        <f t="shared" si="14"/>
        <v>0.91951807228915627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1642</v>
      </c>
      <c r="H19" s="15">
        <f t="shared" si="15"/>
        <v>82740.38</v>
      </c>
      <c r="I19" s="175"/>
      <c r="J19" s="16">
        <v>12</v>
      </c>
      <c r="K19" s="14">
        <v>2000</v>
      </c>
      <c r="L19" s="17">
        <v>166.66666666666666</v>
      </c>
      <c r="M19" s="37">
        <v>12</v>
      </c>
      <c r="N19" s="36">
        <f>G19/W19*60</f>
        <v>1931.7647058823538</v>
      </c>
      <c r="O19" s="38">
        <f>N19/M19</f>
        <v>160.98039215686282</v>
      </c>
      <c r="P19" s="39">
        <f>M19-J19</f>
        <v>0</v>
      </c>
      <c r="Q19" s="40">
        <f>O19-L19</f>
        <v>-5.6862745098038374</v>
      </c>
      <c r="R19" s="188">
        <f>O19/L19</f>
        <v>0.96588235294117697</v>
      </c>
      <c r="S19" s="432"/>
      <c r="T19" s="41">
        <v>0.54166666666666663</v>
      </c>
      <c r="U19" s="41">
        <v>0.57708333333333328</v>
      </c>
      <c r="V19" s="175">
        <f>(T19-U18)*24*60</f>
        <v>91.999999999999915</v>
      </c>
      <c r="W19" s="43">
        <f t="shared" si="18"/>
        <v>50.999999999999979</v>
      </c>
      <c r="X19" s="22"/>
      <c r="Y19" s="260"/>
      <c r="Z19" s="475"/>
      <c r="AA19" s="476"/>
      <c r="AB19" s="18">
        <f t="shared" si="13"/>
        <v>-68.235294117646163</v>
      </c>
      <c r="AC19" s="183">
        <f t="shared" si="14"/>
        <v>0.96588235294117697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/>
      <c r="W20" s="43">
        <f t="shared" si="18"/>
        <v>0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12.5</v>
      </c>
      <c r="K26" s="133">
        <f t="shared" si="20"/>
        <v>2026.25</v>
      </c>
      <c r="L26" s="136">
        <f t="shared" si="20"/>
        <v>162.27564102564102</v>
      </c>
      <c r="M26" s="133">
        <f t="shared" si="20"/>
        <v>12.5</v>
      </c>
      <c r="N26" s="133">
        <f t="shared" si="20"/>
        <v>1890.2643151792702</v>
      </c>
      <c r="O26" s="136">
        <f t="shared" si="20"/>
        <v>151.44789740234876</v>
      </c>
      <c r="P26" s="137">
        <f t="shared" ref="P26:P31" si="21">M26-J26</f>
        <v>0</v>
      </c>
      <c r="Q26" s="138">
        <f t="shared" ref="Q26:Q31" si="22">O26-L26</f>
        <v>-10.827743623292264</v>
      </c>
      <c r="R26" s="139">
        <f t="shared" ref="R26:R31" si="23">O26/L26</f>
        <v>0.93327560714068369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 t="shared" ref="AB26:AB31" si="24">N26-K26</f>
        <v>-135.98568482072983</v>
      </c>
      <c r="AC26" s="185">
        <f t="shared" ref="AC26:AC31" si="25">N26/K26</f>
        <v>0.9328880025560865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v>2003</v>
      </c>
      <c r="H27" s="124">
        <f t="shared" ref="H27:H47" si="26">F27*G27</f>
        <v>95563.13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15</v>
      </c>
      <c r="N27" s="126">
        <f>G27/W27*60</f>
        <v>1413.8823529411709</v>
      </c>
      <c r="O27" s="127">
        <f>N27/M27</f>
        <v>94.258823529411387</v>
      </c>
      <c r="P27" s="128">
        <f t="shared" si="21"/>
        <v>0</v>
      </c>
      <c r="Q27" s="129">
        <f t="shared" si="22"/>
        <v>-5.7411764705886128</v>
      </c>
      <c r="R27" s="187">
        <f>O27/L27</f>
        <v>0.94258823529411384</v>
      </c>
      <c r="S27" s="431">
        <f>R37</f>
        <v>0.92191843020893527</v>
      </c>
      <c r="T27" s="94">
        <v>0.28819444444444398</v>
      </c>
      <c r="U27" s="94">
        <v>0.34722222222222199</v>
      </c>
      <c r="V27" s="125"/>
      <c r="W27" s="130">
        <f t="shared" si="18"/>
        <v>85.000000000000341</v>
      </c>
      <c r="X27" s="125"/>
      <c r="Y27" s="125" t="s">
        <v>47</v>
      </c>
      <c r="Z27" s="434"/>
      <c r="AA27" s="425"/>
      <c r="AB27" s="223">
        <f t="shared" si="24"/>
        <v>-86.117647058829107</v>
      </c>
      <c r="AC27" s="288">
        <f t="shared" si="25"/>
        <v>0.94258823529411395</v>
      </c>
      <c r="AD27" s="411">
        <f>AC37</f>
        <v>0.89965499251534065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1630</v>
      </c>
      <c r="H28" s="50">
        <f t="shared" si="26"/>
        <v>89861.900000000009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18</v>
      </c>
      <c r="N28" s="36">
        <f>G28/W28*60</f>
        <v>1253.8461538461468</v>
      </c>
      <c r="O28" s="38">
        <f>N28/M28</f>
        <v>69.658119658119261</v>
      </c>
      <c r="P28" s="39">
        <f t="shared" si="21"/>
        <v>0</v>
      </c>
      <c r="Q28" s="40">
        <f t="shared" si="22"/>
        <v>-7.2863247863251814</v>
      </c>
      <c r="R28" s="188">
        <f t="shared" si="23"/>
        <v>0.90530408219938396</v>
      </c>
      <c r="S28" s="432"/>
      <c r="T28" s="267">
        <v>0.35208333333333303</v>
      </c>
      <c r="U28" s="41">
        <v>0.40625</v>
      </c>
      <c r="V28" s="42">
        <f>(T28-U27)*24*60</f>
        <v>6.9999999999998952</v>
      </c>
      <c r="W28" s="43">
        <f t="shared" si="18"/>
        <v>78.000000000000441</v>
      </c>
      <c r="X28" s="54"/>
      <c r="Y28" s="54"/>
      <c r="Z28" s="418"/>
      <c r="AA28" s="417"/>
      <c r="AB28" s="39">
        <f t="shared" si="24"/>
        <v>-131.15384615385324</v>
      </c>
      <c r="AC28" s="188">
        <f t="shared" si="25"/>
        <v>0.90530408219938396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2264</v>
      </c>
      <c r="H29" s="50">
        <f t="shared" si="26"/>
        <v>129727.2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15</v>
      </c>
      <c r="N29" s="36">
        <f>G29/W29*60</f>
        <v>1414.9999999999991</v>
      </c>
      <c r="O29" s="38">
        <f>N29/M29</f>
        <v>94.333333333333272</v>
      </c>
      <c r="P29" s="39">
        <f t="shared" si="21"/>
        <v>0</v>
      </c>
      <c r="Q29" s="40">
        <f t="shared" si="22"/>
        <v>-1.6666666666667282</v>
      </c>
      <c r="R29" s="188">
        <f t="shared" si="23"/>
        <v>0.98263888888888828</v>
      </c>
      <c r="S29" s="432"/>
      <c r="T29" s="41">
        <v>0.41249999999999998</v>
      </c>
      <c r="U29" s="41">
        <v>0.47916666666666669</v>
      </c>
      <c r="V29" s="42">
        <f>(T29-U28)*24*60</f>
        <v>8.999999999999968</v>
      </c>
      <c r="W29" s="43">
        <f t="shared" si="18"/>
        <v>96.000000000000057</v>
      </c>
      <c r="X29" s="22"/>
      <c r="Y29" s="22"/>
      <c r="Z29" s="418"/>
      <c r="AA29" s="417"/>
      <c r="AB29" s="289">
        <f t="shared" si="24"/>
        <v>-25.000000000000909</v>
      </c>
      <c r="AC29" s="188">
        <f t="shared" si="25"/>
        <v>0.98263888888888828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142</v>
      </c>
      <c r="E30" s="29"/>
      <c r="F30" s="56">
        <f>VLOOKUP(D30,廠價表!$C$1:$E$40,3,0)</f>
        <v>57.3</v>
      </c>
      <c r="G30" s="53">
        <v>1910</v>
      </c>
      <c r="H30" s="50">
        <f t="shared" si="26"/>
        <v>109443</v>
      </c>
      <c r="I30" s="42"/>
      <c r="J30" s="16">
        <f>VLOOKUP(D30,產線配置圖!$A$3:$C$39,2,0)</f>
        <v>15</v>
      </c>
      <c r="K30" s="14">
        <f>VLOOKUP(D30,產線配置圖!$A$3:$C$39,3,0)</f>
        <v>1440</v>
      </c>
      <c r="L30" s="233">
        <f t="shared" ref="L30:L31" si="27">K30/J30</f>
        <v>96</v>
      </c>
      <c r="M30" s="21">
        <v>15</v>
      </c>
      <c r="N30" s="36">
        <f t="shared" ref="N30:N31" si="28">G30/W30*60</f>
        <v>1364.2857142857138</v>
      </c>
      <c r="O30" s="38">
        <f t="shared" ref="O30:O31" si="29">N30/M30</f>
        <v>90.952380952380921</v>
      </c>
      <c r="P30" s="39">
        <f t="shared" si="21"/>
        <v>0</v>
      </c>
      <c r="Q30" s="40">
        <f t="shared" si="22"/>
        <v>-5.0476190476190794</v>
      </c>
      <c r="R30" s="188">
        <f t="shared" si="23"/>
        <v>0.94742063492063455</v>
      </c>
      <c r="S30" s="432"/>
      <c r="T30" s="41">
        <v>0.53888888888888886</v>
      </c>
      <c r="U30" s="41">
        <v>0.59722222222222221</v>
      </c>
      <c r="V30" s="42">
        <f t="shared" ref="V30:V31" si="30">(T30-U29)*24*60</f>
        <v>85.999999999999929</v>
      </c>
      <c r="W30" s="43">
        <f t="shared" si="18"/>
        <v>84.000000000000028</v>
      </c>
      <c r="X30" s="54">
        <v>0.48611111111111099</v>
      </c>
      <c r="Y30" s="54">
        <v>0.52777777777777801</v>
      </c>
      <c r="Z30" s="418"/>
      <c r="AA30" s="417"/>
      <c r="AB30" s="289">
        <f t="shared" si="24"/>
        <v>-75.714285714286234</v>
      </c>
      <c r="AC30" s="188">
        <f t="shared" si="25"/>
        <v>0.94742063492063455</v>
      </c>
      <c r="AD30" s="445"/>
    </row>
    <row r="31" spans="1:30" ht="15" customHeight="1">
      <c r="A31" s="429"/>
      <c r="B31" s="56" t="str">
        <f>VLOOKUP(D31,廠價表!$C$1:$E$40,2,0)</f>
        <v>熱乾麵</v>
      </c>
      <c r="C31" s="249"/>
      <c r="D31" s="11" t="s">
        <v>166</v>
      </c>
      <c r="E31" s="251"/>
      <c r="F31" s="56">
        <f>VLOOKUP(D31,廠價表!$C$1:$E$40,3,0)</f>
        <v>49.52</v>
      </c>
      <c r="G31" s="53">
        <v>759</v>
      </c>
      <c r="H31" s="50">
        <f t="shared" si="26"/>
        <v>37585.68</v>
      </c>
      <c r="I31" s="42"/>
      <c r="J31" s="16">
        <f>VLOOKUP(D31,產線配置圖!$A$3:$C$39,2,0)</f>
        <v>18</v>
      </c>
      <c r="K31" s="14">
        <f>VLOOKUP(D31,產線配置圖!$A$3:$C$39,3,0)</f>
        <v>1440</v>
      </c>
      <c r="L31" s="233">
        <f t="shared" si="27"/>
        <v>80</v>
      </c>
      <c r="M31" s="21">
        <v>16</v>
      </c>
      <c r="N31" s="36">
        <f t="shared" si="28"/>
        <v>1035</v>
      </c>
      <c r="O31" s="38">
        <f t="shared" si="29"/>
        <v>64.6875</v>
      </c>
      <c r="P31" s="39">
        <f t="shared" si="21"/>
        <v>-2</v>
      </c>
      <c r="Q31" s="40">
        <f t="shared" si="22"/>
        <v>-15.3125</v>
      </c>
      <c r="R31" s="188">
        <f t="shared" si="23"/>
        <v>0.80859375</v>
      </c>
      <c r="S31" s="432"/>
      <c r="T31" s="41">
        <v>0.625</v>
      </c>
      <c r="U31" s="41">
        <v>0.65555555555555556</v>
      </c>
      <c r="V31" s="42">
        <f t="shared" si="30"/>
        <v>40.000000000000014</v>
      </c>
      <c r="W31" s="43">
        <f t="shared" si="18"/>
        <v>44</v>
      </c>
      <c r="X31" s="54"/>
      <c r="Y31" s="54"/>
      <c r="Z31" s="426"/>
      <c r="AA31" s="446"/>
      <c r="AB31" s="289">
        <f t="shared" si="24"/>
        <v>-405</v>
      </c>
      <c r="AC31" s="188">
        <f t="shared" si="25"/>
        <v>0.71875</v>
      </c>
      <c r="AD31" s="413"/>
    </row>
    <row r="32" spans="1:30" ht="15" customHeight="1">
      <c r="A32" s="429"/>
      <c r="B32" s="56"/>
      <c r="C32" s="27"/>
      <c r="D32" s="239"/>
      <c r="E32" s="275"/>
      <c r="F32" s="56"/>
      <c r="G32" s="53"/>
      <c r="H32" s="50"/>
      <c r="I32" s="42"/>
      <c r="J32" s="16"/>
      <c r="K32" s="14"/>
      <c r="L32" s="23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56"/>
      <c r="C33" s="238"/>
      <c r="D33" s="11"/>
      <c r="E33" s="240"/>
      <c r="F33" s="56"/>
      <c r="G33" s="53"/>
      <c r="H33" s="50"/>
      <c r="I33" s="42"/>
      <c r="J33" s="16"/>
      <c r="K33" s="14"/>
      <c r="L33" s="233"/>
      <c r="M33" s="21"/>
      <c r="N33" s="36"/>
      <c r="O33" s="38"/>
      <c r="P33" s="39"/>
      <c r="Q33" s="40"/>
      <c r="R33" s="188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56"/>
      <c r="C34" s="235"/>
      <c r="D34" s="11"/>
      <c r="E34" s="29"/>
      <c r="F34" s="56"/>
      <c r="G34" s="53"/>
      <c r="H34" s="50"/>
      <c r="I34" s="42"/>
      <c r="J34" s="16"/>
      <c r="K34" s="14"/>
      <c r="L34" s="233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56"/>
      <c r="C35" s="235"/>
      <c r="D35" s="11"/>
      <c r="E35" s="29"/>
      <c r="F35" s="56"/>
      <c r="G35" s="53"/>
      <c r="H35" s="50"/>
      <c r="I35" s="42"/>
      <c r="J35" s="16"/>
      <c r="K35" s="14"/>
      <c r="L35" s="233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6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31">AVERAGE(J27:J36)</f>
        <v>16.2</v>
      </c>
      <c r="K37" s="282">
        <f t="shared" si="31"/>
        <v>1441</v>
      </c>
      <c r="L37" s="283">
        <f t="shared" si="31"/>
        <v>89.788888888888891</v>
      </c>
      <c r="M37" s="282">
        <f t="shared" si="31"/>
        <v>15.8</v>
      </c>
      <c r="N37" s="282">
        <f t="shared" si="31"/>
        <v>1296.4028442146059</v>
      </c>
      <c r="O37" s="283">
        <f t="shared" si="31"/>
        <v>82.778031494648957</v>
      </c>
      <c r="P37" s="73">
        <f>M37-J37</f>
        <v>-0.39999999999999858</v>
      </c>
      <c r="Q37" s="74">
        <f>N37-K37</f>
        <v>-144.59715578539408</v>
      </c>
      <c r="R37" s="284">
        <f t="shared" ref="R37:R41" si="32">O37/L37</f>
        <v>0.92191843020893527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33">N37-K37</f>
        <v>-144.59715578539408</v>
      </c>
      <c r="AC37" s="184">
        <f t="shared" ref="AC37:AC41" si="34">N37/K37</f>
        <v>0.89965499251534065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1711</v>
      </c>
      <c r="H38" s="124">
        <f t="shared" si="26"/>
        <v>98040.299999999988</v>
      </c>
      <c r="I38" s="125"/>
      <c r="J38" s="331">
        <f>VLOOKUP(D38,產線配置圖!$A$3:$C$39,2,0)</f>
        <v>15</v>
      </c>
      <c r="K38" s="234">
        <v>1500</v>
      </c>
      <c r="L38" s="285">
        <f t="shared" ref="L38:L41" si="35">K38/J38</f>
        <v>100</v>
      </c>
      <c r="M38" s="286">
        <v>14</v>
      </c>
      <c r="N38" s="126">
        <f>G38/W38*60</f>
        <v>1140.6666666666667</v>
      </c>
      <c r="O38" s="127">
        <f>N38/M38</f>
        <v>81.476190476190482</v>
      </c>
      <c r="P38" s="128">
        <f t="shared" ref="P38:P41" si="36">M38-J38</f>
        <v>-1</v>
      </c>
      <c r="Q38" s="129">
        <f t="shared" ref="Q38:Q41" si="37">O38-L38</f>
        <v>-18.523809523809518</v>
      </c>
      <c r="R38" s="187">
        <f>O38/L38</f>
        <v>0.8147619047619048</v>
      </c>
      <c r="S38" s="460">
        <f>R48</f>
        <v>0.84051373198200097</v>
      </c>
      <c r="T38" s="149">
        <v>0.2951388888888889</v>
      </c>
      <c r="U38" s="149">
        <v>0.3576388888888889</v>
      </c>
      <c r="V38" s="146"/>
      <c r="W38" s="150">
        <f t="shared" si="18"/>
        <v>90</v>
      </c>
      <c r="X38" s="148"/>
      <c r="Y38" s="151"/>
      <c r="Z38" s="484"/>
      <c r="AA38" s="485"/>
      <c r="AB38" s="287">
        <f t="shared" si="33"/>
        <v>-359.33333333333326</v>
      </c>
      <c r="AC38" s="152">
        <f t="shared" si="34"/>
        <v>0.76044444444444448</v>
      </c>
      <c r="AD38" s="447">
        <f>AC48</f>
        <v>0.78592045301622881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1675</v>
      </c>
      <c r="H39" s="50">
        <f t="shared" si="26"/>
        <v>94520.25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5"/>
        <v>93.733333333333334</v>
      </c>
      <c r="M39" s="65">
        <v>15</v>
      </c>
      <c r="N39" s="66">
        <f>G39/W39*60</f>
        <v>1142.0454545454545</v>
      </c>
      <c r="O39" s="67">
        <f t="shared" ref="O39:O41" si="38">N39/M39</f>
        <v>76.13636363636364</v>
      </c>
      <c r="P39" s="39">
        <f t="shared" si="36"/>
        <v>0</v>
      </c>
      <c r="Q39" s="40">
        <f t="shared" si="37"/>
        <v>-17.596969696969694</v>
      </c>
      <c r="R39" s="188">
        <f t="shared" si="32"/>
        <v>0.81226561489719384</v>
      </c>
      <c r="S39" s="461"/>
      <c r="T39" s="59">
        <v>0.37152777777777779</v>
      </c>
      <c r="U39" s="59">
        <v>0.43263888888888891</v>
      </c>
      <c r="V39" s="42">
        <f>(T39-U38)*24*60</f>
        <v>20.000000000000007</v>
      </c>
      <c r="W39" s="69">
        <f t="shared" si="18"/>
        <v>88</v>
      </c>
      <c r="X39" s="22"/>
      <c r="Y39" s="22"/>
      <c r="Z39" s="450"/>
      <c r="AA39" s="451"/>
      <c r="AB39" s="268">
        <f t="shared" si="33"/>
        <v>-263.9545454545455</v>
      </c>
      <c r="AC39" s="61">
        <f t="shared" si="34"/>
        <v>0.81226561489719384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166</v>
      </c>
      <c r="E40" s="240"/>
      <c r="F40" s="56">
        <f>VLOOKUP(D40,廠價表!$C$1:$E$40,3,0)</f>
        <v>49.52</v>
      </c>
      <c r="G40" s="273">
        <v>1355</v>
      </c>
      <c r="H40" s="50">
        <f t="shared" si="26"/>
        <v>67099.600000000006</v>
      </c>
      <c r="I40" s="64"/>
      <c r="J40" s="37">
        <f>VLOOKUP(D40,產線配置圖!$A$3:$C$39,2,0)</f>
        <v>18</v>
      </c>
      <c r="K40" s="36">
        <f>VLOOKUP(D40,產線配置圖!$A$3:$C$39,3,0)</f>
        <v>1440</v>
      </c>
      <c r="L40" s="38">
        <f t="shared" si="35"/>
        <v>80</v>
      </c>
      <c r="M40" s="65">
        <v>18</v>
      </c>
      <c r="N40" s="66">
        <f>G40/W40*60</f>
        <v>1332.7868852459012</v>
      </c>
      <c r="O40" s="67">
        <f t="shared" si="38"/>
        <v>74.043715846994516</v>
      </c>
      <c r="P40" s="39">
        <f t="shared" si="36"/>
        <v>0</v>
      </c>
      <c r="Q40" s="40">
        <f t="shared" si="37"/>
        <v>-5.956284153005484</v>
      </c>
      <c r="R40" s="188">
        <f t="shared" si="32"/>
        <v>0.92554644808743147</v>
      </c>
      <c r="S40" s="420"/>
      <c r="T40" s="59">
        <v>0.44166666666666665</v>
      </c>
      <c r="U40" s="59">
        <v>0.48402777777777778</v>
      </c>
      <c r="V40" s="42">
        <f>(T40-U39)*24*60</f>
        <v>12.999999999999954</v>
      </c>
      <c r="W40" s="69">
        <f t="shared" si="18"/>
        <v>61.000000000000021</v>
      </c>
      <c r="X40" s="70"/>
      <c r="Y40" s="256"/>
      <c r="Z40" s="480"/>
      <c r="AA40" s="483"/>
      <c r="AB40" s="268">
        <f t="shared" si="33"/>
        <v>-107.2131147540988</v>
      </c>
      <c r="AC40" s="61">
        <f t="shared" si="34"/>
        <v>0.92554644808743136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167</v>
      </c>
      <c r="E41" s="240"/>
      <c r="F41" s="56">
        <f>VLOOKUP(D41,廠價表!$C$1:$E$40,3,0)</f>
        <v>44.3</v>
      </c>
      <c r="G41" s="273">
        <v>761</v>
      </c>
      <c r="H41" s="50">
        <f t="shared" si="26"/>
        <v>33712.299999999996</v>
      </c>
      <c r="I41" s="64"/>
      <c r="J41" s="37">
        <f>VLOOKUP(D41,產線配置圖!$A$3:$C$39,2,0)</f>
        <v>19</v>
      </c>
      <c r="K41" s="36">
        <f>VLOOKUP(D41,產線配置圖!$A$3:$C$39,3,0)</f>
        <v>1440</v>
      </c>
      <c r="L41" s="38">
        <f t="shared" si="35"/>
        <v>75.78947368421052</v>
      </c>
      <c r="M41" s="65">
        <v>15</v>
      </c>
      <c r="N41" s="66">
        <f>G41/W41*60</f>
        <v>931.83673469387782</v>
      </c>
      <c r="O41" s="67">
        <f t="shared" si="38"/>
        <v>62.122448979591852</v>
      </c>
      <c r="P41" s="39">
        <f t="shared" si="36"/>
        <v>-4</v>
      </c>
      <c r="Q41" s="40">
        <f t="shared" si="37"/>
        <v>-13.667024704618669</v>
      </c>
      <c r="R41" s="188">
        <f t="shared" si="32"/>
        <v>0.81967120181405917</v>
      </c>
      <c r="S41" s="420"/>
      <c r="T41" s="59">
        <v>0.54791666666666672</v>
      </c>
      <c r="U41" s="75">
        <v>0.58194444444444449</v>
      </c>
      <c r="V41" s="42">
        <f>(T41-U40)*24*60</f>
        <v>92.000000000000071</v>
      </c>
      <c r="W41" s="69">
        <f t="shared" si="18"/>
        <v>48.999999999999986</v>
      </c>
      <c r="X41" s="70">
        <v>0.49305555555555602</v>
      </c>
      <c r="Y41" s="256">
        <v>0.53472222222222199</v>
      </c>
      <c r="Z41" s="480"/>
      <c r="AA41" s="483"/>
      <c r="AB41" s="268">
        <f t="shared" si="33"/>
        <v>-508.16326530612218</v>
      </c>
      <c r="AC41" s="61">
        <f t="shared" si="34"/>
        <v>0.64710884353741516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18"/>
        <v>0</v>
      </c>
      <c r="X42" s="70"/>
      <c r="Y42" s="60"/>
      <c r="Z42" s="480"/>
      <c r="AA42" s="483"/>
      <c r="AB42" s="268"/>
      <c r="AC42" s="61"/>
      <c r="AD42" s="448"/>
    </row>
    <row r="43" spans="1:30" s="62" customFormat="1" ht="15" customHeight="1">
      <c r="A43" s="458"/>
      <c r="B43" s="56"/>
      <c r="C43" s="27"/>
      <c r="D43" s="276"/>
      <c r="E43" s="29"/>
      <c r="F43" s="56"/>
      <c r="G43" s="66"/>
      <c r="H43" s="50"/>
      <c r="I43" s="64"/>
      <c r="J43" s="37"/>
      <c r="K43" s="36"/>
      <c r="L43" s="38"/>
      <c r="M43" s="65"/>
      <c r="N43" s="66"/>
      <c r="O43" s="67"/>
      <c r="P43" s="39"/>
      <c r="Q43" s="40"/>
      <c r="R43" s="188"/>
      <c r="S43" s="420"/>
      <c r="T43" s="75"/>
      <c r="U43" s="75"/>
      <c r="V43" s="42"/>
      <c r="W43" s="69">
        <f>(U43-T43)*24*60</f>
        <v>0</v>
      </c>
      <c r="X43" s="70"/>
      <c r="Y43" s="334"/>
      <c r="Z43" s="480"/>
      <c r="AA43" s="483"/>
      <c r="AB43" s="71"/>
      <c r="AC43" s="61"/>
      <c r="AD43" s="448"/>
    </row>
    <row r="44" spans="1:30" s="62" customFormat="1" ht="15" customHeight="1">
      <c r="A44" s="458"/>
      <c r="B44" s="56"/>
      <c r="C44" s="23"/>
      <c r="D44" s="276"/>
      <c r="E44" s="12"/>
      <c r="F44" s="56"/>
      <c r="G44" s="273"/>
      <c r="H44" s="50"/>
      <c r="I44" s="64"/>
      <c r="J44" s="37"/>
      <c r="K44" s="36"/>
      <c r="L44" s="38"/>
      <c r="M44" s="65"/>
      <c r="N44" s="66"/>
      <c r="O44" s="67"/>
      <c r="P44" s="39"/>
      <c r="Q44" s="40"/>
      <c r="R44" s="188"/>
      <c r="S44" s="420"/>
      <c r="T44" s="75"/>
      <c r="U44" s="75"/>
      <c r="V44" s="42"/>
      <c r="W44" s="69">
        <f t="shared" ref="W44:W48" si="39">(U44-T44)*24*60</f>
        <v>0</v>
      </c>
      <c r="X44" s="70"/>
      <c r="Y44" s="67"/>
      <c r="Z44" s="480"/>
      <c r="AA44" s="483"/>
      <c r="AB44" s="71"/>
      <c r="AC44" s="61"/>
      <c r="AD44" s="448"/>
    </row>
    <row r="45" spans="1:30" s="62" customFormat="1" ht="15" customHeight="1">
      <c r="A45" s="458"/>
      <c r="B45" s="56"/>
      <c r="C45" s="23"/>
      <c r="D45" s="276"/>
      <c r="E45" s="12"/>
      <c r="F45" s="56"/>
      <c r="G45" s="273"/>
      <c r="H45" s="50"/>
      <c r="I45" s="64"/>
      <c r="J45" s="37"/>
      <c r="K45" s="36"/>
      <c r="L45" s="38"/>
      <c r="M45" s="65"/>
      <c r="N45" s="66"/>
      <c r="O45" s="67"/>
      <c r="P45" s="39"/>
      <c r="Q45" s="40"/>
      <c r="R45" s="188"/>
      <c r="S45" s="420"/>
      <c r="T45" s="75"/>
      <c r="U45" s="75"/>
      <c r="V45" s="64"/>
      <c r="W45" s="69">
        <f t="shared" si="39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/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9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26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9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40">AVERAGE(J38:J47)</f>
        <v>16.75</v>
      </c>
      <c r="K48" s="133">
        <f t="shared" si="40"/>
        <v>1446.5</v>
      </c>
      <c r="L48" s="136">
        <f t="shared" si="40"/>
        <v>87.380701754385967</v>
      </c>
      <c r="M48" s="133">
        <f t="shared" si="40"/>
        <v>15.5</v>
      </c>
      <c r="N48" s="133">
        <f t="shared" si="40"/>
        <v>1136.833935287975</v>
      </c>
      <c r="O48" s="136">
        <f t="shared" si="40"/>
        <v>73.444679734785126</v>
      </c>
      <c r="P48" s="155">
        <f>M48-J48</f>
        <v>-1.25</v>
      </c>
      <c r="Q48" s="156">
        <f>N48-K48</f>
        <v>-309.66606471202499</v>
      </c>
      <c r="R48" s="157">
        <f>O48/L48</f>
        <v>0.84051373198200097</v>
      </c>
      <c r="S48" s="423"/>
      <c r="T48" s="158"/>
      <c r="U48" s="158"/>
      <c r="V48" s="194"/>
      <c r="W48" s="159">
        <f t="shared" si="39"/>
        <v>0</v>
      </c>
      <c r="X48" s="160"/>
      <c r="Y48" s="160"/>
      <c r="Z48" s="424"/>
      <c r="AA48" s="424"/>
      <c r="AB48" s="161">
        <f t="shared" ref="AB48:AB53" si="41">N48-K48</f>
        <v>-309.66606471202499</v>
      </c>
      <c r="AC48" s="189">
        <f t="shared" ref="AC48:AC53" si="42">N48/K48</f>
        <v>0.78592045301622881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1763</v>
      </c>
      <c r="H49" s="124">
        <f t="shared" ref="H49:H57" si="43">F49*G49</f>
        <v>100261.81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1555.5882352941176</v>
      </c>
      <c r="O49" s="127">
        <f>N49/M49</f>
        <v>81.873065015479867</v>
      </c>
      <c r="P49" s="162">
        <f>M49-J49</f>
        <v>0</v>
      </c>
      <c r="Q49" s="111">
        <f>O49-L49</f>
        <v>-0.49535603715170851</v>
      </c>
      <c r="R49" s="182">
        <f>O49/L49</f>
        <v>0.99398609283969175</v>
      </c>
      <c r="S49" s="419">
        <f>R58</f>
        <v>0.95212554618597056</v>
      </c>
      <c r="T49" s="149">
        <v>0.2902777777777778</v>
      </c>
      <c r="U49" s="149">
        <v>0.33750000000000002</v>
      </c>
      <c r="V49" s="186"/>
      <c r="W49" s="150">
        <f t="shared" si="18"/>
        <v>68</v>
      </c>
      <c r="X49" s="186"/>
      <c r="Y49" s="186"/>
      <c r="Z49" s="425"/>
      <c r="AA49" s="425"/>
      <c r="AB49" s="110">
        <f t="shared" si="41"/>
        <v>-9.4117647058824332</v>
      </c>
      <c r="AC49" s="182">
        <f t="shared" si="42"/>
        <v>0.99398609283969175</v>
      </c>
      <c r="AD49" s="411">
        <f>AC58</f>
        <v>0.94668359935030544</v>
      </c>
    </row>
    <row r="50" spans="1:30" ht="15" customHeight="1">
      <c r="A50" s="455"/>
      <c r="B50" s="56" t="str">
        <f>VLOOKUP(D50,廠價表!$C$1:$E$40,2,0)</f>
        <v>義大利麵</v>
      </c>
      <c r="C50" s="10"/>
      <c r="D50" s="11" t="s">
        <v>59</v>
      </c>
      <c r="E50" s="86"/>
      <c r="F50" s="56">
        <f>VLOOKUP(D50,廠價表!$C$1:$E$40,3,0)</f>
        <v>49.97</v>
      </c>
      <c r="G50" s="66">
        <v>2631</v>
      </c>
      <c r="H50" s="76">
        <f t="shared" si="43"/>
        <v>131471.07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1517.884615384615</v>
      </c>
      <c r="O50" s="78">
        <f>N50/M50</f>
        <v>84.326923076923052</v>
      </c>
      <c r="P50" s="18">
        <f>M50-J50</f>
        <v>0</v>
      </c>
      <c r="Q50" s="19">
        <f>O50-L50</f>
        <v>-4.561965811965834</v>
      </c>
      <c r="R50" s="183">
        <f>O50/L50</f>
        <v>0.94867788461538438</v>
      </c>
      <c r="S50" s="420"/>
      <c r="T50" s="79">
        <v>0.34305555555555556</v>
      </c>
      <c r="U50" s="79">
        <v>0.4152777777777778</v>
      </c>
      <c r="V50" s="175">
        <f t="shared" ref="V50:V54" si="44">(T50-U49)*24*60</f>
        <v>7.9999999999999716</v>
      </c>
      <c r="W50" s="80">
        <f t="shared" si="18"/>
        <v>104.00000000000003</v>
      </c>
      <c r="X50" s="22"/>
      <c r="Y50" s="22"/>
      <c r="Z50" s="417"/>
      <c r="AA50" s="418"/>
      <c r="AB50" s="18">
        <f t="shared" si="41"/>
        <v>-82.115384615384983</v>
      </c>
      <c r="AC50" s="183">
        <f t="shared" si="42"/>
        <v>0.94867788461538438</v>
      </c>
      <c r="AD50" s="412"/>
    </row>
    <row r="51" spans="1:30" ht="15" customHeight="1">
      <c r="A51" s="455"/>
      <c r="B51" s="56" t="str">
        <f>VLOOKUP(D51,廠價表!$C$1:$E$40,2,0)</f>
        <v>熱乾麵</v>
      </c>
      <c r="C51" s="10"/>
      <c r="D51" s="11" t="s">
        <v>46</v>
      </c>
      <c r="E51" s="86"/>
      <c r="F51" s="56">
        <f>VLOOKUP(D51,廠價表!$C$1:$E$40,3,0)</f>
        <v>49.91</v>
      </c>
      <c r="G51" s="66">
        <v>1795</v>
      </c>
      <c r="H51" s="76">
        <f t="shared" si="43"/>
        <v>89588.45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3" si="45">K51/J51</f>
        <v>92.058823529411768</v>
      </c>
      <c r="M51" s="172">
        <v>17</v>
      </c>
      <c r="N51" s="77">
        <f t="shared" ref="N51:N53" si="46">G51/W51*60</f>
        <v>1560.8695652173913</v>
      </c>
      <c r="O51" s="78">
        <f t="shared" ref="O51:O53" si="47">N51/M51</f>
        <v>91.815856777493607</v>
      </c>
      <c r="P51" s="18">
        <f t="shared" ref="P51:P54" si="48">M51-J51</f>
        <v>0</v>
      </c>
      <c r="Q51" s="19">
        <f t="shared" ref="Q51:Q54" si="49">O51-L51</f>
        <v>-0.24296675191816064</v>
      </c>
      <c r="R51" s="183">
        <f t="shared" ref="R51:R53" si="50">O51/L51</f>
        <v>0.99736074454785384</v>
      </c>
      <c r="S51" s="420"/>
      <c r="T51" s="79">
        <v>0.42083333333333334</v>
      </c>
      <c r="U51" s="44">
        <v>0.46875</v>
      </c>
      <c r="V51" s="175">
        <f t="shared" si="44"/>
        <v>7.9999999999999716</v>
      </c>
      <c r="W51" s="80">
        <f t="shared" si="18"/>
        <v>69</v>
      </c>
      <c r="X51" s="22"/>
      <c r="Y51" s="22"/>
      <c r="Z51" s="405"/>
      <c r="AA51" s="405"/>
      <c r="AB51" s="18">
        <f t="shared" si="41"/>
        <v>-4.1304347826087451</v>
      </c>
      <c r="AC51" s="183">
        <f t="shared" si="42"/>
        <v>0.99736074454785384</v>
      </c>
      <c r="AD51" s="412"/>
    </row>
    <row r="52" spans="1:30" ht="15" customHeight="1">
      <c r="A52" s="455"/>
      <c r="B52" s="56" t="str">
        <f>VLOOKUP(D52,廠價表!$C$1:$E$40,2,0)</f>
        <v>熱乾麵</v>
      </c>
      <c r="C52" s="23"/>
      <c r="D52" s="11" t="s">
        <v>46</v>
      </c>
      <c r="E52" s="12"/>
      <c r="F52" s="56">
        <f>VLOOKUP(D52,廠價表!$C$1:$E$40,3,0)</f>
        <v>49.91</v>
      </c>
      <c r="G52" s="66">
        <v>730</v>
      </c>
      <c r="H52" s="76">
        <f t="shared" si="43"/>
        <v>36434.299999999996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si="45"/>
        <v>92.058823529411768</v>
      </c>
      <c r="M52" s="172">
        <v>16</v>
      </c>
      <c r="N52" s="77">
        <f t="shared" si="46"/>
        <v>1459.9999999999973</v>
      </c>
      <c r="O52" s="78">
        <f t="shared" si="47"/>
        <v>91.249999999999829</v>
      </c>
      <c r="P52" s="18">
        <f t="shared" si="48"/>
        <v>-1</v>
      </c>
      <c r="Q52" s="19">
        <f t="shared" si="49"/>
        <v>-0.80882352941193858</v>
      </c>
      <c r="R52" s="183">
        <f t="shared" si="50"/>
        <v>0.9912140575079853</v>
      </c>
      <c r="S52" s="420"/>
      <c r="T52" s="79">
        <v>0.53125</v>
      </c>
      <c r="U52" s="79">
        <v>0.55208333333333337</v>
      </c>
      <c r="V52" s="175">
        <f t="shared" si="44"/>
        <v>90</v>
      </c>
      <c r="W52" s="80">
        <f t="shared" si="18"/>
        <v>30.000000000000053</v>
      </c>
      <c r="X52" s="22">
        <v>0.47916666666666702</v>
      </c>
      <c r="Y52" s="22">
        <v>0.52083333333333304</v>
      </c>
      <c r="Z52" s="417"/>
      <c r="AA52" s="418"/>
      <c r="AB52" s="18">
        <f t="shared" si="41"/>
        <v>-105.00000000000273</v>
      </c>
      <c r="AC52" s="183">
        <f t="shared" si="42"/>
        <v>0.93290734824280974</v>
      </c>
      <c r="AD52" s="412"/>
    </row>
    <row r="53" spans="1:30" ht="15" customHeight="1">
      <c r="A53" s="455"/>
      <c r="B53" s="56" t="str">
        <f>VLOOKUP(D53,廠價表!$C$1:$E$40,2,0)</f>
        <v>義大利麵</v>
      </c>
      <c r="C53" s="23"/>
      <c r="D53" s="11" t="s">
        <v>59</v>
      </c>
      <c r="E53" s="12"/>
      <c r="F53" s="56">
        <f>VLOOKUP(D53,廠價表!$C$1:$E$40,3,0)</f>
        <v>49.97</v>
      </c>
      <c r="G53" s="66">
        <v>1700</v>
      </c>
      <c r="H53" s="76">
        <f t="shared" si="43"/>
        <v>84949</v>
      </c>
      <c r="I53" s="191"/>
      <c r="J53" s="16">
        <f>VLOOKUP(D53,產線配置圖!$A$3:$C$39,2,0)</f>
        <v>18</v>
      </c>
      <c r="K53" s="14">
        <f>VLOOKUP(D53,產線配置圖!$A$3:$C$39,3,0)</f>
        <v>1600</v>
      </c>
      <c r="L53" s="17">
        <f t="shared" si="45"/>
        <v>88.888888888888886</v>
      </c>
      <c r="M53" s="172">
        <v>18</v>
      </c>
      <c r="N53" s="77">
        <f t="shared" si="46"/>
        <v>1593.7500000000018</v>
      </c>
      <c r="O53" s="78">
        <f t="shared" si="47"/>
        <v>88.541666666666771</v>
      </c>
      <c r="P53" s="18">
        <f t="shared" si="48"/>
        <v>0</v>
      </c>
      <c r="Q53" s="19">
        <f t="shared" si="49"/>
        <v>-0.34722222222211485</v>
      </c>
      <c r="R53" s="183">
        <f t="shared" si="50"/>
        <v>0.99609375000000122</v>
      </c>
      <c r="S53" s="420"/>
      <c r="T53" s="79">
        <v>0.55694444444444446</v>
      </c>
      <c r="U53" s="79">
        <v>0.60138888888888886</v>
      </c>
      <c r="V53" s="175">
        <f t="shared" si="44"/>
        <v>6.9999999999999751</v>
      </c>
      <c r="W53" s="80">
        <f t="shared" si="18"/>
        <v>63.999999999999929</v>
      </c>
      <c r="X53" s="175"/>
      <c r="Y53" s="175"/>
      <c r="Z53" s="417"/>
      <c r="AA53" s="418"/>
      <c r="AB53" s="18">
        <f t="shared" si="41"/>
        <v>-6.249999999998181</v>
      </c>
      <c r="AC53" s="183">
        <f t="shared" si="42"/>
        <v>0.99609375000000111</v>
      </c>
      <c r="AD53" s="412"/>
    </row>
    <row r="54" spans="1:30" ht="15" customHeight="1">
      <c r="A54" s="455"/>
      <c r="B54" s="56" t="str">
        <f>VLOOKUP(D54,廠價表!$C$1:$E$40,2,0)</f>
        <v>義大利麵</v>
      </c>
      <c r="C54" s="181"/>
      <c r="D54" s="11" t="s">
        <v>49</v>
      </c>
      <c r="E54" s="12"/>
      <c r="F54" s="56">
        <f>VLOOKUP(D54,廠價表!$C$1:$E$40,3,0)</f>
        <v>47.71</v>
      </c>
      <c r="G54" s="66">
        <v>1005</v>
      </c>
      <c r="H54" s="76">
        <f t="shared" si="43"/>
        <v>47948.55</v>
      </c>
      <c r="I54" s="175"/>
      <c r="J54" s="16">
        <f>VLOOKUP(D54,產線配置圖!$A$3:$C$39,2,0)</f>
        <v>15</v>
      </c>
      <c r="K54" s="14">
        <f>VLOOKUP(D54,產線配置圖!$A$3:$C$39,3,0)</f>
        <v>1500</v>
      </c>
      <c r="L54" s="17">
        <f>K54/J54</f>
        <v>100</v>
      </c>
      <c r="M54" s="179">
        <v>15</v>
      </c>
      <c r="N54" s="77">
        <f>G54/W54*60</f>
        <v>1205.9999999999966</v>
      </c>
      <c r="O54" s="78">
        <f>N54/M54</f>
        <v>80.399999999999778</v>
      </c>
      <c r="P54" s="18">
        <f t="shared" si="48"/>
        <v>0</v>
      </c>
      <c r="Q54" s="19">
        <f t="shared" si="49"/>
        <v>-19.600000000000222</v>
      </c>
      <c r="R54" s="183">
        <f>O54/L54</f>
        <v>0.80399999999999783</v>
      </c>
      <c r="S54" s="420"/>
      <c r="T54" s="79">
        <v>0.60763888888888884</v>
      </c>
      <c r="U54" s="79">
        <v>0.64236111111111116</v>
      </c>
      <c r="V54" s="175">
        <f t="shared" si="44"/>
        <v>8.999999999999968</v>
      </c>
      <c r="W54" s="80">
        <f t="shared" si="18"/>
        <v>50.000000000000142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3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3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3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51">AVERAGE(J49:J57)</f>
        <v>17.333333333333332</v>
      </c>
      <c r="K58" s="117">
        <f t="shared" si="51"/>
        <v>1565.8333333333333</v>
      </c>
      <c r="L58" s="114">
        <f t="shared" si="51"/>
        <v>90.710640981538816</v>
      </c>
      <c r="M58" s="117">
        <f t="shared" si="51"/>
        <v>17.166666666666668</v>
      </c>
      <c r="N58" s="117">
        <f t="shared" si="51"/>
        <v>1482.3487359826865</v>
      </c>
      <c r="O58" s="114">
        <f t="shared" si="51"/>
        <v>86.367918589427134</v>
      </c>
      <c r="P58" s="118">
        <f>M58-J58</f>
        <v>-0.1666666666666643</v>
      </c>
      <c r="Q58" s="119">
        <f>N58-K58</f>
        <v>-83.484597350646709</v>
      </c>
      <c r="R58" s="120">
        <f t="shared" ref="R58:R60" si="52">O58/L58</f>
        <v>0.95212554618597056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53">N58-K58</f>
        <v>-83.484597350646709</v>
      </c>
      <c r="AC58" s="185">
        <f t="shared" ref="AC58:AC63" si="54">N58/K58</f>
        <v>0.94668359935030544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3548</v>
      </c>
      <c r="H59" s="105">
        <f t="shared" ref="H59:H68" si="55">F59*G59</f>
        <v>95760.51999999999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0" si="56">G59/W59*60</f>
        <v>1553.868613138686</v>
      </c>
      <c r="O59" s="108">
        <f t="shared" ref="O59:O60" si="57">N59/M59</f>
        <v>119.52835485682201</v>
      </c>
      <c r="P59" s="110">
        <f t="shared" ref="P59:P60" si="58">M59-J59</f>
        <v>0</v>
      </c>
      <c r="Q59" s="111">
        <f t="shared" ref="Q59:Q60" si="59">O59-L59</f>
        <v>-0.85626052779338124</v>
      </c>
      <c r="R59" s="182">
        <f t="shared" si="52"/>
        <v>0.99288729274037446</v>
      </c>
      <c r="S59" s="419">
        <f>R69</f>
        <v>0.8376493367687996</v>
      </c>
      <c r="T59" s="167">
        <v>0.2902777777777778</v>
      </c>
      <c r="U59" s="167">
        <v>0.38541666666666669</v>
      </c>
      <c r="V59" s="186"/>
      <c r="W59" s="106">
        <f t="shared" si="18"/>
        <v>137</v>
      </c>
      <c r="X59" s="186"/>
      <c r="Y59" s="186"/>
      <c r="Z59" s="469"/>
      <c r="AA59" s="434"/>
      <c r="AB59" s="223">
        <f t="shared" si="53"/>
        <v>-11.131386861314013</v>
      </c>
      <c r="AC59" s="224">
        <f t="shared" si="54"/>
        <v>0.99288729274037446</v>
      </c>
      <c r="AD59" s="411">
        <f>AC69</f>
        <v>0.84003761301451607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516</v>
      </c>
      <c r="H60" s="15">
        <f t="shared" si="55"/>
        <v>14690.519999999999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6"/>
        <v>967.49999999999875</v>
      </c>
      <c r="O60" s="17">
        <f t="shared" si="57"/>
        <v>80.624999999999901</v>
      </c>
      <c r="P60" s="18">
        <f t="shared" si="58"/>
        <v>0</v>
      </c>
      <c r="Q60" s="19">
        <f t="shared" si="59"/>
        <v>-49.791666666666757</v>
      </c>
      <c r="R60" s="183">
        <f t="shared" si="52"/>
        <v>0.61821086261980762</v>
      </c>
      <c r="S60" s="474"/>
      <c r="T60" s="20">
        <v>0.39444444444444443</v>
      </c>
      <c r="U60" s="20">
        <v>0.41666666666666669</v>
      </c>
      <c r="V60" s="175">
        <f t="shared" ref="V60:V63" si="60">(T60-U59)*24*60</f>
        <v>12.999999999999954</v>
      </c>
      <c r="W60" s="90">
        <f t="shared" si="18"/>
        <v>32.000000000000043</v>
      </c>
      <c r="X60" s="191"/>
      <c r="Y60" s="191"/>
      <c r="Z60" s="405" t="s">
        <v>169</v>
      </c>
      <c r="AA60" s="405"/>
      <c r="AB60" s="225">
        <f t="shared" si="53"/>
        <v>-597.50000000000125</v>
      </c>
      <c r="AC60" s="226">
        <f t="shared" si="54"/>
        <v>0.61821086261980751</v>
      </c>
      <c r="AD60" s="464"/>
    </row>
    <row r="61" spans="1:30" ht="15" customHeight="1">
      <c r="A61" s="472"/>
      <c r="B61" s="56" t="s">
        <v>172</v>
      </c>
      <c r="C61" s="10"/>
      <c r="D61" s="239" t="s">
        <v>63</v>
      </c>
      <c r="E61" s="86"/>
      <c r="F61" s="56">
        <f>VLOOKUP(D61,廠價表!$C$1:$E$40,3,0)</f>
        <v>28.47</v>
      </c>
      <c r="G61" s="175">
        <v>448</v>
      </c>
      <c r="H61" s="15">
        <f t="shared" si="55"/>
        <v>12754.56</v>
      </c>
      <c r="I61" s="81"/>
      <c r="J61" s="16">
        <v>12</v>
      </c>
      <c r="K61" s="14">
        <v>1565</v>
      </c>
      <c r="L61" s="17">
        <v>130.41666666666666</v>
      </c>
      <c r="M61" s="178">
        <v>12</v>
      </c>
      <c r="N61" s="14">
        <f t="shared" ref="N61:N63" si="61">G61/W61*60</f>
        <v>1221.8181818181818</v>
      </c>
      <c r="O61" s="17">
        <f t="shared" ref="O61:O63" si="62">N61/M61</f>
        <v>101.81818181818181</v>
      </c>
      <c r="P61" s="18">
        <f t="shared" ref="P61:P63" si="63">M61-J61</f>
        <v>0</v>
      </c>
      <c r="Q61" s="19">
        <f t="shared" ref="Q61:Q63" si="64">O61-L61</f>
        <v>-28.598484848484844</v>
      </c>
      <c r="R61" s="183">
        <f t="shared" ref="R61:R63" si="65">O61/L61</f>
        <v>0.7807144931745571</v>
      </c>
      <c r="S61" s="420"/>
      <c r="T61" s="20">
        <v>0.42222222222222222</v>
      </c>
      <c r="U61" s="20">
        <v>0.4375</v>
      </c>
      <c r="V61" s="175">
        <f t="shared" si="60"/>
        <v>7.9999999999999716</v>
      </c>
      <c r="W61" s="88">
        <f t="shared" si="18"/>
        <v>22</v>
      </c>
      <c r="X61" s="22"/>
      <c r="Y61" s="22"/>
      <c r="Z61" s="405" t="s">
        <v>173</v>
      </c>
      <c r="AA61" s="405"/>
      <c r="AB61" s="51">
        <f t="shared" si="53"/>
        <v>-343.18181818181824</v>
      </c>
      <c r="AC61" s="52">
        <f t="shared" si="54"/>
        <v>0.78071449317455699</v>
      </c>
      <c r="AD61" s="412"/>
    </row>
    <row r="62" spans="1:30" ht="15" customHeight="1">
      <c r="A62" s="472"/>
      <c r="B62" s="336" t="str">
        <f>VLOOKUP(D62,廠價表!$C$1:$E$40,2,0)</f>
        <v>小吃、微波</v>
      </c>
      <c r="C62" s="337"/>
      <c r="D62" s="338" t="s">
        <v>64</v>
      </c>
      <c r="E62" s="339"/>
      <c r="F62" s="56">
        <f>VLOOKUP(D62,廠價表!$C$1:$E$40,3,0)</f>
        <v>28.26</v>
      </c>
      <c r="G62" s="176">
        <v>970</v>
      </c>
      <c r="H62" s="15">
        <f t="shared" si="55"/>
        <v>27412.2</v>
      </c>
      <c r="I62" s="81"/>
      <c r="J62" s="31">
        <f>VLOOKUP(D62,產線配置圖!$A$3:$C$39,2,0)</f>
        <v>12</v>
      </c>
      <c r="K62" s="30">
        <f>VLOOKUP(D62,產線配置圖!$A$3:$C$39,3,0)</f>
        <v>1565</v>
      </c>
      <c r="L62" s="35">
        <f>K62/J62</f>
        <v>130.41666666666666</v>
      </c>
      <c r="M62" s="179">
        <v>12</v>
      </c>
      <c r="N62" s="14">
        <f t="shared" si="61"/>
        <v>1293.3333333333335</v>
      </c>
      <c r="O62" s="17">
        <f t="shared" si="62"/>
        <v>107.77777777777779</v>
      </c>
      <c r="P62" s="18">
        <f t="shared" si="63"/>
        <v>0</v>
      </c>
      <c r="Q62" s="19">
        <f t="shared" si="64"/>
        <v>-22.638888888888872</v>
      </c>
      <c r="R62" s="183">
        <f t="shared" si="65"/>
        <v>0.82641107561235372</v>
      </c>
      <c r="S62" s="420"/>
      <c r="T62" s="20">
        <v>0.44791666666666669</v>
      </c>
      <c r="U62" s="20">
        <v>0.47916666666666669</v>
      </c>
      <c r="V62" s="175">
        <f t="shared" si="60"/>
        <v>15.000000000000027</v>
      </c>
      <c r="W62" s="90">
        <f t="shared" si="18"/>
        <v>45</v>
      </c>
      <c r="X62" s="22">
        <v>0.46875</v>
      </c>
      <c r="Y62" s="22">
        <v>0.51041666666666696</v>
      </c>
      <c r="Z62" s="405"/>
      <c r="AA62" s="405"/>
      <c r="AB62" s="51">
        <f t="shared" si="53"/>
        <v>-271.66666666666652</v>
      </c>
      <c r="AC62" s="52">
        <f t="shared" si="54"/>
        <v>0.82641107561235372</v>
      </c>
      <c r="AD62" s="412"/>
    </row>
    <row r="63" spans="1:30" ht="15" customHeight="1">
      <c r="A63" s="472"/>
      <c r="B63" s="342" t="s">
        <v>172</v>
      </c>
      <c r="C63" s="246"/>
      <c r="D63" s="247" t="s">
        <v>64</v>
      </c>
      <c r="E63" s="248"/>
      <c r="F63" s="56">
        <f>VLOOKUP(D63,廠價表!$C$1:$E$40,3,0)</f>
        <v>28.26</v>
      </c>
      <c r="G63" s="335">
        <v>1588</v>
      </c>
      <c r="H63" s="15">
        <f t="shared" si="55"/>
        <v>44876.880000000005</v>
      </c>
      <c r="I63" s="335"/>
      <c r="J63" s="309">
        <v>12</v>
      </c>
      <c r="K63" s="306">
        <v>1565</v>
      </c>
      <c r="L63" s="310">
        <v>130.41666666666666</v>
      </c>
      <c r="M63" s="311">
        <v>12</v>
      </c>
      <c r="N63" s="14">
        <f t="shared" si="61"/>
        <v>1536.7741935483887</v>
      </c>
      <c r="O63" s="17">
        <f t="shared" si="62"/>
        <v>128.0645161290324</v>
      </c>
      <c r="P63" s="18">
        <f t="shared" si="63"/>
        <v>0</v>
      </c>
      <c r="Q63" s="19">
        <f t="shared" si="64"/>
        <v>-2.3521505376342589</v>
      </c>
      <c r="R63" s="183">
        <f t="shared" si="65"/>
        <v>0.98196434092548812</v>
      </c>
      <c r="S63" s="420"/>
      <c r="T63" s="20">
        <v>0.53472222222222221</v>
      </c>
      <c r="U63" s="20">
        <v>0.57777777777777772</v>
      </c>
      <c r="V63" s="175">
        <f t="shared" si="60"/>
        <v>79.999999999999957</v>
      </c>
      <c r="W63" s="90">
        <f t="shared" si="18"/>
        <v>61.999999999999943</v>
      </c>
      <c r="X63" s="84"/>
      <c r="Y63" s="84"/>
      <c r="Z63" s="405"/>
      <c r="AA63" s="405"/>
      <c r="AB63" s="51">
        <f t="shared" si="53"/>
        <v>-28.225806451611334</v>
      </c>
      <c r="AC63" s="52">
        <f t="shared" si="54"/>
        <v>0.98196434092548801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5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66">AVERAGE(J59:J68)</f>
        <v>12.2</v>
      </c>
      <c r="K69" s="164">
        <f t="shared" si="66"/>
        <v>1565</v>
      </c>
      <c r="L69" s="169">
        <f t="shared" si="66"/>
        <v>128.41025641025641</v>
      </c>
      <c r="M69" s="164">
        <f t="shared" si="66"/>
        <v>12.2</v>
      </c>
      <c r="N69" s="164">
        <f t="shared" si="66"/>
        <v>1314.6588643677176</v>
      </c>
      <c r="O69" s="169">
        <f t="shared" si="66"/>
        <v>107.56276611636278</v>
      </c>
      <c r="P69" s="170">
        <f>M69-J69</f>
        <v>0</v>
      </c>
      <c r="Q69" s="156">
        <f>N69-K69</f>
        <v>-250.34113563228243</v>
      </c>
      <c r="R69" s="120">
        <f>O69/L69</f>
        <v>0.8376493367687996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-250.34113563228243</v>
      </c>
      <c r="AC69" s="185">
        <f>N69/K69</f>
        <v>0.84003761301451607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8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8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67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67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67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67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67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A2:B2"/>
    <mergeCell ref="A3:A4"/>
    <mergeCell ref="B3:B4"/>
    <mergeCell ref="D3:E4"/>
    <mergeCell ref="F3:F4"/>
    <mergeCell ref="D15:E15"/>
    <mergeCell ref="A5:A1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S5:S15"/>
    <mergeCell ref="Z15:AA15"/>
    <mergeCell ref="Z5:AA5"/>
    <mergeCell ref="AB1:AD2"/>
    <mergeCell ref="AC3:AC4"/>
    <mergeCell ref="AD3:AD4"/>
    <mergeCell ref="T3:U3"/>
    <mergeCell ref="V3:V4"/>
    <mergeCell ref="W3:W4"/>
    <mergeCell ref="X3:Y3"/>
    <mergeCell ref="Z3:AA4"/>
    <mergeCell ref="AB3:AB4"/>
    <mergeCell ref="T1:Y2"/>
    <mergeCell ref="Z1:AA2"/>
    <mergeCell ref="R3:R4"/>
    <mergeCell ref="S3:S4"/>
    <mergeCell ref="G3:G4"/>
    <mergeCell ref="J1:L2"/>
    <mergeCell ref="M1:O2"/>
    <mergeCell ref="H3:H4"/>
    <mergeCell ref="I3:I4"/>
    <mergeCell ref="J3:J4"/>
    <mergeCell ref="K3:K4"/>
    <mergeCell ref="N3:N4"/>
    <mergeCell ref="O3:O4"/>
    <mergeCell ref="L3:L4"/>
    <mergeCell ref="M3:M4"/>
    <mergeCell ref="P1:S2"/>
    <mergeCell ref="P3:P4"/>
    <mergeCell ref="Q3:Q4"/>
  </mergeCells>
  <phoneticPr fontId="2" type="noConversion"/>
  <conditionalFormatting sqref="P5:P79">
    <cfRule type="cellIs" dxfId="138" priority="1" operator="greaterThan">
      <formula>0</formula>
    </cfRule>
  </conditionalFormatting>
  <conditionalFormatting sqref="Q5:Q79 AB5:AB79">
    <cfRule type="cellIs" dxfId="137" priority="4" operator="lessThan">
      <formula>0</formula>
    </cfRule>
  </conditionalFormatting>
  <conditionalFormatting sqref="R5:R79 AC5:AC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D59:AD62 S69:S76 AD69:AD76">
    <cfRule type="cellIs" dxfId="134" priority="7" operator="lessThan">
      <formula>0.8</formula>
    </cfRule>
  </conditionalFormatting>
  <conditionalFormatting sqref="S19:S25 AD19:AD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D5:AD8 S15:S16 AD15:AD16 AD49 AD79">
    <cfRule type="cellIs" dxfId="131" priority="9" operator="lessThan">
      <formula>0.8</formula>
    </cfRule>
  </conditionalFormatting>
  <conditionalFormatting sqref="AD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H13" sqref="H13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46010</v>
      </c>
      <c r="E3" s="357"/>
      <c r="F3" s="202" t="s">
        <v>84</v>
      </c>
      <c r="G3" s="358">
        <f>'1219'!E1</f>
        <v>45403</v>
      </c>
      <c r="H3" s="358"/>
      <c r="I3" s="202" t="s">
        <v>2</v>
      </c>
      <c r="J3" s="359">
        <f>'1219'!G1</f>
        <v>2208288.7199999997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115.79686620712162</v>
      </c>
      <c r="G6" s="367"/>
      <c r="H6" s="360">
        <f>AVERAGE(D13:H13)</f>
        <v>113.54170953401604</v>
      </c>
      <c r="I6" s="360"/>
      <c r="J6" s="360">
        <f>AVERAGE(I13:J13)</f>
        <v>127.07264957264958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101.89712692618686</v>
      </c>
      <c r="G7" s="362"/>
      <c r="H7" s="363">
        <f>AVERAGE(D14:H14)</f>
        <v>99.972386599106585</v>
      </c>
      <c r="I7" s="363"/>
      <c r="J7" s="363">
        <f>AVERAGE(I14:J14)</f>
        <v>111.5208285615882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0.88167526808586194</v>
      </c>
      <c r="G8" s="364"/>
      <c r="H8" s="364">
        <f>AVERAGE(D15:H15)</f>
        <v>0.88248737646401199</v>
      </c>
      <c r="I8" s="364"/>
      <c r="J8" s="364">
        <f>AVERAGE(I15:J15)</f>
        <v>0.87761472619511138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VALUE('1219'!L15)</f>
        <v>140.21719457013575</v>
      </c>
      <c r="E13" s="213">
        <f>VALUE('1219'!L26)</f>
        <v>162.27564102564102</v>
      </c>
      <c r="F13" s="213">
        <f>VALUE('1219'!L37)</f>
        <v>92.236111111111114</v>
      </c>
      <c r="G13" s="213">
        <f>VALUE('1219'!L48)</f>
        <v>87.380701754385967</v>
      </c>
      <c r="H13" s="213">
        <f>VALUE('1219'!L58)</f>
        <v>85.59889920880633</v>
      </c>
      <c r="I13" s="213">
        <f>VALUE('1219'!L69)</f>
        <v>127.07264957264958</v>
      </c>
      <c r="J13" s="213"/>
    </row>
    <row r="14" spans="2:15" ht="40" customHeight="1">
      <c r="B14" s="376"/>
      <c r="C14" s="212" t="s">
        <v>106</v>
      </c>
      <c r="D14" s="213">
        <f>VALUE('1219'!O15)</f>
        <v>116.75103946745242</v>
      </c>
      <c r="E14" s="213">
        <f>VALUE('1219'!O26)</f>
        <v>146.82055398285229</v>
      </c>
      <c r="F14" s="213">
        <f>VALUE('1219'!O37)</f>
        <v>80.570350925670013</v>
      </c>
      <c r="G14" s="213">
        <f>VALUE('1219'!O48)</f>
        <v>74.186566677945024</v>
      </c>
      <c r="H14" s="213">
        <f>VALUE('1219'!O58)</f>
        <v>81.53342194161317</v>
      </c>
      <c r="I14" s="213">
        <f>VALUE('1219'!O69)</f>
        <v>111.5208285615882</v>
      </c>
      <c r="J14" s="213"/>
    </row>
    <row r="15" spans="2:15" ht="40" customHeight="1">
      <c r="B15" s="377"/>
      <c r="C15" s="210" t="s">
        <v>23</v>
      </c>
      <c r="D15" s="231">
        <f>D14/D13</f>
        <v>0.8326442404255513</v>
      </c>
      <c r="E15" s="231">
        <f t="shared" ref="E15:I15" si="0">E14/E13</f>
        <v>0.9047602773582839</v>
      </c>
      <c r="F15" s="231">
        <f t="shared" si="0"/>
        <v>0.87352285298121379</v>
      </c>
      <c r="G15" s="231">
        <f t="shared" si="0"/>
        <v>0.84900401562890082</v>
      </c>
      <c r="H15" s="231">
        <f t="shared" si="0"/>
        <v>0.95250549592610989</v>
      </c>
      <c r="I15" s="231">
        <f t="shared" si="0"/>
        <v>0.87761472619511138</v>
      </c>
      <c r="J15" s="343"/>
    </row>
    <row r="16" spans="2:15" ht="17.25" customHeight="1">
      <c r="B16" s="378" t="s">
        <v>107</v>
      </c>
      <c r="C16" s="210" t="s">
        <v>29</v>
      </c>
      <c r="D16" s="95">
        <f>'1219'!T5</f>
        <v>0.29166666666666669</v>
      </c>
      <c r="E16" s="95">
        <f>'1219'!T16</f>
        <v>0.2902777777777778</v>
      </c>
      <c r="F16" s="95">
        <f>'1219'!T27</f>
        <v>0.29166666666666702</v>
      </c>
      <c r="G16" s="95">
        <f>'1219'!T38</f>
        <v>0.29166666666666669</v>
      </c>
      <c r="H16" s="95">
        <f>'1219'!T49</f>
        <v>0.2902777777777778</v>
      </c>
      <c r="I16" s="95">
        <f>'1219'!T59</f>
        <v>0.2902777777777778</v>
      </c>
      <c r="J16" s="269"/>
    </row>
    <row r="17" spans="2:10" ht="17.25" customHeight="1">
      <c r="B17" s="379"/>
      <c r="C17" s="210" t="s">
        <v>30</v>
      </c>
      <c r="D17" s="95">
        <v>0.55833333333333302</v>
      </c>
      <c r="E17" s="41">
        <v>0.5805555555555556</v>
      </c>
      <c r="F17" s="41">
        <v>0.65694444444444444</v>
      </c>
      <c r="G17" s="75">
        <v>0.58680555555555558</v>
      </c>
      <c r="H17" s="79">
        <v>0.65972222222222221</v>
      </c>
      <c r="I17" s="20">
        <v>0.4826388888888889</v>
      </c>
      <c r="J17" s="20"/>
    </row>
    <row r="18" spans="2:10" ht="17.25" customHeight="1">
      <c r="B18" s="365" t="s">
        <v>108</v>
      </c>
      <c r="C18" s="366"/>
      <c r="D18" s="214">
        <f>VALUE('1219'!M15)</f>
        <v>14.2</v>
      </c>
      <c r="E18" s="214">
        <f>VALUE('1219'!M26)</f>
        <v>12.5</v>
      </c>
      <c r="F18" s="214">
        <f>VALUE('1219'!M37)</f>
        <v>15.75</v>
      </c>
      <c r="G18" s="214">
        <f>VALUE('1219'!M48)</f>
        <v>14</v>
      </c>
      <c r="H18" s="214">
        <f>VALUE('1219'!M58)</f>
        <v>17.8</v>
      </c>
      <c r="I18" s="214">
        <f>VALUE('1219'!M69)</f>
        <v>12.333333333333334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55" zoomScaleNormal="55" workbookViewId="0">
      <pane xSplit="5" ySplit="4" topLeftCell="L15" activePane="bottomRight" state="frozen"/>
      <selection activeCell="M11" sqref="M11"/>
      <selection pane="topRight" activeCell="M11" sqref="M11"/>
      <selection pane="bottomLeft" activeCell="M11" sqref="M11"/>
      <selection pane="bottomRight" activeCell="V61" activeCellId="13" sqref="V6 V7 V8 V17 V18 V28 V29 V39 V40 V50 V51 V53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45403</v>
      </c>
      <c r="F1" s="175" t="s">
        <v>2</v>
      </c>
      <c r="G1" s="4">
        <f>SUM(H5:H79)</f>
        <v>2208288.7199999997</v>
      </c>
      <c r="H1" s="173" t="s">
        <v>3</v>
      </c>
      <c r="I1" s="5">
        <f>M15+M26+M48+M58+M69+M79+M37</f>
        <v>86.583333333333329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.5">
      <c r="A2" s="404" t="s">
        <v>174</v>
      </c>
      <c r="B2" s="404"/>
      <c r="C2" s="174"/>
      <c r="D2" s="174" t="s">
        <v>11</v>
      </c>
      <c r="E2" s="7">
        <f>AVERAGE(O15,O26,O37,O48,O58,O69,O79)</f>
        <v>101.89712692618686</v>
      </c>
      <c r="F2" s="8" t="s">
        <v>12</v>
      </c>
      <c r="G2" s="9">
        <f>G1/E1</f>
        <v>48.637506772680211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983</v>
      </c>
      <c r="H5" s="318">
        <f>F5*G5</f>
        <v>56237.43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9" si="0">G5/W5*60</f>
        <v>1734.7058823529435</v>
      </c>
      <c r="O5" s="322">
        <f t="shared" ref="O5:O9" si="1">N5/M5</f>
        <v>133.43891402714951</v>
      </c>
      <c r="P5" s="324">
        <f t="shared" ref="P5:P9" si="2">M5-J5</f>
        <v>0</v>
      </c>
      <c r="Q5" s="325">
        <f t="shared" ref="Q5:Q9" si="3">O5-L5</f>
        <v>-28.484162895927426</v>
      </c>
      <c r="R5" s="326">
        <f t="shared" ref="R5:R9" si="4">O5/L5</f>
        <v>0.82408830515579268</v>
      </c>
      <c r="S5" s="419">
        <f>R15</f>
        <v>0.8326442404255513</v>
      </c>
      <c r="T5" s="327">
        <v>0.29166666666666669</v>
      </c>
      <c r="U5" s="328">
        <v>0.31527777777777777</v>
      </c>
      <c r="V5" s="192"/>
      <c r="W5" s="106">
        <f t="shared" ref="W5:W14" si="5">(U5-T5)*24*60</f>
        <v>33.999999999999957</v>
      </c>
      <c r="X5" s="186"/>
      <c r="Y5" s="186"/>
      <c r="Z5" s="425"/>
      <c r="AA5" s="425"/>
      <c r="AB5" s="110">
        <f>N5-K5</f>
        <v>-370.29411764705651</v>
      </c>
      <c r="AC5" s="182">
        <f>N5/K5</f>
        <v>0.82408830515579268</v>
      </c>
      <c r="AD5" s="411">
        <f>AC15</f>
        <v>0.83076580708295278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506</v>
      </c>
      <c r="H6" s="307">
        <f>F6*G6</f>
        <v>28553.579999999998</v>
      </c>
      <c r="I6" s="308"/>
      <c r="J6" s="309">
        <f>VLOOKUP(D6,產線配置圖!$A$3:$C$39,2,0)</f>
        <v>15</v>
      </c>
      <c r="K6" s="306">
        <v>1800</v>
      </c>
      <c r="L6" s="310">
        <f>K6/J6</f>
        <v>120</v>
      </c>
      <c r="M6" s="311">
        <v>15</v>
      </c>
      <c r="N6" s="306">
        <f t="shared" si="0"/>
        <v>1012.0000000000171</v>
      </c>
      <c r="O6" s="310">
        <f t="shared" si="1"/>
        <v>67.466666666667805</v>
      </c>
      <c r="P6" s="312">
        <f t="shared" si="2"/>
        <v>0</v>
      </c>
      <c r="Q6" s="313">
        <f t="shared" si="3"/>
        <v>-52.533333333332195</v>
      </c>
      <c r="R6" s="314">
        <f t="shared" si="4"/>
        <v>0.56222222222223173</v>
      </c>
      <c r="S6" s="420"/>
      <c r="T6" s="95">
        <v>0.32361111111111102</v>
      </c>
      <c r="U6" s="95">
        <v>0.344444444444444</v>
      </c>
      <c r="V6" s="175">
        <f>(T6-U5)*24*60</f>
        <v>11.999999999999877</v>
      </c>
      <c r="W6" s="180">
        <f t="shared" si="5"/>
        <v>29.999999999999496</v>
      </c>
      <c r="X6" s="22"/>
      <c r="Y6" s="22"/>
      <c r="Z6" s="475" t="s">
        <v>175</v>
      </c>
      <c r="AA6" s="476"/>
      <c r="AB6" s="18">
        <f>N6-K6</f>
        <v>-787.99999999998295</v>
      </c>
      <c r="AC6" s="183">
        <f>N6/K6</f>
        <v>0.56222222222223173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f>1254+48</f>
        <v>1302</v>
      </c>
      <c r="H7" s="15">
        <f t="shared" ref="H7:H12" si="6">F7*G7</f>
        <v>74487.42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>K7/J7</f>
        <v>111.47058823529412</v>
      </c>
      <c r="M7" s="178">
        <v>17</v>
      </c>
      <c r="N7" s="14">
        <f t="shared" si="0"/>
        <v>1775.4545454545776</v>
      </c>
      <c r="O7" s="17">
        <f t="shared" si="1"/>
        <v>104.43850267379868</v>
      </c>
      <c r="P7" s="18">
        <f t="shared" si="2"/>
        <v>0</v>
      </c>
      <c r="Q7" s="19">
        <f t="shared" si="3"/>
        <v>-7.0320855614954354</v>
      </c>
      <c r="R7" s="183">
        <f t="shared" si="4"/>
        <v>0.93691532741666361</v>
      </c>
      <c r="S7" s="420"/>
      <c r="T7" s="267">
        <v>0.35277777777777802</v>
      </c>
      <c r="U7" s="267">
        <v>0.38333333333333303</v>
      </c>
      <c r="V7" s="175">
        <f>(T7-U6)*24*60</f>
        <v>12.000000000000997</v>
      </c>
      <c r="W7" s="180">
        <f t="shared" si="5"/>
        <v>43.999999999999204</v>
      </c>
      <c r="X7" s="22"/>
      <c r="Y7" s="22"/>
      <c r="Z7" s="405"/>
      <c r="AA7" s="405"/>
      <c r="AB7" s="18">
        <f>N7-K7</f>
        <v>-119.54545454542244</v>
      </c>
      <c r="AC7" s="183">
        <f>N7/K7</f>
        <v>0.93691532741666361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3779</v>
      </c>
      <c r="H8" s="15">
        <f t="shared" si="6"/>
        <v>185700.06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1971.6521739130449</v>
      </c>
      <c r="O8" s="17">
        <f t="shared" si="1"/>
        <v>151.665551839465</v>
      </c>
      <c r="P8" s="18">
        <f t="shared" si="2"/>
        <v>0</v>
      </c>
      <c r="Q8" s="19">
        <f t="shared" si="3"/>
        <v>-2.1806020066888436</v>
      </c>
      <c r="R8" s="183">
        <f t="shared" si="4"/>
        <v>0.98582608695652252</v>
      </c>
      <c r="S8" s="420"/>
      <c r="T8" s="95">
        <v>0.39722222222222198</v>
      </c>
      <c r="U8" s="95">
        <v>0.47708333333333303</v>
      </c>
      <c r="V8" s="175">
        <f t="shared" ref="V8:V9" si="7">(T8-U7)*24*60</f>
        <v>20.000000000000089</v>
      </c>
      <c r="W8" s="180">
        <f t="shared" si="5"/>
        <v>114.99999999999991</v>
      </c>
      <c r="X8" s="22">
        <v>0.48611111111111099</v>
      </c>
      <c r="Y8" s="260">
        <v>0.52777777777777801</v>
      </c>
      <c r="Z8" s="416"/>
      <c r="AA8" s="416"/>
      <c r="AB8" s="18">
        <f>N8-K8</f>
        <v>-28.347826086955138</v>
      </c>
      <c r="AC8" s="183">
        <f>N8/K8</f>
        <v>0.98582608695652241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714</v>
      </c>
      <c r="H9" s="15">
        <f t="shared" si="6"/>
        <v>35085.96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>K9/J9</f>
        <v>153.84615384615384</v>
      </c>
      <c r="M9" s="178">
        <v>13</v>
      </c>
      <c r="N9" s="14">
        <f t="shared" si="0"/>
        <v>1647.692307692354</v>
      </c>
      <c r="O9" s="17">
        <f t="shared" si="1"/>
        <v>126.74556213018107</v>
      </c>
      <c r="P9" s="18">
        <f t="shared" si="2"/>
        <v>0</v>
      </c>
      <c r="Q9" s="19">
        <f t="shared" si="3"/>
        <v>-27.100591715972769</v>
      </c>
      <c r="R9" s="183">
        <f t="shared" si="4"/>
        <v>0.82384615384617699</v>
      </c>
      <c r="S9" s="421"/>
      <c r="T9" s="95">
        <v>0.54027777777777797</v>
      </c>
      <c r="U9" s="95">
        <v>0.55833333333333302</v>
      </c>
      <c r="V9" s="175">
        <f t="shared" si="7"/>
        <v>91.000000000000711</v>
      </c>
      <c r="W9" s="180">
        <f t="shared" si="5"/>
        <v>25.999999999999268</v>
      </c>
      <c r="X9" s="22"/>
      <c r="Y9" s="260"/>
      <c r="Z9" s="475"/>
      <c r="AA9" s="476"/>
      <c r="AB9" s="18">
        <f>N9-K9</f>
        <v>-352.30769230764599</v>
      </c>
      <c r="AC9" s="183">
        <f>N9/K9</f>
        <v>0.82384615384617699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/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6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14.2</v>
      </c>
      <c r="K15" s="117">
        <f t="shared" si="8"/>
        <v>1960</v>
      </c>
      <c r="L15" s="114">
        <f t="shared" si="8"/>
        <v>140.21719457013575</v>
      </c>
      <c r="M15" s="117">
        <f t="shared" si="8"/>
        <v>14.2</v>
      </c>
      <c r="N15" s="117">
        <f t="shared" si="8"/>
        <v>1628.3009818825874</v>
      </c>
      <c r="O15" s="114">
        <f t="shared" si="8"/>
        <v>116.75103946745242</v>
      </c>
      <c r="P15" s="118">
        <f t="shared" ref="P15:P18" si="9">M15-J15</f>
        <v>0</v>
      </c>
      <c r="Q15" s="119">
        <f t="shared" ref="Q15:Q18" si="10">O15-L15</f>
        <v>-23.466155102683331</v>
      </c>
      <c r="R15" s="120">
        <f t="shared" ref="R15:R18" si="11">O15/L15</f>
        <v>0.8326442404255513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2">N15-K15</f>
        <v>-331.69901811741261</v>
      </c>
      <c r="AC15" s="185">
        <f t="shared" ref="AC15:AC19" si="13">N15/K15</f>
        <v>0.83076580708295278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960</v>
      </c>
      <c r="H16" s="124">
        <f t="shared" ref="H16:H25" si="14">F16*G16</f>
        <v>54921.599999999999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8" si="15">K16/J16</f>
        <v>161.92307692307693</v>
      </c>
      <c r="M16" s="264">
        <v>13</v>
      </c>
      <c r="N16" s="126">
        <f t="shared" ref="N16:N18" si="16">G16/W16*60</f>
        <v>1858.064516129034</v>
      </c>
      <c r="O16" s="127">
        <f>N16/M16</f>
        <v>142.92803970223338</v>
      </c>
      <c r="P16" s="128">
        <f>M16-J16</f>
        <v>0</v>
      </c>
      <c r="Q16" s="129">
        <f t="shared" si="10"/>
        <v>-18.995037220843557</v>
      </c>
      <c r="R16" s="187">
        <f>O16/L16</f>
        <v>0.88269098153398284</v>
      </c>
      <c r="S16" s="431">
        <f>R26</f>
        <v>0.9047602773582839</v>
      </c>
      <c r="T16" s="265">
        <v>0.2902777777777778</v>
      </c>
      <c r="U16" s="265">
        <v>0.31180555555555556</v>
      </c>
      <c r="V16" s="125"/>
      <c r="W16" s="130">
        <f t="shared" ref="W16:W78" si="17">(U16-T16)*24*60</f>
        <v>30.999999999999972</v>
      </c>
      <c r="X16" s="127"/>
      <c r="Y16" s="127"/>
      <c r="Z16" s="425"/>
      <c r="AA16" s="425"/>
      <c r="AB16" s="110">
        <f t="shared" si="12"/>
        <v>-246.93548387096598</v>
      </c>
      <c r="AC16" s="182">
        <f t="shared" si="13"/>
        <v>0.88269098153398295</v>
      </c>
      <c r="AD16" s="411">
        <f>AC26</f>
        <v>0.90456247650134303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f>3376+19</f>
        <v>3395</v>
      </c>
      <c r="H17" s="15">
        <f t="shared" si="14"/>
        <v>172024.65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5"/>
        <v>153.84615384615384</v>
      </c>
      <c r="M17" s="37">
        <v>13</v>
      </c>
      <c r="N17" s="36">
        <f>G17/W17*60</f>
        <v>1835.1351351351352</v>
      </c>
      <c r="O17" s="38">
        <f t="shared" ref="O17:O18" si="18">N17/M17</f>
        <v>141.16424116424116</v>
      </c>
      <c r="P17" s="39">
        <f t="shared" si="9"/>
        <v>0</v>
      </c>
      <c r="Q17" s="40">
        <f t="shared" si="10"/>
        <v>-12.681912681912678</v>
      </c>
      <c r="R17" s="188">
        <f t="shared" si="11"/>
        <v>0.91756756756756763</v>
      </c>
      <c r="S17" s="432"/>
      <c r="T17" s="41">
        <v>0.33958333333333335</v>
      </c>
      <c r="U17" s="41">
        <v>0.41666666666666669</v>
      </c>
      <c r="V17" s="175">
        <f>(T17-U16)*24*60</f>
        <v>40.000000000000014</v>
      </c>
      <c r="W17" s="43">
        <f t="shared" si="17"/>
        <v>111</v>
      </c>
      <c r="X17" s="44"/>
      <c r="Y17" s="44"/>
      <c r="Z17" s="405"/>
      <c r="AA17" s="405"/>
      <c r="AB17" s="18">
        <f t="shared" si="12"/>
        <v>-164.86486486486478</v>
      </c>
      <c r="AC17" s="183">
        <f t="shared" si="13"/>
        <v>0.91756756756756763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2300</v>
      </c>
      <c r="H18" s="15">
        <f t="shared" si="14"/>
        <v>115897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5"/>
        <v>166.66666666666666</v>
      </c>
      <c r="M18" s="37">
        <v>12</v>
      </c>
      <c r="N18" s="36">
        <f t="shared" si="16"/>
        <v>1792.2077922077913</v>
      </c>
      <c r="O18" s="38">
        <f t="shared" si="18"/>
        <v>149.35064935064926</v>
      </c>
      <c r="P18" s="39">
        <f t="shared" si="9"/>
        <v>0</v>
      </c>
      <c r="Q18" s="40">
        <f t="shared" si="10"/>
        <v>-17.316017316017394</v>
      </c>
      <c r="R18" s="188">
        <f t="shared" si="11"/>
        <v>0.89610389610389563</v>
      </c>
      <c r="S18" s="432"/>
      <c r="T18" s="41">
        <v>0.42499999999999999</v>
      </c>
      <c r="U18" s="41">
        <v>0.47847222222222224</v>
      </c>
      <c r="V18" s="175">
        <f>(T18-U17)*24*60</f>
        <v>11.999999999999957</v>
      </c>
      <c r="W18" s="43">
        <f t="shared" si="17"/>
        <v>77.000000000000043</v>
      </c>
      <c r="X18" s="22">
        <v>0.48611111111111099</v>
      </c>
      <c r="Y18" s="260">
        <v>0.52777777777777801</v>
      </c>
      <c r="Z18" s="405"/>
      <c r="AA18" s="405"/>
      <c r="AB18" s="18">
        <f t="shared" si="12"/>
        <v>-207.79220779220873</v>
      </c>
      <c r="AC18" s="183">
        <f t="shared" si="13"/>
        <v>0.89610389610389563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1723</v>
      </c>
      <c r="H19" s="15">
        <f t="shared" si="14"/>
        <v>86821.97</v>
      </c>
      <c r="I19" s="175"/>
      <c r="J19" s="16">
        <v>12</v>
      </c>
      <c r="K19" s="14">
        <v>2000</v>
      </c>
      <c r="L19" s="17">
        <v>166.66666666666666</v>
      </c>
      <c r="M19" s="37">
        <v>12</v>
      </c>
      <c r="N19" s="36">
        <f>G19/W19*60</f>
        <v>1846.0714285714246</v>
      </c>
      <c r="O19" s="38">
        <f>N19/M19</f>
        <v>153.83928571428538</v>
      </c>
      <c r="P19" s="39">
        <f>M19-J19</f>
        <v>0</v>
      </c>
      <c r="Q19" s="40">
        <f>O19-L19</f>
        <v>-12.827380952381276</v>
      </c>
      <c r="R19" s="188">
        <f>O19/L19</f>
        <v>0.92303571428571229</v>
      </c>
      <c r="S19" s="432"/>
      <c r="T19" s="41">
        <v>0.54166666666666663</v>
      </c>
      <c r="U19" s="41">
        <v>0.5805555555555556</v>
      </c>
      <c r="V19" s="175">
        <f>(T19-U18)*24*60</f>
        <v>90.999999999999915</v>
      </c>
      <c r="W19" s="43">
        <f t="shared" si="17"/>
        <v>56.000000000000121</v>
      </c>
      <c r="X19" s="22"/>
      <c r="Y19" s="260"/>
      <c r="Z19" s="475"/>
      <c r="AA19" s="476"/>
      <c r="AB19" s="18">
        <f t="shared" si="12"/>
        <v>-153.92857142857542</v>
      </c>
      <c r="AC19" s="183">
        <f t="shared" si="13"/>
        <v>0.92303571428571229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/>
      <c r="W20" s="43">
        <f t="shared" si="17"/>
        <v>0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7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4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7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4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7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4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7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19">AVERAGE(J16:J25)</f>
        <v>12.5</v>
      </c>
      <c r="K26" s="133">
        <f t="shared" si="19"/>
        <v>2026.25</v>
      </c>
      <c r="L26" s="136">
        <f t="shared" si="19"/>
        <v>162.27564102564102</v>
      </c>
      <c r="M26" s="133">
        <f t="shared" si="19"/>
        <v>12.5</v>
      </c>
      <c r="N26" s="133">
        <f t="shared" si="19"/>
        <v>1832.8697180108463</v>
      </c>
      <c r="O26" s="136">
        <f t="shared" si="19"/>
        <v>146.82055398285229</v>
      </c>
      <c r="P26" s="137">
        <f t="shared" ref="P26:P30" si="20">M26-J26</f>
        <v>0</v>
      </c>
      <c r="Q26" s="138">
        <f t="shared" ref="Q26:Q30" si="21">O26-L26</f>
        <v>-15.455087042788733</v>
      </c>
      <c r="R26" s="139">
        <f t="shared" ref="R26:R30" si="22">O26/L26</f>
        <v>0.9047602773582839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 t="shared" ref="AB26:AB30" si="23">N26-K26</f>
        <v>-193.38028198915367</v>
      </c>
      <c r="AC26" s="185">
        <f t="shared" ref="AC26:AC30" si="24">N26/K26</f>
        <v>0.90456247650134303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f>2767+149</f>
        <v>2916</v>
      </c>
      <c r="H27" s="124">
        <f t="shared" ref="H27:H47" si="25">F27*G27</f>
        <v>139122.36000000002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15</v>
      </c>
      <c r="N27" s="126">
        <f>G27/W27*60</f>
        <v>1249.7142857142887</v>
      </c>
      <c r="O27" s="127">
        <f>N27/M27</f>
        <v>83.314285714285916</v>
      </c>
      <c r="P27" s="128">
        <f t="shared" si="20"/>
        <v>0</v>
      </c>
      <c r="Q27" s="129">
        <f t="shared" si="21"/>
        <v>-16.685714285714084</v>
      </c>
      <c r="R27" s="187">
        <f>O27/L27</f>
        <v>0.83314285714285918</v>
      </c>
      <c r="S27" s="431">
        <f>R37</f>
        <v>0.87352285298121379</v>
      </c>
      <c r="T27" s="94">
        <v>0.29166666666666702</v>
      </c>
      <c r="U27" s="94">
        <v>0.38888888888888901</v>
      </c>
      <c r="V27" s="125"/>
      <c r="W27" s="130">
        <f t="shared" si="17"/>
        <v>139.99999999999966</v>
      </c>
      <c r="X27" s="125"/>
      <c r="Y27" s="125" t="s">
        <v>47</v>
      </c>
      <c r="Z27" s="434"/>
      <c r="AA27" s="425"/>
      <c r="AB27" s="223">
        <f t="shared" si="23"/>
        <v>-250.28571428571126</v>
      </c>
      <c r="AC27" s="288">
        <f t="shared" si="24"/>
        <v>0.83314285714285918</v>
      </c>
      <c r="AD27" s="411">
        <f>AC37</f>
        <v>0.87071562896699839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1224</v>
      </c>
      <c r="H28" s="50">
        <f t="shared" si="25"/>
        <v>67479.12000000001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18</v>
      </c>
      <c r="N28" s="36">
        <f>G28/W28*60</f>
        <v>1112.7272727272646</v>
      </c>
      <c r="O28" s="38">
        <f>N28/M28</f>
        <v>61.818181818181365</v>
      </c>
      <c r="P28" s="39">
        <f t="shared" si="20"/>
        <v>0</v>
      </c>
      <c r="Q28" s="40">
        <f t="shared" si="21"/>
        <v>-15.126262626263077</v>
      </c>
      <c r="R28" s="188">
        <f t="shared" si="22"/>
        <v>0.80341319330488414</v>
      </c>
      <c r="S28" s="432"/>
      <c r="T28" s="267">
        <v>0.39583333333333298</v>
      </c>
      <c r="U28" s="41">
        <v>0.44166666666666665</v>
      </c>
      <c r="V28" s="42">
        <f>(T28-U27)*24*60</f>
        <v>9.999999999999325</v>
      </c>
      <c r="W28" s="43">
        <f t="shared" si="17"/>
        <v>66.000000000000483</v>
      </c>
      <c r="X28" s="54"/>
      <c r="Y28" s="54"/>
      <c r="Z28" s="418"/>
      <c r="AA28" s="417"/>
      <c r="AB28" s="39">
        <f t="shared" si="23"/>
        <v>-272.27272727273544</v>
      </c>
      <c r="AC28" s="188">
        <f t="shared" si="24"/>
        <v>0.80341319330488414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1500</v>
      </c>
      <c r="H29" s="50">
        <f t="shared" si="25"/>
        <v>85950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15</v>
      </c>
      <c r="N29" s="36">
        <f>G29/W29*60</f>
        <v>1250.0000000000002</v>
      </c>
      <c r="O29" s="38">
        <f>N29/M29</f>
        <v>83.333333333333343</v>
      </c>
      <c r="P29" s="39">
        <f t="shared" si="20"/>
        <v>0</v>
      </c>
      <c r="Q29" s="40">
        <f t="shared" si="21"/>
        <v>-12.666666666666657</v>
      </c>
      <c r="R29" s="188">
        <f t="shared" si="22"/>
        <v>0.86805555555555569</v>
      </c>
      <c r="S29" s="432"/>
      <c r="T29" s="41">
        <v>0.45</v>
      </c>
      <c r="U29" s="41">
        <v>0.5</v>
      </c>
      <c r="V29" s="42">
        <f>(T29-U28)*24*60</f>
        <v>12.000000000000037</v>
      </c>
      <c r="W29" s="43">
        <f t="shared" si="17"/>
        <v>71.999999999999986</v>
      </c>
      <c r="X29" s="22"/>
      <c r="Y29" s="22"/>
      <c r="Z29" s="418"/>
      <c r="AA29" s="417"/>
      <c r="AB29" s="289">
        <f t="shared" si="23"/>
        <v>-189.99999999999977</v>
      </c>
      <c r="AC29" s="188">
        <f t="shared" si="24"/>
        <v>0.86805555555555569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142</v>
      </c>
      <c r="E30" s="29"/>
      <c r="F30" s="56">
        <f>VLOOKUP(D30,廠價表!$C$1:$E$40,3,0)</f>
        <v>57.3</v>
      </c>
      <c r="G30" s="53">
        <v>3307</v>
      </c>
      <c r="H30" s="50">
        <f t="shared" si="25"/>
        <v>189491.09999999998</v>
      </c>
      <c r="I30" s="42"/>
      <c r="J30" s="16">
        <f>VLOOKUP(D30,產線配置圖!$A$3:$C$39,2,0)</f>
        <v>15</v>
      </c>
      <c r="K30" s="14">
        <f>VLOOKUP(D30,產線配置圖!$A$3:$C$39,3,0)</f>
        <v>1440</v>
      </c>
      <c r="L30" s="233">
        <f>K30/J30</f>
        <v>96</v>
      </c>
      <c r="M30" s="21">
        <v>15</v>
      </c>
      <c r="N30" s="36">
        <f>G30/W30*60</f>
        <v>1407.2340425531918</v>
      </c>
      <c r="O30" s="38">
        <f>N30/M30</f>
        <v>93.815602836879449</v>
      </c>
      <c r="P30" s="39">
        <f t="shared" si="20"/>
        <v>0</v>
      </c>
      <c r="Q30" s="40">
        <f t="shared" si="21"/>
        <v>-2.1843971631205505</v>
      </c>
      <c r="R30" s="188">
        <f t="shared" si="22"/>
        <v>0.97724586288416093</v>
      </c>
      <c r="S30" s="432"/>
      <c r="T30" s="41">
        <v>0.55902777777777779</v>
      </c>
      <c r="U30" s="41">
        <v>0.65694444444444444</v>
      </c>
      <c r="V30" s="42">
        <f>(T30-U29)*24*60</f>
        <v>85.000000000000014</v>
      </c>
      <c r="W30" s="43">
        <f t="shared" si="17"/>
        <v>140.99999999999997</v>
      </c>
      <c r="X30" s="54">
        <v>0.50694444444444398</v>
      </c>
      <c r="Y30" s="54">
        <v>0.54861111111111105</v>
      </c>
      <c r="Z30" s="418"/>
      <c r="AA30" s="417"/>
      <c r="AB30" s="289">
        <f t="shared" si="23"/>
        <v>-32.765957446808216</v>
      </c>
      <c r="AC30" s="188">
        <f t="shared" si="24"/>
        <v>0.97724586288416093</v>
      </c>
      <c r="AD30" s="445"/>
    </row>
    <row r="31" spans="1:30" ht="15" customHeight="1">
      <c r="A31" s="429"/>
      <c r="B31" s="56"/>
      <c r="C31" s="249"/>
      <c r="D31" s="11"/>
      <c r="E31" s="251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7"/>
        <v>0</v>
      </c>
      <c r="X31" s="54"/>
      <c r="Y31" s="54"/>
      <c r="Z31" s="426"/>
      <c r="AA31" s="446"/>
      <c r="AB31" s="289"/>
      <c r="AC31" s="188"/>
      <c r="AD31" s="413"/>
    </row>
    <row r="32" spans="1:30" ht="15" customHeight="1">
      <c r="A32" s="429"/>
      <c r="B32" s="56"/>
      <c r="C32" s="27"/>
      <c r="D32" s="239"/>
      <c r="E32" s="275"/>
      <c r="F32" s="56"/>
      <c r="G32" s="53"/>
      <c r="H32" s="50"/>
      <c r="I32" s="42"/>
      <c r="J32" s="16"/>
      <c r="K32" s="14"/>
      <c r="L32" s="23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7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56"/>
      <c r="C33" s="238"/>
      <c r="D33" s="11"/>
      <c r="E33" s="240"/>
      <c r="F33" s="56"/>
      <c r="G33" s="53"/>
      <c r="H33" s="50"/>
      <c r="I33" s="42"/>
      <c r="J33" s="16"/>
      <c r="K33" s="14"/>
      <c r="L33" s="233"/>
      <c r="M33" s="21"/>
      <c r="N33" s="36"/>
      <c r="O33" s="38"/>
      <c r="P33" s="39"/>
      <c r="Q33" s="40"/>
      <c r="R33" s="188"/>
      <c r="S33" s="432"/>
      <c r="T33" s="41"/>
      <c r="U33" s="41"/>
      <c r="V33" s="42"/>
      <c r="W33" s="43">
        <f t="shared" si="17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56"/>
      <c r="C34" s="235"/>
      <c r="D34" s="11"/>
      <c r="E34" s="29"/>
      <c r="F34" s="56"/>
      <c r="G34" s="53"/>
      <c r="H34" s="50"/>
      <c r="I34" s="42"/>
      <c r="J34" s="16"/>
      <c r="K34" s="14"/>
      <c r="L34" s="233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7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56"/>
      <c r="C35" s="235"/>
      <c r="D35" s="11"/>
      <c r="E35" s="29"/>
      <c r="F35" s="56"/>
      <c r="G35" s="53"/>
      <c r="H35" s="50"/>
      <c r="I35" s="42"/>
      <c r="J35" s="16"/>
      <c r="K35" s="14"/>
      <c r="L35" s="233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7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7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6">AVERAGE(J27:J36)</f>
        <v>15.75</v>
      </c>
      <c r="K37" s="282">
        <f t="shared" si="26"/>
        <v>1441.25</v>
      </c>
      <c r="L37" s="283">
        <f t="shared" si="26"/>
        <v>92.236111111111114</v>
      </c>
      <c r="M37" s="282">
        <f t="shared" si="26"/>
        <v>15.75</v>
      </c>
      <c r="N37" s="282">
        <f t="shared" si="26"/>
        <v>1254.9189002486864</v>
      </c>
      <c r="O37" s="283">
        <f t="shared" si="26"/>
        <v>80.570350925670013</v>
      </c>
      <c r="P37" s="73">
        <f>M37-J37</f>
        <v>0</v>
      </c>
      <c r="Q37" s="74">
        <f>N37-K37</f>
        <v>-186.33109975131356</v>
      </c>
      <c r="R37" s="284">
        <f t="shared" ref="R37:R41" si="27">O37/L37</f>
        <v>0.87352285298121379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28">N37-K37</f>
        <v>-186.33109975131356</v>
      </c>
      <c r="AC37" s="184">
        <f t="shared" ref="AC37:AC41" si="29">N37/K37</f>
        <v>0.87071562896699839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1378</v>
      </c>
      <c r="H38" s="124">
        <f t="shared" si="25"/>
        <v>78959.399999999994</v>
      </c>
      <c r="I38" s="125"/>
      <c r="J38" s="331">
        <f>VLOOKUP(D38,產線配置圖!$A$3:$C$39,2,0)</f>
        <v>15</v>
      </c>
      <c r="K38" s="234">
        <v>1500</v>
      </c>
      <c r="L38" s="285">
        <f t="shared" ref="L38:L41" si="30">K38/J38</f>
        <v>100</v>
      </c>
      <c r="M38" s="286">
        <v>14</v>
      </c>
      <c r="N38" s="126">
        <f>G38/W38*60</f>
        <v>1132.6027397260277</v>
      </c>
      <c r="O38" s="127">
        <f>N38/M38</f>
        <v>80.90019569471626</v>
      </c>
      <c r="P38" s="128">
        <f t="shared" ref="P38:P41" si="31">M38-J38</f>
        <v>-1</v>
      </c>
      <c r="Q38" s="129">
        <f t="shared" ref="Q38:Q41" si="32">O38-L38</f>
        <v>-19.09980430528374</v>
      </c>
      <c r="R38" s="187">
        <f>O38/L38</f>
        <v>0.80900195694716259</v>
      </c>
      <c r="S38" s="460">
        <f>R48</f>
        <v>0.84900401562890082</v>
      </c>
      <c r="T38" s="149">
        <v>0.29166666666666669</v>
      </c>
      <c r="U38" s="149">
        <v>0.34236111111111112</v>
      </c>
      <c r="V38" s="146"/>
      <c r="W38" s="150">
        <f t="shared" si="17"/>
        <v>72.999999999999986</v>
      </c>
      <c r="X38" s="148"/>
      <c r="Y38" s="151"/>
      <c r="Z38" s="484"/>
      <c r="AA38" s="485"/>
      <c r="AB38" s="287">
        <f t="shared" si="28"/>
        <v>-367.39726027397228</v>
      </c>
      <c r="AC38" s="152">
        <f t="shared" si="29"/>
        <v>0.75506849315068514</v>
      </c>
      <c r="AD38" s="447">
        <f>AC48</f>
        <v>0.71801723711803012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1311</v>
      </c>
      <c r="H39" s="50">
        <f t="shared" si="25"/>
        <v>73979.73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0"/>
        <v>93.733333333333334</v>
      </c>
      <c r="M39" s="65">
        <v>14</v>
      </c>
      <c r="N39" s="66">
        <f>G39/W39*60</f>
        <v>1077.5342465753417</v>
      </c>
      <c r="O39" s="67">
        <f t="shared" ref="O39:O41" si="33">N39/M39</f>
        <v>76.966731898238692</v>
      </c>
      <c r="P39" s="39">
        <f t="shared" si="31"/>
        <v>-1</v>
      </c>
      <c r="Q39" s="40">
        <f t="shared" si="32"/>
        <v>-16.766601435094643</v>
      </c>
      <c r="R39" s="188">
        <f t="shared" si="27"/>
        <v>0.82112445126143696</v>
      </c>
      <c r="S39" s="461"/>
      <c r="T39" s="59">
        <v>0.34930555555555554</v>
      </c>
      <c r="U39" s="59">
        <v>0.4</v>
      </c>
      <c r="V39" s="42">
        <f>(T39-U38)*24*60</f>
        <v>9.9999999999999645</v>
      </c>
      <c r="W39" s="69">
        <f t="shared" si="17"/>
        <v>73.000000000000057</v>
      </c>
      <c r="X39" s="22"/>
      <c r="Y39" s="22"/>
      <c r="Z39" s="450"/>
      <c r="AA39" s="451"/>
      <c r="AB39" s="268">
        <f t="shared" si="28"/>
        <v>-328.46575342465826</v>
      </c>
      <c r="AC39" s="61">
        <f t="shared" si="29"/>
        <v>0.76638282117734124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166</v>
      </c>
      <c r="E40" s="240"/>
      <c r="F40" s="56">
        <f>VLOOKUP(D40,廠價表!$C$1:$E$40,3,0)</f>
        <v>49.52</v>
      </c>
      <c r="G40" s="273">
        <f>1578+135</f>
        <v>1713</v>
      </c>
      <c r="H40" s="50">
        <f t="shared" si="25"/>
        <v>84827.760000000009</v>
      </c>
      <c r="I40" s="64"/>
      <c r="J40" s="37">
        <f>VLOOKUP(D40,產線配置圖!$A$3:$C$39,2,0)</f>
        <v>18</v>
      </c>
      <c r="K40" s="36">
        <f>VLOOKUP(D40,產線配置圖!$A$3:$C$39,3,0)</f>
        <v>1440</v>
      </c>
      <c r="L40" s="38">
        <f t="shared" si="30"/>
        <v>80</v>
      </c>
      <c r="M40" s="65">
        <v>14</v>
      </c>
      <c r="N40" s="66">
        <f>G40/W40*60</f>
        <v>960.56074766355187</v>
      </c>
      <c r="O40" s="67">
        <f t="shared" si="33"/>
        <v>68.61148197596799</v>
      </c>
      <c r="P40" s="39">
        <f t="shared" si="31"/>
        <v>-4</v>
      </c>
      <c r="Q40" s="40">
        <f t="shared" si="32"/>
        <v>-11.38851802403201</v>
      </c>
      <c r="R40" s="188">
        <f t="shared" si="27"/>
        <v>0.85764352469959992</v>
      </c>
      <c r="S40" s="420"/>
      <c r="T40" s="59">
        <v>0.4152777777777778</v>
      </c>
      <c r="U40" s="59">
        <v>0.48958333333333331</v>
      </c>
      <c r="V40" s="42">
        <f>(T40-U39)*24*60</f>
        <v>22</v>
      </c>
      <c r="W40" s="69">
        <f t="shared" si="17"/>
        <v>106.99999999999994</v>
      </c>
      <c r="X40" s="70"/>
      <c r="Y40" s="256"/>
      <c r="Z40" s="480"/>
      <c r="AA40" s="483"/>
      <c r="AB40" s="268">
        <f t="shared" si="28"/>
        <v>-479.43925233644813</v>
      </c>
      <c r="AC40" s="61">
        <f t="shared" si="29"/>
        <v>0.66705607476635542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167</v>
      </c>
      <c r="E41" s="240"/>
      <c r="F41" s="56">
        <f>VLOOKUP(D41,廠價表!$C$1:$E$40,3,0)</f>
        <v>44.3</v>
      </c>
      <c r="G41" s="273">
        <v>787</v>
      </c>
      <c r="H41" s="50">
        <f t="shared" si="25"/>
        <v>34864.1</v>
      </c>
      <c r="I41" s="64"/>
      <c r="J41" s="37">
        <f>VLOOKUP(D41,產線配置圖!$A$3:$C$39,2,0)</f>
        <v>19</v>
      </c>
      <c r="K41" s="36">
        <f>VLOOKUP(D41,產線配置圖!$A$3:$C$39,3,0)</f>
        <v>1440</v>
      </c>
      <c r="L41" s="38">
        <f t="shared" si="30"/>
        <v>75.78947368421052</v>
      </c>
      <c r="M41" s="65">
        <v>14</v>
      </c>
      <c r="N41" s="66">
        <f>G41/W41*60</f>
        <v>983.75000000000034</v>
      </c>
      <c r="O41" s="67">
        <f t="shared" si="33"/>
        <v>70.267857142857167</v>
      </c>
      <c r="P41" s="39">
        <f t="shared" si="31"/>
        <v>-5</v>
      </c>
      <c r="Q41" s="40">
        <f t="shared" si="32"/>
        <v>-5.5216165413533531</v>
      </c>
      <c r="R41" s="188">
        <f t="shared" si="27"/>
        <v>0.92714533730158766</v>
      </c>
      <c r="S41" s="420"/>
      <c r="T41" s="59">
        <v>0.55347222222222225</v>
      </c>
      <c r="U41" s="75">
        <v>0.58680555555555558</v>
      </c>
      <c r="V41" s="42">
        <f>(T41-U40)*24*60</f>
        <v>92.000000000000071</v>
      </c>
      <c r="W41" s="69">
        <f t="shared" si="17"/>
        <v>47.999999999999986</v>
      </c>
      <c r="X41" s="70">
        <v>0.5</v>
      </c>
      <c r="Y41" s="256">
        <v>0.54166666666666696</v>
      </c>
      <c r="Z41" s="480"/>
      <c r="AA41" s="483"/>
      <c r="AB41" s="268">
        <f t="shared" si="28"/>
        <v>-456.24999999999966</v>
      </c>
      <c r="AC41" s="61">
        <f t="shared" si="29"/>
        <v>0.68315972222222243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17"/>
        <v>0</v>
      </c>
      <c r="X42" s="70"/>
      <c r="Y42" s="60"/>
      <c r="Z42" s="480"/>
      <c r="AA42" s="483"/>
      <c r="AB42" s="268"/>
      <c r="AC42" s="61"/>
      <c r="AD42" s="448"/>
    </row>
    <row r="43" spans="1:30" s="62" customFormat="1" ht="15" customHeight="1">
      <c r="A43" s="458"/>
      <c r="B43" s="56"/>
      <c r="C43" s="27"/>
      <c r="D43" s="276"/>
      <c r="E43" s="29"/>
      <c r="F43" s="56"/>
      <c r="G43" s="66"/>
      <c r="H43" s="50"/>
      <c r="I43" s="64"/>
      <c r="J43" s="37"/>
      <c r="K43" s="36"/>
      <c r="L43" s="38"/>
      <c r="M43" s="65"/>
      <c r="N43" s="66"/>
      <c r="O43" s="67"/>
      <c r="P43" s="39"/>
      <c r="Q43" s="40"/>
      <c r="R43" s="188"/>
      <c r="S43" s="420"/>
      <c r="T43" s="75"/>
      <c r="U43" s="75"/>
      <c r="V43" s="42"/>
      <c r="W43" s="69">
        <f>(U43-T43)*24*60</f>
        <v>0</v>
      </c>
      <c r="X43" s="70"/>
      <c r="Y43" s="334"/>
      <c r="Z43" s="480"/>
      <c r="AA43" s="483"/>
      <c r="AB43" s="71"/>
      <c r="AC43" s="61"/>
      <c r="AD43" s="448"/>
    </row>
    <row r="44" spans="1:30" s="62" customFormat="1" ht="15" customHeight="1">
      <c r="A44" s="458"/>
      <c r="B44" s="56"/>
      <c r="C44" s="23"/>
      <c r="D44" s="276"/>
      <c r="E44" s="12"/>
      <c r="F44" s="56"/>
      <c r="G44" s="273"/>
      <c r="H44" s="50"/>
      <c r="I44" s="64"/>
      <c r="J44" s="37"/>
      <c r="K44" s="36"/>
      <c r="L44" s="38"/>
      <c r="M44" s="65"/>
      <c r="N44" s="66"/>
      <c r="O44" s="67"/>
      <c r="P44" s="39"/>
      <c r="Q44" s="40"/>
      <c r="R44" s="188"/>
      <c r="S44" s="420"/>
      <c r="T44" s="75"/>
      <c r="U44" s="75"/>
      <c r="V44" s="42"/>
      <c r="W44" s="69">
        <f t="shared" ref="W44:W48" si="34">(U44-T44)*24*60</f>
        <v>0</v>
      </c>
      <c r="X44" s="70"/>
      <c r="Y44" s="67"/>
      <c r="Z44" s="480"/>
      <c r="AA44" s="483"/>
      <c r="AB44" s="71"/>
      <c r="AC44" s="61"/>
      <c r="AD44" s="448"/>
    </row>
    <row r="45" spans="1:30" s="62" customFormat="1" ht="15" customHeight="1">
      <c r="A45" s="458"/>
      <c r="B45" s="56"/>
      <c r="C45" s="23"/>
      <c r="D45" s="276"/>
      <c r="E45" s="12"/>
      <c r="F45" s="56"/>
      <c r="G45" s="273"/>
      <c r="H45" s="50"/>
      <c r="I45" s="64"/>
      <c r="J45" s="37"/>
      <c r="K45" s="36"/>
      <c r="L45" s="38"/>
      <c r="M45" s="65"/>
      <c r="N45" s="66"/>
      <c r="O45" s="67"/>
      <c r="P45" s="39"/>
      <c r="Q45" s="40"/>
      <c r="R45" s="188"/>
      <c r="S45" s="420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/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25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5">AVERAGE(J38:J47)</f>
        <v>16.75</v>
      </c>
      <c r="K48" s="133">
        <f t="shared" si="35"/>
        <v>1446.5</v>
      </c>
      <c r="L48" s="136">
        <f t="shared" si="35"/>
        <v>87.380701754385967</v>
      </c>
      <c r="M48" s="133">
        <f t="shared" si="35"/>
        <v>14</v>
      </c>
      <c r="N48" s="133">
        <f t="shared" si="35"/>
        <v>1038.6119334912305</v>
      </c>
      <c r="O48" s="136">
        <f t="shared" si="35"/>
        <v>74.186566677945024</v>
      </c>
      <c r="P48" s="155">
        <f>M48-J48</f>
        <v>-2.75</v>
      </c>
      <c r="Q48" s="156">
        <f>N48-K48</f>
        <v>-407.8880665087695</v>
      </c>
      <c r="R48" s="157">
        <f>O48/L48</f>
        <v>0.84900401562890082</v>
      </c>
      <c r="S48" s="423"/>
      <c r="T48" s="158"/>
      <c r="U48" s="158"/>
      <c r="V48" s="194"/>
      <c r="W48" s="159">
        <f t="shared" si="34"/>
        <v>0</v>
      </c>
      <c r="X48" s="160"/>
      <c r="Y48" s="160"/>
      <c r="Z48" s="424"/>
      <c r="AA48" s="424"/>
      <c r="AB48" s="161">
        <f t="shared" ref="AB48:AB53" si="36">N48-K48</f>
        <v>-407.8880665087695</v>
      </c>
      <c r="AC48" s="189">
        <f t="shared" ref="AC48:AC53" si="37">N48/K48</f>
        <v>0.71801723711803012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1271</v>
      </c>
      <c r="H49" s="124">
        <f t="shared" ref="H49:H57" si="38">F49*G49</f>
        <v>72281.76999999999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1525.2000000000005</v>
      </c>
      <c r="O49" s="127">
        <f>N49/M49</f>
        <v>80.273684210526341</v>
      </c>
      <c r="P49" s="162">
        <f>M49-J49</f>
        <v>0</v>
      </c>
      <c r="Q49" s="111">
        <f>O49-L49</f>
        <v>-2.0947368421052346</v>
      </c>
      <c r="R49" s="182">
        <f>O49/L49</f>
        <v>0.97456869009584701</v>
      </c>
      <c r="S49" s="419">
        <f>R58</f>
        <v>0.95250549592610989</v>
      </c>
      <c r="T49" s="149">
        <v>0.2902777777777778</v>
      </c>
      <c r="U49" s="149">
        <v>0.32500000000000001</v>
      </c>
      <c r="V49" s="186"/>
      <c r="W49" s="150">
        <f t="shared" si="17"/>
        <v>49.999999999999986</v>
      </c>
      <c r="X49" s="186"/>
      <c r="Y49" s="186"/>
      <c r="Z49" s="425"/>
      <c r="AA49" s="425"/>
      <c r="AB49" s="110">
        <f t="shared" si="36"/>
        <v>-39.7999999999995</v>
      </c>
      <c r="AC49" s="182">
        <f t="shared" si="37"/>
        <v>0.97456869009584701</v>
      </c>
      <c r="AD49" s="411">
        <f>AC58</f>
        <v>0.93443256257862928</v>
      </c>
    </row>
    <row r="50" spans="1:30" ht="15" customHeight="1">
      <c r="A50" s="455"/>
      <c r="B50" s="56" t="str">
        <f>VLOOKUP(D50,廠價表!$C$1:$E$40,2,0)</f>
        <v>熱乾麵</v>
      </c>
      <c r="C50" s="10"/>
      <c r="D50" s="11" t="s">
        <v>46</v>
      </c>
      <c r="E50" s="86"/>
      <c r="F50" s="56">
        <f>VLOOKUP(D50,廠價表!$C$1:$E$40,3,0)</f>
        <v>49.91</v>
      </c>
      <c r="G50" s="66">
        <v>2206</v>
      </c>
      <c r="H50" s="76">
        <f t="shared" ref="H50:H51" si="39">F50*G50</f>
        <v>110101.45999999999</v>
      </c>
      <c r="I50" s="191"/>
      <c r="J50" s="16">
        <f>VLOOKUP(D50,產線配置圖!$A$3:$C$39,2,0)</f>
        <v>17</v>
      </c>
      <c r="K50" s="14">
        <f>VLOOKUP(D50,產線配置圖!$A$3:$C$39,3,0)</f>
        <v>1565</v>
      </c>
      <c r="L50" s="17">
        <f t="shared" ref="L50:L51" si="40">K50/J50</f>
        <v>92.058823529411768</v>
      </c>
      <c r="M50" s="172">
        <v>17</v>
      </c>
      <c r="N50" s="77">
        <f t="shared" ref="N50:N51" si="41">G50/W50*60</f>
        <v>1487.1910112359551</v>
      </c>
      <c r="O50" s="78">
        <f t="shared" ref="O50:O51" si="42">N50/M50</f>
        <v>87.481824190350295</v>
      </c>
      <c r="P50" s="18">
        <f t="shared" ref="P50:P51" si="43">M50-J50</f>
        <v>0</v>
      </c>
      <c r="Q50" s="19">
        <f t="shared" ref="Q50:Q51" si="44">O50-L50</f>
        <v>-4.5769993390614729</v>
      </c>
      <c r="R50" s="183">
        <f t="shared" ref="R50:R51" si="45">O50/L50</f>
        <v>0.95028179631690413</v>
      </c>
      <c r="S50" s="420"/>
      <c r="T50" s="79">
        <v>0.33263888888888887</v>
      </c>
      <c r="U50" s="79">
        <v>0.39444444444444443</v>
      </c>
      <c r="V50" s="175">
        <f t="shared" ref="V50:V53" si="46">(T50-U49)*24*60</f>
        <v>10.999999999999961</v>
      </c>
      <c r="W50" s="80">
        <f t="shared" si="17"/>
        <v>89</v>
      </c>
      <c r="X50" s="22"/>
      <c r="Y50" s="22"/>
      <c r="Z50" s="417"/>
      <c r="AA50" s="418"/>
      <c r="AB50" s="18">
        <f t="shared" si="36"/>
        <v>-77.808988764044898</v>
      </c>
      <c r="AC50" s="183">
        <f t="shared" si="37"/>
        <v>0.95028179631690424</v>
      </c>
      <c r="AD50" s="412"/>
    </row>
    <row r="51" spans="1:30" ht="15" customHeight="1">
      <c r="A51" s="455"/>
      <c r="B51" s="56" t="str">
        <f>VLOOKUP(D51,廠價表!$C$1:$E$40,2,0)</f>
        <v>義大利麵</v>
      </c>
      <c r="C51" s="23"/>
      <c r="D51" s="11" t="s">
        <v>59</v>
      </c>
      <c r="E51" s="12"/>
      <c r="F51" s="56">
        <f>VLOOKUP(D51,廠價表!$C$1:$E$40,3,0)</f>
        <v>49.97</v>
      </c>
      <c r="G51" s="66">
        <v>2508</v>
      </c>
      <c r="H51" s="76">
        <f t="shared" si="39"/>
        <v>125324.76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 t="shared" si="40"/>
        <v>88.888888888888886</v>
      </c>
      <c r="M51" s="172">
        <v>18</v>
      </c>
      <c r="N51" s="77">
        <f t="shared" si="41"/>
        <v>1519.9999999999957</v>
      </c>
      <c r="O51" s="78">
        <f t="shared" si="42"/>
        <v>84.444444444444201</v>
      </c>
      <c r="P51" s="18">
        <f t="shared" si="43"/>
        <v>0</v>
      </c>
      <c r="Q51" s="19">
        <f t="shared" si="44"/>
        <v>-4.4444444444446844</v>
      </c>
      <c r="R51" s="183">
        <f t="shared" si="45"/>
        <v>0.94999999999999729</v>
      </c>
      <c r="S51" s="420"/>
      <c r="T51" s="79">
        <v>0.40277777777777779</v>
      </c>
      <c r="U51" s="44">
        <v>0.47152777777777799</v>
      </c>
      <c r="V51" s="175">
        <f t="shared" si="46"/>
        <v>12.000000000000037</v>
      </c>
      <c r="W51" s="80">
        <f t="shared" si="17"/>
        <v>99.000000000000284</v>
      </c>
      <c r="X51" s="22"/>
      <c r="Y51" s="22"/>
      <c r="Z51" s="405"/>
      <c r="AA51" s="405"/>
      <c r="AB51" s="18">
        <f t="shared" si="36"/>
        <v>-80.00000000000432</v>
      </c>
      <c r="AC51" s="183">
        <f t="shared" si="37"/>
        <v>0.94999999999999729</v>
      </c>
      <c r="AD51" s="412"/>
    </row>
    <row r="52" spans="1:30" ht="15" customHeight="1">
      <c r="A52" s="455"/>
      <c r="B52" s="56" t="str">
        <f>VLOOKUP(D52,廠價表!$C$1:$E$40,2,0)</f>
        <v>義大利麵</v>
      </c>
      <c r="C52" s="23"/>
      <c r="D52" s="11" t="s">
        <v>59</v>
      </c>
      <c r="E52" s="12"/>
      <c r="F52" s="56">
        <f>VLOOKUP(D52,廠價表!$C$1:$E$40,3,0)</f>
        <v>49.97</v>
      </c>
      <c r="G52" s="66">
        <v>2045</v>
      </c>
      <c r="H52" s="76">
        <f t="shared" ref="H52:H53" si="47">F52*G52</f>
        <v>102188.65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 t="shared" ref="L52:L53" si="48">K52/J52</f>
        <v>88.888888888888886</v>
      </c>
      <c r="M52" s="172">
        <v>18</v>
      </c>
      <c r="N52" s="77">
        <f t="shared" ref="N52:N53" si="49">G52/W52*60</f>
        <v>1533.7499999999993</v>
      </c>
      <c r="O52" s="78">
        <f t="shared" ref="O52:O53" si="50">N52/M52</f>
        <v>85.2083333333333</v>
      </c>
      <c r="P52" s="18">
        <f t="shared" ref="P52:P53" si="51">M52-J52</f>
        <v>0</v>
      </c>
      <c r="Q52" s="19">
        <f t="shared" ref="Q52:Q53" si="52">O52-L52</f>
        <v>-3.6805555555555856</v>
      </c>
      <c r="R52" s="183">
        <f t="shared" ref="R52:R53" si="53">O52/L52</f>
        <v>0.95859374999999969</v>
      </c>
      <c r="S52" s="420"/>
      <c r="T52" s="79">
        <v>0.53472222222222221</v>
      </c>
      <c r="U52" s="79">
        <v>0.59027777777777779</v>
      </c>
      <c r="V52" s="175">
        <f t="shared" si="46"/>
        <v>90.999999999999673</v>
      </c>
      <c r="W52" s="80">
        <f t="shared" si="17"/>
        <v>80.000000000000028</v>
      </c>
      <c r="X52" s="22">
        <v>0.47916666666666702</v>
      </c>
      <c r="Y52" s="22">
        <v>0.52083333333333304</v>
      </c>
      <c r="Z52" s="417"/>
      <c r="AA52" s="418"/>
      <c r="AB52" s="18">
        <f t="shared" si="36"/>
        <v>-66.250000000000682</v>
      </c>
      <c r="AC52" s="183">
        <f t="shared" si="37"/>
        <v>0.95859374999999958</v>
      </c>
      <c r="AD52" s="412"/>
    </row>
    <row r="53" spans="1:30" ht="15" customHeight="1">
      <c r="A53" s="455"/>
      <c r="B53" s="56" t="s">
        <v>45</v>
      </c>
      <c r="C53" s="23"/>
      <c r="D53" s="11" t="s">
        <v>167</v>
      </c>
      <c r="E53" s="12"/>
      <c r="F53" s="56">
        <f>VLOOKUP(D53,廠價表!$C$1:$E$40,3,0)</f>
        <v>44.3</v>
      </c>
      <c r="G53" s="66">
        <v>1493</v>
      </c>
      <c r="H53" s="76">
        <f t="shared" si="47"/>
        <v>66139.899999999994</v>
      </c>
      <c r="I53" s="191"/>
      <c r="J53" s="16">
        <f>VLOOKUP(D53,產線配置圖!$A$3:$C$39,2,0)</f>
        <v>19</v>
      </c>
      <c r="K53" s="14">
        <f>VLOOKUP(D53,產線配置圖!$A$3:$C$39,3,0)</f>
        <v>1440</v>
      </c>
      <c r="L53" s="17">
        <f t="shared" si="48"/>
        <v>75.78947368421052</v>
      </c>
      <c r="M53" s="172">
        <v>17</v>
      </c>
      <c r="N53" s="77">
        <f t="shared" si="49"/>
        <v>1194.3999999999992</v>
      </c>
      <c r="O53" s="78">
        <f t="shared" si="50"/>
        <v>70.258823529411714</v>
      </c>
      <c r="P53" s="18">
        <f t="shared" si="51"/>
        <v>-2</v>
      </c>
      <c r="Q53" s="19">
        <f t="shared" si="52"/>
        <v>-5.5306501547988063</v>
      </c>
      <c r="R53" s="183">
        <f t="shared" si="53"/>
        <v>0.92702614379084913</v>
      </c>
      <c r="S53" s="420"/>
      <c r="T53" s="79">
        <v>0.60763888888888884</v>
      </c>
      <c r="U53" s="79">
        <v>0.65972222222222221</v>
      </c>
      <c r="V53" s="175">
        <f t="shared" si="46"/>
        <v>24.999999999999911</v>
      </c>
      <c r="W53" s="80">
        <f t="shared" si="17"/>
        <v>75.000000000000057</v>
      </c>
      <c r="X53" s="175"/>
      <c r="Y53" s="175"/>
      <c r="Z53" s="417"/>
      <c r="AA53" s="418"/>
      <c r="AB53" s="18">
        <f t="shared" si="36"/>
        <v>-245.60000000000082</v>
      </c>
      <c r="AC53" s="183">
        <f t="shared" si="37"/>
        <v>0.82944444444444387</v>
      </c>
      <c r="AD53" s="412"/>
    </row>
    <row r="54" spans="1:30" ht="15" customHeight="1">
      <c r="A54" s="455"/>
      <c r="B54" s="56"/>
      <c r="C54" s="181"/>
      <c r="D54" s="11"/>
      <c r="E54" s="12"/>
      <c r="F54" s="56"/>
      <c r="G54" s="66"/>
      <c r="H54" s="76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79"/>
      <c r="U54" s="79"/>
      <c r="V54" s="175"/>
      <c r="W54" s="80">
        <f t="shared" si="17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8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7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8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7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8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7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54">AVERAGE(J49:J57)</f>
        <v>18.2</v>
      </c>
      <c r="K58" s="117">
        <f t="shared" si="54"/>
        <v>1554</v>
      </c>
      <c r="L58" s="114">
        <f t="shared" si="54"/>
        <v>85.59889920880633</v>
      </c>
      <c r="M58" s="117">
        <f t="shared" si="54"/>
        <v>17.8</v>
      </c>
      <c r="N58" s="117">
        <f t="shared" si="54"/>
        <v>1452.1082022471899</v>
      </c>
      <c r="O58" s="114">
        <f t="shared" si="54"/>
        <v>81.53342194161317</v>
      </c>
      <c r="P58" s="118">
        <f>M58-J58</f>
        <v>-0.39999999999999858</v>
      </c>
      <c r="Q58" s="119">
        <f>N58-K58</f>
        <v>-101.89179775281013</v>
      </c>
      <c r="R58" s="120">
        <f t="shared" ref="R58:R60" si="55">O58/L58</f>
        <v>0.95250549592610989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56">N58-K58</f>
        <v>-101.89179775281013</v>
      </c>
      <c r="AC58" s="185">
        <f t="shared" ref="AC58:AC63" si="57">N58/K58</f>
        <v>0.93443256257862928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f>3071+200</f>
        <v>3271</v>
      </c>
      <c r="H59" s="105">
        <f t="shared" ref="H59:H68" si="58">F59*G59</f>
        <v>88284.29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0" si="59">G59/W59*60</f>
        <v>1545.3543307086622</v>
      </c>
      <c r="O59" s="108">
        <f t="shared" ref="O59:O60" si="60">N59/M59</f>
        <v>118.87341005451248</v>
      </c>
      <c r="P59" s="110">
        <f t="shared" ref="P59:P60" si="61">M59-J59</f>
        <v>0</v>
      </c>
      <c r="Q59" s="111">
        <f t="shared" ref="Q59:Q60" si="62">O59-L59</f>
        <v>-1.5112053301029107</v>
      </c>
      <c r="R59" s="182">
        <f t="shared" si="55"/>
        <v>0.98744685668285126</v>
      </c>
      <c r="S59" s="419">
        <f>R69</f>
        <v>0.87761472619511138</v>
      </c>
      <c r="T59" s="167">
        <v>0.2902777777777778</v>
      </c>
      <c r="U59" s="167">
        <v>0.37847222222222221</v>
      </c>
      <c r="V59" s="186"/>
      <c r="W59" s="106">
        <f t="shared" si="17"/>
        <v>126.99999999999994</v>
      </c>
      <c r="X59" s="344"/>
      <c r="Y59" s="344"/>
      <c r="Z59" s="469"/>
      <c r="AA59" s="434"/>
      <c r="AB59" s="223">
        <f t="shared" si="56"/>
        <v>-19.645669291337754</v>
      </c>
      <c r="AC59" s="224">
        <f t="shared" si="57"/>
        <v>0.98744685668285126</v>
      </c>
      <c r="AD59" s="411">
        <f>AC69</f>
        <v>0.88043093466915612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599</v>
      </c>
      <c r="H60" s="15">
        <f t="shared" si="58"/>
        <v>17053.53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9"/>
        <v>1026.857142857144</v>
      </c>
      <c r="O60" s="17">
        <f t="shared" si="60"/>
        <v>85.571428571428669</v>
      </c>
      <c r="P60" s="18">
        <f t="shared" si="61"/>
        <v>0</v>
      </c>
      <c r="Q60" s="19">
        <f t="shared" si="62"/>
        <v>-44.845238095237988</v>
      </c>
      <c r="R60" s="183">
        <f t="shared" si="55"/>
        <v>0.65613874942948502</v>
      </c>
      <c r="S60" s="474"/>
      <c r="T60" s="20">
        <v>0.38541666666666669</v>
      </c>
      <c r="U60" s="20">
        <v>0.40972222222222221</v>
      </c>
      <c r="V60" s="175">
        <f t="shared" ref="V60:V61" si="63">(T60-U59)*24*60</f>
        <v>10.000000000000044</v>
      </c>
      <c r="W60" s="90">
        <f t="shared" si="17"/>
        <v>34.999999999999957</v>
      </c>
      <c r="X60" s="291"/>
      <c r="Y60" s="291"/>
      <c r="Z60" s="405" t="s">
        <v>176</v>
      </c>
      <c r="AA60" s="405"/>
      <c r="AB60" s="225">
        <f t="shared" si="56"/>
        <v>-538.14285714285597</v>
      </c>
      <c r="AC60" s="226">
        <f t="shared" si="57"/>
        <v>0.65613874942948502</v>
      </c>
      <c r="AD60" s="464"/>
    </row>
    <row r="61" spans="1:30" ht="15" customHeight="1">
      <c r="A61" s="472"/>
      <c r="B61" s="56" t="str">
        <f>VLOOKUP(D61,廠價表!$C$1:$E$40,2,0)</f>
        <v>小吃、微波</v>
      </c>
      <c r="C61" s="10"/>
      <c r="D61" s="239" t="s">
        <v>64</v>
      </c>
      <c r="E61" s="86"/>
      <c r="F61" s="56">
        <f>VLOOKUP(D61,廠價表!$C$1:$E$40,3,0)</f>
        <v>28.26</v>
      </c>
      <c r="G61" s="175">
        <v>2212</v>
      </c>
      <c r="H61" s="15">
        <f>F61*G61</f>
        <v>62511.12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>G61/W61*60</f>
        <v>1561.4117647058822</v>
      </c>
      <c r="O61" s="17">
        <f>N61/M61</f>
        <v>130.11764705882351</v>
      </c>
      <c r="P61" s="18">
        <f>M61-J61</f>
        <v>0</v>
      </c>
      <c r="Q61" s="19">
        <f>O61-L61</f>
        <v>-0.29901960784314952</v>
      </c>
      <c r="R61" s="183">
        <f>O61/L61</f>
        <v>0.9977071978951324</v>
      </c>
      <c r="S61" s="420"/>
      <c r="T61" s="20">
        <v>0.4236111111111111</v>
      </c>
      <c r="U61" s="20">
        <v>0.4826388888888889</v>
      </c>
      <c r="V61" s="175">
        <f t="shared" si="63"/>
        <v>20.000000000000007</v>
      </c>
      <c r="W61" s="88">
        <f t="shared" si="17"/>
        <v>85.000000000000014</v>
      </c>
      <c r="X61" s="22"/>
      <c r="Y61" s="22"/>
      <c r="Z61" s="405"/>
      <c r="AA61" s="405"/>
      <c r="AB61" s="51">
        <f t="shared" si="56"/>
        <v>-3.5882352941177942</v>
      </c>
      <c r="AC61" s="52">
        <f t="shared" si="57"/>
        <v>0.9977071978951324</v>
      </c>
      <c r="AD61" s="412"/>
    </row>
    <row r="62" spans="1:30" ht="15" customHeight="1">
      <c r="A62" s="472"/>
      <c r="B62" s="197"/>
      <c r="C62" s="101"/>
      <c r="D62" s="102"/>
      <c r="E62" s="103"/>
      <c r="F62" s="197"/>
      <c r="G62" s="186"/>
      <c r="H62" s="105"/>
      <c r="I62" s="186"/>
      <c r="J62" s="107"/>
      <c r="K62" s="104"/>
      <c r="L62" s="108"/>
      <c r="M62" s="109"/>
      <c r="N62" s="104"/>
      <c r="O62" s="108"/>
      <c r="P62" s="110"/>
      <c r="Q62" s="111"/>
      <c r="R62" s="182"/>
      <c r="S62" s="420"/>
      <c r="T62" s="20"/>
      <c r="U62" s="20"/>
      <c r="V62" s="175"/>
      <c r="W62" s="90">
        <f t="shared" si="17"/>
        <v>0</v>
      </c>
      <c r="X62" s="22"/>
      <c r="Y62" s="22"/>
      <c r="Z62" s="405"/>
      <c r="AA62" s="405"/>
      <c r="AB62" s="51">
        <f t="shared" si="56"/>
        <v>0</v>
      </c>
      <c r="AC62" s="52" t="e">
        <f t="shared" si="57"/>
        <v>#DIV/0!</v>
      </c>
      <c r="AD62" s="412"/>
    </row>
    <row r="63" spans="1:30" ht="15" customHeight="1">
      <c r="A63" s="472"/>
      <c r="B63" s="342"/>
      <c r="C63" s="246"/>
      <c r="D63" s="247"/>
      <c r="E63" s="248"/>
      <c r="F63" s="305"/>
      <c r="G63" s="335"/>
      <c r="H63" s="307"/>
      <c r="I63" s="335"/>
      <c r="J63" s="309"/>
      <c r="K63" s="306"/>
      <c r="L63" s="310"/>
      <c r="M63" s="311"/>
      <c r="N63" s="306"/>
      <c r="O63" s="310"/>
      <c r="P63" s="312"/>
      <c r="Q63" s="313"/>
      <c r="R63" s="314"/>
      <c r="S63" s="420"/>
      <c r="T63" s="20"/>
      <c r="U63" s="20"/>
      <c r="V63" s="175"/>
      <c r="W63" s="90">
        <f t="shared" si="17"/>
        <v>0</v>
      </c>
      <c r="X63" s="84"/>
      <c r="Y63" s="84"/>
      <c r="Z63" s="405"/>
      <c r="AA63" s="405"/>
      <c r="AB63" s="51">
        <f t="shared" si="56"/>
        <v>0</v>
      </c>
      <c r="AC63" s="52" t="e">
        <f t="shared" si="57"/>
        <v>#DIV/0!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7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7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7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7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8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7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64">AVERAGE(J59:J68)</f>
        <v>12.333333333333334</v>
      </c>
      <c r="K69" s="164">
        <f t="shared" si="64"/>
        <v>1565</v>
      </c>
      <c r="L69" s="169">
        <f t="shared" si="64"/>
        <v>127.07264957264958</v>
      </c>
      <c r="M69" s="164">
        <f t="shared" si="64"/>
        <v>12.333333333333334</v>
      </c>
      <c r="N69" s="164">
        <f t="shared" si="64"/>
        <v>1377.8744127572293</v>
      </c>
      <c r="O69" s="169">
        <f t="shared" si="64"/>
        <v>111.5208285615882</v>
      </c>
      <c r="P69" s="170">
        <f>M69-J69</f>
        <v>0</v>
      </c>
      <c r="Q69" s="156">
        <f>N69-K69</f>
        <v>-187.12558724277073</v>
      </c>
      <c r="R69" s="120">
        <f>O69/L69</f>
        <v>0.87761472619511138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-187.12558724277073</v>
      </c>
      <c r="AC69" s="185">
        <f>N69/K69</f>
        <v>0.88043093466915612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17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17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17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7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65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7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65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7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65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7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65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7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65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7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Z1:AA2"/>
    <mergeCell ref="AB1:AD2"/>
    <mergeCell ref="M3:M4"/>
    <mergeCell ref="AD3:AD4"/>
    <mergeCell ref="S3:S4"/>
    <mergeCell ref="AC3:AC4"/>
    <mergeCell ref="T3:U3"/>
    <mergeCell ref="V3:V4"/>
    <mergeCell ref="W3:W4"/>
    <mergeCell ref="A2:B2"/>
    <mergeCell ref="S5:S15"/>
    <mergeCell ref="Z5:AA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Z15:AA15"/>
    <mergeCell ref="M1:O2"/>
    <mergeCell ref="J1:L2"/>
    <mergeCell ref="X3:Y3"/>
    <mergeCell ref="Z3:AA4"/>
    <mergeCell ref="AB3:AB4"/>
    <mergeCell ref="P3:P4"/>
    <mergeCell ref="Q3:Q4"/>
    <mergeCell ref="R3:R4"/>
    <mergeCell ref="P1:S2"/>
    <mergeCell ref="T1:Y2"/>
    <mergeCell ref="D15:E15"/>
    <mergeCell ref="N3:N4"/>
    <mergeCell ref="O3:O4"/>
    <mergeCell ref="G3:G4"/>
    <mergeCell ref="A3:A4"/>
    <mergeCell ref="B3:B4"/>
    <mergeCell ref="D3:E4"/>
    <mergeCell ref="F3:F4"/>
    <mergeCell ref="A5:A15"/>
    <mergeCell ref="H3:H4"/>
    <mergeCell ref="I3:I4"/>
    <mergeCell ref="J3:J4"/>
    <mergeCell ref="K3:K4"/>
    <mergeCell ref="L3:L4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28" priority="1" operator="greaterThan">
      <formula>0</formula>
    </cfRule>
  </conditionalFormatting>
  <conditionalFormatting sqref="Q5:Q79 AB5:AB79">
    <cfRule type="cellIs" dxfId="127" priority="4" operator="lessThan">
      <formula>0</formula>
    </cfRule>
  </conditionalFormatting>
  <conditionalFormatting sqref="R5:R79 AC5:AC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D59:AD62 S69:S76 AD69:AD76">
    <cfRule type="cellIs" dxfId="124" priority="7" operator="lessThan">
      <formula>0.8</formula>
    </cfRule>
  </conditionalFormatting>
  <conditionalFormatting sqref="S19:S25 AD19:AD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D5:AD8 S15:S16 AD15:AD16 AD49 AD79">
    <cfRule type="cellIs" dxfId="121" priority="9" operator="lessThan">
      <formula>0.8</formula>
    </cfRule>
  </conditionalFormatting>
  <conditionalFormatting sqref="AD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U62" sqref="U62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46011</v>
      </c>
      <c r="E3" s="357"/>
      <c r="F3" s="202" t="s">
        <v>84</v>
      </c>
      <c r="G3" s="358">
        <f>'1220'!E1</f>
        <v>49848</v>
      </c>
      <c r="H3" s="358"/>
      <c r="I3" s="202" t="s">
        <v>2</v>
      </c>
      <c r="J3" s="359">
        <f>'1220'!G1</f>
        <v>2418361.7200000007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113.77548171427816</v>
      </c>
      <c r="G6" s="367"/>
      <c r="H6" s="360">
        <f>AVERAGE(D13:H13)</f>
        <v>110.94884728790302</v>
      </c>
      <c r="I6" s="360"/>
      <c r="J6" s="360">
        <f>AVERAGE(I13:J13)</f>
        <v>127.90865384615384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98.979714761240828</v>
      </c>
      <c r="G7" s="362"/>
      <c r="H7" s="363">
        <f>AVERAGE(D14:H14)</f>
        <v>96.465003016073723</v>
      </c>
      <c r="I7" s="363"/>
      <c r="J7" s="363">
        <f>AVERAGE(I14:J14)</f>
        <v>111.5532734870764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0.8772618358409755</v>
      </c>
      <c r="G8" s="364"/>
      <c r="H8" s="364">
        <f>AVERAGE(D15:H15)</f>
        <v>0.87828773516243586</v>
      </c>
      <c r="I8" s="364"/>
      <c r="J8" s="364">
        <f>AVERAGE(I15:J15)</f>
        <v>0.87213233923367384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VALUE('1220'!L15)</f>
        <v>122.41077807641274</v>
      </c>
      <c r="E13" s="213">
        <f>VALUE('1220'!L26)</f>
        <v>162.27564102564102</v>
      </c>
      <c r="F13" s="213">
        <f>VALUE('1220'!L37)</f>
        <v>92.236111111111114</v>
      </c>
      <c r="G13" s="213">
        <f>VALUE('1220'!L48)</f>
        <v>87.380701754385967</v>
      </c>
      <c r="H13" s="213">
        <f>VALUE('1220'!L58)</f>
        <v>90.44100447196422</v>
      </c>
      <c r="I13" s="213">
        <f>VALUE('1220'!L69)</f>
        <v>127.90865384615384</v>
      </c>
      <c r="J13" s="213"/>
    </row>
    <row r="14" spans="2:15" ht="40" customHeight="1">
      <c r="B14" s="376"/>
      <c r="C14" s="212" t="s">
        <v>106</v>
      </c>
      <c r="D14" s="213">
        <f>VALUE('1220'!O15)</f>
        <v>100.48633347927932</v>
      </c>
      <c r="E14" s="213">
        <f>VALUE('1220'!O26)</f>
        <v>135.04430144241584</v>
      </c>
      <c r="F14" s="213">
        <f>VALUE('1220'!O37)</f>
        <v>87.861739844706079</v>
      </c>
      <c r="G14" s="213">
        <f>VALUE('1220'!O48)</f>
        <v>73.524427952999403</v>
      </c>
      <c r="H14" s="213">
        <f>VALUE('1220'!O58)</f>
        <v>85.408212360967923</v>
      </c>
      <c r="I14" s="213">
        <f>VALUE('1220'!O69)</f>
        <v>111.5532734870764</v>
      </c>
      <c r="J14" s="213"/>
    </row>
    <row r="15" spans="2:15" ht="40" customHeight="1">
      <c r="B15" s="377"/>
      <c r="C15" s="210" t="s">
        <v>23</v>
      </c>
      <c r="D15" s="231">
        <f>D14/D13</f>
        <v>0.82089449195848196</v>
      </c>
      <c r="E15" s="231">
        <f t="shared" ref="E15:I15" si="0">E14/E13</f>
        <v>0.83219083646126302</v>
      </c>
      <c r="F15" s="231">
        <f t="shared" si="0"/>
        <v>0.95257420099666279</v>
      </c>
      <c r="G15" s="231">
        <f t="shared" si="0"/>
        <v>0.84142638450839558</v>
      </c>
      <c r="H15" s="231">
        <f t="shared" si="0"/>
        <v>0.94435276188737582</v>
      </c>
      <c r="I15" s="231">
        <f t="shared" si="0"/>
        <v>0.87213233923367384</v>
      </c>
      <c r="J15" s="343"/>
    </row>
    <row r="16" spans="2:15" ht="17.25" customHeight="1">
      <c r="B16" s="378" t="s">
        <v>107</v>
      </c>
      <c r="C16" s="210" t="s">
        <v>29</v>
      </c>
      <c r="D16" s="95">
        <f>'1220'!T5</f>
        <v>0.2902777777777778</v>
      </c>
      <c r="E16" s="95">
        <f>'1220'!T16</f>
        <v>0.2902777777777778</v>
      </c>
      <c r="F16" s="95">
        <f>'1220'!T27</f>
        <v>0.29166666666666702</v>
      </c>
      <c r="G16" s="95">
        <f>'1220'!T38</f>
        <v>0.2951388888888889</v>
      </c>
      <c r="H16" s="95">
        <f>'1220'!T49</f>
        <v>0.2902777777777778</v>
      </c>
      <c r="I16" s="95">
        <f>'1220'!T59</f>
        <v>0.29166666666666669</v>
      </c>
      <c r="J16" s="269"/>
    </row>
    <row r="17" spans="2:10" ht="17.25" customHeight="1">
      <c r="B17" s="379"/>
      <c r="C17" s="210" t="s">
        <v>30</v>
      </c>
      <c r="D17" s="20">
        <v>0.6743055555555556</v>
      </c>
      <c r="E17" s="41">
        <v>0.58958333333333335</v>
      </c>
      <c r="F17" s="41">
        <v>0.63541666666666663</v>
      </c>
      <c r="G17" s="75">
        <v>0.59722222222222221</v>
      </c>
      <c r="H17" s="79">
        <v>0.63194444444444442</v>
      </c>
      <c r="I17" s="20">
        <v>0.57361111111111107</v>
      </c>
      <c r="J17" s="20"/>
    </row>
    <row r="18" spans="2:10" ht="17.25" customHeight="1">
      <c r="B18" s="365" t="s">
        <v>108</v>
      </c>
      <c r="C18" s="366"/>
      <c r="D18" s="214">
        <f>VALUE('1220'!M15)</f>
        <v>15.428571428571429</v>
      </c>
      <c r="E18" s="214">
        <f>VALUE('1220'!M26)</f>
        <v>12.5</v>
      </c>
      <c r="F18" s="214">
        <f>VALUE('1220'!M37)</f>
        <v>14.5</v>
      </c>
      <c r="G18" s="214">
        <f>VALUE('1220'!M48)</f>
        <v>16.25</v>
      </c>
      <c r="H18" s="214">
        <f>VALUE('1220'!M58)</f>
        <v>17.399999999999999</v>
      </c>
      <c r="I18" s="214">
        <f>VALUE('1220'!M69)</f>
        <v>12.5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K56" activePane="bottomRight" state="frozen"/>
      <selection activeCell="U62" sqref="U62"/>
      <selection pane="topRight" activeCell="U62" sqref="U62"/>
      <selection pane="bottomLeft" activeCell="U62" sqref="U62"/>
      <selection pane="bottomRight" activeCell="V61" activeCellId="16" sqref="M31 V6 V7 V8 V10 V11 V17 V18 V29 V28 V39 V40 V50 V51 V53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49848</v>
      </c>
      <c r="F1" s="175" t="s">
        <v>2</v>
      </c>
      <c r="G1" s="4">
        <f>SUM(H5:H79)</f>
        <v>2418361.7200000007</v>
      </c>
      <c r="H1" s="173" t="s">
        <v>3</v>
      </c>
      <c r="I1" s="5">
        <f>M15+M26+M48+M58+M69+M79+M37</f>
        <v>88.578571428571422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177</v>
      </c>
      <c r="B2" s="404"/>
      <c r="C2" s="174"/>
      <c r="D2" s="174" t="s">
        <v>11</v>
      </c>
      <c r="E2" s="7">
        <f>AVERAGE(O15,O26,O37,O48,O58,O69,O79)</f>
        <v>98.979714761240828</v>
      </c>
      <c r="F2" s="8" t="s">
        <v>12</v>
      </c>
      <c r="G2" s="9">
        <f>G1/E1</f>
        <v>48.514719146204477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tr">
        <f>VLOOKUP(D5,廠價表!$C$1:$E$40,2,0)</f>
        <v>義大利麵</v>
      </c>
      <c r="C5" s="315"/>
      <c r="D5" s="329" t="s">
        <v>32</v>
      </c>
      <c r="E5" s="316"/>
      <c r="F5" s="299">
        <f>VLOOKUP(D5,廠價表!$C$1:$E$40,3,0)</f>
        <v>57.21</v>
      </c>
      <c r="G5" s="317">
        <v>1229</v>
      </c>
      <c r="H5" s="318">
        <f>F5*G5</f>
        <v>70311.09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>K5/J5</f>
        <v>161.92307692307693</v>
      </c>
      <c r="M5" s="323">
        <v>13</v>
      </c>
      <c r="N5" s="321">
        <f t="shared" ref="N5:N11" si="0">G5/W5*60</f>
        <v>1755.7142857142887</v>
      </c>
      <c r="O5" s="322">
        <f t="shared" ref="O5:O11" si="1">N5/M5</f>
        <v>135.05494505494528</v>
      </c>
      <c r="P5" s="324">
        <f t="shared" ref="P5:P11" si="2">M5-J5</f>
        <v>0</v>
      </c>
      <c r="Q5" s="325">
        <f t="shared" ref="Q5:Q11" si="3">O5-L5</f>
        <v>-26.868131868131655</v>
      </c>
      <c r="R5" s="326">
        <f t="shared" ref="R5:R11" si="4">O5/L5</f>
        <v>0.83406854428232235</v>
      </c>
      <c r="S5" s="419">
        <f>R15</f>
        <v>0.82089449195848196</v>
      </c>
      <c r="T5" s="327">
        <v>0.2902777777777778</v>
      </c>
      <c r="U5" s="328">
        <v>0.31944444444444442</v>
      </c>
      <c r="V5" s="192"/>
      <c r="W5" s="106">
        <f t="shared" ref="W5:W14" si="5">(U5-T5)*24*60</f>
        <v>41.999999999999929</v>
      </c>
      <c r="X5" s="186"/>
      <c r="Y5" s="186"/>
      <c r="Z5" s="425"/>
      <c r="AA5" s="425"/>
      <c r="AB5" s="110">
        <f t="shared" ref="AB5:AB11" si="6">N5-K5</f>
        <v>-349.28571428571126</v>
      </c>
      <c r="AC5" s="182">
        <f t="shared" ref="AC5:AC11" si="7">N5/K5</f>
        <v>0.83406854428232247</v>
      </c>
      <c r="AD5" s="411">
        <f>AC15</f>
        <v>0.81118399382183437</v>
      </c>
    </row>
    <row r="6" spans="1:30" ht="15" customHeight="1">
      <c r="A6" s="408"/>
      <c r="B6" s="304" t="str">
        <f>VLOOKUP(D6,廠價表!$C$1:$E$40,2,0)</f>
        <v>義大利麵</v>
      </c>
      <c r="C6" s="246"/>
      <c r="D6" s="11" t="s">
        <v>35</v>
      </c>
      <c r="E6" s="248"/>
      <c r="F6" s="305">
        <f>VLOOKUP(D6,廠價表!$C$1:$E$40,3,0)</f>
        <v>56.43</v>
      </c>
      <c r="G6" s="25">
        <v>700</v>
      </c>
      <c r="H6" s="307">
        <f>F6*G6</f>
        <v>39501</v>
      </c>
      <c r="I6" s="308"/>
      <c r="J6" s="309">
        <f>VLOOKUP(D6,產線配置圖!$A$3:$C$39,2,0)</f>
        <v>15</v>
      </c>
      <c r="K6" s="306">
        <v>1800</v>
      </c>
      <c r="L6" s="310">
        <f>K6/J6</f>
        <v>120</v>
      </c>
      <c r="M6" s="311">
        <v>15</v>
      </c>
      <c r="N6" s="306">
        <f t="shared" si="0"/>
        <v>1312.5000000000146</v>
      </c>
      <c r="O6" s="310">
        <f t="shared" si="1"/>
        <v>87.500000000000966</v>
      </c>
      <c r="P6" s="312">
        <f t="shared" si="2"/>
        <v>0</v>
      </c>
      <c r="Q6" s="313">
        <f t="shared" si="3"/>
        <v>-32.499999999999034</v>
      </c>
      <c r="R6" s="314">
        <f t="shared" si="4"/>
        <v>0.72916666666667473</v>
      </c>
      <c r="S6" s="420"/>
      <c r="T6" s="95">
        <v>0.328472222222222</v>
      </c>
      <c r="U6" s="95">
        <v>0.35069444444444398</v>
      </c>
      <c r="V6" s="175">
        <f>(T6-U5)*24*60</f>
        <v>12.999999999999714</v>
      </c>
      <c r="W6" s="180">
        <f t="shared" si="5"/>
        <v>31.999999999999645</v>
      </c>
      <c r="X6" s="22"/>
      <c r="Y6" s="22"/>
      <c r="Z6" s="475" t="s">
        <v>171</v>
      </c>
      <c r="AA6" s="476"/>
      <c r="AB6" s="18">
        <f t="shared" si="6"/>
        <v>-487.49999999998545</v>
      </c>
      <c r="AC6" s="183">
        <f t="shared" si="7"/>
        <v>0.72916666666667473</v>
      </c>
      <c r="AD6" s="412"/>
    </row>
    <row r="7" spans="1:30" ht="15" customHeight="1">
      <c r="A7" s="408"/>
      <c r="B7" s="56" t="str">
        <f>VLOOKUP(D7,廠價表!$C$1:$E$40,2,0)</f>
        <v>義大利麵</v>
      </c>
      <c r="C7" s="10"/>
      <c r="D7" s="11" t="s">
        <v>33</v>
      </c>
      <c r="E7" s="86"/>
      <c r="F7" s="56">
        <f>VLOOKUP(D7,廠價表!$C$1:$E$40,3,0)</f>
        <v>57.21</v>
      </c>
      <c r="G7" s="306">
        <v>1570</v>
      </c>
      <c r="H7" s="15">
        <f t="shared" ref="H7:H12" si="8">F7*G7</f>
        <v>89819.7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>K7/J7</f>
        <v>111.47058823529412</v>
      </c>
      <c r="M7" s="178">
        <v>17</v>
      </c>
      <c r="N7" s="14">
        <f t="shared" si="0"/>
        <v>1239.4736842105217</v>
      </c>
      <c r="O7" s="17">
        <f t="shared" si="1"/>
        <v>72.910216718265985</v>
      </c>
      <c r="P7" s="18">
        <f t="shared" si="2"/>
        <v>0</v>
      </c>
      <c r="Q7" s="19">
        <f t="shared" si="3"/>
        <v>-38.56037151702813</v>
      </c>
      <c r="R7" s="183">
        <f t="shared" si="4"/>
        <v>0.65407582280238619</v>
      </c>
      <c r="S7" s="420"/>
      <c r="T7" s="267">
        <v>0.35763888888888901</v>
      </c>
      <c r="U7" s="267">
        <v>0.41041666666666698</v>
      </c>
      <c r="V7" s="175">
        <f>(T7-U6)*24*60</f>
        <v>10.000000000000844</v>
      </c>
      <c r="W7" s="180">
        <f t="shared" si="5"/>
        <v>76.000000000000284</v>
      </c>
      <c r="X7" s="22"/>
      <c r="Y7" s="22"/>
      <c r="Z7" s="405" t="s">
        <v>178</v>
      </c>
      <c r="AA7" s="405"/>
      <c r="AB7" s="18">
        <f t="shared" si="6"/>
        <v>-655.5263157894783</v>
      </c>
      <c r="AC7" s="183">
        <f t="shared" si="7"/>
        <v>0.65407582280238608</v>
      </c>
      <c r="AD7" s="412"/>
    </row>
    <row r="8" spans="1:30" ht="15" customHeight="1">
      <c r="A8" s="408"/>
      <c r="B8" s="56" t="str">
        <f>VLOOKUP(D8,廠價表!$C$1:$E$40,2,0)</f>
        <v>義大利麵</v>
      </c>
      <c r="C8" s="10"/>
      <c r="D8" s="11" t="s">
        <v>34</v>
      </c>
      <c r="E8" s="86"/>
      <c r="F8" s="56">
        <f>VLOOKUP(D8,廠價表!$C$1:$E$40,3,0)</f>
        <v>49.14</v>
      </c>
      <c r="G8" s="25">
        <v>2633</v>
      </c>
      <c r="H8" s="15">
        <f t="shared" si="8"/>
        <v>129385.62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1926.585365853673</v>
      </c>
      <c r="O8" s="17">
        <f t="shared" si="1"/>
        <v>148.19887429643637</v>
      </c>
      <c r="P8" s="18">
        <f t="shared" si="2"/>
        <v>0</v>
      </c>
      <c r="Q8" s="19">
        <f t="shared" si="3"/>
        <v>-5.6472795497174673</v>
      </c>
      <c r="R8" s="183">
        <f t="shared" si="4"/>
        <v>0.96329268292683645</v>
      </c>
      <c r="S8" s="420"/>
      <c r="T8" s="95">
        <v>0.42013888888888901</v>
      </c>
      <c r="U8" s="95">
        <v>0.47708333333333303</v>
      </c>
      <c r="V8" s="175">
        <f t="shared" ref="V8:V11" si="9">(T8-U7)*24*60</f>
        <v>13.99999999999971</v>
      </c>
      <c r="W8" s="180">
        <f t="shared" si="5"/>
        <v>81.999999999999389</v>
      </c>
      <c r="X8" s="22">
        <v>0.48611111111111099</v>
      </c>
      <c r="Y8" s="260">
        <v>0.52777777777777801</v>
      </c>
      <c r="Z8" s="416"/>
      <c r="AA8" s="416"/>
      <c r="AB8" s="18">
        <f t="shared" si="6"/>
        <v>-73.414634146326989</v>
      </c>
      <c r="AC8" s="183">
        <f t="shared" si="7"/>
        <v>0.96329268292683645</v>
      </c>
      <c r="AD8" s="412"/>
    </row>
    <row r="9" spans="1:30" ht="15" customHeight="1">
      <c r="A9" s="409"/>
      <c r="B9" s="56" t="str">
        <f>VLOOKUP(D9,廠價表!$C$1:$E$40,2,0)</f>
        <v>義大利麵</v>
      </c>
      <c r="C9" s="10"/>
      <c r="D9" s="11" t="s">
        <v>34</v>
      </c>
      <c r="E9" s="86"/>
      <c r="F9" s="56">
        <f>VLOOKUP(D9,廠價表!$C$1:$E$40,3,0)</f>
        <v>49.14</v>
      </c>
      <c r="G9" s="25">
        <v>2238</v>
      </c>
      <c r="H9" s="15">
        <f t="shared" si="8"/>
        <v>109975.32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>K9/J9</f>
        <v>153.84615384615384</v>
      </c>
      <c r="M9" s="178">
        <v>13</v>
      </c>
      <c r="N9" s="14">
        <f t="shared" si="0"/>
        <v>1790.4000000000103</v>
      </c>
      <c r="O9" s="17">
        <f t="shared" si="1"/>
        <v>137.72307692307771</v>
      </c>
      <c r="P9" s="18">
        <f t="shared" si="2"/>
        <v>0</v>
      </c>
      <c r="Q9" s="19">
        <f t="shared" si="3"/>
        <v>-16.123076923076127</v>
      </c>
      <c r="R9" s="183">
        <f t="shared" si="4"/>
        <v>0.89520000000000521</v>
      </c>
      <c r="S9" s="421"/>
      <c r="T9" s="95">
        <v>0.54027777777777797</v>
      </c>
      <c r="U9" s="95">
        <v>0.59236111111111101</v>
      </c>
      <c r="V9" s="175">
        <f t="shared" si="9"/>
        <v>91.000000000000711</v>
      </c>
      <c r="W9" s="180">
        <f t="shared" si="5"/>
        <v>74.999999999999574</v>
      </c>
      <c r="X9" s="22"/>
      <c r="Y9" s="260"/>
      <c r="Z9" s="475"/>
      <c r="AA9" s="476"/>
      <c r="AB9" s="18">
        <f t="shared" si="6"/>
        <v>-209.59999999998968</v>
      </c>
      <c r="AC9" s="183">
        <f t="shared" si="7"/>
        <v>0.89520000000000521</v>
      </c>
      <c r="AD9" s="413"/>
    </row>
    <row r="10" spans="1:30" ht="15" customHeight="1">
      <c r="A10" s="409"/>
      <c r="B10" s="56" t="s">
        <v>45</v>
      </c>
      <c r="C10" s="23"/>
      <c r="D10" s="11" t="s">
        <v>167</v>
      </c>
      <c r="E10" s="12"/>
      <c r="F10" s="56">
        <f>VLOOKUP(D10,廠價表!$C$1:$E$40,3,0)</f>
        <v>44.3</v>
      </c>
      <c r="G10" s="25">
        <v>1047</v>
      </c>
      <c r="H10" s="15">
        <f t="shared" si="8"/>
        <v>46382.1</v>
      </c>
      <c r="I10" s="180"/>
      <c r="J10" s="16">
        <f>VLOOKUP(D10,產線配置圖!$A$3:$C$39,2,0)</f>
        <v>19</v>
      </c>
      <c r="K10" s="14">
        <f>VLOOKUP(D10,產線配置圖!$A$3:$C$39,3,0)</f>
        <v>1440</v>
      </c>
      <c r="L10" s="17">
        <f t="shared" ref="L10:L11" si="10">K10/J10</f>
        <v>75.78947368421052</v>
      </c>
      <c r="M10" s="178">
        <v>19</v>
      </c>
      <c r="N10" s="14">
        <f t="shared" si="0"/>
        <v>1231.7647058823534</v>
      </c>
      <c r="O10" s="17">
        <f t="shared" si="1"/>
        <v>64.829721362229122</v>
      </c>
      <c r="P10" s="18">
        <f t="shared" si="2"/>
        <v>0</v>
      </c>
      <c r="Q10" s="19">
        <f t="shared" si="3"/>
        <v>-10.959752321981398</v>
      </c>
      <c r="R10" s="183">
        <f t="shared" si="4"/>
        <v>0.85539215686274539</v>
      </c>
      <c r="S10" s="421"/>
      <c r="T10" s="20">
        <v>0.60972222222222228</v>
      </c>
      <c r="U10" s="20">
        <v>0.64513888888888893</v>
      </c>
      <c r="V10" s="175">
        <f t="shared" si="9"/>
        <v>25.000000000000231</v>
      </c>
      <c r="W10" s="180">
        <f t="shared" si="5"/>
        <v>50.999999999999979</v>
      </c>
      <c r="X10" s="22"/>
      <c r="Y10" s="260"/>
      <c r="Z10" s="417"/>
      <c r="AA10" s="418"/>
      <c r="AB10" s="18">
        <f t="shared" si="6"/>
        <v>-208.23529411764662</v>
      </c>
      <c r="AC10" s="183">
        <f t="shared" si="7"/>
        <v>0.85539215686274539</v>
      </c>
      <c r="AD10" s="413"/>
    </row>
    <row r="11" spans="1:30" ht="15" customHeight="1">
      <c r="A11" s="409"/>
      <c r="B11" s="56" t="str">
        <f>VLOOKUP(D11,廠價表!$C$1:$E$40,2,0)</f>
        <v>熱乾麵</v>
      </c>
      <c r="C11" s="249"/>
      <c r="D11" s="11" t="s">
        <v>166</v>
      </c>
      <c r="E11" s="251"/>
      <c r="F11" s="56">
        <f>VLOOKUP(D11,廠價表!$C$1:$E$40,3,0)</f>
        <v>49.52</v>
      </c>
      <c r="G11" s="53">
        <v>549</v>
      </c>
      <c r="H11" s="50">
        <f t="shared" si="8"/>
        <v>27186.480000000003</v>
      </c>
      <c r="I11" s="42"/>
      <c r="J11" s="16">
        <f>VLOOKUP(D11,產線配置圖!$A$3:$C$39,2,0)</f>
        <v>18</v>
      </c>
      <c r="K11" s="14">
        <f>VLOOKUP(D11,產線配置圖!$A$3:$C$39,3,0)</f>
        <v>1440</v>
      </c>
      <c r="L11" s="233">
        <f t="shared" si="10"/>
        <v>80</v>
      </c>
      <c r="M11" s="21">
        <v>18</v>
      </c>
      <c r="N11" s="36">
        <f t="shared" si="0"/>
        <v>1029.3749999999986</v>
      </c>
      <c r="O11" s="38">
        <f t="shared" si="1"/>
        <v>57.187499999999922</v>
      </c>
      <c r="P11" s="39">
        <f t="shared" si="2"/>
        <v>0</v>
      </c>
      <c r="Q11" s="40">
        <f t="shared" si="3"/>
        <v>-22.812500000000078</v>
      </c>
      <c r="R11" s="188">
        <f t="shared" si="4"/>
        <v>0.714843749999999</v>
      </c>
      <c r="S11" s="421"/>
      <c r="T11" s="20">
        <v>0.65208333333333335</v>
      </c>
      <c r="U11" s="20">
        <v>0.6743055555555556</v>
      </c>
      <c r="V11" s="175">
        <f t="shared" si="9"/>
        <v>9.9999999999999645</v>
      </c>
      <c r="W11" s="24">
        <f t="shared" si="5"/>
        <v>32.000000000000043</v>
      </c>
      <c r="X11" s="22"/>
      <c r="Y11" s="260"/>
      <c r="Z11" s="475" t="s">
        <v>171</v>
      </c>
      <c r="AA11" s="476"/>
      <c r="AB11" s="18">
        <f t="shared" si="6"/>
        <v>-410.62500000000136</v>
      </c>
      <c r="AC11" s="183">
        <f t="shared" si="7"/>
        <v>0.714843749999999</v>
      </c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11">AVERAGE(J5:J14)</f>
        <v>15.428571428571429</v>
      </c>
      <c r="K15" s="117">
        <f t="shared" si="11"/>
        <v>1811.4285714285713</v>
      </c>
      <c r="L15" s="114">
        <f t="shared" si="11"/>
        <v>122.41077807641274</v>
      </c>
      <c r="M15" s="117">
        <f t="shared" si="11"/>
        <v>15.428571428571429</v>
      </c>
      <c r="N15" s="117">
        <f t="shared" si="11"/>
        <v>1469.4018630944086</v>
      </c>
      <c r="O15" s="114">
        <f t="shared" si="11"/>
        <v>100.48633347927932</v>
      </c>
      <c r="P15" s="118">
        <f t="shared" ref="P15:P18" si="12">M15-J15</f>
        <v>0</v>
      </c>
      <c r="Q15" s="119">
        <f t="shared" ref="Q15:Q18" si="13">O15-L15</f>
        <v>-21.924444597133416</v>
      </c>
      <c r="R15" s="120">
        <f t="shared" ref="R15:R18" si="14">O15/L15</f>
        <v>0.82089449195848196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5">N15-K15</f>
        <v>-342.02670833416278</v>
      </c>
      <c r="AC15" s="185">
        <f t="shared" ref="AC15:AC19" si="16">N15/K15</f>
        <v>0.81118399382183437</v>
      </c>
      <c r="AD15" s="414"/>
    </row>
    <row r="16" spans="1:30" ht="15" customHeight="1">
      <c r="A16" s="439" t="s">
        <v>39</v>
      </c>
      <c r="B16" s="197" t="str">
        <f>VLOOKUP(D16,廠價表!$C$1:$E$40,2,0)</f>
        <v>義大利麵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1152</v>
      </c>
      <c r="H16" s="124">
        <f t="shared" ref="H16:H25" si="17">F16*G16</f>
        <v>65905.919999999998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8" si="18">K16/J16</f>
        <v>161.92307692307693</v>
      </c>
      <c r="M16" s="264">
        <v>13</v>
      </c>
      <c r="N16" s="126">
        <f t="shared" ref="N16:N18" si="19">G16/W16*60</f>
        <v>1685.853658536588</v>
      </c>
      <c r="O16" s="127">
        <f>N16/M16</f>
        <v>129.6810506566606</v>
      </c>
      <c r="P16" s="128">
        <f>M16-J16</f>
        <v>0</v>
      </c>
      <c r="Q16" s="129">
        <f t="shared" si="13"/>
        <v>-32.242026266416332</v>
      </c>
      <c r="R16" s="187">
        <f>O16/L16</f>
        <v>0.80088059787961408</v>
      </c>
      <c r="S16" s="431">
        <f>R26</f>
        <v>0.83219083646126302</v>
      </c>
      <c r="T16" s="265">
        <v>0.2902777777777778</v>
      </c>
      <c r="U16" s="265">
        <v>0.31874999999999998</v>
      </c>
      <c r="V16" s="125"/>
      <c r="W16" s="130">
        <f t="shared" ref="W16:W78" si="20">(U16-T16)*24*60</f>
        <v>40.999999999999936</v>
      </c>
      <c r="X16" s="127"/>
      <c r="Y16" s="127"/>
      <c r="Z16" s="425"/>
      <c r="AA16" s="425"/>
      <c r="AB16" s="110">
        <f t="shared" si="15"/>
        <v>-419.146341463412</v>
      </c>
      <c r="AC16" s="182">
        <f t="shared" si="16"/>
        <v>0.8008805978796143</v>
      </c>
      <c r="AD16" s="411">
        <f>AC26</f>
        <v>0.83438477961428004</v>
      </c>
    </row>
    <row r="17" spans="1:30" ht="15" customHeight="1">
      <c r="A17" s="440"/>
      <c r="B17" s="56" t="str">
        <f>VLOOKUP(D17,廠價表!$C$1:$E$40,2,0)</f>
        <v>義大利麵</v>
      </c>
      <c r="C17" s="10"/>
      <c r="D17" s="11" t="s">
        <v>40</v>
      </c>
      <c r="E17" s="86"/>
      <c r="F17" s="56">
        <f>VLOOKUP(D17,廠價表!$C$1:$E$40,3,0)</f>
        <v>50.67</v>
      </c>
      <c r="G17" s="96">
        <v>3596</v>
      </c>
      <c r="H17" s="15">
        <f t="shared" si="17"/>
        <v>182209.32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8"/>
        <v>153.84615384615384</v>
      </c>
      <c r="M17" s="37">
        <v>13</v>
      </c>
      <c r="N17" s="36">
        <f>G17/W17*60</f>
        <v>1961.4545454545453</v>
      </c>
      <c r="O17" s="38">
        <f t="shared" ref="O17:O18" si="21">N17/M17</f>
        <v>150.88111888111888</v>
      </c>
      <c r="P17" s="39">
        <f t="shared" si="12"/>
        <v>0</v>
      </c>
      <c r="Q17" s="40">
        <f t="shared" si="13"/>
        <v>-2.9650349650349597</v>
      </c>
      <c r="R17" s="188">
        <f t="shared" si="14"/>
        <v>0.98072727272727278</v>
      </c>
      <c r="S17" s="432"/>
      <c r="T17" s="41">
        <v>0.32777777777777778</v>
      </c>
      <c r="U17" s="41">
        <v>0.40416666666666667</v>
      </c>
      <c r="V17" s="175">
        <f>(T17-U16)*24*60</f>
        <v>13.000000000000034</v>
      </c>
      <c r="W17" s="43">
        <f t="shared" si="20"/>
        <v>110.00000000000001</v>
      </c>
      <c r="X17" s="44"/>
      <c r="Y17" s="44"/>
      <c r="Z17" s="405"/>
      <c r="AA17" s="405"/>
      <c r="AB17" s="18">
        <f t="shared" si="15"/>
        <v>-38.545454545454731</v>
      </c>
      <c r="AC17" s="183">
        <f t="shared" si="16"/>
        <v>0.98072727272727267</v>
      </c>
      <c r="AD17" s="412"/>
    </row>
    <row r="18" spans="1:30" ht="15" customHeight="1">
      <c r="A18" s="440"/>
      <c r="B18" s="56" t="str">
        <f>VLOOKUP(D18,廠價表!$C$1:$E$40,2,0)</f>
        <v>義大利麵</v>
      </c>
      <c r="C18" s="10"/>
      <c r="D18" s="11" t="s">
        <v>41</v>
      </c>
      <c r="E18" s="86"/>
      <c r="F18" s="56">
        <f>VLOOKUP(D18,廠價表!$C$1:$E$40,3,0)</f>
        <v>50.39</v>
      </c>
      <c r="G18" s="96">
        <v>2938</v>
      </c>
      <c r="H18" s="15">
        <f t="shared" si="17"/>
        <v>148045.82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8"/>
        <v>166.66666666666666</v>
      </c>
      <c r="M18" s="37">
        <v>12</v>
      </c>
      <c r="N18" s="36">
        <f t="shared" si="19"/>
        <v>1836.2499999999991</v>
      </c>
      <c r="O18" s="38">
        <f t="shared" si="21"/>
        <v>153.02083333333326</v>
      </c>
      <c r="P18" s="39">
        <f t="shared" si="12"/>
        <v>0</v>
      </c>
      <c r="Q18" s="40">
        <f t="shared" si="13"/>
        <v>-13.6458333333334</v>
      </c>
      <c r="R18" s="188">
        <f t="shared" si="14"/>
        <v>0.91812499999999964</v>
      </c>
      <c r="S18" s="432"/>
      <c r="T18" s="41">
        <v>0.41249999999999998</v>
      </c>
      <c r="U18" s="41">
        <v>0.47916666666666669</v>
      </c>
      <c r="V18" s="175">
        <f>(T18-U17)*24*60</f>
        <v>11.999999999999957</v>
      </c>
      <c r="W18" s="43">
        <f t="shared" si="20"/>
        <v>96.000000000000057</v>
      </c>
      <c r="X18" s="22">
        <v>0.48611111111111099</v>
      </c>
      <c r="Y18" s="260">
        <v>0.52777777777777801</v>
      </c>
      <c r="Z18" s="405"/>
      <c r="AA18" s="405"/>
      <c r="AB18" s="18">
        <f t="shared" si="15"/>
        <v>-163.75000000000091</v>
      </c>
      <c r="AC18" s="183">
        <f t="shared" si="16"/>
        <v>0.91812499999999952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1471</v>
      </c>
      <c r="H19" s="15">
        <f t="shared" si="17"/>
        <v>74123.69</v>
      </c>
      <c r="I19" s="175"/>
      <c r="J19" s="16">
        <v>12</v>
      </c>
      <c r="K19" s="14">
        <v>2000</v>
      </c>
      <c r="L19" s="17">
        <v>166.66666666666666</v>
      </c>
      <c r="M19" s="37">
        <v>12</v>
      </c>
      <c r="N19" s="36">
        <f>G19/W19*60</f>
        <v>1279.1304347826074</v>
      </c>
      <c r="O19" s="38">
        <f>N19/M19</f>
        <v>106.59420289855062</v>
      </c>
      <c r="P19" s="39">
        <f>M19-J19</f>
        <v>0</v>
      </c>
      <c r="Q19" s="40">
        <f>O19-L19</f>
        <v>-60.072463768116037</v>
      </c>
      <c r="R19" s="188">
        <f>O19/L19</f>
        <v>0.63956521739130379</v>
      </c>
      <c r="S19" s="432"/>
      <c r="T19" s="41">
        <v>0.54166666666666663</v>
      </c>
      <c r="U19" s="41">
        <v>0.58958333333333335</v>
      </c>
      <c r="V19" s="175">
        <f>(T19-U18)*24*60</f>
        <v>89.999999999999915</v>
      </c>
      <c r="W19" s="43">
        <f t="shared" si="20"/>
        <v>69.000000000000071</v>
      </c>
      <c r="X19" s="22"/>
      <c r="Y19" s="260"/>
      <c r="Z19" s="475" t="s">
        <v>179</v>
      </c>
      <c r="AA19" s="476"/>
      <c r="AB19" s="18">
        <f t="shared" si="15"/>
        <v>-720.86956521739262</v>
      </c>
      <c r="AC19" s="183">
        <f t="shared" si="16"/>
        <v>0.63956521739130368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/>
      <c r="W20" s="43">
        <f t="shared" si="20"/>
        <v>0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20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7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20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7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20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7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20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2">AVERAGE(J16:J25)</f>
        <v>12.5</v>
      </c>
      <c r="K26" s="133">
        <f t="shared" si="22"/>
        <v>2026.25</v>
      </c>
      <c r="L26" s="136">
        <f t="shared" si="22"/>
        <v>162.27564102564102</v>
      </c>
      <c r="M26" s="133">
        <f t="shared" si="22"/>
        <v>12.5</v>
      </c>
      <c r="N26" s="133">
        <f t="shared" si="22"/>
        <v>1690.6721596934349</v>
      </c>
      <c r="O26" s="136">
        <f t="shared" si="22"/>
        <v>135.04430144241584</v>
      </c>
      <c r="P26" s="137">
        <f t="shared" ref="P26:P30" si="23">M26-J26</f>
        <v>0</v>
      </c>
      <c r="Q26" s="138">
        <f t="shared" ref="Q26:Q30" si="24">O26-L26</f>
        <v>-27.231339583225179</v>
      </c>
      <c r="R26" s="139">
        <f t="shared" ref="R26:R30" si="25">O26/L26</f>
        <v>0.83219083646126302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 t="shared" ref="AB26:AB31" si="26">N26-K26</f>
        <v>-335.57784030656512</v>
      </c>
      <c r="AC26" s="185">
        <f t="shared" ref="AC26:AC31" si="27">N26/K26</f>
        <v>0.83438477961428004</v>
      </c>
      <c r="AD26" s="414"/>
    </row>
    <row r="27" spans="1:30" ht="15" customHeight="1">
      <c r="A27" s="428" t="s">
        <v>44</v>
      </c>
      <c r="B27" s="227" t="str">
        <f>VLOOKUP(D27,廠價表!$C$1:$E$40,2,0)</f>
        <v>義大利麵</v>
      </c>
      <c r="C27" s="101"/>
      <c r="D27" s="330" t="s">
        <v>49</v>
      </c>
      <c r="E27" s="103"/>
      <c r="F27" s="197">
        <f>VLOOKUP(D27,廠價表!$C$1:$E$40,3,0)</f>
        <v>47.71</v>
      </c>
      <c r="G27" s="266">
        <v>2536</v>
      </c>
      <c r="H27" s="124">
        <f t="shared" ref="H27:H47" si="28">F27*G27</f>
        <v>120992.56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13</v>
      </c>
      <c r="N27" s="126">
        <f>G27/W27*60</f>
        <v>1247.213114754102</v>
      </c>
      <c r="O27" s="127">
        <f>N27/M27</f>
        <v>95.939470365700146</v>
      </c>
      <c r="P27" s="128">
        <f t="shared" si="23"/>
        <v>-2</v>
      </c>
      <c r="Q27" s="129">
        <f t="shared" si="24"/>
        <v>-4.0605296342998543</v>
      </c>
      <c r="R27" s="187">
        <f>O27/L27</f>
        <v>0.95939470365700141</v>
      </c>
      <c r="S27" s="431">
        <f>R37</f>
        <v>0.95257420099666279</v>
      </c>
      <c r="T27" s="94">
        <v>0.29166666666666702</v>
      </c>
      <c r="U27" s="94">
        <v>0.37638888888888899</v>
      </c>
      <c r="V27" s="125"/>
      <c r="W27" s="130">
        <f t="shared" si="20"/>
        <v>121.99999999999964</v>
      </c>
      <c r="X27" s="125"/>
      <c r="Y27" s="125" t="s">
        <v>47</v>
      </c>
      <c r="Z27" s="434"/>
      <c r="AA27" s="425"/>
      <c r="AB27" s="223">
        <f t="shared" si="26"/>
        <v>-252.78688524589802</v>
      </c>
      <c r="AC27" s="288">
        <f t="shared" si="27"/>
        <v>0.83147540983606794</v>
      </c>
      <c r="AD27" s="411">
        <f>AC37</f>
        <v>0.88114925411118195</v>
      </c>
    </row>
    <row r="28" spans="1:30" ht="15" customHeight="1">
      <c r="A28" s="429"/>
      <c r="B28" s="56" t="str">
        <f>VLOOKUP(D28,廠價表!$C$1:$E$40,2,0)</f>
        <v>義大利麵</v>
      </c>
      <c r="C28" s="10"/>
      <c r="D28" s="239" t="s">
        <v>48</v>
      </c>
      <c r="E28" s="86"/>
      <c r="F28" s="56">
        <f>VLOOKUP(D28,廠價表!$C$1:$E$40,3,0)</f>
        <v>55.13</v>
      </c>
      <c r="G28" s="53">
        <v>1564</v>
      </c>
      <c r="H28" s="50">
        <f t="shared" si="28"/>
        <v>86223.32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15</v>
      </c>
      <c r="N28" s="36">
        <f>G28/W28*60</f>
        <v>1130.6024096385484</v>
      </c>
      <c r="O28" s="38">
        <f>N28/M28</f>
        <v>75.37349397590323</v>
      </c>
      <c r="P28" s="39">
        <f t="shared" si="23"/>
        <v>-3</v>
      </c>
      <c r="Q28" s="40">
        <f t="shared" si="24"/>
        <v>-1.5709504685412128</v>
      </c>
      <c r="R28" s="188">
        <f t="shared" si="25"/>
        <v>0.97958331521029474</v>
      </c>
      <c r="S28" s="432"/>
      <c r="T28" s="267">
        <v>0.38333333333333303</v>
      </c>
      <c r="U28" s="41">
        <v>0.44097222222222221</v>
      </c>
      <c r="V28" s="42">
        <f>(T28-U27)*24*60</f>
        <v>9.9999999999994049</v>
      </c>
      <c r="W28" s="43">
        <f t="shared" si="20"/>
        <v>83.000000000000426</v>
      </c>
      <c r="X28" s="54"/>
      <c r="Y28" s="54"/>
      <c r="Z28" s="418"/>
      <c r="AA28" s="417"/>
      <c r="AB28" s="39">
        <f t="shared" si="26"/>
        <v>-254.39759036145165</v>
      </c>
      <c r="AC28" s="188">
        <f t="shared" si="27"/>
        <v>0.81631942934191215</v>
      </c>
      <c r="AD28" s="444"/>
    </row>
    <row r="29" spans="1:30" ht="15" customHeight="1">
      <c r="A29" s="429"/>
      <c r="B29" s="56" t="str">
        <f>VLOOKUP(D29,廠價表!$C$1:$E$40,2,0)</f>
        <v>義大利麵</v>
      </c>
      <c r="C29" s="235"/>
      <c r="D29" s="11" t="s">
        <v>142</v>
      </c>
      <c r="E29" s="29"/>
      <c r="F29" s="56">
        <f>VLOOKUP(D29,廠價表!$C$1:$E$40,3,0)</f>
        <v>57.3</v>
      </c>
      <c r="G29" s="53">
        <v>1316</v>
      </c>
      <c r="H29" s="50">
        <f t="shared" si="28"/>
        <v>75406.8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15</v>
      </c>
      <c r="N29" s="36">
        <f>G29/W29*60</f>
        <v>1273.5483870967753</v>
      </c>
      <c r="O29" s="38">
        <f>N29/M29</f>
        <v>84.903225806451687</v>
      </c>
      <c r="P29" s="39">
        <f t="shared" si="23"/>
        <v>0</v>
      </c>
      <c r="Q29" s="40">
        <f t="shared" si="24"/>
        <v>-11.096774193548313</v>
      </c>
      <c r="R29" s="188">
        <f t="shared" si="25"/>
        <v>0.8844086021505384</v>
      </c>
      <c r="S29" s="432"/>
      <c r="T29" s="41">
        <v>0.4465277777777778</v>
      </c>
      <c r="U29" s="41">
        <v>0.48958333333333331</v>
      </c>
      <c r="V29" s="42">
        <f>(T29-U28)*24*60</f>
        <v>8.0000000000000515</v>
      </c>
      <c r="W29" s="43">
        <f t="shared" si="20"/>
        <v>61.999999999999943</v>
      </c>
      <c r="X29" s="22"/>
      <c r="Y29" s="22"/>
      <c r="Z29" s="418"/>
      <c r="AA29" s="417"/>
      <c r="AB29" s="289">
        <f t="shared" si="26"/>
        <v>-166.45161290322471</v>
      </c>
      <c r="AC29" s="188">
        <f t="shared" si="27"/>
        <v>0.8844086021505384</v>
      </c>
      <c r="AD29" s="444"/>
    </row>
    <row r="30" spans="1:30" ht="15" customHeight="1">
      <c r="A30" s="429"/>
      <c r="B30" s="56" t="str">
        <f>VLOOKUP(D30,廠價表!$C$1:$E$40,2,0)</f>
        <v>義大利麵</v>
      </c>
      <c r="C30" s="235"/>
      <c r="D30" s="11" t="s">
        <v>142</v>
      </c>
      <c r="E30" s="29"/>
      <c r="F30" s="56">
        <f>VLOOKUP(D30,廠價表!$C$1:$E$40,3,0)</f>
        <v>57.3</v>
      </c>
      <c r="G30" s="53">
        <v>3095</v>
      </c>
      <c r="H30" s="50">
        <f t="shared" si="28"/>
        <v>177343.5</v>
      </c>
      <c r="I30" s="42"/>
      <c r="J30" s="16">
        <f>VLOOKUP(D30,產線配置圖!$A$3:$C$39,2,0)</f>
        <v>15</v>
      </c>
      <c r="K30" s="14">
        <f>VLOOKUP(D30,產線配置圖!$A$3:$C$39,3,0)</f>
        <v>1440</v>
      </c>
      <c r="L30" s="233">
        <f>K30/J30</f>
        <v>96</v>
      </c>
      <c r="M30" s="21">
        <v>15</v>
      </c>
      <c r="N30" s="36">
        <f>G30/W30*60</f>
        <v>1428.4615384615381</v>
      </c>
      <c r="O30" s="38">
        <f>N30/M30</f>
        <v>95.230769230769212</v>
      </c>
      <c r="P30" s="39">
        <f t="shared" si="23"/>
        <v>0</v>
      </c>
      <c r="Q30" s="40">
        <f t="shared" si="24"/>
        <v>-0.76923076923078781</v>
      </c>
      <c r="R30" s="188">
        <f t="shared" si="25"/>
        <v>0.99198717948717929</v>
      </c>
      <c r="S30" s="432"/>
      <c r="T30" s="41">
        <v>0.54513888888888884</v>
      </c>
      <c r="U30" s="41">
        <v>0.63541666666666663</v>
      </c>
      <c r="V30" s="42">
        <f>(T30-U29)*24*60</f>
        <v>79.999999999999957</v>
      </c>
      <c r="W30" s="43">
        <f t="shared" si="20"/>
        <v>130.00000000000003</v>
      </c>
      <c r="X30" s="54">
        <v>0.49652777777777801</v>
      </c>
      <c r="Y30" s="54">
        <v>0.53819444444444398</v>
      </c>
      <c r="Z30" s="418"/>
      <c r="AA30" s="417"/>
      <c r="AB30" s="289">
        <f t="shared" si="26"/>
        <v>-11.538461538461888</v>
      </c>
      <c r="AC30" s="188">
        <f t="shared" si="27"/>
        <v>0.99198717948717929</v>
      </c>
      <c r="AD30" s="445"/>
    </row>
    <row r="31" spans="1:30" ht="15" customHeight="1">
      <c r="A31" s="429"/>
      <c r="B31" s="56"/>
      <c r="C31" s="249"/>
      <c r="D31" s="11"/>
      <c r="E31" s="251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20"/>
        <v>0</v>
      </c>
      <c r="X31" s="54"/>
      <c r="Y31" s="54"/>
      <c r="Z31" s="426"/>
      <c r="AA31" s="446"/>
      <c r="AB31" s="289">
        <f t="shared" si="26"/>
        <v>0</v>
      </c>
      <c r="AC31" s="188" t="e">
        <f t="shared" si="27"/>
        <v>#DIV/0!</v>
      </c>
      <c r="AD31" s="413"/>
    </row>
    <row r="32" spans="1:30" ht="15" customHeight="1">
      <c r="A32" s="429"/>
      <c r="B32" s="56"/>
      <c r="C32" s="27"/>
      <c r="D32" s="239"/>
      <c r="E32" s="275"/>
      <c r="F32" s="56"/>
      <c r="G32" s="53"/>
      <c r="H32" s="50"/>
      <c r="I32" s="42"/>
      <c r="J32" s="16"/>
      <c r="K32" s="14"/>
      <c r="L32" s="23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20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56"/>
      <c r="C33" s="238"/>
      <c r="D33" s="11"/>
      <c r="E33" s="240"/>
      <c r="F33" s="56"/>
      <c r="G33" s="53"/>
      <c r="H33" s="50"/>
      <c r="I33" s="42"/>
      <c r="J33" s="16"/>
      <c r="K33" s="14"/>
      <c r="L33" s="233"/>
      <c r="M33" s="21"/>
      <c r="N33" s="36"/>
      <c r="O33" s="38"/>
      <c r="P33" s="39"/>
      <c r="Q33" s="40"/>
      <c r="R33" s="188"/>
      <c r="S33" s="432"/>
      <c r="T33" s="41"/>
      <c r="U33" s="41"/>
      <c r="V33" s="42"/>
      <c r="W33" s="43">
        <f t="shared" si="20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56"/>
      <c r="C34" s="235"/>
      <c r="D34" s="11"/>
      <c r="E34" s="29"/>
      <c r="F34" s="56"/>
      <c r="G34" s="53"/>
      <c r="H34" s="50"/>
      <c r="I34" s="42"/>
      <c r="J34" s="16"/>
      <c r="K34" s="14"/>
      <c r="L34" s="233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20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56"/>
      <c r="C35" s="235"/>
      <c r="D35" s="11"/>
      <c r="E35" s="29"/>
      <c r="F35" s="56"/>
      <c r="G35" s="53"/>
      <c r="H35" s="50"/>
      <c r="I35" s="42"/>
      <c r="J35" s="16"/>
      <c r="K35" s="14"/>
      <c r="L35" s="233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20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8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20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9">AVERAGE(J27:J36)</f>
        <v>15.75</v>
      </c>
      <c r="K37" s="282">
        <f t="shared" si="29"/>
        <v>1441.25</v>
      </c>
      <c r="L37" s="283">
        <f t="shared" si="29"/>
        <v>92.236111111111114</v>
      </c>
      <c r="M37" s="282">
        <f t="shared" si="29"/>
        <v>14.5</v>
      </c>
      <c r="N37" s="282">
        <f t="shared" si="29"/>
        <v>1269.956362487741</v>
      </c>
      <c r="O37" s="283">
        <f t="shared" si="29"/>
        <v>87.861739844706079</v>
      </c>
      <c r="P37" s="73">
        <f>M37-J37</f>
        <v>-1.25</v>
      </c>
      <c r="Q37" s="74">
        <f>N37-K37</f>
        <v>-171.29363751225901</v>
      </c>
      <c r="R37" s="284">
        <f t="shared" ref="R37:R41" si="30">O37/L37</f>
        <v>0.95257420099666279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31">N37-K37</f>
        <v>-171.29363751225901</v>
      </c>
      <c r="AC37" s="184">
        <f t="shared" ref="AC37:AC41" si="32">N37/K37</f>
        <v>0.88114925411118195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f>1237+250</f>
        <v>1487</v>
      </c>
      <c r="H38" s="124">
        <f t="shared" si="28"/>
        <v>85205.099999999991</v>
      </c>
      <c r="I38" s="125"/>
      <c r="J38" s="331">
        <f>VLOOKUP(D38,產線配置圖!$A$3:$C$39,2,0)</f>
        <v>15</v>
      </c>
      <c r="K38" s="234">
        <v>1500</v>
      </c>
      <c r="L38" s="285">
        <f t="shared" ref="L38:L41" si="33">K38/J38</f>
        <v>100</v>
      </c>
      <c r="M38" s="286">
        <v>14</v>
      </c>
      <c r="N38" s="126">
        <f>G38/W38*60</f>
        <v>1158.701298701299</v>
      </c>
      <c r="O38" s="127">
        <f>N38/M38</f>
        <v>82.764378478664213</v>
      </c>
      <c r="P38" s="128">
        <f t="shared" ref="P38:P41" si="34">M38-J38</f>
        <v>-1</v>
      </c>
      <c r="Q38" s="129">
        <f t="shared" ref="Q38:Q41" si="35">O38-L38</f>
        <v>-17.235621521335787</v>
      </c>
      <c r="R38" s="187">
        <f>O38/L38</f>
        <v>0.82764378478664213</v>
      </c>
      <c r="S38" s="460">
        <f>R48</f>
        <v>0.84142638450839558</v>
      </c>
      <c r="T38" s="149">
        <v>0.2951388888888889</v>
      </c>
      <c r="U38" s="149">
        <v>0.34861111111111109</v>
      </c>
      <c r="V38" s="146"/>
      <c r="W38" s="150">
        <f t="shared" si="20"/>
        <v>76.999999999999972</v>
      </c>
      <c r="X38" s="148"/>
      <c r="Y38" s="151"/>
      <c r="Z38" s="484"/>
      <c r="AA38" s="485"/>
      <c r="AB38" s="287">
        <f t="shared" si="31"/>
        <v>-341.29870129870096</v>
      </c>
      <c r="AC38" s="152">
        <f t="shared" si="32"/>
        <v>0.77246753246753275</v>
      </c>
      <c r="AD38" s="447">
        <f>AC48</f>
        <v>0.81847585528885247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1589</v>
      </c>
      <c r="H39" s="50">
        <f t="shared" si="28"/>
        <v>89667.27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3"/>
        <v>93.733333333333334</v>
      </c>
      <c r="M39" s="65">
        <v>15</v>
      </c>
      <c r="N39" s="66">
        <f>G39/W39*60</f>
        <v>1134.9999999999995</v>
      </c>
      <c r="O39" s="67">
        <f t="shared" ref="O39:O41" si="36">N39/M39</f>
        <v>75.666666666666643</v>
      </c>
      <c r="P39" s="39">
        <f t="shared" si="34"/>
        <v>0</v>
      </c>
      <c r="Q39" s="40">
        <f t="shared" si="35"/>
        <v>-18.066666666666691</v>
      </c>
      <c r="R39" s="188">
        <f t="shared" si="30"/>
        <v>0.80725462304409645</v>
      </c>
      <c r="S39" s="461"/>
      <c r="T39" s="59">
        <v>0.36527777777777776</v>
      </c>
      <c r="U39" s="59">
        <v>0.4236111111111111</v>
      </c>
      <c r="V39" s="42">
        <f>(T39-U38)*24*60</f>
        <v>23.999999999999993</v>
      </c>
      <c r="W39" s="69">
        <f t="shared" si="20"/>
        <v>84.000000000000028</v>
      </c>
      <c r="X39" s="22"/>
      <c r="Y39" s="22"/>
      <c r="Z39" s="450" t="s">
        <v>180</v>
      </c>
      <c r="AA39" s="451"/>
      <c r="AB39" s="268">
        <f t="shared" si="31"/>
        <v>-271.00000000000045</v>
      </c>
      <c r="AC39" s="61">
        <f t="shared" si="32"/>
        <v>0.80725462304409645</v>
      </c>
      <c r="AD39" s="448"/>
    </row>
    <row r="40" spans="1:30" s="62" customFormat="1" ht="15" customHeight="1">
      <c r="A40" s="458"/>
      <c r="B40" s="56" t="s">
        <v>45</v>
      </c>
      <c r="C40" s="272"/>
      <c r="D40" s="276" t="s">
        <v>166</v>
      </c>
      <c r="E40" s="240"/>
      <c r="F40" s="56">
        <f>VLOOKUP(D40,廠價表!$C$1:$E$40,3,0)</f>
        <v>49.52</v>
      </c>
      <c r="G40" s="273">
        <v>1527</v>
      </c>
      <c r="H40" s="50">
        <f t="shared" si="28"/>
        <v>75617.040000000008</v>
      </c>
      <c r="I40" s="64"/>
      <c r="J40" s="37">
        <f>VLOOKUP(D40,產線配置圖!$A$3:$C$39,2,0)</f>
        <v>18</v>
      </c>
      <c r="K40" s="36">
        <f>VLOOKUP(D40,產線配置圖!$A$3:$C$39,3,0)</f>
        <v>1440</v>
      </c>
      <c r="L40" s="38">
        <f t="shared" si="33"/>
        <v>80</v>
      </c>
      <c r="M40" s="65">
        <v>18</v>
      </c>
      <c r="N40" s="66">
        <f>G40/W40*60</f>
        <v>1308.8571428571431</v>
      </c>
      <c r="O40" s="67">
        <f t="shared" si="36"/>
        <v>72.714285714285722</v>
      </c>
      <c r="P40" s="39">
        <f t="shared" si="34"/>
        <v>0</v>
      </c>
      <c r="Q40" s="40">
        <f t="shared" si="35"/>
        <v>-7.2857142857142776</v>
      </c>
      <c r="R40" s="188">
        <f t="shared" si="30"/>
        <v>0.90892857142857153</v>
      </c>
      <c r="S40" s="420"/>
      <c r="T40" s="59">
        <v>0.43819444444444444</v>
      </c>
      <c r="U40" s="59">
        <v>0.48680555555555555</v>
      </c>
      <c r="V40" s="42">
        <f>(T40-U39)*24*60</f>
        <v>21.000000000000007</v>
      </c>
      <c r="W40" s="69">
        <f t="shared" si="20"/>
        <v>69.999999999999986</v>
      </c>
      <c r="X40" s="70"/>
      <c r="Y40" s="256"/>
      <c r="Z40" s="480"/>
      <c r="AA40" s="483"/>
      <c r="AB40" s="268">
        <f t="shared" si="31"/>
        <v>-131.14285714285688</v>
      </c>
      <c r="AC40" s="61">
        <f t="shared" si="32"/>
        <v>0.90892857142857164</v>
      </c>
      <c r="AD40" s="448"/>
    </row>
    <row r="41" spans="1:30" s="62" customFormat="1" ht="15" customHeight="1">
      <c r="A41" s="458"/>
      <c r="B41" s="56" t="s">
        <v>45</v>
      </c>
      <c r="C41" s="272"/>
      <c r="D41" s="276" t="s">
        <v>167</v>
      </c>
      <c r="E41" s="240"/>
      <c r="F41" s="56">
        <f>VLOOKUP(D41,廠價表!$C$1:$E$40,3,0)</f>
        <v>44.3</v>
      </c>
      <c r="G41" s="273">
        <v>1322</v>
      </c>
      <c r="H41" s="50">
        <f t="shared" si="28"/>
        <v>58564.6</v>
      </c>
      <c r="I41" s="64"/>
      <c r="J41" s="37">
        <f>VLOOKUP(D41,產線配置圖!$A$3:$C$39,2,0)</f>
        <v>19</v>
      </c>
      <c r="K41" s="36">
        <f>VLOOKUP(D41,產線配置圖!$A$3:$C$39,3,0)</f>
        <v>1440</v>
      </c>
      <c r="L41" s="38">
        <f t="shared" si="33"/>
        <v>75.78947368421052</v>
      </c>
      <c r="M41" s="65">
        <v>18</v>
      </c>
      <c r="N41" s="66">
        <f>G41/W41*60</f>
        <v>1133.1428571428585</v>
      </c>
      <c r="O41" s="67">
        <f t="shared" si="36"/>
        <v>62.952380952381027</v>
      </c>
      <c r="P41" s="39">
        <f t="shared" si="34"/>
        <v>-1</v>
      </c>
      <c r="Q41" s="40">
        <f t="shared" si="35"/>
        <v>-12.837092731829493</v>
      </c>
      <c r="R41" s="188">
        <f t="shared" si="30"/>
        <v>0.8306216931216942</v>
      </c>
      <c r="S41" s="420"/>
      <c r="T41" s="59">
        <v>0.54861111111111116</v>
      </c>
      <c r="U41" s="75">
        <v>0.59722222222222221</v>
      </c>
      <c r="V41" s="42">
        <f>(T41-U40)*24*60</f>
        <v>89.000000000000085</v>
      </c>
      <c r="W41" s="69">
        <f t="shared" si="20"/>
        <v>69.999999999999915</v>
      </c>
      <c r="X41" s="70">
        <v>0.49305555555555602</v>
      </c>
      <c r="Y41" s="256">
        <v>0.53472222222222199</v>
      </c>
      <c r="Z41" s="480"/>
      <c r="AA41" s="483"/>
      <c r="AB41" s="268">
        <f t="shared" si="31"/>
        <v>-306.85714285714153</v>
      </c>
      <c r="AC41" s="61">
        <f t="shared" si="32"/>
        <v>0.78690476190476288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75"/>
      <c r="U42" s="75"/>
      <c r="V42" s="42"/>
      <c r="W42" s="69">
        <f t="shared" si="20"/>
        <v>0</v>
      </c>
      <c r="X42" s="70"/>
      <c r="Y42" s="60"/>
      <c r="Z42" s="480"/>
      <c r="AA42" s="483"/>
      <c r="AB42" s="268"/>
      <c r="AC42" s="61"/>
      <c r="AD42" s="448"/>
    </row>
    <row r="43" spans="1:30" s="62" customFormat="1" ht="15" customHeight="1">
      <c r="A43" s="458"/>
      <c r="B43" s="56"/>
      <c r="C43" s="27"/>
      <c r="D43" s="276"/>
      <c r="E43" s="29"/>
      <c r="F43" s="56"/>
      <c r="G43" s="66"/>
      <c r="H43" s="50"/>
      <c r="I43" s="64"/>
      <c r="J43" s="37"/>
      <c r="K43" s="36"/>
      <c r="L43" s="38"/>
      <c r="M43" s="65"/>
      <c r="N43" s="66"/>
      <c r="O43" s="67"/>
      <c r="P43" s="39"/>
      <c r="Q43" s="40"/>
      <c r="R43" s="188"/>
      <c r="S43" s="420"/>
      <c r="T43" s="75"/>
      <c r="U43" s="75"/>
      <c r="V43" s="42"/>
      <c r="W43" s="69">
        <f>(U43-T43)*24*60</f>
        <v>0</v>
      </c>
      <c r="X43" s="70"/>
      <c r="Y43" s="334"/>
      <c r="Z43" s="480"/>
      <c r="AA43" s="483"/>
      <c r="AB43" s="71"/>
      <c r="AC43" s="61"/>
      <c r="AD43" s="448"/>
    </row>
    <row r="44" spans="1:30" s="62" customFormat="1" ht="15" customHeight="1">
      <c r="A44" s="458"/>
      <c r="B44" s="56"/>
      <c r="C44" s="23"/>
      <c r="D44" s="276"/>
      <c r="E44" s="12"/>
      <c r="F44" s="56"/>
      <c r="G44" s="273"/>
      <c r="H44" s="50"/>
      <c r="I44" s="64"/>
      <c r="J44" s="37"/>
      <c r="K44" s="36"/>
      <c r="L44" s="38"/>
      <c r="M44" s="65"/>
      <c r="N44" s="66"/>
      <c r="O44" s="67"/>
      <c r="P44" s="39"/>
      <c r="Q44" s="40"/>
      <c r="R44" s="188"/>
      <c r="S44" s="420"/>
      <c r="T44" s="75"/>
      <c r="U44" s="75"/>
      <c r="V44" s="42"/>
      <c r="W44" s="69">
        <f t="shared" ref="W44:W48" si="37">(U44-T44)*24*60</f>
        <v>0</v>
      </c>
      <c r="X44" s="70"/>
      <c r="Y44" s="67"/>
      <c r="Z44" s="480"/>
      <c r="AA44" s="483"/>
      <c r="AB44" s="71"/>
      <c r="AC44" s="61"/>
      <c r="AD44" s="448"/>
    </row>
    <row r="45" spans="1:30" s="62" customFormat="1" ht="15" customHeight="1">
      <c r="A45" s="458"/>
      <c r="B45" s="56"/>
      <c r="C45" s="23"/>
      <c r="D45" s="276"/>
      <c r="E45" s="12"/>
      <c r="F45" s="56"/>
      <c r="G45" s="273"/>
      <c r="H45" s="50"/>
      <c r="I45" s="64"/>
      <c r="J45" s="37"/>
      <c r="K45" s="36"/>
      <c r="L45" s="38"/>
      <c r="M45" s="65"/>
      <c r="N45" s="66"/>
      <c r="O45" s="67"/>
      <c r="P45" s="39"/>
      <c r="Q45" s="40"/>
      <c r="R45" s="188"/>
      <c r="S45" s="420"/>
      <c r="T45" s="75"/>
      <c r="U45" s="75"/>
      <c r="V45" s="64"/>
      <c r="W45" s="69">
        <f t="shared" si="37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/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7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28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7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8">AVERAGE(J38:J47)</f>
        <v>16.75</v>
      </c>
      <c r="K48" s="133">
        <f t="shared" si="38"/>
        <v>1446.5</v>
      </c>
      <c r="L48" s="136">
        <f t="shared" si="38"/>
        <v>87.380701754385967</v>
      </c>
      <c r="M48" s="133">
        <f t="shared" si="38"/>
        <v>16.25</v>
      </c>
      <c r="N48" s="133">
        <f t="shared" si="38"/>
        <v>1183.9253246753251</v>
      </c>
      <c r="O48" s="136">
        <f t="shared" si="38"/>
        <v>73.524427952999403</v>
      </c>
      <c r="P48" s="155">
        <f>M48-J48</f>
        <v>-0.5</v>
      </c>
      <c r="Q48" s="156">
        <f>N48-K48</f>
        <v>-262.5746753246749</v>
      </c>
      <c r="R48" s="157">
        <f>O48/L48</f>
        <v>0.84142638450839558</v>
      </c>
      <c r="S48" s="423"/>
      <c r="T48" s="158"/>
      <c r="U48" s="158"/>
      <c r="V48" s="194"/>
      <c r="W48" s="159">
        <f t="shared" si="37"/>
        <v>0</v>
      </c>
      <c r="X48" s="160"/>
      <c r="Y48" s="160"/>
      <c r="Z48" s="424"/>
      <c r="AA48" s="424"/>
      <c r="AB48" s="161">
        <f t="shared" ref="AB48:AB53" si="39">N48-K48</f>
        <v>-262.5746753246749</v>
      </c>
      <c r="AC48" s="189">
        <f t="shared" ref="AC48:AC53" si="40">N48/K48</f>
        <v>0.81847585528885247</v>
      </c>
      <c r="AD48" s="449"/>
    </row>
    <row r="49" spans="1:30" ht="15" customHeight="1">
      <c r="A49" s="454" t="s">
        <v>57</v>
      </c>
      <c r="B49" s="197" t="str">
        <f>VLOOKUP(D49,廠價表!$C$1:$E$40,2,0)</f>
        <v>義大利麵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1442</v>
      </c>
      <c r="H49" s="124">
        <f t="shared" ref="H49:H57" si="41">F49*G49</f>
        <v>82006.539999999994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1545.0000000000014</v>
      </c>
      <c r="O49" s="127">
        <f>N49/M49</f>
        <v>81.315789473684276</v>
      </c>
      <c r="P49" s="162">
        <f>M49-J49</f>
        <v>0</v>
      </c>
      <c r="Q49" s="111">
        <f>O49-L49</f>
        <v>-1.0526315789472989</v>
      </c>
      <c r="R49" s="182">
        <f>O49/L49</f>
        <v>0.98722044728434588</v>
      </c>
      <c r="S49" s="419">
        <f>R58</f>
        <v>0.94435276188737582</v>
      </c>
      <c r="T49" s="149">
        <v>0.2902777777777778</v>
      </c>
      <c r="U49" s="149">
        <v>0.32916666666666666</v>
      </c>
      <c r="V49" s="186"/>
      <c r="W49" s="150">
        <f t="shared" si="20"/>
        <v>55.999999999999957</v>
      </c>
      <c r="X49" s="186"/>
      <c r="Y49" s="186"/>
      <c r="Z49" s="425"/>
      <c r="AA49" s="425"/>
      <c r="AB49" s="110">
        <f t="shared" si="39"/>
        <v>-19.999999999998636</v>
      </c>
      <c r="AC49" s="182">
        <f t="shared" si="40"/>
        <v>0.98722044728434588</v>
      </c>
      <c r="AD49" s="411">
        <f>AC58</f>
        <v>0.94742727401731386</v>
      </c>
    </row>
    <row r="50" spans="1:30" ht="15" customHeight="1">
      <c r="A50" s="455"/>
      <c r="B50" s="56" t="str">
        <f>VLOOKUP(D50,廠價表!$C$1:$E$40,2,0)</f>
        <v>熱乾麵</v>
      </c>
      <c r="C50" s="10"/>
      <c r="D50" s="11" t="s">
        <v>46</v>
      </c>
      <c r="E50" s="86"/>
      <c r="F50" s="56">
        <f>VLOOKUP(D50,廠價表!$C$1:$E$40,3,0)</f>
        <v>49.91</v>
      </c>
      <c r="G50" s="66">
        <v>2464</v>
      </c>
      <c r="H50" s="76">
        <f t="shared" si="41"/>
        <v>122978.23999999999</v>
      </c>
      <c r="I50" s="191"/>
      <c r="J50" s="16">
        <f>VLOOKUP(D50,產線配置圖!$A$3:$C$39,2,0)</f>
        <v>17</v>
      </c>
      <c r="K50" s="14">
        <f>VLOOKUP(D50,產線配置圖!$A$3:$C$39,3,0)</f>
        <v>1565</v>
      </c>
      <c r="L50" s="17">
        <f>K50/J50</f>
        <v>92.058823529411768</v>
      </c>
      <c r="M50" s="172">
        <v>17</v>
      </c>
      <c r="N50" s="77">
        <f>G50/W50*60</f>
        <v>1540.0000000000005</v>
      </c>
      <c r="O50" s="78">
        <f>N50/M50</f>
        <v>90.58823529411768</v>
      </c>
      <c r="P50" s="18">
        <f>M50-J50</f>
        <v>0</v>
      </c>
      <c r="Q50" s="19">
        <f>O50-L50</f>
        <v>-1.4705882352940876</v>
      </c>
      <c r="R50" s="183">
        <f>O50/L50</f>
        <v>0.98402555910543166</v>
      </c>
      <c r="S50" s="420"/>
      <c r="T50" s="79">
        <v>0.33680555555555558</v>
      </c>
      <c r="U50" s="79">
        <v>0.40347222222222223</v>
      </c>
      <c r="V50" s="175">
        <f t="shared" ref="V50:V53" si="42">(T50-U49)*24*60</f>
        <v>11.000000000000041</v>
      </c>
      <c r="W50" s="80">
        <f t="shared" si="20"/>
        <v>95.999999999999972</v>
      </c>
      <c r="X50" s="22"/>
      <c r="Y50" s="22"/>
      <c r="Z50" s="417"/>
      <c r="AA50" s="418"/>
      <c r="AB50" s="18">
        <f t="shared" si="39"/>
        <v>-24.999999999999545</v>
      </c>
      <c r="AC50" s="183">
        <f t="shared" si="40"/>
        <v>0.98402555910543155</v>
      </c>
      <c r="AD50" s="412"/>
    </row>
    <row r="51" spans="1:30" ht="15" customHeight="1">
      <c r="A51" s="455"/>
      <c r="B51" s="56" t="str">
        <f>VLOOKUP(D51,廠價表!$C$1:$E$40,2,0)</f>
        <v>義大利麵</v>
      </c>
      <c r="C51" s="10"/>
      <c r="D51" s="11" t="s">
        <v>59</v>
      </c>
      <c r="E51" s="86"/>
      <c r="F51" s="56">
        <f>VLOOKUP(D51,廠價表!$C$1:$E$40,3,0)</f>
        <v>49.97</v>
      </c>
      <c r="G51" s="66">
        <v>2313</v>
      </c>
      <c r="H51" s="76">
        <f t="shared" si="41"/>
        <v>115580.61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 t="shared" ref="L51:L53" si="43">K51/J51</f>
        <v>88.888888888888886</v>
      </c>
      <c r="M51" s="172">
        <v>18</v>
      </c>
      <c r="N51" s="77">
        <f t="shared" ref="N51:N53" si="44">G51/W51*60</f>
        <v>1542.0000000000052</v>
      </c>
      <c r="O51" s="78">
        <f t="shared" ref="O51:O52" si="45">N51/M51</f>
        <v>85.666666666666956</v>
      </c>
      <c r="P51" s="18">
        <f t="shared" ref="P51:P52" si="46">M51-J51</f>
        <v>0</v>
      </c>
      <c r="Q51" s="19">
        <f t="shared" ref="Q51:Q53" si="47">O51-L51</f>
        <v>-3.2222222222219301</v>
      </c>
      <c r="R51" s="183">
        <f t="shared" ref="R51:R53" si="48">O51/L51</f>
        <v>0.96375000000000333</v>
      </c>
      <c r="S51" s="420"/>
      <c r="T51" s="79">
        <v>0.40972222222222221</v>
      </c>
      <c r="U51" s="44">
        <v>0.47222222222222199</v>
      </c>
      <c r="V51" s="175">
        <f t="shared" si="42"/>
        <v>8.999999999999968</v>
      </c>
      <c r="W51" s="80">
        <f t="shared" si="20"/>
        <v>89.999999999999687</v>
      </c>
      <c r="X51" s="22"/>
      <c r="Y51" s="22"/>
      <c r="Z51" s="405"/>
      <c r="AA51" s="405"/>
      <c r="AB51" s="18">
        <f t="shared" si="39"/>
        <v>-57.99999999999477</v>
      </c>
      <c r="AC51" s="183">
        <f t="shared" si="40"/>
        <v>0.96375000000000322</v>
      </c>
      <c r="AD51" s="412"/>
    </row>
    <row r="52" spans="1:30" ht="15" customHeight="1">
      <c r="A52" s="455"/>
      <c r="B52" s="56" t="str">
        <f>VLOOKUP(D52,廠價表!$C$1:$E$40,2,0)</f>
        <v>義大利麵</v>
      </c>
      <c r="C52" s="23"/>
      <c r="D52" s="11" t="s">
        <v>59</v>
      </c>
      <c r="E52" s="12"/>
      <c r="F52" s="56">
        <f>VLOOKUP(D52,廠價表!$C$1:$E$40,3,0)</f>
        <v>49.97</v>
      </c>
      <c r="G52" s="66">
        <v>2493</v>
      </c>
      <c r="H52" s="76">
        <f t="shared" si="41"/>
        <v>124575.20999999999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 t="shared" si="43"/>
        <v>88.888888888888886</v>
      </c>
      <c r="M52" s="172">
        <v>18</v>
      </c>
      <c r="N52" s="77">
        <f t="shared" si="44"/>
        <v>1495.8000000000004</v>
      </c>
      <c r="O52" s="78">
        <f t="shared" si="45"/>
        <v>83.100000000000023</v>
      </c>
      <c r="P52" s="18">
        <f t="shared" si="46"/>
        <v>0</v>
      </c>
      <c r="Q52" s="19">
        <f t="shared" si="47"/>
        <v>-5.788888888888863</v>
      </c>
      <c r="R52" s="183">
        <f t="shared" si="48"/>
        <v>0.93487500000000023</v>
      </c>
      <c r="S52" s="420"/>
      <c r="T52" s="79">
        <v>0.53125</v>
      </c>
      <c r="U52" s="79">
        <v>0.60069444444444442</v>
      </c>
      <c r="V52" s="175">
        <f t="shared" si="42"/>
        <v>85.000000000000341</v>
      </c>
      <c r="W52" s="80">
        <f t="shared" si="20"/>
        <v>99.999999999999972</v>
      </c>
      <c r="X52" s="22">
        <v>0.47916666666666702</v>
      </c>
      <c r="Y52" s="22">
        <v>0.52083333333333304</v>
      </c>
      <c r="Z52" s="417"/>
      <c r="AA52" s="418"/>
      <c r="AB52" s="18">
        <f t="shared" si="39"/>
        <v>-104.19999999999959</v>
      </c>
      <c r="AC52" s="183">
        <f t="shared" si="40"/>
        <v>0.93487500000000023</v>
      </c>
      <c r="AD52" s="412"/>
    </row>
    <row r="53" spans="1:30" ht="15" customHeight="1">
      <c r="A53" s="455"/>
      <c r="B53" s="56" t="str">
        <f>VLOOKUP(D53,廠價表!$C$1:$E$40,2,0)</f>
        <v>義大利麵</v>
      </c>
      <c r="C53" s="23"/>
      <c r="D53" s="11" t="s">
        <v>49</v>
      </c>
      <c r="E53" s="12"/>
      <c r="F53" s="56">
        <f>VLOOKUP(D53,廠價表!$C$1:$E$40,3,0)</f>
        <v>47.71</v>
      </c>
      <c r="G53" s="66">
        <v>583</v>
      </c>
      <c r="H53" s="76">
        <f t="shared" si="41"/>
        <v>27814.93</v>
      </c>
      <c r="I53" s="191"/>
      <c r="J53" s="16">
        <f>VLOOKUP(D53,產線配置圖!$A$3:$C$39,2,0)</f>
        <v>15</v>
      </c>
      <c r="K53" s="14">
        <f>VLOOKUP(D53,產線配置圖!$A$3:$C$39,3,0)</f>
        <v>1500</v>
      </c>
      <c r="L53" s="17">
        <f t="shared" si="43"/>
        <v>100</v>
      </c>
      <c r="M53" s="172">
        <v>15</v>
      </c>
      <c r="N53" s="77">
        <f t="shared" si="44"/>
        <v>1295.5555555555602</v>
      </c>
      <c r="O53" s="78">
        <f>N53/M53</f>
        <v>86.370370370370679</v>
      </c>
      <c r="P53" s="18">
        <f>M53-J53</f>
        <v>0</v>
      </c>
      <c r="Q53" s="19">
        <f t="shared" si="47"/>
        <v>-13.629629629629321</v>
      </c>
      <c r="R53" s="183">
        <f t="shared" si="48"/>
        <v>0.86370370370370675</v>
      </c>
      <c r="S53" s="420"/>
      <c r="T53" s="79">
        <v>0.61319444444444449</v>
      </c>
      <c r="U53" s="79">
        <v>0.63194444444444442</v>
      </c>
      <c r="V53" s="175">
        <f t="shared" si="42"/>
        <v>18.000000000000096</v>
      </c>
      <c r="W53" s="80">
        <f t="shared" si="20"/>
        <v>26.999999999999904</v>
      </c>
      <c r="X53" s="175"/>
      <c r="Y53" s="175"/>
      <c r="Z53" s="417"/>
      <c r="AA53" s="418"/>
      <c r="AB53" s="18">
        <f t="shared" si="39"/>
        <v>-204.4444444444398</v>
      </c>
      <c r="AC53" s="183">
        <f t="shared" si="40"/>
        <v>0.86370370370370675</v>
      </c>
      <c r="AD53" s="412"/>
    </row>
    <row r="54" spans="1:30" ht="15" customHeight="1">
      <c r="A54" s="455"/>
      <c r="B54" s="56"/>
      <c r="C54" s="181"/>
      <c r="D54" s="11"/>
      <c r="E54" s="12"/>
      <c r="F54" s="56"/>
      <c r="G54" s="66"/>
      <c r="H54" s="76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79"/>
      <c r="U54" s="79"/>
      <c r="V54" s="175"/>
      <c r="W54" s="80">
        <f t="shared" si="20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1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20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1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20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1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20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9">AVERAGE(J49:J57)</f>
        <v>17.399999999999999</v>
      </c>
      <c r="K58" s="117">
        <f t="shared" si="49"/>
        <v>1566</v>
      </c>
      <c r="L58" s="114">
        <f t="shared" si="49"/>
        <v>90.44100447196422</v>
      </c>
      <c r="M58" s="117">
        <f t="shared" si="49"/>
        <v>17.399999999999999</v>
      </c>
      <c r="N58" s="117">
        <f t="shared" si="49"/>
        <v>1483.6711111111135</v>
      </c>
      <c r="O58" s="114">
        <f t="shared" si="49"/>
        <v>85.408212360967923</v>
      </c>
      <c r="P58" s="118">
        <f>M58-J58</f>
        <v>0</v>
      </c>
      <c r="Q58" s="119">
        <f>N58-K58</f>
        <v>-82.328888888886468</v>
      </c>
      <c r="R58" s="120">
        <f t="shared" ref="R58:R60" si="50">O58/L58</f>
        <v>0.94435276188737582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51">N58-K58</f>
        <v>-82.328888888886468</v>
      </c>
      <c r="AC58" s="185">
        <f t="shared" ref="AC58:AC61" si="52">N58/K58</f>
        <v>0.94742727401731386</v>
      </c>
      <c r="AD58" s="414"/>
    </row>
    <row r="59" spans="1:30" ht="15" customHeight="1">
      <c r="A59" s="470" t="s">
        <v>61</v>
      </c>
      <c r="B59" s="197" t="str">
        <f>VLOOKUP(D59,廠價表!$C$1:$E$40,2,0)</f>
        <v>小吃、微波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3419</v>
      </c>
      <c r="H59" s="105">
        <f t="shared" ref="H59:H68" si="53">F59*G59</f>
        <v>92278.81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54">G59/W59*60</f>
        <v>1465.2857142857147</v>
      </c>
      <c r="O59" s="108">
        <f t="shared" ref="O59:O62" si="55">N59/M59</f>
        <v>112.71428571428575</v>
      </c>
      <c r="P59" s="110">
        <f t="shared" ref="P59:P62" si="56">M59-J59</f>
        <v>0</v>
      </c>
      <c r="Q59" s="111">
        <f t="shared" ref="Q59:Q62" si="57">O59-L59</f>
        <v>-7.670329670329636</v>
      </c>
      <c r="R59" s="182">
        <f t="shared" si="50"/>
        <v>0.93628480146052062</v>
      </c>
      <c r="S59" s="419">
        <f>R69</f>
        <v>0.87213233923367384</v>
      </c>
      <c r="T59" s="167">
        <v>0.29166666666666669</v>
      </c>
      <c r="U59" s="167">
        <v>0.3888888888888889</v>
      </c>
      <c r="V59" s="186"/>
      <c r="W59" s="106">
        <f t="shared" si="20"/>
        <v>139.99999999999997</v>
      </c>
      <c r="X59" s="186"/>
      <c r="Y59" s="186"/>
      <c r="Z59" s="469"/>
      <c r="AA59" s="434"/>
      <c r="AB59" s="223">
        <f t="shared" si="51"/>
        <v>-99.714285714285325</v>
      </c>
      <c r="AC59" s="224">
        <f t="shared" si="52"/>
        <v>0.93628480146052051</v>
      </c>
      <c r="AD59" s="411">
        <f>AC69</f>
        <v>0.89025083407795091</v>
      </c>
    </row>
    <row r="60" spans="1:30" ht="15" customHeight="1">
      <c r="A60" s="471"/>
      <c r="B60" s="56" t="str">
        <f>VLOOKUP(D60,廠價表!$C$1:$E$40,2,0)</f>
        <v>小吃、微波</v>
      </c>
      <c r="C60" s="23"/>
      <c r="D60" s="239" t="s">
        <v>63</v>
      </c>
      <c r="E60" s="12"/>
      <c r="F60" s="56">
        <f>VLOOKUP(D60,廠價表!$C$1:$E$40,3,0)</f>
        <v>28.47</v>
      </c>
      <c r="G60" s="175">
        <v>1103</v>
      </c>
      <c r="H60" s="15">
        <f t="shared" si="53"/>
        <v>31402.41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4"/>
        <v>1323.6000000000004</v>
      </c>
      <c r="O60" s="17">
        <f t="shared" si="55"/>
        <v>110.30000000000003</v>
      </c>
      <c r="P60" s="18">
        <f t="shared" si="56"/>
        <v>0</v>
      </c>
      <c r="Q60" s="19">
        <f t="shared" si="57"/>
        <v>-20.116666666666632</v>
      </c>
      <c r="R60" s="183">
        <f t="shared" si="50"/>
        <v>0.84575079872204495</v>
      </c>
      <c r="S60" s="474"/>
      <c r="T60" s="20">
        <v>0.39930555555555558</v>
      </c>
      <c r="U60" s="20">
        <v>0.43402777777777779</v>
      </c>
      <c r="V60" s="175">
        <f t="shared" ref="V60:V62" si="58">(T60-U59)*24*60</f>
        <v>15.000000000000027</v>
      </c>
      <c r="W60" s="90">
        <f t="shared" si="20"/>
        <v>49.999999999999986</v>
      </c>
      <c r="X60" s="191"/>
      <c r="Y60" s="191"/>
      <c r="Z60" s="405"/>
      <c r="AA60" s="405"/>
      <c r="AB60" s="225">
        <f t="shared" si="51"/>
        <v>-241.39999999999964</v>
      </c>
      <c r="AC60" s="226">
        <f t="shared" si="52"/>
        <v>0.84575079872204495</v>
      </c>
      <c r="AD60" s="464"/>
    </row>
    <row r="61" spans="1:30" ht="15" customHeight="1">
      <c r="A61" s="472"/>
      <c r="B61" s="56" t="s">
        <v>172</v>
      </c>
      <c r="C61" s="10"/>
      <c r="D61" s="239" t="s">
        <v>64</v>
      </c>
      <c r="E61" s="86"/>
      <c r="F61" s="56">
        <f>VLOOKUP(D61,廠價表!$C$1:$E$40,3,0)</f>
        <v>28.26</v>
      </c>
      <c r="G61" s="175">
        <v>1626</v>
      </c>
      <c r="H61" s="15">
        <f t="shared" si="53"/>
        <v>45950.76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13</v>
      </c>
      <c r="N61" s="14">
        <f>G61/W61*60</f>
        <v>1374.0845070422522</v>
      </c>
      <c r="O61" s="17">
        <f>N61/M61</f>
        <v>105.6988082340194</v>
      </c>
      <c r="P61" s="18">
        <f>M61-J61</f>
        <v>1</v>
      </c>
      <c r="Q61" s="19">
        <f>O61-L61</f>
        <v>-24.717858432647262</v>
      </c>
      <c r="R61" s="183">
        <f>O61/L61</f>
        <v>0.81047009508513279</v>
      </c>
      <c r="S61" s="420"/>
      <c r="T61" s="20">
        <v>0.44444444444444442</v>
      </c>
      <c r="U61" s="20">
        <v>0.49375000000000002</v>
      </c>
      <c r="V61" s="175">
        <f t="shared" si="58"/>
        <v>14.999999999999947</v>
      </c>
      <c r="W61" s="88">
        <f t="shared" si="20"/>
        <v>71.000000000000071</v>
      </c>
      <c r="X61" s="22"/>
      <c r="Y61" s="22"/>
      <c r="Z61" s="405"/>
      <c r="AA61" s="405"/>
      <c r="AB61" s="51">
        <f t="shared" si="51"/>
        <v>-190.9154929577478</v>
      </c>
      <c r="AC61" s="52">
        <f t="shared" si="52"/>
        <v>0.87800926967556048</v>
      </c>
      <c r="AD61" s="412"/>
    </row>
    <row r="62" spans="1:30" ht="15" customHeight="1">
      <c r="A62" s="472"/>
      <c r="B62" s="336" t="str">
        <f>VLOOKUP(D62,廠價表!$C$1:$E$40,2,0)</f>
        <v>小吃、微波</v>
      </c>
      <c r="C62" s="337"/>
      <c r="D62" s="338" t="s">
        <v>64</v>
      </c>
      <c r="E62" s="339"/>
      <c r="F62" s="336">
        <f>VLOOKUP(D62,廠價表!$C$1:$E$40,3,0)</f>
        <v>28.26</v>
      </c>
      <c r="G62" s="176">
        <v>846</v>
      </c>
      <c r="H62" s="340">
        <f t="shared" si="53"/>
        <v>23907.960000000003</v>
      </c>
      <c r="I62" s="81"/>
      <c r="J62" s="31">
        <f>VLOOKUP(D62,產線配置圖!$A$3:$C$39,2,0)</f>
        <v>12</v>
      </c>
      <c r="K62" s="30">
        <f>VLOOKUP(D62,產線配置圖!$A$3:$C$39,3,0)</f>
        <v>1565</v>
      </c>
      <c r="L62" s="35">
        <f>K62/J62</f>
        <v>130.41666666666666</v>
      </c>
      <c r="M62" s="179">
        <v>12</v>
      </c>
      <c r="N62" s="30">
        <f t="shared" si="54"/>
        <v>1410.000000000005</v>
      </c>
      <c r="O62" s="35">
        <f t="shared" si="55"/>
        <v>117.50000000000041</v>
      </c>
      <c r="P62" s="34">
        <f t="shared" si="56"/>
        <v>0</v>
      </c>
      <c r="Q62" s="341">
        <f t="shared" si="57"/>
        <v>-12.916666666666245</v>
      </c>
      <c r="R62" s="184">
        <f>O62/L62</f>
        <v>0.90095846645367739</v>
      </c>
      <c r="S62" s="420"/>
      <c r="T62" s="20">
        <v>0.54861111111111116</v>
      </c>
      <c r="U62" s="20">
        <v>0.57361111111111107</v>
      </c>
      <c r="V62" s="175">
        <f t="shared" si="58"/>
        <v>79.000000000000043</v>
      </c>
      <c r="W62" s="90">
        <f t="shared" si="20"/>
        <v>35.999999999999872</v>
      </c>
      <c r="X62" s="22">
        <v>0.50347222222222199</v>
      </c>
      <c r="Y62" s="22">
        <v>0.54513888888888895</v>
      </c>
      <c r="Z62" s="405"/>
      <c r="AA62" s="405"/>
      <c r="AB62" s="51">
        <f>N62-K62</f>
        <v>-154.999999999995</v>
      </c>
      <c r="AC62" s="52">
        <f>N62/K62</f>
        <v>0.90095846645367728</v>
      </c>
      <c r="AD62" s="412"/>
    </row>
    <row r="63" spans="1:30" ht="15" customHeight="1">
      <c r="A63" s="472"/>
      <c r="B63" s="342"/>
      <c r="C63" s="246"/>
      <c r="D63" s="247"/>
      <c r="E63" s="248"/>
      <c r="F63" s="305"/>
      <c r="G63" s="335"/>
      <c r="H63" s="307"/>
      <c r="I63" s="335"/>
      <c r="J63" s="309"/>
      <c r="K63" s="306"/>
      <c r="L63" s="310"/>
      <c r="M63" s="311"/>
      <c r="N63" s="306"/>
      <c r="O63" s="310"/>
      <c r="P63" s="312"/>
      <c r="Q63" s="313"/>
      <c r="R63" s="314"/>
      <c r="S63" s="420"/>
      <c r="T63" s="20"/>
      <c r="U63" s="20"/>
      <c r="V63" s="175"/>
      <c r="W63" s="90">
        <f t="shared" si="20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20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20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20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20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3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20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9">AVERAGE(J59:J68)</f>
        <v>12.25</v>
      </c>
      <c r="K69" s="164">
        <f t="shared" si="59"/>
        <v>1565</v>
      </c>
      <c r="L69" s="169">
        <f t="shared" si="59"/>
        <v>127.90865384615384</v>
      </c>
      <c r="M69" s="164">
        <f t="shared" si="59"/>
        <v>12.5</v>
      </c>
      <c r="N69" s="164">
        <f t="shared" si="59"/>
        <v>1393.2425553319931</v>
      </c>
      <c r="O69" s="169">
        <f t="shared" si="59"/>
        <v>111.5532734870764</v>
      </c>
      <c r="P69" s="170">
        <f>M69-J69</f>
        <v>0.25</v>
      </c>
      <c r="Q69" s="156">
        <f>N69-K69</f>
        <v>-171.75744466800688</v>
      </c>
      <c r="R69" s="120">
        <f>O69/L69</f>
        <v>0.87213233923367384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-171.75744466800688</v>
      </c>
      <c r="AC69" s="185">
        <f>N69/K69</f>
        <v>0.89025083407795091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20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20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20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20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60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20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60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20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60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20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60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20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60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20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Z1:AA2"/>
    <mergeCell ref="AB1:AD2"/>
    <mergeCell ref="M3:M4"/>
    <mergeCell ref="AD3:AD4"/>
    <mergeCell ref="S3:S4"/>
    <mergeCell ref="AC3:AC4"/>
    <mergeCell ref="T3:U3"/>
    <mergeCell ref="V3:V4"/>
    <mergeCell ref="W3:W4"/>
    <mergeCell ref="A2:B2"/>
    <mergeCell ref="S5:S15"/>
    <mergeCell ref="Z5:AA5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Z15:AA15"/>
    <mergeCell ref="M1:O2"/>
    <mergeCell ref="J1:L2"/>
    <mergeCell ref="X3:Y3"/>
    <mergeCell ref="Z3:AA4"/>
    <mergeCell ref="AB3:AB4"/>
    <mergeCell ref="P3:P4"/>
    <mergeCell ref="Q3:Q4"/>
    <mergeCell ref="R3:R4"/>
    <mergeCell ref="P1:S2"/>
    <mergeCell ref="T1:Y2"/>
    <mergeCell ref="D15:E15"/>
    <mergeCell ref="N3:N4"/>
    <mergeCell ref="O3:O4"/>
    <mergeCell ref="G3:G4"/>
    <mergeCell ref="A3:A4"/>
    <mergeCell ref="B3:B4"/>
    <mergeCell ref="D3:E4"/>
    <mergeCell ref="F3:F4"/>
    <mergeCell ref="A5:A15"/>
    <mergeCell ref="H3:H4"/>
    <mergeCell ref="I3:I4"/>
    <mergeCell ref="J3:J4"/>
    <mergeCell ref="K3:K4"/>
    <mergeCell ref="L3:L4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18" priority="1" operator="greaterThan">
      <formula>0</formula>
    </cfRule>
  </conditionalFormatting>
  <conditionalFormatting sqref="Q5:Q79 AB5:AB79">
    <cfRule type="cellIs" dxfId="117" priority="4" operator="lessThan">
      <formula>0</formula>
    </cfRule>
  </conditionalFormatting>
  <conditionalFormatting sqref="R5:R79 AC5:AC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D59:AD62 S69:S76 AD69:AD76">
    <cfRule type="cellIs" dxfId="114" priority="7" operator="lessThan">
      <formula>0.8</formula>
    </cfRule>
  </conditionalFormatting>
  <conditionalFormatting sqref="S19:S25 AD19:AD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D5:AD8 S15:S16 AD15:AD16 AD49 AD79">
    <cfRule type="cellIs" dxfId="111" priority="9" operator="lessThan">
      <formula>0.8</formula>
    </cfRule>
  </conditionalFormatting>
  <conditionalFormatting sqref="AD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Q17" sqref="Q17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46012</v>
      </c>
      <c r="E3" s="357"/>
      <c r="F3" s="202" t="s">
        <v>84</v>
      </c>
      <c r="G3" s="358">
        <f>'1221'!E1</f>
        <v>58406</v>
      </c>
      <c r="H3" s="358"/>
      <c r="I3" s="202" t="s">
        <v>2</v>
      </c>
      <c r="J3" s="359">
        <f>'1221'!G1</f>
        <v>2838440.4699999997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114.57880576724615</v>
      </c>
      <c r="G6" s="367"/>
      <c r="H6" s="360">
        <f>AVERAGE(D13:H13)</f>
        <v>111.91283615146463</v>
      </c>
      <c r="I6" s="360"/>
      <c r="J6" s="360">
        <f>AVERAGE(I13:J13)</f>
        <v>127.90865384615384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106.53620819104624</v>
      </c>
      <c r="G7" s="362"/>
      <c r="H7" s="363">
        <f>AVERAGE(D14:H14)</f>
        <v>103.89664912995484</v>
      </c>
      <c r="I7" s="363"/>
      <c r="J7" s="363">
        <f>AVERAGE(I14:J14)</f>
        <v>119.73400349650329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0.93011175595030826</v>
      </c>
      <c r="G8" s="364"/>
      <c r="H8" s="364">
        <f>AVERAGE(D15:H15)</f>
        <v>0.92891612009077262</v>
      </c>
      <c r="I8" s="364"/>
      <c r="J8" s="364">
        <f>AVERAGE(I15:J15)</f>
        <v>0.93608993524798667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VALUE('1221'!L15)</f>
        <v>133.51432880844644</v>
      </c>
      <c r="E13" s="213">
        <f>VALUE('1221'!L26)</f>
        <v>160.58974358974359</v>
      </c>
      <c r="F13" s="213">
        <f>VALUE('1221'!L37)</f>
        <v>92.236111111111114</v>
      </c>
      <c r="G13" s="213">
        <f>VALUE('1221'!L48)</f>
        <v>84.371228070175434</v>
      </c>
      <c r="H13" s="213">
        <f>VALUE('1221'!L58)</f>
        <v>88.852769177846582</v>
      </c>
      <c r="I13" s="213">
        <f>VALUE('1221'!L69)</f>
        <v>127.90865384615384</v>
      </c>
      <c r="J13" s="213"/>
    </row>
    <row r="14" spans="2:15" ht="40" customHeight="1">
      <c r="B14" s="376"/>
      <c r="C14" s="212" t="s">
        <v>106</v>
      </c>
      <c r="D14" s="213">
        <f>VALUE('1221'!O15)</f>
        <v>118.5044809634512</v>
      </c>
      <c r="E14" s="213">
        <f>VALUE('1221'!O26)</f>
        <v>151.37529055407146</v>
      </c>
      <c r="F14" s="213">
        <f>VALUE('1221'!O37)</f>
        <v>90.405079510190305</v>
      </c>
      <c r="G14" s="213">
        <f>VALUE('1221'!O48)</f>
        <v>71.130251385277603</v>
      </c>
      <c r="H14" s="213">
        <f>VALUE('1221'!O58)</f>
        <v>88.068143236783584</v>
      </c>
      <c r="I14" s="213">
        <f>VALUE('1221'!O69)</f>
        <v>119.73400349650329</v>
      </c>
      <c r="J14" s="213"/>
    </row>
    <row r="15" spans="2:15" ht="40" customHeight="1">
      <c r="B15" s="377"/>
      <c r="C15" s="210" t="s">
        <v>23</v>
      </c>
      <c r="D15" s="231">
        <f>D14/D13</f>
        <v>0.88757874919530233</v>
      </c>
      <c r="E15" s="231">
        <f t="shared" ref="E15:I15" si="0">E14/E13</f>
        <v>0.94262116104243765</v>
      </c>
      <c r="F15" s="231">
        <f t="shared" si="0"/>
        <v>0.98014843016619513</v>
      </c>
      <c r="G15" s="231">
        <f t="shared" si="0"/>
        <v>0.84306289018473568</v>
      </c>
      <c r="H15" s="231">
        <f t="shared" si="0"/>
        <v>0.99116936986519233</v>
      </c>
      <c r="I15" s="231">
        <f t="shared" si="0"/>
        <v>0.93608993524798667</v>
      </c>
      <c r="J15" s="343"/>
    </row>
    <row r="16" spans="2:15" ht="17.25" customHeight="1">
      <c r="B16" s="378" t="s">
        <v>107</v>
      </c>
      <c r="C16" s="210" t="s">
        <v>29</v>
      </c>
      <c r="D16" s="95">
        <f>'1221'!T5</f>
        <v>0.29027777777777802</v>
      </c>
      <c r="E16" s="95">
        <f>'1221'!T16</f>
        <v>0.29027777777777802</v>
      </c>
      <c r="F16" s="95">
        <f>'1221'!T27</f>
        <v>0.29166666666666702</v>
      </c>
      <c r="G16" s="95">
        <f>'1221'!T38</f>
        <v>0.29166666666666702</v>
      </c>
      <c r="H16" s="95">
        <f>'1221'!T49</f>
        <v>0.28819444444444398</v>
      </c>
      <c r="I16" s="95">
        <f>'1221'!T59</f>
        <v>0.29166666666666702</v>
      </c>
      <c r="J16" s="269"/>
    </row>
    <row r="17" spans="2:10" ht="17.25" customHeight="1">
      <c r="B17" s="379"/>
      <c r="C17" s="210" t="s">
        <v>30</v>
      </c>
      <c r="D17" s="22">
        <v>0.66527777777777797</v>
      </c>
      <c r="E17" s="41">
        <v>0.62361111111111112</v>
      </c>
      <c r="F17" s="44">
        <v>0.65763888888888899</v>
      </c>
      <c r="G17" s="350">
        <v>0.68055555555555602</v>
      </c>
      <c r="H17" s="351">
        <v>0.64583333333333304</v>
      </c>
      <c r="I17" s="22">
        <v>0.58125000000000004</v>
      </c>
      <c r="J17" s="20"/>
    </row>
    <row r="18" spans="2:10" ht="17.25" customHeight="1">
      <c r="B18" s="365" t="s">
        <v>108</v>
      </c>
      <c r="C18" s="366"/>
      <c r="D18" s="214">
        <f>VALUE('1221'!M15)</f>
        <v>14.333333333333334</v>
      </c>
      <c r="E18" s="214">
        <f>VALUE('1221'!M26)</f>
        <v>12.6</v>
      </c>
      <c r="F18" s="214">
        <f>VALUE('1221'!M37)</f>
        <v>14.5</v>
      </c>
      <c r="G18" s="214">
        <f>VALUE('1221'!M48)</f>
        <v>16.600000000000001</v>
      </c>
      <c r="H18" s="214">
        <f>VALUE('1221'!M58)</f>
        <v>17.8</v>
      </c>
      <c r="I18" s="214">
        <f>VALUE('1221'!M69)</f>
        <v>12.25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L59" activePane="bottomRight" state="frozen"/>
      <selection activeCell="F14" sqref="F14"/>
      <selection pane="topRight" activeCell="F14" sqref="F14"/>
      <selection pane="bottomLeft" activeCell="F14" sqref="F14"/>
      <selection pane="bottomRight" activeCell="V61" activeCellId="16" sqref="U10 V6 V7 V8 V10 V17 V18 V28 V29 V39 V40 V42 V50 V51 V53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58406</v>
      </c>
      <c r="F1" s="175" t="s">
        <v>2</v>
      </c>
      <c r="G1" s="4">
        <f>SUM(H5:H79)</f>
        <v>2838440.4699999997</v>
      </c>
      <c r="H1" s="173" t="s">
        <v>3</v>
      </c>
      <c r="I1" s="5">
        <f>M15+M26+M48+M58+M69+M79+M37</f>
        <v>88.083333333333329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181</v>
      </c>
      <c r="B2" s="404"/>
      <c r="C2" s="174"/>
      <c r="D2" s="174" t="s">
        <v>11</v>
      </c>
      <c r="E2" s="7">
        <f>AVERAGE(O15,O26,O37,O48,O58,O69,O79)</f>
        <v>106.53620819104624</v>
      </c>
      <c r="F2" s="8" t="s">
        <v>12</v>
      </c>
      <c r="G2" s="9">
        <f>G1/E1</f>
        <v>48.598439715097761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">
        <v>45</v>
      </c>
      <c r="C5" s="315"/>
      <c r="D5" s="329" t="s">
        <v>32</v>
      </c>
      <c r="E5" s="316"/>
      <c r="F5" s="299">
        <f>VLOOKUP(D5,廠價表!$C$1:$E$40,3,0)</f>
        <v>57.21</v>
      </c>
      <c r="G5" s="317">
        <v>1480</v>
      </c>
      <c r="H5" s="318">
        <f>F5*G5</f>
        <v>84670.8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 t="shared" ref="L5:L10" si="0">K5/J5</f>
        <v>161.92307692307693</v>
      </c>
      <c r="M5" s="323">
        <v>13</v>
      </c>
      <c r="N5" s="321">
        <f t="shared" ref="N5:N10" si="1">G5/W5*60</f>
        <v>1850.0000000000189</v>
      </c>
      <c r="O5" s="322">
        <f t="shared" ref="O5:O10" si="2">N5/M5</f>
        <v>142.30769230769377</v>
      </c>
      <c r="P5" s="324">
        <f t="shared" ref="P5:P10" si="3">M5-J5</f>
        <v>0</v>
      </c>
      <c r="Q5" s="325">
        <f t="shared" ref="Q5:Q10" si="4">O5-L5</f>
        <v>-19.615384615383164</v>
      </c>
      <c r="R5" s="326">
        <f t="shared" ref="R5:R10" si="5">O5/L5</f>
        <v>0.8788598574821942</v>
      </c>
      <c r="S5" s="419">
        <f>R15</f>
        <v>0.88757874919530233</v>
      </c>
      <c r="T5" s="346">
        <v>0.29027777777777802</v>
      </c>
      <c r="U5" s="347">
        <v>0.32361111111111102</v>
      </c>
      <c r="V5" s="192"/>
      <c r="W5" s="106">
        <f t="shared" ref="W5:W14" si="6">(U5-T5)*24*60</f>
        <v>47.99999999999951</v>
      </c>
      <c r="X5" s="186"/>
      <c r="Y5" s="186"/>
      <c r="Z5" s="425"/>
      <c r="AA5" s="425"/>
      <c r="AB5" s="110">
        <f t="shared" ref="AB5:AB11" si="7">N5-K5</f>
        <v>-254.99999999998113</v>
      </c>
      <c r="AC5" s="182">
        <f t="shared" ref="AC5:AC11" si="8">N5/K5</f>
        <v>0.8788598574821942</v>
      </c>
      <c r="AD5" s="411">
        <f>AC15</f>
        <v>0.8850953046534471</v>
      </c>
    </row>
    <row r="6" spans="1:30" ht="15" customHeight="1">
      <c r="A6" s="408"/>
      <c r="B6" s="304" t="s">
        <v>45</v>
      </c>
      <c r="C6" s="246"/>
      <c r="D6" s="11" t="s">
        <v>35</v>
      </c>
      <c r="E6" s="248"/>
      <c r="F6" s="305">
        <f>VLOOKUP(D6,廠價表!$C$1:$E$40,3,0)</f>
        <v>56.43</v>
      </c>
      <c r="G6" s="25">
        <v>644</v>
      </c>
      <c r="H6" s="307">
        <f>F6*G6</f>
        <v>36340.92</v>
      </c>
      <c r="I6" s="308"/>
      <c r="J6" s="309">
        <f>VLOOKUP(D6,產線配置圖!$A$3:$C$39,2,0)</f>
        <v>15</v>
      </c>
      <c r="K6" s="306">
        <v>1800</v>
      </c>
      <c r="L6" s="310">
        <f t="shared" si="0"/>
        <v>120</v>
      </c>
      <c r="M6" s="311">
        <v>15</v>
      </c>
      <c r="N6" s="306">
        <f t="shared" si="1"/>
        <v>1246.4516129032108</v>
      </c>
      <c r="O6" s="310">
        <f t="shared" si="2"/>
        <v>83.09677419354739</v>
      </c>
      <c r="P6" s="312">
        <f t="shared" si="3"/>
        <v>0</v>
      </c>
      <c r="Q6" s="313">
        <f t="shared" si="4"/>
        <v>-36.90322580645261</v>
      </c>
      <c r="R6" s="314">
        <f t="shared" si="5"/>
        <v>0.69247311827956159</v>
      </c>
      <c r="S6" s="420"/>
      <c r="T6" s="95">
        <v>0.33194444444444399</v>
      </c>
      <c r="U6" s="95">
        <v>0.35347222222222202</v>
      </c>
      <c r="V6" s="175">
        <f>(T6-U5)*24*60</f>
        <v>11.999999999999478</v>
      </c>
      <c r="W6" s="180">
        <f t="shared" si="6"/>
        <v>31.000000000000369</v>
      </c>
      <c r="X6" s="22"/>
      <c r="Y6" s="22"/>
      <c r="Z6" s="475" t="s">
        <v>171</v>
      </c>
      <c r="AA6" s="476"/>
      <c r="AB6" s="18">
        <f t="shared" si="7"/>
        <v>-553.54838709678916</v>
      </c>
      <c r="AC6" s="183">
        <f t="shared" si="8"/>
        <v>0.69247311827956159</v>
      </c>
      <c r="AD6" s="412"/>
    </row>
    <row r="7" spans="1:30" ht="15" customHeight="1">
      <c r="A7" s="408"/>
      <c r="B7" s="56" t="s">
        <v>45</v>
      </c>
      <c r="C7" s="10"/>
      <c r="D7" s="11" t="s">
        <v>33</v>
      </c>
      <c r="E7" s="86"/>
      <c r="F7" s="56">
        <f>VLOOKUP(D7,廠價表!$C$1:$E$40,3,0)</f>
        <v>57.21</v>
      </c>
      <c r="G7" s="306">
        <v>1515</v>
      </c>
      <c r="H7" s="15">
        <f t="shared" ref="H7:H10" si="9">F7*G7</f>
        <v>86673.15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 t="shared" si="0"/>
        <v>111.47058823529412</v>
      </c>
      <c r="M7" s="178">
        <v>17</v>
      </c>
      <c r="N7" s="14">
        <f t="shared" si="1"/>
        <v>1782.3529411764546</v>
      </c>
      <c r="O7" s="17">
        <f t="shared" si="2"/>
        <v>104.84429065743851</v>
      </c>
      <c r="P7" s="18">
        <f t="shared" si="3"/>
        <v>0</v>
      </c>
      <c r="Q7" s="19">
        <f t="shared" si="4"/>
        <v>-6.6262975778556097</v>
      </c>
      <c r="R7" s="183">
        <f t="shared" si="5"/>
        <v>0.9405556417817702</v>
      </c>
      <c r="S7" s="420"/>
      <c r="T7" s="267">
        <v>0.359722222222222</v>
      </c>
      <c r="U7" s="267">
        <v>0.39513888888888898</v>
      </c>
      <c r="V7" s="175">
        <f>(T7-U6)*24*60</f>
        <v>8.999999999999968</v>
      </c>
      <c r="W7" s="180">
        <f t="shared" si="6"/>
        <v>51.000000000000455</v>
      </c>
      <c r="X7" s="22"/>
      <c r="Y7" s="22"/>
      <c r="Z7" s="405"/>
      <c r="AA7" s="405"/>
      <c r="AB7" s="18">
        <f t="shared" si="7"/>
        <v>-112.64705882354542</v>
      </c>
      <c r="AC7" s="183">
        <f t="shared" si="8"/>
        <v>0.9405556417817702</v>
      </c>
      <c r="AD7" s="412"/>
    </row>
    <row r="8" spans="1:30" ht="15" customHeight="1">
      <c r="A8" s="408"/>
      <c r="B8" s="56" t="s">
        <v>45</v>
      </c>
      <c r="C8" s="10"/>
      <c r="D8" s="11" t="s">
        <v>34</v>
      </c>
      <c r="E8" s="86"/>
      <c r="F8" s="56">
        <f>VLOOKUP(D8,廠價表!$C$1:$E$40,3,0)</f>
        <v>49.14</v>
      </c>
      <c r="G8" s="25">
        <v>3473</v>
      </c>
      <c r="H8" s="15">
        <f t="shared" si="9"/>
        <v>170663.22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 t="shared" si="0"/>
        <v>153.84615384615384</v>
      </c>
      <c r="M8" s="178">
        <v>13</v>
      </c>
      <c r="N8" s="14">
        <f t="shared" si="1"/>
        <v>1911.7431192660408</v>
      </c>
      <c r="O8" s="17">
        <f t="shared" si="2"/>
        <v>147.05716302046469</v>
      </c>
      <c r="P8" s="18">
        <f t="shared" si="3"/>
        <v>0</v>
      </c>
      <c r="Q8" s="19">
        <f t="shared" si="4"/>
        <v>-6.7889908256891545</v>
      </c>
      <c r="R8" s="183">
        <f t="shared" si="5"/>
        <v>0.95587155963302051</v>
      </c>
      <c r="S8" s="420"/>
      <c r="T8" s="95">
        <v>0.40347222222222201</v>
      </c>
      <c r="U8" s="95">
        <v>0.47916666666666702</v>
      </c>
      <c r="V8" s="175">
        <f t="shared" ref="V8:V10" si="10">(T8-U7)*24*60</f>
        <v>11.999999999999558</v>
      </c>
      <c r="W8" s="180">
        <f t="shared" si="6"/>
        <v>109.00000000000081</v>
      </c>
      <c r="X8" s="22">
        <v>0.48611111111111099</v>
      </c>
      <c r="Y8" s="260">
        <v>0.52777777777777801</v>
      </c>
      <c r="Z8" s="416"/>
      <c r="AA8" s="416"/>
      <c r="AB8" s="18">
        <f t="shared" si="7"/>
        <v>-88.256880733959179</v>
      </c>
      <c r="AC8" s="183">
        <f t="shared" si="8"/>
        <v>0.9558715596330204</v>
      </c>
      <c r="AD8" s="412"/>
    </row>
    <row r="9" spans="1:30" ht="15" customHeight="1">
      <c r="A9" s="409"/>
      <c r="B9" s="56" t="s">
        <v>45</v>
      </c>
      <c r="C9" s="10"/>
      <c r="D9" s="11" t="s">
        <v>34</v>
      </c>
      <c r="E9" s="86"/>
      <c r="F9" s="56">
        <f>VLOOKUP(D9,廠價表!$C$1:$E$40,3,0)</f>
        <v>49.14</v>
      </c>
      <c r="G9" s="25">
        <v>2459</v>
      </c>
      <c r="H9" s="15">
        <f t="shared" si="9"/>
        <v>120835.26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 t="shared" si="0"/>
        <v>153.84615384615384</v>
      </c>
      <c r="M9" s="178">
        <v>13</v>
      </c>
      <c r="N9" s="14">
        <f t="shared" si="1"/>
        <v>1916.1038961039028</v>
      </c>
      <c r="O9" s="17">
        <f t="shared" si="2"/>
        <v>147.39260739260791</v>
      </c>
      <c r="P9" s="18">
        <f t="shared" si="3"/>
        <v>0</v>
      </c>
      <c r="Q9" s="19">
        <f t="shared" si="4"/>
        <v>-6.4535464535459255</v>
      </c>
      <c r="R9" s="183">
        <f t="shared" si="5"/>
        <v>0.95805194805195149</v>
      </c>
      <c r="S9" s="421"/>
      <c r="T9" s="95">
        <v>0.54027777777777797</v>
      </c>
      <c r="U9" s="95">
        <v>0.59375</v>
      </c>
      <c r="V9" s="175">
        <f t="shared" si="10"/>
        <v>87.999999999999773</v>
      </c>
      <c r="W9" s="180">
        <f t="shared" si="6"/>
        <v>76.99999999999973</v>
      </c>
      <c r="X9" s="22"/>
      <c r="Y9" s="260"/>
      <c r="Z9" s="475"/>
      <c r="AA9" s="476"/>
      <c r="AB9" s="18">
        <f t="shared" si="7"/>
        <v>-83.896103896097202</v>
      </c>
      <c r="AC9" s="183">
        <f t="shared" si="8"/>
        <v>0.95805194805195137</v>
      </c>
      <c r="AD9" s="413"/>
    </row>
    <row r="10" spans="1:30" ht="15" customHeight="1">
      <c r="A10" s="409"/>
      <c r="B10" s="56" t="s">
        <v>45</v>
      </c>
      <c r="C10" s="23"/>
      <c r="D10" s="11" t="s">
        <v>49</v>
      </c>
      <c r="E10" s="12"/>
      <c r="F10" s="56">
        <f>VLOOKUP(D10,廠價表!$C$1:$E$40,3,0)</f>
        <v>47.71</v>
      </c>
      <c r="G10" s="25">
        <v>1446</v>
      </c>
      <c r="H10" s="15">
        <f t="shared" si="9"/>
        <v>68988.66</v>
      </c>
      <c r="I10" s="180"/>
      <c r="J10" s="16">
        <f>VLOOKUP(D10,產線配置圖!$A$3:$C$39,2,0)</f>
        <v>15</v>
      </c>
      <c r="K10" s="14">
        <f>VLOOKUP(D10,產線配置圖!$A$3:$C$39,3,0)</f>
        <v>1500</v>
      </c>
      <c r="L10" s="17">
        <f t="shared" si="0"/>
        <v>100</v>
      </c>
      <c r="M10" s="178">
        <v>15</v>
      </c>
      <c r="N10" s="14">
        <f t="shared" si="1"/>
        <v>1294.9253731343238</v>
      </c>
      <c r="O10" s="17">
        <f t="shared" si="2"/>
        <v>86.328358208954924</v>
      </c>
      <c r="P10" s="18">
        <f t="shared" si="3"/>
        <v>0</v>
      </c>
      <c r="Q10" s="19">
        <f t="shared" si="4"/>
        <v>-13.671641791045076</v>
      </c>
      <c r="R10" s="183">
        <f t="shared" si="5"/>
        <v>0.86328358208954925</v>
      </c>
      <c r="S10" s="421"/>
      <c r="T10" s="22">
        <v>0.61875000000000002</v>
      </c>
      <c r="U10" s="22">
        <v>0.66527777777777797</v>
      </c>
      <c r="V10" s="175">
        <f t="shared" si="10"/>
        <v>36.000000000000028</v>
      </c>
      <c r="W10" s="180">
        <f t="shared" si="6"/>
        <v>67.000000000000242</v>
      </c>
      <c r="X10" s="22"/>
      <c r="Y10" s="260"/>
      <c r="Z10" s="417"/>
      <c r="AA10" s="418"/>
      <c r="AB10" s="18">
        <f t="shared" si="7"/>
        <v>-205.07462686567624</v>
      </c>
      <c r="AC10" s="183">
        <f t="shared" si="8"/>
        <v>0.86328358208954914</v>
      </c>
      <c r="AD10" s="413"/>
    </row>
    <row r="11" spans="1:30" ht="15" customHeight="1">
      <c r="A11" s="409"/>
      <c r="B11" s="56"/>
      <c r="C11" s="249"/>
      <c r="D11" s="11"/>
      <c r="E11" s="251"/>
      <c r="F11" s="56"/>
      <c r="G11" s="53"/>
      <c r="H11" s="50"/>
      <c r="I11" s="42"/>
      <c r="J11" s="16"/>
      <c r="K11" s="14"/>
      <c r="L11" s="233"/>
      <c r="M11" s="21"/>
      <c r="N11" s="36"/>
      <c r="O11" s="38"/>
      <c r="P11" s="39"/>
      <c r="Q11" s="40"/>
      <c r="R11" s="188"/>
      <c r="S11" s="421"/>
      <c r="T11" s="20"/>
      <c r="U11" s="20"/>
      <c r="V11" s="175"/>
      <c r="W11" s="24">
        <f t="shared" si="6"/>
        <v>0</v>
      </c>
      <c r="X11" s="22"/>
      <c r="Y11" s="260"/>
      <c r="Z11" s="475"/>
      <c r="AA11" s="476"/>
      <c r="AB11" s="18">
        <f t="shared" si="7"/>
        <v>0</v>
      </c>
      <c r="AC11" s="183" t="e">
        <f t="shared" si="8"/>
        <v>#DIV/0!</v>
      </c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/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6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6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6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11">AVERAGE(J5:J14)</f>
        <v>14.333333333333334</v>
      </c>
      <c r="K15" s="117">
        <f t="shared" si="11"/>
        <v>1883.3333333333333</v>
      </c>
      <c r="L15" s="114">
        <f t="shared" si="11"/>
        <v>133.51432880844644</v>
      </c>
      <c r="M15" s="117">
        <f t="shared" si="11"/>
        <v>14.333333333333334</v>
      </c>
      <c r="N15" s="117">
        <f t="shared" si="11"/>
        <v>1666.9294904306587</v>
      </c>
      <c r="O15" s="114">
        <f t="shared" si="11"/>
        <v>118.5044809634512</v>
      </c>
      <c r="P15" s="118">
        <f t="shared" ref="P15:P18" si="12">M15-J15</f>
        <v>0</v>
      </c>
      <c r="Q15" s="119">
        <f t="shared" ref="Q15:Q18" si="13">O15-L15</f>
        <v>-15.009847844995235</v>
      </c>
      <c r="R15" s="120">
        <f t="shared" ref="R15:R18" si="14">O15/L15</f>
        <v>0.88757874919530233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5">N15-K15</f>
        <v>-216.40384290267457</v>
      </c>
      <c r="AC15" s="185">
        <f t="shared" ref="AC15:AC19" si="16">N15/K15</f>
        <v>0.8850953046534471</v>
      </c>
      <c r="AD15" s="414"/>
    </row>
    <row r="16" spans="1:30" ht="15" customHeight="1">
      <c r="A16" s="439" t="s">
        <v>39</v>
      </c>
      <c r="B16" s="197" t="s">
        <v>45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1313</v>
      </c>
      <c r="H16" s="124">
        <f t="shared" ref="H16:H25" si="17">F16*G16</f>
        <v>75116.73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8" si="18">K16/J16</f>
        <v>161.92307692307693</v>
      </c>
      <c r="M16" s="264">
        <v>13</v>
      </c>
      <c r="N16" s="126">
        <f t="shared" ref="N16:N18" si="19">G16/W16*60</f>
        <v>1921.4634146341641</v>
      </c>
      <c r="O16" s="127">
        <f>N16/M16</f>
        <v>147.80487804878186</v>
      </c>
      <c r="P16" s="128">
        <f>M16-J16</f>
        <v>0</v>
      </c>
      <c r="Q16" s="129">
        <f t="shared" si="13"/>
        <v>-14.118198874295075</v>
      </c>
      <c r="R16" s="187">
        <f>O16/L16</f>
        <v>0.91280922310411594</v>
      </c>
      <c r="S16" s="431">
        <f>R26</f>
        <v>0.94262116104243765</v>
      </c>
      <c r="T16" s="345">
        <v>0.29027777777777802</v>
      </c>
      <c r="U16" s="345">
        <v>0.31874999999999998</v>
      </c>
      <c r="V16" s="125"/>
      <c r="W16" s="130">
        <f t="shared" ref="W16:W78" si="20">(U16-T16)*24*60</f>
        <v>40.999999999999616</v>
      </c>
      <c r="X16" s="127"/>
      <c r="Y16" s="127"/>
      <c r="Z16" s="425"/>
      <c r="AA16" s="425"/>
      <c r="AB16" s="110">
        <f t="shared" si="15"/>
        <v>-183.53658536583589</v>
      </c>
      <c r="AC16" s="182">
        <f t="shared" si="16"/>
        <v>0.91280922310411594</v>
      </c>
      <c r="AD16" s="411">
        <f>AC26</f>
        <v>0.94233235676785976</v>
      </c>
    </row>
    <row r="17" spans="1:30" ht="15" customHeight="1">
      <c r="A17" s="440"/>
      <c r="B17" s="56" t="s">
        <v>45</v>
      </c>
      <c r="C17" s="10"/>
      <c r="D17" s="11" t="s">
        <v>40</v>
      </c>
      <c r="E17" s="86"/>
      <c r="F17" s="56">
        <f>VLOOKUP(D17,廠價表!$C$1:$E$40,3,0)</f>
        <v>50.67</v>
      </c>
      <c r="G17" s="96">
        <v>3213</v>
      </c>
      <c r="H17" s="15">
        <f t="shared" si="17"/>
        <v>162802.71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8"/>
        <v>153.84615384615384</v>
      </c>
      <c r="M17" s="37">
        <v>13</v>
      </c>
      <c r="N17" s="36">
        <f>G17/W17*60</f>
        <v>1927.8000000000129</v>
      </c>
      <c r="O17" s="38">
        <f t="shared" ref="O17:O18" si="21">N17/M17</f>
        <v>148.2923076923087</v>
      </c>
      <c r="P17" s="39">
        <f t="shared" si="12"/>
        <v>0</v>
      </c>
      <c r="Q17" s="40">
        <f t="shared" si="13"/>
        <v>-5.5538461538451429</v>
      </c>
      <c r="R17" s="188">
        <f t="shared" si="14"/>
        <v>0.96390000000000653</v>
      </c>
      <c r="S17" s="432"/>
      <c r="T17" s="44">
        <v>0.327777777777778</v>
      </c>
      <c r="U17" s="44">
        <v>0.39722222222222198</v>
      </c>
      <c r="V17" s="175">
        <f>(T17-U16)*24*60</f>
        <v>13.000000000000353</v>
      </c>
      <c r="W17" s="43">
        <f t="shared" si="20"/>
        <v>99.999999999999318</v>
      </c>
      <c r="X17" s="44"/>
      <c r="Y17" s="44"/>
      <c r="Z17" s="405"/>
      <c r="AA17" s="405"/>
      <c r="AB17" s="18">
        <f t="shared" si="15"/>
        <v>-72.199999999987085</v>
      </c>
      <c r="AC17" s="183">
        <f t="shared" si="16"/>
        <v>0.96390000000000642</v>
      </c>
      <c r="AD17" s="412"/>
    </row>
    <row r="18" spans="1:30" ht="15" customHeight="1">
      <c r="A18" s="440"/>
      <c r="B18" s="56" t="s">
        <v>45</v>
      </c>
      <c r="C18" s="10"/>
      <c r="D18" s="11" t="s">
        <v>41</v>
      </c>
      <c r="E18" s="86"/>
      <c r="F18" s="56">
        <f>VLOOKUP(D18,廠價表!$C$1:$E$40,3,0)</f>
        <v>50.39</v>
      </c>
      <c r="G18" s="96">
        <v>3497</v>
      </c>
      <c r="H18" s="15">
        <f t="shared" si="17"/>
        <v>176213.83000000002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8"/>
        <v>166.66666666666666</v>
      </c>
      <c r="M18" s="37">
        <v>12</v>
      </c>
      <c r="N18" s="36">
        <f t="shared" si="19"/>
        <v>1942.7777777777776</v>
      </c>
      <c r="O18" s="38">
        <f t="shared" si="21"/>
        <v>161.89814814814812</v>
      </c>
      <c r="P18" s="39">
        <f t="shared" si="12"/>
        <v>0</v>
      </c>
      <c r="Q18" s="40">
        <f t="shared" si="13"/>
        <v>-4.7685185185185333</v>
      </c>
      <c r="R18" s="188">
        <f t="shared" si="14"/>
        <v>0.97138888888888875</v>
      </c>
      <c r="S18" s="432"/>
      <c r="T18" s="44">
        <v>0.40416666666666701</v>
      </c>
      <c r="U18" s="44">
        <v>0.47916666666666702</v>
      </c>
      <c r="V18" s="175">
        <f>(T18-U17)*24*60</f>
        <v>10.000000000000844</v>
      </c>
      <c r="W18" s="43">
        <f t="shared" si="20"/>
        <v>108.00000000000001</v>
      </c>
      <c r="X18" s="22">
        <v>0.48611111111111099</v>
      </c>
      <c r="Y18" s="260">
        <v>0.52777777777777801</v>
      </c>
      <c r="Z18" s="405"/>
      <c r="AA18" s="405"/>
      <c r="AB18" s="18">
        <f t="shared" si="15"/>
        <v>-57.222222222222399</v>
      </c>
      <c r="AC18" s="183">
        <f t="shared" si="16"/>
        <v>0.97138888888888875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2049</v>
      </c>
      <c r="H19" s="15">
        <f t="shared" si="17"/>
        <v>103249.11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>K19/J19</f>
        <v>166.66666666666666</v>
      </c>
      <c r="M19" s="37">
        <v>12</v>
      </c>
      <c r="N19" s="36">
        <f>G19/W19*60</f>
        <v>1862.7272727272839</v>
      </c>
      <c r="O19" s="38">
        <f>N19/M19</f>
        <v>155.22727272727366</v>
      </c>
      <c r="P19" s="39">
        <f>M19-J19</f>
        <v>0</v>
      </c>
      <c r="Q19" s="40">
        <f>O19-L19</f>
        <v>-11.439393939393</v>
      </c>
      <c r="R19" s="188">
        <f>O19/L19</f>
        <v>0.93136363636364194</v>
      </c>
      <c r="S19" s="432"/>
      <c r="T19" s="44">
        <v>0.54166666666666696</v>
      </c>
      <c r="U19" s="44">
        <v>0.58750000000000002</v>
      </c>
      <c r="V19" s="175">
        <f>(T19-U18)*24*60</f>
        <v>89.999999999999915</v>
      </c>
      <c r="W19" s="43">
        <f t="shared" si="20"/>
        <v>65.999999999999602</v>
      </c>
      <c r="X19" s="22"/>
      <c r="Y19" s="260"/>
      <c r="Z19" s="475"/>
      <c r="AA19" s="476"/>
      <c r="AB19" s="18">
        <f t="shared" si="15"/>
        <v>-137.27272727271611</v>
      </c>
      <c r="AC19" s="183">
        <f t="shared" si="16"/>
        <v>0.93136363636364194</v>
      </c>
      <c r="AD19" s="413"/>
    </row>
    <row r="20" spans="1:30" ht="15" customHeight="1">
      <c r="A20" s="440"/>
      <c r="B20" s="56" t="s">
        <v>45</v>
      </c>
      <c r="C20" s="10"/>
      <c r="D20" s="11" t="s">
        <v>40</v>
      </c>
      <c r="E20" s="86"/>
      <c r="F20" s="56">
        <f>VLOOKUP(D20,廠價表!$C$1:$E$40,3,0)</f>
        <v>50.67</v>
      </c>
      <c r="G20" s="96">
        <v>1245</v>
      </c>
      <c r="H20" s="15">
        <f>F20*G20</f>
        <v>63084.15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>K20/J20</f>
        <v>153.84615384615384</v>
      </c>
      <c r="M20" s="37">
        <v>13</v>
      </c>
      <c r="N20" s="36">
        <f>G20/W20*60</f>
        <v>1867.4999999999841</v>
      </c>
      <c r="O20" s="38">
        <f>N20/M20</f>
        <v>143.65384615384494</v>
      </c>
      <c r="P20" s="39">
        <f>M20-J20</f>
        <v>0</v>
      </c>
      <c r="Q20" s="40">
        <f>O20-L20</f>
        <v>-10.192307692308901</v>
      </c>
      <c r="R20" s="188">
        <f>O20/L20</f>
        <v>0.93374999999999209</v>
      </c>
      <c r="S20" s="432"/>
      <c r="T20" s="44">
        <v>0.59583333333333299</v>
      </c>
      <c r="U20" s="44">
        <v>0.62361111111111101</v>
      </c>
      <c r="V20" s="175"/>
      <c r="W20" s="43">
        <f t="shared" si="20"/>
        <v>40.000000000000341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20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7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20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7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20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7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20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2">AVERAGE(J16:J25)</f>
        <v>12.6</v>
      </c>
      <c r="K26" s="133">
        <f t="shared" si="22"/>
        <v>2021</v>
      </c>
      <c r="L26" s="136">
        <f t="shared" si="22"/>
        <v>160.58974358974359</v>
      </c>
      <c r="M26" s="133">
        <f t="shared" si="22"/>
        <v>12.6</v>
      </c>
      <c r="N26" s="133">
        <f t="shared" si="22"/>
        <v>1904.4536930278446</v>
      </c>
      <c r="O26" s="136">
        <f t="shared" si="22"/>
        <v>151.37529055407146</v>
      </c>
      <c r="P26" s="137">
        <f t="shared" ref="P26:P30" si="23">M26-J26</f>
        <v>0</v>
      </c>
      <c r="Q26" s="138">
        <f t="shared" ref="Q26:Q30" si="24">O26-L26</f>
        <v>-9.2144530356721361</v>
      </c>
      <c r="R26" s="139">
        <f t="shared" ref="R26:R30" si="25">O26/L26</f>
        <v>0.94262116104243765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 t="shared" ref="AB26:AB31" si="26">N26-K26</f>
        <v>-116.54630697215543</v>
      </c>
      <c r="AC26" s="185">
        <f t="shared" ref="AC26:AC31" si="27">N26/K26</f>
        <v>0.94233235676785976</v>
      </c>
      <c r="AD26" s="414"/>
    </row>
    <row r="27" spans="1:30" ht="15" customHeight="1">
      <c r="A27" s="428" t="s">
        <v>44</v>
      </c>
      <c r="B27" s="227" t="s">
        <v>45</v>
      </c>
      <c r="C27" s="101"/>
      <c r="D27" s="330" t="s">
        <v>49</v>
      </c>
      <c r="E27" s="103"/>
      <c r="F27" s="197">
        <f>VLOOKUP(D27,廠價表!$C$1:$E$40,3,0)</f>
        <v>47.71</v>
      </c>
      <c r="G27" s="266">
        <v>2481</v>
      </c>
      <c r="H27" s="124">
        <f t="shared" ref="H27:H47" si="28">F27*G27</f>
        <v>118368.51000000001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15</v>
      </c>
      <c r="N27" s="126">
        <f>G27/W27*60</f>
        <v>1488.6000000000101</v>
      </c>
      <c r="O27" s="127">
        <f>N27/M27</f>
        <v>99.240000000000677</v>
      </c>
      <c r="P27" s="128">
        <f t="shared" si="23"/>
        <v>0</v>
      </c>
      <c r="Q27" s="129">
        <f t="shared" si="24"/>
        <v>-0.75999999999932299</v>
      </c>
      <c r="R27" s="187">
        <f>O27/L27</f>
        <v>0.99240000000000672</v>
      </c>
      <c r="S27" s="431">
        <f>R37</f>
        <v>0.98014843016619513</v>
      </c>
      <c r="T27" s="94">
        <v>0.29166666666666702</v>
      </c>
      <c r="U27" s="94">
        <v>0.36111111111111099</v>
      </c>
      <c r="V27" s="125"/>
      <c r="W27" s="130">
        <f t="shared" si="20"/>
        <v>99.999999999999318</v>
      </c>
      <c r="X27" s="125"/>
      <c r="Y27" s="125" t="s">
        <v>47</v>
      </c>
      <c r="Z27" s="434"/>
      <c r="AA27" s="425"/>
      <c r="AB27" s="223">
        <f t="shared" si="26"/>
        <v>-11.399999999989859</v>
      </c>
      <c r="AC27" s="288">
        <f t="shared" si="27"/>
        <v>0.99240000000000672</v>
      </c>
      <c r="AD27" s="411">
        <f>AC37</f>
        <v>0.90831952939796368</v>
      </c>
    </row>
    <row r="28" spans="1:30" ht="15" customHeight="1">
      <c r="A28" s="429"/>
      <c r="B28" s="56" t="s">
        <v>45</v>
      </c>
      <c r="C28" s="10"/>
      <c r="D28" s="239" t="s">
        <v>48</v>
      </c>
      <c r="E28" s="86"/>
      <c r="F28" s="56">
        <f>VLOOKUP(D28,廠價表!$C$1:$E$40,3,0)</f>
        <v>55.13</v>
      </c>
      <c r="G28" s="53">
        <v>1733</v>
      </c>
      <c r="H28" s="50">
        <f t="shared" si="28"/>
        <v>95540.290000000008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15</v>
      </c>
      <c r="N28" s="36">
        <f>G28/W28*60</f>
        <v>1118.0645161290381</v>
      </c>
      <c r="O28" s="38">
        <f>N28/M28</f>
        <v>74.537634408602543</v>
      </c>
      <c r="P28" s="39">
        <f t="shared" si="23"/>
        <v>-3</v>
      </c>
      <c r="Q28" s="40">
        <f t="shared" si="24"/>
        <v>-2.4068100358419002</v>
      </c>
      <c r="R28" s="188">
        <f t="shared" si="25"/>
        <v>0.96872015837894998</v>
      </c>
      <c r="S28" s="432"/>
      <c r="T28" s="267">
        <v>0.37013888888888902</v>
      </c>
      <c r="U28" s="44">
        <v>0.43472222222222201</v>
      </c>
      <c r="V28" s="42">
        <f>(T28-U27)*24*60</f>
        <v>13.000000000000353</v>
      </c>
      <c r="W28" s="43">
        <f t="shared" si="20"/>
        <v>92.999999999999517</v>
      </c>
      <c r="X28" s="54"/>
      <c r="Y28" s="54"/>
      <c r="Z28" s="418"/>
      <c r="AA28" s="417"/>
      <c r="AB28" s="39">
        <f t="shared" si="26"/>
        <v>-266.93548387096189</v>
      </c>
      <c r="AC28" s="188">
        <f t="shared" si="27"/>
        <v>0.80726679864912498</v>
      </c>
      <c r="AD28" s="444"/>
    </row>
    <row r="29" spans="1:30" ht="15" customHeight="1">
      <c r="A29" s="429"/>
      <c r="B29" s="56" t="s">
        <v>45</v>
      </c>
      <c r="C29" s="235"/>
      <c r="D29" s="11" t="s">
        <v>142</v>
      </c>
      <c r="E29" s="29"/>
      <c r="F29" s="56">
        <f>VLOOKUP(D29,廠價表!$C$1:$E$40,3,0)</f>
        <v>57.3</v>
      </c>
      <c r="G29" s="53">
        <v>1674</v>
      </c>
      <c r="H29" s="50">
        <f t="shared" si="28"/>
        <v>95920.2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14</v>
      </c>
      <c r="N29" s="36">
        <f>G29/W29*60</f>
        <v>1287.6923076923226</v>
      </c>
      <c r="O29" s="38">
        <f>N29/M29</f>
        <v>91.978021978023051</v>
      </c>
      <c r="P29" s="39">
        <f t="shared" si="23"/>
        <v>-1</v>
      </c>
      <c r="Q29" s="40">
        <f t="shared" si="24"/>
        <v>-4.021978021976949</v>
      </c>
      <c r="R29" s="188">
        <f t="shared" si="25"/>
        <v>0.95810439560440674</v>
      </c>
      <c r="S29" s="432"/>
      <c r="T29" s="44">
        <v>0.44166666666666698</v>
      </c>
      <c r="U29" s="44">
        <v>0.49583333333333302</v>
      </c>
      <c r="V29" s="42">
        <f>(T29-U28)*24*60</f>
        <v>10.000000000000764</v>
      </c>
      <c r="W29" s="43">
        <f t="shared" si="20"/>
        <v>77.999999999999091</v>
      </c>
      <c r="X29" s="22"/>
      <c r="Y29" s="22"/>
      <c r="Z29" s="418"/>
      <c r="AA29" s="417"/>
      <c r="AB29" s="289">
        <f t="shared" si="26"/>
        <v>-152.30769230767737</v>
      </c>
      <c r="AC29" s="188">
        <f t="shared" si="27"/>
        <v>0.8942307692307796</v>
      </c>
      <c r="AD29" s="444"/>
    </row>
    <row r="30" spans="1:30" ht="15" customHeight="1">
      <c r="A30" s="429"/>
      <c r="B30" s="56" t="s">
        <v>45</v>
      </c>
      <c r="C30" s="235"/>
      <c r="D30" s="11" t="s">
        <v>142</v>
      </c>
      <c r="E30" s="29"/>
      <c r="F30" s="56">
        <f>VLOOKUP(D30,廠價表!$C$1:$E$40,3,0)</f>
        <v>57.3</v>
      </c>
      <c r="G30" s="53">
        <v>3400</v>
      </c>
      <c r="H30" s="50">
        <f t="shared" si="28"/>
        <v>194820</v>
      </c>
      <c r="I30" s="42"/>
      <c r="J30" s="16">
        <f>VLOOKUP(D30,產線配置圖!$A$3:$C$39,2,0)</f>
        <v>15</v>
      </c>
      <c r="K30" s="14">
        <f>VLOOKUP(D30,產線配置圖!$A$3:$C$39,3,0)</f>
        <v>1440</v>
      </c>
      <c r="L30" s="233">
        <f>K30/J30</f>
        <v>96</v>
      </c>
      <c r="M30" s="21">
        <v>14</v>
      </c>
      <c r="N30" s="36">
        <f>G30/W30*60</f>
        <v>1342.1052631578898</v>
      </c>
      <c r="O30" s="38">
        <f>N30/M30</f>
        <v>95.864661654134991</v>
      </c>
      <c r="P30" s="39">
        <f t="shared" si="23"/>
        <v>-1</v>
      </c>
      <c r="Q30" s="40">
        <f t="shared" si="24"/>
        <v>-0.13533834586500859</v>
      </c>
      <c r="R30" s="188">
        <f t="shared" si="25"/>
        <v>0.9985902255639062</v>
      </c>
      <c r="S30" s="432"/>
      <c r="T30" s="44">
        <v>0.55208333333333304</v>
      </c>
      <c r="U30" s="44">
        <v>0.65763888888888899</v>
      </c>
      <c r="V30" s="42">
        <f>(T30-U29)*24*60</f>
        <v>81.000000000000028</v>
      </c>
      <c r="W30" s="43">
        <f t="shared" si="20"/>
        <v>152.00000000000057</v>
      </c>
      <c r="X30" s="54">
        <v>0.49652777777777801</v>
      </c>
      <c r="Y30" s="54">
        <v>0.53819444444444398</v>
      </c>
      <c r="Z30" s="418"/>
      <c r="AA30" s="417"/>
      <c r="AB30" s="289">
        <f t="shared" si="26"/>
        <v>-97.894736842110206</v>
      </c>
      <c r="AC30" s="188">
        <f t="shared" si="27"/>
        <v>0.93201754385964564</v>
      </c>
      <c r="AD30" s="445"/>
    </row>
    <row r="31" spans="1:30" ht="15" customHeight="1">
      <c r="A31" s="429"/>
      <c r="B31" s="56"/>
      <c r="C31" s="249"/>
      <c r="D31" s="11"/>
      <c r="E31" s="251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20"/>
        <v>0</v>
      </c>
      <c r="X31" s="54"/>
      <c r="Y31" s="54"/>
      <c r="Z31" s="426"/>
      <c r="AA31" s="446"/>
      <c r="AB31" s="289">
        <f t="shared" si="26"/>
        <v>0</v>
      </c>
      <c r="AC31" s="188" t="e">
        <f t="shared" si="27"/>
        <v>#DIV/0!</v>
      </c>
      <c r="AD31" s="413"/>
    </row>
    <row r="32" spans="1:30" ht="15" customHeight="1">
      <c r="A32" s="429"/>
      <c r="B32" s="56"/>
      <c r="C32" s="27"/>
      <c r="D32" s="239"/>
      <c r="E32" s="275"/>
      <c r="F32" s="56"/>
      <c r="G32" s="53"/>
      <c r="H32" s="50"/>
      <c r="I32" s="42"/>
      <c r="J32" s="16"/>
      <c r="K32" s="14"/>
      <c r="L32" s="23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20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56"/>
      <c r="C33" s="238"/>
      <c r="D33" s="11"/>
      <c r="E33" s="240"/>
      <c r="F33" s="56"/>
      <c r="G33" s="53"/>
      <c r="H33" s="50"/>
      <c r="I33" s="42"/>
      <c r="J33" s="16"/>
      <c r="K33" s="14"/>
      <c r="L33" s="233"/>
      <c r="M33" s="21"/>
      <c r="N33" s="36"/>
      <c r="O33" s="38"/>
      <c r="P33" s="39"/>
      <c r="Q33" s="40"/>
      <c r="R33" s="188"/>
      <c r="S33" s="432"/>
      <c r="T33" s="41"/>
      <c r="U33" s="41"/>
      <c r="V33" s="42"/>
      <c r="W33" s="43">
        <f t="shared" si="20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56"/>
      <c r="C34" s="235"/>
      <c r="D34" s="11"/>
      <c r="E34" s="29"/>
      <c r="F34" s="56"/>
      <c r="G34" s="53"/>
      <c r="H34" s="50"/>
      <c r="I34" s="42"/>
      <c r="J34" s="16"/>
      <c r="K34" s="14"/>
      <c r="L34" s="233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20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56"/>
      <c r="C35" s="235"/>
      <c r="D35" s="11"/>
      <c r="E35" s="29"/>
      <c r="F35" s="56"/>
      <c r="G35" s="53"/>
      <c r="H35" s="50"/>
      <c r="I35" s="42"/>
      <c r="J35" s="16"/>
      <c r="K35" s="14"/>
      <c r="L35" s="233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20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8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20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9">AVERAGE(J27:J36)</f>
        <v>15.75</v>
      </c>
      <c r="K37" s="282">
        <f t="shared" si="29"/>
        <v>1441.25</v>
      </c>
      <c r="L37" s="283">
        <f t="shared" si="29"/>
        <v>92.236111111111114</v>
      </c>
      <c r="M37" s="282">
        <f t="shared" si="29"/>
        <v>14.5</v>
      </c>
      <c r="N37" s="282">
        <f t="shared" si="29"/>
        <v>1309.1155217448152</v>
      </c>
      <c r="O37" s="283">
        <f t="shared" si="29"/>
        <v>90.405079510190305</v>
      </c>
      <c r="P37" s="73">
        <f>M37-J37</f>
        <v>-1.25</v>
      </c>
      <c r="Q37" s="74">
        <f>N37-K37</f>
        <v>-132.13447825518483</v>
      </c>
      <c r="R37" s="284">
        <f t="shared" ref="R37:R41" si="30">O37/L37</f>
        <v>0.98014843016619513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31">N37-K37</f>
        <v>-132.13447825518483</v>
      </c>
      <c r="AC37" s="184">
        <f t="shared" ref="AC37:AC41" si="32">N37/K37</f>
        <v>0.90831952939796368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1697</v>
      </c>
      <c r="H38" s="124">
        <f t="shared" si="28"/>
        <v>97238.099999999991</v>
      </c>
      <c r="I38" s="125"/>
      <c r="J38" s="331">
        <f>VLOOKUP(D38,產線配置圖!$A$3:$C$39,2,0)</f>
        <v>15</v>
      </c>
      <c r="K38" s="234">
        <f>VLOOKUP(D38,產線配置圖!$A$3:$C$39,3,0)</f>
        <v>1385</v>
      </c>
      <c r="L38" s="285">
        <f>K38/J38</f>
        <v>92.333333333333329</v>
      </c>
      <c r="M38" s="286">
        <v>14</v>
      </c>
      <c r="N38" s="126">
        <f>G38/W38*60</f>
        <v>1197.8823529411932</v>
      </c>
      <c r="O38" s="127">
        <f>N38/M38</f>
        <v>85.563025210085229</v>
      </c>
      <c r="P38" s="128">
        <f t="shared" ref="P38:P41" si="33">M38-J38</f>
        <v>-1</v>
      </c>
      <c r="Q38" s="129">
        <f t="shared" ref="Q38:Q41" si="34">O38-L38</f>
        <v>-6.7703081232480997</v>
      </c>
      <c r="R38" s="187">
        <f>O38/L38</f>
        <v>0.92667536328612166</v>
      </c>
      <c r="S38" s="460">
        <f>R48</f>
        <v>0.84306289018473568</v>
      </c>
      <c r="T38" s="348">
        <v>0.29166666666666702</v>
      </c>
      <c r="U38" s="348">
        <v>0.35069444444444398</v>
      </c>
      <c r="V38" s="146"/>
      <c r="W38" s="150">
        <f t="shared" si="20"/>
        <v>84.99999999999882</v>
      </c>
      <c r="X38" s="148"/>
      <c r="Y38" s="151"/>
      <c r="Z38" s="484"/>
      <c r="AA38" s="485"/>
      <c r="AB38" s="287">
        <f t="shared" si="31"/>
        <v>-187.11764705880682</v>
      </c>
      <c r="AC38" s="152">
        <f t="shared" si="32"/>
        <v>0.86489700573371353</v>
      </c>
      <c r="AD38" s="447">
        <f>AC48</f>
        <v>0.82453974163718335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1553</v>
      </c>
      <c r="H39" s="50">
        <f t="shared" si="28"/>
        <v>87635.79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ref="L39:L41" si="35">K39/J39</f>
        <v>93.733333333333334</v>
      </c>
      <c r="M39" s="65">
        <v>15</v>
      </c>
      <c r="N39" s="66">
        <f>G39/W39*60</f>
        <v>980.84210526316133</v>
      </c>
      <c r="O39" s="67">
        <f t="shared" ref="O39:O41" si="36">N39/M39</f>
        <v>65.389473684210756</v>
      </c>
      <c r="P39" s="39">
        <f t="shared" si="33"/>
        <v>0</v>
      </c>
      <c r="Q39" s="40">
        <f t="shared" si="34"/>
        <v>-28.343859649122578</v>
      </c>
      <c r="R39" s="188">
        <f t="shared" si="30"/>
        <v>0.69761173916298813</v>
      </c>
      <c r="S39" s="461"/>
      <c r="T39" s="349">
        <v>0.35763888888888901</v>
      </c>
      <c r="U39" s="349">
        <v>0.42361111111111099</v>
      </c>
      <c r="V39" s="42">
        <f>(T39-U38)*24*60</f>
        <v>10.000000000000844</v>
      </c>
      <c r="W39" s="69">
        <f t="shared" si="20"/>
        <v>94.999999999999659</v>
      </c>
      <c r="X39" s="22"/>
      <c r="Y39" s="22"/>
      <c r="Z39" s="450" t="s">
        <v>150</v>
      </c>
      <c r="AA39" s="451"/>
      <c r="AB39" s="268">
        <f t="shared" si="31"/>
        <v>-425.15789473683867</v>
      </c>
      <c r="AC39" s="61">
        <f t="shared" si="32"/>
        <v>0.69761173916298813</v>
      </c>
      <c r="AD39" s="448"/>
    </row>
    <row r="40" spans="1:30" s="62" customFormat="1" ht="15" customHeight="1">
      <c r="A40" s="458"/>
      <c r="B40" s="56" t="s">
        <v>182</v>
      </c>
      <c r="C40" s="272"/>
      <c r="D40" s="276" t="s">
        <v>166</v>
      </c>
      <c r="E40" s="240"/>
      <c r="F40" s="56">
        <f>VLOOKUP(D40,廠價表!$C$1:$E$40,3,0)</f>
        <v>49.52</v>
      </c>
      <c r="G40" s="273">
        <v>1747</v>
      </c>
      <c r="H40" s="50">
        <f t="shared" si="28"/>
        <v>86511.44</v>
      </c>
      <c r="I40" s="64"/>
      <c r="J40" s="37">
        <f>VLOOKUP(D40,產線配置圖!$A$3:$C$39,2,0)</f>
        <v>18</v>
      </c>
      <c r="K40" s="36">
        <f>VLOOKUP(D40,產線配置圖!$A$3:$C$39,3,0)</f>
        <v>1440</v>
      </c>
      <c r="L40" s="38">
        <f t="shared" si="35"/>
        <v>80</v>
      </c>
      <c r="M40" s="65">
        <v>18</v>
      </c>
      <c r="N40" s="66">
        <f>G40/W40*60</f>
        <v>1361.2987012987076</v>
      </c>
      <c r="O40" s="67">
        <f t="shared" si="36"/>
        <v>75.627705627705978</v>
      </c>
      <c r="P40" s="39">
        <f t="shared" si="33"/>
        <v>0</v>
      </c>
      <c r="Q40" s="40">
        <f t="shared" si="34"/>
        <v>-4.3722943722940215</v>
      </c>
      <c r="R40" s="188">
        <f t="shared" si="30"/>
        <v>0.94534632034632471</v>
      </c>
      <c r="S40" s="420"/>
      <c r="T40" s="349">
        <v>0.43263888888888902</v>
      </c>
      <c r="U40" s="349">
        <v>0.48611111111111099</v>
      </c>
      <c r="V40" s="42">
        <f>(T40-U39)*24*60</f>
        <v>13.000000000000353</v>
      </c>
      <c r="W40" s="69">
        <f t="shared" si="20"/>
        <v>76.999999999999645</v>
      </c>
      <c r="X40" s="70"/>
      <c r="Y40" s="256"/>
      <c r="Z40" s="480"/>
      <c r="AA40" s="483"/>
      <c r="AB40" s="268">
        <f t="shared" si="31"/>
        <v>-78.701298701292444</v>
      </c>
      <c r="AC40" s="61">
        <f t="shared" si="32"/>
        <v>0.94534632034632471</v>
      </c>
      <c r="AD40" s="448"/>
    </row>
    <row r="41" spans="1:30" s="62" customFormat="1" ht="15" customHeight="1">
      <c r="A41" s="458"/>
      <c r="B41" s="56" t="s">
        <v>182</v>
      </c>
      <c r="C41" s="272"/>
      <c r="D41" s="276" t="s">
        <v>167</v>
      </c>
      <c r="E41" s="240"/>
      <c r="F41" s="56">
        <f>VLOOKUP(D41,廠價表!$C$1:$E$40,3,0)</f>
        <v>44.3</v>
      </c>
      <c r="G41" s="273">
        <v>3175</v>
      </c>
      <c r="H41" s="50">
        <f t="shared" si="28"/>
        <v>140652.5</v>
      </c>
      <c r="I41" s="64"/>
      <c r="J41" s="37">
        <f>VLOOKUP(D41,產線配置圖!$A$3:$C$39,2,0)</f>
        <v>19</v>
      </c>
      <c r="K41" s="36">
        <f>VLOOKUP(D41,產線配置圖!$A$3:$C$39,3,0)</f>
        <v>1440</v>
      </c>
      <c r="L41" s="38">
        <f t="shared" si="35"/>
        <v>75.78947368421052</v>
      </c>
      <c r="M41" s="65">
        <v>18</v>
      </c>
      <c r="N41" s="66">
        <f>G41/W41*60</f>
        <v>1332.1678321678398</v>
      </c>
      <c r="O41" s="67">
        <f t="shared" si="36"/>
        <v>74.00932400932443</v>
      </c>
      <c r="P41" s="39">
        <f t="shared" si="33"/>
        <v>-1</v>
      </c>
      <c r="Q41" s="40">
        <f t="shared" si="34"/>
        <v>-1.7801496748860899</v>
      </c>
      <c r="R41" s="188">
        <f t="shared" si="30"/>
        <v>0.97651191401191961</v>
      </c>
      <c r="S41" s="420"/>
      <c r="T41" s="349">
        <v>0.55555555555555602</v>
      </c>
      <c r="U41" s="350">
        <v>0.65486111111111101</v>
      </c>
      <c r="V41" s="42">
        <f>(T41-U40)*24*60</f>
        <v>100.00000000000084</v>
      </c>
      <c r="W41" s="69">
        <f t="shared" si="20"/>
        <v>142.99999999999918</v>
      </c>
      <c r="X41" s="70">
        <v>0.49305555555555602</v>
      </c>
      <c r="Y41" s="256">
        <v>0.53472222222222199</v>
      </c>
      <c r="Z41" s="480"/>
      <c r="AA41" s="483"/>
      <c r="AB41" s="268">
        <f t="shared" si="31"/>
        <v>-107.83216783216017</v>
      </c>
      <c r="AC41" s="61">
        <f t="shared" si="32"/>
        <v>0.92511655011655547</v>
      </c>
      <c r="AD41" s="448"/>
    </row>
    <row r="42" spans="1:30" s="62" customFormat="1" ht="15" customHeight="1">
      <c r="A42" s="458"/>
      <c r="B42" s="56" t="s">
        <v>182</v>
      </c>
      <c r="C42" s="23"/>
      <c r="D42" s="276" t="s">
        <v>166</v>
      </c>
      <c r="E42" s="12"/>
      <c r="F42" s="56">
        <f>VLOOKUP(D42,廠價表!$C$1:$E$40,3,0)</f>
        <v>49.52</v>
      </c>
      <c r="G42" s="273">
        <v>446</v>
      </c>
      <c r="H42" s="50">
        <f>F42*G42</f>
        <v>22085.920000000002</v>
      </c>
      <c r="I42" s="64"/>
      <c r="J42" s="37">
        <f>VLOOKUP(D42,產線配置圖!$A$3:$C$39,2,0)</f>
        <v>18</v>
      </c>
      <c r="K42" s="36">
        <f>VLOOKUP(D42,產線配置圖!$A$3:$C$39,3,0)</f>
        <v>1440</v>
      </c>
      <c r="L42" s="38">
        <f>K42/J42</f>
        <v>80</v>
      </c>
      <c r="M42" s="65">
        <v>18</v>
      </c>
      <c r="N42" s="66">
        <f>G42/W42*60</f>
        <v>991.11111111110881</v>
      </c>
      <c r="O42" s="67">
        <f>N42/M42</f>
        <v>55.0617283950616</v>
      </c>
      <c r="P42" s="39">
        <f>M42-J42</f>
        <v>0</v>
      </c>
      <c r="Q42" s="40">
        <f>O42-L42</f>
        <v>-24.9382716049384</v>
      </c>
      <c r="R42" s="188">
        <f>O42/L42</f>
        <v>0.68827160493827</v>
      </c>
      <c r="S42" s="420"/>
      <c r="T42" s="350">
        <v>0.66180555555555598</v>
      </c>
      <c r="U42" s="350">
        <v>0.68055555555555602</v>
      </c>
      <c r="V42" s="42">
        <f>(T42-U41)*24*60</f>
        <v>10.000000000000764</v>
      </c>
      <c r="W42" s="69">
        <f t="shared" si="20"/>
        <v>27.000000000000064</v>
      </c>
      <c r="X42" s="70"/>
      <c r="Y42" s="60"/>
      <c r="Z42" s="480" t="s">
        <v>169</v>
      </c>
      <c r="AA42" s="483"/>
      <c r="AB42" s="268"/>
      <c r="AC42" s="61"/>
      <c r="AD42" s="448"/>
    </row>
    <row r="43" spans="1:30" s="62" customFormat="1" ht="15" customHeight="1">
      <c r="A43" s="458"/>
      <c r="B43" s="56"/>
      <c r="C43" s="27"/>
      <c r="D43" s="276"/>
      <c r="E43" s="29"/>
      <c r="F43" s="56"/>
      <c r="G43" s="66"/>
      <c r="H43" s="50"/>
      <c r="I43" s="64"/>
      <c r="J43" s="37"/>
      <c r="K43" s="36"/>
      <c r="L43" s="38"/>
      <c r="M43" s="65"/>
      <c r="N43" s="66"/>
      <c r="O43" s="67"/>
      <c r="P43" s="39"/>
      <c r="Q43" s="40"/>
      <c r="R43" s="188"/>
      <c r="S43" s="420"/>
      <c r="T43" s="75"/>
      <c r="U43" s="75"/>
      <c r="V43" s="42"/>
      <c r="W43" s="69">
        <f>(U43-T43)*24*60</f>
        <v>0</v>
      </c>
      <c r="X43" s="70"/>
      <c r="Y43" s="334"/>
      <c r="Z43" s="480"/>
      <c r="AA43" s="483"/>
      <c r="AB43" s="71"/>
      <c r="AC43" s="61"/>
      <c r="AD43" s="448"/>
    </row>
    <row r="44" spans="1:30" s="62" customFormat="1" ht="15" customHeight="1">
      <c r="A44" s="458"/>
      <c r="B44" s="56"/>
      <c r="C44" s="23"/>
      <c r="D44" s="276"/>
      <c r="E44" s="12"/>
      <c r="F44" s="56"/>
      <c r="G44" s="273"/>
      <c r="H44" s="50"/>
      <c r="I44" s="64"/>
      <c r="J44" s="37"/>
      <c r="K44" s="36"/>
      <c r="L44" s="38"/>
      <c r="M44" s="65"/>
      <c r="N44" s="66"/>
      <c r="O44" s="67"/>
      <c r="P44" s="39"/>
      <c r="Q44" s="40"/>
      <c r="R44" s="188"/>
      <c r="S44" s="420"/>
      <c r="T44" s="75"/>
      <c r="U44" s="75"/>
      <c r="V44" s="42"/>
      <c r="W44" s="69">
        <f t="shared" ref="W44:W48" si="37">(U44-T44)*24*60</f>
        <v>0</v>
      </c>
      <c r="X44" s="70"/>
      <c r="Y44" s="67"/>
      <c r="Z44" s="480"/>
      <c r="AA44" s="483"/>
      <c r="AB44" s="71"/>
      <c r="AC44" s="61"/>
      <c r="AD44" s="448"/>
    </row>
    <row r="45" spans="1:30" s="62" customFormat="1" ht="15" customHeight="1">
      <c r="A45" s="458"/>
      <c r="B45" s="56"/>
      <c r="C45" s="23"/>
      <c r="D45" s="276"/>
      <c r="E45" s="12"/>
      <c r="F45" s="56"/>
      <c r="G45" s="273"/>
      <c r="H45" s="50"/>
      <c r="I45" s="64"/>
      <c r="J45" s="37"/>
      <c r="K45" s="36"/>
      <c r="L45" s="38"/>
      <c r="M45" s="65"/>
      <c r="N45" s="66"/>
      <c r="O45" s="67"/>
      <c r="P45" s="39"/>
      <c r="Q45" s="40"/>
      <c r="R45" s="188"/>
      <c r="S45" s="420"/>
      <c r="T45" s="75"/>
      <c r="U45" s="75"/>
      <c r="V45" s="64"/>
      <c r="W45" s="69">
        <f t="shared" si="37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/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7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28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7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8">AVERAGE(J38:J47)</f>
        <v>17</v>
      </c>
      <c r="K48" s="133">
        <f t="shared" si="38"/>
        <v>1422.2</v>
      </c>
      <c r="L48" s="136">
        <f t="shared" si="38"/>
        <v>84.371228070175434</v>
      </c>
      <c r="M48" s="133">
        <f t="shared" si="38"/>
        <v>16.600000000000001</v>
      </c>
      <c r="N48" s="133">
        <f t="shared" si="38"/>
        <v>1172.6604205564022</v>
      </c>
      <c r="O48" s="136">
        <f t="shared" si="38"/>
        <v>71.130251385277603</v>
      </c>
      <c r="P48" s="155">
        <f>M48-J48</f>
        <v>-0.39999999999999858</v>
      </c>
      <c r="Q48" s="156">
        <f>N48-K48</f>
        <v>-249.53957944359786</v>
      </c>
      <c r="R48" s="157">
        <f>O48/L48</f>
        <v>0.84306289018473568</v>
      </c>
      <c r="S48" s="423"/>
      <c r="T48" s="158"/>
      <c r="U48" s="158"/>
      <c r="V48" s="194"/>
      <c r="W48" s="159">
        <f t="shared" si="37"/>
        <v>0</v>
      </c>
      <c r="X48" s="160"/>
      <c r="Y48" s="160"/>
      <c r="Z48" s="424"/>
      <c r="AA48" s="424"/>
      <c r="AB48" s="161">
        <f t="shared" ref="AB48:AB53" si="39">N48-K48</f>
        <v>-249.53957944359786</v>
      </c>
      <c r="AC48" s="189">
        <f t="shared" ref="AC48:AC53" si="40">N48/K48</f>
        <v>0.82453974163718335</v>
      </c>
      <c r="AD48" s="449"/>
    </row>
    <row r="49" spans="1:30" ht="15" customHeight="1">
      <c r="A49" s="454" t="s">
        <v>57</v>
      </c>
      <c r="B49" s="197" t="s">
        <v>45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1803</v>
      </c>
      <c r="H49" s="124">
        <f t="shared" ref="H49:H57" si="41">F49*G49</f>
        <v>102536.61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1545.4285714285415</v>
      </c>
      <c r="O49" s="127">
        <f>N49/M49</f>
        <v>81.338345864660084</v>
      </c>
      <c r="P49" s="162">
        <f>M49-J49</f>
        <v>0</v>
      </c>
      <c r="Q49" s="111">
        <f>O49-L49</f>
        <v>-1.0300751879714909</v>
      </c>
      <c r="R49" s="182">
        <f>O49/L49</f>
        <v>0.98749429484251861</v>
      </c>
      <c r="S49" s="419">
        <f>R58</f>
        <v>0.99116936986519233</v>
      </c>
      <c r="T49" s="348">
        <v>0.28819444444444398</v>
      </c>
      <c r="U49" s="348">
        <v>0.33680555555555602</v>
      </c>
      <c r="V49" s="186"/>
      <c r="W49" s="150">
        <f t="shared" si="20"/>
        <v>70.00000000000135</v>
      </c>
      <c r="X49" s="186"/>
      <c r="Y49" s="186"/>
      <c r="Z49" s="425"/>
      <c r="AA49" s="425"/>
      <c r="AB49" s="110">
        <f t="shared" si="39"/>
        <v>-19.571428571458455</v>
      </c>
      <c r="AC49" s="182">
        <f t="shared" si="40"/>
        <v>0.98749429484251861</v>
      </c>
      <c r="AD49" s="411">
        <f>AC58</f>
        <v>0.99111923689340531</v>
      </c>
    </row>
    <row r="50" spans="1:30" ht="15" customHeight="1">
      <c r="A50" s="455"/>
      <c r="B50" s="56" t="s">
        <v>45</v>
      </c>
      <c r="C50" s="10"/>
      <c r="D50" s="11" t="s">
        <v>59</v>
      </c>
      <c r="E50" s="86"/>
      <c r="F50" s="56">
        <f>VLOOKUP(D50,廠價表!$C$1:$E$40,3,0)</f>
        <v>49.97</v>
      </c>
      <c r="G50" s="66">
        <v>2626</v>
      </c>
      <c r="H50" s="76">
        <f t="shared" si="41"/>
        <v>131221.22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1591.515151515152</v>
      </c>
      <c r="O50" s="78">
        <f>N50/M50</f>
        <v>88.417508417508444</v>
      </c>
      <c r="P50" s="18">
        <f>M50-J50</f>
        <v>0</v>
      </c>
      <c r="Q50" s="19">
        <f>O50-L50</f>
        <v>-0.47138047138044215</v>
      </c>
      <c r="R50" s="183">
        <f>O50/L50</f>
        <v>0.99469696969697008</v>
      </c>
      <c r="S50" s="420"/>
      <c r="T50" s="351">
        <v>0.34236111111111101</v>
      </c>
      <c r="U50" s="351">
        <v>0.41111111111111098</v>
      </c>
      <c r="V50" s="175">
        <f t="shared" ref="V50:V53" si="42">(T50-U49)*24*60</f>
        <v>7.9999999999991722</v>
      </c>
      <c r="W50" s="80">
        <f t="shared" si="20"/>
        <v>98.999999999999972</v>
      </c>
      <c r="X50" s="22"/>
      <c r="Y50" s="22"/>
      <c r="Z50" s="417"/>
      <c r="AA50" s="418"/>
      <c r="AB50" s="18">
        <f t="shared" si="39"/>
        <v>-8.4848484848480439</v>
      </c>
      <c r="AC50" s="183">
        <f t="shared" si="40"/>
        <v>0.99469696969696997</v>
      </c>
      <c r="AD50" s="412"/>
    </row>
    <row r="51" spans="1:30" ht="15" customHeight="1">
      <c r="A51" s="455"/>
      <c r="B51" s="56" t="s">
        <v>182</v>
      </c>
      <c r="C51" s="10"/>
      <c r="D51" s="11" t="s">
        <v>46</v>
      </c>
      <c r="E51" s="86"/>
      <c r="F51" s="56">
        <f>VLOOKUP(D51,廠價表!$C$1:$E$40,3,0)</f>
        <v>49.91</v>
      </c>
      <c r="G51" s="66">
        <v>2100</v>
      </c>
      <c r="H51" s="76">
        <f t="shared" si="41"/>
        <v>104811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3" si="43">K51/J51</f>
        <v>92.058823529411768</v>
      </c>
      <c r="M51" s="172">
        <v>17</v>
      </c>
      <c r="N51" s="77">
        <f t="shared" ref="N51:N53" si="44">G51/W51*60</f>
        <v>1555.5555555555563</v>
      </c>
      <c r="O51" s="78">
        <f t="shared" ref="O51:O52" si="45">N51/M51</f>
        <v>91.503267973856254</v>
      </c>
      <c r="P51" s="18">
        <f t="shared" ref="P51:P52" si="46">M51-J51</f>
        <v>0</v>
      </c>
      <c r="Q51" s="19">
        <f t="shared" ref="Q51:Q53" si="47">O51-L51</f>
        <v>-0.5555555555555145</v>
      </c>
      <c r="R51" s="183">
        <f t="shared" ref="R51:R53" si="48">O51/L51</f>
        <v>0.99396521121760784</v>
      </c>
      <c r="S51" s="420"/>
      <c r="T51" s="351">
        <v>0.41666666666666702</v>
      </c>
      <c r="U51" s="44">
        <v>0.47291666666666698</v>
      </c>
      <c r="V51" s="175">
        <f t="shared" si="42"/>
        <v>8.000000000000691</v>
      </c>
      <c r="W51" s="80">
        <f t="shared" si="20"/>
        <v>80.999999999999957</v>
      </c>
      <c r="X51" s="22"/>
      <c r="Y51" s="22"/>
      <c r="Z51" s="405"/>
      <c r="AA51" s="405"/>
      <c r="AB51" s="18">
        <f t="shared" si="39"/>
        <v>-9.4444444444436613</v>
      </c>
      <c r="AC51" s="183">
        <f t="shared" si="40"/>
        <v>0.99396521121760784</v>
      </c>
      <c r="AD51" s="412"/>
    </row>
    <row r="52" spans="1:30" ht="15" customHeight="1">
      <c r="A52" s="455"/>
      <c r="B52" s="56" t="s">
        <v>182</v>
      </c>
      <c r="C52" s="23"/>
      <c r="D52" s="11" t="s">
        <v>46</v>
      </c>
      <c r="E52" s="12"/>
      <c r="F52" s="56">
        <f>VLOOKUP(D52,廠價表!$C$1:$E$40,3,0)</f>
        <v>49.91</v>
      </c>
      <c r="G52" s="66">
        <v>800</v>
      </c>
      <c r="H52" s="76">
        <f t="shared" si="41"/>
        <v>39928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si="43"/>
        <v>92.058823529411768</v>
      </c>
      <c r="M52" s="172">
        <v>17</v>
      </c>
      <c r="N52" s="77">
        <f t="shared" si="44"/>
        <v>1548.387096774175</v>
      </c>
      <c r="O52" s="78">
        <f t="shared" si="45"/>
        <v>91.081593927892641</v>
      </c>
      <c r="P52" s="18">
        <f t="shared" si="46"/>
        <v>0</v>
      </c>
      <c r="Q52" s="19">
        <f t="shared" si="47"/>
        <v>-0.9772296015191273</v>
      </c>
      <c r="R52" s="183">
        <f t="shared" si="48"/>
        <v>0.98938472637327468</v>
      </c>
      <c r="S52" s="420"/>
      <c r="T52" s="351">
        <v>0.53333333333333299</v>
      </c>
      <c r="U52" s="351">
        <v>0.55486111111111103</v>
      </c>
      <c r="V52" s="175">
        <f t="shared" si="42"/>
        <v>86.999999999999048</v>
      </c>
      <c r="W52" s="80">
        <f t="shared" si="20"/>
        <v>31.000000000000369</v>
      </c>
      <c r="X52" s="22">
        <v>0.47916666666666702</v>
      </c>
      <c r="Y52" s="22">
        <v>0.52083333333333304</v>
      </c>
      <c r="Z52" s="417"/>
      <c r="AA52" s="418"/>
      <c r="AB52" s="18">
        <f t="shared" si="39"/>
        <v>-16.612903225824994</v>
      </c>
      <c r="AC52" s="183">
        <f t="shared" si="40"/>
        <v>0.98938472637327479</v>
      </c>
      <c r="AD52" s="412"/>
    </row>
    <row r="53" spans="1:30" ht="15" customHeight="1">
      <c r="A53" s="455"/>
      <c r="B53" s="56" t="s">
        <v>45</v>
      </c>
      <c r="C53" s="23"/>
      <c r="D53" s="11" t="s">
        <v>59</v>
      </c>
      <c r="E53" s="12"/>
      <c r="F53" s="56">
        <f>VLOOKUP(D53,廠價表!$C$1:$E$40,3,0)</f>
        <v>49.97</v>
      </c>
      <c r="G53" s="66">
        <v>3300</v>
      </c>
      <c r="H53" s="76">
        <f t="shared" si="41"/>
        <v>164901</v>
      </c>
      <c r="I53" s="191"/>
      <c r="J53" s="16">
        <f>VLOOKUP(D53,產線配置圖!$A$3:$C$39,2,0)</f>
        <v>18</v>
      </c>
      <c r="K53" s="14">
        <f>VLOOKUP(D53,產線配置圖!$A$3:$C$39,3,0)</f>
        <v>1600</v>
      </c>
      <c r="L53" s="17">
        <f t="shared" si="43"/>
        <v>88.888888888888886</v>
      </c>
      <c r="M53" s="172">
        <v>18</v>
      </c>
      <c r="N53" s="77">
        <f t="shared" si="44"/>
        <v>1584.0000000000098</v>
      </c>
      <c r="O53" s="78">
        <f>N53/M53</f>
        <v>88.00000000000054</v>
      </c>
      <c r="P53" s="18">
        <f>M53-J53</f>
        <v>0</v>
      </c>
      <c r="Q53" s="19">
        <f t="shared" si="47"/>
        <v>-0.88888888888834572</v>
      </c>
      <c r="R53" s="183">
        <f t="shared" si="48"/>
        <v>0.9900000000000061</v>
      </c>
      <c r="S53" s="420"/>
      <c r="T53" s="351">
        <v>0.55902777777777801</v>
      </c>
      <c r="U53" s="351">
        <v>0.64583333333333304</v>
      </c>
      <c r="V53" s="175">
        <f t="shared" si="42"/>
        <v>6.0000000000004583</v>
      </c>
      <c r="W53" s="80">
        <f t="shared" si="20"/>
        <v>124.99999999999923</v>
      </c>
      <c r="X53" s="175"/>
      <c r="Y53" s="175"/>
      <c r="Z53" s="417"/>
      <c r="AA53" s="418"/>
      <c r="AB53" s="18">
        <f t="shared" si="39"/>
        <v>-15.999999999990223</v>
      </c>
      <c r="AC53" s="183">
        <f t="shared" si="40"/>
        <v>0.9900000000000061</v>
      </c>
      <c r="AD53" s="412"/>
    </row>
    <row r="54" spans="1:30" ht="15" customHeight="1">
      <c r="A54" s="455"/>
      <c r="B54" s="56"/>
      <c r="C54" s="181"/>
      <c r="D54" s="11"/>
      <c r="E54" s="12"/>
      <c r="F54" s="56"/>
      <c r="G54" s="66"/>
      <c r="H54" s="76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79"/>
      <c r="U54" s="79"/>
      <c r="V54" s="175"/>
      <c r="W54" s="80">
        <f t="shared" si="20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1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20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1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20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1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20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9">AVERAGE(J49:J57)</f>
        <v>17.8</v>
      </c>
      <c r="K58" s="117">
        <f t="shared" si="49"/>
        <v>1579</v>
      </c>
      <c r="L58" s="114">
        <f t="shared" si="49"/>
        <v>88.852769177846582</v>
      </c>
      <c r="M58" s="117">
        <f t="shared" si="49"/>
        <v>17.8</v>
      </c>
      <c r="N58" s="117">
        <f t="shared" si="49"/>
        <v>1564.977275054687</v>
      </c>
      <c r="O58" s="114">
        <f t="shared" si="49"/>
        <v>88.068143236783584</v>
      </c>
      <c r="P58" s="118">
        <f>M58-J58</f>
        <v>0</v>
      </c>
      <c r="Q58" s="119">
        <f>N58-K58</f>
        <v>-14.02272494531303</v>
      </c>
      <c r="R58" s="120">
        <f t="shared" ref="R58:R60" si="50">O58/L58</f>
        <v>0.99116936986519233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51">N58-K58</f>
        <v>-14.02272494531303</v>
      </c>
      <c r="AC58" s="185">
        <f t="shared" ref="AC58:AC61" si="52">N58/K58</f>
        <v>0.99111923689340531</v>
      </c>
      <c r="AD58" s="414"/>
    </row>
    <row r="59" spans="1:30" ht="15" customHeight="1">
      <c r="A59" s="470" t="s">
        <v>61</v>
      </c>
      <c r="B59" s="197" t="s">
        <v>172</v>
      </c>
      <c r="C59" s="101"/>
      <c r="D59" s="102" t="s">
        <v>62</v>
      </c>
      <c r="E59" s="103"/>
      <c r="F59" s="197">
        <f>VLOOKUP(D59,廠價表!$C$1:$E$40,3,0)</f>
        <v>26.99</v>
      </c>
      <c r="G59" s="186">
        <v>4329</v>
      </c>
      <c r="H59" s="105">
        <f t="shared" ref="H59:H68" si="53">F59*G59</f>
        <v>116839.70999999999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54">G59/W59*60</f>
        <v>1443</v>
      </c>
      <c r="O59" s="108">
        <f t="shared" ref="O59:O62" si="55">N59/M59</f>
        <v>111</v>
      </c>
      <c r="P59" s="110">
        <f t="shared" ref="P59:P62" si="56">M59-J59</f>
        <v>0</v>
      </c>
      <c r="Q59" s="111">
        <f t="shared" ref="Q59:Q62" si="57">O59-L59</f>
        <v>-9.3846153846153868</v>
      </c>
      <c r="R59" s="182">
        <f t="shared" si="50"/>
        <v>0.9220447284345048</v>
      </c>
      <c r="S59" s="419">
        <f>R69</f>
        <v>0.93608993524798667</v>
      </c>
      <c r="T59" s="344">
        <v>0.29166666666666702</v>
      </c>
      <c r="U59" s="344">
        <v>0.41666666666666702</v>
      </c>
      <c r="V59" s="186"/>
      <c r="W59" s="106">
        <f t="shared" si="20"/>
        <v>180</v>
      </c>
      <c r="X59" s="186"/>
      <c r="Y59" s="186"/>
      <c r="Z59" s="469"/>
      <c r="AA59" s="434"/>
      <c r="AB59" s="223">
        <f t="shared" si="51"/>
        <v>-122</v>
      </c>
      <c r="AC59" s="224">
        <f t="shared" si="52"/>
        <v>0.9220447284345048</v>
      </c>
      <c r="AD59" s="411">
        <f>AC69</f>
        <v>0.93581983511695821</v>
      </c>
    </row>
    <row r="60" spans="1:30" ht="15" customHeight="1">
      <c r="A60" s="471"/>
      <c r="B60" s="56" t="s">
        <v>172</v>
      </c>
      <c r="C60" s="23"/>
      <c r="D60" s="239" t="s">
        <v>63</v>
      </c>
      <c r="E60" s="12"/>
      <c r="F60" s="56">
        <f>VLOOKUP(D60,廠價表!$C$1:$E$40,3,0)</f>
        <v>28.47</v>
      </c>
      <c r="G60" s="175">
        <v>636</v>
      </c>
      <c r="H60" s="15">
        <f t="shared" si="53"/>
        <v>18106.919999999998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4"/>
        <v>1526.4000000000103</v>
      </c>
      <c r="O60" s="17">
        <f t="shared" si="55"/>
        <v>127.20000000000086</v>
      </c>
      <c r="P60" s="18">
        <f t="shared" si="56"/>
        <v>0</v>
      </c>
      <c r="Q60" s="19">
        <f t="shared" si="57"/>
        <v>-3.2166666666658017</v>
      </c>
      <c r="R60" s="183">
        <f t="shared" si="50"/>
        <v>0.97533546325879261</v>
      </c>
      <c r="S60" s="474"/>
      <c r="T60" s="22">
        <v>0.42708333333333298</v>
      </c>
      <c r="U60" s="22">
        <v>0.44444444444444398</v>
      </c>
      <c r="V60" s="175">
        <f t="shared" ref="V60:V62" si="58">(T60-U59)*24*60</f>
        <v>14.999999999998987</v>
      </c>
      <c r="W60" s="90">
        <f t="shared" si="20"/>
        <v>24.999999999999829</v>
      </c>
      <c r="X60" s="191"/>
      <c r="Y60" s="191"/>
      <c r="Z60" s="405"/>
      <c r="AA60" s="405"/>
      <c r="AB60" s="225">
        <f t="shared" si="51"/>
        <v>-38.599999999989677</v>
      </c>
      <c r="AC60" s="226">
        <f t="shared" si="52"/>
        <v>0.9753354632587925</v>
      </c>
      <c r="AD60" s="464"/>
    </row>
    <row r="61" spans="1:30" ht="15" customHeight="1">
      <c r="A61" s="472"/>
      <c r="B61" s="56" t="s">
        <v>172</v>
      </c>
      <c r="C61" s="10"/>
      <c r="D61" s="239" t="s">
        <v>64</v>
      </c>
      <c r="E61" s="86"/>
      <c r="F61" s="56">
        <f>VLOOKUP(D61,廠價表!$C$1:$E$40,3,0)</f>
        <v>28.26</v>
      </c>
      <c r="G61" s="175">
        <v>1253</v>
      </c>
      <c r="H61" s="15">
        <f t="shared" si="53"/>
        <v>35409.78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54"/>
        <v>1366.9090909090701</v>
      </c>
      <c r="O61" s="17">
        <f>N61/M61</f>
        <v>113.90909090908917</v>
      </c>
      <c r="P61" s="18">
        <f>M61-J61</f>
        <v>0</v>
      </c>
      <c r="Q61" s="19">
        <f>O61-L61</f>
        <v>-16.507575757577484</v>
      </c>
      <c r="R61" s="183">
        <f>O61/L61</f>
        <v>0.87342433923902252</v>
      </c>
      <c r="S61" s="420"/>
      <c r="T61" s="22">
        <v>0.45486111111111099</v>
      </c>
      <c r="U61" s="22">
        <v>0.49305555555555602</v>
      </c>
      <c r="V61" s="175">
        <f t="shared" si="58"/>
        <v>15.000000000000506</v>
      </c>
      <c r="W61" s="88">
        <f t="shared" si="20"/>
        <v>55.000000000000846</v>
      </c>
      <c r="X61" s="22"/>
      <c r="Y61" s="22"/>
      <c r="Z61" s="405"/>
      <c r="AA61" s="405"/>
      <c r="AB61" s="51">
        <f t="shared" si="51"/>
        <v>-198.09090909092993</v>
      </c>
      <c r="AC61" s="52">
        <f t="shared" si="52"/>
        <v>0.87342433923902241</v>
      </c>
      <c r="AD61" s="412"/>
    </row>
    <row r="62" spans="1:30" ht="15" customHeight="1">
      <c r="A62" s="472"/>
      <c r="B62" s="336" t="s">
        <v>172</v>
      </c>
      <c r="C62" s="337"/>
      <c r="D62" s="338" t="s">
        <v>64</v>
      </c>
      <c r="E62" s="339"/>
      <c r="F62" s="336">
        <f>VLOOKUP(D62,廠價表!$C$1:$E$40,3,0)</f>
        <v>28.26</v>
      </c>
      <c r="G62" s="176">
        <v>1319</v>
      </c>
      <c r="H62" s="340">
        <f t="shared" si="53"/>
        <v>37274.94</v>
      </c>
      <c r="I62" s="81"/>
      <c r="J62" s="31">
        <f>VLOOKUP(D62,產線配置圖!$A$3:$C$39,2,0)</f>
        <v>12</v>
      </c>
      <c r="K62" s="30">
        <f>VLOOKUP(D62,產線配置圖!$A$3:$C$39,3,0)</f>
        <v>1565</v>
      </c>
      <c r="L62" s="35">
        <f>K62/J62</f>
        <v>130.41666666666666</v>
      </c>
      <c r="M62" s="179">
        <v>12</v>
      </c>
      <c r="N62" s="30">
        <f t="shared" si="54"/>
        <v>1521.9230769230778</v>
      </c>
      <c r="O62" s="35">
        <f t="shared" si="55"/>
        <v>126.82692307692315</v>
      </c>
      <c r="P62" s="34">
        <f t="shared" si="56"/>
        <v>0</v>
      </c>
      <c r="Q62" s="341">
        <f t="shared" si="57"/>
        <v>-3.5897435897435059</v>
      </c>
      <c r="R62" s="184">
        <f>O62/L62</f>
        <v>0.97247480953551302</v>
      </c>
      <c r="S62" s="420"/>
      <c r="T62" s="22">
        <v>0.54513888888888895</v>
      </c>
      <c r="U62" s="22">
        <v>0.58125000000000004</v>
      </c>
      <c r="V62" s="175">
        <f t="shared" si="58"/>
        <v>74.999999999999417</v>
      </c>
      <c r="W62" s="90">
        <f t="shared" si="20"/>
        <v>51.999999999999972</v>
      </c>
      <c r="X62" s="22">
        <v>0.50347222222222199</v>
      </c>
      <c r="Y62" s="22">
        <v>0.54513888888888895</v>
      </c>
      <c r="Z62" s="405"/>
      <c r="AA62" s="405"/>
      <c r="AB62" s="51">
        <f>N62-K62</f>
        <v>-43.076923076922185</v>
      </c>
      <c r="AC62" s="52">
        <f>N62/K62</f>
        <v>0.97247480953551302</v>
      </c>
      <c r="AD62" s="412"/>
    </row>
    <row r="63" spans="1:30" ht="15" customHeight="1">
      <c r="A63" s="472"/>
      <c r="B63" s="342"/>
      <c r="C63" s="246"/>
      <c r="D63" s="247"/>
      <c r="E63" s="248"/>
      <c r="F63" s="305"/>
      <c r="G63" s="335"/>
      <c r="H63" s="307"/>
      <c r="I63" s="335"/>
      <c r="J63" s="309"/>
      <c r="K63" s="306"/>
      <c r="L63" s="310"/>
      <c r="M63" s="311"/>
      <c r="N63" s="306"/>
      <c r="O63" s="310"/>
      <c r="P63" s="312"/>
      <c r="Q63" s="313"/>
      <c r="R63" s="314"/>
      <c r="S63" s="420"/>
      <c r="T63" s="20"/>
      <c r="U63" s="20"/>
      <c r="V63" s="175"/>
      <c r="W63" s="90">
        <f t="shared" si="20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20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20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20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20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3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20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9">AVERAGE(J59:J68)</f>
        <v>12.25</v>
      </c>
      <c r="K69" s="164">
        <f t="shared" si="59"/>
        <v>1565</v>
      </c>
      <c r="L69" s="169">
        <f t="shared" si="59"/>
        <v>127.90865384615384</v>
      </c>
      <c r="M69" s="164">
        <f t="shared" si="59"/>
        <v>12.25</v>
      </c>
      <c r="N69" s="164">
        <f t="shared" si="59"/>
        <v>1464.5580419580397</v>
      </c>
      <c r="O69" s="169">
        <f t="shared" si="59"/>
        <v>119.73400349650329</v>
      </c>
      <c r="P69" s="170">
        <f>M69-J69</f>
        <v>0</v>
      </c>
      <c r="Q69" s="156">
        <f>N69-K69</f>
        <v>-100.44195804196033</v>
      </c>
      <c r="R69" s="120">
        <f>O69/L69</f>
        <v>0.93608993524798667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-100.44195804196033</v>
      </c>
      <c r="AC69" s="185">
        <f>N69/K69</f>
        <v>0.93581983511695821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167"/>
      <c r="U70" s="167"/>
      <c r="V70" s="186"/>
      <c r="W70" s="106">
        <f t="shared" si="20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0"/>
      <c r="U71" s="20"/>
      <c r="V71" s="175"/>
      <c r="W71" s="180">
        <f t="shared" si="20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20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20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60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20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60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20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60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20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60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20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60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20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H3:H4"/>
    <mergeCell ref="I3:I4"/>
    <mergeCell ref="J3:J4"/>
    <mergeCell ref="K3:K4"/>
    <mergeCell ref="L3:L4"/>
    <mergeCell ref="AB1:AD2"/>
    <mergeCell ref="S5:S15"/>
    <mergeCell ref="Z5:AA5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P1:S2"/>
    <mergeCell ref="T1:Y2"/>
    <mergeCell ref="Z1:AA2"/>
    <mergeCell ref="N3:N4"/>
    <mergeCell ref="AB3:AB4"/>
    <mergeCell ref="S3:S4"/>
    <mergeCell ref="M3:M4"/>
    <mergeCell ref="AC3:AC4"/>
    <mergeCell ref="AD3:AD4"/>
    <mergeCell ref="AD5:AD1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Z15:AA15"/>
    <mergeCell ref="O3:O4"/>
    <mergeCell ref="P3:P4"/>
    <mergeCell ref="Q3:Q4"/>
    <mergeCell ref="R3:R4"/>
    <mergeCell ref="T3:U3"/>
    <mergeCell ref="V3:V4"/>
    <mergeCell ref="W3:W4"/>
    <mergeCell ref="X3:Y3"/>
    <mergeCell ref="Z3:AA4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08" priority="1" operator="greaterThan">
      <formula>0</formula>
    </cfRule>
  </conditionalFormatting>
  <conditionalFormatting sqref="Q5:Q79 AB5:AB79">
    <cfRule type="cellIs" dxfId="107" priority="4" operator="lessThan">
      <formula>0</formula>
    </cfRule>
  </conditionalFormatting>
  <conditionalFormatting sqref="R5:R79 AC5:AC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D59:AD62 S69:S76 AD69:AD76">
    <cfRule type="cellIs" dxfId="104" priority="7" operator="lessThan">
      <formula>0.8</formula>
    </cfRule>
  </conditionalFormatting>
  <conditionalFormatting sqref="S19:S25 AD19:AD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D5:AD8 S15:S16 AD15:AD16 AD49 AD79">
    <cfRule type="cellIs" dxfId="101" priority="9" operator="lessThan">
      <formula>0.8</formula>
    </cfRule>
  </conditionalFormatting>
  <conditionalFormatting sqref="AD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D3" sqref="D3:E4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46013</v>
      </c>
      <c r="E3" s="357"/>
      <c r="F3" s="202" t="s">
        <v>84</v>
      </c>
      <c r="G3" s="358">
        <f>'1222'!E1</f>
        <v>56199</v>
      </c>
      <c r="H3" s="358"/>
      <c r="I3" s="202" t="s">
        <v>2</v>
      </c>
      <c r="J3" s="359">
        <f>'1222'!G1</f>
        <v>2728103.6599999997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114.57880576724615</v>
      </c>
      <c r="G6" s="367"/>
      <c r="H6" s="360">
        <f>AVERAGE(D13:H13)</f>
        <v>111.91283615146463</v>
      </c>
      <c r="I6" s="360"/>
      <c r="J6" s="360">
        <f>AVERAGE(I13:J13)</f>
        <v>127.90865384615384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103.89705107654426</v>
      </c>
      <c r="G7" s="362"/>
      <c r="H7" s="363">
        <f>AVERAGE(D14:H14)</f>
        <v>101.26924975339162</v>
      </c>
      <c r="I7" s="363"/>
      <c r="J7" s="363">
        <f>AVERAGE(I14:J14)</f>
        <v>117.03605769230749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0.91089746691501661</v>
      </c>
      <c r="G8" s="364"/>
      <c r="H8" s="364">
        <f>AVERAGE(D15:H15)</f>
        <v>0.91007752410181642</v>
      </c>
      <c r="I8" s="364"/>
      <c r="J8" s="364">
        <f>AVERAGE(I15:J15)</f>
        <v>0.91499718098101712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VALUE('1222'!L15)</f>
        <v>133.51432880844644</v>
      </c>
      <c r="E13" s="213">
        <f>VALUE('1222'!L26)</f>
        <v>160.58974358974359</v>
      </c>
      <c r="F13" s="213">
        <f>VALUE('1222'!L37)</f>
        <v>92.236111111111114</v>
      </c>
      <c r="G13" s="213">
        <f>VALUE('1222'!L48)</f>
        <v>84.371228070175434</v>
      </c>
      <c r="H13" s="213">
        <f>VALUE('1222'!L58)</f>
        <v>88.852769177846582</v>
      </c>
      <c r="I13" s="213">
        <f>VALUE('1222'!L69)</f>
        <v>127.90865384615384</v>
      </c>
      <c r="J13" s="213"/>
    </row>
    <row r="14" spans="2:15" ht="40" customHeight="1">
      <c r="B14" s="376"/>
      <c r="C14" s="212" t="s">
        <v>106</v>
      </c>
      <c r="D14" s="213">
        <f>VALUE('1222'!O15)</f>
        <v>116.14503216790273</v>
      </c>
      <c r="E14" s="213">
        <f>VALUE('1222'!O26)</f>
        <v>142.9898098867765</v>
      </c>
      <c r="F14" s="213">
        <f>VALUE('1222'!O37)</f>
        <v>87.795216397480601</v>
      </c>
      <c r="G14" s="213">
        <f>VALUE('1222'!O48)</f>
        <v>73.706238826005944</v>
      </c>
      <c r="H14" s="213">
        <f>VALUE('1222'!O58)</f>
        <v>85.709951488792314</v>
      </c>
      <c r="I14" s="213">
        <f>VALUE('1222'!O69)</f>
        <v>117.03605769230749</v>
      </c>
      <c r="J14" s="213"/>
    </row>
    <row r="15" spans="2:15" ht="40" customHeight="1">
      <c r="B15" s="377"/>
      <c r="C15" s="210" t="s">
        <v>23</v>
      </c>
      <c r="D15" s="231">
        <f>D14/D13</f>
        <v>0.86990687220198282</v>
      </c>
      <c r="E15" s="231">
        <f t="shared" ref="E15:I15" si="0">E14/E13</f>
        <v>0.89040437259848049</v>
      </c>
      <c r="F15" s="231">
        <f t="shared" si="0"/>
        <v>0.95185297103126076</v>
      </c>
      <c r="G15" s="231">
        <f t="shared" si="0"/>
        <v>0.87359447659931033</v>
      </c>
      <c r="H15" s="231">
        <f t="shared" si="0"/>
        <v>0.96462892807804734</v>
      </c>
      <c r="I15" s="231">
        <f t="shared" si="0"/>
        <v>0.91499718098101712</v>
      </c>
      <c r="J15" s="343"/>
    </row>
    <row r="16" spans="2:15" ht="17.25" customHeight="1">
      <c r="B16" s="378" t="s">
        <v>107</v>
      </c>
      <c r="C16" s="210" t="s">
        <v>29</v>
      </c>
      <c r="D16" s="95">
        <f>'1222'!T5</f>
        <v>0.29027777777777802</v>
      </c>
      <c r="E16" s="95">
        <f>'1222'!T16</f>
        <v>0.29027777777777802</v>
      </c>
      <c r="F16" s="95">
        <f>'1222'!T27</f>
        <v>0.29166666666666702</v>
      </c>
      <c r="G16" s="95">
        <f>'1222'!T38</f>
        <v>0.29166666666666702</v>
      </c>
      <c r="H16" s="95">
        <f>'1222'!T49</f>
        <v>0.29097222222222202</v>
      </c>
      <c r="I16" s="95">
        <f>'1222'!T59</f>
        <v>0.29166666666666702</v>
      </c>
      <c r="J16" s="269"/>
    </row>
    <row r="17" spans="2:10" ht="17.25" customHeight="1">
      <c r="B17" s="379"/>
      <c r="C17" s="210" t="s">
        <v>30</v>
      </c>
      <c r="D17" s="22">
        <v>0.65277777777777801</v>
      </c>
      <c r="E17" s="44">
        <v>0.62361111111111101</v>
      </c>
      <c r="F17" s="44">
        <v>0.63333333333333297</v>
      </c>
      <c r="G17" s="350">
        <v>0.72569444444444398</v>
      </c>
      <c r="H17" s="351">
        <v>0.64444444444444404</v>
      </c>
      <c r="I17" s="22">
        <v>0.57986111111111105</v>
      </c>
      <c r="J17" s="20"/>
    </row>
    <row r="18" spans="2:10" ht="17.25" customHeight="1">
      <c r="B18" s="365" t="s">
        <v>108</v>
      </c>
      <c r="C18" s="366"/>
      <c r="D18" s="214">
        <f>VALUE('1222'!M15)</f>
        <v>12.571428571428571</v>
      </c>
      <c r="E18" s="214">
        <f>VALUE('1222'!M26)</f>
        <v>12.6</v>
      </c>
      <c r="F18" s="214">
        <f>VALUE('1222'!M37)</f>
        <v>15.25</v>
      </c>
      <c r="G18" s="214">
        <f>VALUE('1222'!M48)</f>
        <v>15.8</v>
      </c>
      <c r="H18" s="214">
        <f>VALUE('1222'!M58)</f>
        <v>17.600000000000001</v>
      </c>
      <c r="I18" s="214">
        <f>VALUE('1222'!M69)</f>
        <v>12.25</v>
      </c>
      <c r="J18" s="214"/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0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U56" activePane="bottomRight" state="frozen"/>
      <selection activeCell="D4" sqref="D4:E4"/>
      <selection pane="topRight" activeCell="D4" sqref="D4:E4"/>
      <selection pane="bottomLeft" activeCell="D4" sqref="D4:E4"/>
      <selection pane="bottomRight" activeCell="V61" activeCellId="17" sqref="Z39:AA39 V6 V7 V8 V10 V17 V18 V20 V28 V29 V39 V40 V42 V50 V51 V53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56199</v>
      </c>
      <c r="F1" s="175" t="s">
        <v>2</v>
      </c>
      <c r="G1" s="4">
        <f>SUM(H5:H79)</f>
        <v>2728103.6599999997</v>
      </c>
      <c r="H1" s="173" t="s">
        <v>3</v>
      </c>
      <c r="I1" s="5">
        <f>M15+M26+M48+M58+M69+M79+M37</f>
        <v>86.071428571428584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183</v>
      </c>
      <c r="B2" s="404"/>
      <c r="C2" s="174"/>
      <c r="D2" s="174" t="s">
        <v>11</v>
      </c>
      <c r="E2" s="7">
        <f>AVERAGE(O15,O26,O37,O48,O58,O69,O79)</f>
        <v>103.89705107654426</v>
      </c>
      <c r="F2" s="8" t="s">
        <v>12</v>
      </c>
      <c r="G2" s="9">
        <f>G1/E1</f>
        <v>48.543633516610612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">
        <v>45</v>
      </c>
      <c r="C5" s="315"/>
      <c r="D5" s="329" t="s">
        <v>32</v>
      </c>
      <c r="E5" s="316"/>
      <c r="F5" s="299">
        <f>VLOOKUP(D5,廠價表!$C$1:$E$40,3,0)</f>
        <v>57.21</v>
      </c>
      <c r="G5" s="317">
        <v>1439</v>
      </c>
      <c r="H5" s="318">
        <f>F5*G5</f>
        <v>82325.19</v>
      </c>
      <c r="I5" s="319"/>
      <c r="J5" s="320">
        <f>VLOOKUP(D5,產線配置圖!$A$3:$C$39,2,0)</f>
        <v>13</v>
      </c>
      <c r="K5" s="321">
        <f>VLOOKUP(D5,產線配置圖!$A$3:$C$39,3,0)</f>
        <v>2105</v>
      </c>
      <c r="L5" s="322">
        <f t="shared" ref="L5:L10" si="0">K5/J5</f>
        <v>161.92307692307693</v>
      </c>
      <c r="M5" s="323">
        <v>13</v>
      </c>
      <c r="N5" s="321">
        <f t="shared" ref="N5:N10" si="1">G5/W5*60</f>
        <v>1837.0212765957385</v>
      </c>
      <c r="O5" s="322">
        <f t="shared" ref="O5:O10" si="2">N5/M5</f>
        <v>141.30932896890297</v>
      </c>
      <c r="P5" s="324">
        <f t="shared" ref="P5:P10" si="3">M5-J5</f>
        <v>0</v>
      </c>
      <c r="Q5" s="325">
        <f t="shared" ref="Q5:Q10" si="4">O5-L5</f>
        <v>-20.613747954173959</v>
      </c>
      <c r="R5" s="326">
        <f t="shared" ref="R5:R10" si="5">O5/L5</f>
        <v>0.87269419315712049</v>
      </c>
      <c r="S5" s="419">
        <f>R15</f>
        <v>0.86990687220198282</v>
      </c>
      <c r="T5" s="346">
        <v>0.29027777777777802</v>
      </c>
      <c r="U5" s="347">
        <v>0.32291666666666702</v>
      </c>
      <c r="V5" s="192"/>
      <c r="W5" s="106">
        <f t="shared" ref="W5:W14" si="6">(U5-T5)*24*60</f>
        <v>47.000000000000156</v>
      </c>
      <c r="X5" s="186"/>
      <c r="Y5" s="186"/>
      <c r="Z5" s="425"/>
      <c r="AA5" s="425"/>
      <c r="AB5" s="110">
        <f t="shared" ref="AB5:AB11" si="7">N5-K5</f>
        <v>-267.97872340426147</v>
      </c>
      <c r="AC5" s="182">
        <f t="shared" ref="AC5:AC11" si="8">N5/K5</f>
        <v>0.87269419315712049</v>
      </c>
      <c r="AD5" s="411">
        <f>AC15</f>
        <v>0.86050063034668633</v>
      </c>
    </row>
    <row r="6" spans="1:30" ht="15" customHeight="1">
      <c r="A6" s="408"/>
      <c r="B6" s="304" t="s">
        <v>45</v>
      </c>
      <c r="C6" s="246"/>
      <c r="D6" s="11" t="s">
        <v>35</v>
      </c>
      <c r="E6" s="248"/>
      <c r="F6" s="305">
        <f>VLOOKUP(D6,廠價表!$C$1:$E$40,3,0)</f>
        <v>56.43</v>
      </c>
      <c r="G6" s="25">
        <v>851</v>
      </c>
      <c r="H6" s="307">
        <f>F6*G6</f>
        <v>48021.93</v>
      </c>
      <c r="I6" s="308"/>
      <c r="J6" s="309">
        <f>VLOOKUP(D6,產線配置圖!$A$3:$C$39,2,0)</f>
        <v>15</v>
      </c>
      <c r="K6" s="306">
        <v>1800</v>
      </c>
      <c r="L6" s="310">
        <f t="shared" si="0"/>
        <v>120</v>
      </c>
      <c r="M6" s="311">
        <v>15</v>
      </c>
      <c r="N6" s="306">
        <f t="shared" si="1"/>
        <v>1245.3658536585458</v>
      </c>
      <c r="O6" s="310">
        <f t="shared" si="2"/>
        <v>83.024390243903056</v>
      </c>
      <c r="P6" s="312">
        <f t="shared" si="3"/>
        <v>0</v>
      </c>
      <c r="Q6" s="313">
        <f t="shared" si="4"/>
        <v>-36.975609756096944</v>
      </c>
      <c r="R6" s="314">
        <f t="shared" si="5"/>
        <v>0.69186991869919212</v>
      </c>
      <c r="S6" s="420"/>
      <c r="T6" s="95">
        <v>0.33124999999999999</v>
      </c>
      <c r="U6" s="95">
        <v>0.359722222222222</v>
      </c>
      <c r="V6" s="175">
        <f>(T6-U5)*24*60</f>
        <v>11.999999999999478</v>
      </c>
      <c r="W6" s="180">
        <f t="shared" si="6"/>
        <v>40.999999999999694</v>
      </c>
      <c r="X6" s="22"/>
      <c r="Y6" s="22"/>
      <c r="Z6" s="475" t="s">
        <v>171</v>
      </c>
      <c r="AA6" s="476"/>
      <c r="AB6" s="18">
        <f t="shared" si="7"/>
        <v>-554.6341463414542</v>
      </c>
      <c r="AC6" s="183">
        <f t="shared" si="8"/>
        <v>0.69186991869919212</v>
      </c>
      <c r="AD6" s="412"/>
    </row>
    <row r="7" spans="1:30" ht="15" customHeight="1">
      <c r="A7" s="408"/>
      <c r="B7" s="56" t="s">
        <v>45</v>
      </c>
      <c r="C7" s="10"/>
      <c r="D7" s="11" t="s">
        <v>33</v>
      </c>
      <c r="E7" s="86"/>
      <c r="F7" s="56">
        <f>VLOOKUP(D7,廠價表!$C$1:$E$40,3,0)</f>
        <v>57.21</v>
      </c>
      <c r="G7" s="306">
        <v>1699</v>
      </c>
      <c r="H7" s="15">
        <f t="shared" ref="H7:H10" si="9">F7*G7</f>
        <v>97199.790000000008</v>
      </c>
      <c r="I7" s="180"/>
      <c r="J7" s="16">
        <f>VLOOKUP(D7,產線配置圖!$A$3:$C$39,2,0)</f>
        <v>17</v>
      </c>
      <c r="K7" s="14">
        <f>VLOOKUP(D7,產線配置圖!$A$3:$C$39,3,0)</f>
        <v>1895</v>
      </c>
      <c r="L7" s="17">
        <f t="shared" si="0"/>
        <v>111.47058823529412</v>
      </c>
      <c r="M7" s="178">
        <v>16</v>
      </c>
      <c r="N7" s="14">
        <f t="shared" si="1"/>
        <v>1699.0000000000264</v>
      </c>
      <c r="O7" s="17">
        <f t="shared" si="2"/>
        <v>106.18750000000165</v>
      </c>
      <c r="P7" s="18">
        <f t="shared" si="3"/>
        <v>-1</v>
      </c>
      <c r="Q7" s="19">
        <f t="shared" si="4"/>
        <v>-5.2830882352924675</v>
      </c>
      <c r="R7" s="183">
        <f t="shared" si="5"/>
        <v>0.95260554089711247</v>
      </c>
      <c r="S7" s="420"/>
      <c r="T7" s="267">
        <v>0.36666666666666697</v>
      </c>
      <c r="U7" s="267">
        <v>0.40833333333333299</v>
      </c>
      <c r="V7" s="175">
        <f>(T7-U6)*24*60</f>
        <v>10.000000000000764</v>
      </c>
      <c r="W7" s="180">
        <f t="shared" si="6"/>
        <v>59.999999999999069</v>
      </c>
      <c r="X7" s="22"/>
      <c r="Y7" s="22"/>
      <c r="Z7" s="405"/>
      <c r="AA7" s="405"/>
      <c r="AB7" s="18">
        <f t="shared" si="7"/>
        <v>-195.99999999997362</v>
      </c>
      <c r="AC7" s="183">
        <f t="shared" si="8"/>
        <v>0.89656992084434106</v>
      </c>
      <c r="AD7" s="412"/>
    </row>
    <row r="8" spans="1:30" ht="15" customHeight="1">
      <c r="A8" s="408"/>
      <c r="B8" s="56" t="s">
        <v>45</v>
      </c>
      <c r="C8" s="10"/>
      <c r="D8" s="11" t="s">
        <v>34</v>
      </c>
      <c r="E8" s="86"/>
      <c r="F8" s="56">
        <f>VLOOKUP(D8,廠價表!$C$1:$E$40,3,0)</f>
        <v>49.14</v>
      </c>
      <c r="G8" s="25">
        <v>2945</v>
      </c>
      <c r="H8" s="15">
        <f t="shared" si="9"/>
        <v>144717.29999999999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 t="shared" si="0"/>
        <v>153.84615384615384</v>
      </c>
      <c r="M8" s="178">
        <v>13</v>
      </c>
      <c r="N8" s="14">
        <f t="shared" si="1"/>
        <v>1879.7872340425454</v>
      </c>
      <c r="O8" s="17">
        <f t="shared" si="2"/>
        <v>144.59901800327273</v>
      </c>
      <c r="P8" s="18">
        <f t="shared" si="3"/>
        <v>0</v>
      </c>
      <c r="Q8" s="19">
        <f t="shared" si="4"/>
        <v>-9.2471358428811072</v>
      </c>
      <c r="R8" s="183">
        <f t="shared" si="5"/>
        <v>0.93989361702127283</v>
      </c>
      <c r="S8" s="420"/>
      <c r="T8" s="95">
        <v>0.41388888888888897</v>
      </c>
      <c r="U8" s="95">
        <v>0.47916666666666702</v>
      </c>
      <c r="V8" s="175">
        <f t="shared" ref="V8:V10" si="10">(T8-U7)*24*60</f>
        <v>8.0000000000006111</v>
      </c>
      <c r="W8" s="180">
        <f t="shared" si="6"/>
        <v>94.000000000000384</v>
      </c>
      <c r="X8" s="22">
        <v>0.48611111111111099</v>
      </c>
      <c r="Y8" s="260">
        <v>0.52777777777777801</v>
      </c>
      <c r="Z8" s="416"/>
      <c r="AA8" s="416"/>
      <c r="AB8" s="18">
        <f t="shared" si="7"/>
        <v>-120.21276595745462</v>
      </c>
      <c r="AC8" s="183">
        <f t="shared" si="8"/>
        <v>0.93989361702127272</v>
      </c>
      <c r="AD8" s="412"/>
    </row>
    <row r="9" spans="1:30" ht="15" customHeight="1">
      <c r="A9" s="409"/>
      <c r="B9" s="56" t="s">
        <v>45</v>
      </c>
      <c r="C9" s="10"/>
      <c r="D9" s="11" t="s">
        <v>34</v>
      </c>
      <c r="E9" s="86"/>
      <c r="F9" s="56">
        <f>VLOOKUP(D9,廠價表!$C$1:$E$40,3,0)</f>
        <v>49.14</v>
      </c>
      <c r="G9" s="25">
        <v>2486</v>
      </c>
      <c r="H9" s="15">
        <f t="shared" si="9"/>
        <v>122162.04000000001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 t="shared" si="0"/>
        <v>153.84615384615384</v>
      </c>
      <c r="M9" s="178">
        <v>13</v>
      </c>
      <c r="N9" s="14">
        <f t="shared" si="1"/>
        <v>1714.4827586207084</v>
      </c>
      <c r="O9" s="17">
        <f t="shared" si="2"/>
        <v>131.88328912466989</v>
      </c>
      <c r="P9" s="18">
        <f t="shared" si="3"/>
        <v>0</v>
      </c>
      <c r="Q9" s="19">
        <f t="shared" si="4"/>
        <v>-21.962864721483953</v>
      </c>
      <c r="R9" s="183">
        <f t="shared" si="5"/>
        <v>0.85724137931035427</v>
      </c>
      <c r="S9" s="421"/>
      <c r="T9" s="95">
        <v>0.54027777777777797</v>
      </c>
      <c r="U9" s="95">
        <v>0.60069444444444398</v>
      </c>
      <c r="V9" s="175">
        <f t="shared" si="10"/>
        <v>87.999999999999773</v>
      </c>
      <c r="W9" s="180">
        <f t="shared" si="6"/>
        <v>86.999999999999048</v>
      </c>
      <c r="X9" s="22"/>
      <c r="Y9" s="260"/>
      <c r="Z9" s="475"/>
      <c r="AA9" s="476"/>
      <c r="AB9" s="18">
        <f t="shared" si="7"/>
        <v>-285.51724137929159</v>
      </c>
      <c r="AC9" s="183">
        <f t="shared" si="8"/>
        <v>0.85724137931035416</v>
      </c>
      <c r="AD9" s="413"/>
    </row>
    <row r="10" spans="1:30" ht="15" customHeight="1">
      <c r="A10" s="409"/>
      <c r="B10" s="56" t="s">
        <v>45</v>
      </c>
      <c r="C10" s="23"/>
      <c r="D10" s="11" t="s">
        <v>49</v>
      </c>
      <c r="E10" s="12"/>
      <c r="F10" s="56">
        <f>VLOOKUP(D10,廠價表!$C$1:$E$40,3,0)</f>
        <v>47.71</v>
      </c>
      <c r="G10" s="25">
        <v>1348</v>
      </c>
      <c r="H10" s="15">
        <f t="shared" si="9"/>
        <v>64313.08</v>
      </c>
      <c r="I10" s="180"/>
      <c r="J10" s="16">
        <f>VLOOKUP(D10,產線配置圖!$A$3:$C$39,2,0)</f>
        <v>15</v>
      </c>
      <c r="K10" s="14">
        <f>VLOOKUP(D10,產線配置圖!$A$3:$C$39,3,0)</f>
        <v>1500</v>
      </c>
      <c r="L10" s="17">
        <f t="shared" si="0"/>
        <v>100</v>
      </c>
      <c r="M10" s="178">
        <v>15</v>
      </c>
      <c r="N10" s="14">
        <f t="shared" si="1"/>
        <v>1347.9999999999905</v>
      </c>
      <c r="O10" s="17">
        <f t="shared" si="2"/>
        <v>89.866666666666035</v>
      </c>
      <c r="P10" s="18">
        <f t="shared" si="3"/>
        <v>0</v>
      </c>
      <c r="Q10" s="19">
        <f t="shared" si="4"/>
        <v>-10.133333333333965</v>
      </c>
      <c r="R10" s="183">
        <f t="shared" si="5"/>
        <v>0.8986666666666604</v>
      </c>
      <c r="S10" s="421"/>
      <c r="T10" s="22">
        <v>0.61111111111111105</v>
      </c>
      <c r="U10" s="22">
        <v>0.65277777777777801</v>
      </c>
      <c r="V10" s="175">
        <f t="shared" si="10"/>
        <v>15.000000000000586</v>
      </c>
      <c r="W10" s="180">
        <f t="shared" si="6"/>
        <v>60.000000000000426</v>
      </c>
      <c r="X10" s="22"/>
      <c r="Y10" s="260"/>
      <c r="Z10" s="417"/>
      <c r="AA10" s="418"/>
      <c r="AB10" s="18">
        <f t="shared" si="7"/>
        <v>-152.00000000000955</v>
      </c>
      <c r="AC10" s="183">
        <f t="shared" si="8"/>
        <v>0.89866666666666029</v>
      </c>
      <c r="AD10" s="413"/>
    </row>
    <row r="11" spans="1:30" ht="15" customHeight="1">
      <c r="A11" s="409"/>
      <c r="B11" s="56"/>
      <c r="C11" s="249"/>
      <c r="D11" s="11"/>
      <c r="E11" s="251"/>
      <c r="F11" s="56"/>
      <c r="G11" s="53"/>
      <c r="H11" s="50"/>
      <c r="I11" s="42"/>
      <c r="J11" s="16"/>
      <c r="K11" s="14"/>
      <c r="L11" s="233"/>
      <c r="M11" s="21">
        <v>3</v>
      </c>
      <c r="N11" s="36"/>
      <c r="O11" s="38"/>
      <c r="P11" s="39"/>
      <c r="Q11" s="40"/>
      <c r="R11" s="188"/>
      <c r="S11" s="421"/>
      <c r="T11" s="22"/>
      <c r="U11" s="22"/>
      <c r="V11" s="175"/>
      <c r="W11" s="24">
        <f t="shared" si="6"/>
        <v>0</v>
      </c>
      <c r="X11" s="22"/>
      <c r="Y11" s="260"/>
      <c r="Z11" s="475"/>
      <c r="AA11" s="476"/>
      <c r="AB11" s="18">
        <f t="shared" si="7"/>
        <v>0</v>
      </c>
      <c r="AC11" s="183" t="e">
        <f t="shared" si="8"/>
        <v>#DIV/0!</v>
      </c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/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6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6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6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11">AVERAGE(J5:J14)</f>
        <v>14.333333333333334</v>
      </c>
      <c r="K15" s="117">
        <f t="shared" si="11"/>
        <v>1883.3333333333333</v>
      </c>
      <c r="L15" s="114">
        <f t="shared" si="11"/>
        <v>133.51432880844644</v>
      </c>
      <c r="M15" s="117">
        <f t="shared" si="11"/>
        <v>12.571428571428571</v>
      </c>
      <c r="N15" s="117">
        <f t="shared" si="11"/>
        <v>1620.6095204862593</v>
      </c>
      <c r="O15" s="114">
        <f t="shared" si="11"/>
        <v>116.14503216790273</v>
      </c>
      <c r="P15" s="118">
        <f t="shared" ref="P15:P18" si="12">M15-J15</f>
        <v>-1.7619047619047628</v>
      </c>
      <c r="Q15" s="119">
        <f t="shared" ref="Q15:Q18" si="13">O15-L15</f>
        <v>-17.369296640543709</v>
      </c>
      <c r="R15" s="120">
        <f t="shared" ref="R15:R18" si="14">O15/L15</f>
        <v>0.86990687220198282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5">N15-K15</f>
        <v>-262.72381284707399</v>
      </c>
      <c r="AC15" s="185">
        <f t="shared" ref="AC15:AC19" si="16">N15/K15</f>
        <v>0.86050063034668633</v>
      </c>
      <c r="AD15" s="414"/>
    </row>
    <row r="16" spans="1:30" ht="15" customHeight="1">
      <c r="A16" s="439" t="s">
        <v>39</v>
      </c>
      <c r="B16" s="197" t="s">
        <v>45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1256</v>
      </c>
      <c r="H16" s="124">
        <f t="shared" ref="H16:H25" si="17">F16*G16</f>
        <v>71855.759999999995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8" si="18">K16/J16</f>
        <v>161.92307692307693</v>
      </c>
      <c r="M16" s="264">
        <v>13</v>
      </c>
      <c r="N16" s="126">
        <f t="shared" ref="N16:N18" si="19">G16/W16*60</f>
        <v>1752.5581395348931</v>
      </c>
      <c r="O16" s="127">
        <f>N16/M16</f>
        <v>134.81216457960716</v>
      </c>
      <c r="P16" s="128">
        <f>M16-J16</f>
        <v>0</v>
      </c>
      <c r="Q16" s="129">
        <f t="shared" si="13"/>
        <v>-27.110912343469778</v>
      </c>
      <c r="R16" s="187">
        <f>O16/L16</f>
        <v>0.83256918742750252</v>
      </c>
      <c r="S16" s="431">
        <f>R26</f>
        <v>0.89040437259848049</v>
      </c>
      <c r="T16" s="345">
        <v>0.29027777777777802</v>
      </c>
      <c r="U16" s="345">
        <v>0.32013888888888897</v>
      </c>
      <c r="V16" s="125"/>
      <c r="W16" s="130">
        <f t="shared" ref="W16:W78" si="20">(U16-T16)*24*60</f>
        <v>42.999999999999766</v>
      </c>
      <c r="X16" s="127"/>
      <c r="Y16" s="127"/>
      <c r="Z16" s="425"/>
      <c r="AA16" s="425"/>
      <c r="AB16" s="110">
        <f t="shared" si="15"/>
        <v>-352.44186046510686</v>
      </c>
      <c r="AC16" s="182">
        <f t="shared" si="16"/>
        <v>0.83256918742750263</v>
      </c>
      <c r="AD16" s="411">
        <f>AC26</f>
        <v>0.89060385238542861</v>
      </c>
    </row>
    <row r="17" spans="1:30" ht="15" customHeight="1">
      <c r="A17" s="440"/>
      <c r="B17" s="56" t="s">
        <v>45</v>
      </c>
      <c r="C17" s="10"/>
      <c r="D17" s="11" t="s">
        <v>40</v>
      </c>
      <c r="E17" s="86"/>
      <c r="F17" s="56">
        <f>VLOOKUP(D17,廠價表!$C$1:$E$40,3,0)</f>
        <v>50.67</v>
      </c>
      <c r="G17" s="96">
        <v>3020</v>
      </c>
      <c r="H17" s="15">
        <f t="shared" si="17"/>
        <v>153023.4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8"/>
        <v>153.84615384615384</v>
      </c>
      <c r="M17" s="37">
        <v>13</v>
      </c>
      <c r="N17" s="36">
        <f>G17/W17*60</f>
        <v>1969.5652173913011</v>
      </c>
      <c r="O17" s="38">
        <f t="shared" ref="O17:O18" si="21">N17/M17</f>
        <v>151.50501672240779</v>
      </c>
      <c r="P17" s="39">
        <f t="shared" si="12"/>
        <v>0</v>
      </c>
      <c r="Q17" s="40">
        <f t="shared" si="13"/>
        <v>-2.3411371237460514</v>
      </c>
      <c r="R17" s="188">
        <f t="shared" si="14"/>
        <v>0.98478260869565071</v>
      </c>
      <c r="S17" s="432"/>
      <c r="T17" s="44">
        <v>0.328472222222222</v>
      </c>
      <c r="U17" s="44">
        <v>0.39236111111111099</v>
      </c>
      <c r="V17" s="175">
        <f>(T17-U16)*24*60</f>
        <v>11.999999999999558</v>
      </c>
      <c r="W17" s="43">
        <f t="shared" si="20"/>
        <v>92.000000000000156</v>
      </c>
      <c r="X17" s="44"/>
      <c r="Y17" s="44"/>
      <c r="Z17" s="405"/>
      <c r="AA17" s="405"/>
      <c r="AB17" s="18">
        <f t="shared" si="15"/>
        <v>-30.434782608698924</v>
      </c>
      <c r="AC17" s="183">
        <f t="shared" si="16"/>
        <v>0.98478260869565049</v>
      </c>
      <c r="AD17" s="412"/>
    </row>
    <row r="18" spans="1:30" ht="15" customHeight="1">
      <c r="A18" s="440"/>
      <c r="B18" s="56" t="s">
        <v>45</v>
      </c>
      <c r="C18" s="10"/>
      <c r="D18" s="11" t="s">
        <v>41</v>
      </c>
      <c r="E18" s="86"/>
      <c r="F18" s="56">
        <f>VLOOKUP(D18,廠價表!$C$1:$E$40,3,0)</f>
        <v>50.39</v>
      </c>
      <c r="G18" s="96">
        <v>3051</v>
      </c>
      <c r="H18" s="15">
        <f t="shared" si="17"/>
        <v>153739.89000000001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8"/>
        <v>166.66666666666666</v>
      </c>
      <c r="M18" s="37">
        <v>12</v>
      </c>
      <c r="N18" s="36">
        <f t="shared" si="19"/>
        <v>1743.4285714285629</v>
      </c>
      <c r="O18" s="38">
        <f t="shared" si="21"/>
        <v>145.28571428571357</v>
      </c>
      <c r="P18" s="39">
        <f t="shared" si="12"/>
        <v>0</v>
      </c>
      <c r="Q18" s="40">
        <f t="shared" si="13"/>
        <v>-21.38095238095309</v>
      </c>
      <c r="R18" s="188">
        <f t="shared" si="14"/>
        <v>0.87171428571428144</v>
      </c>
      <c r="S18" s="432"/>
      <c r="T18" s="44">
        <v>0.40625</v>
      </c>
      <c r="U18" s="44">
        <v>0.47916666666666702</v>
      </c>
      <c r="V18" s="175">
        <f>(T18-U17)*24*60</f>
        <v>20.000000000000171</v>
      </c>
      <c r="W18" s="43">
        <f t="shared" si="20"/>
        <v>105.00000000000051</v>
      </c>
      <c r="X18" s="22">
        <v>0.48611111111111099</v>
      </c>
      <c r="Y18" s="260">
        <v>0.52777777777777801</v>
      </c>
      <c r="Z18" s="405"/>
      <c r="AA18" s="405"/>
      <c r="AB18" s="18">
        <f t="shared" si="15"/>
        <v>-256.57142857143708</v>
      </c>
      <c r="AC18" s="183">
        <f t="shared" si="16"/>
        <v>0.87171428571428144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2093</v>
      </c>
      <c r="H19" s="15">
        <f t="shared" si="17"/>
        <v>105466.27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>K19/J19</f>
        <v>166.66666666666666</v>
      </c>
      <c r="M19" s="37">
        <v>12</v>
      </c>
      <c r="N19" s="36">
        <f>G19/W19*60</f>
        <v>1794.0000000000023</v>
      </c>
      <c r="O19" s="38">
        <f>N19/M19</f>
        <v>149.5000000000002</v>
      </c>
      <c r="P19" s="39">
        <f>M19-J19</f>
        <v>0</v>
      </c>
      <c r="Q19" s="40">
        <f>O19-L19</f>
        <v>-17.166666666666458</v>
      </c>
      <c r="R19" s="188">
        <f>O19/L19</f>
        <v>0.89700000000000124</v>
      </c>
      <c r="S19" s="432"/>
      <c r="T19" s="44">
        <v>0.54166666666666696</v>
      </c>
      <c r="U19" s="44">
        <v>0.59027777777777801</v>
      </c>
      <c r="V19" s="175">
        <f>(T19-U18)*24*60</f>
        <v>89.999999999999915</v>
      </c>
      <c r="W19" s="43">
        <f t="shared" si="20"/>
        <v>69.999999999999915</v>
      </c>
      <c r="X19" s="22"/>
      <c r="Y19" s="260"/>
      <c r="Z19" s="475"/>
      <c r="AA19" s="476"/>
      <c r="AB19" s="18">
        <f t="shared" si="15"/>
        <v>-205.99999999999773</v>
      </c>
      <c r="AC19" s="183">
        <f t="shared" si="16"/>
        <v>0.89700000000000113</v>
      </c>
      <c r="AD19" s="413"/>
    </row>
    <row r="20" spans="1:30" ht="15" customHeight="1">
      <c r="A20" s="440"/>
      <c r="B20" s="56" t="s">
        <v>45</v>
      </c>
      <c r="C20" s="10"/>
      <c r="D20" s="11" t="s">
        <v>40</v>
      </c>
      <c r="E20" s="86"/>
      <c r="F20" s="56">
        <f>VLOOKUP(D20,廠價表!$C$1:$E$40,3,0)</f>
        <v>50.67</v>
      </c>
      <c r="G20" s="96">
        <v>1044</v>
      </c>
      <c r="H20" s="15">
        <f t="shared" si="17"/>
        <v>52899.48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>K20/J20</f>
        <v>153.84615384615384</v>
      </c>
      <c r="M20" s="37">
        <v>13</v>
      </c>
      <c r="N20" s="36">
        <f>G20/W20*60</f>
        <v>1739.9999999999986</v>
      </c>
      <c r="O20" s="38">
        <f>N20/M20</f>
        <v>133.84615384615375</v>
      </c>
      <c r="P20" s="39">
        <f>M20-J20</f>
        <v>0</v>
      </c>
      <c r="Q20" s="40">
        <f>O20-L20</f>
        <v>-20.000000000000085</v>
      </c>
      <c r="R20" s="188">
        <f>O20/L20</f>
        <v>0.86999999999999944</v>
      </c>
      <c r="S20" s="432"/>
      <c r="T20" s="44">
        <v>0.59861111111111098</v>
      </c>
      <c r="U20" s="44">
        <v>0.62361111111111101</v>
      </c>
      <c r="V20" s="175">
        <f>(T20-U19)*24*60</f>
        <v>11.999999999999478</v>
      </c>
      <c r="W20" s="43">
        <f t="shared" si="20"/>
        <v>36.000000000000028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20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7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20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7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20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7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20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2">AVERAGE(J16:J25)</f>
        <v>12.6</v>
      </c>
      <c r="K26" s="133">
        <f t="shared" si="22"/>
        <v>2021</v>
      </c>
      <c r="L26" s="136">
        <f t="shared" si="22"/>
        <v>160.58974358974359</v>
      </c>
      <c r="M26" s="133">
        <f t="shared" si="22"/>
        <v>12.6</v>
      </c>
      <c r="N26" s="133">
        <f t="shared" si="22"/>
        <v>1799.9103856709512</v>
      </c>
      <c r="O26" s="136">
        <f t="shared" si="22"/>
        <v>142.9898098867765</v>
      </c>
      <c r="P26" s="137">
        <f t="shared" ref="P26:P27" si="23">M26-J26</f>
        <v>0</v>
      </c>
      <c r="Q26" s="138">
        <f t="shared" ref="Q26:Q27" si="24">O26-L26</f>
        <v>-17.599933702967093</v>
      </c>
      <c r="R26" s="139">
        <f>O26/L26</f>
        <v>0.89040437259848049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 t="shared" ref="AB26:AB31" si="25">N26-K26</f>
        <v>-221.0896143290488</v>
      </c>
      <c r="AC26" s="185">
        <f t="shared" ref="AC26:AC31" si="26">N26/K26</f>
        <v>0.89060385238542861</v>
      </c>
      <c r="AD26" s="414"/>
    </row>
    <row r="27" spans="1:30" ht="15" customHeight="1">
      <c r="A27" s="428" t="s">
        <v>44</v>
      </c>
      <c r="B27" s="227" t="s">
        <v>45</v>
      </c>
      <c r="C27" s="101"/>
      <c r="D27" s="330" t="s">
        <v>49</v>
      </c>
      <c r="E27" s="103"/>
      <c r="F27" s="197">
        <f>VLOOKUP(D27,廠價表!$C$1:$E$40,3,0)</f>
        <v>47.71</v>
      </c>
      <c r="G27" s="266">
        <v>2206</v>
      </c>
      <c r="H27" s="124">
        <f t="shared" ref="H27:H47" si="27">F27*G27</f>
        <v>105248.26</v>
      </c>
      <c r="I27" s="125"/>
      <c r="J27" s="16">
        <f>VLOOKUP(D27,產線配置圖!$A$3:$C$39,2,0)</f>
        <v>15</v>
      </c>
      <c r="K27" s="14">
        <f>VLOOKUP(D27,產線配置圖!$A$3:$C$39,3,0)</f>
        <v>1500</v>
      </c>
      <c r="L27" s="108">
        <f>K27/J27</f>
        <v>100</v>
      </c>
      <c r="M27" s="143">
        <v>15</v>
      </c>
      <c r="N27" s="126">
        <f>G27/W27*60</f>
        <v>1323.600000000009</v>
      </c>
      <c r="O27" s="127">
        <f>N27/M27</f>
        <v>88.240000000000606</v>
      </c>
      <c r="P27" s="128">
        <f t="shared" si="23"/>
        <v>0</v>
      </c>
      <c r="Q27" s="129">
        <f t="shared" si="24"/>
        <v>-11.759999999999394</v>
      </c>
      <c r="R27" s="187">
        <f>O27/L27</f>
        <v>0.88240000000000607</v>
      </c>
      <c r="S27" s="431">
        <f>R37</f>
        <v>0.95185297103126076</v>
      </c>
      <c r="T27" s="94">
        <v>0.29166666666666702</v>
      </c>
      <c r="U27" s="94">
        <v>0.36111111111111099</v>
      </c>
      <c r="V27" s="125"/>
      <c r="W27" s="130">
        <f t="shared" si="20"/>
        <v>99.999999999999318</v>
      </c>
      <c r="X27" s="125"/>
      <c r="Y27" s="125" t="s">
        <v>47</v>
      </c>
      <c r="Z27" s="434"/>
      <c r="AA27" s="425"/>
      <c r="AB27" s="223">
        <f t="shared" si="25"/>
        <v>-176.399999999991</v>
      </c>
      <c r="AC27" s="288">
        <f t="shared" si="26"/>
        <v>0.88240000000000596</v>
      </c>
      <c r="AD27" s="411">
        <f>AC37</f>
        <v>0.9270056726712852</v>
      </c>
    </row>
    <row r="28" spans="1:30" ht="15" customHeight="1">
      <c r="A28" s="429"/>
      <c r="B28" s="56" t="s">
        <v>45</v>
      </c>
      <c r="C28" s="235"/>
      <c r="D28" s="11" t="s">
        <v>48</v>
      </c>
      <c r="E28" s="29"/>
      <c r="F28" s="56">
        <f>VLOOKUP(D28,廠價表!$C$1:$E$40,3,0)</f>
        <v>55.13</v>
      </c>
      <c r="G28" s="53">
        <v>1815</v>
      </c>
      <c r="H28" s="50">
        <f t="shared" ref="H28:H30" si="28">F28*G28</f>
        <v>100060.95000000001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16</v>
      </c>
      <c r="N28" s="36">
        <f>G28/W28*60</f>
        <v>1223.5955056179698</v>
      </c>
      <c r="O28" s="38">
        <f>N28/M28</f>
        <v>76.474719101123114</v>
      </c>
      <c r="P28" s="39">
        <f t="shared" ref="P28:P30" si="29">M28-J28</f>
        <v>-2</v>
      </c>
      <c r="Q28" s="40">
        <f t="shared" ref="Q28:Q30" si="30">O28-L28</f>
        <v>-0.46972534332132909</v>
      </c>
      <c r="R28" s="188">
        <f t="shared" ref="R28:R30" si="31">O28/L28</f>
        <v>0.99389526629618485</v>
      </c>
      <c r="S28" s="432"/>
      <c r="T28" s="44">
        <v>0.36736111111111103</v>
      </c>
      <c r="U28" s="44">
        <v>0.42916666666666697</v>
      </c>
      <c r="V28" s="42">
        <f>(T28-U27)*24*60</f>
        <v>9.000000000000048</v>
      </c>
      <c r="W28" s="43">
        <f t="shared" si="20"/>
        <v>89.000000000000568</v>
      </c>
      <c r="X28" s="54"/>
      <c r="Y28" s="54"/>
      <c r="Z28" s="418"/>
      <c r="AA28" s="417"/>
      <c r="AB28" s="39">
        <f t="shared" si="25"/>
        <v>-161.40449438203018</v>
      </c>
      <c r="AC28" s="188">
        <f t="shared" si="26"/>
        <v>0.88346245892994213</v>
      </c>
      <c r="AD28" s="444"/>
    </row>
    <row r="29" spans="1:30" ht="15" customHeight="1">
      <c r="A29" s="429"/>
      <c r="B29" s="56" t="s">
        <v>45</v>
      </c>
      <c r="C29" s="235"/>
      <c r="D29" s="11" t="s">
        <v>142</v>
      </c>
      <c r="E29" s="29"/>
      <c r="F29" s="56">
        <f>VLOOKUP(D29,廠價表!$C$1:$E$40,3,0)</f>
        <v>57.3</v>
      </c>
      <c r="G29" s="53">
        <v>1327</v>
      </c>
      <c r="H29" s="50">
        <f t="shared" si="28"/>
        <v>76037.099999999991</v>
      </c>
      <c r="I29" s="42"/>
      <c r="J29" s="16">
        <f>VLOOKUP(D29,產線配置圖!$A$3:$C$39,2,0)</f>
        <v>15</v>
      </c>
      <c r="K29" s="14">
        <f>VLOOKUP(D29,產線配置圖!$A$3:$C$39,3,0)</f>
        <v>1440</v>
      </c>
      <c r="L29" s="233">
        <f>K29/J29</f>
        <v>96</v>
      </c>
      <c r="M29" s="21">
        <v>15</v>
      </c>
      <c r="N29" s="36">
        <f>G29/W29*60</f>
        <v>1372.7586206896467</v>
      </c>
      <c r="O29" s="38">
        <f>N29/M29</f>
        <v>91.51724137930978</v>
      </c>
      <c r="P29" s="39">
        <f t="shared" si="29"/>
        <v>0</v>
      </c>
      <c r="Q29" s="40">
        <f t="shared" si="30"/>
        <v>-4.4827586206902197</v>
      </c>
      <c r="R29" s="188">
        <f t="shared" si="31"/>
        <v>0.95330459770114351</v>
      </c>
      <c r="S29" s="432"/>
      <c r="T29" s="44">
        <v>0.4375</v>
      </c>
      <c r="U29" s="44">
        <v>0.47777777777777802</v>
      </c>
      <c r="V29" s="42">
        <f>(T29-U28)*24*60</f>
        <v>11.999999999999558</v>
      </c>
      <c r="W29" s="43">
        <f t="shared" si="20"/>
        <v>58.000000000000355</v>
      </c>
      <c r="X29" s="22"/>
      <c r="Y29" s="22"/>
      <c r="Z29" s="418"/>
      <c r="AA29" s="417"/>
      <c r="AB29" s="289">
        <f t="shared" si="25"/>
        <v>-67.241379310353295</v>
      </c>
      <c r="AC29" s="188">
        <f t="shared" si="26"/>
        <v>0.95330459770114351</v>
      </c>
      <c r="AD29" s="444"/>
    </row>
    <row r="30" spans="1:30" ht="15" customHeight="1">
      <c r="A30" s="429"/>
      <c r="B30" s="56" t="s">
        <v>45</v>
      </c>
      <c r="C30" s="249"/>
      <c r="D30" s="11" t="s">
        <v>142</v>
      </c>
      <c r="E30" s="251"/>
      <c r="F30" s="56">
        <f>VLOOKUP(D30,廠價表!$C$1:$E$40,3,0)</f>
        <v>57.3</v>
      </c>
      <c r="G30" s="53">
        <v>3252</v>
      </c>
      <c r="H30" s="50">
        <f t="shared" si="28"/>
        <v>186339.59999999998</v>
      </c>
      <c r="I30" s="42"/>
      <c r="J30" s="16">
        <f>VLOOKUP(D30,產線配置圖!$A$3:$C$39,2,0)</f>
        <v>15</v>
      </c>
      <c r="K30" s="14">
        <f>VLOOKUP(D30,產線配置圖!$A$3:$C$39,3,0)</f>
        <v>1440</v>
      </c>
      <c r="L30" s="233">
        <f>K30/J30</f>
        <v>96</v>
      </c>
      <c r="M30" s="21">
        <v>15</v>
      </c>
      <c r="N30" s="36">
        <f>G30/W30*60</f>
        <v>1424.2335766423341</v>
      </c>
      <c r="O30" s="38">
        <f>N30/M30</f>
        <v>94.948905109488948</v>
      </c>
      <c r="P30" s="39">
        <f t="shared" si="29"/>
        <v>0</v>
      </c>
      <c r="Q30" s="40">
        <f t="shared" si="30"/>
        <v>-1.0510948905110524</v>
      </c>
      <c r="R30" s="188">
        <f t="shared" si="31"/>
        <v>0.98905109489050991</v>
      </c>
      <c r="S30" s="432"/>
      <c r="T30" s="44">
        <v>0.53819444444444398</v>
      </c>
      <c r="U30" s="44">
        <v>0.63333333333333297</v>
      </c>
      <c r="V30" s="42">
        <f>(T30-U29)*24*60</f>
        <v>86.999999999998977</v>
      </c>
      <c r="W30" s="43">
        <f t="shared" si="20"/>
        <v>137.00000000000014</v>
      </c>
      <c r="X30" s="54">
        <v>0.49652777777777801</v>
      </c>
      <c r="Y30" s="54">
        <v>0.53819444444444398</v>
      </c>
      <c r="Z30" s="418"/>
      <c r="AA30" s="417"/>
      <c r="AB30" s="289">
        <f t="shared" si="25"/>
        <v>-15.766423357665872</v>
      </c>
      <c r="AC30" s="188">
        <f t="shared" si="26"/>
        <v>0.9890510948905098</v>
      </c>
      <c r="AD30" s="445"/>
    </row>
    <row r="31" spans="1:30" ht="15" customHeight="1">
      <c r="A31" s="429"/>
      <c r="B31" s="56"/>
      <c r="C31" s="249"/>
      <c r="D31" s="11"/>
      <c r="E31" s="251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4"/>
      <c r="U31" s="44"/>
      <c r="V31" s="42"/>
      <c r="W31" s="43">
        <f t="shared" si="20"/>
        <v>0</v>
      </c>
      <c r="X31" s="54"/>
      <c r="Y31" s="54"/>
      <c r="Z31" s="426"/>
      <c r="AA31" s="446"/>
      <c r="AB31" s="289">
        <f t="shared" si="25"/>
        <v>0</v>
      </c>
      <c r="AC31" s="188" t="e">
        <f t="shared" si="26"/>
        <v>#DIV/0!</v>
      </c>
      <c r="AD31" s="413"/>
    </row>
    <row r="32" spans="1:30" ht="15" customHeight="1">
      <c r="A32" s="429"/>
      <c r="B32" s="56"/>
      <c r="C32" s="27"/>
      <c r="D32" s="239"/>
      <c r="E32" s="275"/>
      <c r="F32" s="56"/>
      <c r="G32" s="53"/>
      <c r="H32" s="50"/>
      <c r="I32" s="42"/>
      <c r="J32" s="16"/>
      <c r="K32" s="14"/>
      <c r="L32" s="23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20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56"/>
      <c r="C33" s="238"/>
      <c r="D33" s="11"/>
      <c r="E33" s="240"/>
      <c r="F33" s="56"/>
      <c r="G33" s="53"/>
      <c r="H33" s="50"/>
      <c r="I33" s="42"/>
      <c r="J33" s="16"/>
      <c r="K33" s="14"/>
      <c r="L33" s="233"/>
      <c r="M33" s="21"/>
      <c r="N33" s="36"/>
      <c r="O33" s="38"/>
      <c r="P33" s="39"/>
      <c r="Q33" s="40"/>
      <c r="R33" s="188"/>
      <c r="S33" s="432"/>
      <c r="T33" s="41"/>
      <c r="U33" s="41"/>
      <c r="V33" s="42"/>
      <c r="W33" s="43">
        <f t="shared" si="20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56"/>
      <c r="C34" s="235"/>
      <c r="D34" s="11"/>
      <c r="E34" s="29"/>
      <c r="F34" s="56"/>
      <c r="G34" s="53"/>
      <c r="H34" s="50"/>
      <c r="I34" s="42"/>
      <c r="J34" s="16"/>
      <c r="K34" s="14"/>
      <c r="L34" s="233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20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56"/>
      <c r="C35" s="235"/>
      <c r="D35" s="11"/>
      <c r="E35" s="29"/>
      <c r="F35" s="56"/>
      <c r="G35" s="53"/>
      <c r="H35" s="50"/>
      <c r="I35" s="42"/>
      <c r="J35" s="16"/>
      <c r="K35" s="14"/>
      <c r="L35" s="233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20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7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20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32">AVERAGE(J27:J36)</f>
        <v>15.75</v>
      </c>
      <c r="K37" s="282">
        <f t="shared" si="32"/>
        <v>1441.25</v>
      </c>
      <c r="L37" s="283">
        <f t="shared" si="32"/>
        <v>92.236111111111114</v>
      </c>
      <c r="M37" s="282">
        <f t="shared" si="32"/>
        <v>15.25</v>
      </c>
      <c r="N37" s="282">
        <f t="shared" si="32"/>
        <v>1336.0469257374898</v>
      </c>
      <c r="O37" s="283">
        <f t="shared" si="32"/>
        <v>87.795216397480601</v>
      </c>
      <c r="P37" s="73">
        <f>M37-J37</f>
        <v>-0.5</v>
      </c>
      <c r="Q37" s="74">
        <f>N37-K37</f>
        <v>-105.2030742625102</v>
      </c>
      <c r="R37" s="284">
        <f t="shared" ref="R37:R41" si="33">O37/L37</f>
        <v>0.95185297103126076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34">N37-K37</f>
        <v>-105.2030742625102</v>
      </c>
      <c r="AC37" s="184">
        <f t="shared" ref="AC37:AC41" si="35">N37/K37</f>
        <v>0.9270056726712852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1840</v>
      </c>
      <c r="H38" s="124">
        <f t="shared" si="27"/>
        <v>105432</v>
      </c>
      <c r="I38" s="125"/>
      <c r="J38" s="331">
        <f>VLOOKUP(D38,產線配置圖!$A$3:$C$39,2,0)</f>
        <v>15</v>
      </c>
      <c r="K38" s="234">
        <f>VLOOKUP(D38,產線配置圖!$A$3:$C$39,3,0)</f>
        <v>1385</v>
      </c>
      <c r="L38" s="285">
        <f t="shared" ref="L38:L41" si="36">K38/J38</f>
        <v>92.333333333333329</v>
      </c>
      <c r="M38" s="286">
        <v>15</v>
      </c>
      <c r="N38" s="126">
        <f>G38/W38*60</f>
        <v>1314.2857142857229</v>
      </c>
      <c r="O38" s="127">
        <f>N38/M38</f>
        <v>87.619047619048189</v>
      </c>
      <c r="P38" s="128">
        <f t="shared" ref="P38:P41" si="37">M38-J38</f>
        <v>0</v>
      </c>
      <c r="Q38" s="129">
        <f t="shared" ref="Q38:Q41" si="38">O38-L38</f>
        <v>-4.7142857142851398</v>
      </c>
      <c r="R38" s="187">
        <f>O38/L38</f>
        <v>0.94894275399691186</v>
      </c>
      <c r="S38" s="460">
        <f>R48</f>
        <v>0.87359447659931033</v>
      </c>
      <c r="T38" s="348">
        <v>0.29166666666666702</v>
      </c>
      <c r="U38" s="348">
        <v>0.35</v>
      </c>
      <c r="V38" s="146"/>
      <c r="W38" s="150">
        <f t="shared" si="20"/>
        <v>83.99999999999946</v>
      </c>
      <c r="X38" s="148"/>
      <c r="Y38" s="151"/>
      <c r="Z38" s="484"/>
      <c r="AA38" s="485"/>
      <c r="AB38" s="287">
        <f t="shared" si="34"/>
        <v>-70.714285714277139</v>
      </c>
      <c r="AC38" s="152">
        <f t="shared" si="35"/>
        <v>0.94894275399691186</v>
      </c>
      <c r="AD38" s="447">
        <f>AC48</f>
        <v>0.81688652207304546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1667</v>
      </c>
      <c r="H39" s="50">
        <f t="shared" si="27"/>
        <v>94068.81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6"/>
        <v>93.733333333333334</v>
      </c>
      <c r="M39" s="65">
        <v>16</v>
      </c>
      <c r="N39" s="66">
        <f>G39/W39*60</f>
        <v>1163.023255813938</v>
      </c>
      <c r="O39" s="67">
        <f t="shared" ref="O39:O41" si="39">N39/M39</f>
        <v>72.688953488371126</v>
      </c>
      <c r="P39" s="39">
        <f t="shared" si="37"/>
        <v>1</v>
      </c>
      <c r="Q39" s="40">
        <f t="shared" si="38"/>
        <v>-21.044379844962208</v>
      </c>
      <c r="R39" s="188">
        <f t="shared" si="33"/>
        <v>0.77548670151178301</v>
      </c>
      <c r="S39" s="461"/>
      <c r="T39" s="349">
        <v>0.35694444444444401</v>
      </c>
      <c r="U39" s="349">
        <v>0.41666666666666702</v>
      </c>
      <c r="V39" s="42">
        <f>(T39-U38)*24*60</f>
        <v>9.9999999999994049</v>
      </c>
      <c r="W39" s="69">
        <f t="shared" si="20"/>
        <v>86.000000000001137</v>
      </c>
      <c r="X39" s="22"/>
      <c r="Y39" s="22"/>
      <c r="Z39" s="450" t="s">
        <v>150</v>
      </c>
      <c r="AA39" s="451"/>
      <c r="AB39" s="268">
        <f t="shared" si="34"/>
        <v>-242.97674418606198</v>
      </c>
      <c r="AC39" s="61">
        <f t="shared" si="35"/>
        <v>0.82718581494590182</v>
      </c>
      <c r="AD39" s="448"/>
    </row>
    <row r="40" spans="1:30" s="62" customFormat="1" ht="15" customHeight="1">
      <c r="A40" s="458"/>
      <c r="B40" s="56" t="s">
        <v>182</v>
      </c>
      <c r="C40" s="272"/>
      <c r="D40" s="276" t="s">
        <v>166</v>
      </c>
      <c r="E40" s="240"/>
      <c r="F40" s="56">
        <f>VLOOKUP(D40,廠價表!$C$1:$E$40,3,0)</f>
        <v>49.52</v>
      </c>
      <c r="G40" s="273">
        <v>1688</v>
      </c>
      <c r="H40" s="50">
        <f t="shared" si="27"/>
        <v>83589.760000000009</v>
      </c>
      <c r="I40" s="64"/>
      <c r="J40" s="37">
        <f>VLOOKUP(D40,產線配置圖!$A$3:$C$39,2,0)</f>
        <v>18</v>
      </c>
      <c r="K40" s="36">
        <f>VLOOKUP(D40,產線配置圖!$A$3:$C$39,3,0)</f>
        <v>1440</v>
      </c>
      <c r="L40" s="38">
        <f t="shared" si="36"/>
        <v>80</v>
      </c>
      <c r="M40" s="65">
        <v>16</v>
      </c>
      <c r="N40" s="66">
        <f>G40/W40*60</f>
        <v>1089.0322580645218</v>
      </c>
      <c r="O40" s="67">
        <f t="shared" si="39"/>
        <v>68.064516129032612</v>
      </c>
      <c r="P40" s="39">
        <f t="shared" si="37"/>
        <v>-2</v>
      </c>
      <c r="Q40" s="40">
        <f t="shared" si="38"/>
        <v>-11.935483870967388</v>
      </c>
      <c r="R40" s="188">
        <f t="shared" si="33"/>
        <v>0.85080645161290769</v>
      </c>
      <c r="S40" s="420"/>
      <c r="T40" s="349">
        <v>0.42499999999999999</v>
      </c>
      <c r="U40" s="349">
        <v>0.48958333333333298</v>
      </c>
      <c r="V40" s="42">
        <f>(T40-U39)*24*60</f>
        <v>11.999999999999478</v>
      </c>
      <c r="W40" s="69">
        <f t="shared" si="20"/>
        <v>92.999999999999517</v>
      </c>
      <c r="X40" s="70"/>
      <c r="Y40" s="256"/>
      <c r="Z40" s="480"/>
      <c r="AA40" s="483"/>
      <c r="AB40" s="268">
        <f t="shared" si="34"/>
        <v>-350.96774193547822</v>
      </c>
      <c r="AC40" s="61">
        <f t="shared" si="35"/>
        <v>0.75627240143369567</v>
      </c>
      <c r="AD40" s="448"/>
    </row>
    <row r="41" spans="1:30" s="62" customFormat="1" ht="15" customHeight="1">
      <c r="A41" s="458"/>
      <c r="B41" s="56" t="s">
        <v>182</v>
      </c>
      <c r="C41" s="272"/>
      <c r="D41" s="276" t="s">
        <v>167</v>
      </c>
      <c r="E41" s="240"/>
      <c r="F41" s="56">
        <f>VLOOKUP(D41,廠價表!$C$1:$E$40,3,0)</f>
        <v>44.3</v>
      </c>
      <c r="G41" s="273">
        <v>2904</v>
      </c>
      <c r="H41" s="50">
        <f t="shared" si="27"/>
        <v>128647.2</v>
      </c>
      <c r="I41" s="64"/>
      <c r="J41" s="37">
        <f>VLOOKUP(D41,產線配置圖!$A$3:$C$39,2,0)</f>
        <v>19</v>
      </c>
      <c r="K41" s="36">
        <f>VLOOKUP(D41,產線配置圖!$A$3:$C$39,3,0)</f>
        <v>1440</v>
      </c>
      <c r="L41" s="38">
        <f t="shared" si="36"/>
        <v>75.78947368421052</v>
      </c>
      <c r="M41" s="65">
        <v>16</v>
      </c>
      <c r="N41" s="66">
        <f>G41/W41*60</f>
        <v>1169.3959731543639</v>
      </c>
      <c r="O41" s="67">
        <f t="shared" si="39"/>
        <v>73.087248322147744</v>
      </c>
      <c r="P41" s="39">
        <f t="shared" si="37"/>
        <v>-3</v>
      </c>
      <c r="Q41" s="40">
        <f t="shared" si="38"/>
        <v>-2.7022253620627765</v>
      </c>
      <c r="R41" s="188">
        <f t="shared" si="33"/>
        <v>0.96434563758389391</v>
      </c>
      <c r="S41" s="420"/>
      <c r="T41" s="349">
        <v>0.57638888888888895</v>
      </c>
      <c r="U41" s="350">
        <v>0.67986111111111103</v>
      </c>
      <c r="V41" s="42">
        <f>(T41-U40)*24*60</f>
        <v>125.0000000000006</v>
      </c>
      <c r="W41" s="69">
        <f t="shared" si="20"/>
        <v>148.9999999999998</v>
      </c>
      <c r="X41" s="70">
        <v>0.49305555555555602</v>
      </c>
      <c r="Y41" s="256">
        <v>0.53472222222222199</v>
      </c>
      <c r="Z41" s="480"/>
      <c r="AA41" s="483"/>
      <c r="AB41" s="268">
        <f t="shared" si="34"/>
        <v>-270.6040268456361</v>
      </c>
      <c r="AC41" s="61">
        <f t="shared" si="35"/>
        <v>0.81208053691275273</v>
      </c>
      <c r="AD41" s="448"/>
    </row>
    <row r="42" spans="1:30" s="62" customFormat="1" ht="15" customHeight="1">
      <c r="A42" s="458"/>
      <c r="B42" s="56" t="s">
        <v>182</v>
      </c>
      <c r="C42" s="23"/>
      <c r="D42" s="276" t="s">
        <v>166</v>
      </c>
      <c r="E42" s="12"/>
      <c r="F42" s="56">
        <f>VLOOKUP(D42,廠價表!$C$1:$E$40,3,0)</f>
        <v>49.52</v>
      </c>
      <c r="G42" s="273">
        <v>626</v>
      </c>
      <c r="H42" s="50">
        <f t="shared" si="27"/>
        <v>30999.52</v>
      </c>
      <c r="I42" s="64"/>
      <c r="J42" s="37">
        <f>VLOOKUP(D42,產線配置圖!$A$3:$C$39,2,0)</f>
        <v>18</v>
      </c>
      <c r="K42" s="36">
        <f>VLOOKUP(D42,產線配置圖!$A$3:$C$39,3,0)</f>
        <v>1440</v>
      </c>
      <c r="L42" s="38">
        <f>K42/J42</f>
        <v>80</v>
      </c>
      <c r="M42" s="65">
        <v>16</v>
      </c>
      <c r="N42" s="66">
        <f>G42/W42*60</f>
        <v>1073.1428571428805</v>
      </c>
      <c r="O42" s="67">
        <f>N42/M42</f>
        <v>67.071428571430033</v>
      </c>
      <c r="P42" s="39">
        <f>M42-J42</f>
        <v>-2</v>
      </c>
      <c r="Q42" s="40">
        <f>O42-L42</f>
        <v>-12.928571428569967</v>
      </c>
      <c r="R42" s="188">
        <f>O42/L42</f>
        <v>0.83839285714287537</v>
      </c>
      <c r="S42" s="420"/>
      <c r="T42" s="350">
        <v>0.70138888888888895</v>
      </c>
      <c r="U42" s="350">
        <v>0.72569444444444398</v>
      </c>
      <c r="V42" s="42">
        <f>(T42-U41)*24*60</f>
        <v>31.00000000000021</v>
      </c>
      <c r="W42" s="69">
        <f t="shared" si="20"/>
        <v>34.999999999999233</v>
      </c>
      <c r="X42" s="70"/>
      <c r="Y42" s="60"/>
      <c r="Z42" s="480"/>
      <c r="AA42" s="483"/>
      <c r="AB42" s="268"/>
      <c r="AC42" s="61"/>
      <c r="AD42" s="448"/>
    </row>
    <row r="43" spans="1:30" s="62" customFormat="1" ht="15" customHeight="1">
      <c r="A43" s="458"/>
      <c r="B43" s="56"/>
      <c r="C43" s="27"/>
      <c r="D43" s="276"/>
      <c r="E43" s="29"/>
      <c r="F43" s="56"/>
      <c r="G43" s="66"/>
      <c r="H43" s="50"/>
      <c r="I43" s="64"/>
      <c r="J43" s="37"/>
      <c r="K43" s="36"/>
      <c r="L43" s="38"/>
      <c r="M43" s="65"/>
      <c r="N43" s="66"/>
      <c r="O43" s="67"/>
      <c r="P43" s="39"/>
      <c r="Q43" s="40"/>
      <c r="R43" s="188"/>
      <c r="S43" s="420"/>
      <c r="T43" s="350"/>
      <c r="U43" s="350"/>
      <c r="V43" s="42"/>
      <c r="W43" s="69">
        <f>(U43-T43)*24*60</f>
        <v>0</v>
      </c>
      <c r="X43" s="70"/>
      <c r="Y43" s="334"/>
      <c r="Z43" s="480"/>
      <c r="AA43" s="483"/>
      <c r="AB43" s="71"/>
      <c r="AC43" s="61"/>
      <c r="AD43" s="448"/>
    </row>
    <row r="44" spans="1:30" s="62" customFormat="1" ht="15" customHeight="1">
      <c r="A44" s="458"/>
      <c r="B44" s="56"/>
      <c r="C44" s="23"/>
      <c r="D44" s="276"/>
      <c r="E44" s="12"/>
      <c r="F44" s="56"/>
      <c r="G44" s="273"/>
      <c r="H44" s="50"/>
      <c r="I44" s="64"/>
      <c r="J44" s="37"/>
      <c r="K44" s="36"/>
      <c r="L44" s="38"/>
      <c r="M44" s="65"/>
      <c r="N44" s="66"/>
      <c r="O44" s="67"/>
      <c r="P44" s="39"/>
      <c r="Q44" s="40"/>
      <c r="R44" s="188"/>
      <c r="S44" s="420"/>
      <c r="T44" s="350"/>
      <c r="U44" s="350"/>
      <c r="V44" s="42"/>
      <c r="W44" s="69">
        <f t="shared" ref="W44:W48" si="40">(U44-T44)*24*60</f>
        <v>0</v>
      </c>
      <c r="X44" s="70"/>
      <c r="Y44" s="67"/>
      <c r="Z44" s="480"/>
      <c r="AA44" s="483"/>
      <c r="AB44" s="71"/>
      <c r="AC44" s="61"/>
      <c r="AD44" s="448"/>
    </row>
    <row r="45" spans="1:30" s="62" customFormat="1" ht="15" customHeight="1">
      <c r="A45" s="458"/>
      <c r="B45" s="56"/>
      <c r="C45" s="23"/>
      <c r="D45" s="276"/>
      <c r="E45" s="12"/>
      <c r="F45" s="56"/>
      <c r="G45" s="273"/>
      <c r="H45" s="50"/>
      <c r="I45" s="64"/>
      <c r="J45" s="37"/>
      <c r="K45" s="36"/>
      <c r="L45" s="38"/>
      <c r="M45" s="65"/>
      <c r="N45" s="66"/>
      <c r="O45" s="67"/>
      <c r="P45" s="39"/>
      <c r="Q45" s="40"/>
      <c r="R45" s="188"/>
      <c r="S45" s="420"/>
      <c r="T45" s="350"/>
      <c r="U45" s="350"/>
      <c r="V45" s="64"/>
      <c r="W45" s="69">
        <f t="shared" si="40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/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40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27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40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41">AVERAGE(J38:J47)</f>
        <v>17</v>
      </c>
      <c r="K48" s="133">
        <f t="shared" si="41"/>
        <v>1422.2</v>
      </c>
      <c r="L48" s="136">
        <f t="shared" si="41"/>
        <v>84.371228070175434</v>
      </c>
      <c r="M48" s="133">
        <f t="shared" si="41"/>
        <v>15.8</v>
      </c>
      <c r="N48" s="133">
        <f t="shared" si="41"/>
        <v>1161.7760116922852</v>
      </c>
      <c r="O48" s="136">
        <f t="shared" si="41"/>
        <v>73.706238826005944</v>
      </c>
      <c r="P48" s="155">
        <f>M48-J48</f>
        <v>-1.1999999999999993</v>
      </c>
      <c r="Q48" s="156">
        <f>N48-K48</f>
        <v>-260.42398830771481</v>
      </c>
      <c r="R48" s="157">
        <f>O48/L48</f>
        <v>0.87359447659931033</v>
      </c>
      <c r="S48" s="423"/>
      <c r="T48" s="158"/>
      <c r="U48" s="158"/>
      <c r="V48" s="194"/>
      <c r="W48" s="159">
        <f t="shared" si="40"/>
        <v>0</v>
      </c>
      <c r="X48" s="160"/>
      <c r="Y48" s="160"/>
      <c r="Z48" s="424"/>
      <c r="AA48" s="424"/>
      <c r="AB48" s="161">
        <f t="shared" ref="AB48:AB53" si="42">N48-K48</f>
        <v>-260.42398830771481</v>
      </c>
      <c r="AC48" s="189">
        <f t="shared" ref="AC48:AC53" si="43">N48/K48</f>
        <v>0.81688652207304546</v>
      </c>
      <c r="AD48" s="449"/>
    </row>
    <row r="49" spans="1:30" ht="15" customHeight="1">
      <c r="A49" s="454" t="s">
        <v>57</v>
      </c>
      <c r="B49" s="197" t="s">
        <v>45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1794</v>
      </c>
      <c r="H49" s="124">
        <f t="shared" ref="H49:H57" si="44">F49*G49</f>
        <v>102024.78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18</v>
      </c>
      <c r="N49" s="126">
        <f>G49/W49*60</f>
        <v>1435.1999999999821</v>
      </c>
      <c r="O49" s="127">
        <f>N49/M49</f>
        <v>79.73333333333234</v>
      </c>
      <c r="P49" s="162">
        <f>M49-J49</f>
        <v>-1</v>
      </c>
      <c r="Q49" s="111">
        <f>O49-L49</f>
        <v>-2.6350877192992357</v>
      </c>
      <c r="R49" s="182">
        <f>O49/L49</f>
        <v>0.96800851970179846</v>
      </c>
      <c r="S49" s="419">
        <f>R58</f>
        <v>0.96462892807804734</v>
      </c>
      <c r="T49" s="348">
        <v>0.29097222222222202</v>
      </c>
      <c r="U49" s="348">
        <v>0.343055555555556</v>
      </c>
      <c r="V49" s="186"/>
      <c r="W49" s="150">
        <f t="shared" si="20"/>
        <v>75.000000000000938</v>
      </c>
      <c r="X49" s="186"/>
      <c r="Y49" s="186"/>
      <c r="Z49" s="425"/>
      <c r="AA49" s="425"/>
      <c r="AB49" s="110">
        <f t="shared" si="42"/>
        <v>-129.80000000001792</v>
      </c>
      <c r="AC49" s="182">
        <f t="shared" si="43"/>
        <v>0.91706070287538788</v>
      </c>
      <c r="AD49" s="411">
        <f>AC58</f>
        <v>0.95475998229522674</v>
      </c>
    </row>
    <row r="50" spans="1:30" ht="15" customHeight="1">
      <c r="A50" s="455"/>
      <c r="B50" s="56" t="s">
        <v>45</v>
      </c>
      <c r="C50" s="10"/>
      <c r="D50" s="11" t="s">
        <v>59</v>
      </c>
      <c r="E50" s="86"/>
      <c r="F50" s="56">
        <f>VLOOKUP(D50,廠價表!$C$1:$E$40,3,0)</f>
        <v>49.97</v>
      </c>
      <c r="G50" s="66">
        <v>2509</v>
      </c>
      <c r="H50" s="76">
        <f t="shared" si="44"/>
        <v>125374.73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1536.1224489795809</v>
      </c>
      <c r="O50" s="78">
        <f>N50/M50</f>
        <v>85.340136054421166</v>
      </c>
      <c r="P50" s="18">
        <f>M50-J50</f>
        <v>0</v>
      </c>
      <c r="Q50" s="19">
        <f>O50-L50</f>
        <v>-3.5487528344677202</v>
      </c>
      <c r="R50" s="183">
        <f>O50/L50</f>
        <v>0.96007653061223819</v>
      </c>
      <c r="S50" s="420"/>
      <c r="T50" s="351">
        <v>0.34861111111111098</v>
      </c>
      <c r="U50" s="351">
        <v>0.41666666666666702</v>
      </c>
      <c r="V50" s="175">
        <f t="shared" ref="V50:V53" si="45">(T50-U49)*24*60</f>
        <v>7.9999999999991722</v>
      </c>
      <c r="W50" s="80">
        <f t="shared" si="20"/>
        <v>98.000000000000696</v>
      </c>
      <c r="X50" s="22"/>
      <c r="Y50" s="22"/>
      <c r="Z50" s="417"/>
      <c r="AA50" s="418"/>
      <c r="AB50" s="18">
        <f t="shared" si="42"/>
        <v>-63.877551020419105</v>
      </c>
      <c r="AC50" s="183">
        <f t="shared" si="43"/>
        <v>0.96007653061223808</v>
      </c>
      <c r="AD50" s="412"/>
    </row>
    <row r="51" spans="1:30" ht="15" customHeight="1">
      <c r="A51" s="455"/>
      <c r="B51" s="56" t="s">
        <v>182</v>
      </c>
      <c r="C51" s="10"/>
      <c r="D51" s="11" t="s">
        <v>46</v>
      </c>
      <c r="E51" s="86"/>
      <c r="F51" s="56">
        <f>VLOOKUP(D51,廠價表!$C$1:$E$40,3,0)</f>
        <v>49.91</v>
      </c>
      <c r="G51" s="66">
        <v>1518</v>
      </c>
      <c r="H51" s="76">
        <f t="shared" si="44"/>
        <v>75763.37999999999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3" si="46">K51/J51</f>
        <v>92.058823529411768</v>
      </c>
      <c r="M51" s="172">
        <v>17</v>
      </c>
      <c r="N51" s="77">
        <f t="shared" ref="N51:N53" si="47">G51/W51*60</f>
        <v>1493.1147540983641</v>
      </c>
      <c r="O51" s="78">
        <f t="shared" ref="O51:O52" si="48">N51/M51</f>
        <v>87.830279652844951</v>
      </c>
      <c r="P51" s="18">
        <f t="shared" ref="P51:P52" si="49">M51-J51</f>
        <v>0</v>
      </c>
      <c r="Q51" s="19">
        <f t="shared" ref="Q51:Q53" si="50">O51-L51</f>
        <v>-4.2285438765668175</v>
      </c>
      <c r="R51" s="183">
        <f t="shared" ref="R51:R53" si="51">O51/L51</f>
        <v>0.95406693552611122</v>
      </c>
      <c r="S51" s="420"/>
      <c r="T51" s="351">
        <v>0.422222222222222</v>
      </c>
      <c r="U51" s="44">
        <v>0.46458333333333302</v>
      </c>
      <c r="V51" s="175">
        <f t="shared" si="45"/>
        <v>7.9999999999991722</v>
      </c>
      <c r="W51" s="80">
        <f t="shared" si="20"/>
        <v>60.999999999999865</v>
      </c>
      <c r="X51" s="22"/>
      <c r="Y51" s="22"/>
      <c r="Z51" s="405"/>
      <c r="AA51" s="405"/>
      <c r="AB51" s="18">
        <f t="shared" si="42"/>
        <v>-71.885245901635926</v>
      </c>
      <c r="AC51" s="183">
        <f t="shared" si="43"/>
        <v>0.95406693552611122</v>
      </c>
      <c r="AD51" s="412"/>
    </row>
    <row r="52" spans="1:30" ht="15" customHeight="1">
      <c r="A52" s="455"/>
      <c r="B52" s="56" t="s">
        <v>182</v>
      </c>
      <c r="C52" s="23"/>
      <c r="D52" s="11" t="s">
        <v>46</v>
      </c>
      <c r="E52" s="12"/>
      <c r="F52" s="56">
        <f>VLOOKUP(D52,廠價表!$C$1:$E$40,3,0)</f>
        <v>49.91</v>
      </c>
      <c r="G52" s="66">
        <v>1200</v>
      </c>
      <c r="H52" s="76">
        <f t="shared" si="44"/>
        <v>59891.999999999993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si="46"/>
        <v>92.058823529411768</v>
      </c>
      <c r="M52" s="172">
        <v>17</v>
      </c>
      <c r="N52" s="77">
        <f t="shared" si="47"/>
        <v>1500.0000000000155</v>
      </c>
      <c r="O52" s="78">
        <f t="shared" si="48"/>
        <v>88.235294117647967</v>
      </c>
      <c r="P52" s="18">
        <f t="shared" si="49"/>
        <v>0</v>
      </c>
      <c r="Q52" s="19">
        <f t="shared" si="50"/>
        <v>-3.8235294117638006</v>
      </c>
      <c r="R52" s="183">
        <f t="shared" si="51"/>
        <v>0.95846645367413119</v>
      </c>
      <c r="S52" s="420"/>
      <c r="T52" s="351">
        <v>0.52777777777777801</v>
      </c>
      <c r="U52" s="351">
        <v>0.56111111111111101</v>
      </c>
      <c r="V52" s="175">
        <f t="shared" si="45"/>
        <v>91.000000000000796</v>
      </c>
      <c r="W52" s="80">
        <f t="shared" si="20"/>
        <v>47.99999999999951</v>
      </c>
      <c r="X52" s="22">
        <v>0.47916666666666702</v>
      </c>
      <c r="Y52" s="22">
        <v>0.52083333333333304</v>
      </c>
      <c r="Z52" s="417"/>
      <c r="AA52" s="418"/>
      <c r="AB52" s="18">
        <f t="shared" si="42"/>
        <v>-64.999999999984539</v>
      </c>
      <c r="AC52" s="183">
        <f t="shared" si="43"/>
        <v>0.9584664536741313</v>
      </c>
      <c r="AD52" s="412"/>
    </row>
    <row r="53" spans="1:30" ht="15" customHeight="1">
      <c r="A53" s="455"/>
      <c r="B53" s="56" t="s">
        <v>45</v>
      </c>
      <c r="C53" s="23"/>
      <c r="D53" s="11" t="s">
        <v>59</v>
      </c>
      <c r="E53" s="12"/>
      <c r="F53" s="56">
        <f>VLOOKUP(D53,廠價表!$C$1:$E$40,3,0)</f>
        <v>49.97</v>
      </c>
      <c r="G53" s="66">
        <v>2937</v>
      </c>
      <c r="H53" s="76">
        <f t="shared" si="44"/>
        <v>146761.88999999998</v>
      </c>
      <c r="I53" s="191"/>
      <c r="J53" s="16">
        <f>VLOOKUP(D53,產線配置圖!$A$3:$C$39,2,0)</f>
        <v>18</v>
      </c>
      <c r="K53" s="14">
        <f>VLOOKUP(D53,產線配置圖!$A$3:$C$39,3,0)</f>
        <v>1600</v>
      </c>
      <c r="L53" s="17">
        <f t="shared" si="46"/>
        <v>88.888888888888886</v>
      </c>
      <c r="M53" s="172">
        <v>18</v>
      </c>
      <c r="N53" s="77">
        <f t="shared" si="47"/>
        <v>1573.3928571428719</v>
      </c>
      <c r="O53" s="78">
        <f>N53/M53</f>
        <v>87.410714285715102</v>
      </c>
      <c r="P53" s="18">
        <f>M53-J53</f>
        <v>0</v>
      </c>
      <c r="Q53" s="19">
        <f t="shared" si="50"/>
        <v>-1.4781746031737839</v>
      </c>
      <c r="R53" s="183">
        <f t="shared" si="51"/>
        <v>0.98337053571429489</v>
      </c>
      <c r="S53" s="420"/>
      <c r="T53" s="351">
        <v>0.56666666666666698</v>
      </c>
      <c r="U53" s="351">
        <v>0.64444444444444404</v>
      </c>
      <c r="V53" s="175">
        <f t="shared" si="45"/>
        <v>8.0000000000006111</v>
      </c>
      <c r="W53" s="80">
        <f t="shared" si="20"/>
        <v>111.99999999999896</v>
      </c>
      <c r="X53" s="175"/>
      <c r="Y53" s="175"/>
      <c r="Z53" s="417"/>
      <c r="AA53" s="418"/>
      <c r="AB53" s="18">
        <f t="shared" si="42"/>
        <v>-26.60714285712811</v>
      </c>
      <c r="AC53" s="183">
        <f t="shared" si="43"/>
        <v>0.98337053571429489</v>
      </c>
      <c r="AD53" s="412"/>
    </row>
    <row r="54" spans="1:30" ht="15" customHeight="1">
      <c r="A54" s="455"/>
      <c r="B54" s="56"/>
      <c r="C54" s="181"/>
      <c r="D54" s="11"/>
      <c r="E54" s="12"/>
      <c r="F54" s="56"/>
      <c r="G54" s="66"/>
      <c r="H54" s="76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79"/>
      <c r="U54" s="79"/>
      <c r="V54" s="175"/>
      <c r="W54" s="80">
        <f t="shared" si="20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4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20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4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20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4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20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52">AVERAGE(J49:J57)</f>
        <v>17.8</v>
      </c>
      <c r="K58" s="117">
        <f t="shared" si="52"/>
        <v>1579</v>
      </c>
      <c r="L58" s="114">
        <f t="shared" si="52"/>
        <v>88.852769177846582</v>
      </c>
      <c r="M58" s="117">
        <f t="shared" si="52"/>
        <v>17.600000000000001</v>
      </c>
      <c r="N58" s="117">
        <f t="shared" si="52"/>
        <v>1507.566012044163</v>
      </c>
      <c r="O58" s="114">
        <f t="shared" si="52"/>
        <v>85.709951488792314</v>
      </c>
      <c r="P58" s="118">
        <f>M58-J58</f>
        <v>-0.19999999999999929</v>
      </c>
      <c r="Q58" s="119">
        <f>N58-K58</f>
        <v>-71.433987955836983</v>
      </c>
      <c r="R58" s="120">
        <f t="shared" ref="R58:R60" si="53">O58/L58</f>
        <v>0.96462892807804734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54">N58-K58</f>
        <v>-71.433987955836983</v>
      </c>
      <c r="AC58" s="185">
        <f t="shared" ref="AC58:AC61" si="55">N58/K58</f>
        <v>0.95475998229522674</v>
      </c>
      <c r="AD58" s="414"/>
    </row>
    <row r="59" spans="1:30" ht="15" customHeight="1">
      <c r="A59" s="470" t="s">
        <v>61</v>
      </c>
      <c r="B59" s="197" t="s">
        <v>172</v>
      </c>
      <c r="C59" s="101"/>
      <c r="D59" s="102" t="s">
        <v>62</v>
      </c>
      <c r="E59" s="103"/>
      <c r="F59" s="197">
        <f>VLOOKUP(D59,廠價表!$C$1:$E$40,3,0)</f>
        <v>26.99</v>
      </c>
      <c r="G59" s="186">
        <v>4106</v>
      </c>
      <c r="H59" s="105">
        <f t="shared" ref="H59:H68" si="56">F59*G59</f>
        <v>110820.93999999999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57">G59/W59*60</f>
        <v>1539.7500000000016</v>
      </c>
      <c r="O59" s="108">
        <f t="shared" ref="O59:O62" si="58">N59/M59</f>
        <v>118.44230769230782</v>
      </c>
      <c r="P59" s="110">
        <f t="shared" ref="P59:P62" si="59">M59-J59</f>
        <v>0</v>
      </c>
      <c r="Q59" s="111">
        <f t="shared" ref="Q59:Q62" si="60">O59-L59</f>
        <v>-1.9423076923075655</v>
      </c>
      <c r="R59" s="182">
        <f t="shared" si="53"/>
        <v>0.98386581469648671</v>
      </c>
      <c r="S59" s="419">
        <f>R69</f>
        <v>0.91499718098101712</v>
      </c>
      <c r="T59" s="344">
        <v>0.29166666666666702</v>
      </c>
      <c r="U59" s="344">
        <v>0.40277777777777801</v>
      </c>
      <c r="V59" s="186"/>
      <c r="W59" s="106">
        <f t="shared" si="20"/>
        <v>159.99999999999983</v>
      </c>
      <c r="X59" s="186"/>
      <c r="Y59" s="186"/>
      <c r="Z59" s="469"/>
      <c r="AA59" s="434"/>
      <c r="AB59" s="223">
        <f t="shared" si="54"/>
        <v>-25.249999999998408</v>
      </c>
      <c r="AC59" s="224">
        <f t="shared" si="55"/>
        <v>0.9838658146964866</v>
      </c>
      <c r="AD59" s="411">
        <f>AC69</f>
        <v>0.91632157778323753</v>
      </c>
    </row>
    <row r="60" spans="1:30" ht="15" customHeight="1">
      <c r="A60" s="471"/>
      <c r="B60" s="56" t="s">
        <v>172</v>
      </c>
      <c r="C60" s="23"/>
      <c r="D60" s="239" t="s">
        <v>63</v>
      </c>
      <c r="E60" s="12"/>
      <c r="F60" s="56">
        <f>VLOOKUP(D60,廠價表!$C$1:$E$40,3,0)</f>
        <v>28.47</v>
      </c>
      <c r="G60" s="175">
        <v>973</v>
      </c>
      <c r="H60" s="15">
        <f t="shared" si="56"/>
        <v>27701.309999999998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7"/>
        <v>1459.4999999999875</v>
      </c>
      <c r="O60" s="17">
        <f t="shared" si="58"/>
        <v>121.62499999999896</v>
      </c>
      <c r="P60" s="18">
        <f t="shared" si="59"/>
        <v>0</v>
      </c>
      <c r="Q60" s="19">
        <f t="shared" si="60"/>
        <v>-8.7916666666676946</v>
      </c>
      <c r="R60" s="183">
        <f t="shared" si="53"/>
        <v>0.93258785942491229</v>
      </c>
      <c r="S60" s="474"/>
      <c r="T60" s="22">
        <v>0.40972222222222199</v>
      </c>
      <c r="U60" s="22">
        <v>0.4375</v>
      </c>
      <c r="V60" s="175">
        <f t="shared" ref="V60:V62" si="61">(T60-U59)*24*60</f>
        <v>9.999999999999325</v>
      </c>
      <c r="W60" s="90">
        <f t="shared" si="20"/>
        <v>40.000000000000341</v>
      </c>
      <c r="X60" s="191"/>
      <c r="Y60" s="191"/>
      <c r="Z60" s="405"/>
      <c r="AA60" s="405"/>
      <c r="AB60" s="225">
        <f t="shared" si="54"/>
        <v>-105.50000000001251</v>
      </c>
      <c r="AC60" s="226">
        <f t="shared" si="55"/>
        <v>0.93258785942491218</v>
      </c>
      <c r="AD60" s="464"/>
    </row>
    <row r="61" spans="1:30" ht="15" customHeight="1">
      <c r="A61" s="472"/>
      <c r="B61" s="56" t="s">
        <v>172</v>
      </c>
      <c r="C61" s="10"/>
      <c r="D61" s="239" t="s">
        <v>64</v>
      </c>
      <c r="E61" s="86"/>
      <c r="F61" s="56">
        <f>VLOOKUP(D61,廠價表!$C$1:$E$40,3,0)</f>
        <v>28.26</v>
      </c>
      <c r="G61" s="175">
        <v>1405</v>
      </c>
      <c r="H61" s="15">
        <f t="shared" si="56"/>
        <v>39705.300000000003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57"/>
        <v>1296.9230769230735</v>
      </c>
      <c r="O61" s="17">
        <f>N61/M61</f>
        <v>108.0769230769228</v>
      </c>
      <c r="P61" s="18">
        <f>M61-J61</f>
        <v>0</v>
      </c>
      <c r="Q61" s="19">
        <f>O61-L61</f>
        <v>-22.339743589743861</v>
      </c>
      <c r="R61" s="183">
        <f>O61/L61</f>
        <v>0.82870484148439205</v>
      </c>
      <c r="S61" s="420"/>
      <c r="T61" s="22">
        <v>0.44444444444444398</v>
      </c>
      <c r="U61" s="22">
        <v>0.48958333333333298</v>
      </c>
      <c r="V61" s="175">
        <f t="shared" si="61"/>
        <v>9.999999999999325</v>
      </c>
      <c r="W61" s="88">
        <f t="shared" si="20"/>
        <v>65.000000000000171</v>
      </c>
      <c r="X61" s="22"/>
      <c r="Y61" s="22"/>
      <c r="Z61" s="405"/>
      <c r="AA61" s="405"/>
      <c r="AB61" s="51">
        <f t="shared" si="54"/>
        <v>-268.07692307692651</v>
      </c>
      <c r="AC61" s="52">
        <f t="shared" si="55"/>
        <v>0.82870484148439205</v>
      </c>
      <c r="AD61" s="412"/>
    </row>
    <row r="62" spans="1:30" ht="15" customHeight="1">
      <c r="A62" s="472"/>
      <c r="B62" s="336" t="s">
        <v>172</v>
      </c>
      <c r="C62" s="337"/>
      <c r="D62" s="338" t="s">
        <v>64</v>
      </c>
      <c r="E62" s="339"/>
      <c r="F62" s="336">
        <f>VLOOKUP(D62,廠價表!$C$1:$E$40,3,0)</f>
        <v>28.26</v>
      </c>
      <c r="G62" s="176">
        <v>1200</v>
      </c>
      <c r="H62" s="340">
        <f t="shared" si="56"/>
        <v>33912</v>
      </c>
      <c r="I62" s="81"/>
      <c r="J62" s="31">
        <f>VLOOKUP(D62,產線配置圖!$A$3:$C$39,2,0)</f>
        <v>12</v>
      </c>
      <c r="K62" s="30">
        <f>VLOOKUP(D62,產線配置圖!$A$3:$C$39,3,0)</f>
        <v>1565</v>
      </c>
      <c r="L62" s="35">
        <f>K62/J62</f>
        <v>130.41666666666666</v>
      </c>
      <c r="M62" s="179">
        <v>12</v>
      </c>
      <c r="N62" s="30">
        <f t="shared" si="57"/>
        <v>1440.000000000005</v>
      </c>
      <c r="O62" s="35">
        <f t="shared" si="58"/>
        <v>120.00000000000041</v>
      </c>
      <c r="P62" s="34">
        <f t="shared" si="59"/>
        <v>0</v>
      </c>
      <c r="Q62" s="341">
        <f t="shared" si="60"/>
        <v>-10.416666666666245</v>
      </c>
      <c r="R62" s="184">
        <f>O62/L62</f>
        <v>0.92012779552715973</v>
      </c>
      <c r="S62" s="420"/>
      <c r="T62" s="22">
        <v>0.54513888888888895</v>
      </c>
      <c r="U62" s="22">
        <v>0.57986111111111105</v>
      </c>
      <c r="V62" s="175">
        <f t="shared" si="61"/>
        <v>80.000000000000597</v>
      </c>
      <c r="W62" s="90">
        <f t="shared" si="20"/>
        <v>49.999999999999822</v>
      </c>
      <c r="X62" s="22">
        <v>0.50347222222222199</v>
      </c>
      <c r="Y62" s="22">
        <v>0.54513888888888895</v>
      </c>
      <c r="Z62" s="405"/>
      <c r="AA62" s="405"/>
      <c r="AB62" s="51">
        <f>N62-K62</f>
        <v>-124.999999999995</v>
      </c>
      <c r="AC62" s="52">
        <f>N62/K62</f>
        <v>0.92012779552715973</v>
      </c>
      <c r="AD62" s="412"/>
    </row>
    <row r="63" spans="1:30" ht="15" customHeight="1">
      <c r="A63" s="472"/>
      <c r="B63" s="342"/>
      <c r="C63" s="246"/>
      <c r="D63" s="247"/>
      <c r="E63" s="248"/>
      <c r="F63" s="336"/>
      <c r="G63" s="335"/>
      <c r="H63" s="340"/>
      <c r="I63" s="335"/>
      <c r="J63" s="31"/>
      <c r="K63" s="30"/>
      <c r="L63" s="35"/>
      <c r="M63" s="311"/>
      <c r="N63" s="30"/>
      <c r="O63" s="35"/>
      <c r="P63" s="34"/>
      <c r="Q63" s="341"/>
      <c r="R63" s="184"/>
      <c r="S63" s="420"/>
      <c r="T63" s="22"/>
      <c r="U63" s="22"/>
      <c r="V63" s="175"/>
      <c r="W63" s="90">
        <f t="shared" si="20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336"/>
      <c r="G64" s="175"/>
      <c r="H64" s="340"/>
      <c r="I64" s="81"/>
      <c r="J64" s="31"/>
      <c r="K64" s="30"/>
      <c r="L64" s="35"/>
      <c r="M64" s="178"/>
      <c r="N64" s="30"/>
      <c r="O64" s="35"/>
      <c r="P64" s="34"/>
      <c r="Q64" s="341"/>
      <c r="R64" s="184"/>
      <c r="S64" s="420"/>
      <c r="T64" s="22"/>
      <c r="U64" s="22"/>
      <c r="V64" s="175"/>
      <c r="W64" s="180">
        <f t="shared" si="20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20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20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20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6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20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62">AVERAGE(J59:J68)</f>
        <v>12.25</v>
      </c>
      <c r="K69" s="164">
        <f t="shared" si="62"/>
        <v>1565</v>
      </c>
      <c r="L69" s="169">
        <f t="shared" si="62"/>
        <v>127.90865384615384</v>
      </c>
      <c r="M69" s="164">
        <f t="shared" si="62"/>
        <v>12.25</v>
      </c>
      <c r="N69" s="164">
        <f t="shared" si="62"/>
        <v>1434.0432692307668</v>
      </c>
      <c r="O69" s="169">
        <f t="shared" si="62"/>
        <v>117.03605769230749</v>
      </c>
      <c r="P69" s="170">
        <f>M69-J69</f>
        <v>0</v>
      </c>
      <c r="Q69" s="156">
        <f>N69-K69</f>
        <v>-130.95673076923322</v>
      </c>
      <c r="R69" s="120">
        <f>O69/L69</f>
        <v>0.91499718098101712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-130.95673076923322</v>
      </c>
      <c r="AC69" s="185">
        <f>N69/K69</f>
        <v>0.91632157778323753</v>
      </c>
      <c r="AD69" s="414"/>
    </row>
    <row r="70" spans="1:32" ht="15" customHeight="1">
      <c r="A70" s="465" t="s">
        <v>67</v>
      </c>
      <c r="B70" s="197"/>
      <c r="C70" s="197"/>
      <c r="D70" s="102"/>
      <c r="E70" s="103"/>
      <c r="F70" s="197"/>
      <c r="G70" s="186"/>
      <c r="H70" s="105"/>
      <c r="I70" s="186"/>
      <c r="J70" s="107"/>
      <c r="K70" s="104"/>
      <c r="L70" s="108"/>
      <c r="M70" s="109"/>
      <c r="N70" s="104"/>
      <c r="O70" s="108"/>
      <c r="P70" s="110"/>
      <c r="Q70" s="111"/>
      <c r="R70" s="182"/>
      <c r="S70" s="419">
        <f>R79</f>
        <v>0</v>
      </c>
      <c r="T70" s="344"/>
      <c r="U70" s="344"/>
      <c r="V70" s="186"/>
      <c r="W70" s="106">
        <f t="shared" si="20"/>
        <v>0</v>
      </c>
      <c r="X70" s="290"/>
      <c r="Y70" s="290"/>
      <c r="Z70" s="469"/>
      <c r="AA70" s="434"/>
      <c r="AB70" s="223">
        <f>N70-K70</f>
        <v>0</v>
      </c>
      <c r="AC70" s="224" t="e">
        <f>N70/K70</f>
        <v>#DIV/0!</v>
      </c>
      <c r="AD70" s="411" t="e">
        <f>AC79</f>
        <v>#DIV/0!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2"/>
      <c r="U71" s="22"/>
      <c r="V71" s="175"/>
      <c r="W71" s="180">
        <f t="shared" si="20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0"/>
      <c r="U72" s="20"/>
      <c r="V72" s="175"/>
      <c r="W72" s="180">
        <f t="shared" si="20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20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63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20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63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20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63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20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63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20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63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20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/>
      <c r="K79" s="164"/>
      <c r="L79" s="169"/>
      <c r="M79" s="164"/>
      <c r="N79" s="164"/>
      <c r="O79" s="169"/>
      <c r="P79" s="170"/>
      <c r="Q79" s="156"/>
      <c r="R79" s="157"/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0</v>
      </c>
      <c r="AC79" s="185" t="e">
        <f>N79/K79</f>
        <v>#DIV/0!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5:AD15"/>
    <mergeCell ref="Z6:AA6"/>
    <mergeCell ref="Z7:AA7"/>
    <mergeCell ref="Z8:AA8"/>
    <mergeCell ref="Z9:AA9"/>
    <mergeCell ref="Z10:AA10"/>
    <mergeCell ref="Z11:AA11"/>
    <mergeCell ref="Z12:AA12"/>
    <mergeCell ref="Z15:AA15"/>
    <mergeCell ref="Z13:AA13"/>
    <mergeCell ref="Z14:AA14"/>
    <mergeCell ref="AD3:AD4"/>
    <mergeCell ref="T3:U3"/>
    <mergeCell ref="V3:V4"/>
    <mergeCell ref="W3:W4"/>
    <mergeCell ref="X3:Y3"/>
    <mergeCell ref="AC3:AC4"/>
    <mergeCell ref="A2:B2"/>
    <mergeCell ref="A3:A4"/>
    <mergeCell ref="B3:B4"/>
    <mergeCell ref="D3:E4"/>
    <mergeCell ref="F3:F4"/>
    <mergeCell ref="P1:S2"/>
    <mergeCell ref="T1:Y2"/>
    <mergeCell ref="Z1:AA2"/>
    <mergeCell ref="AB1:AD2"/>
    <mergeCell ref="M3:M4"/>
    <mergeCell ref="G3:G4"/>
    <mergeCell ref="J1:L2"/>
    <mergeCell ref="Z3:AA4"/>
    <mergeCell ref="AB3:AB4"/>
    <mergeCell ref="P3:P4"/>
    <mergeCell ref="R3:R4"/>
    <mergeCell ref="S3:S4"/>
    <mergeCell ref="A5:A15"/>
    <mergeCell ref="S5:S15"/>
    <mergeCell ref="Z5:AA5"/>
    <mergeCell ref="D15:E15"/>
    <mergeCell ref="M1:O2"/>
    <mergeCell ref="H3:H4"/>
    <mergeCell ref="I3:I4"/>
    <mergeCell ref="J3:J4"/>
    <mergeCell ref="K3:K4"/>
    <mergeCell ref="L3:L4"/>
    <mergeCell ref="N3:N4"/>
    <mergeCell ref="O3:O4"/>
    <mergeCell ref="Q3:Q4"/>
    <mergeCell ref="A27:A37"/>
    <mergeCell ref="S27:S37"/>
    <mergeCell ref="Z22:AA22"/>
    <mergeCell ref="Z23:AA23"/>
    <mergeCell ref="Z24:AA24"/>
    <mergeCell ref="Z25:AA25"/>
    <mergeCell ref="A16:A26"/>
    <mergeCell ref="S16:S26"/>
    <mergeCell ref="Z16:AA16"/>
    <mergeCell ref="D26:E26"/>
    <mergeCell ref="Z27:AA27"/>
    <mergeCell ref="D37:E37"/>
    <mergeCell ref="Z37:AA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26:AA26"/>
    <mergeCell ref="AD59:AD69"/>
    <mergeCell ref="Z60:AA60"/>
    <mergeCell ref="Z61:AA61"/>
    <mergeCell ref="Z62:AA62"/>
    <mergeCell ref="Z63:AA63"/>
    <mergeCell ref="Z64:AA64"/>
    <mergeCell ref="Z65:AA65"/>
    <mergeCell ref="AD16:AD26"/>
    <mergeCell ref="Z49:AA49"/>
    <mergeCell ref="AD49:AD58"/>
    <mergeCell ref="Z50:AA50"/>
    <mergeCell ref="Z51:AA51"/>
    <mergeCell ref="Z52:AA52"/>
    <mergeCell ref="Z53:AA53"/>
    <mergeCell ref="AD38:AD48"/>
    <mergeCell ref="Z17:AA17"/>
    <mergeCell ref="Z18:AA18"/>
    <mergeCell ref="Z19:AA19"/>
    <mergeCell ref="Z20:AA20"/>
    <mergeCell ref="Z21:AA21"/>
    <mergeCell ref="AD27:AD37"/>
    <mergeCell ref="D58:E58"/>
    <mergeCell ref="Z55:AA55"/>
    <mergeCell ref="Z56:AA56"/>
    <mergeCell ref="A49:A58"/>
    <mergeCell ref="S49:S58"/>
    <mergeCell ref="Z57:AA57"/>
    <mergeCell ref="Z54:AA54"/>
    <mergeCell ref="Z58:AA58"/>
    <mergeCell ref="A38:A48"/>
    <mergeCell ref="S38:S48"/>
    <mergeCell ref="Z38:AA38"/>
    <mergeCell ref="Z45:AA45"/>
    <mergeCell ref="Z46:AA46"/>
    <mergeCell ref="Z47:AA47"/>
    <mergeCell ref="D48:E48"/>
    <mergeCell ref="Z48:AA48"/>
    <mergeCell ref="Z39:AA39"/>
    <mergeCell ref="Z40:AA40"/>
    <mergeCell ref="Z41:AA41"/>
    <mergeCell ref="Z42:AA42"/>
    <mergeCell ref="Z43:AA43"/>
    <mergeCell ref="Z44:AA44"/>
    <mergeCell ref="A70:A79"/>
    <mergeCell ref="S70:S79"/>
    <mergeCell ref="Z70:AA70"/>
    <mergeCell ref="D79:E79"/>
    <mergeCell ref="A59:A69"/>
    <mergeCell ref="S59:S69"/>
    <mergeCell ref="Z59:AA59"/>
    <mergeCell ref="Z66:AA66"/>
    <mergeCell ref="Z67:AA67"/>
    <mergeCell ref="Z68:AA68"/>
    <mergeCell ref="D69:E69"/>
    <mergeCell ref="Z69:AA6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0" type="noConversion"/>
  <conditionalFormatting sqref="P5:P79">
    <cfRule type="cellIs" dxfId="98" priority="1" operator="greaterThan">
      <formula>0</formula>
    </cfRule>
  </conditionalFormatting>
  <conditionalFormatting sqref="Q5:Q79 AB5:AB79">
    <cfRule type="cellIs" dxfId="97" priority="4" operator="lessThan">
      <formula>0</formula>
    </cfRule>
  </conditionalFormatting>
  <conditionalFormatting sqref="R5:R79 AC5:AC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D59:AD62 S69:S76 AD69:AD76">
    <cfRule type="cellIs" dxfId="94" priority="7" operator="lessThan">
      <formula>0.8</formula>
    </cfRule>
  </conditionalFormatting>
  <conditionalFormatting sqref="S19:S25 AD19:AD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D5:AD8 S15:S16 AD15:AD16 AD49 AD79">
    <cfRule type="cellIs" dxfId="91" priority="9" operator="lessThan">
      <formula>0.8</formula>
    </cfRule>
  </conditionalFormatting>
  <conditionalFormatting sqref="AD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D3" sqref="D3:E4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46014</v>
      </c>
      <c r="E3" s="357"/>
      <c r="F3" s="202" t="s">
        <v>84</v>
      </c>
      <c r="G3" s="358">
        <f>'1223'!E1</f>
        <v>59311</v>
      </c>
      <c r="H3" s="358"/>
      <c r="I3" s="202" t="s">
        <v>2</v>
      </c>
      <c r="J3" s="359">
        <f>'1223'!G1</f>
        <v>2906876.94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110.51383979367723</v>
      </c>
      <c r="G6" s="367"/>
      <c r="H6" s="360">
        <f>AVERAGE(D13:H13)</f>
        <v>110.18208938636182</v>
      </c>
      <c r="I6" s="360"/>
      <c r="J6" s="360">
        <f>AVERAGE(I13:J13)</f>
        <v>111.34321581196581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100.33433862543259</v>
      </c>
      <c r="G7" s="362"/>
      <c r="H7" s="363">
        <f>AVERAGE(D14:H14)</f>
        <v>102.43366958645893</v>
      </c>
      <c r="I7" s="363"/>
      <c r="J7" s="363">
        <f>AVERAGE(I14:J14)</f>
        <v>95.086011222866802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0.91294728720603346</v>
      </c>
      <c r="G8" s="364"/>
      <c r="H8" s="364">
        <f>AVERAGE(D15:H15)</f>
        <v>0.93641062917519535</v>
      </c>
      <c r="I8" s="364"/>
      <c r="J8" s="364">
        <f>AVERAGE(I15:J15)</f>
        <v>0.85428893228312863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VALUE('1223'!L15)</f>
        <v>128.39366515837102</v>
      </c>
      <c r="E13" s="213">
        <f>VALUE('1223'!L26)</f>
        <v>160.58974358974359</v>
      </c>
      <c r="F13" s="213">
        <f>VALUE('1223'!L37)</f>
        <v>85.788888888888891</v>
      </c>
      <c r="G13" s="213">
        <f>VALUE('1223'!L48)</f>
        <v>87.285380116959061</v>
      </c>
      <c r="H13" s="213">
        <f>VALUE('1223'!L58)</f>
        <v>88.852769177846582</v>
      </c>
      <c r="I13" s="213">
        <f>VALUE('1223'!L69)</f>
        <v>127.90865384615384</v>
      </c>
      <c r="J13" s="213">
        <f>'1223'!L79</f>
        <v>94.777777777777771</v>
      </c>
    </row>
    <row r="14" spans="2:15" ht="40" customHeight="1">
      <c r="B14" s="376"/>
      <c r="C14" s="212" t="s">
        <v>106</v>
      </c>
      <c r="D14" s="213">
        <f>VALUE('1223'!O15)</f>
        <v>117.83422147638927</v>
      </c>
      <c r="E14" s="213">
        <f>VALUE('1223'!O26)</f>
        <v>144.0169528632799</v>
      </c>
      <c r="F14" s="213">
        <f>VALUE('1223'!O37)</f>
        <v>81.848975860071036</v>
      </c>
      <c r="G14" s="213">
        <f>VALUE('1223'!O48)</f>
        <v>86.014379180634094</v>
      </c>
      <c r="H14" s="213">
        <f>VALUE('1223'!O58)</f>
        <v>82.453818551920307</v>
      </c>
      <c r="I14" s="213">
        <f>VALUE('1223'!O69)</f>
        <v>109.01408875204916</v>
      </c>
      <c r="J14" s="213">
        <f>'1223'!O79</f>
        <v>81.157933693684427</v>
      </c>
    </row>
    <row r="15" spans="2:15" ht="40" customHeight="1">
      <c r="B15" s="377"/>
      <c r="C15" s="210" t="s">
        <v>23</v>
      </c>
      <c r="D15" s="231">
        <f>D14/D13</f>
        <v>0.91775728445046811</v>
      </c>
      <c r="E15" s="231">
        <f t="shared" ref="E15:I15" si="0">E14/E13</f>
        <v>0.89680044094969125</v>
      </c>
      <c r="F15" s="231">
        <f t="shared" si="0"/>
        <v>0.95407432034793327</v>
      </c>
      <c r="G15" s="231">
        <f t="shared" si="0"/>
        <v>0.98543855872974517</v>
      </c>
      <c r="H15" s="231">
        <f t="shared" si="0"/>
        <v>0.92798254139813907</v>
      </c>
      <c r="I15" s="231">
        <f t="shared" si="0"/>
        <v>0.85228079159655057</v>
      </c>
      <c r="J15" s="343">
        <f>'1223'!S70</f>
        <v>0.85629707296970681</v>
      </c>
    </row>
    <row r="16" spans="2:15" ht="17.25" customHeight="1">
      <c r="B16" s="378" t="s">
        <v>107</v>
      </c>
      <c r="C16" s="210" t="s">
        <v>29</v>
      </c>
      <c r="D16" s="95">
        <f>'1223'!T5</f>
        <v>0.3</v>
      </c>
      <c r="E16" s="95">
        <f>'1223'!T16</f>
        <v>0.28819444444444398</v>
      </c>
      <c r="F16" s="95">
        <f>'1223'!T27</f>
        <v>0.29166666666666702</v>
      </c>
      <c r="G16" s="95">
        <f>'1223'!T38</f>
        <v>0.33333333333333298</v>
      </c>
      <c r="H16" s="95">
        <f>'1223'!T49</f>
        <v>0.29166666666666702</v>
      </c>
      <c r="I16" s="95">
        <f>'1223'!T59</f>
        <v>0.29166666666666702</v>
      </c>
      <c r="J16" s="269">
        <f>'1223'!T70</f>
        <v>0.38611111111111102</v>
      </c>
    </row>
    <row r="17" spans="2:10" ht="17.25" customHeight="1">
      <c r="B17" s="379"/>
      <c r="C17" s="210" t="s">
        <v>30</v>
      </c>
      <c r="D17" s="22">
        <v>0.61527777777777803</v>
      </c>
      <c r="E17" s="44">
        <v>0.62152777777777801</v>
      </c>
      <c r="F17" s="44">
        <v>0.63888888888888895</v>
      </c>
      <c r="G17" s="349">
        <v>0.64444444444444404</v>
      </c>
      <c r="H17" s="351">
        <v>0.66527777777777797</v>
      </c>
      <c r="I17" s="22">
        <v>0.57986111111111105</v>
      </c>
      <c r="J17" s="22">
        <v>0.73819444444444404</v>
      </c>
    </row>
    <row r="18" spans="2:10" ht="17.25" customHeight="1">
      <c r="B18" s="365" t="s">
        <v>108</v>
      </c>
      <c r="C18" s="366"/>
      <c r="D18" s="214">
        <f>VALUE('1223'!M15)</f>
        <v>14.25</v>
      </c>
      <c r="E18" s="214">
        <f>VALUE('1223'!M26)</f>
        <v>12.4</v>
      </c>
      <c r="F18" s="214">
        <f>VALUE('1223'!M37)</f>
        <v>15.4</v>
      </c>
      <c r="G18" s="214">
        <f>VALUE('1223'!M48)</f>
        <v>14.666666666666666</v>
      </c>
      <c r="H18" s="214">
        <f>VALUE('1223'!M58)</f>
        <v>17.8</v>
      </c>
      <c r="I18" s="214">
        <f>VALUE('1223'!M69)</f>
        <v>12.25</v>
      </c>
      <c r="J18" s="214">
        <f>'1223'!M79</f>
        <v>15</v>
      </c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0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L59" activePane="bottomRight" state="frozen"/>
      <selection activeCell="D4" sqref="D4:E4"/>
      <selection pane="topRight" activeCell="D4" sqref="D4:E4"/>
      <selection pane="bottomLeft" activeCell="D4" sqref="D4:E4"/>
      <selection pane="bottomRight" activeCell="V72" activeCellId="14" sqref="D3:E4 V6 V7 V17 V18 V20 V28 V29 V39 V50 V51 V53 V60 V61 V72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59311</v>
      </c>
      <c r="F1" s="175" t="s">
        <v>2</v>
      </c>
      <c r="G1" s="4">
        <f>SUM(H5:H79)</f>
        <v>2906876.94</v>
      </c>
      <c r="H1" s="173" t="s">
        <v>3</v>
      </c>
      <c r="I1" s="5">
        <f>M15+M26+M48+M58+M69+M79+M37</f>
        <v>101.76666666666667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184</v>
      </c>
      <c r="B2" s="404"/>
      <c r="C2" s="174"/>
      <c r="D2" s="174" t="s">
        <v>11</v>
      </c>
      <c r="E2" s="7">
        <f>AVERAGE(O15,O26,O37,O48,O58,O69,O79)</f>
        <v>100.33433862543259</v>
      </c>
      <c r="F2" s="8" t="s">
        <v>12</v>
      </c>
      <c r="G2" s="9">
        <f>G1/E1</f>
        <v>49.010755846301699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">
        <v>45</v>
      </c>
      <c r="C5" s="315"/>
      <c r="D5" s="329" t="s">
        <v>49</v>
      </c>
      <c r="E5" s="316"/>
      <c r="F5" s="299">
        <f>VLOOKUP(D5,廠價表!$C$1:$E$40,3,0)</f>
        <v>47.71</v>
      </c>
      <c r="G5" s="317">
        <v>3027</v>
      </c>
      <c r="H5" s="318">
        <f>F5*G5</f>
        <v>144418.17000000001</v>
      </c>
      <c r="I5" s="319"/>
      <c r="J5" s="320">
        <f>VLOOKUP(D5,產線配置圖!$A$3:$C$39,2,0)</f>
        <v>15</v>
      </c>
      <c r="K5" s="321">
        <f>VLOOKUP(D5,產線配置圖!$A$3:$C$39,3,0)</f>
        <v>1500</v>
      </c>
      <c r="L5" s="322">
        <f t="shared" ref="L5:L8" si="0">K5/J5</f>
        <v>100</v>
      </c>
      <c r="M5" s="323">
        <v>15</v>
      </c>
      <c r="N5" s="321">
        <f t="shared" ref="N5:N8" si="1">G5/W5*60</f>
        <v>1365.5639097744374</v>
      </c>
      <c r="O5" s="322">
        <f t="shared" ref="O5:O8" si="2">N5/M5</f>
        <v>91.037593984962498</v>
      </c>
      <c r="P5" s="324">
        <f t="shared" ref="P5:P8" si="3">M5-J5</f>
        <v>0</v>
      </c>
      <c r="Q5" s="325">
        <f t="shared" ref="Q5:Q8" si="4">O5-L5</f>
        <v>-8.9624060150375016</v>
      </c>
      <c r="R5" s="326">
        <f t="shared" ref="R5:R8" si="5">O5/L5</f>
        <v>0.91037593984962495</v>
      </c>
      <c r="S5" s="419">
        <f>R15</f>
        <v>0.91775728445046811</v>
      </c>
      <c r="T5" s="346">
        <v>0.3</v>
      </c>
      <c r="U5" s="347">
        <v>0.39236111111111099</v>
      </c>
      <c r="V5" s="192"/>
      <c r="W5" s="106">
        <f t="shared" ref="W5:W14" si="6">(U5-T5)*24*60</f>
        <v>132.99999999999986</v>
      </c>
      <c r="X5" s="186"/>
      <c r="Y5" s="186"/>
      <c r="Z5" s="425"/>
      <c r="AA5" s="425"/>
      <c r="AB5" s="110">
        <f t="shared" ref="AB5:AB11" si="7">N5-K5</f>
        <v>-134.43609022556257</v>
      </c>
      <c r="AC5" s="182">
        <f t="shared" ref="AC5:AC11" si="8">N5/K5</f>
        <v>0.91037593984962495</v>
      </c>
      <c r="AD5" s="411">
        <f>AC15</f>
        <v>0.89924839705372184</v>
      </c>
    </row>
    <row r="6" spans="1:30" ht="15" customHeight="1">
      <c r="A6" s="408"/>
      <c r="B6" s="304" t="s">
        <v>45</v>
      </c>
      <c r="C6" s="246"/>
      <c r="D6" s="11" t="s">
        <v>33</v>
      </c>
      <c r="E6" s="248"/>
      <c r="F6" s="305">
        <f>VLOOKUP(D6,廠價表!$C$1:$E$40,3,0)</f>
        <v>57.21</v>
      </c>
      <c r="G6" s="25">
        <v>1451</v>
      </c>
      <c r="H6" s="307">
        <f>F6*G6</f>
        <v>83011.710000000006</v>
      </c>
      <c r="I6" s="308"/>
      <c r="J6" s="309">
        <f>VLOOKUP(D6,產線配置圖!$A$3:$C$39,2,0)</f>
        <v>17</v>
      </c>
      <c r="K6" s="306">
        <v>1800</v>
      </c>
      <c r="L6" s="310">
        <f t="shared" si="0"/>
        <v>105.88235294117646</v>
      </c>
      <c r="M6" s="311">
        <v>16</v>
      </c>
      <c r="N6" s="306">
        <f t="shared" si="1"/>
        <v>1360.3125000000152</v>
      </c>
      <c r="O6" s="310">
        <f t="shared" si="2"/>
        <v>85.019531250000952</v>
      </c>
      <c r="P6" s="312">
        <f t="shared" si="3"/>
        <v>-1</v>
      </c>
      <c r="Q6" s="313">
        <f t="shared" si="4"/>
        <v>-20.862821691175512</v>
      </c>
      <c r="R6" s="314">
        <f t="shared" si="5"/>
        <v>0.80296223958334234</v>
      </c>
      <c r="S6" s="420"/>
      <c r="T6" s="95">
        <v>0.4</v>
      </c>
      <c r="U6" s="95">
        <v>0.44444444444444398</v>
      </c>
      <c r="V6" s="175">
        <f>(T6-U5)*24*60</f>
        <v>11.000000000000201</v>
      </c>
      <c r="W6" s="180">
        <f t="shared" si="6"/>
        <v>63.999999999999289</v>
      </c>
      <c r="X6" s="22"/>
      <c r="Y6" s="22"/>
      <c r="Z6" s="475"/>
      <c r="AA6" s="476"/>
      <c r="AB6" s="18">
        <f t="shared" si="7"/>
        <v>-439.68749999998477</v>
      </c>
      <c r="AC6" s="183">
        <f t="shared" si="8"/>
        <v>0.75572916666667511</v>
      </c>
      <c r="AD6" s="412"/>
    </row>
    <row r="7" spans="1:30" ht="15" customHeight="1">
      <c r="A7" s="408"/>
      <c r="B7" s="56" t="s">
        <v>45</v>
      </c>
      <c r="C7" s="10"/>
      <c r="D7" s="11" t="s">
        <v>34</v>
      </c>
      <c r="E7" s="86"/>
      <c r="F7" s="56">
        <f>VLOOKUP(D7,廠價表!$C$1:$E$40,3,0)</f>
        <v>49.14</v>
      </c>
      <c r="G7" s="306">
        <v>1671</v>
      </c>
      <c r="H7" s="15">
        <f t="shared" ref="H7:H8" si="9">F7*G7</f>
        <v>82112.94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 t="shared" si="0"/>
        <v>153.84615384615384</v>
      </c>
      <c r="M7" s="178">
        <v>13</v>
      </c>
      <c r="N7" s="14">
        <f t="shared" si="1"/>
        <v>1891.6981132075255</v>
      </c>
      <c r="O7" s="17">
        <f t="shared" si="2"/>
        <v>145.51523947750195</v>
      </c>
      <c r="P7" s="18">
        <f t="shared" si="3"/>
        <v>0</v>
      </c>
      <c r="Q7" s="19">
        <f t="shared" si="4"/>
        <v>-8.3309143686518894</v>
      </c>
      <c r="R7" s="183">
        <f t="shared" si="5"/>
        <v>0.94584905660376273</v>
      </c>
      <c r="S7" s="420"/>
      <c r="T7" s="267">
        <v>0.45069444444444401</v>
      </c>
      <c r="U7" s="267">
        <v>0.48749999999999999</v>
      </c>
      <c r="V7" s="175">
        <f>(T7-U6)*24*60</f>
        <v>9.000000000000048</v>
      </c>
      <c r="W7" s="180">
        <f t="shared" si="6"/>
        <v>53.000000000000611</v>
      </c>
      <c r="X7" s="22"/>
      <c r="Y7" s="22"/>
      <c r="Z7" s="405"/>
      <c r="AA7" s="405"/>
      <c r="AB7" s="18">
        <f t="shared" si="7"/>
        <v>-108.30188679247453</v>
      </c>
      <c r="AC7" s="183">
        <f t="shared" si="8"/>
        <v>0.94584905660376273</v>
      </c>
      <c r="AD7" s="412"/>
    </row>
    <row r="8" spans="1:30" ht="15" customHeight="1">
      <c r="A8" s="408"/>
      <c r="B8" s="56" t="s">
        <v>45</v>
      </c>
      <c r="C8" s="10"/>
      <c r="D8" s="11" t="s">
        <v>34</v>
      </c>
      <c r="E8" s="86"/>
      <c r="F8" s="56">
        <f>VLOOKUP(D8,廠價表!$C$1:$E$40,3,0)</f>
        <v>49.14</v>
      </c>
      <c r="G8" s="25">
        <v>3180</v>
      </c>
      <c r="H8" s="15">
        <f t="shared" si="9"/>
        <v>156265.20000000001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 t="shared" si="0"/>
        <v>153.84615384615384</v>
      </c>
      <c r="M8" s="178">
        <v>13</v>
      </c>
      <c r="N8" s="14">
        <f t="shared" si="1"/>
        <v>1946.938775510192</v>
      </c>
      <c r="O8" s="17">
        <f t="shared" si="2"/>
        <v>149.7645211930917</v>
      </c>
      <c r="P8" s="18">
        <f t="shared" si="3"/>
        <v>0</v>
      </c>
      <c r="Q8" s="19">
        <f t="shared" si="4"/>
        <v>-4.0816326530621438</v>
      </c>
      <c r="R8" s="183">
        <f t="shared" si="5"/>
        <v>0.97346938775509606</v>
      </c>
      <c r="S8" s="420"/>
      <c r="T8" s="95">
        <v>0.54722222222222205</v>
      </c>
      <c r="U8" s="95">
        <v>0.61527777777777803</v>
      </c>
      <c r="V8" s="175">
        <f>(T8-U7)*24*60</f>
        <v>85.999999999999773</v>
      </c>
      <c r="W8" s="180">
        <f t="shared" si="6"/>
        <v>98.000000000000611</v>
      </c>
      <c r="X8" s="22">
        <v>0.48611111111111099</v>
      </c>
      <c r="Y8" s="260">
        <v>0.52777777777777801</v>
      </c>
      <c r="Z8" s="416"/>
      <c r="AA8" s="416"/>
      <c r="AB8" s="18">
        <f t="shared" si="7"/>
        <v>-53.061224489807955</v>
      </c>
      <c r="AC8" s="183">
        <f t="shared" si="8"/>
        <v>0.97346938775509606</v>
      </c>
      <c r="AD8" s="412"/>
    </row>
    <row r="9" spans="1:30" ht="15" customHeight="1">
      <c r="A9" s="409"/>
      <c r="B9" s="56"/>
      <c r="C9" s="10"/>
      <c r="D9" s="11"/>
      <c r="E9" s="86"/>
      <c r="F9" s="56"/>
      <c r="G9" s="25"/>
      <c r="H9" s="15"/>
      <c r="I9" s="180"/>
      <c r="J9" s="16"/>
      <c r="K9" s="14"/>
      <c r="L9" s="17"/>
      <c r="M9" s="178"/>
      <c r="N9" s="14"/>
      <c r="O9" s="17"/>
      <c r="P9" s="18"/>
      <c r="Q9" s="19"/>
      <c r="R9" s="183"/>
      <c r="S9" s="421"/>
      <c r="T9" s="95"/>
      <c r="U9" s="95"/>
      <c r="V9" s="175"/>
      <c r="W9" s="180">
        <f t="shared" si="6"/>
        <v>0</v>
      </c>
      <c r="X9" s="22"/>
      <c r="Y9" s="260"/>
      <c r="Z9" s="475"/>
      <c r="AA9" s="476"/>
      <c r="AB9" s="18">
        <f t="shared" si="7"/>
        <v>0</v>
      </c>
      <c r="AC9" s="183" t="e">
        <f t="shared" si="8"/>
        <v>#DIV/0!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2"/>
      <c r="U10" s="22"/>
      <c r="V10" s="175"/>
      <c r="W10" s="180">
        <f t="shared" si="6"/>
        <v>0</v>
      </c>
      <c r="X10" s="22"/>
      <c r="Y10" s="260"/>
      <c r="Z10" s="417"/>
      <c r="AA10" s="418"/>
      <c r="AB10" s="18">
        <f t="shared" si="7"/>
        <v>0</v>
      </c>
      <c r="AC10" s="183" t="e">
        <f t="shared" si="8"/>
        <v>#DIV/0!</v>
      </c>
      <c r="AD10" s="413"/>
    </row>
    <row r="11" spans="1:30" ht="15" customHeight="1">
      <c r="A11" s="409"/>
      <c r="B11" s="56"/>
      <c r="C11" s="249"/>
      <c r="D11" s="11"/>
      <c r="E11" s="251"/>
      <c r="F11" s="56"/>
      <c r="G11" s="53"/>
      <c r="H11" s="50"/>
      <c r="I11" s="42"/>
      <c r="J11" s="16"/>
      <c r="K11" s="14"/>
      <c r="L11" s="233"/>
      <c r="M11" s="21"/>
      <c r="N11" s="36"/>
      <c r="O11" s="38"/>
      <c r="P11" s="39"/>
      <c r="Q11" s="40"/>
      <c r="R11" s="188"/>
      <c r="S11" s="421"/>
      <c r="T11" s="22"/>
      <c r="U11" s="22"/>
      <c r="V11" s="175"/>
      <c r="W11" s="24">
        <f t="shared" si="6"/>
        <v>0</v>
      </c>
      <c r="X11" s="22"/>
      <c r="Y11" s="260"/>
      <c r="Z11" s="475"/>
      <c r="AA11" s="476"/>
      <c r="AB11" s="18">
        <f t="shared" si="7"/>
        <v>0</v>
      </c>
      <c r="AC11" s="183" t="e">
        <f t="shared" si="8"/>
        <v>#DIV/0!</v>
      </c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/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6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6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6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10">AVERAGE(J5:J14)</f>
        <v>14.5</v>
      </c>
      <c r="K15" s="117">
        <f t="shared" si="10"/>
        <v>1825</v>
      </c>
      <c r="L15" s="114">
        <f t="shared" si="10"/>
        <v>128.39366515837102</v>
      </c>
      <c r="M15" s="117">
        <f t="shared" si="10"/>
        <v>14.25</v>
      </c>
      <c r="N15" s="117">
        <f t="shared" si="10"/>
        <v>1641.1283246230423</v>
      </c>
      <c r="O15" s="114">
        <f t="shared" si="10"/>
        <v>117.83422147638927</v>
      </c>
      <c r="P15" s="118">
        <f t="shared" ref="P15:P18" si="11">M15-J15</f>
        <v>-0.25</v>
      </c>
      <c r="Q15" s="119">
        <f t="shared" ref="Q15:Q18" si="12">O15-L15</f>
        <v>-10.559443681981747</v>
      </c>
      <c r="R15" s="120">
        <f t="shared" ref="R15:R18" si="13">O15/L15</f>
        <v>0.91775728445046811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4">N15-K15</f>
        <v>-183.87167537695768</v>
      </c>
      <c r="AC15" s="185">
        <f t="shared" ref="AC15:AC19" si="15">N15/K15</f>
        <v>0.89924839705372184</v>
      </c>
      <c r="AD15" s="414"/>
    </row>
    <row r="16" spans="1:30" ht="15" customHeight="1">
      <c r="A16" s="439" t="s">
        <v>39</v>
      </c>
      <c r="B16" s="197" t="s">
        <v>45</v>
      </c>
      <c r="C16" s="101"/>
      <c r="D16" s="102" t="s">
        <v>32</v>
      </c>
      <c r="E16" s="103"/>
      <c r="F16" s="197">
        <f>VLOOKUP(D16,廠價表!$C$1:$E$40,3,0)</f>
        <v>57.21</v>
      </c>
      <c r="G16" s="262">
        <v>2457</v>
      </c>
      <c r="H16" s="124">
        <f t="shared" ref="H16:H25" si="16">F16*G16</f>
        <v>140564.97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8" si="17">K16/J16</f>
        <v>161.92307692307693</v>
      </c>
      <c r="M16" s="264">
        <v>13</v>
      </c>
      <c r="N16" s="126">
        <f t="shared" ref="N16:N18" si="18">G16/W16*60</f>
        <v>1734.3529411764637</v>
      </c>
      <c r="O16" s="127">
        <f>N16/M16</f>
        <v>133.41176470588181</v>
      </c>
      <c r="P16" s="128">
        <f>M16-J16</f>
        <v>0</v>
      </c>
      <c r="Q16" s="129">
        <f t="shared" si="12"/>
        <v>-28.511312217195126</v>
      </c>
      <c r="R16" s="187">
        <f>O16/L16</f>
        <v>0.82392063713846242</v>
      </c>
      <c r="S16" s="431">
        <f>R26</f>
        <v>0.89680044094969125</v>
      </c>
      <c r="T16" s="345">
        <v>0.28819444444444398</v>
      </c>
      <c r="U16" s="345">
        <v>0.34722222222222199</v>
      </c>
      <c r="V16" s="125"/>
      <c r="W16" s="130">
        <f t="shared" ref="W16:W78" si="19">(U16-T16)*24*60</f>
        <v>85.000000000000341</v>
      </c>
      <c r="X16" s="127"/>
      <c r="Y16" s="127"/>
      <c r="Z16" s="425"/>
      <c r="AA16" s="425"/>
      <c r="AB16" s="110">
        <f t="shared" si="14"/>
        <v>-370.64705882353633</v>
      </c>
      <c r="AC16" s="182">
        <f t="shared" si="15"/>
        <v>0.82392063713846253</v>
      </c>
      <c r="AD16" s="411">
        <f>AC26</f>
        <v>0.88210780195057836</v>
      </c>
    </row>
    <row r="17" spans="1:30" ht="15" customHeight="1">
      <c r="A17" s="440"/>
      <c r="B17" s="56" t="s">
        <v>45</v>
      </c>
      <c r="C17" s="10"/>
      <c r="D17" s="11" t="s">
        <v>40</v>
      </c>
      <c r="E17" s="86"/>
      <c r="F17" s="56">
        <f>VLOOKUP(D17,廠價表!$C$1:$E$40,3,0)</f>
        <v>50.67</v>
      </c>
      <c r="G17" s="96">
        <v>2182</v>
      </c>
      <c r="H17" s="15">
        <f t="shared" si="16"/>
        <v>110561.94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7"/>
        <v>153.84615384615384</v>
      </c>
      <c r="M17" s="37">
        <v>13</v>
      </c>
      <c r="N17" s="36">
        <f>G17/W17*60</f>
        <v>1843.9436619718149</v>
      </c>
      <c r="O17" s="38">
        <f t="shared" ref="O17:O18" si="20">N17/M17</f>
        <v>141.84182015167806</v>
      </c>
      <c r="P17" s="39">
        <f t="shared" si="11"/>
        <v>0</v>
      </c>
      <c r="Q17" s="40">
        <f t="shared" si="12"/>
        <v>-12.004333694475775</v>
      </c>
      <c r="R17" s="188">
        <f t="shared" si="13"/>
        <v>0.9219718309859074</v>
      </c>
      <c r="S17" s="432"/>
      <c r="T17" s="44">
        <v>0.35347222222222202</v>
      </c>
      <c r="U17" s="44">
        <v>0.40277777777777801</v>
      </c>
      <c r="V17" s="175">
        <f>(T17-U16)*24*60</f>
        <v>9.000000000000048</v>
      </c>
      <c r="W17" s="43">
        <f t="shared" si="19"/>
        <v>71.000000000000625</v>
      </c>
      <c r="X17" s="44"/>
      <c r="Y17" s="44"/>
      <c r="Z17" s="405"/>
      <c r="AA17" s="405"/>
      <c r="AB17" s="18">
        <f t="shared" si="14"/>
        <v>-156.05633802818511</v>
      </c>
      <c r="AC17" s="183">
        <f t="shared" si="15"/>
        <v>0.9219718309859074</v>
      </c>
      <c r="AD17" s="412"/>
    </row>
    <row r="18" spans="1:30" ht="15" customHeight="1">
      <c r="A18" s="440"/>
      <c r="B18" s="56" t="s">
        <v>45</v>
      </c>
      <c r="C18" s="10"/>
      <c r="D18" s="11" t="s">
        <v>41</v>
      </c>
      <c r="E18" s="86"/>
      <c r="F18" s="56">
        <f>VLOOKUP(D18,廠價表!$C$1:$E$40,3,0)</f>
        <v>50.39</v>
      </c>
      <c r="G18" s="96">
        <v>3312</v>
      </c>
      <c r="H18" s="15">
        <f t="shared" si="16"/>
        <v>166891.68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7"/>
        <v>166.66666666666666</v>
      </c>
      <c r="M18" s="37">
        <v>12</v>
      </c>
      <c r="N18" s="36">
        <f t="shared" si="18"/>
        <v>1774.285714285709</v>
      </c>
      <c r="O18" s="38">
        <f t="shared" si="20"/>
        <v>147.85714285714241</v>
      </c>
      <c r="P18" s="39">
        <f t="shared" si="11"/>
        <v>0</v>
      </c>
      <c r="Q18" s="40">
        <f t="shared" si="12"/>
        <v>-18.809523809524251</v>
      </c>
      <c r="R18" s="188">
        <f t="shared" si="13"/>
        <v>0.88714285714285446</v>
      </c>
      <c r="S18" s="432"/>
      <c r="T18" s="44">
        <v>0.40833333333333299</v>
      </c>
      <c r="U18" s="44">
        <v>0.48611111111111099</v>
      </c>
      <c r="V18" s="175">
        <f>(T18-U17)*24*60</f>
        <v>7.9999999999991722</v>
      </c>
      <c r="W18" s="43">
        <f t="shared" si="19"/>
        <v>112.00000000000033</v>
      </c>
      <c r="X18" s="22">
        <v>0.48611111111111099</v>
      </c>
      <c r="Y18" s="260">
        <v>0.52777777777777801</v>
      </c>
      <c r="Z18" s="405"/>
      <c r="AA18" s="405"/>
      <c r="AB18" s="18">
        <f t="shared" si="14"/>
        <v>-225.71428571429101</v>
      </c>
      <c r="AC18" s="183">
        <f t="shared" si="15"/>
        <v>0.88714285714285446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1318</v>
      </c>
      <c r="H19" s="15">
        <f t="shared" si="16"/>
        <v>66414.02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>K19/J19</f>
        <v>166.66666666666666</v>
      </c>
      <c r="M19" s="37">
        <v>11</v>
      </c>
      <c r="N19" s="36">
        <f>G19/W19*60</f>
        <v>1647.5000000000168</v>
      </c>
      <c r="O19" s="38">
        <f>N19/M19</f>
        <v>149.77272727272882</v>
      </c>
      <c r="P19" s="39">
        <f>M19-J19</f>
        <v>-1</v>
      </c>
      <c r="Q19" s="40">
        <f>O19-L19</f>
        <v>-16.893939393937842</v>
      </c>
      <c r="R19" s="188">
        <f>O19/L19</f>
        <v>0.89863636363637289</v>
      </c>
      <c r="S19" s="432"/>
      <c r="T19" s="44">
        <v>0.54861111111111105</v>
      </c>
      <c r="U19" s="44">
        <v>0.58194444444444404</v>
      </c>
      <c r="V19" s="175">
        <f>(T19-U18)*24*60</f>
        <v>90.000000000000085</v>
      </c>
      <c r="W19" s="43">
        <f t="shared" si="19"/>
        <v>47.99999999999951</v>
      </c>
      <c r="X19" s="22"/>
      <c r="Y19" s="260"/>
      <c r="Z19" s="475"/>
      <c r="AA19" s="476"/>
      <c r="AB19" s="18">
        <f t="shared" si="14"/>
        <v>-352.49999999998317</v>
      </c>
      <c r="AC19" s="183">
        <f t="shared" si="15"/>
        <v>0.82375000000000842</v>
      </c>
      <c r="AD19" s="413"/>
    </row>
    <row r="20" spans="1:30" ht="15" customHeight="1">
      <c r="A20" s="440"/>
      <c r="B20" s="56" t="s">
        <v>45</v>
      </c>
      <c r="C20" s="10"/>
      <c r="D20" s="11" t="s">
        <v>40</v>
      </c>
      <c r="E20" s="86"/>
      <c r="F20" s="56">
        <f>VLOOKUP(D20,廠價表!$C$1:$E$40,3,0)</f>
        <v>50.67</v>
      </c>
      <c r="G20" s="96">
        <v>1499</v>
      </c>
      <c r="H20" s="15">
        <f t="shared" si="16"/>
        <v>75954.33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>K20/J20</f>
        <v>153.84615384615384</v>
      </c>
      <c r="M20" s="37">
        <v>13</v>
      </c>
      <c r="N20" s="36">
        <f>G20/W20*60</f>
        <v>1913.6170212765894</v>
      </c>
      <c r="O20" s="38">
        <f>N20/M20</f>
        <v>147.20130932896842</v>
      </c>
      <c r="P20" s="39">
        <f>M20-J20</f>
        <v>0</v>
      </c>
      <c r="Q20" s="40">
        <f>O20-L20</f>
        <v>-6.6448445171854189</v>
      </c>
      <c r="R20" s="188">
        <f>O20/L20</f>
        <v>0.95680851063829475</v>
      </c>
      <c r="S20" s="432"/>
      <c r="T20" s="44">
        <v>0.58888888888888902</v>
      </c>
      <c r="U20" s="44">
        <v>0.62152777777777801</v>
      </c>
      <c r="V20" s="175">
        <f>(T20-U19)*24*60</f>
        <v>10.000000000000764</v>
      </c>
      <c r="W20" s="43">
        <f t="shared" si="19"/>
        <v>47.000000000000156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9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9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9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9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1">AVERAGE(J16:J25)</f>
        <v>12.6</v>
      </c>
      <c r="K26" s="133">
        <f t="shared" si="21"/>
        <v>2021</v>
      </c>
      <c r="L26" s="136">
        <f t="shared" si="21"/>
        <v>160.58974358974359</v>
      </c>
      <c r="M26" s="133">
        <f t="shared" si="21"/>
        <v>12.4</v>
      </c>
      <c r="N26" s="133">
        <f t="shared" si="21"/>
        <v>1782.7398677421188</v>
      </c>
      <c r="O26" s="136">
        <f t="shared" si="21"/>
        <v>144.0169528632799</v>
      </c>
      <c r="P26" s="137">
        <f t="shared" ref="P26:P30" si="22">M26-J26</f>
        <v>-0.19999999999999929</v>
      </c>
      <c r="Q26" s="138">
        <f t="shared" ref="Q26:Q30" si="23">O26-L26</f>
        <v>-16.572790726463694</v>
      </c>
      <c r="R26" s="139">
        <f>O26/L26</f>
        <v>0.89680044094969125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 t="shared" ref="AB26:AB31" si="24">N26-K26</f>
        <v>-238.2601322578812</v>
      </c>
      <c r="AC26" s="185">
        <f t="shared" ref="AC26:AC31" si="25">N26/K26</f>
        <v>0.88210780195057836</v>
      </c>
      <c r="AD26" s="414"/>
    </row>
    <row r="27" spans="1:30" ht="15" customHeight="1">
      <c r="A27" s="428" t="s">
        <v>44</v>
      </c>
      <c r="B27" s="227" t="s">
        <v>45</v>
      </c>
      <c r="C27" s="101"/>
      <c r="D27" s="330" t="s">
        <v>142</v>
      </c>
      <c r="E27" s="103"/>
      <c r="F27" s="197">
        <f>VLOOKUP(D27,廠價表!$C$1:$E$40,3,0)</f>
        <v>57.3</v>
      </c>
      <c r="G27" s="266">
        <v>2499</v>
      </c>
      <c r="H27" s="124">
        <f t="shared" ref="H27:H47" si="26">F27*G27</f>
        <v>143192.69999999998</v>
      </c>
      <c r="I27" s="125"/>
      <c r="J27" s="16">
        <f>VLOOKUP(D27,產線配置圖!$A$3:$C$39,2,0)</f>
        <v>15</v>
      </c>
      <c r="K27" s="14">
        <f>VLOOKUP(D27,產線配置圖!$A$3:$C$39,3,0)</f>
        <v>1440</v>
      </c>
      <c r="L27" s="108">
        <f>K27/J27</f>
        <v>96</v>
      </c>
      <c r="M27" s="143">
        <v>14</v>
      </c>
      <c r="N27" s="126">
        <f>G27/W27*60</f>
        <v>1303.8260869565238</v>
      </c>
      <c r="O27" s="127">
        <f>N27/M27</f>
        <v>93.130434782608845</v>
      </c>
      <c r="P27" s="128">
        <f t="shared" si="22"/>
        <v>-1</v>
      </c>
      <c r="Q27" s="129">
        <f t="shared" si="23"/>
        <v>-2.8695652173911554</v>
      </c>
      <c r="R27" s="187">
        <f>O27/L27</f>
        <v>0.9701086956521755</v>
      </c>
      <c r="S27" s="431">
        <f>R37</f>
        <v>0.95407432034793327</v>
      </c>
      <c r="T27" s="94">
        <v>0.29166666666666702</v>
      </c>
      <c r="U27" s="94">
        <v>0.37152777777777801</v>
      </c>
      <c r="V27" s="125"/>
      <c r="W27" s="130">
        <f t="shared" si="19"/>
        <v>114.99999999999983</v>
      </c>
      <c r="X27" s="125"/>
      <c r="Y27" s="125" t="s">
        <v>47</v>
      </c>
      <c r="Z27" s="434"/>
      <c r="AA27" s="425"/>
      <c r="AB27" s="223">
        <f t="shared" si="24"/>
        <v>-136.1739130434762</v>
      </c>
      <c r="AC27" s="288">
        <f t="shared" si="25"/>
        <v>0.90543478260869703</v>
      </c>
      <c r="AD27" s="411">
        <f>AC37</f>
        <v>0.87769233655633461</v>
      </c>
    </row>
    <row r="28" spans="1:30" ht="15" customHeight="1">
      <c r="A28" s="429"/>
      <c r="B28" s="56" t="s">
        <v>45</v>
      </c>
      <c r="C28" s="235"/>
      <c r="D28" s="11" t="s">
        <v>48</v>
      </c>
      <c r="E28" s="29"/>
      <c r="F28" s="56">
        <f>VLOOKUP(D28,廠價表!$C$1:$E$40,3,0)</f>
        <v>55.13</v>
      </c>
      <c r="G28" s="53">
        <v>1585</v>
      </c>
      <c r="H28" s="50">
        <f t="shared" si="26"/>
        <v>87381.05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16</v>
      </c>
      <c r="N28" s="36">
        <f>G28/W28*60</f>
        <v>1219.2307692307609</v>
      </c>
      <c r="O28" s="38">
        <f>N28/M28</f>
        <v>76.201923076922554</v>
      </c>
      <c r="P28" s="39">
        <f t="shared" si="22"/>
        <v>-2</v>
      </c>
      <c r="Q28" s="40">
        <f t="shared" si="23"/>
        <v>-0.74252136752188846</v>
      </c>
      <c r="R28" s="188">
        <f t="shared" ref="R28:R30" si="27">O28/L28</f>
        <v>0.99034990280476964</v>
      </c>
      <c r="S28" s="432"/>
      <c r="T28" s="44">
        <v>0.38124999999999998</v>
      </c>
      <c r="U28" s="44">
        <v>0.43541666666666701</v>
      </c>
      <c r="V28" s="42">
        <f>(T28-U27)*24*60</f>
        <v>13.999999999999631</v>
      </c>
      <c r="W28" s="43">
        <f t="shared" si="19"/>
        <v>78.000000000000526</v>
      </c>
      <c r="X28" s="54"/>
      <c r="Y28" s="54"/>
      <c r="Z28" s="418"/>
      <c r="AA28" s="417"/>
      <c r="AB28" s="39">
        <f t="shared" si="24"/>
        <v>-165.76923076923913</v>
      </c>
      <c r="AC28" s="188">
        <f t="shared" si="25"/>
        <v>0.88031102471535083</v>
      </c>
      <c r="AD28" s="444"/>
    </row>
    <row r="29" spans="1:30" ht="15" customHeight="1">
      <c r="A29" s="429"/>
      <c r="B29" s="56" t="s">
        <v>182</v>
      </c>
      <c r="C29" s="235"/>
      <c r="D29" s="11" t="s">
        <v>166</v>
      </c>
      <c r="E29" s="29"/>
      <c r="F29" s="56">
        <f>VLOOKUP(D29,廠價表!$C$1:$E$40,3,0)</f>
        <v>49.52</v>
      </c>
      <c r="G29" s="53">
        <v>1126</v>
      </c>
      <c r="H29" s="50">
        <f t="shared" si="26"/>
        <v>55759.520000000004</v>
      </c>
      <c r="I29" s="42"/>
      <c r="J29" s="16">
        <f>VLOOKUP(D29,產線配置圖!$A$3:$C$39,2,0)</f>
        <v>18</v>
      </c>
      <c r="K29" s="14">
        <f>VLOOKUP(D29,產線配置圖!$A$3:$C$39,3,0)</f>
        <v>1440</v>
      </c>
      <c r="L29" s="233">
        <f>K29/J29</f>
        <v>80</v>
      </c>
      <c r="M29" s="21">
        <v>16</v>
      </c>
      <c r="N29" s="36">
        <f>G29/W29*60</f>
        <v>1228.3636363636174</v>
      </c>
      <c r="O29" s="38">
        <f>N29/M29</f>
        <v>76.772727272726087</v>
      </c>
      <c r="P29" s="39">
        <f t="shared" si="22"/>
        <v>-2</v>
      </c>
      <c r="Q29" s="40">
        <f t="shared" si="23"/>
        <v>-3.2272727272739132</v>
      </c>
      <c r="R29" s="188">
        <f t="shared" si="27"/>
        <v>0.95965909090907608</v>
      </c>
      <c r="S29" s="432"/>
      <c r="T29" s="44">
        <v>0.44444444444444398</v>
      </c>
      <c r="U29" s="44">
        <v>0.48263888888888901</v>
      </c>
      <c r="V29" s="42">
        <f>(T29-U28)*24*60</f>
        <v>12.999999999998835</v>
      </c>
      <c r="W29" s="43">
        <f t="shared" si="19"/>
        <v>55.000000000000846</v>
      </c>
      <c r="X29" s="22"/>
      <c r="Y29" s="22"/>
      <c r="Z29" s="418"/>
      <c r="AA29" s="417"/>
      <c r="AB29" s="289">
        <f t="shared" si="24"/>
        <v>-211.63636363638261</v>
      </c>
      <c r="AC29" s="188">
        <f t="shared" si="25"/>
        <v>0.85303030303028982</v>
      </c>
      <c r="AD29" s="444"/>
    </row>
    <row r="30" spans="1:30" ht="15" customHeight="1">
      <c r="A30" s="429"/>
      <c r="B30" s="56" t="s">
        <v>182</v>
      </c>
      <c r="C30" s="249"/>
      <c r="D30" s="11" t="s">
        <v>166</v>
      </c>
      <c r="E30" s="251"/>
      <c r="F30" s="56">
        <f>VLOOKUP(D30,廠價表!$C$1:$E$40,3,0)</f>
        <v>49.52</v>
      </c>
      <c r="G30" s="53">
        <v>1026</v>
      </c>
      <c r="H30" s="50">
        <f t="shared" si="26"/>
        <v>50807.520000000004</v>
      </c>
      <c r="I30" s="42"/>
      <c r="J30" s="16">
        <f>VLOOKUP(D30,產線配置圖!$A$3:$C$39,2,0)</f>
        <v>18</v>
      </c>
      <c r="K30" s="14">
        <f>VLOOKUP(D30,產線配置圖!$A$3:$C$39,3,0)</f>
        <v>1440</v>
      </c>
      <c r="L30" s="233">
        <f>K30/J30</f>
        <v>80</v>
      </c>
      <c r="M30" s="21">
        <v>16</v>
      </c>
      <c r="N30" s="36">
        <f>G30/W30*60</f>
        <v>1161.5094339622788</v>
      </c>
      <c r="O30" s="38">
        <f>N30/M30</f>
        <v>72.594339622642423</v>
      </c>
      <c r="P30" s="39">
        <f t="shared" si="22"/>
        <v>-2</v>
      </c>
      <c r="Q30" s="40">
        <f t="shared" si="23"/>
        <v>-7.4056603773575773</v>
      </c>
      <c r="R30" s="188">
        <f t="shared" si="27"/>
        <v>0.90742924528303026</v>
      </c>
      <c r="S30" s="432"/>
      <c r="T30" s="44">
        <v>0.54513888888888895</v>
      </c>
      <c r="U30" s="44">
        <v>0.58194444444444404</v>
      </c>
      <c r="V30" s="42">
        <f>(T30-U29)*24*60</f>
        <v>89.999999999999915</v>
      </c>
      <c r="W30" s="43">
        <f t="shared" si="19"/>
        <v>52.999999999999332</v>
      </c>
      <c r="X30" s="54">
        <v>0.49652777777777801</v>
      </c>
      <c r="Y30" s="54">
        <v>0.53819444444444398</v>
      </c>
      <c r="Z30" s="418"/>
      <c r="AA30" s="417"/>
      <c r="AB30" s="289">
        <f t="shared" si="24"/>
        <v>-278.49056603772124</v>
      </c>
      <c r="AC30" s="188">
        <f t="shared" si="25"/>
        <v>0.80660377358491586</v>
      </c>
      <c r="AD30" s="445"/>
    </row>
    <row r="31" spans="1:30" ht="15" customHeight="1">
      <c r="A31" s="429"/>
      <c r="B31" s="56" t="s">
        <v>45</v>
      </c>
      <c r="C31" s="249"/>
      <c r="D31" s="11" t="s">
        <v>142</v>
      </c>
      <c r="E31" s="251"/>
      <c r="F31" s="56">
        <f>VLOOKUP(D31,廠價表!$C$1:$E$40,3,0)</f>
        <v>57.3</v>
      </c>
      <c r="G31" s="53">
        <v>1494</v>
      </c>
      <c r="H31" s="50">
        <f t="shared" si="26"/>
        <v>85606.2</v>
      </c>
      <c r="I31" s="42"/>
      <c r="J31" s="16">
        <f>VLOOKUP(D31,產線配置圖!$A$3:$C$39,2,0)</f>
        <v>15</v>
      </c>
      <c r="K31" s="14">
        <f>VLOOKUP(D31,產線配置圖!$A$3:$C$39,3,0)</f>
        <v>1440</v>
      </c>
      <c r="L31" s="233">
        <f>K31/J31</f>
        <v>96</v>
      </c>
      <c r="M31" s="21">
        <v>15</v>
      </c>
      <c r="N31" s="36">
        <f>G31/W31*60</f>
        <v>1358.1818181818294</v>
      </c>
      <c r="O31" s="38">
        <f>N31/M31</f>
        <v>90.545454545455286</v>
      </c>
      <c r="P31" s="39">
        <f>M31-J31</f>
        <v>0</v>
      </c>
      <c r="Q31" s="40">
        <f>O31-L31</f>
        <v>-5.4545454545447143</v>
      </c>
      <c r="R31" s="188">
        <f>O31/L31</f>
        <v>0.94318181818182589</v>
      </c>
      <c r="S31" s="432"/>
      <c r="T31" s="44">
        <v>0.593055555555556</v>
      </c>
      <c r="U31" s="44">
        <v>0.63888888888888895</v>
      </c>
      <c r="V31" s="42"/>
      <c r="W31" s="43">
        <f t="shared" si="19"/>
        <v>65.999999999999446</v>
      </c>
      <c r="X31" s="54"/>
      <c r="Y31" s="54"/>
      <c r="Z31" s="426"/>
      <c r="AA31" s="446"/>
      <c r="AB31" s="289">
        <f t="shared" si="24"/>
        <v>-81.818181818170615</v>
      </c>
      <c r="AC31" s="188">
        <f t="shared" si="25"/>
        <v>0.943181818181826</v>
      </c>
      <c r="AD31" s="413"/>
    </row>
    <row r="32" spans="1:30" ht="15" customHeight="1">
      <c r="A32" s="429"/>
      <c r="B32" s="56"/>
      <c r="C32" s="27"/>
      <c r="D32" s="239"/>
      <c r="E32" s="275"/>
      <c r="F32" s="56"/>
      <c r="G32" s="53"/>
      <c r="H32" s="50"/>
      <c r="I32" s="42"/>
      <c r="J32" s="16"/>
      <c r="K32" s="14"/>
      <c r="L32" s="23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9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56"/>
      <c r="C33" s="238"/>
      <c r="D33" s="11"/>
      <c r="E33" s="240"/>
      <c r="F33" s="56"/>
      <c r="G33" s="53"/>
      <c r="H33" s="50"/>
      <c r="I33" s="42"/>
      <c r="J33" s="16"/>
      <c r="K33" s="14"/>
      <c r="L33" s="233"/>
      <c r="M33" s="21"/>
      <c r="N33" s="36"/>
      <c r="O33" s="38"/>
      <c r="P33" s="39"/>
      <c r="Q33" s="40"/>
      <c r="R33" s="188"/>
      <c r="S33" s="432"/>
      <c r="T33" s="41"/>
      <c r="U33" s="41"/>
      <c r="V33" s="42"/>
      <c r="W33" s="43">
        <f t="shared" si="19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56"/>
      <c r="C34" s="235"/>
      <c r="D34" s="11"/>
      <c r="E34" s="29"/>
      <c r="F34" s="56"/>
      <c r="G34" s="53"/>
      <c r="H34" s="50"/>
      <c r="I34" s="42"/>
      <c r="J34" s="16"/>
      <c r="K34" s="14"/>
      <c r="L34" s="233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9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56"/>
      <c r="C35" s="235"/>
      <c r="D35" s="11"/>
      <c r="E35" s="29"/>
      <c r="F35" s="56"/>
      <c r="G35" s="53"/>
      <c r="H35" s="50"/>
      <c r="I35" s="42"/>
      <c r="J35" s="16"/>
      <c r="K35" s="14"/>
      <c r="L35" s="233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9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6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9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8">AVERAGE(J27:J36)</f>
        <v>16.8</v>
      </c>
      <c r="K37" s="282">
        <f t="shared" si="28"/>
        <v>1429</v>
      </c>
      <c r="L37" s="283">
        <f t="shared" si="28"/>
        <v>85.788888888888891</v>
      </c>
      <c r="M37" s="282">
        <f t="shared" si="28"/>
        <v>15.4</v>
      </c>
      <c r="N37" s="282">
        <f t="shared" si="28"/>
        <v>1254.2223489390021</v>
      </c>
      <c r="O37" s="283">
        <f t="shared" si="28"/>
        <v>81.848975860071036</v>
      </c>
      <c r="P37" s="73">
        <f>M37-J37</f>
        <v>-1.4000000000000004</v>
      </c>
      <c r="Q37" s="74">
        <f>N37-K37</f>
        <v>-174.77765106099787</v>
      </c>
      <c r="R37" s="284">
        <f t="shared" ref="R37:R40" si="29">O37/L37</f>
        <v>0.95407432034793327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30">N37-K37</f>
        <v>-174.77765106099787</v>
      </c>
      <c r="AC37" s="184">
        <f t="shared" ref="AC37:AC41" si="31">N37/K37</f>
        <v>0.87769233655633461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2909</v>
      </c>
      <c r="H38" s="124">
        <f t="shared" si="26"/>
        <v>166685.69999999998</v>
      </c>
      <c r="I38" s="125"/>
      <c r="J38" s="331">
        <f>VLOOKUP(D38,產線配置圖!$A$3:$C$39,2,0)</f>
        <v>15</v>
      </c>
      <c r="K38" s="234">
        <f>VLOOKUP(D38,產線配置圖!$A$3:$C$39,3,0)</f>
        <v>1385</v>
      </c>
      <c r="L38" s="285">
        <f t="shared" ref="L38:L40" si="32">K38/J38</f>
        <v>92.333333333333329</v>
      </c>
      <c r="M38" s="286">
        <v>12</v>
      </c>
      <c r="N38" s="126">
        <f>G38/W38*60</f>
        <v>1090.8750000000011</v>
      </c>
      <c r="O38" s="127">
        <f>N38/M38</f>
        <v>90.906250000000099</v>
      </c>
      <c r="P38" s="128">
        <f t="shared" ref="P38:P40" si="33">M38-J38</f>
        <v>-3</v>
      </c>
      <c r="Q38" s="129">
        <f t="shared" ref="Q38:Q40" si="34">O38-L38</f>
        <v>-1.4270833333332291</v>
      </c>
      <c r="R38" s="187">
        <f>O38/L38</f>
        <v>0.98454422382671591</v>
      </c>
      <c r="S38" s="460">
        <f>R48</f>
        <v>0.98543855872974517</v>
      </c>
      <c r="T38" s="348">
        <v>0.33333333333333298</v>
      </c>
      <c r="U38" s="348">
        <v>0.44444444444444398</v>
      </c>
      <c r="V38" s="146"/>
      <c r="W38" s="150">
        <f t="shared" si="19"/>
        <v>159.99999999999983</v>
      </c>
      <c r="X38" s="148"/>
      <c r="Y38" s="151"/>
      <c r="Z38" s="484"/>
      <c r="AA38" s="485"/>
      <c r="AB38" s="287">
        <f t="shared" si="30"/>
        <v>-294.12499999999886</v>
      </c>
      <c r="AC38" s="152">
        <f t="shared" si="31"/>
        <v>0.78763537906137271</v>
      </c>
      <c r="AD38" s="447">
        <f>AC48</f>
        <v>0.88567337637094135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1410</v>
      </c>
      <c r="H39" s="50">
        <f t="shared" si="26"/>
        <v>79566.3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2"/>
        <v>93.733333333333334</v>
      </c>
      <c r="M39" s="65">
        <v>15</v>
      </c>
      <c r="N39" s="66">
        <f>G39/W39*60</f>
        <v>1386.8852459016423</v>
      </c>
      <c r="O39" s="67">
        <f t="shared" ref="O39:O40" si="35">N39/M39</f>
        <v>92.459016393442823</v>
      </c>
      <c r="P39" s="39">
        <f t="shared" si="33"/>
        <v>0</v>
      </c>
      <c r="Q39" s="40">
        <f t="shared" si="34"/>
        <v>-1.274316939890511</v>
      </c>
      <c r="R39" s="188">
        <f t="shared" si="29"/>
        <v>0.98640486906233449</v>
      </c>
      <c r="S39" s="461"/>
      <c r="T39" s="349">
        <v>0.45</v>
      </c>
      <c r="U39" s="349">
        <v>0.49236111111111103</v>
      </c>
      <c r="V39" s="42">
        <f>(T39-U38)*24*60</f>
        <v>8.000000000000691</v>
      </c>
      <c r="W39" s="69">
        <f t="shared" si="19"/>
        <v>60.999999999999865</v>
      </c>
      <c r="X39" s="22"/>
      <c r="Y39" s="22"/>
      <c r="Z39" s="450"/>
      <c r="AA39" s="451"/>
      <c r="AB39" s="268">
        <f t="shared" si="30"/>
        <v>-19.114754098357707</v>
      </c>
      <c r="AC39" s="61">
        <f t="shared" si="31"/>
        <v>0.98640486906233449</v>
      </c>
      <c r="AD39" s="448"/>
    </row>
    <row r="40" spans="1:30" s="62" customFormat="1" ht="15" customHeight="1">
      <c r="A40" s="458"/>
      <c r="B40" s="56" t="s">
        <v>182</v>
      </c>
      <c r="C40" s="272"/>
      <c r="D40" s="276" t="s">
        <v>167</v>
      </c>
      <c r="E40" s="240"/>
      <c r="F40" s="56">
        <f>VLOOKUP(D40,廠價表!$C$1:$E$40,3,0)</f>
        <v>44.3</v>
      </c>
      <c r="G40" s="273">
        <v>2666</v>
      </c>
      <c r="H40" s="50">
        <f t="shared" si="26"/>
        <v>118103.79999999999</v>
      </c>
      <c r="I40" s="64"/>
      <c r="J40" s="37">
        <f>VLOOKUP(D40,產線配置圖!$A$3:$C$39,2,0)</f>
        <v>19</v>
      </c>
      <c r="K40" s="36">
        <f>VLOOKUP(D40,產線配置圖!$A$3:$C$39,3,0)</f>
        <v>1440</v>
      </c>
      <c r="L40" s="38">
        <f t="shared" si="32"/>
        <v>75.78947368421052</v>
      </c>
      <c r="M40" s="65">
        <v>17</v>
      </c>
      <c r="N40" s="66">
        <f>G40/W40*60</f>
        <v>1269.5238095238092</v>
      </c>
      <c r="O40" s="67">
        <f t="shared" si="35"/>
        <v>74.67787114845936</v>
      </c>
      <c r="P40" s="39">
        <f t="shared" si="33"/>
        <v>-2</v>
      </c>
      <c r="Q40" s="40">
        <f t="shared" si="34"/>
        <v>-1.1116025357511603</v>
      </c>
      <c r="R40" s="188">
        <f t="shared" si="29"/>
        <v>0.98533302209772777</v>
      </c>
      <c r="S40" s="420"/>
      <c r="T40" s="349">
        <v>0.55694444444444402</v>
      </c>
      <c r="U40" s="349">
        <v>0.64444444444444404</v>
      </c>
      <c r="V40" s="42">
        <f>(T40-U39)*24*60</f>
        <v>92.999999999999517</v>
      </c>
      <c r="W40" s="69">
        <f t="shared" si="19"/>
        <v>126.00000000000003</v>
      </c>
      <c r="X40" s="70"/>
      <c r="Y40" s="256"/>
      <c r="Z40" s="480"/>
      <c r="AA40" s="483"/>
      <c r="AB40" s="268">
        <f t="shared" si="30"/>
        <v>-170.47619047619082</v>
      </c>
      <c r="AC40" s="61">
        <f t="shared" si="31"/>
        <v>0.88161375661375641</v>
      </c>
      <c r="AD40" s="448"/>
    </row>
    <row r="41" spans="1:30" s="62" customFormat="1" ht="15" customHeight="1">
      <c r="A41" s="458"/>
      <c r="B41" s="56"/>
      <c r="C41" s="272"/>
      <c r="D41" s="276"/>
      <c r="E41" s="240"/>
      <c r="F41" s="56"/>
      <c r="G41" s="273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88"/>
      <c r="S41" s="420"/>
      <c r="T41" s="349"/>
      <c r="U41" s="350"/>
      <c r="V41" s="42"/>
      <c r="W41" s="69">
        <f t="shared" si="19"/>
        <v>0</v>
      </c>
      <c r="X41" s="70">
        <v>0.49305555555555602</v>
      </c>
      <c r="Y41" s="256">
        <v>0.53472222222222199</v>
      </c>
      <c r="Z41" s="480"/>
      <c r="AA41" s="483"/>
      <c r="AB41" s="268">
        <f t="shared" si="30"/>
        <v>0</v>
      </c>
      <c r="AC41" s="61" t="e">
        <f t="shared" si="31"/>
        <v>#DIV/0!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350"/>
      <c r="U42" s="350"/>
      <c r="V42" s="42"/>
      <c r="W42" s="69">
        <f t="shared" si="19"/>
        <v>0</v>
      </c>
      <c r="X42" s="70"/>
      <c r="Y42" s="60"/>
      <c r="Z42" s="480"/>
      <c r="AA42" s="483"/>
      <c r="AB42" s="268"/>
      <c r="AC42" s="61"/>
      <c r="AD42" s="448"/>
    </row>
    <row r="43" spans="1:30" s="62" customFormat="1" ht="15" customHeight="1">
      <c r="A43" s="458"/>
      <c r="B43" s="56"/>
      <c r="C43" s="27"/>
      <c r="D43" s="276"/>
      <c r="E43" s="29"/>
      <c r="F43" s="56"/>
      <c r="G43" s="66"/>
      <c r="H43" s="50"/>
      <c r="I43" s="64"/>
      <c r="J43" s="37"/>
      <c r="K43" s="36"/>
      <c r="L43" s="38"/>
      <c r="M43" s="65"/>
      <c r="N43" s="66"/>
      <c r="O43" s="67"/>
      <c r="P43" s="39"/>
      <c r="Q43" s="40"/>
      <c r="R43" s="188"/>
      <c r="S43" s="420"/>
      <c r="T43" s="350"/>
      <c r="U43" s="350"/>
      <c r="V43" s="42"/>
      <c r="W43" s="69">
        <f>(U43-T43)*24*60</f>
        <v>0</v>
      </c>
      <c r="X43" s="70"/>
      <c r="Y43" s="334"/>
      <c r="Z43" s="480"/>
      <c r="AA43" s="483"/>
      <c r="AB43" s="71"/>
      <c r="AC43" s="61"/>
      <c r="AD43" s="448"/>
    </row>
    <row r="44" spans="1:30" s="62" customFormat="1" ht="15" customHeight="1">
      <c r="A44" s="458"/>
      <c r="B44" s="56"/>
      <c r="C44" s="23"/>
      <c r="D44" s="276"/>
      <c r="E44" s="12"/>
      <c r="F44" s="56"/>
      <c r="G44" s="273"/>
      <c r="H44" s="50"/>
      <c r="I44" s="64"/>
      <c r="J44" s="37"/>
      <c r="K44" s="36"/>
      <c r="L44" s="38"/>
      <c r="M44" s="65"/>
      <c r="N44" s="66"/>
      <c r="O44" s="67"/>
      <c r="P44" s="39"/>
      <c r="Q44" s="40"/>
      <c r="R44" s="188"/>
      <c r="S44" s="420"/>
      <c r="T44" s="350"/>
      <c r="U44" s="350"/>
      <c r="V44" s="42"/>
      <c r="W44" s="69">
        <f t="shared" ref="W44:W48" si="36">(U44-T44)*24*60</f>
        <v>0</v>
      </c>
      <c r="X44" s="70"/>
      <c r="Y44" s="67"/>
      <c r="Z44" s="480"/>
      <c r="AA44" s="483"/>
      <c r="AB44" s="71"/>
      <c r="AC44" s="61"/>
      <c r="AD44" s="448"/>
    </row>
    <row r="45" spans="1:30" s="62" customFormat="1" ht="15" customHeight="1">
      <c r="A45" s="458"/>
      <c r="B45" s="56"/>
      <c r="C45" s="23"/>
      <c r="D45" s="276"/>
      <c r="E45" s="12"/>
      <c r="F45" s="56"/>
      <c r="G45" s="273"/>
      <c r="H45" s="50"/>
      <c r="I45" s="64"/>
      <c r="J45" s="37"/>
      <c r="K45" s="36"/>
      <c r="L45" s="38"/>
      <c r="M45" s="65"/>
      <c r="N45" s="66"/>
      <c r="O45" s="67"/>
      <c r="P45" s="39"/>
      <c r="Q45" s="40"/>
      <c r="R45" s="188"/>
      <c r="S45" s="420"/>
      <c r="T45" s="350"/>
      <c r="U45" s="350"/>
      <c r="V45" s="64"/>
      <c r="W45" s="69">
        <f t="shared" si="36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/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6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26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6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7">AVERAGE(J38:J47)</f>
        <v>16.333333333333332</v>
      </c>
      <c r="K48" s="133">
        <f t="shared" si="37"/>
        <v>1410.3333333333333</v>
      </c>
      <c r="L48" s="136">
        <f t="shared" si="37"/>
        <v>87.285380116959061</v>
      </c>
      <c r="M48" s="133">
        <f t="shared" si="37"/>
        <v>14.666666666666666</v>
      </c>
      <c r="N48" s="133">
        <f t="shared" si="37"/>
        <v>1249.0946851418175</v>
      </c>
      <c r="O48" s="136">
        <f t="shared" si="37"/>
        <v>86.014379180634094</v>
      </c>
      <c r="P48" s="155">
        <f>M48-J48</f>
        <v>-1.6666666666666661</v>
      </c>
      <c r="Q48" s="156">
        <f>N48-K48</f>
        <v>-161.23864819151572</v>
      </c>
      <c r="R48" s="157">
        <f>O48/L48</f>
        <v>0.98543855872974517</v>
      </c>
      <c r="S48" s="423"/>
      <c r="T48" s="158"/>
      <c r="U48" s="158"/>
      <c r="V48" s="194"/>
      <c r="W48" s="159">
        <f t="shared" si="36"/>
        <v>0</v>
      </c>
      <c r="X48" s="160"/>
      <c r="Y48" s="160"/>
      <c r="Z48" s="424"/>
      <c r="AA48" s="424"/>
      <c r="AB48" s="161">
        <f t="shared" ref="AB48:AB53" si="38">N48-K48</f>
        <v>-161.23864819151572</v>
      </c>
      <c r="AC48" s="189">
        <f t="shared" ref="AC48:AC53" si="39">N48/K48</f>
        <v>0.88567337637094135</v>
      </c>
      <c r="AD48" s="449"/>
    </row>
    <row r="49" spans="1:30" ht="15" customHeight="1">
      <c r="A49" s="454" t="s">
        <v>57</v>
      </c>
      <c r="B49" s="197" t="s">
        <v>45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1494</v>
      </c>
      <c r="H49" s="124">
        <f t="shared" ref="H49:H51" si="40">F49*G49</f>
        <v>84963.78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1211.351351351349</v>
      </c>
      <c r="O49" s="127">
        <f>N49/M49</f>
        <v>63.755334281649944</v>
      </c>
      <c r="P49" s="162">
        <f>M49-J49</f>
        <v>0</v>
      </c>
      <c r="Q49" s="111">
        <f>O49-L49</f>
        <v>-18.613086770981631</v>
      </c>
      <c r="R49" s="182">
        <f>O49/L49</f>
        <v>0.77402642258872145</v>
      </c>
      <c r="S49" s="419">
        <f>R58</f>
        <v>0.92798254139813907</v>
      </c>
      <c r="T49" s="348">
        <v>0.29166666666666702</v>
      </c>
      <c r="U49" s="348">
        <v>0.343055555555556</v>
      </c>
      <c r="V49" s="186"/>
      <c r="W49" s="150">
        <f t="shared" si="19"/>
        <v>74.000000000000142</v>
      </c>
      <c r="X49" s="186"/>
      <c r="Y49" s="186"/>
      <c r="Z49" s="425" t="s">
        <v>185</v>
      </c>
      <c r="AA49" s="425"/>
      <c r="AB49" s="110">
        <f t="shared" si="38"/>
        <v>-353.64864864865103</v>
      </c>
      <c r="AC49" s="182">
        <f t="shared" si="39"/>
        <v>0.77402642258872134</v>
      </c>
      <c r="AD49" s="411">
        <f>AC58</f>
        <v>0.92631706296380956</v>
      </c>
    </row>
    <row r="50" spans="1:30" ht="15" customHeight="1">
      <c r="A50" s="455"/>
      <c r="B50" s="56" t="s">
        <v>45</v>
      </c>
      <c r="C50" s="10"/>
      <c r="D50" s="11" t="s">
        <v>59</v>
      </c>
      <c r="E50" s="86"/>
      <c r="F50" s="56">
        <f>VLOOKUP(D50,廠價表!$C$1:$E$40,3,0)</f>
        <v>49.97</v>
      </c>
      <c r="G50" s="66">
        <v>3062</v>
      </c>
      <c r="H50" s="76">
        <f t="shared" si="40"/>
        <v>153008.13999999998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1597.5652173913068</v>
      </c>
      <c r="O50" s="78">
        <f>N50/M50</f>
        <v>88.753623188405925</v>
      </c>
      <c r="P50" s="18">
        <f>M50-J50</f>
        <v>0</v>
      </c>
      <c r="Q50" s="19">
        <f>O50-L50</f>
        <v>-0.13526570048296094</v>
      </c>
      <c r="R50" s="183">
        <f>O50/L50</f>
        <v>0.9984782608695667</v>
      </c>
      <c r="S50" s="420"/>
      <c r="T50" s="351">
        <v>0.34861111111111098</v>
      </c>
      <c r="U50" s="351">
        <v>0.42847222222222198</v>
      </c>
      <c r="V50" s="175">
        <f t="shared" ref="V50:V53" si="41">(T50-U49)*24*60</f>
        <v>7.9999999999991722</v>
      </c>
      <c r="W50" s="80">
        <f t="shared" si="19"/>
        <v>114.99999999999983</v>
      </c>
      <c r="X50" s="22"/>
      <c r="Y50" s="22"/>
      <c r="Z50" s="417"/>
      <c r="AA50" s="418"/>
      <c r="AB50" s="18">
        <f t="shared" si="38"/>
        <v>-2.43478260869324</v>
      </c>
      <c r="AC50" s="183">
        <f t="shared" si="39"/>
        <v>0.9984782608695667</v>
      </c>
      <c r="AD50" s="412"/>
    </row>
    <row r="51" spans="1:30" ht="15" customHeight="1">
      <c r="A51" s="455"/>
      <c r="B51" s="56" t="s">
        <v>182</v>
      </c>
      <c r="C51" s="10"/>
      <c r="D51" s="11" t="s">
        <v>46</v>
      </c>
      <c r="E51" s="86"/>
      <c r="F51" s="56">
        <f>VLOOKUP(D51,廠價表!$C$1:$E$40,3,0)</f>
        <v>49.91</v>
      </c>
      <c r="G51" s="66">
        <v>1501</v>
      </c>
      <c r="H51" s="76">
        <f t="shared" si="40"/>
        <v>74914.909999999989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>K51/J51</f>
        <v>92.058823529411768</v>
      </c>
      <c r="M51" s="172">
        <v>17</v>
      </c>
      <c r="N51" s="77">
        <f>G51/W51*60</f>
        <v>1385.5384615384578</v>
      </c>
      <c r="O51" s="78">
        <f>N51/M51</f>
        <v>81.502262443438696</v>
      </c>
      <c r="P51" s="18">
        <f>M51-J51</f>
        <v>0</v>
      </c>
      <c r="Q51" s="19">
        <f>O51-L51</f>
        <v>-10.556561085973073</v>
      </c>
      <c r="R51" s="183">
        <f>O51/L51</f>
        <v>0.88532809043990912</v>
      </c>
      <c r="S51" s="420"/>
      <c r="T51" s="351">
        <v>0.43402777777777801</v>
      </c>
      <c r="U51" s="44">
        <v>0.47916666666666702</v>
      </c>
      <c r="V51" s="175">
        <f t="shared" si="41"/>
        <v>8.000000000000691</v>
      </c>
      <c r="W51" s="80">
        <f t="shared" si="19"/>
        <v>65.000000000000171</v>
      </c>
      <c r="X51" s="22"/>
      <c r="Y51" s="22"/>
      <c r="Z51" s="405"/>
      <c r="AA51" s="405"/>
      <c r="AB51" s="18">
        <f t="shared" si="38"/>
        <v>-179.4615384615422</v>
      </c>
      <c r="AC51" s="183">
        <f t="shared" si="39"/>
        <v>0.88532809043990912</v>
      </c>
      <c r="AD51" s="412"/>
    </row>
    <row r="52" spans="1:30" ht="15" customHeight="1">
      <c r="A52" s="455"/>
      <c r="B52" s="56" t="s">
        <v>182</v>
      </c>
      <c r="C52" s="23"/>
      <c r="D52" s="11" t="s">
        <v>46</v>
      </c>
      <c r="E52" s="12"/>
      <c r="F52" s="56">
        <f>VLOOKUP(D52,廠價表!$C$1:$E$40,3,0)</f>
        <v>49.91</v>
      </c>
      <c r="G52" s="66">
        <v>1018</v>
      </c>
      <c r="H52" s="76">
        <f t="shared" ref="H52:H53" si="42">F52*G52</f>
        <v>50808.38</v>
      </c>
      <c r="I52" s="191"/>
      <c r="J52" s="16">
        <f>VLOOKUP(D52,產線配置圖!$A$3:$C$39,2,0)</f>
        <v>17</v>
      </c>
      <c r="K52" s="14">
        <f>VLOOKUP(D52,產線配置圖!$A$3:$C$39,3,0)</f>
        <v>1565</v>
      </c>
      <c r="L52" s="17">
        <f t="shared" ref="L52:L53" si="43">K52/J52</f>
        <v>92.058823529411768</v>
      </c>
      <c r="M52" s="172">
        <v>17</v>
      </c>
      <c r="N52" s="77">
        <f t="shared" ref="N52:N53" si="44">G52/W52*60</f>
        <v>1526.999999999987</v>
      </c>
      <c r="O52" s="78">
        <f>N52/M52</f>
        <v>89.823529411763943</v>
      </c>
      <c r="P52" s="18">
        <f>M52-J52</f>
        <v>0</v>
      </c>
      <c r="Q52" s="19">
        <f t="shared" ref="Q52:Q53" si="45">O52-L52</f>
        <v>-2.2352941176478254</v>
      </c>
      <c r="R52" s="183">
        <f t="shared" ref="R52:R53" si="46">O52/L52</f>
        <v>0.97571884984024726</v>
      </c>
      <c r="S52" s="420"/>
      <c r="T52" s="351">
        <v>0.53749999999999998</v>
      </c>
      <c r="U52" s="351">
        <v>0.56527777777777799</v>
      </c>
      <c r="V52" s="175">
        <f t="shared" si="41"/>
        <v>83.99999999999946</v>
      </c>
      <c r="W52" s="80">
        <f t="shared" si="19"/>
        <v>40.000000000000341</v>
      </c>
      <c r="X52" s="22">
        <v>0.47916666666666702</v>
      </c>
      <c r="Y52" s="22">
        <v>0.52083333333333304</v>
      </c>
      <c r="Z52" s="405"/>
      <c r="AA52" s="405"/>
      <c r="AB52" s="18">
        <f t="shared" si="38"/>
        <v>-38.00000000001296</v>
      </c>
      <c r="AC52" s="183">
        <f t="shared" si="39"/>
        <v>0.97571884984024726</v>
      </c>
      <c r="AD52" s="412"/>
    </row>
    <row r="53" spans="1:30" ht="15" customHeight="1">
      <c r="A53" s="455"/>
      <c r="B53" s="26" t="s">
        <v>45</v>
      </c>
      <c r="C53" s="27"/>
      <c r="D53" s="28" t="s">
        <v>59</v>
      </c>
      <c r="E53" s="29"/>
      <c r="F53" s="56">
        <f>VLOOKUP(D53,廠價表!$C$1:$E$40,3,0)</f>
        <v>49.97</v>
      </c>
      <c r="G53" s="66">
        <v>3502</v>
      </c>
      <c r="H53" s="15">
        <f t="shared" si="42"/>
        <v>174994.94</v>
      </c>
      <c r="I53" s="175"/>
      <c r="J53" s="16">
        <f>VLOOKUP(D53,產線配置圖!$A$3:$C$39,2,0)</f>
        <v>18</v>
      </c>
      <c r="K53" s="14">
        <f>VLOOKUP(D53,產線配置圖!$A$3:$C$39,3,0)</f>
        <v>1600</v>
      </c>
      <c r="L53" s="17">
        <f t="shared" si="43"/>
        <v>88.888888888888886</v>
      </c>
      <c r="M53" s="179">
        <v>18</v>
      </c>
      <c r="N53" s="77">
        <f t="shared" si="44"/>
        <v>1591.8181818181758</v>
      </c>
      <c r="O53" s="78">
        <f>N53/M53</f>
        <v>88.434343434343106</v>
      </c>
      <c r="P53" s="18">
        <f>M53-J53</f>
        <v>0</v>
      </c>
      <c r="Q53" s="19">
        <f t="shared" si="45"/>
        <v>-0.4545454545457801</v>
      </c>
      <c r="R53" s="183">
        <f t="shared" si="46"/>
        <v>0.99488636363635996</v>
      </c>
      <c r="S53" s="420"/>
      <c r="T53" s="351">
        <v>0.57361111111111096</v>
      </c>
      <c r="U53" s="351">
        <v>0.66527777777777797</v>
      </c>
      <c r="V53" s="175">
        <f t="shared" si="41"/>
        <v>11.999999999999478</v>
      </c>
      <c r="W53" s="80">
        <f t="shared" si="19"/>
        <v>132.00000000000048</v>
      </c>
      <c r="X53" s="175"/>
      <c r="Y53" s="175"/>
      <c r="Z53" s="417"/>
      <c r="AA53" s="418"/>
      <c r="AB53" s="18">
        <f t="shared" si="38"/>
        <v>-8.1818181818241555</v>
      </c>
      <c r="AC53" s="183">
        <f t="shared" si="39"/>
        <v>0.99488636363635985</v>
      </c>
      <c r="AD53" s="412"/>
    </row>
    <row r="54" spans="1:30" ht="15" customHeight="1">
      <c r="A54" s="455"/>
      <c r="B54" s="26"/>
      <c r="C54" s="27"/>
      <c r="D54" s="28"/>
      <c r="E54" s="29"/>
      <c r="F54" s="56"/>
      <c r="G54" s="66"/>
      <c r="H54" s="15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351"/>
      <c r="U54" s="351"/>
      <c r="V54" s="175"/>
      <c r="W54" s="80">
        <f t="shared" si="19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56"/>
      <c r="G55" s="66"/>
      <c r="H55" s="15"/>
      <c r="I55" s="175"/>
      <c r="J55" s="16"/>
      <c r="K55" s="14"/>
      <c r="L55" s="17"/>
      <c r="M55" s="179"/>
      <c r="N55" s="77"/>
      <c r="O55" s="78"/>
      <c r="P55" s="18"/>
      <c r="Q55" s="19"/>
      <c r="R55" s="183"/>
      <c r="S55" s="420"/>
      <c r="T55" s="351"/>
      <c r="U55" s="351"/>
      <c r="V55" s="195"/>
      <c r="W55" s="80">
        <f t="shared" si="19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56"/>
      <c r="G56" s="66"/>
      <c r="H56" s="15"/>
      <c r="I56" s="175"/>
      <c r="J56" s="16"/>
      <c r="K56" s="14"/>
      <c r="L56" s="17"/>
      <c r="M56" s="179"/>
      <c r="N56" s="77"/>
      <c r="O56" s="78"/>
      <c r="P56" s="18"/>
      <c r="Q56" s="19"/>
      <c r="R56" s="183"/>
      <c r="S56" s="420"/>
      <c r="T56" s="351"/>
      <c r="U56" s="351"/>
      <c r="V56" s="195"/>
      <c r="W56" s="80">
        <f t="shared" si="19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/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9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7">AVERAGE(J49:J57)</f>
        <v>17.8</v>
      </c>
      <c r="K58" s="117">
        <f t="shared" si="47"/>
        <v>1579</v>
      </c>
      <c r="L58" s="114">
        <f t="shared" si="47"/>
        <v>88.852769177846582</v>
      </c>
      <c r="M58" s="117">
        <f t="shared" si="47"/>
        <v>17.8</v>
      </c>
      <c r="N58" s="117">
        <f t="shared" si="47"/>
        <v>1462.6546424198552</v>
      </c>
      <c r="O58" s="114">
        <f t="shared" si="47"/>
        <v>82.453818551920307</v>
      </c>
      <c r="P58" s="118">
        <f>M58-J58</f>
        <v>0</v>
      </c>
      <c r="Q58" s="119">
        <f>N58-K58</f>
        <v>-116.34535758014476</v>
      </c>
      <c r="R58" s="120">
        <f t="shared" ref="R58:R60" si="48">O58/L58</f>
        <v>0.92798254139813907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49">N58-K58</f>
        <v>-116.34535758014476</v>
      </c>
      <c r="AC58" s="185">
        <f t="shared" ref="AC58:AC61" si="50">N58/K58</f>
        <v>0.92631706296380956</v>
      </c>
      <c r="AD58" s="414"/>
    </row>
    <row r="59" spans="1:30" ht="15" customHeight="1">
      <c r="A59" s="470" t="s">
        <v>61</v>
      </c>
      <c r="B59" s="197" t="s">
        <v>172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3803</v>
      </c>
      <c r="H59" s="105">
        <f t="shared" ref="H59:H68" si="51">F59*G59</f>
        <v>102642.97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52">G59/W59*60</f>
        <v>1562.876712328766</v>
      </c>
      <c r="O59" s="108">
        <f t="shared" ref="O59:O62" si="53">N59/M59</f>
        <v>120.22128556375122</v>
      </c>
      <c r="P59" s="110">
        <f t="shared" ref="P59:P62" si="54">M59-J59</f>
        <v>0</v>
      </c>
      <c r="Q59" s="111">
        <f t="shared" ref="Q59:Q62" si="55">O59-L59</f>
        <v>-0.16332982086416337</v>
      </c>
      <c r="R59" s="182">
        <f t="shared" si="48"/>
        <v>0.99864326666374814</v>
      </c>
      <c r="S59" s="419">
        <f>R69</f>
        <v>0.85228079159655057</v>
      </c>
      <c r="T59" s="344">
        <v>0.29166666666666702</v>
      </c>
      <c r="U59" s="344">
        <v>0.39305555555555599</v>
      </c>
      <c r="V59" s="186"/>
      <c r="W59" s="106">
        <f t="shared" si="19"/>
        <v>146.00000000000011</v>
      </c>
      <c r="X59" s="186"/>
      <c r="Y59" s="186"/>
      <c r="Z59" s="469"/>
      <c r="AA59" s="434"/>
      <c r="AB59" s="223">
        <f t="shared" si="49"/>
        <v>-2.1232876712340385</v>
      </c>
      <c r="AC59" s="224">
        <f t="shared" si="50"/>
        <v>0.99864326666374825</v>
      </c>
      <c r="AD59" s="411">
        <f>AC69</f>
        <v>0.85509545457861202</v>
      </c>
    </row>
    <row r="60" spans="1:30" ht="15" customHeight="1">
      <c r="A60" s="471"/>
      <c r="B60" s="56" t="s">
        <v>172</v>
      </c>
      <c r="C60" s="23"/>
      <c r="D60" s="239" t="s">
        <v>63</v>
      </c>
      <c r="E60" s="12"/>
      <c r="F60" s="56">
        <f>VLOOKUP(D60,廠價表!$C$1:$E$40,3,0)</f>
        <v>28.47</v>
      </c>
      <c r="G60" s="175">
        <v>818</v>
      </c>
      <c r="H60" s="15">
        <f t="shared" si="51"/>
        <v>23288.46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2"/>
        <v>1090.6666666666665</v>
      </c>
      <c r="O60" s="17">
        <f t="shared" si="53"/>
        <v>90.888888888888872</v>
      </c>
      <c r="P60" s="18">
        <f t="shared" si="54"/>
        <v>0</v>
      </c>
      <c r="Q60" s="19">
        <f t="shared" si="55"/>
        <v>-39.527777777777786</v>
      </c>
      <c r="R60" s="183">
        <f t="shared" si="48"/>
        <v>0.69691160809371666</v>
      </c>
      <c r="S60" s="474"/>
      <c r="T60" s="22">
        <v>0.40972222222222199</v>
      </c>
      <c r="U60" s="22">
        <v>0.44097222222222199</v>
      </c>
      <c r="V60" s="175">
        <f t="shared" ref="V60:V62" si="56">(T60-U59)*24*60</f>
        <v>23.999999999999034</v>
      </c>
      <c r="W60" s="90">
        <f t="shared" si="19"/>
        <v>45</v>
      </c>
      <c r="X60" s="191"/>
      <c r="Y60" s="191"/>
      <c r="Z60" s="405" t="s">
        <v>186</v>
      </c>
      <c r="AA60" s="405"/>
      <c r="AB60" s="225">
        <f t="shared" si="49"/>
        <v>-474.33333333333348</v>
      </c>
      <c r="AC60" s="226">
        <f t="shared" si="50"/>
        <v>0.69691160809371666</v>
      </c>
      <c r="AD60" s="464"/>
    </row>
    <row r="61" spans="1:30" ht="15" customHeight="1">
      <c r="A61" s="472"/>
      <c r="B61" s="56" t="s">
        <v>172</v>
      </c>
      <c r="C61" s="10"/>
      <c r="D61" s="239" t="s">
        <v>64</v>
      </c>
      <c r="E61" s="86"/>
      <c r="F61" s="56">
        <f>VLOOKUP(D61,廠價表!$C$1:$E$40,3,0)</f>
        <v>28.26</v>
      </c>
      <c r="G61" s="175">
        <v>1349</v>
      </c>
      <c r="H61" s="15">
        <f t="shared" si="51"/>
        <v>38122.740000000005</v>
      </c>
      <c r="I61" s="81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52"/>
        <v>1264.6875000000123</v>
      </c>
      <c r="O61" s="17">
        <f>N61/M61</f>
        <v>105.39062500000102</v>
      </c>
      <c r="P61" s="18">
        <f>M61-J61</f>
        <v>0</v>
      </c>
      <c r="Q61" s="19">
        <f>O61-L61</f>
        <v>-25.026041666665634</v>
      </c>
      <c r="R61" s="183">
        <f>O61/L61</f>
        <v>0.80810702875400153</v>
      </c>
      <c r="S61" s="420"/>
      <c r="T61" s="22">
        <v>0.45138888888888901</v>
      </c>
      <c r="U61" s="22">
        <v>0.49583333333333302</v>
      </c>
      <c r="V61" s="175">
        <f t="shared" si="56"/>
        <v>15.000000000000506</v>
      </c>
      <c r="W61" s="88">
        <f t="shared" si="19"/>
        <v>63.999999999999375</v>
      </c>
      <c r="X61" s="22"/>
      <c r="Y61" s="22"/>
      <c r="Z61" s="405"/>
      <c r="AA61" s="405"/>
      <c r="AB61" s="51">
        <f t="shared" si="49"/>
        <v>-300.31249999998772</v>
      </c>
      <c r="AC61" s="52">
        <f t="shared" si="50"/>
        <v>0.80810702875400142</v>
      </c>
      <c r="AD61" s="412"/>
    </row>
    <row r="62" spans="1:30" ht="15" customHeight="1">
      <c r="A62" s="472"/>
      <c r="B62" s="336" t="s">
        <v>172</v>
      </c>
      <c r="C62" s="337"/>
      <c r="D62" s="338" t="s">
        <v>64</v>
      </c>
      <c r="E62" s="339"/>
      <c r="F62" s="336">
        <f>VLOOKUP(D62,廠價表!$C$1:$E$40,3,0)</f>
        <v>28.26</v>
      </c>
      <c r="G62" s="176">
        <v>1076</v>
      </c>
      <c r="H62" s="340">
        <f t="shared" si="51"/>
        <v>30407.760000000002</v>
      </c>
      <c r="I62" s="81"/>
      <c r="J62" s="31">
        <f>VLOOKUP(D62,產線配置圖!$A$3:$C$39,2,0)</f>
        <v>12</v>
      </c>
      <c r="K62" s="30">
        <f>VLOOKUP(D62,產線配置圖!$A$3:$C$39,3,0)</f>
        <v>1565</v>
      </c>
      <c r="L62" s="35">
        <f>K62/J62</f>
        <v>130.41666666666666</v>
      </c>
      <c r="M62" s="179">
        <v>12</v>
      </c>
      <c r="N62" s="30">
        <f t="shared" si="52"/>
        <v>1434.6666666666667</v>
      </c>
      <c r="O62" s="35">
        <f t="shared" si="53"/>
        <v>119.55555555555556</v>
      </c>
      <c r="P62" s="34">
        <f t="shared" si="54"/>
        <v>0</v>
      </c>
      <c r="Q62" s="341">
        <f t="shared" si="55"/>
        <v>-10.8611111111111</v>
      </c>
      <c r="R62" s="184">
        <f>O62/L62</f>
        <v>0.91671991480298198</v>
      </c>
      <c r="S62" s="420"/>
      <c r="T62" s="22">
        <v>0.54861111111111105</v>
      </c>
      <c r="U62" s="22">
        <v>0.57986111111111105</v>
      </c>
      <c r="V62" s="175">
        <f t="shared" si="56"/>
        <v>76.000000000000369</v>
      </c>
      <c r="W62" s="90">
        <f t="shared" si="19"/>
        <v>45</v>
      </c>
      <c r="X62" s="22">
        <v>0.50347222222222199</v>
      </c>
      <c r="Y62" s="22">
        <v>0.54513888888888895</v>
      </c>
      <c r="Z62" s="405"/>
      <c r="AA62" s="405"/>
      <c r="AB62" s="51">
        <f>N62-K62</f>
        <v>-130.33333333333326</v>
      </c>
      <c r="AC62" s="52">
        <f>N62/K62</f>
        <v>0.91671991480298198</v>
      </c>
      <c r="AD62" s="412"/>
    </row>
    <row r="63" spans="1:30" ht="15" customHeight="1">
      <c r="A63" s="472"/>
      <c r="B63" s="342"/>
      <c r="C63" s="246"/>
      <c r="D63" s="247"/>
      <c r="E63" s="248"/>
      <c r="F63" s="336"/>
      <c r="G63" s="335"/>
      <c r="H63" s="340"/>
      <c r="I63" s="335"/>
      <c r="J63" s="31"/>
      <c r="K63" s="30"/>
      <c r="L63" s="35"/>
      <c r="M63" s="311"/>
      <c r="N63" s="30"/>
      <c r="O63" s="35"/>
      <c r="P63" s="34"/>
      <c r="Q63" s="341"/>
      <c r="R63" s="184"/>
      <c r="S63" s="420"/>
      <c r="T63" s="22"/>
      <c r="U63" s="22"/>
      <c r="V63" s="175"/>
      <c r="W63" s="90">
        <f t="shared" si="19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336"/>
      <c r="G64" s="175"/>
      <c r="H64" s="340"/>
      <c r="I64" s="81"/>
      <c r="J64" s="31"/>
      <c r="K64" s="30"/>
      <c r="L64" s="35"/>
      <c r="M64" s="178"/>
      <c r="N64" s="30"/>
      <c r="O64" s="35"/>
      <c r="P64" s="34"/>
      <c r="Q64" s="341"/>
      <c r="R64" s="184"/>
      <c r="S64" s="420"/>
      <c r="T64" s="22"/>
      <c r="U64" s="22"/>
      <c r="V64" s="175"/>
      <c r="W64" s="180">
        <f t="shared" si="19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9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9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9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1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9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7">AVERAGE(J59:J68)</f>
        <v>12.25</v>
      </c>
      <c r="K69" s="164">
        <f t="shared" si="57"/>
        <v>1565</v>
      </c>
      <c r="L69" s="169">
        <f t="shared" si="57"/>
        <v>127.90865384615384</v>
      </c>
      <c r="M69" s="164">
        <f t="shared" si="57"/>
        <v>12.25</v>
      </c>
      <c r="N69" s="164">
        <f t="shared" si="57"/>
        <v>1338.2243864155278</v>
      </c>
      <c r="O69" s="169">
        <f t="shared" si="57"/>
        <v>109.01408875204916</v>
      </c>
      <c r="P69" s="170">
        <f>M69-J69</f>
        <v>0</v>
      </c>
      <c r="Q69" s="156">
        <f>N69-K69</f>
        <v>-226.77561358447224</v>
      </c>
      <c r="R69" s="120">
        <f>O69/L69</f>
        <v>0.85228079159655057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-226.77561358447224</v>
      </c>
      <c r="AC69" s="185">
        <f>N69/K69</f>
        <v>0.85509545457861202</v>
      </c>
      <c r="AD69" s="414"/>
    </row>
    <row r="70" spans="1:32" ht="15" customHeight="1">
      <c r="A70" s="465" t="s">
        <v>67</v>
      </c>
      <c r="B70" s="197" t="s">
        <v>45</v>
      </c>
      <c r="C70" s="197"/>
      <c r="D70" s="102" t="s">
        <v>187</v>
      </c>
      <c r="E70" s="103"/>
      <c r="F70" s="197">
        <f>VLOOKUP(D70,廠價表!$C$1:$E$40,3,0)</f>
        <v>50.67</v>
      </c>
      <c r="G70" s="186">
        <v>2237</v>
      </c>
      <c r="H70" s="105">
        <f t="shared" ref="H70:H72" si="58">F70*G70</f>
        <v>113348.79000000001</v>
      </c>
      <c r="I70" s="186"/>
      <c r="J70" s="107">
        <f>VLOOKUP(D70,產線配置圖!$A$3:$C$39,2,0)</f>
        <v>15</v>
      </c>
      <c r="K70" s="104">
        <f>VLOOKUP(D70,產線配置圖!$A$3:$C$39,3,0)</f>
        <v>1440</v>
      </c>
      <c r="L70" s="108">
        <f>K70/J70</f>
        <v>96</v>
      </c>
      <c r="M70" s="109">
        <v>15</v>
      </c>
      <c r="N70" s="104">
        <f t="shared" ref="N70:N72" si="59">G70/W70*60</f>
        <v>932.08333333333348</v>
      </c>
      <c r="O70" s="108">
        <f t="shared" ref="O70:O71" si="60">N70/M70</f>
        <v>62.1388888888889</v>
      </c>
      <c r="P70" s="110">
        <f t="shared" ref="P70:P71" si="61">M70-J70</f>
        <v>0</v>
      </c>
      <c r="Q70" s="111">
        <f t="shared" ref="Q70:Q71" si="62">O70-L70</f>
        <v>-33.8611111111111</v>
      </c>
      <c r="R70" s="182">
        <f t="shared" ref="R70:R71" si="63">O70/L70</f>
        <v>0.64728009259259267</v>
      </c>
      <c r="S70" s="419">
        <f>R79</f>
        <v>0.85629707296970681</v>
      </c>
      <c r="T70" s="344">
        <v>0.38611111111111102</v>
      </c>
      <c r="U70" s="344">
        <v>0.48611111111111099</v>
      </c>
      <c r="V70" s="186"/>
      <c r="W70" s="106">
        <f t="shared" si="19"/>
        <v>143.99999999999997</v>
      </c>
      <c r="X70" s="290"/>
      <c r="Y70" s="290"/>
      <c r="Z70" s="469" t="s">
        <v>143</v>
      </c>
      <c r="AA70" s="434"/>
      <c r="AB70" s="223">
        <f>N70-K70</f>
        <v>-507.91666666666652</v>
      </c>
      <c r="AC70" s="224">
        <f>N70/K70</f>
        <v>0.64728009259259267</v>
      </c>
      <c r="AD70" s="411">
        <f>AC79</f>
        <v>0.75832700828612609</v>
      </c>
    </row>
    <row r="71" spans="1:32" ht="15" customHeight="1">
      <c r="A71" s="466"/>
      <c r="B71" s="56" t="s">
        <v>45</v>
      </c>
      <c r="C71" s="10"/>
      <c r="D71" s="11" t="s">
        <v>187</v>
      </c>
      <c r="E71" s="86"/>
      <c r="F71" s="56">
        <f>VLOOKUP(D71,廠價表!$C$1:$E$40,3,0)</f>
        <v>50.67</v>
      </c>
      <c r="G71" s="175">
        <v>2826</v>
      </c>
      <c r="H71" s="15">
        <f t="shared" si="58"/>
        <v>143193.42000000001</v>
      </c>
      <c r="I71" s="191"/>
      <c r="J71" s="16">
        <f>VLOOKUP(D71,產線配置圖!$A$3:$C$39,2,0)</f>
        <v>15</v>
      </c>
      <c r="K71" s="14">
        <f>VLOOKUP(D71,產線配置圖!$A$3:$C$39,3,0)</f>
        <v>1440</v>
      </c>
      <c r="L71" s="17">
        <f>K71/J71</f>
        <v>96</v>
      </c>
      <c r="M71" s="178">
        <v>15</v>
      </c>
      <c r="N71" s="14">
        <f t="shared" si="59"/>
        <v>991.57894736842093</v>
      </c>
      <c r="O71" s="17">
        <f t="shared" si="60"/>
        <v>66.105263157894726</v>
      </c>
      <c r="P71" s="18">
        <f t="shared" si="61"/>
        <v>0</v>
      </c>
      <c r="Q71" s="19">
        <f t="shared" si="62"/>
        <v>-29.894736842105274</v>
      </c>
      <c r="R71" s="183">
        <f t="shared" si="63"/>
        <v>0.6885964912280701</v>
      </c>
      <c r="S71" s="420"/>
      <c r="T71" s="22">
        <v>0.55902777777777801</v>
      </c>
      <c r="U71" s="22">
        <v>0.67777777777777803</v>
      </c>
      <c r="V71" s="175">
        <f t="shared" ref="V71:V72" si="64">(T71-U70)*24*60</f>
        <v>105.00000000000051</v>
      </c>
      <c r="W71" s="180">
        <f t="shared" si="19"/>
        <v>171.00000000000003</v>
      </c>
      <c r="X71" s="292"/>
      <c r="Y71" s="293"/>
      <c r="Z71" s="450" t="s">
        <v>143</v>
      </c>
      <c r="AA71" s="451"/>
      <c r="AB71" s="39">
        <v>-300.31249999999704</v>
      </c>
      <c r="AC71" s="188">
        <v>0.80810702875399554</v>
      </c>
      <c r="AD71" s="444"/>
    </row>
    <row r="72" spans="1:32" ht="15" customHeight="1">
      <c r="A72" s="466"/>
      <c r="B72" s="56" t="s">
        <v>45</v>
      </c>
      <c r="C72" s="10"/>
      <c r="D72" s="11" t="s">
        <v>53</v>
      </c>
      <c r="E72" s="86"/>
      <c r="F72" s="56">
        <f>VLOOKUP(D72,廠價表!$C$1:$E$40,3,0)</f>
        <v>57.3</v>
      </c>
      <c r="G72" s="66">
        <v>1813</v>
      </c>
      <c r="H72" s="76">
        <f t="shared" si="58"/>
        <v>103884.9</v>
      </c>
      <c r="I72" s="191"/>
      <c r="J72" s="16">
        <f>VLOOKUP(D72,產線配置圖!$A$3:$C$39,2,0)</f>
        <v>15</v>
      </c>
      <c r="K72" s="14">
        <f>VLOOKUP(D72,產線配置圖!$A$3:$C$39,3,0)</f>
        <v>1385</v>
      </c>
      <c r="L72" s="17">
        <f>K72/J72</f>
        <v>92.333333333333329</v>
      </c>
      <c r="M72" s="178">
        <v>15</v>
      </c>
      <c r="N72" s="14">
        <f t="shared" si="59"/>
        <v>1310.602409638574</v>
      </c>
      <c r="O72" s="17">
        <f>N72/M72</f>
        <v>87.373493975904935</v>
      </c>
      <c r="P72" s="18">
        <f>M72-J72</f>
        <v>0</v>
      </c>
      <c r="Q72" s="19">
        <f>O72-L72</f>
        <v>-4.9598393574283932</v>
      </c>
      <c r="R72" s="183">
        <f>O72/L72</f>
        <v>0.94628332825889827</v>
      </c>
      <c r="S72" s="420"/>
      <c r="T72" s="22">
        <v>0.68055555555555602</v>
      </c>
      <c r="U72" s="22">
        <v>0.73819444444444404</v>
      </c>
      <c r="V72" s="175">
        <f t="shared" si="64"/>
        <v>4.0000000000003055</v>
      </c>
      <c r="W72" s="180">
        <f t="shared" si="19"/>
        <v>82.999999999998749</v>
      </c>
      <c r="X72" s="291"/>
      <c r="Y72" s="291"/>
      <c r="Z72" s="405"/>
      <c r="AA72" s="417"/>
      <c r="AB72" s="39">
        <v>-130.33333333333326</v>
      </c>
      <c r="AC72" s="188">
        <v>0.91671991480298198</v>
      </c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2"/>
      <c r="U73" s="22"/>
      <c r="V73" s="175"/>
      <c r="W73" s="180">
        <f t="shared" si="19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/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9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>F75*G75</f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9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>F76*G76</f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9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>F77*G77</f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9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>F78*G78</f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9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>
        <f>AVERAGE(J70:J78)</f>
        <v>15</v>
      </c>
      <c r="K79" s="164">
        <f>AVERAGE(K70:K78)</f>
        <v>1421.6666666666667</v>
      </c>
      <c r="L79" s="169">
        <f>AVERAGE(L70:L78)</f>
        <v>94.777777777777771</v>
      </c>
      <c r="M79" s="164">
        <f>AVERAGE(M70:M78)</f>
        <v>15</v>
      </c>
      <c r="N79" s="164">
        <f>AVERAGE(N70:N78)</f>
        <v>1078.0882301134427</v>
      </c>
      <c r="O79" s="169">
        <f>AVERAGE(O69:O78)</f>
        <v>81.157933693684427</v>
      </c>
      <c r="P79" s="170">
        <f>M79-J79</f>
        <v>0</v>
      </c>
      <c r="Q79" s="156">
        <f>N79-K79</f>
        <v>-343.57843655322404</v>
      </c>
      <c r="R79" s="157">
        <f>O79/L79</f>
        <v>0.85629707296970681</v>
      </c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-343.57843655322404</v>
      </c>
      <c r="AC79" s="185">
        <f>N79/K79</f>
        <v>0.75832700828612609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G3:G4"/>
    <mergeCell ref="A2:B2"/>
    <mergeCell ref="A3:A4"/>
    <mergeCell ref="B3:B4"/>
    <mergeCell ref="D3:E4"/>
    <mergeCell ref="F3:F4"/>
    <mergeCell ref="AB1:AD2"/>
    <mergeCell ref="M3:M4"/>
    <mergeCell ref="Z3:AA4"/>
    <mergeCell ref="AB3:AB4"/>
    <mergeCell ref="P3:P4"/>
    <mergeCell ref="Q3:Q4"/>
    <mergeCell ref="R3:R4"/>
    <mergeCell ref="S3:S4"/>
    <mergeCell ref="P1:S2"/>
    <mergeCell ref="T1:Y2"/>
    <mergeCell ref="Z1:AA2"/>
    <mergeCell ref="AC3:AC4"/>
    <mergeCell ref="AD3:AD4"/>
    <mergeCell ref="T3:U3"/>
    <mergeCell ref="V3:V4"/>
    <mergeCell ref="W3:W4"/>
    <mergeCell ref="X3:Y3"/>
    <mergeCell ref="J1:L2"/>
    <mergeCell ref="M1:O2"/>
    <mergeCell ref="H3:H4"/>
    <mergeCell ref="I3:I4"/>
    <mergeCell ref="J3:J4"/>
    <mergeCell ref="K3:K4"/>
    <mergeCell ref="L3:L4"/>
    <mergeCell ref="N3:N4"/>
    <mergeCell ref="O3:O4"/>
    <mergeCell ref="A5:A15"/>
    <mergeCell ref="S5:S15"/>
    <mergeCell ref="Z5:AA5"/>
    <mergeCell ref="AD5:AD15"/>
    <mergeCell ref="Z6:AA6"/>
    <mergeCell ref="Z7:AA7"/>
    <mergeCell ref="Z8:AA8"/>
    <mergeCell ref="Z9:AA9"/>
    <mergeCell ref="Z14:AA14"/>
    <mergeCell ref="D15:E15"/>
    <mergeCell ref="Z15:AA15"/>
    <mergeCell ref="Z10:AA10"/>
    <mergeCell ref="Z11:AA11"/>
    <mergeCell ref="Z12:AA12"/>
    <mergeCell ref="Z13:AA13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D38:AD48"/>
    <mergeCell ref="Z39:AA39"/>
    <mergeCell ref="Z40:AA40"/>
    <mergeCell ref="Z41:AA41"/>
    <mergeCell ref="Z42:AA42"/>
    <mergeCell ref="Z43:AA43"/>
    <mergeCell ref="Z44:AA44"/>
    <mergeCell ref="A27:A37"/>
    <mergeCell ref="S27:S37"/>
    <mergeCell ref="Z27:AA27"/>
    <mergeCell ref="D37:E37"/>
    <mergeCell ref="Z37:AA3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A38:A48"/>
    <mergeCell ref="S38:S48"/>
    <mergeCell ref="Z38:AA38"/>
    <mergeCell ref="Z45:AA45"/>
    <mergeCell ref="Z46:AA46"/>
    <mergeCell ref="Z47:AA47"/>
    <mergeCell ref="D48:E48"/>
    <mergeCell ref="Z48:AA48"/>
    <mergeCell ref="Z54:AA54"/>
    <mergeCell ref="Z50:AA50"/>
    <mergeCell ref="Z51:AA51"/>
    <mergeCell ref="Z52:AA52"/>
    <mergeCell ref="Z53:AA53"/>
    <mergeCell ref="AD49:AD58"/>
    <mergeCell ref="A70:A79"/>
    <mergeCell ref="S70:S79"/>
    <mergeCell ref="Z70:AA70"/>
    <mergeCell ref="D79:E79"/>
    <mergeCell ref="A59:A69"/>
    <mergeCell ref="S59:S69"/>
    <mergeCell ref="Z59:AA59"/>
    <mergeCell ref="Z66:AA66"/>
    <mergeCell ref="Z67:AA67"/>
    <mergeCell ref="Z68:AA68"/>
    <mergeCell ref="D69:E69"/>
    <mergeCell ref="Z69:AA69"/>
    <mergeCell ref="Z71:AA71"/>
    <mergeCell ref="Z72:AA72"/>
    <mergeCell ref="Z73:AA73"/>
    <mergeCell ref="A49:A58"/>
    <mergeCell ref="S49:S58"/>
    <mergeCell ref="Z49:AA49"/>
    <mergeCell ref="D58:E58"/>
    <mergeCell ref="Z55:AA55"/>
    <mergeCell ref="Z56:AA56"/>
    <mergeCell ref="Z57:AA57"/>
    <mergeCell ref="Z58:AA58"/>
    <mergeCell ref="Z74:AA74"/>
    <mergeCell ref="AD70:AD79"/>
    <mergeCell ref="AD59:AD69"/>
    <mergeCell ref="Z60:AA60"/>
    <mergeCell ref="Z61:AA61"/>
    <mergeCell ref="Z62:AA62"/>
    <mergeCell ref="Z63:AA63"/>
    <mergeCell ref="Z64:AA64"/>
    <mergeCell ref="Z65:AA65"/>
    <mergeCell ref="Z75:AA75"/>
    <mergeCell ref="Z76:AA76"/>
    <mergeCell ref="Z77:AA77"/>
    <mergeCell ref="Z78:AA78"/>
    <mergeCell ref="Z79:AA79"/>
  </mergeCells>
  <phoneticPr fontId="0" type="noConversion"/>
  <conditionalFormatting sqref="P5:P79">
    <cfRule type="cellIs" dxfId="88" priority="1" operator="greaterThan">
      <formula>0</formula>
    </cfRule>
  </conditionalFormatting>
  <conditionalFormatting sqref="Q5:Q79 AB5:AB79">
    <cfRule type="cellIs" dxfId="87" priority="4" operator="lessThan">
      <formula>0</formula>
    </cfRule>
  </conditionalFormatting>
  <conditionalFormatting sqref="R5:R79 AC5:AC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D59:AD62 S69:S76 AD69:AD76">
    <cfRule type="cellIs" dxfId="84" priority="7" operator="lessThan">
      <formula>0.8</formula>
    </cfRule>
  </conditionalFormatting>
  <conditionalFormatting sqref="S19:S25 AD19:AD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D5:AD8 S15:S16 AD15:AD16 AD49 AD79">
    <cfRule type="cellIs" dxfId="81" priority="9" operator="lessThan">
      <formula>0.8</formula>
    </cfRule>
  </conditionalFormatting>
  <conditionalFormatting sqref="AD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J3" sqref="J3:K3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33" width="8.08984375" style="201" customWidth="1"/>
    <col min="34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46015</v>
      </c>
      <c r="E3" s="357"/>
      <c r="F3" s="202" t="s">
        <v>84</v>
      </c>
      <c r="G3" s="358">
        <f>'1224'!E1</f>
        <v>40396</v>
      </c>
      <c r="H3" s="358"/>
      <c r="I3" s="202" t="s">
        <v>2</v>
      </c>
      <c r="J3" s="359">
        <f>'1224'!G1</f>
        <v>1946250.8399999999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108.9095520664406</v>
      </c>
      <c r="G6" s="367"/>
      <c r="H6" s="360">
        <f>AVERAGE(D13:H13)</f>
        <v>107.85884297848693</v>
      </c>
      <c r="I6" s="360"/>
      <c r="J6" s="360">
        <f>AVERAGE(I13:J13)</f>
        <v>111.5363247863248</v>
      </c>
      <c r="K6" s="360"/>
      <c r="L6" s="205"/>
    </row>
    <row r="7" spans="2:15" s="206" customFormat="1" ht="39.65" customHeight="1">
      <c r="B7" s="353"/>
      <c r="C7" s="353"/>
      <c r="D7" s="361" t="s">
        <v>93</v>
      </c>
      <c r="E7" s="361"/>
      <c r="F7" s="362">
        <f>AVERAGE(D14:J14)</f>
        <v>99.654568583906652</v>
      </c>
      <c r="G7" s="362"/>
      <c r="H7" s="363">
        <f>AVERAGE(D14:H14)</f>
        <v>99.10741947429905</v>
      </c>
      <c r="I7" s="363"/>
      <c r="J7" s="363">
        <f>AVERAGE(I14:J14)</f>
        <v>101.02244135792569</v>
      </c>
      <c r="K7" s="363"/>
    </row>
    <row r="8" spans="2:15" s="206" customFormat="1" ht="39.65" customHeight="1">
      <c r="B8" s="353"/>
      <c r="C8" s="353"/>
      <c r="D8" s="361" t="s">
        <v>24</v>
      </c>
      <c r="E8" s="361"/>
      <c r="F8" s="364">
        <f>AVERAGE(D15:J15)</f>
        <v>0.91092840421394972</v>
      </c>
      <c r="G8" s="364"/>
      <c r="H8" s="364">
        <f>AVERAGE(D15:H15)</f>
        <v>0.91425453984215177</v>
      </c>
      <c r="I8" s="364"/>
      <c r="J8" s="364">
        <f>AVERAGE(I15:J15)</f>
        <v>0.90261306514344442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VALUE('1224'!L15)</f>
        <v>119.90950226244343</v>
      </c>
      <c r="E13" s="213">
        <f>VALUE('1224'!L26)</f>
        <v>160.81196581196582</v>
      </c>
      <c r="F13" s="213">
        <f>VALUE('1224'!L37)</f>
        <v>83.236111111111114</v>
      </c>
      <c r="G13" s="213">
        <f>VALUE('1224'!L48)</f>
        <v>87.285380116959061</v>
      </c>
      <c r="H13" s="213">
        <f>VALUE('1224'!L58)</f>
        <v>88.051255589955275</v>
      </c>
      <c r="I13" s="213">
        <f>VALUE('1224'!L69)</f>
        <v>127.07264957264958</v>
      </c>
      <c r="J13" s="213">
        <f>'1224'!L79</f>
        <v>96</v>
      </c>
    </row>
    <row r="14" spans="2:15" ht="40" customHeight="1">
      <c r="B14" s="376"/>
      <c r="C14" s="212" t="s">
        <v>106</v>
      </c>
      <c r="D14" s="213">
        <f>VALUE('1224'!O15)</f>
        <v>113.916365108528</v>
      </c>
      <c r="E14" s="213">
        <f>VALUE('1224'!O26)</f>
        <v>149.66556203994261</v>
      </c>
      <c r="F14" s="213">
        <f>VALUE('1224'!O37)</f>
        <v>73.929786471834404</v>
      </c>
      <c r="G14" s="213">
        <f>VALUE('1224'!O48)</f>
        <v>77.020256916996075</v>
      </c>
      <c r="H14" s="213">
        <f>VALUE('1224'!O58)</f>
        <v>81.00512683419413</v>
      </c>
      <c r="I14" s="213">
        <f>VALUE('1224'!O69)</f>
        <v>117.54618141715025</v>
      </c>
      <c r="J14" s="213">
        <f>'1224'!O79</f>
        <v>84.498701298701135</v>
      </c>
    </row>
    <row r="15" spans="2:15" ht="40" customHeight="1">
      <c r="B15" s="377"/>
      <c r="C15" s="210" t="s">
        <v>23</v>
      </c>
      <c r="D15" s="231">
        <f>D14/D13</f>
        <v>0.95001949769753546</v>
      </c>
      <c r="E15" s="231">
        <f t="shared" ref="E15:I15" si="0">E14/E13</f>
        <v>0.93068672647745332</v>
      </c>
      <c r="F15" s="231">
        <f t="shared" si="0"/>
        <v>0.88819366360288288</v>
      </c>
      <c r="G15" s="231">
        <f t="shared" si="0"/>
        <v>0.88239584697680051</v>
      </c>
      <c r="H15" s="231">
        <f t="shared" si="0"/>
        <v>0.91997696445608712</v>
      </c>
      <c r="I15" s="231">
        <f t="shared" si="0"/>
        <v>0.9250313250920853</v>
      </c>
      <c r="J15" s="343">
        <f>'1224'!S70</f>
        <v>0.88019480519480353</v>
      </c>
    </row>
    <row r="16" spans="2:15" ht="17.25" customHeight="1">
      <c r="B16" s="378" t="s">
        <v>107</v>
      </c>
      <c r="C16" s="210" t="s">
        <v>29</v>
      </c>
      <c r="D16" s="95">
        <f>'1224'!T5</f>
        <v>0.29097222222222202</v>
      </c>
      <c r="E16" s="95">
        <f>'1224'!T16</f>
        <v>0.29097222222222202</v>
      </c>
      <c r="F16" s="95">
        <f>'1224'!T27</f>
        <v>0.29166666666666702</v>
      </c>
      <c r="G16" s="95">
        <f>'1224'!T38</f>
        <v>0.33333333333333298</v>
      </c>
      <c r="H16" s="95">
        <f>'1224'!T49</f>
        <v>0.29166666666666702</v>
      </c>
      <c r="I16" s="95">
        <f>'1224'!T59</f>
        <v>0.29166666666666702</v>
      </c>
      <c r="J16" s="269">
        <f>'1224'!T70</f>
        <v>0.34722222222222199</v>
      </c>
    </row>
    <row r="17" spans="2:10" ht="17.25" customHeight="1">
      <c r="B17" s="379"/>
      <c r="C17" s="210" t="s">
        <v>30</v>
      </c>
      <c r="D17" s="267">
        <v>0.47361111111111098</v>
      </c>
      <c r="E17" s="44">
        <v>0.48263888888888901</v>
      </c>
      <c r="F17" s="44">
        <v>0.56944444444444398</v>
      </c>
      <c r="G17" s="349">
        <v>0.60416666666666696</v>
      </c>
      <c r="H17" s="351">
        <v>0.58333333333333304</v>
      </c>
      <c r="I17" s="22">
        <v>0.48819444444444399</v>
      </c>
      <c r="J17" s="22">
        <v>0.46875</v>
      </c>
    </row>
    <row r="18" spans="2:10" ht="17.25" customHeight="1">
      <c r="B18" s="365" t="s">
        <v>108</v>
      </c>
      <c r="C18" s="366"/>
      <c r="D18" s="214">
        <f>VALUE('1224'!M15)</f>
        <v>15</v>
      </c>
      <c r="E18" s="214">
        <f>VALUE('1224'!M26)</f>
        <v>12.666666666666666</v>
      </c>
      <c r="F18" s="214">
        <f>VALUE('1224'!M37)</f>
        <v>14.5</v>
      </c>
      <c r="G18" s="214">
        <f>VALUE('1224'!M48)</f>
        <v>14</v>
      </c>
      <c r="H18" s="214">
        <f>VALUE('1224'!M58)</f>
        <v>17.75</v>
      </c>
      <c r="I18" s="214">
        <f>VALUE('1224'!M69)</f>
        <v>12.333333333333334</v>
      </c>
      <c r="J18" s="214">
        <f>'1224'!M79</f>
        <v>11</v>
      </c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/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0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F92"/>
  <sheetViews>
    <sheetView zoomScale="69" zoomScaleNormal="69" workbookViewId="0">
      <pane xSplit="5" ySplit="4" topLeftCell="O59" activePane="bottomRight" state="frozen"/>
      <selection activeCell="D4" sqref="D4:E4"/>
      <selection pane="topRight" activeCell="D4" sqref="D4:E4"/>
      <selection pane="bottomLeft" activeCell="D4" sqref="D4:E4"/>
      <selection pane="bottomRight" activeCell="V61" activeCellId="10" sqref="V6 V7 V17 V18 V28 V29 V39 V50 V51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42" width="7.90625" style="6" customWidth="1"/>
    <col min="43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40396</v>
      </c>
      <c r="F1" s="175" t="s">
        <v>2</v>
      </c>
      <c r="G1" s="4">
        <f>SUM(H5:H79)</f>
        <v>1946250.8399999999</v>
      </c>
      <c r="H1" s="173" t="s">
        <v>3</v>
      </c>
      <c r="I1" s="5">
        <f>M15+M26+M48+M58+M69+M79+M37</f>
        <v>97.25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188</v>
      </c>
      <c r="B2" s="404"/>
      <c r="C2" s="174"/>
      <c r="D2" s="174" t="s">
        <v>11</v>
      </c>
      <c r="E2" s="7">
        <f>AVERAGE(O15,O26,O37,O48,O58,O69,O79)</f>
        <v>99.654568583906652</v>
      </c>
      <c r="F2" s="8" t="s">
        <v>12</v>
      </c>
      <c r="G2" s="9">
        <f>G1/E1</f>
        <v>48.179295969898007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05" t="s">
        <v>16</v>
      </c>
      <c r="E3" s="405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00" t="s">
        <v>26</v>
      </c>
      <c r="W3" s="391" t="s">
        <v>27</v>
      </c>
      <c r="X3" s="386" t="s">
        <v>28</v>
      </c>
      <c r="Y3" s="386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389"/>
      <c r="E4" s="389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387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">
        <v>45</v>
      </c>
      <c r="C5" s="315"/>
      <c r="D5" s="329" t="s">
        <v>49</v>
      </c>
      <c r="E5" s="316"/>
      <c r="F5" s="299">
        <f>VLOOKUP(D5,廠價表!$C$1:$E$40,3,0)</f>
        <v>47.71</v>
      </c>
      <c r="G5" s="317">
        <v>2263</v>
      </c>
      <c r="H5" s="318">
        <f>F5*G5</f>
        <v>107967.73</v>
      </c>
      <c r="I5" s="319"/>
      <c r="J5" s="320">
        <f>VLOOKUP(D5,產線配置圖!$A$3:$C$39,2,0)</f>
        <v>15</v>
      </c>
      <c r="K5" s="321">
        <f>VLOOKUP(D5,產線配置圖!$A$3:$C$39,3,0)</f>
        <v>1500</v>
      </c>
      <c r="L5" s="322">
        <f t="shared" ref="L5:L7" si="0">K5/J5</f>
        <v>100</v>
      </c>
      <c r="M5" s="323">
        <v>15</v>
      </c>
      <c r="N5" s="321">
        <f t="shared" ref="N5:N7" si="1">G5/W5*60</f>
        <v>1444.4680851063781</v>
      </c>
      <c r="O5" s="322">
        <f t="shared" ref="O5:O7" si="2">N5/M5</f>
        <v>96.297872340425201</v>
      </c>
      <c r="P5" s="324">
        <f t="shared" ref="P5:P7" si="3">M5-J5</f>
        <v>0</v>
      </c>
      <c r="Q5" s="325">
        <f t="shared" ref="Q5:Q7" si="4">O5-L5</f>
        <v>-3.7021276595747992</v>
      </c>
      <c r="R5" s="326">
        <f t="shared" ref="R5:R7" si="5">O5/L5</f>
        <v>0.96297872340425206</v>
      </c>
      <c r="S5" s="419">
        <f>R15</f>
        <v>0.95001949769753546</v>
      </c>
      <c r="T5" s="346">
        <v>0.29097222222222202</v>
      </c>
      <c r="U5" s="347">
        <v>0.35625000000000001</v>
      </c>
      <c r="V5" s="192"/>
      <c r="W5" s="106">
        <f t="shared" ref="W5:W14" si="6">(U5-T5)*24*60</f>
        <v>94.000000000000313</v>
      </c>
      <c r="X5" s="186"/>
      <c r="Y5" s="186"/>
      <c r="Z5" s="425"/>
      <c r="AA5" s="425"/>
      <c r="AB5" s="110">
        <f t="shared" ref="AB5:AB11" si="7">N5-K5</f>
        <v>-55.531914893621888</v>
      </c>
      <c r="AC5" s="182">
        <f t="shared" ref="AC5:AC11" si="8">N5/K5</f>
        <v>0.96297872340425206</v>
      </c>
      <c r="AD5" s="411">
        <f>AC15</f>
        <v>0.94602709614752578</v>
      </c>
    </row>
    <row r="6" spans="1:30" ht="15" customHeight="1">
      <c r="A6" s="408"/>
      <c r="B6" s="304" t="s">
        <v>45</v>
      </c>
      <c r="C6" s="246"/>
      <c r="D6" s="11" t="s">
        <v>33</v>
      </c>
      <c r="E6" s="248"/>
      <c r="F6" s="305">
        <f>VLOOKUP(D6,廠價表!$C$1:$E$40,3,0)</f>
        <v>57.21</v>
      </c>
      <c r="G6" s="25">
        <v>1180</v>
      </c>
      <c r="H6" s="307">
        <f>F6*G6</f>
        <v>67507.8</v>
      </c>
      <c r="I6" s="308"/>
      <c r="J6" s="309">
        <f>VLOOKUP(D6,產線配置圖!$A$3:$C$39,2,0)</f>
        <v>17</v>
      </c>
      <c r="K6" s="306">
        <v>1800</v>
      </c>
      <c r="L6" s="310">
        <f t="shared" si="0"/>
        <v>105.88235294117646</v>
      </c>
      <c r="M6" s="311">
        <v>17</v>
      </c>
      <c r="N6" s="306">
        <f t="shared" si="1"/>
        <v>1609.0909090908858</v>
      </c>
      <c r="O6" s="310">
        <f t="shared" si="2"/>
        <v>94.652406417110925</v>
      </c>
      <c r="P6" s="312">
        <f t="shared" si="3"/>
        <v>0</v>
      </c>
      <c r="Q6" s="313">
        <f t="shared" si="4"/>
        <v>-11.229946524065539</v>
      </c>
      <c r="R6" s="314">
        <f t="shared" si="5"/>
        <v>0.89393939393938104</v>
      </c>
      <c r="S6" s="420"/>
      <c r="T6" s="95">
        <v>0.36458333333333298</v>
      </c>
      <c r="U6" s="95">
        <v>0.39513888888888898</v>
      </c>
      <c r="V6" s="175">
        <f>(T6-U5)*24*60</f>
        <v>11.999999999999478</v>
      </c>
      <c r="W6" s="180">
        <f t="shared" si="6"/>
        <v>44.000000000000639</v>
      </c>
      <c r="X6" s="22"/>
      <c r="Y6" s="22"/>
      <c r="Z6" s="475"/>
      <c r="AA6" s="476"/>
      <c r="AB6" s="18">
        <f t="shared" si="7"/>
        <v>-190.90909090911418</v>
      </c>
      <c r="AC6" s="183">
        <f t="shared" si="8"/>
        <v>0.89393939393938104</v>
      </c>
      <c r="AD6" s="412"/>
    </row>
    <row r="7" spans="1:30" ht="15" customHeight="1">
      <c r="A7" s="408"/>
      <c r="B7" s="56" t="s">
        <v>45</v>
      </c>
      <c r="C7" s="10"/>
      <c r="D7" s="11" t="s">
        <v>34</v>
      </c>
      <c r="E7" s="86"/>
      <c r="F7" s="56">
        <f>VLOOKUP(D7,廠價表!$C$1:$E$40,3,0)</f>
        <v>49.14</v>
      </c>
      <c r="G7" s="306">
        <v>3398</v>
      </c>
      <c r="H7" s="15">
        <f>F7*G7</f>
        <v>166977.72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 t="shared" si="0"/>
        <v>153.84615384615384</v>
      </c>
      <c r="M7" s="178">
        <v>13</v>
      </c>
      <c r="N7" s="14">
        <f t="shared" si="1"/>
        <v>1960.3846153846225</v>
      </c>
      <c r="O7" s="17">
        <f t="shared" si="2"/>
        <v>150.7988165680479</v>
      </c>
      <c r="P7" s="18">
        <f t="shared" si="3"/>
        <v>0</v>
      </c>
      <c r="Q7" s="19">
        <f t="shared" si="4"/>
        <v>-3.0473372781059425</v>
      </c>
      <c r="R7" s="183">
        <f t="shared" si="5"/>
        <v>0.98019230769231136</v>
      </c>
      <c r="S7" s="420"/>
      <c r="T7" s="267">
        <v>0.40138888888888902</v>
      </c>
      <c r="U7" s="267">
        <v>0.47361111111111098</v>
      </c>
      <c r="V7" s="175">
        <f>(T7-U6)*24*60</f>
        <v>9.000000000000048</v>
      </c>
      <c r="W7" s="180">
        <f t="shared" si="6"/>
        <v>103.99999999999963</v>
      </c>
      <c r="X7" s="22"/>
      <c r="Y7" s="22"/>
      <c r="Z7" s="405"/>
      <c r="AA7" s="405"/>
      <c r="AB7" s="18">
        <f t="shared" si="7"/>
        <v>-39.615384615377479</v>
      </c>
      <c r="AC7" s="183">
        <f t="shared" si="8"/>
        <v>0.98019230769231125</v>
      </c>
      <c r="AD7" s="412"/>
    </row>
    <row r="8" spans="1:30" ht="15" customHeight="1">
      <c r="A8" s="408"/>
      <c r="B8" s="56"/>
      <c r="C8" s="10"/>
      <c r="D8" s="11"/>
      <c r="E8" s="86"/>
      <c r="F8" s="56"/>
      <c r="G8" s="25"/>
      <c r="H8" s="15"/>
      <c r="I8" s="180"/>
      <c r="J8" s="16"/>
      <c r="K8" s="14"/>
      <c r="L8" s="17"/>
      <c r="M8" s="178"/>
      <c r="N8" s="14"/>
      <c r="O8" s="17"/>
      <c r="P8" s="18"/>
      <c r="Q8" s="19"/>
      <c r="R8" s="183"/>
      <c r="S8" s="420"/>
      <c r="T8" s="95"/>
      <c r="U8" s="95"/>
      <c r="V8" s="175"/>
      <c r="W8" s="180">
        <f t="shared" si="6"/>
        <v>0</v>
      </c>
      <c r="X8" s="22">
        <v>0.48611111111111099</v>
      </c>
      <c r="Y8" s="260">
        <v>0.52777777777777801</v>
      </c>
      <c r="Z8" s="416"/>
      <c r="AA8" s="416"/>
      <c r="AB8" s="18">
        <f t="shared" si="7"/>
        <v>0</v>
      </c>
      <c r="AC8" s="183" t="e">
        <f t="shared" si="8"/>
        <v>#DIV/0!</v>
      </c>
      <c r="AD8" s="412"/>
    </row>
    <row r="9" spans="1:30" ht="15" customHeight="1">
      <c r="A9" s="409"/>
      <c r="B9" s="56"/>
      <c r="C9" s="10"/>
      <c r="D9" s="11"/>
      <c r="E9" s="86"/>
      <c r="F9" s="56"/>
      <c r="G9" s="25"/>
      <c r="H9" s="15"/>
      <c r="I9" s="180"/>
      <c r="J9" s="16"/>
      <c r="K9" s="14"/>
      <c r="L9" s="17"/>
      <c r="M9" s="178"/>
      <c r="N9" s="14"/>
      <c r="O9" s="17"/>
      <c r="P9" s="18"/>
      <c r="Q9" s="19"/>
      <c r="R9" s="183"/>
      <c r="S9" s="421"/>
      <c r="T9" s="95"/>
      <c r="U9" s="95"/>
      <c r="V9" s="175"/>
      <c r="W9" s="180">
        <f t="shared" si="6"/>
        <v>0</v>
      </c>
      <c r="X9" s="22"/>
      <c r="Y9" s="260"/>
      <c r="Z9" s="475"/>
      <c r="AA9" s="476"/>
      <c r="AB9" s="18">
        <f t="shared" si="7"/>
        <v>0</v>
      </c>
      <c r="AC9" s="183" t="e">
        <f t="shared" si="8"/>
        <v>#DIV/0!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2"/>
      <c r="U10" s="22"/>
      <c r="V10" s="175"/>
      <c r="W10" s="180">
        <f t="shared" si="6"/>
        <v>0</v>
      </c>
      <c r="X10" s="22"/>
      <c r="Y10" s="260"/>
      <c r="Z10" s="417"/>
      <c r="AA10" s="418"/>
      <c r="AB10" s="18">
        <f t="shared" si="7"/>
        <v>0</v>
      </c>
      <c r="AC10" s="183" t="e">
        <f t="shared" si="8"/>
        <v>#DIV/0!</v>
      </c>
      <c r="AD10" s="413"/>
    </row>
    <row r="11" spans="1:30" ht="15" customHeight="1">
      <c r="A11" s="409"/>
      <c r="B11" s="56"/>
      <c r="C11" s="249"/>
      <c r="D11" s="11"/>
      <c r="E11" s="251"/>
      <c r="F11" s="56"/>
      <c r="G11" s="53"/>
      <c r="H11" s="50"/>
      <c r="I11" s="42"/>
      <c r="J11" s="16"/>
      <c r="K11" s="14"/>
      <c r="L11" s="233"/>
      <c r="M11" s="21"/>
      <c r="N11" s="36"/>
      <c r="O11" s="38"/>
      <c r="P11" s="39"/>
      <c r="Q11" s="40"/>
      <c r="R11" s="188"/>
      <c r="S11" s="421"/>
      <c r="T11" s="22"/>
      <c r="U11" s="22"/>
      <c r="V11" s="175"/>
      <c r="W11" s="24">
        <f t="shared" si="6"/>
        <v>0</v>
      </c>
      <c r="X11" s="22"/>
      <c r="Y11" s="260"/>
      <c r="Z11" s="475"/>
      <c r="AA11" s="476"/>
      <c r="AB11" s="18">
        <f t="shared" si="7"/>
        <v>0</v>
      </c>
      <c r="AC11" s="183" t="e">
        <f t="shared" si="8"/>
        <v>#DIV/0!</v>
      </c>
      <c r="AD11" s="413"/>
    </row>
    <row r="12" spans="1:30" ht="15" customHeight="1">
      <c r="A12" s="409"/>
      <c r="B12" s="26"/>
      <c r="C12" s="27"/>
      <c r="D12" s="28"/>
      <c r="E12" s="29"/>
      <c r="F12" s="13"/>
      <c r="G12" s="25"/>
      <c r="H12" s="15"/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6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6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6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15</v>
      </c>
      <c r="K15" s="117">
        <f t="shared" si="9"/>
        <v>1766.6666666666667</v>
      </c>
      <c r="L15" s="114">
        <f t="shared" si="9"/>
        <v>119.90950226244343</v>
      </c>
      <c r="M15" s="117">
        <f t="shared" si="9"/>
        <v>15</v>
      </c>
      <c r="N15" s="117">
        <f t="shared" si="9"/>
        <v>1671.3145365272956</v>
      </c>
      <c r="O15" s="114">
        <f t="shared" si="9"/>
        <v>113.916365108528</v>
      </c>
      <c r="P15" s="118">
        <f t="shared" ref="P15:P18" si="10">M15-J15</f>
        <v>0</v>
      </c>
      <c r="Q15" s="119">
        <f t="shared" ref="Q15:Q18" si="11">O15-L15</f>
        <v>-5.993137153915427</v>
      </c>
      <c r="R15" s="120">
        <f t="shared" ref="R15:R18" si="12">O15/L15</f>
        <v>0.95001949769753546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3">N15-K15</f>
        <v>-95.352130139371184</v>
      </c>
      <c r="AC15" s="185">
        <f t="shared" ref="AC15:AC19" si="14">N15/K15</f>
        <v>0.94602709614752578</v>
      </c>
      <c r="AD15" s="414"/>
    </row>
    <row r="16" spans="1:30" ht="15" customHeight="1">
      <c r="A16" s="439" t="s">
        <v>39</v>
      </c>
      <c r="B16" s="197" t="s">
        <v>45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1861</v>
      </c>
      <c r="H16" s="124">
        <f t="shared" ref="H16:H25" si="15">F16*G16</f>
        <v>106467.81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8" si="16">K16/J16</f>
        <v>161.92307692307693</v>
      </c>
      <c r="M16" s="264">
        <v>13</v>
      </c>
      <c r="N16" s="126">
        <f t="shared" ref="N16:N18" si="17">G16/W16*60</f>
        <v>1830.4918032786948</v>
      </c>
      <c r="O16" s="127">
        <f>N16/M16</f>
        <v>140.80706179066883</v>
      </c>
      <c r="P16" s="128">
        <f>M16-J16</f>
        <v>0</v>
      </c>
      <c r="Q16" s="129">
        <f t="shared" si="11"/>
        <v>-21.116015132408108</v>
      </c>
      <c r="R16" s="187">
        <f>O16/L16</f>
        <v>0.86959230559557943</v>
      </c>
      <c r="S16" s="431">
        <f>R26</f>
        <v>0.93068672647745332</v>
      </c>
      <c r="T16" s="345">
        <v>0.29097222222222202</v>
      </c>
      <c r="U16" s="345">
        <v>0.33333333333333298</v>
      </c>
      <c r="V16" s="125"/>
      <c r="W16" s="130">
        <f t="shared" ref="W16:W78" si="18">(U16-T16)*24*60</f>
        <v>60.999999999999787</v>
      </c>
      <c r="X16" s="127"/>
      <c r="Y16" s="127"/>
      <c r="Z16" s="425"/>
      <c r="AA16" s="425"/>
      <c r="AB16" s="110">
        <f t="shared" si="13"/>
        <v>-274.50819672130524</v>
      </c>
      <c r="AC16" s="182">
        <f t="shared" si="14"/>
        <v>0.86959230559557943</v>
      </c>
      <c r="AD16" s="411">
        <f>AC26</f>
        <v>0.92955887298243445</v>
      </c>
    </row>
    <row r="17" spans="1:30" ht="15" customHeight="1">
      <c r="A17" s="440"/>
      <c r="B17" s="56" t="s">
        <v>45</v>
      </c>
      <c r="C17" s="10"/>
      <c r="D17" s="11" t="s">
        <v>40</v>
      </c>
      <c r="E17" s="86"/>
      <c r="F17" s="56">
        <f>VLOOKUP(D17,廠價表!$C$1:$E$40,3,0)</f>
        <v>50.67</v>
      </c>
      <c r="G17" s="96">
        <v>2724</v>
      </c>
      <c r="H17" s="15">
        <f t="shared" si="15"/>
        <v>138025.08000000002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>G17/W17*60</f>
        <v>1900.4651162790767</v>
      </c>
      <c r="O17" s="38">
        <f t="shared" ref="O17:O18" si="19">N17/M17</f>
        <v>146.18962432915976</v>
      </c>
      <c r="P17" s="39">
        <f t="shared" si="10"/>
        <v>0</v>
      </c>
      <c r="Q17" s="40">
        <f t="shared" si="11"/>
        <v>-7.6565295169940839</v>
      </c>
      <c r="R17" s="188">
        <f t="shared" si="12"/>
        <v>0.95023255813953844</v>
      </c>
      <c r="S17" s="432"/>
      <c r="T17" s="44">
        <v>0.34166666666666701</v>
      </c>
      <c r="U17" s="44">
        <v>0.40138888888888902</v>
      </c>
      <c r="V17" s="175">
        <f>(T17-U16)*24*60</f>
        <v>12.000000000000997</v>
      </c>
      <c r="W17" s="43">
        <f t="shared" si="18"/>
        <v>85.999999999999687</v>
      </c>
      <c r="X17" s="44"/>
      <c r="Y17" s="44"/>
      <c r="Z17" s="405"/>
      <c r="AA17" s="405"/>
      <c r="AB17" s="18">
        <f t="shared" si="13"/>
        <v>-99.53488372092329</v>
      </c>
      <c r="AC17" s="183">
        <f t="shared" si="14"/>
        <v>0.95023255813953833</v>
      </c>
      <c r="AD17" s="412"/>
    </row>
    <row r="18" spans="1:30" ht="15" customHeight="1">
      <c r="A18" s="440"/>
      <c r="B18" s="56" t="s">
        <v>45</v>
      </c>
      <c r="C18" s="10"/>
      <c r="D18" s="11" t="s">
        <v>41</v>
      </c>
      <c r="E18" s="86"/>
      <c r="F18" s="56">
        <f>VLOOKUP(D18,廠價表!$C$1:$E$40,3,0)</f>
        <v>50.39</v>
      </c>
      <c r="G18" s="96">
        <v>3402</v>
      </c>
      <c r="H18" s="15">
        <f t="shared" si="15"/>
        <v>171426.78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1943.9999999999905</v>
      </c>
      <c r="O18" s="38">
        <f t="shared" si="19"/>
        <v>161.9999999999992</v>
      </c>
      <c r="P18" s="39">
        <f t="shared" si="10"/>
        <v>0</v>
      </c>
      <c r="Q18" s="40">
        <f t="shared" si="11"/>
        <v>-4.666666666667453</v>
      </c>
      <c r="R18" s="188">
        <f t="shared" si="12"/>
        <v>0.97199999999999531</v>
      </c>
      <c r="S18" s="432"/>
      <c r="T18" s="44">
        <v>0.40972222222222199</v>
      </c>
      <c r="U18" s="44">
        <v>0.48263888888888901</v>
      </c>
      <c r="V18" s="175">
        <f>(T18-U17)*24*60</f>
        <v>11.999999999999478</v>
      </c>
      <c r="W18" s="43">
        <f t="shared" si="18"/>
        <v>105.00000000000051</v>
      </c>
      <c r="X18" s="22">
        <v>0.48611111111111099</v>
      </c>
      <c r="Y18" s="260">
        <v>0.52777777777777801</v>
      </c>
      <c r="Z18" s="405"/>
      <c r="AA18" s="405"/>
      <c r="AB18" s="18">
        <f t="shared" si="13"/>
        <v>-56.00000000000955</v>
      </c>
      <c r="AC18" s="183">
        <f t="shared" si="14"/>
        <v>0.9719999999999952</v>
      </c>
      <c r="AD18" s="412"/>
    </row>
    <row r="19" spans="1:30" ht="15" customHeight="1">
      <c r="A19" s="440"/>
      <c r="B19" s="56"/>
      <c r="C19" s="10"/>
      <c r="D19" s="11"/>
      <c r="E19" s="86"/>
      <c r="F19" s="56"/>
      <c r="G19" s="96"/>
      <c r="H19" s="15"/>
      <c r="I19" s="175"/>
      <c r="J19" s="16"/>
      <c r="K19" s="14"/>
      <c r="L19" s="17"/>
      <c r="M19" s="37"/>
      <c r="N19" s="36"/>
      <c r="O19" s="38"/>
      <c r="P19" s="39"/>
      <c r="Q19" s="40"/>
      <c r="R19" s="188"/>
      <c r="S19" s="432"/>
      <c r="T19" s="44"/>
      <c r="U19" s="44"/>
      <c r="V19" s="175"/>
      <c r="W19" s="43">
        <f t="shared" si="18"/>
        <v>0</v>
      </c>
      <c r="X19" s="22"/>
      <c r="Y19" s="260"/>
      <c r="Z19" s="475"/>
      <c r="AA19" s="476"/>
      <c r="AB19" s="18">
        <f t="shared" si="13"/>
        <v>0</v>
      </c>
      <c r="AC19" s="183" t="e">
        <f t="shared" si="14"/>
        <v>#DIV/0!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4"/>
      <c r="U20" s="44"/>
      <c r="V20" s="175">
        <f>(T20-U19)*24*60</f>
        <v>0</v>
      </c>
      <c r="W20" s="43">
        <f t="shared" si="18"/>
        <v>0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26"/>
      <c r="AA21" s="418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/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12.666666666666666</v>
      </c>
      <c r="K26" s="133">
        <f t="shared" si="20"/>
        <v>2035</v>
      </c>
      <c r="L26" s="136">
        <f t="shared" si="20"/>
        <v>160.81196581196582</v>
      </c>
      <c r="M26" s="133">
        <f t="shared" si="20"/>
        <v>12.666666666666666</v>
      </c>
      <c r="N26" s="133">
        <f t="shared" si="20"/>
        <v>1891.6523065192541</v>
      </c>
      <c r="O26" s="136">
        <f t="shared" si="20"/>
        <v>149.66556203994261</v>
      </c>
      <c r="P26" s="137">
        <f t="shared" ref="P26:P30" si="21">M26-J26</f>
        <v>0</v>
      </c>
      <c r="Q26" s="138">
        <f t="shared" ref="Q26:Q30" si="22">O26-L26</f>
        <v>-11.146403772023206</v>
      </c>
      <c r="R26" s="139">
        <f>O26/L26</f>
        <v>0.93068672647745332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 t="shared" ref="AB26:AB31" si="23">N26-K26</f>
        <v>-143.34769348074587</v>
      </c>
      <c r="AC26" s="185">
        <f t="shared" ref="AC26:AC31" si="24">N26/K26</f>
        <v>0.92955887298243445</v>
      </c>
      <c r="AD26" s="414"/>
    </row>
    <row r="27" spans="1:30" ht="15" customHeight="1">
      <c r="A27" s="428" t="s">
        <v>44</v>
      </c>
      <c r="B27" s="227" t="s">
        <v>45</v>
      </c>
      <c r="C27" s="101"/>
      <c r="D27" s="330" t="s">
        <v>142</v>
      </c>
      <c r="E27" s="103"/>
      <c r="F27" s="197">
        <f>VLOOKUP(D27,廠價表!$C$1:$E$40,3,0)</f>
        <v>57.3</v>
      </c>
      <c r="G27" s="266">
        <v>2155</v>
      </c>
      <c r="H27" s="124">
        <f t="shared" ref="H27:H47" si="25">F27*G27</f>
        <v>123481.5</v>
      </c>
      <c r="I27" s="125"/>
      <c r="J27" s="16">
        <f>VLOOKUP(D27,產線配置圖!$A$3:$C$39,2,0)</f>
        <v>15</v>
      </c>
      <c r="K27" s="14">
        <f>VLOOKUP(D27,產線配置圖!$A$3:$C$39,3,0)</f>
        <v>1440</v>
      </c>
      <c r="L27" s="108">
        <f>K27/J27</f>
        <v>96</v>
      </c>
      <c r="M27" s="143">
        <v>14</v>
      </c>
      <c r="N27" s="126">
        <f>G27/W27*60</f>
        <v>1154.4642857142974</v>
      </c>
      <c r="O27" s="127">
        <f>N27/M27</f>
        <v>82.461734693878384</v>
      </c>
      <c r="P27" s="128">
        <f t="shared" si="21"/>
        <v>-1</v>
      </c>
      <c r="Q27" s="129">
        <f t="shared" si="22"/>
        <v>-13.538265306121616</v>
      </c>
      <c r="R27" s="187">
        <f>O27/L27</f>
        <v>0.85897640306123313</v>
      </c>
      <c r="S27" s="431">
        <f>R37</f>
        <v>0.88819366360288288</v>
      </c>
      <c r="T27" s="94">
        <v>0.29166666666666702</v>
      </c>
      <c r="U27" s="94">
        <v>0.36944444444444402</v>
      </c>
      <c r="V27" s="125"/>
      <c r="W27" s="130">
        <f t="shared" si="18"/>
        <v>111.99999999999888</v>
      </c>
      <c r="X27" s="125"/>
      <c r="Y27" s="125" t="s">
        <v>47</v>
      </c>
      <c r="Z27" s="434"/>
      <c r="AA27" s="425"/>
      <c r="AB27" s="223">
        <f t="shared" si="23"/>
        <v>-285.53571428570262</v>
      </c>
      <c r="AC27" s="288">
        <f t="shared" si="24"/>
        <v>0.80171130952381764</v>
      </c>
      <c r="AD27" s="411">
        <f>AC37</f>
        <v>0.75139735119659445</v>
      </c>
    </row>
    <row r="28" spans="1:30" ht="15" customHeight="1">
      <c r="A28" s="429"/>
      <c r="B28" s="56" t="s">
        <v>45</v>
      </c>
      <c r="C28" s="235"/>
      <c r="D28" s="11" t="s">
        <v>48</v>
      </c>
      <c r="E28" s="29"/>
      <c r="F28" s="56">
        <f>VLOOKUP(D28,廠價表!$C$1:$E$40,3,0)</f>
        <v>55.13</v>
      </c>
      <c r="G28" s="53">
        <v>1271</v>
      </c>
      <c r="H28" s="50">
        <f t="shared" si="25"/>
        <v>70070.23000000001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16</v>
      </c>
      <c r="N28" s="36">
        <f>G28/W28*60</f>
        <v>1173.2307692307661</v>
      </c>
      <c r="O28" s="38">
        <f>N28/M28</f>
        <v>73.326923076922881</v>
      </c>
      <c r="P28" s="39">
        <f t="shared" si="21"/>
        <v>-2</v>
      </c>
      <c r="Q28" s="40">
        <f t="shared" si="22"/>
        <v>-3.6175213675215616</v>
      </c>
      <c r="R28" s="188">
        <f t="shared" ref="R28:R30" si="26">O28/L28</f>
        <v>0.95298528186614573</v>
      </c>
      <c r="S28" s="432"/>
      <c r="T28" s="44">
        <v>0.375</v>
      </c>
      <c r="U28" s="44">
        <v>0.42013888888888901</v>
      </c>
      <c r="V28" s="42">
        <f>(T28-U27)*24*60</f>
        <v>8.0000000000006111</v>
      </c>
      <c r="W28" s="43">
        <f t="shared" si="18"/>
        <v>65.000000000000171</v>
      </c>
      <c r="X28" s="54"/>
      <c r="Y28" s="54"/>
      <c r="Z28" s="418"/>
      <c r="AA28" s="417"/>
      <c r="AB28" s="39">
        <f t="shared" si="23"/>
        <v>-211.7692307692339</v>
      </c>
      <c r="AC28" s="188">
        <f t="shared" si="24"/>
        <v>0.84709802832546288</v>
      </c>
      <c r="AD28" s="444"/>
    </row>
    <row r="29" spans="1:30" ht="15" customHeight="1">
      <c r="A29" s="429"/>
      <c r="B29" s="56" t="s">
        <v>182</v>
      </c>
      <c r="C29" s="235"/>
      <c r="D29" s="11" t="s">
        <v>166</v>
      </c>
      <c r="E29" s="29"/>
      <c r="F29" s="56">
        <f>VLOOKUP(D29,廠價表!$C$1:$E$40,3,0)</f>
        <v>49.52</v>
      </c>
      <c r="G29" s="53">
        <v>1046</v>
      </c>
      <c r="H29" s="50">
        <f t="shared" si="25"/>
        <v>51797.920000000006</v>
      </c>
      <c r="I29" s="42"/>
      <c r="J29" s="16">
        <f>VLOOKUP(D29,產線配置圖!$A$3:$C$39,2,0)</f>
        <v>18</v>
      </c>
      <c r="K29" s="14">
        <f>VLOOKUP(D29,產線配置圖!$A$3:$C$39,3,0)</f>
        <v>1440</v>
      </c>
      <c r="L29" s="233">
        <f>K29/J29</f>
        <v>80</v>
      </c>
      <c r="M29" s="21">
        <v>14</v>
      </c>
      <c r="N29" s="36">
        <f>G29/W29*60</f>
        <v>965.53846153848156</v>
      </c>
      <c r="O29" s="38">
        <f>N29/M29</f>
        <v>68.967032967034399</v>
      </c>
      <c r="P29" s="39">
        <f t="shared" si="21"/>
        <v>-4</v>
      </c>
      <c r="Q29" s="40">
        <f t="shared" si="22"/>
        <v>-11.032967032965601</v>
      </c>
      <c r="R29" s="188">
        <f t="shared" si="26"/>
        <v>0.86208791208793001</v>
      </c>
      <c r="S29" s="432"/>
      <c r="T29" s="44">
        <v>0.43055555555555602</v>
      </c>
      <c r="U29" s="44">
        <v>0.47569444444444398</v>
      </c>
      <c r="V29" s="42">
        <f>(T29-U28)*24*60</f>
        <v>15.000000000000506</v>
      </c>
      <c r="W29" s="43">
        <f t="shared" si="18"/>
        <v>64.99999999999865</v>
      </c>
      <c r="X29" s="22"/>
      <c r="Y29" s="22"/>
      <c r="Z29" s="418"/>
      <c r="AA29" s="417"/>
      <c r="AB29" s="289">
        <f t="shared" si="23"/>
        <v>-474.46153846151844</v>
      </c>
      <c r="AC29" s="188">
        <f t="shared" si="24"/>
        <v>0.67051282051283445</v>
      </c>
      <c r="AD29" s="444"/>
    </row>
    <row r="30" spans="1:30" ht="15" customHeight="1">
      <c r="A30" s="429"/>
      <c r="B30" s="56" t="s">
        <v>182</v>
      </c>
      <c r="C30" s="249"/>
      <c r="D30" s="11" t="s">
        <v>166</v>
      </c>
      <c r="E30" s="251"/>
      <c r="F30" s="56">
        <f>VLOOKUP(D30,廠價表!$C$1:$E$40,3,0)</f>
        <v>49.52</v>
      </c>
      <c r="G30" s="53">
        <v>712</v>
      </c>
      <c r="H30" s="50">
        <f t="shared" si="25"/>
        <v>35258.240000000005</v>
      </c>
      <c r="I30" s="42"/>
      <c r="J30" s="16">
        <f>VLOOKUP(D30,產線配置圖!$A$3:$C$39,2,0)</f>
        <v>18</v>
      </c>
      <c r="K30" s="14">
        <f>VLOOKUP(D30,產線配置圖!$A$3:$C$39,3,0)</f>
        <v>1440</v>
      </c>
      <c r="L30" s="233">
        <f>K30/J30</f>
        <v>80</v>
      </c>
      <c r="M30" s="21">
        <v>14</v>
      </c>
      <c r="N30" s="36">
        <f>G30/W30*60</f>
        <v>993.4883720930269</v>
      </c>
      <c r="O30" s="38">
        <f>N30/M30</f>
        <v>70.963455149501925</v>
      </c>
      <c r="P30" s="39">
        <f t="shared" si="21"/>
        <v>-4</v>
      </c>
      <c r="Q30" s="40">
        <f t="shared" si="22"/>
        <v>-9.0365448504980748</v>
      </c>
      <c r="R30" s="188">
        <f t="shared" si="26"/>
        <v>0.88704318936877402</v>
      </c>
      <c r="S30" s="432"/>
      <c r="T30" s="44">
        <v>0.53958333333333297</v>
      </c>
      <c r="U30" s="44">
        <v>0.56944444444444398</v>
      </c>
      <c r="V30" s="42">
        <f>(T30-U29)*24*60</f>
        <v>92.000000000000156</v>
      </c>
      <c r="W30" s="43">
        <f t="shared" si="18"/>
        <v>42.999999999999844</v>
      </c>
      <c r="X30" s="54">
        <v>0.49652777777777801</v>
      </c>
      <c r="Y30" s="54">
        <v>0.53819444444444398</v>
      </c>
      <c r="Z30" s="418"/>
      <c r="AA30" s="417"/>
      <c r="AB30" s="289">
        <f t="shared" si="23"/>
        <v>-446.5116279069731</v>
      </c>
      <c r="AC30" s="188">
        <f t="shared" si="24"/>
        <v>0.6899224806201576</v>
      </c>
      <c r="AD30" s="445"/>
    </row>
    <row r="31" spans="1:30" ht="15" customHeight="1">
      <c r="A31" s="429"/>
      <c r="B31" s="56"/>
      <c r="C31" s="249"/>
      <c r="D31" s="11"/>
      <c r="E31" s="251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4"/>
      <c r="U31" s="44"/>
      <c r="V31" s="42"/>
      <c r="W31" s="43">
        <f t="shared" si="18"/>
        <v>0</v>
      </c>
      <c r="X31" s="54"/>
      <c r="Y31" s="54"/>
      <c r="Z31" s="426"/>
      <c r="AA31" s="446"/>
      <c r="AB31" s="289">
        <f t="shared" si="23"/>
        <v>0</v>
      </c>
      <c r="AC31" s="188" t="e">
        <f t="shared" si="24"/>
        <v>#DIV/0!</v>
      </c>
      <c r="AD31" s="413"/>
    </row>
    <row r="32" spans="1:30" ht="15" customHeight="1">
      <c r="A32" s="429"/>
      <c r="B32" s="56"/>
      <c r="C32" s="27"/>
      <c r="D32" s="239"/>
      <c r="E32" s="275"/>
      <c r="F32" s="56"/>
      <c r="G32" s="53"/>
      <c r="H32" s="50"/>
      <c r="I32" s="42"/>
      <c r="J32" s="16"/>
      <c r="K32" s="14"/>
      <c r="L32" s="23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56"/>
      <c r="C33" s="238"/>
      <c r="D33" s="11"/>
      <c r="E33" s="240"/>
      <c r="F33" s="56"/>
      <c r="G33" s="53"/>
      <c r="H33" s="50"/>
      <c r="I33" s="42"/>
      <c r="J33" s="16"/>
      <c r="K33" s="14"/>
      <c r="L33" s="233"/>
      <c r="M33" s="21"/>
      <c r="N33" s="36"/>
      <c r="O33" s="38"/>
      <c r="P33" s="39"/>
      <c r="Q33" s="40"/>
      <c r="R33" s="188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56"/>
      <c r="C34" s="235"/>
      <c r="D34" s="11"/>
      <c r="E34" s="29"/>
      <c r="F34" s="56"/>
      <c r="G34" s="53"/>
      <c r="H34" s="50"/>
      <c r="I34" s="42"/>
      <c r="J34" s="16"/>
      <c r="K34" s="14"/>
      <c r="L34" s="233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56"/>
      <c r="C35" s="235"/>
      <c r="D35" s="11"/>
      <c r="E35" s="29"/>
      <c r="F35" s="56"/>
      <c r="G35" s="53"/>
      <c r="H35" s="50"/>
      <c r="I35" s="42"/>
      <c r="J35" s="16"/>
      <c r="K35" s="14"/>
      <c r="L35" s="233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80"/>
      <c r="AA35" s="481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82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7">AVERAGE(J27:J36)</f>
        <v>17.25</v>
      </c>
      <c r="K37" s="282">
        <f t="shared" si="27"/>
        <v>1426.25</v>
      </c>
      <c r="L37" s="283">
        <f t="shared" si="27"/>
        <v>83.236111111111114</v>
      </c>
      <c r="M37" s="282">
        <f t="shared" si="27"/>
        <v>14.5</v>
      </c>
      <c r="N37" s="282">
        <f t="shared" si="27"/>
        <v>1071.6804721441429</v>
      </c>
      <c r="O37" s="283">
        <f t="shared" si="27"/>
        <v>73.929786471834404</v>
      </c>
      <c r="P37" s="73">
        <f>M37-J37</f>
        <v>-2.75</v>
      </c>
      <c r="Q37" s="74">
        <f>N37-K37</f>
        <v>-354.56952785585713</v>
      </c>
      <c r="R37" s="284">
        <f t="shared" ref="R37:R40" si="28">O37/L37</f>
        <v>0.88819366360288288</v>
      </c>
      <c r="S37" s="433"/>
      <c r="T37" s="296"/>
      <c r="U37" s="296"/>
      <c r="V37" s="81"/>
      <c r="W37" s="81"/>
      <c r="X37" s="297"/>
      <c r="Y37" s="297"/>
      <c r="Z37" s="477"/>
      <c r="AA37" s="478"/>
      <c r="AB37" s="34">
        <f t="shared" ref="AB37:AB41" si="29">N37-K37</f>
        <v>-354.56952785585713</v>
      </c>
      <c r="AC37" s="184">
        <f t="shared" ref="AC37:AC41" si="30">N37/K37</f>
        <v>0.75139735119659445</v>
      </c>
      <c r="AD37" s="413"/>
    </row>
    <row r="38" spans="1:30" s="62" customFormat="1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1374</v>
      </c>
      <c r="H38" s="124">
        <f t="shared" si="25"/>
        <v>78730.2</v>
      </c>
      <c r="I38" s="125"/>
      <c r="J38" s="331">
        <f>VLOOKUP(D38,產線配置圖!$A$3:$C$39,2,0)</f>
        <v>15</v>
      </c>
      <c r="K38" s="234">
        <f>VLOOKUP(D38,產線配置圖!$A$3:$C$39,3,0)</f>
        <v>1385</v>
      </c>
      <c r="L38" s="285">
        <f t="shared" ref="L38:L40" si="31">K38/J38</f>
        <v>92.333333333333329</v>
      </c>
      <c r="M38" s="286">
        <v>14</v>
      </c>
      <c r="N38" s="126">
        <f>G38/W38*60</f>
        <v>1194.7826086956441</v>
      </c>
      <c r="O38" s="127">
        <f>N38/M38</f>
        <v>85.341614906831722</v>
      </c>
      <c r="P38" s="128">
        <f t="shared" ref="P38:P40" si="32">M38-J38</f>
        <v>-1</v>
      </c>
      <c r="Q38" s="129">
        <f t="shared" ref="Q38:Q40" si="33">O38-L38</f>
        <v>-6.9917184265016061</v>
      </c>
      <c r="R38" s="187">
        <f>O38/L38</f>
        <v>0.92427741776352046</v>
      </c>
      <c r="S38" s="460">
        <f>R48</f>
        <v>0.88239584697680051</v>
      </c>
      <c r="T38" s="348">
        <v>0.33333333333333298</v>
      </c>
      <c r="U38" s="348">
        <v>0.38124999999999998</v>
      </c>
      <c r="V38" s="146"/>
      <c r="W38" s="150">
        <f t="shared" si="18"/>
        <v>69.000000000000469</v>
      </c>
      <c r="X38" s="148"/>
      <c r="Y38" s="151"/>
      <c r="Z38" s="484"/>
      <c r="AA38" s="485"/>
      <c r="AB38" s="287">
        <f t="shared" si="29"/>
        <v>-190.21739130435594</v>
      </c>
      <c r="AC38" s="152">
        <f t="shared" si="30"/>
        <v>0.86265892324595239</v>
      </c>
      <c r="AD38" s="447">
        <f>AC48</f>
        <v>0.76455939270003204</v>
      </c>
    </row>
    <row r="39" spans="1:30" s="62" customFormat="1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1307</v>
      </c>
      <c r="H39" s="50">
        <f t="shared" si="25"/>
        <v>73754.009999999995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1"/>
        <v>93.733333333333334</v>
      </c>
      <c r="M39" s="65">
        <v>14</v>
      </c>
      <c r="N39" s="66">
        <f>G39/W39*60</f>
        <v>980.25000000001035</v>
      </c>
      <c r="O39" s="67">
        <f t="shared" ref="O39:O40" si="34">N39/M39</f>
        <v>70.017857142857878</v>
      </c>
      <c r="P39" s="39">
        <f t="shared" si="32"/>
        <v>-1</v>
      </c>
      <c r="Q39" s="40">
        <f t="shared" si="33"/>
        <v>-23.715476190475457</v>
      </c>
      <c r="R39" s="188">
        <f t="shared" si="28"/>
        <v>0.74698994106889627</v>
      </c>
      <c r="S39" s="461"/>
      <c r="T39" s="349">
        <v>0.38888888888888901</v>
      </c>
      <c r="U39" s="349">
        <v>0.44444444444444398</v>
      </c>
      <c r="V39" s="42">
        <f>(T39-U38)*24*60</f>
        <v>11.000000000000201</v>
      </c>
      <c r="W39" s="69">
        <f t="shared" si="18"/>
        <v>79.999999999999162</v>
      </c>
      <c r="X39" s="22"/>
      <c r="Y39" s="22"/>
      <c r="Z39" s="450" t="s">
        <v>117</v>
      </c>
      <c r="AA39" s="451"/>
      <c r="AB39" s="268">
        <f t="shared" si="29"/>
        <v>-425.74999999998965</v>
      </c>
      <c r="AC39" s="61">
        <f t="shared" si="30"/>
        <v>0.69719061166430318</v>
      </c>
      <c r="AD39" s="448"/>
    </row>
    <row r="40" spans="1:30" s="62" customFormat="1" ht="15" customHeight="1">
      <c r="A40" s="458"/>
      <c r="B40" s="56" t="s">
        <v>182</v>
      </c>
      <c r="C40" s="272"/>
      <c r="D40" s="276" t="s">
        <v>167</v>
      </c>
      <c r="E40" s="240"/>
      <c r="F40" s="56">
        <f>VLOOKUP(D40,廠價表!$C$1:$E$40,3,0)</f>
        <v>44.3</v>
      </c>
      <c r="G40" s="273">
        <v>1943</v>
      </c>
      <c r="H40" s="50">
        <f t="shared" si="25"/>
        <v>86074.9</v>
      </c>
      <c r="I40" s="64"/>
      <c r="J40" s="37">
        <f>VLOOKUP(D40,產線配置圖!$A$3:$C$39,2,0)</f>
        <v>19</v>
      </c>
      <c r="K40" s="36">
        <f>VLOOKUP(D40,產線配置圖!$A$3:$C$39,3,0)</f>
        <v>1440</v>
      </c>
      <c r="L40" s="38">
        <f t="shared" si="31"/>
        <v>75.78947368421052</v>
      </c>
      <c r="M40" s="65">
        <v>14</v>
      </c>
      <c r="N40" s="66">
        <f>G40/W40*60</f>
        <v>1059.8181818181811</v>
      </c>
      <c r="O40" s="67">
        <f t="shared" si="34"/>
        <v>75.701298701298654</v>
      </c>
      <c r="P40" s="39">
        <f t="shared" si="32"/>
        <v>-5</v>
      </c>
      <c r="Q40" s="40">
        <f t="shared" si="33"/>
        <v>-8.8174982911866095E-2</v>
      </c>
      <c r="R40" s="188">
        <f t="shared" si="28"/>
        <v>0.9988365800865795</v>
      </c>
      <c r="S40" s="420"/>
      <c r="T40" s="349">
        <v>0.52777777777777801</v>
      </c>
      <c r="U40" s="349">
        <v>0.60416666666666696</v>
      </c>
      <c r="V40" s="42">
        <f>(T40-U39)*24*60</f>
        <v>120.00000000000101</v>
      </c>
      <c r="W40" s="69">
        <f t="shared" si="18"/>
        <v>110.00000000000009</v>
      </c>
      <c r="X40" s="70"/>
      <c r="Y40" s="256"/>
      <c r="Z40" s="480"/>
      <c r="AA40" s="483"/>
      <c r="AB40" s="268">
        <f t="shared" si="29"/>
        <v>-380.18181818181893</v>
      </c>
      <c r="AC40" s="61">
        <f t="shared" si="30"/>
        <v>0.73598484848484802</v>
      </c>
      <c r="AD40" s="448"/>
    </row>
    <row r="41" spans="1:30" s="62" customFormat="1" ht="15" customHeight="1">
      <c r="A41" s="458"/>
      <c r="B41" s="56"/>
      <c r="C41" s="272"/>
      <c r="D41" s="276"/>
      <c r="E41" s="240"/>
      <c r="F41" s="56"/>
      <c r="G41" s="273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88"/>
      <c r="S41" s="420"/>
      <c r="T41" s="349"/>
      <c r="U41" s="350"/>
      <c r="V41" s="42"/>
      <c r="W41" s="69">
        <f t="shared" si="18"/>
        <v>0</v>
      </c>
      <c r="X41" s="70"/>
      <c r="Y41" s="256"/>
      <c r="Z41" s="480"/>
      <c r="AA41" s="483"/>
      <c r="AB41" s="268">
        <f t="shared" si="29"/>
        <v>0</v>
      </c>
      <c r="AC41" s="61" t="e">
        <f t="shared" si="30"/>
        <v>#DIV/0!</v>
      </c>
      <c r="AD41" s="448"/>
    </row>
    <row r="42" spans="1:30" s="62" customFormat="1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350"/>
      <c r="U42" s="350"/>
      <c r="V42" s="42"/>
      <c r="W42" s="69">
        <f t="shared" si="18"/>
        <v>0</v>
      </c>
      <c r="X42" s="70"/>
      <c r="Y42" s="60"/>
      <c r="Z42" s="480"/>
      <c r="AA42" s="483"/>
      <c r="AB42" s="268"/>
      <c r="AC42" s="61"/>
      <c r="AD42" s="448"/>
    </row>
    <row r="43" spans="1:30" s="62" customFormat="1" ht="15" customHeight="1">
      <c r="A43" s="458"/>
      <c r="B43" s="56"/>
      <c r="C43" s="27"/>
      <c r="D43" s="276"/>
      <c r="E43" s="29"/>
      <c r="F43" s="56"/>
      <c r="G43" s="66"/>
      <c r="H43" s="50"/>
      <c r="I43" s="64"/>
      <c r="J43" s="37"/>
      <c r="K43" s="36"/>
      <c r="L43" s="38"/>
      <c r="M43" s="65"/>
      <c r="N43" s="66"/>
      <c r="O43" s="67"/>
      <c r="P43" s="39"/>
      <c r="Q43" s="40"/>
      <c r="R43" s="188"/>
      <c r="S43" s="420"/>
      <c r="T43" s="350"/>
      <c r="U43" s="350"/>
      <c r="V43" s="42"/>
      <c r="W43" s="69">
        <f>(U43-T43)*24*60</f>
        <v>0</v>
      </c>
      <c r="X43" s="70"/>
      <c r="Y43" s="334"/>
      <c r="Z43" s="480"/>
      <c r="AA43" s="483"/>
      <c r="AB43" s="71"/>
      <c r="AC43" s="61"/>
      <c r="AD43" s="448"/>
    </row>
    <row r="44" spans="1:30" s="62" customFormat="1" ht="15" customHeight="1">
      <c r="A44" s="458"/>
      <c r="B44" s="56"/>
      <c r="C44" s="23"/>
      <c r="D44" s="276"/>
      <c r="E44" s="12"/>
      <c r="F44" s="56"/>
      <c r="G44" s="273"/>
      <c r="H44" s="50"/>
      <c r="I44" s="64"/>
      <c r="J44" s="37"/>
      <c r="K44" s="36"/>
      <c r="L44" s="38"/>
      <c r="M44" s="65"/>
      <c r="N44" s="66"/>
      <c r="O44" s="67"/>
      <c r="P44" s="39"/>
      <c r="Q44" s="40"/>
      <c r="R44" s="188"/>
      <c r="S44" s="420"/>
      <c r="T44" s="350"/>
      <c r="U44" s="350"/>
      <c r="V44" s="42"/>
      <c r="W44" s="69">
        <f t="shared" ref="W44:W48" si="35">(U44-T44)*24*60</f>
        <v>0</v>
      </c>
      <c r="X44" s="70"/>
      <c r="Y44" s="67"/>
      <c r="Z44" s="480"/>
      <c r="AA44" s="483"/>
      <c r="AB44" s="71"/>
      <c r="AC44" s="61"/>
      <c r="AD44" s="448"/>
    </row>
    <row r="45" spans="1:30" s="62" customFormat="1" ht="15" customHeight="1">
      <c r="A45" s="458"/>
      <c r="B45" s="56"/>
      <c r="C45" s="23"/>
      <c r="D45" s="276"/>
      <c r="E45" s="12"/>
      <c r="F45" s="56"/>
      <c r="G45" s="273"/>
      <c r="H45" s="50"/>
      <c r="I45" s="64"/>
      <c r="J45" s="37"/>
      <c r="K45" s="36"/>
      <c r="L45" s="38"/>
      <c r="M45" s="65"/>
      <c r="N45" s="66"/>
      <c r="O45" s="67"/>
      <c r="P45" s="39"/>
      <c r="Q45" s="40"/>
      <c r="R45" s="188"/>
      <c r="S45" s="420"/>
      <c r="T45" s="350"/>
      <c r="U45" s="350"/>
      <c r="V45" s="64"/>
      <c r="W45" s="69">
        <f t="shared" si="35"/>
        <v>0</v>
      </c>
      <c r="X45" s="70"/>
      <c r="Y45" s="67"/>
      <c r="Z45" s="405"/>
      <c r="AA45" s="405"/>
      <c r="AB45" s="71"/>
      <c r="AC45" s="61"/>
      <c r="AD45" s="448"/>
    </row>
    <row r="46" spans="1:30" s="62" customFormat="1" ht="15" customHeight="1">
      <c r="A46" s="458"/>
      <c r="B46" s="229"/>
      <c r="C46" s="27"/>
      <c r="D46" s="28"/>
      <c r="E46" s="29"/>
      <c r="F46" s="13"/>
      <c r="G46" s="66"/>
      <c r="H46" s="63"/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5"/>
        <v>0</v>
      </c>
      <c r="X46" s="70"/>
      <c r="Y46" s="67"/>
      <c r="Z46" s="405"/>
      <c r="AA46" s="405"/>
      <c r="AB46" s="71"/>
      <c r="AC46" s="61"/>
      <c r="AD46" s="448"/>
    </row>
    <row r="47" spans="1:30" s="62" customFormat="1" ht="15" customHeight="1">
      <c r="A47" s="458"/>
      <c r="B47" s="228"/>
      <c r="C47" s="27"/>
      <c r="D47" s="28"/>
      <c r="E47" s="29"/>
      <c r="F47" s="13"/>
      <c r="G47" s="66"/>
      <c r="H47" s="63">
        <f t="shared" si="25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5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6">AVERAGE(J38:J47)</f>
        <v>16.333333333333332</v>
      </c>
      <c r="K48" s="133">
        <f t="shared" si="36"/>
        <v>1410.3333333333333</v>
      </c>
      <c r="L48" s="136">
        <f t="shared" si="36"/>
        <v>87.285380116959061</v>
      </c>
      <c r="M48" s="133">
        <f t="shared" si="36"/>
        <v>14</v>
      </c>
      <c r="N48" s="133">
        <f t="shared" si="36"/>
        <v>1078.2835968379452</v>
      </c>
      <c r="O48" s="136">
        <f t="shared" si="36"/>
        <v>77.020256916996075</v>
      </c>
      <c r="P48" s="155">
        <f>M48-J48</f>
        <v>-2.3333333333333321</v>
      </c>
      <c r="Q48" s="156">
        <f>N48-K48</f>
        <v>-332.04973649538806</v>
      </c>
      <c r="R48" s="157">
        <f>O48/L48</f>
        <v>0.88239584697680051</v>
      </c>
      <c r="S48" s="423"/>
      <c r="T48" s="158"/>
      <c r="U48" s="158"/>
      <c r="V48" s="194"/>
      <c r="W48" s="159">
        <f t="shared" si="35"/>
        <v>0</v>
      </c>
      <c r="X48" s="160"/>
      <c r="Y48" s="160"/>
      <c r="Z48" s="424"/>
      <c r="AA48" s="424"/>
      <c r="AB48" s="161">
        <f t="shared" ref="AB48:AB53" si="37">N48-K48</f>
        <v>-332.04973649538806</v>
      </c>
      <c r="AC48" s="189">
        <f t="shared" ref="AC48:AC53" si="38">N48/K48</f>
        <v>0.76455939270003204</v>
      </c>
      <c r="AD48" s="449"/>
    </row>
    <row r="49" spans="1:30" ht="15" customHeight="1">
      <c r="A49" s="454" t="s">
        <v>57</v>
      </c>
      <c r="B49" s="197" t="s">
        <v>45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1355</v>
      </c>
      <c r="H49" s="124">
        <f t="shared" ref="H49:H52" si="39">F49*G49</f>
        <v>77058.849999999991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18</v>
      </c>
      <c r="N49" s="126">
        <f>G49/W49*60</f>
        <v>1195.5882352941235</v>
      </c>
      <c r="O49" s="127">
        <f>N49/M49</f>
        <v>66.421568627451308</v>
      </c>
      <c r="P49" s="162">
        <f>M49-J49</f>
        <v>-1</v>
      </c>
      <c r="Q49" s="111">
        <f>O49-L49</f>
        <v>-15.946852425180268</v>
      </c>
      <c r="R49" s="182">
        <f>O49/L49</f>
        <v>0.80639604084445682</v>
      </c>
      <c r="S49" s="419">
        <f>R58</f>
        <v>0.91997696445608712</v>
      </c>
      <c r="T49" s="348">
        <v>0.29166666666666702</v>
      </c>
      <c r="U49" s="348">
        <v>0.33888888888888902</v>
      </c>
      <c r="V49" s="186"/>
      <c r="W49" s="150">
        <f t="shared" si="18"/>
        <v>67.999999999999673</v>
      </c>
      <c r="X49" s="186"/>
      <c r="Y49" s="186"/>
      <c r="Z49" s="425"/>
      <c r="AA49" s="425"/>
      <c r="AB49" s="110">
        <f t="shared" si="37"/>
        <v>-369.41176470587652</v>
      </c>
      <c r="AC49" s="182">
        <f t="shared" si="38"/>
        <v>0.7639541439579064</v>
      </c>
      <c r="AD49" s="411">
        <f>AC58</f>
        <v>0.907360828681957</v>
      </c>
    </row>
    <row r="50" spans="1:30" ht="15" customHeight="1">
      <c r="A50" s="455"/>
      <c r="B50" s="56" t="s">
        <v>45</v>
      </c>
      <c r="C50" s="10"/>
      <c r="D50" s="11" t="s">
        <v>59</v>
      </c>
      <c r="E50" s="86"/>
      <c r="F50" s="56">
        <f>VLOOKUP(D50,廠價表!$C$1:$E$40,3,0)</f>
        <v>49.97</v>
      </c>
      <c r="G50" s="66">
        <v>1844</v>
      </c>
      <c r="H50" s="76">
        <f t="shared" si="39"/>
        <v>92144.68</v>
      </c>
      <c r="I50" s="191"/>
      <c r="J50" s="16">
        <f>VLOOKUP(D50,產線配置圖!$A$3:$C$39,2,0)</f>
        <v>18</v>
      </c>
      <c r="K50" s="14">
        <f>VLOOKUP(D50,產線配置圖!$A$3:$C$39,3,0)</f>
        <v>1600</v>
      </c>
      <c r="L50" s="17">
        <f>K50/J50</f>
        <v>88.888888888888886</v>
      </c>
      <c r="M50" s="172">
        <v>18</v>
      </c>
      <c r="N50" s="77">
        <f>G50/W50*60</f>
        <v>1558.3098591549474</v>
      </c>
      <c r="O50" s="78">
        <f>N50/M50</f>
        <v>86.572769953052628</v>
      </c>
      <c r="P50" s="18">
        <f>M50-J50</f>
        <v>0</v>
      </c>
      <c r="Q50" s="19">
        <f>O50-L50</f>
        <v>-2.3161189358362577</v>
      </c>
      <c r="R50" s="183">
        <f>O50/L50</f>
        <v>0.97394366197184212</v>
      </c>
      <c r="S50" s="420"/>
      <c r="T50" s="351">
        <v>0.34513888888888899</v>
      </c>
      <c r="U50" s="351">
        <v>0.39444444444444399</v>
      </c>
      <c r="V50" s="175">
        <f t="shared" ref="V50:V52" si="40">(T50-U49)*24*60</f>
        <v>8.999999999999968</v>
      </c>
      <c r="W50" s="80">
        <f t="shared" si="18"/>
        <v>70.99999999999919</v>
      </c>
      <c r="X50" s="22"/>
      <c r="Y50" s="22"/>
      <c r="Z50" s="417"/>
      <c r="AA50" s="418"/>
      <c r="AB50" s="18">
        <f t="shared" si="37"/>
        <v>-41.690140845052611</v>
      </c>
      <c r="AC50" s="183">
        <f t="shared" si="38"/>
        <v>0.97394366197184212</v>
      </c>
      <c r="AD50" s="412"/>
    </row>
    <row r="51" spans="1:30" ht="15" customHeight="1">
      <c r="A51" s="455"/>
      <c r="B51" s="56" t="s">
        <v>182</v>
      </c>
      <c r="C51" s="10"/>
      <c r="D51" s="11" t="s">
        <v>46</v>
      </c>
      <c r="E51" s="86"/>
      <c r="F51" s="56">
        <f>VLOOKUP(D51,廠價表!$C$1:$E$40,3,0)</f>
        <v>49.91</v>
      </c>
      <c r="G51" s="66">
        <v>2138</v>
      </c>
      <c r="H51" s="76">
        <f t="shared" si="39"/>
        <v>106707.57999999999</v>
      </c>
      <c r="I51" s="191"/>
      <c r="J51" s="16">
        <f>VLOOKUP(D51,產線配置圖!$A$3:$C$39,2,0)</f>
        <v>17</v>
      </c>
      <c r="K51" s="14">
        <f>VLOOKUP(D51,產線配置圖!$A$3:$C$39,3,0)</f>
        <v>1565</v>
      </c>
      <c r="L51" s="17">
        <f t="shared" ref="L51:L52" si="41">K51/J51</f>
        <v>92.058823529411768</v>
      </c>
      <c r="M51" s="172">
        <v>17</v>
      </c>
      <c r="N51" s="77">
        <f t="shared" ref="N51:N52" si="42">G51/W51*60</f>
        <v>1509.1764705882308</v>
      </c>
      <c r="O51" s="78">
        <f>N51/M51</f>
        <v>88.775086505190046</v>
      </c>
      <c r="P51" s="18">
        <f>M51-J51</f>
        <v>0</v>
      </c>
      <c r="Q51" s="19">
        <f t="shared" ref="Q51:Q52" si="43">O51-L51</f>
        <v>-3.2837370242217219</v>
      </c>
      <c r="R51" s="183">
        <f t="shared" ref="R51:R52" si="44">O51/L51</f>
        <v>0.964330013155419</v>
      </c>
      <c r="S51" s="420"/>
      <c r="T51" s="351">
        <v>0.40138888888888902</v>
      </c>
      <c r="U51" s="44">
        <v>0.46041666666666697</v>
      </c>
      <c r="V51" s="175">
        <f t="shared" si="40"/>
        <v>10.000000000000844</v>
      </c>
      <c r="W51" s="80">
        <f t="shared" si="18"/>
        <v>85.000000000000256</v>
      </c>
      <c r="X51" s="22"/>
      <c r="Y51" s="22"/>
      <c r="Z51" s="405"/>
      <c r="AA51" s="405"/>
      <c r="AB51" s="18">
        <f t="shared" si="37"/>
        <v>-55.823529411769186</v>
      </c>
      <c r="AC51" s="183">
        <f t="shared" si="38"/>
        <v>0.964330013155419</v>
      </c>
      <c r="AD51" s="412"/>
    </row>
    <row r="52" spans="1:30" ht="15" customHeight="1">
      <c r="A52" s="455"/>
      <c r="B52" s="56" t="s">
        <v>45</v>
      </c>
      <c r="C52" s="23"/>
      <c r="D52" s="11" t="s">
        <v>59</v>
      </c>
      <c r="E52" s="12"/>
      <c r="F52" s="56">
        <f>VLOOKUP(D52,廠價表!$C$1:$E$40,3,0)</f>
        <v>49.97</v>
      </c>
      <c r="G52" s="66">
        <v>1900</v>
      </c>
      <c r="H52" s="76">
        <f t="shared" si="39"/>
        <v>94943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 t="shared" si="41"/>
        <v>88.888888888888886</v>
      </c>
      <c r="M52" s="172">
        <v>18</v>
      </c>
      <c r="N52" s="77">
        <f t="shared" si="42"/>
        <v>1480.5194805194858</v>
      </c>
      <c r="O52" s="78">
        <f>N52/M52</f>
        <v>82.251082251082551</v>
      </c>
      <c r="P52" s="18">
        <f>M52-J52</f>
        <v>0</v>
      </c>
      <c r="Q52" s="19">
        <f t="shared" si="43"/>
        <v>-6.6378066378063352</v>
      </c>
      <c r="R52" s="183">
        <f t="shared" si="44"/>
        <v>0.92532467532467877</v>
      </c>
      <c r="S52" s="420"/>
      <c r="T52" s="351">
        <v>0.52986111111111101</v>
      </c>
      <c r="U52" s="351">
        <v>0.58333333333333304</v>
      </c>
      <c r="V52" s="175">
        <f t="shared" si="40"/>
        <v>99.999999999999403</v>
      </c>
      <c r="W52" s="80">
        <f t="shared" si="18"/>
        <v>76.99999999999973</v>
      </c>
      <c r="X52" s="22">
        <v>0.47916666666666702</v>
      </c>
      <c r="Y52" s="22">
        <v>0.52083333333333304</v>
      </c>
      <c r="Z52" s="405"/>
      <c r="AA52" s="405"/>
      <c r="AB52" s="18">
        <f t="shared" si="37"/>
        <v>-119.4805194805142</v>
      </c>
      <c r="AC52" s="183">
        <f t="shared" si="38"/>
        <v>0.92532467532467866</v>
      </c>
      <c r="AD52" s="412"/>
    </row>
    <row r="53" spans="1:30" ht="15" customHeight="1">
      <c r="A53" s="455"/>
      <c r="B53" s="26"/>
      <c r="C53" s="27"/>
      <c r="D53" s="28"/>
      <c r="E53" s="29"/>
      <c r="F53" s="56"/>
      <c r="G53" s="66"/>
      <c r="H53" s="15"/>
      <c r="I53" s="175"/>
      <c r="J53" s="16"/>
      <c r="K53" s="14"/>
      <c r="L53" s="17"/>
      <c r="M53" s="179"/>
      <c r="N53" s="77"/>
      <c r="O53" s="78"/>
      <c r="P53" s="18"/>
      <c r="Q53" s="19"/>
      <c r="R53" s="183"/>
      <c r="S53" s="420"/>
      <c r="T53" s="351"/>
      <c r="U53" s="351"/>
      <c r="V53" s="175"/>
      <c r="W53" s="80">
        <f t="shared" si="18"/>
        <v>0</v>
      </c>
      <c r="X53" s="175"/>
      <c r="Y53" s="175"/>
      <c r="Z53" s="417"/>
      <c r="AA53" s="418"/>
      <c r="AB53" s="18">
        <f t="shared" si="37"/>
        <v>0</v>
      </c>
      <c r="AC53" s="183" t="e">
        <f t="shared" si="38"/>
        <v>#DIV/0!</v>
      </c>
      <c r="AD53" s="412"/>
    </row>
    <row r="54" spans="1:30" ht="15" customHeight="1">
      <c r="A54" s="455"/>
      <c r="B54" s="26"/>
      <c r="C54" s="27"/>
      <c r="D54" s="28"/>
      <c r="E54" s="29"/>
      <c r="F54" s="56"/>
      <c r="G54" s="66"/>
      <c r="H54" s="15"/>
      <c r="I54" s="175"/>
      <c r="J54" s="16"/>
      <c r="K54" s="14"/>
      <c r="L54" s="17"/>
      <c r="M54" s="179"/>
      <c r="N54" s="77"/>
      <c r="O54" s="78"/>
      <c r="P54" s="18"/>
      <c r="Q54" s="19"/>
      <c r="R54" s="183"/>
      <c r="S54" s="420"/>
      <c r="T54" s="351"/>
      <c r="U54" s="351"/>
      <c r="V54" s="175"/>
      <c r="W54" s="80">
        <f t="shared" si="18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56"/>
      <c r="G55" s="66"/>
      <c r="H55" s="15"/>
      <c r="I55" s="175"/>
      <c r="J55" s="16"/>
      <c r="K55" s="14"/>
      <c r="L55" s="17"/>
      <c r="M55" s="179"/>
      <c r="N55" s="77"/>
      <c r="O55" s="78"/>
      <c r="P55" s="18"/>
      <c r="Q55" s="19"/>
      <c r="R55" s="183"/>
      <c r="S55" s="420"/>
      <c r="T55" s="351"/>
      <c r="U55" s="351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56"/>
      <c r="G56" s="66"/>
      <c r="H56" s="15"/>
      <c r="I56" s="175"/>
      <c r="J56" s="16"/>
      <c r="K56" s="14"/>
      <c r="L56" s="17"/>
      <c r="M56" s="179"/>
      <c r="N56" s="77"/>
      <c r="O56" s="78"/>
      <c r="P56" s="18"/>
      <c r="Q56" s="19"/>
      <c r="R56" s="183"/>
      <c r="S56" s="420"/>
      <c r="T56" s="351"/>
      <c r="U56" s="351"/>
      <c r="V56" s="195"/>
      <c r="W56" s="80">
        <f t="shared" si="18"/>
        <v>0</v>
      </c>
      <c r="X56" s="175"/>
      <c r="Y56" s="175"/>
      <c r="Z56" s="417"/>
      <c r="AA56" s="418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/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5">AVERAGE(J49:J57)</f>
        <v>18</v>
      </c>
      <c r="K58" s="117">
        <f t="shared" si="45"/>
        <v>1582.5</v>
      </c>
      <c r="L58" s="114">
        <f t="shared" si="45"/>
        <v>88.051255589955275</v>
      </c>
      <c r="M58" s="117">
        <f t="shared" si="45"/>
        <v>17.75</v>
      </c>
      <c r="N58" s="117">
        <f t="shared" si="45"/>
        <v>1435.898511389197</v>
      </c>
      <c r="O58" s="114">
        <f t="shared" si="45"/>
        <v>81.00512683419413</v>
      </c>
      <c r="P58" s="118">
        <f>M58-J58</f>
        <v>-0.25</v>
      </c>
      <c r="Q58" s="119">
        <f>N58-K58</f>
        <v>-146.60148861080302</v>
      </c>
      <c r="R58" s="120">
        <f t="shared" ref="R58:R60" si="46">O58/L58</f>
        <v>0.91997696445608712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47">N58-K58</f>
        <v>-146.60148861080302</v>
      </c>
      <c r="AC58" s="185">
        <f t="shared" ref="AC58:AC61" si="48">N58/K58</f>
        <v>0.907360828681957</v>
      </c>
      <c r="AD58" s="414"/>
    </row>
    <row r="59" spans="1:30" ht="15" customHeight="1">
      <c r="A59" s="470" t="s">
        <v>61</v>
      </c>
      <c r="B59" s="197" t="s">
        <v>172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3086</v>
      </c>
      <c r="H59" s="105">
        <f t="shared" ref="H59:H68" si="49">F59*G59</f>
        <v>83291.14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0" si="50">G59/W59*60</f>
        <v>1543.0000000000066</v>
      </c>
      <c r="O59" s="108">
        <f t="shared" ref="O59:O60" si="51">N59/M59</f>
        <v>118.6923076923082</v>
      </c>
      <c r="P59" s="110">
        <f t="shared" ref="P59:P60" si="52">M59-J59</f>
        <v>0</v>
      </c>
      <c r="Q59" s="111">
        <f t="shared" ref="Q59:Q60" si="53">O59-L59</f>
        <v>-1.6923076923071818</v>
      </c>
      <c r="R59" s="182">
        <f t="shared" si="46"/>
        <v>0.98594249201278383</v>
      </c>
      <c r="S59" s="419">
        <f>R69</f>
        <v>0.9250313250920853</v>
      </c>
      <c r="T59" s="344">
        <v>0.29166666666666702</v>
      </c>
      <c r="U59" s="344">
        <v>0.375</v>
      </c>
      <c r="V59" s="186"/>
      <c r="W59" s="106">
        <f t="shared" si="18"/>
        <v>119.99999999999949</v>
      </c>
      <c r="X59" s="186"/>
      <c r="Y59" s="186"/>
      <c r="Z59" s="469"/>
      <c r="AA59" s="434"/>
      <c r="AB59" s="223">
        <f t="shared" si="47"/>
        <v>-21.999999999993406</v>
      </c>
      <c r="AC59" s="224">
        <f t="shared" si="48"/>
        <v>0.98594249201278372</v>
      </c>
      <c r="AD59" s="411">
        <f>AC69</f>
        <v>0.92659314988492358</v>
      </c>
    </row>
    <row r="60" spans="1:30" ht="15" customHeight="1">
      <c r="A60" s="471"/>
      <c r="B60" s="56" t="s">
        <v>172</v>
      </c>
      <c r="C60" s="23"/>
      <c r="D60" s="239" t="s">
        <v>63</v>
      </c>
      <c r="E60" s="12"/>
      <c r="F60" s="56">
        <f>VLOOKUP(D60,廠價表!$C$1:$E$40,3,0)</f>
        <v>28.47</v>
      </c>
      <c r="G60" s="175">
        <v>774</v>
      </c>
      <c r="H60" s="15">
        <f t="shared" si="49"/>
        <v>22035.78</v>
      </c>
      <c r="I60" s="175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0"/>
        <v>1548.0000000000261</v>
      </c>
      <c r="O60" s="17">
        <f t="shared" si="51"/>
        <v>129.00000000000219</v>
      </c>
      <c r="P60" s="18">
        <f t="shared" si="52"/>
        <v>0</v>
      </c>
      <c r="Q60" s="19">
        <f t="shared" si="53"/>
        <v>-1.4166666666644687</v>
      </c>
      <c r="R60" s="183">
        <f t="shared" si="46"/>
        <v>0.98913738019171016</v>
      </c>
      <c r="S60" s="474"/>
      <c r="T60" s="22">
        <v>0.38541666666666702</v>
      </c>
      <c r="U60" s="22">
        <v>0.40625</v>
      </c>
      <c r="V60" s="175">
        <f t="shared" ref="V60:V61" si="54">(T60-U59)*24*60</f>
        <v>15.000000000000506</v>
      </c>
      <c r="W60" s="90">
        <f t="shared" si="18"/>
        <v>29.999999999999496</v>
      </c>
      <c r="X60" s="191"/>
      <c r="Y60" s="191"/>
      <c r="Z60" s="405" t="s">
        <v>186</v>
      </c>
      <c r="AA60" s="405"/>
      <c r="AB60" s="225">
        <f t="shared" si="47"/>
        <v>-16.999999999973852</v>
      </c>
      <c r="AC60" s="226">
        <f t="shared" si="48"/>
        <v>0.98913738019171005</v>
      </c>
      <c r="AD60" s="464"/>
    </row>
    <row r="61" spans="1:30" ht="15" customHeight="1">
      <c r="A61" s="472"/>
      <c r="B61" s="336" t="s">
        <v>172</v>
      </c>
      <c r="C61" s="337"/>
      <c r="D61" s="250" t="s">
        <v>64</v>
      </c>
      <c r="E61" s="339"/>
      <c r="F61" s="336">
        <f>VLOOKUP(D61,廠價表!$C$1:$E$40,3,0)</f>
        <v>28.26</v>
      </c>
      <c r="G61" s="176">
        <v>1952</v>
      </c>
      <c r="H61" s="340">
        <f>F61*G61</f>
        <v>55163.520000000004</v>
      </c>
      <c r="I61" s="81"/>
      <c r="J61" s="31">
        <f>VLOOKUP(D61,產線配置圖!$A$3:$C$39,2,0)</f>
        <v>12</v>
      </c>
      <c r="K61" s="30">
        <f>VLOOKUP(D61,產線配置圖!$A$3:$C$39,3,0)</f>
        <v>1565</v>
      </c>
      <c r="L61" s="35">
        <f>K61/J61</f>
        <v>130.41666666666666</v>
      </c>
      <c r="M61" s="179">
        <v>12</v>
      </c>
      <c r="N61" s="30">
        <f>G61/W61*60</f>
        <v>1259.3548387096839</v>
      </c>
      <c r="O61" s="35">
        <f>N61/M61</f>
        <v>104.94623655914033</v>
      </c>
      <c r="P61" s="34">
        <f>M61-J61</f>
        <v>0</v>
      </c>
      <c r="Q61" s="341">
        <f>O61-L61</f>
        <v>-25.470430107526326</v>
      </c>
      <c r="R61" s="184">
        <f>O61/L61</f>
        <v>0.80469957745027731</v>
      </c>
      <c r="S61" s="420"/>
      <c r="T61" s="22">
        <v>0.42361111111111099</v>
      </c>
      <c r="U61" s="22">
        <v>0.48819444444444399</v>
      </c>
      <c r="V61" s="175">
        <f t="shared" si="54"/>
        <v>24.999999999999829</v>
      </c>
      <c r="W61" s="88">
        <f t="shared" si="18"/>
        <v>92.999999999999517</v>
      </c>
      <c r="X61" s="22"/>
      <c r="Y61" s="22"/>
      <c r="Z61" s="405"/>
      <c r="AA61" s="405"/>
      <c r="AB61" s="51">
        <f t="shared" si="47"/>
        <v>-305.64516129031608</v>
      </c>
      <c r="AC61" s="52">
        <f t="shared" si="48"/>
        <v>0.80469957745027731</v>
      </c>
      <c r="AD61" s="412"/>
    </row>
    <row r="62" spans="1:30" ht="15" customHeight="1">
      <c r="A62" s="472"/>
      <c r="B62" s="336"/>
      <c r="C62" s="337"/>
      <c r="D62" s="338"/>
      <c r="E62" s="339"/>
      <c r="F62" s="336"/>
      <c r="G62" s="176"/>
      <c r="H62" s="340"/>
      <c r="I62" s="81"/>
      <c r="J62" s="31"/>
      <c r="K62" s="30"/>
      <c r="L62" s="35"/>
      <c r="M62" s="179"/>
      <c r="N62" s="30"/>
      <c r="O62" s="35"/>
      <c r="P62" s="34"/>
      <c r="Q62" s="341"/>
      <c r="R62" s="184"/>
      <c r="S62" s="420"/>
      <c r="T62" s="22"/>
      <c r="U62" s="22"/>
      <c r="V62" s="175"/>
      <c r="W62" s="90">
        <f t="shared" si="18"/>
        <v>0</v>
      </c>
      <c r="X62" s="22">
        <v>0.50347222222222199</v>
      </c>
      <c r="Y62" s="22">
        <v>0.54513888888888895</v>
      </c>
      <c r="Z62" s="405"/>
      <c r="AA62" s="405"/>
      <c r="AB62" s="51">
        <f>N62-K62</f>
        <v>0</v>
      </c>
      <c r="AC62" s="52" t="e">
        <f>N62/K62</f>
        <v>#DIV/0!</v>
      </c>
      <c r="AD62" s="412"/>
    </row>
    <row r="63" spans="1:30" ht="15" customHeight="1">
      <c r="A63" s="472"/>
      <c r="B63" s="342"/>
      <c r="C63" s="246"/>
      <c r="D63" s="247"/>
      <c r="E63" s="248"/>
      <c r="F63" s="336"/>
      <c r="G63" s="335"/>
      <c r="H63" s="340"/>
      <c r="I63" s="335"/>
      <c r="J63" s="31"/>
      <c r="K63" s="30"/>
      <c r="L63" s="35"/>
      <c r="M63" s="311"/>
      <c r="N63" s="30"/>
      <c r="O63" s="35"/>
      <c r="P63" s="34"/>
      <c r="Q63" s="341"/>
      <c r="R63" s="184"/>
      <c r="S63" s="420"/>
      <c r="T63" s="22"/>
      <c r="U63" s="22"/>
      <c r="V63" s="175"/>
      <c r="W63" s="90">
        <f t="shared" si="18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336"/>
      <c r="G64" s="175"/>
      <c r="H64" s="340"/>
      <c r="I64" s="81"/>
      <c r="J64" s="31"/>
      <c r="K64" s="30"/>
      <c r="L64" s="35"/>
      <c r="M64" s="178"/>
      <c r="N64" s="30"/>
      <c r="O64" s="35"/>
      <c r="P64" s="34"/>
      <c r="Q64" s="341"/>
      <c r="R64" s="184"/>
      <c r="S64" s="420"/>
      <c r="T64" s="22"/>
      <c r="U64" s="22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56"/>
      <c r="C65" s="23"/>
      <c r="D65" s="239"/>
      <c r="E65" s="12"/>
      <c r="F65" s="56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9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5">AVERAGE(J59:J68)</f>
        <v>12.333333333333334</v>
      </c>
      <c r="K69" s="164">
        <f t="shared" si="55"/>
        <v>1565</v>
      </c>
      <c r="L69" s="169">
        <f t="shared" si="55"/>
        <v>127.07264957264958</v>
      </c>
      <c r="M69" s="164">
        <f t="shared" si="55"/>
        <v>12.333333333333334</v>
      </c>
      <c r="N69" s="164">
        <f t="shared" si="55"/>
        <v>1450.1182795699053</v>
      </c>
      <c r="O69" s="169">
        <f t="shared" si="55"/>
        <v>117.54618141715025</v>
      </c>
      <c r="P69" s="170">
        <f>M69-J69</f>
        <v>0</v>
      </c>
      <c r="Q69" s="156">
        <f>N69-K69</f>
        <v>-114.88172043009467</v>
      </c>
      <c r="R69" s="120">
        <f>O69/L69</f>
        <v>0.9250313250920853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-114.88172043009467</v>
      </c>
      <c r="AC69" s="185">
        <f>N69/K69</f>
        <v>0.92659314988492358</v>
      </c>
      <c r="AD69" s="414"/>
    </row>
    <row r="70" spans="1:32" ht="15" customHeight="1">
      <c r="A70" s="465" t="s">
        <v>67</v>
      </c>
      <c r="B70" s="197" t="s">
        <v>45</v>
      </c>
      <c r="C70" s="197"/>
      <c r="D70" s="102" t="s">
        <v>187</v>
      </c>
      <c r="E70" s="103"/>
      <c r="F70" s="197">
        <f>VLOOKUP(D70,廠價表!$C$1:$E$40,3,0)</f>
        <v>50.67</v>
      </c>
      <c r="G70" s="186">
        <v>2711</v>
      </c>
      <c r="H70" s="105">
        <f>F70*G70</f>
        <v>137366.37</v>
      </c>
      <c r="I70" s="186"/>
      <c r="J70" s="107">
        <f>VLOOKUP(D70,產線配置圖!$A$3:$C$39,2,0)</f>
        <v>15</v>
      </c>
      <c r="K70" s="104">
        <f>VLOOKUP(D70,產線配置圖!$A$3:$C$39,3,0)</f>
        <v>1440</v>
      </c>
      <c r="L70" s="108">
        <f>K70/J70</f>
        <v>96</v>
      </c>
      <c r="M70" s="109">
        <v>11</v>
      </c>
      <c r="N70" s="104">
        <f>G70/W70*60</f>
        <v>929.48571428571245</v>
      </c>
      <c r="O70" s="108">
        <f>N70/M70</f>
        <v>84.498701298701135</v>
      </c>
      <c r="P70" s="110">
        <f>M70-J70</f>
        <v>-4</v>
      </c>
      <c r="Q70" s="111">
        <f>O70-L70</f>
        <v>-11.501298701298865</v>
      </c>
      <c r="R70" s="182">
        <f>O70/L70</f>
        <v>0.88019480519480353</v>
      </c>
      <c r="S70" s="419">
        <f>R79</f>
        <v>0.88019480519480353</v>
      </c>
      <c r="T70" s="344">
        <v>0.34722222222222199</v>
      </c>
      <c r="U70" s="344">
        <v>0.46875</v>
      </c>
      <c r="V70" s="186"/>
      <c r="W70" s="106">
        <f t="shared" si="18"/>
        <v>175.00000000000034</v>
      </c>
      <c r="X70" s="290"/>
      <c r="Y70" s="290"/>
      <c r="Z70" s="469"/>
      <c r="AA70" s="434"/>
      <c r="AB70" s="223">
        <f>N70-K70</f>
        <v>-510.51428571428755</v>
      </c>
      <c r="AC70" s="224">
        <f>N70/K70</f>
        <v>0.6454761904761892</v>
      </c>
      <c r="AD70" s="411">
        <f>AC79</f>
        <v>0.6454761904761892</v>
      </c>
    </row>
    <row r="71" spans="1:32" ht="15" customHeight="1">
      <c r="A71" s="466"/>
      <c r="B71" s="56"/>
      <c r="C71" s="10"/>
      <c r="D71" s="11"/>
      <c r="E71" s="86"/>
      <c r="F71" s="56"/>
      <c r="G71" s="175"/>
      <c r="H71" s="15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2"/>
      <c r="U71" s="22"/>
      <c r="V71" s="175"/>
      <c r="W71" s="180">
        <f t="shared" si="18"/>
        <v>0</v>
      </c>
      <c r="X71" s="292"/>
      <c r="Y71" s="293"/>
      <c r="Z71" s="450"/>
      <c r="AA71" s="451"/>
      <c r="AB71" s="39">
        <v>-300.31249999999704</v>
      </c>
      <c r="AC71" s="188">
        <v>0.80810702875399554</v>
      </c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2"/>
      <c r="U72" s="22"/>
      <c r="V72" s="175"/>
      <c r="W72" s="180">
        <f t="shared" si="18"/>
        <v>0</v>
      </c>
      <c r="X72" s="291"/>
      <c r="Y72" s="291"/>
      <c r="Z72" s="405"/>
      <c r="AA72" s="417"/>
      <c r="AB72" s="39">
        <v>-130.33333333333326</v>
      </c>
      <c r="AC72" s="188">
        <v>0.91671991480298198</v>
      </c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2"/>
      <c r="U73" s="22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/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ref="H75:H78" si="56">F75*G75</f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6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6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6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>
        <f t="shared" ref="J79:O79" si="57">AVERAGE(J70:J78)</f>
        <v>15</v>
      </c>
      <c r="K79" s="164">
        <f t="shared" si="57"/>
        <v>1440</v>
      </c>
      <c r="L79" s="169">
        <f t="shared" si="57"/>
        <v>96</v>
      </c>
      <c r="M79" s="164">
        <f t="shared" si="57"/>
        <v>11</v>
      </c>
      <c r="N79" s="164">
        <f t="shared" si="57"/>
        <v>929.48571428571245</v>
      </c>
      <c r="O79" s="169">
        <f t="shared" si="57"/>
        <v>84.498701298701135</v>
      </c>
      <c r="P79" s="170">
        <f>M79-J79</f>
        <v>-4</v>
      </c>
      <c r="Q79" s="156">
        <f>N79-K79</f>
        <v>-510.51428571428755</v>
      </c>
      <c r="R79" s="157">
        <f>O79/L79</f>
        <v>0.88019480519480353</v>
      </c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-510.51428571428755</v>
      </c>
      <c r="AC79" s="185">
        <f>N79/K79</f>
        <v>0.6454761904761892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B1:AD2"/>
    <mergeCell ref="M3:M4"/>
    <mergeCell ref="Z3:AA4"/>
    <mergeCell ref="AB3:AB4"/>
    <mergeCell ref="P3:P4"/>
    <mergeCell ref="Q3:Q4"/>
    <mergeCell ref="AD3:AD4"/>
    <mergeCell ref="T3:U3"/>
    <mergeCell ref="V3:V4"/>
    <mergeCell ref="W3:W4"/>
    <mergeCell ref="X3:Y3"/>
    <mergeCell ref="R3:R4"/>
    <mergeCell ref="S3:S4"/>
    <mergeCell ref="A2:B2"/>
    <mergeCell ref="A3:A4"/>
    <mergeCell ref="B3:B4"/>
    <mergeCell ref="D3:E4"/>
    <mergeCell ref="F3:F4"/>
    <mergeCell ref="AC3:AC4"/>
    <mergeCell ref="M1:O2"/>
    <mergeCell ref="N3:N4"/>
    <mergeCell ref="D26:E26"/>
    <mergeCell ref="A5:A15"/>
    <mergeCell ref="S5:S15"/>
    <mergeCell ref="Z5:AA5"/>
    <mergeCell ref="D15:E15"/>
    <mergeCell ref="P1:S2"/>
    <mergeCell ref="T1:Y2"/>
    <mergeCell ref="Z1:AA2"/>
    <mergeCell ref="G3:G4"/>
    <mergeCell ref="J1:L2"/>
    <mergeCell ref="H3:H4"/>
    <mergeCell ref="I3:I4"/>
    <mergeCell ref="J3:J4"/>
    <mergeCell ref="Z15:AA15"/>
    <mergeCell ref="Z13:AA13"/>
    <mergeCell ref="Z14:AA14"/>
    <mergeCell ref="A27:A37"/>
    <mergeCell ref="S27:S37"/>
    <mergeCell ref="Z27:AA27"/>
    <mergeCell ref="D37:E37"/>
    <mergeCell ref="Z37:AA37"/>
    <mergeCell ref="A16:A26"/>
    <mergeCell ref="S16:S26"/>
    <mergeCell ref="K3:K4"/>
    <mergeCell ref="L3:L4"/>
    <mergeCell ref="AD5:AD15"/>
    <mergeCell ref="Z6:AA6"/>
    <mergeCell ref="Z7:AA7"/>
    <mergeCell ref="Z8:AA8"/>
    <mergeCell ref="Z9:AA9"/>
    <mergeCell ref="O3:O4"/>
    <mergeCell ref="Z10:AA10"/>
    <mergeCell ref="Z11:AA11"/>
    <mergeCell ref="Z12:AA12"/>
    <mergeCell ref="AD38:AD48"/>
    <mergeCell ref="Z39:AA39"/>
    <mergeCell ref="Z40:AA40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Z26:AA26"/>
    <mergeCell ref="Z16:AA16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A49:A58"/>
    <mergeCell ref="S49:S58"/>
    <mergeCell ref="Z49:AA49"/>
    <mergeCell ref="D58:E58"/>
    <mergeCell ref="Z55:AA55"/>
    <mergeCell ref="Z56:AA56"/>
    <mergeCell ref="Z57:AA57"/>
    <mergeCell ref="Z54:AA54"/>
    <mergeCell ref="Z50:AA50"/>
    <mergeCell ref="Z51:AA51"/>
    <mergeCell ref="Z52:AA52"/>
    <mergeCell ref="Z53:AA53"/>
    <mergeCell ref="A38:A48"/>
    <mergeCell ref="S38:S48"/>
    <mergeCell ref="Z38:AA38"/>
    <mergeCell ref="Z45:AA45"/>
    <mergeCell ref="Z46:AA46"/>
    <mergeCell ref="Z41:AA41"/>
    <mergeCell ref="Z42:AA42"/>
    <mergeCell ref="Z43:AA43"/>
    <mergeCell ref="Z44:AA44"/>
    <mergeCell ref="Z47:AA47"/>
    <mergeCell ref="D48:E48"/>
    <mergeCell ref="Z48:AA48"/>
    <mergeCell ref="A70:A79"/>
    <mergeCell ref="S70:S79"/>
    <mergeCell ref="Z70:AA70"/>
    <mergeCell ref="D79:E79"/>
    <mergeCell ref="A59:A69"/>
    <mergeCell ref="S59:S69"/>
    <mergeCell ref="Z59:AA59"/>
    <mergeCell ref="Z66:AA66"/>
    <mergeCell ref="Z67:AA67"/>
    <mergeCell ref="Z68:AA68"/>
    <mergeCell ref="D69:E69"/>
    <mergeCell ref="Z69:AA69"/>
    <mergeCell ref="Z71:AA71"/>
    <mergeCell ref="Z60:AA60"/>
    <mergeCell ref="Z61:AA61"/>
    <mergeCell ref="Z62:AA62"/>
    <mergeCell ref="AD49:AD58"/>
    <mergeCell ref="Z58:AA58"/>
    <mergeCell ref="AD70:AD79"/>
    <mergeCell ref="AD59:AD69"/>
    <mergeCell ref="Z79:AA79"/>
    <mergeCell ref="Z72:AA72"/>
    <mergeCell ref="Z73:AA73"/>
    <mergeCell ref="Z74:AA74"/>
    <mergeCell ref="Z75:AA75"/>
    <mergeCell ref="Z76:AA76"/>
    <mergeCell ref="Z63:AA63"/>
    <mergeCell ref="Z64:AA64"/>
    <mergeCell ref="Z65:AA65"/>
    <mergeCell ref="Z77:AA77"/>
    <mergeCell ref="Z78:AA78"/>
  </mergeCells>
  <phoneticPr fontId="0" type="noConversion"/>
  <conditionalFormatting sqref="P5:P79">
    <cfRule type="cellIs" dxfId="78" priority="1" operator="greaterThan">
      <formula>0</formula>
    </cfRule>
  </conditionalFormatting>
  <conditionalFormatting sqref="Q5:Q79 AB5:AB79">
    <cfRule type="cellIs" dxfId="77" priority="4" operator="lessThan">
      <formula>0</formula>
    </cfRule>
  </conditionalFormatting>
  <conditionalFormatting sqref="R5:R79 AC5:AC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D59:AD62 S69:S76 AD69:AD76">
    <cfRule type="cellIs" dxfId="74" priority="7" operator="lessThan">
      <formula>0.8</formula>
    </cfRule>
  </conditionalFormatting>
  <conditionalFormatting sqref="S19:S25 AD19:AD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D5:AD8 S15:S16 AD15:AD16 AD49 AD79">
    <cfRule type="cellIs" dxfId="71" priority="9" operator="lessThan">
      <formula>0.8</formula>
    </cfRule>
  </conditionalFormatting>
  <conditionalFormatting sqref="AD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廠價表!$C$2:$C$38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topLeftCell="A2" zoomScale="70" zoomScaleNormal="70" workbookViewId="0">
      <selection activeCell="D14" sqref="D14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29" width="8.08984375" style="201" customWidth="1"/>
    <col min="30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46016</v>
      </c>
      <c r="E3" s="357"/>
      <c r="F3" s="202" t="s">
        <v>84</v>
      </c>
      <c r="G3" s="358">
        <f>'1225'!E1</f>
        <v>45518</v>
      </c>
      <c r="H3" s="358"/>
      <c r="I3" s="202" t="s">
        <v>2</v>
      </c>
      <c r="J3" s="359">
        <f>'1225'!G1</f>
        <v>2196461.33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110.84148805271094</v>
      </c>
      <c r="G6" s="367"/>
      <c r="H6" s="360">
        <f>AVERAGE(D13:H13)</f>
        <v>110.56355335926541</v>
      </c>
      <c r="I6" s="360"/>
      <c r="J6" s="360">
        <f>AVERAGE(I13:J13)</f>
        <v>111.5363247863248</v>
      </c>
      <c r="K6" s="360"/>
      <c r="L6" s="205"/>
    </row>
    <row r="7" spans="2:15" ht="39.65" customHeight="1">
      <c r="B7" s="353"/>
      <c r="C7" s="353"/>
      <c r="D7" s="361" t="s">
        <v>93</v>
      </c>
      <c r="E7" s="361"/>
      <c r="F7" s="362">
        <f>AVERAGE(D14:J14)</f>
        <v>95.197851311269673</v>
      </c>
      <c r="G7" s="362"/>
      <c r="H7" s="363">
        <f>AVERAGE(D14:H14)</f>
        <v>95.593882352668132</v>
      </c>
      <c r="I7" s="363"/>
      <c r="J7" s="363">
        <f>AVERAGE(I14:J14)</f>
        <v>94.207773707773512</v>
      </c>
      <c r="K7" s="363"/>
    </row>
    <row r="8" spans="2:15" ht="39.65" customHeight="1">
      <c r="B8" s="353"/>
      <c r="C8" s="353"/>
      <c r="D8" s="361" t="s">
        <v>24</v>
      </c>
      <c r="E8" s="361"/>
      <c r="F8" s="364">
        <f>AVERAGE(D15:J15)</f>
        <v>0.86499128149538129</v>
      </c>
      <c r="G8" s="364"/>
      <c r="H8" s="364">
        <f>AVERAGE(D15:H15)</f>
        <v>0.87425162682054169</v>
      </c>
      <c r="I8" s="364"/>
      <c r="J8" s="364">
        <f>AVERAGE(I15:J15)</f>
        <v>0.8418404181824799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VALUE('1225'!L15)</f>
        <v>129.79072398190044</v>
      </c>
      <c r="E13" s="213">
        <f>VALUE('1225'!L26)</f>
        <v>162.27564102564102</v>
      </c>
      <c r="F13" s="213">
        <f>VALUE('1225'!L37)</f>
        <v>83.236111111111114</v>
      </c>
      <c r="G13" s="213">
        <f>VALUE('1225'!L48)</f>
        <v>89.464035087719296</v>
      </c>
      <c r="H13" s="213">
        <f>VALUE('1225'!L58)</f>
        <v>88.051255589955275</v>
      </c>
      <c r="I13" s="213">
        <f>VALUE('1225'!L69)</f>
        <v>127.07264957264958</v>
      </c>
      <c r="J13" s="213">
        <f>'1225'!L79</f>
        <v>96</v>
      </c>
    </row>
    <row r="14" spans="2:15" ht="40" customHeight="1">
      <c r="B14" s="376"/>
      <c r="C14" s="212" t="s">
        <v>106</v>
      </c>
      <c r="D14" s="213">
        <f>VALUE('1225'!O15)</f>
        <v>104.43797880229545</v>
      </c>
      <c r="E14" s="213">
        <f>VALUE('1225'!O26)</f>
        <v>136.345268620269</v>
      </c>
      <c r="F14" s="213">
        <f>VALUE('1225'!O37)</f>
        <v>72.158688717496346</v>
      </c>
      <c r="G14" s="213">
        <f>VALUE('1225'!O48)</f>
        <v>82.245756645133156</v>
      </c>
      <c r="H14" s="213">
        <f>VALUE('1225'!O58)</f>
        <v>82.781718978146714</v>
      </c>
      <c r="I14" s="213">
        <f>VALUE('1225'!O69)</f>
        <v>109.52665852665812</v>
      </c>
      <c r="J14" s="213">
        <f>'1225'!O79</f>
        <v>78.8888888888889</v>
      </c>
    </row>
    <row r="15" spans="2:15" ht="40" customHeight="1">
      <c r="B15" s="377"/>
      <c r="C15" s="210" t="s">
        <v>23</v>
      </c>
      <c r="D15" s="231">
        <f>D14/D13</f>
        <v>0.80466442899925206</v>
      </c>
      <c r="E15" s="231">
        <f t="shared" ref="E15:J15" si="0">E14/E13</f>
        <v>0.840207857189886</v>
      </c>
      <c r="F15" s="231">
        <f t="shared" si="0"/>
        <v>0.86691566622054672</v>
      </c>
      <c r="G15" s="231">
        <f t="shared" si="0"/>
        <v>0.91931642211857945</v>
      </c>
      <c r="H15" s="231">
        <f t="shared" si="0"/>
        <v>0.9401537595744438</v>
      </c>
      <c r="I15" s="231">
        <f t="shared" si="0"/>
        <v>0.86192157710570039</v>
      </c>
      <c r="J15" s="231">
        <f t="shared" si="0"/>
        <v>0.82175925925925941</v>
      </c>
    </row>
    <row r="16" spans="2:15" ht="17.25" customHeight="1">
      <c r="B16" s="378" t="s">
        <v>107</v>
      </c>
      <c r="C16" s="210" t="s">
        <v>29</v>
      </c>
      <c r="D16" s="95">
        <f>'1225'!T5</f>
        <v>0.29027777777777802</v>
      </c>
      <c r="E16" s="95">
        <f>'1225'!T16</f>
        <v>0.29027777777777802</v>
      </c>
      <c r="F16" s="95">
        <f>'1225'!T27</f>
        <v>0.29236111111111102</v>
      </c>
      <c r="G16" s="95">
        <f>'1225'!T38</f>
        <v>0.33333333333333298</v>
      </c>
      <c r="H16" s="95">
        <f>'1225'!T49</f>
        <v>0.29027777777777802</v>
      </c>
      <c r="I16" s="95">
        <f>'1225'!T59</f>
        <v>0.29166666666666702</v>
      </c>
      <c r="J16" s="269">
        <f>'1225'!T70</f>
        <v>0.35416666666666702</v>
      </c>
    </row>
    <row r="17" spans="2:10" ht="17.25" customHeight="1">
      <c r="B17" s="379"/>
      <c r="C17" s="210" t="s">
        <v>30</v>
      </c>
      <c r="D17" s="95">
        <v>0.60416666666666696</v>
      </c>
      <c r="E17" s="41">
        <v>0.59375</v>
      </c>
      <c r="F17" s="44">
        <v>0.60416666666666696</v>
      </c>
      <c r="G17" s="59">
        <v>0.63541666666666663</v>
      </c>
      <c r="H17" s="351">
        <v>0.59166666666666701</v>
      </c>
      <c r="I17" s="196">
        <v>0.5</v>
      </c>
      <c r="J17" s="20">
        <v>0.40416666666666667</v>
      </c>
    </row>
    <row r="18" spans="2:10" ht="17.25" customHeight="1">
      <c r="B18" s="365" t="s">
        <v>108</v>
      </c>
      <c r="C18" s="366"/>
      <c r="D18" s="214">
        <f>VALUE('1225'!M15)</f>
        <v>14</v>
      </c>
      <c r="E18" s="214">
        <f>VALUE('1225'!M26)</f>
        <v>12.5</v>
      </c>
      <c r="F18" s="214">
        <f>VALUE('1225'!M37)</f>
        <v>15.5</v>
      </c>
      <c r="G18" s="214">
        <f>VALUE('1225'!M48)</f>
        <v>14.5</v>
      </c>
      <c r="H18" s="214">
        <f>VALUE('1225'!M58)</f>
        <v>18</v>
      </c>
      <c r="I18" s="214">
        <f>VALUE('1225'!M69)</f>
        <v>12.333333333333334</v>
      </c>
      <c r="J18" s="214">
        <f>'1225'!M79</f>
        <v>15</v>
      </c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 t="s">
        <v>114</v>
      </c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0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F92"/>
  <sheetViews>
    <sheetView zoomScale="69" zoomScaleNormal="69" workbookViewId="0">
      <pane xSplit="5" ySplit="4" topLeftCell="L56" activePane="bottomRight" state="frozen"/>
      <selection activeCell="X61" sqref="X61"/>
      <selection pane="topRight" activeCell="X61" sqref="X61"/>
      <selection pane="bottomLeft" activeCell="X61" sqref="X61"/>
      <selection pane="bottomRight" activeCell="V61" activeCellId="11" sqref="V6 V7 V17 V18 V28 V29 V39 V40 V50 V51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38" width="7.90625" style="6" customWidth="1"/>
    <col min="39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45518</v>
      </c>
      <c r="F1" s="175" t="s">
        <v>2</v>
      </c>
      <c r="G1" s="4">
        <f>SUM(H5:H79)</f>
        <v>2196461.33</v>
      </c>
      <c r="H1" s="173" t="s">
        <v>3</v>
      </c>
      <c r="I1" s="5">
        <f>M15+M26+M48+M58+M69+M79+M37</f>
        <v>101.83333333333333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189</v>
      </c>
      <c r="B2" s="404"/>
      <c r="C2" s="174"/>
      <c r="D2" s="174" t="s">
        <v>11</v>
      </c>
      <c r="E2" s="7">
        <f>AVERAGE(O15,O26,O37,O48,O58,O69,O79)</f>
        <v>95.197851311269673</v>
      </c>
      <c r="F2" s="8" t="s">
        <v>12</v>
      </c>
      <c r="G2" s="9">
        <f>G1/E1</f>
        <v>48.254785579331255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93" t="s">
        <v>16</v>
      </c>
      <c r="E3" s="493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90" t="s">
        <v>26</v>
      </c>
      <c r="W3" s="391" t="s">
        <v>27</v>
      </c>
      <c r="X3" s="492" t="s">
        <v>28</v>
      </c>
      <c r="Y3" s="492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494"/>
      <c r="E4" s="494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491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">
        <v>45</v>
      </c>
      <c r="C5" s="315"/>
      <c r="D5" s="329" t="s">
        <v>49</v>
      </c>
      <c r="E5" s="316"/>
      <c r="F5" s="299">
        <f>VLOOKUP(D5,廠價表!$C$1:$E$40,3,0)</f>
        <v>47.71</v>
      </c>
      <c r="G5" s="317">
        <v>2597</v>
      </c>
      <c r="H5" s="318">
        <f>F5*G5</f>
        <v>123902.87</v>
      </c>
      <c r="I5" s="319"/>
      <c r="J5" s="320">
        <f>VLOOKUP(D5,產線配置圖!$A$3:$C$39,2,0)</f>
        <v>15</v>
      </c>
      <c r="K5" s="321">
        <f>VLOOKUP(D5,產線配置圖!$A$3:$C$39,3,0)</f>
        <v>1500</v>
      </c>
      <c r="L5" s="322">
        <f>K5/J5</f>
        <v>100</v>
      </c>
      <c r="M5" s="323">
        <v>13</v>
      </c>
      <c r="N5" s="321">
        <f t="shared" ref="N5:N8" si="0">G5/W5*60</f>
        <v>1277.213114754102</v>
      </c>
      <c r="O5" s="322">
        <f t="shared" ref="O5:O8" si="1">N5/M5</f>
        <v>98.247162673392467</v>
      </c>
      <c r="P5" s="324">
        <f t="shared" ref="P5:P8" si="2">M5-J5</f>
        <v>-2</v>
      </c>
      <c r="Q5" s="325">
        <f t="shared" ref="Q5:Q8" si="3">O5-L5</f>
        <v>-1.7528373266075334</v>
      </c>
      <c r="R5" s="326">
        <f t="shared" ref="R5:R8" si="4">O5/L5</f>
        <v>0.98247162673392463</v>
      </c>
      <c r="S5" s="419">
        <f>R15</f>
        <v>0.80466442899925206</v>
      </c>
      <c r="T5" s="346">
        <v>0.29027777777777802</v>
      </c>
      <c r="U5" s="347">
        <v>0.375</v>
      </c>
      <c r="V5" s="192"/>
      <c r="W5" s="106">
        <f t="shared" ref="W5:W14" si="5">(U5-T5)*24*60</f>
        <v>121.99999999999964</v>
      </c>
      <c r="X5" s="186"/>
      <c r="Y5" s="186"/>
      <c r="Z5" s="425"/>
      <c r="AA5" s="425"/>
      <c r="AB5" s="110">
        <f>N5-K5</f>
        <v>-222.78688524589802</v>
      </c>
      <c r="AC5" s="182">
        <f>N5/K5</f>
        <v>0.85147540983606795</v>
      </c>
      <c r="AD5" s="411">
        <f>AC15</f>
        <v>0.78405614052160544</v>
      </c>
    </row>
    <row r="6" spans="1:30" ht="15" customHeight="1">
      <c r="A6" s="408"/>
      <c r="B6" s="304" t="s">
        <v>45</v>
      </c>
      <c r="C6" s="246"/>
      <c r="D6" s="11" t="s">
        <v>33</v>
      </c>
      <c r="E6" s="248"/>
      <c r="F6" s="305">
        <f>VLOOKUP(D6,廠價表!$C$1:$E$40,3,0)</f>
        <v>57.21</v>
      </c>
      <c r="G6" s="306">
        <v>1405</v>
      </c>
      <c r="H6" s="307">
        <f>F6*G6</f>
        <v>80380.05</v>
      </c>
      <c r="I6" s="308"/>
      <c r="J6" s="309">
        <f>VLOOKUP(D6,產線配置圖!$A$3:$C$39,2,0)</f>
        <v>17</v>
      </c>
      <c r="K6" s="14">
        <f>VLOOKUP(D6,產線配置圖!$A$3:$C$39,3,0)</f>
        <v>1895</v>
      </c>
      <c r="L6" s="310">
        <f>K6/J6</f>
        <v>111.47058823529412</v>
      </c>
      <c r="M6" s="311">
        <v>17</v>
      </c>
      <c r="N6" s="306">
        <f t="shared" si="0"/>
        <v>1561.1111111111097</v>
      </c>
      <c r="O6" s="310">
        <f t="shared" si="1"/>
        <v>91.830065359477047</v>
      </c>
      <c r="P6" s="312">
        <f t="shared" si="2"/>
        <v>0</v>
      </c>
      <c r="Q6" s="313">
        <f t="shared" si="3"/>
        <v>-19.640522875817069</v>
      </c>
      <c r="R6" s="314">
        <f t="shared" si="4"/>
        <v>0.82380533567868597</v>
      </c>
      <c r="S6" s="420"/>
      <c r="T6" s="267">
        <v>0.38124999999999998</v>
      </c>
      <c r="U6" s="267">
        <v>0.41875000000000001</v>
      </c>
      <c r="V6" s="175">
        <f>(T6-U5)*24*60</f>
        <v>8.999999999999968</v>
      </c>
      <c r="W6" s="180">
        <f t="shared" si="5"/>
        <v>54.00000000000005</v>
      </c>
      <c r="X6" s="22"/>
      <c r="Y6" s="22"/>
      <c r="Z6" s="391"/>
      <c r="AA6" s="391"/>
      <c r="AB6" s="18">
        <f>N6-K6</f>
        <v>-333.88888888889028</v>
      </c>
      <c r="AC6" s="183">
        <f>N6/K6</f>
        <v>0.82380533567868586</v>
      </c>
      <c r="AD6" s="412"/>
    </row>
    <row r="7" spans="1:30" ht="15" customHeight="1">
      <c r="A7" s="408"/>
      <c r="B7" s="56" t="s">
        <v>45</v>
      </c>
      <c r="C7" s="10"/>
      <c r="D7" s="11" t="s">
        <v>34</v>
      </c>
      <c r="E7" s="86"/>
      <c r="F7" s="56">
        <f>VLOOKUP(D7,廠價表!$C$1:$E$40,3,0)</f>
        <v>49.14</v>
      </c>
      <c r="G7" s="25">
        <v>1601</v>
      </c>
      <c r="H7" s="15">
        <f t="shared" ref="H7:H8" si="6">F7*G7</f>
        <v>78673.14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1352.9577464788613</v>
      </c>
      <c r="O7" s="17">
        <f t="shared" si="1"/>
        <v>104.07367280606626</v>
      </c>
      <c r="P7" s="18">
        <f t="shared" si="2"/>
        <v>0</v>
      </c>
      <c r="Q7" s="19">
        <f t="shared" si="3"/>
        <v>-49.772481040087584</v>
      </c>
      <c r="R7" s="183">
        <f t="shared" si="4"/>
        <v>0.67647887323943068</v>
      </c>
      <c r="S7" s="420"/>
      <c r="T7" s="95">
        <v>0.42708333333333298</v>
      </c>
      <c r="U7" s="95">
        <v>0.47638888888888897</v>
      </c>
      <c r="V7" s="175">
        <f>(T7-U6)*24*60</f>
        <v>11.999999999999478</v>
      </c>
      <c r="W7" s="180">
        <f t="shared" si="5"/>
        <v>71.000000000000625</v>
      </c>
      <c r="X7" s="22"/>
      <c r="Y7" s="22"/>
      <c r="Z7" s="405"/>
      <c r="AA7" s="405"/>
      <c r="AB7" s="18">
        <f>N7-K7</f>
        <v>-647.04225352113872</v>
      </c>
      <c r="AC7" s="183">
        <f>N7/K7</f>
        <v>0.67647887323943068</v>
      </c>
      <c r="AD7" s="412"/>
    </row>
    <row r="8" spans="1:30" ht="15" customHeight="1">
      <c r="A8" s="408"/>
      <c r="B8" s="56" t="s">
        <v>45</v>
      </c>
      <c r="C8" s="10"/>
      <c r="D8" s="11" t="s">
        <v>34</v>
      </c>
      <c r="E8" s="86"/>
      <c r="F8" s="56">
        <f>VLOOKUP(D8,廠價表!$C$1:$E$40,3,0)</f>
        <v>49.14</v>
      </c>
      <c r="G8" s="25">
        <v>2437</v>
      </c>
      <c r="H8" s="15">
        <f t="shared" si="6"/>
        <v>119754.18000000001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1606.8131868131982</v>
      </c>
      <c r="O8" s="17">
        <f t="shared" si="1"/>
        <v>123.60101437024602</v>
      </c>
      <c r="P8" s="18">
        <f t="shared" si="2"/>
        <v>0</v>
      </c>
      <c r="Q8" s="19">
        <f t="shared" si="3"/>
        <v>-30.24513947590782</v>
      </c>
      <c r="R8" s="183">
        <f t="shared" si="4"/>
        <v>0.80340659340659915</v>
      </c>
      <c r="S8" s="420"/>
      <c r="T8" s="95">
        <v>0.54027777777777797</v>
      </c>
      <c r="U8" s="95">
        <v>0.60347222222222197</v>
      </c>
      <c r="V8" s="175">
        <f>(T8-U7)*24*60</f>
        <v>92.000000000000156</v>
      </c>
      <c r="W8" s="180">
        <f t="shared" si="5"/>
        <v>90.999999999999361</v>
      </c>
      <c r="X8" s="22"/>
      <c r="Y8" s="260"/>
      <c r="Z8" s="415" t="s">
        <v>190</v>
      </c>
      <c r="AA8" s="415"/>
      <c r="AB8" s="18">
        <f>N8-K8</f>
        <v>-393.18681318680183</v>
      </c>
      <c r="AC8" s="183">
        <f>N8/K8</f>
        <v>0.80340659340659903</v>
      </c>
      <c r="AD8" s="412"/>
    </row>
    <row r="9" spans="1:30" ht="15" customHeight="1">
      <c r="A9" s="409"/>
      <c r="B9" s="56"/>
      <c r="C9" s="10"/>
      <c r="D9" s="11"/>
      <c r="E9" s="86"/>
      <c r="F9" s="56"/>
      <c r="G9" s="25"/>
      <c r="H9" s="15"/>
      <c r="I9" s="180"/>
      <c r="J9" s="16"/>
      <c r="K9" s="14"/>
      <c r="L9" s="17"/>
      <c r="M9" s="178"/>
      <c r="N9" s="14"/>
      <c r="O9" s="17"/>
      <c r="P9" s="18"/>
      <c r="Q9" s="19"/>
      <c r="R9" s="183"/>
      <c r="S9" s="421"/>
      <c r="T9" s="95"/>
      <c r="U9" s="95"/>
      <c r="V9" s="175"/>
      <c r="W9" s="180">
        <f t="shared" si="5"/>
        <v>0</v>
      </c>
      <c r="X9" s="22">
        <v>0.48958333333333298</v>
      </c>
      <c r="Y9" s="260">
        <v>0.53125</v>
      </c>
      <c r="Z9" s="416"/>
      <c r="AA9" s="416"/>
      <c r="AB9" s="18">
        <f>N9-K9</f>
        <v>0</v>
      </c>
      <c r="AC9" s="183" t="e">
        <f>N9/K9</f>
        <v>#DIV/0!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7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7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14.5</v>
      </c>
      <c r="K15" s="117">
        <f t="shared" si="8"/>
        <v>1848.75</v>
      </c>
      <c r="L15" s="114">
        <f t="shared" si="8"/>
        <v>129.79072398190044</v>
      </c>
      <c r="M15" s="117">
        <f t="shared" si="8"/>
        <v>14</v>
      </c>
      <c r="N15" s="117">
        <f t="shared" si="8"/>
        <v>1449.523789789318</v>
      </c>
      <c r="O15" s="114">
        <f t="shared" si="8"/>
        <v>104.43797880229545</v>
      </c>
      <c r="P15" s="118">
        <f t="shared" ref="P15:P19" si="9">M15-J15</f>
        <v>-0.5</v>
      </c>
      <c r="Q15" s="119">
        <f t="shared" ref="Q15:Q19" si="10">O15-L15</f>
        <v>-25.352745179604995</v>
      </c>
      <c r="R15" s="120">
        <f t="shared" ref="R15:R19" si="11">O15/L15</f>
        <v>0.80466442899925206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2">N15-K15</f>
        <v>-399.22621021068198</v>
      </c>
      <c r="AC15" s="185">
        <f t="shared" ref="AC15:AC20" si="13">N15/K15</f>
        <v>0.78405614052160544</v>
      </c>
      <c r="AD15" s="414"/>
    </row>
    <row r="16" spans="1:30" ht="15" customHeight="1">
      <c r="A16" s="439" t="s">
        <v>39</v>
      </c>
      <c r="B16" s="197" t="s">
        <v>45</v>
      </c>
      <c r="C16" s="101"/>
      <c r="D16" s="102" t="s">
        <v>32</v>
      </c>
      <c r="E16" s="103"/>
      <c r="F16" s="197">
        <f>VLOOKUP(D16,廠價表!$C$1:$E$40,3,0)</f>
        <v>57.21</v>
      </c>
      <c r="G16" s="262">
        <v>2202</v>
      </c>
      <c r="H16" s="124">
        <f t="shared" ref="H16:H25" si="14">F16*G16</f>
        <v>125976.42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5">K16/J16</f>
        <v>161.92307692307693</v>
      </c>
      <c r="M16" s="264">
        <v>13</v>
      </c>
      <c r="N16" s="126">
        <f t="shared" ref="N16:N19" si="16">G16/W16*60</f>
        <v>1887.4285714285761</v>
      </c>
      <c r="O16" s="127">
        <f>N16/M16</f>
        <v>145.18681318681354</v>
      </c>
      <c r="P16" s="128">
        <f>M16-J16</f>
        <v>0</v>
      </c>
      <c r="Q16" s="129">
        <f t="shared" si="10"/>
        <v>-16.736263736263396</v>
      </c>
      <c r="R16" s="187">
        <f>O16/L16</f>
        <v>0.89664065151001227</v>
      </c>
      <c r="S16" s="431">
        <f>R26</f>
        <v>0.840207857189886</v>
      </c>
      <c r="T16" s="345">
        <v>0.29027777777777802</v>
      </c>
      <c r="U16" s="345">
        <v>0.33888888888888902</v>
      </c>
      <c r="V16" s="125"/>
      <c r="W16" s="130">
        <f t="shared" ref="W16:W78" si="17">(U16-T16)*24*60</f>
        <v>69.999999999999829</v>
      </c>
      <c r="X16" s="127"/>
      <c r="Y16" s="127"/>
      <c r="Z16" s="425"/>
      <c r="AA16" s="425"/>
      <c r="AB16" s="110">
        <f t="shared" si="12"/>
        <v>-217.57142857142389</v>
      </c>
      <c r="AC16" s="182">
        <f t="shared" si="13"/>
        <v>0.89664065151001238</v>
      </c>
      <c r="AD16" s="411">
        <f>AC26</f>
        <v>0.84146842533024135</v>
      </c>
    </row>
    <row r="17" spans="1:30" ht="15" customHeight="1">
      <c r="A17" s="440"/>
      <c r="B17" s="56" t="s">
        <v>45</v>
      </c>
      <c r="C17" s="10"/>
      <c r="D17" s="11" t="s">
        <v>40</v>
      </c>
      <c r="E17" s="86"/>
      <c r="F17" s="56">
        <f>VLOOKUP(D17,廠價表!$C$1:$E$40,3,0)</f>
        <v>50.67</v>
      </c>
      <c r="G17" s="96">
        <v>3050</v>
      </c>
      <c r="H17" s="15">
        <f t="shared" si="14"/>
        <v>154543.5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5"/>
        <v>153.84615384615384</v>
      </c>
      <c r="M17" s="37">
        <v>13</v>
      </c>
      <c r="N17" s="36">
        <f t="shared" si="16"/>
        <v>1694.4444444444441</v>
      </c>
      <c r="O17" s="38">
        <f t="shared" ref="O17:O19" si="18">N17/M17</f>
        <v>130.34188034188031</v>
      </c>
      <c r="P17" s="39">
        <f t="shared" si="9"/>
        <v>0</v>
      </c>
      <c r="Q17" s="40">
        <f t="shared" si="10"/>
        <v>-23.504273504273527</v>
      </c>
      <c r="R17" s="188">
        <f t="shared" si="11"/>
        <v>0.8472222222222221</v>
      </c>
      <c r="S17" s="432"/>
      <c r="T17" s="44">
        <v>0.34722222222222199</v>
      </c>
      <c r="U17" s="44">
        <v>0.422222222222222</v>
      </c>
      <c r="V17" s="175">
        <f>(T17-U16)*24*60</f>
        <v>11.999999999999478</v>
      </c>
      <c r="W17" s="43">
        <f t="shared" si="17"/>
        <v>108.00000000000001</v>
      </c>
      <c r="X17" s="44"/>
      <c r="Y17" s="44"/>
      <c r="Z17" s="391"/>
      <c r="AA17" s="391"/>
      <c r="AB17" s="18">
        <f t="shared" si="12"/>
        <v>-305.55555555555588</v>
      </c>
      <c r="AC17" s="183">
        <f t="shared" si="13"/>
        <v>0.8472222222222221</v>
      </c>
      <c r="AD17" s="412"/>
    </row>
    <row r="18" spans="1:30" ht="15" customHeight="1">
      <c r="A18" s="440"/>
      <c r="B18" s="56" t="s">
        <v>45</v>
      </c>
      <c r="C18" s="10"/>
      <c r="D18" s="11" t="s">
        <v>41</v>
      </c>
      <c r="E18" s="86"/>
      <c r="F18" s="56">
        <f>VLOOKUP(D18,廠價表!$C$1:$E$40,3,0)</f>
        <v>50.39</v>
      </c>
      <c r="G18" s="96">
        <v>1803</v>
      </c>
      <c r="H18" s="15">
        <f t="shared" si="14"/>
        <v>90853.17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5"/>
        <v>166.66666666666666</v>
      </c>
      <c r="M18" s="37">
        <v>12</v>
      </c>
      <c r="N18" s="36">
        <f t="shared" si="16"/>
        <v>1545.4285714285752</v>
      </c>
      <c r="O18" s="38">
        <f t="shared" si="18"/>
        <v>128.78571428571459</v>
      </c>
      <c r="P18" s="39">
        <f t="shared" si="9"/>
        <v>0</v>
      </c>
      <c r="Q18" s="40">
        <f t="shared" si="10"/>
        <v>-37.880952380952067</v>
      </c>
      <c r="R18" s="188">
        <f t="shared" si="11"/>
        <v>0.77271428571428757</v>
      </c>
      <c r="S18" s="432"/>
      <c r="T18" s="44">
        <v>0.43055555555555602</v>
      </c>
      <c r="U18" s="44">
        <v>0.47916666666666702</v>
      </c>
      <c r="V18" s="175">
        <f>(T18-U17)*24*60</f>
        <v>12.000000000000997</v>
      </c>
      <c r="W18" s="43">
        <f t="shared" si="17"/>
        <v>69.999999999999829</v>
      </c>
      <c r="X18" s="22"/>
      <c r="Y18" s="22"/>
      <c r="Z18" s="415" t="s">
        <v>190</v>
      </c>
      <c r="AA18" s="415"/>
      <c r="AB18" s="18">
        <f t="shared" si="12"/>
        <v>-454.5714285714248</v>
      </c>
      <c r="AC18" s="183">
        <f t="shared" si="13"/>
        <v>0.77271428571428757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2116</v>
      </c>
      <c r="H19" s="15">
        <f t="shared" si="14"/>
        <v>106625.24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5"/>
        <v>166.66666666666666</v>
      </c>
      <c r="M19" s="37">
        <v>12</v>
      </c>
      <c r="N19" s="36">
        <f t="shared" si="16"/>
        <v>1692.8000000000097</v>
      </c>
      <c r="O19" s="38">
        <f t="shared" si="18"/>
        <v>141.06666666666749</v>
      </c>
      <c r="P19" s="39">
        <f t="shared" si="9"/>
        <v>0</v>
      </c>
      <c r="Q19" s="40">
        <f t="shared" si="10"/>
        <v>-25.59999999999917</v>
      </c>
      <c r="R19" s="188">
        <f t="shared" si="11"/>
        <v>0.84640000000000493</v>
      </c>
      <c r="S19" s="432"/>
      <c r="T19" s="44">
        <v>0.54166666666666696</v>
      </c>
      <c r="U19" s="44">
        <v>0.59375</v>
      </c>
      <c r="V19" s="175">
        <f t="shared" ref="V19:V20" si="19">(T19-U18)*24*60</f>
        <v>89.999999999999915</v>
      </c>
      <c r="W19" s="43">
        <f t="shared" si="17"/>
        <v>74.999999999999574</v>
      </c>
      <c r="X19" s="22">
        <v>0.48958333333333298</v>
      </c>
      <c r="Y19" s="260">
        <v>0.53125</v>
      </c>
      <c r="Z19" s="416"/>
      <c r="AA19" s="416"/>
      <c r="AB19" s="18">
        <f t="shared" si="12"/>
        <v>-307.19999999999027</v>
      </c>
      <c r="AC19" s="183">
        <f t="shared" si="13"/>
        <v>0.84640000000000482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>
        <f t="shared" si="19"/>
        <v>-855</v>
      </c>
      <c r="W20" s="43">
        <f t="shared" si="17"/>
        <v>0</v>
      </c>
      <c r="X20" s="44"/>
      <c r="Y20" s="44"/>
      <c r="Z20" s="418"/>
      <c r="AA20" s="405"/>
      <c r="AB20" s="18">
        <f t="shared" si="12"/>
        <v>0</v>
      </c>
      <c r="AC20" s="183" t="e">
        <f t="shared" si="13"/>
        <v>#DIV/0!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7"/>
        <v>0</v>
      </c>
      <c r="X21" s="42"/>
      <c r="Y21" s="42"/>
      <c r="Z21" s="418"/>
      <c r="AA21" s="405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4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7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4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7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4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7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12.5</v>
      </c>
      <c r="K26" s="133">
        <f t="shared" si="20"/>
        <v>2026.25</v>
      </c>
      <c r="L26" s="136">
        <f t="shared" si="20"/>
        <v>162.27564102564102</v>
      </c>
      <c r="M26" s="133">
        <f t="shared" si="20"/>
        <v>12.5</v>
      </c>
      <c r="N26" s="133">
        <f t="shared" si="20"/>
        <v>1705.0253968254015</v>
      </c>
      <c r="O26" s="136">
        <f t="shared" si="20"/>
        <v>136.345268620269</v>
      </c>
      <c r="P26" s="137">
        <f t="shared" ref="P26:P30" si="21">M26-J26</f>
        <v>0</v>
      </c>
      <c r="Q26" s="138">
        <f t="shared" ref="Q26:Q30" si="22">O26-L26</f>
        <v>-25.930372405372026</v>
      </c>
      <c r="R26" s="139">
        <f t="shared" ref="R26:R30" si="23">O26/L26</f>
        <v>0.840207857189886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-321.22460317459854</v>
      </c>
      <c r="AC26" s="185">
        <f>N26/K26</f>
        <v>0.84146842533024135</v>
      </c>
      <c r="AD26" s="414"/>
    </row>
    <row r="27" spans="1:30" ht="15" customHeight="1">
      <c r="A27" s="428" t="s">
        <v>44</v>
      </c>
      <c r="B27" s="227" t="s">
        <v>45</v>
      </c>
      <c r="C27" s="101"/>
      <c r="D27" s="102" t="s">
        <v>142</v>
      </c>
      <c r="E27" s="103"/>
      <c r="F27" s="197">
        <f>VLOOKUP(D27,廠價表!$C$1:$E$40,3,0)</f>
        <v>57.3</v>
      </c>
      <c r="G27" s="266">
        <v>2714</v>
      </c>
      <c r="H27" s="124">
        <f t="shared" ref="H27:H41" si="24">F27*G27</f>
        <v>155512.19999999998</v>
      </c>
      <c r="I27" s="125"/>
      <c r="J27" s="16">
        <f>VLOOKUP(D27,產線配置圖!$A$3:$C$39,2,0)</f>
        <v>15</v>
      </c>
      <c r="K27" s="14">
        <f>VLOOKUP(D27,產線配置圖!$A$3:$C$39,3,0)</f>
        <v>1440</v>
      </c>
      <c r="L27" s="108">
        <f>K27/J27</f>
        <v>96</v>
      </c>
      <c r="M27" s="143">
        <v>15</v>
      </c>
      <c r="N27" s="126">
        <f>G27/W27*60</f>
        <v>1292.380952380953</v>
      </c>
      <c r="O27" s="127">
        <f>N27/M27</f>
        <v>86.158730158730194</v>
      </c>
      <c r="P27" s="128">
        <f t="shared" si="21"/>
        <v>0</v>
      </c>
      <c r="Q27" s="129">
        <f t="shared" si="22"/>
        <v>-9.8412698412698063</v>
      </c>
      <c r="R27" s="187">
        <f>O27/L27</f>
        <v>0.89748677248677289</v>
      </c>
      <c r="S27" s="431">
        <f>R37</f>
        <v>0.86691566622054672</v>
      </c>
      <c r="T27" s="94">
        <v>0.29236111111111102</v>
      </c>
      <c r="U27" s="94">
        <v>0.37986111111111098</v>
      </c>
      <c r="V27" s="125"/>
      <c r="W27" s="130">
        <f t="shared" si="17"/>
        <v>125.99999999999996</v>
      </c>
      <c r="X27" s="125"/>
      <c r="Y27" s="125" t="s">
        <v>47</v>
      </c>
      <c r="Z27" s="434"/>
      <c r="AA27" s="425"/>
      <c r="AB27" s="223">
        <f>N27-K27</f>
        <v>-147.61904761904702</v>
      </c>
      <c r="AC27" s="288">
        <f>N27/K27</f>
        <v>0.89748677248677289</v>
      </c>
      <c r="AD27" s="411">
        <f>AC37</f>
        <v>0.78493369076347486</v>
      </c>
    </row>
    <row r="28" spans="1:30" ht="15" customHeight="1">
      <c r="A28" s="429"/>
      <c r="B28" s="56" t="s">
        <v>45</v>
      </c>
      <c r="C28" s="10"/>
      <c r="D28" s="11" t="s">
        <v>48</v>
      </c>
      <c r="E28" s="86"/>
      <c r="F28" s="56">
        <f>VLOOKUP(D28,廠價表!$C$1:$E$40,3,0)</f>
        <v>55.13</v>
      </c>
      <c r="G28" s="53">
        <v>1536</v>
      </c>
      <c r="H28" s="50">
        <f t="shared" si="24"/>
        <v>84679.680000000008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17</v>
      </c>
      <c r="N28" s="36">
        <f>G28/W28*60</f>
        <v>1262.4657534246687</v>
      </c>
      <c r="O28" s="38">
        <f>N28/M28</f>
        <v>74.262691377921684</v>
      </c>
      <c r="P28" s="39">
        <f t="shared" si="21"/>
        <v>-1</v>
      </c>
      <c r="Q28" s="40">
        <f t="shared" si="22"/>
        <v>-2.6817530665227594</v>
      </c>
      <c r="R28" s="188">
        <f t="shared" si="23"/>
        <v>0.96514689155421685</v>
      </c>
      <c r="S28" s="432"/>
      <c r="T28" s="267">
        <v>0.390277777777778</v>
      </c>
      <c r="U28" s="267">
        <v>0.44097222222222199</v>
      </c>
      <c r="V28" s="42">
        <f>(T28-U27)*24*60</f>
        <v>15.000000000000506</v>
      </c>
      <c r="W28" s="43">
        <f t="shared" si="17"/>
        <v>72.999999999999346</v>
      </c>
      <c r="X28" s="54"/>
      <c r="Y28" s="54"/>
      <c r="Z28" s="418"/>
      <c r="AA28" s="417"/>
      <c r="AB28" s="39">
        <f>N28-K28</f>
        <v>-122.53424657533128</v>
      </c>
      <c r="AC28" s="188">
        <f>N28/K28</f>
        <v>0.91152761980120489</v>
      </c>
      <c r="AD28" s="444"/>
    </row>
    <row r="29" spans="1:30" ht="15" customHeight="1">
      <c r="A29" s="429"/>
      <c r="B29" s="56" t="s">
        <v>182</v>
      </c>
      <c r="C29" s="10"/>
      <c r="D29" s="11" t="s">
        <v>166</v>
      </c>
      <c r="E29" s="86"/>
      <c r="F29" s="56">
        <f>VLOOKUP(D29,廠價表!$C$1:$E$40,3,0)</f>
        <v>49.52</v>
      </c>
      <c r="G29" s="53">
        <v>992</v>
      </c>
      <c r="H29" s="50">
        <f t="shared" si="24"/>
        <v>49123.840000000004</v>
      </c>
      <c r="I29" s="42"/>
      <c r="J29" s="16">
        <f>VLOOKUP(D29,產線配置圖!$A$3:$C$39,2,0)</f>
        <v>18</v>
      </c>
      <c r="K29" s="14">
        <f>VLOOKUP(D29,產線配置圖!$A$3:$C$39,3,0)</f>
        <v>1440</v>
      </c>
      <c r="L29" s="233">
        <f>K29/J29</f>
        <v>80</v>
      </c>
      <c r="M29" s="21">
        <v>15</v>
      </c>
      <c r="N29" s="36">
        <f>G29/W29*60</f>
        <v>960.00000000001319</v>
      </c>
      <c r="O29" s="38">
        <f>N29/M29</f>
        <v>64.000000000000881</v>
      </c>
      <c r="P29" s="39">
        <f t="shared" si="21"/>
        <v>-3</v>
      </c>
      <c r="Q29" s="40">
        <f t="shared" si="22"/>
        <v>-15.999999999999119</v>
      </c>
      <c r="R29" s="188">
        <f t="shared" si="23"/>
        <v>0.80000000000001104</v>
      </c>
      <c r="S29" s="432"/>
      <c r="T29" s="44">
        <v>0.44652777777777802</v>
      </c>
      <c r="U29" s="44">
        <v>0.48958333333333298</v>
      </c>
      <c r="V29" s="42">
        <f>(T29-U28)*24*60</f>
        <v>8.000000000000691</v>
      </c>
      <c r="W29" s="43">
        <f t="shared" si="17"/>
        <v>61.99999999999914</v>
      </c>
      <c r="X29" s="22"/>
      <c r="Y29" s="22"/>
      <c r="Z29" s="418"/>
      <c r="AA29" s="417"/>
      <c r="AB29" s="289">
        <f>N29-K29</f>
        <v>-479.99999999998681</v>
      </c>
      <c r="AC29" s="188">
        <f>N29/K29</f>
        <v>0.66666666666667584</v>
      </c>
      <c r="AD29" s="444"/>
    </row>
    <row r="30" spans="1:30" ht="15" customHeight="1">
      <c r="A30" s="429"/>
      <c r="B30" s="56" t="s">
        <v>182</v>
      </c>
      <c r="C30" s="235"/>
      <c r="D30" s="11" t="s">
        <v>166</v>
      </c>
      <c r="E30" s="29"/>
      <c r="F30" s="56">
        <f>VLOOKUP(D30,廠價表!$C$1:$E$40,3,0)</f>
        <v>49.52</v>
      </c>
      <c r="G30" s="53">
        <v>1204</v>
      </c>
      <c r="H30" s="50">
        <f t="shared" si="24"/>
        <v>59622.080000000002</v>
      </c>
      <c r="I30" s="42"/>
      <c r="J30" s="16">
        <f>VLOOKUP(D30,產線配置圖!$A$3:$C$39,2,0)</f>
        <v>18</v>
      </c>
      <c r="K30" s="14">
        <f>VLOOKUP(D30,產線配置圖!$A$3:$C$39,3,0)</f>
        <v>1440</v>
      </c>
      <c r="L30" s="233">
        <f>K30/J30</f>
        <v>80</v>
      </c>
      <c r="M30" s="21">
        <v>15</v>
      </c>
      <c r="N30" s="36">
        <f>G30/W30*60</f>
        <v>963.19999999998902</v>
      </c>
      <c r="O30" s="38">
        <f>N30/M30</f>
        <v>64.213333333332599</v>
      </c>
      <c r="P30" s="39">
        <f t="shared" si="21"/>
        <v>-3</v>
      </c>
      <c r="Q30" s="40">
        <f t="shared" si="22"/>
        <v>-15.786666666667401</v>
      </c>
      <c r="R30" s="188">
        <f t="shared" si="23"/>
        <v>0.80266666666665754</v>
      </c>
      <c r="S30" s="432"/>
      <c r="T30" s="44">
        <v>0.55208333333333304</v>
      </c>
      <c r="U30" s="44">
        <v>0.60416666666666696</v>
      </c>
      <c r="V30" s="42">
        <f>(T30-U29)*24*60</f>
        <v>90.000000000000085</v>
      </c>
      <c r="W30" s="43">
        <f t="shared" si="17"/>
        <v>75.000000000000853</v>
      </c>
      <c r="X30" s="54">
        <v>0.48958333333333298</v>
      </c>
      <c r="Y30" s="54">
        <v>0.53125</v>
      </c>
      <c r="Z30" s="426"/>
      <c r="AA30" s="446"/>
      <c r="AB30" s="289">
        <f>N30-K30</f>
        <v>-476.80000000001098</v>
      </c>
      <c r="AC30" s="188">
        <f>N30/K30</f>
        <v>0.66888888888888132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1"/>
      <c r="U31" s="41"/>
      <c r="V31" s="42"/>
      <c r="W31" s="43">
        <f t="shared" si="17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7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4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7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7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7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7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5">AVERAGE(J27:J36)</f>
        <v>17.25</v>
      </c>
      <c r="K37" s="282">
        <f t="shared" si="25"/>
        <v>1426.25</v>
      </c>
      <c r="L37" s="283">
        <f t="shared" si="25"/>
        <v>83.236111111111114</v>
      </c>
      <c r="M37" s="282">
        <f t="shared" si="25"/>
        <v>15.5</v>
      </c>
      <c r="N37" s="282">
        <f t="shared" si="25"/>
        <v>1119.5116764514059</v>
      </c>
      <c r="O37" s="283">
        <f t="shared" si="25"/>
        <v>72.158688717496346</v>
      </c>
      <c r="P37" s="73">
        <f>M37-J37</f>
        <v>-1.75</v>
      </c>
      <c r="Q37" s="74">
        <f>N37-K37</f>
        <v>-306.73832354859405</v>
      </c>
      <c r="R37" s="284">
        <f t="shared" ref="R37:R41" si="26">O37/L37</f>
        <v>0.86691566622054672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1" si="27">N37-K37</f>
        <v>-306.73832354859405</v>
      </c>
      <c r="AC37" s="184">
        <f t="shared" ref="AC37:AC41" si="28">N37/K37</f>
        <v>0.78493369076347486</v>
      </c>
      <c r="AD37" s="413"/>
    </row>
    <row r="38" spans="1:30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1131</v>
      </c>
      <c r="H38" s="124">
        <f t="shared" si="24"/>
        <v>64806.299999999996</v>
      </c>
      <c r="I38" s="125"/>
      <c r="J38" s="271">
        <f>VLOOKUP(D38,產線配置圖!$A$3:$C$39,2,0)</f>
        <v>15</v>
      </c>
      <c r="K38" s="234">
        <f>VLOOKUP(D38,產線配置圖!$A$3:$C$39,3,0)</f>
        <v>1385</v>
      </c>
      <c r="L38" s="285">
        <f t="shared" ref="L38:L41" si="29">K38/J38</f>
        <v>92.333333333333329</v>
      </c>
      <c r="M38" s="286">
        <v>14</v>
      </c>
      <c r="N38" s="126">
        <f>G38/W38*60</f>
        <v>1190.5263157894528</v>
      </c>
      <c r="O38" s="127">
        <f>N38/M38</f>
        <v>85.037593984960921</v>
      </c>
      <c r="P38" s="128">
        <f t="shared" ref="P38:P41" si="30">M38-J38</f>
        <v>-1</v>
      </c>
      <c r="Q38" s="129">
        <f t="shared" ref="Q38:Q41" si="31">O38-L38</f>
        <v>-7.2957393483724076</v>
      </c>
      <c r="R38" s="187">
        <f t="shared" si="26"/>
        <v>0.92098477240029886</v>
      </c>
      <c r="S38" s="460">
        <f>R48</f>
        <v>0.91931642211857945</v>
      </c>
      <c r="T38" s="348">
        <v>0.33333333333333298</v>
      </c>
      <c r="U38" s="348">
        <v>0.37291666666666701</v>
      </c>
      <c r="V38" s="146"/>
      <c r="W38" s="150">
        <f t="shared" si="17"/>
        <v>57.000000000000995</v>
      </c>
      <c r="X38" s="148"/>
      <c r="Y38" s="151"/>
      <c r="Z38" s="462"/>
      <c r="AA38" s="463"/>
      <c r="AB38" s="287">
        <f t="shared" si="27"/>
        <v>-194.47368421054716</v>
      </c>
      <c r="AC38" s="152">
        <f t="shared" si="28"/>
        <v>0.85958578757361215</v>
      </c>
      <c r="AD38" s="447">
        <f>AC48</f>
        <v>0.83721431354742648</v>
      </c>
    </row>
    <row r="39" spans="1:30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1364</v>
      </c>
      <c r="H39" s="50">
        <f t="shared" si="24"/>
        <v>76970.52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9"/>
        <v>93.733333333333334</v>
      </c>
      <c r="M39" s="65">
        <v>14</v>
      </c>
      <c r="N39" s="66">
        <f>G39/W39*60</f>
        <v>1152.676056338018</v>
      </c>
      <c r="O39" s="67">
        <f t="shared" ref="O39:O41" si="32">N39/M39</f>
        <v>82.33400402414415</v>
      </c>
      <c r="P39" s="39">
        <f t="shared" si="30"/>
        <v>-1</v>
      </c>
      <c r="Q39" s="40">
        <f t="shared" si="31"/>
        <v>-11.399329309189184</v>
      </c>
      <c r="R39" s="188">
        <f t="shared" si="26"/>
        <v>0.87838553368574834</v>
      </c>
      <c r="S39" s="461"/>
      <c r="T39" s="349">
        <v>0.37847222222222199</v>
      </c>
      <c r="U39" s="349">
        <v>0.42777777777777798</v>
      </c>
      <c r="V39" s="42">
        <f>(T39-U38)*24*60</f>
        <v>7.9999999999991722</v>
      </c>
      <c r="W39" s="69">
        <f t="shared" si="17"/>
        <v>71.000000000000625</v>
      </c>
      <c r="X39" s="22"/>
      <c r="Y39" s="22"/>
      <c r="Z39" s="450"/>
      <c r="AA39" s="451"/>
      <c r="AB39" s="268">
        <f t="shared" si="27"/>
        <v>-253.32394366198196</v>
      </c>
      <c r="AC39" s="61">
        <f t="shared" si="28"/>
        <v>0.8198264981066985</v>
      </c>
      <c r="AD39" s="448"/>
    </row>
    <row r="40" spans="1:30" ht="15" customHeight="1">
      <c r="A40" s="458"/>
      <c r="B40" s="56" t="s">
        <v>45</v>
      </c>
      <c r="C40" s="272"/>
      <c r="D40" s="276" t="s">
        <v>187</v>
      </c>
      <c r="E40" s="240"/>
      <c r="F40" s="56">
        <f>VLOOKUP(D40,廠價表!$C$1:$E$40,3,0)</f>
        <v>50.67</v>
      </c>
      <c r="G40" s="273">
        <v>1268</v>
      </c>
      <c r="H40" s="50">
        <f t="shared" si="24"/>
        <v>64249.560000000005</v>
      </c>
      <c r="I40" s="64"/>
      <c r="J40" s="37">
        <f>VLOOKUP(D40,產線配置圖!$A$3:$C$39,2,0)</f>
        <v>15</v>
      </c>
      <c r="K40" s="36">
        <f>VLOOKUP(D40,產線配置圖!$A$3:$C$39,3,0)</f>
        <v>1440</v>
      </c>
      <c r="L40" s="38">
        <f t="shared" si="29"/>
        <v>96</v>
      </c>
      <c r="M40" s="65">
        <v>14</v>
      </c>
      <c r="N40" s="66">
        <f>G40/W40*60</f>
        <v>1267.9999999999893</v>
      </c>
      <c r="O40" s="67">
        <f t="shared" si="32"/>
        <v>90.571428571427802</v>
      </c>
      <c r="P40" s="39">
        <f t="shared" si="30"/>
        <v>-1</v>
      </c>
      <c r="Q40" s="40">
        <f t="shared" si="31"/>
        <v>-5.428571428572198</v>
      </c>
      <c r="R40" s="188">
        <f t="shared" si="26"/>
        <v>0.94345238095237294</v>
      </c>
      <c r="S40" s="420"/>
      <c r="T40" s="349">
        <v>0.44444444444444398</v>
      </c>
      <c r="U40" s="349">
        <v>0.48611111111111099</v>
      </c>
      <c r="V40" s="42">
        <f>(T40-U39)*24*60</f>
        <v>23.999999999999034</v>
      </c>
      <c r="W40" s="69">
        <f t="shared" si="17"/>
        <v>60.000000000000504</v>
      </c>
      <c r="X40" s="70"/>
      <c r="Y40" s="256"/>
      <c r="Z40" s="450"/>
      <c r="AA40" s="451"/>
      <c r="AB40" s="268">
        <f t="shared" si="27"/>
        <v>-172.00000000001069</v>
      </c>
      <c r="AC40" s="61">
        <f t="shared" si="28"/>
        <v>0.8805555555555481</v>
      </c>
      <c r="AD40" s="448"/>
    </row>
    <row r="41" spans="1:30" ht="15" customHeight="1">
      <c r="A41" s="458"/>
      <c r="B41" s="56" t="s">
        <v>182</v>
      </c>
      <c r="C41" s="272"/>
      <c r="D41" s="276" t="s">
        <v>167</v>
      </c>
      <c r="E41" s="240"/>
      <c r="F41" s="56">
        <f>VLOOKUP(D41,廠價表!$C$1:$E$40,3,0)</f>
        <v>44.3</v>
      </c>
      <c r="G41" s="273">
        <v>2368</v>
      </c>
      <c r="H41" s="50">
        <f t="shared" si="24"/>
        <v>104902.39999999999</v>
      </c>
      <c r="I41" s="64"/>
      <c r="J41" s="37">
        <f>VLOOKUP(D41,產線配置圖!$A$3:$C$39,2,0)</f>
        <v>19</v>
      </c>
      <c r="K41" s="36">
        <f>VLOOKUP(D41,產線配置圖!$A$3:$C$39,3,0)</f>
        <v>1440</v>
      </c>
      <c r="L41" s="38">
        <f t="shared" si="29"/>
        <v>75.78947368421052</v>
      </c>
      <c r="M41" s="65">
        <v>16</v>
      </c>
      <c r="N41" s="66">
        <f>G41/W41*60</f>
        <v>1136.6399999999953</v>
      </c>
      <c r="O41" s="67">
        <f t="shared" si="32"/>
        <v>71.039999999999708</v>
      </c>
      <c r="P41" s="39">
        <f t="shared" si="30"/>
        <v>-3</v>
      </c>
      <c r="Q41" s="40">
        <f t="shared" si="31"/>
        <v>-4.7494736842108125</v>
      </c>
      <c r="R41" s="188">
        <f t="shared" si="26"/>
        <v>0.93733333333332958</v>
      </c>
      <c r="S41" s="420"/>
      <c r="T41" s="349">
        <v>0.54861111111111105</v>
      </c>
      <c r="U41" s="349">
        <v>0.63541666666666696</v>
      </c>
      <c r="V41" s="42">
        <f>(T41-U40)*24*60</f>
        <v>90.000000000000085</v>
      </c>
      <c r="W41" s="69">
        <f t="shared" si="17"/>
        <v>125.00000000000051</v>
      </c>
      <c r="X41" s="70">
        <v>0.52777777777777801</v>
      </c>
      <c r="Y41" s="256">
        <v>0.56944444444444398</v>
      </c>
      <c r="Z41" s="450"/>
      <c r="AA41" s="451"/>
      <c r="AB41" s="268">
        <f t="shared" si="27"/>
        <v>-303.36000000000467</v>
      </c>
      <c r="AC41" s="61">
        <f t="shared" si="28"/>
        <v>0.78933333333333011</v>
      </c>
      <c r="AD41" s="448"/>
    </row>
    <row r="42" spans="1:30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350"/>
      <c r="U42" s="350"/>
      <c r="V42" s="42"/>
      <c r="W42" s="69">
        <f t="shared" si="17"/>
        <v>0</v>
      </c>
      <c r="X42" s="70"/>
      <c r="Y42" s="60"/>
      <c r="Z42" s="452"/>
      <c r="AA42" s="453"/>
      <c r="AB42" s="268"/>
      <c r="AC42" s="61"/>
      <c r="AD42" s="448"/>
    </row>
    <row r="43" spans="1:30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ht="15" customHeight="1">
      <c r="A44" s="458"/>
      <c r="B44" s="228"/>
      <c r="C44" s="181"/>
      <c r="D44" s="11"/>
      <c r="E44" s="12"/>
      <c r="F44" s="13"/>
      <c r="G44" s="99"/>
      <c r="H44" s="63">
        <f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3">(U44-T44)*24*60</f>
        <v>0</v>
      </c>
      <c r="X44" s="70"/>
      <c r="Y44" s="67"/>
      <c r="Z44" s="405"/>
      <c r="AA44" s="405"/>
      <c r="AB44" s="71"/>
      <c r="AC44" s="61"/>
      <c r="AD44" s="448"/>
    </row>
    <row r="45" spans="1:30" ht="15" customHeight="1">
      <c r="A45" s="458"/>
      <c r="B45" s="229"/>
      <c r="C45" s="27"/>
      <c r="D45" s="28"/>
      <c r="E45" s="29"/>
      <c r="F45" s="13"/>
      <c r="G45" s="66"/>
      <c r="H45" s="63">
        <f>F45*G45</f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3"/>
        <v>0</v>
      </c>
      <c r="X45" s="70"/>
      <c r="Y45" s="67"/>
      <c r="Z45" s="405"/>
      <c r="AA45" s="405"/>
      <c r="AB45" s="71"/>
      <c r="AC45" s="61"/>
      <c r="AD45" s="448"/>
    </row>
    <row r="46" spans="1:30" ht="15" customHeight="1">
      <c r="A46" s="458"/>
      <c r="B46" s="229"/>
      <c r="C46" s="27"/>
      <c r="D46" s="28"/>
      <c r="E46" s="29"/>
      <c r="F46" s="13"/>
      <c r="G46" s="66"/>
      <c r="H46" s="63">
        <f>F46*G46</f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3"/>
        <v>0</v>
      </c>
      <c r="X46" s="70"/>
      <c r="Y46" s="67"/>
      <c r="Z46" s="405"/>
      <c r="AA46" s="405"/>
      <c r="AB46" s="71"/>
      <c r="AC46" s="61"/>
      <c r="AD46" s="448"/>
    </row>
    <row r="47" spans="1:30" ht="15" customHeight="1">
      <c r="A47" s="458"/>
      <c r="B47" s="228"/>
      <c r="C47" s="27"/>
      <c r="D47" s="28"/>
      <c r="E47" s="29"/>
      <c r="F47" s="13"/>
      <c r="G47" s="66"/>
      <c r="H47" s="63">
        <f>F47*G47</f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3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4">AVERAGE(J38:J47)</f>
        <v>16</v>
      </c>
      <c r="K48" s="133">
        <f t="shared" si="34"/>
        <v>1417.75</v>
      </c>
      <c r="L48" s="136">
        <f t="shared" si="34"/>
        <v>89.464035087719296</v>
      </c>
      <c r="M48" s="133">
        <f t="shared" si="34"/>
        <v>14.5</v>
      </c>
      <c r="N48" s="133">
        <f t="shared" si="34"/>
        <v>1186.9605930318639</v>
      </c>
      <c r="O48" s="136">
        <f t="shared" si="34"/>
        <v>82.245756645133156</v>
      </c>
      <c r="P48" s="155">
        <f>M48-J48</f>
        <v>-1.5</v>
      </c>
      <c r="Q48" s="156">
        <f>N48-K48</f>
        <v>-230.78940696813606</v>
      </c>
      <c r="R48" s="157">
        <f>O48/L48</f>
        <v>0.91931642211857945</v>
      </c>
      <c r="S48" s="423"/>
      <c r="T48" s="158"/>
      <c r="U48" s="158"/>
      <c r="V48" s="194"/>
      <c r="W48" s="159">
        <f t="shared" si="33"/>
        <v>0</v>
      </c>
      <c r="X48" s="160"/>
      <c r="Y48" s="160"/>
      <c r="Z48" s="424"/>
      <c r="AA48" s="424"/>
      <c r="AB48" s="161">
        <f>N48-K48</f>
        <v>-230.78940696813606</v>
      </c>
      <c r="AC48" s="189">
        <f>N48/K48</f>
        <v>0.83721431354742648</v>
      </c>
      <c r="AD48" s="449"/>
    </row>
    <row r="49" spans="1:30" ht="15" customHeight="1">
      <c r="A49" s="454" t="s">
        <v>57</v>
      </c>
      <c r="B49" s="197" t="s">
        <v>45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1484</v>
      </c>
      <c r="H49" s="124">
        <f t="shared" ref="H49:H57" si="35">F49*G49</f>
        <v>84395.08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1484.000000000025</v>
      </c>
      <c r="O49" s="127">
        <f>N49/M49</f>
        <v>78.105263157896047</v>
      </c>
      <c r="P49" s="162">
        <f>M49-J49</f>
        <v>0</v>
      </c>
      <c r="Q49" s="111">
        <f>O49-L49</f>
        <v>-4.263157894735528</v>
      </c>
      <c r="R49" s="182">
        <f>O49/L49</f>
        <v>0.94824281150161338</v>
      </c>
      <c r="S49" s="419">
        <f>R58</f>
        <v>0.9401537595744438</v>
      </c>
      <c r="T49" s="348">
        <v>0.29027777777777802</v>
      </c>
      <c r="U49" s="348">
        <v>0.33194444444444399</v>
      </c>
      <c r="V49" s="186"/>
      <c r="W49" s="150">
        <f t="shared" si="17"/>
        <v>59.999999999998991</v>
      </c>
      <c r="X49" s="186"/>
      <c r="Y49" s="186"/>
      <c r="Z49" s="425"/>
      <c r="AA49" s="425"/>
      <c r="AB49" s="110">
        <f>N49-K49</f>
        <v>-80.999999999974989</v>
      </c>
      <c r="AC49" s="182">
        <f>N49/K49</f>
        <v>0.94824281150161338</v>
      </c>
      <c r="AD49" s="411">
        <f>AC58</f>
        <v>0.94116259046630113</v>
      </c>
    </row>
    <row r="50" spans="1:30" ht="15" customHeight="1">
      <c r="A50" s="455"/>
      <c r="B50" s="56" t="s">
        <v>182</v>
      </c>
      <c r="C50" s="10"/>
      <c r="D50" s="11" t="s">
        <v>46</v>
      </c>
      <c r="E50" s="86"/>
      <c r="F50" s="56">
        <f>VLOOKUP(D50,廠價表!$C$1:$E$40,3,0)</f>
        <v>49.91</v>
      </c>
      <c r="G50" s="66">
        <v>2565</v>
      </c>
      <c r="H50" s="76">
        <f t="shared" si="35"/>
        <v>128019.15</v>
      </c>
      <c r="I50" s="191"/>
      <c r="J50" s="16">
        <f>VLOOKUP(D50,產線配置圖!$A$3:$C$39,2,0)</f>
        <v>17</v>
      </c>
      <c r="K50" s="14">
        <f>VLOOKUP(D50,產線配置圖!$A$3:$C$39,3,0)</f>
        <v>1565</v>
      </c>
      <c r="L50" s="17">
        <f>K50/J50</f>
        <v>92.058823529411768</v>
      </c>
      <c r="M50" s="172">
        <v>17</v>
      </c>
      <c r="N50" s="77">
        <f>G50/W50*60</f>
        <v>1374.1071428571388</v>
      </c>
      <c r="O50" s="78">
        <f>N50/M50</f>
        <v>80.829831932772876</v>
      </c>
      <c r="P50" s="18">
        <f>M50-J50</f>
        <v>0</v>
      </c>
      <c r="Q50" s="19">
        <f>O50-L50</f>
        <v>-11.228991596638892</v>
      </c>
      <c r="R50" s="183">
        <f>O50/L50</f>
        <v>0.87802373345504081</v>
      </c>
      <c r="S50" s="420"/>
      <c r="T50" s="351">
        <v>0.33750000000000002</v>
      </c>
      <c r="U50" s="351">
        <v>0.41527777777777802</v>
      </c>
      <c r="V50" s="175">
        <f t="shared" ref="V50:V52" si="36">(T50-U49)*24*60</f>
        <v>8.000000000000691</v>
      </c>
      <c r="W50" s="80">
        <f t="shared" si="17"/>
        <v>112.00000000000033</v>
      </c>
      <c r="X50" s="22"/>
      <c r="Y50" s="22"/>
      <c r="Z50" s="417"/>
      <c r="AA50" s="418"/>
      <c r="AB50" s="18">
        <f>N50-K50</f>
        <v>-190.8928571428612</v>
      </c>
      <c r="AC50" s="183">
        <f>N50/K50</f>
        <v>0.87802373345504081</v>
      </c>
      <c r="AD50" s="412"/>
    </row>
    <row r="51" spans="1:30" ht="15" customHeight="1">
      <c r="A51" s="455"/>
      <c r="B51" s="56" t="s">
        <v>45</v>
      </c>
      <c r="C51" s="10"/>
      <c r="D51" s="11" t="s">
        <v>59</v>
      </c>
      <c r="E51" s="86"/>
      <c r="F51" s="56">
        <f>VLOOKUP(D51,廠價表!$C$1:$E$40,3,0)</f>
        <v>49.97</v>
      </c>
      <c r="G51" s="66">
        <v>1946</v>
      </c>
      <c r="H51" s="76">
        <f t="shared" si="35"/>
        <v>97241.62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>K51/J51</f>
        <v>88.888888888888886</v>
      </c>
      <c r="M51" s="172">
        <v>18</v>
      </c>
      <c r="N51" s="77">
        <f>G51/W51*60</f>
        <v>1599.4520547945349</v>
      </c>
      <c r="O51" s="78">
        <f>N51/M51</f>
        <v>88.85844748858527</v>
      </c>
      <c r="P51" s="18">
        <f>M51-J51</f>
        <v>0</v>
      </c>
      <c r="Q51" s="19">
        <f>O51-L51</f>
        <v>-3.0441400303615751E-2</v>
      </c>
      <c r="R51" s="183">
        <f>O51/L51</f>
        <v>0.99965753424658432</v>
      </c>
      <c r="S51" s="420"/>
      <c r="T51" s="351">
        <v>0.42013888888888901</v>
      </c>
      <c r="U51" s="44">
        <v>0.47083333333333299</v>
      </c>
      <c r="V51" s="175">
        <f t="shared" si="36"/>
        <v>6.9999999999998153</v>
      </c>
      <c r="W51" s="80">
        <f t="shared" si="17"/>
        <v>72.999999999999346</v>
      </c>
      <c r="X51" s="22"/>
      <c r="Y51" s="22"/>
      <c r="Z51" s="405"/>
      <c r="AA51" s="405"/>
      <c r="AB51" s="18">
        <f>N51-K51</f>
        <v>-0.54794520546511194</v>
      </c>
      <c r="AC51" s="183">
        <f>N51/K51</f>
        <v>0.99965753424658432</v>
      </c>
      <c r="AD51" s="412"/>
    </row>
    <row r="52" spans="1:30" ht="15" customHeight="1">
      <c r="A52" s="455"/>
      <c r="B52" s="56" t="s">
        <v>45</v>
      </c>
      <c r="C52" s="23"/>
      <c r="D52" s="11" t="s">
        <v>59</v>
      </c>
      <c r="E52" s="12"/>
      <c r="F52" s="56">
        <f>VLOOKUP(D52,廠價表!$C$1:$E$40,3,0)</f>
        <v>49.97</v>
      </c>
      <c r="G52" s="66">
        <v>2000</v>
      </c>
      <c r="H52" s="76">
        <f t="shared" si="35"/>
        <v>99940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>K52/J52</f>
        <v>88.888888888888886</v>
      </c>
      <c r="M52" s="172">
        <v>18</v>
      </c>
      <c r="N52" s="77">
        <f>G52/W52*60</f>
        <v>1499.9999999999873</v>
      </c>
      <c r="O52" s="78">
        <f>N52/M52</f>
        <v>83.333333333332632</v>
      </c>
      <c r="P52" s="18">
        <f>M52-J52</f>
        <v>0</v>
      </c>
      <c r="Q52" s="19">
        <f>O52-L52</f>
        <v>-5.5555555555562535</v>
      </c>
      <c r="R52" s="183">
        <f>O52/L52</f>
        <v>0.93749999999999212</v>
      </c>
      <c r="S52" s="420"/>
      <c r="T52" s="351">
        <v>0.53611111111111098</v>
      </c>
      <c r="U52" s="351">
        <v>0.59166666666666701</v>
      </c>
      <c r="V52" s="175">
        <f t="shared" si="36"/>
        <v>94.000000000000313</v>
      </c>
      <c r="W52" s="80">
        <f t="shared" si="17"/>
        <v>80.000000000000682</v>
      </c>
      <c r="X52" s="22">
        <v>0.48958333333333298</v>
      </c>
      <c r="Y52" s="22">
        <v>0.53125</v>
      </c>
      <c r="Z52" s="405"/>
      <c r="AA52" s="405"/>
      <c r="AB52" s="18">
        <f>N52-K52</f>
        <v>-100.00000000001273</v>
      </c>
      <c r="AC52" s="183">
        <f>N52/K52</f>
        <v>0.93749999999999201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79"/>
      <c r="U53" s="79"/>
      <c r="V53" s="175"/>
      <c r="W53" s="80">
        <f t="shared" si="17"/>
        <v>0</v>
      </c>
      <c r="X53" s="175"/>
      <c r="Y53" s="175"/>
      <c r="Z53" s="417"/>
      <c r="AA53" s="418"/>
      <c r="AB53" s="18"/>
      <c r="AC53" s="183"/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35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7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5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7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5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7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5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7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37">AVERAGE(J49:J57)</f>
        <v>18</v>
      </c>
      <c r="K58" s="117">
        <f t="shared" si="37"/>
        <v>1582.5</v>
      </c>
      <c r="L58" s="114">
        <f t="shared" si="37"/>
        <v>88.051255589955275</v>
      </c>
      <c r="M58" s="117">
        <f t="shared" si="37"/>
        <v>18</v>
      </c>
      <c r="N58" s="117">
        <f t="shared" si="37"/>
        <v>1489.3897994129215</v>
      </c>
      <c r="O58" s="114">
        <f t="shared" si="37"/>
        <v>82.781718978146714</v>
      </c>
      <c r="P58" s="118">
        <f>M58-J58</f>
        <v>0</v>
      </c>
      <c r="Q58" s="119">
        <f>N58-K58</f>
        <v>-93.110200587078452</v>
      </c>
      <c r="R58" s="120">
        <f t="shared" ref="R58:R59" si="38">O58/L58</f>
        <v>0.9401537595744438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39">N58-K58</f>
        <v>-93.110200587078452</v>
      </c>
      <c r="AC58" s="185">
        <f t="shared" ref="AC58:AC63" si="40">N58/K58</f>
        <v>0.94116259046630113</v>
      </c>
      <c r="AD58" s="414"/>
    </row>
    <row r="59" spans="1:30" ht="15" customHeight="1">
      <c r="A59" s="470" t="s">
        <v>61</v>
      </c>
      <c r="B59" s="197" t="s">
        <v>172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3364</v>
      </c>
      <c r="H59" s="105">
        <f t="shared" ref="H59:H68" si="41">F59*G59</f>
        <v>90794.36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42">G59/W59*60</f>
        <v>1495.1111111111111</v>
      </c>
      <c r="O59" s="108">
        <f t="shared" ref="O59:O61" si="43">N59/M59</f>
        <v>115.00854700854701</v>
      </c>
      <c r="P59" s="110">
        <f t="shared" ref="P59:P61" si="44">M59-J59</f>
        <v>0</v>
      </c>
      <c r="Q59" s="111">
        <f t="shared" ref="Q59:Q61" si="45">O59-L59</f>
        <v>-5.3760683760683747</v>
      </c>
      <c r="R59" s="182">
        <f t="shared" si="38"/>
        <v>0.95534256301029463</v>
      </c>
      <c r="S59" s="419">
        <f>R69</f>
        <v>0.86192157710570039</v>
      </c>
      <c r="T59" s="344">
        <v>0.29166666666666702</v>
      </c>
      <c r="U59" s="344">
        <v>0.38541666666666702</v>
      </c>
      <c r="V59" s="186"/>
      <c r="W59" s="106">
        <f t="shared" si="17"/>
        <v>135</v>
      </c>
      <c r="X59" s="186"/>
      <c r="Y59" s="186"/>
      <c r="Z59" s="469"/>
      <c r="AA59" s="434"/>
      <c r="AB59" s="223">
        <f t="shared" si="39"/>
        <v>-69.888888888888914</v>
      </c>
      <c r="AC59" s="224">
        <f t="shared" si="40"/>
        <v>0.95534256301029463</v>
      </c>
      <c r="AD59" s="411">
        <f>AC69</f>
        <v>0.86431698700069004</v>
      </c>
    </row>
    <row r="60" spans="1:30" ht="15" customHeight="1">
      <c r="A60" s="471"/>
      <c r="B60" s="56" t="s">
        <v>172</v>
      </c>
      <c r="C60" s="10"/>
      <c r="D60" s="239" t="s">
        <v>63</v>
      </c>
      <c r="E60" s="86"/>
      <c r="F60" s="56">
        <f>VLOOKUP(D60,廠價表!$C$1:$E$40,3,0)</f>
        <v>28.47</v>
      </c>
      <c r="G60" s="175">
        <v>711</v>
      </c>
      <c r="H60" s="15">
        <f t="shared" si="41"/>
        <v>20242.169999999998</v>
      </c>
      <c r="I60" s="81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2"/>
        <v>1218.8571428571192</v>
      </c>
      <c r="O60" s="17">
        <f t="shared" si="43"/>
        <v>101.57142857142661</v>
      </c>
      <c r="P60" s="18">
        <f t="shared" si="44"/>
        <v>0</v>
      </c>
      <c r="Q60" s="19">
        <f t="shared" si="45"/>
        <v>-28.845238095240049</v>
      </c>
      <c r="R60" s="183">
        <f>O60/L60</f>
        <v>0.77882245549975682</v>
      </c>
      <c r="S60" s="474"/>
      <c r="T60" s="22">
        <v>0.39583333333333298</v>
      </c>
      <c r="U60" s="22">
        <v>0.42013888888888901</v>
      </c>
      <c r="V60" s="175">
        <f t="shared" ref="V60:V61" si="46">(T60-U59)*24*60</f>
        <v>14.999999999998987</v>
      </c>
      <c r="W60" s="90">
        <f t="shared" si="17"/>
        <v>35.000000000000675</v>
      </c>
      <c r="X60" s="191"/>
      <c r="Y60" s="191"/>
      <c r="Z60" s="405" t="s">
        <v>55</v>
      </c>
      <c r="AA60" s="405"/>
      <c r="AB60" s="225">
        <f t="shared" si="39"/>
        <v>-346.14285714288076</v>
      </c>
      <c r="AC60" s="226">
        <f t="shared" si="40"/>
        <v>0.77882245549975671</v>
      </c>
      <c r="AD60" s="464"/>
    </row>
    <row r="61" spans="1:30" ht="15" customHeight="1">
      <c r="A61" s="472"/>
      <c r="B61" s="56" t="s">
        <v>172</v>
      </c>
      <c r="C61" s="10"/>
      <c r="D61" s="239" t="s">
        <v>64</v>
      </c>
      <c r="E61" s="86"/>
      <c r="F61" s="56">
        <f>VLOOKUP(D61,廠價表!$C$1:$E$40,3,0)</f>
        <v>28.26</v>
      </c>
      <c r="G61" s="175">
        <v>2240</v>
      </c>
      <c r="H61" s="15">
        <f t="shared" si="41"/>
        <v>63302.400000000001</v>
      </c>
      <c r="I61" s="175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2"/>
        <v>1344.0000000000091</v>
      </c>
      <c r="O61" s="17">
        <f t="shared" si="43"/>
        <v>112.00000000000075</v>
      </c>
      <c r="P61" s="18">
        <f t="shared" si="44"/>
        <v>0</v>
      </c>
      <c r="Q61" s="19">
        <f t="shared" si="45"/>
        <v>-18.416666666665904</v>
      </c>
      <c r="R61" s="183">
        <f>O61/L61</f>
        <v>0.85878594249201867</v>
      </c>
      <c r="S61" s="420"/>
      <c r="T61" s="291">
        <v>0.43055555555555602</v>
      </c>
      <c r="U61" s="291">
        <v>0.5</v>
      </c>
      <c r="V61" s="175">
        <f t="shared" si="46"/>
        <v>15.000000000000506</v>
      </c>
      <c r="W61" s="88">
        <f t="shared" si="17"/>
        <v>99.999999999999318</v>
      </c>
      <c r="X61" s="22"/>
      <c r="Y61" s="22"/>
      <c r="Z61" s="405"/>
      <c r="AA61" s="405"/>
      <c r="AB61" s="51">
        <f t="shared" si="39"/>
        <v>-220.99999999999091</v>
      </c>
      <c r="AC61" s="52">
        <f t="shared" si="40"/>
        <v>0.85878594249201856</v>
      </c>
      <c r="AD61" s="412"/>
    </row>
    <row r="62" spans="1:30" ht="15" customHeight="1">
      <c r="A62" s="472"/>
      <c r="B62" s="56"/>
      <c r="C62" s="23"/>
      <c r="D62" s="239"/>
      <c r="E62" s="12"/>
      <c r="F62" s="56"/>
      <c r="G62" s="175"/>
      <c r="H62" s="15"/>
      <c r="I62" s="81"/>
      <c r="J62" s="16"/>
      <c r="K62" s="14"/>
      <c r="L62" s="17"/>
      <c r="M62" s="178"/>
      <c r="N62" s="14"/>
      <c r="O62" s="17"/>
      <c r="P62" s="18"/>
      <c r="Q62" s="19"/>
      <c r="R62" s="183"/>
      <c r="S62" s="420"/>
      <c r="T62" s="22"/>
      <c r="U62" s="22"/>
      <c r="V62" s="175"/>
      <c r="W62" s="90">
        <f t="shared" si="17"/>
        <v>0</v>
      </c>
      <c r="X62" s="22"/>
      <c r="Y62" s="22"/>
      <c r="Z62" s="405"/>
      <c r="AA62" s="405"/>
      <c r="AB62" s="51">
        <f t="shared" si="39"/>
        <v>0</v>
      </c>
      <c r="AC62" s="52" t="e">
        <f t="shared" si="40"/>
        <v>#DIV/0!</v>
      </c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7"/>
        <v>0</v>
      </c>
      <c r="X63" s="84"/>
      <c r="Y63" s="84"/>
      <c r="Z63" s="405"/>
      <c r="AA63" s="405"/>
      <c r="AB63" s="51">
        <f t="shared" si="39"/>
        <v>0</v>
      </c>
      <c r="AC63" s="52" t="e">
        <f t="shared" si="40"/>
        <v>#DIV/0!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7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175"/>
      <c r="C65" s="181"/>
      <c r="D65" s="11"/>
      <c r="E65" s="12"/>
      <c r="F65" s="13"/>
      <c r="G65" s="175"/>
      <c r="H65" s="15"/>
      <c r="I65" s="175"/>
      <c r="J65" s="16"/>
      <c r="K65" s="82"/>
      <c r="L65" s="83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7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>
        <f t="shared" si="41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7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41"/>
        <v>0</v>
      </c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7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1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7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47">AVERAGE(J59:J68)</f>
        <v>12.333333333333334</v>
      </c>
      <c r="K69" s="164">
        <f t="shared" si="47"/>
        <v>1565</v>
      </c>
      <c r="L69" s="169">
        <f t="shared" si="47"/>
        <v>127.07264957264958</v>
      </c>
      <c r="M69" s="164">
        <f t="shared" si="47"/>
        <v>12.333333333333334</v>
      </c>
      <c r="N69" s="164">
        <f t="shared" si="47"/>
        <v>1352.6560846560799</v>
      </c>
      <c r="O69" s="169">
        <f t="shared" si="47"/>
        <v>109.52665852665812</v>
      </c>
      <c r="P69" s="170">
        <f>M69-J69</f>
        <v>0</v>
      </c>
      <c r="Q69" s="156">
        <f>N69-K69</f>
        <v>-212.34391534392012</v>
      </c>
      <c r="R69" s="120">
        <f>O69/L69</f>
        <v>0.86192157710570039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-212.34391534392012</v>
      </c>
      <c r="AC69" s="185">
        <f>N69/K69</f>
        <v>0.86431698700069004</v>
      </c>
      <c r="AD69" s="414"/>
    </row>
    <row r="70" spans="1:32" ht="15" customHeight="1">
      <c r="A70" s="465" t="s">
        <v>67</v>
      </c>
      <c r="B70" s="197" t="s">
        <v>45</v>
      </c>
      <c r="C70" s="197"/>
      <c r="D70" s="102" t="s">
        <v>187</v>
      </c>
      <c r="E70" s="103"/>
      <c r="F70" s="197">
        <f>VLOOKUP(D70,廠價表!$C$1:$E$40,3,0)</f>
        <v>50.67</v>
      </c>
      <c r="G70" s="186">
        <v>1420</v>
      </c>
      <c r="H70" s="105">
        <f>F70*G70</f>
        <v>71951.400000000009</v>
      </c>
      <c r="I70" s="186"/>
      <c r="J70" s="107">
        <f>VLOOKUP(D70,產線配置圖!$A$3:$C$39,2,0)</f>
        <v>15</v>
      </c>
      <c r="K70" s="104">
        <f>VLOOKUP(D70,產線配置圖!$A$3:$C$39,3,0)</f>
        <v>1440</v>
      </c>
      <c r="L70" s="108">
        <f>K70/J70</f>
        <v>96</v>
      </c>
      <c r="M70" s="109">
        <v>15</v>
      </c>
      <c r="N70" s="104">
        <f>G70/W70*60</f>
        <v>1183.3333333333335</v>
      </c>
      <c r="O70" s="108">
        <f>N70/M70</f>
        <v>78.8888888888889</v>
      </c>
      <c r="P70" s="110">
        <f>M70-J70</f>
        <v>0</v>
      </c>
      <c r="Q70" s="111">
        <f>O70-L70</f>
        <v>-17.1111111111111</v>
      </c>
      <c r="R70" s="182">
        <f>O70/L70</f>
        <v>0.82175925925925941</v>
      </c>
      <c r="S70" s="419">
        <f>R79</f>
        <v>0.82175925925925941</v>
      </c>
      <c r="T70" s="344">
        <v>0.35416666666666702</v>
      </c>
      <c r="U70" s="344">
        <v>0.40416666666666701</v>
      </c>
      <c r="V70" s="186"/>
      <c r="W70" s="106">
        <f t="shared" si="17"/>
        <v>71.999999999999986</v>
      </c>
      <c r="X70" s="290"/>
      <c r="Y70" s="290"/>
      <c r="Z70" s="469"/>
      <c r="AA70" s="434"/>
      <c r="AB70" s="223">
        <f>N70-K70</f>
        <v>-256.66666666666652</v>
      </c>
      <c r="AC70" s="224">
        <f>N70/K70</f>
        <v>0.82175925925925941</v>
      </c>
      <c r="AD70" s="411">
        <f>AC79</f>
        <v>0.82175925925925941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2"/>
      <c r="U71" s="22"/>
      <c r="V71" s="175"/>
      <c r="W71" s="180">
        <f t="shared" si="17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2"/>
      <c r="U72" s="22"/>
      <c r="V72" s="175"/>
      <c r="W72" s="180">
        <f t="shared" si="17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7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48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7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48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7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48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7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48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7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48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7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>
        <f t="shared" ref="J79:O79" si="49">AVERAGE(J70:J78)</f>
        <v>15</v>
      </c>
      <c r="K79" s="164">
        <f t="shared" si="49"/>
        <v>1440</v>
      </c>
      <c r="L79" s="169">
        <f t="shared" si="49"/>
        <v>96</v>
      </c>
      <c r="M79" s="164">
        <f t="shared" si="49"/>
        <v>15</v>
      </c>
      <c r="N79" s="164">
        <f t="shared" si="49"/>
        <v>1183.3333333333335</v>
      </c>
      <c r="O79" s="169">
        <f t="shared" si="49"/>
        <v>78.8888888888889</v>
      </c>
      <c r="P79" s="170">
        <f>M79-J79</f>
        <v>0</v>
      </c>
      <c r="Q79" s="156">
        <f>N79-K79</f>
        <v>-256.66666666666652</v>
      </c>
      <c r="R79" s="157">
        <f>O79/L79</f>
        <v>0.82175925925925941</v>
      </c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-256.66666666666652</v>
      </c>
      <c r="AC79" s="185">
        <f>N79/K79</f>
        <v>0.82175925925925941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2:B2"/>
    <mergeCell ref="A3:A4"/>
    <mergeCell ref="B3:B4"/>
    <mergeCell ref="D3:E4"/>
    <mergeCell ref="F3:F4"/>
    <mergeCell ref="P1:S2"/>
    <mergeCell ref="T1:Y2"/>
    <mergeCell ref="Z1:AA2"/>
    <mergeCell ref="AB1:AD2"/>
    <mergeCell ref="M3:M4"/>
    <mergeCell ref="Z3:AA4"/>
    <mergeCell ref="AB3:AB4"/>
    <mergeCell ref="P3:P4"/>
    <mergeCell ref="Q3:Q4"/>
    <mergeCell ref="R3:R4"/>
    <mergeCell ref="S3:S4"/>
    <mergeCell ref="T3:U3"/>
    <mergeCell ref="V3:V4"/>
    <mergeCell ref="W3:W4"/>
    <mergeCell ref="X3:Y3"/>
    <mergeCell ref="AC3:AC4"/>
    <mergeCell ref="J1:L2"/>
    <mergeCell ref="M1:O2"/>
    <mergeCell ref="H3:H4"/>
    <mergeCell ref="I3:I4"/>
    <mergeCell ref="J3:J4"/>
    <mergeCell ref="K3:K4"/>
    <mergeCell ref="L3:L4"/>
    <mergeCell ref="N3:N4"/>
    <mergeCell ref="O3:O4"/>
    <mergeCell ref="Z11:AA11"/>
    <mergeCell ref="Z12:AA12"/>
    <mergeCell ref="Z13:AA13"/>
    <mergeCell ref="A5:A15"/>
    <mergeCell ref="S5:S15"/>
    <mergeCell ref="Z5:AA5"/>
    <mergeCell ref="AD5:AD15"/>
    <mergeCell ref="Z6:AA6"/>
    <mergeCell ref="Z7:AA7"/>
    <mergeCell ref="Z8:AA8"/>
    <mergeCell ref="Z9:AA9"/>
    <mergeCell ref="Z14:AA14"/>
    <mergeCell ref="D15:E15"/>
    <mergeCell ref="Z15:AA15"/>
    <mergeCell ref="Z44:AA44"/>
    <mergeCell ref="Z23:AA23"/>
    <mergeCell ref="Z24:AA24"/>
    <mergeCell ref="Z25:AA25"/>
    <mergeCell ref="D26:E26"/>
    <mergeCell ref="Z26:AA26"/>
    <mergeCell ref="AD3:AD4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G3:G4"/>
    <mergeCell ref="Z10:AA10"/>
    <mergeCell ref="A38:A48"/>
    <mergeCell ref="S38:S48"/>
    <mergeCell ref="Z38:AA38"/>
    <mergeCell ref="Z45:AA45"/>
    <mergeCell ref="Z46:AA46"/>
    <mergeCell ref="Z47:AA47"/>
    <mergeCell ref="D48:E48"/>
    <mergeCell ref="Z48:AA48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AD38:AD48"/>
    <mergeCell ref="Z39:AA39"/>
    <mergeCell ref="Z40:AA40"/>
    <mergeCell ref="Z41:AA41"/>
    <mergeCell ref="Z42:AA42"/>
    <mergeCell ref="Z43:AA43"/>
    <mergeCell ref="AD59:AD69"/>
    <mergeCell ref="Z60:AA60"/>
    <mergeCell ref="Z61:AA61"/>
    <mergeCell ref="Z62:AA62"/>
    <mergeCell ref="Z63:AA63"/>
    <mergeCell ref="Z64:AA64"/>
    <mergeCell ref="Z65:AA65"/>
    <mergeCell ref="A49:A58"/>
    <mergeCell ref="S49:S58"/>
    <mergeCell ref="Z49:AA49"/>
    <mergeCell ref="D58:E5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A70:A79"/>
    <mergeCell ref="S70:S79"/>
    <mergeCell ref="Z70:AA70"/>
    <mergeCell ref="D79:E79"/>
    <mergeCell ref="A59:A69"/>
    <mergeCell ref="S59:S69"/>
    <mergeCell ref="Z59:AA59"/>
    <mergeCell ref="Z66:AA66"/>
    <mergeCell ref="Z67:AA67"/>
    <mergeCell ref="Z68:AA68"/>
    <mergeCell ref="D69:E69"/>
    <mergeCell ref="Z69:AA6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0" type="noConversion"/>
  <conditionalFormatting sqref="P5:P79">
    <cfRule type="cellIs" dxfId="68" priority="1" operator="greaterThan">
      <formula>0</formula>
    </cfRule>
  </conditionalFormatting>
  <conditionalFormatting sqref="Q5:Q79 AB5:AB79">
    <cfRule type="cellIs" dxfId="67" priority="4" operator="lessThan">
      <formula>0</formula>
    </cfRule>
  </conditionalFormatting>
  <conditionalFormatting sqref="R5:R79 AC5:AC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D59:AD62 S69:S76 AD69:AD76">
    <cfRule type="cellIs" dxfId="64" priority="7" operator="lessThan">
      <formula>0.8</formula>
    </cfRule>
  </conditionalFormatting>
  <conditionalFormatting sqref="S19:S25 AD19:AD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D5:AD8 S15:S16 AD15:AD16 AD49 AD79">
    <cfRule type="cellIs" dxfId="61" priority="9" operator="lessThan">
      <formula>0.8</formula>
    </cfRule>
  </conditionalFormatting>
  <conditionalFormatting sqref="AD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zoomScale="70" zoomScaleNormal="70" workbookViewId="0">
      <selection activeCell="J3" sqref="J3:K3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29" width="8.08984375" style="201" customWidth="1"/>
    <col min="30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46017</v>
      </c>
      <c r="E3" s="357"/>
      <c r="F3" s="202" t="s">
        <v>84</v>
      </c>
      <c r="G3" s="358">
        <f>'1226'!E1</f>
        <v>43115</v>
      </c>
      <c r="H3" s="358"/>
      <c r="I3" s="202" t="s">
        <v>2</v>
      </c>
      <c r="J3" s="359">
        <f>'1226'!G1</f>
        <v>2100724.61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110.17991500243821</v>
      </c>
      <c r="G6" s="367"/>
      <c r="H6" s="360">
        <f>AVERAGE(D13:H13)</f>
        <v>109.63735108888359</v>
      </c>
      <c r="I6" s="360"/>
      <c r="J6" s="360">
        <f>AVERAGE(I13:J13)</f>
        <v>111.5363247863248</v>
      </c>
      <c r="K6" s="360"/>
      <c r="L6" s="205"/>
    </row>
    <row r="7" spans="2:15" ht="39.65" customHeight="1">
      <c r="B7" s="353"/>
      <c r="C7" s="353"/>
      <c r="D7" s="361" t="s">
        <v>93</v>
      </c>
      <c r="E7" s="361"/>
      <c r="F7" s="362">
        <f>AVERAGE(D14:J14)</f>
        <v>97.154489412631492</v>
      </c>
      <c r="G7" s="362"/>
      <c r="H7" s="363">
        <f>AVERAGE(D14:H14)</f>
        <v>98.870265110794961</v>
      </c>
      <c r="I7" s="363"/>
      <c r="J7" s="363">
        <f>AVERAGE(I14:J14)</f>
        <v>92.865050167222819</v>
      </c>
      <c r="K7" s="363"/>
    </row>
    <row r="8" spans="2:15" ht="39.65" customHeight="1">
      <c r="B8" s="353"/>
      <c r="C8" s="353"/>
      <c r="D8" s="361" t="s">
        <v>24</v>
      </c>
      <c r="E8" s="361"/>
      <c r="F8" s="364">
        <f>AVERAGE(D15:J15)</f>
        <v>0.88403772683359816</v>
      </c>
      <c r="G8" s="364"/>
      <c r="H8" s="364">
        <f>AVERAGE(D15:H15)</f>
        <v>0.9049451711251898</v>
      </c>
      <c r="I8" s="364"/>
      <c r="J8" s="364">
        <f>AVERAGE(I15:J15)</f>
        <v>0.83176911610461923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VALUE('1226'!L15)</f>
        <v>129.79072398190044</v>
      </c>
      <c r="E13" s="213">
        <f>VALUE('1226'!L26)</f>
        <v>162.27564102564102</v>
      </c>
      <c r="F13" s="213">
        <f>VALUE('1226'!L37)</f>
        <v>83.236111111111114</v>
      </c>
      <c r="G13" s="213">
        <f>VALUE('1226'!L48)</f>
        <v>87.285380116959061</v>
      </c>
      <c r="H13" s="213">
        <f>VALUE('1226'!L58)</f>
        <v>85.59889920880633</v>
      </c>
      <c r="I13" s="213">
        <f>VALUE('1226'!L69)</f>
        <v>127.07264957264958</v>
      </c>
      <c r="J13" s="213">
        <f>'1226'!L79</f>
        <v>96</v>
      </c>
    </row>
    <row r="14" spans="2:15" ht="40" customHeight="1">
      <c r="B14" s="376"/>
      <c r="C14" s="212" t="s">
        <v>106</v>
      </c>
      <c r="D14" s="213">
        <f>VALUE('1226'!O15)</f>
        <v>115.76390479464581</v>
      </c>
      <c r="E14" s="213">
        <f>VALUE('1226'!O26)</f>
        <v>144.53008735427036</v>
      </c>
      <c r="F14" s="213">
        <f>VALUE('1226'!O37)</f>
        <v>75.767919926591219</v>
      </c>
      <c r="G14" s="213">
        <f>VALUE('1226'!O48)</f>
        <v>76.746859605910984</v>
      </c>
      <c r="H14" s="213">
        <f>VALUE('1226'!O58)</f>
        <v>81.542553872556397</v>
      </c>
      <c r="I14" s="213">
        <f>VALUE('1226'!O69)</f>
        <v>106.45232255666855</v>
      </c>
      <c r="J14" s="213">
        <f>'1226'!O79</f>
        <v>79.277777777777104</v>
      </c>
    </row>
    <row r="15" spans="2:15" ht="40" customHeight="1">
      <c r="B15" s="377"/>
      <c r="C15" s="210" t="s">
        <v>23</v>
      </c>
      <c r="D15" s="231">
        <f>D14/D13</f>
        <v>0.89192741394053165</v>
      </c>
      <c r="E15" s="231">
        <f t="shared" ref="E15:J15" si="0">E14/E13</f>
        <v>0.89064561039961199</v>
      </c>
      <c r="F15" s="231">
        <f t="shared" si="0"/>
        <v>0.91027702898624518</v>
      </c>
      <c r="G15" s="231">
        <f t="shared" si="0"/>
        <v>0.8792636235652882</v>
      </c>
      <c r="H15" s="231">
        <f t="shared" si="0"/>
        <v>0.95261217873427251</v>
      </c>
      <c r="I15" s="231">
        <f t="shared" si="0"/>
        <v>0.83772804702406045</v>
      </c>
      <c r="J15" s="231">
        <f t="shared" si="0"/>
        <v>0.82581018518517812</v>
      </c>
    </row>
    <row r="16" spans="2:15" ht="17.25" customHeight="1">
      <c r="B16" s="378" t="s">
        <v>107</v>
      </c>
      <c r="C16" s="210" t="s">
        <v>29</v>
      </c>
      <c r="D16" s="95">
        <f>'1226'!T5</f>
        <v>0.29027777777777802</v>
      </c>
      <c r="E16" s="95">
        <f>'1226'!T16</f>
        <v>0.29027777777777802</v>
      </c>
      <c r="F16" s="95">
        <f>'1226'!T27</f>
        <v>0.29166666666666702</v>
      </c>
      <c r="G16" s="95">
        <f>'1226'!T38</f>
        <v>0.33333333333333298</v>
      </c>
      <c r="H16" s="95">
        <f>'1226'!T49</f>
        <v>0.29166666666666702</v>
      </c>
      <c r="I16" s="95">
        <f>'1226'!T59</f>
        <v>0.29166666666666702</v>
      </c>
      <c r="J16" s="269">
        <f>'1226'!T70</f>
        <v>0.35069444444444398</v>
      </c>
    </row>
    <row r="17" spans="2:10" ht="17.25" customHeight="1">
      <c r="B17" s="379"/>
      <c r="C17" s="210" t="s">
        <v>30</v>
      </c>
      <c r="D17" s="95">
        <v>0.57986111111111105</v>
      </c>
      <c r="E17" s="44">
        <v>0.58680555555555602</v>
      </c>
      <c r="F17" s="44">
        <v>0.58055555555555605</v>
      </c>
      <c r="G17" s="349">
        <v>0.593055555555556</v>
      </c>
      <c r="H17" s="351">
        <v>0.62361111111111101</v>
      </c>
      <c r="I17" s="291">
        <v>0.46527777777777801</v>
      </c>
      <c r="J17" s="344">
        <v>0.43402777777777801</v>
      </c>
    </row>
    <row r="18" spans="2:10" ht="17.25" customHeight="1">
      <c r="B18" s="365" t="s">
        <v>108</v>
      </c>
      <c r="C18" s="366"/>
      <c r="D18" s="214">
        <f>VALUE('1226'!M15)</f>
        <v>14.5</v>
      </c>
      <c r="E18" s="214">
        <f>VALUE('1226'!M26)</f>
        <v>12.5</v>
      </c>
      <c r="F18" s="214">
        <f>VALUE('1226'!M37)</f>
        <v>14.75</v>
      </c>
      <c r="G18" s="214">
        <f>VALUE('1226'!M48)</f>
        <v>15</v>
      </c>
      <c r="H18" s="214">
        <f>VALUE('1226'!M58)</f>
        <v>18.2</v>
      </c>
      <c r="I18" s="214">
        <f>VALUE('1226'!M69)</f>
        <v>12.333333333333334</v>
      </c>
      <c r="J18" s="214">
        <f>'1226'!M79</f>
        <v>9</v>
      </c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 t="s">
        <v>114</v>
      </c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0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F92"/>
  <sheetViews>
    <sheetView zoomScale="69" zoomScaleNormal="69" workbookViewId="0">
      <pane xSplit="5" ySplit="4" topLeftCell="K50" activePane="bottomRight" state="frozen"/>
      <selection activeCell="D70" sqref="D70"/>
      <selection pane="topRight" activeCell="D70" sqref="D70"/>
      <selection pane="bottomLeft" activeCell="D70" sqref="D70"/>
      <selection pane="bottomRight" activeCell="V61" activeCellId="12" sqref="Z8:AA8 V6 V7 V17 V18 V28 V29 V39 V50 V51 V53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38" width="7.90625" style="6" customWidth="1"/>
    <col min="39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43115</v>
      </c>
      <c r="F1" s="175" t="s">
        <v>2</v>
      </c>
      <c r="G1" s="4">
        <f>SUM(H5:H79)</f>
        <v>2100724.61</v>
      </c>
      <c r="H1" s="173" t="s">
        <v>3</v>
      </c>
      <c r="I1" s="5">
        <f>M15+M26+M48+M58+M69+M79+M37</f>
        <v>96.283333333333331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.5">
      <c r="A2" s="404" t="s">
        <v>191</v>
      </c>
      <c r="B2" s="404"/>
      <c r="C2" s="174"/>
      <c r="D2" s="174" t="s">
        <v>11</v>
      </c>
      <c r="E2" s="7">
        <f>AVERAGE(O15,O26,O37,O48,O58,O69,O79)</f>
        <v>97.154489412631492</v>
      </c>
      <c r="F2" s="8" t="s">
        <v>12</v>
      </c>
      <c r="G2" s="9">
        <f>G1/E1</f>
        <v>48.723752986199699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93" t="s">
        <v>16</v>
      </c>
      <c r="E3" s="493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90" t="s">
        <v>26</v>
      </c>
      <c r="W3" s="391" t="s">
        <v>27</v>
      </c>
      <c r="X3" s="492" t="s">
        <v>28</v>
      </c>
      <c r="Y3" s="492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494"/>
      <c r="E4" s="494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491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">
        <v>45</v>
      </c>
      <c r="C5" s="315"/>
      <c r="D5" s="329" t="s">
        <v>49</v>
      </c>
      <c r="E5" s="316"/>
      <c r="F5" s="299">
        <f>VLOOKUP(D5,廠價表!$C$1:$E$40,3,0)</f>
        <v>47.71</v>
      </c>
      <c r="G5" s="317">
        <v>2745</v>
      </c>
      <c r="H5" s="318">
        <f>F5*G5</f>
        <v>130963.95</v>
      </c>
      <c r="I5" s="319"/>
      <c r="J5" s="320">
        <f>VLOOKUP(D5,產線配置圖!$A$3:$C$39,2,0)</f>
        <v>15</v>
      </c>
      <c r="K5" s="321">
        <f>VLOOKUP(D5,產線配置圖!$A$3:$C$39,3,0)</f>
        <v>1500</v>
      </c>
      <c r="L5" s="322">
        <f>K5/J5</f>
        <v>100</v>
      </c>
      <c r="M5" s="323">
        <v>15</v>
      </c>
      <c r="N5" s="321">
        <f t="shared" ref="N5:N8" si="0">G5/W5*60</f>
        <v>1470.5357142857099</v>
      </c>
      <c r="O5" s="322">
        <f t="shared" ref="O5:O8" si="1">N5/M5</f>
        <v>98.035714285713993</v>
      </c>
      <c r="P5" s="324">
        <f t="shared" ref="P5:P8" si="2">M5-J5</f>
        <v>0</v>
      </c>
      <c r="Q5" s="325">
        <f t="shared" ref="Q5:Q8" si="3">O5-L5</f>
        <v>-1.9642857142860066</v>
      </c>
      <c r="R5" s="326">
        <f t="shared" ref="R5:R8" si="4">O5/L5</f>
        <v>0.98035714285713993</v>
      </c>
      <c r="S5" s="419">
        <f>R15</f>
        <v>0.89192741394053165</v>
      </c>
      <c r="T5" s="346">
        <v>0.29027777777777802</v>
      </c>
      <c r="U5" s="347">
        <v>0.36805555555555602</v>
      </c>
      <c r="V5" s="192"/>
      <c r="W5" s="106">
        <f t="shared" ref="W5:W14" si="5">(U5-T5)*24*60</f>
        <v>112.00000000000033</v>
      </c>
      <c r="X5" s="186"/>
      <c r="Y5" s="186"/>
      <c r="Z5" s="425"/>
      <c r="AA5" s="425"/>
      <c r="AB5" s="110">
        <f>N5-K5</f>
        <v>-29.464285714290099</v>
      </c>
      <c r="AC5" s="182">
        <f>N5/K5</f>
        <v>0.98035714285713993</v>
      </c>
      <c r="AD5" s="411">
        <f>AC15</f>
        <v>0.889794424883118</v>
      </c>
    </row>
    <row r="6" spans="1:30" ht="15" customHeight="1">
      <c r="A6" s="408"/>
      <c r="B6" s="304" t="s">
        <v>45</v>
      </c>
      <c r="C6" s="246"/>
      <c r="D6" s="11" t="s">
        <v>33</v>
      </c>
      <c r="E6" s="248"/>
      <c r="F6" s="305">
        <f>VLOOKUP(D6,廠價表!$C$1:$E$40,3,0)</f>
        <v>57.21</v>
      </c>
      <c r="G6" s="306">
        <v>1161</v>
      </c>
      <c r="H6" s="307">
        <f>F6*G6</f>
        <v>66420.81</v>
      </c>
      <c r="I6" s="308"/>
      <c r="J6" s="309">
        <f>VLOOKUP(D6,產線配置圖!$A$3:$C$39,2,0)</f>
        <v>17</v>
      </c>
      <c r="K6" s="14">
        <f>VLOOKUP(D6,產線配置圖!$A$3:$C$39,3,0)</f>
        <v>1895</v>
      </c>
      <c r="L6" s="310">
        <f>K6/J6</f>
        <v>111.47058823529412</v>
      </c>
      <c r="M6" s="311">
        <v>17</v>
      </c>
      <c r="N6" s="306">
        <f t="shared" si="0"/>
        <v>1548</v>
      </c>
      <c r="O6" s="310">
        <f t="shared" si="1"/>
        <v>91.058823529411768</v>
      </c>
      <c r="P6" s="312">
        <f t="shared" si="2"/>
        <v>0</v>
      </c>
      <c r="Q6" s="313">
        <f t="shared" si="3"/>
        <v>-20.411764705882348</v>
      </c>
      <c r="R6" s="314">
        <f t="shared" si="4"/>
        <v>0.81688654353562007</v>
      </c>
      <c r="S6" s="420"/>
      <c r="T6" s="267">
        <v>0.375</v>
      </c>
      <c r="U6" s="267">
        <v>0.40625</v>
      </c>
      <c r="V6" s="175">
        <f>(T6-U5)*24*60</f>
        <v>9.999999999999325</v>
      </c>
      <c r="W6" s="180">
        <f t="shared" si="5"/>
        <v>45</v>
      </c>
      <c r="X6" s="22"/>
      <c r="Y6" s="22"/>
      <c r="Z6" s="391"/>
      <c r="AA6" s="391"/>
      <c r="AB6" s="18">
        <f>N6-K6</f>
        <v>-347</v>
      </c>
      <c r="AC6" s="183">
        <f>N6/K6</f>
        <v>0.81688654353562007</v>
      </c>
      <c r="AD6" s="412"/>
    </row>
    <row r="7" spans="1:30" ht="15" customHeight="1">
      <c r="A7" s="408"/>
      <c r="B7" s="56" t="s">
        <v>45</v>
      </c>
      <c r="C7" s="10"/>
      <c r="D7" s="11" t="s">
        <v>34</v>
      </c>
      <c r="E7" s="86"/>
      <c r="F7" s="56">
        <f>VLOOKUP(D7,廠價表!$C$1:$E$40,3,0)</f>
        <v>49.14</v>
      </c>
      <c r="G7" s="25">
        <v>2962</v>
      </c>
      <c r="H7" s="15">
        <f t="shared" ref="H7:H8" si="6">F7*G7</f>
        <v>145552.68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1910.967741935463</v>
      </c>
      <c r="O7" s="17">
        <f t="shared" si="1"/>
        <v>146.99751861042023</v>
      </c>
      <c r="P7" s="18">
        <f t="shared" si="2"/>
        <v>0</v>
      </c>
      <c r="Q7" s="19">
        <f t="shared" si="3"/>
        <v>-6.8486352357336102</v>
      </c>
      <c r="R7" s="183">
        <f t="shared" si="4"/>
        <v>0.95548387096773157</v>
      </c>
      <c r="S7" s="420"/>
      <c r="T7" s="95">
        <v>0.41319444444444398</v>
      </c>
      <c r="U7" s="95">
        <v>0.47777777777777802</v>
      </c>
      <c r="V7" s="175">
        <f>(T7-U6)*24*60</f>
        <v>9.999999999999325</v>
      </c>
      <c r="W7" s="180">
        <f t="shared" si="5"/>
        <v>93.000000000001023</v>
      </c>
      <c r="X7" s="22"/>
      <c r="Y7" s="22"/>
      <c r="Z7" s="405"/>
      <c r="AA7" s="405"/>
      <c r="AB7" s="18">
        <f>N7-K7</f>
        <v>-89.032258064537018</v>
      </c>
      <c r="AC7" s="183">
        <f>N7/K7</f>
        <v>0.95548387096773146</v>
      </c>
      <c r="AD7" s="412"/>
    </row>
    <row r="8" spans="1:30" ht="15" customHeight="1">
      <c r="A8" s="408"/>
      <c r="B8" s="56" t="s">
        <v>45</v>
      </c>
      <c r="C8" s="10"/>
      <c r="D8" s="11" t="s">
        <v>34</v>
      </c>
      <c r="E8" s="86"/>
      <c r="F8" s="56">
        <f>VLOOKUP(D8,廠價表!$C$1:$E$40,3,0)</f>
        <v>49.14</v>
      </c>
      <c r="G8" s="25">
        <v>1568</v>
      </c>
      <c r="H8" s="15">
        <f t="shared" si="6"/>
        <v>77051.520000000004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1650.5263157894842</v>
      </c>
      <c r="O8" s="17">
        <f t="shared" si="1"/>
        <v>126.96356275303725</v>
      </c>
      <c r="P8" s="18">
        <f t="shared" si="2"/>
        <v>0</v>
      </c>
      <c r="Q8" s="19">
        <f t="shared" si="3"/>
        <v>-26.882591093116588</v>
      </c>
      <c r="R8" s="183">
        <f t="shared" si="4"/>
        <v>0.82526315789474214</v>
      </c>
      <c r="S8" s="420"/>
      <c r="T8" s="95">
        <v>0.54027777777777797</v>
      </c>
      <c r="U8" s="95">
        <v>0.57986111111111105</v>
      </c>
      <c r="V8" s="175">
        <f>(T8-U7)*24*60</f>
        <v>89.999999999999915</v>
      </c>
      <c r="W8" s="180">
        <f t="shared" si="5"/>
        <v>56.999999999999638</v>
      </c>
      <c r="X8" s="22">
        <v>0.48958333333333298</v>
      </c>
      <c r="Y8" s="260">
        <v>0.53125</v>
      </c>
      <c r="Z8" s="415"/>
      <c r="AA8" s="415"/>
      <c r="AB8" s="18">
        <f>N8-K8</f>
        <v>-349.47368421051578</v>
      </c>
      <c r="AC8" s="183">
        <f>N8/K8</f>
        <v>0.82526315789474214</v>
      </c>
      <c r="AD8" s="412"/>
    </row>
    <row r="9" spans="1:30" ht="15" customHeight="1">
      <c r="A9" s="409"/>
      <c r="B9" s="56"/>
      <c r="C9" s="10"/>
      <c r="D9" s="11"/>
      <c r="E9" s="86"/>
      <c r="F9" s="56"/>
      <c r="G9" s="25"/>
      <c r="H9" s="15"/>
      <c r="I9" s="180"/>
      <c r="J9" s="16"/>
      <c r="K9" s="14"/>
      <c r="L9" s="17"/>
      <c r="M9" s="178"/>
      <c r="N9" s="14"/>
      <c r="O9" s="17"/>
      <c r="P9" s="18"/>
      <c r="Q9" s="19"/>
      <c r="R9" s="183"/>
      <c r="S9" s="421"/>
      <c r="T9" s="95"/>
      <c r="U9" s="95"/>
      <c r="V9" s="175"/>
      <c r="W9" s="180">
        <f t="shared" si="5"/>
        <v>0</v>
      </c>
      <c r="X9" s="22"/>
      <c r="Y9" s="260"/>
      <c r="Z9" s="416"/>
      <c r="AA9" s="416"/>
      <c r="AB9" s="18">
        <f>N9-K9</f>
        <v>0</v>
      </c>
      <c r="AC9" s="183" t="e">
        <f>N9/K9</f>
        <v>#DIV/0!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7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7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14.5</v>
      </c>
      <c r="K15" s="117">
        <f t="shared" si="8"/>
        <v>1848.75</v>
      </c>
      <c r="L15" s="114">
        <f t="shared" si="8"/>
        <v>129.79072398190044</v>
      </c>
      <c r="M15" s="117">
        <f t="shared" si="8"/>
        <v>14.5</v>
      </c>
      <c r="N15" s="117">
        <f t="shared" si="8"/>
        <v>1645.0074430026643</v>
      </c>
      <c r="O15" s="114">
        <f t="shared" si="8"/>
        <v>115.76390479464581</v>
      </c>
      <c r="P15" s="118">
        <f t="shared" ref="P15:P19" si="9">M15-J15</f>
        <v>0</v>
      </c>
      <c r="Q15" s="119">
        <f t="shared" ref="Q15:Q19" si="10">O15-L15</f>
        <v>-14.026819187254631</v>
      </c>
      <c r="R15" s="120">
        <f t="shared" ref="R15:R19" si="11">O15/L15</f>
        <v>0.89192741394053165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20" si="12">N15-K15</f>
        <v>-203.74255699733567</v>
      </c>
      <c r="AC15" s="185">
        <f t="shared" ref="AC15:AC20" si="13">N15/K15</f>
        <v>0.889794424883118</v>
      </c>
      <c r="AD15" s="414"/>
    </row>
    <row r="16" spans="1:30" ht="15" customHeight="1">
      <c r="A16" s="439" t="s">
        <v>39</v>
      </c>
      <c r="B16" s="197" t="s">
        <v>45</v>
      </c>
      <c r="C16" s="101"/>
      <c r="D16" s="102" t="s">
        <v>32</v>
      </c>
      <c r="E16" s="103"/>
      <c r="F16" s="197">
        <f>VLOOKUP(D16,廠價表!$C$1:$E$40,3,0)</f>
        <v>57.21</v>
      </c>
      <c r="G16" s="262">
        <v>1907</v>
      </c>
      <c r="H16" s="124">
        <f t="shared" ref="H16:H25" si="14">F16*G16</f>
        <v>109099.47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5">K16/J16</f>
        <v>161.92307692307693</v>
      </c>
      <c r="M16" s="264">
        <v>13</v>
      </c>
      <c r="N16" s="126">
        <f t="shared" ref="N16:N19" si="16">G16/W16*60</f>
        <v>1707.7611940298425</v>
      </c>
      <c r="O16" s="127">
        <f>N16/M16</f>
        <v>131.36624569460326</v>
      </c>
      <c r="P16" s="128">
        <f>M16-J16</f>
        <v>0</v>
      </c>
      <c r="Q16" s="129">
        <f t="shared" si="10"/>
        <v>-30.556831228473669</v>
      </c>
      <c r="R16" s="187">
        <f>O16/L16</f>
        <v>0.81128797816144527</v>
      </c>
      <c r="S16" s="431">
        <f>R26</f>
        <v>0.89064561039961199</v>
      </c>
      <c r="T16" s="345">
        <v>0.29027777777777802</v>
      </c>
      <c r="U16" s="345">
        <v>0.33680555555555602</v>
      </c>
      <c r="V16" s="125"/>
      <c r="W16" s="130">
        <f t="shared" ref="W16:W78" si="17">(U16-T16)*24*60</f>
        <v>67.000000000000327</v>
      </c>
      <c r="X16" s="127"/>
      <c r="Y16" s="127"/>
      <c r="Z16" s="425"/>
      <c r="AA16" s="425"/>
      <c r="AB16" s="110">
        <f t="shared" si="12"/>
        <v>-397.2388059701575</v>
      </c>
      <c r="AC16" s="182">
        <f t="shared" si="13"/>
        <v>0.81128797816144538</v>
      </c>
      <c r="AD16" s="411">
        <f>AC26</f>
        <v>0.89054855892034102</v>
      </c>
    </row>
    <row r="17" spans="1:30" ht="15" customHeight="1">
      <c r="A17" s="440"/>
      <c r="B17" s="56" t="s">
        <v>45</v>
      </c>
      <c r="C17" s="10"/>
      <c r="D17" s="11" t="s">
        <v>40</v>
      </c>
      <c r="E17" s="86"/>
      <c r="F17" s="56">
        <f>VLOOKUP(D17,廠價表!$C$1:$E$40,3,0)</f>
        <v>50.67</v>
      </c>
      <c r="G17" s="96">
        <v>3424</v>
      </c>
      <c r="H17" s="15">
        <f t="shared" si="14"/>
        <v>173494.08000000002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5"/>
        <v>153.84615384615384</v>
      </c>
      <c r="M17" s="37">
        <v>13</v>
      </c>
      <c r="N17" s="36">
        <f t="shared" si="16"/>
        <v>1938.1132075471726</v>
      </c>
      <c r="O17" s="38">
        <f t="shared" ref="O17:O19" si="18">N17/M17</f>
        <v>149.08563134978252</v>
      </c>
      <c r="P17" s="39">
        <f t="shared" si="9"/>
        <v>0</v>
      </c>
      <c r="Q17" s="40">
        <f t="shared" si="10"/>
        <v>-4.7605224963713226</v>
      </c>
      <c r="R17" s="188">
        <f t="shared" si="11"/>
        <v>0.96905660377358638</v>
      </c>
      <c r="S17" s="432"/>
      <c r="T17" s="44">
        <v>0.34652777777777799</v>
      </c>
      <c r="U17" s="44">
        <v>0.42013888888888901</v>
      </c>
      <c r="V17" s="175">
        <f>(T17-U16)*24*60</f>
        <v>13.999999999999631</v>
      </c>
      <c r="W17" s="43">
        <f t="shared" si="17"/>
        <v>105.99999999999986</v>
      </c>
      <c r="X17" s="44"/>
      <c r="Y17" s="44"/>
      <c r="Z17" s="391"/>
      <c r="AA17" s="391"/>
      <c r="AB17" s="18">
        <f t="shared" si="12"/>
        <v>-61.886792452827422</v>
      </c>
      <c r="AC17" s="183">
        <f t="shared" si="13"/>
        <v>0.96905660377358627</v>
      </c>
      <c r="AD17" s="412"/>
    </row>
    <row r="18" spans="1:30" ht="15" customHeight="1">
      <c r="A18" s="440"/>
      <c r="B18" s="56" t="s">
        <v>45</v>
      </c>
      <c r="C18" s="10"/>
      <c r="D18" s="11" t="s">
        <v>41</v>
      </c>
      <c r="E18" s="86"/>
      <c r="F18" s="56">
        <f>VLOOKUP(D18,廠價表!$C$1:$E$40,3,0)</f>
        <v>50.39</v>
      </c>
      <c r="G18" s="96">
        <v>2110</v>
      </c>
      <c r="H18" s="15">
        <f t="shared" si="14"/>
        <v>106322.9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5"/>
        <v>166.66666666666666</v>
      </c>
      <c r="M18" s="37">
        <v>12</v>
      </c>
      <c r="N18" s="36">
        <f t="shared" si="16"/>
        <v>1783.0985915492779</v>
      </c>
      <c r="O18" s="38">
        <f t="shared" si="18"/>
        <v>148.59154929577315</v>
      </c>
      <c r="P18" s="39">
        <f t="shared" si="9"/>
        <v>0</v>
      </c>
      <c r="Q18" s="40">
        <f t="shared" si="10"/>
        <v>-18.075117370893508</v>
      </c>
      <c r="R18" s="188">
        <f t="shared" si="11"/>
        <v>0.89154929577463893</v>
      </c>
      <c r="S18" s="432"/>
      <c r="T18" s="44">
        <v>0.42847222222222198</v>
      </c>
      <c r="U18" s="44">
        <v>0.47777777777777802</v>
      </c>
      <c r="V18" s="175">
        <f>(T18-U17)*24*60</f>
        <v>11.999999999999478</v>
      </c>
      <c r="W18" s="43">
        <f t="shared" si="17"/>
        <v>71.000000000000711</v>
      </c>
      <c r="X18" s="22"/>
      <c r="Y18" s="22"/>
      <c r="Z18" s="415"/>
      <c r="AA18" s="415"/>
      <c r="AB18" s="18">
        <f t="shared" si="12"/>
        <v>-216.9014084507221</v>
      </c>
      <c r="AC18" s="183">
        <f t="shared" si="13"/>
        <v>0.89154929577463893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1938</v>
      </c>
      <c r="H19" s="15">
        <f t="shared" si="14"/>
        <v>97655.82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5"/>
        <v>166.66666666666666</v>
      </c>
      <c r="M19" s="37">
        <v>12</v>
      </c>
      <c r="N19" s="36">
        <f t="shared" si="16"/>
        <v>1788.9230769230699</v>
      </c>
      <c r="O19" s="38">
        <f t="shared" si="18"/>
        <v>149.0769230769225</v>
      </c>
      <c r="P19" s="39">
        <f t="shared" si="9"/>
        <v>0</v>
      </c>
      <c r="Q19" s="40">
        <f t="shared" si="10"/>
        <v>-17.58974358974416</v>
      </c>
      <c r="R19" s="188">
        <f t="shared" si="11"/>
        <v>0.89446153846153509</v>
      </c>
      <c r="S19" s="432"/>
      <c r="T19" s="44">
        <v>0.54166666666666696</v>
      </c>
      <c r="U19" s="44">
        <v>0.58680555555555602</v>
      </c>
      <c r="V19" s="175">
        <f>(T19-U18)*24*60</f>
        <v>92.000000000000071</v>
      </c>
      <c r="W19" s="43">
        <f t="shared" si="17"/>
        <v>65.000000000000256</v>
      </c>
      <c r="X19" s="22">
        <v>0.48958333333333298</v>
      </c>
      <c r="Y19" s="260">
        <v>0.53125</v>
      </c>
      <c r="Z19" s="416"/>
      <c r="AA19" s="416"/>
      <c r="AB19" s="18">
        <f t="shared" si="12"/>
        <v>-211.07692307693014</v>
      </c>
      <c r="AC19" s="183">
        <f t="shared" si="13"/>
        <v>0.89446153846153498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4"/>
      <c r="U20" s="44"/>
      <c r="V20" s="175"/>
      <c r="W20" s="43">
        <f t="shared" si="17"/>
        <v>0</v>
      </c>
      <c r="X20" s="44"/>
      <c r="Y20" s="44"/>
      <c r="Z20" s="418"/>
      <c r="AA20" s="405"/>
      <c r="AB20" s="18">
        <f t="shared" si="12"/>
        <v>0</v>
      </c>
      <c r="AC20" s="183" t="e">
        <f t="shared" si="13"/>
        <v>#DIV/0!</v>
      </c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4"/>
      <c r="U21" s="44"/>
      <c r="V21" s="175"/>
      <c r="W21" s="43">
        <f t="shared" si="17"/>
        <v>0</v>
      </c>
      <c r="X21" s="42"/>
      <c r="Y21" s="42"/>
      <c r="Z21" s="418"/>
      <c r="AA21" s="405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/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7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4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7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4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7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19">AVERAGE(J16:J25)</f>
        <v>12.5</v>
      </c>
      <c r="K26" s="133">
        <f t="shared" si="19"/>
        <v>2026.25</v>
      </c>
      <c r="L26" s="136">
        <f t="shared" si="19"/>
        <v>162.27564102564102</v>
      </c>
      <c r="M26" s="133">
        <f t="shared" si="19"/>
        <v>12.5</v>
      </c>
      <c r="N26" s="133">
        <f t="shared" si="19"/>
        <v>1804.4740175123409</v>
      </c>
      <c r="O26" s="136">
        <f t="shared" si="19"/>
        <v>144.53008735427036</v>
      </c>
      <c r="P26" s="137">
        <f t="shared" ref="P26:P30" si="20">M26-J26</f>
        <v>0</v>
      </c>
      <c r="Q26" s="138">
        <f t="shared" ref="Q26:Q30" si="21">O26-L26</f>
        <v>-17.745553671370658</v>
      </c>
      <c r="R26" s="139">
        <f t="shared" ref="R26:R30" si="22">O26/L26</f>
        <v>0.89064561039961199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-221.77598248765912</v>
      </c>
      <c r="AC26" s="185">
        <f>N26/K26</f>
        <v>0.89054855892034102</v>
      </c>
      <c r="AD26" s="414"/>
    </row>
    <row r="27" spans="1:30" ht="15" customHeight="1">
      <c r="A27" s="428" t="s">
        <v>44</v>
      </c>
      <c r="B27" s="227" t="s">
        <v>45</v>
      </c>
      <c r="C27" s="101"/>
      <c r="D27" s="102" t="s">
        <v>142</v>
      </c>
      <c r="E27" s="103"/>
      <c r="F27" s="197">
        <f>VLOOKUP(D27,廠價表!$C$1:$E$40,3,0)</f>
        <v>57.3</v>
      </c>
      <c r="G27" s="266">
        <v>3341</v>
      </c>
      <c r="H27" s="124">
        <f t="shared" ref="H27:H40" si="23">F27*G27</f>
        <v>191439.3</v>
      </c>
      <c r="I27" s="125"/>
      <c r="J27" s="16">
        <f>VLOOKUP(D27,產線配置圖!$A$3:$C$39,2,0)</f>
        <v>15</v>
      </c>
      <c r="K27" s="14">
        <f>VLOOKUP(D27,產線配置圖!$A$3:$C$39,3,0)</f>
        <v>1440</v>
      </c>
      <c r="L27" s="108">
        <f>K27/J27</f>
        <v>96</v>
      </c>
      <c r="M27" s="143">
        <v>15</v>
      </c>
      <c r="N27" s="126">
        <f>G27/W27*60</f>
        <v>1382.4827586206961</v>
      </c>
      <c r="O27" s="127">
        <f>N27/M27</f>
        <v>92.165517241379746</v>
      </c>
      <c r="P27" s="128">
        <f t="shared" si="20"/>
        <v>0</v>
      </c>
      <c r="Q27" s="129">
        <f t="shared" si="21"/>
        <v>-3.8344827586202541</v>
      </c>
      <c r="R27" s="187">
        <f>O27/L27</f>
        <v>0.96005747126437235</v>
      </c>
      <c r="S27" s="431">
        <f>R37</f>
        <v>0.91027702898624518</v>
      </c>
      <c r="T27" s="94">
        <v>0.29166666666666702</v>
      </c>
      <c r="U27" s="94">
        <v>0.39236111111111099</v>
      </c>
      <c r="V27" s="125"/>
      <c r="W27" s="130">
        <f t="shared" si="17"/>
        <v>144.99999999999932</v>
      </c>
      <c r="X27" s="125"/>
      <c r="Y27" s="125" t="s">
        <v>47</v>
      </c>
      <c r="Z27" s="434"/>
      <c r="AA27" s="425"/>
      <c r="AB27" s="223">
        <f>N27-K27</f>
        <v>-57.517241379303869</v>
      </c>
      <c r="AC27" s="288">
        <f>N27/K27</f>
        <v>0.96005747126437235</v>
      </c>
      <c r="AD27" s="411">
        <f>AC37</f>
        <v>0.78396578009244611</v>
      </c>
    </row>
    <row r="28" spans="1:30" ht="15" customHeight="1">
      <c r="A28" s="429"/>
      <c r="B28" s="56" t="s">
        <v>45</v>
      </c>
      <c r="C28" s="10"/>
      <c r="D28" s="11" t="s">
        <v>48</v>
      </c>
      <c r="E28" s="86"/>
      <c r="F28" s="56">
        <f>VLOOKUP(D28,廠價表!$C$1:$E$40,3,0)</f>
        <v>55.13</v>
      </c>
      <c r="G28" s="53">
        <v>1167</v>
      </c>
      <c r="H28" s="50">
        <f t="shared" si="23"/>
        <v>64336.710000000006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14</v>
      </c>
      <c r="N28" s="36">
        <f>G28/W28*60</f>
        <v>1029.7058823529462</v>
      </c>
      <c r="O28" s="38">
        <f>N28/M28</f>
        <v>73.550420168067589</v>
      </c>
      <c r="P28" s="39">
        <f t="shared" si="20"/>
        <v>-4</v>
      </c>
      <c r="Q28" s="40">
        <f t="shared" si="21"/>
        <v>-3.3940242763768538</v>
      </c>
      <c r="R28" s="188">
        <f t="shared" si="22"/>
        <v>0.95588993720232251</v>
      </c>
      <c r="S28" s="432"/>
      <c r="T28" s="267">
        <v>0.40277777777777801</v>
      </c>
      <c r="U28" s="267">
        <v>0.45</v>
      </c>
      <c r="V28" s="42">
        <f>(T28-U27)*24*60</f>
        <v>15.000000000000506</v>
      </c>
      <c r="W28" s="43">
        <f t="shared" si="17"/>
        <v>67.999999999999673</v>
      </c>
      <c r="X28" s="54"/>
      <c r="Y28" s="54"/>
      <c r="Z28" s="418"/>
      <c r="AA28" s="417"/>
      <c r="AB28" s="39">
        <f>N28-K28</f>
        <v>-355.29411764705378</v>
      </c>
      <c r="AC28" s="188">
        <f>N28/K28</f>
        <v>0.74346995115736192</v>
      </c>
      <c r="AD28" s="444"/>
    </row>
    <row r="29" spans="1:30" ht="15" customHeight="1">
      <c r="A29" s="429"/>
      <c r="B29" s="56" t="s">
        <v>182</v>
      </c>
      <c r="C29" s="10"/>
      <c r="D29" s="11" t="s">
        <v>166</v>
      </c>
      <c r="E29" s="86"/>
      <c r="F29" s="56">
        <f>VLOOKUP(D29,廠價表!$C$1:$E$40,3,0)</f>
        <v>49.52</v>
      </c>
      <c r="G29" s="53">
        <v>840</v>
      </c>
      <c r="H29" s="50">
        <f t="shared" si="23"/>
        <v>41596.800000000003</v>
      </c>
      <c r="I29" s="42"/>
      <c r="J29" s="16">
        <f>VLOOKUP(D29,產線配置圖!$A$3:$C$39,2,0)</f>
        <v>18</v>
      </c>
      <c r="K29" s="14">
        <f>VLOOKUP(D29,產線配置圖!$A$3:$C$39,3,0)</f>
        <v>1440</v>
      </c>
      <c r="L29" s="233">
        <f>K29/J29</f>
        <v>80</v>
      </c>
      <c r="M29" s="21">
        <v>15</v>
      </c>
      <c r="N29" s="36">
        <f>G29/W29*60</f>
        <v>1028.5714285714221</v>
      </c>
      <c r="O29" s="38">
        <f>N29/M29</f>
        <v>68.571428571428143</v>
      </c>
      <c r="P29" s="39">
        <f t="shared" si="20"/>
        <v>-3</v>
      </c>
      <c r="Q29" s="40">
        <f t="shared" si="21"/>
        <v>-11.428571428571857</v>
      </c>
      <c r="R29" s="188">
        <f t="shared" si="22"/>
        <v>0.85714285714285177</v>
      </c>
      <c r="S29" s="432"/>
      <c r="T29" s="44">
        <v>0.45763888888888898</v>
      </c>
      <c r="U29" s="44">
        <v>0.49166666666666697</v>
      </c>
      <c r="V29" s="42">
        <f>(T29-U28)*24*60</f>
        <v>11.000000000000121</v>
      </c>
      <c r="W29" s="43">
        <f t="shared" si="17"/>
        <v>49.000000000000306</v>
      </c>
      <c r="X29" s="22"/>
      <c r="Y29" s="22"/>
      <c r="Z29" s="418"/>
      <c r="AA29" s="417"/>
      <c r="AB29" s="289">
        <f>N29-K29</f>
        <v>-411.42857142857792</v>
      </c>
      <c r="AC29" s="188">
        <f>N29/K29</f>
        <v>0.71428571428570975</v>
      </c>
      <c r="AD29" s="444"/>
    </row>
    <row r="30" spans="1:30" ht="15" customHeight="1">
      <c r="A30" s="429"/>
      <c r="B30" s="56" t="s">
        <v>182</v>
      </c>
      <c r="C30" s="235"/>
      <c r="D30" s="11" t="s">
        <v>166</v>
      </c>
      <c r="E30" s="29"/>
      <c r="F30" s="56">
        <f>VLOOKUP(D30,廠價表!$C$1:$E$40,3,0)</f>
        <v>49.52</v>
      </c>
      <c r="G30" s="53">
        <v>877</v>
      </c>
      <c r="H30" s="50">
        <f t="shared" si="23"/>
        <v>43429.04</v>
      </c>
      <c r="I30" s="42"/>
      <c r="J30" s="16">
        <f>VLOOKUP(D30,產線配置圖!$A$3:$C$39,2,0)</f>
        <v>18</v>
      </c>
      <c r="K30" s="14">
        <f>VLOOKUP(D30,產線配置圖!$A$3:$C$39,3,0)</f>
        <v>1440</v>
      </c>
      <c r="L30" s="233">
        <f>K30/J30</f>
        <v>80</v>
      </c>
      <c r="M30" s="21">
        <v>15</v>
      </c>
      <c r="N30" s="36">
        <f>G30/W30*60</f>
        <v>1031.7647058823404</v>
      </c>
      <c r="O30" s="38">
        <f>N30/M30</f>
        <v>68.784313725489355</v>
      </c>
      <c r="P30" s="39">
        <f t="shared" si="20"/>
        <v>-3</v>
      </c>
      <c r="Q30" s="40">
        <f t="shared" si="21"/>
        <v>-11.215686274510645</v>
      </c>
      <c r="R30" s="188">
        <f t="shared" si="22"/>
        <v>0.85980392156861696</v>
      </c>
      <c r="S30" s="432"/>
      <c r="T30" s="44">
        <v>0.54513888888888895</v>
      </c>
      <c r="U30" s="44">
        <v>0.58055555555555605</v>
      </c>
      <c r="V30" s="42">
        <f>(T30-U29)*24*60</f>
        <v>76.999999999999645</v>
      </c>
      <c r="W30" s="43">
        <f t="shared" si="17"/>
        <v>51.000000000000618</v>
      </c>
      <c r="X30" s="54">
        <v>0.5</v>
      </c>
      <c r="Y30" s="54">
        <v>0.54166666666666696</v>
      </c>
      <c r="Z30" s="426"/>
      <c r="AA30" s="446"/>
      <c r="AB30" s="289">
        <f>N30-K30</f>
        <v>-408.23529411765958</v>
      </c>
      <c r="AC30" s="188">
        <f>N30/K30</f>
        <v>0.71650326797384756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4"/>
      <c r="U31" s="44"/>
      <c r="V31" s="42"/>
      <c r="W31" s="43">
        <f t="shared" si="17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1"/>
      <c r="U32" s="41"/>
      <c r="V32" s="42"/>
      <c r="W32" s="43">
        <f t="shared" si="17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>
        <f t="shared" si="23"/>
        <v>0</v>
      </c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7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>
        <f t="shared" si="23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7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3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7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3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7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4">AVERAGE(J27:J36)</f>
        <v>17.25</v>
      </c>
      <c r="K37" s="282">
        <f t="shared" si="24"/>
        <v>1426.25</v>
      </c>
      <c r="L37" s="283">
        <f t="shared" si="24"/>
        <v>83.236111111111114</v>
      </c>
      <c r="M37" s="282">
        <f t="shared" si="24"/>
        <v>14.75</v>
      </c>
      <c r="N37" s="282">
        <f t="shared" si="24"/>
        <v>1118.1311938568513</v>
      </c>
      <c r="O37" s="283">
        <f t="shared" si="24"/>
        <v>75.767919926591219</v>
      </c>
      <c r="P37" s="73">
        <f>M37-J37</f>
        <v>-2.5</v>
      </c>
      <c r="Q37" s="74">
        <f>N37-K37</f>
        <v>-308.11880614314873</v>
      </c>
      <c r="R37" s="284">
        <f t="shared" ref="R37:R40" si="25">O37/L37</f>
        <v>0.91027702898624518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1" si="26">N37-K37</f>
        <v>-308.11880614314873</v>
      </c>
      <c r="AC37" s="184">
        <f t="shared" ref="AC37:AC41" si="27">N37/K37</f>
        <v>0.78396578009244611</v>
      </c>
      <c r="AD37" s="413"/>
    </row>
    <row r="38" spans="1:30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1409</v>
      </c>
      <c r="H38" s="124">
        <f t="shared" si="23"/>
        <v>80735.7</v>
      </c>
      <c r="I38" s="125"/>
      <c r="J38" s="271">
        <f>VLOOKUP(D38,產線配置圖!$A$3:$C$39,2,0)</f>
        <v>15</v>
      </c>
      <c r="K38" s="234">
        <f>VLOOKUP(D38,產線配置圖!$A$3:$C$39,3,0)</f>
        <v>1385</v>
      </c>
      <c r="L38" s="285">
        <f t="shared" ref="L38:L40" si="28">K38/J38</f>
        <v>92.333333333333329</v>
      </c>
      <c r="M38" s="286">
        <v>15</v>
      </c>
      <c r="N38" s="126">
        <f>G38/W38*60</f>
        <v>1207.7142857142885</v>
      </c>
      <c r="O38" s="127">
        <f>N38/M38</f>
        <v>80.514285714285904</v>
      </c>
      <c r="P38" s="128">
        <f t="shared" ref="P38:P40" si="29">M38-J38</f>
        <v>0</v>
      </c>
      <c r="Q38" s="129">
        <f t="shared" ref="Q38:Q40" si="30">O38-L38</f>
        <v>-11.819047619047424</v>
      </c>
      <c r="R38" s="187">
        <f t="shared" si="25"/>
        <v>0.87199587416194124</v>
      </c>
      <c r="S38" s="460">
        <f>R48</f>
        <v>0.8792636235652882</v>
      </c>
      <c r="T38" s="348">
        <v>0.33333333333333298</v>
      </c>
      <c r="U38" s="348">
        <v>0.38194444444444398</v>
      </c>
      <c r="V38" s="146"/>
      <c r="W38" s="150">
        <f t="shared" si="17"/>
        <v>69.999999999999829</v>
      </c>
      <c r="X38" s="148"/>
      <c r="Y38" s="151"/>
      <c r="Z38" s="462"/>
      <c r="AA38" s="463"/>
      <c r="AB38" s="287">
        <f t="shared" si="26"/>
        <v>-177.28571428571149</v>
      </c>
      <c r="AC38" s="152">
        <f t="shared" si="27"/>
        <v>0.87199587416194113</v>
      </c>
      <c r="AD38" s="447">
        <f>AC48</f>
        <v>0.81626298328196523</v>
      </c>
    </row>
    <row r="39" spans="1:30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1108</v>
      </c>
      <c r="H39" s="50">
        <f t="shared" si="23"/>
        <v>62524.44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8"/>
        <v>93.733333333333334</v>
      </c>
      <c r="M39" s="65">
        <v>15</v>
      </c>
      <c r="N39" s="66">
        <f>G39/W39*60</f>
        <v>1146.2068965517187</v>
      </c>
      <c r="O39" s="67">
        <f t="shared" ref="O39:O40" si="31">N39/M39</f>
        <v>76.413793103447915</v>
      </c>
      <c r="P39" s="39">
        <f t="shared" si="29"/>
        <v>0</v>
      </c>
      <c r="Q39" s="40">
        <f t="shared" si="30"/>
        <v>-17.319540229885419</v>
      </c>
      <c r="R39" s="188">
        <f t="shared" si="25"/>
        <v>0.81522538872810724</v>
      </c>
      <c r="S39" s="461"/>
      <c r="T39" s="349">
        <v>0.38888888888888901</v>
      </c>
      <c r="U39" s="349">
        <v>0.42916666666666697</v>
      </c>
      <c r="V39" s="42">
        <f>(T39-U38)*24*60</f>
        <v>10.000000000000844</v>
      </c>
      <c r="W39" s="69">
        <f t="shared" si="17"/>
        <v>58.00000000000027</v>
      </c>
      <c r="X39" s="22"/>
      <c r="Y39" s="22"/>
      <c r="Z39" s="450"/>
      <c r="AA39" s="451"/>
      <c r="AB39" s="268">
        <f t="shared" si="26"/>
        <v>-259.79310344828127</v>
      </c>
      <c r="AC39" s="61">
        <f t="shared" si="27"/>
        <v>0.81522538872810724</v>
      </c>
      <c r="AD39" s="448"/>
    </row>
    <row r="40" spans="1:30" ht="15" customHeight="1">
      <c r="A40" s="458"/>
      <c r="B40" s="56" t="s">
        <v>182</v>
      </c>
      <c r="C40" s="272"/>
      <c r="D40" s="276" t="s">
        <v>167</v>
      </c>
      <c r="E40" s="240"/>
      <c r="F40" s="56">
        <f>VLOOKUP(D40,廠價表!$C$1:$E$40,3,0)</f>
        <v>44.3</v>
      </c>
      <c r="G40" s="273">
        <v>1173</v>
      </c>
      <c r="H40" s="50">
        <f t="shared" si="23"/>
        <v>51963.899999999994</v>
      </c>
      <c r="I40" s="64"/>
      <c r="J40" s="37">
        <f>VLOOKUP(D40,產線配置圖!$A$3:$C$39,2,0)</f>
        <v>19</v>
      </c>
      <c r="K40" s="36">
        <f>VLOOKUP(D40,產線配置圖!$A$3:$C$39,3,0)</f>
        <v>1440</v>
      </c>
      <c r="L40" s="38">
        <f t="shared" si="28"/>
        <v>75.78947368421052</v>
      </c>
      <c r="M40" s="65">
        <v>15</v>
      </c>
      <c r="N40" s="66">
        <f>G40/W40*60</f>
        <v>1099.6874999999873</v>
      </c>
      <c r="O40" s="67">
        <f t="shared" si="31"/>
        <v>73.312499999999147</v>
      </c>
      <c r="P40" s="39">
        <f t="shared" si="29"/>
        <v>-4</v>
      </c>
      <c r="Q40" s="40">
        <f t="shared" si="30"/>
        <v>-2.476973684211373</v>
      </c>
      <c r="R40" s="188">
        <f t="shared" si="25"/>
        <v>0.9673177083333222</v>
      </c>
      <c r="S40" s="420"/>
      <c r="T40" s="349">
        <v>0.54861111111111105</v>
      </c>
      <c r="U40" s="349">
        <v>0.593055555555556</v>
      </c>
      <c r="V40" s="42">
        <f>(T40-U39)*24*60</f>
        <v>171.99999999999946</v>
      </c>
      <c r="W40" s="69">
        <f t="shared" si="17"/>
        <v>64.000000000000739</v>
      </c>
      <c r="X40" s="70">
        <v>0.48611111111111099</v>
      </c>
      <c r="Y40" s="256">
        <v>0.52777777777777801</v>
      </c>
      <c r="Z40" s="450"/>
      <c r="AA40" s="451"/>
      <c r="AB40" s="268">
        <f t="shared" si="26"/>
        <v>-340.31250000001273</v>
      </c>
      <c r="AC40" s="61">
        <f t="shared" si="27"/>
        <v>0.76367187499999112</v>
      </c>
      <c r="AD40" s="448"/>
    </row>
    <row r="41" spans="1:30" ht="15" customHeight="1">
      <c r="A41" s="458"/>
      <c r="B41" s="56"/>
      <c r="C41" s="272"/>
      <c r="D41" s="276"/>
      <c r="E41" s="240"/>
      <c r="F41" s="56"/>
      <c r="G41" s="273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88"/>
      <c r="S41" s="420"/>
      <c r="T41" s="349"/>
      <c r="U41" s="349"/>
      <c r="V41" s="42"/>
      <c r="W41" s="69">
        <f t="shared" si="17"/>
        <v>0</v>
      </c>
      <c r="X41" s="70"/>
      <c r="Y41" s="256"/>
      <c r="Z41" s="450"/>
      <c r="AA41" s="451"/>
      <c r="AB41" s="268">
        <f t="shared" si="26"/>
        <v>0</v>
      </c>
      <c r="AC41" s="61" t="e">
        <f t="shared" si="27"/>
        <v>#DIV/0!</v>
      </c>
      <c r="AD41" s="448"/>
    </row>
    <row r="42" spans="1:30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350"/>
      <c r="U42" s="350"/>
      <c r="V42" s="42"/>
      <c r="W42" s="69">
        <f t="shared" si="17"/>
        <v>0</v>
      </c>
      <c r="X42" s="70"/>
      <c r="Y42" s="60"/>
      <c r="Z42" s="452"/>
      <c r="AA42" s="453"/>
      <c r="AB42" s="268"/>
      <c r="AC42" s="61"/>
      <c r="AD42" s="448"/>
    </row>
    <row r="43" spans="1:30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ht="15" customHeight="1">
      <c r="A44" s="458"/>
      <c r="B44" s="228"/>
      <c r="C44" s="181"/>
      <c r="D44" s="11"/>
      <c r="E44" s="12"/>
      <c r="F44" s="13"/>
      <c r="G44" s="99"/>
      <c r="H44" s="63">
        <f t="shared" ref="H44:H47" si="32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3">(U44-T44)*24*60</f>
        <v>0</v>
      </c>
      <c r="X44" s="70"/>
      <c r="Y44" s="67"/>
      <c r="Z44" s="405"/>
      <c r="AA44" s="405"/>
      <c r="AB44" s="71"/>
      <c r="AC44" s="61"/>
      <c r="AD44" s="448"/>
    </row>
    <row r="45" spans="1:30" ht="15" customHeight="1">
      <c r="A45" s="458"/>
      <c r="B45" s="229"/>
      <c r="C45" s="27"/>
      <c r="D45" s="28"/>
      <c r="E45" s="29"/>
      <c r="F45" s="13"/>
      <c r="G45" s="66"/>
      <c r="H45" s="63">
        <f t="shared" si="32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3"/>
        <v>0</v>
      </c>
      <c r="X45" s="70"/>
      <c r="Y45" s="67"/>
      <c r="Z45" s="405"/>
      <c r="AA45" s="405"/>
      <c r="AB45" s="71"/>
      <c r="AC45" s="61"/>
      <c r="AD45" s="448"/>
    </row>
    <row r="46" spans="1:30" ht="15" customHeight="1">
      <c r="A46" s="458"/>
      <c r="B46" s="229"/>
      <c r="C46" s="27"/>
      <c r="D46" s="28"/>
      <c r="E46" s="29"/>
      <c r="F46" s="13"/>
      <c r="G46" s="66"/>
      <c r="H46" s="63">
        <f t="shared" si="32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3"/>
        <v>0</v>
      </c>
      <c r="X46" s="70"/>
      <c r="Y46" s="67"/>
      <c r="Z46" s="405"/>
      <c r="AA46" s="405"/>
      <c r="AB46" s="71"/>
      <c r="AC46" s="61"/>
      <c r="AD46" s="448"/>
    </row>
    <row r="47" spans="1:30" ht="15" customHeight="1">
      <c r="A47" s="458"/>
      <c r="B47" s="228"/>
      <c r="C47" s="27"/>
      <c r="D47" s="28"/>
      <c r="E47" s="29"/>
      <c r="F47" s="13"/>
      <c r="G47" s="66"/>
      <c r="H47" s="63">
        <f t="shared" si="32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3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4">AVERAGE(J38:J47)</f>
        <v>16.333333333333332</v>
      </c>
      <c r="K48" s="133">
        <f t="shared" si="34"/>
        <v>1410.3333333333333</v>
      </c>
      <c r="L48" s="136">
        <f t="shared" si="34"/>
        <v>87.285380116959061</v>
      </c>
      <c r="M48" s="133">
        <f t="shared" si="34"/>
        <v>15</v>
      </c>
      <c r="N48" s="133">
        <f t="shared" si="34"/>
        <v>1151.2028940886648</v>
      </c>
      <c r="O48" s="136">
        <f t="shared" si="34"/>
        <v>76.746859605910984</v>
      </c>
      <c r="P48" s="155">
        <f>M48-J48</f>
        <v>-1.3333333333333321</v>
      </c>
      <c r="Q48" s="156">
        <f>N48-K48</f>
        <v>-259.13043924466842</v>
      </c>
      <c r="R48" s="157">
        <f t="shared" ref="R48:R53" si="35">O48/L48</f>
        <v>0.8792636235652882</v>
      </c>
      <c r="S48" s="423"/>
      <c r="T48" s="158"/>
      <c r="U48" s="158"/>
      <c r="V48" s="194"/>
      <c r="W48" s="159">
        <f t="shared" si="33"/>
        <v>0</v>
      </c>
      <c r="X48" s="160"/>
      <c r="Y48" s="160"/>
      <c r="Z48" s="424"/>
      <c r="AA48" s="424"/>
      <c r="AB48" s="161">
        <f t="shared" ref="AB48:AB53" si="36">N48-K48</f>
        <v>-259.13043924466842</v>
      </c>
      <c r="AC48" s="189">
        <f t="shared" ref="AC48:AC53" si="37">N48/K48</f>
        <v>0.81626298328196523</v>
      </c>
      <c r="AD48" s="449"/>
    </row>
    <row r="49" spans="1:30" ht="15" customHeight="1">
      <c r="A49" s="454" t="s">
        <v>57</v>
      </c>
      <c r="B49" s="197" t="s">
        <v>45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1118</v>
      </c>
      <c r="H49" s="124">
        <f t="shared" ref="H49:H57" si="38">F49*G49</f>
        <v>63580.659999999996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1524.545454545482</v>
      </c>
      <c r="O49" s="127">
        <f>N49/M49</f>
        <v>80.239234449762208</v>
      </c>
      <c r="P49" s="162">
        <f>M49-J49</f>
        <v>0</v>
      </c>
      <c r="Q49" s="111">
        <f>O49-L49</f>
        <v>-2.1291866028693676</v>
      </c>
      <c r="R49" s="182">
        <f t="shared" si="35"/>
        <v>0.97415045018880642</v>
      </c>
      <c r="S49" s="419">
        <f>R58</f>
        <v>0.95261217873427251</v>
      </c>
      <c r="T49" s="348">
        <v>0.29166666666666702</v>
      </c>
      <c r="U49" s="348">
        <v>0.32222222222222202</v>
      </c>
      <c r="V49" s="186"/>
      <c r="W49" s="150">
        <f t="shared" si="17"/>
        <v>43.999999999999204</v>
      </c>
      <c r="X49" s="186"/>
      <c r="Y49" s="186"/>
      <c r="Z49" s="425"/>
      <c r="AA49" s="425"/>
      <c r="AB49" s="110">
        <f t="shared" si="36"/>
        <v>-40.454545454517984</v>
      </c>
      <c r="AC49" s="182">
        <f t="shared" si="37"/>
        <v>0.97415045018880642</v>
      </c>
      <c r="AD49" s="411">
        <f>AC58</f>
        <v>0.95291954162386494</v>
      </c>
    </row>
    <row r="50" spans="1:30" ht="15" customHeight="1">
      <c r="A50" s="455"/>
      <c r="B50" s="56" t="s">
        <v>182</v>
      </c>
      <c r="C50" s="10"/>
      <c r="D50" s="11" t="s">
        <v>46</v>
      </c>
      <c r="E50" s="86"/>
      <c r="F50" s="56">
        <f>VLOOKUP(D50,廠價表!$C$1:$E$40,3,0)</f>
        <v>49.91</v>
      </c>
      <c r="G50" s="66">
        <v>2096</v>
      </c>
      <c r="H50" s="76">
        <f t="shared" si="38"/>
        <v>104611.35999999999</v>
      </c>
      <c r="I50" s="191"/>
      <c r="J50" s="16">
        <f>VLOOKUP(D50,產線配置圖!$A$3:$C$39,2,0)</f>
        <v>17</v>
      </c>
      <c r="K50" s="14">
        <f>VLOOKUP(D50,產線配置圖!$A$3:$C$39,3,0)</f>
        <v>1565</v>
      </c>
      <c r="L50" s="17">
        <f>K50/J50</f>
        <v>92.058823529411768</v>
      </c>
      <c r="M50" s="172">
        <v>17</v>
      </c>
      <c r="N50" s="77">
        <f>G50/W50*60</f>
        <v>1429.0909090909115</v>
      </c>
      <c r="O50" s="78">
        <f>N50/M50</f>
        <v>84.064171122994793</v>
      </c>
      <c r="P50" s="18">
        <f>M50-J50</f>
        <v>0</v>
      </c>
      <c r="Q50" s="19">
        <f>O50-L50</f>
        <v>-7.9946524064169751</v>
      </c>
      <c r="R50" s="183">
        <f t="shared" si="35"/>
        <v>0.91315713040952806</v>
      </c>
      <c r="S50" s="420"/>
      <c r="T50" s="351">
        <v>0.328472222222222</v>
      </c>
      <c r="U50" s="351">
        <v>0.389583333333333</v>
      </c>
      <c r="V50" s="175">
        <f t="shared" ref="V50:V53" si="39">(T50-U49)*24*60</f>
        <v>8.999999999999968</v>
      </c>
      <c r="W50" s="80">
        <f t="shared" si="17"/>
        <v>87.999999999999844</v>
      </c>
      <c r="X50" s="22"/>
      <c r="Y50" s="22"/>
      <c r="Z50" s="417"/>
      <c r="AA50" s="418"/>
      <c r="AB50" s="18">
        <f t="shared" si="36"/>
        <v>-135.90909090908849</v>
      </c>
      <c r="AC50" s="183">
        <f t="shared" si="37"/>
        <v>0.91315713040952817</v>
      </c>
      <c r="AD50" s="412"/>
    </row>
    <row r="51" spans="1:30" ht="15" customHeight="1">
      <c r="A51" s="455"/>
      <c r="B51" s="56" t="s">
        <v>45</v>
      </c>
      <c r="C51" s="10"/>
      <c r="D51" s="11" t="s">
        <v>59</v>
      </c>
      <c r="E51" s="86"/>
      <c r="F51" s="56">
        <f>VLOOKUP(D51,廠價表!$C$1:$E$40,3,0)</f>
        <v>49.97</v>
      </c>
      <c r="G51" s="66">
        <v>2921</v>
      </c>
      <c r="H51" s="76">
        <f t="shared" si="38"/>
        <v>145962.37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>K51/J51</f>
        <v>88.888888888888886</v>
      </c>
      <c r="M51" s="172">
        <v>18</v>
      </c>
      <c r="N51" s="77">
        <f>G51/W51*60</f>
        <v>1593.2727272727248</v>
      </c>
      <c r="O51" s="78">
        <f>N51/M51</f>
        <v>88.515151515151373</v>
      </c>
      <c r="P51" s="18">
        <f>M51-J51</f>
        <v>0</v>
      </c>
      <c r="Q51" s="19">
        <f>O51-L51</f>
        <v>-0.37373737373751226</v>
      </c>
      <c r="R51" s="183">
        <f t="shared" si="35"/>
        <v>0.99579545454545304</v>
      </c>
      <c r="S51" s="420"/>
      <c r="T51" s="351">
        <v>0.39583333333333298</v>
      </c>
      <c r="U51" s="44">
        <v>0.47222222222222199</v>
      </c>
      <c r="V51" s="175">
        <f t="shared" si="39"/>
        <v>8.999999999999968</v>
      </c>
      <c r="W51" s="80">
        <f t="shared" si="17"/>
        <v>110.00000000000017</v>
      </c>
      <c r="X51" s="22"/>
      <c r="Y51" s="22"/>
      <c r="Z51" s="405"/>
      <c r="AA51" s="405"/>
      <c r="AB51" s="18">
        <f t="shared" si="36"/>
        <v>-6.7272727272752491</v>
      </c>
      <c r="AC51" s="183">
        <f t="shared" si="37"/>
        <v>0.99579545454545293</v>
      </c>
      <c r="AD51" s="412"/>
    </row>
    <row r="52" spans="1:30" ht="15" customHeight="1">
      <c r="A52" s="455"/>
      <c r="B52" s="56" t="s">
        <v>45</v>
      </c>
      <c r="C52" s="23"/>
      <c r="D52" s="11" t="s">
        <v>59</v>
      </c>
      <c r="E52" s="12"/>
      <c r="F52" s="56">
        <f>VLOOKUP(D52,廠價表!$C$1:$E$40,3,0)</f>
        <v>49.97</v>
      </c>
      <c r="G52" s="66">
        <v>1800</v>
      </c>
      <c r="H52" s="76">
        <f t="shared" si="38"/>
        <v>89946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>K52/J52</f>
        <v>88.888888888888886</v>
      </c>
      <c r="M52" s="172">
        <v>18</v>
      </c>
      <c r="N52" s="77">
        <f>G52/W52*60</f>
        <v>1542.8571428571449</v>
      </c>
      <c r="O52" s="78">
        <f>N52/M52</f>
        <v>85.714285714285836</v>
      </c>
      <c r="P52" s="18">
        <f>M52-J52</f>
        <v>0</v>
      </c>
      <c r="Q52" s="19">
        <f>O52-L52</f>
        <v>-3.1746031746030496</v>
      </c>
      <c r="R52" s="183">
        <f t="shared" si="35"/>
        <v>0.96428571428571574</v>
      </c>
      <c r="S52" s="420"/>
      <c r="T52" s="351">
        <v>0.53472222222222199</v>
      </c>
      <c r="U52" s="351">
        <v>0.58333333333333304</v>
      </c>
      <c r="V52" s="175">
        <f t="shared" si="39"/>
        <v>90</v>
      </c>
      <c r="W52" s="80">
        <f t="shared" si="17"/>
        <v>69.999999999999915</v>
      </c>
      <c r="X52" s="22">
        <v>0.48263888888888901</v>
      </c>
      <c r="Y52" s="22">
        <v>0.52430555555555602</v>
      </c>
      <c r="Z52" s="405"/>
      <c r="AA52" s="405"/>
      <c r="AB52" s="18">
        <f t="shared" si="36"/>
        <v>-57.142857142855064</v>
      </c>
      <c r="AC52" s="183">
        <f t="shared" si="37"/>
        <v>0.96428571428571563</v>
      </c>
      <c r="AD52" s="412"/>
    </row>
    <row r="53" spans="1:30" ht="15" customHeight="1">
      <c r="A53" s="455"/>
      <c r="B53" s="56" t="s">
        <v>182</v>
      </c>
      <c r="C53" s="23"/>
      <c r="D53" s="11" t="s">
        <v>167</v>
      </c>
      <c r="E53" s="12"/>
      <c r="F53" s="56">
        <f>VLOOKUP(D53,廠價表!$C$1:$E$40,3,0)</f>
        <v>44.3</v>
      </c>
      <c r="G53" s="66">
        <v>942</v>
      </c>
      <c r="H53" s="76">
        <f>F53*G53</f>
        <v>41730.6</v>
      </c>
      <c r="I53" s="191"/>
      <c r="J53" s="16">
        <f>VLOOKUP(D53,產線配置圖!$A$3:$C$39,2,0)</f>
        <v>19</v>
      </c>
      <c r="K53" s="14">
        <f>VLOOKUP(D53,產線配置圖!$A$3:$C$39,3,0)</f>
        <v>1440</v>
      </c>
      <c r="L53" s="17">
        <f>K53/J53</f>
        <v>75.78947368421052</v>
      </c>
      <c r="M53" s="172">
        <v>19</v>
      </c>
      <c r="N53" s="77">
        <f>G53/W53*60</f>
        <v>1314.4186046511675</v>
      </c>
      <c r="O53" s="78">
        <f>N53/M53</f>
        <v>69.179926560587759</v>
      </c>
      <c r="P53" s="18">
        <f>M53-J53</f>
        <v>0</v>
      </c>
      <c r="Q53" s="19">
        <f>O53-L53</f>
        <v>-6.609547123622761</v>
      </c>
      <c r="R53" s="183">
        <f t="shared" si="35"/>
        <v>0.91279069767442189</v>
      </c>
      <c r="S53" s="420"/>
      <c r="T53" s="351">
        <v>0.59375</v>
      </c>
      <c r="U53" s="351">
        <v>0.62361111111111101</v>
      </c>
      <c r="V53" s="175">
        <f t="shared" si="39"/>
        <v>15.000000000000426</v>
      </c>
      <c r="W53" s="80">
        <f t="shared" si="17"/>
        <v>42.999999999999844</v>
      </c>
      <c r="X53" s="175"/>
      <c r="Y53" s="175"/>
      <c r="Z53" s="417"/>
      <c r="AA53" s="418"/>
      <c r="AB53" s="18">
        <f t="shared" si="36"/>
        <v>-125.58139534883253</v>
      </c>
      <c r="AC53" s="183">
        <f t="shared" si="37"/>
        <v>0.91279069767442189</v>
      </c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/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351"/>
      <c r="U54" s="351"/>
      <c r="V54" s="195"/>
      <c r="W54" s="80">
        <f t="shared" si="17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8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7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8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7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8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7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0">AVERAGE(J49:J57)</f>
        <v>18.2</v>
      </c>
      <c r="K58" s="117">
        <f t="shared" si="40"/>
        <v>1554</v>
      </c>
      <c r="L58" s="114">
        <f t="shared" si="40"/>
        <v>85.59889920880633</v>
      </c>
      <c r="M58" s="117">
        <f t="shared" si="40"/>
        <v>18.2</v>
      </c>
      <c r="N58" s="117">
        <f t="shared" si="40"/>
        <v>1480.8369676834861</v>
      </c>
      <c r="O58" s="114">
        <f t="shared" si="40"/>
        <v>81.542553872556397</v>
      </c>
      <c r="P58" s="118">
        <f>M58-J58</f>
        <v>0</v>
      </c>
      <c r="Q58" s="119">
        <f>N58-K58</f>
        <v>-73.163032316513863</v>
      </c>
      <c r="R58" s="120">
        <f t="shared" ref="R58:R59" si="41">O58/L58</f>
        <v>0.95261217873427251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1" si="42">N58-K58</f>
        <v>-73.163032316513863</v>
      </c>
      <c r="AC58" s="185">
        <f t="shared" ref="AC58:AC61" si="43">N58/K58</f>
        <v>0.95291954162386494</v>
      </c>
      <c r="AD58" s="414"/>
    </row>
    <row r="59" spans="1:30" ht="15" customHeight="1">
      <c r="A59" s="470" t="s">
        <v>61</v>
      </c>
      <c r="B59" s="197" t="s">
        <v>172</v>
      </c>
      <c r="C59" s="101"/>
      <c r="D59" s="102" t="s">
        <v>62</v>
      </c>
      <c r="E59" s="103"/>
      <c r="F59" s="197">
        <f>VLOOKUP(D59,廠價表!$C$1:$E$40,3,0)</f>
        <v>26.99</v>
      </c>
      <c r="G59" s="186">
        <v>2894</v>
      </c>
      <c r="H59" s="105">
        <f t="shared" ref="H59:H68" si="44">F59*G59</f>
        <v>78109.06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45">G59/W59*60</f>
        <v>1447.0000000000061</v>
      </c>
      <c r="O59" s="108">
        <f t="shared" ref="O59:O61" si="46">N59/M59</f>
        <v>111.30769230769278</v>
      </c>
      <c r="P59" s="110">
        <f t="shared" ref="P59:P61" si="47">M59-J59</f>
        <v>0</v>
      </c>
      <c r="Q59" s="111">
        <f t="shared" ref="Q59:Q61" si="48">O59-L59</f>
        <v>-9.0769230769226112</v>
      </c>
      <c r="R59" s="182">
        <f t="shared" si="41"/>
        <v>0.92460063897763967</v>
      </c>
      <c r="S59" s="419">
        <f>R69</f>
        <v>0.83772804702406045</v>
      </c>
      <c r="T59" s="344">
        <v>0.29166666666666702</v>
      </c>
      <c r="U59" s="344">
        <v>0.375</v>
      </c>
      <c r="V59" s="186"/>
      <c r="W59" s="106">
        <f t="shared" si="17"/>
        <v>119.99999999999949</v>
      </c>
      <c r="X59" s="186"/>
      <c r="Y59" s="186"/>
      <c r="Z59" s="469"/>
      <c r="AA59" s="434"/>
      <c r="AB59" s="223">
        <f t="shared" si="42"/>
        <v>-117.99999999999386</v>
      </c>
      <c r="AC59" s="224">
        <f t="shared" si="43"/>
        <v>0.92460063897763967</v>
      </c>
      <c r="AD59" s="411">
        <f>AC69</f>
        <v>0.83995554938184458</v>
      </c>
    </row>
    <row r="60" spans="1:30" ht="15" customHeight="1">
      <c r="A60" s="471"/>
      <c r="B60" s="56" t="s">
        <v>172</v>
      </c>
      <c r="C60" s="10"/>
      <c r="D60" s="239" t="s">
        <v>63</v>
      </c>
      <c r="E60" s="86"/>
      <c r="F60" s="56">
        <f>VLOOKUP(D60,廠價表!$C$1:$E$40,3,0)</f>
        <v>28.47</v>
      </c>
      <c r="G60" s="175">
        <v>413</v>
      </c>
      <c r="H60" s="15">
        <f t="shared" si="44"/>
        <v>11758.109999999999</v>
      </c>
      <c r="I60" s="81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5"/>
        <v>1077.3913043477737</v>
      </c>
      <c r="O60" s="17">
        <f t="shared" si="46"/>
        <v>89.782608695647809</v>
      </c>
      <c r="P60" s="18">
        <f t="shared" si="47"/>
        <v>0</v>
      </c>
      <c r="Q60" s="19">
        <f t="shared" si="48"/>
        <v>-40.634057971018848</v>
      </c>
      <c r="R60" s="183">
        <f>O60/L60</f>
        <v>0.68842894846503122</v>
      </c>
      <c r="S60" s="474"/>
      <c r="T60" s="22">
        <v>0.38333333333333303</v>
      </c>
      <c r="U60" s="22">
        <v>0.39930555555555602</v>
      </c>
      <c r="V60" s="175">
        <f t="shared" ref="V60:V61" si="49">(T60-U59)*24*60</f>
        <v>11.999999999999558</v>
      </c>
      <c r="W60" s="90">
        <f t="shared" si="17"/>
        <v>23.000000000001116</v>
      </c>
      <c r="X60" s="191"/>
      <c r="Y60" s="191"/>
      <c r="Z60" s="405" t="s">
        <v>55</v>
      </c>
      <c r="AA60" s="405"/>
      <c r="AB60" s="225">
        <f t="shared" si="42"/>
        <v>-487.60869565222629</v>
      </c>
      <c r="AC60" s="226">
        <f t="shared" si="43"/>
        <v>0.68842894846503111</v>
      </c>
      <c r="AD60" s="464"/>
    </row>
    <row r="61" spans="1:30" ht="15" customHeight="1">
      <c r="A61" s="472"/>
      <c r="B61" s="56" t="s">
        <v>172</v>
      </c>
      <c r="C61" s="10"/>
      <c r="D61" s="239" t="s">
        <v>64</v>
      </c>
      <c r="E61" s="86"/>
      <c r="F61" s="56">
        <f>VLOOKUP(D61,廠價表!$C$1:$E$40,3,0)</f>
        <v>28.26</v>
      </c>
      <c r="G61" s="175">
        <v>1774</v>
      </c>
      <c r="H61" s="15">
        <f t="shared" si="44"/>
        <v>50133.240000000005</v>
      </c>
      <c r="I61" s="175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5"/>
        <v>1419.1999999999809</v>
      </c>
      <c r="O61" s="17">
        <f t="shared" si="46"/>
        <v>118.26666666666507</v>
      </c>
      <c r="P61" s="18">
        <f t="shared" si="47"/>
        <v>0</v>
      </c>
      <c r="Q61" s="19">
        <f t="shared" si="48"/>
        <v>-12.150000000001583</v>
      </c>
      <c r="R61" s="183">
        <f>O61/L61</f>
        <v>0.9068370607028633</v>
      </c>
      <c r="S61" s="420"/>
      <c r="T61" s="291">
        <v>0.41319444444444398</v>
      </c>
      <c r="U61" s="291">
        <v>0.46527777777777801</v>
      </c>
      <c r="V61" s="175">
        <f t="shared" si="49"/>
        <v>19.99999999999865</v>
      </c>
      <c r="W61" s="88">
        <f t="shared" si="17"/>
        <v>75.000000000001009</v>
      </c>
      <c r="X61" s="22"/>
      <c r="Y61" s="22"/>
      <c r="Z61" s="405"/>
      <c r="AA61" s="405"/>
      <c r="AB61" s="51">
        <f t="shared" si="42"/>
        <v>-145.80000000001905</v>
      </c>
      <c r="AC61" s="52">
        <f t="shared" si="43"/>
        <v>0.90683706070286318</v>
      </c>
      <c r="AD61" s="412"/>
    </row>
    <row r="62" spans="1:30" ht="15" customHeight="1">
      <c r="A62" s="472"/>
      <c r="B62" s="56"/>
      <c r="C62" s="23"/>
      <c r="D62" s="239"/>
      <c r="E62" s="12"/>
      <c r="F62" s="56"/>
      <c r="G62" s="175"/>
      <c r="H62" s="15"/>
      <c r="I62" s="81"/>
      <c r="J62" s="16"/>
      <c r="K62" s="14"/>
      <c r="L62" s="17"/>
      <c r="M62" s="178"/>
      <c r="N62" s="14"/>
      <c r="O62" s="17"/>
      <c r="P62" s="18"/>
      <c r="Q62" s="19"/>
      <c r="R62" s="183"/>
      <c r="S62" s="420"/>
      <c r="T62" s="22"/>
      <c r="U62" s="22"/>
      <c r="V62" s="175"/>
      <c r="W62" s="90">
        <f t="shared" si="17"/>
        <v>0</v>
      </c>
      <c r="X62" s="22"/>
      <c r="Y62" s="22"/>
      <c r="Z62" s="405"/>
      <c r="AA62" s="405"/>
      <c r="AB62" s="51"/>
      <c r="AC62" s="52"/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0"/>
      <c r="U63" s="20"/>
      <c r="V63" s="175"/>
      <c r="W63" s="90">
        <f t="shared" si="17"/>
        <v>0</v>
      </c>
      <c r="X63" s="84"/>
      <c r="Y63" s="84"/>
      <c r="Z63" s="405"/>
      <c r="AA63" s="405"/>
      <c r="AB63" s="51"/>
      <c r="AC63" s="52"/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7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175"/>
      <c r="C65" s="181"/>
      <c r="D65" s="11"/>
      <c r="E65" s="12"/>
      <c r="F65" s="13"/>
      <c r="G65" s="175"/>
      <c r="H65" s="15"/>
      <c r="I65" s="175"/>
      <c r="J65" s="16"/>
      <c r="K65" s="82"/>
      <c r="L65" s="83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7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>
        <f t="shared" si="44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420"/>
      <c r="T66" s="20"/>
      <c r="U66" s="20"/>
      <c r="V66" s="175"/>
      <c r="W66" s="180">
        <f t="shared" si="17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44"/>
        <v>0</v>
      </c>
      <c r="I67" s="175"/>
      <c r="J67" s="16"/>
      <c r="K67" s="14"/>
      <c r="L67" s="17"/>
      <c r="M67" s="21"/>
      <c r="N67" s="36"/>
      <c r="O67" s="38"/>
      <c r="P67" s="39"/>
      <c r="Q67" s="40"/>
      <c r="R67" s="68"/>
      <c r="S67" s="420"/>
      <c r="T67" s="20"/>
      <c r="U67" s="20"/>
      <c r="V67" s="175"/>
      <c r="W67" s="180">
        <f t="shared" si="17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4"/>
        <v>0</v>
      </c>
      <c r="I68" s="85"/>
      <c r="J68" s="16"/>
      <c r="K68" s="257"/>
      <c r="L68" s="258"/>
      <c r="M68" s="21"/>
      <c r="N68" s="36"/>
      <c r="O68" s="38"/>
      <c r="P68" s="39"/>
      <c r="Q68" s="40"/>
      <c r="R68" s="68"/>
      <c r="S68" s="420"/>
      <c r="T68" s="20"/>
      <c r="U68" s="20"/>
      <c r="V68" s="175"/>
      <c r="W68" s="180">
        <f t="shared" si="17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0">AVERAGE(J59:J68)</f>
        <v>12.333333333333334</v>
      </c>
      <c r="K69" s="164">
        <f t="shared" si="50"/>
        <v>1565</v>
      </c>
      <c r="L69" s="169">
        <f t="shared" si="50"/>
        <v>127.07264957264958</v>
      </c>
      <c r="M69" s="164">
        <f t="shared" si="50"/>
        <v>12.333333333333334</v>
      </c>
      <c r="N69" s="164">
        <f t="shared" si="50"/>
        <v>1314.5304347825868</v>
      </c>
      <c r="O69" s="169">
        <f t="shared" si="50"/>
        <v>106.45232255666855</v>
      </c>
      <c r="P69" s="170">
        <f>M69-J69</f>
        <v>0</v>
      </c>
      <c r="Q69" s="156">
        <f>N69-K69</f>
        <v>-250.46956521741322</v>
      </c>
      <c r="R69" s="120">
        <f>O69/L69</f>
        <v>0.83772804702406045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-250.46956521741322</v>
      </c>
      <c r="AC69" s="185">
        <f>N69/K69</f>
        <v>0.83995554938184458</v>
      </c>
      <c r="AD69" s="414"/>
    </row>
    <row r="70" spans="1:32" ht="15" customHeight="1">
      <c r="A70" s="465" t="s">
        <v>67</v>
      </c>
      <c r="B70" s="197" t="s">
        <v>45</v>
      </c>
      <c r="C70" s="197"/>
      <c r="D70" s="102" t="s">
        <v>187</v>
      </c>
      <c r="E70" s="103"/>
      <c r="F70" s="197">
        <f>VLOOKUP(D70,廠價表!$C$1:$E$40,3,0)</f>
        <v>50.67</v>
      </c>
      <c r="G70" s="186">
        <v>1427</v>
      </c>
      <c r="H70" s="105">
        <f>F70*G70</f>
        <v>72306.09</v>
      </c>
      <c r="I70" s="186"/>
      <c r="J70" s="107">
        <f>VLOOKUP(D70,產線配置圖!$A$3:$C$39,2,0)</f>
        <v>15</v>
      </c>
      <c r="K70" s="104">
        <f>VLOOKUP(D70,產線配置圖!$A$3:$C$39,3,0)</f>
        <v>1440</v>
      </c>
      <c r="L70" s="108">
        <f>K70/J70</f>
        <v>96</v>
      </c>
      <c r="M70" s="109">
        <v>9</v>
      </c>
      <c r="N70" s="104">
        <f>G70/W70*60</f>
        <v>713.49999999999397</v>
      </c>
      <c r="O70" s="108">
        <f>N70/M70</f>
        <v>79.277777777777104</v>
      </c>
      <c r="P70" s="110">
        <f>M70-J70</f>
        <v>-6</v>
      </c>
      <c r="Q70" s="111">
        <f>O70-L70</f>
        <v>-16.722222222222896</v>
      </c>
      <c r="R70" s="182">
        <f>O70/L70</f>
        <v>0.82581018518517812</v>
      </c>
      <c r="S70" s="419">
        <f>R79</f>
        <v>0.82581018518517812</v>
      </c>
      <c r="T70" s="344">
        <v>0.35069444444444398</v>
      </c>
      <c r="U70" s="344">
        <v>0.43402777777777801</v>
      </c>
      <c r="V70" s="186"/>
      <c r="W70" s="106">
        <f t="shared" si="17"/>
        <v>120.00000000000101</v>
      </c>
      <c r="X70" s="290"/>
      <c r="Y70" s="290"/>
      <c r="Z70" s="469"/>
      <c r="AA70" s="434"/>
      <c r="AB70" s="223">
        <f>N70-K70</f>
        <v>-726.50000000000603</v>
      </c>
      <c r="AC70" s="224">
        <f>N70/K70</f>
        <v>0.49548611111110691</v>
      </c>
      <c r="AD70" s="411">
        <f>AC79</f>
        <v>0.49548611111110691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2"/>
      <c r="U71" s="22"/>
      <c r="V71" s="175"/>
      <c r="W71" s="180">
        <f t="shared" si="17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2"/>
      <c r="U72" s="22"/>
      <c r="V72" s="175"/>
      <c r="W72" s="180">
        <f t="shared" si="17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7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1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7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1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7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1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7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1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7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1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7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>
        <f t="shared" ref="J79:O79" si="52">AVERAGE(J70:J78)</f>
        <v>15</v>
      </c>
      <c r="K79" s="164">
        <f t="shared" si="52"/>
        <v>1440</v>
      </c>
      <c r="L79" s="169">
        <f t="shared" si="52"/>
        <v>96</v>
      </c>
      <c r="M79" s="164">
        <f t="shared" si="52"/>
        <v>9</v>
      </c>
      <c r="N79" s="164">
        <f t="shared" si="52"/>
        <v>713.49999999999397</v>
      </c>
      <c r="O79" s="169">
        <f t="shared" si="52"/>
        <v>79.277777777777104</v>
      </c>
      <c r="P79" s="170">
        <f>M79-J79</f>
        <v>-6</v>
      </c>
      <c r="Q79" s="156">
        <f>N79-K79</f>
        <v>-726.50000000000603</v>
      </c>
      <c r="R79" s="157">
        <f>O79/L79</f>
        <v>0.82581018518517812</v>
      </c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-726.50000000000603</v>
      </c>
      <c r="AC79" s="185">
        <f>N79/K79</f>
        <v>0.49548611111110691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2:B2"/>
    <mergeCell ref="A3:A4"/>
    <mergeCell ref="B3:B4"/>
    <mergeCell ref="D3:E4"/>
    <mergeCell ref="F3:F4"/>
    <mergeCell ref="P1:S2"/>
    <mergeCell ref="T1:Y2"/>
    <mergeCell ref="Z1:AA2"/>
    <mergeCell ref="AB1:AD2"/>
    <mergeCell ref="M3:M4"/>
    <mergeCell ref="Z3:AA4"/>
    <mergeCell ref="AB3:AB4"/>
    <mergeCell ref="P3:P4"/>
    <mergeCell ref="Q3:Q4"/>
    <mergeCell ref="R3:R4"/>
    <mergeCell ref="S3:S4"/>
    <mergeCell ref="T3:U3"/>
    <mergeCell ref="V3:V4"/>
    <mergeCell ref="W3:W4"/>
    <mergeCell ref="X3:Y3"/>
    <mergeCell ref="AC3:AC4"/>
    <mergeCell ref="J1:L2"/>
    <mergeCell ref="M1:O2"/>
    <mergeCell ref="H3:H4"/>
    <mergeCell ref="I3:I4"/>
    <mergeCell ref="J3:J4"/>
    <mergeCell ref="K3:K4"/>
    <mergeCell ref="L3:L4"/>
    <mergeCell ref="N3:N4"/>
    <mergeCell ref="O3:O4"/>
    <mergeCell ref="G3:G4"/>
    <mergeCell ref="Z10:AA10"/>
    <mergeCell ref="Z11:AA11"/>
    <mergeCell ref="Z12:AA12"/>
    <mergeCell ref="Z13:AA13"/>
    <mergeCell ref="A5:A15"/>
    <mergeCell ref="S5:S15"/>
    <mergeCell ref="Z5:AA5"/>
    <mergeCell ref="AD5:AD15"/>
    <mergeCell ref="Z6:AA6"/>
    <mergeCell ref="Z7:AA7"/>
    <mergeCell ref="Z8:AA8"/>
    <mergeCell ref="Z9:AA9"/>
    <mergeCell ref="Z14:AA14"/>
    <mergeCell ref="D15:E15"/>
    <mergeCell ref="Z15:AA15"/>
    <mergeCell ref="AD3:AD4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Z44:AA44"/>
    <mergeCell ref="A27:A37"/>
    <mergeCell ref="S27:S37"/>
    <mergeCell ref="Z27:AA27"/>
    <mergeCell ref="D37:E37"/>
    <mergeCell ref="Z37:AA37"/>
    <mergeCell ref="D26:E26"/>
    <mergeCell ref="Z26:AA26"/>
    <mergeCell ref="A16:A26"/>
    <mergeCell ref="S16:S26"/>
    <mergeCell ref="Z16:AA16"/>
    <mergeCell ref="A38:A48"/>
    <mergeCell ref="S38:S48"/>
    <mergeCell ref="Z38:AA38"/>
    <mergeCell ref="Z45:AA45"/>
    <mergeCell ref="Z46:AA46"/>
    <mergeCell ref="Z47:AA47"/>
    <mergeCell ref="D48:E48"/>
    <mergeCell ref="Z48:AA48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AD38:AD48"/>
    <mergeCell ref="Z39:AA39"/>
    <mergeCell ref="Z40:AA40"/>
    <mergeCell ref="Z41:AA41"/>
    <mergeCell ref="Z42:AA42"/>
    <mergeCell ref="Z43:AA43"/>
    <mergeCell ref="AD59:AD69"/>
    <mergeCell ref="Z60:AA60"/>
    <mergeCell ref="Z61:AA61"/>
    <mergeCell ref="Z62:AA62"/>
    <mergeCell ref="Z63:AA63"/>
    <mergeCell ref="Z64:AA64"/>
    <mergeCell ref="Z65:AA65"/>
    <mergeCell ref="A49:A58"/>
    <mergeCell ref="S49:S58"/>
    <mergeCell ref="Z49:AA49"/>
    <mergeCell ref="D58:E5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A70:A79"/>
    <mergeCell ref="S70:S79"/>
    <mergeCell ref="Z70:AA70"/>
    <mergeCell ref="D79:E79"/>
    <mergeCell ref="A59:A69"/>
    <mergeCell ref="S59:S69"/>
    <mergeCell ref="Z59:AA59"/>
    <mergeCell ref="Z66:AA66"/>
    <mergeCell ref="Z67:AA67"/>
    <mergeCell ref="Z68:AA68"/>
    <mergeCell ref="D69:E69"/>
    <mergeCell ref="Z69:AA6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0" type="noConversion"/>
  <conditionalFormatting sqref="P5:P79">
    <cfRule type="cellIs" dxfId="58" priority="1" operator="greaterThan">
      <formula>0</formula>
    </cfRule>
  </conditionalFormatting>
  <conditionalFormatting sqref="Q5:Q79 AB5:AB79">
    <cfRule type="cellIs" dxfId="57" priority="4" operator="lessThan">
      <formula>0</formula>
    </cfRule>
  </conditionalFormatting>
  <conditionalFormatting sqref="R5:R79 AC5:AC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D59:AD62 S69:S76 AD69:AD76">
    <cfRule type="cellIs" dxfId="54" priority="7" operator="lessThan">
      <formula>0.8</formula>
    </cfRule>
  </conditionalFormatting>
  <conditionalFormatting sqref="S19:S25 AD19:AD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D5:AD8 S15:S16 AD15:AD16 AD49 AD79">
    <cfRule type="cellIs" dxfId="51" priority="9" operator="lessThan">
      <formula>0.8</formula>
    </cfRule>
  </conditionalFormatting>
  <conditionalFormatting sqref="AD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zoomScale="70" zoomScaleNormal="70" workbookViewId="0">
      <selection activeCell="A2" sqref="A1:K2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29" width="8.08984375" style="201" customWidth="1"/>
    <col min="30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46018</v>
      </c>
      <c r="E3" s="357"/>
      <c r="F3" s="202" t="s">
        <v>84</v>
      </c>
      <c r="G3" s="358">
        <f>'1227'!E1</f>
        <v>46400</v>
      </c>
      <c r="H3" s="358"/>
      <c r="I3" s="202" t="s">
        <v>2</v>
      </c>
      <c r="J3" s="359">
        <f>'1227'!G1</f>
        <v>2253096.0299999998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109.4481806420274</v>
      </c>
      <c r="G6" s="367"/>
      <c r="H6" s="360">
        <f>AVERAGE(D13:H13)</f>
        <v>108.44572212960759</v>
      </c>
      <c r="I6" s="360"/>
      <c r="J6" s="360">
        <f>AVERAGE(I13:J13)</f>
        <v>111.95432692307692</v>
      </c>
      <c r="K6" s="360"/>
      <c r="L6" s="205"/>
    </row>
    <row r="7" spans="2:15" ht="39.65" customHeight="1">
      <c r="B7" s="353"/>
      <c r="C7" s="353"/>
      <c r="D7" s="361" t="s">
        <v>93</v>
      </c>
      <c r="E7" s="361"/>
      <c r="F7" s="362">
        <f>AVERAGE(D14:J14)</f>
        <v>94.149593675067834</v>
      </c>
      <c r="G7" s="362"/>
      <c r="H7" s="363">
        <f>AVERAGE(D14:H14)</f>
        <v>96.424729779329368</v>
      </c>
      <c r="I7" s="363"/>
      <c r="J7" s="363">
        <f>AVERAGE(I14:J14)</f>
        <v>88.461753414413977</v>
      </c>
      <c r="K7" s="363"/>
    </row>
    <row r="8" spans="2:15" ht="39.65" customHeight="1">
      <c r="B8" s="353"/>
      <c r="C8" s="353"/>
      <c r="D8" s="361" t="s">
        <v>24</v>
      </c>
      <c r="E8" s="361"/>
      <c r="F8" s="364">
        <f>AVERAGE(D15:J15)</f>
        <v>0.85992557526715674</v>
      </c>
      <c r="G8" s="364"/>
      <c r="H8" s="364">
        <f>AVERAGE(D15:H15)</f>
        <v>0.88594085167798231</v>
      </c>
      <c r="I8" s="364"/>
      <c r="J8" s="364">
        <f>AVERAGE(I15:J15)</f>
        <v>0.79488738424009275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VALUE('1227'!L15)</f>
        <v>123.83257918552036</v>
      </c>
      <c r="E13" s="213">
        <f>VALUE('1227'!L26)</f>
        <v>162.27564102564102</v>
      </c>
      <c r="F13" s="213">
        <f>VALUE('1227'!L37)</f>
        <v>83.236111111111114</v>
      </c>
      <c r="G13" s="213">
        <f>VALUE('1227'!L48)</f>
        <v>87.285380116959061</v>
      </c>
      <c r="H13" s="213">
        <f>VALUE('1227'!L58)</f>
        <v>85.59889920880633</v>
      </c>
      <c r="I13" s="213">
        <f>VALUE('1227'!L69)</f>
        <v>127.90865384615384</v>
      </c>
      <c r="J13" s="213">
        <f>'1227'!L79</f>
        <v>96</v>
      </c>
    </row>
    <row r="14" spans="2:15" ht="40" customHeight="1">
      <c r="B14" s="376"/>
      <c r="C14" s="212" t="s">
        <v>106</v>
      </c>
      <c r="D14" s="213">
        <f>VALUE('1227'!O15)</f>
        <v>105.54546820502537</v>
      </c>
      <c r="E14" s="213">
        <f>VALUE('1227'!O26)</f>
        <v>150.38680815697262</v>
      </c>
      <c r="F14" s="213">
        <f>VALUE('1227'!O37)</f>
        <v>73.665270974006219</v>
      </c>
      <c r="G14" s="213">
        <f>VALUE('1227'!O48)</f>
        <v>71.956643426601502</v>
      </c>
      <c r="H14" s="213">
        <f>VALUE('1227'!O58)</f>
        <v>80.56945813404117</v>
      </c>
      <c r="I14" s="213">
        <f>VALUE('1227'!O69)</f>
        <v>97.429253955265196</v>
      </c>
      <c r="J14" s="213">
        <f>'1227'!O79</f>
        <v>79.494252873562743</v>
      </c>
    </row>
    <row r="15" spans="2:15" ht="40" customHeight="1">
      <c r="B15" s="377"/>
      <c r="C15" s="210" t="s">
        <v>23</v>
      </c>
      <c r="D15" s="231">
        <f>D14/D13</f>
        <v>0.85232391103557603</v>
      </c>
      <c r="E15" s="231">
        <f t="shared" ref="E15:J15" si="0">E14/E13</f>
        <v>0.92673679922922103</v>
      </c>
      <c r="F15" s="231">
        <f t="shared" si="0"/>
        <v>0.88501577008650889</v>
      </c>
      <c r="G15" s="231">
        <f t="shared" si="0"/>
        <v>0.82438368636514336</v>
      </c>
      <c r="H15" s="231">
        <f t="shared" si="0"/>
        <v>0.94124409167346235</v>
      </c>
      <c r="I15" s="231">
        <f t="shared" si="0"/>
        <v>0.7617096343805736</v>
      </c>
      <c r="J15" s="231">
        <f t="shared" si="0"/>
        <v>0.82806513409961191</v>
      </c>
    </row>
    <row r="16" spans="2:15" ht="17.25" customHeight="1">
      <c r="B16" s="378" t="s">
        <v>107</v>
      </c>
      <c r="C16" s="210" t="s">
        <v>29</v>
      </c>
      <c r="D16" s="95">
        <f>'1227'!T5</f>
        <v>0.34166666666666701</v>
      </c>
      <c r="E16" s="95">
        <f>'1227'!T16</f>
        <v>0.29027777777777802</v>
      </c>
      <c r="F16" s="95">
        <f>'1227'!T27</f>
        <v>0.29166666666666702</v>
      </c>
      <c r="G16" s="95">
        <f>'1227'!T38</f>
        <v>0.33263888888888898</v>
      </c>
      <c r="H16" s="95">
        <f>'1227'!T49</f>
        <v>0.29166666666666702</v>
      </c>
      <c r="I16" s="95">
        <f>'1227'!T59</f>
        <v>0.29166666666666702</v>
      </c>
      <c r="J16" s="269">
        <f>'1227'!T70</f>
        <v>0.35069444444444398</v>
      </c>
    </row>
    <row r="17" spans="2:10" ht="17.25" customHeight="1">
      <c r="B17" s="379"/>
      <c r="C17" s="210" t="s">
        <v>30</v>
      </c>
      <c r="D17" s="95">
        <v>0.66388888888888897</v>
      </c>
      <c r="E17" s="44">
        <v>0.59861111111111098</v>
      </c>
      <c r="F17" s="44">
        <v>0.61180555555555605</v>
      </c>
      <c r="G17" s="349">
        <v>0.59722222222222199</v>
      </c>
      <c r="H17" s="351">
        <v>0.65</v>
      </c>
      <c r="I17" s="22">
        <v>0.56944444444444398</v>
      </c>
      <c r="J17" s="344">
        <v>0.45138888888888901</v>
      </c>
    </row>
    <row r="18" spans="2:10" ht="17.25" customHeight="1">
      <c r="B18" s="365" t="s">
        <v>108</v>
      </c>
      <c r="C18" s="366"/>
      <c r="D18" s="214">
        <f>VALUE('1227'!M15)</f>
        <v>14.6</v>
      </c>
      <c r="E18" s="214">
        <f>VALUE('1227'!M26)</f>
        <v>12.5</v>
      </c>
      <c r="F18" s="214">
        <f>VALUE('1227'!M37)</f>
        <v>14.25</v>
      </c>
      <c r="G18" s="214">
        <f>VALUE('1227'!M48)</f>
        <v>15</v>
      </c>
      <c r="H18" s="214">
        <f>VALUE('1227'!M58)</f>
        <v>17.600000000000001</v>
      </c>
      <c r="I18" s="214">
        <f>VALUE('1227'!M69)</f>
        <v>12.25</v>
      </c>
      <c r="J18" s="214">
        <f>'1227'!M79</f>
        <v>9</v>
      </c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 t="s">
        <v>114</v>
      </c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0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F92"/>
  <sheetViews>
    <sheetView zoomScale="69" zoomScaleNormal="69" workbookViewId="0">
      <pane xSplit="5" ySplit="4" topLeftCell="P56" activePane="bottomRight" state="frozen"/>
      <selection activeCell="A2" sqref="A1:K2"/>
      <selection pane="topRight" activeCell="A2" sqref="A1:K2"/>
      <selection pane="bottomLeft" activeCell="A2" sqref="A1:K2"/>
      <selection pane="bottomRight" activeCell="V61" activeCellId="12" sqref="V6 V7 V9 V17 V18 V28 V29 V39 V50 V51 V53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38" width="7.90625" style="6" customWidth="1"/>
    <col min="39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46400</v>
      </c>
      <c r="F1" s="175" t="s">
        <v>2</v>
      </c>
      <c r="G1" s="4">
        <f>SUM(H5:H79)</f>
        <v>2253096.0299999998</v>
      </c>
      <c r="H1" s="173" t="s">
        <v>3</v>
      </c>
      <c r="I1" s="5">
        <f>M15+M26+M48+M58+M69+M79+M37</f>
        <v>95.2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192</v>
      </c>
      <c r="B2" s="404"/>
      <c r="C2" s="174"/>
      <c r="D2" s="174" t="s">
        <v>11</v>
      </c>
      <c r="E2" s="7">
        <f>AVERAGE(O15,O26,O37,O48,O58,O69,O79)</f>
        <v>94.149593675067834</v>
      </c>
      <c r="F2" s="8" t="s">
        <v>12</v>
      </c>
      <c r="G2" s="9">
        <f>G1/E1</f>
        <v>48.558104094827584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93" t="s">
        <v>16</v>
      </c>
      <c r="E3" s="493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90" t="s">
        <v>26</v>
      </c>
      <c r="W3" s="391" t="s">
        <v>27</v>
      </c>
      <c r="X3" s="492" t="s">
        <v>28</v>
      </c>
      <c r="Y3" s="492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494"/>
      <c r="E4" s="494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491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">
        <v>45</v>
      </c>
      <c r="C5" s="315"/>
      <c r="D5" s="329" t="s">
        <v>33</v>
      </c>
      <c r="E5" s="316"/>
      <c r="F5" s="299">
        <f>VLOOKUP(D5,廠價表!$C$1:$E$40,3,0)</f>
        <v>57.21</v>
      </c>
      <c r="G5" s="317">
        <v>1490</v>
      </c>
      <c r="H5" s="318">
        <f>F5*G5</f>
        <v>85242.9</v>
      </c>
      <c r="I5" s="319"/>
      <c r="J5" s="320">
        <f>VLOOKUP(D5,產線配置圖!$A$3:$C$39,2,0)</f>
        <v>17</v>
      </c>
      <c r="K5" s="321">
        <f>VLOOKUP(D5,產線配置圖!$A$3:$C$39,3,0)</f>
        <v>1895</v>
      </c>
      <c r="L5" s="322">
        <f>K5/J5</f>
        <v>111.47058823529412</v>
      </c>
      <c r="M5" s="323">
        <v>17</v>
      </c>
      <c r="N5" s="321">
        <f t="shared" ref="N5:N8" si="0">G5/W5*60</f>
        <v>1686.7924528302149</v>
      </c>
      <c r="O5" s="322">
        <f t="shared" ref="O5:O8" si="1">N5/M5</f>
        <v>99.223085460600871</v>
      </c>
      <c r="P5" s="324">
        <f t="shared" ref="P5:P8" si="2">M5-J5</f>
        <v>0</v>
      </c>
      <c r="Q5" s="325">
        <f t="shared" ref="Q5:Q8" si="3">O5-L5</f>
        <v>-12.247502774693245</v>
      </c>
      <c r="R5" s="326">
        <f t="shared" ref="R5:R8" si="4">O5/L5</f>
        <v>0.89012794344602364</v>
      </c>
      <c r="S5" s="419">
        <f>R15</f>
        <v>0.85232391103557603</v>
      </c>
      <c r="T5" s="346">
        <v>0.34166666666666701</v>
      </c>
      <c r="U5" s="347">
        <v>0.37847222222222199</v>
      </c>
      <c r="V5" s="192"/>
      <c r="W5" s="106">
        <f t="shared" ref="W5:W14" si="5">(U5-T5)*24*60</f>
        <v>52.999999999999176</v>
      </c>
      <c r="X5" s="186"/>
      <c r="Y5" s="186"/>
      <c r="Z5" s="425"/>
      <c r="AA5" s="425"/>
      <c r="AB5" s="110">
        <f>N5-K5</f>
        <v>-208.20754716978513</v>
      </c>
      <c r="AC5" s="182">
        <f>N5/K5</f>
        <v>0.89012794344602364</v>
      </c>
      <c r="AD5" s="411">
        <f>AC15</f>
        <v>0.8554174509384409</v>
      </c>
    </row>
    <row r="6" spans="1:30" ht="15" customHeight="1">
      <c r="A6" s="408"/>
      <c r="B6" s="304" t="s">
        <v>45</v>
      </c>
      <c r="C6" s="246"/>
      <c r="D6" s="11" t="s">
        <v>49</v>
      </c>
      <c r="E6" s="248"/>
      <c r="F6" s="305">
        <f>VLOOKUP(D6,廠價表!$C$1:$E$40,3,0)</f>
        <v>47.71</v>
      </c>
      <c r="G6" s="306">
        <v>1309</v>
      </c>
      <c r="H6" s="307">
        <f>F6*G6</f>
        <v>62452.39</v>
      </c>
      <c r="I6" s="308"/>
      <c r="J6" s="309">
        <f>VLOOKUP(D6,產線配置圖!$A$3:$C$39,2,0)</f>
        <v>15</v>
      </c>
      <c r="K6" s="14">
        <f>VLOOKUP(D6,產線配置圖!$A$3:$C$39,3,0)</f>
        <v>1500</v>
      </c>
      <c r="L6" s="310">
        <f>K6/J6</f>
        <v>100</v>
      </c>
      <c r="M6" s="311">
        <v>15</v>
      </c>
      <c r="N6" s="306">
        <f t="shared" si="0"/>
        <v>1208.3076923076892</v>
      </c>
      <c r="O6" s="310">
        <f t="shared" si="1"/>
        <v>80.553846153845953</v>
      </c>
      <c r="P6" s="312">
        <f t="shared" si="2"/>
        <v>0</v>
      </c>
      <c r="Q6" s="313">
        <f t="shared" si="3"/>
        <v>-19.446153846154047</v>
      </c>
      <c r="R6" s="314">
        <f t="shared" si="4"/>
        <v>0.80553846153845954</v>
      </c>
      <c r="S6" s="420"/>
      <c r="T6" s="267">
        <v>0.38611111111111102</v>
      </c>
      <c r="U6" s="267">
        <v>0.43125000000000002</v>
      </c>
      <c r="V6" s="175">
        <f>(T6-U5)*24*60</f>
        <v>11.000000000000201</v>
      </c>
      <c r="W6" s="180">
        <f t="shared" si="5"/>
        <v>65.000000000000171</v>
      </c>
      <c r="X6" s="22"/>
      <c r="Y6" s="22"/>
      <c r="Z6" s="391"/>
      <c r="AA6" s="391"/>
      <c r="AB6" s="18">
        <f>N6-K6</f>
        <v>-291.69230769231081</v>
      </c>
      <c r="AC6" s="183">
        <f>N6/K6</f>
        <v>0.80553846153845943</v>
      </c>
      <c r="AD6" s="412"/>
    </row>
    <row r="7" spans="1:30" ht="15" customHeight="1">
      <c r="A7" s="408"/>
      <c r="B7" s="56" t="s">
        <v>45</v>
      </c>
      <c r="C7" s="10"/>
      <c r="D7" s="11" t="s">
        <v>34</v>
      </c>
      <c r="E7" s="86"/>
      <c r="F7" s="56">
        <f>VLOOKUP(D7,廠價表!$C$1:$E$40,3,0)</f>
        <v>49.14</v>
      </c>
      <c r="G7" s="25">
        <v>1531</v>
      </c>
      <c r="H7" s="15">
        <f t="shared" ref="H7:H9" si="6">F7*G7</f>
        <v>75233.34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1331.3043478261054</v>
      </c>
      <c r="O7" s="17">
        <f t="shared" si="1"/>
        <v>102.40802675585427</v>
      </c>
      <c r="P7" s="18">
        <f t="shared" si="2"/>
        <v>0</v>
      </c>
      <c r="Q7" s="19">
        <f t="shared" si="3"/>
        <v>-51.438127090299574</v>
      </c>
      <c r="R7" s="183">
        <f t="shared" si="4"/>
        <v>0.66565217391305276</v>
      </c>
      <c r="S7" s="420"/>
      <c r="T7" s="95">
        <v>0.44166666666666698</v>
      </c>
      <c r="U7" s="95">
        <v>0.48958333333333298</v>
      </c>
      <c r="V7" s="175">
        <f>(T7-U6)*24*60</f>
        <v>15.000000000000426</v>
      </c>
      <c r="W7" s="180">
        <f t="shared" si="5"/>
        <v>68.999999999999034</v>
      </c>
      <c r="X7" s="22"/>
      <c r="Y7" s="22"/>
      <c r="Z7" s="405" t="s">
        <v>193</v>
      </c>
      <c r="AA7" s="405"/>
      <c r="AB7" s="18">
        <f>N7-K7</f>
        <v>-668.69565217389459</v>
      </c>
      <c r="AC7" s="183">
        <f>N7/K7</f>
        <v>0.66565217391305276</v>
      </c>
      <c r="AD7" s="412"/>
    </row>
    <row r="8" spans="1:30" ht="15" customHeight="1">
      <c r="A8" s="408"/>
      <c r="B8" s="56" t="s">
        <v>45</v>
      </c>
      <c r="C8" s="10"/>
      <c r="D8" s="11" t="s">
        <v>34</v>
      </c>
      <c r="E8" s="86"/>
      <c r="F8" s="56">
        <f>VLOOKUP(D8,廠價表!$C$1:$E$40,3,0)</f>
        <v>49.14</v>
      </c>
      <c r="G8" s="25">
        <v>2996</v>
      </c>
      <c r="H8" s="15">
        <f t="shared" si="6"/>
        <v>147223.44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1953.9130434782576</v>
      </c>
      <c r="O8" s="17">
        <f t="shared" si="1"/>
        <v>150.30100334448136</v>
      </c>
      <c r="P8" s="18">
        <f t="shared" si="2"/>
        <v>0</v>
      </c>
      <c r="Q8" s="19">
        <f t="shared" si="3"/>
        <v>-3.5451505016724809</v>
      </c>
      <c r="R8" s="183">
        <f t="shared" si="4"/>
        <v>0.97695652173912884</v>
      </c>
      <c r="S8" s="420"/>
      <c r="T8" s="95">
        <v>0.55000000000000004</v>
      </c>
      <c r="U8" s="95">
        <v>0.61388888888888904</v>
      </c>
      <c r="V8" s="175">
        <f t="shared" ref="V8:V9" si="7">(T8-U7)*24*60</f>
        <v>87.000000000000568</v>
      </c>
      <c r="W8" s="180">
        <f t="shared" si="5"/>
        <v>92.000000000000156</v>
      </c>
      <c r="X8" s="22"/>
      <c r="Y8" s="260"/>
      <c r="Z8" s="415"/>
      <c r="AA8" s="415"/>
      <c r="AB8" s="18">
        <f>N8-K8</f>
        <v>-46.086956521742422</v>
      </c>
      <c r="AC8" s="183">
        <f>N8/K8</f>
        <v>0.97695652173912884</v>
      </c>
      <c r="AD8" s="412"/>
    </row>
    <row r="9" spans="1:30" ht="15" customHeight="1">
      <c r="A9" s="409"/>
      <c r="B9" s="56" t="s">
        <v>45</v>
      </c>
      <c r="C9" s="10"/>
      <c r="D9" s="11" t="s">
        <v>49</v>
      </c>
      <c r="E9" s="86"/>
      <c r="F9" s="56">
        <f>VLOOKUP(D9,廠價表!$C$1:$E$40,3,0)</f>
        <v>47.71</v>
      </c>
      <c r="G9" s="25">
        <v>1381</v>
      </c>
      <c r="H9" s="15">
        <f t="shared" si="6"/>
        <v>65887.509999999995</v>
      </c>
      <c r="I9" s="180"/>
      <c r="J9" s="16">
        <f>VLOOKUP(D9,產線配置圖!$A$3:$C$39,2,0)</f>
        <v>15</v>
      </c>
      <c r="K9" s="14">
        <f>VLOOKUP(D9,產線配置圖!$A$3:$C$39,3,0)</f>
        <v>1500</v>
      </c>
      <c r="L9" s="17">
        <f>K9/J9</f>
        <v>100</v>
      </c>
      <c r="M9" s="178">
        <v>15</v>
      </c>
      <c r="N9" s="14">
        <f>G9/W9*60</f>
        <v>1428.6206896551657</v>
      </c>
      <c r="O9" s="17">
        <f>N9/M9</f>
        <v>95.241379310344385</v>
      </c>
      <c r="P9" s="18">
        <f>M9-J9</f>
        <v>0</v>
      </c>
      <c r="Q9" s="19">
        <f>O9-L9</f>
        <v>-4.7586206896556149</v>
      </c>
      <c r="R9" s="183">
        <f>O9/L9</f>
        <v>0.95241379310344387</v>
      </c>
      <c r="S9" s="421"/>
      <c r="T9" s="95">
        <v>0.62361111111111101</v>
      </c>
      <c r="U9" s="95">
        <v>0.66388888888888897</v>
      </c>
      <c r="V9" s="175">
        <f t="shared" si="7"/>
        <v>13.999999999999631</v>
      </c>
      <c r="W9" s="180">
        <f t="shared" si="5"/>
        <v>58.00000000000027</v>
      </c>
      <c r="X9" s="22">
        <v>0.5</v>
      </c>
      <c r="Y9" s="260">
        <v>0.54166666666666696</v>
      </c>
      <c r="Z9" s="416"/>
      <c r="AA9" s="416"/>
      <c r="AB9" s="18">
        <f>N9-K9</f>
        <v>-71.379310344834266</v>
      </c>
      <c r="AC9" s="183">
        <f>N9/K9</f>
        <v>0.95241379310344387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8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8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9">AVERAGE(J5:J14)</f>
        <v>14.6</v>
      </c>
      <c r="K15" s="117">
        <f t="shared" si="9"/>
        <v>1779</v>
      </c>
      <c r="L15" s="114">
        <f t="shared" si="9"/>
        <v>123.83257918552036</v>
      </c>
      <c r="M15" s="117">
        <f t="shared" si="9"/>
        <v>14.6</v>
      </c>
      <c r="N15" s="117">
        <f t="shared" si="9"/>
        <v>1521.7876452194864</v>
      </c>
      <c r="O15" s="114">
        <f t="shared" si="9"/>
        <v>105.54546820502537</v>
      </c>
      <c r="P15" s="118">
        <f t="shared" ref="P15:P19" si="10">M15-J15</f>
        <v>0</v>
      </c>
      <c r="Q15" s="119">
        <f t="shared" ref="Q15:Q19" si="11">O15-L15</f>
        <v>-18.287110980494987</v>
      </c>
      <c r="R15" s="120">
        <f t="shared" ref="R15:R19" si="12">O15/L15</f>
        <v>0.85232391103557603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3">N15-K15</f>
        <v>-257.21235478051358</v>
      </c>
      <c r="AC15" s="185">
        <f t="shared" ref="AC15:AC19" si="14">N15/K15</f>
        <v>0.8554174509384409</v>
      </c>
      <c r="AD15" s="414"/>
    </row>
    <row r="16" spans="1:30" ht="15" customHeight="1">
      <c r="A16" s="439" t="s">
        <v>39</v>
      </c>
      <c r="B16" s="197" t="s">
        <v>45</v>
      </c>
      <c r="C16" s="101"/>
      <c r="D16" s="102" t="s">
        <v>32</v>
      </c>
      <c r="E16" s="103"/>
      <c r="F16" s="197">
        <f>VLOOKUP(D16,廠價表!$C$1:$E$40,3,0)</f>
        <v>57.21</v>
      </c>
      <c r="G16" s="262">
        <v>2122</v>
      </c>
      <c r="H16" s="124">
        <f t="shared" ref="H16:H25" si="15">F16*G16</f>
        <v>121399.62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6">K16/J16</f>
        <v>161.92307692307693</v>
      </c>
      <c r="M16" s="264">
        <v>13</v>
      </c>
      <c r="N16" s="126">
        <f t="shared" ref="N16:N19" si="17">G16/W16*60</f>
        <v>1958.769230769228</v>
      </c>
      <c r="O16" s="127">
        <f>N16/M16</f>
        <v>150.67455621301752</v>
      </c>
      <c r="P16" s="128">
        <f>M16-J16</f>
        <v>0</v>
      </c>
      <c r="Q16" s="129">
        <f t="shared" si="11"/>
        <v>-11.24852071005941</v>
      </c>
      <c r="R16" s="187">
        <f>O16/L16</f>
        <v>0.93053170107801786</v>
      </c>
      <c r="S16" s="431">
        <f>R26</f>
        <v>0.92673679922922103</v>
      </c>
      <c r="T16" s="345">
        <v>0.29027777777777802</v>
      </c>
      <c r="U16" s="345">
        <v>0.33541666666666697</v>
      </c>
      <c r="V16" s="125"/>
      <c r="W16" s="130">
        <f t="shared" ref="W16:W78" si="18">(U16-T16)*24*60</f>
        <v>65.000000000000085</v>
      </c>
      <c r="X16" s="127"/>
      <c r="Y16" s="127"/>
      <c r="Z16" s="425"/>
      <c r="AA16" s="425"/>
      <c r="AB16" s="110">
        <f t="shared" si="13"/>
        <v>-146.23076923077201</v>
      </c>
      <c r="AC16" s="182">
        <f t="shared" si="14"/>
        <v>0.93053170107801808</v>
      </c>
      <c r="AD16" s="411">
        <f>AC26</f>
        <v>0.92798028164085866</v>
      </c>
    </row>
    <row r="17" spans="1:30" ht="15" customHeight="1">
      <c r="A17" s="440"/>
      <c r="B17" s="56" t="s">
        <v>45</v>
      </c>
      <c r="C17" s="10"/>
      <c r="D17" s="11" t="s">
        <v>40</v>
      </c>
      <c r="E17" s="86"/>
      <c r="F17" s="56">
        <f>VLOOKUP(D17,廠價表!$C$1:$E$40,3,0)</f>
        <v>50.67</v>
      </c>
      <c r="G17" s="96">
        <v>3393</v>
      </c>
      <c r="H17" s="15">
        <f t="shared" si="15"/>
        <v>171923.31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6"/>
        <v>153.84615384615384</v>
      </c>
      <c r="M17" s="37">
        <v>13</v>
      </c>
      <c r="N17" s="36">
        <f t="shared" si="17"/>
        <v>1976.5048543689254</v>
      </c>
      <c r="O17" s="38">
        <f t="shared" ref="O17:O19" si="19">N17/M17</f>
        <v>152.03883495145581</v>
      </c>
      <c r="P17" s="39">
        <f t="shared" si="10"/>
        <v>0</v>
      </c>
      <c r="Q17" s="40">
        <f t="shared" si="11"/>
        <v>-1.8073188946980281</v>
      </c>
      <c r="R17" s="188">
        <f t="shared" si="12"/>
        <v>0.98825242718446282</v>
      </c>
      <c r="S17" s="432"/>
      <c r="T17" s="44">
        <v>0.34375</v>
      </c>
      <c r="U17" s="44">
        <v>0.41527777777777802</v>
      </c>
      <c r="V17" s="175">
        <f>(T17-U16)*24*60</f>
        <v>11.999999999999558</v>
      </c>
      <c r="W17" s="43">
        <f t="shared" si="18"/>
        <v>103.00000000000036</v>
      </c>
      <c r="X17" s="44"/>
      <c r="Y17" s="44"/>
      <c r="Z17" s="391"/>
      <c r="AA17" s="391"/>
      <c r="AB17" s="18">
        <f t="shared" si="13"/>
        <v>-23.495145631074593</v>
      </c>
      <c r="AC17" s="183">
        <f t="shared" si="14"/>
        <v>0.98825242718446271</v>
      </c>
      <c r="AD17" s="412"/>
    </row>
    <row r="18" spans="1:30" ht="15" customHeight="1">
      <c r="A18" s="440"/>
      <c r="B18" s="56" t="s">
        <v>45</v>
      </c>
      <c r="C18" s="10"/>
      <c r="D18" s="11" t="s">
        <v>41</v>
      </c>
      <c r="E18" s="86"/>
      <c r="F18" s="56">
        <f>VLOOKUP(D18,廠價表!$C$1:$E$40,3,0)</f>
        <v>50.39</v>
      </c>
      <c r="G18" s="96">
        <v>1820</v>
      </c>
      <c r="H18" s="15">
        <f t="shared" si="15"/>
        <v>91709.8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6"/>
        <v>166.66666666666666</v>
      </c>
      <c r="M18" s="37">
        <v>12</v>
      </c>
      <c r="N18" s="36">
        <f t="shared" si="17"/>
        <v>1706.2500000000166</v>
      </c>
      <c r="O18" s="38">
        <f t="shared" si="19"/>
        <v>142.18750000000139</v>
      </c>
      <c r="P18" s="39">
        <f t="shared" si="10"/>
        <v>0</v>
      </c>
      <c r="Q18" s="40">
        <f t="shared" si="11"/>
        <v>-24.479166666665265</v>
      </c>
      <c r="R18" s="188">
        <f t="shared" si="12"/>
        <v>0.85312500000000846</v>
      </c>
      <c r="S18" s="432"/>
      <c r="T18" s="44">
        <v>0.42638888888888898</v>
      </c>
      <c r="U18" s="44">
        <v>0.47083333333333299</v>
      </c>
      <c r="V18" s="175">
        <f>(T18-U17)*24*60</f>
        <v>15.999999999999783</v>
      </c>
      <c r="W18" s="43">
        <f t="shared" si="18"/>
        <v>63.999999999999375</v>
      </c>
      <c r="X18" s="22"/>
      <c r="Y18" s="22"/>
      <c r="Z18" s="415"/>
      <c r="AA18" s="415"/>
      <c r="AB18" s="18">
        <f t="shared" si="13"/>
        <v>-293.7499999999834</v>
      </c>
      <c r="AC18" s="183">
        <f t="shared" si="14"/>
        <v>0.85312500000000835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2569</v>
      </c>
      <c r="H19" s="15">
        <f t="shared" si="15"/>
        <v>129451.91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6"/>
        <v>166.66666666666666</v>
      </c>
      <c r="M19" s="37">
        <v>12</v>
      </c>
      <c r="N19" s="36">
        <f t="shared" si="17"/>
        <v>1879.7560975609897</v>
      </c>
      <c r="O19" s="38">
        <f t="shared" si="19"/>
        <v>156.64634146341581</v>
      </c>
      <c r="P19" s="39">
        <f t="shared" si="10"/>
        <v>0</v>
      </c>
      <c r="Q19" s="40">
        <f t="shared" si="11"/>
        <v>-10.020325203250849</v>
      </c>
      <c r="R19" s="188">
        <f t="shared" si="12"/>
        <v>0.93987804878049486</v>
      </c>
      <c r="S19" s="432"/>
      <c r="T19" s="44">
        <v>0.54166666666666696</v>
      </c>
      <c r="U19" s="44">
        <v>0.59861111111111098</v>
      </c>
      <c r="V19" s="175">
        <f t="shared" ref="V19:V20" si="20">(T19-U18)*24*60</f>
        <v>102.00000000000091</v>
      </c>
      <c r="W19" s="43">
        <f t="shared" si="18"/>
        <v>81.999999999999389</v>
      </c>
      <c r="X19" s="22">
        <v>0.48958333333333298</v>
      </c>
      <c r="Y19" s="260">
        <v>0.53125</v>
      </c>
      <c r="Z19" s="416"/>
      <c r="AA19" s="416"/>
      <c r="AB19" s="18">
        <f t="shared" si="13"/>
        <v>-120.2439024390103</v>
      </c>
      <c r="AC19" s="183">
        <f t="shared" si="14"/>
        <v>0.93987804878049486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1"/>
      <c r="U20" s="41"/>
      <c r="V20" s="175">
        <f t="shared" si="20"/>
        <v>-861.99999999999977</v>
      </c>
      <c r="W20" s="43">
        <f t="shared" si="18"/>
        <v>0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8"/>
        <v>0</v>
      </c>
      <c r="X21" s="42"/>
      <c r="Y21" s="42"/>
      <c r="Z21" s="418"/>
      <c r="AA21" s="405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1">AVERAGE(J16:J25)</f>
        <v>12.5</v>
      </c>
      <c r="K26" s="133">
        <f t="shared" si="21"/>
        <v>2026.25</v>
      </c>
      <c r="L26" s="136">
        <f t="shared" si="21"/>
        <v>162.27564102564102</v>
      </c>
      <c r="M26" s="133">
        <f t="shared" si="21"/>
        <v>12.5</v>
      </c>
      <c r="N26" s="133">
        <f t="shared" si="21"/>
        <v>1880.3200456747898</v>
      </c>
      <c r="O26" s="136">
        <f t="shared" si="21"/>
        <v>150.38680815697262</v>
      </c>
      <c r="P26" s="137">
        <f t="shared" ref="P26:P30" si="22">M26-J26</f>
        <v>0</v>
      </c>
      <c r="Q26" s="138">
        <f t="shared" ref="Q26:Q30" si="23">O26-L26</f>
        <v>-11.888832868668402</v>
      </c>
      <c r="R26" s="139">
        <f t="shared" ref="R26:R30" si="24">O26/L26</f>
        <v>0.92673679922922103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-145.92995432521025</v>
      </c>
      <c r="AC26" s="185">
        <f>N26/K26</f>
        <v>0.92798028164085866</v>
      </c>
      <c r="AD26" s="414"/>
    </row>
    <row r="27" spans="1:30" ht="15" customHeight="1">
      <c r="A27" s="428" t="s">
        <v>44</v>
      </c>
      <c r="B27" s="227" t="s">
        <v>45</v>
      </c>
      <c r="C27" s="101"/>
      <c r="D27" s="102" t="s">
        <v>142</v>
      </c>
      <c r="E27" s="103"/>
      <c r="F27" s="197">
        <f>VLOOKUP(D27,廠價表!$C$1:$E$40,3,0)</f>
        <v>57.3</v>
      </c>
      <c r="G27" s="266">
        <v>3016</v>
      </c>
      <c r="H27" s="124">
        <f t="shared" ref="H27:H39" si="25">F27*G27</f>
        <v>172816.8</v>
      </c>
      <c r="I27" s="125"/>
      <c r="J27" s="16">
        <f>VLOOKUP(D27,產線配置圖!$A$3:$C$39,2,0)</f>
        <v>15</v>
      </c>
      <c r="K27" s="14">
        <f>VLOOKUP(D27,產線配置圖!$A$3:$C$39,3,0)</f>
        <v>1440</v>
      </c>
      <c r="L27" s="108">
        <f>K27/J27</f>
        <v>96</v>
      </c>
      <c r="M27" s="143">
        <v>14</v>
      </c>
      <c r="N27" s="126">
        <f>G27/W27*60</f>
        <v>1248.0000000000059</v>
      </c>
      <c r="O27" s="127">
        <f>N27/M27</f>
        <v>89.142857142857565</v>
      </c>
      <c r="P27" s="128">
        <f t="shared" si="22"/>
        <v>-1</v>
      </c>
      <c r="Q27" s="129">
        <f t="shared" si="23"/>
        <v>-6.8571428571424349</v>
      </c>
      <c r="R27" s="187">
        <f>O27/L27</f>
        <v>0.92857142857143293</v>
      </c>
      <c r="S27" s="431">
        <f>R37</f>
        <v>0.88501577008650889</v>
      </c>
      <c r="T27" s="94">
        <v>0.29166666666666702</v>
      </c>
      <c r="U27" s="94">
        <v>0.39236111111111099</v>
      </c>
      <c r="V27" s="125"/>
      <c r="W27" s="130">
        <f t="shared" si="18"/>
        <v>144.99999999999932</v>
      </c>
      <c r="X27" s="125"/>
      <c r="Y27" s="125" t="s">
        <v>47</v>
      </c>
      <c r="Z27" s="434"/>
      <c r="AA27" s="425"/>
      <c r="AB27" s="223">
        <f>N27-K27</f>
        <v>-191.99999999999409</v>
      </c>
      <c r="AC27" s="288">
        <f>N27/K27</f>
        <v>0.8666666666666708</v>
      </c>
      <c r="AD27" s="411">
        <f>AC37</f>
        <v>0.73262393604621723</v>
      </c>
    </row>
    <row r="28" spans="1:30" ht="15" customHeight="1">
      <c r="A28" s="429"/>
      <c r="B28" s="56" t="s">
        <v>45</v>
      </c>
      <c r="C28" s="10"/>
      <c r="D28" s="11" t="s">
        <v>48</v>
      </c>
      <c r="E28" s="86"/>
      <c r="F28" s="56">
        <f>VLOOKUP(D28,廠價表!$C$1:$E$40,3,0)</f>
        <v>55.13</v>
      </c>
      <c r="G28" s="53">
        <v>1441</v>
      </c>
      <c r="H28" s="50">
        <f t="shared" si="25"/>
        <v>79442.33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13</v>
      </c>
      <c r="N28" s="36">
        <f>G28/W28*60</f>
        <v>982.5000000000025</v>
      </c>
      <c r="O28" s="38">
        <f>N28/M28</f>
        <v>75.576923076923265</v>
      </c>
      <c r="P28" s="39">
        <f t="shared" si="22"/>
        <v>-5</v>
      </c>
      <c r="Q28" s="40">
        <f t="shared" si="23"/>
        <v>-1.3675213675211779</v>
      </c>
      <c r="R28" s="188">
        <f t="shared" si="24"/>
        <v>0.9822271591224685</v>
      </c>
      <c r="S28" s="432"/>
      <c r="T28" s="267">
        <v>0.39930555555555602</v>
      </c>
      <c r="U28" s="267">
        <v>0.46041666666666697</v>
      </c>
      <c r="V28" s="42">
        <f>(T28-U27)*24*60</f>
        <v>10.000000000000844</v>
      </c>
      <c r="W28" s="43">
        <f t="shared" si="18"/>
        <v>87.999999999999773</v>
      </c>
      <c r="X28" s="54"/>
      <c r="Y28" s="54"/>
      <c r="Z28" s="418"/>
      <c r="AA28" s="417"/>
      <c r="AB28" s="39">
        <f>N28-K28</f>
        <v>-402.4999999999975</v>
      </c>
      <c r="AC28" s="188">
        <f>N28/K28</f>
        <v>0.70938628158844941</v>
      </c>
      <c r="AD28" s="444"/>
    </row>
    <row r="29" spans="1:30" ht="15" customHeight="1">
      <c r="A29" s="429"/>
      <c r="B29" s="56" t="s">
        <v>182</v>
      </c>
      <c r="C29" s="10"/>
      <c r="D29" s="11" t="s">
        <v>166</v>
      </c>
      <c r="E29" s="86"/>
      <c r="F29" s="56">
        <f>VLOOKUP(D29,廠價表!$C$1:$E$40,3,0)</f>
        <v>49.52</v>
      </c>
      <c r="G29" s="53">
        <v>634</v>
      </c>
      <c r="H29" s="50">
        <f t="shared" si="25"/>
        <v>31395.68</v>
      </c>
      <c r="I29" s="42"/>
      <c r="J29" s="16">
        <f>VLOOKUP(D29,產線配置圖!$A$3:$C$39,2,0)</f>
        <v>18</v>
      </c>
      <c r="K29" s="14">
        <f>VLOOKUP(D29,產線配置圖!$A$3:$C$39,3,0)</f>
        <v>1440</v>
      </c>
      <c r="L29" s="233">
        <f>K29/J29</f>
        <v>80</v>
      </c>
      <c r="M29" s="21">
        <v>15</v>
      </c>
      <c r="N29" s="36">
        <f>G29/W29*60</f>
        <v>975.38461538462684</v>
      </c>
      <c r="O29" s="38">
        <f>N29/M29</f>
        <v>65.025641025641789</v>
      </c>
      <c r="P29" s="39">
        <f t="shared" si="22"/>
        <v>-3</v>
      </c>
      <c r="Q29" s="40">
        <f t="shared" si="23"/>
        <v>-14.974358974358211</v>
      </c>
      <c r="R29" s="188">
        <f t="shared" si="24"/>
        <v>0.81282051282052237</v>
      </c>
      <c r="S29" s="432"/>
      <c r="T29" s="44">
        <v>0.47291666666666698</v>
      </c>
      <c r="U29" s="44">
        <v>0.5</v>
      </c>
      <c r="V29" s="42">
        <f>(T29-U28)*24*60</f>
        <v>18.000000000000014</v>
      </c>
      <c r="W29" s="43">
        <f t="shared" si="18"/>
        <v>38.999999999999545</v>
      </c>
      <c r="X29" s="22"/>
      <c r="Y29" s="22"/>
      <c r="Z29" s="418"/>
      <c r="AA29" s="417"/>
      <c r="AB29" s="289">
        <f>N29-K29</f>
        <v>-464.61538461537316</v>
      </c>
      <c r="AC29" s="188">
        <f>N29/K29</f>
        <v>0.67735042735043527</v>
      </c>
      <c r="AD29" s="444"/>
    </row>
    <row r="30" spans="1:30" ht="15" customHeight="1">
      <c r="A30" s="429"/>
      <c r="B30" s="56" t="s">
        <v>182</v>
      </c>
      <c r="C30" s="235"/>
      <c r="D30" s="11" t="s">
        <v>166</v>
      </c>
      <c r="E30" s="29"/>
      <c r="F30" s="56">
        <f>VLOOKUP(D30,廠價表!$C$1:$E$40,3,0)</f>
        <v>49.52</v>
      </c>
      <c r="G30" s="53">
        <v>1347</v>
      </c>
      <c r="H30" s="50">
        <f t="shared" si="25"/>
        <v>66703.44</v>
      </c>
      <c r="I30" s="42"/>
      <c r="J30" s="16">
        <f>VLOOKUP(D30,產線配置圖!$A$3:$C$39,2,0)</f>
        <v>18</v>
      </c>
      <c r="K30" s="14">
        <f>VLOOKUP(D30,產線配置圖!$A$3:$C$39,3,0)</f>
        <v>1440</v>
      </c>
      <c r="L30" s="233">
        <f>K30/J30</f>
        <v>80</v>
      </c>
      <c r="M30" s="21">
        <v>15</v>
      </c>
      <c r="N30" s="36">
        <f>G30/W30*60</f>
        <v>973.73493975903409</v>
      </c>
      <c r="O30" s="38">
        <f>N30/M30</f>
        <v>64.915662650602272</v>
      </c>
      <c r="P30" s="39">
        <f t="shared" si="22"/>
        <v>-3</v>
      </c>
      <c r="Q30" s="40">
        <f t="shared" si="23"/>
        <v>-15.084337349397728</v>
      </c>
      <c r="R30" s="188">
        <f t="shared" si="24"/>
        <v>0.81144578313252835</v>
      </c>
      <c r="S30" s="432"/>
      <c r="T30" s="44">
        <v>0.55416666666666703</v>
      </c>
      <c r="U30" s="44">
        <v>0.61180555555555605</v>
      </c>
      <c r="V30" s="42">
        <f>(T30-U29)*24*60</f>
        <v>78.000000000000526</v>
      </c>
      <c r="W30" s="43">
        <f t="shared" si="18"/>
        <v>83.000000000000185</v>
      </c>
      <c r="X30" s="54">
        <v>0.50694444444444398</v>
      </c>
      <c r="Y30" s="54">
        <v>0.54861111111111105</v>
      </c>
      <c r="Z30" s="426"/>
      <c r="AA30" s="446"/>
      <c r="AB30" s="289">
        <f>N30-K30</f>
        <v>-466.26506024096591</v>
      </c>
      <c r="AC30" s="188">
        <f>N30/K30</f>
        <v>0.67620481927710696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4"/>
      <c r="U31" s="44"/>
      <c r="V31" s="42"/>
      <c r="W31" s="43">
        <f t="shared" si="18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4"/>
      <c r="U32" s="44"/>
      <c r="V32" s="42"/>
      <c r="W32" s="43">
        <f t="shared" si="18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/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/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8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5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8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8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6">AVERAGE(J27:J36)</f>
        <v>17.25</v>
      </c>
      <c r="K37" s="282">
        <f t="shared" si="26"/>
        <v>1426.25</v>
      </c>
      <c r="L37" s="283">
        <f t="shared" si="26"/>
        <v>83.236111111111114</v>
      </c>
      <c r="M37" s="282">
        <f t="shared" si="26"/>
        <v>14.25</v>
      </c>
      <c r="N37" s="282">
        <f t="shared" si="26"/>
        <v>1044.9048887859174</v>
      </c>
      <c r="O37" s="283">
        <f t="shared" si="26"/>
        <v>73.665270974006219</v>
      </c>
      <c r="P37" s="73">
        <f>M37-J37</f>
        <v>-3</v>
      </c>
      <c r="Q37" s="74">
        <f>N37-K37</f>
        <v>-381.34511121408264</v>
      </c>
      <c r="R37" s="284">
        <f t="shared" ref="R37:R39" si="27">O37/L37</f>
        <v>0.88501577008650889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0" si="28">N37-K37</f>
        <v>-381.34511121408264</v>
      </c>
      <c r="AC37" s="184">
        <f t="shared" ref="AC37:AC40" si="29">N37/K37</f>
        <v>0.73262393604621723</v>
      </c>
      <c r="AD37" s="413"/>
    </row>
    <row r="38" spans="1:30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1660</v>
      </c>
      <c r="H38" s="124">
        <f t="shared" si="25"/>
        <v>95118</v>
      </c>
      <c r="I38" s="125"/>
      <c r="J38" s="271">
        <f>VLOOKUP(D38,產線配置圖!$A$3:$C$39,2,0)</f>
        <v>15</v>
      </c>
      <c r="K38" s="234">
        <f>VLOOKUP(D38,產線配置圖!$A$3:$C$39,3,0)</f>
        <v>1385</v>
      </c>
      <c r="L38" s="285">
        <f t="shared" ref="L38:L39" si="30">K38/J38</f>
        <v>92.333333333333329</v>
      </c>
      <c r="M38" s="286">
        <v>14</v>
      </c>
      <c r="N38" s="126">
        <f>G38/W38*60</f>
        <v>1094.5054945055022</v>
      </c>
      <c r="O38" s="127">
        <f>N38/M38</f>
        <v>78.178963893250156</v>
      </c>
      <c r="P38" s="128">
        <f t="shared" ref="P38:P39" si="31">M38-J38</f>
        <v>-1</v>
      </c>
      <c r="Q38" s="129">
        <f t="shared" ref="Q38:Q39" si="32">O38-L38</f>
        <v>-14.154369440083173</v>
      </c>
      <c r="R38" s="187">
        <f t="shared" si="27"/>
        <v>0.84670358007130142</v>
      </c>
      <c r="S38" s="460">
        <f>R48</f>
        <v>0.82438368636514336</v>
      </c>
      <c r="T38" s="348">
        <v>0.33263888888888898</v>
      </c>
      <c r="U38" s="348">
        <v>0.39583333333333298</v>
      </c>
      <c r="V38" s="146"/>
      <c r="W38" s="150">
        <f t="shared" si="18"/>
        <v>90.999999999999361</v>
      </c>
      <c r="X38" s="148"/>
      <c r="Y38" s="151"/>
      <c r="Z38" s="462"/>
      <c r="AA38" s="463"/>
      <c r="AB38" s="287">
        <f t="shared" si="28"/>
        <v>-290.49450549449784</v>
      </c>
      <c r="AC38" s="152">
        <f t="shared" si="29"/>
        <v>0.79025667473321459</v>
      </c>
      <c r="AD38" s="447">
        <f>AC48</f>
        <v>0.75787177842247677</v>
      </c>
    </row>
    <row r="39" spans="1:30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1423</v>
      </c>
      <c r="H39" s="50">
        <f t="shared" si="25"/>
        <v>80299.89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0"/>
        <v>93.733333333333334</v>
      </c>
      <c r="M39" s="65">
        <v>14</v>
      </c>
      <c r="N39" s="66">
        <f>G39/W39*60</f>
        <v>1067.2499999999909</v>
      </c>
      <c r="O39" s="67">
        <f>N39/M39</f>
        <v>76.232142857142208</v>
      </c>
      <c r="P39" s="39">
        <f t="shared" si="31"/>
        <v>-1</v>
      </c>
      <c r="Q39" s="40">
        <f t="shared" si="32"/>
        <v>-17.501190476191127</v>
      </c>
      <c r="R39" s="188">
        <f t="shared" si="27"/>
        <v>0.81328744157690835</v>
      </c>
      <c r="S39" s="461"/>
      <c r="T39" s="349">
        <v>0.40625</v>
      </c>
      <c r="U39" s="349">
        <v>0.46180555555555602</v>
      </c>
      <c r="V39" s="42">
        <f>(T39-U38)*24*60</f>
        <v>15.000000000000506</v>
      </c>
      <c r="W39" s="69">
        <f t="shared" si="18"/>
        <v>80.000000000000682</v>
      </c>
      <c r="X39" s="22"/>
      <c r="Y39" s="22"/>
      <c r="Z39" s="450"/>
      <c r="AA39" s="451"/>
      <c r="AB39" s="268">
        <f t="shared" si="28"/>
        <v>-338.75000000000909</v>
      </c>
      <c r="AC39" s="61">
        <f t="shared" si="29"/>
        <v>0.7590682788051144</v>
      </c>
      <c r="AD39" s="448"/>
    </row>
    <row r="40" spans="1:30" ht="15" customHeight="1">
      <c r="A40" s="458"/>
      <c r="B40" s="56" t="s">
        <v>182</v>
      </c>
      <c r="C40" s="272"/>
      <c r="D40" s="276" t="s">
        <v>167</v>
      </c>
      <c r="E40" s="240"/>
      <c r="F40" s="56">
        <f>VLOOKUP(D40,廠價表!$C$1:$E$40,3,0)</f>
        <v>44.3</v>
      </c>
      <c r="G40" s="273">
        <v>1306</v>
      </c>
      <c r="H40" s="50">
        <f>F40*G40</f>
        <v>57855.799999999996</v>
      </c>
      <c r="I40" s="64"/>
      <c r="J40" s="37">
        <f>VLOOKUP(D40,產線配置圖!$A$3:$C$39,2,0)</f>
        <v>19</v>
      </c>
      <c r="K40" s="36">
        <f>VLOOKUP(D40,產線配置圖!$A$3:$C$39,3,0)</f>
        <v>1440</v>
      </c>
      <c r="L40" s="38">
        <f>K40/J40</f>
        <v>75.78947368421052</v>
      </c>
      <c r="M40" s="65">
        <v>17</v>
      </c>
      <c r="N40" s="66">
        <f>G40/W40*60</f>
        <v>1044.8000000000061</v>
      </c>
      <c r="O40" s="67">
        <f>N40/M40</f>
        <v>61.458823529412122</v>
      </c>
      <c r="P40" s="39">
        <f>M40-J40</f>
        <v>-2</v>
      </c>
      <c r="Q40" s="40">
        <f>O40-L40</f>
        <v>-14.330650154798398</v>
      </c>
      <c r="R40" s="188">
        <f>O40/L40</f>
        <v>0.8109150326797433</v>
      </c>
      <c r="S40" s="420"/>
      <c r="T40" s="349">
        <v>0.54513888888888895</v>
      </c>
      <c r="U40" s="349">
        <v>0.59722222222222199</v>
      </c>
      <c r="V40" s="42">
        <f>(T40-U39)*24*60</f>
        <v>119.99999999999942</v>
      </c>
      <c r="W40" s="69">
        <f t="shared" si="18"/>
        <v>74.999999999999574</v>
      </c>
      <c r="X40" s="70">
        <v>0.46875</v>
      </c>
      <c r="Y40" s="256">
        <v>0.51041666666666696</v>
      </c>
      <c r="Z40" s="450"/>
      <c r="AA40" s="451"/>
      <c r="AB40" s="268">
        <f t="shared" si="28"/>
        <v>-395.19999999999391</v>
      </c>
      <c r="AC40" s="61">
        <f t="shared" si="29"/>
        <v>0.72555555555555984</v>
      </c>
      <c r="AD40" s="448"/>
    </row>
    <row r="41" spans="1:30" ht="15" customHeight="1">
      <c r="A41" s="458"/>
      <c r="B41" s="56"/>
      <c r="C41" s="272"/>
      <c r="D41" s="276"/>
      <c r="E41" s="240"/>
      <c r="F41" s="56"/>
      <c r="G41" s="273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88"/>
      <c r="S41" s="420"/>
      <c r="T41" s="349"/>
      <c r="U41" s="349"/>
      <c r="V41" s="42"/>
      <c r="W41" s="69">
        <f t="shared" si="18"/>
        <v>0</v>
      </c>
      <c r="X41" s="70"/>
      <c r="Y41" s="256"/>
      <c r="Z41" s="450"/>
      <c r="AA41" s="451"/>
      <c r="AB41" s="268"/>
      <c r="AC41" s="61"/>
      <c r="AD41" s="448"/>
    </row>
    <row r="42" spans="1:30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350"/>
      <c r="U42" s="350"/>
      <c r="V42" s="42"/>
      <c r="W42" s="69">
        <f t="shared" si="18"/>
        <v>0</v>
      </c>
      <c r="X42" s="70"/>
      <c r="Y42" s="60"/>
      <c r="Z42" s="452"/>
      <c r="AA42" s="453"/>
      <c r="AB42" s="268"/>
      <c r="AC42" s="61"/>
      <c r="AD42" s="448"/>
    </row>
    <row r="43" spans="1:30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ht="15" customHeight="1">
      <c r="A44" s="458"/>
      <c r="B44" s="228"/>
      <c r="C44" s="181"/>
      <c r="D44" s="11"/>
      <c r="E44" s="12"/>
      <c r="F44" s="13"/>
      <c r="G44" s="99"/>
      <c r="H44" s="63">
        <f t="shared" ref="H44:H47" si="33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48"/>
    </row>
    <row r="45" spans="1:30" ht="15" customHeight="1">
      <c r="A45" s="458"/>
      <c r="B45" s="229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48"/>
    </row>
    <row r="46" spans="1:30" ht="15" customHeight="1">
      <c r="A46" s="458"/>
      <c r="B46" s="229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48"/>
    </row>
    <row r="47" spans="1:30" ht="15" customHeight="1">
      <c r="A47" s="458"/>
      <c r="B47" s="228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5">AVERAGE(J38:J47)</f>
        <v>16.333333333333332</v>
      </c>
      <c r="K48" s="133">
        <f t="shared" si="35"/>
        <v>1410.3333333333333</v>
      </c>
      <c r="L48" s="136">
        <f t="shared" si="35"/>
        <v>87.285380116959061</v>
      </c>
      <c r="M48" s="133">
        <f t="shared" si="35"/>
        <v>15</v>
      </c>
      <c r="N48" s="133">
        <f t="shared" si="35"/>
        <v>1068.851831501833</v>
      </c>
      <c r="O48" s="136">
        <f t="shared" si="35"/>
        <v>71.956643426601502</v>
      </c>
      <c r="P48" s="155">
        <f>M48-J48</f>
        <v>-1.3333333333333321</v>
      </c>
      <c r="Q48" s="156">
        <f>N48-K48</f>
        <v>-341.48150183150028</v>
      </c>
      <c r="R48" s="157">
        <f t="shared" ref="R48:R53" si="36">O48/L48</f>
        <v>0.82438368636514336</v>
      </c>
      <c r="S48" s="423"/>
      <c r="T48" s="158"/>
      <c r="U48" s="158"/>
      <c r="V48" s="194"/>
      <c r="W48" s="159">
        <f t="shared" si="34"/>
        <v>0</v>
      </c>
      <c r="X48" s="160"/>
      <c r="Y48" s="160"/>
      <c r="Z48" s="424"/>
      <c r="AA48" s="424"/>
      <c r="AB48" s="161">
        <f t="shared" ref="AB48:AB53" si="37">N48-K48</f>
        <v>-341.48150183150028</v>
      </c>
      <c r="AC48" s="189">
        <f t="shared" ref="AC48:AC53" si="38">N48/K48</f>
        <v>0.75787177842247677</v>
      </c>
      <c r="AD48" s="449"/>
    </row>
    <row r="49" spans="1:30" ht="15" customHeight="1">
      <c r="A49" s="454" t="s">
        <v>57</v>
      </c>
      <c r="B49" s="197" t="s">
        <v>45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1343</v>
      </c>
      <c r="H49" s="124">
        <f t="shared" ref="H49:H57" si="39">F49*G49</f>
        <v>76376.41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1465.090909090927</v>
      </c>
      <c r="O49" s="127">
        <f>N49/M49</f>
        <v>77.110047846890893</v>
      </c>
      <c r="P49" s="162">
        <f>M49-J49</f>
        <v>0</v>
      </c>
      <c r="Q49" s="111">
        <f>O49-L49</f>
        <v>-5.258373205740682</v>
      </c>
      <c r="R49" s="182">
        <f t="shared" si="36"/>
        <v>0.93616032529771698</v>
      </c>
      <c r="S49" s="419">
        <f>R58</f>
        <v>0.94124409167346235</v>
      </c>
      <c r="T49" s="348">
        <v>0.29166666666666702</v>
      </c>
      <c r="U49" s="348">
        <v>0.32986111111111099</v>
      </c>
      <c r="V49" s="186"/>
      <c r="W49" s="150">
        <f t="shared" si="18"/>
        <v>54.999999999999325</v>
      </c>
      <c r="X49" s="186"/>
      <c r="Y49" s="186"/>
      <c r="Z49" s="425"/>
      <c r="AA49" s="425"/>
      <c r="AB49" s="110">
        <f t="shared" si="37"/>
        <v>-99.909090909073029</v>
      </c>
      <c r="AC49" s="182">
        <f t="shared" si="38"/>
        <v>0.93616032529771687</v>
      </c>
      <c r="AD49" s="411">
        <f>AC58</f>
        <v>0.91577251583887753</v>
      </c>
    </row>
    <row r="50" spans="1:30" ht="15" customHeight="1">
      <c r="A50" s="455"/>
      <c r="B50" s="56" t="s">
        <v>182</v>
      </c>
      <c r="C50" s="10"/>
      <c r="D50" s="11" t="s">
        <v>46</v>
      </c>
      <c r="E50" s="86"/>
      <c r="F50" s="56">
        <f>VLOOKUP(D50,廠價表!$C$1:$E$40,3,0)</f>
        <v>49.91</v>
      </c>
      <c r="G50" s="66">
        <v>2215</v>
      </c>
      <c r="H50" s="76">
        <f t="shared" si="39"/>
        <v>110550.65</v>
      </c>
      <c r="I50" s="191"/>
      <c r="J50" s="16">
        <f>VLOOKUP(D50,產線配置圖!$A$3:$C$39,2,0)</f>
        <v>17</v>
      </c>
      <c r="K50" s="14">
        <f>VLOOKUP(D50,產線配置圖!$A$3:$C$39,3,0)</f>
        <v>1565</v>
      </c>
      <c r="L50" s="17">
        <f>K50/J50</f>
        <v>92.058823529411768</v>
      </c>
      <c r="M50" s="172">
        <v>17</v>
      </c>
      <c r="N50" s="77">
        <f>G50/W50*60</f>
        <v>1527.5862068965446</v>
      </c>
      <c r="O50" s="78">
        <f>N50/M50</f>
        <v>89.858012170384981</v>
      </c>
      <c r="P50" s="18">
        <f>M50-J50</f>
        <v>0</v>
      </c>
      <c r="Q50" s="19">
        <f>O50-L50</f>
        <v>-2.2008113590267868</v>
      </c>
      <c r="R50" s="183">
        <f t="shared" si="36"/>
        <v>0.97609342293708923</v>
      </c>
      <c r="S50" s="420"/>
      <c r="T50" s="351">
        <v>0.33611111111111103</v>
      </c>
      <c r="U50" s="351">
        <v>0.39652777777777798</v>
      </c>
      <c r="V50" s="175">
        <f t="shared" ref="V50:V53" si="40">(T50-U49)*24*60</f>
        <v>9.000000000000048</v>
      </c>
      <c r="W50" s="80">
        <f t="shared" si="18"/>
        <v>87.000000000000412</v>
      </c>
      <c r="X50" s="22"/>
      <c r="Y50" s="22"/>
      <c r="Z50" s="417"/>
      <c r="AA50" s="418"/>
      <c r="AB50" s="18">
        <f t="shared" si="37"/>
        <v>-37.413793103455419</v>
      </c>
      <c r="AC50" s="183">
        <f t="shared" si="38"/>
        <v>0.97609342293708923</v>
      </c>
      <c r="AD50" s="412"/>
    </row>
    <row r="51" spans="1:30" ht="15" customHeight="1">
      <c r="A51" s="455"/>
      <c r="B51" s="56" t="s">
        <v>45</v>
      </c>
      <c r="C51" s="10"/>
      <c r="D51" s="11" t="s">
        <v>59</v>
      </c>
      <c r="E51" s="86"/>
      <c r="F51" s="56">
        <f>VLOOKUP(D51,廠價表!$C$1:$E$40,3,0)</f>
        <v>49.97</v>
      </c>
      <c r="G51" s="66">
        <v>2409</v>
      </c>
      <c r="H51" s="76">
        <f t="shared" si="39"/>
        <v>120377.73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>K51/J51</f>
        <v>88.888888888888886</v>
      </c>
      <c r="M51" s="172">
        <v>18</v>
      </c>
      <c r="N51" s="77">
        <f>G51/W51*60</f>
        <v>1571.0869565217363</v>
      </c>
      <c r="O51" s="78">
        <f>N51/M51</f>
        <v>87.282608695652016</v>
      </c>
      <c r="P51" s="18">
        <f>M51-J51</f>
        <v>0</v>
      </c>
      <c r="Q51" s="19">
        <f>O51-L51</f>
        <v>-1.60628019323687</v>
      </c>
      <c r="R51" s="183">
        <f t="shared" si="36"/>
        <v>0.98192934782608521</v>
      </c>
      <c r="S51" s="420"/>
      <c r="T51" s="351">
        <v>0.40347222222222201</v>
      </c>
      <c r="U51" s="44">
        <v>0.46736111111111101</v>
      </c>
      <c r="V51" s="175">
        <f t="shared" si="40"/>
        <v>9.9999999999994049</v>
      </c>
      <c r="W51" s="80">
        <f t="shared" si="18"/>
        <v>92.000000000000156</v>
      </c>
      <c r="X51" s="22"/>
      <c r="Y51" s="22"/>
      <c r="Z51" s="405"/>
      <c r="AA51" s="405"/>
      <c r="AB51" s="18">
        <f t="shared" si="37"/>
        <v>-28.913043478263717</v>
      </c>
      <c r="AC51" s="183">
        <f t="shared" si="38"/>
        <v>0.98192934782608521</v>
      </c>
      <c r="AD51" s="412"/>
    </row>
    <row r="52" spans="1:30" ht="15" customHeight="1">
      <c r="A52" s="455"/>
      <c r="B52" s="56" t="s">
        <v>45</v>
      </c>
      <c r="C52" s="23"/>
      <c r="D52" s="11" t="s">
        <v>59</v>
      </c>
      <c r="E52" s="12"/>
      <c r="F52" s="56">
        <f>VLOOKUP(D52,廠價表!$C$1:$E$40,3,0)</f>
        <v>49.97</v>
      </c>
      <c r="G52" s="66">
        <v>2300</v>
      </c>
      <c r="H52" s="76">
        <f t="shared" si="39"/>
        <v>114931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>K52/J52</f>
        <v>88.888888888888886</v>
      </c>
      <c r="M52" s="172">
        <v>18</v>
      </c>
      <c r="N52" s="77">
        <f>G52/W52*60</f>
        <v>1568.181818181821</v>
      </c>
      <c r="O52" s="78">
        <f>N52/M52</f>
        <v>87.121212121212281</v>
      </c>
      <c r="P52" s="18">
        <f>M52-J52</f>
        <v>0</v>
      </c>
      <c r="Q52" s="19">
        <f>O52-L52</f>
        <v>-1.7676767676766048</v>
      </c>
      <c r="R52" s="183">
        <f t="shared" si="36"/>
        <v>0.98011363636363824</v>
      </c>
      <c r="S52" s="420"/>
      <c r="T52" s="351">
        <v>0.53333333333333299</v>
      </c>
      <c r="U52" s="351">
        <v>0.594444444444444</v>
      </c>
      <c r="V52" s="175">
        <f t="shared" si="40"/>
        <v>94.999999999999659</v>
      </c>
      <c r="W52" s="80">
        <f t="shared" si="18"/>
        <v>87.999999999999844</v>
      </c>
      <c r="X52" s="22">
        <v>0.47916666666666702</v>
      </c>
      <c r="Y52" s="22">
        <v>0.52083333333333304</v>
      </c>
      <c r="Z52" s="405"/>
      <c r="AA52" s="405"/>
      <c r="AB52" s="18">
        <f t="shared" si="37"/>
        <v>-31.818181818179028</v>
      </c>
      <c r="AC52" s="183">
        <f t="shared" si="38"/>
        <v>0.98011363636363813</v>
      </c>
      <c r="AD52" s="412"/>
    </row>
    <row r="53" spans="1:30" ht="15" customHeight="1">
      <c r="A53" s="455"/>
      <c r="B53" s="56" t="s">
        <v>182</v>
      </c>
      <c r="C53" s="23"/>
      <c r="D53" s="11" t="s">
        <v>167</v>
      </c>
      <c r="E53" s="12"/>
      <c r="F53" s="56">
        <f>VLOOKUP(D53,廠價表!$C$1:$E$40,3,0)</f>
        <v>44.3</v>
      </c>
      <c r="G53" s="66">
        <v>1000</v>
      </c>
      <c r="H53" s="76">
        <f>F53*G53</f>
        <v>44300</v>
      </c>
      <c r="I53" s="191"/>
      <c r="J53" s="16">
        <f>VLOOKUP(D53,產線配置圖!$A$3:$C$39,2,0)</f>
        <v>19</v>
      </c>
      <c r="K53" s="14">
        <f>VLOOKUP(D53,產線配置圖!$A$3:$C$39,3,0)</f>
        <v>1440</v>
      </c>
      <c r="L53" s="17">
        <f>K53/J53</f>
        <v>75.78947368421052</v>
      </c>
      <c r="M53" s="172">
        <v>16</v>
      </c>
      <c r="N53" s="77">
        <f>G53/W53*60</f>
        <v>983.60655737705019</v>
      </c>
      <c r="O53" s="78">
        <f>N53/M53</f>
        <v>61.475409836065637</v>
      </c>
      <c r="P53" s="18">
        <f>M53-J53</f>
        <v>-3</v>
      </c>
      <c r="Q53" s="19">
        <f>O53-L53</f>
        <v>-14.314063848144883</v>
      </c>
      <c r="R53" s="183">
        <f t="shared" si="36"/>
        <v>0.81113387978142171</v>
      </c>
      <c r="S53" s="420"/>
      <c r="T53" s="351">
        <v>0.60763888888888895</v>
      </c>
      <c r="U53" s="351">
        <v>0.65</v>
      </c>
      <c r="V53" s="175">
        <f t="shared" si="40"/>
        <v>19.000000000000732</v>
      </c>
      <c r="W53" s="80">
        <f t="shared" si="18"/>
        <v>60.999999999999943</v>
      </c>
      <c r="X53" s="175"/>
      <c r="Y53" s="175"/>
      <c r="Z53" s="417"/>
      <c r="AA53" s="418"/>
      <c r="AB53" s="18">
        <f t="shared" si="37"/>
        <v>-456.39344262294981</v>
      </c>
      <c r="AC53" s="183">
        <f t="shared" si="38"/>
        <v>0.68306010928961824</v>
      </c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39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8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9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8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9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8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9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8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1">AVERAGE(J49:J57)</f>
        <v>18.2</v>
      </c>
      <c r="K58" s="117">
        <f t="shared" si="41"/>
        <v>1554</v>
      </c>
      <c r="L58" s="114">
        <f t="shared" si="41"/>
        <v>85.59889920880633</v>
      </c>
      <c r="M58" s="117">
        <f t="shared" si="41"/>
        <v>17.600000000000001</v>
      </c>
      <c r="N58" s="117">
        <f t="shared" si="41"/>
        <v>1423.1104896136158</v>
      </c>
      <c r="O58" s="114">
        <f t="shared" si="41"/>
        <v>80.56945813404117</v>
      </c>
      <c r="P58" s="118">
        <f>M58-J58</f>
        <v>-0.59999999999999787</v>
      </c>
      <c r="Q58" s="119">
        <f>N58-K58</f>
        <v>-130.88951038638425</v>
      </c>
      <c r="R58" s="120">
        <f t="shared" ref="R58:R59" si="42">O58/L58</f>
        <v>0.94124409167346235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43">N58-K58</f>
        <v>-130.88951038638425</v>
      </c>
      <c r="AC58" s="185">
        <f t="shared" ref="AC58:AC63" si="44">N58/K58</f>
        <v>0.91577251583887753</v>
      </c>
      <c r="AD58" s="414"/>
    </row>
    <row r="59" spans="1:30" ht="15" customHeight="1">
      <c r="A59" s="470" t="s">
        <v>61</v>
      </c>
      <c r="B59" s="197" t="s">
        <v>172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3128</v>
      </c>
      <c r="H59" s="105">
        <f t="shared" ref="H59:H68" si="45">F59*G59</f>
        <v>84424.72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1" si="46">G59/W59*60</f>
        <v>1501.4400000000101</v>
      </c>
      <c r="O59" s="108">
        <f t="shared" ref="O59:O61" si="47">N59/M59</f>
        <v>115.49538461538539</v>
      </c>
      <c r="P59" s="110">
        <f t="shared" ref="P59:P61" si="48">M59-J59</f>
        <v>0</v>
      </c>
      <c r="Q59" s="111">
        <f t="shared" ref="Q59:Q61" si="49">O59-L59</f>
        <v>-4.8892307692299966</v>
      </c>
      <c r="R59" s="182">
        <f t="shared" si="42"/>
        <v>0.95938658146965494</v>
      </c>
      <c r="S59" s="419">
        <f>R69</f>
        <v>0.7617096343805736</v>
      </c>
      <c r="T59" s="344">
        <v>0.29166666666666702</v>
      </c>
      <c r="U59" s="344">
        <v>0.37847222222222199</v>
      </c>
      <c r="V59" s="186"/>
      <c r="W59" s="106">
        <f t="shared" si="18"/>
        <v>124.99999999999916</v>
      </c>
      <c r="X59" s="186"/>
      <c r="Y59" s="186"/>
      <c r="Z59" s="469"/>
      <c r="AA59" s="434"/>
      <c r="AB59" s="223">
        <f t="shared" si="43"/>
        <v>-63.559999999989941</v>
      </c>
      <c r="AC59" s="224">
        <f t="shared" si="44"/>
        <v>0.95938658146965494</v>
      </c>
      <c r="AD59" s="411">
        <f>AC69</f>
        <v>0.76551111413228656</v>
      </c>
    </row>
    <row r="60" spans="1:30" ht="15" customHeight="1">
      <c r="A60" s="471"/>
      <c r="B60" s="56" t="s">
        <v>172</v>
      </c>
      <c r="C60" s="10"/>
      <c r="D60" s="239" t="s">
        <v>63</v>
      </c>
      <c r="E60" s="86"/>
      <c r="F60" s="56">
        <f>VLOOKUP(D60,廠價表!$C$1:$E$40,3,0)</f>
        <v>28.47</v>
      </c>
      <c r="G60" s="175">
        <v>805</v>
      </c>
      <c r="H60" s="15">
        <f t="shared" si="45"/>
        <v>22918.35</v>
      </c>
      <c r="I60" s="81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6"/>
        <v>1027.6595744680817</v>
      </c>
      <c r="O60" s="17">
        <f t="shared" si="47"/>
        <v>85.638297872340146</v>
      </c>
      <c r="P60" s="18">
        <f t="shared" si="48"/>
        <v>0</v>
      </c>
      <c r="Q60" s="19">
        <f t="shared" si="49"/>
        <v>-44.778368794326511</v>
      </c>
      <c r="R60" s="183">
        <f>O60/L60</f>
        <v>0.65665148528311934</v>
      </c>
      <c r="S60" s="474"/>
      <c r="T60" s="22">
        <v>0.38750000000000001</v>
      </c>
      <c r="U60" s="22">
        <v>0.42013888888888901</v>
      </c>
      <c r="V60" s="175">
        <f t="shared" ref="V60:V61" si="50">(T60-U59)*24*60</f>
        <v>13.000000000000353</v>
      </c>
      <c r="W60" s="90">
        <f t="shared" si="18"/>
        <v>47.000000000000156</v>
      </c>
      <c r="X60" s="191"/>
      <c r="Y60" s="191"/>
      <c r="Z60" s="405" t="s">
        <v>55</v>
      </c>
      <c r="AA60" s="405"/>
      <c r="AB60" s="225">
        <f t="shared" si="43"/>
        <v>-537.3404255319183</v>
      </c>
      <c r="AC60" s="226">
        <f t="shared" si="44"/>
        <v>0.65665148528311934</v>
      </c>
      <c r="AD60" s="464"/>
    </row>
    <row r="61" spans="1:30" ht="15" customHeight="1">
      <c r="A61" s="472"/>
      <c r="B61" s="56" t="s">
        <v>172</v>
      </c>
      <c r="C61" s="10"/>
      <c r="D61" s="239" t="s">
        <v>64</v>
      </c>
      <c r="E61" s="86"/>
      <c r="F61" s="56">
        <f>VLOOKUP(D61,廠價表!$C$1:$E$40,3,0)</f>
        <v>28.26</v>
      </c>
      <c r="G61" s="175">
        <v>1343</v>
      </c>
      <c r="H61" s="15">
        <f t="shared" si="45"/>
        <v>37953.18</v>
      </c>
      <c r="I61" s="175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6"/>
        <v>1343.0000000000225</v>
      </c>
      <c r="O61" s="17">
        <f t="shared" si="47"/>
        <v>111.91666666666855</v>
      </c>
      <c r="P61" s="18">
        <f t="shared" si="48"/>
        <v>0</v>
      </c>
      <c r="Q61" s="19">
        <f t="shared" si="49"/>
        <v>-18.49999999999811</v>
      </c>
      <c r="R61" s="183">
        <f>O61/L61</f>
        <v>0.85814696485624453</v>
      </c>
      <c r="S61" s="420"/>
      <c r="T61" s="291">
        <v>0.43055555555555602</v>
      </c>
      <c r="U61" s="291">
        <v>0.47222222222222199</v>
      </c>
      <c r="V61" s="175">
        <f t="shared" si="50"/>
        <v>15.000000000000506</v>
      </c>
      <c r="W61" s="88">
        <f t="shared" si="18"/>
        <v>59.999999999998991</v>
      </c>
      <c r="X61" s="22"/>
      <c r="Y61" s="22"/>
      <c r="Z61" s="405"/>
      <c r="AA61" s="405"/>
      <c r="AB61" s="51">
        <f t="shared" si="43"/>
        <v>-221.99999999997749</v>
      </c>
      <c r="AC61" s="52">
        <f t="shared" si="44"/>
        <v>0.85814696485624442</v>
      </c>
      <c r="AD61" s="412"/>
    </row>
    <row r="62" spans="1:30" ht="15" customHeight="1">
      <c r="A62" s="472"/>
      <c r="B62" s="56" t="s">
        <v>172</v>
      </c>
      <c r="C62" s="23"/>
      <c r="D62" s="239" t="s">
        <v>64</v>
      </c>
      <c r="E62" s="12"/>
      <c r="F62" s="56">
        <f>VLOOKUP(D62,廠價表!$C$1:$E$40,3,0)</f>
        <v>28.26</v>
      </c>
      <c r="G62" s="175">
        <v>690</v>
      </c>
      <c r="H62" s="15">
        <f t="shared" si="45"/>
        <v>19499.400000000001</v>
      </c>
      <c r="I62" s="81"/>
      <c r="J62" s="16">
        <f>VLOOKUP(D62,產線配置圖!$A$3:$C$39,2,0)</f>
        <v>12</v>
      </c>
      <c r="K62" s="14">
        <f>VLOOKUP(D62,產線配置圖!$A$3:$C$39,3,0)</f>
        <v>1565</v>
      </c>
      <c r="L62" s="17">
        <f>K62/J62</f>
        <v>130.41666666666666</v>
      </c>
      <c r="M62" s="178">
        <v>12</v>
      </c>
      <c r="N62" s="14">
        <f>G62/W62*60</f>
        <v>920</v>
      </c>
      <c r="O62" s="17">
        <f>N62/M62</f>
        <v>76.666666666666671</v>
      </c>
      <c r="P62" s="18">
        <f>M62-J62</f>
        <v>0</v>
      </c>
      <c r="Q62" s="19">
        <f>O62-L62</f>
        <v>-53.749999999999986</v>
      </c>
      <c r="R62" s="183">
        <f>O62/L62</f>
        <v>0.58785942492012788</v>
      </c>
      <c r="S62" s="420"/>
      <c r="T62" s="22">
        <v>0.53819444444444398</v>
      </c>
      <c r="U62" s="22">
        <v>0.56944444444444398</v>
      </c>
      <c r="V62" s="175"/>
      <c r="W62" s="90">
        <f t="shared" si="18"/>
        <v>45</v>
      </c>
      <c r="X62" s="22"/>
      <c r="Y62" s="22"/>
      <c r="Z62" s="405" t="s">
        <v>55</v>
      </c>
      <c r="AA62" s="405"/>
      <c r="AB62" s="51">
        <f t="shared" si="43"/>
        <v>-645</v>
      </c>
      <c r="AC62" s="52">
        <f t="shared" si="44"/>
        <v>0.58785942492012777</v>
      </c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>
        <f t="shared" si="45"/>
        <v>0</v>
      </c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2"/>
      <c r="U63" s="22"/>
      <c r="V63" s="175"/>
      <c r="W63" s="90">
        <f t="shared" si="18"/>
        <v>0</v>
      </c>
      <c r="X63" s="84"/>
      <c r="Y63" s="84"/>
      <c r="Z63" s="405"/>
      <c r="AA63" s="405"/>
      <c r="AB63" s="51">
        <f t="shared" si="43"/>
        <v>0</v>
      </c>
      <c r="AC63" s="52" t="e">
        <f t="shared" si="44"/>
        <v>#DIV/0!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>
        <f t="shared" si="45"/>
        <v>0</v>
      </c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8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175"/>
      <c r="C65" s="181"/>
      <c r="D65" s="11"/>
      <c r="E65" s="12"/>
      <c r="F65" s="13"/>
      <c r="G65" s="175"/>
      <c r="H65" s="15">
        <f t="shared" si="45"/>
        <v>0</v>
      </c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8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>
        <f t="shared" si="45"/>
        <v>0</v>
      </c>
      <c r="I66" s="85"/>
      <c r="J66" s="16"/>
      <c r="K66" s="14"/>
      <c r="L66" s="17"/>
      <c r="M66" s="21"/>
      <c r="N66" s="14"/>
      <c r="O66" s="17"/>
      <c r="P66" s="18"/>
      <c r="Q66" s="19"/>
      <c r="R66" s="183"/>
      <c r="S66" s="420"/>
      <c r="T66" s="20"/>
      <c r="U66" s="20"/>
      <c r="V66" s="175"/>
      <c r="W66" s="180">
        <f t="shared" si="18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45"/>
        <v>0</v>
      </c>
      <c r="I67" s="175"/>
      <c r="J67" s="16"/>
      <c r="K67" s="14"/>
      <c r="L67" s="17"/>
      <c r="M67" s="21"/>
      <c r="N67" s="14"/>
      <c r="O67" s="17"/>
      <c r="P67" s="18"/>
      <c r="Q67" s="19"/>
      <c r="R67" s="183"/>
      <c r="S67" s="420"/>
      <c r="T67" s="20"/>
      <c r="U67" s="20"/>
      <c r="V67" s="175"/>
      <c r="W67" s="180">
        <f t="shared" si="18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5"/>
        <v>0</v>
      </c>
      <c r="I68" s="85"/>
      <c r="J68" s="16"/>
      <c r="K68" s="14"/>
      <c r="L68" s="17"/>
      <c r="M68" s="21"/>
      <c r="N68" s="14"/>
      <c r="O68" s="17"/>
      <c r="P68" s="18"/>
      <c r="Q68" s="19"/>
      <c r="R68" s="183"/>
      <c r="S68" s="420"/>
      <c r="T68" s="20"/>
      <c r="U68" s="20"/>
      <c r="V68" s="175"/>
      <c r="W68" s="180">
        <f t="shared" si="18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1">AVERAGE(J59:J68)</f>
        <v>12.25</v>
      </c>
      <c r="K69" s="164">
        <f t="shared" si="51"/>
        <v>1565</v>
      </c>
      <c r="L69" s="169">
        <f t="shared" si="51"/>
        <v>127.90865384615384</v>
      </c>
      <c r="M69" s="164">
        <f t="shared" si="51"/>
        <v>12.25</v>
      </c>
      <c r="N69" s="164">
        <f t="shared" si="51"/>
        <v>1198.0248936170285</v>
      </c>
      <c r="O69" s="169">
        <f t="shared" si="51"/>
        <v>97.429253955265196</v>
      </c>
      <c r="P69" s="170">
        <f>M69-J69</f>
        <v>0</v>
      </c>
      <c r="Q69" s="156">
        <f>N69-K69</f>
        <v>-366.97510638297149</v>
      </c>
      <c r="R69" s="120">
        <f>O69/L69</f>
        <v>0.7617096343805736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-366.97510638297149</v>
      </c>
      <c r="AC69" s="185">
        <f>N69/K69</f>
        <v>0.76551111413228656</v>
      </c>
      <c r="AD69" s="414"/>
    </row>
    <row r="70" spans="1:32" ht="15" customHeight="1">
      <c r="A70" s="465" t="s">
        <v>67</v>
      </c>
      <c r="B70" s="197" t="s">
        <v>45</v>
      </c>
      <c r="C70" s="197"/>
      <c r="D70" s="102" t="s">
        <v>187</v>
      </c>
      <c r="E70" s="103"/>
      <c r="F70" s="197">
        <f>VLOOKUP(D70,廠價表!$C$1:$E$40,3,0)</f>
        <v>50.67</v>
      </c>
      <c r="G70" s="186">
        <v>1729</v>
      </c>
      <c r="H70" s="105">
        <f>F70*G70</f>
        <v>87608.430000000008</v>
      </c>
      <c r="I70" s="186"/>
      <c r="J70" s="107">
        <f>VLOOKUP(D70,產線配置圖!$A$3:$C$39,2,0)</f>
        <v>15</v>
      </c>
      <c r="K70" s="104">
        <f>VLOOKUP(D70,產線配置圖!$A$3:$C$39,3,0)</f>
        <v>1440</v>
      </c>
      <c r="L70" s="108">
        <f>K70/J70</f>
        <v>96</v>
      </c>
      <c r="M70" s="109">
        <v>9</v>
      </c>
      <c r="N70" s="104">
        <f>G70/W70*60</f>
        <v>715.44827586206475</v>
      </c>
      <c r="O70" s="108">
        <f>N70/M70</f>
        <v>79.494252873562743</v>
      </c>
      <c r="P70" s="110">
        <f>M70-J70</f>
        <v>-6</v>
      </c>
      <c r="Q70" s="111">
        <f>O70-L70</f>
        <v>-16.505747126437257</v>
      </c>
      <c r="R70" s="182">
        <f>O70/L70</f>
        <v>0.82806513409961191</v>
      </c>
      <c r="S70" s="419">
        <f>R79</f>
        <v>0.82806513409961191</v>
      </c>
      <c r="T70" s="344">
        <v>0.35069444444444398</v>
      </c>
      <c r="U70" s="344">
        <v>0.45138888888888901</v>
      </c>
      <c r="V70" s="186"/>
      <c r="W70" s="106">
        <f t="shared" si="18"/>
        <v>145.00000000000085</v>
      </c>
      <c r="X70" s="290"/>
      <c r="Y70" s="290"/>
      <c r="Z70" s="469"/>
      <c r="AA70" s="434"/>
      <c r="AB70" s="223">
        <f>N70-K70</f>
        <v>-724.55172413793525</v>
      </c>
      <c r="AC70" s="224">
        <f>N70/K70</f>
        <v>0.49683908045976721</v>
      </c>
      <c r="AD70" s="411">
        <f>AC79</f>
        <v>0.49683908045976721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2"/>
      <c r="U71" s="22"/>
      <c r="V71" s="175"/>
      <c r="W71" s="180">
        <f t="shared" si="18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2"/>
      <c r="U72" s="22"/>
      <c r="V72" s="175"/>
      <c r="W72" s="180">
        <f t="shared" si="18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8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2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8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2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8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2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8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2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8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2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8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>
        <f t="shared" ref="J79:O79" si="53">AVERAGE(J70:J78)</f>
        <v>15</v>
      </c>
      <c r="K79" s="164">
        <f t="shared" si="53"/>
        <v>1440</v>
      </c>
      <c r="L79" s="169">
        <f t="shared" si="53"/>
        <v>96</v>
      </c>
      <c r="M79" s="164">
        <f t="shared" si="53"/>
        <v>9</v>
      </c>
      <c r="N79" s="164">
        <f t="shared" si="53"/>
        <v>715.44827586206475</v>
      </c>
      <c r="O79" s="169">
        <f t="shared" si="53"/>
        <v>79.494252873562743</v>
      </c>
      <c r="P79" s="170">
        <f>M79-J79</f>
        <v>-6</v>
      </c>
      <c r="Q79" s="156">
        <f>N79-K79</f>
        <v>-724.55172413793525</v>
      </c>
      <c r="R79" s="157">
        <f>O79/L79</f>
        <v>0.82806513409961191</v>
      </c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-724.55172413793525</v>
      </c>
      <c r="AC79" s="185">
        <f>N79/K79</f>
        <v>0.49683908045976721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2:B2"/>
    <mergeCell ref="A3:A4"/>
    <mergeCell ref="B3:B4"/>
    <mergeCell ref="D3:E4"/>
    <mergeCell ref="F3:F4"/>
    <mergeCell ref="P1:S2"/>
    <mergeCell ref="T1:Y2"/>
    <mergeCell ref="Z1:AA2"/>
    <mergeCell ref="AB1:AD2"/>
    <mergeCell ref="M3:M4"/>
    <mergeCell ref="Z3:AA4"/>
    <mergeCell ref="AB3:AB4"/>
    <mergeCell ref="P3:P4"/>
    <mergeCell ref="Q3:Q4"/>
    <mergeCell ref="R3:R4"/>
    <mergeCell ref="S3:S4"/>
    <mergeCell ref="T3:U3"/>
    <mergeCell ref="V3:V4"/>
    <mergeCell ref="W3:W4"/>
    <mergeCell ref="X3:Y3"/>
    <mergeCell ref="AC3:AC4"/>
    <mergeCell ref="J1:L2"/>
    <mergeCell ref="M1:O2"/>
    <mergeCell ref="H3:H4"/>
    <mergeCell ref="I3:I4"/>
    <mergeCell ref="J3:J4"/>
    <mergeCell ref="K3:K4"/>
    <mergeCell ref="L3:L4"/>
    <mergeCell ref="N3:N4"/>
    <mergeCell ref="O3:O4"/>
    <mergeCell ref="G3:G4"/>
    <mergeCell ref="Z10:AA10"/>
    <mergeCell ref="Z11:AA11"/>
    <mergeCell ref="Z12:AA12"/>
    <mergeCell ref="Z13:AA13"/>
    <mergeCell ref="A5:A15"/>
    <mergeCell ref="S5:S15"/>
    <mergeCell ref="Z5:AA5"/>
    <mergeCell ref="AD5:AD15"/>
    <mergeCell ref="Z6:AA6"/>
    <mergeCell ref="Z7:AA7"/>
    <mergeCell ref="Z8:AA8"/>
    <mergeCell ref="Z9:AA9"/>
    <mergeCell ref="Z14:AA14"/>
    <mergeCell ref="D15:E15"/>
    <mergeCell ref="Z15:AA15"/>
    <mergeCell ref="AD3:AD4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Z44:AA44"/>
    <mergeCell ref="A27:A37"/>
    <mergeCell ref="S27:S37"/>
    <mergeCell ref="Z27:AA27"/>
    <mergeCell ref="D37:E37"/>
    <mergeCell ref="Z37:AA37"/>
    <mergeCell ref="D26:E26"/>
    <mergeCell ref="Z26:AA26"/>
    <mergeCell ref="A16:A26"/>
    <mergeCell ref="S16:S26"/>
    <mergeCell ref="Z16:AA16"/>
    <mergeCell ref="A38:A48"/>
    <mergeCell ref="S38:S48"/>
    <mergeCell ref="Z38:AA38"/>
    <mergeCell ref="Z45:AA45"/>
    <mergeCell ref="Z46:AA46"/>
    <mergeCell ref="Z47:AA47"/>
    <mergeCell ref="D48:E48"/>
    <mergeCell ref="Z48:AA48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AD38:AD48"/>
    <mergeCell ref="Z39:AA39"/>
    <mergeCell ref="Z40:AA40"/>
    <mergeCell ref="Z41:AA41"/>
    <mergeCell ref="Z42:AA42"/>
    <mergeCell ref="Z43:AA43"/>
    <mergeCell ref="AD59:AD69"/>
    <mergeCell ref="Z60:AA60"/>
    <mergeCell ref="Z61:AA61"/>
    <mergeCell ref="Z62:AA62"/>
    <mergeCell ref="Z63:AA63"/>
    <mergeCell ref="Z64:AA64"/>
    <mergeCell ref="Z65:AA65"/>
    <mergeCell ref="A49:A58"/>
    <mergeCell ref="S49:S58"/>
    <mergeCell ref="Z49:AA49"/>
    <mergeCell ref="D58:E5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A70:A79"/>
    <mergeCell ref="S70:S79"/>
    <mergeCell ref="Z70:AA70"/>
    <mergeCell ref="D79:E79"/>
    <mergeCell ref="A59:A69"/>
    <mergeCell ref="S59:S69"/>
    <mergeCell ref="Z59:AA59"/>
    <mergeCell ref="Z66:AA66"/>
    <mergeCell ref="Z67:AA67"/>
    <mergeCell ref="Z68:AA68"/>
    <mergeCell ref="D69:E69"/>
    <mergeCell ref="Z69:AA6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0" type="noConversion"/>
  <conditionalFormatting sqref="P5:P79">
    <cfRule type="cellIs" dxfId="48" priority="1" operator="greaterThan">
      <formula>0</formula>
    </cfRule>
  </conditionalFormatting>
  <conditionalFormatting sqref="Q5:Q79 AB5:AB79">
    <cfRule type="cellIs" dxfId="47" priority="4" operator="lessThan">
      <formula>0</formula>
    </cfRule>
  </conditionalFormatting>
  <conditionalFormatting sqref="R5:R79 AC5:AC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D59:AD62 S69:S76 AD69:AD76">
    <cfRule type="cellIs" dxfId="44" priority="7" operator="lessThan">
      <formula>0.8</formula>
    </cfRule>
  </conditionalFormatting>
  <conditionalFormatting sqref="S19:S25 AD19:AD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D5:AD8 S15:S16 AD15:AD16 AD49 AD79">
    <cfRule type="cellIs" dxfId="41" priority="9" operator="lessThan">
      <formula>0.8</formula>
    </cfRule>
  </conditionalFormatting>
  <conditionalFormatting sqref="AD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zoomScale="70" zoomScaleNormal="70" workbookViewId="0">
      <selection activeCell="D4" sqref="D4:E4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29" width="8.08984375" style="201" customWidth="1"/>
    <col min="30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46019</v>
      </c>
      <c r="E3" s="357"/>
      <c r="F3" s="202" t="s">
        <v>84</v>
      </c>
      <c r="G3" s="358">
        <f>'1228'!E1</f>
        <v>56766</v>
      </c>
      <c r="H3" s="358"/>
      <c r="I3" s="202" t="s">
        <v>2</v>
      </c>
      <c r="J3" s="359">
        <f>'1228'!G1</f>
        <v>2751939.9699999997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109.01565546596507</v>
      </c>
      <c r="G6" s="367"/>
      <c r="H6" s="360">
        <f>AVERAGE(D13:H13)</f>
        <v>108.14114842158185</v>
      </c>
      <c r="I6" s="360"/>
      <c r="J6" s="360">
        <f>AVERAGE(I13:J13)</f>
        <v>111.20192307692307</v>
      </c>
      <c r="K6" s="360"/>
      <c r="L6" s="205"/>
    </row>
    <row r="7" spans="2:15" ht="39.65" customHeight="1">
      <c r="B7" s="353"/>
      <c r="C7" s="353"/>
      <c r="D7" s="361" t="s">
        <v>93</v>
      </c>
      <c r="E7" s="361"/>
      <c r="F7" s="362">
        <f>AVERAGE(D14:J14)</f>
        <v>100.59877907858852</v>
      </c>
      <c r="G7" s="362"/>
      <c r="H7" s="363">
        <f>AVERAGE(D14:H14)</f>
        <v>102.4075340684049</v>
      </c>
      <c r="I7" s="363"/>
      <c r="J7" s="363">
        <f>AVERAGE(I14:J14)</f>
        <v>96.076891604047603</v>
      </c>
      <c r="K7" s="363"/>
    </row>
    <row r="8" spans="2:15" ht="39.65" customHeight="1">
      <c r="B8" s="353"/>
      <c r="C8" s="353"/>
      <c r="D8" s="361" t="s">
        <v>24</v>
      </c>
      <c r="E8" s="361"/>
      <c r="F8" s="364">
        <f>AVERAGE(D15:J15)</f>
        <v>0.91935049315766626</v>
      </c>
      <c r="G8" s="364"/>
      <c r="H8" s="364">
        <f>AVERAGE(D15:H15)</f>
        <v>0.94521758923096688</v>
      </c>
      <c r="I8" s="364"/>
      <c r="J8" s="364">
        <f>AVERAGE(I15:J15)</f>
        <v>0.85468275297441498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VALUE('1228'!L15)</f>
        <v>118.99047392236245</v>
      </c>
      <c r="E13" s="213">
        <f>VALUE('1228'!L26)</f>
        <v>160.58974358974359</v>
      </c>
      <c r="F13" s="213">
        <f>VALUE('1228'!L37)</f>
        <v>85.788888888888891</v>
      </c>
      <c r="G13" s="213">
        <f>VALUE('1228'!L48)</f>
        <v>87.285380116959061</v>
      </c>
      <c r="H13" s="213">
        <f>VALUE('1228'!L58)</f>
        <v>88.051255589955275</v>
      </c>
      <c r="I13" s="213">
        <f>VALUE('1228'!L69)</f>
        <v>126.40384615384615</v>
      </c>
      <c r="J13" s="213">
        <f>'1228'!L79</f>
        <v>96</v>
      </c>
    </row>
    <row r="14" spans="2:15" ht="40" customHeight="1">
      <c r="B14" s="376"/>
      <c r="C14" s="212" t="s">
        <v>106</v>
      </c>
      <c r="D14" s="213">
        <f>VALUE('1228'!O15)</f>
        <v>115.1479681351635</v>
      </c>
      <c r="E14" s="213">
        <f>VALUE('1228'!O26)</f>
        <v>152.17043215533675</v>
      </c>
      <c r="F14" s="213">
        <f>VALUE('1228'!O37)</f>
        <v>78.820874082394383</v>
      </c>
      <c r="G14" s="213">
        <f>VALUE('1228'!O48)</f>
        <v>79.468624777743003</v>
      </c>
      <c r="H14" s="213">
        <f>VALUE('1228'!O58)</f>
        <v>86.429771191386976</v>
      </c>
      <c r="I14" s="213">
        <f>VALUE('1228'!O69)</f>
        <v>116.63725986657214</v>
      </c>
      <c r="J14" s="213">
        <f>'1228'!O79</f>
        <v>75.516523341523055</v>
      </c>
    </row>
    <row r="15" spans="2:15" ht="40" customHeight="1">
      <c r="B15" s="377"/>
      <c r="C15" s="210" t="s">
        <v>23</v>
      </c>
      <c r="D15" s="231">
        <f>D14/D13</f>
        <v>0.96770745034845329</v>
      </c>
      <c r="E15" s="231">
        <f t="shared" ref="E15:J15" si="0">E14/E13</f>
        <v>0.94757254575413274</v>
      </c>
      <c r="F15" s="231">
        <f t="shared" si="0"/>
        <v>0.91877718785332141</v>
      </c>
      <c r="G15" s="231">
        <f t="shared" si="0"/>
        <v>0.91044599532313542</v>
      </c>
      <c r="H15" s="231">
        <f t="shared" si="0"/>
        <v>0.98158476687579144</v>
      </c>
      <c r="I15" s="231">
        <f t="shared" si="0"/>
        <v>0.92273505447463133</v>
      </c>
      <c r="J15" s="231">
        <f t="shared" si="0"/>
        <v>0.78663045147419852</v>
      </c>
    </row>
    <row r="16" spans="2:15" ht="17.25" customHeight="1">
      <c r="B16" s="378" t="s">
        <v>107</v>
      </c>
      <c r="C16" s="210" t="s">
        <v>29</v>
      </c>
      <c r="D16" s="95">
        <f>'1228'!T5</f>
        <v>0.28958333333333303</v>
      </c>
      <c r="E16" s="95">
        <f>'1228'!T16</f>
        <v>0.29027777777777802</v>
      </c>
      <c r="F16" s="95">
        <f>'1228'!T27</f>
        <v>0.29166666666666702</v>
      </c>
      <c r="G16" s="95">
        <f>'1228'!T38</f>
        <v>0.33333333333333298</v>
      </c>
      <c r="H16" s="95">
        <f>'1228'!T49</f>
        <v>0.29027777777777802</v>
      </c>
      <c r="I16" s="95">
        <f>'1228'!T59</f>
        <v>0.29166666666666702</v>
      </c>
      <c r="J16" s="269">
        <f>'1228'!T70</f>
        <v>0.35416666666666702</v>
      </c>
    </row>
    <row r="17" spans="2:10" ht="17.25" customHeight="1">
      <c r="B17" s="379"/>
      <c r="C17" s="210" t="s">
        <v>30</v>
      </c>
      <c r="D17" s="95">
        <v>0.67361111111111105</v>
      </c>
      <c r="E17" s="44">
        <v>0.63958333333333295</v>
      </c>
      <c r="F17" s="44">
        <v>0.64097222222222205</v>
      </c>
      <c r="G17" s="349">
        <v>0.61458333333333304</v>
      </c>
      <c r="H17" s="351">
        <v>0.63749999999999996</v>
      </c>
      <c r="I17" s="22">
        <v>0.58333333333333304</v>
      </c>
      <c r="J17" s="22">
        <v>0.62152777777777801</v>
      </c>
    </row>
    <row r="18" spans="2:10" ht="17.25" customHeight="1">
      <c r="B18" s="365" t="s">
        <v>108</v>
      </c>
      <c r="C18" s="366"/>
      <c r="D18" s="214">
        <f>VALUE('1228'!M15)</f>
        <v>14.8</v>
      </c>
      <c r="E18" s="214">
        <f>VALUE('1228'!M26)</f>
        <v>12.6</v>
      </c>
      <c r="F18" s="214">
        <f>VALUE('1228'!M37)</f>
        <v>15</v>
      </c>
      <c r="G18" s="214">
        <f>VALUE('1228'!M48)</f>
        <v>13.333333333333334</v>
      </c>
      <c r="H18" s="214">
        <f>VALUE('1228'!M58)</f>
        <v>18</v>
      </c>
      <c r="I18" s="214">
        <f>VALUE('1228'!M69)</f>
        <v>11.8</v>
      </c>
      <c r="J18" s="214">
        <f>'1228'!M79</f>
        <v>10.5</v>
      </c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 t="s">
        <v>114</v>
      </c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18:C18"/>
    <mergeCell ref="B19:C19"/>
    <mergeCell ref="B20:C20"/>
    <mergeCell ref="B21:C21"/>
    <mergeCell ref="B22:C22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D10:J10"/>
    <mergeCell ref="B11:C12"/>
    <mergeCell ref="B13:B15"/>
    <mergeCell ref="B16:B17"/>
    <mergeCell ref="B10:C10"/>
    <mergeCell ref="F7:G7"/>
    <mergeCell ref="H7:I7"/>
    <mergeCell ref="J7:K7"/>
    <mergeCell ref="D8:E8"/>
    <mergeCell ref="F8:G8"/>
    <mergeCell ref="H8:I8"/>
    <mergeCell ref="J8:K8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0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F92"/>
  <sheetViews>
    <sheetView zoomScale="69" zoomScaleNormal="69" workbookViewId="0">
      <pane xSplit="5" ySplit="4" topLeftCell="O50" activePane="bottomRight" state="frozen"/>
      <selection activeCell="B70" sqref="B70:D71"/>
      <selection pane="topRight" activeCell="B70" sqref="B70:D71"/>
      <selection pane="bottomLeft" activeCell="B70" sqref="B70:D71"/>
      <selection pane="bottomRight" activeCell="V63" activeCellId="13" sqref="V6 V7 V9 V17:V18 V18 V20 V28 V29 V39 V50 V51 V60 V61 V63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38" width="7.90625" style="6" customWidth="1"/>
    <col min="39" max="16384" width="7.90625" style="6"/>
  </cols>
  <sheetData>
    <row r="1" spans="1:30" ht="20.5">
      <c r="A1" s="2" t="s">
        <v>0</v>
      </c>
      <c r="B1" s="2"/>
      <c r="C1" s="2"/>
      <c r="D1" s="174" t="s">
        <v>1</v>
      </c>
      <c r="E1" s="3">
        <f>SUM(G5:G79)</f>
        <v>56766</v>
      </c>
      <c r="F1" s="175" t="s">
        <v>2</v>
      </c>
      <c r="G1" s="4">
        <f>SUM(H5:H79)</f>
        <v>2751939.9699999997</v>
      </c>
      <c r="H1" s="173" t="s">
        <v>3</v>
      </c>
      <c r="I1" s="5">
        <f>M15+M26+M48+M58+M69+M79+M37</f>
        <v>96.033333333333331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388" t="s">
        <v>8</v>
      </c>
      <c r="AA1" s="388"/>
      <c r="AB1" s="388" t="s">
        <v>9</v>
      </c>
      <c r="AC1" s="399"/>
      <c r="AD1" s="399"/>
    </row>
    <row r="2" spans="1:30" ht="18">
      <c r="A2" s="404" t="s">
        <v>206</v>
      </c>
      <c r="B2" s="404"/>
      <c r="C2" s="174"/>
      <c r="D2" s="174" t="s">
        <v>11</v>
      </c>
      <c r="E2" s="7">
        <f>AVERAGE(O15,O26,O37,O48,O58,O69,O79)</f>
        <v>100.59877907858852</v>
      </c>
      <c r="F2" s="8" t="s">
        <v>12</v>
      </c>
      <c r="G2" s="9">
        <f>G1/E1</f>
        <v>48.478666279110733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99"/>
      <c r="AC2" s="399"/>
      <c r="AD2" s="399"/>
    </row>
    <row r="3" spans="1:30">
      <c r="A3" s="405" t="s">
        <v>14</v>
      </c>
      <c r="B3" s="405" t="s">
        <v>15</v>
      </c>
      <c r="C3" s="175"/>
      <c r="D3" s="493" t="s">
        <v>16</v>
      </c>
      <c r="E3" s="493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90" t="s">
        <v>26</v>
      </c>
      <c r="W3" s="391" t="s">
        <v>27</v>
      </c>
      <c r="X3" s="492" t="s">
        <v>28</v>
      </c>
      <c r="Y3" s="492"/>
      <c r="Z3" s="401"/>
      <c r="AA3" s="402"/>
      <c r="AB3" s="395" t="s">
        <v>22</v>
      </c>
      <c r="AC3" s="382" t="s">
        <v>23</v>
      </c>
      <c r="AD3" s="384" t="s">
        <v>24</v>
      </c>
    </row>
    <row r="4" spans="1:30">
      <c r="A4" s="389"/>
      <c r="B4" s="389"/>
      <c r="C4" s="176"/>
      <c r="D4" s="494"/>
      <c r="E4" s="494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491"/>
      <c r="W4" s="392"/>
      <c r="X4" s="176" t="s">
        <v>29</v>
      </c>
      <c r="Y4" s="176" t="s">
        <v>30</v>
      </c>
      <c r="Z4" s="403"/>
      <c r="AA4" s="403"/>
      <c r="AB4" s="396"/>
      <c r="AC4" s="383"/>
      <c r="AD4" s="385"/>
    </row>
    <row r="5" spans="1:30" ht="15" customHeight="1">
      <c r="A5" s="407" t="s">
        <v>31</v>
      </c>
      <c r="B5" s="299" t="s">
        <v>45</v>
      </c>
      <c r="C5" s="315"/>
      <c r="D5" s="329" t="s">
        <v>49</v>
      </c>
      <c r="E5" s="316"/>
      <c r="F5" s="299">
        <f>VLOOKUP(D5,廠價表!$C$1:$E$40,3,0)</f>
        <v>47.71</v>
      </c>
      <c r="G5" s="317">
        <v>3373</v>
      </c>
      <c r="H5" s="318">
        <f>F5*G5</f>
        <v>160925.83000000002</v>
      </c>
      <c r="I5" s="319"/>
      <c r="J5" s="320">
        <f>VLOOKUP(D5,產線配置圖!$A$3:$C$39,2,0)</f>
        <v>15</v>
      </c>
      <c r="K5" s="321">
        <f>VLOOKUP(D5,產線配置圖!$A$3:$C$39,3,0)</f>
        <v>1500</v>
      </c>
      <c r="L5" s="322">
        <f>K5/J5</f>
        <v>100</v>
      </c>
      <c r="M5" s="323">
        <v>15</v>
      </c>
      <c r="N5" s="321">
        <f t="shared" ref="N5:N9" si="0">G5/W5*60</f>
        <v>1499.1111111111111</v>
      </c>
      <c r="O5" s="322">
        <f t="shared" ref="O5:O9" si="1">N5/M5</f>
        <v>99.940740740740736</v>
      </c>
      <c r="P5" s="324">
        <f t="shared" ref="P5:P9" si="2">M5-J5</f>
        <v>0</v>
      </c>
      <c r="Q5" s="325">
        <f t="shared" ref="Q5:Q9" si="3">O5-L5</f>
        <v>-5.9259259259263786E-2</v>
      </c>
      <c r="R5" s="326">
        <f t="shared" ref="R5:R9" si="4">O5/L5</f>
        <v>0.99940740740740741</v>
      </c>
      <c r="S5" s="419">
        <f>R15</f>
        <v>0.96770745034845329</v>
      </c>
      <c r="T5" s="346">
        <v>0.28958333333333303</v>
      </c>
      <c r="U5" s="347">
        <v>0.38333333333333303</v>
      </c>
      <c r="V5" s="192"/>
      <c r="W5" s="106">
        <f t="shared" ref="W5:W14" si="5">(U5-T5)*24*60</f>
        <v>135</v>
      </c>
      <c r="X5" s="186"/>
      <c r="Y5" s="186"/>
      <c r="Z5" s="425"/>
      <c r="AA5" s="425"/>
      <c r="AB5" s="110">
        <f>N5-K5</f>
        <v>-0.88888888888891415</v>
      </c>
      <c r="AC5" s="182">
        <f>N5/K5</f>
        <v>0.99940740740740741</v>
      </c>
      <c r="AD5" s="411">
        <f>AC15</f>
        <v>0.94513813605059926</v>
      </c>
    </row>
    <row r="6" spans="1:30" ht="15" customHeight="1">
      <c r="A6" s="408"/>
      <c r="B6" s="304" t="s">
        <v>45</v>
      </c>
      <c r="C6" s="246"/>
      <c r="D6" s="11" t="s">
        <v>33</v>
      </c>
      <c r="E6" s="248"/>
      <c r="F6" s="305">
        <f>VLOOKUP(D6,廠價表!$C$1:$E$40,3,0)</f>
        <v>57.21</v>
      </c>
      <c r="G6" s="306">
        <v>1350</v>
      </c>
      <c r="H6" s="307">
        <f>F6*G6</f>
        <v>77233.5</v>
      </c>
      <c r="I6" s="308"/>
      <c r="J6" s="309">
        <f>VLOOKUP(D6,產線配置圖!$A$3:$C$39,2,0)</f>
        <v>17</v>
      </c>
      <c r="K6" s="14">
        <f>VLOOKUP(D6,產線配置圖!$A$3:$C$39,3,0)</f>
        <v>1895</v>
      </c>
      <c r="L6" s="310">
        <f>K6/J6</f>
        <v>111.47058823529412</v>
      </c>
      <c r="M6" s="311">
        <v>17</v>
      </c>
      <c r="N6" s="306">
        <f t="shared" si="0"/>
        <v>1883.7209302325648</v>
      </c>
      <c r="O6" s="310">
        <f t="shared" si="1"/>
        <v>110.80711354309204</v>
      </c>
      <c r="P6" s="312">
        <f t="shared" si="2"/>
        <v>0</v>
      </c>
      <c r="Q6" s="313">
        <f t="shared" si="3"/>
        <v>-0.66347469220207245</v>
      </c>
      <c r="R6" s="314">
        <f t="shared" si="4"/>
        <v>0.99404798429159091</v>
      </c>
      <c r="S6" s="420"/>
      <c r="T6" s="267">
        <v>0.38888888888888901</v>
      </c>
      <c r="U6" s="267">
        <v>0.41875000000000001</v>
      </c>
      <c r="V6" s="175">
        <f>(T6-U5)*24*60</f>
        <v>8.0000000000006111</v>
      </c>
      <c r="W6" s="180">
        <f t="shared" si="5"/>
        <v>42.999999999999844</v>
      </c>
      <c r="X6" s="22"/>
      <c r="Y6" s="22"/>
      <c r="Z6" s="391"/>
      <c r="AA6" s="391"/>
      <c r="AB6" s="18">
        <f>N6-K6</f>
        <v>-11.279069767435203</v>
      </c>
      <c r="AC6" s="183">
        <f>N6/K6</f>
        <v>0.99404798429159091</v>
      </c>
      <c r="AD6" s="412"/>
    </row>
    <row r="7" spans="1:30" ht="15" customHeight="1">
      <c r="A7" s="408"/>
      <c r="B7" s="56" t="s">
        <v>45</v>
      </c>
      <c r="C7" s="10"/>
      <c r="D7" s="11" t="s">
        <v>34</v>
      </c>
      <c r="E7" s="86"/>
      <c r="F7" s="56">
        <f>VLOOKUP(D7,廠價表!$C$1:$E$40,3,0)</f>
        <v>49.14</v>
      </c>
      <c r="G7" s="25">
        <v>2443</v>
      </c>
      <c r="H7" s="15">
        <f t="shared" ref="H7:H9" si="6">F7*G7</f>
        <v>120049.02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1903.6363636363349</v>
      </c>
      <c r="O7" s="17">
        <f t="shared" si="1"/>
        <v>146.43356643356421</v>
      </c>
      <c r="P7" s="18">
        <f t="shared" si="2"/>
        <v>0</v>
      </c>
      <c r="Q7" s="19">
        <f t="shared" si="3"/>
        <v>-7.4125874125896303</v>
      </c>
      <c r="R7" s="183">
        <f t="shared" si="4"/>
        <v>0.95181818181816735</v>
      </c>
      <c r="S7" s="420"/>
      <c r="T7" s="95">
        <v>0.42569444444444399</v>
      </c>
      <c r="U7" s="95">
        <v>0.47916666666666702</v>
      </c>
      <c r="V7" s="175">
        <f>(T7-U6)*24*60</f>
        <v>9.999999999999325</v>
      </c>
      <c r="W7" s="180">
        <f t="shared" si="5"/>
        <v>77.000000000001165</v>
      </c>
      <c r="X7" s="22"/>
      <c r="Y7" s="22"/>
      <c r="Z7" s="405"/>
      <c r="AA7" s="405"/>
      <c r="AB7" s="18">
        <f>N7-K7</f>
        <v>-96.363636363665137</v>
      </c>
      <c r="AC7" s="183">
        <f>N7/K7</f>
        <v>0.95181818181816746</v>
      </c>
      <c r="AD7" s="412"/>
    </row>
    <row r="8" spans="1:30" ht="15" customHeight="1">
      <c r="A8" s="408"/>
      <c r="B8" s="56" t="s">
        <v>45</v>
      </c>
      <c r="C8" s="10"/>
      <c r="D8" s="11" t="s">
        <v>34</v>
      </c>
      <c r="E8" s="86"/>
      <c r="F8" s="56">
        <f>VLOOKUP(D8,廠價表!$C$1:$E$40,3,0)</f>
        <v>49.14</v>
      </c>
      <c r="G8" s="25">
        <v>3128</v>
      </c>
      <c r="H8" s="15">
        <f t="shared" si="6"/>
        <v>153709.92000000001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1876.8000000000097</v>
      </c>
      <c r="O8" s="17">
        <f t="shared" si="1"/>
        <v>144.36923076923151</v>
      </c>
      <c r="P8" s="18">
        <f t="shared" si="2"/>
        <v>0</v>
      </c>
      <c r="Q8" s="19">
        <f t="shared" si="3"/>
        <v>-9.4769230769223327</v>
      </c>
      <c r="R8" s="183">
        <f t="shared" si="4"/>
        <v>0.93840000000000479</v>
      </c>
      <c r="S8" s="420"/>
      <c r="T8" s="95">
        <v>0.54027777777777797</v>
      </c>
      <c r="U8" s="95">
        <v>0.60972222222222205</v>
      </c>
      <c r="V8" s="175">
        <f t="shared" ref="V8:V9" si="7">(T8-U7)*24*60</f>
        <v>87.999999999999773</v>
      </c>
      <c r="W8" s="180">
        <f t="shared" si="5"/>
        <v>99.999999999999488</v>
      </c>
      <c r="X8" s="22"/>
      <c r="Y8" s="260"/>
      <c r="Z8" s="415"/>
      <c r="AA8" s="415"/>
      <c r="AB8" s="18">
        <f>N8-K8</f>
        <v>-123.19999999999027</v>
      </c>
      <c r="AC8" s="183">
        <f>N8/K8</f>
        <v>0.9384000000000049</v>
      </c>
      <c r="AD8" s="412"/>
    </row>
    <row r="9" spans="1:30" ht="15" customHeight="1">
      <c r="A9" s="409"/>
      <c r="B9" s="56" t="s">
        <v>182</v>
      </c>
      <c r="C9" s="10"/>
      <c r="D9" s="11" t="s">
        <v>167</v>
      </c>
      <c r="E9" s="86"/>
      <c r="F9" s="56">
        <f>VLOOKUP(D9,廠價表!$C$1:$E$40,3,0)</f>
        <v>44.3</v>
      </c>
      <c r="G9" s="25">
        <v>1464</v>
      </c>
      <c r="H9" s="15">
        <f t="shared" si="6"/>
        <v>64855.199999999997</v>
      </c>
      <c r="I9" s="180"/>
      <c r="J9" s="16">
        <f>VLOOKUP(D9,產線配置圖!$A$3:$C$39,2,0)</f>
        <v>19</v>
      </c>
      <c r="K9" s="14">
        <f>VLOOKUP(D9,產線配置圖!$A$3:$C$39,3,0)</f>
        <v>1440</v>
      </c>
      <c r="L9" s="17">
        <f>K9/J9</f>
        <v>75.78947368421052</v>
      </c>
      <c r="M9" s="178">
        <v>16</v>
      </c>
      <c r="N9" s="14">
        <f t="shared" si="0"/>
        <v>1187.0270270270235</v>
      </c>
      <c r="O9" s="17">
        <f t="shared" si="1"/>
        <v>74.189189189188966</v>
      </c>
      <c r="P9" s="18">
        <f t="shared" si="2"/>
        <v>-3</v>
      </c>
      <c r="Q9" s="19">
        <f t="shared" si="3"/>
        <v>-1.6002844950215547</v>
      </c>
      <c r="R9" s="183">
        <f t="shared" si="4"/>
        <v>0.97888513513513231</v>
      </c>
      <c r="S9" s="421"/>
      <c r="T9" s="95">
        <v>0.62222222222222201</v>
      </c>
      <c r="U9" s="95">
        <v>0.67361111111111105</v>
      </c>
      <c r="V9" s="175">
        <f t="shared" si="7"/>
        <v>17.999999999999936</v>
      </c>
      <c r="W9" s="180">
        <f t="shared" si="5"/>
        <v>74.000000000000213</v>
      </c>
      <c r="X9" s="22">
        <v>0.5</v>
      </c>
      <c r="Y9" s="260">
        <v>0.54166666666666696</v>
      </c>
      <c r="Z9" s="416"/>
      <c r="AA9" s="416"/>
      <c r="AB9" s="18">
        <f>N9-K9</f>
        <v>-252.97297297297655</v>
      </c>
      <c r="AC9" s="183">
        <f>N9/K9</f>
        <v>0.82432432432432179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2"/>
      <c r="U10" s="22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/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/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15.4</v>
      </c>
      <c r="K15" s="117">
        <f t="shared" si="8"/>
        <v>1767</v>
      </c>
      <c r="L15" s="114">
        <f t="shared" si="8"/>
        <v>118.99047392236245</v>
      </c>
      <c r="M15" s="117">
        <f t="shared" si="8"/>
        <v>14.8</v>
      </c>
      <c r="N15" s="117">
        <f t="shared" si="8"/>
        <v>1670.0590864014089</v>
      </c>
      <c r="O15" s="114">
        <f t="shared" si="8"/>
        <v>115.1479681351635</v>
      </c>
      <c r="P15" s="118">
        <f t="shared" ref="P15:P19" si="9">M15-J15</f>
        <v>-0.59999999999999964</v>
      </c>
      <c r="Q15" s="119">
        <f t="shared" ref="Q15:Q19" si="10">O15-L15</f>
        <v>-3.8425057871989594</v>
      </c>
      <c r="R15" s="120">
        <f t="shared" ref="R15:R19" si="11">O15/L15</f>
        <v>0.96770745034845329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2">N15-K15</f>
        <v>-96.940913598591123</v>
      </c>
      <c r="AC15" s="185">
        <f t="shared" ref="AC15:AC19" si="13">N15/K15</f>
        <v>0.94513813605059926</v>
      </c>
      <c r="AD15" s="414"/>
    </row>
    <row r="16" spans="1:30" ht="15" customHeight="1">
      <c r="A16" s="439" t="s">
        <v>39</v>
      </c>
      <c r="B16" s="197" t="s">
        <v>45</v>
      </c>
      <c r="C16" s="101"/>
      <c r="D16" s="102" t="s">
        <v>32</v>
      </c>
      <c r="E16" s="103"/>
      <c r="F16" s="197">
        <f>VLOOKUP(D16,廠價表!$C$1:$E$40,3,0)</f>
        <v>57.21</v>
      </c>
      <c r="G16" s="262">
        <v>2536</v>
      </c>
      <c r="H16" s="124">
        <f t="shared" ref="H16:H25" si="14">F16*G16</f>
        <v>145084.56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5">K16/J16</f>
        <v>161.92307692307693</v>
      </c>
      <c r="M16" s="264">
        <v>13</v>
      </c>
      <c r="N16" s="126">
        <f t="shared" ref="N16:N19" si="16">G16/W16*60</f>
        <v>1902.00000000002</v>
      </c>
      <c r="O16" s="127">
        <f>N16/M16</f>
        <v>146.30769230769386</v>
      </c>
      <c r="P16" s="128">
        <f>M16-J16</f>
        <v>0</v>
      </c>
      <c r="Q16" s="129">
        <f t="shared" si="10"/>
        <v>-15.615384615383078</v>
      </c>
      <c r="R16" s="187">
        <f>O16/L16</f>
        <v>0.90356294536818049</v>
      </c>
      <c r="S16" s="431">
        <f>R26</f>
        <v>0.94757254575413274</v>
      </c>
      <c r="T16" s="345">
        <v>0.29027777777777802</v>
      </c>
      <c r="U16" s="345">
        <v>0.34583333333333299</v>
      </c>
      <c r="V16" s="125"/>
      <c r="W16" s="130">
        <f t="shared" ref="W16:W78" si="17">(U16-T16)*24*60</f>
        <v>79.999999999999162</v>
      </c>
      <c r="X16" s="127"/>
      <c r="Y16" s="127"/>
      <c r="Z16" s="425"/>
      <c r="AA16" s="425"/>
      <c r="AB16" s="110">
        <f t="shared" si="12"/>
        <v>-202.99999999997999</v>
      </c>
      <c r="AC16" s="182">
        <f t="shared" si="13"/>
        <v>0.90356294536818049</v>
      </c>
      <c r="AD16" s="411">
        <f>AC26</f>
        <v>0.94740524623194533</v>
      </c>
    </row>
    <row r="17" spans="1:30" ht="15" customHeight="1">
      <c r="A17" s="440"/>
      <c r="B17" s="56" t="s">
        <v>45</v>
      </c>
      <c r="C17" s="10"/>
      <c r="D17" s="11" t="s">
        <v>40</v>
      </c>
      <c r="E17" s="86"/>
      <c r="F17" s="56">
        <f>VLOOKUP(D17,廠價表!$C$1:$E$40,3,0)</f>
        <v>50.67</v>
      </c>
      <c r="G17" s="96">
        <v>2616</v>
      </c>
      <c r="H17" s="15">
        <f t="shared" si="14"/>
        <v>132552.72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5"/>
        <v>153.84615384615384</v>
      </c>
      <c r="M17" s="37">
        <v>13</v>
      </c>
      <c r="N17" s="36">
        <f t="shared" si="16"/>
        <v>1986.8354430379798</v>
      </c>
      <c r="O17" s="38">
        <f t="shared" ref="O17:O19" si="18">N17/M17</f>
        <v>152.83349561830613</v>
      </c>
      <c r="P17" s="39">
        <f t="shared" si="9"/>
        <v>0</v>
      </c>
      <c r="Q17" s="40">
        <f t="shared" si="10"/>
        <v>-1.0126582278477088</v>
      </c>
      <c r="R17" s="188">
        <f t="shared" si="11"/>
        <v>0.99341772151898988</v>
      </c>
      <c r="S17" s="432"/>
      <c r="T17" s="44">
        <v>0.35416666666666702</v>
      </c>
      <c r="U17" s="44">
        <v>0.40902777777777799</v>
      </c>
      <c r="V17" s="175">
        <f>(T17-U16)*24*60</f>
        <v>12.000000000000997</v>
      </c>
      <c r="W17" s="43">
        <f t="shared" si="17"/>
        <v>78.999999999999801</v>
      </c>
      <c r="X17" s="44"/>
      <c r="Y17" s="44"/>
      <c r="Z17" s="391"/>
      <c r="AA17" s="391"/>
      <c r="AB17" s="18">
        <f t="shared" si="12"/>
        <v>-13.164556962020242</v>
      </c>
      <c r="AC17" s="183">
        <f t="shared" si="13"/>
        <v>0.99341772151898988</v>
      </c>
      <c r="AD17" s="412"/>
    </row>
    <row r="18" spans="1:30" ht="15" customHeight="1">
      <c r="A18" s="440"/>
      <c r="B18" s="56" t="s">
        <v>45</v>
      </c>
      <c r="C18" s="10"/>
      <c r="D18" s="11" t="s">
        <v>41</v>
      </c>
      <c r="E18" s="86"/>
      <c r="F18" s="56">
        <f>VLOOKUP(D18,廠價表!$C$1:$E$40,3,0)</f>
        <v>50.39</v>
      </c>
      <c r="G18" s="96">
        <v>2739</v>
      </c>
      <c r="H18" s="15">
        <f t="shared" si="14"/>
        <v>138018.21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5"/>
        <v>166.66666666666666</v>
      </c>
      <c r="M18" s="37">
        <v>12</v>
      </c>
      <c r="N18" s="36">
        <f t="shared" si="16"/>
        <v>1867.5000000000034</v>
      </c>
      <c r="O18" s="38">
        <f t="shared" si="18"/>
        <v>155.62500000000028</v>
      </c>
      <c r="P18" s="39">
        <f t="shared" si="9"/>
        <v>0</v>
      </c>
      <c r="Q18" s="40">
        <f t="shared" si="10"/>
        <v>-11.041666666666373</v>
      </c>
      <c r="R18" s="188">
        <f t="shared" si="11"/>
        <v>0.93375000000000175</v>
      </c>
      <c r="S18" s="432"/>
      <c r="T18" s="44">
        <v>0.41666666666666702</v>
      </c>
      <c r="U18" s="44">
        <v>0.47777777777777802</v>
      </c>
      <c r="V18" s="175">
        <f>(T18-U17)*24*60</f>
        <v>11.000000000000201</v>
      </c>
      <c r="W18" s="43">
        <f t="shared" si="17"/>
        <v>87.999999999999844</v>
      </c>
      <c r="X18" s="22"/>
      <c r="Y18" s="22"/>
      <c r="Z18" s="415"/>
      <c r="AA18" s="415"/>
      <c r="AB18" s="18">
        <f t="shared" si="12"/>
        <v>-132.49999999999659</v>
      </c>
      <c r="AC18" s="183">
        <f t="shared" si="13"/>
        <v>0.93375000000000175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2526</v>
      </c>
      <c r="H19" s="15">
        <f t="shared" si="14"/>
        <v>127285.14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5"/>
        <v>166.66666666666666</v>
      </c>
      <c r="M19" s="37">
        <v>12</v>
      </c>
      <c r="N19" s="36">
        <f t="shared" si="16"/>
        <v>1943.0769230769458</v>
      </c>
      <c r="O19" s="38">
        <f t="shared" si="18"/>
        <v>161.92307692307881</v>
      </c>
      <c r="P19" s="39">
        <f t="shared" si="9"/>
        <v>0</v>
      </c>
      <c r="Q19" s="40">
        <f t="shared" si="10"/>
        <v>-4.7435897435878474</v>
      </c>
      <c r="R19" s="188">
        <f t="shared" si="11"/>
        <v>0.9715384615384729</v>
      </c>
      <c r="S19" s="432"/>
      <c r="T19" s="44">
        <v>0.54166666666666696</v>
      </c>
      <c r="U19" s="44">
        <v>0.59583333333333299</v>
      </c>
      <c r="V19" s="175">
        <f t="shared" ref="V19:V20" si="19">(T19-U18)*24*60</f>
        <v>92.000000000000071</v>
      </c>
      <c r="W19" s="43">
        <f t="shared" si="17"/>
        <v>77.999999999999091</v>
      </c>
      <c r="X19" s="22">
        <v>0.48958333333333298</v>
      </c>
      <c r="Y19" s="260">
        <v>0.53125</v>
      </c>
      <c r="Z19" s="416"/>
      <c r="AA19" s="416"/>
      <c r="AB19" s="18">
        <f t="shared" si="12"/>
        <v>-56.923076923054168</v>
      </c>
      <c r="AC19" s="183">
        <f t="shared" si="13"/>
        <v>0.9715384615384729</v>
      </c>
      <c r="AD19" s="413"/>
    </row>
    <row r="20" spans="1:30" ht="15" customHeight="1">
      <c r="A20" s="440"/>
      <c r="B20" s="56" t="s">
        <v>45</v>
      </c>
      <c r="C20" s="10"/>
      <c r="D20" s="11" t="s">
        <v>40</v>
      </c>
      <c r="E20" s="86"/>
      <c r="F20" s="56">
        <f>VLOOKUP(D20,廠價表!$C$1:$E$40,3,0)</f>
        <v>50.67</v>
      </c>
      <c r="G20" s="96">
        <v>1593</v>
      </c>
      <c r="H20" s="15">
        <f t="shared" si="14"/>
        <v>80717.31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>K20/J20</f>
        <v>153.84615384615384</v>
      </c>
      <c r="M20" s="37">
        <v>13</v>
      </c>
      <c r="N20" s="36">
        <f>G20/W20*60</f>
        <v>1874.1176470588596</v>
      </c>
      <c r="O20" s="38">
        <f>N20/M20</f>
        <v>144.16289592760458</v>
      </c>
      <c r="P20" s="39">
        <f>M20-J20</f>
        <v>0</v>
      </c>
      <c r="Q20" s="40">
        <f>O20-L20</f>
        <v>-9.6832579185492591</v>
      </c>
      <c r="R20" s="188">
        <f>O20/L20</f>
        <v>0.93705882352942982</v>
      </c>
      <c r="S20" s="432"/>
      <c r="T20" s="44">
        <v>0.60416666666666696</v>
      </c>
      <c r="U20" s="44">
        <v>0.63958333333333295</v>
      </c>
      <c r="V20" s="175">
        <f t="shared" si="19"/>
        <v>12.000000000000917</v>
      </c>
      <c r="W20" s="43">
        <f t="shared" si="17"/>
        <v>50.999999999999019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1"/>
      <c r="U21" s="41"/>
      <c r="V21" s="175"/>
      <c r="W21" s="43">
        <f t="shared" si="17"/>
        <v>0</v>
      </c>
      <c r="X21" s="42"/>
      <c r="Y21" s="42"/>
      <c r="Z21" s="418"/>
      <c r="AA21" s="405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4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7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4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7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4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7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12.6</v>
      </c>
      <c r="K26" s="133">
        <f t="shared" si="20"/>
        <v>2021</v>
      </c>
      <c r="L26" s="136">
        <f t="shared" si="20"/>
        <v>160.58974358974359</v>
      </c>
      <c r="M26" s="133">
        <f t="shared" si="20"/>
        <v>12.6</v>
      </c>
      <c r="N26" s="133">
        <f t="shared" si="20"/>
        <v>1914.7060026347615</v>
      </c>
      <c r="O26" s="136">
        <f t="shared" si="20"/>
        <v>152.17043215533675</v>
      </c>
      <c r="P26" s="137">
        <f t="shared" ref="P26:P30" si="21">M26-J26</f>
        <v>0</v>
      </c>
      <c r="Q26" s="138">
        <f t="shared" ref="Q26:Q30" si="22">O26-L26</f>
        <v>-8.4193114344068363</v>
      </c>
      <c r="R26" s="139">
        <f t="shared" ref="R26:R30" si="23">O26/L26</f>
        <v>0.94757254575413274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-106.29399736523851</v>
      </c>
      <c r="AC26" s="185">
        <f>N26/K26</f>
        <v>0.94740524623194533</v>
      </c>
      <c r="AD26" s="414"/>
    </row>
    <row r="27" spans="1:30" ht="15" customHeight="1">
      <c r="A27" s="428" t="s">
        <v>44</v>
      </c>
      <c r="B27" s="227" t="s">
        <v>45</v>
      </c>
      <c r="C27" s="101"/>
      <c r="D27" s="102" t="s">
        <v>142</v>
      </c>
      <c r="E27" s="103"/>
      <c r="F27" s="197">
        <f>VLOOKUP(D27,廠價表!$C$1:$E$40,3,0)</f>
        <v>57.3</v>
      </c>
      <c r="G27" s="266">
        <v>2237</v>
      </c>
      <c r="H27" s="124">
        <f t="shared" ref="H27:H43" si="24">F27*G27</f>
        <v>128180.09999999999</v>
      </c>
      <c r="I27" s="125"/>
      <c r="J27" s="16">
        <f>VLOOKUP(D27,產線配置圖!$A$3:$C$39,2,0)</f>
        <v>15</v>
      </c>
      <c r="K27" s="14">
        <f>VLOOKUP(D27,產線配置圖!$A$3:$C$39,3,0)</f>
        <v>1440</v>
      </c>
      <c r="L27" s="108">
        <f>K27/J27</f>
        <v>96</v>
      </c>
      <c r="M27" s="143">
        <v>15</v>
      </c>
      <c r="N27" s="126">
        <f>G27/W27*60</f>
        <v>1355.7575757575762</v>
      </c>
      <c r="O27" s="127">
        <f>N27/M27</f>
        <v>90.383838383838409</v>
      </c>
      <c r="P27" s="128">
        <f t="shared" si="21"/>
        <v>0</v>
      </c>
      <c r="Q27" s="129">
        <f t="shared" si="22"/>
        <v>-5.616161616161591</v>
      </c>
      <c r="R27" s="187">
        <f>O27/L27</f>
        <v>0.94149831649831672</v>
      </c>
      <c r="S27" s="431">
        <f>R37</f>
        <v>0.91877718785332141</v>
      </c>
      <c r="T27" s="94">
        <v>0.29166666666666702</v>
      </c>
      <c r="U27" s="94">
        <v>0.360416666666667</v>
      </c>
      <c r="V27" s="125"/>
      <c r="W27" s="130">
        <f t="shared" si="17"/>
        <v>98.999999999999972</v>
      </c>
      <c r="X27" s="125"/>
      <c r="Y27" s="125" t="s">
        <v>47</v>
      </c>
      <c r="Z27" s="434"/>
      <c r="AA27" s="425"/>
      <c r="AB27" s="223">
        <f>N27-K27</f>
        <v>-84.242424242423795</v>
      </c>
      <c r="AC27" s="288">
        <f>N27/K27</f>
        <v>0.94149831649831683</v>
      </c>
      <c r="AD27" s="411">
        <f>AC37</f>
        <v>0.82737096657516851</v>
      </c>
    </row>
    <row r="28" spans="1:30" ht="15" customHeight="1">
      <c r="A28" s="429"/>
      <c r="B28" s="56" t="s">
        <v>45</v>
      </c>
      <c r="C28" s="10"/>
      <c r="D28" s="11" t="s">
        <v>48</v>
      </c>
      <c r="E28" s="86"/>
      <c r="F28" s="56">
        <f>VLOOKUP(D28,廠價表!$C$1:$E$40,3,0)</f>
        <v>55.13</v>
      </c>
      <c r="G28" s="53">
        <v>1534</v>
      </c>
      <c r="H28" s="50">
        <f t="shared" si="24"/>
        <v>84569.42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15</v>
      </c>
      <c r="N28" s="36">
        <f>G28/W28*60</f>
        <v>1136.296296296297</v>
      </c>
      <c r="O28" s="38">
        <f>N28/M28</f>
        <v>75.753086419753132</v>
      </c>
      <c r="P28" s="39">
        <f t="shared" si="21"/>
        <v>-3</v>
      </c>
      <c r="Q28" s="40">
        <f t="shared" si="22"/>
        <v>-1.1913580246913114</v>
      </c>
      <c r="R28" s="188">
        <f t="shared" si="23"/>
        <v>0.98451664661051008</v>
      </c>
      <c r="S28" s="432"/>
      <c r="T28" s="267">
        <v>0.36944444444444402</v>
      </c>
      <c r="U28" s="267">
        <v>0.42569444444444399</v>
      </c>
      <c r="V28" s="42">
        <f>(T28-U27)*24*60</f>
        <v>12.999999999998915</v>
      </c>
      <c r="W28" s="43">
        <f t="shared" si="17"/>
        <v>80.999999999999957</v>
      </c>
      <c r="X28" s="54"/>
      <c r="Y28" s="54"/>
      <c r="Z28" s="418"/>
      <c r="AA28" s="417"/>
      <c r="AB28" s="39">
        <f>N28-K28</f>
        <v>-248.70370370370301</v>
      </c>
      <c r="AC28" s="188">
        <f>N28/K28</f>
        <v>0.82043053884209172</v>
      </c>
      <c r="AD28" s="444"/>
    </row>
    <row r="29" spans="1:30" ht="15" customHeight="1">
      <c r="A29" s="429"/>
      <c r="B29" s="56" t="s">
        <v>182</v>
      </c>
      <c r="C29" s="10"/>
      <c r="D29" s="11" t="s">
        <v>166</v>
      </c>
      <c r="E29" s="86"/>
      <c r="F29" s="56">
        <f>VLOOKUP(D29,廠價表!$C$1:$E$40,3,0)</f>
        <v>49.52</v>
      </c>
      <c r="G29" s="53">
        <v>1252</v>
      </c>
      <c r="H29" s="50">
        <f t="shared" si="24"/>
        <v>61999.040000000001</v>
      </c>
      <c r="I29" s="42"/>
      <c r="J29" s="16">
        <f>VLOOKUP(D29,產線配置圖!$A$3:$C$39,2,0)</f>
        <v>18</v>
      </c>
      <c r="K29" s="14">
        <f>VLOOKUP(D29,產線配置圖!$A$3:$C$39,3,0)</f>
        <v>1440</v>
      </c>
      <c r="L29" s="233">
        <f>K29/J29</f>
        <v>80</v>
      </c>
      <c r="M29" s="21">
        <v>15</v>
      </c>
      <c r="N29" s="36">
        <f>G29/W29*60</f>
        <v>1029.0410958904201</v>
      </c>
      <c r="O29" s="38">
        <f>N29/M29</f>
        <v>68.602739726028005</v>
      </c>
      <c r="P29" s="39">
        <f t="shared" si="21"/>
        <v>-3</v>
      </c>
      <c r="Q29" s="40">
        <f t="shared" si="22"/>
        <v>-11.397260273971995</v>
      </c>
      <c r="R29" s="188">
        <f t="shared" si="23"/>
        <v>0.85753424657535005</v>
      </c>
      <c r="S29" s="432"/>
      <c r="T29" s="44">
        <v>0.43541666666666701</v>
      </c>
      <c r="U29" s="44">
        <v>0.48611111111111099</v>
      </c>
      <c r="V29" s="42">
        <f>(T29-U28)*24*60</f>
        <v>14.000000000001149</v>
      </c>
      <c r="W29" s="43">
        <f t="shared" si="17"/>
        <v>72.999999999999346</v>
      </c>
      <c r="X29" s="22"/>
      <c r="Y29" s="22"/>
      <c r="Z29" s="418"/>
      <c r="AA29" s="417"/>
      <c r="AB29" s="289">
        <f>N29-K29</f>
        <v>-410.95890410957986</v>
      </c>
      <c r="AC29" s="188">
        <f>N29/K29</f>
        <v>0.71461187214612509</v>
      </c>
      <c r="AD29" s="444"/>
    </row>
    <row r="30" spans="1:30" ht="15" customHeight="1">
      <c r="A30" s="429"/>
      <c r="B30" s="56" t="s">
        <v>182</v>
      </c>
      <c r="C30" s="235"/>
      <c r="D30" s="11" t="s">
        <v>166</v>
      </c>
      <c r="E30" s="29"/>
      <c r="F30" s="56">
        <f>VLOOKUP(D30,廠價表!$C$1:$E$40,3,0)</f>
        <v>49.52</v>
      </c>
      <c r="G30" s="53">
        <v>902</v>
      </c>
      <c r="H30" s="50">
        <f t="shared" si="24"/>
        <v>44667.040000000001</v>
      </c>
      <c r="I30" s="42"/>
      <c r="J30" s="16">
        <f>VLOOKUP(D30,產線配置圖!$A$3:$C$39,2,0)</f>
        <v>18</v>
      </c>
      <c r="K30" s="14">
        <f>VLOOKUP(D30,產線配置圖!$A$3:$C$39,3,0)</f>
        <v>1440</v>
      </c>
      <c r="L30" s="233">
        <f>K30/J30</f>
        <v>80</v>
      </c>
      <c r="M30" s="21">
        <v>15</v>
      </c>
      <c r="N30" s="36">
        <f>G30/W30*60</f>
        <v>983.99999999998624</v>
      </c>
      <c r="O30" s="38">
        <f>N30/M30</f>
        <v>65.599999999999085</v>
      </c>
      <c r="P30" s="39">
        <f t="shared" si="21"/>
        <v>-3</v>
      </c>
      <c r="Q30" s="40">
        <f t="shared" si="22"/>
        <v>-14.400000000000915</v>
      </c>
      <c r="R30" s="188">
        <f t="shared" si="23"/>
        <v>0.81999999999998852</v>
      </c>
      <c r="S30" s="432"/>
      <c r="T30" s="44">
        <v>0.54861111111111105</v>
      </c>
      <c r="U30" s="44">
        <v>0.58680555555555602</v>
      </c>
      <c r="V30" s="42">
        <f>(T30-U29)*24*60</f>
        <v>90.000000000000085</v>
      </c>
      <c r="W30" s="43">
        <f t="shared" si="17"/>
        <v>55.000000000000767</v>
      </c>
      <c r="X30" s="54">
        <v>0.50694444444444398</v>
      </c>
      <c r="Y30" s="54">
        <v>0.54861111111111105</v>
      </c>
      <c r="Z30" s="426"/>
      <c r="AA30" s="446"/>
      <c r="AB30" s="289">
        <f>N30-K30</f>
        <v>-456.00000000001376</v>
      </c>
      <c r="AC30" s="188">
        <f>N30/K30</f>
        <v>0.6833333333333238</v>
      </c>
      <c r="AD30" s="445"/>
    </row>
    <row r="31" spans="1:30" ht="15" customHeight="1">
      <c r="A31" s="429"/>
      <c r="B31" s="56" t="s">
        <v>45</v>
      </c>
      <c r="C31" s="235"/>
      <c r="D31" s="11" t="s">
        <v>142</v>
      </c>
      <c r="E31" s="29"/>
      <c r="F31" s="56">
        <f>VLOOKUP(D31,廠價表!$C$1:$E$40,3,0)</f>
        <v>57.3</v>
      </c>
      <c r="G31" s="53">
        <v>1594</v>
      </c>
      <c r="H31" s="50">
        <f t="shared" si="24"/>
        <v>91336.2</v>
      </c>
      <c r="I31" s="42"/>
      <c r="J31" s="16">
        <f>VLOOKUP(D31,產線配置圖!$A$3:$C$39,2,0)</f>
        <v>15</v>
      </c>
      <c r="K31" s="14">
        <f>VLOOKUP(D31,產線配置圖!$A$3:$C$39,3,0)</f>
        <v>1440</v>
      </c>
      <c r="L31" s="233">
        <f>K31/J31</f>
        <v>96</v>
      </c>
      <c r="M31" s="21">
        <v>15</v>
      </c>
      <c r="N31" s="36">
        <f>G31/W31*60</f>
        <v>1406.4705882352991</v>
      </c>
      <c r="O31" s="38">
        <f>N31/M31</f>
        <v>93.764705882353283</v>
      </c>
      <c r="P31" s="39">
        <f>M31-J31</f>
        <v>0</v>
      </c>
      <c r="Q31" s="40">
        <f>O31-L31</f>
        <v>-2.2352941176467169</v>
      </c>
      <c r="R31" s="188">
        <f>O31/L31</f>
        <v>0.97671568627451333</v>
      </c>
      <c r="S31" s="432"/>
      <c r="T31" s="44">
        <v>0.59375</v>
      </c>
      <c r="U31" s="44">
        <v>0.64097222222222205</v>
      </c>
      <c r="V31" s="42"/>
      <c r="W31" s="43">
        <f t="shared" si="17"/>
        <v>67.999999999999758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4"/>
      <c r="U32" s="44"/>
      <c r="V32" s="42"/>
      <c r="W32" s="43">
        <f t="shared" si="17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/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7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/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7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7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7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5">AVERAGE(J27:J36)</f>
        <v>16.8</v>
      </c>
      <c r="K37" s="282">
        <f t="shared" si="25"/>
        <v>1429</v>
      </c>
      <c r="L37" s="283">
        <f t="shared" si="25"/>
        <v>85.788888888888891</v>
      </c>
      <c r="M37" s="282">
        <f t="shared" si="25"/>
        <v>15</v>
      </c>
      <c r="N37" s="282">
        <f t="shared" si="25"/>
        <v>1182.3131112359158</v>
      </c>
      <c r="O37" s="283">
        <f t="shared" si="25"/>
        <v>78.820874082394383</v>
      </c>
      <c r="P37" s="73">
        <f>M37-J37</f>
        <v>-1.8000000000000007</v>
      </c>
      <c r="Q37" s="74">
        <f>N37-K37</f>
        <v>-246.68688876408419</v>
      </c>
      <c r="R37" s="284">
        <f t="shared" ref="R37:R40" si="26">O37/L37</f>
        <v>0.91877718785332141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0" si="27">N37-K37</f>
        <v>-246.68688876408419</v>
      </c>
      <c r="AC37" s="184">
        <f t="shared" ref="AC37:AC40" si="28">N37/K37</f>
        <v>0.82737096657516851</v>
      </c>
      <c r="AD37" s="413"/>
    </row>
    <row r="38" spans="1:30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1959</v>
      </c>
      <c r="H38" s="124">
        <f t="shared" si="24"/>
        <v>112250.7</v>
      </c>
      <c r="I38" s="125"/>
      <c r="J38" s="271">
        <f>VLOOKUP(D38,產線配置圖!$A$3:$C$39,2,0)</f>
        <v>15</v>
      </c>
      <c r="K38" s="234">
        <f>VLOOKUP(D38,產線配置圖!$A$3:$C$39,3,0)</f>
        <v>1385</v>
      </c>
      <c r="L38" s="285">
        <f t="shared" ref="L38:L40" si="29">K38/J38</f>
        <v>92.333333333333329</v>
      </c>
      <c r="M38" s="286">
        <v>13</v>
      </c>
      <c r="N38" s="126">
        <f>G38/W38*60</f>
        <v>1068.5454545454529</v>
      </c>
      <c r="O38" s="127">
        <f>N38/M38</f>
        <v>82.195804195804072</v>
      </c>
      <c r="P38" s="128">
        <f t="shared" ref="P38:P40" si="30">M38-J38</f>
        <v>-2</v>
      </c>
      <c r="Q38" s="129">
        <f t="shared" ref="Q38:Q40" si="31">O38-L38</f>
        <v>-10.137529137529256</v>
      </c>
      <c r="R38" s="187">
        <f t="shared" si="26"/>
        <v>0.89020726565852792</v>
      </c>
      <c r="S38" s="460">
        <f>R48</f>
        <v>0.91044599532313542</v>
      </c>
      <c r="T38" s="348">
        <v>0.33333333333333298</v>
      </c>
      <c r="U38" s="348">
        <v>0.40972222222222199</v>
      </c>
      <c r="V38" s="146"/>
      <c r="W38" s="150">
        <f t="shared" si="17"/>
        <v>110.00000000000017</v>
      </c>
      <c r="X38" s="148"/>
      <c r="Y38" s="151"/>
      <c r="Z38" s="462"/>
      <c r="AA38" s="463"/>
      <c r="AB38" s="287">
        <f t="shared" si="27"/>
        <v>-316.45454545454709</v>
      </c>
      <c r="AC38" s="152">
        <f t="shared" si="28"/>
        <v>0.77151296357072408</v>
      </c>
      <c r="AD38" s="447">
        <f>AC48</f>
        <v>0.74983207852203126</v>
      </c>
    </row>
    <row r="39" spans="1:30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1276</v>
      </c>
      <c r="H39" s="50">
        <f t="shared" si="24"/>
        <v>72004.679999999993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9"/>
        <v>93.733333333333334</v>
      </c>
      <c r="M39" s="65">
        <v>13</v>
      </c>
      <c r="N39" s="66">
        <f>G39/W39*60</f>
        <v>1078.3098591549419</v>
      </c>
      <c r="O39" s="67">
        <f t="shared" ref="O39:O40" si="32">N39/M39</f>
        <v>82.946912242687844</v>
      </c>
      <c r="P39" s="39">
        <f t="shared" si="30"/>
        <v>-2</v>
      </c>
      <c r="Q39" s="40">
        <f t="shared" si="31"/>
        <v>-10.78642109064549</v>
      </c>
      <c r="R39" s="188">
        <f t="shared" si="26"/>
        <v>0.88492438381245919</v>
      </c>
      <c r="S39" s="461"/>
      <c r="T39" s="349">
        <v>0.422916666666667</v>
      </c>
      <c r="U39" s="349">
        <v>0.47222222222222199</v>
      </c>
      <c r="V39" s="42">
        <f>(T39-U38)*24*60</f>
        <v>19.00000000000081</v>
      </c>
      <c r="W39" s="69">
        <f t="shared" si="17"/>
        <v>70.99999999999919</v>
      </c>
      <c r="X39" s="22"/>
      <c r="Y39" s="22"/>
      <c r="Z39" s="450"/>
      <c r="AA39" s="451"/>
      <c r="AB39" s="268">
        <f t="shared" si="27"/>
        <v>-327.69014084505807</v>
      </c>
      <c r="AC39" s="61">
        <f t="shared" si="28"/>
        <v>0.76693446597079795</v>
      </c>
      <c r="AD39" s="448"/>
    </row>
    <row r="40" spans="1:30" ht="15" customHeight="1">
      <c r="A40" s="458"/>
      <c r="B40" s="56" t="s">
        <v>182</v>
      </c>
      <c r="C40" s="272"/>
      <c r="D40" s="276" t="s">
        <v>167</v>
      </c>
      <c r="E40" s="240"/>
      <c r="F40" s="56">
        <f>VLOOKUP(D40,廠價表!$C$1:$E$40,3,0)</f>
        <v>44.3</v>
      </c>
      <c r="G40" s="273">
        <v>1624</v>
      </c>
      <c r="H40" s="50">
        <f t="shared" si="24"/>
        <v>71943.199999999997</v>
      </c>
      <c r="I40" s="64"/>
      <c r="J40" s="37">
        <f>VLOOKUP(D40,產線配置圖!$A$3:$C$39,2,0)</f>
        <v>19</v>
      </c>
      <c r="K40" s="36">
        <f>VLOOKUP(D40,產線配置圖!$A$3:$C$39,3,0)</f>
        <v>1440</v>
      </c>
      <c r="L40" s="38">
        <f t="shared" si="29"/>
        <v>75.78947368421052</v>
      </c>
      <c r="M40" s="65">
        <v>14</v>
      </c>
      <c r="N40" s="66">
        <f>G40/W40*60</f>
        <v>1025.6842105263195</v>
      </c>
      <c r="O40" s="67">
        <f t="shared" si="32"/>
        <v>73.263157894737105</v>
      </c>
      <c r="P40" s="39">
        <f t="shared" si="30"/>
        <v>-5</v>
      </c>
      <c r="Q40" s="40">
        <f t="shared" si="31"/>
        <v>-2.526315789473415</v>
      </c>
      <c r="R40" s="188">
        <f t="shared" si="26"/>
        <v>0.96666666666667023</v>
      </c>
      <c r="S40" s="420"/>
      <c r="T40" s="349">
        <v>0.54861111111111105</v>
      </c>
      <c r="U40" s="349">
        <v>0.61458333333333304</v>
      </c>
      <c r="V40" s="42">
        <f>(T40-U39)*24*60</f>
        <v>110.00000000000026</v>
      </c>
      <c r="W40" s="69">
        <f t="shared" si="17"/>
        <v>94.999999999999659</v>
      </c>
      <c r="X40" s="70">
        <v>0.46875</v>
      </c>
      <c r="Y40" s="256">
        <v>0.51041666666666696</v>
      </c>
      <c r="Z40" s="450"/>
      <c r="AA40" s="451"/>
      <c r="AB40" s="268">
        <f t="shared" si="27"/>
        <v>-414.31578947368052</v>
      </c>
      <c r="AC40" s="61">
        <f t="shared" si="28"/>
        <v>0.71228070175438851</v>
      </c>
      <c r="AD40" s="448"/>
    </row>
    <row r="41" spans="1:30" ht="15" customHeight="1">
      <c r="A41" s="458"/>
      <c r="B41" s="56"/>
      <c r="C41" s="272"/>
      <c r="D41" s="276"/>
      <c r="E41" s="240"/>
      <c r="F41" s="56"/>
      <c r="G41" s="273"/>
      <c r="H41" s="50">
        <f t="shared" si="24"/>
        <v>0</v>
      </c>
      <c r="I41" s="64"/>
      <c r="J41" s="37"/>
      <c r="K41" s="36"/>
      <c r="L41" s="38"/>
      <c r="M41" s="65"/>
      <c r="N41" s="66"/>
      <c r="O41" s="67"/>
      <c r="P41" s="39"/>
      <c r="Q41" s="40"/>
      <c r="R41" s="188"/>
      <c r="S41" s="420"/>
      <c r="T41" s="349"/>
      <c r="U41" s="349"/>
      <c r="V41" s="42"/>
      <c r="W41" s="69">
        <f t="shared" si="17"/>
        <v>0</v>
      </c>
      <c r="X41" s="70"/>
      <c r="Y41" s="256"/>
      <c r="Z41" s="450"/>
      <c r="AA41" s="451"/>
      <c r="AB41" s="268"/>
      <c r="AC41" s="61"/>
      <c r="AD41" s="448"/>
    </row>
    <row r="42" spans="1:30" ht="15" customHeight="1">
      <c r="A42" s="458"/>
      <c r="B42" s="56"/>
      <c r="C42" s="23"/>
      <c r="D42" s="276"/>
      <c r="E42" s="12"/>
      <c r="F42" s="56"/>
      <c r="G42" s="273"/>
      <c r="H42" s="50">
        <f t="shared" si="24"/>
        <v>0</v>
      </c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350"/>
      <c r="U42" s="350"/>
      <c r="V42" s="42"/>
      <c r="W42" s="69">
        <f t="shared" si="17"/>
        <v>0</v>
      </c>
      <c r="X42" s="70"/>
      <c r="Y42" s="60"/>
      <c r="Z42" s="452"/>
      <c r="AA42" s="453"/>
      <c r="AB42" s="268"/>
      <c r="AC42" s="61"/>
      <c r="AD42" s="448"/>
    </row>
    <row r="43" spans="1:30" ht="15" customHeight="1">
      <c r="A43" s="458"/>
      <c r="B43" s="228"/>
      <c r="C43" s="23"/>
      <c r="D43" s="11"/>
      <c r="E43" s="12"/>
      <c r="F43" s="13"/>
      <c r="G43" s="99"/>
      <c r="H43" s="50">
        <f t="shared" si="24"/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ht="15" customHeight="1">
      <c r="A44" s="458"/>
      <c r="B44" s="228"/>
      <c r="C44" s="181"/>
      <c r="D44" s="11"/>
      <c r="E44" s="12"/>
      <c r="F44" s="13"/>
      <c r="G44" s="99"/>
      <c r="H44" s="63">
        <f t="shared" ref="H44:H47" si="33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48"/>
    </row>
    <row r="45" spans="1:30" ht="15" customHeight="1">
      <c r="A45" s="458"/>
      <c r="B45" s="229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48"/>
    </row>
    <row r="46" spans="1:30" ht="15" customHeight="1">
      <c r="A46" s="458"/>
      <c r="B46" s="229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48"/>
    </row>
    <row r="47" spans="1:30" ht="15" customHeight="1">
      <c r="A47" s="458"/>
      <c r="B47" s="228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5">AVERAGE(J38:J47)</f>
        <v>16.333333333333332</v>
      </c>
      <c r="K48" s="133">
        <f t="shared" si="35"/>
        <v>1410.3333333333333</v>
      </c>
      <c r="L48" s="136">
        <f t="shared" si="35"/>
        <v>87.285380116959061</v>
      </c>
      <c r="M48" s="133">
        <f t="shared" si="35"/>
        <v>13.333333333333334</v>
      </c>
      <c r="N48" s="133">
        <f t="shared" si="35"/>
        <v>1057.5131747422381</v>
      </c>
      <c r="O48" s="136">
        <f t="shared" si="35"/>
        <v>79.468624777743003</v>
      </c>
      <c r="P48" s="155">
        <f>M48-J48</f>
        <v>-2.9999999999999982</v>
      </c>
      <c r="Q48" s="156">
        <f>N48-K48</f>
        <v>-352.82015859109515</v>
      </c>
      <c r="R48" s="157">
        <f t="shared" ref="R48:R52" si="36">O48/L48</f>
        <v>0.91044599532313542</v>
      </c>
      <c r="S48" s="423"/>
      <c r="T48" s="158"/>
      <c r="U48" s="158"/>
      <c r="V48" s="194"/>
      <c r="W48" s="159">
        <f t="shared" si="34"/>
        <v>0</v>
      </c>
      <c r="X48" s="160"/>
      <c r="Y48" s="160"/>
      <c r="Z48" s="424"/>
      <c r="AA48" s="424"/>
      <c r="AB48" s="161">
        <f t="shared" ref="AB48:AB53" si="37">N48-K48</f>
        <v>-352.82015859109515</v>
      </c>
      <c r="AC48" s="189">
        <f t="shared" ref="AC48:AC53" si="38">N48/K48</f>
        <v>0.74983207852203126</v>
      </c>
      <c r="AD48" s="449"/>
    </row>
    <row r="49" spans="1:30" ht="15" customHeight="1">
      <c r="A49" s="454" t="s">
        <v>57</v>
      </c>
      <c r="B49" s="197" t="s">
        <v>45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1500</v>
      </c>
      <c r="H49" s="124">
        <f t="shared" ref="H49:H57" si="39">F49*G49</f>
        <v>85305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1551.7241379310274</v>
      </c>
      <c r="O49" s="127">
        <f>N49/M49</f>
        <v>81.669691470054076</v>
      </c>
      <c r="P49" s="162">
        <f>M49-J49</f>
        <v>0</v>
      </c>
      <c r="Q49" s="111">
        <f>O49-L49</f>
        <v>-0.69872958257749929</v>
      </c>
      <c r="R49" s="182">
        <f t="shared" si="36"/>
        <v>0.99151702104219008</v>
      </c>
      <c r="S49" s="419">
        <f>R58</f>
        <v>0.98158476687579144</v>
      </c>
      <c r="T49" s="348">
        <v>0.29027777777777802</v>
      </c>
      <c r="U49" s="348">
        <v>0.33055555555555599</v>
      </c>
      <c r="V49" s="186"/>
      <c r="W49" s="150">
        <f t="shared" si="17"/>
        <v>58.00000000000027</v>
      </c>
      <c r="X49" s="186"/>
      <c r="Y49" s="186"/>
      <c r="Z49" s="425"/>
      <c r="AA49" s="425"/>
      <c r="AB49" s="110">
        <f t="shared" si="37"/>
        <v>-13.275862068972629</v>
      </c>
      <c r="AC49" s="182">
        <f t="shared" si="38"/>
        <v>0.99151702104218997</v>
      </c>
      <c r="AD49" s="411">
        <f>AC58</f>
        <v>0.98205534013534201</v>
      </c>
    </row>
    <row r="50" spans="1:30" ht="15" customHeight="1">
      <c r="A50" s="455"/>
      <c r="B50" s="56" t="s">
        <v>182</v>
      </c>
      <c r="C50" s="10"/>
      <c r="D50" s="11" t="s">
        <v>46</v>
      </c>
      <c r="E50" s="86"/>
      <c r="F50" s="56">
        <f>VLOOKUP(D50,廠價表!$C$1:$E$40,3,0)</f>
        <v>49.91</v>
      </c>
      <c r="G50" s="66">
        <v>2724</v>
      </c>
      <c r="H50" s="76">
        <f t="shared" si="39"/>
        <v>135954.84</v>
      </c>
      <c r="I50" s="191"/>
      <c r="J50" s="16">
        <f>VLOOKUP(D50,產線配置圖!$A$3:$C$39,2,0)</f>
        <v>17</v>
      </c>
      <c r="K50" s="14">
        <f>VLOOKUP(D50,產線配置圖!$A$3:$C$39,3,0)</f>
        <v>1565</v>
      </c>
      <c r="L50" s="17">
        <f>K50/J50</f>
        <v>92.058823529411768</v>
      </c>
      <c r="M50" s="172">
        <v>17</v>
      </c>
      <c r="N50" s="77">
        <f>G50/W50*60</f>
        <v>1499.4495412844135</v>
      </c>
      <c r="O50" s="78">
        <f>N50/M50</f>
        <v>88.202914193200797</v>
      </c>
      <c r="P50" s="18">
        <f>M50-J50</f>
        <v>0</v>
      </c>
      <c r="Q50" s="19">
        <f>O50-L50</f>
        <v>-3.8559093362109707</v>
      </c>
      <c r="R50" s="183">
        <f t="shared" si="36"/>
        <v>0.95811472286543997</v>
      </c>
      <c r="S50" s="420"/>
      <c r="T50" s="351">
        <v>0.33750000000000002</v>
      </c>
      <c r="U50" s="351">
        <v>0.41319444444444398</v>
      </c>
      <c r="V50" s="175">
        <f t="shared" ref="V50:V52" si="40">(T50-U49)*24*60</f>
        <v>9.9999999999994049</v>
      </c>
      <c r="W50" s="80">
        <f t="shared" si="17"/>
        <v>108.99999999999929</v>
      </c>
      <c r="X50" s="22"/>
      <c r="Y50" s="22"/>
      <c r="Z50" s="417"/>
      <c r="AA50" s="418"/>
      <c r="AB50" s="18">
        <f t="shared" si="37"/>
        <v>-65.550458715586501</v>
      </c>
      <c r="AC50" s="183">
        <f t="shared" si="38"/>
        <v>0.95811472286543997</v>
      </c>
      <c r="AD50" s="412"/>
    </row>
    <row r="51" spans="1:30" ht="15" customHeight="1">
      <c r="A51" s="455"/>
      <c r="B51" s="56" t="s">
        <v>45</v>
      </c>
      <c r="C51" s="10"/>
      <c r="D51" s="11" t="s">
        <v>59</v>
      </c>
      <c r="E51" s="86"/>
      <c r="F51" s="56">
        <f>VLOOKUP(D51,廠價表!$C$1:$E$40,3,0)</f>
        <v>49.97</v>
      </c>
      <c r="G51" s="66">
        <v>2284</v>
      </c>
      <c r="H51" s="76">
        <f t="shared" si="39"/>
        <v>114131.48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>K51/J51</f>
        <v>88.888888888888886</v>
      </c>
      <c r="M51" s="172">
        <v>18</v>
      </c>
      <c r="N51" s="77">
        <f>G51/W51*60</f>
        <v>1593.4883720930291</v>
      </c>
      <c r="O51" s="78">
        <f>N51/M51</f>
        <v>88.527131782946057</v>
      </c>
      <c r="P51" s="18">
        <f>M51-J51</f>
        <v>0</v>
      </c>
      <c r="Q51" s="19">
        <f>O51-L51</f>
        <v>-0.36175710594282862</v>
      </c>
      <c r="R51" s="183">
        <f t="shared" si="36"/>
        <v>0.99593023255814317</v>
      </c>
      <c r="S51" s="420"/>
      <c r="T51" s="351">
        <v>0.42013888888888901</v>
      </c>
      <c r="U51" s="44">
        <v>0.47986111111111102</v>
      </c>
      <c r="V51" s="175">
        <f t="shared" si="40"/>
        <v>10.000000000000844</v>
      </c>
      <c r="W51" s="80">
        <f t="shared" si="17"/>
        <v>85.999999999999687</v>
      </c>
      <c r="X51" s="22"/>
      <c r="Y51" s="22"/>
      <c r="Z51" s="405"/>
      <c r="AA51" s="405"/>
      <c r="AB51" s="18">
        <f t="shared" si="37"/>
        <v>-6.5116279069709435</v>
      </c>
      <c r="AC51" s="183">
        <f t="shared" si="38"/>
        <v>0.99593023255814317</v>
      </c>
      <c r="AD51" s="412"/>
    </row>
    <row r="52" spans="1:30" ht="15" customHeight="1">
      <c r="A52" s="455"/>
      <c r="B52" s="56" t="s">
        <v>45</v>
      </c>
      <c r="C52" s="23"/>
      <c r="D52" s="11" t="s">
        <v>59</v>
      </c>
      <c r="E52" s="12"/>
      <c r="F52" s="56">
        <f>VLOOKUP(D52,廠價表!$C$1:$E$40,3,0)</f>
        <v>49.97</v>
      </c>
      <c r="G52" s="66">
        <v>3746</v>
      </c>
      <c r="H52" s="76">
        <f t="shared" si="39"/>
        <v>187187.62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>K52/J52</f>
        <v>88.888888888888886</v>
      </c>
      <c r="M52" s="172">
        <v>18</v>
      </c>
      <c r="N52" s="77">
        <f>G52/W52*60</f>
        <v>1571.7482517482449</v>
      </c>
      <c r="O52" s="78">
        <f>N52/M52</f>
        <v>87.319347319346946</v>
      </c>
      <c r="P52" s="18">
        <f>M52-J52</f>
        <v>0</v>
      </c>
      <c r="Q52" s="19">
        <f>O52-L52</f>
        <v>-1.5695415695419399</v>
      </c>
      <c r="R52" s="183">
        <f t="shared" si="36"/>
        <v>0.98234265734265314</v>
      </c>
      <c r="S52" s="420"/>
      <c r="T52" s="351">
        <v>0.53819444444444398</v>
      </c>
      <c r="U52" s="351">
        <v>0.63749999999999996</v>
      </c>
      <c r="V52" s="175">
        <f t="shared" si="40"/>
        <v>83.99999999999946</v>
      </c>
      <c r="W52" s="80">
        <f t="shared" si="17"/>
        <v>143.00000000000063</v>
      </c>
      <c r="X52" s="22">
        <v>0.47916666666666702</v>
      </c>
      <c r="Y52" s="22">
        <v>0.52083333333333304</v>
      </c>
      <c r="Z52" s="405"/>
      <c r="AA52" s="405"/>
      <c r="AB52" s="18">
        <f t="shared" si="37"/>
        <v>-28.251748251755089</v>
      </c>
      <c r="AC52" s="183">
        <f t="shared" si="38"/>
        <v>0.98234265734265303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351"/>
      <c r="U53" s="351"/>
      <c r="V53" s="175"/>
      <c r="W53" s="80">
        <f t="shared" si="17"/>
        <v>0</v>
      </c>
      <c r="X53" s="175"/>
      <c r="Y53" s="175"/>
      <c r="Z53" s="417"/>
      <c r="AA53" s="418"/>
      <c r="AB53" s="18">
        <f t="shared" si="37"/>
        <v>0</v>
      </c>
      <c r="AC53" s="183" t="e">
        <f t="shared" si="38"/>
        <v>#DIV/0!</v>
      </c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/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7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39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7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9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7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9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7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1">AVERAGE(J49:J57)</f>
        <v>18</v>
      </c>
      <c r="K58" s="117">
        <f t="shared" si="41"/>
        <v>1582.5</v>
      </c>
      <c r="L58" s="114">
        <f t="shared" si="41"/>
        <v>88.051255589955275</v>
      </c>
      <c r="M58" s="117">
        <f t="shared" si="41"/>
        <v>18</v>
      </c>
      <c r="N58" s="117">
        <f t="shared" si="41"/>
        <v>1554.1025757641787</v>
      </c>
      <c r="O58" s="114">
        <f t="shared" si="41"/>
        <v>86.429771191386976</v>
      </c>
      <c r="P58" s="118">
        <f>M58-J58</f>
        <v>0</v>
      </c>
      <c r="Q58" s="119">
        <f>N58-K58</f>
        <v>-28.39742423582129</v>
      </c>
      <c r="R58" s="120">
        <f t="shared" ref="R58:R59" si="42">O58/L58</f>
        <v>0.98158476687579144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43">N58-K58</f>
        <v>-28.39742423582129</v>
      </c>
      <c r="AC58" s="185">
        <f t="shared" ref="AC58:AC63" si="44">N58/K58</f>
        <v>0.98205534013534201</v>
      </c>
      <c r="AD58" s="414"/>
    </row>
    <row r="59" spans="1:30" ht="15" customHeight="1">
      <c r="A59" s="470" t="s">
        <v>61</v>
      </c>
      <c r="B59" s="197" t="s">
        <v>172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3691</v>
      </c>
      <c r="H59" s="105">
        <f t="shared" ref="H59:H68" si="45">F59*G59</f>
        <v>99620.09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46">G59/W59*60</f>
        <v>1527.3103448275936</v>
      </c>
      <c r="O59" s="108">
        <f t="shared" ref="O59:O62" si="47">N59/M59</f>
        <v>117.48541114058412</v>
      </c>
      <c r="P59" s="110">
        <f t="shared" ref="P59:P62" si="48">M59-J59</f>
        <v>0</v>
      </c>
      <c r="Q59" s="111">
        <f t="shared" ref="Q59:Q62" si="49">O59-L59</f>
        <v>-2.8992042440312673</v>
      </c>
      <c r="R59" s="182">
        <f t="shared" si="42"/>
        <v>0.9759171532444687</v>
      </c>
      <c r="S59" s="419">
        <f>R69</f>
        <v>0.92273505447463133</v>
      </c>
      <c r="T59" s="344">
        <v>0.29166666666666702</v>
      </c>
      <c r="U59" s="344">
        <v>0.39236111111111099</v>
      </c>
      <c r="V59" s="186"/>
      <c r="W59" s="106">
        <f t="shared" si="17"/>
        <v>144.99999999999932</v>
      </c>
      <c r="X59" s="186"/>
      <c r="Y59" s="186"/>
      <c r="Z59" s="469"/>
      <c r="AA59" s="434"/>
      <c r="AB59" s="223">
        <f t="shared" si="43"/>
        <v>-37.689655172406447</v>
      </c>
      <c r="AC59" s="224">
        <f t="shared" si="44"/>
        <v>0.9759171532444687</v>
      </c>
      <c r="AD59" s="411">
        <f>AC69</f>
        <v>0.88077999338990132</v>
      </c>
    </row>
    <row r="60" spans="1:30" ht="15" customHeight="1">
      <c r="A60" s="471"/>
      <c r="B60" s="56" t="s">
        <v>172</v>
      </c>
      <c r="C60" s="10"/>
      <c r="D60" s="239" t="s">
        <v>63</v>
      </c>
      <c r="E60" s="86"/>
      <c r="F60" s="56">
        <f>VLOOKUP(D60,廠價表!$C$1:$E$40,3,0)</f>
        <v>28.47</v>
      </c>
      <c r="G60" s="175">
        <v>479</v>
      </c>
      <c r="H60" s="15">
        <f t="shared" si="45"/>
        <v>13637.13</v>
      </c>
      <c r="I60" s="81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6"/>
        <v>1437.0000000000969</v>
      </c>
      <c r="O60" s="17">
        <f t="shared" si="47"/>
        <v>119.75000000000807</v>
      </c>
      <c r="P60" s="18">
        <f t="shared" si="48"/>
        <v>0</v>
      </c>
      <c r="Q60" s="19">
        <f t="shared" si="49"/>
        <v>-10.666666666658585</v>
      </c>
      <c r="R60" s="183">
        <f>O60/L60</f>
        <v>0.91821086261987028</v>
      </c>
      <c r="S60" s="474"/>
      <c r="T60" s="22">
        <v>0.39930555555555602</v>
      </c>
      <c r="U60" s="22">
        <v>0.41319444444444398</v>
      </c>
      <c r="V60" s="175">
        <f t="shared" ref="V60:V63" si="50">(T60-U59)*24*60</f>
        <v>10.000000000000844</v>
      </c>
      <c r="W60" s="90">
        <f t="shared" si="17"/>
        <v>19.99999999999865</v>
      </c>
      <c r="X60" s="191"/>
      <c r="Y60" s="191"/>
      <c r="Z60" s="405"/>
      <c r="AA60" s="405"/>
      <c r="AB60" s="225">
        <f t="shared" si="43"/>
        <v>-127.99999999990314</v>
      </c>
      <c r="AC60" s="226">
        <f t="shared" si="44"/>
        <v>0.91821086261987017</v>
      </c>
      <c r="AD60" s="464"/>
    </row>
    <row r="61" spans="1:30" ht="15" customHeight="1">
      <c r="A61" s="472"/>
      <c r="B61" s="56" t="s">
        <v>172</v>
      </c>
      <c r="C61" s="10"/>
      <c r="D61" s="239" t="s">
        <v>64</v>
      </c>
      <c r="E61" s="86"/>
      <c r="F61" s="56">
        <f>VLOOKUP(D61,廠價表!$C$1:$E$40,3,0)</f>
        <v>28.26</v>
      </c>
      <c r="G61" s="175">
        <v>1125</v>
      </c>
      <c r="H61" s="15">
        <f t="shared" si="45"/>
        <v>31792.5</v>
      </c>
      <c r="I61" s="175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11</v>
      </c>
      <c r="N61" s="14">
        <f t="shared" si="46"/>
        <v>1163.7931034482688</v>
      </c>
      <c r="O61" s="17">
        <f t="shared" si="47"/>
        <v>105.7993730407517</v>
      </c>
      <c r="P61" s="18">
        <f t="shared" si="48"/>
        <v>-1</v>
      </c>
      <c r="Q61" s="19">
        <f t="shared" si="49"/>
        <v>-24.617293625914954</v>
      </c>
      <c r="R61" s="183">
        <f>O61/L61</f>
        <v>0.81124119903451797</v>
      </c>
      <c r="S61" s="420"/>
      <c r="T61" s="291">
        <v>0.42361111111111099</v>
      </c>
      <c r="U61" s="291">
        <v>0.46388888888888902</v>
      </c>
      <c r="V61" s="175">
        <f t="shared" si="50"/>
        <v>15.000000000000506</v>
      </c>
      <c r="W61" s="88">
        <f t="shared" si="17"/>
        <v>58.000000000000355</v>
      </c>
      <c r="X61" s="22"/>
      <c r="Y61" s="22"/>
      <c r="Z61" s="405"/>
      <c r="AA61" s="405"/>
      <c r="AB61" s="51">
        <f t="shared" si="43"/>
        <v>-401.20689655173123</v>
      </c>
      <c r="AC61" s="52">
        <f t="shared" si="44"/>
        <v>0.74363776578164142</v>
      </c>
      <c r="AD61" s="412"/>
    </row>
    <row r="62" spans="1:30" ht="15" customHeight="1">
      <c r="A62" s="472"/>
      <c r="B62" s="56" t="s">
        <v>172</v>
      </c>
      <c r="C62" s="23"/>
      <c r="D62" s="239" t="s">
        <v>64</v>
      </c>
      <c r="E62" s="12"/>
      <c r="F62" s="56">
        <f>VLOOKUP(D62,廠價表!$C$1:$E$40,3,0)</f>
        <v>28.26</v>
      </c>
      <c r="G62" s="175">
        <v>1101</v>
      </c>
      <c r="H62" s="15">
        <f>F62*G62</f>
        <v>31114.260000000002</v>
      </c>
      <c r="I62" s="81"/>
      <c r="J62" s="16">
        <f>VLOOKUP(D62,產線配置圖!$A$3:$C$39,2,0)</f>
        <v>12</v>
      </c>
      <c r="K62" s="14">
        <f>VLOOKUP(D62,產線配置圖!$A$3:$C$39,3,0)</f>
        <v>1565</v>
      </c>
      <c r="L62" s="17">
        <f>K62/J62</f>
        <v>130.41666666666666</v>
      </c>
      <c r="M62" s="178">
        <v>12</v>
      </c>
      <c r="N62" s="14">
        <f t="shared" si="46"/>
        <v>1468</v>
      </c>
      <c r="O62" s="17">
        <f t="shared" si="47"/>
        <v>122.33333333333333</v>
      </c>
      <c r="P62" s="18">
        <f t="shared" si="48"/>
        <v>0</v>
      </c>
      <c r="Q62" s="19">
        <f t="shared" si="49"/>
        <v>-8.0833333333333286</v>
      </c>
      <c r="R62" s="183">
        <f>O62/L62</f>
        <v>0.93801916932907348</v>
      </c>
      <c r="S62" s="420"/>
      <c r="T62" s="22">
        <v>0.52083333333333304</v>
      </c>
      <c r="U62" s="22">
        <v>0.55208333333333304</v>
      </c>
      <c r="V62" s="175">
        <f t="shared" si="50"/>
        <v>81.999999999999389</v>
      </c>
      <c r="W62" s="90">
        <f t="shared" si="17"/>
        <v>45</v>
      </c>
      <c r="X62" s="22"/>
      <c r="Y62" s="22"/>
      <c r="Z62" s="405"/>
      <c r="AA62" s="405"/>
      <c r="AB62" s="51">
        <f t="shared" si="43"/>
        <v>-97</v>
      </c>
      <c r="AC62" s="52">
        <f t="shared" si="44"/>
        <v>0.93801916932907348</v>
      </c>
      <c r="AD62" s="412"/>
    </row>
    <row r="63" spans="1:30" ht="15" customHeight="1">
      <c r="A63" s="472"/>
      <c r="B63" s="56" t="s">
        <v>172</v>
      </c>
      <c r="C63" s="10"/>
      <c r="D63" s="239" t="s">
        <v>62</v>
      </c>
      <c r="E63" s="86"/>
      <c r="F63" s="56">
        <f>VLOOKUP(D63,廠價表!$C$1:$E$40,3,0)</f>
        <v>26.99</v>
      </c>
      <c r="G63" s="175">
        <v>648</v>
      </c>
      <c r="H63" s="15">
        <f>F63*G63</f>
        <v>17489.52</v>
      </c>
      <c r="I63" s="81"/>
      <c r="J63" s="16">
        <f>VLOOKUP(D63,產線配置圖!$A$3:$C$39,2,0)</f>
        <v>13</v>
      </c>
      <c r="K63" s="14">
        <f>VLOOKUP(D63,產線配置圖!$A$3:$C$39,3,0)</f>
        <v>1565</v>
      </c>
      <c r="L63" s="17">
        <f>K63/J63</f>
        <v>120.38461538461539</v>
      </c>
      <c r="M63" s="178">
        <v>11</v>
      </c>
      <c r="N63" s="14">
        <f>G63/W63*60</f>
        <v>1296.0000000000184</v>
      </c>
      <c r="O63" s="17">
        <f>N63/M63</f>
        <v>117.81818181818349</v>
      </c>
      <c r="P63" s="18">
        <f>M63-J63</f>
        <v>-2</v>
      </c>
      <c r="Q63" s="19">
        <f>O63-L63</f>
        <v>-2.5664335664318969</v>
      </c>
      <c r="R63" s="183">
        <f>O63/L63</f>
        <v>0.97868138251526215</v>
      </c>
      <c r="S63" s="420"/>
      <c r="T63" s="22">
        <v>0.5625</v>
      </c>
      <c r="U63" s="22">
        <v>0.58333333333333304</v>
      </c>
      <c r="V63" s="175">
        <f t="shared" si="50"/>
        <v>15.000000000000426</v>
      </c>
      <c r="W63" s="90">
        <f t="shared" si="17"/>
        <v>29.999999999999574</v>
      </c>
      <c r="X63" s="84"/>
      <c r="Y63" s="84"/>
      <c r="Z63" s="405"/>
      <c r="AA63" s="405"/>
      <c r="AB63" s="51">
        <f t="shared" si="43"/>
        <v>-268.99999999998158</v>
      </c>
      <c r="AC63" s="52">
        <f t="shared" si="44"/>
        <v>0.8281150159744527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>
        <f t="shared" si="45"/>
        <v>0</v>
      </c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7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175"/>
      <c r="C65" s="181"/>
      <c r="D65" s="11"/>
      <c r="E65" s="12"/>
      <c r="F65" s="13"/>
      <c r="G65" s="175"/>
      <c r="H65" s="15">
        <f t="shared" si="45"/>
        <v>0</v>
      </c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7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>
        <f t="shared" si="45"/>
        <v>0</v>
      </c>
      <c r="I66" s="85"/>
      <c r="J66" s="16"/>
      <c r="K66" s="14"/>
      <c r="L66" s="17"/>
      <c r="M66" s="21"/>
      <c r="N66" s="14"/>
      <c r="O66" s="17"/>
      <c r="P66" s="18"/>
      <c r="Q66" s="19"/>
      <c r="R66" s="183"/>
      <c r="S66" s="420"/>
      <c r="T66" s="20"/>
      <c r="U66" s="20"/>
      <c r="V66" s="175"/>
      <c r="W66" s="180">
        <f t="shared" si="17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>
        <f t="shared" si="45"/>
        <v>0</v>
      </c>
      <c r="I67" s="175"/>
      <c r="J67" s="16"/>
      <c r="K67" s="14"/>
      <c r="L67" s="17"/>
      <c r="M67" s="21"/>
      <c r="N67" s="14"/>
      <c r="O67" s="17"/>
      <c r="P67" s="18"/>
      <c r="Q67" s="19"/>
      <c r="R67" s="183"/>
      <c r="S67" s="420"/>
      <c r="T67" s="20"/>
      <c r="U67" s="20"/>
      <c r="V67" s="175"/>
      <c r="W67" s="180">
        <f t="shared" si="17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5"/>
        <v>0</v>
      </c>
      <c r="I68" s="85"/>
      <c r="J68" s="16"/>
      <c r="K68" s="14"/>
      <c r="L68" s="17"/>
      <c r="M68" s="21"/>
      <c r="N68" s="14"/>
      <c r="O68" s="17"/>
      <c r="P68" s="18"/>
      <c r="Q68" s="19"/>
      <c r="R68" s="183"/>
      <c r="S68" s="420"/>
      <c r="T68" s="20"/>
      <c r="U68" s="20"/>
      <c r="V68" s="175"/>
      <c r="W68" s="180">
        <f t="shared" si="17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1">AVERAGE(J59:J68)</f>
        <v>12.4</v>
      </c>
      <c r="K69" s="164">
        <f t="shared" si="51"/>
        <v>1565</v>
      </c>
      <c r="L69" s="169">
        <f t="shared" si="51"/>
        <v>126.40384615384615</v>
      </c>
      <c r="M69" s="164">
        <f t="shared" si="51"/>
        <v>11.8</v>
      </c>
      <c r="N69" s="164">
        <f t="shared" si="51"/>
        <v>1378.4206896551955</v>
      </c>
      <c r="O69" s="169">
        <f t="shared" si="51"/>
        <v>116.63725986657214</v>
      </c>
      <c r="P69" s="170">
        <f>M69-J69</f>
        <v>-0.59999999999999964</v>
      </c>
      <c r="Q69" s="156">
        <f>N69-K69</f>
        <v>-186.57931034480453</v>
      </c>
      <c r="R69" s="120">
        <f>O69/L69</f>
        <v>0.92273505447463133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-186.57931034480453</v>
      </c>
      <c r="AC69" s="185">
        <f>N69/K69</f>
        <v>0.88077999338990132</v>
      </c>
      <c r="AD69" s="414"/>
    </row>
    <row r="70" spans="1:32" ht="15" customHeight="1">
      <c r="A70" s="465" t="s">
        <v>67</v>
      </c>
      <c r="B70" s="197" t="s">
        <v>45</v>
      </c>
      <c r="C70" s="197"/>
      <c r="D70" s="102" t="s">
        <v>187</v>
      </c>
      <c r="E70" s="103"/>
      <c r="F70" s="197">
        <f>VLOOKUP(D70,廠價表!$C$1:$E$40,3,0)</f>
        <v>50.67</v>
      </c>
      <c r="G70" s="186">
        <v>2111</v>
      </c>
      <c r="H70" s="105">
        <f>F70*G70</f>
        <v>106964.37000000001</v>
      </c>
      <c r="I70" s="186"/>
      <c r="J70" s="107">
        <f>VLOOKUP(D70,產線配置圖!$A$3:$C$39,2,0)</f>
        <v>15</v>
      </c>
      <c r="K70" s="104">
        <f>VLOOKUP(D70,產線配置圖!$A$3:$C$39,3,0)</f>
        <v>1440</v>
      </c>
      <c r="L70" s="108">
        <f>K70/J70</f>
        <v>96</v>
      </c>
      <c r="M70" s="109">
        <v>10</v>
      </c>
      <c r="N70" s="104">
        <f>G70/W70*60</f>
        <v>684.6486486486499</v>
      </c>
      <c r="O70" s="108">
        <f>N70/M70</f>
        <v>68.464864864864992</v>
      </c>
      <c r="P70" s="110">
        <f>M70-J70</f>
        <v>-5</v>
      </c>
      <c r="Q70" s="111">
        <f>O70-L70</f>
        <v>-27.535135135135008</v>
      </c>
      <c r="R70" s="182">
        <f>O70/L70</f>
        <v>0.71317567567567697</v>
      </c>
      <c r="S70" s="419">
        <f>R79</f>
        <v>0.78663045147419852</v>
      </c>
      <c r="T70" s="344">
        <v>0.35416666666666702</v>
      </c>
      <c r="U70" s="344">
        <v>0.48263888888888901</v>
      </c>
      <c r="V70" s="186"/>
      <c r="W70" s="106">
        <f t="shared" si="17"/>
        <v>184.99999999999966</v>
      </c>
      <c r="X70" s="290"/>
      <c r="Y70" s="290"/>
      <c r="Z70" s="495" t="s">
        <v>207</v>
      </c>
      <c r="AA70" s="495"/>
      <c r="AB70" s="223">
        <f>N70-K70</f>
        <v>-755.3513513513501</v>
      </c>
      <c r="AC70" s="224">
        <f>N70/K70</f>
        <v>0.47545045045045131</v>
      </c>
      <c r="AD70" s="411">
        <f>AC79</f>
        <v>0.55308980855855627</v>
      </c>
    </row>
    <row r="71" spans="1:32" ht="15" customHeight="1">
      <c r="A71" s="466"/>
      <c r="B71" s="56" t="s">
        <v>45</v>
      </c>
      <c r="C71" s="10"/>
      <c r="D71" s="11" t="s">
        <v>187</v>
      </c>
      <c r="E71" s="86"/>
      <c r="F71" s="56">
        <f>VLOOKUP(D71,廠價表!$C$1:$E$40,3,0)</f>
        <v>50.67</v>
      </c>
      <c r="G71" s="66">
        <v>1211</v>
      </c>
      <c r="H71" s="76">
        <f>F71*G71</f>
        <v>61361.37</v>
      </c>
      <c r="I71" s="191"/>
      <c r="J71" s="16">
        <f>VLOOKUP(D71,產線配置圖!$A$3:$C$39,2,0)</f>
        <v>15</v>
      </c>
      <c r="K71" s="14">
        <f>VLOOKUP(D71,產線配置圖!$A$3:$C$39,3,0)</f>
        <v>1440</v>
      </c>
      <c r="L71" s="17">
        <f>K71/J71</f>
        <v>96</v>
      </c>
      <c r="M71" s="178">
        <v>11</v>
      </c>
      <c r="N71" s="14">
        <f>G71/W71*60</f>
        <v>908.24999999999227</v>
      </c>
      <c r="O71" s="17">
        <f>N71/M71</f>
        <v>82.568181818181117</v>
      </c>
      <c r="P71" s="18">
        <f>M71-J71</f>
        <v>-4</v>
      </c>
      <c r="Q71" s="19">
        <f>O71-L71</f>
        <v>-13.431818181818883</v>
      </c>
      <c r="R71" s="183">
        <f>O71/L71</f>
        <v>0.86008522727271997</v>
      </c>
      <c r="S71" s="420"/>
      <c r="T71" s="22">
        <v>0.56597222222222199</v>
      </c>
      <c r="U71" s="22">
        <v>0.62152777777777801</v>
      </c>
      <c r="V71" s="175"/>
      <c r="W71" s="180">
        <f t="shared" si="17"/>
        <v>80.000000000000682</v>
      </c>
      <c r="X71" s="292"/>
      <c r="Y71" s="293"/>
      <c r="Z71" s="496"/>
      <c r="AA71" s="496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2"/>
      <c r="U72" s="22"/>
      <c r="V72" s="175"/>
      <c r="W72" s="180">
        <f t="shared" si="17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7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2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7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2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7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2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7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2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7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2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7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>
        <f t="shared" ref="J79:O79" si="53">AVERAGE(J70:J78)</f>
        <v>15</v>
      </c>
      <c r="K79" s="164">
        <f t="shared" si="53"/>
        <v>1440</v>
      </c>
      <c r="L79" s="169">
        <f t="shared" si="53"/>
        <v>96</v>
      </c>
      <c r="M79" s="164">
        <f t="shared" si="53"/>
        <v>10.5</v>
      </c>
      <c r="N79" s="164">
        <f t="shared" si="53"/>
        <v>796.44932432432108</v>
      </c>
      <c r="O79" s="169">
        <f t="shared" si="53"/>
        <v>75.516523341523055</v>
      </c>
      <c r="P79" s="170">
        <f>M79-J79</f>
        <v>-4.5</v>
      </c>
      <c r="Q79" s="156">
        <f>N79-K79</f>
        <v>-643.55067567567892</v>
      </c>
      <c r="R79" s="157">
        <f>O79/L79</f>
        <v>0.78663045147419852</v>
      </c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-643.55067567567892</v>
      </c>
      <c r="AC79" s="185">
        <f>N79/K79</f>
        <v>0.55308980855855627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4">
    <mergeCell ref="D69:E69"/>
    <mergeCell ref="Z69:AA69"/>
    <mergeCell ref="A70:A79"/>
    <mergeCell ref="S70:S79"/>
    <mergeCell ref="D79:E79"/>
    <mergeCell ref="A59:A69"/>
    <mergeCell ref="S59:S69"/>
    <mergeCell ref="AD70:AD79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AD59:AD69"/>
    <mergeCell ref="Z60:AA60"/>
    <mergeCell ref="Z61:AA61"/>
    <mergeCell ref="Z62:AA62"/>
    <mergeCell ref="Z63:AA63"/>
    <mergeCell ref="Z64:AA64"/>
    <mergeCell ref="Z65:AA65"/>
    <mergeCell ref="Z54:AA54"/>
    <mergeCell ref="Z55:AA55"/>
    <mergeCell ref="Z56:AA56"/>
    <mergeCell ref="Z57:AA57"/>
    <mergeCell ref="Z58:AA58"/>
    <mergeCell ref="Z59:AA59"/>
    <mergeCell ref="Z66:AA66"/>
    <mergeCell ref="Z67:AA67"/>
    <mergeCell ref="Z68:AA68"/>
    <mergeCell ref="A38:A48"/>
    <mergeCell ref="S38:S48"/>
    <mergeCell ref="Z38:AA38"/>
    <mergeCell ref="Z45:AA45"/>
    <mergeCell ref="Z46:AA46"/>
    <mergeCell ref="Z47:AA47"/>
    <mergeCell ref="D48:E48"/>
    <mergeCell ref="Z48:AA48"/>
    <mergeCell ref="AD38:AD48"/>
    <mergeCell ref="Z39:AA39"/>
    <mergeCell ref="Z40:AA40"/>
    <mergeCell ref="Z41:AA41"/>
    <mergeCell ref="Z42:AA42"/>
    <mergeCell ref="Z43:AA43"/>
    <mergeCell ref="Z44:AA44"/>
    <mergeCell ref="AD49:AD58"/>
    <mergeCell ref="Z50:AA50"/>
    <mergeCell ref="Z51:AA51"/>
    <mergeCell ref="Z52:AA52"/>
    <mergeCell ref="Z53:AA53"/>
    <mergeCell ref="A49:A58"/>
    <mergeCell ref="S49:S58"/>
    <mergeCell ref="Z49:AA49"/>
    <mergeCell ref="D58:E58"/>
    <mergeCell ref="A27:A37"/>
    <mergeCell ref="S27:S37"/>
    <mergeCell ref="Z27:AA27"/>
    <mergeCell ref="D37:E37"/>
    <mergeCell ref="Z37:AA3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Z26:AA26"/>
    <mergeCell ref="Z15:AA15"/>
    <mergeCell ref="Z12:AA12"/>
    <mergeCell ref="Z13:AA13"/>
    <mergeCell ref="Z14:AA14"/>
    <mergeCell ref="M3:M4"/>
    <mergeCell ref="G3:G4"/>
    <mergeCell ref="A16:A26"/>
    <mergeCell ref="S16:S26"/>
    <mergeCell ref="Z16:AA16"/>
    <mergeCell ref="D26:E26"/>
    <mergeCell ref="Z70:AA71"/>
    <mergeCell ref="Z3:AA4"/>
    <mergeCell ref="AB3:AB4"/>
    <mergeCell ref="P3:P4"/>
    <mergeCell ref="AC3:AC4"/>
    <mergeCell ref="AD3:AD4"/>
    <mergeCell ref="A5: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10:AA10"/>
    <mergeCell ref="Z11:AA11"/>
    <mergeCell ref="Q3:Q4"/>
    <mergeCell ref="R3:R4"/>
    <mergeCell ref="S3:S4"/>
    <mergeCell ref="D15:E15"/>
    <mergeCell ref="A2:B2"/>
    <mergeCell ref="A3:A4"/>
    <mergeCell ref="B3:B4"/>
    <mergeCell ref="D3:E4"/>
    <mergeCell ref="F3:F4"/>
    <mergeCell ref="P1:S2"/>
    <mergeCell ref="T1:Y2"/>
    <mergeCell ref="Z1:AA2"/>
    <mergeCell ref="AB1:AD2"/>
    <mergeCell ref="J1:L2"/>
    <mergeCell ref="M1:O2"/>
    <mergeCell ref="H3:H4"/>
    <mergeCell ref="I3:I4"/>
    <mergeCell ref="J3:J4"/>
    <mergeCell ref="K3:K4"/>
    <mergeCell ref="L3:L4"/>
    <mergeCell ref="N3:N4"/>
    <mergeCell ref="O3:O4"/>
  </mergeCells>
  <phoneticPr fontId="0" type="noConversion"/>
  <conditionalFormatting sqref="P5:P79">
    <cfRule type="cellIs" dxfId="38" priority="1" operator="greaterThan">
      <formula>0</formula>
    </cfRule>
  </conditionalFormatting>
  <conditionalFormatting sqref="Q5:Q79 AB5:AB79">
    <cfRule type="cellIs" dxfId="37" priority="4" operator="lessThan">
      <formula>0</formula>
    </cfRule>
  </conditionalFormatting>
  <conditionalFormatting sqref="R5:R79 AC5:AC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D59:AD62 S69:S76 AD69:AD76">
    <cfRule type="cellIs" dxfId="34" priority="7" operator="lessThan">
      <formula>0.8</formula>
    </cfRule>
  </conditionalFormatting>
  <conditionalFormatting sqref="S19:S25 AD19:AD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D5:AD8 S15:S16 AD15:AD16 AD49 AD79">
    <cfRule type="cellIs" dxfId="31" priority="9" operator="lessThan">
      <formula>0.8</formula>
    </cfRule>
  </conditionalFormatting>
  <conditionalFormatting sqref="AD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zoomScale="70" zoomScaleNormal="70" workbookViewId="0">
      <selection activeCell="A2" sqref="A1:K2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29" width="8.08984375" style="201" customWidth="1"/>
    <col min="30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46020</v>
      </c>
      <c r="E3" s="357"/>
      <c r="F3" s="202" t="s">
        <v>84</v>
      </c>
      <c r="G3" s="358">
        <f>'1229'!E1</f>
        <v>53800</v>
      </c>
      <c r="H3" s="358"/>
      <c r="I3" s="202" t="s">
        <v>2</v>
      </c>
      <c r="J3" s="359">
        <f>'1229'!G1</f>
        <v>2603504.79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110.77352085908588</v>
      </c>
      <c r="G6" s="367"/>
      <c r="H6" s="360">
        <f>AVERAGE(D13:H13)</f>
        <v>110.30119843348946</v>
      </c>
      <c r="I6" s="360"/>
      <c r="J6" s="360">
        <f>AVERAGE(I13:J13)</f>
        <v>111.95432692307692</v>
      </c>
      <c r="K6" s="360"/>
      <c r="L6" s="205"/>
    </row>
    <row r="7" spans="2:15" ht="39.65" customHeight="1">
      <c r="B7" s="353"/>
      <c r="C7" s="353"/>
      <c r="D7" s="361" t="s">
        <v>93</v>
      </c>
      <c r="E7" s="361"/>
      <c r="F7" s="362">
        <f>AVERAGE(D14:J14)</f>
        <v>98.388194473073369</v>
      </c>
      <c r="G7" s="362"/>
      <c r="H7" s="363">
        <f>AVERAGE(D14:H14)</f>
        <v>102.34724256672568</v>
      </c>
      <c r="I7" s="363"/>
      <c r="J7" s="363">
        <f>AVERAGE(I14:J14)</f>
        <v>88.4905742389426</v>
      </c>
      <c r="K7" s="363"/>
    </row>
    <row r="8" spans="2:15" ht="39.65" customHeight="1">
      <c r="B8" s="353"/>
      <c r="C8" s="353"/>
      <c r="D8" s="361" t="s">
        <v>24</v>
      </c>
      <c r="E8" s="361"/>
      <c r="F8" s="364">
        <f>AVERAGE(D15:J15)</f>
        <v>0.88893669354239291</v>
      </c>
      <c r="G8" s="364"/>
      <c r="H8" s="364">
        <f>AVERAGE(D15:H15)</f>
        <v>0.93059004843146675</v>
      </c>
      <c r="I8" s="364"/>
      <c r="J8" s="364">
        <f>AVERAGE(I15:J15)</f>
        <v>0.7848033063197084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VALUE('1229'!L15)</f>
        <v>129.79072398190044</v>
      </c>
      <c r="E13" s="213">
        <f>VALUE('1229'!L26)</f>
        <v>160.58974358974359</v>
      </c>
      <c r="F13" s="213">
        <f>VALUE('1229'!L37)</f>
        <v>85.788888888888891</v>
      </c>
      <c r="G13" s="213">
        <f>VALUE('1229'!L48)</f>
        <v>87.285380116959061</v>
      </c>
      <c r="H13" s="213">
        <f>VALUE('1229'!L58)</f>
        <v>88.051255589955275</v>
      </c>
      <c r="I13" s="213">
        <f>VALUE('1229'!L69)</f>
        <v>127.90865384615384</v>
      </c>
      <c r="J13" s="213">
        <f>'1229'!L79</f>
        <v>96</v>
      </c>
    </row>
    <row r="14" spans="2:15" ht="40" customHeight="1">
      <c r="B14" s="376"/>
      <c r="C14" s="212" t="s">
        <v>106</v>
      </c>
      <c r="D14" s="213">
        <f>VALUE('1229'!O15)</f>
        <v>122.63584536378677</v>
      </c>
      <c r="E14" s="213">
        <f>VALUE('1229'!O26)</f>
        <v>144.63518328971355</v>
      </c>
      <c r="F14" s="213">
        <f>VALUE('1229'!O37)</f>
        <v>76.449869845067411</v>
      </c>
      <c r="G14" s="213">
        <f>VALUE('1229'!O48)</f>
        <v>81.617582474359907</v>
      </c>
      <c r="H14" s="213">
        <f>VALUE('1229'!O58)</f>
        <v>86.397731860700759</v>
      </c>
      <c r="I14" s="213">
        <f>VALUE('1229'!O69)</f>
        <v>105.42151545036234</v>
      </c>
      <c r="J14" s="213">
        <f>'1229'!O79</f>
        <v>71.559633027522878</v>
      </c>
    </row>
    <row r="15" spans="2:15" ht="40" customHeight="1">
      <c r="B15" s="377"/>
      <c r="C15" s="210" t="s">
        <v>23</v>
      </c>
      <c r="D15" s="231">
        <f>D14/D13</f>
        <v>0.94487372904159594</v>
      </c>
      <c r="E15" s="231">
        <f t="shared" ref="E15:J15" si="0">E14/E13</f>
        <v>0.90065019132984647</v>
      </c>
      <c r="F15" s="231">
        <f t="shared" si="0"/>
        <v>0.89113952675250185</v>
      </c>
      <c r="G15" s="231">
        <f t="shared" si="0"/>
        <v>0.93506589952401509</v>
      </c>
      <c r="H15" s="231">
        <f t="shared" si="0"/>
        <v>0.98122089550937475</v>
      </c>
      <c r="I15" s="231">
        <f t="shared" si="0"/>
        <v>0.82419376860272009</v>
      </c>
      <c r="J15" s="231">
        <f t="shared" si="0"/>
        <v>0.74541284403669661</v>
      </c>
    </row>
    <row r="16" spans="2:15" ht="17.25" customHeight="1">
      <c r="B16" s="378" t="s">
        <v>107</v>
      </c>
      <c r="C16" s="210" t="s">
        <v>29</v>
      </c>
      <c r="D16" s="95">
        <f>'1229'!T5</f>
        <v>0.29027777777777802</v>
      </c>
      <c r="E16" s="95">
        <f>'1229'!T16</f>
        <v>0.29236111111111102</v>
      </c>
      <c r="F16" s="95">
        <f>'1229'!T27</f>
        <v>0.29166666666666702</v>
      </c>
      <c r="G16" s="95">
        <f>'1229'!T38</f>
        <v>0.33333333333333298</v>
      </c>
      <c r="H16" s="95">
        <f>'1229'!T49</f>
        <v>0.29166666666666702</v>
      </c>
      <c r="I16" s="95">
        <f>'1229'!T59</f>
        <v>0.29027777777777802</v>
      </c>
      <c r="J16" s="269">
        <f>'1229'!T70</f>
        <v>0.34513888888888899</v>
      </c>
    </row>
    <row r="17" spans="2:10" ht="17.25" customHeight="1">
      <c r="B17" s="379"/>
      <c r="C17" s="210" t="s">
        <v>30</v>
      </c>
      <c r="D17" s="95">
        <v>0.60694444444444395</v>
      </c>
      <c r="E17" s="44">
        <v>0.64930555555555602</v>
      </c>
      <c r="F17" s="44">
        <v>0.64236111111111105</v>
      </c>
      <c r="G17" s="349">
        <v>0.68333333333333302</v>
      </c>
      <c r="H17" s="351">
        <v>0.625</v>
      </c>
      <c r="I17" s="22">
        <v>0.57638888888888895</v>
      </c>
      <c r="J17" s="344">
        <v>0.49652777777777801</v>
      </c>
    </row>
    <row r="18" spans="2:10" ht="17.25" customHeight="1">
      <c r="B18" s="365" t="s">
        <v>108</v>
      </c>
      <c r="C18" s="366"/>
      <c r="D18" s="214">
        <f>VALUE('1229'!M15)</f>
        <v>14.25</v>
      </c>
      <c r="E18" s="214">
        <f>VALUE('1229'!M26)</f>
        <v>12.6</v>
      </c>
      <c r="F18" s="214">
        <f>VALUE('1229'!M37)</f>
        <v>15</v>
      </c>
      <c r="G18" s="214">
        <f>VALUE('1229'!M48)</f>
        <v>12</v>
      </c>
      <c r="H18" s="214">
        <f>VALUE('1229'!M58)</f>
        <v>18</v>
      </c>
      <c r="I18" s="214">
        <f>VALUE('1229'!M69)</f>
        <v>12.25</v>
      </c>
      <c r="J18" s="214">
        <f>'1229'!M79</f>
        <v>9</v>
      </c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 t="s">
        <v>114</v>
      </c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18:C18"/>
    <mergeCell ref="B19:C19"/>
    <mergeCell ref="B20:C20"/>
    <mergeCell ref="B21:C21"/>
    <mergeCell ref="B22:C22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D10:J10"/>
    <mergeCell ref="B11:C12"/>
    <mergeCell ref="B13:B15"/>
    <mergeCell ref="B16:B17"/>
    <mergeCell ref="B10:C10"/>
    <mergeCell ref="F7:G7"/>
    <mergeCell ref="H7:I7"/>
    <mergeCell ref="J7:K7"/>
    <mergeCell ref="D8:E8"/>
    <mergeCell ref="F8:G8"/>
    <mergeCell ref="H8:I8"/>
    <mergeCell ref="J8:K8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0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F92"/>
  <sheetViews>
    <sheetView zoomScale="69" zoomScaleNormal="69" workbookViewId="0">
      <pane xSplit="5" ySplit="4" topLeftCell="M56" activePane="bottomRight" state="frozen"/>
      <selection activeCell="A2" sqref="A1:K2"/>
      <selection pane="topRight" activeCell="A2" sqref="A1:K2"/>
      <selection pane="bottomLeft" activeCell="A2" sqref="A1:K2"/>
      <selection pane="bottomRight" activeCell="V61" activeCellId="11" sqref="V6 V7 V18 V20 V28 V29 V31 V39 V50 V51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38" width="7.90625" style="6" customWidth="1"/>
    <col min="39" max="16384" width="7.90625" style="6"/>
  </cols>
  <sheetData>
    <row r="1" spans="1:30" ht="21" customHeight="1">
      <c r="A1" s="2" t="s">
        <v>0</v>
      </c>
      <c r="B1" s="2"/>
      <c r="C1" s="2"/>
      <c r="D1" s="174" t="s">
        <v>1</v>
      </c>
      <c r="E1" s="3">
        <f>SUM(G5:G79)</f>
        <v>53800</v>
      </c>
      <c r="F1" s="175" t="s">
        <v>2</v>
      </c>
      <c r="G1" s="4">
        <f>SUM(H5:H79)</f>
        <v>2603504.79</v>
      </c>
      <c r="H1" s="173" t="s">
        <v>3</v>
      </c>
      <c r="I1" s="5">
        <f>M15+M26+M48+M58+M69+M79+M37</f>
        <v>93.1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497" t="s">
        <v>8</v>
      </c>
      <c r="AA1" s="498"/>
      <c r="AB1" s="388" t="s">
        <v>9</v>
      </c>
      <c r="AC1" s="399"/>
      <c r="AD1" s="399"/>
    </row>
    <row r="2" spans="1:30" ht="18.75" customHeight="1">
      <c r="A2" s="404" t="s">
        <v>208</v>
      </c>
      <c r="B2" s="404"/>
      <c r="C2" s="174"/>
      <c r="D2" s="174" t="s">
        <v>11</v>
      </c>
      <c r="E2" s="7">
        <f>AVERAGE(O15,O26,O37,O48,O58,O69,O79)</f>
        <v>98.388194473073369</v>
      </c>
      <c r="F2" s="8" t="s">
        <v>12</v>
      </c>
      <c r="G2" s="9">
        <f>G1/E1</f>
        <v>48.392282342007434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499"/>
      <c r="AA2" s="500"/>
      <c r="AB2" s="399"/>
      <c r="AC2" s="399"/>
      <c r="AD2" s="399"/>
    </row>
    <row r="3" spans="1:30" ht="15.75" customHeight="1">
      <c r="A3" s="405" t="s">
        <v>14</v>
      </c>
      <c r="B3" s="405" t="s">
        <v>15</v>
      </c>
      <c r="C3" s="175"/>
      <c r="D3" s="493" t="s">
        <v>16</v>
      </c>
      <c r="E3" s="493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90" t="s">
        <v>26</v>
      </c>
      <c r="W3" s="391" t="s">
        <v>27</v>
      </c>
      <c r="X3" s="492" t="s">
        <v>28</v>
      </c>
      <c r="Y3" s="492"/>
      <c r="Z3" s="501"/>
      <c r="AA3" s="502"/>
      <c r="AB3" s="395" t="s">
        <v>22</v>
      </c>
      <c r="AC3" s="382" t="s">
        <v>23</v>
      </c>
      <c r="AD3" s="384" t="s">
        <v>24</v>
      </c>
    </row>
    <row r="4" spans="1:30" ht="15.75" customHeight="1">
      <c r="A4" s="389"/>
      <c r="B4" s="389"/>
      <c r="C4" s="176"/>
      <c r="D4" s="494"/>
      <c r="E4" s="494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491"/>
      <c r="W4" s="392"/>
      <c r="X4" s="176" t="s">
        <v>29</v>
      </c>
      <c r="Y4" s="176" t="s">
        <v>30</v>
      </c>
      <c r="Z4" s="503"/>
      <c r="AA4" s="504"/>
      <c r="AB4" s="396"/>
      <c r="AC4" s="383"/>
      <c r="AD4" s="385"/>
    </row>
    <row r="5" spans="1:30" ht="15" customHeight="1">
      <c r="A5" s="407" t="s">
        <v>31</v>
      </c>
      <c r="B5" s="299" t="s">
        <v>45</v>
      </c>
      <c r="C5" s="315"/>
      <c r="D5" s="329" t="s">
        <v>49</v>
      </c>
      <c r="E5" s="316"/>
      <c r="F5" s="299">
        <f>VLOOKUP(D5,廠價表!$C$1:$E$40,3,0)</f>
        <v>47.71</v>
      </c>
      <c r="G5" s="317">
        <v>3142</v>
      </c>
      <c r="H5" s="318">
        <f>F5*G5</f>
        <v>149904.82</v>
      </c>
      <c r="I5" s="319"/>
      <c r="J5" s="320">
        <f>VLOOKUP(D5,產線配置圖!$A$3:$C$39,2,0)</f>
        <v>15</v>
      </c>
      <c r="K5" s="321">
        <f>VLOOKUP(D5,產線配置圖!$A$3:$C$39,3,0)</f>
        <v>1500</v>
      </c>
      <c r="L5" s="322">
        <f>K5/J5</f>
        <v>100</v>
      </c>
      <c r="M5" s="323">
        <v>14</v>
      </c>
      <c r="N5" s="321">
        <f>G5/W5*60</f>
        <v>1396.4444444444446</v>
      </c>
      <c r="O5" s="322">
        <f>N5/M5</f>
        <v>99.746031746031761</v>
      </c>
      <c r="P5" s="324">
        <f>M5-J5</f>
        <v>-1</v>
      </c>
      <c r="Q5" s="325">
        <f>O5-L5</f>
        <v>-0.25396825396823886</v>
      </c>
      <c r="R5" s="326">
        <f>O5/L5</f>
        <v>0.9974603174603176</v>
      </c>
      <c r="S5" s="419">
        <f>R15</f>
        <v>0.94487372904159594</v>
      </c>
      <c r="T5" s="346">
        <v>0.29027777777777802</v>
      </c>
      <c r="U5" s="347">
        <v>0.38402777777777802</v>
      </c>
      <c r="V5" s="192"/>
      <c r="W5" s="106">
        <f t="shared" ref="W5:W14" si="0">(U5-T5)*24*60</f>
        <v>135</v>
      </c>
      <c r="X5" s="186"/>
      <c r="Y5" s="186"/>
      <c r="Z5" s="469"/>
      <c r="AA5" s="434"/>
      <c r="AB5" s="110">
        <f>N5-K5</f>
        <v>-103.55555555555543</v>
      </c>
      <c r="AC5" s="182">
        <f>N5/K5</f>
        <v>0.93096296296296299</v>
      </c>
      <c r="AD5" s="411">
        <f>AC15</f>
        <v>0.93133605932794716</v>
      </c>
    </row>
    <row r="6" spans="1:30" ht="15" customHeight="1">
      <c r="A6" s="408"/>
      <c r="B6" s="56" t="s">
        <v>45</v>
      </c>
      <c r="C6" s="10"/>
      <c r="D6" s="11" t="s">
        <v>33</v>
      </c>
      <c r="E6" s="86"/>
      <c r="F6" s="56">
        <f>VLOOKUP(D6,廠價表!$C$1:$E$40,3,0)</f>
        <v>57.21</v>
      </c>
      <c r="G6" s="25">
        <v>1628</v>
      </c>
      <c r="H6" s="15">
        <f t="shared" ref="H6:H8" si="1">F6*G6</f>
        <v>93137.88</v>
      </c>
      <c r="I6" s="180"/>
      <c r="J6" s="16">
        <f>VLOOKUP(D6,產線配置圖!$A$3:$C$39,2,0)</f>
        <v>17</v>
      </c>
      <c r="K6" s="14">
        <f>VLOOKUP(D6,產線配置圖!$A$3:$C$39,3,0)</f>
        <v>1895</v>
      </c>
      <c r="L6" s="17">
        <f>K6/J6</f>
        <v>111.47058823529412</v>
      </c>
      <c r="M6" s="178">
        <v>17</v>
      </c>
      <c r="N6" s="14">
        <f t="shared" ref="N6:N8" si="2">G6/W6*60</f>
        <v>1744.2857142857106</v>
      </c>
      <c r="O6" s="17">
        <f t="shared" ref="O6:O8" si="3">N6/M6</f>
        <v>102.60504201680651</v>
      </c>
      <c r="P6" s="18">
        <f t="shared" ref="P6:P8" si="4">M6-J6</f>
        <v>0</v>
      </c>
      <c r="Q6" s="19">
        <f t="shared" ref="Q6:Q8" si="5">O6-L6</f>
        <v>-8.8655462184876086</v>
      </c>
      <c r="R6" s="183">
        <f t="shared" ref="R6:R8" si="6">O6/L6</f>
        <v>0.92046739540143041</v>
      </c>
      <c r="S6" s="420"/>
      <c r="T6" s="95">
        <v>0.38888888888888901</v>
      </c>
      <c r="U6" s="95">
        <v>0.42777777777777798</v>
      </c>
      <c r="V6" s="175">
        <f>(T6-U5)*24*60</f>
        <v>6.9999999999998153</v>
      </c>
      <c r="W6" s="180">
        <f t="shared" si="0"/>
        <v>56.000000000000121</v>
      </c>
      <c r="X6" s="22"/>
      <c r="Y6" s="22"/>
      <c r="Z6" s="391"/>
      <c r="AA6" s="391"/>
      <c r="AB6" s="18">
        <f>N6-K6</f>
        <v>-150.71428571428942</v>
      </c>
      <c r="AC6" s="183">
        <f>N6/K6</f>
        <v>0.92046739540143041</v>
      </c>
      <c r="AD6" s="412"/>
    </row>
    <row r="7" spans="1:30" ht="15" customHeight="1">
      <c r="A7" s="408"/>
      <c r="B7" s="56" t="s">
        <v>45</v>
      </c>
      <c r="C7" s="10"/>
      <c r="D7" s="11" t="s">
        <v>34</v>
      </c>
      <c r="E7" s="86"/>
      <c r="F7" s="56">
        <f>VLOOKUP(D7,廠價表!$C$1:$E$40,3,0)</f>
        <v>49.14</v>
      </c>
      <c r="G7" s="25">
        <v>2041</v>
      </c>
      <c r="H7" s="15">
        <f t="shared" si="1"/>
        <v>100294.74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2"/>
        <v>1883.999999999995</v>
      </c>
      <c r="O7" s="17">
        <f t="shared" si="3"/>
        <v>144.92307692307654</v>
      </c>
      <c r="P7" s="18">
        <f t="shared" si="4"/>
        <v>0</v>
      </c>
      <c r="Q7" s="19">
        <f t="shared" si="5"/>
        <v>-8.9230769230773035</v>
      </c>
      <c r="R7" s="183">
        <f t="shared" si="6"/>
        <v>0.94199999999999751</v>
      </c>
      <c r="S7" s="420"/>
      <c r="T7" s="95">
        <v>0.43402777777777801</v>
      </c>
      <c r="U7" s="95">
        <v>0.47916666666666702</v>
      </c>
      <c r="V7" s="175">
        <f>(T7-U6)*24*60</f>
        <v>9.000000000000048</v>
      </c>
      <c r="W7" s="180">
        <f t="shared" si="0"/>
        <v>65.000000000000171</v>
      </c>
      <c r="X7" s="22"/>
      <c r="Y7" s="22"/>
      <c r="Z7" s="405"/>
      <c r="AA7" s="405"/>
      <c r="AB7" s="18">
        <f>N7-K7</f>
        <v>-116.000000000005</v>
      </c>
      <c r="AC7" s="183">
        <f>N7/K7</f>
        <v>0.94199999999999751</v>
      </c>
      <c r="AD7" s="412"/>
    </row>
    <row r="8" spans="1:30" ht="15" customHeight="1">
      <c r="A8" s="408"/>
      <c r="B8" s="56" t="s">
        <v>45</v>
      </c>
      <c r="C8" s="10"/>
      <c r="D8" s="11" t="s">
        <v>34</v>
      </c>
      <c r="E8" s="86"/>
      <c r="F8" s="56">
        <f>VLOOKUP(D8,廠價表!$C$1:$E$40,3,0)</f>
        <v>49.14</v>
      </c>
      <c r="G8" s="25">
        <v>2980</v>
      </c>
      <c r="H8" s="15">
        <f t="shared" si="1"/>
        <v>146437.20000000001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2"/>
        <v>1862.5000000000191</v>
      </c>
      <c r="O8" s="17">
        <f t="shared" si="3"/>
        <v>143.26923076923225</v>
      </c>
      <c r="P8" s="18">
        <f t="shared" si="4"/>
        <v>0</v>
      </c>
      <c r="Q8" s="19">
        <f t="shared" si="5"/>
        <v>-10.576923076921588</v>
      </c>
      <c r="R8" s="183">
        <f t="shared" si="6"/>
        <v>0.93125000000000968</v>
      </c>
      <c r="S8" s="420"/>
      <c r="T8" s="95">
        <v>0.54027777777777797</v>
      </c>
      <c r="U8" s="95">
        <v>0.60694444444444395</v>
      </c>
      <c r="V8" s="175">
        <f>(T8-U7)*24*60</f>
        <v>87.999999999999773</v>
      </c>
      <c r="W8" s="180">
        <f t="shared" si="0"/>
        <v>95.999999999999019</v>
      </c>
      <c r="X8" s="22"/>
      <c r="Y8" s="260"/>
      <c r="Z8" s="415"/>
      <c r="AA8" s="415"/>
      <c r="AB8" s="18">
        <f>N8-K8</f>
        <v>-137.4999999999809</v>
      </c>
      <c r="AC8" s="183">
        <f>N8/K8</f>
        <v>0.93125000000000957</v>
      </c>
      <c r="AD8" s="412"/>
    </row>
    <row r="9" spans="1:30" ht="15" customHeight="1">
      <c r="A9" s="409"/>
      <c r="B9" s="56"/>
      <c r="C9" s="10"/>
      <c r="D9" s="11"/>
      <c r="E9" s="86"/>
      <c r="F9" s="56"/>
      <c r="G9" s="25"/>
      <c r="H9" s="15"/>
      <c r="I9" s="180"/>
      <c r="J9" s="16"/>
      <c r="K9" s="14"/>
      <c r="L9" s="17"/>
      <c r="M9" s="178"/>
      <c r="N9" s="14"/>
      <c r="O9" s="17"/>
      <c r="P9" s="18"/>
      <c r="Q9" s="19"/>
      <c r="R9" s="183"/>
      <c r="S9" s="421"/>
      <c r="T9" s="95"/>
      <c r="U9" s="95"/>
      <c r="V9" s="175"/>
      <c r="W9" s="180">
        <f t="shared" si="0"/>
        <v>0</v>
      </c>
      <c r="X9" s="22">
        <v>0.5</v>
      </c>
      <c r="Y9" s="260">
        <v>0.54166666666666696</v>
      </c>
      <c r="Z9" s="416"/>
      <c r="AA9" s="416"/>
      <c r="AB9" s="18">
        <f>N9-K9</f>
        <v>0</v>
      </c>
      <c r="AC9" s="183" t="e">
        <f>N9/K9</f>
        <v>#DIV/0!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0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7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0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7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0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0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0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14.5</v>
      </c>
      <c r="K15" s="117">
        <f t="shared" si="8"/>
        <v>1848.75</v>
      </c>
      <c r="L15" s="114">
        <f t="shared" si="8"/>
        <v>129.79072398190044</v>
      </c>
      <c r="M15" s="117">
        <f t="shared" si="8"/>
        <v>14.25</v>
      </c>
      <c r="N15" s="117">
        <f t="shared" si="8"/>
        <v>1721.8075396825423</v>
      </c>
      <c r="O15" s="114">
        <f t="shared" si="8"/>
        <v>122.63584536378677</v>
      </c>
      <c r="P15" s="118">
        <f>M15-J15</f>
        <v>-0.25</v>
      </c>
      <c r="Q15" s="119">
        <f t="shared" ref="Q15:Q16" si="9">O15-L15</f>
        <v>-7.1548786181136705</v>
      </c>
      <c r="R15" s="120">
        <f>O15/L15</f>
        <v>0.94487372904159594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0">N15-K15</f>
        <v>-126.94246031745774</v>
      </c>
      <c r="AC15" s="185">
        <f t="shared" ref="AC15:AC19" si="11">N15/K15</f>
        <v>0.93133605932794716</v>
      </c>
      <c r="AD15" s="414"/>
    </row>
    <row r="16" spans="1:30" ht="15" customHeight="1">
      <c r="A16" s="439" t="s">
        <v>39</v>
      </c>
      <c r="B16" s="197" t="s">
        <v>45</v>
      </c>
      <c r="C16" s="101"/>
      <c r="D16" s="102" t="s">
        <v>32</v>
      </c>
      <c r="E16" s="103"/>
      <c r="F16" s="197">
        <f>VLOOKUP(D16,廠價表!$C$1:$E$40,3,0)</f>
        <v>57.21</v>
      </c>
      <c r="G16" s="262">
        <v>2573</v>
      </c>
      <c r="H16" s="124">
        <f t="shared" ref="H16:H25" si="12">F16*G16</f>
        <v>147201.33000000002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>K16/J16</f>
        <v>161.92307692307693</v>
      </c>
      <c r="M16" s="264">
        <v>13</v>
      </c>
      <c r="N16" s="126">
        <f>G16/W16*60</f>
        <v>1366.1946902654906</v>
      </c>
      <c r="O16" s="127">
        <f>N16/M16</f>
        <v>105.09189925119159</v>
      </c>
      <c r="P16" s="128">
        <f>M16-J16</f>
        <v>0</v>
      </c>
      <c r="Q16" s="129">
        <f t="shared" si="9"/>
        <v>-56.831177671885342</v>
      </c>
      <c r="R16" s="187">
        <f>O16/L16</f>
        <v>0.64902360582683638</v>
      </c>
      <c r="S16" s="431">
        <f>R26</f>
        <v>0.90065019132984647</v>
      </c>
      <c r="T16" s="345">
        <v>0.29236111111111102</v>
      </c>
      <c r="U16" s="345">
        <v>0.37083333333333302</v>
      </c>
      <c r="V16" s="125"/>
      <c r="W16" s="130">
        <f t="shared" ref="W16:W78" si="13">(U16-T16)*24*60</f>
        <v>112.99999999999967</v>
      </c>
      <c r="X16" s="127"/>
      <c r="Y16" s="127"/>
      <c r="Z16" s="469" t="s">
        <v>209</v>
      </c>
      <c r="AA16" s="434"/>
      <c r="AB16" s="110">
        <f t="shared" si="10"/>
        <v>-738.80530973450936</v>
      </c>
      <c r="AC16" s="182">
        <f t="shared" si="11"/>
        <v>0.64902360582683638</v>
      </c>
      <c r="AD16" s="411">
        <f>AC26</f>
        <v>0.89865792331140304</v>
      </c>
    </row>
    <row r="17" spans="1:30" ht="15" customHeight="1">
      <c r="A17" s="440"/>
      <c r="B17" s="56" t="s">
        <v>45</v>
      </c>
      <c r="C17" s="10"/>
      <c r="D17" s="11" t="s">
        <v>40</v>
      </c>
      <c r="E17" s="86"/>
      <c r="F17" s="56">
        <f>VLOOKUP(D17,廠價表!$C$1:$E$40,3,0)</f>
        <v>50.67</v>
      </c>
      <c r="G17" s="96">
        <v>1830</v>
      </c>
      <c r="H17" s="15">
        <f t="shared" ref="H17:H20" si="14">F17*G17</f>
        <v>92726.1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ref="L17:L20" si="15">K17/J17</f>
        <v>153.84615384615384</v>
      </c>
      <c r="M17" s="37">
        <v>13</v>
      </c>
      <c r="N17" s="36">
        <f t="shared" ref="N17:N20" si="16">G17/W17*60</f>
        <v>1960.7142857142785</v>
      </c>
      <c r="O17" s="38">
        <f t="shared" ref="O17:O20" si="17">N17/M17</f>
        <v>150.82417582417526</v>
      </c>
      <c r="P17" s="39">
        <f t="shared" ref="P17:P20" si="18">M17-J17</f>
        <v>0</v>
      </c>
      <c r="Q17" s="40">
        <f t="shared" ref="Q17:Q20" si="19">O17-L17</f>
        <v>-3.0219780219785832</v>
      </c>
      <c r="R17" s="188">
        <f t="shared" ref="R17:R20" si="20">O17/L17</f>
        <v>0.98035714285713926</v>
      </c>
      <c r="S17" s="432"/>
      <c r="T17" s="44">
        <v>0.37916666666666698</v>
      </c>
      <c r="U17" s="44">
        <v>0.41805555555555601</v>
      </c>
      <c r="V17" s="175"/>
      <c r="W17" s="43">
        <f t="shared" si="13"/>
        <v>56.000000000000199</v>
      </c>
      <c r="X17" s="44"/>
      <c r="Y17" s="44"/>
      <c r="Z17" s="391"/>
      <c r="AA17" s="391"/>
      <c r="AB17" s="18">
        <f t="shared" si="10"/>
        <v>-39.285714285721497</v>
      </c>
      <c r="AC17" s="183">
        <f t="shared" si="11"/>
        <v>0.98035714285713926</v>
      </c>
      <c r="AD17" s="412"/>
    </row>
    <row r="18" spans="1:30" ht="15" customHeight="1">
      <c r="A18" s="440"/>
      <c r="B18" s="56" t="s">
        <v>45</v>
      </c>
      <c r="C18" s="10"/>
      <c r="D18" s="11" t="s">
        <v>41</v>
      </c>
      <c r="E18" s="86"/>
      <c r="F18" s="56">
        <f>VLOOKUP(D18,廠價表!$C$1:$E$40,3,0)</f>
        <v>50.39</v>
      </c>
      <c r="G18" s="96">
        <v>2460</v>
      </c>
      <c r="H18" s="15">
        <f t="shared" si="14"/>
        <v>123959.4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5"/>
        <v>166.66666666666666</v>
      </c>
      <c r="M18" s="37">
        <v>12</v>
      </c>
      <c r="N18" s="36">
        <f t="shared" si="16"/>
        <v>1942.105263157885</v>
      </c>
      <c r="O18" s="38">
        <f t="shared" si="17"/>
        <v>161.84210526315709</v>
      </c>
      <c r="P18" s="39">
        <f t="shared" si="18"/>
        <v>0</v>
      </c>
      <c r="Q18" s="40">
        <f t="shared" si="19"/>
        <v>-4.8245614035095628</v>
      </c>
      <c r="R18" s="188">
        <f t="shared" si="20"/>
        <v>0.97105263157894262</v>
      </c>
      <c r="S18" s="432"/>
      <c r="T18" s="44">
        <v>0.42638888888888898</v>
      </c>
      <c r="U18" s="44">
        <v>0.47916666666666702</v>
      </c>
      <c r="V18" s="175">
        <f>(T18-U17)*24*60</f>
        <v>11.999999999999478</v>
      </c>
      <c r="W18" s="43">
        <f t="shared" si="13"/>
        <v>76.000000000000369</v>
      </c>
      <c r="X18" s="22"/>
      <c r="Y18" s="22"/>
      <c r="Z18" s="415"/>
      <c r="AA18" s="415"/>
      <c r="AB18" s="18">
        <f t="shared" si="10"/>
        <v>-57.89473684211498</v>
      </c>
      <c r="AC18" s="183">
        <f t="shared" si="11"/>
        <v>0.9710526315789425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2441</v>
      </c>
      <c r="H19" s="15">
        <f t="shared" si="14"/>
        <v>123001.99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5"/>
        <v>166.66666666666666</v>
      </c>
      <c r="M19" s="37">
        <v>12</v>
      </c>
      <c r="N19" s="36">
        <f t="shared" si="16"/>
        <v>1902.0779220779289</v>
      </c>
      <c r="O19" s="38">
        <f t="shared" si="17"/>
        <v>158.50649350649408</v>
      </c>
      <c r="P19" s="39">
        <f t="shared" si="18"/>
        <v>0</v>
      </c>
      <c r="Q19" s="40">
        <f t="shared" si="19"/>
        <v>-8.160173160172576</v>
      </c>
      <c r="R19" s="188">
        <f t="shared" si="20"/>
        <v>0.95103896103896457</v>
      </c>
      <c r="S19" s="432"/>
      <c r="T19" s="44">
        <v>0.54166666666666696</v>
      </c>
      <c r="U19" s="44">
        <v>0.59513888888888899</v>
      </c>
      <c r="V19" s="175">
        <f t="shared" ref="V19:V20" si="21">(T19-U18)*24*60</f>
        <v>89.999999999999915</v>
      </c>
      <c r="W19" s="43">
        <f t="shared" si="13"/>
        <v>76.99999999999973</v>
      </c>
      <c r="X19" s="22">
        <v>0.48958333333333298</v>
      </c>
      <c r="Y19" s="260">
        <v>0.53125</v>
      </c>
      <c r="Z19" s="416"/>
      <c r="AA19" s="416"/>
      <c r="AB19" s="18">
        <f t="shared" si="10"/>
        <v>-97.922077922071139</v>
      </c>
      <c r="AC19" s="183">
        <f t="shared" si="11"/>
        <v>0.95103896103896446</v>
      </c>
      <c r="AD19" s="413"/>
    </row>
    <row r="20" spans="1:30" ht="15" customHeight="1">
      <c r="A20" s="440"/>
      <c r="B20" s="56" t="s">
        <v>45</v>
      </c>
      <c r="C20" s="10"/>
      <c r="D20" s="11" t="s">
        <v>40</v>
      </c>
      <c r="E20" s="86"/>
      <c r="F20" s="56">
        <f>VLOOKUP(D20,廠價表!$C$1:$E$40,3,0)</f>
        <v>50.67</v>
      </c>
      <c r="G20" s="96">
        <v>2069</v>
      </c>
      <c r="H20" s="15">
        <f t="shared" si="14"/>
        <v>104836.23000000001</v>
      </c>
      <c r="I20" s="175"/>
      <c r="J20" s="16">
        <f>VLOOKUP(D20,產線配置圖!$A$3:$C$39,2,0)</f>
        <v>13</v>
      </c>
      <c r="K20" s="14">
        <f>VLOOKUP(D20,產線配置圖!$A$3:$C$39,3,0)</f>
        <v>2000</v>
      </c>
      <c r="L20" s="17">
        <f t="shared" si="15"/>
        <v>153.84615384615384</v>
      </c>
      <c r="M20" s="37">
        <v>13</v>
      </c>
      <c r="N20" s="36">
        <f t="shared" si="16"/>
        <v>1909.8461538461465</v>
      </c>
      <c r="O20" s="38">
        <f t="shared" si="17"/>
        <v>146.91124260354974</v>
      </c>
      <c r="P20" s="39">
        <f t="shared" si="18"/>
        <v>0</v>
      </c>
      <c r="Q20" s="40">
        <f t="shared" si="19"/>
        <v>-6.9349112426041017</v>
      </c>
      <c r="R20" s="188">
        <f t="shared" si="20"/>
        <v>0.95492307692307332</v>
      </c>
      <c r="S20" s="432"/>
      <c r="T20" s="44">
        <v>0.60416666666666696</v>
      </c>
      <c r="U20" s="44">
        <v>0.64930555555555602</v>
      </c>
      <c r="V20" s="175">
        <f t="shared" si="21"/>
        <v>13.000000000000274</v>
      </c>
      <c r="W20" s="43">
        <f t="shared" si="13"/>
        <v>65.000000000000256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4"/>
      <c r="U21" s="44"/>
      <c r="V21" s="175"/>
      <c r="W21" s="43">
        <f t="shared" si="13"/>
        <v>0</v>
      </c>
      <c r="X21" s="42"/>
      <c r="Y21" s="42"/>
      <c r="Z21" s="418"/>
      <c r="AA21" s="405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3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3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3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2">AVERAGE(J16:J25)</f>
        <v>12.6</v>
      </c>
      <c r="K26" s="133">
        <f t="shared" si="22"/>
        <v>2021</v>
      </c>
      <c r="L26" s="136">
        <f t="shared" si="22"/>
        <v>160.58974358974359</v>
      </c>
      <c r="M26" s="133">
        <f t="shared" si="22"/>
        <v>12.6</v>
      </c>
      <c r="N26" s="133">
        <f t="shared" si="22"/>
        <v>1816.1876630123456</v>
      </c>
      <c r="O26" s="136">
        <f t="shared" si="22"/>
        <v>144.63518328971355</v>
      </c>
      <c r="P26" s="137">
        <f t="shared" ref="P26:P30" si="23">M26-J26</f>
        <v>0</v>
      </c>
      <c r="Q26" s="138">
        <f t="shared" ref="Q26:Q30" si="24">O26-L26</f>
        <v>-15.954560300030039</v>
      </c>
      <c r="R26" s="139">
        <f t="shared" ref="R26:R30" si="25">O26/L26</f>
        <v>0.90065019132984647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-204.81233698765436</v>
      </c>
      <c r="AC26" s="185">
        <f>N26/K26</f>
        <v>0.89865792331140304</v>
      </c>
      <c r="AD26" s="414"/>
    </row>
    <row r="27" spans="1:30" ht="15" customHeight="1">
      <c r="A27" s="428" t="s">
        <v>44</v>
      </c>
      <c r="B27" s="227" t="s">
        <v>45</v>
      </c>
      <c r="C27" s="101"/>
      <c r="D27" s="102" t="s">
        <v>142</v>
      </c>
      <c r="E27" s="103"/>
      <c r="F27" s="197">
        <f>VLOOKUP(D27,廠價表!$C$1:$E$40,3,0)</f>
        <v>57.3</v>
      </c>
      <c r="G27" s="266">
        <v>1860</v>
      </c>
      <c r="H27" s="124">
        <f t="shared" ref="H27:H40" si="26">F27*G27</f>
        <v>106578</v>
      </c>
      <c r="I27" s="125"/>
      <c r="J27" s="16">
        <f>VLOOKUP(D27,產線配置圖!$A$3:$C$39,2,0)</f>
        <v>15</v>
      </c>
      <c r="K27" s="14">
        <f>VLOOKUP(D27,產線配置圖!$A$3:$C$39,3,0)</f>
        <v>1440</v>
      </c>
      <c r="L27" s="108">
        <f>K27/J27</f>
        <v>96</v>
      </c>
      <c r="M27" s="143">
        <v>14</v>
      </c>
      <c r="N27" s="126">
        <f>G27/W27*60</f>
        <v>1240</v>
      </c>
      <c r="O27" s="127">
        <f>N27/M27</f>
        <v>88.571428571428569</v>
      </c>
      <c r="P27" s="128">
        <f t="shared" si="23"/>
        <v>-1</v>
      </c>
      <c r="Q27" s="129">
        <f t="shared" si="24"/>
        <v>-7.4285714285714306</v>
      </c>
      <c r="R27" s="187">
        <f>O27/L27</f>
        <v>0.92261904761904756</v>
      </c>
      <c r="S27" s="431">
        <f>R37</f>
        <v>0.89113952675250185</v>
      </c>
      <c r="T27" s="94">
        <v>0.29166666666666702</v>
      </c>
      <c r="U27" s="94">
        <v>0.35416666666666702</v>
      </c>
      <c r="V27" s="125"/>
      <c r="W27" s="130">
        <f t="shared" si="13"/>
        <v>90</v>
      </c>
      <c r="X27" s="125"/>
      <c r="Y27" s="125" t="s">
        <v>47</v>
      </c>
      <c r="Z27" s="434"/>
      <c r="AA27" s="425"/>
      <c r="AB27" s="223">
        <f>N27-K27</f>
        <v>-200</v>
      </c>
      <c r="AC27" s="288">
        <f>N27/K27</f>
        <v>0.86111111111111116</v>
      </c>
      <c r="AD27" s="411">
        <f>AC37</f>
        <v>0.79993336927151737</v>
      </c>
    </row>
    <row r="28" spans="1:30" ht="15" customHeight="1">
      <c r="A28" s="429"/>
      <c r="B28" s="56" t="s">
        <v>45</v>
      </c>
      <c r="C28" s="10"/>
      <c r="D28" s="11" t="s">
        <v>48</v>
      </c>
      <c r="E28" s="86"/>
      <c r="F28" s="56">
        <f>VLOOKUP(D28,廠價表!$C$1:$E$40,3,0)</f>
        <v>55.13</v>
      </c>
      <c r="G28" s="53">
        <v>1651</v>
      </c>
      <c r="H28" s="50">
        <f t="shared" si="26"/>
        <v>91019.63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16</v>
      </c>
      <c r="N28" s="36">
        <f>G28/W28*60</f>
        <v>1125.6818181818201</v>
      </c>
      <c r="O28" s="38">
        <f>N28/M28</f>
        <v>70.355113636363754</v>
      </c>
      <c r="P28" s="39">
        <f t="shared" si="23"/>
        <v>-2</v>
      </c>
      <c r="Q28" s="40">
        <f t="shared" si="24"/>
        <v>-6.5893308080806889</v>
      </c>
      <c r="R28" s="188">
        <f t="shared" si="25"/>
        <v>0.91436248769281414</v>
      </c>
      <c r="S28" s="432"/>
      <c r="T28" s="267">
        <v>0.36527777777777798</v>
      </c>
      <c r="U28" s="267">
        <v>0.42638888888888898</v>
      </c>
      <c r="V28" s="42">
        <f>(T28-U27)*24*60</f>
        <v>15.999999999999783</v>
      </c>
      <c r="W28" s="43">
        <f t="shared" si="13"/>
        <v>87.999999999999844</v>
      </c>
      <c r="X28" s="54"/>
      <c r="Y28" s="54"/>
      <c r="Z28" s="418"/>
      <c r="AA28" s="417"/>
      <c r="AB28" s="39">
        <f>N28-K28</f>
        <v>-259.31818181817994</v>
      </c>
      <c r="AC28" s="188">
        <f>N28/K28</f>
        <v>0.81276665572694584</v>
      </c>
      <c r="AD28" s="444"/>
    </row>
    <row r="29" spans="1:30" ht="15" customHeight="1">
      <c r="A29" s="429"/>
      <c r="B29" s="56" t="s">
        <v>182</v>
      </c>
      <c r="C29" s="10"/>
      <c r="D29" s="11" t="s">
        <v>166</v>
      </c>
      <c r="E29" s="86"/>
      <c r="F29" s="56">
        <f>VLOOKUP(D29,廠價表!$C$1:$E$40,3,0)</f>
        <v>49.52</v>
      </c>
      <c r="G29" s="53">
        <v>1063</v>
      </c>
      <c r="H29" s="50">
        <f t="shared" si="26"/>
        <v>52639.76</v>
      </c>
      <c r="I29" s="42"/>
      <c r="J29" s="16">
        <f>VLOOKUP(D29,產線配置圖!$A$3:$C$39,2,0)</f>
        <v>18</v>
      </c>
      <c r="K29" s="14">
        <f>VLOOKUP(D29,產線配置圖!$A$3:$C$39,3,0)</f>
        <v>1440</v>
      </c>
      <c r="L29" s="233">
        <f>K29/J29</f>
        <v>80</v>
      </c>
      <c r="M29" s="21">
        <v>15</v>
      </c>
      <c r="N29" s="36">
        <f>G29/W29*60</f>
        <v>1062.9999999999911</v>
      </c>
      <c r="O29" s="38">
        <f>N29/M29</f>
        <v>70.866666666666077</v>
      </c>
      <c r="P29" s="39">
        <f t="shared" si="23"/>
        <v>-3</v>
      </c>
      <c r="Q29" s="40">
        <f t="shared" si="24"/>
        <v>-9.1333333333339226</v>
      </c>
      <c r="R29" s="188">
        <f t="shared" si="25"/>
        <v>0.88583333333332592</v>
      </c>
      <c r="S29" s="432"/>
      <c r="T29" s="44">
        <v>0.4375</v>
      </c>
      <c r="U29" s="44">
        <v>0.47916666666666702</v>
      </c>
      <c r="V29" s="42">
        <f>(T29-U28)*24*60</f>
        <v>15.999999999999863</v>
      </c>
      <c r="W29" s="43">
        <f t="shared" si="13"/>
        <v>60.000000000000504</v>
      </c>
      <c r="X29" s="22"/>
      <c r="Y29" s="22"/>
      <c r="Z29" s="418"/>
      <c r="AA29" s="417"/>
      <c r="AB29" s="289">
        <f>N29-K29</f>
        <v>-377.00000000000887</v>
      </c>
      <c r="AC29" s="188">
        <f>N29/K29</f>
        <v>0.73819444444443827</v>
      </c>
      <c r="AD29" s="444"/>
    </row>
    <row r="30" spans="1:30" ht="15" customHeight="1">
      <c r="A30" s="429"/>
      <c r="B30" s="56" t="s">
        <v>182</v>
      </c>
      <c r="C30" s="235"/>
      <c r="D30" s="11" t="s">
        <v>166</v>
      </c>
      <c r="E30" s="29"/>
      <c r="F30" s="56">
        <f>VLOOKUP(D30,廠價表!$C$1:$E$40,3,0)</f>
        <v>49.52</v>
      </c>
      <c r="G30" s="53">
        <v>1242</v>
      </c>
      <c r="H30" s="50">
        <f t="shared" si="26"/>
        <v>61503.840000000004</v>
      </c>
      <c r="I30" s="42"/>
      <c r="J30" s="16">
        <f>VLOOKUP(D30,產線配置圖!$A$3:$C$39,2,0)</f>
        <v>18</v>
      </c>
      <c r="K30" s="14">
        <f>VLOOKUP(D30,產線配置圖!$A$3:$C$39,3,0)</f>
        <v>1440</v>
      </c>
      <c r="L30" s="233">
        <f>K30/J30</f>
        <v>80</v>
      </c>
      <c r="M30" s="21">
        <v>15</v>
      </c>
      <c r="N30" s="36">
        <f>G30/W30*60</f>
        <v>980.52631578948751</v>
      </c>
      <c r="O30" s="38">
        <f>N30/M30</f>
        <v>65.368421052632499</v>
      </c>
      <c r="P30" s="39">
        <f t="shared" si="23"/>
        <v>-3</v>
      </c>
      <c r="Q30" s="40">
        <f t="shared" si="24"/>
        <v>-14.631578947367501</v>
      </c>
      <c r="R30" s="188">
        <f t="shared" si="25"/>
        <v>0.81710526315790621</v>
      </c>
      <c r="S30" s="432"/>
      <c r="T30" s="44">
        <v>0.54166666666666696</v>
      </c>
      <c r="U30" s="44">
        <v>0.594444444444444</v>
      </c>
      <c r="V30" s="42">
        <f>(T30-U29)*24*60</f>
        <v>89.999999999999915</v>
      </c>
      <c r="W30" s="43">
        <f t="shared" si="13"/>
        <v>75.999999999998934</v>
      </c>
      <c r="X30" s="54">
        <v>0.50694444444444398</v>
      </c>
      <c r="Y30" s="54">
        <v>0.54861111111111105</v>
      </c>
      <c r="Z30" s="426"/>
      <c r="AA30" s="446"/>
      <c r="AB30" s="289">
        <f>N30-K30</f>
        <v>-459.47368421051249</v>
      </c>
      <c r="AC30" s="188">
        <f>N30/K30</f>
        <v>0.68092105263158853</v>
      </c>
      <c r="AD30" s="445"/>
    </row>
    <row r="31" spans="1:30" ht="15" customHeight="1">
      <c r="A31" s="429"/>
      <c r="B31" s="56" t="s">
        <v>45</v>
      </c>
      <c r="C31" s="235"/>
      <c r="D31" s="11" t="s">
        <v>142</v>
      </c>
      <c r="E31" s="29"/>
      <c r="F31" s="56">
        <f>VLOOKUP(D31,廠價表!$C$1:$E$40,3,0)</f>
        <v>57.3</v>
      </c>
      <c r="G31" s="53">
        <v>1241</v>
      </c>
      <c r="H31" s="50">
        <f>F31*G31</f>
        <v>71109.3</v>
      </c>
      <c r="I31" s="42"/>
      <c r="J31" s="16">
        <f>VLOOKUP(D31,產線配置圖!$A$3:$C$39,2,0)</f>
        <v>15</v>
      </c>
      <c r="K31" s="14">
        <f>VLOOKUP(D31,產線配置圖!$A$3:$C$39,3,0)</f>
        <v>1440</v>
      </c>
      <c r="L31" s="233">
        <f>K31/J31</f>
        <v>96</v>
      </c>
      <c r="M31" s="21">
        <v>15</v>
      </c>
      <c r="N31" s="36">
        <f>G31/W31*60</f>
        <v>1306.3157894736926</v>
      </c>
      <c r="O31" s="38">
        <f>N31/M31</f>
        <v>87.087719298246171</v>
      </c>
      <c r="P31" s="39">
        <f>M31-J31</f>
        <v>0</v>
      </c>
      <c r="Q31" s="40">
        <f>O31-L31</f>
        <v>-8.9122807017538292</v>
      </c>
      <c r="R31" s="188">
        <f>O31/L31</f>
        <v>0.90716374269006428</v>
      </c>
      <c r="S31" s="432"/>
      <c r="T31" s="44">
        <v>0.60277777777777797</v>
      </c>
      <c r="U31" s="44">
        <v>0.64236111111111105</v>
      </c>
      <c r="V31" s="42">
        <f>(T31-U30)*24*60</f>
        <v>12.000000000000917</v>
      </c>
      <c r="W31" s="43">
        <f t="shared" si="13"/>
        <v>56.999999999999638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4"/>
      <c r="U32" s="44"/>
      <c r="V32" s="42"/>
      <c r="W32" s="43">
        <f t="shared" si="13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/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3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/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3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6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3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6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3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7">AVERAGE(J27:J36)</f>
        <v>16.8</v>
      </c>
      <c r="K37" s="282">
        <f t="shared" si="27"/>
        <v>1429</v>
      </c>
      <c r="L37" s="283">
        <f t="shared" si="27"/>
        <v>85.788888888888891</v>
      </c>
      <c r="M37" s="282">
        <f t="shared" si="27"/>
        <v>15</v>
      </c>
      <c r="N37" s="282">
        <f t="shared" si="27"/>
        <v>1143.1047846889983</v>
      </c>
      <c r="O37" s="283">
        <f t="shared" si="27"/>
        <v>76.449869845067411</v>
      </c>
      <c r="P37" s="73">
        <f>M37-J37</f>
        <v>-1.8000000000000007</v>
      </c>
      <c r="Q37" s="74">
        <f>N37-K37</f>
        <v>-285.89521531100172</v>
      </c>
      <c r="R37" s="284">
        <f t="shared" ref="R37:R40" si="28">O37/L37</f>
        <v>0.89113952675250185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0" si="29">N37-K37</f>
        <v>-285.89521531100172</v>
      </c>
      <c r="AC37" s="184">
        <f t="shared" ref="AC37:AC40" si="30">N37/K37</f>
        <v>0.79993336927151737</v>
      </c>
      <c r="AD37" s="413"/>
    </row>
    <row r="38" spans="1:30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2086</v>
      </c>
      <c r="H38" s="124">
        <f t="shared" si="26"/>
        <v>119527.79999999999</v>
      </c>
      <c r="I38" s="125"/>
      <c r="J38" s="271">
        <f>VLOOKUP(D38,產線配置圖!$A$3:$C$39,2,0)</f>
        <v>15</v>
      </c>
      <c r="K38" s="234">
        <f>VLOOKUP(D38,產線配置圖!$A$3:$C$39,3,0)</f>
        <v>1385</v>
      </c>
      <c r="L38" s="285">
        <f t="shared" ref="L38:L40" si="31">K38/J38</f>
        <v>92.333333333333329</v>
      </c>
      <c r="M38" s="286">
        <v>12</v>
      </c>
      <c r="N38" s="126">
        <f>G38/W38*60</f>
        <v>948.18181818181472</v>
      </c>
      <c r="O38" s="127">
        <f>N38/M38</f>
        <v>79.015151515151231</v>
      </c>
      <c r="P38" s="128">
        <f t="shared" ref="P38:P40" si="32">M38-J38</f>
        <v>-3</v>
      </c>
      <c r="Q38" s="129">
        <f t="shared" ref="Q38:Q40" si="33">O38-L38</f>
        <v>-13.318181818182097</v>
      </c>
      <c r="R38" s="187">
        <f t="shared" si="28"/>
        <v>0.85575976370199891</v>
      </c>
      <c r="S38" s="460">
        <f>R48</f>
        <v>0.93506589952401509</v>
      </c>
      <c r="T38" s="348">
        <v>0.33333333333333298</v>
      </c>
      <c r="U38" s="348">
        <v>0.42499999999999999</v>
      </c>
      <c r="V38" s="146"/>
      <c r="W38" s="150">
        <f t="shared" si="13"/>
        <v>132.00000000000048</v>
      </c>
      <c r="X38" s="148"/>
      <c r="Y38" s="151"/>
      <c r="Z38" s="462"/>
      <c r="AA38" s="463"/>
      <c r="AB38" s="287">
        <f t="shared" si="29"/>
        <v>-436.81818181818528</v>
      </c>
      <c r="AC38" s="152">
        <f t="shared" si="30"/>
        <v>0.68460781096159906</v>
      </c>
      <c r="AD38" s="447">
        <f>AC48</f>
        <v>0.6944535497700205</v>
      </c>
    </row>
    <row r="39" spans="1:30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1535</v>
      </c>
      <c r="H39" s="50">
        <f t="shared" si="26"/>
        <v>86620.05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1"/>
        <v>93.733333333333334</v>
      </c>
      <c r="M39" s="65">
        <v>12</v>
      </c>
      <c r="N39" s="66">
        <f>G39/W39*60</f>
        <v>1083.5294117647015</v>
      </c>
      <c r="O39" s="67">
        <f t="shared" ref="O39:O40" si="34">N39/M39</f>
        <v>90.294117647058457</v>
      </c>
      <c r="P39" s="39">
        <f t="shared" si="32"/>
        <v>-3</v>
      </c>
      <c r="Q39" s="40">
        <f t="shared" si="33"/>
        <v>-3.4392156862748777</v>
      </c>
      <c r="R39" s="188">
        <f t="shared" si="28"/>
        <v>0.96330850974813431</v>
      </c>
      <c r="S39" s="461"/>
      <c r="T39" s="349">
        <v>0.43402777777777801</v>
      </c>
      <c r="U39" s="349">
        <v>0.49305555555555602</v>
      </c>
      <c r="V39" s="42">
        <f>(T39-U38)*24*60</f>
        <v>13.000000000000353</v>
      </c>
      <c r="W39" s="69">
        <f t="shared" si="13"/>
        <v>85.000000000000341</v>
      </c>
      <c r="X39" s="22"/>
      <c r="Y39" s="22"/>
      <c r="Z39" s="450"/>
      <c r="AA39" s="451"/>
      <c r="AB39" s="268">
        <f t="shared" si="29"/>
        <v>-322.47058823529846</v>
      </c>
      <c r="AC39" s="61">
        <f t="shared" si="30"/>
        <v>0.77064680779850747</v>
      </c>
      <c r="AD39" s="448"/>
    </row>
    <row r="40" spans="1:30" ht="15" customHeight="1">
      <c r="A40" s="458"/>
      <c r="B40" s="56" t="s">
        <v>182</v>
      </c>
      <c r="C40" s="272"/>
      <c r="D40" s="276" t="s">
        <v>167</v>
      </c>
      <c r="E40" s="240"/>
      <c r="F40" s="56">
        <f>VLOOKUP(D40,廠價表!$C$1:$E$40,3,0)</f>
        <v>44.3</v>
      </c>
      <c r="G40" s="273">
        <v>2780</v>
      </c>
      <c r="H40" s="50">
        <f t="shared" si="26"/>
        <v>123153.99999999999</v>
      </c>
      <c r="I40" s="64"/>
      <c r="J40" s="37">
        <f>VLOOKUP(D40,產線配置圖!$A$3:$C$39,2,0)</f>
        <v>19</v>
      </c>
      <c r="K40" s="36">
        <f>VLOOKUP(D40,產線配置圖!$A$3:$C$39,3,0)</f>
        <v>1440</v>
      </c>
      <c r="L40" s="38">
        <f t="shared" si="31"/>
        <v>75.78947368421052</v>
      </c>
      <c r="M40" s="65">
        <v>12</v>
      </c>
      <c r="N40" s="66">
        <f>G40/W40*60</f>
        <v>906.52173913044044</v>
      </c>
      <c r="O40" s="67">
        <f t="shared" si="34"/>
        <v>75.543478260870032</v>
      </c>
      <c r="P40" s="39">
        <f t="shared" si="32"/>
        <v>-7</v>
      </c>
      <c r="Q40" s="40">
        <f t="shared" si="33"/>
        <v>-0.24599542334048863</v>
      </c>
      <c r="R40" s="188">
        <f t="shared" si="28"/>
        <v>0.99675422705314631</v>
      </c>
      <c r="S40" s="420"/>
      <c r="T40" s="349">
        <v>0.55555555555555602</v>
      </c>
      <c r="U40" s="349">
        <v>0.68333333333333302</v>
      </c>
      <c r="V40" s="42">
        <f>(T40-U39)*24*60</f>
        <v>90</v>
      </c>
      <c r="W40" s="69">
        <f t="shared" si="13"/>
        <v>183.99999999999886</v>
      </c>
      <c r="X40" s="70">
        <v>0.46875</v>
      </c>
      <c r="Y40" s="256">
        <v>0.51041666666666696</v>
      </c>
      <c r="Z40" s="450" t="s">
        <v>207</v>
      </c>
      <c r="AA40" s="451"/>
      <c r="AB40" s="268">
        <f t="shared" si="29"/>
        <v>-533.47826086955956</v>
      </c>
      <c r="AC40" s="61">
        <f t="shared" si="30"/>
        <v>0.62952898550725034</v>
      </c>
      <c r="AD40" s="448"/>
    </row>
    <row r="41" spans="1:30" ht="15" customHeight="1">
      <c r="A41" s="458"/>
      <c r="B41" s="56"/>
      <c r="C41" s="272"/>
      <c r="D41" s="276"/>
      <c r="E41" s="240"/>
      <c r="F41" s="56"/>
      <c r="G41" s="273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88"/>
      <c r="S41" s="420"/>
      <c r="T41" s="349"/>
      <c r="U41" s="349"/>
      <c r="V41" s="42"/>
      <c r="W41" s="69">
        <f t="shared" si="13"/>
        <v>0</v>
      </c>
      <c r="X41" s="70"/>
      <c r="Y41" s="256"/>
      <c r="Z41" s="450"/>
      <c r="AA41" s="451"/>
      <c r="AB41" s="268"/>
      <c r="AC41" s="61"/>
      <c r="AD41" s="448"/>
    </row>
    <row r="42" spans="1:30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350"/>
      <c r="U42" s="350"/>
      <c r="V42" s="42"/>
      <c r="W42" s="69">
        <f t="shared" si="13"/>
        <v>0</v>
      </c>
      <c r="X42" s="70"/>
      <c r="Y42" s="60"/>
      <c r="Z42" s="452"/>
      <c r="AA42" s="453"/>
      <c r="AB42" s="268"/>
      <c r="AC42" s="61"/>
      <c r="AD42" s="448"/>
    </row>
    <row r="43" spans="1:30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ht="15" customHeight="1">
      <c r="A44" s="458"/>
      <c r="B44" s="228"/>
      <c r="C44" s="181"/>
      <c r="D44" s="11"/>
      <c r="E44" s="12"/>
      <c r="F44" s="13"/>
      <c r="G44" s="99"/>
      <c r="H44" s="63">
        <f t="shared" ref="H44:H47" si="35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6">(U44-T44)*24*60</f>
        <v>0</v>
      </c>
      <c r="X44" s="70"/>
      <c r="Y44" s="67"/>
      <c r="Z44" s="405"/>
      <c r="AA44" s="405"/>
      <c r="AB44" s="71"/>
      <c r="AC44" s="61"/>
      <c r="AD44" s="448"/>
    </row>
    <row r="45" spans="1:30" ht="15" customHeight="1">
      <c r="A45" s="458"/>
      <c r="B45" s="229"/>
      <c r="C45" s="27"/>
      <c r="D45" s="28"/>
      <c r="E45" s="29"/>
      <c r="F45" s="13"/>
      <c r="G45" s="66"/>
      <c r="H45" s="63">
        <f t="shared" si="35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6"/>
        <v>0</v>
      </c>
      <c r="X45" s="70"/>
      <c r="Y45" s="67"/>
      <c r="Z45" s="405"/>
      <c r="AA45" s="405"/>
      <c r="AB45" s="71"/>
      <c r="AC45" s="61"/>
      <c r="AD45" s="448"/>
    </row>
    <row r="46" spans="1:30" ht="15" customHeight="1">
      <c r="A46" s="458"/>
      <c r="B46" s="229"/>
      <c r="C46" s="27"/>
      <c r="D46" s="28"/>
      <c r="E46" s="29"/>
      <c r="F46" s="13"/>
      <c r="G46" s="66"/>
      <c r="H46" s="63">
        <f t="shared" si="35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6"/>
        <v>0</v>
      </c>
      <c r="X46" s="70"/>
      <c r="Y46" s="67"/>
      <c r="Z46" s="405"/>
      <c r="AA46" s="405"/>
      <c r="AB46" s="71"/>
      <c r="AC46" s="61"/>
      <c r="AD46" s="448"/>
    </row>
    <row r="47" spans="1:30" ht="15" customHeight="1">
      <c r="A47" s="458"/>
      <c r="B47" s="228"/>
      <c r="C47" s="27"/>
      <c r="D47" s="28"/>
      <c r="E47" s="29"/>
      <c r="F47" s="13"/>
      <c r="G47" s="66"/>
      <c r="H47" s="63">
        <f t="shared" si="35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6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7">AVERAGE(J38:J47)</f>
        <v>16.333333333333332</v>
      </c>
      <c r="K48" s="133">
        <f t="shared" si="37"/>
        <v>1410.3333333333333</v>
      </c>
      <c r="L48" s="136">
        <f t="shared" si="37"/>
        <v>87.285380116959061</v>
      </c>
      <c r="M48" s="133">
        <f t="shared" si="37"/>
        <v>12</v>
      </c>
      <c r="N48" s="133">
        <f t="shared" si="37"/>
        <v>979.41098969231882</v>
      </c>
      <c r="O48" s="136">
        <f t="shared" si="37"/>
        <v>81.617582474359907</v>
      </c>
      <c r="P48" s="155">
        <f>M48-J48</f>
        <v>-4.3333333333333321</v>
      </c>
      <c r="Q48" s="156">
        <f>N48-K48</f>
        <v>-430.92234364101444</v>
      </c>
      <c r="R48" s="157">
        <f t="shared" ref="R48:R52" si="38">O48/L48</f>
        <v>0.93506589952401509</v>
      </c>
      <c r="S48" s="423"/>
      <c r="T48" s="158"/>
      <c r="U48" s="158"/>
      <c r="V48" s="194"/>
      <c r="W48" s="159">
        <f t="shared" si="36"/>
        <v>0</v>
      </c>
      <c r="X48" s="160"/>
      <c r="Y48" s="160"/>
      <c r="Z48" s="424"/>
      <c r="AA48" s="424"/>
      <c r="AB48" s="161">
        <f t="shared" ref="AB48:AB53" si="39">N48-K48</f>
        <v>-430.92234364101444</v>
      </c>
      <c r="AC48" s="189">
        <f t="shared" ref="AC48:AC53" si="40">N48/K48</f>
        <v>0.6944535497700205</v>
      </c>
      <c r="AD48" s="449"/>
    </row>
    <row r="49" spans="1:30" ht="15" customHeight="1">
      <c r="A49" s="454" t="s">
        <v>57</v>
      </c>
      <c r="B49" s="197" t="s">
        <v>45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1627</v>
      </c>
      <c r="H49" s="124">
        <f t="shared" ref="H49:H57" si="41">F49*G49</f>
        <v>92527.489999999991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1501.8461538461499</v>
      </c>
      <c r="O49" s="127">
        <f>N49/M49</f>
        <v>79.044534412955258</v>
      </c>
      <c r="P49" s="162">
        <f>M49-J49</f>
        <v>0</v>
      </c>
      <c r="Q49" s="111">
        <f>O49-L49</f>
        <v>-3.3238866396763171</v>
      </c>
      <c r="R49" s="182">
        <f t="shared" si="38"/>
        <v>0.95964610469402556</v>
      </c>
      <c r="S49" s="419">
        <f>R58</f>
        <v>0.98122089550937475</v>
      </c>
      <c r="T49" s="348">
        <v>0.29166666666666702</v>
      </c>
      <c r="U49" s="348">
        <v>0.33680555555555602</v>
      </c>
      <c r="V49" s="186"/>
      <c r="W49" s="150">
        <f t="shared" si="13"/>
        <v>65.000000000000171</v>
      </c>
      <c r="X49" s="186"/>
      <c r="Y49" s="186"/>
      <c r="Z49" s="425"/>
      <c r="AA49" s="425"/>
      <c r="AB49" s="110">
        <f t="shared" si="39"/>
        <v>-63.153846153850054</v>
      </c>
      <c r="AC49" s="182">
        <f t="shared" si="40"/>
        <v>0.95964610469402556</v>
      </c>
      <c r="AD49" s="411">
        <f>AC58</f>
        <v>0.9807754627746923</v>
      </c>
    </row>
    <row r="50" spans="1:30" ht="15" customHeight="1">
      <c r="A50" s="455"/>
      <c r="B50" s="56" t="s">
        <v>182</v>
      </c>
      <c r="C50" s="10"/>
      <c r="D50" s="11" t="s">
        <v>46</v>
      </c>
      <c r="E50" s="86"/>
      <c r="F50" s="56">
        <f>VLOOKUP(D50,廠價表!$C$1:$E$40,3,0)</f>
        <v>49.91</v>
      </c>
      <c r="G50" s="66">
        <v>2563</v>
      </c>
      <c r="H50" s="76">
        <f t="shared" si="41"/>
        <v>127919.32999999999</v>
      </c>
      <c r="I50" s="191"/>
      <c r="J50" s="16">
        <f>VLOOKUP(D50,產線配置圖!$A$3:$C$39,2,0)</f>
        <v>17</v>
      </c>
      <c r="K50" s="14">
        <f>VLOOKUP(D50,產線配置圖!$A$3:$C$39,3,0)</f>
        <v>1565</v>
      </c>
      <c r="L50" s="17">
        <f>K50/J50</f>
        <v>92.058823529411768</v>
      </c>
      <c r="M50" s="172">
        <v>17</v>
      </c>
      <c r="N50" s="77">
        <f>G50/W50*60</f>
        <v>1553.3333333333337</v>
      </c>
      <c r="O50" s="78">
        <f>N50/M50</f>
        <v>91.37254901960786</v>
      </c>
      <c r="P50" s="18">
        <f>M50-J50</f>
        <v>0</v>
      </c>
      <c r="Q50" s="19">
        <f>O50-L50</f>
        <v>-0.68627450980390847</v>
      </c>
      <c r="R50" s="183">
        <f t="shared" si="38"/>
        <v>0.99254526091586803</v>
      </c>
      <c r="S50" s="420"/>
      <c r="T50" s="351">
        <v>0.34166666666666701</v>
      </c>
      <c r="U50" s="351">
        <v>0.41041666666666698</v>
      </c>
      <c r="V50" s="175">
        <f t="shared" ref="V50:V52" si="42">(T50-U49)*24*60</f>
        <v>6.9999999999998153</v>
      </c>
      <c r="W50" s="80">
        <f t="shared" si="13"/>
        <v>98.999999999999972</v>
      </c>
      <c r="X50" s="22"/>
      <c r="Y50" s="22"/>
      <c r="Z50" s="417"/>
      <c r="AA50" s="418"/>
      <c r="AB50" s="18">
        <f t="shared" si="39"/>
        <v>-11.666666666666288</v>
      </c>
      <c r="AC50" s="183">
        <f t="shared" si="40"/>
        <v>0.99254526091586814</v>
      </c>
      <c r="AD50" s="412"/>
    </row>
    <row r="51" spans="1:30" ht="15" customHeight="1">
      <c r="A51" s="455"/>
      <c r="B51" s="56" t="s">
        <v>45</v>
      </c>
      <c r="C51" s="10"/>
      <c r="D51" s="11" t="s">
        <v>59</v>
      </c>
      <c r="E51" s="86"/>
      <c r="F51" s="56">
        <f>VLOOKUP(D51,廠價表!$C$1:$E$40,3,0)</f>
        <v>49.97</v>
      </c>
      <c r="G51" s="66">
        <v>2152</v>
      </c>
      <c r="H51" s="76">
        <f t="shared" si="41"/>
        <v>107535.44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>K51/J51</f>
        <v>88.888888888888886</v>
      </c>
      <c r="M51" s="172">
        <v>18</v>
      </c>
      <c r="N51" s="77">
        <f>G51/W51*60</f>
        <v>1594.074074074075</v>
      </c>
      <c r="O51" s="78">
        <f>N51/M51</f>
        <v>88.559670781893061</v>
      </c>
      <c r="P51" s="18">
        <f>M51-J51</f>
        <v>0</v>
      </c>
      <c r="Q51" s="19">
        <f>O51-L51</f>
        <v>-0.32921810699582466</v>
      </c>
      <c r="R51" s="183">
        <f t="shared" si="38"/>
        <v>0.99629629629629701</v>
      </c>
      <c r="S51" s="420"/>
      <c r="T51" s="351">
        <v>0.41666666666666702</v>
      </c>
      <c r="U51" s="44">
        <v>0.47291666666666698</v>
      </c>
      <c r="V51" s="175">
        <f t="shared" si="42"/>
        <v>9.000000000000048</v>
      </c>
      <c r="W51" s="80">
        <f t="shared" si="13"/>
        <v>80.999999999999957</v>
      </c>
      <c r="X51" s="22"/>
      <c r="Y51" s="22"/>
      <c r="Z51" s="405"/>
      <c r="AA51" s="405"/>
      <c r="AB51" s="18">
        <f t="shared" si="39"/>
        <v>-5.9259259259249575</v>
      </c>
      <c r="AC51" s="183">
        <f t="shared" si="40"/>
        <v>0.9962962962962969</v>
      </c>
      <c r="AD51" s="412"/>
    </row>
    <row r="52" spans="1:30" ht="15" customHeight="1">
      <c r="A52" s="455"/>
      <c r="B52" s="56" t="s">
        <v>45</v>
      </c>
      <c r="C52" s="23"/>
      <c r="D52" s="11" t="s">
        <v>59</v>
      </c>
      <c r="E52" s="12"/>
      <c r="F52" s="56">
        <f>VLOOKUP(D52,廠價表!$C$1:$E$40,3,0)</f>
        <v>49.97</v>
      </c>
      <c r="G52" s="66">
        <v>3300</v>
      </c>
      <c r="H52" s="76">
        <f t="shared" si="41"/>
        <v>164901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>K52/J52</f>
        <v>88.888888888888886</v>
      </c>
      <c r="M52" s="172">
        <v>18</v>
      </c>
      <c r="N52" s="77">
        <f>G52/W52*60</f>
        <v>1559.0551181102437</v>
      </c>
      <c r="O52" s="78">
        <f>N52/M52</f>
        <v>86.614173228346871</v>
      </c>
      <c r="P52" s="18">
        <f>M52-J52</f>
        <v>0</v>
      </c>
      <c r="Q52" s="19">
        <f>O52-L52</f>
        <v>-2.2747156605420145</v>
      </c>
      <c r="R52" s="183">
        <f t="shared" si="38"/>
        <v>0.97440944881890235</v>
      </c>
      <c r="S52" s="420"/>
      <c r="T52" s="351">
        <v>0.53680555555555598</v>
      </c>
      <c r="U52" s="351">
        <v>0.625</v>
      </c>
      <c r="V52" s="175">
        <f t="shared" si="42"/>
        <v>92.000000000000156</v>
      </c>
      <c r="W52" s="80">
        <f t="shared" si="13"/>
        <v>126.99999999999939</v>
      </c>
      <c r="X52" s="22">
        <v>0.47916666666666702</v>
      </c>
      <c r="Y52" s="22">
        <v>0.52083333333333304</v>
      </c>
      <c r="Z52" s="405"/>
      <c r="AA52" s="405"/>
      <c r="AB52" s="18">
        <f t="shared" si="39"/>
        <v>-40.944881889756289</v>
      </c>
      <c r="AC52" s="183">
        <f t="shared" si="40"/>
        <v>0.97440944881890235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351"/>
      <c r="U53" s="351"/>
      <c r="V53" s="175"/>
      <c r="W53" s="80">
        <f t="shared" si="13"/>
        <v>0</v>
      </c>
      <c r="X53" s="175"/>
      <c r="Y53" s="175"/>
      <c r="Z53" s="417"/>
      <c r="AA53" s="418"/>
      <c r="AB53" s="18">
        <f t="shared" si="39"/>
        <v>0</v>
      </c>
      <c r="AC53" s="183" t="e">
        <f t="shared" si="40"/>
        <v>#DIV/0!</v>
      </c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41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3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1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3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1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3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1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3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3">AVERAGE(J49:J57)</f>
        <v>18</v>
      </c>
      <c r="K58" s="117">
        <f t="shared" si="43"/>
        <v>1582.5</v>
      </c>
      <c r="L58" s="114">
        <f t="shared" si="43"/>
        <v>88.051255589955275</v>
      </c>
      <c r="M58" s="117">
        <f t="shared" si="43"/>
        <v>18</v>
      </c>
      <c r="N58" s="117">
        <f t="shared" si="43"/>
        <v>1552.0771698409505</v>
      </c>
      <c r="O58" s="114">
        <f t="shared" si="43"/>
        <v>86.397731860700759</v>
      </c>
      <c r="P58" s="118">
        <f>M58-J58</f>
        <v>0</v>
      </c>
      <c r="Q58" s="119">
        <f>N58-K58</f>
        <v>-30.422830159049454</v>
      </c>
      <c r="R58" s="120">
        <f t="shared" ref="R58:R59" si="44">O58/L58</f>
        <v>0.98122089550937475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45">N58-K58</f>
        <v>-30.422830159049454</v>
      </c>
      <c r="AC58" s="185">
        <f t="shared" ref="AC58:AC63" si="46">N58/K58</f>
        <v>0.9807754627746923</v>
      </c>
      <c r="AD58" s="414"/>
    </row>
    <row r="59" spans="1:30" ht="15" customHeight="1">
      <c r="A59" s="470" t="s">
        <v>61</v>
      </c>
      <c r="B59" s="197" t="s">
        <v>172</v>
      </c>
      <c r="C59" s="101"/>
      <c r="D59" s="102" t="s">
        <v>62</v>
      </c>
      <c r="E59" s="103"/>
      <c r="F59" s="197">
        <f>VLOOKUP(D59,廠價表!$C$1:$E$40,3,0)</f>
        <v>26.99</v>
      </c>
      <c r="G59" s="186">
        <v>4036</v>
      </c>
      <c r="H59" s="105">
        <f t="shared" ref="H59:H68" si="47">F59*G59</f>
        <v>108931.64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48">G59/W59*60</f>
        <v>1552.3076923076969</v>
      </c>
      <c r="O59" s="108">
        <f t="shared" ref="O59:O62" si="49">N59/M59</f>
        <v>119.408284023669</v>
      </c>
      <c r="P59" s="110">
        <f t="shared" ref="P59:P62" si="50">M59-J59</f>
        <v>0</v>
      </c>
      <c r="Q59" s="111">
        <f t="shared" ref="Q59:Q62" si="51">O59-L59</f>
        <v>-0.97633136094638928</v>
      </c>
      <c r="R59" s="182">
        <f t="shared" si="44"/>
        <v>0.99188989923814497</v>
      </c>
      <c r="S59" s="419">
        <f>R69</f>
        <v>0.82419376860272009</v>
      </c>
      <c r="T59" s="344">
        <v>0.29027777777777802</v>
      </c>
      <c r="U59" s="344">
        <v>0.39861111111111103</v>
      </c>
      <c r="V59" s="186"/>
      <c r="W59" s="106">
        <f t="shared" si="13"/>
        <v>155.99999999999952</v>
      </c>
      <c r="X59" s="186"/>
      <c r="Y59" s="186"/>
      <c r="Z59" s="469"/>
      <c r="AA59" s="434"/>
      <c r="AB59" s="223">
        <f t="shared" si="45"/>
        <v>-12.692307692303075</v>
      </c>
      <c r="AC59" s="224">
        <f t="shared" si="46"/>
        <v>0.99188989923814497</v>
      </c>
      <c r="AD59" s="411">
        <f>AC69</f>
        <v>0.82741869419186287</v>
      </c>
    </row>
    <row r="60" spans="1:30" ht="15" customHeight="1">
      <c r="A60" s="471"/>
      <c r="B60" s="56" t="s">
        <v>172</v>
      </c>
      <c r="C60" s="10"/>
      <c r="D60" s="239" t="s">
        <v>63</v>
      </c>
      <c r="E60" s="86"/>
      <c r="F60" s="56">
        <f>VLOOKUP(D60,廠價表!$C$1:$E$40,3,0)</f>
        <v>28.47</v>
      </c>
      <c r="G60" s="175">
        <v>802</v>
      </c>
      <c r="H60" s="15">
        <f t="shared" si="47"/>
        <v>22832.94</v>
      </c>
      <c r="I60" s="81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48"/>
        <v>1069.3333333333335</v>
      </c>
      <c r="O60" s="17">
        <f t="shared" si="49"/>
        <v>89.111111111111128</v>
      </c>
      <c r="P60" s="18">
        <f t="shared" si="50"/>
        <v>0</v>
      </c>
      <c r="Q60" s="19">
        <f t="shared" si="51"/>
        <v>-41.305555555555529</v>
      </c>
      <c r="R60" s="183">
        <f>O60/L60</f>
        <v>0.68328008519701833</v>
      </c>
      <c r="S60" s="474"/>
      <c r="T60" s="22">
        <v>0.40625</v>
      </c>
      <c r="U60" s="22">
        <v>0.4375</v>
      </c>
      <c r="V60" s="175">
        <f t="shared" ref="V60:V62" si="52">(T60-U59)*24*60</f>
        <v>11.000000000000121</v>
      </c>
      <c r="W60" s="90">
        <f t="shared" si="13"/>
        <v>45</v>
      </c>
      <c r="X60" s="191"/>
      <c r="Y60" s="191"/>
      <c r="Z60" s="405" t="s">
        <v>55</v>
      </c>
      <c r="AA60" s="405"/>
      <c r="AB60" s="225">
        <f t="shared" si="45"/>
        <v>-495.66666666666652</v>
      </c>
      <c r="AC60" s="226">
        <f t="shared" si="46"/>
        <v>0.68328008519701822</v>
      </c>
      <c r="AD60" s="464"/>
    </row>
    <row r="61" spans="1:30" ht="15" customHeight="1">
      <c r="A61" s="472"/>
      <c r="B61" s="56" t="s">
        <v>172</v>
      </c>
      <c r="C61" s="10"/>
      <c r="D61" s="239" t="s">
        <v>64</v>
      </c>
      <c r="E61" s="86"/>
      <c r="F61" s="56">
        <f>VLOOKUP(D61,廠價表!$C$1:$E$40,3,0)</f>
        <v>28.26</v>
      </c>
      <c r="G61" s="175">
        <v>1358</v>
      </c>
      <c r="H61" s="15">
        <f t="shared" si="47"/>
        <v>38377.08</v>
      </c>
      <c r="I61" s="175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48"/>
        <v>1358.0000000000227</v>
      </c>
      <c r="O61" s="17">
        <f t="shared" si="49"/>
        <v>113.16666666666856</v>
      </c>
      <c r="P61" s="18">
        <f t="shared" si="50"/>
        <v>0</v>
      </c>
      <c r="Q61" s="19">
        <f t="shared" si="51"/>
        <v>-17.249999999998096</v>
      </c>
      <c r="R61" s="183">
        <f>O61/L61</f>
        <v>0.86773162939298587</v>
      </c>
      <c r="S61" s="420"/>
      <c r="T61" s="291">
        <v>0.44791666666666702</v>
      </c>
      <c r="U61" s="291">
        <v>0.48958333333333298</v>
      </c>
      <c r="V61" s="175">
        <f t="shared" si="52"/>
        <v>15.000000000000506</v>
      </c>
      <c r="W61" s="88">
        <f t="shared" si="13"/>
        <v>59.999999999998991</v>
      </c>
      <c r="X61" s="22"/>
      <c r="Y61" s="22"/>
      <c r="Z61" s="405"/>
      <c r="AA61" s="405"/>
      <c r="AB61" s="51">
        <f t="shared" si="45"/>
        <v>-206.99999999997726</v>
      </c>
      <c r="AC61" s="52">
        <f t="shared" si="46"/>
        <v>0.86773162939298576</v>
      </c>
      <c r="AD61" s="412"/>
    </row>
    <row r="62" spans="1:30" ht="15" customHeight="1">
      <c r="A62" s="472"/>
      <c r="B62" s="56" t="s">
        <v>172</v>
      </c>
      <c r="C62" s="23"/>
      <c r="D62" s="239" t="s">
        <v>64</v>
      </c>
      <c r="E62" s="12"/>
      <c r="F62" s="56">
        <f>VLOOKUP(D62,廠價表!$C$1:$E$40,3,0)</f>
        <v>28.26</v>
      </c>
      <c r="G62" s="175">
        <v>1000</v>
      </c>
      <c r="H62" s="15">
        <f t="shared" si="47"/>
        <v>28260</v>
      </c>
      <c r="I62" s="81"/>
      <c r="J62" s="16">
        <f>VLOOKUP(D62,產線配置圖!$A$3:$C$39,2,0)</f>
        <v>12</v>
      </c>
      <c r="K62" s="14">
        <f>VLOOKUP(D62,產線配置圖!$A$3:$C$39,3,0)</f>
        <v>1565</v>
      </c>
      <c r="L62" s="17">
        <f>K62/J62</f>
        <v>130.41666666666666</v>
      </c>
      <c r="M62" s="178">
        <v>12</v>
      </c>
      <c r="N62" s="14">
        <f t="shared" si="48"/>
        <v>1200.0000000000082</v>
      </c>
      <c r="O62" s="17">
        <f t="shared" si="49"/>
        <v>100.00000000000068</v>
      </c>
      <c r="P62" s="18">
        <f t="shared" si="50"/>
        <v>0</v>
      </c>
      <c r="Q62" s="19">
        <f t="shared" si="51"/>
        <v>-30.416666666665975</v>
      </c>
      <c r="R62" s="183">
        <f>O62/L62</f>
        <v>0.76677316293930242</v>
      </c>
      <c r="S62" s="420"/>
      <c r="T62" s="22">
        <v>0.54166666666666696</v>
      </c>
      <c r="U62" s="22">
        <v>0.57638888888888895</v>
      </c>
      <c r="V62" s="175">
        <f t="shared" si="52"/>
        <v>75.000000000000938</v>
      </c>
      <c r="W62" s="90">
        <f t="shared" si="13"/>
        <v>49.999999999999659</v>
      </c>
      <c r="X62" s="22"/>
      <c r="Y62" s="22"/>
      <c r="Z62" s="405" t="s">
        <v>55</v>
      </c>
      <c r="AA62" s="405"/>
      <c r="AB62" s="51">
        <f t="shared" si="45"/>
        <v>-364.99999999999181</v>
      </c>
      <c r="AC62" s="52">
        <f t="shared" si="46"/>
        <v>0.76677316293930231</v>
      </c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2"/>
      <c r="U63" s="22"/>
      <c r="V63" s="175"/>
      <c r="W63" s="90">
        <f t="shared" si="13"/>
        <v>0</v>
      </c>
      <c r="X63" s="84"/>
      <c r="Y63" s="84"/>
      <c r="Z63" s="405"/>
      <c r="AA63" s="405"/>
      <c r="AB63" s="51">
        <f t="shared" si="45"/>
        <v>0</v>
      </c>
      <c r="AC63" s="52" t="e">
        <f t="shared" si="46"/>
        <v>#DIV/0!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3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175"/>
      <c r="C65" s="181"/>
      <c r="D65" s="11"/>
      <c r="E65" s="12"/>
      <c r="F65" s="13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3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14"/>
      <c r="O66" s="17"/>
      <c r="P66" s="18"/>
      <c r="Q66" s="19"/>
      <c r="R66" s="183"/>
      <c r="S66" s="420"/>
      <c r="T66" s="20"/>
      <c r="U66" s="20"/>
      <c r="V66" s="175"/>
      <c r="W66" s="180">
        <f t="shared" si="13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14"/>
      <c r="O67" s="17"/>
      <c r="P67" s="18"/>
      <c r="Q67" s="19"/>
      <c r="R67" s="183"/>
      <c r="S67" s="420"/>
      <c r="T67" s="20"/>
      <c r="U67" s="20"/>
      <c r="V67" s="175"/>
      <c r="W67" s="180">
        <f t="shared" si="13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7"/>
        <v>0</v>
      </c>
      <c r="I68" s="85"/>
      <c r="J68" s="16"/>
      <c r="K68" s="14"/>
      <c r="L68" s="17"/>
      <c r="M68" s="21"/>
      <c r="N68" s="14"/>
      <c r="O68" s="17"/>
      <c r="P68" s="18"/>
      <c r="Q68" s="19"/>
      <c r="R68" s="183"/>
      <c r="S68" s="420"/>
      <c r="T68" s="20"/>
      <c r="U68" s="20"/>
      <c r="V68" s="175"/>
      <c r="W68" s="180">
        <f t="shared" si="13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3">AVERAGE(J59:J68)</f>
        <v>12.25</v>
      </c>
      <c r="K69" s="164">
        <f t="shared" si="53"/>
        <v>1565</v>
      </c>
      <c r="L69" s="169">
        <f t="shared" si="53"/>
        <v>127.90865384615384</v>
      </c>
      <c r="M69" s="164">
        <f t="shared" si="53"/>
        <v>12.25</v>
      </c>
      <c r="N69" s="164">
        <f t="shared" si="53"/>
        <v>1294.9102564102654</v>
      </c>
      <c r="O69" s="169">
        <f t="shared" si="53"/>
        <v>105.42151545036234</v>
      </c>
      <c r="P69" s="170">
        <f>M69-J69</f>
        <v>0</v>
      </c>
      <c r="Q69" s="156">
        <f>N69-K69</f>
        <v>-270.08974358973455</v>
      </c>
      <c r="R69" s="120">
        <f>O69/L69</f>
        <v>0.82419376860272009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-270.08974358973455</v>
      </c>
      <c r="AC69" s="185">
        <f>N69/K69</f>
        <v>0.82741869419186287</v>
      </c>
      <c r="AD69" s="414"/>
    </row>
    <row r="70" spans="1:32" ht="15" customHeight="1">
      <c r="A70" s="465" t="s">
        <v>67</v>
      </c>
      <c r="B70" s="197" t="s">
        <v>45</v>
      </c>
      <c r="C70" s="197"/>
      <c r="D70" s="102" t="s">
        <v>187</v>
      </c>
      <c r="E70" s="103"/>
      <c r="F70" s="197">
        <f>VLOOKUP(D70,廠價表!$C$1:$E$40,3,0)</f>
        <v>50.67</v>
      </c>
      <c r="G70" s="186">
        <v>2340</v>
      </c>
      <c r="H70" s="105">
        <f>F70*G70</f>
        <v>118567.8</v>
      </c>
      <c r="I70" s="186"/>
      <c r="J70" s="107">
        <f>VLOOKUP(D70,產線配置圖!$A$3:$C$39,2,0)</f>
        <v>15</v>
      </c>
      <c r="K70" s="104">
        <f>VLOOKUP(D70,產線配置圖!$A$3:$C$39,3,0)</f>
        <v>1440</v>
      </c>
      <c r="L70" s="108">
        <f>K70/J70</f>
        <v>96</v>
      </c>
      <c r="M70" s="109">
        <v>9</v>
      </c>
      <c r="N70" s="104">
        <f>G70/W70*60</f>
        <v>644.03669724770589</v>
      </c>
      <c r="O70" s="108">
        <f>N70/M70</f>
        <v>71.559633027522878</v>
      </c>
      <c r="P70" s="110">
        <f>M70-J70</f>
        <v>-6</v>
      </c>
      <c r="Q70" s="111">
        <f>O70-L70</f>
        <v>-24.440366972477122</v>
      </c>
      <c r="R70" s="182">
        <f>O70/L70</f>
        <v>0.74541284403669661</v>
      </c>
      <c r="S70" s="419">
        <f>R79</f>
        <v>0.74541284403669661</v>
      </c>
      <c r="T70" s="344">
        <v>0.34513888888888899</v>
      </c>
      <c r="U70" s="344">
        <v>0.49652777777777801</v>
      </c>
      <c r="V70" s="186"/>
      <c r="W70" s="106">
        <f t="shared" si="13"/>
        <v>218.00000000000017</v>
      </c>
      <c r="X70" s="290"/>
      <c r="Y70" s="290"/>
      <c r="Z70" s="469" t="s">
        <v>207</v>
      </c>
      <c r="AA70" s="434"/>
      <c r="AB70" s="223">
        <f>N70-K70</f>
        <v>-795.96330275229411</v>
      </c>
      <c r="AC70" s="224">
        <f>N70/K70</f>
        <v>0.447247706422018</v>
      </c>
      <c r="AD70" s="411">
        <f>AC79</f>
        <v>0.447247706422018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2"/>
      <c r="U71" s="22"/>
      <c r="V71" s="175"/>
      <c r="W71" s="180">
        <f t="shared" si="13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2"/>
      <c r="U72" s="22"/>
      <c r="V72" s="175"/>
      <c r="W72" s="180">
        <f t="shared" si="13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3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>
        <f t="shared" ref="H74:H78" si="54">F74*G74</f>
        <v>0</v>
      </c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3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si="54"/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3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4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3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4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3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4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3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>
        <f t="shared" ref="J79:O79" si="55">AVERAGE(J70:J78)</f>
        <v>15</v>
      </c>
      <c r="K79" s="164">
        <f t="shared" si="55"/>
        <v>1440</v>
      </c>
      <c r="L79" s="169">
        <f t="shared" si="55"/>
        <v>96</v>
      </c>
      <c r="M79" s="164">
        <f t="shared" si="55"/>
        <v>9</v>
      </c>
      <c r="N79" s="164">
        <f t="shared" si="55"/>
        <v>644.03669724770589</v>
      </c>
      <c r="O79" s="169">
        <f t="shared" si="55"/>
        <v>71.559633027522878</v>
      </c>
      <c r="P79" s="170">
        <f>M79-J79</f>
        <v>-6</v>
      </c>
      <c r="Q79" s="156">
        <f>N79-K79</f>
        <v>-795.96330275229411</v>
      </c>
      <c r="R79" s="157">
        <f>O79/L79</f>
        <v>0.74541284403669661</v>
      </c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-795.96330275229411</v>
      </c>
      <c r="AC79" s="185">
        <f>N79/K79</f>
        <v>0.447247706422018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A70:A79"/>
    <mergeCell ref="S70:S79"/>
    <mergeCell ref="Z70:AA70"/>
    <mergeCell ref="D79:E79"/>
    <mergeCell ref="A59:A69"/>
    <mergeCell ref="S59:S69"/>
    <mergeCell ref="Z59:AA59"/>
    <mergeCell ref="Z66:AA66"/>
    <mergeCell ref="Z67:AA67"/>
    <mergeCell ref="Z68:AA68"/>
    <mergeCell ref="D69:E69"/>
    <mergeCell ref="Z69:AA69"/>
    <mergeCell ref="AD59:AD69"/>
    <mergeCell ref="Z60:AA60"/>
    <mergeCell ref="Z61:AA61"/>
    <mergeCell ref="Z62:AA62"/>
    <mergeCell ref="Z63:AA63"/>
    <mergeCell ref="Z64:AA64"/>
    <mergeCell ref="Z65:AA65"/>
    <mergeCell ref="Z54:AA54"/>
    <mergeCell ref="Z55:AA55"/>
    <mergeCell ref="Z56:AA56"/>
    <mergeCell ref="Z57:AA57"/>
    <mergeCell ref="Z58:AA58"/>
    <mergeCell ref="A38:A48"/>
    <mergeCell ref="S38:S48"/>
    <mergeCell ref="Z38:AA38"/>
    <mergeCell ref="Z45:AA45"/>
    <mergeCell ref="Z46:AA46"/>
    <mergeCell ref="Z47:AA47"/>
    <mergeCell ref="D48:E48"/>
    <mergeCell ref="Z48:AA48"/>
    <mergeCell ref="AD38:AD48"/>
    <mergeCell ref="Z39:AA39"/>
    <mergeCell ref="Z40:AA40"/>
    <mergeCell ref="Z41:AA41"/>
    <mergeCell ref="Z42:AA42"/>
    <mergeCell ref="Z43:AA43"/>
    <mergeCell ref="Z44:AA44"/>
    <mergeCell ref="AD49:AD58"/>
    <mergeCell ref="Z50:AA50"/>
    <mergeCell ref="Z51:AA51"/>
    <mergeCell ref="Z52:AA52"/>
    <mergeCell ref="Z53:AA53"/>
    <mergeCell ref="A49:A58"/>
    <mergeCell ref="S49:S58"/>
    <mergeCell ref="Z49:AA49"/>
    <mergeCell ref="D58:E58"/>
    <mergeCell ref="A27:A37"/>
    <mergeCell ref="S27:S37"/>
    <mergeCell ref="Z27:AA27"/>
    <mergeCell ref="D37:E37"/>
    <mergeCell ref="Z37:AA37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D26:E26"/>
    <mergeCell ref="Z26:AA26"/>
    <mergeCell ref="A5: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10:AA10"/>
    <mergeCell ref="Z11:AA11"/>
    <mergeCell ref="Z12:AA12"/>
    <mergeCell ref="R3:R4"/>
    <mergeCell ref="S3:S4"/>
    <mergeCell ref="D15:E15"/>
    <mergeCell ref="Z15:AA15"/>
    <mergeCell ref="AC3:AC4"/>
    <mergeCell ref="Z13:AA13"/>
    <mergeCell ref="Z14:AA14"/>
    <mergeCell ref="G3:G4"/>
    <mergeCell ref="A2:B2"/>
    <mergeCell ref="A3:A4"/>
    <mergeCell ref="B3:B4"/>
    <mergeCell ref="D3:E4"/>
    <mergeCell ref="F3:F4"/>
    <mergeCell ref="P1:S2"/>
    <mergeCell ref="T1:Y2"/>
    <mergeCell ref="Z1:AA2"/>
    <mergeCell ref="AB1:AD2"/>
    <mergeCell ref="M3:M4"/>
    <mergeCell ref="Z3:AA4"/>
    <mergeCell ref="AB3:AB4"/>
    <mergeCell ref="P3:P4"/>
    <mergeCell ref="Q3:Q4"/>
    <mergeCell ref="AD3:AD4"/>
    <mergeCell ref="J1:L2"/>
    <mergeCell ref="M1:O2"/>
    <mergeCell ref="H3:H4"/>
    <mergeCell ref="I3:I4"/>
    <mergeCell ref="J3:J4"/>
    <mergeCell ref="K3:K4"/>
    <mergeCell ref="L3:L4"/>
    <mergeCell ref="N3:N4"/>
    <mergeCell ref="O3:O4"/>
  </mergeCells>
  <phoneticPr fontId="0" type="noConversion"/>
  <conditionalFormatting sqref="P5:P79">
    <cfRule type="cellIs" dxfId="28" priority="1" operator="greaterThan">
      <formula>0</formula>
    </cfRule>
  </conditionalFormatting>
  <conditionalFormatting sqref="Q5:Q79 AB5:AB79">
    <cfRule type="cellIs" dxfId="27" priority="4" operator="lessThan">
      <formula>0</formula>
    </cfRule>
  </conditionalFormatting>
  <conditionalFormatting sqref="R5:R79 AC5:AC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D59:AD62 S69:S76 AD69:AD76">
    <cfRule type="cellIs" dxfId="24" priority="7" operator="lessThan">
      <formula>0.8</formula>
    </cfRule>
  </conditionalFormatting>
  <conditionalFormatting sqref="S19:S25 AD19:AD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D5:AD8 S15:S16 AD15:AD16 AD49 AD79">
    <cfRule type="cellIs" dxfId="21" priority="9" operator="lessThan">
      <formula>0.8</formula>
    </cfRule>
  </conditionalFormatting>
  <conditionalFormatting sqref="AD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zoomScale="70" zoomScaleNormal="70" workbookViewId="0">
      <selection activeCell="M22" sqref="M22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29" width="8.08984375" style="201" customWidth="1"/>
    <col min="30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46021</v>
      </c>
      <c r="E3" s="357"/>
      <c r="F3" s="202" t="s">
        <v>84</v>
      </c>
      <c r="G3" s="358">
        <f>'1230'!E1</f>
        <v>49214</v>
      </c>
      <c r="H3" s="358"/>
      <c r="I3" s="202" t="s">
        <v>2</v>
      </c>
      <c r="J3" s="359">
        <f>'1230'!G1</f>
        <v>2372501.2799999998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110.64968081024581</v>
      </c>
      <c r="G6" s="367"/>
      <c r="H6" s="360">
        <f>AVERAGE(D13:H13)</f>
        <v>110.12782236511336</v>
      </c>
      <c r="I6" s="360"/>
      <c r="J6" s="360">
        <f>AVERAGE(I13:J13)</f>
        <v>111.95432692307692</v>
      </c>
      <c r="K6" s="360"/>
      <c r="L6" s="205"/>
    </row>
    <row r="7" spans="2:15" ht="39.65" customHeight="1">
      <c r="B7" s="353"/>
      <c r="C7" s="353"/>
      <c r="D7" s="361" t="s">
        <v>93</v>
      </c>
      <c r="E7" s="361"/>
      <c r="F7" s="362">
        <f>AVERAGE(D14:J14)</f>
        <v>98.642242585903915</v>
      </c>
      <c r="G7" s="362"/>
      <c r="H7" s="363">
        <f>AVERAGE(D14:H14)</f>
        <v>101.42858603692561</v>
      </c>
      <c r="I7" s="363"/>
      <c r="J7" s="363">
        <f>AVERAGE(I14:J14)</f>
        <v>91.67638395834966</v>
      </c>
      <c r="K7" s="363"/>
    </row>
    <row r="8" spans="2:15" ht="39.65" customHeight="1">
      <c r="B8" s="353"/>
      <c r="C8" s="353"/>
      <c r="D8" s="361" t="s">
        <v>24</v>
      </c>
      <c r="E8" s="361"/>
      <c r="F8" s="364">
        <f>AVERAGE(D15:J15)</f>
        <v>0.89234652373104684</v>
      </c>
      <c r="G8" s="364"/>
      <c r="H8" s="364">
        <f>AVERAGE(D15:H15)</f>
        <v>0.92074853733146111</v>
      </c>
      <c r="I8" s="364"/>
      <c r="J8" s="364">
        <f>AVERAGE(I15:J15)</f>
        <v>0.8213414897300112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VALUE('1230'!L15)</f>
        <v>129.79072398190044</v>
      </c>
      <c r="E13" s="213">
        <f>VALUE('1230'!L26)</f>
        <v>162.27564102564102</v>
      </c>
      <c r="F13" s="213">
        <f>VALUE('1230'!L37)</f>
        <v>83.236111111111114</v>
      </c>
      <c r="G13" s="213">
        <f>VALUE('1230'!L48)</f>
        <v>87.285380116959061</v>
      </c>
      <c r="H13" s="213">
        <f>VALUE('1230'!L58)</f>
        <v>88.051255589955275</v>
      </c>
      <c r="I13" s="213">
        <f>VALUE('1230'!L69)</f>
        <v>127.90865384615384</v>
      </c>
      <c r="J13" s="213">
        <f>'1230'!L79</f>
        <v>96</v>
      </c>
    </row>
    <row r="14" spans="2:15" ht="40" customHeight="1">
      <c r="B14" s="376"/>
      <c r="C14" s="212" t="s">
        <v>106</v>
      </c>
      <c r="D14" s="213">
        <f>VALUE('1230'!O15)</f>
        <v>124.85489120995059</v>
      </c>
      <c r="E14" s="213">
        <f>VALUE('1230'!O26)</f>
        <v>145.6794330669334</v>
      </c>
      <c r="F14" s="213">
        <f>VALUE('1230'!O37)</f>
        <v>75.121444961288461</v>
      </c>
      <c r="G14" s="213">
        <f>VALUE('1230'!O48)</f>
        <v>75.464901960784445</v>
      </c>
      <c r="H14" s="213">
        <f>VALUE('1230'!O58)</f>
        <v>86.022258985671144</v>
      </c>
      <c r="I14" s="213">
        <f>VALUE('1230'!O69)</f>
        <v>102.84114000972296</v>
      </c>
      <c r="J14" s="213">
        <f>'1230'!O79</f>
        <v>80.511627906976358</v>
      </c>
    </row>
    <row r="15" spans="2:15" ht="40" customHeight="1">
      <c r="B15" s="377"/>
      <c r="C15" s="210" t="s">
        <v>23</v>
      </c>
      <c r="D15" s="231">
        <f>D14/D13</f>
        <v>0.9619708356612745</v>
      </c>
      <c r="E15" s="231">
        <f t="shared" ref="E15:J15" si="0">E14/E13</f>
        <v>0.89772828593488485</v>
      </c>
      <c r="F15" s="231">
        <f t="shared" si="0"/>
        <v>0.90251026818167346</v>
      </c>
      <c r="G15" s="231">
        <f t="shared" si="0"/>
        <v>0.86457665487237811</v>
      </c>
      <c r="H15" s="231">
        <f t="shared" si="0"/>
        <v>0.97695664200709487</v>
      </c>
      <c r="I15" s="231">
        <f t="shared" si="0"/>
        <v>0.80402018876235204</v>
      </c>
      <c r="J15" s="231">
        <f t="shared" si="0"/>
        <v>0.83866279069767036</v>
      </c>
    </row>
    <row r="16" spans="2:15" ht="17.25" customHeight="1">
      <c r="B16" s="378" t="s">
        <v>107</v>
      </c>
      <c r="C16" s="210" t="s">
        <v>29</v>
      </c>
      <c r="D16" s="95">
        <f>'1230'!T5</f>
        <v>0.28958333333333336</v>
      </c>
      <c r="E16" s="95">
        <f>'1230'!T16</f>
        <v>0.297916666666667</v>
      </c>
      <c r="F16" s="95">
        <f>'1230'!T27</f>
        <v>0.29166666666666702</v>
      </c>
      <c r="G16" s="95">
        <f>'1230'!T38</f>
        <v>0.33333333333333298</v>
      </c>
      <c r="H16" s="95">
        <f>'1230'!T49</f>
        <v>0.29027777777777802</v>
      </c>
      <c r="I16" s="95">
        <f>'1230'!T59</f>
        <v>0.29166666666666702</v>
      </c>
      <c r="J16" s="269">
        <f>'1230'!T70</f>
        <v>0.34236111111111101</v>
      </c>
    </row>
    <row r="17" spans="2:10" ht="17.25" customHeight="1">
      <c r="B17" s="379"/>
      <c r="C17" s="210" t="s">
        <v>30</v>
      </c>
      <c r="D17" s="95">
        <v>0.57708333333333295</v>
      </c>
      <c r="E17" s="44">
        <v>0.61111111111111116</v>
      </c>
      <c r="F17" s="44">
        <v>0.59930555555555554</v>
      </c>
      <c r="G17" s="349">
        <v>0.63541666666666663</v>
      </c>
      <c r="H17" s="351">
        <v>0.60416666666666663</v>
      </c>
      <c r="I17" s="22">
        <v>0.59027777777777779</v>
      </c>
      <c r="J17" s="344">
        <v>0.46180555555555558</v>
      </c>
    </row>
    <row r="18" spans="2:10" ht="17.25" customHeight="1">
      <c r="B18" s="365" t="s">
        <v>108</v>
      </c>
      <c r="C18" s="366"/>
      <c r="D18" s="214">
        <f>VALUE('1230'!M15)</f>
        <v>14.5</v>
      </c>
      <c r="E18" s="214">
        <f>VALUE('1230'!M26)</f>
        <v>12.75</v>
      </c>
      <c r="F18" s="214">
        <f>VALUE('1230'!M37)</f>
        <v>15.25</v>
      </c>
      <c r="G18" s="214">
        <f>VALUE('1230'!M48)</f>
        <v>15.666666666666666</v>
      </c>
      <c r="H18" s="214">
        <f>VALUE('1230'!M58)</f>
        <v>18</v>
      </c>
      <c r="I18" s="214">
        <f>VALUE('1230'!M69)</f>
        <v>11.25</v>
      </c>
      <c r="J18" s="214">
        <f>'1230'!M79</f>
        <v>10</v>
      </c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 t="s">
        <v>114</v>
      </c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18:C18"/>
    <mergeCell ref="B19:C19"/>
    <mergeCell ref="B20:C20"/>
    <mergeCell ref="B21:C21"/>
    <mergeCell ref="B22:C22"/>
    <mergeCell ref="J8:K8"/>
    <mergeCell ref="D10:J10"/>
    <mergeCell ref="B11:C12"/>
    <mergeCell ref="B13:B15"/>
    <mergeCell ref="B16:B17"/>
    <mergeCell ref="B10:C10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0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F92"/>
  <sheetViews>
    <sheetView zoomScale="69" zoomScaleNormal="69" workbookViewId="0">
      <pane xSplit="5" ySplit="4" topLeftCell="M59" activePane="bottomRight" state="frozen"/>
      <selection sqref="A1:K2"/>
      <selection pane="topRight" sqref="A1:K2"/>
      <selection pane="bottomLeft" sqref="A1:K2"/>
      <selection pane="bottomRight" activeCell="V61" activeCellId="8" sqref="V6 V7 V18 V28 V29 V50 V51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38" width="7.90625" style="6" customWidth="1"/>
    <col min="39" max="16384" width="7.90625" style="6"/>
  </cols>
  <sheetData>
    <row r="1" spans="1:30" ht="21" customHeight="1">
      <c r="A1" s="2" t="s">
        <v>0</v>
      </c>
      <c r="B1" s="2"/>
      <c r="C1" s="2"/>
      <c r="D1" s="174" t="s">
        <v>1</v>
      </c>
      <c r="E1" s="3">
        <f>SUM(G5:G79)</f>
        <v>49214</v>
      </c>
      <c r="F1" s="175" t="s">
        <v>2</v>
      </c>
      <c r="G1" s="4">
        <f>SUM(H5:H79)</f>
        <v>2372501.2799999998</v>
      </c>
      <c r="H1" s="173" t="s">
        <v>3</v>
      </c>
      <c r="I1" s="5">
        <f>M15+M26+M48+M58+M69+M79+M37</f>
        <v>97.416666666666657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497" t="s">
        <v>8</v>
      </c>
      <c r="AA1" s="498"/>
      <c r="AB1" s="388" t="s">
        <v>9</v>
      </c>
      <c r="AC1" s="399"/>
      <c r="AD1" s="399"/>
    </row>
    <row r="2" spans="1:30" ht="18.75" customHeight="1">
      <c r="A2" s="404" t="s">
        <v>228</v>
      </c>
      <c r="B2" s="404"/>
      <c r="C2" s="174"/>
      <c r="D2" s="174" t="s">
        <v>11</v>
      </c>
      <c r="E2" s="7">
        <f>AVERAGE(O15,O26,O37,O48,O58,O69,O79)</f>
        <v>98.642242585903915</v>
      </c>
      <c r="F2" s="8" t="s">
        <v>12</v>
      </c>
      <c r="G2" s="9">
        <f>G1/E1</f>
        <v>48.207853049945136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499"/>
      <c r="AA2" s="500"/>
      <c r="AB2" s="399"/>
      <c r="AC2" s="399"/>
      <c r="AD2" s="399"/>
    </row>
    <row r="3" spans="1:30" ht="15.75" customHeight="1">
      <c r="A3" s="405" t="s">
        <v>14</v>
      </c>
      <c r="B3" s="405" t="s">
        <v>15</v>
      </c>
      <c r="C3" s="175"/>
      <c r="D3" s="493" t="s">
        <v>16</v>
      </c>
      <c r="E3" s="493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90" t="s">
        <v>26</v>
      </c>
      <c r="W3" s="391" t="s">
        <v>27</v>
      </c>
      <c r="X3" s="492" t="s">
        <v>28</v>
      </c>
      <c r="Y3" s="492"/>
      <c r="Z3" s="501"/>
      <c r="AA3" s="502"/>
      <c r="AB3" s="395" t="s">
        <v>22</v>
      </c>
      <c r="AC3" s="382" t="s">
        <v>23</v>
      </c>
      <c r="AD3" s="384" t="s">
        <v>24</v>
      </c>
    </row>
    <row r="4" spans="1:30" ht="15.75" customHeight="1">
      <c r="A4" s="389"/>
      <c r="B4" s="389"/>
      <c r="C4" s="176"/>
      <c r="D4" s="494"/>
      <c r="E4" s="494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491"/>
      <c r="W4" s="392"/>
      <c r="X4" s="176" t="s">
        <v>29</v>
      </c>
      <c r="Y4" s="176" t="s">
        <v>30</v>
      </c>
      <c r="Z4" s="503"/>
      <c r="AA4" s="504"/>
      <c r="AB4" s="396"/>
      <c r="AC4" s="383"/>
      <c r="AD4" s="385"/>
    </row>
    <row r="5" spans="1:30" ht="15" customHeight="1">
      <c r="A5" s="407" t="s">
        <v>31</v>
      </c>
      <c r="B5" s="299" t="s">
        <v>45</v>
      </c>
      <c r="C5" s="315"/>
      <c r="D5" s="329" t="s">
        <v>49</v>
      </c>
      <c r="E5" s="316"/>
      <c r="F5" s="299">
        <f>VLOOKUP(D5,廠價表!$C$1:$E$40,3,0)</f>
        <v>47.71</v>
      </c>
      <c r="G5" s="317">
        <v>2785</v>
      </c>
      <c r="H5" s="318">
        <f>F5*G5</f>
        <v>132872.35</v>
      </c>
      <c r="I5" s="319"/>
      <c r="J5" s="320">
        <f>VLOOKUP(D5,產線配置圖!$A$3:$C$39,2,0)</f>
        <v>15</v>
      </c>
      <c r="K5" s="321">
        <f>VLOOKUP(D5,產線配置圖!$A$3:$C$39,3,0)</f>
        <v>1500</v>
      </c>
      <c r="L5" s="322">
        <f>K5/J5</f>
        <v>100</v>
      </c>
      <c r="M5" s="323">
        <v>15</v>
      </c>
      <c r="N5" s="321">
        <f t="shared" ref="N5:N8" si="0">G5/W5*60</f>
        <v>1491.9642857142856</v>
      </c>
      <c r="O5" s="322">
        <f t="shared" ref="O5:O8" si="1">N5/M5</f>
        <v>99.464285714285708</v>
      </c>
      <c r="P5" s="324">
        <f t="shared" ref="P5:P8" si="2">M5-J5</f>
        <v>0</v>
      </c>
      <c r="Q5" s="325">
        <f t="shared" ref="Q5:Q8" si="3">O5-L5</f>
        <v>-0.5357142857142918</v>
      </c>
      <c r="R5" s="326">
        <f t="shared" ref="R5:R8" si="4">O5/L5</f>
        <v>0.99464285714285705</v>
      </c>
      <c r="S5" s="419">
        <f>R15</f>
        <v>0.9619708356612745</v>
      </c>
      <c r="T5" s="346">
        <v>0.28958333333333336</v>
      </c>
      <c r="U5" s="347">
        <v>0.36736111111111114</v>
      </c>
      <c r="V5" s="192"/>
      <c r="W5" s="106">
        <f t="shared" ref="W5:W14" si="5">(U5-T5)*24*60</f>
        <v>112</v>
      </c>
      <c r="X5" s="186"/>
      <c r="Y5" s="186"/>
      <c r="Z5" s="469"/>
      <c r="AA5" s="434"/>
      <c r="AB5" s="110">
        <f>N5-K5</f>
        <v>-8.0357142857144481</v>
      </c>
      <c r="AC5" s="182">
        <f>N5/K5</f>
        <v>0.99464285714285705</v>
      </c>
      <c r="AD5" s="411">
        <f>AC15</f>
        <v>0.963864106992393</v>
      </c>
    </row>
    <row r="6" spans="1:30" ht="15" customHeight="1">
      <c r="A6" s="408"/>
      <c r="B6" s="56" t="s">
        <v>45</v>
      </c>
      <c r="C6" s="10"/>
      <c r="D6" s="11" t="s">
        <v>33</v>
      </c>
      <c r="E6" s="86"/>
      <c r="F6" s="56">
        <f>VLOOKUP(D6,廠價表!$C$1:$E$40,3,0)</f>
        <v>57.21</v>
      </c>
      <c r="G6" s="25">
        <v>1391</v>
      </c>
      <c r="H6" s="15">
        <f t="shared" ref="H6:H8" si="6">F6*G6</f>
        <v>79579.11</v>
      </c>
      <c r="I6" s="180"/>
      <c r="J6" s="16">
        <f>VLOOKUP(D6,產線配置圖!$A$3:$C$39,2,0)</f>
        <v>17</v>
      </c>
      <c r="K6" s="14">
        <f>VLOOKUP(D6,產線配置圖!$A$3:$C$39,3,0)</f>
        <v>1895</v>
      </c>
      <c r="L6" s="17">
        <f>K6/J6</f>
        <v>111.47058823529412</v>
      </c>
      <c r="M6" s="178">
        <v>17</v>
      </c>
      <c r="N6" s="14">
        <f t="shared" si="0"/>
        <v>1854.6666666666604</v>
      </c>
      <c r="O6" s="17">
        <f t="shared" si="1"/>
        <v>109.0980392156859</v>
      </c>
      <c r="P6" s="18">
        <f t="shared" si="2"/>
        <v>0</v>
      </c>
      <c r="Q6" s="19">
        <f t="shared" si="3"/>
        <v>-2.3725490196082148</v>
      </c>
      <c r="R6" s="183">
        <f t="shared" si="4"/>
        <v>0.97871591908530886</v>
      </c>
      <c r="S6" s="420"/>
      <c r="T6" s="95">
        <v>0.37361111111111101</v>
      </c>
      <c r="U6" s="95">
        <v>0.40486111111111112</v>
      </c>
      <c r="V6" s="175">
        <f>(T6-U5)*24*60</f>
        <v>8.9999999999998082</v>
      </c>
      <c r="W6" s="180">
        <f t="shared" si="5"/>
        <v>45.000000000000156</v>
      </c>
      <c r="X6" s="22"/>
      <c r="Y6" s="22"/>
      <c r="Z6" s="391"/>
      <c r="AA6" s="391"/>
      <c r="AB6" s="18">
        <f>N6-K6</f>
        <v>-40.333333333339624</v>
      </c>
      <c r="AC6" s="183">
        <f>N6/K6</f>
        <v>0.97871591908530886</v>
      </c>
      <c r="AD6" s="412"/>
    </row>
    <row r="7" spans="1:30" ht="15" customHeight="1">
      <c r="A7" s="408"/>
      <c r="B7" s="56" t="s">
        <v>45</v>
      </c>
      <c r="C7" s="10"/>
      <c r="D7" s="11" t="s">
        <v>34</v>
      </c>
      <c r="E7" s="86"/>
      <c r="F7" s="56">
        <f>VLOOKUP(D7,廠價表!$C$1:$E$40,3,0)</f>
        <v>49.14</v>
      </c>
      <c r="G7" s="25">
        <v>3063</v>
      </c>
      <c r="H7" s="15">
        <f t="shared" si="6"/>
        <v>150515.82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1955.1063829787151</v>
      </c>
      <c r="O7" s="17">
        <f t="shared" si="1"/>
        <v>150.39279869067039</v>
      </c>
      <c r="P7" s="18">
        <f t="shared" si="2"/>
        <v>0</v>
      </c>
      <c r="Q7" s="19">
        <f t="shared" si="3"/>
        <v>-3.4533551554834503</v>
      </c>
      <c r="R7" s="183">
        <f t="shared" si="4"/>
        <v>0.9775531914893576</v>
      </c>
      <c r="S7" s="420"/>
      <c r="T7" s="95">
        <v>0.41249999999999998</v>
      </c>
      <c r="U7" s="95">
        <v>0.47777777777777802</v>
      </c>
      <c r="V7" s="175">
        <f>(T7-U6)*24*60</f>
        <v>10.999999999999961</v>
      </c>
      <c r="W7" s="180">
        <f t="shared" si="5"/>
        <v>94.000000000000384</v>
      </c>
      <c r="X7" s="22"/>
      <c r="Y7" s="22"/>
      <c r="Z7" s="405"/>
      <c r="AA7" s="405"/>
      <c r="AB7" s="18">
        <f>N7-K7</f>
        <v>-44.893617021284854</v>
      </c>
      <c r="AC7" s="183">
        <f>N7/K7</f>
        <v>0.9775531914893576</v>
      </c>
      <c r="AD7" s="412"/>
    </row>
    <row r="8" spans="1:30" ht="15" customHeight="1">
      <c r="A8" s="408"/>
      <c r="B8" s="56" t="s">
        <v>45</v>
      </c>
      <c r="C8" s="10"/>
      <c r="D8" s="11" t="s">
        <v>34</v>
      </c>
      <c r="E8" s="86"/>
      <c r="F8" s="56">
        <f>VLOOKUP(D8,廠價表!$C$1:$E$40,3,0)</f>
        <v>49.14</v>
      </c>
      <c r="G8" s="25">
        <v>1613</v>
      </c>
      <c r="H8" s="15">
        <f t="shared" si="6"/>
        <v>79262.820000000007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1826.037735849085</v>
      </c>
      <c r="O8" s="17">
        <f t="shared" si="1"/>
        <v>140.46444121916039</v>
      </c>
      <c r="P8" s="18">
        <f t="shared" si="2"/>
        <v>0</v>
      </c>
      <c r="Q8" s="19">
        <f t="shared" si="3"/>
        <v>-13.381712626993448</v>
      </c>
      <c r="R8" s="183">
        <f t="shared" si="4"/>
        <v>0.91301886792454257</v>
      </c>
      <c r="S8" s="420"/>
      <c r="T8" s="95">
        <v>0.54027777777777797</v>
      </c>
      <c r="U8" s="95">
        <v>0.57708333333333295</v>
      </c>
      <c r="V8" s="175">
        <f>(T8-U7)*24*60</f>
        <v>89.999999999999915</v>
      </c>
      <c r="W8" s="180">
        <f t="shared" si="5"/>
        <v>52.999999999999176</v>
      </c>
      <c r="X8" s="22"/>
      <c r="Y8" s="260"/>
      <c r="Z8" s="415"/>
      <c r="AA8" s="415"/>
      <c r="AB8" s="18">
        <f>N8-K8</f>
        <v>-173.96226415091496</v>
      </c>
      <c r="AC8" s="183">
        <f>N8/K8</f>
        <v>0.91301886792454257</v>
      </c>
      <c r="AD8" s="412"/>
    </row>
    <row r="9" spans="1:30" ht="15" customHeight="1">
      <c r="A9" s="409"/>
      <c r="B9" s="56"/>
      <c r="C9" s="10"/>
      <c r="D9" s="11"/>
      <c r="E9" s="86"/>
      <c r="F9" s="56"/>
      <c r="G9" s="25"/>
      <c r="H9" s="15"/>
      <c r="I9" s="180"/>
      <c r="J9" s="16"/>
      <c r="K9" s="14"/>
      <c r="L9" s="17"/>
      <c r="M9" s="178"/>
      <c r="N9" s="14"/>
      <c r="O9" s="17"/>
      <c r="P9" s="18"/>
      <c r="Q9" s="19"/>
      <c r="R9" s="183"/>
      <c r="S9" s="421"/>
      <c r="T9" s="95"/>
      <c r="U9" s="95"/>
      <c r="V9" s="175"/>
      <c r="W9" s="180">
        <f t="shared" si="5"/>
        <v>0</v>
      </c>
      <c r="X9" s="22"/>
      <c r="Y9" s="260"/>
      <c r="Z9" s="416"/>
      <c r="AA9" s="416"/>
      <c r="AB9" s="18">
        <f>N9-K9</f>
        <v>0</v>
      </c>
      <c r="AC9" s="183" t="e">
        <f>N9/K9</f>
        <v>#DIV/0!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7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7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8">AVERAGE(J5:J14)</f>
        <v>14.5</v>
      </c>
      <c r="K15" s="117">
        <f t="shared" si="8"/>
        <v>1848.75</v>
      </c>
      <c r="L15" s="114">
        <f t="shared" si="8"/>
        <v>129.79072398190044</v>
      </c>
      <c r="M15" s="117">
        <f t="shared" si="8"/>
        <v>14.5</v>
      </c>
      <c r="N15" s="117">
        <f t="shared" si="8"/>
        <v>1781.9437678021866</v>
      </c>
      <c r="O15" s="114">
        <f t="shared" si="8"/>
        <v>124.85489120995059</v>
      </c>
      <c r="P15" s="118">
        <f>M15-J15</f>
        <v>0</v>
      </c>
      <c r="Q15" s="119">
        <f t="shared" ref="Q15:Q19" si="9">O15-L15</f>
        <v>-4.9358327719498476</v>
      </c>
      <c r="R15" s="120">
        <f>O15/L15</f>
        <v>0.9619708356612745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0">N15-K15</f>
        <v>-66.806232197813415</v>
      </c>
      <c r="AC15" s="185">
        <f t="shared" ref="AC15:AC19" si="11">N15/K15</f>
        <v>0.963864106992393</v>
      </c>
      <c r="AD15" s="414"/>
    </row>
    <row r="16" spans="1:30" ht="15" customHeight="1">
      <c r="A16" s="439" t="s">
        <v>39</v>
      </c>
      <c r="B16" s="197" t="s">
        <v>45</v>
      </c>
      <c r="C16" s="101"/>
      <c r="D16" s="102" t="s">
        <v>32</v>
      </c>
      <c r="E16" s="103"/>
      <c r="F16" s="197">
        <f>VLOOKUP(D16,廠價表!$C$1:$E$40,3,0)</f>
        <v>57.21</v>
      </c>
      <c r="G16" s="262">
        <v>2277</v>
      </c>
      <c r="H16" s="124">
        <f t="shared" ref="H16:H25" si="12">F16*G16</f>
        <v>130267.17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3">K16/J16</f>
        <v>161.92307692307693</v>
      </c>
      <c r="M16" s="264">
        <v>14</v>
      </c>
      <c r="N16" s="126">
        <f t="shared" ref="N16:N19" si="14">G16/W16*60</f>
        <v>1980.0000000000277</v>
      </c>
      <c r="O16" s="127">
        <f>N16/M16</f>
        <v>141.42857142857341</v>
      </c>
      <c r="P16" s="128">
        <f>M16-J16</f>
        <v>1</v>
      </c>
      <c r="Q16" s="129">
        <f t="shared" si="9"/>
        <v>-20.494505494503528</v>
      </c>
      <c r="R16" s="187">
        <f>O16/L16</f>
        <v>0.87343060739736544</v>
      </c>
      <c r="S16" s="431">
        <f>R26</f>
        <v>0.89772828593488485</v>
      </c>
      <c r="T16" s="345">
        <v>0.297916666666667</v>
      </c>
      <c r="U16" s="345">
        <v>0.34583333333333299</v>
      </c>
      <c r="V16" s="125"/>
      <c r="W16" s="130">
        <f t="shared" ref="W16:W78" si="15">(U16-T16)*24*60</f>
        <v>68.999999999999034</v>
      </c>
      <c r="X16" s="127"/>
      <c r="Y16" s="127"/>
      <c r="Z16" s="469" t="s">
        <v>226</v>
      </c>
      <c r="AA16" s="434"/>
      <c r="AB16" s="110">
        <f t="shared" si="10"/>
        <v>-124.99999999997226</v>
      </c>
      <c r="AC16" s="182">
        <f t="shared" si="11"/>
        <v>0.94061757719716277</v>
      </c>
      <c r="AD16" s="411">
        <f>AC26</f>
        <v>0.91626268857607784</v>
      </c>
    </row>
    <row r="17" spans="1:30" ht="15" customHeight="1">
      <c r="A17" s="440"/>
      <c r="B17" s="56" t="s">
        <v>45</v>
      </c>
      <c r="C17" s="10"/>
      <c r="D17" s="11" t="s">
        <v>40</v>
      </c>
      <c r="E17" s="86"/>
      <c r="F17" s="56">
        <f>VLOOKUP(D17,廠價表!$C$1:$E$40,3,0)</f>
        <v>50.67</v>
      </c>
      <c r="G17" s="96">
        <v>3595</v>
      </c>
      <c r="H17" s="15">
        <f t="shared" si="12"/>
        <v>182158.65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3"/>
        <v>153.84615384615384</v>
      </c>
      <c r="M17" s="37">
        <v>13</v>
      </c>
      <c r="N17" s="36">
        <f t="shared" si="14"/>
        <v>1960.9090909090878</v>
      </c>
      <c r="O17" s="38">
        <f t="shared" ref="O17:O19" si="16">N17/M17</f>
        <v>150.8391608391606</v>
      </c>
      <c r="P17" s="39">
        <f t="shared" ref="P17:P19" si="17">M17-J17</f>
        <v>0</v>
      </c>
      <c r="Q17" s="40">
        <f t="shared" si="9"/>
        <v>-3.0069930069932411</v>
      </c>
      <c r="R17" s="188">
        <f t="shared" ref="R17:R19" si="18">O17/L17</f>
        <v>0.98045454545454391</v>
      </c>
      <c r="S17" s="432"/>
      <c r="T17" s="44">
        <v>0.35416666666666702</v>
      </c>
      <c r="U17" s="44">
        <v>0.43055555555555602</v>
      </c>
      <c r="V17" s="175"/>
      <c r="W17" s="43">
        <f t="shared" si="15"/>
        <v>110.00000000000017</v>
      </c>
      <c r="X17" s="44"/>
      <c r="Y17" s="44"/>
      <c r="Z17" s="391"/>
      <c r="AA17" s="391"/>
      <c r="AB17" s="18">
        <f t="shared" si="10"/>
        <v>-39.090909090912191</v>
      </c>
      <c r="AC17" s="183">
        <f t="shared" si="11"/>
        <v>0.98045454545454391</v>
      </c>
      <c r="AD17" s="412"/>
    </row>
    <row r="18" spans="1:30" ht="15" customHeight="1">
      <c r="A18" s="440"/>
      <c r="B18" s="56" t="s">
        <v>45</v>
      </c>
      <c r="C18" s="10"/>
      <c r="D18" s="11" t="s">
        <v>41</v>
      </c>
      <c r="E18" s="86"/>
      <c r="F18" s="56">
        <f>VLOOKUP(D18,廠價表!$C$1:$E$40,3,0)</f>
        <v>50.39</v>
      </c>
      <c r="G18" s="96">
        <v>1711</v>
      </c>
      <c r="H18" s="15">
        <f t="shared" si="12"/>
        <v>86217.290000000008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3"/>
        <v>166.66666666666666</v>
      </c>
      <c r="M18" s="37">
        <v>12</v>
      </c>
      <c r="N18" s="36">
        <f t="shared" si="14"/>
        <v>1769.9999999999891</v>
      </c>
      <c r="O18" s="38">
        <f t="shared" si="16"/>
        <v>147.49999999999909</v>
      </c>
      <c r="P18" s="39">
        <f t="shared" si="17"/>
        <v>0</v>
      </c>
      <c r="Q18" s="40">
        <f t="shared" si="9"/>
        <v>-19.166666666667567</v>
      </c>
      <c r="R18" s="188">
        <f t="shared" si="18"/>
        <v>0.88499999999999457</v>
      </c>
      <c r="S18" s="432"/>
      <c r="T18" s="44">
        <v>0.43888888888888899</v>
      </c>
      <c r="U18" s="44">
        <v>0.47916666666666702</v>
      </c>
      <c r="V18" s="175">
        <f>(T18-U17)*24*60</f>
        <v>11.999999999999478</v>
      </c>
      <c r="W18" s="43">
        <f t="shared" si="15"/>
        <v>58.000000000000355</v>
      </c>
      <c r="X18" s="22"/>
      <c r="Y18" s="22"/>
      <c r="Z18" s="415"/>
      <c r="AA18" s="415"/>
      <c r="AB18" s="18">
        <f t="shared" si="10"/>
        <v>-230.00000000001091</v>
      </c>
      <c r="AC18" s="183">
        <f t="shared" si="11"/>
        <v>0.88499999999999457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2859</v>
      </c>
      <c r="H19" s="15">
        <f t="shared" si="12"/>
        <v>144065.01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3"/>
        <v>166.66666666666666</v>
      </c>
      <c r="M19" s="37">
        <v>12</v>
      </c>
      <c r="N19" s="36">
        <f t="shared" si="14"/>
        <v>1715.4000000000062</v>
      </c>
      <c r="O19" s="38">
        <f t="shared" si="16"/>
        <v>142.95000000000053</v>
      </c>
      <c r="P19" s="39">
        <f t="shared" si="17"/>
        <v>0</v>
      </c>
      <c r="Q19" s="40">
        <f t="shared" si="9"/>
        <v>-23.716666666666129</v>
      </c>
      <c r="R19" s="188">
        <f t="shared" si="18"/>
        <v>0.85770000000000324</v>
      </c>
      <c r="S19" s="432"/>
      <c r="T19" s="44">
        <v>0.54166666666666696</v>
      </c>
      <c r="U19" s="44">
        <v>0.61111111111111116</v>
      </c>
      <c r="V19" s="175">
        <f t="shared" ref="V19" si="19">(T19-U18)*24*60</f>
        <v>89.999999999999915</v>
      </c>
      <c r="W19" s="43">
        <f t="shared" si="15"/>
        <v>99.999999999999645</v>
      </c>
      <c r="X19" s="22">
        <v>0.48958333333333298</v>
      </c>
      <c r="Y19" s="260">
        <v>0.53125</v>
      </c>
      <c r="Z19" s="416"/>
      <c r="AA19" s="416"/>
      <c r="AB19" s="18">
        <f t="shared" si="10"/>
        <v>-284.59999999999377</v>
      </c>
      <c r="AC19" s="183">
        <f t="shared" si="11"/>
        <v>0.85770000000000313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4"/>
      <c r="U20" s="44"/>
      <c r="V20" s="175"/>
      <c r="W20" s="43">
        <f t="shared" si="15"/>
        <v>0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4"/>
      <c r="U21" s="44"/>
      <c r="V21" s="175"/>
      <c r="W21" s="43">
        <f t="shared" si="15"/>
        <v>0</v>
      </c>
      <c r="X21" s="42"/>
      <c r="Y21" s="42"/>
      <c r="Z21" s="418"/>
      <c r="AA21" s="405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15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15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15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0">AVERAGE(J16:J25)</f>
        <v>12.5</v>
      </c>
      <c r="K26" s="133">
        <f t="shared" si="20"/>
        <v>2026.25</v>
      </c>
      <c r="L26" s="136">
        <f t="shared" si="20"/>
        <v>162.27564102564102</v>
      </c>
      <c r="M26" s="133">
        <f t="shared" si="20"/>
        <v>12.75</v>
      </c>
      <c r="N26" s="133">
        <f t="shared" si="20"/>
        <v>1856.5772727272777</v>
      </c>
      <c r="O26" s="136">
        <f t="shared" si="20"/>
        <v>145.6794330669334</v>
      </c>
      <c r="P26" s="137">
        <f t="shared" ref="P26:P30" si="21">M26-J26</f>
        <v>0.25</v>
      </c>
      <c r="Q26" s="138">
        <f t="shared" ref="Q26:Q30" si="22">O26-L26</f>
        <v>-16.596207958707623</v>
      </c>
      <c r="R26" s="139">
        <f t="shared" ref="R26:R30" si="23">O26/L26</f>
        <v>0.89772828593488485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-169.67272727272234</v>
      </c>
      <c r="AC26" s="185">
        <f>N26/K26</f>
        <v>0.91626268857607784</v>
      </c>
      <c r="AD26" s="414"/>
    </row>
    <row r="27" spans="1:30" ht="15" customHeight="1">
      <c r="A27" s="428" t="s">
        <v>44</v>
      </c>
      <c r="B27" s="227" t="s">
        <v>45</v>
      </c>
      <c r="C27" s="101"/>
      <c r="D27" s="102" t="s">
        <v>142</v>
      </c>
      <c r="E27" s="103"/>
      <c r="F27" s="197">
        <f>VLOOKUP(D27,廠價表!$C$1:$E$40,3,0)</f>
        <v>57.3</v>
      </c>
      <c r="G27" s="266">
        <v>2722</v>
      </c>
      <c r="H27" s="124">
        <f t="shared" ref="H27:H40" si="24">F27*G27</f>
        <v>155970.6</v>
      </c>
      <c r="I27" s="125"/>
      <c r="J27" s="16">
        <f>VLOOKUP(D27,產線配置圖!$A$3:$C$39,2,0)</f>
        <v>15</v>
      </c>
      <c r="K27" s="14">
        <f>VLOOKUP(D27,產線配置圖!$A$3:$C$39,3,0)</f>
        <v>1440</v>
      </c>
      <c r="L27" s="108">
        <f>K27/J27</f>
        <v>96</v>
      </c>
      <c r="M27" s="143">
        <v>13</v>
      </c>
      <c r="N27" s="126">
        <f>G27/W27*60</f>
        <v>1237.2727272727316</v>
      </c>
      <c r="O27" s="127">
        <f>N27/M27</f>
        <v>95.1748251748255</v>
      </c>
      <c r="P27" s="128">
        <f t="shared" si="21"/>
        <v>-2</v>
      </c>
      <c r="Q27" s="129">
        <f t="shared" si="22"/>
        <v>-0.82517482517449992</v>
      </c>
      <c r="R27" s="187">
        <f>O27/L27</f>
        <v>0.99140442890443226</v>
      </c>
      <c r="S27" s="431">
        <f>R37</f>
        <v>0.90251026818167346</v>
      </c>
      <c r="T27" s="94">
        <v>0.29166666666666702</v>
      </c>
      <c r="U27" s="94">
        <v>0.38333333333333336</v>
      </c>
      <c r="V27" s="125"/>
      <c r="W27" s="130">
        <f t="shared" si="15"/>
        <v>131.99999999999955</v>
      </c>
      <c r="X27" s="125"/>
      <c r="Y27" s="125" t="s">
        <v>47</v>
      </c>
      <c r="Z27" s="434"/>
      <c r="AA27" s="425"/>
      <c r="AB27" s="223">
        <f>N27-K27</f>
        <v>-202.72727272726843</v>
      </c>
      <c r="AC27" s="288">
        <f>N27/K27</f>
        <v>0.85921717171717471</v>
      </c>
      <c r="AD27" s="411">
        <f>AC37</f>
        <v>0.79268150779982205</v>
      </c>
    </row>
    <row r="28" spans="1:30" ht="15" customHeight="1">
      <c r="A28" s="429"/>
      <c r="B28" s="56" t="s">
        <v>45</v>
      </c>
      <c r="C28" s="10"/>
      <c r="D28" s="11" t="s">
        <v>48</v>
      </c>
      <c r="E28" s="86"/>
      <c r="F28" s="56">
        <f>VLOOKUP(D28,廠價表!$C$1:$E$40,3,0)</f>
        <v>55.13</v>
      </c>
      <c r="G28" s="53">
        <v>1507</v>
      </c>
      <c r="H28" s="50">
        <f t="shared" si="24"/>
        <v>83080.91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16</v>
      </c>
      <c r="N28" s="36">
        <f>G28/W28*60</f>
        <v>1130.2499999999902</v>
      </c>
      <c r="O28" s="38">
        <f>N28/M28</f>
        <v>70.640624999999389</v>
      </c>
      <c r="P28" s="39">
        <f t="shared" si="21"/>
        <v>-2</v>
      </c>
      <c r="Q28" s="40">
        <f t="shared" si="22"/>
        <v>-6.3038194444450539</v>
      </c>
      <c r="R28" s="188">
        <f t="shared" si="23"/>
        <v>0.91807310469313286</v>
      </c>
      <c r="S28" s="432"/>
      <c r="T28" s="267">
        <v>0.390972222222222</v>
      </c>
      <c r="U28" s="267">
        <v>0.44652777777777802</v>
      </c>
      <c r="V28" s="42">
        <f>(T28-U27)*24*60</f>
        <v>10.999999999999641</v>
      </c>
      <c r="W28" s="43">
        <f t="shared" si="15"/>
        <v>80.000000000000682</v>
      </c>
      <c r="X28" s="54"/>
      <c r="Y28" s="54"/>
      <c r="Z28" s="418"/>
      <c r="AA28" s="417"/>
      <c r="AB28" s="39">
        <f>N28-K28</f>
        <v>-254.75000000000978</v>
      </c>
      <c r="AC28" s="188">
        <f>N28/K28</f>
        <v>0.81606498194945143</v>
      </c>
      <c r="AD28" s="444"/>
    </row>
    <row r="29" spans="1:30" ht="15" customHeight="1">
      <c r="A29" s="429"/>
      <c r="B29" s="56" t="s">
        <v>182</v>
      </c>
      <c r="C29" s="10"/>
      <c r="D29" s="11" t="s">
        <v>166</v>
      </c>
      <c r="E29" s="86"/>
      <c r="F29" s="56">
        <f>VLOOKUP(D29,廠價表!$C$1:$E$40,3,0)</f>
        <v>49.52</v>
      </c>
      <c r="G29" s="53">
        <v>783</v>
      </c>
      <c r="H29" s="50">
        <f t="shared" si="24"/>
        <v>38774.160000000003</v>
      </c>
      <c r="I29" s="42"/>
      <c r="J29" s="16">
        <f>VLOOKUP(D29,產線配置圖!$A$3:$C$39,2,0)</f>
        <v>18</v>
      </c>
      <c r="K29" s="14">
        <f>VLOOKUP(D29,產線配置圖!$A$3:$C$39,3,0)</f>
        <v>1440</v>
      </c>
      <c r="L29" s="233">
        <f>K29/J29</f>
        <v>80</v>
      </c>
      <c r="M29" s="21">
        <v>16</v>
      </c>
      <c r="N29" s="36">
        <f>G29/W29*60</f>
        <v>1118.5714285714155</v>
      </c>
      <c r="O29" s="38">
        <f>N29/M29</f>
        <v>69.910714285713468</v>
      </c>
      <c r="P29" s="39">
        <f t="shared" si="21"/>
        <v>-2</v>
      </c>
      <c r="Q29" s="40">
        <f t="shared" si="22"/>
        <v>-10.089285714286532</v>
      </c>
      <c r="R29" s="188">
        <f t="shared" si="23"/>
        <v>0.87388392857141839</v>
      </c>
      <c r="S29" s="432"/>
      <c r="T29" s="44">
        <v>0.453472222222222</v>
      </c>
      <c r="U29" s="44">
        <v>0.48263888888888901</v>
      </c>
      <c r="V29" s="42">
        <f>(T29-U28)*24*60</f>
        <v>9.999999999999325</v>
      </c>
      <c r="W29" s="43">
        <f t="shared" si="15"/>
        <v>42.00000000000049</v>
      </c>
      <c r="X29" s="22"/>
      <c r="Y29" s="22"/>
      <c r="Z29" s="418"/>
      <c r="AA29" s="417"/>
      <c r="AB29" s="289">
        <f>N29-K29</f>
        <v>-321.42857142858452</v>
      </c>
      <c r="AC29" s="188">
        <f>N29/K29</f>
        <v>0.7767857142857052</v>
      </c>
      <c r="AD29" s="444"/>
    </row>
    <row r="30" spans="1:30" ht="15" customHeight="1">
      <c r="A30" s="429"/>
      <c r="B30" s="56" t="s">
        <v>182</v>
      </c>
      <c r="C30" s="235"/>
      <c r="D30" s="11" t="s">
        <v>166</v>
      </c>
      <c r="E30" s="29"/>
      <c r="F30" s="56">
        <f>VLOOKUP(D30,廠價表!$C$1:$E$40,3,0)</f>
        <v>49.52</v>
      </c>
      <c r="G30" s="53">
        <v>1347</v>
      </c>
      <c r="H30" s="50">
        <f t="shared" si="24"/>
        <v>66703.44</v>
      </c>
      <c r="I30" s="42"/>
      <c r="J30" s="16">
        <f>VLOOKUP(D30,產線配置圖!$A$3:$C$39,2,0)</f>
        <v>18</v>
      </c>
      <c r="K30" s="14">
        <f>VLOOKUP(D30,產線配置圖!$A$3:$C$39,3,0)</f>
        <v>1440</v>
      </c>
      <c r="L30" s="233">
        <f>K30/J30</f>
        <v>80</v>
      </c>
      <c r="M30" s="21">
        <v>16</v>
      </c>
      <c r="N30" s="36">
        <f>G30/W30*60</f>
        <v>1036.1538461538478</v>
      </c>
      <c r="O30" s="38">
        <f>N30/M30</f>
        <v>64.759615384615486</v>
      </c>
      <c r="P30" s="39">
        <f t="shared" si="21"/>
        <v>-2</v>
      </c>
      <c r="Q30" s="40">
        <f t="shared" si="22"/>
        <v>-15.240384615384514</v>
      </c>
      <c r="R30" s="188">
        <f t="shared" si="23"/>
        <v>0.80949519230769362</v>
      </c>
      <c r="S30" s="432"/>
      <c r="T30" s="44">
        <v>0.54513888888888895</v>
      </c>
      <c r="U30" s="44">
        <v>0.59930555555555554</v>
      </c>
      <c r="V30" s="42">
        <f>(T30-U29)*24*60</f>
        <v>89.999999999999915</v>
      </c>
      <c r="W30" s="43">
        <f t="shared" si="15"/>
        <v>77.999999999999886</v>
      </c>
      <c r="X30" s="54">
        <v>0.50694444444444398</v>
      </c>
      <c r="Y30" s="54">
        <v>0.54861111111111105</v>
      </c>
      <c r="Z30" s="426"/>
      <c r="AA30" s="446"/>
      <c r="AB30" s="289">
        <f>N30-K30</f>
        <v>-403.84615384615222</v>
      </c>
      <c r="AC30" s="188">
        <f>N30/K30</f>
        <v>0.71955128205128316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4"/>
      <c r="U31" s="44"/>
      <c r="V31" s="42"/>
      <c r="W31" s="43">
        <f t="shared" si="15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4"/>
      <c r="U32" s="44"/>
      <c r="V32" s="42"/>
      <c r="W32" s="43">
        <f t="shared" si="15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/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15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/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15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15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15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25">AVERAGE(J27:J36)</f>
        <v>17.25</v>
      </c>
      <c r="K37" s="282">
        <f t="shared" si="25"/>
        <v>1426.25</v>
      </c>
      <c r="L37" s="283">
        <f t="shared" si="25"/>
        <v>83.236111111111114</v>
      </c>
      <c r="M37" s="282">
        <f t="shared" si="25"/>
        <v>15.25</v>
      </c>
      <c r="N37" s="282">
        <f t="shared" si="25"/>
        <v>1130.5620004994962</v>
      </c>
      <c r="O37" s="283">
        <f t="shared" si="25"/>
        <v>75.121444961288461</v>
      </c>
      <c r="P37" s="73">
        <f>M37-J37</f>
        <v>-2</v>
      </c>
      <c r="Q37" s="74">
        <f>N37-K37</f>
        <v>-295.68799950050379</v>
      </c>
      <c r="R37" s="284">
        <f t="shared" ref="R37:R40" si="26">O37/L37</f>
        <v>0.90251026818167346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0" si="27">N37-K37</f>
        <v>-295.68799950050379</v>
      </c>
      <c r="AC37" s="184">
        <f t="shared" ref="AC37:AC40" si="28">N37/K37</f>
        <v>0.79268150779982205</v>
      </c>
      <c r="AD37" s="413"/>
    </row>
    <row r="38" spans="1:30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1706</v>
      </c>
      <c r="H38" s="124">
        <f t="shared" si="24"/>
        <v>97753.799999999988</v>
      </c>
      <c r="I38" s="125"/>
      <c r="J38" s="271">
        <f>VLOOKUP(D38,產線配置圖!$A$3:$C$39,2,0)</f>
        <v>15</v>
      </c>
      <c r="K38" s="234">
        <f>VLOOKUP(D38,產線配置圖!$A$3:$C$39,3,0)</f>
        <v>1385</v>
      </c>
      <c r="L38" s="285">
        <f t="shared" ref="L38:L40" si="29">K38/J38</f>
        <v>92.333333333333329</v>
      </c>
      <c r="M38" s="286">
        <v>15</v>
      </c>
      <c r="N38" s="126">
        <f>G38/W38*60</f>
        <v>1204.2352941176421</v>
      </c>
      <c r="O38" s="127">
        <f>N38/M38</f>
        <v>80.282352941176143</v>
      </c>
      <c r="P38" s="128">
        <f t="shared" ref="P38:P40" si="30">M38-J38</f>
        <v>0</v>
      </c>
      <c r="Q38" s="129">
        <f t="shared" ref="Q38:Q40" si="31">O38-L38</f>
        <v>-12.050980392157186</v>
      </c>
      <c r="R38" s="187">
        <f t="shared" si="26"/>
        <v>0.86948396687194385</v>
      </c>
      <c r="S38" s="460">
        <f>R48</f>
        <v>0.86457665487237811</v>
      </c>
      <c r="T38" s="348">
        <v>0.33333333333333298</v>
      </c>
      <c r="U38" s="348">
        <v>0.39236111111111099</v>
      </c>
      <c r="V38" s="146"/>
      <c r="W38" s="150">
        <f t="shared" si="15"/>
        <v>85.000000000000341</v>
      </c>
      <c r="X38" s="148"/>
      <c r="Y38" s="151"/>
      <c r="Z38" s="462"/>
      <c r="AA38" s="463"/>
      <c r="AB38" s="287">
        <f t="shared" si="27"/>
        <v>-180.76470588235793</v>
      </c>
      <c r="AC38" s="152">
        <f t="shared" si="28"/>
        <v>0.86948396687194374</v>
      </c>
      <c r="AD38" s="447">
        <f>AC48</f>
        <v>0.83815771546151108</v>
      </c>
    </row>
    <row r="39" spans="1:30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1419</v>
      </c>
      <c r="H39" s="50">
        <f t="shared" si="24"/>
        <v>80074.17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29"/>
        <v>93.733333333333334</v>
      </c>
      <c r="M39" s="65">
        <v>15</v>
      </c>
      <c r="N39" s="66">
        <f>G39/W39*60</f>
        <v>1064.2500000000111</v>
      </c>
      <c r="O39" s="67">
        <f t="shared" ref="O39:O40" si="32">N39/M39</f>
        <v>70.950000000000742</v>
      </c>
      <c r="P39" s="39">
        <f t="shared" si="30"/>
        <v>0</v>
      </c>
      <c r="Q39" s="40">
        <f t="shared" si="31"/>
        <v>-22.783333333332592</v>
      </c>
      <c r="R39" s="188">
        <f t="shared" si="26"/>
        <v>0.75693456614510035</v>
      </c>
      <c r="S39" s="461"/>
      <c r="T39" s="349">
        <v>0.43055555555555602</v>
      </c>
      <c r="U39" s="349">
        <v>0.48611111111111099</v>
      </c>
      <c r="V39" s="42">
        <f>(T39-U38)*24*60</f>
        <v>55.000000000000846</v>
      </c>
      <c r="W39" s="69">
        <f t="shared" si="15"/>
        <v>79.999999999999162</v>
      </c>
      <c r="X39" s="22"/>
      <c r="Y39" s="22"/>
      <c r="Z39" s="450" t="s">
        <v>220</v>
      </c>
      <c r="AA39" s="451"/>
      <c r="AB39" s="268">
        <f t="shared" si="27"/>
        <v>-341.74999999998886</v>
      </c>
      <c r="AC39" s="61">
        <f t="shared" si="28"/>
        <v>0.75693456614510035</v>
      </c>
      <c r="AD39" s="448"/>
    </row>
    <row r="40" spans="1:30" ht="15" customHeight="1">
      <c r="A40" s="458"/>
      <c r="B40" s="56" t="s">
        <v>182</v>
      </c>
      <c r="C40" s="272"/>
      <c r="D40" s="276" t="s">
        <v>167</v>
      </c>
      <c r="E40" s="240"/>
      <c r="F40" s="56">
        <f>VLOOKUP(D40,廠價表!$C$1:$E$40,3,0)</f>
        <v>44.3</v>
      </c>
      <c r="G40" s="273">
        <v>2662</v>
      </c>
      <c r="H40" s="50">
        <f t="shared" si="24"/>
        <v>117926.59999999999</v>
      </c>
      <c r="I40" s="64"/>
      <c r="J40" s="37">
        <f>VLOOKUP(D40,產線配置圖!$A$3:$C$39,2,0)</f>
        <v>19</v>
      </c>
      <c r="K40" s="36">
        <f>VLOOKUP(D40,產線配置圖!$A$3:$C$39,3,0)</f>
        <v>1440</v>
      </c>
      <c r="L40" s="38">
        <f t="shared" si="29"/>
        <v>75.78947368421052</v>
      </c>
      <c r="M40" s="65">
        <v>17</v>
      </c>
      <c r="N40" s="66">
        <f>G40/W40*60</f>
        <v>1277.7599999999998</v>
      </c>
      <c r="O40" s="67">
        <f t="shared" si="32"/>
        <v>75.162352941176451</v>
      </c>
      <c r="P40" s="39">
        <f t="shared" si="30"/>
        <v>-2</v>
      </c>
      <c r="Q40" s="40">
        <f t="shared" si="31"/>
        <v>-0.62712074303406951</v>
      </c>
      <c r="R40" s="188">
        <f t="shared" si="26"/>
        <v>0.99172549019607825</v>
      </c>
      <c r="S40" s="420"/>
      <c r="T40" s="349">
        <v>0.54861111111111105</v>
      </c>
      <c r="U40" s="349">
        <v>0.63541666666666663</v>
      </c>
      <c r="V40" s="42">
        <f>(T40-U39)*24*60</f>
        <v>90.000000000000085</v>
      </c>
      <c r="W40" s="69">
        <f t="shared" si="15"/>
        <v>125.00000000000003</v>
      </c>
      <c r="X40" s="70">
        <v>0.46875</v>
      </c>
      <c r="Y40" s="256">
        <v>0.51041666666666696</v>
      </c>
      <c r="Z40" s="450"/>
      <c r="AA40" s="451"/>
      <c r="AB40" s="268">
        <f t="shared" si="27"/>
        <v>-162.24000000000024</v>
      </c>
      <c r="AC40" s="61">
        <f t="shared" si="28"/>
        <v>0.8873333333333332</v>
      </c>
      <c r="AD40" s="448"/>
    </row>
    <row r="41" spans="1:30" ht="15" customHeight="1">
      <c r="A41" s="458"/>
      <c r="B41" s="56"/>
      <c r="C41" s="272"/>
      <c r="D41" s="276"/>
      <c r="E41" s="240"/>
      <c r="F41" s="56"/>
      <c r="G41" s="273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88"/>
      <c r="S41" s="420"/>
      <c r="T41" s="349"/>
      <c r="U41" s="349"/>
      <c r="V41" s="42"/>
      <c r="W41" s="69">
        <f t="shared" si="15"/>
        <v>0</v>
      </c>
      <c r="X41" s="70"/>
      <c r="Y41" s="256"/>
      <c r="Z41" s="450"/>
      <c r="AA41" s="451"/>
      <c r="AB41" s="268"/>
      <c r="AC41" s="61"/>
      <c r="AD41" s="448"/>
    </row>
    <row r="42" spans="1:30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350"/>
      <c r="U42" s="350"/>
      <c r="V42" s="42"/>
      <c r="W42" s="69">
        <f t="shared" si="15"/>
        <v>0</v>
      </c>
      <c r="X42" s="70"/>
      <c r="Y42" s="60"/>
      <c r="Z42" s="452"/>
      <c r="AA42" s="453"/>
      <c r="AB42" s="268"/>
      <c r="AC42" s="61"/>
      <c r="AD42" s="448"/>
    </row>
    <row r="43" spans="1:30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ht="15" customHeight="1">
      <c r="A44" s="458"/>
      <c r="B44" s="228"/>
      <c r="C44" s="181"/>
      <c r="D44" s="11"/>
      <c r="E44" s="12"/>
      <c r="F44" s="13"/>
      <c r="G44" s="99"/>
      <c r="H44" s="63">
        <f t="shared" ref="H44:H47" si="33">F44*G44</f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48"/>
    </row>
    <row r="45" spans="1:30" ht="15" customHeight="1">
      <c r="A45" s="458"/>
      <c r="B45" s="229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48"/>
    </row>
    <row r="46" spans="1:30" ht="15" customHeight="1">
      <c r="A46" s="458"/>
      <c r="B46" s="229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48"/>
    </row>
    <row r="47" spans="1:30" ht="15" customHeight="1">
      <c r="A47" s="458"/>
      <c r="B47" s="228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35">AVERAGE(J38:J47)</f>
        <v>16.333333333333332</v>
      </c>
      <c r="K48" s="133">
        <f t="shared" si="35"/>
        <v>1410.3333333333333</v>
      </c>
      <c r="L48" s="136">
        <f t="shared" si="35"/>
        <v>87.285380116959061</v>
      </c>
      <c r="M48" s="133">
        <f t="shared" si="35"/>
        <v>15.666666666666666</v>
      </c>
      <c r="N48" s="133">
        <f t="shared" si="35"/>
        <v>1182.0817647058843</v>
      </c>
      <c r="O48" s="136">
        <f t="shared" si="35"/>
        <v>75.464901960784445</v>
      </c>
      <c r="P48" s="155">
        <f>M48-J48</f>
        <v>-0.66666666666666607</v>
      </c>
      <c r="Q48" s="156">
        <f>N48-K48</f>
        <v>-228.25156862744893</v>
      </c>
      <c r="R48" s="157">
        <f t="shared" ref="R48:R52" si="36">O48/L48</f>
        <v>0.86457665487237811</v>
      </c>
      <c r="S48" s="423"/>
      <c r="T48" s="158"/>
      <c r="U48" s="158"/>
      <c r="V48" s="194"/>
      <c r="W48" s="159">
        <f t="shared" si="34"/>
        <v>0</v>
      </c>
      <c r="X48" s="160"/>
      <c r="Y48" s="160"/>
      <c r="Z48" s="424"/>
      <c r="AA48" s="424"/>
      <c r="AB48" s="161">
        <f t="shared" ref="AB48:AB53" si="37">N48-K48</f>
        <v>-228.25156862744893</v>
      </c>
      <c r="AC48" s="189">
        <f t="shared" ref="AC48:AC53" si="38">N48/K48</f>
        <v>0.83815771546151108</v>
      </c>
      <c r="AD48" s="449"/>
    </row>
    <row r="49" spans="1:30" ht="15" customHeight="1">
      <c r="A49" s="454" t="s">
        <v>57</v>
      </c>
      <c r="B49" s="197" t="s">
        <v>45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1427</v>
      </c>
      <c r="H49" s="124">
        <f t="shared" ref="H49:H57" si="39">F49*G49</f>
        <v>81153.489999999991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1502.1052631579043</v>
      </c>
      <c r="O49" s="127">
        <f>N49/M49</f>
        <v>79.058171745152862</v>
      </c>
      <c r="P49" s="162">
        <f>M49-J49</f>
        <v>0</v>
      </c>
      <c r="Q49" s="111">
        <f>O49-L49</f>
        <v>-3.3102493074787134</v>
      </c>
      <c r="R49" s="182">
        <f t="shared" si="36"/>
        <v>0.95981166974945975</v>
      </c>
      <c r="S49" s="419">
        <f>R58</f>
        <v>0.97695664200709487</v>
      </c>
      <c r="T49" s="348">
        <v>0.29027777777777802</v>
      </c>
      <c r="U49" s="348">
        <v>0.3298611111111111</v>
      </c>
      <c r="V49" s="186"/>
      <c r="W49" s="150">
        <f t="shared" si="15"/>
        <v>56.999999999999638</v>
      </c>
      <c r="X49" s="186"/>
      <c r="Y49" s="186"/>
      <c r="Z49" s="425"/>
      <c r="AA49" s="425"/>
      <c r="AB49" s="110">
        <f t="shared" si="37"/>
        <v>-62.894736842095654</v>
      </c>
      <c r="AC49" s="182">
        <f t="shared" si="38"/>
        <v>0.95981166974945964</v>
      </c>
      <c r="AD49" s="411">
        <f>AC58</f>
        <v>0.97683982825136195</v>
      </c>
    </row>
    <row r="50" spans="1:30" ht="15" customHeight="1">
      <c r="A50" s="455"/>
      <c r="B50" s="56" t="s">
        <v>182</v>
      </c>
      <c r="C50" s="10"/>
      <c r="D50" s="11" t="s">
        <v>46</v>
      </c>
      <c r="E50" s="86"/>
      <c r="F50" s="56">
        <f>VLOOKUP(D50,廠價表!$C$1:$E$40,3,0)</f>
        <v>49.91</v>
      </c>
      <c r="G50" s="66">
        <v>2428</v>
      </c>
      <c r="H50" s="76">
        <f t="shared" si="39"/>
        <v>121181.48</v>
      </c>
      <c r="I50" s="191"/>
      <c r="J50" s="16">
        <f>VLOOKUP(D50,產線配置圖!$A$3:$C$39,2,0)</f>
        <v>17</v>
      </c>
      <c r="K50" s="14">
        <f>VLOOKUP(D50,產線配置圖!$A$3:$C$39,3,0)</f>
        <v>1565</v>
      </c>
      <c r="L50" s="17">
        <f>K50/J50</f>
        <v>92.058823529411768</v>
      </c>
      <c r="M50" s="172">
        <v>17</v>
      </c>
      <c r="N50" s="77">
        <f>G50/W50*60</f>
        <v>1517.5000000000055</v>
      </c>
      <c r="O50" s="78">
        <f>N50/M50</f>
        <v>89.264705882353269</v>
      </c>
      <c r="P50" s="18">
        <f>M50-J50</f>
        <v>0</v>
      </c>
      <c r="Q50" s="19">
        <f>O50-L50</f>
        <v>-2.7941176470584992</v>
      </c>
      <c r="R50" s="183">
        <f t="shared" si="36"/>
        <v>0.96964856230032304</v>
      </c>
      <c r="S50" s="420"/>
      <c r="T50" s="351">
        <v>0.33680555555555558</v>
      </c>
      <c r="U50" s="351">
        <v>0.40347222222222201</v>
      </c>
      <c r="V50" s="175">
        <f t="shared" ref="V50:V52" si="40">(T50-U49)*24*60</f>
        <v>10.000000000000044</v>
      </c>
      <c r="W50" s="80">
        <f t="shared" si="15"/>
        <v>95.999999999999659</v>
      </c>
      <c r="X50" s="22"/>
      <c r="Y50" s="22"/>
      <c r="Z50" s="417"/>
      <c r="AA50" s="418"/>
      <c r="AB50" s="18">
        <f t="shared" si="37"/>
        <v>-47.499999999994543</v>
      </c>
      <c r="AC50" s="183">
        <f t="shared" si="38"/>
        <v>0.96964856230032292</v>
      </c>
      <c r="AD50" s="412"/>
    </row>
    <row r="51" spans="1:30" ht="15" customHeight="1">
      <c r="A51" s="455"/>
      <c r="B51" s="56" t="s">
        <v>45</v>
      </c>
      <c r="C51" s="10"/>
      <c r="D51" s="11" t="s">
        <v>59</v>
      </c>
      <c r="E51" s="86"/>
      <c r="F51" s="56">
        <f>VLOOKUP(D51,廠價表!$C$1:$E$40,3,0)</f>
        <v>49.97</v>
      </c>
      <c r="G51" s="66">
        <v>2127</v>
      </c>
      <c r="H51" s="76">
        <f t="shared" si="39"/>
        <v>106286.19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>K51/J51</f>
        <v>88.888888888888886</v>
      </c>
      <c r="M51" s="172">
        <v>18</v>
      </c>
      <c r="N51" s="77">
        <f>G51/W51*60</f>
        <v>1575.5555555555643</v>
      </c>
      <c r="O51" s="78">
        <f>N51/M51</f>
        <v>87.530864197531344</v>
      </c>
      <c r="P51" s="18">
        <f>M51-J51</f>
        <v>0</v>
      </c>
      <c r="Q51" s="19">
        <f>O51-L51</f>
        <v>-1.3580246913575422</v>
      </c>
      <c r="R51" s="183">
        <f t="shared" si="36"/>
        <v>0.98472222222222761</v>
      </c>
      <c r="S51" s="420"/>
      <c r="T51" s="351">
        <v>0.41041666666666698</v>
      </c>
      <c r="U51" s="44">
        <v>0.46666666666666667</v>
      </c>
      <c r="V51" s="175">
        <f t="shared" si="40"/>
        <v>10.000000000000764</v>
      </c>
      <c r="W51" s="80">
        <f t="shared" si="15"/>
        <v>80.999999999999545</v>
      </c>
      <c r="X51" s="22"/>
      <c r="Y51" s="22"/>
      <c r="Z51" s="405"/>
      <c r="AA51" s="405"/>
      <c r="AB51" s="18">
        <f t="shared" si="37"/>
        <v>-24.444444444435703</v>
      </c>
      <c r="AC51" s="183">
        <f t="shared" si="38"/>
        <v>0.98472222222222772</v>
      </c>
      <c r="AD51" s="412"/>
    </row>
    <row r="52" spans="1:30" ht="15" customHeight="1">
      <c r="A52" s="455"/>
      <c r="B52" s="56" t="s">
        <v>45</v>
      </c>
      <c r="C52" s="23"/>
      <c r="D52" s="11" t="s">
        <v>59</v>
      </c>
      <c r="E52" s="12"/>
      <c r="F52" s="56">
        <f>VLOOKUP(D52,廠價表!$C$1:$E$40,3,0)</f>
        <v>49.97</v>
      </c>
      <c r="G52" s="66">
        <v>2700</v>
      </c>
      <c r="H52" s="76">
        <f t="shared" si="39"/>
        <v>134919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>K52/J52</f>
        <v>88.888888888888886</v>
      </c>
      <c r="M52" s="172">
        <v>18</v>
      </c>
      <c r="N52" s="77">
        <f>G52/W52*60</f>
        <v>1588.2352941176478</v>
      </c>
      <c r="O52" s="78">
        <f>N52/M52</f>
        <v>88.235294117647101</v>
      </c>
      <c r="P52" s="18">
        <f>M52-J52</f>
        <v>0</v>
      </c>
      <c r="Q52" s="19">
        <f>O52-L52</f>
        <v>-0.65359477124178511</v>
      </c>
      <c r="R52" s="183">
        <f t="shared" si="36"/>
        <v>0.99264705882352988</v>
      </c>
      <c r="S52" s="420"/>
      <c r="T52" s="351">
        <v>0.53333333333333333</v>
      </c>
      <c r="U52" s="351">
        <v>0.60416666666666663</v>
      </c>
      <c r="V52" s="175">
        <f t="shared" si="40"/>
        <v>95.999999999999972</v>
      </c>
      <c r="W52" s="80">
        <f t="shared" si="15"/>
        <v>101.99999999999996</v>
      </c>
      <c r="X52" s="22">
        <v>0.47916666666666702</v>
      </c>
      <c r="Y52" s="22">
        <v>0.52083333333333304</v>
      </c>
      <c r="Z52" s="405"/>
      <c r="AA52" s="405"/>
      <c r="AB52" s="18">
        <f t="shared" si="37"/>
        <v>-11.764705882352246</v>
      </c>
      <c r="AC52" s="183">
        <f t="shared" si="38"/>
        <v>0.99264705882352988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351"/>
      <c r="U53" s="351"/>
      <c r="V53" s="175"/>
      <c r="W53" s="80">
        <f t="shared" si="15"/>
        <v>0</v>
      </c>
      <c r="X53" s="175"/>
      <c r="Y53" s="175"/>
      <c r="Z53" s="417"/>
      <c r="AA53" s="418"/>
      <c r="AB53" s="18">
        <f t="shared" si="37"/>
        <v>0</v>
      </c>
      <c r="AC53" s="183" t="e">
        <f t="shared" si="38"/>
        <v>#DIV/0!</v>
      </c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/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15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/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15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39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15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39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15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1">AVERAGE(J49:J57)</f>
        <v>18</v>
      </c>
      <c r="K58" s="117">
        <f t="shared" si="41"/>
        <v>1582.5</v>
      </c>
      <c r="L58" s="114">
        <f t="shared" si="41"/>
        <v>88.051255589955275</v>
      </c>
      <c r="M58" s="117">
        <f t="shared" si="41"/>
        <v>18</v>
      </c>
      <c r="N58" s="117">
        <f t="shared" si="41"/>
        <v>1545.8490282077803</v>
      </c>
      <c r="O58" s="114">
        <f t="shared" si="41"/>
        <v>86.022258985671144</v>
      </c>
      <c r="P58" s="118">
        <f>M58-J58</f>
        <v>0</v>
      </c>
      <c r="Q58" s="119">
        <f>N58-K58</f>
        <v>-36.650971792219707</v>
      </c>
      <c r="R58" s="120">
        <f t="shared" ref="R58:R59" si="42">O58/L58</f>
        <v>0.97695664200709487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43">N58-K58</f>
        <v>-36.650971792219707</v>
      </c>
      <c r="AC58" s="185">
        <f t="shared" ref="AC58:AC63" si="44">N58/K58</f>
        <v>0.97683982825136195</v>
      </c>
      <c r="AD58" s="414"/>
    </row>
    <row r="59" spans="1:30" ht="15" customHeight="1">
      <c r="A59" s="470" t="s">
        <v>61</v>
      </c>
      <c r="B59" s="197" t="s">
        <v>172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3985</v>
      </c>
      <c r="H59" s="105">
        <f t="shared" ref="H59:H68" si="45">F59*G59</f>
        <v>107555.15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12</v>
      </c>
      <c r="N59" s="104">
        <f t="shared" ref="N59:N62" si="46">G59/W59*60</f>
        <v>1406.4705882353012</v>
      </c>
      <c r="O59" s="108">
        <f t="shared" ref="O59:O62" si="47">N59/M59</f>
        <v>117.20588235294177</v>
      </c>
      <c r="P59" s="110">
        <f t="shared" ref="P59:P62" si="48">M59-J59</f>
        <v>-1</v>
      </c>
      <c r="Q59" s="111">
        <f t="shared" ref="Q59:Q62" si="49">O59-L59</f>
        <v>-3.178733031673616</v>
      </c>
      <c r="R59" s="182">
        <f t="shared" si="42"/>
        <v>0.97359518887427665</v>
      </c>
      <c r="S59" s="419">
        <f>R69</f>
        <v>0.80402018876235204</v>
      </c>
      <c r="T59" s="344">
        <v>0.29166666666666702</v>
      </c>
      <c r="U59" s="344">
        <v>0.40972222222222199</v>
      </c>
      <c r="V59" s="186"/>
      <c r="W59" s="106">
        <f t="shared" si="15"/>
        <v>169.99999999999915</v>
      </c>
      <c r="X59" s="186"/>
      <c r="Y59" s="186"/>
      <c r="Z59" s="469"/>
      <c r="AA59" s="434"/>
      <c r="AB59" s="223">
        <f t="shared" si="43"/>
        <v>-158.52941176469881</v>
      </c>
      <c r="AC59" s="224">
        <f t="shared" si="44"/>
        <v>0.8987032512685631</v>
      </c>
      <c r="AD59" s="411">
        <f>AC69</f>
        <v>0.74156805795219682</v>
      </c>
    </row>
    <row r="60" spans="1:30" ht="15" customHeight="1">
      <c r="A60" s="471"/>
      <c r="B60" s="56" t="s">
        <v>172</v>
      </c>
      <c r="C60" s="10"/>
      <c r="D60" s="239" t="s">
        <v>63</v>
      </c>
      <c r="E60" s="86"/>
      <c r="F60" s="56">
        <f>VLOOKUP(D60,廠價表!$C$1:$E$40,3,0)</f>
        <v>28.47</v>
      </c>
      <c r="G60" s="175">
        <v>657</v>
      </c>
      <c r="H60" s="15">
        <f t="shared" si="45"/>
        <v>18704.79</v>
      </c>
      <c r="I60" s="81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11</v>
      </c>
      <c r="N60" s="14">
        <f t="shared" si="46"/>
        <v>788.40000000000532</v>
      </c>
      <c r="O60" s="17">
        <f t="shared" si="47"/>
        <v>71.672727272727755</v>
      </c>
      <c r="P60" s="18">
        <f t="shared" si="48"/>
        <v>-1</v>
      </c>
      <c r="Q60" s="19">
        <f t="shared" si="49"/>
        <v>-58.743939393938902</v>
      </c>
      <c r="R60" s="183">
        <f>O60/L60</f>
        <v>0.5495672378739509</v>
      </c>
      <c r="S60" s="474"/>
      <c r="T60" s="22">
        <v>0.42013888888888901</v>
      </c>
      <c r="U60" s="22">
        <v>0.45486111111111099</v>
      </c>
      <c r="V60" s="175">
        <f t="shared" ref="V60:V62" si="50">(T60-U59)*24*60</f>
        <v>15.000000000000506</v>
      </c>
      <c r="W60" s="90">
        <f t="shared" si="15"/>
        <v>49.999999999999659</v>
      </c>
      <c r="X60" s="191"/>
      <c r="Y60" s="191"/>
      <c r="Z60" s="405" t="s">
        <v>55</v>
      </c>
      <c r="AA60" s="405"/>
      <c r="AB60" s="225">
        <f t="shared" si="43"/>
        <v>-776.59999999999468</v>
      </c>
      <c r="AC60" s="226">
        <f t="shared" si="44"/>
        <v>0.50376996805112162</v>
      </c>
      <c r="AD60" s="464"/>
    </row>
    <row r="61" spans="1:30" ht="15" customHeight="1">
      <c r="A61" s="472"/>
      <c r="B61" s="56" t="s">
        <v>172</v>
      </c>
      <c r="C61" s="10"/>
      <c r="D61" s="239" t="s">
        <v>64</v>
      </c>
      <c r="E61" s="86"/>
      <c r="F61" s="56">
        <f>VLOOKUP(D61,廠價表!$C$1:$E$40,3,0)</f>
        <v>28.26</v>
      </c>
      <c r="G61" s="175">
        <v>1014</v>
      </c>
      <c r="H61" s="15">
        <f t="shared" si="45"/>
        <v>28655.640000000003</v>
      </c>
      <c r="I61" s="175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11</v>
      </c>
      <c r="N61" s="14">
        <f t="shared" si="46"/>
        <v>1216.8000000000084</v>
      </c>
      <c r="O61" s="17">
        <f t="shared" si="47"/>
        <v>110.61818181818258</v>
      </c>
      <c r="P61" s="18">
        <f t="shared" si="48"/>
        <v>-1</v>
      </c>
      <c r="Q61" s="19">
        <f t="shared" si="49"/>
        <v>-19.79848484848408</v>
      </c>
      <c r="R61" s="183">
        <f>O61/L61</f>
        <v>0.8481905315132211</v>
      </c>
      <c r="S61" s="420"/>
      <c r="T61" s="291">
        <v>0.46527777777777801</v>
      </c>
      <c r="U61" s="291">
        <v>0.5</v>
      </c>
      <c r="V61" s="175">
        <f t="shared" si="50"/>
        <v>15.000000000000506</v>
      </c>
      <c r="W61" s="88">
        <f t="shared" si="15"/>
        <v>49.999999999999659</v>
      </c>
      <c r="X61" s="22"/>
      <c r="Y61" s="22"/>
      <c r="Z61" s="405"/>
      <c r="AA61" s="405"/>
      <c r="AB61" s="51">
        <f t="shared" si="43"/>
        <v>-348.19999999999163</v>
      </c>
      <c r="AC61" s="52">
        <f t="shared" si="44"/>
        <v>0.77750798722045267</v>
      </c>
      <c r="AD61" s="412"/>
    </row>
    <row r="62" spans="1:30" ht="15" customHeight="1">
      <c r="A62" s="472"/>
      <c r="B62" s="56" t="s">
        <v>172</v>
      </c>
      <c r="C62" s="23"/>
      <c r="D62" s="239" t="s">
        <v>64</v>
      </c>
      <c r="E62" s="12"/>
      <c r="F62" s="56">
        <f>VLOOKUP(D62,廠價表!$C$1:$E$40,3,0)</f>
        <v>28.26</v>
      </c>
      <c r="G62" s="175">
        <v>1128</v>
      </c>
      <c r="H62" s="15">
        <f t="shared" si="45"/>
        <v>31877.280000000002</v>
      </c>
      <c r="I62" s="81"/>
      <c r="J62" s="16">
        <f>VLOOKUP(D62,產線配置圖!$A$3:$C$39,2,0)</f>
        <v>12</v>
      </c>
      <c r="K62" s="14">
        <f>VLOOKUP(D62,產線配置圖!$A$3:$C$39,3,0)</f>
        <v>1565</v>
      </c>
      <c r="L62" s="17">
        <f>K62/J62</f>
        <v>130.41666666666666</v>
      </c>
      <c r="M62" s="178">
        <v>11</v>
      </c>
      <c r="N62" s="14">
        <f t="shared" si="46"/>
        <v>1230.5454545454375</v>
      </c>
      <c r="O62" s="17">
        <f t="shared" si="47"/>
        <v>111.86776859503976</v>
      </c>
      <c r="P62" s="18">
        <f t="shared" si="48"/>
        <v>-1</v>
      </c>
      <c r="Q62" s="19">
        <f t="shared" si="49"/>
        <v>-18.548898071626894</v>
      </c>
      <c r="R62" s="183">
        <f>O62/L62</f>
        <v>0.85777202756580018</v>
      </c>
      <c r="S62" s="420"/>
      <c r="T62" s="22">
        <v>0.55208333333333304</v>
      </c>
      <c r="U62" s="22">
        <v>0.59027777777777801</v>
      </c>
      <c r="V62" s="175">
        <f t="shared" si="50"/>
        <v>74.999999999999574</v>
      </c>
      <c r="W62" s="90">
        <f t="shared" si="15"/>
        <v>55.000000000000767</v>
      </c>
      <c r="X62" s="22"/>
      <c r="Y62" s="22"/>
      <c r="Z62" s="405"/>
      <c r="AA62" s="405"/>
      <c r="AB62" s="51">
        <f t="shared" si="43"/>
        <v>-334.45454545456255</v>
      </c>
      <c r="AC62" s="52">
        <f t="shared" si="44"/>
        <v>0.78629102526865013</v>
      </c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2"/>
      <c r="U63" s="22"/>
      <c r="V63" s="175"/>
      <c r="W63" s="90">
        <f t="shared" si="15"/>
        <v>0</v>
      </c>
      <c r="X63" s="84"/>
      <c r="Y63" s="84"/>
      <c r="Z63" s="405"/>
      <c r="AA63" s="405"/>
      <c r="AB63" s="51">
        <f t="shared" si="43"/>
        <v>0</v>
      </c>
      <c r="AC63" s="52" t="e">
        <f t="shared" si="44"/>
        <v>#DIV/0!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15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175"/>
      <c r="C65" s="181"/>
      <c r="D65" s="11"/>
      <c r="E65" s="12"/>
      <c r="F65" s="13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15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14"/>
      <c r="O66" s="17"/>
      <c r="P66" s="18"/>
      <c r="Q66" s="19"/>
      <c r="R66" s="183"/>
      <c r="S66" s="420"/>
      <c r="T66" s="20"/>
      <c r="U66" s="20"/>
      <c r="V66" s="175"/>
      <c r="W66" s="180">
        <f t="shared" si="15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14"/>
      <c r="O67" s="17"/>
      <c r="P67" s="18"/>
      <c r="Q67" s="19"/>
      <c r="R67" s="183"/>
      <c r="S67" s="420"/>
      <c r="T67" s="20"/>
      <c r="U67" s="20"/>
      <c r="V67" s="175"/>
      <c r="W67" s="180">
        <f t="shared" si="15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45"/>
        <v>0</v>
      </c>
      <c r="I68" s="85"/>
      <c r="J68" s="16"/>
      <c r="K68" s="14"/>
      <c r="L68" s="17"/>
      <c r="M68" s="21"/>
      <c r="N68" s="14"/>
      <c r="O68" s="17"/>
      <c r="P68" s="18"/>
      <c r="Q68" s="19"/>
      <c r="R68" s="183"/>
      <c r="S68" s="420"/>
      <c r="T68" s="20"/>
      <c r="U68" s="20"/>
      <c r="V68" s="175"/>
      <c r="W68" s="180">
        <f t="shared" si="15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1">AVERAGE(J59:J68)</f>
        <v>12.25</v>
      </c>
      <c r="K69" s="164">
        <f t="shared" si="51"/>
        <v>1565</v>
      </c>
      <c r="L69" s="169">
        <f t="shared" si="51"/>
        <v>127.90865384615384</v>
      </c>
      <c r="M69" s="164">
        <f t="shared" si="51"/>
        <v>11.25</v>
      </c>
      <c r="N69" s="164">
        <f t="shared" si="51"/>
        <v>1160.554010695188</v>
      </c>
      <c r="O69" s="169">
        <f t="shared" si="51"/>
        <v>102.84114000972296</v>
      </c>
      <c r="P69" s="170">
        <f>M69-J69</f>
        <v>-1</v>
      </c>
      <c r="Q69" s="156">
        <f>N69-K69</f>
        <v>-404.44598930481197</v>
      </c>
      <c r="R69" s="120">
        <f>O69/L69</f>
        <v>0.80402018876235204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-404.44598930481197</v>
      </c>
      <c r="AC69" s="185">
        <f>N69/K69</f>
        <v>0.74156805795219682</v>
      </c>
      <c r="AD69" s="414"/>
    </row>
    <row r="70" spans="1:32" ht="15" customHeight="1">
      <c r="A70" s="465" t="s">
        <v>67</v>
      </c>
      <c r="B70" s="197" t="s">
        <v>45</v>
      </c>
      <c r="C70" s="197"/>
      <c r="D70" s="102" t="s">
        <v>187</v>
      </c>
      <c r="E70" s="103"/>
      <c r="F70" s="197">
        <f>VLOOKUP(D70,廠價表!$C$1:$E$40,3,0)</f>
        <v>50.67</v>
      </c>
      <c r="G70" s="186">
        <v>2308</v>
      </c>
      <c r="H70" s="105">
        <f>F70*G70</f>
        <v>116946.36</v>
      </c>
      <c r="I70" s="186"/>
      <c r="J70" s="107">
        <f>VLOOKUP(D70,產線配置圖!$A$3:$C$39,2,0)</f>
        <v>15</v>
      </c>
      <c r="K70" s="104">
        <f>VLOOKUP(D70,產線配置圖!$A$3:$C$39,3,0)</f>
        <v>1440</v>
      </c>
      <c r="L70" s="108">
        <f>K70/J70</f>
        <v>96</v>
      </c>
      <c r="M70" s="109">
        <v>10</v>
      </c>
      <c r="N70" s="104">
        <f>G70/W70*60</f>
        <v>805.11627906976355</v>
      </c>
      <c r="O70" s="108">
        <f>N70/M70</f>
        <v>80.511627906976358</v>
      </c>
      <c r="P70" s="110">
        <f>M70-J70</f>
        <v>-5</v>
      </c>
      <c r="Q70" s="111">
        <f>O70-L70</f>
        <v>-15.488372093023642</v>
      </c>
      <c r="R70" s="182">
        <f>O70/L70</f>
        <v>0.83866279069767036</v>
      </c>
      <c r="S70" s="419">
        <f>R79</f>
        <v>0.83866279069767036</v>
      </c>
      <c r="T70" s="344">
        <v>0.34236111111111101</v>
      </c>
      <c r="U70" s="344">
        <v>0.46180555555555602</v>
      </c>
      <c r="V70" s="186"/>
      <c r="W70" s="106">
        <f t="shared" si="15"/>
        <v>172.00000000000082</v>
      </c>
      <c r="X70" s="290"/>
      <c r="Y70" s="290"/>
      <c r="Z70" s="469" t="s">
        <v>207</v>
      </c>
      <c r="AA70" s="434"/>
      <c r="AB70" s="223">
        <f>N70-K70</f>
        <v>-634.88372093023645</v>
      </c>
      <c r="AC70" s="224">
        <f>N70/K70</f>
        <v>0.55910852713178028</v>
      </c>
      <c r="AD70" s="411">
        <f>AC79</f>
        <v>0.55910852713178028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2"/>
      <c r="U71" s="22"/>
      <c r="V71" s="175"/>
      <c r="W71" s="180">
        <f t="shared" si="15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2"/>
      <c r="U72" s="22"/>
      <c r="V72" s="175"/>
      <c r="W72" s="180">
        <f t="shared" si="15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15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/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15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>
        <f t="shared" ref="H75:H78" si="52">F75*G75</f>
        <v>0</v>
      </c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15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>
        <f t="shared" si="52"/>
        <v>0</v>
      </c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15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>
        <f t="shared" si="52"/>
        <v>0</v>
      </c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15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si="52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15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>
        <f t="shared" ref="J79:O79" si="53">AVERAGE(J70:J78)</f>
        <v>15</v>
      </c>
      <c r="K79" s="164">
        <f t="shared" si="53"/>
        <v>1440</v>
      </c>
      <c r="L79" s="169">
        <f t="shared" si="53"/>
        <v>96</v>
      </c>
      <c r="M79" s="164">
        <f t="shared" si="53"/>
        <v>10</v>
      </c>
      <c r="N79" s="164">
        <f t="shared" si="53"/>
        <v>805.11627906976355</v>
      </c>
      <c r="O79" s="169">
        <f t="shared" si="53"/>
        <v>80.511627906976358</v>
      </c>
      <c r="P79" s="170">
        <f>M79-J79</f>
        <v>-5</v>
      </c>
      <c r="Q79" s="156">
        <f>N79-K79</f>
        <v>-634.88372093023645</v>
      </c>
      <c r="R79" s="157">
        <f>O79/L79</f>
        <v>0.83866279069767036</v>
      </c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-634.88372093023645</v>
      </c>
      <c r="AC79" s="185">
        <f>N79/K79</f>
        <v>0.55910852713178028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A70:A79"/>
    <mergeCell ref="S70:S79"/>
    <mergeCell ref="Z70:AA70"/>
    <mergeCell ref="D79:E79"/>
    <mergeCell ref="A59:A69"/>
    <mergeCell ref="S59:S69"/>
    <mergeCell ref="Z59:AA59"/>
    <mergeCell ref="Z66:AA66"/>
    <mergeCell ref="Z67:AA67"/>
    <mergeCell ref="Z68:AA68"/>
    <mergeCell ref="D69:E69"/>
    <mergeCell ref="Z69:AA69"/>
    <mergeCell ref="Z54:AA54"/>
    <mergeCell ref="Z55:AA55"/>
    <mergeCell ref="Z56:AA56"/>
    <mergeCell ref="Z57:AA57"/>
    <mergeCell ref="Z58:AA58"/>
    <mergeCell ref="AD59:AD69"/>
    <mergeCell ref="Z60:AA60"/>
    <mergeCell ref="Z61:AA61"/>
    <mergeCell ref="Z62:AA62"/>
    <mergeCell ref="Z63:AA63"/>
    <mergeCell ref="Z64:AA64"/>
    <mergeCell ref="Z65:AA65"/>
    <mergeCell ref="AD38:AD48"/>
    <mergeCell ref="Z39:AA39"/>
    <mergeCell ref="Z40:AA40"/>
    <mergeCell ref="Z41:AA41"/>
    <mergeCell ref="Z42:AA42"/>
    <mergeCell ref="Z43:AA43"/>
    <mergeCell ref="Z44:AA44"/>
    <mergeCell ref="A49:A58"/>
    <mergeCell ref="S49:S58"/>
    <mergeCell ref="Z49:AA49"/>
    <mergeCell ref="D58:E58"/>
    <mergeCell ref="A38:A48"/>
    <mergeCell ref="S38:S48"/>
    <mergeCell ref="Z38:AA38"/>
    <mergeCell ref="Z45:AA45"/>
    <mergeCell ref="Z46:AA46"/>
    <mergeCell ref="Z47:AA47"/>
    <mergeCell ref="D48:E48"/>
    <mergeCell ref="Z48:AA48"/>
    <mergeCell ref="AD49:AD58"/>
    <mergeCell ref="Z50:AA50"/>
    <mergeCell ref="Z51:AA51"/>
    <mergeCell ref="Z52:AA52"/>
    <mergeCell ref="Z53:AA53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A27:A37"/>
    <mergeCell ref="S27:S37"/>
    <mergeCell ref="Z27:AA27"/>
    <mergeCell ref="D37:E37"/>
    <mergeCell ref="Z37:AA37"/>
    <mergeCell ref="Z23:AA23"/>
    <mergeCell ref="Z24:AA24"/>
    <mergeCell ref="Z25:AA25"/>
    <mergeCell ref="D26:E26"/>
    <mergeCell ref="Z26:AA26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R3:R4"/>
    <mergeCell ref="S3:S4"/>
    <mergeCell ref="D15:E15"/>
    <mergeCell ref="Z15:AA15"/>
    <mergeCell ref="AC3:AC4"/>
    <mergeCell ref="AD3:AD4"/>
    <mergeCell ref="A5: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10:AA10"/>
    <mergeCell ref="Z11:AA11"/>
    <mergeCell ref="Z12:AA12"/>
    <mergeCell ref="Z13:AA13"/>
    <mergeCell ref="Z14:AA14"/>
    <mergeCell ref="P1:S2"/>
    <mergeCell ref="T1:Y2"/>
    <mergeCell ref="Z1:AA2"/>
    <mergeCell ref="AB1:AD2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H3:H4"/>
    <mergeCell ref="I3:I4"/>
    <mergeCell ref="J3:J4"/>
    <mergeCell ref="K3:K4"/>
    <mergeCell ref="L3:L4"/>
    <mergeCell ref="Z3:AA4"/>
    <mergeCell ref="AB3:AB4"/>
    <mergeCell ref="N3:N4"/>
    <mergeCell ref="O3:O4"/>
    <mergeCell ref="P3:P4"/>
    <mergeCell ref="Q3:Q4"/>
  </mergeCells>
  <phoneticPr fontId="0" type="noConversion"/>
  <conditionalFormatting sqref="P5:P79">
    <cfRule type="cellIs" dxfId="18" priority="1" operator="greaterThan">
      <formula>0</formula>
    </cfRule>
  </conditionalFormatting>
  <conditionalFormatting sqref="AB5:AB79 Q5:Q79">
    <cfRule type="cellIs" dxfId="17" priority="4" operator="lessThan">
      <formula>0</formula>
    </cfRule>
  </conditionalFormatting>
  <conditionalFormatting sqref="AC5:AC79 R5:R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D59:AD62 S69:S76 AD69:AD76">
    <cfRule type="cellIs" dxfId="14" priority="7" operator="lessThan">
      <formula>0.8</formula>
    </cfRule>
  </conditionalFormatting>
  <conditionalFormatting sqref="S19:S25 AD19:AD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D5:AD8 S15:S16 AD15:AD16 AD49 AD79">
    <cfRule type="cellIs" dxfId="11" priority="9" operator="lessThan">
      <formula>0.8</formula>
    </cfRule>
  </conditionalFormatting>
  <conditionalFormatting sqref="AD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zoomScale="70" zoomScaleNormal="70" workbookViewId="0">
      <selection activeCell="J18" sqref="J18"/>
    </sheetView>
  </sheetViews>
  <sheetFormatPr defaultColWidth="8.08984375" defaultRowHeight="15.5"/>
  <cols>
    <col min="1" max="1" width="8.08984375" style="201" customWidth="1"/>
    <col min="2" max="2" width="7.08984375" style="201" customWidth="1"/>
    <col min="3" max="3" width="7.08984375" style="216" customWidth="1"/>
    <col min="4" max="17" width="14.08984375" style="201" customWidth="1"/>
    <col min="18" max="21" width="9.6328125" style="201" customWidth="1"/>
    <col min="22" max="22" width="11.08984375" style="201" customWidth="1"/>
    <col min="23" max="23" width="11.453125" style="201" customWidth="1"/>
    <col min="24" max="29" width="8.08984375" style="201" customWidth="1"/>
    <col min="30" max="16384" width="8.08984375" style="201"/>
  </cols>
  <sheetData>
    <row r="1" spans="2:15" ht="27.75" customHeight="1">
      <c r="B1" s="356" t="s">
        <v>82</v>
      </c>
      <c r="C1" s="356"/>
      <c r="D1" s="356"/>
      <c r="E1" s="356"/>
      <c r="F1" s="356"/>
      <c r="G1" s="356"/>
      <c r="H1" s="356"/>
      <c r="I1" s="356"/>
      <c r="J1" s="356"/>
      <c r="K1" s="356"/>
      <c r="L1" s="200"/>
      <c r="M1" s="200"/>
    </row>
    <row r="2" spans="2:15" ht="27.75" customHeight="1"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200"/>
      <c r="M2" s="200"/>
    </row>
    <row r="3" spans="2:15" ht="46.5" customHeight="1">
      <c r="B3" s="353" t="s">
        <v>83</v>
      </c>
      <c r="C3" s="353"/>
      <c r="D3" s="357">
        <v>46020</v>
      </c>
      <c r="E3" s="357"/>
      <c r="F3" s="202" t="s">
        <v>84</v>
      </c>
      <c r="G3" s="358">
        <f>'1231'!E1</f>
        <v>41498</v>
      </c>
      <c r="H3" s="358"/>
      <c r="I3" s="202" t="s">
        <v>2</v>
      </c>
      <c r="J3" s="359">
        <f>'1231'!G1</f>
        <v>1998042.9</v>
      </c>
      <c r="K3" s="359"/>
      <c r="L3" s="203"/>
    </row>
    <row r="4" spans="2:15" ht="24" customHeight="1">
      <c r="B4" s="353" t="s">
        <v>85</v>
      </c>
      <c r="C4" s="353"/>
      <c r="D4" s="354">
        <v>3</v>
      </c>
      <c r="E4" s="354"/>
      <c r="F4" s="355" t="s">
        <v>86</v>
      </c>
      <c r="G4" s="355"/>
      <c r="H4" s="355" t="s">
        <v>87</v>
      </c>
      <c r="I4" s="355"/>
      <c r="J4" s="354" t="s">
        <v>88</v>
      </c>
      <c r="K4" s="355"/>
      <c r="L4" s="204"/>
    </row>
    <row r="5" spans="2:15" ht="24" customHeight="1">
      <c r="B5" s="353" t="s">
        <v>11</v>
      </c>
      <c r="C5" s="353"/>
      <c r="D5" s="354" t="s">
        <v>89</v>
      </c>
      <c r="E5" s="354"/>
      <c r="F5" s="354" t="s">
        <v>90</v>
      </c>
      <c r="G5" s="354"/>
      <c r="H5" s="380" t="s">
        <v>45</v>
      </c>
      <c r="I5" s="380"/>
      <c r="J5" s="352" t="s">
        <v>91</v>
      </c>
      <c r="K5" s="352"/>
      <c r="L5" s="205"/>
    </row>
    <row r="6" spans="2:15" ht="39.65" customHeight="1">
      <c r="B6" s="353"/>
      <c r="C6" s="353"/>
      <c r="D6" s="353" t="s">
        <v>92</v>
      </c>
      <c r="E6" s="353"/>
      <c r="F6" s="367">
        <f>AVERAGE(D13:J13)</f>
        <v>110.97869126057979</v>
      </c>
      <c r="G6" s="367"/>
      <c r="H6" s="360">
        <f>AVERAGE(D13:H13)</f>
        <v>111.0900395596835</v>
      </c>
      <c r="I6" s="360"/>
      <c r="J6" s="360">
        <f>AVERAGE(I13:J13)</f>
        <v>110.70032051282051</v>
      </c>
      <c r="K6" s="360"/>
      <c r="L6" s="205"/>
    </row>
    <row r="7" spans="2:15" ht="39.65" customHeight="1">
      <c r="B7" s="353"/>
      <c r="C7" s="353"/>
      <c r="D7" s="361" t="s">
        <v>93</v>
      </c>
      <c r="E7" s="361"/>
      <c r="F7" s="362">
        <f>AVERAGE(D14:J14)</f>
        <v>93.980223150024813</v>
      </c>
      <c r="G7" s="362"/>
      <c r="H7" s="363">
        <f>AVERAGE(D14:H14)</f>
        <v>98.784027963380737</v>
      </c>
      <c r="I7" s="363"/>
      <c r="J7" s="363">
        <f>AVERAGE(I14:J14)</f>
        <v>81.970711116635016</v>
      </c>
      <c r="K7" s="363"/>
    </row>
    <row r="8" spans="2:15" ht="39.65" customHeight="1">
      <c r="B8" s="353"/>
      <c r="C8" s="353"/>
      <c r="D8" s="361" t="s">
        <v>24</v>
      </c>
      <c r="E8" s="361"/>
      <c r="F8" s="364">
        <f>AVERAGE(D15:J15)</f>
        <v>0.84192695067112988</v>
      </c>
      <c r="G8" s="364"/>
      <c r="H8" s="364">
        <f>AVERAGE(D15:H15)</f>
        <v>0.88781189506898406</v>
      </c>
      <c r="I8" s="364"/>
      <c r="J8" s="364">
        <f>AVERAGE(I15:J15)</f>
        <v>0.72721458967649411</v>
      </c>
      <c r="K8" s="364"/>
      <c r="L8" s="207" t="s">
        <v>94</v>
      </c>
    </row>
    <row r="9" spans="2:15" ht="25.5" customHeight="1">
      <c r="B9" s="205"/>
      <c r="C9" s="205"/>
      <c r="D9" s="205"/>
      <c r="E9" s="205"/>
      <c r="F9" s="205"/>
      <c r="G9" s="205"/>
      <c r="H9" s="208"/>
      <c r="I9" s="209"/>
      <c r="J9" s="209"/>
      <c r="K9" s="209"/>
      <c r="L9" s="209"/>
      <c r="M9" s="209"/>
      <c r="N9" s="209"/>
      <c r="O9" s="205"/>
    </row>
    <row r="10" spans="2:15" ht="30" customHeight="1">
      <c r="B10" s="365" t="s">
        <v>95</v>
      </c>
      <c r="C10" s="366"/>
      <c r="D10" s="368" t="s">
        <v>96</v>
      </c>
      <c r="E10" s="369"/>
      <c r="F10" s="369"/>
      <c r="G10" s="369"/>
      <c r="H10" s="369"/>
      <c r="I10" s="369"/>
      <c r="J10" s="370"/>
    </row>
    <row r="11" spans="2:15" ht="17.25" customHeight="1">
      <c r="B11" s="371" t="s">
        <v>97</v>
      </c>
      <c r="C11" s="372"/>
      <c r="D11" s="210">
        <v>1</v>
      </c>
      <c r="E11" s="210">
        <v>2</v>
      </c>
      <c r="F11" s="210">
        <v>3</v>
      </c>
      <c r="G11" s="210">
        <v>4</v>
      </c>
      <c r="H11" s="210">
        <v>5</v>
      </c>
      <c r="I11" s="210">
        <v>6</v>
      </c>
      <c r="J11" s="210">
        <v>7</v>
      </c>
    </row>
    <row r="12" spans="2:15" ht="34" customHeight="1">
      <c r="B12" s="373"/>
      <c r="C12" s="374"/>
      <c r="D12" s="211" t="s">
        <v>98</v>
      </c>
      <c r="E12" s="211" t="s">
        <v>99</v>
      </c>
      <c r="F12" s="211" t="s">
        <v>100</v>
      </c>
      <c r="G12" s="211" t="s">
        <v>101</v>
      </c>
      <c r="H12" s="211" t="s">
        <v>102</v>
      </c>
      <c r="I12" s="211" t="s">
        <v>103</v>
      </c>
      <c r="J12" s="211" t="s">
        <v>104</v>
      </c>
    </row>
    <row r="13" spans="2:15" ht="40" customHeight="1">
      <c r="B13" s="375" t="s">
        <v>11</v>
      </c>
      <c r="C13" s="212" t="s">
        <v>105</v>
      </c>
      <c r="D13" s="213">
        <f>VALUE('1231'!L15)</f>
        <v>134.6018099547511</v>
      </c>
      <c r="E13" s="213">
        <f>VALUE('1231'!L26)</f>
        <v>162.27564102564102</v>
      </c>
      <c r="F13" s="213">
        <f>VALUE('1231'!L37)</f>
        <v>83.236111111111114</v>
      </c>
      <c r="G13" s="213">
        <f>VALUE('1231'!L48)</f>
        <v>87.285380116959061</v>
      </c>
      <c r="H13" s="213">
        <f>VALUE('1231'!L58)</f>
        <v>88.051255589955275</v>
      </c>
      <c r="I13" s="213">
        <f>VALUE('1231'!L69)</f>
        <v>125.40064102564102</v>
      </c>
      <c r="J13" s="213">
        <f>'1231'!L79</f>
        <v>96</v>
      </c>
    </row>
    <row r="14" spans="2:15" ht="40" customHeight="1">
      <c r="B14" s="376"/>
      <c r="C14" s="212" t="s">
        <v>106</v>
      </c>
      <c r="D14" s="213">
        <f>VALUE('1231'!O15)</f>
        <v>119.71422233547985</v>
      </c>
      <c r="E14" s="213">
        <f>VALUE('1231'!O26)</f>
        <v>145.62061124617017</v>
      </c>
      <c r="F14" s="213">
        <f>VALUE('1231'!O37)</f>
        <v>74.349059866861225</v>
      </c>
      <c r="G14" s="213">
        <f>VALUE('1231'!O48)</f>
        <v>74.29086676900404</v>
      </c>
      <c r="H14" s="213">
        <f>VALUE('1231'!O58)</f>
        <v>79.945379599388446</v>
      </c>
      <c r="I14" s="213">
        <f>VALUE('1231'!O69)</f>
        <v>103.7143952062429</v>
      </c>
      <c r="J14" s="213">
        <f>'1231'!O79</f>
        <v>60.227027027027134</v>
      </c>
    </row>
    <row r="15" spans="2:15" ht="40" customHeight="1">
      <c r="B15" s="377"/>
      <c r="C15" s="210" t="s">
        <v>23</v>
      </c>
      <c r="D15" s="231">
        <f>D14/D13</f>
        <v>0.88939533855989017</v>
      </c>
      <c r="E15" s="231">
        <f t="shared" ref="E15:J15" si="0">E14/E13</f>
        <v>0.89736580503269003</v>
      </c>
      <c r="F15" s="231">
        <f t="shared" si="0"/>
        <v>0.89323082102686602</v>
      </c>
      <c r="G15" s="231">
        <f t="shared" si="0"/>
        <v>0.85112611836549412</v>
      </c>
      <c r="H15" s="231">
        <f t="shared" si="0"/>
        <v>0.90794139235997984</v>
      </c>
      <c r="I15" s="231">
        <f t="shared" si="0"/>
        <v>0.82706431448812234</v>
      </c>
      <c r="J15" s="231">
        <f t="shared" si="0"/>
        <v>0.62736486486486598</v>
      </c>
    </row>
    <row r="16" spans="2:15" ht="17.25" customHeight="1">
      <c r="B16" s="378" t="s">
        <v>107</v>
      </c>
      <c r="C16" s="210" t="s">
        <v>29</v>
      </c>
      <c r="D16" s="95">
        <f>'1231'!T5</f>
        <v>0.29861111111111099</v>
      </c>
      <c r="E16" s="95">
        <f>'1231'!T16</f>
        <v>0.30625000000000002</v>
      </c>
      <c r="F16" s="95">
        <f>'1231'!T27</f>
        <v>0.29166666666666702</v>
      </c>
      <c r="G16" s="95">
        <f>'1231'!T38</f>
        <v>0.33263888888888898</v>
      </c>
      <c r="H16" s="95">
        <f>'1231'!T49</f>
        <v>0.29166666666666702</v>
      </c>
      <c r="I16" s="95">
        <f>'1231'!T59</f>
        <v>0.29166666666666702</v>
      </c>
      <c r="J16" s="269">
        <f>'1231'!T70</f>
        <v>0.34027777777777801</v>
      </c>
    </row>
    <row r="17" spans="2:10" ht="17.25" customHeight="1">
      <c r="B17" s="379"/>
      <c r="C17" s="210" t="s">
        <v>30</v>
      </c>
      <c r="D17" s="95">
        <v>0.63194444444444398</v>
      </c>
      <c r="E17" s="44">
        <v>0.5805555555555556</v>
      </c>
      <c r="F17" s="44">
        <v>0.57013888888888897</v>
      </c>
      <c r="G17" s="349">
        <v>0.62152777777777779</v>
      </c>
      <c r="H17" s="351">
        <v>0.58680555555555558</v>
      </c>
      <c r="I17" s="22">
        <v>0.55208333333333304</v>
      </c>
      <c r="J17" s="344">
        <v>0.46875</v>
      </c>
    </row>
    <row r="18" spans="2:10" ht="17.25" customHeight="1">
      <c r="B18" s="365" t="s">
        <v>108</v>
      </c>
      <c r="C18" s="366"/>
      <c r="D18" s="214">
        <f>VALUE('1231'!M15)</f>
        <v>14.2</v>
      </c>
      <c r="E18" s="214">
        <f>VALUE('1231'!M26)</f>
        <v>12.75</v>
      </c>
      <c r="F18" s="214">
        <f>VALUE('1231'!M37)</f>
        <v>15.5</v>
      </c>
      <c r="G18" s="214">
        <f>VALUE('1231'!M48)</f>
        <v>14</v>
      </c>
      <c r="H18" s="214">
        <f>VALUE('1231'!M58)</f>
        <v>18</v>
      </c>
      <c r="I18" s="214">
        <f>VALUE('1231'!M69)</f>
        <v>12.5</v>
      </c>
      <c r="J18" s="214">
        <f>'1231'!M79</f>
        <v>10</v>
      </c>
    </row>
    <row r="19" spans="2:10" ht="17.25" customHeight="1">
      <c r="B19" s="365" t="s">
        <v>109</v>
      </c>
      <c r="C19" s="366"/>
      <c r="D19" s="211" t="s">
        <v>110</v>
      </c>
      <c r="E19" s="211" t="s">
        <v>110</v>
      </c>
      <c r="F19" s="211" t="s">
        <v>111</v>
      </c>
      <c r="G19" s="211" t="s">
        <v>111</v>
      </c>
      <c r="H19" s="211" t="s">
        <v>111</v>
      </c>
      <c r="I19" s="211" t="s">
        <v>112</v>
      </c>
      <c r="J19" s="211" t="s">
        <v>114</v>
      </c>
    </row>
    <row r="20" spans="2:10" ht="17.25" customHeight="1">
      <c r="B20" s="365" t="s">
        <v>113</v>
      </c>
      <c r="C20" s="366"/>
      <c r="D20" s="211"/>
      <c r="E20" s="211"/>
      <c r="F20" s="211"/>
      <c r="G20" s="215"/>
      <c r="H20" s="211" t="s">
        <v>114</v>
      </c>
      <c r="I20" s="211"/>
      <c r="J20" s="211"/>
    </row>
    <row r="21" spans="2:10" ht="17.25" customHeight="1">
      <c r="B21" s="365" t="s">
        <v>115</v>
      </c>
      <c r="C21" s="366"/>
      <c r="D21" s="270"/>
      <c r="E21" s="270"/>
      <c r="F21" s="270"/>
      <c r="G21" s="270"/>
      <c r="H21" s="270"/>
      <c r="I21" s="270"/>
      <c r="J21" s="270"/>
    </row>
    <row r="22" spans="2:10">
      <c r="B22" s="381"/>
      <c r="C22" s="381"/>
    </row>
  </sheetData>
  <mergeCells count="37">
    <mergeCell ref="B18:C18"/>
    <mergeCell ref="B19:C19"/>
    <mergeCell ref="B20:C20"/>
    <mergeCell ref="B21:C21"/>
    <mergeCell ref="B22:C22"/>
    <mergeCell ref="J8:K8"/>
    <mergeCell ref="D10:J10"/>
    <mergeCell ref="B11:C12"/>
    <mergeCell ref="B13:B15"/>
    <mergeCell ref="B16:B17"/>
    <mergeCell ref="B10:C10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0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F92"/>
  <sheetViews>
    <sheetView tabSelected="1" zoomScale="69" zoomScaleNormal="69" workbookViewId="0">
      <pane xSplit="5" ySplit="4" topLeftCell="Q5" activePane="bottomRight" state="frozen"/>
      <selection sqref="A1:K2"/>
      <selection pane="topRight" sqref="A1:K2"/>
      <selection pane="bottomLeft" sqref="A1:K2"/>
      <selection pane="bottomRight" activeCell="V61" activeCellId="10" sqref="U62 V6 V7 V18 V28 V29 V39 V50 V51 V60 V61"/>
    </sheetView>
  </sheetViews>
  <sheetFormatPr defaultColWidth="7.90625" defaultRowHeight="15.5"/>
  <cols>
    <col min="1" max="1" width="15" style="6" customWidth="1"/>
    <col min="2" max="2" width="12.90625" style="6" customWidth="1"/>
    <col min="3" max="3" width="12.90625" style="6" hidden="1" customWidth="1"/>
    <col min="4" max="4" width="26.08984375" style="6" bestFit="1" customWidth="1"/>
    <col min="5" max="5" width="15" style="6" customWidth="1"/>
    <col min="6" max="6" width="8.90625" style="6" bestFit="1" customWidth="1"/>
    <col min="7" max="7" width="20.08984375" style="6" bestFit="1" customWidth="1"/>
    <col min="8" max="8" width="16.36328125" style="6" bestFit="1" customWidth="1"/>
    <col min="9" max="9" width="10.90625" style="6" bestFit="1" customWidth="1"/>
    <col min="10" max="10" width="10.08984375" style="6" bestFit="1" customWidth="1"/>
    <col min="11" max="11" width="10.6328125" style="6" customWidth="1"/>
    <col min="12" max="12" width="14.453125" style="6" customWidth="1"/>
    <col min="13" max="13" width="10.08984375" style="6" bestFit="1" customWidth="1"/>
    <col min="14" max="14" width="10.26953125" style="6" bestFit="1" customWidth="1"/>
    <col min="15" max="15" width="11.90625" style="6" customWidth="1"/>
    <col min="16" max="17" width="9.08984375" style="6" bestFit="1" customWidth="1"/>
    <col min="18" max="18" width="9.08984375" style="6" customWidth="1"/>
    <col min="19" max="19" width="8.36328125" style="6" customWidth="1"/>
    <col min="20" max="21" width="9.36328125" style="6" bestFit="1" customWidth="1"/>
    <col min="22" max="22" width="10.6328125" style="6" customWidth="1"/>
    <col min="23" max="23" width="8.6328125" style="92" customWidth="1"/>
    <col min="24" max="24" width="7.453125" style="6" bestFit="1" customWidth="1"/>
    <col min="25" max="25" width="6.90625" style="6" customWidth="1"/>
    <col min="26" max="26" width="12.6328125" style="6" customWidth="1"/>
    <col min="27" max="27" width="33.36328125" style="6" customWidth="1"/>
    <col min="28" max="28" width="13.08984375" style="6" bestFit="1" customWidth="1"/>
    <col min="29" max="29" width="10.36328125" style="6" customWidth="1"/>
    <col min="30" max="30" width="9.08984375" style="6" customWidth="1"/>
    <col min="31" max="31" width="7.90625" style="6" customWidth="1"/>
    <col min="32" max="32" width="24.453125" style="6" bestFit="1" customWidth="1"/>
    <col min="33" max="38" width="7.90625" style="6" customWidth="1"/>
    <col min="39" max="16384" width="7.90625" style="6"/>
  </cols>
  <sheetData>
    <row r="1" spans="1:30" ht="21" customHeight="1">
      <c r="A1" s="2" t="s">
        <v>0</v>
      </c>
      <c r="B1" s="2"/>
      <c r="C1" s="2"/>
      <c r="D1" s="174" t="s">
        <v>1</v>
      </c>
      <c r="E1" s="3">
        <f>SUM(G5:G79)</f>
        <v>41498</v>
      </c>
      <c r="F1" s="175" t="s">
        <v>2</v>
      </c>
      <c r="G1" s="4">
        <f>SUM(H5:H79)</f>
        <v>1998042.9</v>
      </c>
      <c r="H1" s="173" t="s">
        <v>3</v>
      </c>
      <c r="I1" s="5">
        <f>M15+M26+M48+M58+M69+M79+M37</f>
        <v>96.95</v>
      </c>
      <c r="J1" s="388" t="s">
        <v>4</v>
      </c>
      <c r="K1" s="388"/>
      <c r="L1" s="388"/>
      <c r="M1" s="388" t="s">
        <v>5</v>
      </c>
      <c r="N1" s="388"/>
      <c r="O1" s="388"/>
      <c r="P1" s="388" t="s">
        <v>6</v>
      </c>
      <c r="Q1" s="388"/>
      <c r="R1" s="388"/>
      <c r="S1" s="388"/>
      <c r="T1" s="388" t="s">
        <v>7</v>
      </c>
      <c r="U1" s="388"/>
      <c r="V1" s="388"/>
      <c r="W1" s="388"/>
      <c r="X1" s="388"/>
      <c r="Y1" s="388"/>
      <c r="Z1" s="497" t="s">
        <v>8</v>
      </c>
      <c r="AA1" s="498"/>
      <c r="AB1" s="388" t="s">
        <v>9</v>
      </c>
      <c r="AC1" s="399"/>
      <c r="AD1" s="399"/>
    </row>
    <row r="2" spans="1:30" ht="18.75" customHeight="1">
      <c r="A2" s="404" t="s">
        <v>227</v>
      </c>
      <c r="B2" s="404"/>
      <c r="C2" s="174"/>
      <c r="D2" s="174" t="s">
        <v>11</v>
      </c>
      <c r="E2" s="7">
        <f>AVERAGE(O15,O26,O37,O48,O58,O69,O79)</f>
        <v>93.980223150024813</v>
      </c>
      <c r="F2" s="8" t="s">
        <v>12</v>
      </c>
      <c r="G2" s="9">
        <f>G1/E1</f>
        <v>48.147932430478576</v>
      </c>
      <c r="H2" s="173" t="s">
        <v>13</v>
      </c>
      <c r="I2" s="173">
        <f>COUNT(I5:I79)</f>
        <v>0</v>
      </c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499"/>
      <c r="AA2" s="500"/>
      <c r="AB2" s="399"/>
      <c r="AC2" s="399"/>
      <c r="AD2" s="399"/>
    </row>
    <row r="3" spans="1:30" ht="15.75" customHeight="1">
      <c r="A3" s="405" t="s">
        <v>14</v>
      </c>
      <c r="B3" s="405" t="s">
        <v>15</v>
      </c>
      <c r="C3" s="175"/>
      <c r="D3" s="493" t="s">
        <v>16</v>
      </c>
      <c r="E3" s="493"/>
      <c r="F3" s="389" t="s">
        <v>17</v>
      </c>
      <c r="G3" s="386" t="s">
        <v>18</v>
      </c>
      <c r="H3" s="389" t="s">
        <v>19</v>
      </c>
      <c r="I3" s="391" t="s">
        <v>20</v>
      </c>
      <c r="J3" s="393" t="s">
        <v>21</v>
      </c>
      <c r="K3" s="395" t="s">
        <v>22</v>
      </c>
      <c r="L3" s="397" t="s">
        <v>11</v>
      </c>
      <c r="M3" s="386" t="s">
        <v>21</v>
      </c>
      <c r="N3" s="395" t="s">
        <v>22</v>
      </c>
      <c r="O3" s="397" t="s">
        <v>11</v>
      </c>
      <c r="P3" s="393" t="s">
        <v>21</v>
      </c>
      <c r="Q3" s="397" t="s">
        <v>11</v>
      </c>
      <c r="R3" s="382" t="s">
        <v>23</v>
      </c>
      <c r="S3" s="384" t="s">
        <v>24</v>
      </c>
      <c r="T3" s="386" t="s">
        <v>25</v>
      </c>
      <c r="U3" s="386"/>
      <c r="V3" s="490" t="s">
        <v>26</v>
      </c>
      <c r="W3" s="391" t="s">
        <v>27</v>
      </c>
      <c r="X3" s="492" t="s">
        <v>28</v>
      </c>
      <c r="Y3" s="492"/>
      <c r="Z3" s="501"/>
      <c r="AA3" s="502"/>
      <c r="AB3" s="395" t="s">
        <v>22</v>
      </c>
      <c r="AC3" s="382" t="s">
        <v>23</v>
      </c>
      <c r="AD3" s="384" t="s">
        <v>24</v>
      </c>
    </row>
    <row r="4" spans="1:30" ht="15.75" customHeight="1">
      <c r="A4" s="389"/>
      <c r="B4" s="389"/>
      <c r="C4" s="176"/>
      <c r="D4" s="494"/>
      <c r="E4" s="494"/>
      <c r="F4" s="390"/>
      <c r="G4" s="387"/>
      <c r="H4" s="390"/>
      <c r="I4" s="392"/>
      <c r="J4" s="394"/>
      <c r="K4" s="396"/>
      <c r="L4" s="398"/>
      <c r="M4" s="387"/>
      <c r="N4" s="396"/>
      <c r="O4" s="398"/>
      <c r="P4" s="394"/>
      <c r="Q4" s="398"/>
      <c r="R4" s="383"/>
      <c r="S4" s="385"/>
      <c r="T4" s="177" t="s">
        <v>29</v>
      </c>
      <c r="U4" s="177" t="s">
        <v>30</v>
      </c>
      <c r="V4" s="491"/>
      <c r="W4" s="392"/>
      <c r="X4" s="176" t="s">
        <v>29</v>
      </c>
      <c r="Y4" s="176" t="s">
        <v>30</v>
      </c>
      <c r="Z4" s="503"/>
      <c r="AA4" s="504"/>
      <c r="AB4" s="396"/>
      <c r="AC4" s="383"/>
      <c r="AD4" s="385"/>
    </row>
    <row r="5" spans="1:30" ht="15" customHeight="1">
      <c r="A5" s="407" t="s">
        <v>31</v>
      </c>
      <c r="B5" s="299" t="s">
        <v>45</v>
      </c>
      <c r="C5" s="315"/>
      <c r="D5" s="329" t="s">
        <v>49</v>
      </c>
      <c r="E5" s="316"/>
      <c r="F5" s="299">
        <f>VLOOKUP(D5,廠價表!$C$1:$E$40,3,0)</f>
        <v>47.71</v>
      </c>
      <c r="G5" s="317">
        <v>2330</v>
      </c>
      <c r="H5" s="318">
        <f>F5*G5</f>
        <v>111164.3</v>
      </c>
      <c r="I5" s="319"/>
      <c r="J5" s="320">
        <f>VLOOKUP(D5,產線配置圖!$A$3:$C$39,2,0)</f>
        <v>15</v>
      </c>
      <c r="K5" s="321">
        <f>VLOOKUP(D5,產線配置圖!$A$3:$C$39,3,0)</f>
        <v>1500</v>
      </c>
      <c r="L5" s="322">
        <f>K5/J5</f>
        <v>100</v>
      </c>
      <c r="M5" s="323">
        <v>15</v>
      </c>
      <c r="N5" s="321">
        <f t="shared" ref="N5:N8" si="0">G5/W5*60</f>
        <v>1384.1584158415815</v>
      </c>
      <c r="O5" s="322">
        <f t="shared" ref="O5:O8" si="1">N5/M5</f>
        <v>92.277227722772096</v>
      </c>
      <c r="P5" s="324">
        <f t="shared" ref="P5:P8" si="2">M5-J5</f>
        <v>0</v>
      </c>
      <c r="Q5" s="325">
        <f t="shared" ref="Q5:Q8" si="3">O5-L5</f>
        <v>-7.7227722772279037</v>
      </c>
      <c r="R5" s="326">
        <f t="shared" ref="R5:R8" si="4">O5/L5</f>
        <v>0.92277227722772093</v>
      </c>
      <c r="S5" s="419">
        <f>R15</f>
        <v>0.88939533855989017</v>
      </c>
      <c r="T5" s="346">
        <v>0.29861111111111099</v>
      </c>
      <c r="U5" s="347">
        <v>0.36875000000000002</v>
      </c>
      <c r="V5" s="192"/>
      <c r="W5" s="106">
        <f t="shared" ref="W5:W14" si="5">(U5-T5)*24*60</f>
        <v>101.0000000000002</v>
      </c>
      <c r="X5" s="186"/>
      <c r="Y5" s="186"/>
      <c r="Z5" s="469"/>
      <c r="AA5" s="434"/>
      <c r="AB5" s="110">
        <f>N5-K5</f>
        <v>-115.84158415841853</v>
      </c>
      <c r="AC5" s="182">
        <f>N5/K5</f>
        <v>0.92277227722772093</v>
      </c>
      <c r="AD5" s="411">
        <f>AC15</f>
        <v>0.89329787430553209</v>
      </c>
    </row>
    <row r="6" spans="1:30" ht="15" customHeight="1">
      <c r="A6" s="408"/>
      <c r="B6" s="56" t="s">
        <v>45</v>
      </c>
      <c r="C6" s="10"/>
      <c r="D6" s="11" t="s">
        <v>33</v>
      </c>
      <c r="E6" s="86"/>
      <c r="F6" s="56">
        <f>VLOOKUP(D6,廠價表!$C$1:$E$40,3,0)</f>
        <v>57.21</v>
      </c>
      <c r="G6" s="25">
        <v>1269</v>
      </c>
      <c r="H6" s="15">
        <f t="shared" ref="H6:H8" si="6">F6*G6</f>
        <v>72599.490000000005</v>
      </c>
      <c r="I6" s="180"/>
      <c r="J6" s="16">
        <f>VLOOKUP(D6,產線配置圖!$A$3:$C$39,2,0)</f>
        <v>17</v>
      </c>
      <c r="K6" s="14">
        <f>VLOOKUP(D6,產線配置圖!$A$3:$C$39,3,0)</f>
        <v>1895</v>
      </c>
      <c r="L6" s="17">
        <f>K6/J6</f>
        <v>111.47058823529412</v>
      </c>
      <c r="M6" s="178">
        <v>17</v>
      </c>
      <c r="N6" s="14">
        <f t="shared" si="0"/>
        <v>1812.8571428571422</v>
      </c>
      <c r="O6" s="17">
        <f t="shared" si="1"/>
        <v>106.63865546218483</v>
      </c>
      <c r="P6" s="18">
        <f t="shared" si="2"/>
        <v>0</v>
      </c>
      <c r="Q6" s="19">
        <f t="shared" si="3"/>
        <v>-4.8319327731092869</v>
      </c>
      <c r="R6" s="183">
        <f t="shared" si="4"/>
        <v>0.95665284583490351</v>
      </c>
      <c r="S6" s="420"/>
      <c r="T6" s="95">
        <v>0.37708333333333333</v>
      </c>
      <c r="U6" s="95">
        <v>0.40625</v>
      </c>
      <c r="V6" s="175">
        <f>(T6-U5)*24*60</f>
        <v>11.999999999999957</v>
      </c>
      <c r="W6" s="180">
        <f t="shared" si="5"/>
        <v>42.000000000000014</v>
      </c>
      <c r="X6" s="22"/>
      <c r="Y6" s="22"/>
      <c r="Z6" s="391"/>
      <c r="AA6" s="391"/>
      <c r="AB6" s="18">
        <f>N6-K6</f>
        <v>-82.142857142857792</v>
      </c>
      <c r="AC6" s="183">
        <f>N6/K6</f>
        <v>0.95665284583490351</v>
      </c>
      <c r="AD6" s="412"/>
    </row>
    <row r="7" spans="1:30" ht="15" customHeight="1">
      <c r="A7" s="408"/>
      <c r="B7" s="56" t="s">
        <v>45</v>
      </c>
      <c r="C7" s="10"/>
      <c r="D7" s="11" t="s">
        <v>34</v>
      </c>
      <c r="E7" s="86"/>
      <c r="F7" s="56">
        <f>VLOOKUP(D7,廠價表!$C$1:$E$40,3,0)</f>
        <v>49.14</v>
      </c>
      <c r="G7" s="25">
        <v>2670</v>
      </c>
      <c r="H7" s="15">
        <f t="shared" si="6"/>
        <v>131203.79999999999</v>
      </c>
      <c r="I7" s="180"/>
      <c r="J7" s="16">
        <f>VLOOKUP(D7,產線配置圖!$A$3:$C$39,2,0)</f>
        <v>13</v>
      </c>
      <c r="K7" s="14">
        <f>VLOOKUP(D7,產線配置圖!$A$3:$C$39,3,0)</f>
        <v>2000</v>
      </c>
      <c r="L7" s="17">
        <f>K7/J7</f>
        <v>153.84615384615384</v>
      </c>
      <c r="M7" s="178">
        <v>13</v>
      </c>
      <c r="N7" s="14">
        <f t="shared" si="0"/>
        <v>1862.7906976744268</v>
      </c>
      <c r="O7" s="17">
        <f t="shared" si="1"/>
        <v>143.29159212880205</v>
      </c>
      <c r="P7" s="18">
        <f t="shared" si="2"/>
        <v>0</v>
      </c>
      <c r="Q7" s="19">
        <f t="shared" si="3"/>
        <v>-10.554561717351788</v>
      </c>
      <c r="R7" s="183">
        <f t="shared" si="4"/>
        <v>0.93139534883721342</v>
      </c>
      <c r="S7" s="420"/>
      <c r="T7" s="95">
        <v>0.41666666666666702</v>
      </c>
      <c r="U7" s="95">
        <v>0.47638888888888897</v>
      </c>
      <c r="V7" s="175">
        <f>(T7-U6)*24*60</f>
        <v>15.000000000000506</v>
      </c>
      <c r="W7" s="180">
        <f t="shared" si="5"/>
        <v>85.999999999999616</v>
      </c>
      <c r="X7" s="22"/>
      <c r="Y7" s="22"/>
      <c r="Z7" s="405"/>
      <c r="AA7" s="405"/>
      <c r="AB7" s="18">
        <f>N7-K7</f>
        <v>-137.20930232557316</v>
      </c>
      <c r="AC7" s="183">
        <f>N7/K7</f>
        <v>0.93139534883721342</v>
      </c>
      <c r="AD7" s="412"/>
    </row>
    <row r="8" spans="1:30" ht="15" customHeight="1">
      <c r="A8" s="408"/>
      <c r="B8" s="56" t="s">
        <v>45</v>
      </c>
      <c r="C8" s="10"/>
      <c r="D8" s="11" t="s">
        <v>34</v>
      </c>
      <c r="E8" s="86"/>
      <c r="F8" s="56">
        <f>VLOOKUP(D8,廠價表!$C$1:$E$40,3,0)</f>
        <v>49.14</v>
      </c>
      <c r="G8" s="25">
        <v>661</v>
      </c>
      <c r="H8" s="15">
        <f t="shared" si="6"/>
        <v>32481.54</v>
      </c>
      <c r="I8" s="180"/>
      <c r="J8" s="16">
        <f>VLOOKUP(D8,產線配置圖!$A$3:$C$39,2,0)</f>
        <v>13</v>
      </c>
      <c r="K8" s="14">
        <f>VLOOKUP(D8,產線配置圖!$A$3:$C$39,3,0)</f>
        <v>2000</v>
      </c>
      <c r="L8" s="17">
        <f>K8/J8</f>
        <v>153.84615384615384</v>
      </c>
      <c r="M8" s="178">
        <v>13</v>
      </c>
      <c r="N8" s="14">
        <f t="shared" si="0"/>
        <v>1802.7272727272398</v>
      </c>
      <c r="O8" s="17">
        <f t="shared" si="1"/>
        <v>138.67132867132614</v>
      </c>
      <c r="P8" s="18">
        <f t="shared" si="2"/>
        <v>0</v>
      </c>
      <c r="Q8" s="19">
        <f t="shared" si="3"/>
        <v>-15.174825174827703</v>
      </c>
      <c r="R8" s="183">
        <f t="shared" si="4"/>
        <v>0.90136363636361994</v>
      </c>
      <c r="S8" s="420"/>
      <c r="T8" s="95">
        <v>0.54027777777777797</v>
      </c>
      <c r="U8" s="95">
        <v>0.55555555555555602</v>
      </c>
      <c r="V8" s="175">
        <f>(T8-U7)*24*60</f>
        <v>92.000000000000156</v>
      </c>
      <c r="W8" s="180">
        <f t="shared" si="5"/>
        <v>22.000000000000401</v>
      </c>
      <c r="X8" s="22"/>
      <c r="Y8" s="260"/>
      <c r="Z8" s="415"/>
      <c r="AA8" s="415"/>
      <c r="AB8" s="18">
        <f>N8-K8</f>
        <v>-197.27272727276022</v>
      </c>
      <c r="AC8" s="183">
        <f>N8/K8</f>
        <v>0.90136363636361994</v>
      </c>
      <c r="AD8" s="412"/>
    </row>
    <row r="9" spans="1:30" ht="15" customHeight="1">
      <c r="A9" s="409"/>
      <c r="B9" s="56" t="s">
        <v>45</v>
      </c>
      <c r="C9" s="10"/>
      <c r="D9" s="11" t="s">
        <v>34</v>
      </c>
      <c r="E9" s="86"/>
      <c r="F9" s="56">
        <f>VLOOKUP(D9,廠價表!$C$1:$E$40,3,0)</f>
        <v>49.14</v>
      </c>
      <c r="G9" s="25">
        <v>561</v>
      </c>
      <c r="H9" s="15">
        <f t="shared" ref="H9" si="7">F9*G9</f>
        <v>27567.54</v>
      </c>
      <c r="I9" s="180"/>
      <c r="J9" s="16">
        <f>VLOOKUP(D9,產線配置圖!$A$3:$C$39,2,0)</f>
        <v>13</v>
      </c>
      <c r="K9" s="14">
        <f>VLOOKUP(D9,產線配置圖!$A$3:$C$39,3,0)</f>
        <v>2000</v>
      </c>
      <c r="L9" s="17">
        <f>K9/J9</f>
        <v>153.84615384615384</v>
      </c>
      <c r="M9" s="178">
        <v>13</v>
      </c>
      <c r="N9" s="14">
        <f t="shared" ref="N9" si="8">G9/W9*60</f>
        <v>1530.0000000000834</v>
      </c>
      <c r="O9" s="17">
        <f t="shared" ref="O9" si="9">N9/M9</f>
        <v>117.69230769231412</v>
      </c>
      <c r="P9" s="18">
        <f t="shared" ref="P9" si="10">M9-J9</f>
        <v>0</v>
      </c>
      <c r="Q9" s="19">
        <f t="shared" ref="Q9" si="11">O9-L9</f>
        <v>-36.153846153839723</v>
      </c>
      <c r="R9" s="183">
        <f t="shared" ref="R9" si="12">O9/L9</f>
        <v>0.76500000000004176</v>
      </c>
      <c r="S9" s="421"/>
      <c r="T9" s="95">
        <v>0.61666666666666703</v>
      </c>
      <c r="U9" s="95">
        <v>0.63194444444444398</v>
      </c>
      <c r="V9" s="175">
        <f>(T9-U8)*24*60</f>
        <v>87.999999999999844</v>
      </c>
      <c r="W9" s="180">
        <f t="shared" si="5"/>
        <v>21.999999999998803</v>
      </c>
      <c r="X9" s="22">
        <v>0.5</v>
      </c>
      <c r="Y9" s="260">
        <v>0.54166666666666696</v>
      </c>
      <c r="Z9" s="416" t="s">
        <v>221</v>
      </c>
      <c r="AA9" s="416"/>
      <c r="AB9" s="18">
        <f>N9-K9</f>
        <v>-469.99999999991655</v>
      </c>
      <c r="AC9" s="183">
        <f>N9/K9</f>
        <v>0.76500000000004176</v>
      </c>
      <c r="AD9" s="413"/>
    </row>
    <row r="10" spans="1:30" ht="15" customHeight="1">
      <c r="A10" s="409"/>
      <c r="B10" s="56"/>
      <c r="C10" s="23"/>
      <c r="D10" s="11"/>
      <c r="E10" s="12"/>
      <c r="F10" s="56"/>
      <c r="G10" s="25"/>
      <c r="H10" s="15"/>
      <c r="I10" s="180"/>
      <c r="J10" s="16"/>
      <c r="K10" s="14"/>
      <c r="L10" s="17"/>
      <c r="M10" s="178"/>
      <c r="N10" s="14"/>
      <c r="O10" s="17"/>
      <c r="P10" s="18"/>
      <c r="Q10" s="19"/>
      <c r="R10" s="183"/>
      <c r="S10" s="421"/>
      <c r="T10" s="20"/>
      <c r="U10" s="20"/>
      <c r="V10" s="175"/>
      <c r="W10" s="180">
        <f t="shared" si="5"/>
        <v>0</v>
      </c>
      <c r="X10" s="22"/>
      <c r="Y10" s="260"/>
      <c r="Z10" s="417"/>
      <c r="AA10" s="418"/>
      <c r="AB10" s="261"/>
      <c r="AC10" s="183"/>
      <c r="AD10" s="413"/>
    </row>
    <row r="11" spans="1:30" ht="15" customHeight="1">
      <c r="A11" s="409"/>
      <c r="B11" s="56"/>
      <c r="C11" s="181"/>
      <c r="D11" s="11"/>
      <c r="E11" s="12"/>
      <c r="F11" s="56"/>
      <c r="G11" s="25"/>
      <c r="H11" s="15">
        <f t="shared" ref="H11:H12" si="13">F11*G11</f>
        <v>0</v>
      </c>
      <c r="I11" s="180"/>
      <c r="J11" s="16"/>
      <c r="K11" s="14"/>
      <c r="L11" s="17"/>
      <c r="M11" s="178"/>
      <c r="N11" s="14"/>
      <c r="O11" s="17"/>
      <c r="P11" s="18"/>
      <c r="Q11" s="19"/>
      <c r="R11" s="183"/>
      <c r="S11" s="421"/>
      <c r="T11" s="20"/>
      <c r="U11" s="20"/>
      <c r="V11" s="175"/>
      <c r="W11" s="24">
        <f t="shared" si="5"/>
        <v>0</v>
      </c>
      <c r="X11" s="22"/>
      <c r="Y11" s="260"/>
      <c r="Z11" s="417"/>
      <c r="AA11" s="418"/>
      <c r="AB11" s="261"/>
      <c r="AC11" s="183"/>
      <c r="AD11" s="413"/>
    </row>
    <row r="12" spans="1:30" ht="15" customHeight="1">
      <c r="A12" s="409"/>
      <c r="B12" s="26"/>
      <c r="C12" s="27"/>
      <c r="D12" s="28"/>
      <c r="E12" s="29"/>
      <c r="F12" s="13"/>
      <c r="G12" s="30"/>
      <c r="H12" s="15">
        <f t="shared" si="13"/>
        <v>0</v>
      </c>
      <c r="I12" s="176"/>
      <c r="J12" s="31"/>
      <c r="K12" s="30"/>
      <c r="L12" s="17"/>
      <c r="M12" s="179"/>
      <c r="N12" s="25"/>
      <c r="O12" s="17"/>
      <c r="P12" s="18"/>
      <c r="Q12" s="19"/>
      <c r="R12" s="183"/>
      <c r="S12" s="421"/>
      <c r="T12" s="32"/>
      <c r="U12" s="32"/>
      <c r="V12" s="176"/>
      <c r="W12" s="24">
        <f t="shared" si="5"/>
        <v>0</v>
      </c>
      <c r="X12" s="33"/>
      <c r="Y12" s="33"/>
      <c r="Z12" s="416"/>
      <c r="AA12" s="416"/>
      <c r="AB12" s="34"/>
      <c r="AC12" s="184"/>
      <c r="AD12" s="413"/>
    </row>
    <row r="13" spans="1:30" ht="15" customHeight="1">
      <c r="A13" s="409"/>
      <c r="B13" s="56"/>
      <c r="C13" s="10"/>
      <c r="D13" s="11"/>
      <c r="E13" s="86"/>
      <c r="F13" s="56"/>
      <c r="G13" s="25"/>
      <c r="H13" s="15"/>
      <c r="I13" s="180"/>
      <c r="J13" s="16"/>
      <c r="K13" s="14"/>
      <c r="L13" s="17"/>
      <c r="M13" s="178"/>
      <c r="N13" s="14"/>
      <c r="O13" s="17"/>
      <c r="P13" s="18"/>
      <c r="Q13" s="19"/>
      <c r="R13" s="183"/>
      <c r="S13" s="422"/>
      <c r="T13" s="302"/>
      <c r="U13" s="302"/>
      <c r="V13" s="26"/>
      <c r="W13" s="24">
        <f t="shared" si="5"/>
        <v>0</v>
      </c>
      <c r="X13" s="33"/>
      <c r="Y13" s="33"/>
      <c r="Z13" s="417"/>
      <c r="AA13" s="418"/>
      <c r="AB13" s="34"/>
      <c r="AC13" s="184"/>
      <c r="AD13" s="413"/>
    </row>
    <row r="14" spans="1:30" ht="15" customHeight="1">
      <c r="A14" s="409"/>
      <c r="B14" s="56"/>
      <c r="C14" s="10"/>
      <c r="D14" s="11"/>
      <c r="E14" s="86"/>
      <c r="F14" s="56"/>
      <c r="G14" s="25"/>
      <c r="H14" s="15"/>
      <c r="I14" s="180"/>
      <c r="J14" s="16"/>
      <c r="K14" s="14"/>
      <c r="L14" s="17"/>
      <c r="M14" s="178"/>
      <c r="N14" s="14"/>
      <c r="O14" s="17"/>
      <c r="P14" s="18"/>
      <c r="Q14" s="19"/>
      <c r="R14" s="183"/>
      <c r="S14" s="421"/>
      <c r="T14" s="79"/>
      <c r="U14" s="79"/>
      <c r="V14" s="176"/>
      <c r="W14" s="24">
        <f t="shared" si="5"/>
        <v>0</v>
      </c>
      <c r="X14" s="33"/>
      <c r="Y14" s="33"/>
      <c r="Z14" s="417"/>
      <c r="AA14" s="418"/>
      <c r="AB14" s="34"/>
      <c r="AC14" s="184"/>
      <c r="AD14" s="413"/>
    </row>
    <row r="15" spans="1:30" ht="15" customHeight="1">
      <c r="A15" s="410"/>
      <c r="B15" s="112"/>
      <c r="C15" s="112" t="s">
        <v>37</v>
      </c>
      <c r="D15" s="406" t="s">
        <v>38</v>
      </c>
      <c r="E15" s="406"/>
      <c r="F15" s="113"/>
      <c r="G15" s="114"/>
      <c r="H15" s="115"/>
      <c r="I15" s="116"/>
      <c r="J15" s="117">
        <f t="shared" ref="J15:O15" si="14">AVERAGE(J5:J14)</f>
        <v>14.2</v>
      </c>
      <c r="K15" s="117">
        <f t="shared" si="14"/>
        <v>1879</v>
      </c>
      <c r="L15" s="114">
        <f t="shared" si="14"/>
        <v>134.6018099547511</v>
      </c>
      <c r="M15" s="117">
        <f t="shared" si="14"/>
        <v>14.2</v>
      </c>
      <c r="N15" s="117">
        <f t="shared" si="14"/>
        <v>1678.5067058200948</v>
      </c>
      <c r="O15" s="114">
        <f t="shared" si="14"/>
        <v>119.71422233547985</v>
      </c>
      <c r="P15" s="118">
        <f>M15-J15</f>
        <v>0</v>
      </c>
      <c r="Q15" s="119">
        <f t="shared" ref="Q15:Q19" si="15">O15-L15</f>
        <v>-14.887587619271258</v>
      </c>
      <c r="R15" s="120">
        <f>O15/L15</f>
        <v>0.88939533855989017</v>
      </c>
      <c r="S15" s="423"/>
      <c r="T15" s="121"/>
      <c r="U15" s="121"/>
      <c r="V15" s="193"/>
      <c r="W15" s="122"/>
      <c r="X15" s="123"/>
      <c r="Y15" s="123"/>
      <c r="Z15" s="424"/>
      <c r="AA15" s="424"/>
      <c r="AB15" s="118">
        <f t="shared" ref="AB15:AB19" si="16">N15-K15</f>
        <v>-200.49329417990521</v>
      </c>
      <c r="AC15" s="185">
        <f t="shared" ref="AC15:AC19" si="17">N15/K15</f>
        <v>0.89329787430553209</v>
      </c>
      <c r="AD15" s="414"/>
    </row>
    <row r="16" spans="1:30" ht="15" customHeight="1">
      <c r="A16" s="439" t="s">
        <v>39</v>
      </c>
      <c r="B16" s="197" t="s">
        <v>45</v>
      </c>
      <c r="C16" s="101"/>
      <c r="D16" s="102" t="s">
        <v>32</v>
      </c>
      <c r="E16" s="103"/>
      <c r="F16" s="197">
        <f>VLOOKUP(D16,廠價表!$C$1:$E$40,3,0)</f>
        <v>57.21</v>
      </c>
      <c r="G16" s="262">
        <v>2081</v>
      </c>
      <c r="H16" s="124">
        <f t="shared" ref="H16:H25" si="18">F16*G16</f>
        <v>119054.01</v>
      </c>
      <c r="I16" s="125"/>
      <c r="J16" s="107">
        <f>VLOOKUP(D16,產線配置圖!$A$3:$C$39,2,0)</f>
        <v>13</v>
      </c>
      <c r="K16" s="104">
        <f>VLOOKUP(D16,產線配置圖!$A$3:$C$39,3,0)</f>
        <v>2105</v>
      </c>
      <c r="L16" s="108">
        <f t="shared" ref="L16:L19" si="19">K16/J16</f>
        <v>161.92307692307693</v>
      </c>
      <c r="M16" s="264">
        <v>14</v>
      </c>
      <c r="N16" s="126">
        <f t="shared" ref="N16:N19" si="20">G16/W16*60</f>
        <v>1920.9230769230746</v>
      </c>
      <c r="O16" s="127">
        <f>N16/M16</f>
        <v>137.20879120879104</v>
      </c>
      <c r="P16" s="128">
        <f>M16-J16</f>
        <v>1</v>
      </c>
      <c r="Q16" s="129">
        <f t="shared" si="15"/>
        <v>-24.714285714285893</v>
      </c>
      <c r="R16" s="187">
        <f>O16/L16</f>
        <v>0.84737020699015841</v>
      </c>
      <c r="S16" s="431">
        <f>R26</f>
        <v>0.89736580503269003</v>
      </c>
      <c r="T16" s="345">
        <v>0.30625000000000002</v>
      </c>
      <c r="U16" s="345">
        <v>0.35138888888888897</v>
      </c>
      <c r="V16" s="125"/>
      <c r="W16" s="130">
        <f t="shared" ref="W16:W78" si="21">(U16-T16)*24*60</f>
        <v>65.000000000000085</v>
      </c>
      <c r="X16" s="127"/>
      <c r="Y16" s="127"/>
      <c r="Z16" s="469" t="s">
        <v>226</v>
      </c>
      <c r="AA16" s="434"/>
      <c r="AB16" s="110">
        <f t="shared" si="16"/>
        <v>-184.07692307692537</v>
      </c>
      <c r="AC16" s="182">
        <f t="shared" si="17"/>
        <v>0.91255253060478603</v>
      </c>
      <c r="AD16" s="411">
        <f>AC26</f>
        <v>0.91478189471707705</v>
      </c>
    </row>
    <row r="17" spans="1:30" ht="15" customHeight="1">
      <c r="A17" s="440"/>
      <c r="B17" s="56" t="s">
        <v>45</v>
      </c>
      <c r="C17" s="10"/>
      <c r="D17" s="11" t="s">
        <v>40</v>
      </c>
      <c r="E17" s="86"/>
      <c r="F17" s="56">
        <f>VLOOKUP(D17,廠價表!$C$1:$E$40,3,0)</f>
        <v>50.67</v>
      </c>
      <c r="G17" s="96">
        <v>2992</v>
      </c>
      <c r="H17" s="15">
        <f t="shared" si="18"/>
        <v>151604.64000000001</v>
      </c>
      <c r="I17" s="175"/>
      <c r="J17" s="16">
        <f>VLOOKUP(D17,產線配置圖!$A$3:$C$39,2,0)</f>
        <v>13</v>
      </c>
      <c r="K17" s="14">
        <f>VLOOKUP(D17,產線配置圖!$A$3:$C$39,3,0)</f>
        <v>2000</v>
      </c>
      <c r="L17" s="17">
        <f t="shared" si="19"/>
        <v>153.84615384615384</v>
      </c>
      <c r="M17" s="37">
        <v>13</v>
      </c>
      <c r="N17" s="36">
        <f t="shared" si="20"/>
        <v>1951.3043478260834</v>
      </c>
      <c r="O17" s="38">
        <f t="shared" ref="O17:O19" si="22">N17/M17</f>
        <v>150.10033444816025</v>
      </c>
      <c r="P17" s="39">
        <f t="shared" ref="P17:P19" si="23">M17-J17</f>
        <v>0</v>
      </c>
      <c r="Q17" s="40">
        <f t="shared" si="15"/>
        <v>-3.7458193979935857</v>
      </c>
      <c r="R17" s="188">
        <f t="shared" ref="R17:R19" si="24">O17/L17</f>
        <v>0.97565217391304171</v>
      </c>
      <c r="S17" s="432"/>
      <c r="T17" s="44">
        <v>0.359722222222222</v>
      </c>
      <c r="U17" s="44">
        <v>0.42361111111111099</v>
      </c>
      <c r="V17" s="175"/>
      <c r="W17" s="43">
        <f t="shared" si="21"/>
        <v>92.000000000000156</v>
      </c>
      <c r="X17" s="44"/>
      <c r="Y17" s="44"/>
      <c r="Z17" s="391"/>
      <c r="AA17" s="391"/>
      <c r="AB17" s="18">
        <f t="shared" si="16"/>
        <v>-48.695652173916642</v>
      </c>
      <c r="AC17" s="183">
        <f t="shared" si="17"/>
        <v>0.97565217391304171</v>
      </c>
      <c r="AD17" s="412"/>
    </row>
    <row r="18" spans="1:30" ht="15" customHeight="1">
      <c r="A18" s="440"/>
      <c r="B18" s="56" t="s">
        <v>45</v>
      </c>
      <c r="C18" s="10"/>
      <c r="D18" s="11" t="s">
        <v>41</v>
      </c>
      <c r="E18" s="86"/>
      <c r="F18" s="56">
        <f>VLOOKUP(D18,廠價表!$C$1:$E$40,3,0)</f>
        <v>50.39</v>
      </c>
      <c r="G18" s="96">
        <v>1927</v>
      </c>
      <c r="H18" s="15">
        <f t="shared" si="18"/>
        <v>97101.53</v>
      </c>
      <c r="I18" s="175"/>
      <c r="J18" s="16">
        <f>VLOOKUP(D18,產線配置圖!$A$3:$C$39,2,0)</f>
        <v>12</v>
      </c>
      <c r="K18" s="14">
        <f>VLOOKUP(D18,產線配置圖!$A$3:$C$39,3,0)</f>
        <v>2000</v>
      </c>
      <c r="L18" s="17">
        <f t="shared" si="19"/>
        <v>166.66666666666666</v>
      </c>
      <c r="M18" s="37">
        <v>12</v>
      </c>
      <c r="N18" s="36">
        <f t="shared" si="20"/>
        <v>1700.2941176470467</v>
      </c>
      <c r="O18" s="38">
        <f t="shared" si="22"/>
        <v>141.69117647058724</v>
      </c>
      <c r="P18" s="39">
        <f t="shared" si="23"/>
        <v>0</v>
      </c>
      <c r="Q18" s="40">
        <f t="shared" si="15"/>
        <v>-24.97549019607942</v>
      </c>
      <c r="R18" s="188">
        <f t="shared" si="24"/>
        <v>0.85014705882352348</v>
      </c>
      <c r="S18" s="432"/>
      <c r="T18" s="44">
        <v>0.43194444444444446</v>
      </c>
      <c r="U18" s="44">
        <v>0.47916666666666702</v>
      </c>
      <c r="V18" s="175">
        <f>(T18-U17)*24*60</f>
        <v>12.000000000000197</v>
      </c>
      <c r="W18" s="43">
        <f t="shared" si="21"/>
        <v>68.000000000000483</v>
      </c>
      <c r="X18" s="22"/>
      <c r="Y18" s="22"/>
      <c r="Z18" s="415"/>
      <c r="AA18" s="415"/>
      <c r="AB18" s="18">
        <f t="shared" si="16"/>
        <v>-299.70588235295327</v>
      </c>
      <c r="AC18" s="183">
        <f t="shared" si="17"/>
        <v>0.85014705882352337</v>
      </c>
      <c r="AD18" s="412"/>
    </row>
    <row r="19" spans="1:30" ht="15" customHeight="1">
      <c r="A19" s="440"/>
      <c r="B19" s="56" t="s">
        <v>45</v>
      </c>
      <c r="C19" s="10"/>
      <c r="D19" s="11" t="s">
        <v>41</v>
      </c>
      <c r="E19" s="86"/>
      <c r="F19" s="56">
        <f>VLOOKUP(D19,廠價表!$C$1:$E$40,3,0)</f>
        <v>50.39</v>
      </c>
      <c r="G19" s="96">
        <v>1719</v>
      </c>
      <c r="H19" s="15">
        <f t="shared" si="18"/>
        <v>86620.41</v>
      </c>
      <c r="I19" s="175"/>
      <c r="J19" s="16">
        <f>VLOOKUP(D19,產線配置圖!$A$3:$C$39,2,0)</f>
        <v>12</v>
      </c>
      <c r="K19" s="14">
        <f>VLOOKUP(D19,產線配置圖!$A$3:$C$39,3,0)</f>
        <v>2000</v>
      </c>
      <c r="L19" s="17">
        <f t="shared" si="19"/>
        <v>166.66666666666666</v>
      </c>
      <c r="M19" s="37">
        <v>12</v>
      </c>
      <c r="N19" s="36">
        <f t="shared" si="20"/>
        <v>1841.7857142857049</v>
      </c>
      <c r="O19" s="38">
        <f t="shared" si="22"/>
        <v>153.48214285714207</v>
      </c>
      <c r="P19" s="39">
        <f t="shared" si="23"/>
        <v>0</v>
      </c>
      <c r="Q19" s="40">
        <f t="shared" si="15"/>
        <v>-13.184523809524592</v>
      </c>
      <c r="R19" s="188">
        <f t="shared" si="24"/>
        <v>0.92089285714285241</v>
      </c>
      <c r="S19" s="432"/>
      <c r="T19" s="44">
        <v>0.54166666666666696</v>
      </c>
      <c r="U19" s="44">
        <v>0.58055555555555605</v>
      </c>
      <c r="V19" s="175">
        <f t="shared" ref="V19" si="25">(T19-U18)*24*60</f>
        <v>89.999999999999915</v>
      </c>
      <c r="W19" s="43">
        <f t="shared" si="21"/>
        <v>56.000000000000284</v>
      </c>
      <c r="X19" s="22">
        <v>0.48958333333333298</v>
      </c>
      <c r="Y19" s="260">
        <v>0.53125</v>
      </c>
      <c r="Z19" s="416"/>
      <c r="AA19" s="416"/>
      <c r="AB19" s="18">
        <f t="shared" si="16"/>
        <v>-158.2142857142951</v>
      </c>
      <c r="AC19" s="183">
        <f t="shared" si="17"/>
        <v>0.92089285714285241</v>
      </c>
      <c r="AD19" s="413"/>
    </row>
    <row r="20" spans="1:30" ht="15" customHeight="1">
      <c r="A20" s="440"/>
      <c r="B20" s="56"/>
      <c r="C20" s="10"/>
      <c r="D20" s="11"/>
      <c r="E20" s="86"/>
      <c r="F20" s="56"/>
      <c r="G20" s="96"/>
      <c r="H20" s="15"/>
      <c r="I20" s="175"/>
      <c r="J20" s="16"/>
      <c r="K20" s="14"/>
      <c r="L20" s="17"/>
      <c r="M20" s="37"/>
      <c r="N20" s="36"/>
      <c r="O20" s="38"/>
      <c r="P20" s="39"/>
      <c r="Q20" s="40"/>
      <c r="R20" s="188"/>
      <c r="S20" s="432"/>
      <c r="T20" s="44"/>
      <c r="U20" s="44"/>
      <c r="V20" s="175"/>
      <c r="W20" s="43">
        <f t="shared" si="21"/>
        <v>0</v>
      </c>
      <c r="X20" s="44"/>
      <c r="Y20" s="44"/>
      <c r="Z20" s="418"/>
      <c r="AA20" s="405"/>
      <c r="AB20" s="18"/>
      <c r="AC20" s="183"/>
      <c r="AD20" s="413"/>
    </row>
    <row r="21" spans="1:30" ht="15" customHeight="1">
      <c r="A21" s="441"/>
      <c r="B21" s="56"/>
      <c r="C21" s="10"/>
      <c r="D21" s="11"/>
      <c r="E21" s="86"/>
      <c r="F21" s="56"/>
      <c r="G21" s="96"/>
      <c r="H21" s="15"/>
      <c r="I21" s="175"/>
      <c r="J21" s="16"/>
      <c r="K21" s="14"/>
      <c r="L21" s="17"/>
      <c r="M21" s="37"/>
      <c r="N21" s="36"/>
      <c r="O21" s="38"/>
      <c r="P21" s="39"/>
      <c r="Q21" s="40"/>
      <c r="R21" s="188"/>
      <c r="S21" s="432"/>
      <c r="T21" s="44"/>
      <c r="U21" s="44"/>
      <c r="V21" s="175"/>
      <c r="W21" s="43">
        <f t="shared" si="21"/>
        <v>0</v>
      </c>
      <c r="X21" s="42"/>
      <c r="Y21" s="42"/>
      <c r="Z21" s="418"/>
      <c r="AA21" s="405"/>
      <c r="AB21" s="34"/>
      <c r="AC21" s="184"/>
      <c r="AD21" s="413"/>
    </row>
    <row r="22" spans="1:30" ht="15" customHeight="1">
      <c r="A22" s="441"/>
      <c r="B22" s="175"/>
      <c r="C22" s="181"/>
      <c r="D22" s="11"/>
      <c r="E22" s="12"/>
      <c r="F22" s="13"/>
      <c r="G22" s="36"/>
      <c r="H22" s="15">
        <f t="shared" si="18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88"/>
      <c r="S22" s="432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4"/>
      <c r="AD22" s="413"/>
    </row>
    <row r="23" spans="1:30" ht="15" customHeight="1">
      <c r="A23" s="441"/>
      <c r="B23" s="56"/>
      <c r="C23" s="23"/>
      <c r="D23" s="11"/>
      <c r="E23" s="12"/>
      <c r="F23" s="56"/>
      <c r="G23" s="96"/>
      <c r="H23" s="15"/>
      <c r="I23" s="175"/>
      <c r="J23" s="16"/>
      <c r="K23" s="14"/>
      <c r="L23" s="17"/>
      <c r="M23" s="37"/>
      <c r="N23" s="36"/>
      <c r="O23" s="38"/>
      <c r="P23" s="39"/>
      <c r="Q23" s="40"/>
      <c r="R23" s="188"/>
      <c r="S23" s="432"/>
      <c r="T23" s="41"/>
      <c r="U23" s="41"/>
      <c r="W23" s="43">
        <f t="shared" si="21"/>
        <v>0</v>
      </c>
      <c r="X23" s="42"/>
      <c r="Y23" s="42"/>
      <c r="Z23" s="418"/>
      <c r="AA23" s="405"/>
      <c r="AB23" s="34"/>
      <c r="AC23" s="184"/>
      <c r="AD23" s="413"/>
    </row>
    <row r="24" spans="1:30" ht="15" customHeight="1">
      <c r="A24" s="441"/>
      <c r="B24" s="26"/>
      <c r="C24" s="27"/>
      <c r="D24" s="28"/>
      <c r="E24" s="29"/>
      <c r="F24" s="13"/>
      <c r="G24" s="36"/>
      <c r="H24" s="15">
        <f t="shared" si="18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88"/>
      <c r="S24" s="432"/>
      <c r="T24" s="41"/>
      <c r="U24" s="41"/>
      <c r="V24" s="42"/>
      <c r="W24" s="43">
        <f t="shared" si="21"/>
        <v>0</v>
      </c>
      <c r="X24" s="42"/>
      <c r="Y24" s="42"/>
      <c r="Z24" s="418"/>
      <c r="AA24" s="405"/>
      <c r="AB24" s="34"/>
      <c r="AC24" s="184"/>
      <c r="AD24" s="413"/>
    </row>
    <row r="25" spans="1:30" ht="15" customHeight="1">
      <c r="A25" s="441"/>
      <c r="B25" s="26"/>
      <c r="C25" s="27"/>
      <c r="D25" s="28"/>
      <c r="E25" s="29"/>
      <c r="F25" s="13"/>
      <c r="G25" s="36"/>
      <c r="H25" s="50">
        <f t="shared" si="18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88"/>
      <c r="S25" s="432"/>
      <c r="T25" s="41"/>
      <c r="U25" s="41"/>
      <c r="V25" s="42"/>
      <c r="W25" s="43">
        <f t="shared" si="21"/>
        <v>0</v>
      </c>
      <c r="X25" s="42"/>
      <c r="Y25" s="42"/>
      <c r="Z25" s="418"/>
      <c r="AA25" s="405"/>
      <c r="AB25" s="34"/>
      <c r="AC25" s="184"/>
      <c r="AD25" s="413"/>
    </row>
    <row r="26" spans="1:30" ht="15" customHeight="1">
      <c r="A26" s="442"/>
      <c r="B26" s="131"/>
      <c r="C26" s="1" t="s">
        <v>43</v>
      </c>
      <c r="D26" s="406" t="s">
        <v>38</v>
      </c>
      <c r="E26" s="406"/>
      <c r="F26" s="132"/>
      <c r="G26" s="133"/>
      <c r="H26" s="134"/>
      <c r="I26" s="135"/>
      <c r="J26" s="133">
        <f t="shared" ref="J26:O26" si="26">AVERAGE(J16:J25)</f>
        <v>12.5</v>
      </c>
      <c r="K26" s="133">
        <f t="shared" si="26"/>
        <v>2026.25</v>
      </c>
      <c r="L26" s="136">
        <f t="shared" si="26"/>
        <v>162.27564102564102</v>
      </c>
      <c r="M26" s="133">
        <f t="shared" si="26"/>
        <v>12.75</v>
      </c>
      <c r="N26" s="133">
        <f t="shared" si="26"/>
        <v>1853.5768141704773</v>
      </c>
      <c r="O26" s="136">
        <f t="shared" si="26"/>
        <v>145.62061124617017</v>
      </c>
      <c r="P26" s="137">
        <f t="shared" ref="P26:P30" si="27">M26-J26</f>
        <v>0.25</v>
      </c>
      <c r="Q26" s="138">
        <f t="shared" ref="Q26:Q30" si="28">O26-L26</f>
        <v>-16.655029779470851</v>
      </c>
      <c r="R26" s="139">
        <f t="shared" ref="R26:R30" si="29">O26/L26</f>
        <v>0.89736580503269003</v>
      </c>
      <c r="S26" s="443"/>
      <c r="T26" s="140"/>
      <c r="U26" s="140"/>
      <c r="V26" s="145"/>
      <c r="W26" s="141"/>
      <c r="X26" s="142"/>
      <c r="Y26" s="142"/>
      <c r="Z26" s="427"/>
      <c r="AA26" s="424"/>
      <c r="AB26" s="118">
        <f>N26-K26</f>
        <v>-172.67318582952271</v>
      </c>
      <c r="AC26" s="185">
        <f>N26/K26</f>
        <v>0.91478189471707705</v>
      </c>
      <c r="AD26" s="414"/>
    </row>
    <row r="27" spans="1:30" ht="15" customHeight="1">
      <c r="A27" s="428" t="s">
        <v>44</v>
      </c>
      <c r="B27" s="227" t="s">
        <v>45</v>
      </c>
      <c r="C27" s="101"/>
      <c r="D27" s="102" t="s">
        <v>142</v>
      </c>
      <c r="E27" s="103"/>
      <c r="F27" s="197">
        <f>VLOOKUP(D27,廠價表!$C$1:$E$40,3,0)</f>
        <v>57.3</v>
      </c>
      <c r="G27" s="266">
        <v>2244</v>
      </c>
      <c r="H27" s="124">
        <f t="shared" ref="H27:H40" si="30">F27*G27</f>
        <v>128581.2</v>
      </c>
      <c r="I27" s="125"/>
      <c r="J27" s="16">
        <f>VLOOKUP(D27,產線配置圖!$A$3:$C$39,2,0)</f>
        <v>15</v>
      </c>
      <c r="K27" s="14">
        <f>VLOOKUP(D27,產線配置圖!$A$3:$C$39,3,0)</f>
        <v>1440</v>
      </c>
      <c r="L27" s="108">
        <f>K27/J27</f>
        <v>96</v>
      </c>
      <c r="M27" s="143">
        <v>14</v>
      </c>
      <c r="N27" s="126">
        <f>G27/W27*60</f>
        <v>1150.7692307692309</v>
      </c>
      <c r="O27" s="127">
        <f>N27/M27</f>
        <v>82.197802197802204</v>
      </c>
      <c r="P27" s="128">
        <f t="shared" si="27"/>
        <v>-1</v>
      </c>
      <c r="Q27" s="129">
        <f t="shared" si="28"/>
        <v>-13.802197802197796</v>
      </c>
      <c r="R27" s="187">
        <f>O27/L27</f>
        <v>0.85622710622710629</v>
      </c>
      <c r="S27" s="431">
        <f>R37</f>
        <v>0.89323082102686602</v>
      </c>
      <c r="T27" s="94">
        <v>0.29166666666666702</v>
      </c>
      <c r="U27" s="94">
        <v>0.37291666666666701</v>
      </c>
      <c r="V27" s="125"/>
      <c r="W27" s="130">
        <f t="shared" si="21"/>
        <v>116.99999999999999</v>
      </c>
      <c r="X27" s="125"/>
      <c r="Y27" s="125" t="s">
        <v>47</v>
      </c>
      <c r="Z27" s="434" t="s">
        <v>225</v>
      </c>
      <c r="AA27" s="425"/>
      <c r="AB27" s="223">
        <f>N27-K27</f>
        <v>-289.23076923076906</v>
      </c>
      <c r="AC27" s="288">
        <f>N27/K27</f>
        <v>0.7991452991452993</v>
      </c>
      <c r="AD27" s="411">
        <f>AC37</f>
        <v>0.80738198262340033</v>
      </c>
    </row>
    <row r="28" spans="1:30" ht="15" customHeight="1">
      <c r="A28" s="429"/>
      <c r="B28" s="56" t="s">
        <v>45</v>
      </c>
      <c r="C28" s="10"/>
      <c r="D28" s="11" t="s">
        <v>48</v>
      </c>
      <c r="E28" s="86"/>
      <c r="F28" s="56">
        <f>VLOOKUP(D28,廠價表!$C$1:$E$40,3,0)</f>
        <v>55.13</v>
      </c>
      <c r="G28" s="53">
        <v>1296</v>
      </c>
      <c r="H28" s="50">
        <f t="shared" si="30"/>
        <v>71448.48000000001</v>
      </c>
      <c r="I28" s="42"/>
      <c r="J28" s="16">
        <f>VLOOKUP(D28,產線配置圖!$A$3:$C$39,2,0)</f>
        <v>18</v>
      </c>
      <c r="K28" s="14">
        <f>VLOOKUP(D28,產線配置圖!$A$3:$C$39,3,0)</f>
        <v>1385</v>
      </c>
      <c r="L28" s="233">
        <f>K28/J28</f>
        <v>76.944444444444443</v>
      </c>
      <c r="M28" s="21">
        <v>18</v>
      </c>
      <c r="N28" s="36">
        <f>G28/W28*60</f>
        <v>1364.2105263157675</v>
      </c>
      <c r="O28" s="38">
        <f>N28/M28</f>
        <v>75.789473684209312</v>
      </c>
      <c r="P28" s="39">
        <f t="shared" si="27"/>
        <v>0</v>
      </c>
      <c r="Q28" s="40">
        <f t="shared" si="28"/>
        <v>-1.1549707602351305</v>
      </c>
      <c r="R28" s="188">
        <f t="shared" si="29"/>
        <v>0.98498954968647479</v>
      </c>
      <c r="S28" s="432"/>
      <c r="T28" s="267">
        <v>0.38333333333333303</v>
      </c>
      <c r="U28" s="267">
        <v>0.422916666666667</v>
      </c>
      <c r="V28" s="42">
        <f>(T28-U27)*24*60</f>
        <v>14.999999999999067</v>
      </c>
      <c r="W28" s="43">
        <f t="shared" si="21"/>
        <v>57.000000000000917</v>
      </c>
      <c r="X28" s="54"/>
      <c r="Y28" s="54"/>
      <c r="Z28" s="418"/>
      <c r="AA28" s="417"/>
      <c r="AB28" s="39">
        <f>N28-K28</f>
        <v>-20.789473684232462</v>
      </c>
      <c r="AC28" s="188">
        <f>N28/K28</f>
        <v>0.98498954968647479</v>
      </c>
      <c r="AD28" s="444"/>
    </row>
    <row r="29" spans="1:30" ht="15" customHeight="1">
      <c r="A29" s="429"/>
      <c r="B29" s="56" t="s">
        <v>182</v>
      </c>
      <c r="C29" s="10"/>
      <c r="D29" s="11" t="s">
        <v>166</v>
      </c>
      <c r="E29" s="86"/>
      <c r="F29" s="56">
        <f>VLOOKUP(D29,廠價表!$C$1:$E$40,3,0)</f>
        <v>49.52</v>
      </c>
      <c r="G29" s="53">
        <v>905</v>
      </c>
      <c r="H29" s="50">
        <f t="shared" si="30"/>
        <v>44815.600000000006</v>
      </c>
      <c r="I29" s="42"/>
      <c r="J29" s="16">
        <f>VLOOKUP(D29,產線配置圖!$A$3:$C$39,2,0)</f>
        <v>18</v>
      </c>
      <c r="K29" s="14">
        <f>VLOOKUP(D29,產線配置圖!$A$3:$C$39,3,0)</f>
        <v>1440</v>
      </c>
      <c r="L29" s="233">
        <f>K29/J29</f>
        <v>80</v>
      </c>
      <c r="M29" s="21">
        <v>15</v>
      </c>
      <c r="N29" s="36">
        <f>G29/W29*60</f>
        <v>1064.7058823529317</v>
      </c>
      <c r="O29" s="38">
        <f>N29/M29</f>
        <v>70.980392156862109</v>
      </c>
      <c r="P29" s="39">
        <f t="shared" si="27"/>
        <v>-3</v>
      </c>
      <c r="Q29" s="40">
        <f t="shared" si="28"/>
        <v>-9.0196078431378908</v>
      </c>
      <c r="R29" s="188">
        <f t="shared" si="29"/>
        <v>0.88725490196077639</v>
      </c>
      <c r="S29" s="432"/>
      <c r="T29" s="44">
        <v>0.43333333333333302</v>
      </c>
      <c r="U29" s="44">
        <v>0.46875</v>
      </c>
      <c r="V29" s="42">
        <f>(T29-U28)*24*60</f>
        <v>14.999999999999067</v>
      </c>
      <c r="W29" s="43">
        <f t="shared" si="21"/>
        <v>51.000000000000455</v>
      </c>
      <c r="X29" s="22"/>
      <c r="Y29" s="22"/>
      <c r="Z29" s="418"/>
      <c r="AA29" s="417"/>
      <c r="AB29" s="289">
        <f>N29-K29</f>
        <v>-375.29411764706833</v>
      </c>
      <c r="AC29" s="188">
        <f>N29/K29</f>
        <v>0.73937908496731364</v>
      </c>
      <c r="AD29" s="444"/>
    </row>
    <row r="30" spans="1:30" ht="15" customHeight="1">
      <c r="A30" s="429"/>
      <c r="B30" s="56" t="s">
        <v>182</v>
      </c>
      <c r="C30" s="235"/>
      <c r="D30" s="11" t="s">
        <v>166</v>
      </c>
      <c r="E30" s="29"/>
      <c r="F30" s="56">
        <f>VLOOKUP(D30,廠價表!$C$1:$E$40,3,0)</f>
        <v>49.52</v>
      </c>
      <c r="G30" s="53">
        <v>958</v>
      </c>
      <c r="H30" s="50">
        <f t="shared" si="30"/>
        <v>47440.160000000003</v>
      </c>
      <c r="I30" s="42"/>
      <c r="J30" s="16">
        <f>VLOOKUP(D30,產線配置圖!$A$3:$C$39,2,0)</f>
        <v>18</v>
      </c>
      <c r="K30" s="14">
        <f>VLOOKUP(D30,產線配置圖!$A$3:$C$39,3,0)</f>
        <v>1440</v>
      </c>
      <c r="L30" s="233">
        <f>K30/J30</f>
        <v>80</v>
      </c>
      <c r="M30" s="21">
        <v>15</v>
      </c>
      <c r="N30" s="36">
        <f>G30/W30*60</f>
        <v>1026.4285714285691</v>
      </c>
      <c r="O30" s="38">
        <f>N30/M30</f>
        <v>68.428571428571274</v>
      </c>
      <c r="P30" s="39">
        <f t="shared" si="27"/>
        <v>-3</v>
      </c>
      <c r="Q30" s="40">
        <f t="shared" si="28"/>
        <v>-11.571428571428726</v>
      </c>
      <c r="R30" s="188">
        <f t="shared" si="29"/>
        <v>0.85535714285714093</v>
      </c>
      <c r="S30" s="432"/>
      <c r="T30" s="44">
        <v>0.53125</v>
      </c>
      <c r="U30" s="44">
        <v>0.57013888888888897</v>
      </c>
      <c r="V30" s="42">
        <f>(T30-U29)*24*60</f>
        <v>90</v>
      </c>
      <c r="W30" s="43">
        <f t="shared" si="21"/>
        <v>56.000000000000121</v>
      </c>
      <c r="X30" s="54">
        <v>0.50694444444444398</v>
      </c>
      <c r="Y30" s="54">
        <v>0.54861111111111105</v>
      </c>
      <c r="Z30" s="426"/>
      <c r="AA30" s="446"/>
      <c r="AB30" s="289">
        <f>N30-K30</f>
        <v>-413.57142857143094</v>
      </c>
      <c r="AC30" s="188">
        <f>N30/K30</f>
        <v>0.7127976190476174</v>
      </c>
      <c r="AD30" s="445"/>
    </row>
    <row r="31" spans="1:30" ht="15" customHeight="1">
      <c r="A31" s="429"/>
      <c r="B31" s="56"/>
      <c r="C31" s="235"/>
      <c r="D31" s="11"/>
      <c r="E31" s="29"/>
      <c r="F31" s="56"/>
      <c r="G31" s="53"/>
      <c r="H31" s="50"/>
      <c r="I31" s="42"/>
      <c r="J31" s="16"/>
      <c r="K31" s="14"/>
      <c r="L31" s="233"/>
      <c r="M31" s="21"/>
      <c r="N31" s="36"/>
      <c r="O31" s="38"/>
      <c r="P31" s="39"/>
      <c r="Q31" s="40"/>
      <c r="R31" s="188"/>
      <c r="S31" s="432"/>
      <c r="T31" s="44"/>
      <c r="U31" s="44"/>
      <c r="V31" s="42"/>
      <c r="W31" s="43">
        <f t="shared" si="21"/>
        <v>0</v>
      </c>
      <c r="X31" s="54"/>
      <c r="Y31" s="54"/>
      <c r="Z31" s="426"/>
      <c r="AA31" s="446"/>
      <c r="AB31" s="254"/>
      <c r="AC31" s="255"/>
      <c r="AD31" s="413"/>
    </row>
    <row r="32" spans="1:30" ht="15" customHeight="1">
      <c r="A32" s="429"/>
      <c r="B32" s="56"/>
      <c r="C32" s="249"/>
      <c r="D32" s="250"/>
      <c r="E32" s="251"/>
      <c r="F32" s="56"/>
      <c r="G32" s="53"/>
      <c r="H32" s="50"/>
      <c r="I32" s="42"/>
      <c r="J32" s="252"/>
      <c r="K32" s="36"/>
      <c r="L32" s="253"/>
      <c r="M32" s="21"/>
      <c r="N32" s="36"/>
      <c r="O32" s="38"/>
      <c r="P32" s="39"/>
      <c r="Q32" s="40"/>
      <c r="R32" s="188"/>
      <c r="S32" s="432"/>
      <c r="T32" s="44"/>
      <c r="U32" s="44"/>
      <c r="V32" s="42"/>
      <c r="W32" s="43">
        <f t="shared" si="21"/>
        <v>0</v>
      </c>
      <c r="X32" s="54"/>
      <c r="Y32" s="54"/>
      <c r="Z32" s="418"/>
      <c r="AA32" s="405"/>
      <c r="AB32" s="18"/>
      <c r="AC32" s="183"/>
      <c r="AD32" s="413"/>
    </row>
    <row r="33" spans="1:30" ht="15" customHeight="1">
      <c r="A33" s="429"/>
      <c r="B33" s="237"/>
      <c r="C33" s="238"/>
      <c r="D33" s="239"/>
      <c r="E33" s="240"/>
      <c r="F33" s="221"/>
      <c r="G33" s="241"/>
      <c r="H33" s="242"/>
      <c r="I33" s="243"/>
      <c r="J33" s="244"/>
      <c r="K33" s="45"/>
      <c r="M33" s="245"/>
      <c r="N33" s="45"/>
      <c r="O33" s="46"/>
      <c r="P33" s="47"/>
      <c r="Q33" s="48"/>
      <c r="R33" s="49"/>
      <c r="S33" s="432"/>
      <c r="T33" s="41"/>
      <c r="U33" s="41"/>
      <c r="V33" s="42"/>
      <c r="W33" s="43">
        <f t="shared" si="21"/>
        <v>0</v>
      </c>
      <c r="X33" s="54"/>
      <c r="Y33" s="54"/>
      <c r="Z33" s="418"/>
      <c r="AA33" s="405"/>
      <c r="AB33" s="18"/>
      <c r="AC33" s="57"/>
      <c r="AD33" s="413"/>
    </row>
    <row r="34" spans="1:30" ht="15" customHeight="1">
      <c r="A34" s="429"/>
      <c r="B34" s="229"/>
      <c r="C34" s="27"/>
      <c r="D34" s="28"/>
      <c r="E34" s="29"/>
      <c r="F34" s="13"/>
      <c r="G34" s="53"/>
      <c r="H34" s="50"/>
      <c r="I34" s="42"/>
      <c r="J34" s="37"/>
      <c r="K34" s="36"/>
      <c r="L34" s="38"/>
      <c r="M34" s="21"/>
      <c r="N34" s="36"/>
      <c r="O34" s="38"/>
      <c r="P34" s="39"/>
      <c r="Q34" s="40"/>
      <c r="R34" s="188"/>
      <c r="S34" s="432"/>
      <c r="T34" s="41"/>
      <c r="U34" s="41"/>
      <c r="V34" s="42"/>
      <c r="W34" s="43">
        <f t="shared" si="21"/>
        <v>0</v>
      </c>
      <c r="X34" s="54"/>
      <c r="Y34" s="54"/>
      <c r="Z34" s="418"/>
      <c r="AA34" s="405"/>
      <c r="AB34" s="18"/>
      <c r="AC34" s="57"/>
      <c r="AD34" s="413"/>
    </row>
    <row r="35" spans="1:30" ht="15" customHeight="1">
      <c r="A35" s="429"/>
      <c r="B35" s="229"/>
      <c r="C35" s="27"/>
      <c r="D35" s="28"/>
      <c r="E35" s="29"/>
      <c r="F35" s="13"/>
      <c r="G35" s="53"/>
      <c r="H35" s="50">
        <f t="shared" si="30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88"/>
      <c r="S35" s="432"/>
      <c r="T35" s="41"/>
      <c r="U35" s="41"/>
      <c r="V35" s="42"/>
      <c r="W35" s="43">
        <f t="shared" si="21"/>
        <v>0</v>
      </c>
      <c r="X35" s="54"/>
      <c r="Y35" s="54"/>
      <c r="Z35" s="418"/>
      <c r="AA35" s="405"/>
      <c r="AB35" s="18"/>
      <c r="AC35" s="57"/>
      <c r="AD35" s="413"/>
    </row>
    <row r="36" spans="1:30" ht="15" customHeight="1">
      <c r="A36" s="429"/>
      <c r="B36" s="230"/>
      <c r="C36" s="27"/>
      <c r="D36" s="28"/>
      <c r="E36" s="29"/>
      <c r="F36" s="13"/>
      <c r="G36" s="53"/>
      <c r="H36" s="50">
        <f t="shared" si="30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88"/>
      <c r="S36" s="432"/>
      <c r="T36" s="41"/>
      <c r="U36" s="41"/>
      <c r="V36" s="42"/>
      <c r="W36" s="43">
        <f t="shared" si="21"/>
        <v>0</v>
      </c>
      <c r="X36" s="54"/>
      <c r="Y36" s="54"/>
      <c r="Z36" s="418"/>
      <c r="AA36" s="405"/>
      <c r="AB36" s="18"/>
      <c r="AC36" s="57"/>
      <c r="AD36" s="413"/>
    </row>
    <row r="37" spans="1:30" ht="15" customHeight="1">
      <c r="A37" s="430"/>
      <c r="B37" s="294"/>
      <c r="C37" s="295" t="s">
        <v>51</v>
      </c>
      <c r="D37" s="435" t="s">
        <v>38</v>
      </c>
      <c r="E37" s="436"/>
      <c r="F37" s="278"/>
      <c r="G37" s="279"/>
      <c r="H37" s="280"/>
      <c r="I37" s="281"/>
      <c r="J37" s="282">
        <f t="shared" ref="J37:O37" si="31">AVERAGE(J27:J36)</f>
        <v>17.25</v>
      </c>
      <c r="K37" s="282">
        <f t="shared" si="31"/>
        <v>1426.25</v>
      </c>
      <c r="L37" s="283">
        <f t="shared" si="31"/>
        <v>83.236111111111114</v>
      </c>
      <c r="M37" s="282">
        <f t="shared" si="31"/>
        <v>15.5</v>
      </c>
      <c r="N37" s="282">
        <f t="shared" si="31"/>
        <v>1151.5285527166247</v>
      </c>
      <c r="O37" s="283">
        <f t="shared" si="31"/>
        <v>74.349059866861225</v>
      </c>
      <c r="P37" s="73">
        <f>M37-J37</f>
        <v>-1.75</v>
      </c>
      <c r="Q37" s="74">
        <f>N37-K37</f>
        <v>-274.72144728337526</v>
      </c>
      <c r="R37" s="284">
        <f t="shared" ref="R37:R40" si="32">O37/L37</f>
        <v>0.89323082102686602</v>
      </c>
      <c r="S37" s="433"/>
      <c r="T37" s="296"/>
      <c r="U37" s="296"/>
      <c r="V37" s="81"/>
      <c r="W37" s="81"/>
      <c r="X37" s="297"/>
      <c r="Y37" s="297"/>
      <c r="Z37" s="437"/>
      <c r="AA37" s="438"/>
      <c r="AB37" s="34">
        <f t="shared" ref="AB37:AB40" si="33">N37-K37</f>
        <v>-274.72144728337526</v>
      </c>
      <c r="AC37" s="184">
        <f t="shared" ref="AC37:AC40" si="34">N37/K37</f>
        <v>0.80738198262340033</v>
      </c>
      <c r="AD37" s="413"/>
    </row>
    <row r="38" spans="1:30" ht="15" customHeight="1">
      <c r="A38" s="457" t="s">
        <v>52</v>
      </c>
      <c r="B38" s="227" t="s">
        <v>45</v>
      </c>
      <c r="C38" s="197"/>
      <c r="D38" s="298" t="s">
        <v>53</v>
      </c>
      <c r="E38" s="277"/>
      <c r="F38" s="299">
        <f>VLOOKUP(D38,廠價表!$C$1:$E$40,3,0)</f>
        <v>57.3</v>
      </c>
      <c r="G38" s="263">
        <v>1529</v>
      </c>
      <c r="H38" s="124">
        <f t="shared" si="30"/>
        <v>87611.7</v>
      </c>
      <c r="I38" s="125"/>
      <c r="J38" s="271">
        <f>VLOOKUP(D38,產線配置圖!$A$3:$C$39,2,0)</f>
        <v>15</v>
      </c>
      <c r="K38" s="234">
        <f>VLOOKUP(D38,產線配置圖!$A$3:$C$39,3,0)</f>
        <v>1385</v>
      </c>
      <c r="L38" s="285">
        <f t="shared" ref="L38:L40" si="35">K38/J38</f>
        <v>92.333333333333329</v>
      </c>
      <c r="M38" s="286">
        <v>12</v>
      </c>
      <c r="N38" s="126">
        <f>G38/W38*60</f>
        <v>1030.7865168539417</v>
      </c>
      <c r="O38" s="127">
        <f>N38/M38</f>
        <v>85.898876404495141</v>
      </c>
      <c r="P38" s="128">
        <f t="shared" ref="P38:P40" si="36">M38-J38</f>
        <v>-3</v>
      </c>
      <c r="Q38" s="129">
        <f t="shared" ref="Q38:Q40" si="37">O38-L38</f>
        <v>-6.4344569288381877</v>
      </c>
      <c r="R38" s="187">
        <f t="shared" si="32"/>
        <v>0.93031274084290771</v>
      </c>
      <c r="S38" s="460">
        <f>R48</f>
        <v>0.85112611836549412</v>
      </c>
      <c r="T38" s="348">
        <v>0.33263888888888898</v>
      </c>
      <c r="U38" s="348">
        <v>0.39444444444444399</v>
      </c>
      <c r="V38" s="146"/>
      <c r="W38" s="150">
        <f t="shared" si="21"/>
        <v>88.999999999999204</v>
      </c>
      <c r="X38" s="148"/>
      <c r="Y38" s="151"/>
      <c r="Z38" s="462"/>
      <c r="AA38" s="463"/>
      <c r="AB38" s="287">
        <f t="shared" si="33"/>
        <v>-354.21348314605825</v>
      </c>
      <c r="AC38" s="152">
        <f t="shared" si="34"/>
        <v>0.74425019267432613</v>
      </c>
      <c r="AD38" s="447">
        <f>AC48</f>
        <v>0.73497962598811273</v>
      </c>
    </row>
    <row r="39" spans="1:30" ht="15" customHeight="1">
      <c r="A39" s="458"/>
      <c r="B39" s="56" t="s">
        <v>45</v>
      </c>
      <c r="C39" s="274"/>
      <c r="D39" s="276" t="s">
        <v>54</v>
      </c>
      <c r="E39" s="275"/>
      <c r="F39" s="56">
        <f>VLOOKUP(D39,廠價表!$C$1:$E$40,3,0)</f>
        <v>56.43</v>
      </c>
      <c r="G39" s="273">
        <v>1217</v>
      </c>
      <c r="H39" s="50">
        <f t="shared" si="30"/>
        <v>68675.31</v>
      </c>
      <c r="I39" s="64"/>
      <c r="J39" s="37">
        <f>VLOOKUP(D39,產線配置圖!$A$3:$C$39,2,0)</f>
        <v>15</v>
      </c>
      <c r="K39" s="36">
        <f>VLOOKUP(D39,產線配置圖!$A$3:$C$39,3,0)</f>
        <v>1406</v>
      </c>
      <c r="L39" s="38">
        <f t="shared" si="35"/>
        <v>93.733333333333334</v>
      </c>
      <c r="M39" s="65">
        <v>13</v>
      </c>
      <c r="N39" s="66">
        <f>G39/W39*60</f>
        <v>811.33333333333337</v>
      </c>
      <c r="O39" s="67">
        <f t="shared" ref="O39:O40" si="38">N39/M39</f>
        <v>62.410256410256416</v>
      </c>
      <c r="P39" s="39">
        <f t="shared" si="36"/>
        <v>-2</v>
      </c>
      <c r="Q39" s="40">
        <f t="shared" si="37"/>
        <v>-31.323076923076918</v>
      </c>
      <c r="R39" s="188">
        <f t="shared" si="32"/>
        <v>0.66582777109092905</v>
      </c>
      <c r="S39" s="461"/>
      <c r="T39" s="349">
        <v>0.39930555555555602</v>
      </c>
      <c r="U39" s="349">
        <v>0.46180555555555602</v>
      </c>
      <c r="V39" s="42">
        <f>(T39-U38)*24*60</f>
        <v>7.000000000001334</v>
      </c>
      <c r="W39" s="69">
        <f t="shared" si="21"/>
        <v>90</v>
      </c>
      <c r="X39" s="22"/>
      <c r="Y39" s="22"/>
      <c r="Z39" s="450" t="s">
        <v>220</v>
      </c>
      <c r="AA39" s="451"/>
      <c r="AB39" s="268">
        <f t="shared" si="33"/>
        <v>-594.66666666666663</v>
      </c>
      <c r="AC39" s="61">
        <f t="shared" si="34"/>
        <v>0.57705073494547177</v>
      </c>
      <c r="AD39" s="448"/>
    </row>
    <row r="40" spans="1:30" ht="15" customHeight="1">
      <c r="A40" s="458"/>
      <c r="B40" s="56" t="s">
        <v>182</v>
      </c>
      <c r="C40" s="272"/>
      <c r="D40" s="276" t="s">
        <v>167</v>
      </c>
      <c r="E40" s="240"/>
      <c r="F40" s="56">
        <f>VLOOKUP(D40,廠價表!$C$1:$E$40,3,0)</f>
        <v>44.3</v>
      </c>
      <c r="G40" s="273">
        <v>2007</v>
      </c>
      <c r="H40" s="50">
        <f t="shared" si="30"/>
        <v>88910.099999999991</v>
      </c>
      <c r="I40" s="64"/>
      <c r="J40" s="37">
        <f>VLOOKUP(D40,產線配置圖!$A$3:$C$39,2,0)</f>
        <v>19</v>
      </c>
      <c r="K40" s="36">
        <f>VLOOKUP(D40,產線配置圖!$A$3:$C$39,3,0)</f>
        <v>1440</v>
      </c>
      <c r="L40" s="38">
        <f t="shared" si="35"/>
        <v>75.78947368421052</v>
      </c>
      <c r="M40" s="65">
        <v>17</v>
      </c>
      <c r="N40" s="66">
        <f>G40/W40*60</f>
        <v>1267.5789473684297</v>
      </c>
      <c r="O40" s="67">
        <f t="shared" si="38"/>
        <v>74.563467492260571</v>
      </c>
      <c r="P40" s="39">
        <f t="shared" si="36"/>
        <v>-2</v>
      </c>
      <c r="Q40" s="40">
        <f t="shared" si="37"/>
        <v>-1.2260061919499492</v>
      </c>
      <c r="R40" s="188">
        <f t="shared" si="32"/>
        <v>0.98382352941177154</v>
      </c>
      <c r="S40" s="420"/>
      <c r="T40" s="349">
        <v>0.55555555555555602</v>
      </c>
      <c r="U40" s="349">
        <v>0.62152777777777779</v>
      </c>
      <c r="V40" s="42">
        <f>(T40-U39)*24*60</f>
        <v>135</v>
      </c>
      <c r="W40" s="69">
        <f t="shared" si="21"/>
        <v>94.999999999999346</v>
      </c>
      <c r="X40" s="70">
        <v>0.46875</v>
      </c>
      <c r="Y40" s="256">
        <v>0.51041666666666696</v>
      </c>
      <c r="Z40" s="450"/>
      <c r="AA40" s="451"/>
      <c r="AB40" s="268">
        <f t="shared" si="33"/>
        <v>-172.42105263157032</v>
      </c>
      <c r="AC40" s="61">
        <f t="shared" si="34"/>
        <v>0.88026315789474285</v>
      </c>
      <c r="AD40" s="448"/>
    </row>
    <row r="41" spans="1:30" ht="15" customHeight="1">
      <c r="A41" s="458"/>
      <c r="B41" s="56"/>
      <c r="C41" s="272"/>
      <c r="D41" s="276"/>
      <c r="E41" s="240"/>
      <c r="F41" s="56"/>
      <c r="G41" s="273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88"/>
      <c r="S41" s="420"/>
      <c r="T41" s="349"/>
      <c r="U41" s="349"/>
      <c r="V41" s="42"/>
      <c r="W41" s="69">
        <f t="shared" si="21"/>
        <v>0</v>
      </c>
      <c r="X41" s="70"/>
      <c r="Y41" s="256"/>
      <c r="Z41" s="450"/>
      <c r="AA41" s="451"/>
      <c r="AB41" s="268"/>
      <c r="AC41" s="61"/>
      <c r="AD41" s="448"/>
    </row>
    <row r="42" spans="1:30" ht="15" customHeight="1">
      <c r="A42" s="458"/>
      <c r="B42" s="56"/>
      <c r="C42" s="23"/>
      <c r="D42" s="276"/>
      <c r="E42" s="12"/>
      <c r="F42" s="56"/>
      <c r="G42" s="273"/>
      <c r="H42" s="50"/>
      <c r="I42" s="64"/>
      <c r="J42" s="37"/>
      <c r="K42" s="36"/>
      <c r="L42" s="38"/>
      <c r="M42" s="65"/>
      <c r="N42" s="66"/>
      <c r="O42" s="67"/>
      <c r="P42" s="39"/>
      <c r="Q42" s="40"/>
      <c r="R42" s="188"/>
      <c r="S42" s="420"/>
      <c r="T42" s="350"/>
      <c r="U42" s="350"/>
      <c r="V42" s="42"/>
      <c r="W42" s="69">
        <f t="shared" si="21"/>
        <v>0</v>
      </c>
      <c r="X42" s="70"/>
      <c r="Y42" s="60"/>
      <c r="Z42" s="452"/>
      <c r="AA42" s="453"/>
      <c r="AB42" s="268"/>
      <c r="AC42" s="61"/>
      <c r="AD42" s="448"/>
    </row>
    <row r="43" spans="1:30" ht="15" customHeight="1">
      <c r="A43" s="458"/>
      <c r="B43" s="228"/>
      <c r="C43" s="23"/>
      <c r="D43" s="11"/>
      <c r="E43" s="12"/>
      <c r="F43" s="13"/>
      <c r="G43" s="99"/>
      <c r="H43" s="63"/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420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48"/>
    </row>
    <row r="44" spans="1:30" ht="15" customHeight="1">
      <c r="A44" s="458"/>
      <c r="B44" s="228"/>
      <c r="C44" s="181"/>
      <c r="D44" s="11"/>
      <c r="E44" s="12"/>
      <c r="F44" s="13"/>
      <c r="G44" s="99"/>
      <c r="H44" s="63"/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420"/>
      <c r="T44" s="59"/>
      <c r="U44" s="59"/>
      <c r="V44" s="64"/>
      <c r="W44" s="69">
        <f t="shared" ref="W44:W48" si="39">(U44-T44)*24*60</f>
        <v>0</v>
      </c>
      <c r="X44" s="70"/>
      <c r="Y44" s="67"/>
      <c r="Z44" s="405"/>
      <c r="AA44" s="405"/>
      <c r="AB44" s="71"/>
      <c r="AC44" s="61"/>
      <c r="AD44" s="448"/>
    </row>
    <row r="45" spans="1:30" ht="15" customHeight="1">
      <c r="A45" s="458"/>
      <c r="B45" s="229"/>
      <c r="C45" s="27"/>
      <c r="D45" s="28"/>
      <c r="E45" s="29"/>
      <c r="F45" s="13"/>
      <c r="G45" s="66"/>
      <c r="H45" s="63">
        <f t="shared" ref="H45:H47" si="40">F45*G45</f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420"/>
      <c r="T45" s="75"/>
      <c r="U45" s="75"/>
      <c r="V45" s="64"/>
      <c r="W45" s="69">
        <f t="shared" si="39"/>
        <v>0</v>
      </c>
      <c r="X45" s="70"/>
      <c r="Y45" s="67"/>
      <c r="Z45" s="405"/>
      <c r="AA45" s="405"/>
      <c r="AB45" s="71"/>
      <c r="AC45" s="61"/>
      <c r="AD45" s="448"/>
    </row>
    <row r="46" spans="1:30" ht="15" customHeight="1">
      <c r="A46" s="458"/>
      <c r="B46" s="229"/>
      <c r="C46" s="27"/>
      <c r="D46" s="28"/>
      <c r="E46" s="29"/>
      <c r="F46" s="13"/>
      <c r="G46" s="66"/>
      <c r="H46" s="63">
        <f t="shared" si="40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420"/>
      <c r="T46" s="59"/>
      <c r="U46" s="59"/>
      <c r="V46" s="64"/>
      <c r="W46" s="69">
        <f t="shared" si="39"/>
        <v>0</v>
      </c>
      <c r="X46" s="70"/>
      <c r="Y46" s="67"/>
      <c r="Z46" s="405"/>
      <c r="AA46" s="405"/>
      <c r="AB46" s="71"/>
      <c r="AC46" s="61"/>
      <c r="AD46" s="448"/>
    </row>
    <row r="47" spans="1:30" ht="15" customHeight="1">
      <c r="A47" s="458"/>
      <c r="B47" s="228"/>
      <c r="C47" s="27"/>
      <c r="D47" s="28"/>
      <c r="E47" s="29"/>
      <c r="F47" s="13"/>
      <c r="G47" s="66"/>
      <c r="H47" s="63">
        <f t="shared" si="40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420"/>
      <c r="T47" s="75"/>
      <c r="U47" s="75"/>
      <c r="V47" s="64"/>
      <c r="W47" s="69">
        <f t="shared" si="39"/>
        <v>0</v>
      </c>
      <c r="X47" s="70"/>
      <c r="Y47" s="67"/>
      <c r="Z47" s="405"/>
      <c r="AA47" s="405"/>
      <c r="AB47" s="71"/>
      <c r="AC47" s="61"/>
      <c r="AD47" s="448"/>
    </row>
    <row r="48" spans="1:30" ht="15" customHeight="1">
      <c r="A48" s="459"/>
      <c r="B48" s="154"/>
      <c r="C48" s="1" t="s">
        <v>56</v>
      </c>
      <c r="D48" s="406" t="s">
        <v>38</v>
      </c>
      <c r="E48" s="406"/>
      <c r="F48" s="132"/>
      <c r="G48" s="144"/>
      <c r="H48" s="134"/>
      <c r="I48" s="135"/>
      <c r="J48" s="133">
        <f t="shared" ref="J48:O48" si="41">AVERAGE(J38:J47)</f>
        <v>16.333333333333332</v>
      </c>
      <c r="K48" s="133">
        <f t="shared" si="41"/>
        <v>1410.3333333333333</v>
      </c>
      <c r="L48" s="136">
        <f t="shared" si="41"/>
        <v>87.285380116959061</v>
      </c>
      <c r="M48" s="133">
        <f t="shared" si="41"/>
        <v>14</v>
      </c>
      <c r="N48" s="133">
        <f t="shared" si="41"/>
        <v>1036.5662658519016</v>
      </c>
      <c r="O48" s="136">
        <f t="shared" si="41"/>
        <v>74.29086676900404</v>
      </c>
      <c r="P48" s="155">
        <f>M48-J48</f>
        <v>-2.3333333333333321</v>
      </c>
      <c r="Q48" s="156">
        <f>N48-K48</f>
        <v>-373.7670674814317</v>
      </c>
      <c r="R48" s="157">
        <f t="shared" ref="R48:R52" si="42">O48/L48</f>
        <v>0.85112611836549412</v>
      </c>
      <c r="S48" s="423"/>
      <c r="T48" s="158"/>
      <c r="U48" s="158"/>
      <c r="V48" s="194"/>
      <c r="W48" s="159">
        <f t="shared" si="39"/>
        <v>0</v>
      </c>
      <c r="X48" s="160"/>
      <c r="Y48" s="160"/>
      <c r="Z48" s="424"/>
      <c r="AA48" s="424"/>
      <c r="AB48" s="161">
        <f t="shared" ref="AB48:AB53" si="43">N48-K48</f>
        <v>-373.7670674814317</v>
      </c>
      <c r="AC48" s="189">
        <f t="shared" ref="AC48:AC53" si="44">N48/K48</f>
        <v>0.73497962598811273</v>
      </c>
      <c r="AD48" s="449"/>
    </row>
    <row r="49" spans="1:30" ht="15" customHeight="1">
      <c r="A49" s="454" t="s">
        <v>57</v>
      </c>
      <c r="B49" s="197" t="s">
        <v>45</v>
      </c>
      <c r="C49" s="101"/>
      <c r="D49" s="102" t="s">
        <v>58</v>
      </c>
      <c r="E49" s="103"/>
      <c r="F49" s="197">
        <f>VLOOKUP(D49,廠價表!$C$1:$E$40,3,0)</f>
        <v>56.87</v>
      </c>
      <c r="G49" s="147">
        <v>1367</v>
      </c>
      <c r="H49" s="124">
        <f t="shared" ref="H49:H57" si="45">F49*G49</f>
        <v>77741.289999999994</v>
      </c>
      <c r="I49" s="125"/>
      <c r="J49" s="16">
        <f>VLOOKUP(D49,產線配置圖!$A$3:$C$39,2,0)</f>
        <v>19</v>
      </c>
      <c r="K49" s="14">
        <f>VLOOKUP(D49,產線配置圖!$A$3:$C$39,3,0)</f>
        <v>1565</v>
      </c>
      <c r="L49" s="108">
        <f>K49/J49</f>
        <v>82.368421052631575</v>
      </c>
      <c r="M49" s="143">
        <v>19</v>
      </c>
      <c r="N49" s="126">
        <f>G49/W49*60</f>
        <v>1491.2727272727457</v>
      </c>
      <c r="O49" s="127">
        <f>N49/M49</f>
        <v>78.488038277512928</v>
      </c>
      <c r="P49" s="162">
        <f>M49-J49</f>
        <v>0</v>
      </c>
      <c r="Q49" s="111">
        <f>O49-L49</f>
        <v>-3.8803827751186475</v>
      </c>
      <c r="R49" s="182">
        <f t="shared" si="42"/>
        <v>0.95288992158002916</v>
      </c>
      <c r="S49" s="419">
        <f>R58</f>
        <v>0.90794139235997984</v>
      </c>
      <c r="T49" s="348">
        <v>0.29166666666666702</v>
      </c>
      <c r="U49" s="348">
        <v>0.32986111111111099</v>
      </c>
      <c r="V49" s="186"/>
      <c r="W49" s="150">
        <f t="shared" si="21"/>
        <v>54.999999999999325</v>
      </c>
      <c r="X49" s="186"/>
      <c r="Y49" s="186"/>
      <c r="Z49" s="425"/>
      <c r="AA49" s="425"/>
      <c r="AB49" s="110">
        <f t="shared" si="43"/>
        <v>-73.727272727254331</v>
      </c>
      <c r="AC49" s="182">
        <f t="shared" si="44"/>
        <v>0.95288992158002916</v>
      </c>
      <c r="AD49" s="411">
        <f>AC58</f>
        <v>0.91036664512992305</v>
      </c>
    </row>
    <row r="50" spans="1:30" ht="15" customHeight="1">
      <c r="A50" s="455"/>
      <c r="B50" s="56" t="s">
        <v>182</v>
      </c>
      <c r="C50" s="10"/>
      <c r="D50" s="11" t="s">
        <v>46</v>
      </c>
      <c r="E50" s="86"/>
      <c r="F50" s="56">
        <f>VLOOKUP(D50,廠價表!$C$1:$E$40,3,0)</f>
        <v>49.91</v>
      </c>
      <c r="G50" s="66">
        <v>1977</v>
      </c>
      <c r="H50" s="76">
        <f t="shared" si="45"/>
        <v>98672.069999999992</v>
      </c>
      <c r="I50" s="191"/>
      <c r="J50" s="16">
        <f>VLOOKUP(D50,產線配置圖!$A$3:$C$39,2,0)</f>
        <v>17</v>
      </c>
      <c r="K50" s="14">
        <f>VLOOKUP(D50,產線配置圖!$A$3:$C$39,3,0)</f>
        <v>1565</v>
      </c>
      <c r="L50" s="17">
        <f>K50/J50</f>
        <v>92.058823529411768</v>
      </c>
      <c r="M50" s="172">
        <v>17</v>
      </c>
      <c r="N50" s="77">
        <f>G50/W50*60</f>
        <v>1222.8865979381467</v>
      </c>
      <c r="O50" s="78">
        <f>N50/M50</f>
        <v>71.934505761067456</v>
      </c>
      <c r="P50" s="18">
        <f>M50-J50</f>
        <v>0</v>
      </c>
      <c r="Q50" s="19">
        <f>O50-L50</f>
        <v>-20.124317768344312</v>
      </c>
      <c r="R50" s="183">
        <f t="shared" si="42"/>
        <v>0.78139718718092444</v>
      </c>
      <c r="S50" s="420"/>
      <c r="T50" s="351">
        <v>0.33680555555555602</v>
      </c>
      <c r="U50" s="351">
        <v>0.40416666666666701</v>
      </c>
      <c r="V50" s="175">
        <f t="shared" ref="V50:V52" si="46">(T50-U49)*24*60</f>
        <v>10.000000000000844</v>
      </c>
      <c r="W50" s="80">
        <f t="shared" si="21"/>
        <v>96.999999999999815</v>
      </c>
      <c r="X50" s="22"/>
      <c r="Y50" s="22"/>
      <c r="Z50" s="417" t="s">
        <v>222</v>
      </c>
      <c r="AA50" s="418"/>
      <c r="AB50" s="18">
        <f t="shared" si="43"/>
        <v>-342.11340206185332</v>
      </c>
      <c r="AC50" s="183">
        <f t="shared" si="44"/>
        <v>0.78139718718092444</v>
      </c>
      <c r="AD50" s="412"/>
    </row>
    <row r="51" spans="1:30" ht="15" customHeight="1">
      <c r="A51" s="455"/>
      <c r="B51" s="56" t="s">
        <v>45</v>
      </c>
      <c r="C51" s="10"/>
      <c r="D51" s="11" t="s">
        <v>59</v>
      </c>
      <c r="E51" s="86"/>
      <c r="F51" s="56">
        <f>VLOOKUP(D51,廠價表!$C$1:$E$40,3,0)</f>
        <v>49.97</v>
      </c>
      <c r="G51" s="66">
        <v>1883</v>
      </c>
      <c r="H51" s="76">
        <f t="shared" si="45"/>
        <v>94093.51</v>
      </c>
      <c r="I51" s="191"/>
      <c r="J51" s="16">
        <f>VLOOKUP(D51,產線配置圖!$A$3:$C$39,2,0)</f>
        <v>18</v>
      </c>
      <c r="K51" s="14">
        <f>VLOOKUP(D51,產線配置圖!$A$3:$C$39,3,0)</f>
        <v>1600</v>
      </c>
      <c r="L51" s="17">
        <f>K51/J51</f>
        <v>88.888888888888886</v>
      </c>
      <c r="M51" s="172">
        <v>18</v>
      </c>
      <c r="N51" s="77">
        <f>G51/W51*60</f>
        <v>1448.4615384615288</v>
      </c>
      <c r="O51" s="78">
        <f>N51/M51</f>
        <v>80.470085470084939</v>
      </c>
      <c r="P51" s="18">
        <f>M51-J51</f>
        <v>0</v>
      </c>
      <c r="Q51" s="19">
        <f>O51-L51</f>
        <v>-8.4188034188039467</v>
      </c>
      <c r="R51" s="183">
        <f t="shared" si="42"/>
        <v>0.90528846153845555</v>
      </c>
      <c r="S51" s="420"/>
      <c r="T51" s="351">
        <v>0.41111111111111098</v>
      </c>
      <c r="U51" s="44">
        <v>0.46527777777777801</v>
      </c>
      <c r="V51" s="175">
        <f t="shared" si="46"/>
        <v>9.999999999999325</v>
      </c>
      <c r="W51" s="80">
        <f t="shared" si="21"/>
        <v>78.000000000000526</v>
      </c>
      <c r="X51" s="22"/>
      <c r="Y51" s="22"/>
      <c r="Z51" s="405"/>
      <c r="AA51" s="405"/>
      <c r="AB51" s="18">
        <f t="shared" si="43"/>
        <v>-151.53846153847121</v>
      </c>
      <c r="AC51" s="183">
        <f t="shared" si="44"/>
        <v>0.90528846153845555</v>
      </c>
      <c r="AD51" s="412"/>
    </row>
    <row r="52" spans="1:30" ht="15" customHeight="1">
      <c r="A52" s="455"/>
      <c r="B52" s="56" t="s">
        <v>45</v>
      </c>
      <c r="C52" s="23"/>
      <c r="D52" s="11" t="s">
        <v>59</v>
      </c>
      <c r="E52" s="12"/>
      <c r="F52" s="56">
        <f>VLOOKUP(D52,廠價表!$C$1:$E$40,3,0)</f>
        <v>49.97</v>
      </c>
      <c r="G52" s="66">
        <v>2000</v>
      </c>
      <c r="H52" s="76">
        <f t="shared" si="45"/>
        <v>99940</v>
      </c>
      <c r="I52" s="191"/>
      <c r="J52" s="16">
        <f>VLOOKUP(D52,產線配置圖!$A$3:$C$39,2,0)</f>
        <v>18</v>
      </c>
      <c r="K52" s="14">
        <f>VLOOKUP(D52,產線配置圖!$A$3:$C$39,3,0)</f>
        <v>1600</v>
      </c>
      <c r="L52" s="17">
        <f>K52/J52</f>
        <v>88.888888888888886</v>
      </c>
      <c r="M52" s="172">
        <v>18</v>
      </c>
      <c r="N52" s="77">
        <f>G52/W52*60</f>
        <v>1599.9999999999923</v>
      </c>
      <c r="O52" s="78">
        <f>N52/M52</f>
        <v>88.888888888888459</v>
      </c>
      <c r="P52" s="18">
        <f>M52-J52</f>
        <v>0</v>
      </c>
      <c r="Q52" s="19">
        <f>O52-L52</f>
        <v>-4.2632564145606011E-13</v>
      </c>
      <c r="R52" s="183">
        <f t="shared" si="42"/>
        <v>0.99999999999999523</v>
      </c>
      <c r="S52" s="420"/>
      <c r="T52" s="351">
        <v>0.53472222222222199</v>
      </c>
      <c r="U52" s="351">
        <v>0.58680555555555558</v>
      </c>
      <c r="V52" s="175">
        <f t="shared" si="46"/>
        <v>99.999999999999318</v>
      </c>
      <c r="W52" s="80">
        <f t="shared" si="21"/>
        <v>75.000000000000369</v>
      </c>
      <c r="X52" s="22">
        <v>0.47916666666666702</v>
      </c>
      <c r="Y52" s="22">
        <v>0.52083333333333304</v>
      </c>
      <c r="Z52" s="405"/>
      <c r="AA52" s="405"/>
      <c r="AB52" s="18">
        <f t="shared" si="43"/>
        <v>-7.73070496506989E-12</v>
      </c>
      <c r="AC52" s="183">
        <f t="shared" si="44"/>
        <v>0.99999999999999512</v>
      </c>
      <c r="AD52" s="412"/>
    </row>
    <row r="53" spans="1:30" ht="15" customHeight="1">
      <c r="A53" s="455"/>
      <c r="B53" s="56"/>
      <c r="C53" s="23"/>
      <c r="D53" s="11"/>
      <c r="E53" s="12"/>
      <c r="F53" s="56"/>
      <c r="G53" s="66"/>
      <c r="H53" s="76"/>
      <c r="I53" s="191"/>
      <c r="J53" s="16"/>
      <c r="K53" s="14"/>
      <c r="L53" s="17"/>
      <c r="M53" s="172"/>
      <c r="N53" s="77"/>
      <c r="O53" s="78"/>
      <c r="P53" s="18"/>
      <c r="Q53" s="19"/>
      <c r="R53" s="183"/>
      <c r="S53" s="420"/>
      <c r="T53" s="351"/>
      <c r="U53" s="351"/>
      <c r="V53" s="175"/>
      <c r="W53" s="80">
        <f t="shared" si="21"/>
        <v>0</v>
      </c>
      <c r="X53" s="175"/>
      <c r="Y53" s="175"/>
      <c r="Z53" s="417"/>
      <c r="AA53" s="418"/>
      <c r="AB53" s="18">
        <f t="shared" si="43"/>
        <v>0</v>
      </c>
      <c r="AC53" s="183" t="e">
        <f t="shared" si="44"/>
        <v>#DIV/0!</v>
      </c>
      <c r="AD53" s="412"/>
    </row>
    <row r="54" spans="1:30" ht="15" customHeight="1">
      <c r="A54" s="455"/>
      <c r="B54" s="175"/>
      <c r="C54" s="181"/>
      <c r="D54" s="11"/>
      <c r="E54" s="12"/>
      <c r="F54" s="13"/>
      <c r="G54" s="66"/>
      <c r="H54" s="76">
        <f t="shared" si="45"/>
        <v>0</v>
      </c>
      <c r="I54" s="175"/>
      <c r="J54" s="31"/>
      <c r="K54" s="30"/>
      <c r="L54" s="38"/>
      <c r="M54" s="179"/>
      <c r="N54" s="30"/>
      <c r="O54" s="35"/>
      <c r="P54" s="18"/>
      <c r="Q54" s="19"/>
      <c r="R54" s="183"/>
      <c r="S54" s="420"/>
      <c r="T54" s="79"/>
      <c r="U54" s="79"/>
      <c r="V54" s="195"/>
      <c r="W54" s="80">
        <f t="shared" si="21"/>
        <v>0</v>
      </c>
      <c r="X54" s="175"/>
      <c r="Y54" s="175"/>
      <c r="Z54" s="417"/>
      <c r="AA54" s="418"/>
      <c r="AB54" s="18"/>
      <c r="AC54" s="183"/>
      <c r="AD54" s="412"/>
    </row>
    <row r="55" spans="1:30" ht="15" customHeight="1">
      <c r="A55" s="455"/>
      <c r="B55" s="26"/>
      <c r="C55" s="27"/>
      <c r="D55" s="28"/>
      <c r="E55" s="29"/>
      <c r="F55" s="13"/>
      <c r="G55" s="66"/>
      <c r="H55" s="15">
        <f t="shared" si="45"/>
        <v>0</v>
      </c>
      <c r="I55" s="175"/>
      <c r="J55" s="31"/>
      <c r="K55" s="30"/>
      <c r="L55" s="38"/>
      <c r="M55" s="179"/>
      <c r="N55" s="30"/>
      <c r="O55" s="35"/>
      <c r="P55" s="18"/>
      <c r="Q55" s="19"/>
      <c r="R55" s="183"/>
      <c r="S55" s="420"/>
      <c r="T55" s="79"/>
      <c r="U55" s="79"/>
      <c r="V55" s="195"/>
      <c r="W55" s="80">
        <f t="shared" si="21"/>
        <v>0</v>
      </c>
      <c r="X55" s="175"/>
      <c r="Y55" s="175"/>
      <c r="Z55" s="417"/>
      <c r="AA55" s="418"/>
      <c r="AB55" s="18"/>
      <c r="AC55" s="183"/>
      <c r="AD55" s="412"/>
    </row>
    <row r="56" spans="1:30" ht="15" customHeight="1">
      <c r="A56" s="455"/>
      <c r="B56" s="26"/>
      <c r="C56" s="27"/>
      <c r="D56" s="28"/>
      <c r="E56" s="29"/>
      <c r="F56" s="13"/>
      <c r="G56" s="66"/>
      <c r="H56" s="15">
        <f t="shared" si="45"/>
        <v>0</v>
      </c>
      <c r="I56" s="175"/>
      <c r="J56" s="31"/>
      <c r="K56" s="30"/>
      <c r="L56" s="38"/>
      <c r="M56" s="179"/>
      <c r="N56" s="30"/>
      <c r="O56" s="35"/>
      <c r="P56" s="18"/>
      <c r="Q56" s="19"/>
      <c r="R56" s="183"/>
      <c r="S56" s="420"/>
      <c r="T56" s="79"/>
      <c r="U56" s="79"/>
      <c r="V56" s="195"/>
      <c r="W56" s="80">
        <f t="shared" si="21"/>
        <v>0</v>
      </c>
      <c r="X56" s="175"/>
      <c r="Y56" s="175"/>
      <c r="Z56" s="405"/>
      <c r="AA56" s="405"/>
      <c r="AB56" s="18"/>
      <c r="AC56" s="183"/>
      <c r="AD56" s="412"/>
    </row>
    <row r="57" spans="1:30" ht="15" customHeight="1">
      <c r="A57" s="455"/>
      <c r="B57" s="26"/>
      <c r="C57" s="27"/>
      <c r="D57" s="28"/>
      <c r="E57" s="29"/>
      <c r="F57" s="13"/>
      <c r="G57" s="66"/>
      <c r="H57" s="15">
        <f t="shared" si="45"/>
        <v>0</v>
      </c>
      <c r="I57" s="175"/>
      <c r="J57" s="31"/>
      <c r="K57" s="30"/>
      <c r="L57" s="38"/>
      <c r="M57" s="179"/>
      <c r="N57" s="30"/>
      <c r="O57" s="35"/>
      <c r="P57" s="18"/>
      <c r="Q57" s="19"/>
      <c r="R57" s="183"/>
      <c r="S57" s="420"/>
      <c r="T57" s="79"/>
      <c r="U57" s="79"/>
      <c r="V57" s="195"/>
      <c r="W57" s="80">
        <f t="shared" si="21"/>
        <v>0</v>
      </c>
      <c r="X57" s="175"/>
      <c r="Y57" s="175"/>
      <c r="Z57" s="405"/>
      <c r="AA57" s="405"/>
      <c r="AB57" s="18"/>
      <c r="AC57" s="183"/>
      <c r="AD57" s="412"/>
    </row>
    <row r="58" spans="1:30" ht="15" customHeight="1">
      <c r="A58" s="456"/>
      <c r="B58" s="163"/>
      <c r="C58" s="1" t="s">
        <v>60</v>
      </c>
      <c r="D58" s="406" t="s">
        <v>38</v>
      </c>
      <c r="E58" s="406"/>
      <c r="F58" s="113"/>
      <c r="G58" s="164"/>
      <c r="H58" s="115"/>
      <c r="I58" s="114"/>
      <c r="J58" s="117">
        <f t="shared" ref="J58:O58" si="47">AVERAGE(J49:J57)</f>
        <v>18</v>
      </c>
      <c r="K58" s="117">
        <f t="shared" si="47"/>
        <v>1582.5</v>
      </c>
      <c r="L58" s="114">
        <f t="shared" si="47"/>
        <v>88.051255589955275</v>
      </c>
      <c r="M58" s="117">
        <f t="shared" si="47"/>
        <v>18</v>
      </c>
      <c r="N58" s="117">
        <f t="shared" si="47"/>
        <v>1440.6552159181033</v>
      </c>
      <c r="O58" s="114">
        <f t="shared" si="47"/>
        <v>79.945379599388446</v>
      </c>
      <c r="P58" s="118">
        <f>M58-J58</f>
        <v>0</v>
      </c>
      <c r="Q58" s="119">
        <f>N58-K58</f>
        <v>-141.84478408189671</v>
      </c>
      <c r="R58" s="120">
        <f t="shared" ref="R58:R59" si="48">O58/L58</f>
        <v>0.90794139235997984</v>
      </c>
      <c r="S58" s="423"/>
      <c r="T58" s="165"/>
      <c r="U58" s="165"/>
      <c r="V58" s="193"/>
      <c r="W58" s="166"/>
      <c r="X58" s="123"/>
      <c r="Y58" s="123"/>
      <c r="Z58" s="424"/>
      <c r="AA58" s="424"/>
      <c r="AB58" s="118">
        <f t="shared" ref="AB58:AB63" si="49">N58-K58</f>
        <v>-141.84478408189671</v>
      </c>
      <c r="AC58" s="185">
        <f t="shared" ref="AC58:AC63" si="50">N58/K58</f>
        <v>0.91036664512992305</v>
      </c>
      <c r="AD58" s="414"/>
    </row>
    <row r="59" spans="1:30" ht="15" customHeight="1">
      <c r="A59" s="470" t="s">
        <v>61</v>
      </c>
      <c r="B59" s="197" t="s">
        <v>172</v>
      </c>
      <c r="C59" s="101"/>
      <c r="D59" s="102" t="s">
        <v>62</v>
      </c>
      <c r="E59" s="103"/>
      <c r="F59" s="197">
        <f>VLOOKUP(D59,廠價表!$C$1:$E$40,3,0)</f>
        <v>26.99</v>
      </c>
      <c r="G59" s="186">
        <v>3097</v>
      </c>
      <c r="H59" s="105">
        <f t="shared" ref="H59:H68" si="51">F59*G59</f>
        <v>83588.03</v>
      </c>
      <c r="I59" s="186"/>
      <c r="J59" s="107">
        <f>VLOOKUP(D59,產線配置圖!$A$3:$C$39,2,0)</f>
        <v>13</v>
      </c>
      <c r="K59" s="104">
        <f>VLOOKUP(D59,產線配置圖!$A$3:$C$39,3,0)</f>
        <v>1565</v>
      </c>
      <c r="L59" s="108">
        <f>K59/J59</f>
        <v>120.38461538461539</v>
      </c>
      <c r="M59" s="109">
        <v>13</v>
      </c>
      <c r="N59" s="104">
        <f t="shared" ref="N59:N62" si="52">G59/W59*60</f>
        <v>1548.5000000000066</v>
      </c>
      <c r="O59" s="108">
        <f t="shared" ref="O59:O62" si="53">N59/M59</f>
        <v>119.11538461538512</v>
      </c>
      <c r="P59" s="110">
        <f t="shared" ref="P59:P62" si="54">M59-J59</f>
        <v>0</v>
      </c>
      <c r="Q59" s="111">
        <f t="shared" ref="Q59:Q62" si="55">O59-L59</f>
        <v>-1.269230769230262</v>
      </c>
      <c r="R59" s="182">
        <f t="shared" si="48"/>
        <v>0.98945686900958885</v>
      </c>
      <c r="S59" s="419">
        <f>R69</f>
        <v>0.82706431448812234</v>
      </c>
      <c r="T59" s="344">
        <v>0.29166666666666702</v>
      </c>
      <c r="U59" s="344">
        <v>0.375</v>
      </c>
      <c r="V59" s="186"/>
      <c r="W59" s="106">
        <f t="shared" si="21"/>
        <v>119.99999999999949</v>
      </c>
      <c r="X59" s="186"/>
      <c r="Y59" s="186"/>
      <c r="Z59" s="469"/>
      <c r="AA59" s="434"/>
      <c r="AB59" s="223">
        <f t="shared" si="49"/>
        <v>-16.499999999993406</v>
      </c>
      <c r="AC59" s="224">
        <f t="shared" si="50"/>
        <v>0.98945686900958885</v>
      </c>
      <c r="AD59" s="411">
        <f>AC69</f>
        <v>0.82843797749687342</v>
      </c>
    </row>
    <row r="60" spans="1:30" ht="15" customHeight="1">
      <c r="A60" s="471"/>
      <c r="B60" s="56" t="s">
        <v>172</v>
      </c>
      <c r="C60" s="10"/>
      <c r="D60" s="239" t="s">
        <v>63</v>
      </c>
      <c r="E60" s="86"/>
      <c r="F60" s="56">
        <f>VLOOKUP(D60,廠價表!$C$1:$E$40,3,0)</f>
        <v>28.47</v>
      </c>
      <c r="G60" s="175">
        <v>602</v>
      </c>
      <c r="H60" s="15">
        <f t="shared" si="51"/>
        <v>17138.939999999999</v>
      </c>
      <c r="I60" s="81"/>
      <c r="J60" s="16">
        <f>VLOOKUP(D60,產線配置圖!$A$3:$C$39,2,0)</f>
        <v>12</v>
      </c>
      <c r="K60" s="14">
        <f>VLOOKUP(D60,產線配置圖!$A$3:$C$39,3,0)</f>
        <v>1565</v>
      </c>
      <c r="L60" s="17">
        <f>K60/J60</f>
        <v>130.41666666666666</v>
      </c>
      <c r="M60" s="178">
        <v>12</v>
      </c>
      <c r="N60" s="14">
        <f t="shared" si="52"/>
        <v>1204.0000000000011</v>
      </c>
      <c r="O60" s="17">
        <f t="shared" si="53"/>
        <v>100.33333333333343</v>
      </c>
      <c r="P60" s="18">
        <f t="shared" si="54"/>
        <v>0</v>
      </c>
      <c r="Q60" s="19">
        <f t="shared" si="55"/>
        <v>-30.083333333333229</v>
      </c>
      <c r="R60" s="183">
        <f>O60/L60</f>
        <v>0.76932907348242885</v>
      </c>
      <c r="S60" s="474"/>
      <c r="T60" s="22">
        <v>0.38541666666666669</v>
      </c>
      <c r="U60" s="22">
        <v>0.40625</v>
      </c>
      <c r="V60" s="175">
        <f t="shared" ref="V60:V62" si="56">(T60-U59)*24*60</f>
        <v>15.000000000000027</v>
      </c>
      <c r="W60" s="90">
        <f t="shared" si="21"/>
        <v>29.999999999999972</v>
      </c>
      <c r="X60" s="191"/>
      <c r="Y60" s="191"/>
      <c r="Z60" s="405" t="s">
        <v>55</v>
      </c>
      <c r="AA60" s="405"/>
      <c r="AB60" s="225">
        <f t="shared" si="49"/>
        <v>-360.99999999999886</v>
      </c>
      <c r="AC60" s="226">
        <f t="shared" si="50"/>
        <v>0.76932907348242885</v>
      </c>
      <c r="AD60" s="464"/>
    </row>
    <row r="61" spans="1:30" ht="15" customHeight="1">
      <c r="A61" s="472"/>
      <c r="B61" s="56" t="s">
        <v>172</v>
      </c>
      <c r="C61" s="10"/>
      <c r="D61" s="239" t="s">
        <v>64</v>
      </c>
      <c r="E61" s="86"/>
      <c r="F61" s="56">
        <f>VLOOKUP(D61,廠價表!$C$1:$E$40,3,0)</f>
        <v>28.26</v>
      </c>
      <c r="G61" s="175">
        <v>1965</v>
      </c>
      <c r="H61" s="15">
        <f t="shared" si="51"/>
        <v>55530.9</v>
      </c>
      <c r="I61" s="175"/>
      <c r="J61" s="16">
        <f>VLOOKUP(D61,產線配置圖!$A$3:$C$39,2,0)</f>
        <v>12</v>
      </c>
      <c r="K61" s="14">
        <f>VLOOKUP(D61,產線配置圖!$A$3:$C$39,3,0)</f>
        <v>1565</v>
      </c>
      <c r="L61" s="17">
        <f>K61/J61</f>
        <v>130.41666666666666</v>
      </c>
      <c r="M61" s="178">
        <v>12</v>
      </c>
      <c r="N61" s="14">
        <f t="shared" si="52"/>
        <v>1281.5217391304348</v>
      </c>
      <c r="O61" s="17">
        <f t="shared" si="53"/>
        <v>106.79347826086956</v>
      </c>
      <c r="P61" s="18">
        <f t="shared" si="54"/>
        <v>0</v>
      </c>
      <c r="Q61" s="19">
        <f t="shared" si="55"/>
        <v>-23.623188405797094</v>
      </c>
      <c r="R61" s="183">
        <f>O61/L61</f>
        <v>0.81886373107376031</v>
      </c>
      <c r="S61" s="420"/>
      <c r="T61" s="291">
        <v>0.41875000000000001</v>
      </c>
      <c r="U61" s="291">
        <v>0.4826388888888889</v>
      </c>
      <c r="V61" s="175">
        <f t="shared" si="56"/>
        <v>18.000000000000014</v>
      </c>
      <c r="W61" s="88">
        <f t="shared" si="21"/>
        <v>92</v>
      </c>
      <c r="X61" s="22"/>
      <c r="Y61" s="22"/>
      <c r="Z61" s="405"/>
      <c r="AA61" s="405"/>
      <c r="AB61" s="51">
        <f t="shared" si="49"/>
        <v>-283.47826086956525</v>
      </c>
      <c r="AC61" s="52">
        <f t="shared" si="50"/>
        <v>0.8188637310737602</v>
      </c>
      <c r="AD61" s="412"/>
    </row>
    <row r="62" spans="1:30" ht="15" customHeight="1">
      <c r="A62" s="472"/>
      <c r="B62" s="56" t="s">
        <v>172</v>
      </c>
      <c r="C62" s="23"/>
      <c r="D62" s="239" t="s">
        <v>62</v>
      </c>
      <c r="E62" s="12"/>
      <c r="F62" s="56">
        <f>VLOOKUP(D62,廠價表!$C$1:$E$40,3,0)</f>
        <v>26.99</v>
      </c>
      <c r="G62" s="175">
        <v>384</v>
      </c>
      <c r="H62" s="15">
        <f t="shared" si="51"/>
        <v>10364.16</v>
      </c>
      <c r="I62" s="81"/>
      <c r="J62" s="16">
        <f>VLOOKUP(D62,產線配置圖!$A$3:$C$39,2,0)</f>
        <v>13</v>
      </c>
      <c r="K62" s="14">
        <f>VLOOKUP(D62,產線配置圖!$A$3:$C$39,3,0)</f>
        <v>1565</v>
      </c>
      <c r="L62" s="17">
        <f>K62/J62</f>
        <v>120.38461538461539</v>
      </c>
      <c r="M62" s="178">
        <v>13</v>
      </c>
      <c r="N62" s="14">
        <f t="shared" si="52"/>
        <v>1151.9999999999857</v>
      </c>
      <c r="O62" s="17">
        <f t="shared" si="53"/>
        <v>88.615384615383519</v>
      </c>
      <c r="P62" s="18">
        <f t="shared" si="54"/>
        <v>0</v>
      </c>
      <c r="Q62" s="19">
        <f t="shared" si="55"/>
        <v>-31.769230769231868</v>
      </c>
      <c r="R62" s="183">
        <f>O62/L62</f>
        <v>0.73610223642171613</v>
      </c>
      <c r="S62" s="420"/>
      <c r="T62" s="22">
        <v>0.53819444444444398</v>
      </c>
      <c r="U62" s="22">
        <v>0.55208333333333304</v>
      </c>
      <c r="V62" s="175">
        <f t="shared" si="56"/>
        <v>79.999999999999318</v>
      </c>
      <c r="W62" s="90">
        <f t="shared" si="21"/>
        <v>20.000000000000249</v>
      </c>
      <c r="X62" s="22"/>
      <c r="Y62" s="22"/>
      <c r="Z62" s="405" t="s">
        <v>223</v>
      </c>
      <c r="AA62" s="405"/>
      <c r="AB62" s="51">
        <f t="shared" si="49"/>
        <v>-413.00000000001432</v>
      </c>
      <c r="AC62" s="52">
        <f t="shared" si="50"/>
        <v>0.73610223642171613</v>
      </c>
      <c r="AD62" s="412"/>
    </row>
    <row r="63" spans="1:30" ht="15" customHeight="1">
      <c r="A63" s="472"/>
      <c r="B63" s="56"/>
      <c r="C63" s="10"/>
      <c r="D63" s="239"/>
      <c r="E63" s="86"/>
      <c r="F63" s="56"/>
      <c r="G63" s="175"/>
      <c r="H63" s="15"/>
      <c r="I63" s="81"/>
      <c r="J63" s="16"/>
      <c r="K63" s="14"/>
      <c r="L63" s="17"/>
      <c r="M63" s="178"/>
      <c r="N63" s="14"/>
      <c r="O63" s="17"/>
      <c r="P63" s="18"/>
      <c r="Q63" s="19"/>
      <c r="R63" s="183"/>
      <c r="S63" s="420"/>
      <c r="T63" s="22"/>
      <c r="U63" s="22"/>
      <c r="V63" s="175"/>
      <c r="W63" s="90">
        <f t="shared" si="21"/>
        <v>0</v>
      </c>
      <c r="X63" s="84"/>
      <c r="Y63" s="84"/>
      <c r="Z63" s="405"/>
      <c r="AA63" s="405"/>
      <c r="AB63" s="51">
        <f t="shared" si="49"/>
        <v>0</v>
      </c>
      <c r="AC63" s="52" t="e">
        <f t="shared" si="50"/>
        <v>#DIV/0!</v>
      </c>
      <c r="AD63" s="412"/>
    </row>
    <row r="64" spans="1:30" ht="15" customHeight="1">
      <c r="A64" s="472"/>
      <c r="B64" s="56"/>
      <c r="C64" s="10"/>
      <c r="D64" s="239"/>
      <c r="E64" s="86"/>
      <c r="F64" s="56"/>
      <c r="G64" s="175"/>
      <c r="H64" s="15"/>
      <c r="I64" s="81"/>
      <c r="J64" s="16"/>
      <c r="K64" s="14"/>
      <c r="L64" s="17"/>
      <c r="M64" s="178"/>
      <c r="N64" s="14"/>
      <c r="O64" s="17"/>
      <c r="P64" s="18"/>
      <c r="Q64" s="19"/>
      <c r="R64" s="183"/>
      <c r="S64" s="420"/>
      <c r="T64" s="20"/>
      <c r="U64" s="20"/>
      <c r="V64" s="175"/>
      <c r="W64" s="180">
        <f t="shared" si="21"/>
        <v>0</v>
      </c>
      <c r="X64" s="84"/>
      <c r="Y64" s="84"/>
      <c r="Z64" s="417"/>
      <c r="AA64" s="418"/>
      <c r="AB64" s="18"/>
      <c r="AC64" s="55"/>
      <c r="AD64" s="412"/>
    </row>
    <row r="65" spans="1:32" ht="15" customHeight="1">
      <c r="A65" s="472"/>
      <c r="B65" s="175"/>
      <c r="C65" s="181"/>
      <c r="D65" s="11"/>
      <c r="E65" s="12"/>
      <c r="F65" s="13"/>
      <c r="G65" s="175"/>
      <c r="H65" s="15"/>
      <c r="I65" s="175"/>
      <c r="J65" s="16"/>
      <c r="K65" s="14"/>
      <c r="L65" s="17"/>
      <c r="M65" s="178"/>
      <c r="N65" s="14"/>
      <c r="O65" s="17"/>
      <c r="P65" s="18"/>
      <c r="Q65" s="19"/>
      <c r="R65" s="183"/>
      <c r="S65" s="420"/>
      <c r="T65" s="20"/>
      <c r="U65" s="20"/>
      <c r="V65" s="175"/>
      <c r="W65" s="180">
        <f t="shared" si="21"/>
        <v>0</v>
      </c>
      <c r="X65" s="84"/>
      <c r="Y65" s="84"/>
      <c r="Z65" s="417"/>
      <c r="AA65" s="418"/>
      <c r="AB65" s="18"/>
      <c r="AC65" s="55"/>
      <c r="AD65" s="412"/>
    </row>
    <row r="66" spans="1:32" ht="15" customHeight="1">
      <c r="A66" s="472"/>
      <c r="B66" s="26"/>
      <c r="C66" s="27"/>
      <c r="D66" s="28"/>
      <c r="E66" s="29"/>
      <c r="F66" s="13"/>
      <c r="G66" s="181"/>
      <c r="H66" s="15"/>
      <c r="I66" s="85"/>
      <c r="J66" s="16"/>
      <c r="K66" s="14"/>
      <c r="L66" s="17"/>
      <c r="M66" s="21"/>
      <c r="N66" s="14"/>
      <c r="O66" s="17"/>
      <c r="P66" s="18"/>
      <c r="Q66" s="19"/>
      <c r="R66" s="183"/>
      <c r="S66" s="420"/>
      <c r="T66" s="20"/>
      <c r="U66" s="20"/>
      <c r="V66" s="175"/>
      <c r="W66" s="180">
        <f t="shared" si="21"/>
        <v>0</v>
      </c>
      <c r="X66" s="84"/>
      <c r="Y66" s="84"/>
      <c r="Z66" s="405"/>
      <c r="AA66" s="405"/>
      <c r="AB66" s="18"/>
      <c r="AC66" s="55"/>
      <c r="AD66" s="412"/>
    </row>
    <row r="67" spans="1:32" ht="15" customHeight="1">
      <c r="A67" s="472"/>
      <c r="B67" s="26"/>
      <c r="C67" s="27"/>
      <c r="D67" s="28"/>
      <c r="E67" s="29"/>
      <c r="F67" s="13"/>
      <c r="G67" s="175"/>
      <c r="H67" s="15"/>
      <c r="I67" s="175"/>
      <c r="J67" s="16"/>
      <c r="K67" s="14"/>
      <c r="L67" s="17"/>
      <c r="M67" s="21"/>
      <c r="N67" s="14"/>
      <c r="O67" s="17"/>
      <c r="P67" s="18"/>
      <c r="Q67" s="19"/>
      <c r="R67" s="183"/>
      <c r="S67" s="420"/>
      <c r="T67" s="20"/>
      <c r="U67" s="20"/>
      <c r="V67" s="175"/>
      <c r="W67" s="180">
        <f t="shared" si="21"/>
        <v>0</v>
      </c>
      <c r="X67" s="84"/>
      <c r="Y67" s="84"/>
      <c r="Z67" s="417"/>
      <c r="AA67" s="418"/>
      <c r="AB67" s="18"/>
      <c r="AC67" s="55"/>
      <c r="AD67" s="412"/>
    </row>
    <row r="68" spans="1:32" ht="15" customHeight="1">
      <c r="A68" s="472"/>
      <c r="B68" s="26"/>
      <c r="C68" s="27"/>
      <c r="D68" s="28"/>
      <c r="E68" s="29"/>
      <c r="F68" s="13"/>
      <c r="G68" s="181"/>
      <c r="H68" s="15">
        <f t="shared" si="51"/>
        <v>0</v>
      </c>
      <c r="I68" s="85"/>
      <c r="J68" s="16"/>
      <c r="K68" s="14"/>
      <c r="L68" s="17"/>
      <c r="M68" s="21"/>
      <c r="N68" s="14"/>
      <c r="O68" s="17"/>
      <c r="P68" s="18"/>
      <c r="Q68" s="19"/>
      <c r="R68" s="183"/>
      <c r="S68" s="420"/>
      <c r="T68" s="20"/>
      <c r="U68" s="20"/>
      <c r="V68" s="175"/>
      <c r="W68" s="180">
        <f t="shared" si="21"/>
        <v>0</v>
      </c>
      <c r="X68" s="84"/>
      <c r="Y68" s="84"/>
      <c r="Z68" s="417" t="s">
        <v>65</v>
      </c>
      <c r="AA68" s="418"/>
      <c r="AB68" s="18"/>
      <c r="AC68" s="55"/>
      <c r="AD68" s="412"/>
    </row>
    <row r="69" spans="1:32" ht="15" customHeight="1">
      <c r="A69" s="473"/>
      <c r="B69" s="163"/>
      <c r="C69" s="1" t="s">
        <v>66</v>
      </c>
      <c r="D69" s="406" t="s">
        <v>38</v>
      </c>
      <c r="E69" s="406"/>
      <c r="F69" s="113"/>
      <c r="G69" s="114"/>
      <c r="H69" s="115"/>
      <c r="I69" s="168"/>
      <c r="J69" s="164">
        <f t="shared" ref="J69:O69" si="57">AVERAGE(J59:J68)</f>
        <v>12.5</v>
      </c>
      <c r="K69" s="164">
        <f t="shared" si="57"/>
        <v>1565</v>
      </c>
      <c r="L69" s="169">
        <f t="shared" si="57"/>
        <v>125.40064102564102</v>
      </c>
      <c r="M69" s="164">
        <f t="shared" si="57"/>
        <v>12.5</v>
      </c>
      <c r="N69" s="164">
        <f t="shared" si="57"/>
        <v>1296.5054347826069</v>
      </c>
      <c r="O69" s="169">
        <f t="shared" si="57"/>
        <v>103.7143952062429</v>
      </c>
      <c r="P69" s="170">
        <f>M69-J69</f>
        <v>0</v>
      </c>
      <c r="Q69" s="156">
        <f>N69-K69</f>
        <v>-268.49456521739307</v>
      </c>
      <c r="R69" s="120">
        <f>O69/L69</f>
        <v>0.82706431448812234</v>
      </c>
      <c r="S69" s="423"/>
      <c r="T69" s="121"/>
      <c r="U69" s="121"/>
      <c r="V69" s="193"/>
      <c r="W69" s="166"/>
      <c r="X69" s="123"/>
      <c r="Y69" s="123"/>
      <c r="Z69" s="405"/>
      <c r="AA69" s="405"/>
      <c r="AB69" s="118">
        <f>N69-K69</f>
        <v>-268.49456521739307</v>
      </c>
      <c r="AC69" s="185">
        <f>N69/K69</f>
        <v>0.82843797749687342</v>
      </c>
      <c r="AD69" s="414"/>
    </row>
    <row r="70" spans="1:32" ht="15" customHeight="1">
      <c r="A70" s="465" t="s">
        <v>67</v>
      </c>
      <c r="B70" s="197" t="s">
        <v>45</v>
      </c>
      <c r="C70" s="197"/>
      <c r="D70" s="102" t="s">
        <v>187</v>
      </c>
      <c r="E70" s="103"/>
      <c r="F70" s="197">
        <f>VLOOKUP(D70,廠價表!$C$1:$E$40,3,0)</f>
        <v>50.67</v>
      </c>
      <c r="G70" s="186">
        <v>1857</v>
      </c>
      <c r="H70" s="105">
        <f>F70*G70</f>
        <v>94094.19</v>
      </c>
      <c r="I70" s="186"/>
      <c r="J70" s="107">
        <f>VLOOKUP(D70,產線配置圖!$A$3:$C$39,2,0)</f>
        <v>15</v>
      </c>
      <c r="K70" s="104">
        <f>VLOOKUP(D70,產線配置圖!$A$3:$C$39,3,0)</f>
        <v>1440</v>
      </c>
      <c r="L70" s="108">
        <f>K70/J70</f>
        <v>96</v>
      </c>
      <c r="M70" s="109">
        <v>10</v>
      </c>
      <c r="N70" s="104">
        <f>G70/W70*60</f>
        <v>602.27027027027134</v>
      </c>
      <c r="O70" s="108">
        <f>N70/M70</f>
        <v>60.227027027027134</v>
      </c>
      <c r="P70" s="110">
        <f>M70-J70</f>
        <v>-5</v>
      </c>
      <c r="Q70" s="111">
        <f>O70-L70</f>
        <v>-35.772972972972866</v>
      </c>
      <c r="R70" s="182">
        <f>O70/L70</f>
        <v>0.62736486486486598</v>
      </c>
      <c r="S70" s="419">
        <f>R79</f>
        <v>0.62736486486486598</v>
      </c>
      <c r="T70" s="344">
        <v>0.34027777777777801</v>
      </c>
      <c r="U70" s="344">
        <v>0.46875</v>
      </c>
      <c r="V70" s="186"/>
      <c r="W70" s="106">
        <f t="shared" si="21"/>
        <v>184.99999999999966</v>
      </c>
      <c r="X70" s="290"/>
      <c r="Y70" s="290"/>
      <c r="Z70" s="469" t="s">
        <v>224</v>
      </c>
      <c r="AA70" s="434"/>
      <c r="AB70" s="223">
        <f>N70-K70</f>
        <v>-837.72972972972866</v>
      </c>
      <c r="AC70" s="224">
        <f>N70/K70</f>
        <v>0.41824324324324397</v>
      </c>
      <c r="AD70" s="411">
        <f>AC79</f>
        <v>0.41824324324324397</v>
      </c>
    </row>
    <row r="71" spans="1:32" ht="15" customHeight="1">
      <c r="A71" s="466"/>
      <c r="B71" s="56"/>
      <c r="C71" s="10"/>
      <c r="D71" s="11"/>
      <c r="E71" s="86"/>
      <c r="F71" s="56"/>
      <c r="G71" s="66"/>
      <c r="H71" s="76"/>
      <c r="I71" s="191"/>
      <c r="J71" s="16"/>
      <c r="K71" s="14"/>
      <c r="L71" s="17"/>
      <c r="M71" s="178"/>
      <c r="N71" s="14"/>
      <c r="O71" s="17"/>
      <c r="P71" s="18"/>
      <c r="Q71" s="19"/>
      <c r="R71" s="183"/>
      <c r="S71" s="420"/>
      <c r="T71" s="22"/>
      <c r="U71" s="22"/>
      <c r="V71" s="175"/>
      <c r="W71" s="180">
        <f t="shared" si="21"/>
        <v>0</v>
      </c>
      <c r="X71" s="292"/>
      <c r="Y71" s="293"/>
      <c r="Z71" s="450"/>
      <c r="AA71" s="451"/>
      <c r="AB71" s="39"/>
      <c r="AC71" s="188"/>
      <c r="AD71" s="444"/>
    </row>
    <row r="72" spans="1:32" ht="15" customHeight="1">
      <c r="A72" s="466"/>
      <c r="B72" s="56"/>
      <c r="C72" s="10"/>
      <c r="D72" s="11"/>
      <c r="E72" s="86"/>
      <c r="F72" s="56"/>
      <c r="G72" s="66"/>
      <c r="H72" s="76"/>
      <c r="I72" s="191"/>
      <c r="J72" s="16"/>
      <c r="K72" s="14"/>
      <c r="L72" s="17"/>
      <c r="M72" s="178"/>
      <c r="N72" s="14"/>
      <c r="O72" s="17"/>
      <c r="P72" s="18"/>
      <c r="Q72" s="19"/>
      <c r="R72" s="183"/>
      <c r="S72" s="420"/>
      <c r="T72" s="22"/>
      <c r="U72" s="22"/>
      <c r="V72" s="175"/>
      <c r="W72" s="180">
        <f t="shared" si="21"/>
        <v>0</v>
      </c>
      <c r="X72" s="291"/>
      <c r="Y72" s="291"/>
      <c r="Z72" s="405"/>
      <c r="AA72" s="417"/>
      <c r="AB72" s="39"/>
      <c r="AC72" s="188"/>
      <c r="AD72" s="444"/>
    </row>
    <row r="73" spans="1:32" ht="15" customHeight="1">
      <c r="A73" s="466"/>
      <c r="B73" s="56"/>
      <c r="C73" s="23"/>
      <c r="D73" s="11"/>
      <c r="E73" s="12"/>
      <c r="F73" s="56"/>
      <c r="G73" s="66"/>
      <c r="H73" s="76"/>
      <c r="I73" s="191"/>
      <c r="J73" s="16"/>
      <c r="K73" s="14"/>
      <c r="L73" s="17"/>
      <c r="M73" s="178"/>
      <c r="N73" s="14"/>
      <c r="O73" s="17"/>
      <c r="P73" s="18"/>
      <c r="Q73" s="19"/>
      <c r="R73" s="183"/>
      <c r="S73" s="420"/>
      <c r="T73" s="20"/>
      <c r="U73" s="20"/>
      <c r="V73" s="175"/>
      <c r="W73" s="180">
        <f t="shared" si="21"/>
        <v>0</v>
      </c>
      <c r="X73" s="22"/>
      <c r="Y73" s="22"/>
      <c r="Z73" s="405"/>
      <c r="AA73" s="417"/>
      <c r="AB73" s="39"/>
      <c r="AC73" s="188"/>
      <c r="AD73" s="444"/>
    </row>
    <row r="74" spans="1:32" ht="15" customHeight="1">
      <c r="A74" s="466"/>
      <c r="B74" s="56"/>
      <c r="C74" s="246"/>
      <c r="D74" s="247"/>
      <c r="E74" s="248"/>
      <c r="F74" s="56"/>
      <c r="G74" s="236"/>
      <c r="H74" s="76"/>
      <c r="I74" s="81"/>
      <c r="J74" s="232"/>
      <c r="K74" s="36"/>
      <c r="L74" s="233"/>
      <c r="M74" s="21"/>
      <c r="N74" s="36"/>
      <c r="O74" s="38"/>
      <c r="P74" s="39"/>
      <c r="Q74" s="40"/>
      <c r="R74" s="188"/>
      <c r="S74" s="420"/>
      <c r="T74" s="20"/>
      <c r="U74" s="20"/>
      <c r="V74" s="175"/>
      <c r="W74" s="180">
        <f t="shared" si="21"/>
        <v>0</v>
      </c>
      <c r="X74" s="22"/>
      <c r="Y74" s="22"/>
      <c r="Z74" s="405"/>
      <c r="AA74" s="417"/>
      <c r="AB74" s="39"/>
      <c r="AC74" s="188"/>
      <c r="AD74" s="444"/>
    </row>
    <row r="75" spans="1:32" ht="15" customHeight="1">
      <c r="A75" s="466"/>
      <c r="B75" s="175"/>
      <c r="C75" s="181"/>
      <c r="D75" s="11"/>
      <c r="E75" s="12"/>
      <c r="F75" s="13"/>
      <c r="G75" s="175"/>
      <c r="H75" s="15"/>
      <c r="I75" s="81"/>
      <c r="J75" s="87"/>
      <c r="K75" s="82"/>
      <c r="L75" s="83"/>
      <c r="M75" s="179"/>
      <c r="N75" s="82"/>
      <c r="O75" s="83"/>
      <c r="P75" s="73"/>
      <c r="Q75" s="74"/>
      <c r="R75" s="190"/>
      <c r="S75" s="420"/>
      <c r="T75" s="20"/>
      <c r="U75" s="20"/>
      <c r="V75" s="175"/>
      <c r="W75" s="88">
        <f t="shared" si="21"/>
        <v>0</v>
      </c>
      <c r="X75" s="89"/>
      <c r="Y75" s="89"/>
      <c r="Z75" s="415"/>
      <c r="AA75" s="415"/>
      <c r="AB75" s="300"/>
      <c r="AC75" s="301"/>
      <c r="AD75" s="412"/>
    </row>
    <row r="76" spans="1:32" ht="15" customHeight="1">
      <c r="A76" s="466"/>
      <c r="B76" s="26"/>
      <c r="C76" s="27"/>
      <c r="D76" s="28"/>
      <c r="E76" s="29"/>
      <c r="F76" s="13"/>
      <c r="G76" s="175"/>
      <c r="H76" s="15"/>
      <c r="I76" s="81"/>
      <c r="J76" s="87"/>
      <c r="K76" s="82"/>
      <c r="L76" s="83"/>
      <c r="M76" s="179"/>
      <c r="N76" s="82"/>
      <c r="O76" s="83"/>
      <c r="P76" s="73"/>
      <c r="Q76" s="74"/>
      <c r="R76" s="190"/>
      <c r="S76" s="421"/>
      <c r="T76" s="20"/>
      <c r="U76" s="20"/>
      <c r="V76" s="175"/>
      <c r="W76" s="90">
        <f t="shared" si="21"/>
        <v>0</v>
      </c>
      <c r="X76" s="78"/>
      <c r="Y76" s="78"/>
      <c r="Z76" s="452"/>
      <c r="AA76" s="452"/>
      <c r="AB76" s="51"/>
      <c r="AC76" s="52"/>
      <c r="AD76" s="413"/>
    </row>
    <row r="77" spans="1:32" ht="15" customHeight="1">
      <c r="A77" s="466"/>
      <c r="B77" s="26"/>
      <c r="C77" s="27"/>
      <c r="D77" s="28"/>
      <c r="E77" s="29"/>
      <c r="F77" s="13"/>
      <c r="G77" s="175"/>
      <c r="H77" s="15"/>
      <c r="I77" s="81"/>
      <c r="J77" s="87"/>
      <c r="K77" s="82"/>
      <c r="L77" s="83"/>
      <c r="M77" s="179"/>
      <c r="N77" s="82"/>
      <c r="O77" s="83"/>
      <c r="P77" s="73"/>
      <c r="Q77" s="74"/>
      <c r="R77" s="190"/>
      <c r="S77" s="421"/>
      <c r="T77" s="20"/>
      <c r="U77" s="20"/>
      <c r="V77" s="175"/>
      <c r="W77" s="180">
        <f t="shared" si="21"/>
        <v>0</v>
      </c>
      <c r="X77" s="84"/>
      <c r="Y77" s="84"/>
      <c r="Z77" s="405"/>
      <c r="AA77" s="405"/>
      <c r="AB77" s="18"/>
      <c r="AC77" s="55"/>
      <c r="AD77" s="413"/>
    </row>
    <row r="78" spans="1:32" ht="15" customHeight="1">
      <c r="A78" s="466"/>
      <c r="B78" s="26"/>
      <c r="C78" s="27"/>
      <c r="D78" s="28"/>
      <c r="E78" s="29"/>
      <c r="F78" s="13"/>
      <c r="G78" s="175"/>
      <c r="H78" s="15">
        <f t="shared" ref="H78" si="58">F78*G78</f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88"/>
      <c r="S78" s="468"/>
      <c r="T78" s="32"/>
      <c r="U78" s="32"/>
      <c r="V78" s="176"/>
      <c r="W78" s="180">
        <f t="shared" si="21"/>
        <v>0</v>
      </c>
      <c r="X78" s="91"/>
      <c r="Y78" s="91"/>
      <c r="Z78" s="405"/>
      <c r="AA78" s="405"/>
      <c r="AB78" s="34"/>
      <c r="AC78" s="57"/>
      <c r="AD78" s="413"/>
    </row>
    <row r="79" spans="1:32" ht="15" customHeight="1">
      <c r="A79" s="467"/>
      <c r="B79" s="163"/>
      <c r="C79" s="1" t="s">
        <v>68</v>
      </c>
      <c r="D79" s="406" t="s">
        <v>38</v>
      </c>
      <c r="E79" s="406"/>
      <c r="F79" s="113"/>
      <c r="G79" s="114"/>
      <c r="H79" s="171"/>
      <c r="I79" s="169"/>
      <c r="J79" s="164">
        <f t="shared" ref="J79:O79" si="59">AVERAGE(J70:J78)</f>
        <v>15</v>
      </c>
      <c r="K79" s="164">
        <f t="shared" si="59"/>
        <v>1440</v>
      </c>
      <c r="L79" s="169">
        <f t="shared" si="59"/>
        <v>96</v>
      </c>
      <c r="M79" s="164">
        <f t="shared" si="59"/>
        <v>10</v>
      </c>
      <c r="N79" s="164">
        <f t="shared" si="59"/>
        <v>602.27027027027134</v>
      </c>
      <c r="O79" s="169">
        <f t="shared" si="59"/>
        <v>60.227027027027134</v>
      </c>
      <c r="P79" s="170">
        <f>M79-J79</f>
        <v>-5</v>
      </c>
      <c r="Q79" s="156">
        <f>N79-K79</f>
        <v>-837.72972972972866</v>
      </c>
      <c r="R79" s="157">
        <f>O79/L79</f>
        <v>0.62736486486486598</v>
      </c>
      <c r="S79" s="423"/>
      <c r="T79" s="121"/>
      <c r="U79" s="121"/>
      <c r="V79" s="193"/>
      <c r="W79" s="166"/>
      <c r="X79" s="123"/>
      <c r="Y79" s="123"/>
      <c r="Z79" s="424"/>
      <c r="AA79" s="424"/>
      <c r="AB79" s="118">
        <f>N79-K79</f>
        <v>-837.72972972972866</v>
      </c>
      <c r="AC79" s="185">
        <f>N79/K79</f>
        <v>0.41824324324324397</v>
      </c>
      <c r="AD79" s="414"/>
    </row>
    <row r="80" spans="1:32">
      <c r="AF80" s="93" t="s">
        <v>69</v>
      </c>
    </row>
    <row r="81" spans="4:32">
      <c r="AF81" s="93" t="s">
        <v>70</v>
      </c>
    </row>
    <row r="82" spans="4:32">
      <c r="AF82" s="93" t="s">
        <v>71</v>
      </c>
    </row>
    <row r="83" spans="4:32">
      <c r="D83" s="218"/>
      <c r="W83" s="6"/>
      <c r="AF83" s="93" t="s">
        <v>72</v>
      </c>
    </row>
    <row r="84" spans="4:32">
      <c r="D84" s="222"/>
      <c r="W84" s="6"/>
      <c r="AF84" s="93" t="s">
        <v>73</v>
      </c>
    </row>
    <row r="85" spans="4:32">
      <c r="D85" s="222"/>
      <c r="W85" s="6"/>
      <c r="AF85" s="93" t="s">
        <v>74</v>
      </c>
    </row>
    <row r="86" spans="4:32">
      <c r="D86" s="153"/>
      <c r="W86" s="6"/>
      <c r="AF86" s="93" t="s">
        <v>75</v>
      </c>
    </row>
    <row r="87" spans="4:32">
      <c r="W87" s="6"/>
      <c r="AF87" s="93" t="s">
        <v>76</v>
      </c>
    </row>
    <row r="88" spans="4:32">
      <c r="W88" s="6"/>
      <c r="AF88" s="93" t="s">
        <v>77</v>
      </c>
    </row>
    <row r="89" spans="4:32">
      <c r="W89" s="6"/>
      <c r="AF89" s="93" t="s">
        <v>78</v>
      </c>
    </row>
    <row r="90" spans="4:32">
      <c r="W90" s="6"/>
      <c r="AF90" s="93" t="s">
        <v>79</v>
      </c>
    </row>
    <row r="91" spans="4:32">
      <c r="W91" s="6"/>
      <c r="AF91" s="93" t="s">
        <v>80</v>
      </c>
    </row>
    <row r="92" spans="4:32">
      <c r="W92" s="6"/>
      <c r="AF92" s="93" t="s">
        <v>81</v>
      </c>
    </row>
  </sheetData>
  <autoFilter ref="D1:D92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A70:A79"/>
    <mergeCell ref="S70:S79"/>
    <mergeCell ref="Z70:AA70"/>
    <mergeCell ref="D79:E79"/>
    <mergeCell ref="A59:A69"/>
    <mergeCell ref="S59:S69"/>
    <mergeCell ref="Z59:AA59"/>
    <mergeCell ref="Z66:AA66"/>
    <mergeCell ref="Z67:AA67"/>
    <mergeCell ref="Z68:AA68"/>
    <mergeCell ref="D69:E69"/>
    <mergeCell ref="Z69:AA69"/>
    <mergeCell ref="Z54:AA54"/>
    <mergeCell ref="Z55:AA55"/>
    <mergeCell ref="Z56:AA56"/>
    <mergeCell ref="Z57:AA57"/>
    <mergeCell ref="Z58:AA58"/>
    <mergeCell ref="AD59:AD69"/>
    <mergeCell ref="Z60:AA60"/>
    <mergeCell ref="Z61:AA61"/>
    <mergeCell ref="Z62:AA62"/>
    <mergeCell ref="Z63:AA63"/>
    <mergeCell ref="Z64:AA64"/>
    <mergeCell ref="Z65:AA65"/>
    <mergeCell ref="AD38:AD48"/>
    <mergeCell ref="Z39:AA39"/>
    <mergeCell ref="Z40:AA40"/>
    <mergeCell ref="Z41:AA41"/>
    <mergeCell ref="Z42:AA42"/>
    <mergeCell ref="Z43:AA43"/>
    <mergeCell ref="Z44:AA44"/>
    <mergeCell ref="A49:A58"/>
    <mergeCell ref="S49:S58"/>
    <mergeCell ref="Z49:AA49"/>
    <mergeCell ref="D58:E58"/>
    <mergeCell ref="A38:A48"/>
    <mergeCell ref="S38:S48"/>
    <mergeCell ref="Z38:AA38"/>
    <mergeCell ref="Z45:AA45"/>
    <mergeCell ref="Z46:AA46"/>
    <mergeCell ref="Z47:AA47"/>
    <mergeCell ref="D48:E48"/>
    <mergeCell ref="Z48:AA48"/>
    <mergeCell ref="AD49:AD58"/>
    <mergeCell ref="Z50:AA50"/>
    <mergeCell ref="Z51:AA51"/>
    <mergeCell ref="Z52:AA52"/>
    <mergeCell ref="Z53:AA53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A27:A37"/>
    <mergeCell ref="S27:S37"/>
    <mergeCell ref="Z27:AA27"/>
    <mergeCell ref="D37:E37"/>
    <mergeCell ref="Z37:AA37"/>
    <mergeCell ref="Z23:AA23"/>
    <mergeCell ref="Z24:AA24"/>
    <mergeCell ref="Z25:AA25"/>
    <mergeCell ref="D26:E26"/>
    <mergeCell ref="Z26:AA26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R3:R4"/>
    <mergeCell ref="S3:S4"/>
    <mergeCell ref="D15:E15"/>
    <mergeCell ref="Z15:AA15"/>
    <mergeCell ref="AC3:AC4"/>
    <mergeCell ref="AD3:AD4"/>
    <mergeCell ref="A5: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10:AA10"/>
    <mergeCell ref="Z11:AA11"/>
    <mergeCell ref="Z12:AA12"/>
    <mergeCell ref="Z13:AA13"/>
    <mergeCell ref="Z14:AA14"/>
    <mergeCell ref="P1:S2"/>
    <mergeCell ref="T1:Y2"/>
    <mergeCell ref="Z1:AA2"/>
    <mergeCell ref="AB1:AD2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H3:H4"/>
    <mergeCell ref="I3:I4"/>
    <mergeCell ref="J3:J4"/>
    <mergeCell ref="K3:K4"/>
    <mergeCell ref="L3:L4"/>
    <mergeCell ref="Z3:AA4"/>
    <mergeCell ref="AB3:AB4"/>
    <mergeCell ref="N3:N4"/>
    <mergeCell ref="O3:O4"/>
    <mergeCell ref="P3:P4"/>
    <mergeCell ref="Q3:Q4"/>
  </mergeCells>
  <phoneticPr fontId="0" type="noConversion"/>
  <conditionalFormatting sqref="P5:P79">
    <cfRule type="cellIs" dxfId="8" priority="1" operator="greaterThan">
      <formula>0</formula>
    </cfRule>
  </conditionalFormatting>
  <conditionalFormatting sqref="AB5:AB79 Q5:Q79">
    <cfRule type="cellIs" dxfId="7" priority="4" operator="lessThan">
      <formula>0</formula>
    </cfRule>
  </conditionalFormatting>
  <conditionalFormatting sqref="AC5:AC79 R5:R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D59:AD62 S69:S76 AD69:AD76">
    <cfRule type="cellIs" dxfId="4" priority="7" operator="lessThan">
      <formula>0.8</formula>
    </cfRule>
  </conditionalFormatting>
  <conditionalFormatting sqref="S19:S25 AD19:AD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D5:AD8 S15:S16 AD15:AD16 AD49 AD79">
    <cfRule type="cellIs" dxfId="1" priority="9" operator="lessThan">
      <formula>0.8</formula>
    </cfRule>
  </conditionalFormatting>
  <conditionalFormatting sqref="AD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D1A57F-1843-474F-BFE4-11FB6E40164F}"/>
</file>

<file path=customXml/itemProps2.xml><?xml version="1.0" encoding="utf-8"?>
<ds:datastoreItem xmlns:ds="http://schemas.openxmlformats.org/officeDocument/2006/customXml" ds:itemID="{955C896C-BE49-4A87-A4B7-BD51C1627FF9}"/>
</file>

<file path=customXml/itemProps3.xml><?xml version="1.0" encoding="utf-8"?>
<ds:datastoreItem xmlns:ds="http://schemas.openxmlformats.org/officeDocument/2006/customXml" ds:itemID="{30E4AE94-61D6-40F7-AEBB-B0842B02C5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已命名的範圍</vt:lpstr>
      </vt:variant>
      <vt:variant>
        <vt:i4>45</vt:i4>
      </vt:variant>
    </vt:vector>
  </HeadingPairs>
  <TitlesOfParts>
    <vt:vector size="109" baseType="lpstr">
      <vt:lpstr>廠價表</vt:lpstr>
      <vt:lpstr>產線配置圖</vt:lpstr>
      <vt:lpstr>1201總</vt:lpstr>
      <vt:lpstr>1201</vt:lpstr>
      <vt:lpstr>1202總</vt:lpstr>
      <vt:lpstr>1202</vt:lpstr>
      <vt:lpstr>1203總 </vt:lpstr>
      <vt:lpstr>1203</vt:lpstr>
      <vt:lpstr>1204總</vt:lpstr>
      <vt:lpstr>1204</vt:lpstr>
      <vt:lpstr>1205總</vt:lpstr>
      <vt:lpstr>1205</vt:lpstr>
      <vt:lpstr>1206總</vt:lpstr>
      <vt:lpstr>1206</vt:lpstr>
      <vt:lpstr>1207總</vt:lpstr>
      <vt:lpstr>1207</vt:lpstr>
      <vt:lpstr>1208總</vt:lpstr>
      <vt:lpstr>1208</vt:lpstr>
      <vt:lpstr>1209總</vt:lpstr>
      <vt:lpstr>1209</vt:lpstr>
      <vt:lpstr>1210總</vt:lpstr>
      <vt:lpstr>1210</vt:lpstr>
      <vt:lpstr>1211總</vt:lpstr>
      <vt:lpstr>1211</vt:lpstr>
      <vt:lpstr>1212總</vt:lpstr>
      <vt:lpstr>1212</vt:lpstr>
      <vt:lpstr>1213總</vt:lpstr>
      <vt:lpstr>1213</vt:lpstr>
      <vt:lpstr>1214總</vt:lpstr>
      <vt:lpstr>1214</vt:lpstr>
      <vt:lpstr>1215總</vt:lpstr>
      <vt:lpstr>1215</vt:lpstr>
      <vt:lpstr>1216總</vt:lpstr>
      <vt:lpstr>1216</vt:lpstr>
      <vt:lpstr>1217總</vt:lpstr>
      <vt:lpstr>1217</vt:lpstr>
      <vt:lpstr>1218總</vt:lpstr>
      <vt:lpstr>1218</vt:lpstr>
      <vt:lpstr>1219總</vt:lpstr>
      <vt:lpstr>1219</vt:lpstr>
      <vt:lpstr>1220總</vt:lpstr>
      <vt:lpstr>1220</vt:lpstr>
      <vt:lpstr>1221總 </vt:lpstr>
      <vt:lpstr>1221</vt:lpstr>
      <vt:lpstr>1222總</vt:lpstr>
      <vt:lpstr>1222</vt:lpstr>
      <vt:lpstr>1223總</vt:lpstr>
      <vt:lpstr>1223</vt:lpstr>
      <vt:lpstr>1224總 </vt:lpstr>
      <vt:lpstr>1224</vt:lpstr>
      <vt:lpstr>1225總</vt:lpstr>
      <vt:lpstr>1225</vt:lpstr>
      <vt:lpstr>1226總</vt:lpstr>
      <vt:lpstr>1226</vt:lpstr>
      <vt:lpstr>1227總</vt:lpstr>
      <vt:lpstr>1227</vt:lpstr>
      <vt:lpstr>1228總 </vt:lpstr>
      <vt:lpstr>1228</vt:lpstr>
      <vt:lpstr>1229總</vt:lpstr>
      <vt:lpstr>1229</vt:lpstr>
      <vt:lpstr>1230總</vt:lpstr>
      <vt:lpstr>1230</vt:lpstr>
      <vt:lpstr>1231總</vt:lpstr>
      <vt:lpstr>1231</vt:lpstr>
      <vt:lpstr>'1225'!_FilterDatabase</vt:lpstr>
      <vt:lpstr>'1225總'!_FilterDatabase</vt:lpstr>
      <vt:lpstr>'1226'!_FilterDatabase</vt:lpstr>
      <vt:lpstr>'1226總'!_FilterDatabase</vt:lpstr>
      <vt:lpstr>'1227'!_FilterDatabase</vt:lpstr>
      <vt:lpstr>'1227總'!_FilterDatabase</vt:lpstr>
      <vt:lpstr>'1228'!_FilterDatabase</vt:lpstr>
      <vt:lpstr>'1228總 '!_FilterDatabase</vt:lpstr>
      <vt:lpstr>'1229'!_FilterDatabase</vt:lpstr>
      <vt:lpstr>'1229總'!_FilterDatabase</vt:lpstr>
      <vt:lpstr>'1230'!_FilterDatabase</vt:lpstr>
      <vt:lpstr>'1230總'!_FilterDatabase</vt:lpstr>
      <vt:lpstr>'1231'!_FilterDatabase</vt:lpstr>
      <vt:lpstr>'1231總'!_FilterDatabase</vt:lpstr>
      <vt:lpstr>'1201'!Print_Area</vt:lpstr>
      <vt:lpstr>'1202'!Print_Area</vt:lpstr>
      <vt:lpstr>'1203'!Print_Area</vt:lpstr>
      <vt:lpstr>'1204'!Print_Area</vt:lpstr>
      <vt:lpstr>'1205'!Print_Area</vt:lpstr>
      <vt:lpstr>'1206'!Print_Area</vt:lpstr>
      <vt:lpstr>'1207'!Print_Area</vt:lpstr>
      <vt:lpstr>'1208'!Print_Area</vt:lpstr>
      <vt:lpstr>'1209'!Print_Area</vt:lpstr>
      <vt:lpstr>'1210'!Print_Area</vt:lpstr>
      <vt:lpstr>'1211'!Print_Area</vt:lpstr>
      <vt:lpstr>'1212'!Print_Area</vt:lpstr>
      <vt:lpstr>'1213'!Print_Area</vt:lpstr>
      <vt:lpstr>'1214'!Print_Area</vt:lpstr>
      <vt:lpstr>'1215'!Print_Area</vt:lpstr>
      <vt:lpstr>'1216'!Print_Area</vt:lpstr>
      <vt:lpstr>'1217'!Print_Area</vt:lpstr>
      <vt:lpstr>'1218'!Print_Area</vt:lpstr>
      <vt:lpstr>'1219'!Print_Area</vt:lpstr>
      <vt:lpstr>'1220'!Print_Area</vt:lpstr>
      <vt:lpstr>'1221'!Print_Area</vt:lpstr>
      <vt:lpstr>'1222'!Print_Area</vt:lpstr>
      <vt:lpstr>'1223'!Print_Area</vt:lpstr>
      <vt:lpstr>'1224'!Print_Area</vt:lpstr>
      <vt:lpstr>'1225'!Print_Area</vt:lpstr>
      <vt:lpstr>'1226'!Print_Area</vt:lpstr>
      <vt:lpstr>'1227'!Print_Area</vt:lpstr>
      <vt:lpstr>'1228'!Print_Area</vt:lpstr>
      <vt:lpstr>'1229'!Print_Area</vt:lpstr>
      <vt:lpstr>'1230'!Print_Area</vt:lpstr>
      <vt:lpstr>'1231'!Print_Area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林煥程</cp:lastModifiedBy>
  <cp:lastPrinted>2025-07-20T06:16:16Z</cp:lastPrinted>
  <dcterms:created xsi:type="dcterms:W3CDTF">2025-03-27T08:47:27Z</dcterms:created>
  <dcterms:modified xsi:type="dcterms:W3CDTF">2026-01-07T03:56:53Z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