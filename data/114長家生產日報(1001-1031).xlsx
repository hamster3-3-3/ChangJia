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10月半成品及日報繳交處\"/>
    </mc:Choice>
  </mc:AlternateContent>
  <xr:revisionPtr revIDLastSave="0" documentId="13_ncr:1_{122BCF56-09D4-4706-A757-978E941D264D}" xr6:coauthVersionLast="47" xr6:coauthVersionMax="47" xr10:uidLastSave="{00000000-0000-0000-0000-000000000000}"/>
  <bookViews>
    <workbookView xWindow="-120" yWindow="-120" windowWidth="29040" windowHeight="15720" tabRatio="604" firstSheet="48" activeTab="49" xr2:uid="{00000000-000D-0000-FFFF-FFFF00000000}"/>
  </bookViews>
  <sheets>
    <sheet name="廠價表" sheetId="4" r:id="rId1"/>
    <sheet name="產線配置圖" sheetId="10" r:id="rId2"/>
    <sheet name="1001總" sheetId="64" r:id="rId3"/>
    <sheet name="1001" sheetId="65" r:id="rId4"/>
    <sheet name="1002總 " sheetId="66" r:id="rId5"/>
    <sheet name="1002" sheetId="67" r:id="rId6"/>
    <sheet name="1003總" sheetId="68" r:id="rId7"/>
    <sheet name="1003" sheetId="69" r:id="rId8"/>
    <sheet name="1004總" sheetId="71" r:id="rId9"/>
    <sheet name="1004" sheetId="72" r:id="rId10"/>
    <sheet name="1005總" sheetId="73" r:id="rId11"/>
    <sheet name="1005" sheetId="74" r:id="rId12"/>
    <sheet name="1006總" sheetId="75" r:id="rId13"/>
    <sheet name="1006" sheetId="76" r:id="rId14"/>
    <sheet name="1007總" sheetId="77" r:id="rId15"/>
    <sheet name="1007" sheetId="78" r:id="rId16"/>
    <sheet name="1008總" sheetId="79" r:id="rId17"/>
    <sheet name="1008" sheetId="80" r:id="rId18"/>
    <sheet name="1009總 " sheetId="81" r:id="rId19"/>
    <sheet name="1009" sheetId="82" r:id="rId20"/>
    <sheet name="1010總 " sheetId="84" r:id="rId21"/>
    <sheet name="1010" sheetId="85" r:id="rId22"/>
    <sheet name="1011總" sheetId="86" r:id="rId23"/>
    <sheet name="1011" sheetId="87" r:id="rId24"/>
    <sheet name="1012總" sheetId="88" r:id="rId25"/>
    <sheet name="1012" sheetId="89" r:id="rId26"/>
    <sheet name="1013總 " sheetId="90" r:id="rId27"/>
    <sheet name="1013" sheetId="91" r:id="rId28"/>
    <sheet name="1014總" sheetId="92" r:id="rId29"/>
    <sheet name="1014" sheetId="93" r:id="rId30"/>
    <sheet name="1015總" sheetId="94" r:id="rId31"/>
    <sheet name="1015" sheetId="95" r:id="rId32"/>
    <sheet name="1016總" sheetId="97" r:id="rId33"/>
    <sheet name="1016" sheetId="98" r:id="rId34"/>
    <sheet name="1017總 " sheetId="99" r:id="rId35"/>
    <sheet name="1017" sheetId="100" r:id="rId36"/>
    <sheet name="1018總" sheetId="101" r:id="rId37"/>
    <sheet name="1018" sheetId="102" r:id="rId38"/>
    <sheet name="1019總" sheetId="103" r:id="rId39"/>
    <sheet name="1019" sheetId="104" r:id="rId40"/>
    <sheet name="1020總" sheetId="105" r:id="rId41"/>
    <sheet name="1020" sheetId="106" r:id="rId42"/>
    <sheet name="1021總" sheetId="107" r:id="rId43"/>
    <sheet name="1021" sheetId="108" r:id="rId44"/>
    <sheet name="1022總" sheetId="109" r:id="rId45"/>
    <sheet name="1022" sheetId="110" r:id="rId46"/>
    <sheet name="1023總" sheetId="112" r:id="rId47"/>
    <sheet name="1023" sheetId="111" r:id="rId48"/>
    <sheet name="1024總" sheetId="113" r:id="rId49"/>
    <sheet name="1024" sheetId="114" r:id="rId50"/>
    <sheet name="1025總 " sheetId="115" r:id="rId51"/>
    <sheet name="1025" sheetId="116" r:id="rId52"/>
    <sheet name="1026總" sheetId="117" r:id="rId53"/>
    <sheet name="1026" sheetId="118" r:id="rId54"/>
    <sheet name="1027總" sheetId="119" r:id="rId55"/>
    <sheet name="1027" sheetId="120" r:id="rId56"/>
    <sheet name="1028總" sheetId="122" r:id="rId57"/>
    <sheet name="1028" sheetId="121" r:id="rId58"/>
    <sheet name="1029總 " sheetId="123" r:id="rId59"/>
    <sheet name="1029" sheetId="124" r:id="rId60"/>
    <sheet name="1030總" sheetId="125" r:id="rId61"/>
    <sheet name="1030" sheetId="126" r:id="rId62"/>
    <sheet name="1031總" sheetId="127" r:id="rId63"/>
    <sheet name="1031" sheetId="128" r:id="rId64"/>
  </sheets>
  <definedNames>
    <definedName name="_xlnm._FilterDatabase" localSheetId="3" hidden="1">'1001'!$D$1:$D$92</definedName>
    <definedName name="_xlnm._FilterDatabase" localSheetId="2" hidden="1">'1001總'!$B$10:$J$21</definedName>
    <definedName name="_xlnm._FilterDatabase" localSheetId="5" hidden="1">'1002'!$D$1:$D$92</definedName>
    <definedName name="_xlnm._FilterDatabase" localSheetId="4" hidden="1">'1002總 '!$B$10:$J$21</definedName>
    <definedName name="_xlnm._FilterDatabase" localSheetId="7" hidden="1">'1003'!$D$1:$D$92</definedName>
    <definedName name="_xlnm._FilterDatabase" localSheetId="6" hidden="1">'1003總'!$B$10:$J$21</definedName>
    <definedName name="_xlnm._FilterDatabase" localSheetId="9" hidden="1">'1004'!$D$1:$D$92</definedName>
    <definedName name="_xlnm._FilterDatabase" localSheetId="8" hidden="1">'1004總'!$B$10:$J$21</definedName>
    <definedName name="_xlnm._FilterDatabase" localSheetId="11" hidden="1">'1005'!$D$1:$D$92</definedName>
    <definedName name="_xlnm._FilterDatabase" localSheetId="10" hidden="1">'1005總'!$B$10:$J$21</definedName>
    <definedName name="_xlnm._FilterDatabase" localSheetId="13" hidden="1">'1006'!$D$1:$D$92</definedName>
    <definedName name="_xlnm._FilterDatabase" localSheetId="12" hidden="1">'1006總'!$B$10:$J$21</definedName>
    <definedName name="_xlnm._FilterDatabase" localSheetId="15" hidden="1">'1007'!$D$1:$D$92</definedName>
    <definedName name="_xlnm._FilterDatabase" localSheetId="14" hidden="1">'1007總'!$B$10:$J$21</definedName>
    <definedName name="_xlnm._FilterDatabase" localSheetId="17" hidden="1">'1008'!$D$1:$D$92</definedName>
    <definedName name="_xlnm._FilterDatabase" localSheetId="16" hidden="1">'1008總'!$B$10:$J$21</definedName>
    <definedName name="_xlnm._FilterDatabase" localSheetId="19" hidden="1">'1009'!$D$1:$D$92</definedName>
    <definedName name="_xlnm._FilterDatabase" localSheetId="18" hidden="1">'1009總 '!$B$10:$J$21</definedName>
    <definedName name="_xlnm._FilterDatabase" localSheetId="21" hidden="1">'1010'!$D$1:$D$92</definedName>
    <definedName name="_xlnm._FilterDatabase" localSheetId="20" hidden="1">'1010總 '!$B$10:$J$21</definedName>
    <definedName name="_xlnm._FilterDatabase" localSheetId="23" hidden="1">'1011'!$D$1:$D$92</definedName>
    <definedName name="_xlnm._FilterDatabase" localSheetId="22" hidden="1">'1011總'!$B$10:$J$21</definedName>
    <definedName name="_xlnm._FilterDatabase" localSheetId="25" hidden="1">'1012'!$D$1:$D$92</definedName>
    <definedName name="_xlnm._FilterDatabase" localSheetId="24" hidden="1">'1012總'!$B$10:$J$21</definedName>
    <definedName name="_xlnm._FilterDatabase" localSheetId="27" hidden="1">'1013'!$D$1:$D$92</definedName>
    <definedName name="_xlnm._FilterDatabase" localSheetId="26" hidden="1">'1013總 '!$B$10:$J$21</definedName>
    <definedName name="_xlnm._FilterDatabase" localSheetId="29" hidden="1">'1014'!$D$1:$D$92</definedName>
    <definedName name="_xlnm._FilterDatabase" localSheetId="28" hidden="1">'1014總'!$B$10:$J$21</definedName>
    <definedName name="_xlnm._FilterDatabase" localSheetId="31" hidden="1">'1015'!$D$1:$D$92</definedName>
    <definedName name="_xlnm._FilterDatabase" localSheetId="30" hidden="1">'1015總'!$B$10:$J$21</definedName>
    <definedName name="_xlnm._FilterDatabase" localSheetId="33" hidden="1">'1016'!$D$1:$D$92</definedName>
    <definedName name="_xlnm._FilterDatabase" localSheetId="32" hidden="1">'1016總'!$B$10:$J$21</definedName>
    <definedName name="_xlnm._FilterDatabase" localSheetId="35" hidden="1">'1017'!$D$1:$D$92</definedName>
    <definedName name="_xlnm._FilterDatabase" localSheetId="34" hidden="1">'1017總 '!$B$10:$J$21</definedName>
    <definedName name="_xlnm._FilterDatabase" localSheetId="37" hidden="1">'1018'!$D$1:$D$92</definedName>
    <definedName name="_xlnm._FilterDatabase" localSheetId="36" hidden="1">'1018總'!$B$10:$J$21</definedName>
    <definedName name="_xlnm._FilterDatabase" localSheetId="39" hidden="1">'1019'!$D$1:$D$92</definedName>
    <definedName name="_xlnm._FilterDatabase" localSheetId="38" hidden="1">'1019總'!$B$10:$J$21</definedName>
    <definedName name="_xlnm._FilterDatabase" localSheetId="41" hidden="1">'1020'!$D$1:$D$92</definedName>
    <definedName name="_xlnm._FilterDatabase" localSheetId="40" hidden="1">'1020總'!$B$10:$J$21</definedName>
    <definedName name="_xlnm._FilterDatabase" localSheetId="43" hidden="1">'1021'!$D$1:$D$92</definedName>
    <definedName name="_xlnm._FilterDatabase" localSheetId="42" hidden="1">'1021總'!$B$10:$J$21</definedName>
    <definedName name="_xlnm._FilterDatabase" localSheetId="45" hidden="1">'1022'!$D$1:$D$92</definedName>
    <definedName name="_xlnm._FilterDatabase" localSheetId="44" hidden="1">'1022總'!$B$10:$J$21</definedName>
    <definedName name="_xlnm._FilterDatabase" localSheetId="47" hidden="1">'1023'!$D$1:$D$92</definedName>
    <definedName name="_xlnm._FilterDatabase" localSheetId="46" hidden="1">'1023總'!$B$10:$J$21</definedName>
    <definedName name="_xlnm._FilterDatabase" localSheetId="49" hidden="1">'1024'!$D$1:$D$92</definedName>
    <definedName name="_xlnm._FilterDatabase" localSheetId="48" hidden="1">'1024總'!$B$10:$J$21</definedName>
    <definedName name="_xlnm._FilterDatabase" localSheetId="51" hidden="1">'1025'!$D$1:$D$92</definedName>
    <definedName name="_xlnm._FilterDatabase" localSheetId="50" hidden="1">'1025總 '!$B$10:$J$21</definedName>
    <definedName name="_xlnm._FilterDatabase" localSheetId="53" hidden="1">'1026'!$D$1:$D$92</definedName>
    <definedName name="_xlnm._FilterDatabase" localSheetId="52" hidden="1">'1026總'!$B$10:$J$21</definedName>
    <definedName name="_xlnm._FilterDatabase" localSheetId="55" hidden="1">'1027'!$D$1:$D$92</definedName>
    <definedName name="_xlnm._FilterDatabase" localSheetId="54" hidden="1">'1027總'!$B$10:$J$21</definedName>
    <definedName name="_xlnm._FilterDatabase" localSheetId="57" hidden="1">'1028'!$D$1:$D$92</definedName>
    <definedName name="_xlnm._FilterDatabase" localSheetId="56" hidden="1">'1028總'!$B$10:$J$21</definedName>
    <definedName name="_xlnm._FilterDatabase" localSheetId="59" hidden="1">'1029'!$D$1:$D$92</definedName>
    <definedName name="_xlnm._FilterDatabase" localSheetId="58" hidden="1">'1029總 '!$B$10:$J$21</definedName>
    <definedName name="_xlnm._FilterDatabase" localSheetId="61" hidden="1">'1030'!$D$1:$D$92</definedName>
    <definedName name="_xlnm._FilterDatabase" localSheetId="60" hidden="1">'1030總'!$B$10:$J$21</definedName>
    <definedName name="_xlnm._FilterDatabase" localSheetId="63" hidden="1">'1031'!$D$1:$D$92</definedName>
    <definedName name="_xlnm._FilterDatabase" localSheetId="62" hidden="1">'1031總'!$B$10:$J$21</definedName>
    <definedName name="_xlnm.Print_Area" localSheetId="3">'1001'!$A$1:$AD$79</definedName>
    <definedName name="_xlnm.Print_Area" localSheetId="5">'1002'!$A$1:$AD$79</definedName>
    <definedName name="_xlnm.Print_Area" localSheetId="7">'1003'!$A$1:$AD$79</definedName>
    <definedName name="_xlnm.Print_Area" localSheetId="9">'1004'!$A$1:$AD$79</definedName>
    <definedName name="_xlnm.Print_Area" localSheetId="11">'1005'!$A$1:$AD$79</definedName>
    <definedName name="_xlnm.Print_Area" localSheetId="13">'1006'!$A$1:$AD$79</definedName>
    <definedName name="_xlnm.Print_Area" localSheetId="15">'1007'!$A$1:$AD$79</definedName>
    <definedName name="_xlnm.Print_Area" localSheetId="17">'1008'!$A$1:$AD$79</definedName>
    <definedName name="_xlnm.Print_Area" localSheetId="19">'1009'!$A$1:$AD$79</definedName>
    <definedName name="_xlnm.Print_Area" localSheetId="21">'1010'!$A$1:$AD$79</definedName>
    <definedName name="_xlnm.Print_Area" localSheetId="23">'1011'!$A$1:$AD$79</definedName>
    <definedName name="_xlnm.Print_Area" localSheetId="25">'1012'!$A$1:$AD$79</definedName>
    <definedName name="_xlnm.Print_Area" localSheetId="27">'1013'!$A$1:$AD$79</definedName>
    <definedName name="_xlnm.Print_Area" localSheetId="29">'1014'!$A$1:$AD$79</definedName>
    <definedName name="_xlnm.Print_Area" localSheetId="31">'1015'!$A$1:$AD$79</definedName>
    <definedName name="_xlnm.Print_Area" localSheetId="33">'1016'!$A$1:$AD$79</definedName>
    <definedName name="_xlnm.Print_Area" localSheetId="35">'1017'!$A$1:$AD$79</definedName>
    <definedName name="_xlnm.Print_Area" localSheetId="37">'1018'!$A$1:$AD$79</definedName>
    <definedName name="_xlnm.Print_Area" localSheetId="39">'1019'!$A$1:$AD$79</definedName>
    <definedName name="_xlnm.Print_Area" localSheetId="41">'1020'!$A$1:$AD$79</definedName>
    <definedName name="_xlnm.Print_Area" localSheetId="43">'1021'!$A$1:$AD$79</definedName>
    <definedName name="_xlnm.Print_Area" localSheetId="45">'1022'!$A$1:$AD$79</definedName>
    <definedName name="_xlnm.Print_Area" localSheetId="47">'1023'!$A$1:$AD$79</definedName>
    <definedName name="_xlnm.Print_Area" localSheetId="49">'1024'!$A$1:$AD$79</definedName>
    <definedName name="_xlnm.Print_Area" localSheetId="51">'1025'!$A$1:$AD$79</definedName>
    <definedName name="_xlnm.Print_Area" localSheetId="53">'1026'!$A$1:$AD$79</definedName>
    <definedName name="_xlnm.Print_Area" localSheetId="55">'1027'!$A$1:$AD$79</definedName>
    <definedName name="_xlnm.Print_Area" localSheetId="57">'1028'!$A$1:$AD$79</definedName>
    <definedName name="_xlnm.Print_Area" localSheetId="59">'1029'!$A$1:$AD$79</definedName>
    <definedName name="_xlnm.Print_Area" localSheetId="61">'1030'!$A$1:$AD$79</definedName>
    <definedName name="_xlnm.Print_Area" localSheetId="63">'1031'!$A$1:$AD$79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18" l="1"/>
  <c r="H40" i="118" s="1"/>
  <c r="F39" i="118"/>
  <c r="H39" i="118" s="1"/>
  <c r="H20" i="118"/>
  <c r="F20" i="118"/>
  <c r="H29" i="120"/>
  <c r="H30" i="120"/>
  <c r="F29" i="120"/>
  <c r="F30" i="120"/>
  <c r="H39" i="120"/>
  <c r="F39" i="120"/>
  <c r="F41" i="120"/>
  <c r="H41" i="120" s="1"/>
  <c r="F71" i="120"/>
  <c r="H71" i="120" s="1"/>
  <c r="H73" i="121"/>
  <c r="H72" i="121"/>
  <c r="H71" i="121"/>
  <c r="H70" i="121"/>
  <c r="H29" i="121"/>
  <c r="H30" i="121"/>
  <c r="H40" i="121"/>
  <c r="H39" i="121"/>
  <c r="H38" i="121"/>
  <c r="F40" i="124"/>
  <c r="H40" i="124" s="1"/>
  <c r="F39" i="124"/>
  <c r="F38" i="124"/>
  <c r="H39" i="124"/>
  <c r="H38" i="124"/>
  <c r="H29" i="124"/>
  <c r="H71" i="124"/>
  <c r="H70" i="124"/>
  <c r="F71" i="124"/>
  <c r="H73" i="126"/>
  <c r="H72" i="126"/>
  <c r="H71" i="126"/>
  <c r="F73" i="126"/>
  <c r="F72" i="126"/>
  <c r="F71" i="126"/>
  <c r="H39" i="126"/>
  <c r="H38" i="126"/>
  <c r="H29" i="126"/>
  <c r="H28" i="126"/>
  <c r="F39" i="126"/>
  <c r="F38" i="126"/>
  <c r="F39" i="128"/>
  <c r="H39" i="128" s="1"/>
  <c r="F38" i="128"/>
  <c r="H38" i="128" s="1"/>
  <c r="H71" i="128"/>
  <c r="F71" i="128"/>
  <c r="J16" i="127"/>
  <c r="V71" i="128"/>
  <c r="W71" i="128"/>
  <c r="N71" i="128" s="1"/>
  <c r="W70" i="128"/>
  <c r="W78" i="128"/>
  <c r="H78" i="128"/>
  <c r="W77" i="128"/>
  <c r="H77" i="128"/>
  <c r="W76" i="128"/>
  <c r="H76" i="128"/>
  <c r="W75" i="128"/>
  <c r="H75" i="128"/>
  <c r="W74" i="128"/>
  <c r="W73" i="128"/>
  <c r="W72" i="128"/>
  <c r="K71" i="128"/>
  <c r="L71" i="128" s="1"/>
  <c r="J71" i="128"/>
  <c r="P71" i="128" s="1"/>
  <c r="N70" i="128"/>
  <c r="O70" i="128" s="1"/>
  <c r="K70" i="128"/>
  <c r="L70" i="128" s="1"/>
  <c r="J70" i="128"/>
  <c r="P70" i="128" s="1"/>
  <c r="F70" i="128"/>
  <c r="H70" i="128" s="1"/>
  <c r="M69" i="128"/>
  <c r="I18" i="127" s="1"/>
  <c r="W68" i="128"/>
  <c r="H68" i="128"/>
  <c r="W67" i="128"/>
  <c r="H67" i="128"/>
  <c r="W66" i="128"/>
  <c r="H66" i="128"/>
  <c r="W65" i="128"/>
  <c r="H65" i="128"/>
  <c r="W64" i="128"/>
  <c r="H64" i="128"/>
  <c r="W63" i="128"/>
  <c r="W62" i="128"/>
  <c r="W61" i="128"/>
  <c r="N61" i="128" s="1"/>
  <c r="V61" i="128"/>
  <c r="P61" i="128"/>
  <c r="K61" i="128"/>
  <c r="L61" i="128" s="1"/>
  <c r="J61" i="128"/>
  <c r="F61" i="128"/>
  <c r="H61" i="128" s="1"/>
  <c r="B61" i="128"/>
  <c r="W60" i="128"/>
  <c r="N60" i="128" s="1"/>
  <c r="V60" i="128"/>
  <c r="K60" i="128"/>
  <c r="L60" i="128" s="1"/>
  <c r="J60" i="128"/>
  <c r="P60" i="128" s="1"/>
  <c r="F60" i="128"/>
  <c r="H60" i="128" s="1"/>
  <c r="B60" i="128"/>
  <c r="W59" i="128"/>
  <c r="N59" i="128"/>
  <c r="O59" i="128" s="1"/>
  <c r="K59" i="128"/>
  <c r="L59" i="128" s="1"/>
  <c r="J59" i="128"/>
  <c r="P59" i="128" s="1"/>
  <c r="F59" i="128"/>
  <c r="H59" i="128" s="1"/>
  <c r="B59" i="128"/>
  <c r="M58" i="128"/>
  <c r="H18" i="127" s="1"/>
  <c r="K58" i="128"/>
  <c r="J58" i="128"/>
  <c r="W57" i="128"/>
  <c r="H57" i="128"/>
  <c r="W56" i="128"/>
  <c r="H56" i="128"/>
  <c r="W55" i="128"/>
  <c r="H55" i="128"/>
  <c r="W54" i="128"/>
  <c r="W53" i="128"/>
  <c r="W52" i="128"/>
  <c r="W51" i="128"/>
  <c r="N51" i="128" s="1"/>
  <c r="V51" i="128"/>
  <c r="P51" i="128"/>
  <c r="K51" i="128"/>
  <c r="L51" i="128" s="1"/>
  <c r="J51" i="128"/>
  <c r="F51" i="128"/>
  <c r="H51" i="128" s="1"/>
  <c r="B51" i="128"/>
  <c r="W50" i="128"/>
  <c r="N50" i="128" s="1"/>
  <c r="V50" i="128"/>
  <c r="K50" i="128"/>
  <c r="L50" i="128" s="1"/>
  <c r="J50" i="128"/>
  <c r="P50" i="128" s="1"/>
  <c r="F50" i="128"/>
  <c r="H50" i="128" s="1"/>
  <c r="B50" i="128"/>
  <c r="W49" i="128"/>
  <c r="N49" i="128"/>
  <c r="O49" i="128" s="1"/>
  <c r="J49" i="128"/>
  <c r="L49" i="128" s="1"/>
  <c r="F49" i="128"/>
  <c r="H49" i="128" s="1"/>
  <c r="B49" i="128"/>
  <c r="W48" i="128"/>
  <c r="M48" i="128"/>
  <c r="G18" i="127" s="1"/>
  <c r="W47" i="128"/>
  <c r="H47" i="128"/>
  <c r="W46" i="128"/>
  <c r="H46" i="128"/>
  <c r="W45" i="128"/>
  <c r="H45" i="128"/>
  <c r="W44" i="128"/>
  <c r="H44" i="128"/>
  <c r="W43" i="128"/>
  <c r="H43" i="128"/>
  <c r="W42" i="128"/>
  <c r="H42" i="128"/>
  <c r="W41" i="128"/>
  <c r="W40" i="128"/>
  <c r="W39" i="128"/>
  <c r="N39" i="128" s="1"/>
  <c r="O39" i="128" s="1"/>
  <c r="V39" i="128"/>
  <c r="K39" i="128"/>
  <c r="L39" i="128" s="1"/>
  <c r="J39" i="128"/>
  <c r="P39" i="128" s="1"/>
  <c r="W38" i="128"/>
  <c r="N38" i="128" s="1"/>
  <c r="P38" i="128"/>
  <c r="K38" i="128"/>
  <c r="J38" i="128"/>
  <c r="L38" i="128" s="1"/>
  <c r="M37" i="128"/>
  <c r="F18" i="127" s="1"/>
  <c r="W36" i="128"/>
  <c r="H36" i="128"/>
  <c r="W35" i="128"/>
  <c r="H35" i="128"/>
  <c r="W34" i="128"/>
  <c r="H34" i="128"/>
  <c r="W33" i="128"/>
  <c r="H33" i="128"/>
  <c r="W32" i="128"/>
  <c r="H32" i="128"/>
  <c r="W31" i="128"/>
  <c r="W30" i="128"/>
  <c r="W29" i="128"/>
  <c r="W28" i="128"/>
  <c r="N28" i="128" s="1"/>
  <c r="V28" i="128"/>
  <c r="K28" i="128"/>
  <c r="J28" i="128"/>
  <c r="P28" i="128" s="1"/>
  <c r="F28" i="128"/>
  <c r="H28" i="128" s="1"/>
  <c r="B28" i="128"/>
  <c r="W27" i="128"/>
  <c r="N27" i="128" s="1"/>
  <c r="AB27" i="128" s="1"/>
  <c r="K27" i="128"/>
  <c r="J27" i="128"/>
  <c r="H27" i="128"/>
  <c r="F27" i="128"/>
  <c r="M26" i="128"/>
  <c r="E18" i="127" s="1"/>
  <c r="K26" i="128"/>
  <c r="J26" i="128"/>
  <c r="W25" i="128"/>
  <c r="H25" i="128"/>
  <c r="W24" i="128"/>
  <c r="H24" i="128"/>
  <c r="W23" i="128"/>
  <c r="H23" i="128"/>
  <c r="H22" i="128"/>
  <c r="H21" i="128"/>
  <c r="W20" i="128"/>
  <c r="W19" i="128"/>
  <c r="N19" i="128" s="1"/>
  <c r="V19" i="128"/>
  <c r="K19" i="128"/>
  <c r="L19" i="128" s="1"/>
  <c r="J19" i="128"/>
  <c r="P19" i="128" s="1"/>
  <c r="F19" i="128"/>
  <c r="H19" i="128" s="1"/>
  <c r="W18" i="128"/>
  <c r="V18" i="128"/>
  <c r="N18" i="128"/>
  <c r="O18" i="128" s="1"/>
  <c r="K18" i="128"/>
  <c r="L18" i="128" s="1"/>
  <c r="J18" i="128"/>
  <c r="P18" i="128" s="1"/>
  <c r="H18" i="128"/>
  <c r="F18" i="128"/>
  <c r="W17" i="128"/>
  <c r="N17" i="128" s="1"/>
  <c r="V17" i="128"/>
  <c r="K17" i="128"/>
  <c r="J17" i="128"/>
  <c r="P17" i="128" s="1"/>
  <c r="F17" i="128"/>
  <c r="H17" i="128" s="1"/>
  <c r="W16" i="128"/>
  <c r="N16" i="128" s="1"/>
  <c r="P16" i="128"/>
  <c r="K16" i="128"/>
  <c r="L16" i="128" s="1"/>
  <c r="J16" i="128"/>
  <c r="F16" i="128"/>
  <c r="H16" i="128" s="1"/>
  <c r="M15" i="128"/>
  <c r="D18" i="127" s="1"/>
  <c r="W14" i="128"/>
  <c r="H14" i="128"/>
  <c r="W13" i="128"/>
  <c r="H13" i="128"/>
  <c r="W12" i="128"/>
  <c r="H12" i="128"/>
  <c r="W11" i="128"/>
  <c r="H11" i="128"/>
  <c r="W10" i="128"/>
  <c r="W9" i="128"/>
  <c r="W8" i="128"/>
  <c r="W7" i="128"/>
  <c r="N7" i="128" s="1"/>
  <c r="V7" i="128"/>
  <c r="K7" i="128"/>
  <c r="J7" i="128"/>
  <c r="P7" i="128" s="1"/>
  <c r="F7" i="128"/>
  <c r="H7" i="128" s="1"/>
  <c r="B7" i="128"/>
  <c r="W6" i="128"/>
  <c r="V6" i="128"/>
  <c r="N6" i="128"/>
  <c r="O6" i="128" s="1"/>
  <c r="K6" i="128"/>
  <c r="J6" i="128"/>
  <c r="P6" i="128" s="1"/>
  <c r="F6" i="128"/>
  <c r="H6" i="128" s="1"/>
  <c r="B6" i="128"/>
  <c r="W5" i="128"/>
  <c r="N5" i="128" s="1"/>
  <c r="P5" i="128"/>
  <c r="L5" i="128"/>
  <c r="K5" i="128"/>
  <c r="J5" i="128"/>
  <c r="H5" i="128"/>
  <c r="F5" i="128"/>
  <c r="B5" i="128"/>
  <c r="I2" i="128"/>
  <c r="E1" i="128"/>
  <c r="G3" i="127" s="1"/>
  <c r="I16" i="127"/>
  <c r="H16" i="127"/>
  <c r="G16" i="127"/>
  <c r="F16" i="127"/>
  <c r="E16" i="127"/>
  <c r="D16" i="127"/>
  <c r="V20" i="126"/>
  <c r="K20" i="126"/>
  <c r="J20" i="126"/>
  <c r="P20" i="126" s="1"/>
  <c r="F20" i="126"/>
  <c r="H20" i="126" s="1"/>
  <c r="AB49" i="128" l="1"/>
  <c r="AC49" i="128"/>
  <c r="AC27" i="128"/>
  <c r="AC6" i="128"/>
  <c r="AB59" i="128"/>
  <c r="AC59" i="128"/>
  <c r="AB70" i="128"/>
  <c r="AC70" i="128"/>
  <c r="AB18" i="128"/>
  <c r="AC18" i="128"/>
  <c r="J48" i="128"/>
  <c r="K48" i="128"/>
  <c r="G1" i="128"/>
  <c r="J3" i="127" s="1"/>
  <c r="K15" i="128"/>
  <c r="J15" i="128"/>
  <c r="P15" i="128" s="1"/>
  <c r="AB6" i="128"/>
  <c r="AC51" i="128"/>
  <c r="AB51" i="128"/>
  <c r="J69" i="128"/>
  <c r="J79" i="128" s="1"/>
  <c r="AB16" i="128"/>
  <c r="AC16" i="128"/>
  <c r="N26" i="128"/>
  <c r="O51" i="128"/>
  <c r="O60" i="128"/>
  <c r="AC60" i="128"/>
  <c r="AB60" i="128"/>
  <c r="R70" i="128"/>
  <c r="Q70" i="128"/>
  <c r="O16" i="128"/>
  <c r="O38" i="128"/>
  <c r="N48" i="128"/>
  <c r="AC38" i="128"/>
  <c r="AB38" i="128"/>
  <c r="AB7" i="128"/>
  <c r="O7" i="128"/>
  <c r="AC7" i="128"/>
  <c r="R18" i="128"/>
  <c r="Q18" i="128"/>
  <c r="R59" i="128"/>
  <c r="Q59" i="128"/>
  <c r="Q6" i="128"/>
  <c r="L17" i="128"/>
  <c r="L26" i="128" s="1"/>
  <c r="E13" i="127" s="1"/>
  <c r="O50" i="128"/>
  <c r="N58" i="128"/>
  <c r="AB50" i="128"/>
  <c r="AC50" i="128"/>
  <c r="O5" i="128"/>
  <c r="AC5" i="128"/>
  <c r="AB5" i="128"/>
  <c r="AC17" i="128"/>
  <c r="J37" i="128"/>
  <c r="P37" i="128" s="1"/>
  <c r="P27" i="128"/>
  <c r="L27" i="128"/>
  <c r="L48" i="128"/>
  <c r="G13" i="127" s="1"/>
  <c r="AC19" i="128"/>
  <c r="O19" i="128"/>
  <c r="AB19" i="128"/>
  <c r="L69" i="128"/>
  <c r="K69" i="128"/>
  <c r="K79" i="128" s="1"/>
  <c r="Q39" i="128"/>
  <c r="R39" i="128"/>
  <c r="AC61" i="128"/>
  <c r="AB61" i="128"/>
  <c r="O61" i="128"/>
  <c r="O69" i="128" s="1"/>
  <c r="L58" i="128"/>
  <c r="H13" i="127" s="1"/>
  <c r="N15" i="128"/>
  <c r="N37" i="128"/>
  <c r="AC39" i="128"/>
  <c r="AB39" i="128"/>
  <c r="R49" i="128"/>
  <c r="Q49" i="128"/>
  <c r="AC71" i="128"/>
  <c r="O71" i="128"/>
  <c r="AB71" i="128"/>
  <c r="AC28" i="128"/>
  <c r="AB28" i="128"/>
  <c r="O28" i="128"/>
  <c r="N69" i="128"/>
  <c r="P26" i="128"/>
  <c r="P48" i="128"/>
  <c r="P58" i="128"/>
  <c r="L28" i="128"/>
  <c r="P49" i="128"/>
  <c r="L6" i="128"/>
  <c r="R6" i="128" s="1"/>
  <c r="O17" i="128"/>
  <c r="L7" i="128"/>
  <c r="K37" i="128"/>
  <c r="AB17" i="128"/>
  <c r="M79" i="128"/>
  <c r="O27" i="128"/>
  <c r="L20" i="126"/>
  <c r="V9" i="126"/>
  <c r="V73" i="126"/>
  <c r="V72" i="126"/>
  <c r="P69" i="128" l="1"/>
  <c r="G2" i="128"/>
  <c r="I13" i="127"/>
  <c r="L79" i="128"/>
  <c r="J13" i="127" s="1"/>
  <c r="R69" i="128"/>
  <c r="S59" i="128" s="1"/>
  <c r="I14" i="127"/>
  <c r="O79" i="128"/>
  <c r="R38" i="128"/>
  <c r="O48" i="128"/>
  <c r="Q38" i="128"/>
  <c r="R27" i="128"/>
  <c r="Q27" i="128"/>
  <c r="O37" i="128"/>
  <c r="L37" i="128"/>
  <c r="F13" i="127" s="1"/>
  <c r="AC69" i="128"/>
  <c r="AD59" i="128" s="1"/>
  <c r="AB69" i="128"/>
  <c r="Q69" i="128"/>
  <c r="N79" i="128"/>
  <c r="Q7" i="128"/>
  <c r="R7" i="128"/>
  <c r="AC48" i="128"/>
  <c r="AD38" i="128" s="1"/>
  <c r="AB48" i="128"/>
  <c r="Q48" i="128"/>
  <c r="Q16" i="128"/>
  <c r="R16" i="128"/>
  <c r="O26" i="128"/>
  <c r="R60" i="128"/>
  <c r="Q60" i="128"/>
  <c r="Q28" i="128"/>
  <c r="R28" i="128"/>
  <c r="Q37" i="128"/>
  <c r="AC37" i="128"/>
  <c r="AD27" i="128" s="1"/>
  <c r="AB37" i="128"/>
  <c r="R51" i="128"/>
  <c r="Q51" i="128"/>
  <c r="R61" i="128"/>
  <c r="Q61" i="128"/>
  <c r="AC58" i="128"/>
  <c r="AD49" i="128" s="1"/>
  <c r="AB58" i="128"/>
  <c r="Q58" i="128"/>
  <c r="R71" i="128"/>
  <c r="Q71" i="128"/>
  <c r="R50" i="128"/>
  <c r="Q50" i="128"/>
  <c r="P79" i="128"/>
  <c r="I1" i="128"/>
  <c r="J18" i="127"/>
  <c r="O58" i="128"/>
  <c r="AB15" i="128"/>
  <c r="AC15" i="128"/>
  <c r="AD5" i="128" s="1"/>
  <c r="R19" i="128"/>
  <c r="Q19" i="128"/>
  <c r="R5" i="128"/>
  <c r="Q5" i="128"/>
  <c r="O15" i="128"/>
  <c r="AC26" i="128"/>
  <c r="AD16" i="128" s="1"/>
  <c r="AB26" i="128"/>
  <c r="R17" i="128"/>
  <c r="Q17" i="128"/>
  <c r="L15" i="128"/>
  <c r="D13" i="127" s="1"/>
  <c r="F14" i="127" l="1"/>
  <c r="F15" i="127" s="1"/>
  <c r="R37" i="128"/>
  <c r="S27" i="128" s="1"/>
  <c r="F6" i="127"/>
  <c r="H6" i="127"/>
  <c r="J6" i="127"/>
  <c r="R48" i="128"/>
  <c r="S38" i="128" s="1"/>
  <c r="G14" i="127"/>
  <c r="G15" i="127" s="1"/>
  <c r="R58" i="128"/>
  <c r="S49" i="128" s="1"/>
  <c r="H14" i="127"/>
  <c r="H15" i="127" s="1"/>
  <c r="AC79" i="128"/>
  <c r="AD70" i="128" s="1"/>
  <c r="AB79" i="128"/>
  <c r="Q79" i="128"/>
  <c r="D14" i="127"/>
  <c r="E2" i="128"/>
  <c r="Q15" i="128"/>
  <c r="R15" i="128"/>
  <c r="S5" i="128" s="1"/>
  <c r="R79" i="128"/>
  <c r="S70" i="128" s="1"/>
  <c r="J14" i="127"/>
  <c r="J15" i="127" s="1"/>
  <c r="E14" i="127"/>
  <c r="E15" i="127" s="1"/>
  <c r="R26" i="128"/>
  <c r="S16" i="128" s="1"/>
  <c r="Q26" i="128"/>
  <c r="I15" i="127"/>
  <c r="J8" i="127" l="1"/>
  <c r="J7" i="127"/>
  <c r="H7" i="127"/>
  <c r="F7" i="127"/>
  <c r="D15" i="127"/>
  <c r="F8" i="127" l="1"/>
  <c r="H8" i="127"/>
  <c r="J72" i="126" l="1"/>
  <c r="P72" i="126" s="1"/>
  <c r="K72" i="126"/>
  <c r="L72" i="126" s="1"/>
  <c r="J73" i="126"/>
  <c r="P73" i="126" s="1"/>
  <c r="K73" i="126"/>
  <c r="AC73" i="126" s="1"/>
  <c r="J9" i="126"/>
  <c r="P9" i="126" s="1"/>
  <c r="K9" i="126"/>
  <c r="F9" i="126"/>
  <c r="H9" i="126" s="1"/>
  <c r="B9" i="126"/>
  <c r="W78" i="126"/>
  <c r="H78" i="126"/>
  <c r="W77" i="126"/>
  <c r="H77" i="126"/>
  <c r="W76" i="126"/>
  <c r="H76" i="126"/>
  <c r="W75" i="126"/>
  <c r="H75" i="126"/>
  <c r="W74" i="126"/>
  <c r="H74" i="126"/>
  <c r="W73" i="126"/>
  <c r="N73" i="126" s="1"/>
  <c r="O73" i="126" s="1"/>
  <c r="W72" i="126"/>
  <c r="N72" i="126" s="1"/>
  <c r="O72" i="126" s="1"/>
  <c r="W71" i="126"/>
  <c r="V71" i="126"/>
  <c r="N71" i="126"/>
  <c r="K71" i="126"/>
  <c r="J71" i="126"/>
  <c r="P71" i="126" s="1"/>
  <c r="W70" i="126"/>
  <c r="N70" i="126" s="1"/>
  <c r="P70" i="126"/>
  <c r="K70" i="126"/>
  <c r="J70" i="126"/>
  <c r="F70" i="126"/>
  <c r="H70" i="126" s="1"/>
  <c r="M69" i="126"/>
  <c r="M79" i="126" s="1"/>
  <c r="W68" i="126"/>
  <c r="H68" i="126"/>
  <c r="W67" i="126"/>
  <c r="H67" i="126"/>
  <c r="W66" i="126"/>
  <c r="H66" i="126"/>
  <c r="W65" i="126"/>
  <c r="H65" i="126"/>
  <c r="W64" i="126"/>
  <c r="H64" i="126"/>
  <c r="W63" i="126"/>
  <c r="N63" i="126" s="1"/>
  <c r="V63" i="126"/>
  <c r="K63" i="126"/>
  <c r="J63" i="126"/>
  <c r="P63" i="126" s="1"/>
  <c r="F63" i="126"/>
  <c r="H63" i="126" s="1"/>
  <c r="B63" i="126"/>
  <c r="W62" i="126"/>
  <c r="N62" i="126" s="1"/>
  <c r="V62" i="126"/>
  <c r="K62" i="126"/>
  <c r="L62" i="126" s="1"/>
  <c r="J62" i="126"/>
  <c r="P62" i="126" s="1"/>
  <c r="F62" i="126"/>
  <c r="H62" i="126" s="1"/>
  <c r="B62" i="126"/>
  <c r="W61" i="126"/>
  <c r="N61" i="126" s="1"/>
  <c r="V61" i="126"/>
  <c r="K61" i="126"/>
  <c r="J61" i="126"/>
  <c r="P61" i="126" s="1"/>
  <c r="F61" i="126"/>
  <c r="H61" i="126" s="1"/>
  <c r="B61" i="126"/>
  <c r="W60" i="126"/>
  <c r="N60" i="126" s="1"/>
  <c r="V60" i="126"/>
  <c r="K60" i="126"/>
  <c r="K69" i="126" s="1"/>
  <c r="J60" i="126"/>
  <c r="P60" i="126" s="1"/>
  <c r="F60" i="126"/>
  <c r="H60" i="126" s="1"/>
  <c r="B60" i="126"/>
  <c r="W59" i="126"/>
  <c r="N59" i="126" s="1"/>
  <c r="O59" i="126" s="1"/>
  <c r="K59" i="126"/>
  <c r="J59" i="126"/>
  <c r="L59" i="126" s="1"/>
  <c r="F59" i="126"/>
  <c r="H59" i="126" s="1"/>
  <c r="B59" i="126"/>
  <c r="M58" i="126"/>
  <c r="H18" i="125" s="1"/>
  <c r="W57" i="126"/>
  <c r="H57" i="126"/>
  <c r="W56" i="126"/>
  <c r="H56" i="126"/>
  <c r="W55" i="126"/>
  <c r="H55" i="126"/>
  <c r="W54" i="126"/>
  <c r="W53" i="126"/>
  <c r="W52" i="126"/>
  <c r="W51" i="126"/>
  <c r="N51" i="126" s="1"/>
  <c r="V51" i="126"/>
  <c r="K51" i="126"/>
  <c r="L51" i="126" s="1"/>
  <c r="J51" i="126"/>
  <c r="P51" i="126" s="1"/>
  <c r="F51" i="126"/>
  <c r="H51" i="126" s="1"/>
  <c r="B51" i="126"/>
  <c r="W50" i="126"/>
  <c r="V50" i="126"/>
  <c r="N50" i="126"/>
  <c r="K50" i="126"/>
  <c r="J50" i="126"/>
  <c r="P50" i="126" s="1"/>
  <c r="F50" i="126"/>
  <c r="H50" i="126" s="1"/>
  <c r="B50" i="126"/>
  <c r="W49" i="126"/>
  <c r="N49" i="126" s="1"/>
  <c r="O49" i="126" s="1"/>
  <c r="P49" i="126"/>
  <c r="J49" i="126"/>
  <c r="F49" i="126"/>
  <c r="H49" i="126" s="1"/>
  <c r="B49" i="126"/>
  <c r="W48" i="126"/>
  <c r="M48" i="126"/>
  <c r="G18" i="125" s="1"/>
  <c r="W47" i="126"/>
  <c r="H47" i="126"/>
  <c r="W46" i="126"/>
  <c r="H46" i="126"/>
  <c r="W45" i="126"/>
  <c r="H45" i="126"/>
  <c r="W44" i="126"/>
  <c r="H44" i="126"/>
  <c r="W43" i="126"/>
  <c r="H43" i="126"/>
  <c r="W42" i="126"/>
  <c r="H42" i="126"/>
  <c r="W41" i="126"/>
  <c r="W40" i="126"/>
  <c r="W39" i="126"/>
  <c r="N39" i="126" s="1"/>
  <c r="V39" i="126"/>
  <c r="K39" i="126"/>
  <c r="J39" i="126"/>
  <c r="P39" i="126" s="1"/>
  <c r="W38" i="126"/>
  <c r="N38" i="126" s="1"/>
  <c r="K38" i="126"/>
  <c r="J38" i="126"/>
  <c r="P38" i="126" s="1"/>
  <c r="M37" i="126"/>
  <c r="F18" i="125" s="1"/>
  <c r="W36" i="126"/>
  <c r="H36" i="126"/>
  <c r="W35" i="126"/>
  <c r="H35" i="126"/>
  <c r="W34" i="126"/>
  <c r="H34" i="126"/>
  <c r="W33" i="126"/>
  <c r="H33" i="126"/>
  <c r="W32" i="126"/>
  <c r="H32" i="126"/>
  <c r="W31" i="126"/>
  <c r="W30" i="126"/>
  <c r="W29" i="126"/>
  <c r="V29" i="126"/>
  <c r="N29" i="126"/>
  <c r="O29" i="126" s="1"/>
  <c r="K29" i="126"/>
  <c r="J29" i="126"/>
  <c r="P29" i="126" s="1"/>
  <c r="F29" i="126"/>
  <c r="W28" i="126"/>
  <c r="V28" i="126"/>
  <c r="N28" i="126"/>
  <c r="K28" i="126"/>
  <c r="J28" i="126"/>
  <c r="F28" i="126"/>
  <c r="B28" i="126"/>
  <c r="W27" i="126"/>
  <c r="N27" i="126" s="1"/>
  <c r="O27" i="126" s="1"/>
  <c r="P27" i="126"/>
  <c r="K27" i="126"/>
  <c r="J27" i="126"/>
  <c r="F27" i="126"/>
  <c r="H27" i="126" s="1"/>
  <c r="M26" i="126"/>
  <c r="W25" i="126"/>
  <c r="H25" i="126"/>
  <c r="W24" i="126"/>
  <c r="H24" i="126"/>
  <c r="W23" i="126"/>
  <c r="H23" i="126"/>
  <c r="H22" i="126"/>
  <c r="H21" i="126"/>
  <c r="W20" i="126"/>
  <c r="N20" i="126" s="1"/>
  <c r="O20" i="126" s="1"/>
  <c r="W19" i="126"/>
  <c r="V19" i="126"/>
  <c r="N19" i="126"/>
  <c r="K19" i="126"/>
  <c r="J19" i="126"/>
  <c r="P19" i="126" s="1"/>
  <c r="F19" i="126"/>
  <c r="H19" i="126" s="1"/>
  <c r="W18" i="126"/>
  <c r="N18" i="126" s="1"/>
  <c r="V18" i="126"/>
  <c r="K18" i="126"/>
  <c r="J18" i="126"/>
  <c r="P18" i="126" s="1"/>
  <c r="F18" i="126"/>
  <c r="H18" i="126" s="1"/>
  <c r="W17" i="126"/>
  <c r="N17" i="126" s="1"/>
  <c r="V17" i="126"/>
  <c r="K17" i="126"/>
  <c r="J17" i="126"/>
  <c r="P17" i="126" s="1"/>
  <c r="F17" i="126"/>
  <c r="H17" i="126" s="1"/>
  <c r="W16" i="126"/>
  <c r="N16" i="126" s="1"/>
  <c r="K16" i="126"/>
  <c r="J16" i="126"/>
  <c r="P16" i="126" s="1"/>
  <c r="F16" i="126"/>
  <c r="H16" i="126" s="1"/>
  <c r="M15" i="126"/>
  <c r="D18" i="125" s="1"/>
  <c r="W14" i="126"/>
  <c r="H14" i="126"/>
  <c r="W13" i="126"/>
  <c r="H13" i="126"/>
  <c r="W12" i="126"/>
  <c r="H12" i="126"/>
  <c r="W11" i="126"/>
  <c r="H11" i="126"/>
  <c r="W10" i="126"/>
  <c r="W9" i="126"/>
  <c r="N9" i="126" s="1"/>
  <c r="O9" i="126" s="1"/>
  <c r="W8" i="126"/>
  <c r="N8" i="126" s="1"/>
  <c r="V8" i="126"/>
  <c r="K8" i="126"/>
  <c r="J8" i="126"/>
  <c r="P8" i="126" s="1"/>
  <c r="F8" i="126"/>
  <c r="H8" i="126" s="1"/>
  <c r="B8" i="126"/>
  <c r="W7" i="126"/>
  <c r="N7" i="126" s="1"/>
  <c r="V7" i="126"/>
  <c r="K7" i="126"/>
  <c r="J7" i="126"/>
  <c r="F7" i="126"/>
  <c r="H7" i="126" s="1"/>
  <c r="B7" i="126"/>
  <c r="W6" i="126"/>
  <c r="V6" i="126"/>
  <c r="N6" i="126"/>
  <c r="O6" i="126" s="1"/>
  <c r="K6" i="126"/>
  <c r="J6" i="126"/>
  <c r="P6" i="126" s="1"/>
  <c r="F6" i="126"/>
  <c r="H6" i="126" s="1"/>
  <c r="B6" i="126"/>
  <c r="W5" i="126"/>
  <c r="N5" i="126" s="1"/>
  <c r="P5" i="126"/>
  <c r="K5" i="126"/>
  <c r="J5" i="126"/>
  <c r="F5" i="126"/>
  <c r="H5" i="126" s="1"/>
  <c r="B5" i="126"/>
  <c r="I2" i="126"/>
  <c r="E1" i="126"/>
  <c r="G3" i="125" s="1"/>
  <c r="I18" i="125"/>
  <c r="E18" i="125"/>
  <c r="J16" i="125"/>
  <c r="I16" i="125"/>
  <c r="H16" i="125"/>
  <c r="G16" i="125"/>
  <c r="F16" i="125"/>
  <c r="E16" i="125"/>
  <c r="D16" i="125"/>
  <c r="F40" i="121"/>
  <c r="F39" i="121"/>
  <c r="F38" i="121"/>
  <c r="F73" i="121"/>
  <c r="F72" i="121"/>
  <c r="F71" i="121"/>
  <c r="W78" i="124"/>
  <c r="H78" i="124"/>
  <c r="W77" i="124"/>
  <c r="H77" i="124"/>
  <c r="W76" i="124"/>
  <c r="H76" i="124"/>
  <c r="W75" i="124"/>
  <c r="H75" i="124"/>
  <c r="W74" i="124"/>
  <c r="H74" i="124"/>
  <c r="W73" i="124"/>
  <c r="W72" i="124"/>
  <c r="W71" i="124"/>
  <c r="N71" i="124" s="1"/>
  <c r="O71" i="124" s="1"/>
  <c r="V71" i="124"/>
  <c r="K71" i="124"/>
  <c r="J71" i="124"/>
  <c r="P71" i="124" s="1"/>
  <c r="W70" i="124"/>
  <c r="N70" i="124"/>
  <c r="O70" i="124" s="1"/>
  <c r="K70" i="124"/>
  <c r="L70" i="124" s="1"/>
  <c r="J70" i="124"/>
  <c r="P70" i="124" s="1"/>
  <c r="F70" i="124"/>
  <c r="M69" i="124"/>
  <c r="M79" i="124" s="1"/>
  <c r="J18" i="123" s="1"/>
  <c r="W68" i="124"/>
  <c r="H68" i="124"/>
  <c r="W67" i="124"/>
  <c r="H67" i="124"/>
  <c r="W66" i="124"/>
  <c r="H66" i="124"/>
  <c r="W65" i="124"/>
  <c r="H65" i="124"/>
  <c r="W64" i="124"/>
  <c r="H64" i="124"/>
  <c r="W63" i="124"/>
  <c r="N63" i="124" s="1"/>
  <c r="O63" i="124" s="1"/>
  <c r="V63" i="124"/>
  <c r="K63" i="124"/>
  <c r="J63" i="124"/>
  <c r="P63" i="124" s="1"/>
  <c r="F63" i="124"/>
  <c r="H63" i="124" s="1"/>
  <c r="B63" i="124"/>
  <c r="W62" i="124"/>
  <c r="N62" i="124" s="1"/>
  <c r="V62" i="124"/>
  <c r="K62" i="124"/>
  <c r="J62" i="124"/>
  <c r="P62" i="124" s="1"/>
  <c r="F62" i="124"/>
  <c r="H62" i="124" s="1"/>
  <c r="B62" i="124"/>
  <c r="W61" i="124"/>
  <c r="V61" i="124"/>
  <c r="P61" i="124"/>
  <c r="N61" i="124"/>
  <c r="O61" i="124" s="1"/>
  <c r="R61" i="124" s="1"/>
  <c r="K61" i="124"/>
  <c r="L61" i="124" s="1"/>
  <c r="J61" i="124"/>
  <c r="H61" i="124"/>
  <c r="F61" i="124"/>
  <c r="B61" i="124"/>
  <c r="W60" i="124"/>
  <c r="N60" i="124" s="1"/>
  <c r="V60" i="124"/>
  <c r="K60" i="124"/>
  <c r="J60" i="124"/>
  <c r="P60" i="124" s="1"/>
  <c r="F60" i="124"/>
  <c r="H60" i="124" s="1"/>
  <c r="B60" i="124"/>
  <c r="W59" i="124"/>
  <c r="N59" i="124" s="1"/>
  <c r="O59" i="124" s="1"/>
  <c r="K59" i="124"/>
  <c r="L59" i="124" s="1"/>
  <c r="J59" i="124"/>
  <c r="P59" i="124" s="1"/>
  <c r="F59" i="124"/>
  <c r="H59" i="124" s="1"/>
  <c r="B59" i="124"/>
  <c r="M58" i="124"/>
  <c r="W57" i="124"/>
  <c r="H57" i="124"/>
  <c r="W56" i="124"/>
  <c r="H56" i="124"/>
  <c r="W55" i="124"/>
  <c r="H55" i="124"/>
  <c r="W54" i="124"/>
  <c r="H54" i="124"/>
  <c r="W53" i="124"/>
  <c r="W52" i="124"/>
  <c r="V52" i="124"/>
  <c r="N52" i="124"/>
  <c r="K52" i="124"/>
  <c r="L52" i="124" s="1"/>
  <c r="J52" i="124"/>
  <c r="P52" i="124" s="1"/>
  <c r="F52" i="124"/>
  <c r="H52" i="124" s="1"/>
  <c r="W51" i="124"/>
  <c r="N51" i="124" s="1"/>
  <c r="O51" i="124" s="1"/>
  <c r="V51" i="124"/>
  <c r="K51" i="124"/>
  <c r="J51" i="124"/>
  <c r="P51" i="124" s="1"/>
  <c r="F51" i="124"/>
  <c r="H51" i="124" s="1"/>
  <c r="B51" i="124"/>
  <c r="W50" i="124"/>
  <c r="N50" i="124" s="1"/>
  <c r="V50" i="124"/>
  <c r="P50" i="124"/>
  <c r="O50" i="124"/>
  <c r="K50" i="124"/>
  <c r="J50" i="124"/>
  <c r="F50" i="124"/>
  <c r="H50" i="124" s="1"/>
  <c r="B50" i="124"/>
  <c r="W49" i="124"/>
  <c r="N49" i="124" s="1"/>
  <c r="K49" i="124"/>
  <c r="J49" i="124"/>
  <c r="P49" i="124" s="1"/>
  <c r="F49" i="124"/>
  <c r="H49" i="124" s="1"/>
  <c r="B49" i="124"/>
  <c r="W48" i="124"/>
  <c r="M48" i="124"/>
  <c r="G18" i="123" s="1"/>
  <c r="W47" i="124"/>
  <c r="H47" i="124"/>
  <c r="W46" i="124"/>
  <c r="H46" i="124"/>
  <c r="W45" i="124"/>
  <c r="H45" i="124"/>
  <c r="W44" i="124"/>
  <c r="H44" i="124"/>
  <c r="W43" i="124"/>
  <c r="H43" i="124"/>
  <c r="W42" i="124"/>
  <c r="H42" i="124"/>
  <c r="W41" i="124"/>
  <c r="W40" i="124"/>
  <c r="V40" i="124"/>
  <c r="N40" i="124"/>
  <c r="K40" i="124"/>
  <c r="L40" i="124" s="1"/>
  <c r="J40" i="124"/>
  <c r="P40" i="124" s="1"/>
  <c r="W39" i="124"/>
  <c r="N39" i="124" s="1"/>
  <c r="V39" i="124"/>
  <c r="K39" i="124"/>
  <c r="L39" i="124" s="1"/>
  <c r="J39" i="124"/>
  <c r="P39" i="124" s="1"/>
  <c r="W38" i="124"/>
  <c r="P38" i="124"/>
  <c r="N38" i="124"/>
  <c r="K38" i="124"/>
  <c r="J38" i="124"/>
  <c r="M37" i="124"/>
  <c r="W36" i="124"/>
  <c r="H36" i="124"/>
  <c r="W35" i="124"/>
  <c r="H35" i="124"/>
  <c r="W34" i="124"/>
  <c r="H34" i="124"/>
  <c r="W33" i="124"/>
  <c r="H33" i="124"/>
  <c r="W32" i="124"/>
  <c r="H32" i="124"/>
  <c r="W31" i="124"/>
  <c r="W30" i="124"/>
  <c r="W29" i="124"/>
  <c r="N29" i="124" s="1"/>
  <c r="V29" i="124"/>
  <c r="K29" i="124"/>
  <c r="J29" i="124"/>
  <c r="P29" i="124" s="1"/>
  <c r="F29" i="124"/>
  <c r="W28" i="124"/>
  <c r="V28" i="124"/>
  <c r="P28" i="124"/>
  <c r="N28" i="124"/>
  <c r="L28" i="124"/>
  <c r="K28" i="124"/>
  <c r="J28" i="124"/>
  <c r="H28" i="124"/>
  <c r="F28" i="124"/>
  <c r="B28" i="124"/>
  <c r="W27" i="124"/>
  <c r="N27" i="124" s="1"/>
  <c r="P27" i="124"/>
  <c r="K27" i="124"/>
  <c r="L27" i="124" s="1"/>
  <c r="J27" i="124"/>
  <c r="F27" i="124"/>
  <c r="H27" i="124" s="1"/>
  <c r="M26" i="124"/>
  <c r="E18" i="123" s="1"/>
  <c r="W25" i="124"/>
  <c r="H25" i="124"/>
  <c r="W24" i="124"/>
  <c r="H24" i="124"/>
  <c r="W23" i="124"/>
  <c r="H23" i="124"/>
  <c r="H22" i="124"/>
  <c r="H21" i="124"/>
  <c r="W20" i="124"/>
  <c r="W19" i="124"/>
  <c r="N19" i="124" s="1"/>
  <c r="O19" i="124" s="1"/>
  <c r="V19" i="124"/>
  <c r="K19" i="124"/>
  <c r="L19" i="124" s="1"/>
  <c r="J19" i="124"/>
  <c r="P19" i="124" s="1"/>
  <c r="F19" i="124"/>
  <c r="H19" i="124" s="1"/>
  <c r="W18" i="124"/>
  <c r="N18" i="124" s="1"/>
  <c r="O18" i="124" s="1"/>
  <c r="V18" i="124"/>
  <c r="K18" i="124"/>
  <c r="J18" i="124"/>
  <c r="P18" i="124" s="1"/>
  <c r="F18" i="124"/>
  <c r="H18" i="124" s="1"/>
  <c r="W17" i="124"/>
  <c r="N17" i="124" s="1"/>
  <c r="V17" i="124"/>
  <c r="L17" i="124"/>
  <c r="K17" i="124"/>
  <c r="J17" i="124"/>
  <c r="H17" i="124"/>
  <c r="F17" i="124"/>
  <c r="W16" i="124"/>
  <c r="P16" i="124"/>
  <c r="N16" i="124"/>
  <c r="O16" i="124" s="1"/>
  <c r="L16" i="124"/>
  <c r="K16" i="124"/>
  <c r="J16" i="124"/>
  <c r="H16" i="124"/>
  <c r="F16" i="124"/>
  <c r="M15" i="124"/>
  <c r="D18" i="123" s="1"/>
  <c r="W14" i="124"/>
  <c r="H14" i="124"/>
  <c r="W13" i="124"/>
  <c r="H13" i="124"/>
  <c r="W12" i="124"/>
  <c r="H12" i="124"/>
  <c r="W11" i="124"/>
  <c r="H11" i="124"/>
  <c r="W10" i="124"/>
  <c r="W9" i="124"/>
  <c r="W8" i="124"/>
  <c r="V8" i="124"/>
  <c r="P8" i="124"/>
  <c r="N8" i="124"/>
  <c r="L8" i="124"/>
  <c r="K8" i="124"/>
  <c r="J8" i="124"/>
  <c r="H8" i="124"/>
  <c r="F8" i="124"/>
  <c r="B8" i="124"/>
  <c r="W7" i="124"/>
  <c r="N7" i="124" s="1"/>
  <c r="V7" i="124"/>
  <c r="K7" i="124"/>
  <c r="J7" i="124"/>
  <c r="P7" i="124" s="1"/>
  <c r="F7" i="124"/>
  <c r="H7" i="124" s="1"/>
  <c r="B7" i="124"/>
  <c r="W6" i="124"/>
  <c r="N6" i="124" s="1"/>
  <c r="O6" i="124" s="1"/>
  <c r="V6" i="124"/>
  <c r="K6" i="124"/>
  <c r="J6" i="124"/>
  <c r="F6" i="124"/>
  <c r="H6" i="124" s="1"/>
  <c r="B6" i="124"/>
  <c r="W5" i="124"/>
  <c r="P5" i="124"/>
  <c r="N5" i="124"/>
  <c r="L5" i="124"/>
  <c r="K5" i="124"/>
  <c r="J5" i="124"/>
  <c r="H5" i="124"/>
  <c r="F5" i="124"/>
  <c r="B5" i="124"/>
  <c r="I2" i="124"/>
  <c r="E1" i="124"/>
  <c r="G3" i="123" s="1"/>
  <c r="J16" i="123"/>
  <c r="I16" i="123"/>
  <c r="H16" i="123"/>
  <c r="G16" i="123"/>
  <c r="F16" i="123"/>
  <c r="E16" i="123"/>
  <c r="D16" i="123"/>
  <c r="J13" i="122"/>
  <c r="J6" i="122" s="1"/>
  <c r="L19" i="126" l="1"/>
  <c r="L5" i="126"/>
  <c r="L27" i="126"/>
  <c r="L39" i="126"/>
  <c r="L70" i="126"/>
  <c r="L9" i="126"/>
  <c r="Q9" i="126" s="1"/>
  <c r="L17" i="126"/>
  <c r="L63" i="126"/>
  <c r="L69" i="126" s="1"/>
  <c r="L28" i="126"/>
  <c r="L37" i="126" s="1"/>
  <c r="F13" i="125" s="1"/>
  <c r="AB28" i="126"/>
  <c r="P59" i="126"/>
  <c r="AC60" i="126"/>
  <c r="N26" i="126"/>
  <c r="L38" i="126"/>
  <c r="L49" i="126"/>
  <c r="R49" i="126" s="1"/>
  <c r="L8" i="126"/>
  <c r="L61" i="126"/>
  <c r="L18" i="126"/>
  <c r="K58" i="126"/>
  <c r="AC50" i="126"/>
  <c r="Q20" i="126"/>
  <c r="R20" i="126"/>
  <c r="R72" i="126"/>
  <c r="Q72" i="126"/>
  <c r="AC72" i="126"/>
  <c r="R73" i="126"/>
  <c r="AB29" i="126"/>
  <c r="R9" i="126"/>
  <c r="L73" i="126"/>
  <c r="Q73" i="126" s="1"/>
  <c r="K79" i="126"/>
  <c r="AB73" i="126"/>
  <c r="AB72" i="126"/>
  <c r="L71" i="126"/>
  <c r="AC28" i="126"/>
  <c r="I1" i="126"/>
  <c r="J37" i="126"/>
  <c r="P37" i="126" s="1"/>
  <c r="L29" i="126"/>
  <c r="R29" i="126" s="1"/>
  <c r="AC29" i="126"/>
  <c r="AB9" i="126"/>
  <c r="AC9" i="126"/>
  <c r="L6" i="126"/>
  <c r="R6" i="126" s="1"/>
  <c r="AB26" i="126"/>
  <c r="AC26" i="126"/>
  <c r="AD16" i="126" s="1"/>
  <c r="R59" i="126"/>
  <c r="Q59" i="126"/>
  <c r="Q49" i="126"/>
  <c r="AC8" i="126"/>
  <c r="O8" i="126"/>
  <c r="AB8" i="126"/>
  <c r="K26" i="126"/>
  <c r="G1" i="126"/>
  <c r="AC6" i="126"/>
  <c r="AB6" i="126"/>
  <c r="AC18" i="126"/>
  <c r="AB18" i="126"/>
  <c r="O18" i="126"/>
  <c r="N58" i="126"/>
  <c r="AC49" i="126"/>
  <c r="AB49" i="126"/>
  <c r="O17" i="126"/>
  <c r="AB17" i="126"/>
  <c r="AC17" i="126"/>
  <c r="AC70" i="126"/>
  <c r="AB70" i="126"/>
  <c r="P7" i="126"/>
  <c r="J15" i="126"/>
  <c r="P15" i="126" s="1"/>
  <c r="L7" i="126"/>
  <c r="K15" i="126"/>
  <c r="AC19" i="126"/>
  <c r="AC71" i="126"/>
  <c r="AB71" i="126"/>
  <c r="O71" i="126"/>
  <c r="AB16" i="126"/>
  <c r="O16" i="126"/>
  <c r="AC16" i="126"/>
  <c r="AC51" i="126"/>
  <c r="O51" i="126"/>
  <c r="AB51" i="126"/>
  <c r="O70" i="126"/>
  <c r="N48" i="126"/>
  <c r="AB38" i="126"/>
  <c r="O38" i="126"/>
  <c r="AC38" i="126"/>
  <c r="N69" i="126"/>
  <c r="AC59" i="126"/>
  <c r="AB59" i="126"/>
  <c r="O5" i="126"/>
  <c r="AC5" i="126"/>
  <c r="N15" i="126"/>
  <c r="AB5" i="126"/>
  <c r="AB61" i="126"/>
  <c r="O61" i="126"/>
  <c r="AC61" i="126"/>
  <c r="AC63" i="126"/>
  <c r="O63" i="126"/>
  <c r="AB63" i="126"/>
  <c r="AC7" i="126"/>
  <c r="O39" i="126"/>
  <c r="AC39" i="126"/>
  <c r="AB39" i="126"/>
  <c r="O62" i="126"/>
  <c r="AC62" i="126"/>
  <c r="AB62" i="126"/>
  <c r="N37" i="126"/>
  <c r="AC27" i="126"/>
  <c r="AB27" i="126"/>
  <c r="P48" i="126"/>
  <c r="L48" i="126"/>
  <c r="G13" i="125" s="1"/>
  <c r="L50" i="126"/>
  <c r="L58" i="126" s="1"/>
  <c r="H13" i="125" s="1"/>
  <c r="L60" i="126"/>
  <c r="O28" i="126"/>
  <c r="L16" i="126"/>
  <c r="P28" i="126"/>
  <c r="K48" i="126"/>
  <c r="J58" i="126"/>
  <c r="P58" i="126" s="1"/>
  <c r="O19" i="126"/>
  <c r="K37" i="126"/>
  <c r="J48" i="126"/>
  <c r="J18" i="125"/>
  <c r="J69" i="126"/>
  <c r="O7" i="126"/>
  <c r="J26" i="126"/>
  <c r="P26" i="126" s="1"/>
  <c r="AB19" i="126"/>
  <c r="O50" i="126"/>
  <c r="O60" i="126"/>
  <c r="AB7" i="126"/>
  <c r="AB50" i="126"/>
  <c r="AB60" i="126"/>
  <c r="I18" i="123"/>
  <c r="AC6" i="124"/>
  <c r="AB70" i="124"/>
  <c r="AC70" i="124"/>
  <c r="L62" i="124"/>
  <c r="AC52" i="124"/>
  <c r="AB52" i="124"/>
  <c r="L51" i="124"/>
  <c r="L50" i="124"/>
  <c r="R50" i="124" s="1"/>
  <c r="Q50" i="124"/>
  <c r="J58" i="124"/>
  <c r="P58" i="124" s="1"/>
  <c r="L49" i="124"/>
  <c r="AB49" i="124"/>
  <c r="K48" i="124"/>
  <c r="L29" i="124"/>
  <c r="K37" i="124"/>
  <c r="AB6" i="124"/>
  <c r="G1" i="124"/>
  <c r="R51" i="124"/>
  <c r="Q51" i="124"/>
  <c r="R70" i="124"/>
  <c r="Q70" i="124"/>
  <c r="L18" i="124"/>
  <c r="R18" i="124" s="1"/>
  <c r="AC38" i="124"/>
  <c r="AB38" i="124"/>
  <c r="N48" i="124"/>
  <c r="AC40" i="124"/>
  <c r="AB40" i="124"/>
  <c r="O40" i="124"/>
  <c r="AB7" i="124"/>
  <c r="O7" i="124"/>
  <c r="AC7" i="124"/>
  <c r="K58" i="124"/>
  <c r="AC63" i="124"/>
  <c r="K69" i="124"/>
  <c r="K79" i="124" s="1"/>
  <c r="AC62" i="124"/>
  <c r="AB62" i="124"/>
  <c r="O62" i="124"/>
  <c r="L71" i="124"/>
  <c r="R71" i="124" s="1"/>
  <c r="AC8" i="124"/>
  <c r="AB8" i="124"/>
  <c r="O8" i="124"/>
  <c r="AC28" i="124"/>
  <c r="AB28" i="124"/>
  <c r="AC60" i="124"/>
  <c r="O60" i="124"/>
  <c r="AB60" i="124"/>
  <c r="AB19" i="124"/>
  <c r="J15" i="124"/>
  <c r="P15" i="124" s="1"/>
  <c r="P6" i="124"/>
  <c r="AC19" i="124"/>
  <c r="O38" i="124"/>
  <c r="AC59" i="124"/>
  <c r="J69" i="124"/>
  <c r="J79" i="124" s="1"/>
  <c r="P79" i="124" s="1"/>
  <c r="J26" i="124"/>
  <c r="P26" i="124" s="1"/>
  <c r="P17" i="124"/>
  <c r="O27" i="124"/>
  <c r="AB27" i="124"/>
  <c r="N37" i="124"/>
  <c r="AC27" i="124"/>
  <c r="K15" i="124"/>
  <c r="AB18" i="124"/>
  <c r="H18" i="123"/>
  <c r="I1" i="124"/>
  <c r="AC61" i="124"/>
  <c r="AB61" i="124"/>
  <c r="L63" i="124"/>
  <c r="R63" i="124" s="1"/>
  <c r="L38" i="124"/>
  <c r="L48" i="124" s="1"/>
  <c r="G13" i="123" s="1"/>
  <c r="AC51" i="124"/>
  <c r="AB51" i="124"/>
  <c r="AB63" i="124"/>
  <c r="L6" i="124"/>
  <c r="R6" i="124" s="1"/>
  <c r="J37" i="124"/>
  <c r="P37" i="124" s="1"/>
  <c r="J48" i="124"/>
  <c r="P48" i="124" s="1"/>
  <c r="AC5" i="124"/>
  <c r="AB5" i="124"/>
  <c r="K26" i="124"/>
  <c r="AC17" i="124"/>
  <c r="O17" i="124"/>
  <c r="O26" i="124" s="1"/>
  <c r="AB17" i="124"/>
  <c r="AB71" i="124"/>
  <c r="R16" i="124"/>
  <c r="N15" i="124"/>
  <c r="Q16" i="124"/>
  <c r="O28" i="124"/>
  <c r="AB59" i="124"/>
  <c r="L26" i="124"/>
  <c r="E13" i="123" s="1"/>
  <c r="AC18" i="124"/>
  <c r="O49" i="124"/>
  <c r="N58" i="124"/>
  <c r="AC50" i="124"/>
  <c r="AB50" i="124"/>
  <c r="O5" i="124"/>
  <c r="AC29" i="124"/>
  <c r="AB29" i="124"/>
  <c r="O29" i="124"/>
  <c r="AC39" i="124"/>
  <c r="O39" i="124"/>
  <c r="AB39" i="124"/>
  <c r="AC49" i="124"/>
  <c r="Q61" i="124"/>
  <c r="AC71" i="124"/>
  <c r="R59" i="124"/>
  <c r="Q59" i="124"/>
  <c r="R19" i="124"/>
  <c r="Q19" i="124"/>
  <c r="N26" i="124"/>
  <c r="AC16" i="124"/>
  <c r="AB16" i="124"/>
  <c r="F18" i="123"/>
  <c r="O52" i="124"/>
  <c r="N69" i="124"/>
  <c r="L60" i="124"/>
  <c r="L7" i="124"/>
  <c r="Q29" i="126" l="1"/>
  <c r="L26" i="126"/>
  <c r="E13" i="125" s="1"/>
  <c r="O69" i="126"/>
  <c r="R69" i="126" s="1"/>
  <c r="S59" i="126" s="1"/>
  <c r="Q6" i="126"/>
  <c r="L15" i="126"/>
  <c r="D13" i="125" s="1"/>
  <c r="H6" i="125" s="1"/>
  <c r="Q70" i="126"/>
  <c r="R70" i="126"/>
  <c r="J79" i="126"/>
  <c r="P79" i="126" s="1"/>
  <c r="P69" i="126"/>
  <c r="R39" i="126"/>
  <c r="Q39" i="126"/>
  <c r="N79" i="126"/>
  <c r="AC69" i="126"/>
  <c r="AD59" i="126" s="1"/>
  <c r="AB69" i="126"/>
  <c r="Q69" i="126"/>
  <c r="R16" i="126"/>
  <c r="Q16" i="126"/>
  <c r="O26" i="126"/>
  <c r="L79" i="126"/>
  <c r="J13" i="125" s="1"/>
  <c r="I13" i="125"/>
  <c r="Q71" i="126"/>
  <c r="R71" i="126"/>
  <c r="R17" i="126"/>
  <c r="Q17" i="126"/>
  <c r="AB15" i="126"/>
  <c r="AC15" i="126"/>
  <c r="AD5" i="126" s="1"/>
  <c r="O37" i="126"/>
  <c r="R27" i="126"/>
  <c r="Q27" i="126"/>
  <c r="R51" i="126"/>
  <c r="Q51" i="126"/>
  <c r="Q5" i="126"/>
  <c r="O15" i="126"/>
  <c r="R5" i="126"/>
  <c r="AC58" i="126"/>
  <c r="AD49" i="126" s="1"/>
  <c r="AB58" i="126"/>
  <c r="Q58" i="126"/>
  <c r="R8" i="126"/>
  <c r="Q8" i="126"/>
  <c r="Q19" i="126"/>
  <c r="R19" i="126"/>
  <c r="R63" i="126"/>
  <c r="Q63" i="126"/>
  <c r="R18" i="126"/>
  <c r="Q18" i="126"/>
  <c r="Q37" i="126"/>
  <c r="AB37" i="126"/>
  <c r="AC37" i="126"/>
  <c r="AD27" i="126" s="1"/>
  <c r="R60" i="126"/>
  <c r="Q60" i="126"/>
  <c r="R50" i="126"/>
  <c r="Q50" i="126"/>
  <c r="O58" i="126"/>
  <c r="R62" i="126"/>
  <c r="Q62" i="126"/>
  <c r="O48" i="126"/>
  <c r="R38" i="126"/>
  <c r="Q38" i="126"/>
  <c r="R28" i="126"/>
  <c r="Q28" i="126"/>
  <c r="J3" i="125"/>
  <c r="G2" i="126"/>
  <c r="R7" i="126"/>
  <c r="Q7" i="126"/>
  <c r="R61" i="126"/>
  <c r="Q61" i="126"/>
  <c r="AC48" i="126"/>
  <c r="AD38" i="126" s="1"/>
  <c r="AB48" i="126"/>
  <c r="Q48" i="126"/>
  <c r="O69" i="124"/>
  <c r="O79" i="124" s="1"/>
  <c r="L69" i="124"/>
  <c r="I13" i="123" s="1"/>
  <c r="L58" i="124"/>
  <c r="H13" i="123" s="1"/>
  <c r="L37" i="124"/>
  <c r="F13" i="123" s="1"/>
  <c r="E14" i="123"/>
  <c r="E15" i="123" s="1"/>
  <c r="Q26" i="124"/>
  <c r="R26" i="124"/>
  <c r="S16" i="124" s="1"/>
  <c r="AC26" i="124"/>
  <c r="AD16" i="124" s="1"/>
  <c r="AB26" i="124"/>
  <c r="G2" i="124"/>
  <c r="J3" i="123"/>
  <c r="AC69" i="124"/>
  <c r="AD59" i="124" s="1"/>
  <c r="AB69" i="124"/>
  <c r="Q69" i="124"/>
  <c r="N79" i="124"/>
  <c r="R29" i="124"/>
  <c r="Q29" i="124"/>
  <c r="O48" i="124"/>
  <c r="R38" i="124"/>
  <c r="Q38" i="124"/>
  <c r="R7" i="124"/>
  <c r="Q7" i="124"/>
  <c r="P69" i="124"/>
  <c r="Q71" i="124"/>
  <c r="R49" i="124"/>
  <c r="Q49" i="124"/>
  <c r="O58" i="124"/>
  <c r="AB48" i="124"/>
  <c r="Q48" i="124"/>
  <c r="AC48" i="124"/>
  <c r="AD38" i="124" s="1"/>
  <c r="L15" i="124"/>
  <c r="D13" i="123" s="1"/>
  <c r="Q6" i="124"/>
  <c r="R52" i="124"/>
  <c r="Q52" i="124"/>
  <c r="R5" i="124"/>
  <c r="Q5" i="124"/>
  <c r="O15" i="124"/>
  <c r="R62" i="124"/>
  <c r="Q62" i="124"/>
  <c r="AC15" i="124"/>
  <c r="AD5" i="124" s="1"/>
  <c r="AB15" i="124"/>
  <c r="AC37" i="124"/>
  <c r="AD27" i="124" s="1"/>
  <c r="AB37" i="124"/>
  <c r="Q37" i="124"/>
  <c r="Q18" i="124"/>
  <c r="O37" i="124"/>
  <c r="R27" i="124"/>
  <c r="Q27" i="124"/>
  <c r="R60" i="124"/>
  <c r="Q60" i="124"/>
  <c r="Q63" i="124"/>
  <c r="Q39" i="124"/>
  <c r="R39" i="124"/>
  <c r="R8" i="124"/>
  <c r="Q8" i="124"/>
  <c r="Q17" i="124"/>
  <c r="R17" i="124"/>
  <c r="Q40" i="124"/>
  <c r="R40" i="124"/>
  <c r="R28" i="124"/>
  <c r="Q28" i="124"/>
  <c r="AC58" i="124"/>
  <c r="AD49" i="124" s="1"/>
  <c r="AB58" i="124"/>
  <c r="Q58" i="124"/>
  <c r="J6" i="125" l="1"/>
  <c r="O79" i="126"/>
  <c r="J14" i="125" s="1"/>
  <c r="J15" i="125" s="1"/>
  <c r="I14" i="125"/>
  <c r="I15" i="125" s="1"/>
  <c r="R48" i="126"/>
  <c r="S38" i="126" s="1"/>
  <c r="G14" i="125"/>
  <c r="G15" i="125" s="1"/>
  <c r="F6" i="125"/>
  <c r="AC79" i="126"/>
  <c r="AD70" i="126" s="1"/>
  <c r="AB79" i="126"/>
  <c r="Q79" i="126"/>
  <c r="H14" i="125"/>
  <c r="H15" i="125" s="1"/>
  <c r="R58" i="126"/>
  <c r="S49" i="126" s="1"/>
  <c r="R15" i="126"/>
  <c r="S5" i="126" s="1"/>
  <c r="Q15" i="126"/>
  <c r="D14" i="125"/>
  <c r="R26" i="126"/>
  <c r="S16" i="126" s="1"/>
  <c r="E14" i="125"/>
  <c r="E15" i="125" s="1"/>
  <c r="Q26" i="126"/>
  <c r="F14" i="125"/>
  <c r="F15" i="125" s="1"/>
  <c r="R37" i="126"/>
  <c r="S27" i="126" s="1"/>
  <c r="I14" i="123"/>
  <c r="I15" i="123" s="1"/>
  <c r="L79" i="124"/>
  <c r="J13" i="123" s="1"/>
  <c r="J6" i="123" s="1"/>
  <c r="R69" i="124"/>
  <c r="S59" i="124" s="1"/>
  <c r="J14" i="123"/>
  <c r="R48" i="124"/>
  <c r="S38" i="124" s="1"/>
  <c r="G14" i="123"/>
  <c r="G15" i="123" s="1"/>
  <c r="H6" i="123"/>
  <c r="R15" i="124"/>
  <c r="S5" i="124" s="1"/>
  <c r="D14" i="123"/>
  <c r="E2" i="124"/>
  <c r="Q15" i="124"/>
  <c r="R58" i="124"/>
  <c r="S49" i="124" s="1"/>
  <c r="H14" i="123"/>
  <c r="H15" i="123" s="1"/>
  <c r="R37" i="124"/>
  <c r="S27" i="124" s="1"/>
  <c r="F14" i="123"/>
  <c r="F15" i="123" s="1"/>
  <c r="AC79" i="124"/>
  <c r="AD70" i="124" s="1"/>
  <c r="AB79" i="124"/>
  <c r="Q79" i="124"/>
  <c r="E2" i="126" l="1"/>
  <c r="J8" i="125"/>
  <c r="R79" i="126"/>
  <c r="S70" i="126" s="1"/>
  <c r="J7" i="125"/>
  <c r="F6" i="123"/>
  <c r="D15" i="125"/>
  <c r="F7" i="125"/>
  <c r="H7" i="125"/>
  <c r="J15" i="123"/>
  <c r="J8" i="123" s="1"/>
  <c r="R79" i="124"/>
  <c r="S70" i="124" s="1"/>
  <c r="H7" i="123"/>
  <c r="F7" i="123"/>
  <c r="D15" i="123"/>
  <c r="J7" i="123"/>
  <c r="H8" i="125" l="1"/>
  <c r="F8" i="125"/>
  <c r="F8" i="123"/>
  <c r="H8" i="123"/>
  <c r="V73" i="121" l="1"/>
  <c r="V72" i="121"/>
  <c r="O40" i="121"/>
  <c r="P40" i="121"/>
  <c r="N40" i="121"/>
  <c r="P39" i="121"/>
  <c r="N39" i="121"/>
  <c r="O39" i="121" s="1"/>
  <c r="P38" i="121"/>
  <c r="N38" i="121"/>
  <c r="O38" i="121" s="1"/>
  <c r="K20" i="121"/>
  <c r="L20" i="121" s="1"/>
  <c r="J20" i="121"/>
  <c r="K40" i="121"/>
  <c r="L40" i="121" s="1"/>
  <c r="J40" i="121"/>
  <c r="L39" i="121"/>
  <c r="K39" i="121"/>
  <c r="J39" i="121"/>
  <c r="K38" i="121"/>
  <c r="L38" i="121" s="1"/>
  <c r="J38" i="121"/>
  <c r="K73" i="121"/>
  <c r="L73" i="121" s="1"/>
  <c r="J73" i="121"/>
  <c r="K72" i="121"/>
  <c r="L72" i="121" s="1"/>
  <c r="J72" i="121"/>
  <c r="K71" i="121"/>
  <c r="L71" i="121" s="1"/>
  <c r="J71" i="121"/>
  <c r="R38" i="121" l="1"/>
  <c r="Q38" i="121"/>
  <c r="R39" i="121"/>
  <c r="Q39" i="121"/>
  <c r="R40" i="121"/>
  <c r="Q40" i="121"/>
  <c r="AB52" i="121"/>
  <c r="AC52" i="121"/>
  <c r="AB72" i="121"/>
  <c r="AC72" i="121"/>
  <c r="P72" i="121"/>
  <c r="P73" i="121"/>
  <c r="N71" i="121"/>
  <c r="O71" i="121"/>
  <c r="Q71" i="121" s="1"/>
  <c r="P71" i="121"/>
  <c r="V52" i="121"/>
  <c r="F52" i="121"/>
  <c r="H52" i="121"/>
  <c r="J52" i="121"/>
  <c r="P52" i="121" s="1"/>
  <c r="K52" i="121"/>
  <c r="AC30" i="121"/>
  <c r="K17" i="121"/>
  <c r="K18" i="121"/>
  <c r="K19" i="121"/>
  <c r="K29" i="121"/>
  <c r="K30" i="121"/>
  <c r="J29" i="121"/>
  <c r="P29" i="121" s="1"/>
  <c r="J30" i="121"/>
  <c r="P30" i="121" s="1"/>
  <c r="F19" i="121"/>
  <c r="F20" i="121"/>
  <c r="F29" i="121"/>
  <c r="F30" i="121"/>
  <c r="V20" i="121"/>
  <c r="I18" i="122"/>
  <c r="J16" i="122"/>
  <c r="I16" i="122"/>
  <c r="H16" i="122"/>
  <c r="G16" i="122"/>
  <c r="F16" i="122"/>
  <c r="E16" i="122"/>
  <c r="D16" i="122"/>
  <c r="M79" i="121"/>
  <c r="J18" i="122" s="1"/>
  <c r="W78" i="121"/>
  <c r="H78" i="121"/>
  <c r="W77" i="121"/>
  <c r="H77" i="121"/>
  <c r="W76" i="121"/>
  <c r="H76" i="121"/>
  <c r="W75" i="121"/>
  <c r="H75" i="121"/>
  <c r="W74" i="121"/>
  <c r="H74" i="121"/>
  <c r="W73" i="121"/>
  <c r="N73" i="121" s="1"/>
  <c r="O73" i="121" s="1"/>
  <c r="W72" i="121"/>
  <c r="N72" i="121" s="1"/>
  <c r="O72" i="121" s="1"/>
  <c r="W71" i="121"/>
  <c r="V71" i="121"/>
  <c r="W70" i="121"/>
  <c r="N70" i="121" s="1"/>
  <c r="K70" i="121"/>
  <c r="J70" i="121"/>
  <c r="P70" i="121" s="1"/>
  <c r="F70" i="121"/>
  <c r="M69" i="121"/>
  <c r="W68" i="121"/>
  <c r="H68" i="121"/>
  <c r="W67" i="121"/>
  <c r="H67" i="121"/>
  <c r="W66" i="121"/>
  <c r="H66" i="121"/>
  <c r="W65" i="121"/>
  <c r="H65" i="121"/>
  <c r="W64" i="121"/>
  <c r="H64" i="121"/>
  <c r="W63" i="121"/>
  <c r="N63" i="121" s="1"/>
  <c r="V63" i="121"/>
  <c r="K63" i="121"/>
  <c r="J63" i="121"/>
  <c r="P63" i="121" s="1"/>
  <c r="F63" i="121"/>
  <c r="H63" i="121" s="1"/>
  <c r="B63" i="121"/>
  <c r="W62" i="121"/>
  <c r="N62" i="121" s="1"/>
  <c r="AC62" i="121" s="1"/>
  <c r="V62" i="121"/>
  <c r="K62" i="121"/>
  <c r="J62" i="121"/>
  <c r="P62" i="121" s="1"/>
  <c r="F62" i="121"/>
  <c r="H62" i="121" s="1"/>
  <c r="B62" i="121"/>
  <c r="W61" i="121"/>
  <c r="V61" i="121"/>
  <c r="N61" i="121"/>
  <c r="K61" i="121"/>
  <c r="L61" i="121" s="1"/>
  <c r="J61" i="121"/>
  <c r="P61" i="121" s="1"/>
  <c r="F61" i="121"/>
  <c r="H61" i="121" s="1"/>
  <c r="B61" i="121"/>
  <c r="W60" i="121"/>
  <c r="N60" i="121" s="1"/>
  <c r="V60" i="121"/>
  <c r="K60" i="121"/>
  <c r="J60" i="121"/>
  <c r="F60" i="121"/>
  <c r="H60" i="121" s="1"/>
  <c r="B60" i="121"/>
  <c r="W59" i="121"/>
  <c r="N59" i="121" s="1"/>
  <c r="K59" i="121"/>
  <c r="J59" i="121"/>
  <c r="P59" i="121" s="1"/>
  <c r="F59" i="121"/>
  <c r="H59" i="121" s="1"/>
  <c r="B59" i="121"/>
  <c r="M58" i="121"/>
  <c r="H18" i="122" s="1"/>
  <c r="W57" i="121"/>
  <c r="H57" i="121"/>
  <c r="W56" i="121"/>
  <c r="H56" i="121"/>
  <c r="W55" i="121"/>
  <c r="H55" i="121"/>
  <c r="W54" i="121"/>
  <c r="H54" i="121"/>
  <c r="W53" i="121"/>
  <c r="W52" i="121"/>
  <c r="N52" i="121" s="1"/>
  <c r="O52" i="121" s="1"/>
  <c r="W51" i="121"/>
  <c r="N51" i="121" s="1"/>
  <c r="V51" i="121"/>
  <c r="K51" i="121"/>
  <c r="J51" i="121"/>
  <c r="P51" i="121" s="1"/>
  <c r="F51" i="121"/>
  <c r="H51" i="121" s="1"/>
  <c r="B51" i="121"/>
  <c r="W50" i="121"/>
  <c r="N50" i="121" s="1"/>
  <c r="V50" i="121"/>
  <c r="K50" i="121"/>
  <c r="J50" i="121"/>
  <c r="P50" i="121" s="1"/>
  <c r="F50" i="121"/>
  <c r="H50" i="121" s="1"/>
  <c r="B50" i="121"/>
  <c r="W49" i="121"/>
  <c r="N49" i="121" s="1"/>
  <c r="K49" i="121"/>
  <c r="J49" i="121"/>
  <c r="F49" i="121"/>
  <c r="H49" i="121" s="1"/>
  <c r="B49" i="121"/>
  <c r="W48" i="121"/>
  <c r="M48" i="121"/>
  <c r="J48" i="121"/>
  <c r="W47" i="121"/>
  <c r="H47" i="121"/>
  <c r="W46" i="121"/>
  <c r="H46" i="121"/>
  <c r="W45" i="121"/>
  <c r="H45" i="121"/>
  <c r="W44" i="121"/>
  <c r="H44" i="121"/>
  <c r="W43" i="121"/>
  <c r="H43" i="121"/>
  <c r="W42" i="121"/>
  <c r="H42" i="121"/>
  <c r="W41" i="121"/>
  <c r="AC40" i="121"/>
  <c r="AB40" i="121"/>
  <c r="W40" i="121"/>
  <c r="V40" i="121"/>
  <c r="AB39" i="121"/>
  <c r="W39" i="121"/>
  <c r="V39" i="121"/>
  <c r="AC39" i="121"/>
  <c r="W38" i="121"/>
  <c r="AC38" i="121"/>
  <c r="K48" i="121"/>
  <c r="M37" i="121"/>
  <c r="F18" i="122" s="1"/>
  <c r="W36" i="121"/>
  <c r="H36" i="121"/>
  <c r="W35" i="121"/>
  <c r="H35" i="121"/>
  <c r="W34" i="121"/>
  <c r="H34" i="121"/>
  <c r="W33" i="121"/>
  <c r="H33" i="121"/>
  <c r="W32" i="121"/>
  <c r="H32" i="121"/>
  <c r="W31" i="121"/>
  <c r="W30" i="121"/>
  <c r="V30" i="121"/>
  <c r="N30" i="121"/>
  <c r="O30" i="121" s="1"/>
  <c r="W29" i="121"/>
  <c r="N29" i="121" s="1"/>
  <c r="O29" i="121" s="1"/>
  <c r="V29" i="121"/>
  <c r="W28" i="121"/>
  <c r="N28" i="121" s="1"/>
  <c r="V28" i="121"/>
  <c r="K28" i="121"/>
  <c r="J28" i="121"/>
  <c r="P28" i="121" s="1"/>
  <c r="F28" i="121"/>
  <c r="H28" i="121" s="1"/>
  <c r="B28" i="121"/>
  <c r="W27" i="121"/>
  <c r="N27" i="121" s="1"/>
  <c r="K27" i="121"/>
  <c r="J27" i="121"/>
  <c r="P27" i="121" s="1"/>
  <c r="F27" i="121"/>
  <c r="H27" i="121" s="1"/>
  <c r="M26" i="121"/>
  <c r="E18" i="122" s="1"/>
  <c r="W25" i="121"/>
  <c r="H25" i="121"/>
  <c r="W24" i="121"/>
  <c r="H24" i="121"/>
  <c r="W23" i="121"/>
  <c r="H23" i="121"/>
  <c r="H22" i="121"/>
  <c r="H21" i="121"/>
  <c r="W20" i="121"/>
  <c r="W19" i="121"/>
  <c r="N19" i="121" s="1"/>
  <c r="V19" i="121"/>
  <c r="J19" i="121"/>
  <c r="P19" i="121" s="1"/>
  <c r="H19" i="121"/>
  <c r="W18" i="121"/>
  <c r="N18" i="121" s="1"/>
  <c r="V18" i="121"/>
  <c r="J18" i="121"/>
  <c r="P18" i="121" s="1"/>
  <c r="F18" i="121"/>
  <c r="H18" i="121" s="1"/>
  <c r="W17" i="121"/>
  <c r="V17" i="121"/>
  <c r="N17" i="121"/>
  <c r="J17" i="121"/>
  <c r="F17" i="121"/>
  <c r="H17" i="121" s="1"/>
  <c r="W16" i="121"/>
  <c r="N16" i="121" s="1"/>
  <c r="P16" i="121"/>
  <c r="K16" i="121"/>
  <c r="J16" i="121"/>
  <c r="F16" i="121"/>
  <c r="H16" i="121" s="1"/>
  <c r="M15" i="121"/>
  <c r="D18" i="122" s="1"/>
  <c r="W14" i="121"/>
  <c r="H14" i="121"/>
  <c r="W13" i="121"/>
  <c r="H13" i="121"/>
  <c r="W12" i="121"/>
  <c r="H12" i="121"/>
  <c r="W11" i="121"/>
  <c r="H11" i="121"/>
  <c r="W10" i="121"/>
  <c r="W9" i="121"/>
  <c r="N9" i="121" s="1"/>
  <c r="V9" i="121"/>
  <c r="K9" i="121"/>
  <c r="J9" i="121"/>
  <c r="P9" i="121" s="1"/>
  <c r="F9" i="121"/>
  <c r="H9" i="121" s="1"/>
  <c r="W8" i="121"/>
  <c r="N8" i="121" s="1"/>
  <c r="V8" i="121"/>
  <c r="K8" i="121"/>
  <c r="J8" i="121"/>
  <c r="P8" i="121" s="1"/>
  <c r="F8" i="121"/>
  <c r="H8" i="121" s="1"/>
  <c r="B8" i="121"/>
  <c r="W7" i="121"/>
  <c r="N7" i="121" s="1"/>
  <c r="V7" i="121"/>
  <c r="K7" i="121"/>
  <c r="J7" i="121"/>
  <c r="P7" i="121" s="1"/>
  <c r="F7" i="121"/>
  <c r="H7" i="121" s="1"/>
  <c r="B7" i="121"/>
  <c r="W6" i="121"/>
  <c r="N6" i="121" s="1"/>
  <c r="V6" i="121"/>
  <c r="K6" i="121"/>
  <c r="J6" i="121"/>
  <c r="F6" i="121"/>
  <c r="H6" i="121" s="1"/>
  <c r="B6" i="121"/>
  <c r="W5" i="121"/>
  <c r="N5" i="121" s="1"/>
  <c r="K5" i="121"/>
  <c r="L5" i="121" s="1"/>
  <c r="J5" i="121"/>
  <c r="P5" i="121" s="1"/>
  <c r="F5" i="121"/>
  <c r="H5" i="121" s="1"/>
  <c r="B5" i="121"/>
  <c r="I2" i="121"/>
  <c r="E1" i="121"/>
  <c r="G3" i="122" s="1"/>
  <c r="N20" i="118"/>
  <c r="O20" i="118" s="1"/>
  <c r="V40" i="118"/>
  <c r="V39" i="118"/>
  <c r="K40" i="118"/>
  <c r="J40" i="118"/>
  <c r="P40" i="118" s="1"/>
  <c r="K39" i="118"/>
  <c r="J39" i="118"/>
  <c r="P39" i="118" s="1"/>
  <c r="O40" i="118"/>
  <c r="N40" i="118"/>
  <c r="N39" i="118"/>
  <c r="O39" i="118" s="1"/>
  <c r="P71" i="120"/>
  <c r="N71" i="120"/>
  <c r="O71" i="120" s="1"/>
  <c r="R39" i="120"/>
  <c r="N40" i="120"/>
  <c r="O40" i="120" s="1"/>
  <c r="N39" i="120"/>
  <c r="O39" i="120" s="1"/>
  <c r="L29" i="120"/>
  <c r="L30" i="120"/>
  <c r="N29" i="120"/>
  <c r="O29" i="120"/>
  <c r="P29" i="120"/>
  <c r="P30" i="120"/>
  <c r="G16" i="119"/>
  <c r="J18" i="119"/>
  <c r="I18" i="119"/>
  <c r="H18" i="119"/>
  <c r="G18" i="119"/>
  <c r="E18" i="119"/>
  <c r="D18" i="119"/>
  <c r="J16" i="119"/>
  <c r="I16" i="119"/>
  <c r="H16" i="119"/>
  <c r="F16" i="119"/>
  <c r="E16" i="119"/>
  <c r="D16" i="119"/>
  <c r="I14" i="119"/>
  <c r="H14" i="119"/>
  <c r="E14" i="119"/>
  <c r="D14" i="119"/>
  <c r="G3" i="119"/>
  <c r="V71" i="120"/>
  <c r="V62" i="120"/>
  <c r="V63" i="120"/>
  <c r="K63" i="120"/>
  <c r="AB63" i="120" s="1"/>
  <c r="J63" i="120"/>
  <c r="P63" i="120" s="1"/>
  <c r="F63" i="120"/>
  <c r="H63" i="120" s="1"/>
  <c r="B63" i="120"/>
  <c r="B62" i="120"/>
  <c r="F62" i="120"/>
  <c r="H62" i="120" s="1"/>
  <c r="J62" i="120"/>
  <c r="P62" i="120" s="1"/>
  <c r="K62" i="120"/>
  <c r="V41" i="120"/>
  <c r="V40" i="120"/>
  <c r="V39" i="120"/>
  <c r="P41" i="120"/>
  <c r="K40" i="120"/>
  <c r="J40" i="120"/>
  <c r="P40" i="120" s="1"/>
  <c r="F40" i="120"/>
  <c r="H40" i="120" s="1"/>
  <c r="B49" i="120"/>
  <c r="B50" i="120"/>
  <c r="B51" i="120"/>
  <c r="V29" i="120"/>
  <c r="V30" i="120"/>
  <c r="W20" i="120"/>
  <c r="AC73" i="121" l="1"/>
  <c r="AB73" i="121"/>
  <c r="R71" i="121"/>
  <c r="R73" i="121"/>
  <c r="Q73" i="121"/>
  <c r="Q72" i="121"/>
  <c r="R72" i="121"/>
  <c r="AC16" i="121"/>
  <c r="J26" i="121"/>
  <c r="P26" i="121" s="1"/>
  <c r="L63" i="121"/>
  <c r="L60" i="121"/>
  <c r="L9" i="121"/>
  <c r="AC61" i="121"/>
  <c r="L18" i="121"/>
  <c r="AB71" i="121"/>
  <c r="AC71" i="121"/>
  <c r="P17" i="121"/>
  <c r="L51" i="121"/>
  <c r="P60" i="121"/>
  <c r="L52" i="121"/>
  <c r="L17" i="121"/>
  <c r="L8" i="121"/>
  <c r="L19" i="121"/>
  <c r="L30" i="121"/>
  <c r="R30" i="121" s="1"/>
  <c r="L62" i="121"/>
  <c r="L59" i="121"/>
  <c r="L69" i="121" s="1"/>
  <c r="AB62" i="121"/>
  <c r="L70" i="121"/>
  <c r="AB29" i="121"/>
  <c r="L28" i="121"/>
  <c r="L16" i="121"/>
  <c r="L50" i="121"/>
  <c r="AC29" i="121"/>
  <c r="AB30" i="121"/>
  <c r="Q52" i="121"/>
  <c r="R52" i="121"/>
  <c r="AC50" i="121"/>
  <c r="L49" i="121"/>
  <c r="P48" i="121"/>
  <c r="G18" i="122"/>
  <c r="P49" i="121"/>
  <c r="J58" i="121"/>
  <c r="P58" i="121" s="1"/>
  <c r="AC18" i="121"/>
  <c r="AB17" i="121"/>
  <c r="AB18" i="121"/>
  <c r="L29" i="121"/>
  <c r="Q29" i="121" s="1"/>
  <c r="K37" i="121"/>
  <c r="AB27" i="121"/>
  <c r="AC27" i="121"/>
  <c r="O16" i="121"/>
  <c r="R16" i="121" s="1"/>
  <c r="AB16" i="121"/>
  <c r="AC8" i="121"/>
  <c r="O8" i="121"/>
  <c r="AB8" i="121"/>
  <c r="AC9" i="121"/>
  <c r="L7" i="121"/>
  <c r="J15" i="121"/>
  <c r="P15" i="121" s="1"/>
  <c r="K15" i="121"/>
  <c r="O60" i="121"/>
  <c r="AC60" i="121"/>
  <c r="AB60" i="121"/>
  <c r="L48" i="121"/>
  <c r="G13" i="122" s="1"/>
  <c r="O63" i="121"/>
  <c r="AC63" i="121"/>
  <c r="AB63" i="121"/>
  <c r="O6" i="121"/>
  <c r="AC6" i="121"/>
  <c r="AB6" i="121"/>
  <c r="R29" i="121"/>
  <c r="N69" i="121"/>
  <c r="O59" i="121"/>
  <c r="AC59" i="121"/>
  <c r="AB59" i="121"/>
  <c r="O19" i="121"/>
  <c r="AB19" i="121"/>
  <c r="AC19" i="121"/>
  <c r="O70" i="121"/>
  <c r="AB70" i="121"/>
  <c r="AC70" i="121"/>
  <c r="O7" i="121"/>
  <c r="AC7" i="121"/>
  <c r="AB7" i="121"/>
  <c r="N15" i="121"/>
  <c r="O49" i="121"/>
  <c r="AC49" i="121"/>
  <c r="N58" i="121"/>
  <c r="AB49" i="121"/>
  <c r="G1" i="121"/>
  <c r="O28" i="121"/>
  <c r="AC28" i="121"/>
  <c r="AB28" i="121"/>
  <c r="N37" i="121"/>
  <c r="O51" i="121"/>
  <c r="AB51" i="121"/>
  <c r="AC51" i="121"/>
  <c r="K26" i="121"/>
  <c r="O5" i="121"/>
  <c r="O9" i="121"/>
  <c r="K58" i="121"/>
  <c r="O61" i="121"/>
  <c r="J69" i="121"/>
  <c r="J79" i="121" s="1"/>
  <c r="P79" i="121" s="1"/>
  <c r="I1" i="121"/>
  <c r="O17" i="121"/>
  <c r="L27" i="121"/>
  <c r="O50" i="121"/>
  <c r="K69" i="121"/>
  <c r="K79" i="121" s="1"/>
  <c r="L6" i="121"/>
  <c r="L15" i="121" s="1"/>
  <c r="D13" i="122" s="1"/>
  <c r="N26" i="121"/>
  <c r="O18" i="121"/>
  <c r="O27" i="121"/>
  <c r="O62" i="121"/>
  <c r="P6" i="121"/>
  <c r="AB5" i="121"/>
  <c r="AB9" i="121"/>
  <c r="J37" i="121"/>
  <c r="P37" i="121" s="1"/>
  <c r="AB38" i="121"/>
  <c r="N48" i="121"/>
  <c r="AB61" i="121"/>
  <c r="AC5" i="121"/>
  <c r="AB50" i="121"/>
  <c r="AC17" i="121"/>
  <c r="L62" i="120"/>
  <c r="AC62" i="120"/>
  <c r="AB62" i="120"/>
  <c r="L40" i="120"/>
  <c r="L39" i="118"/>
  <c r="L63" i="120"/>
  <c r="L40" i="118"/>
  <c r="R40" i="118" s="1"/>
  <c r="AC63" i="120"/>
  <c r="R39" i="118"/>
  <c r="Q39" i="118"/>
  <c r="Q40" i="118"/>
  <c r="R71" i="120"/>
  <c r="Q71" i="120"/>
  <c r="AC71" i="120"/>
  <c r="AB71" i="120"/>
  <c r="Q29" i="120"/>
  <c r="R29" i="120"/>
  <c r="W78" i="120"/>
  <c r="H78" i="120"/>
  <c r="W77" i="120"/>
  <c r="H77" i="120"/>
  <c r="W76" i="120"/>
  <c r="H76" i="120"/>
  <c r="W75" i="120"/>
  <c r="H75" i="120"/>
  <c r="W74" i="120"/>
  <c r="H74" i="120"/>
  <c r="W73" i="120"/>
  <c r="W72" i="120"/>
  <c r="W71" i="120"/>
  <c r="W70" i="120"/>
  <c r="N70" i="120"/>
  <c r="K70" i="120"/>
  <c r="J70" i="120"/>
  <c r="P70" i="120" s="1"/>
  <c r="F70" i="120"/>
  <c r="H70" i="120" s="1"/>
  <c r="M69" i="120"/>
  <c r="W68" i="120"/>
  <c r="H68" i="120"/>
  <c r="W67" i="120"/>
  <c r="H67" i="120"/>
  <c r="W66" i="120"/>
  <c r="H66" i="120"/>
  <c r="W65" i="120"/>
  <c r="H65" i="120"/>
  <c r="W64" i="120"/>
  <c r="H64" i="120"/>
  <c r="W63" i="120"/>
  <c r="N63" i="120" s="1"/>
  <c r="O63" i="120" s="1"/>
  <c r="R63" i="120" s="1"/>
  <c r="W62" i="120"/>
  <c r="N62" i="120" s="1"/>
  <c r="O62" i="120" s="1"/>
  <c r="Q62" i="120" s="1"/>
  <c r="W61" i="120"/>
  <c r="V61" i="120"/>
  <c r="N61" i="120"/>
  <c r="K61" i="120"/>
  <c r="J61" i="120"/>
  <c r="P61" i="120" s="1"/>
  <c r="F61" i="120"/>
  <c r="H61" i="120" s="1"/>
  <c r="B61" i="120"/>
  <c r="W60" i="120"/>
  <c r="N60" i="120" s="1"/>
  <c r="V60" i="120"/>
  <c r="K60" i="120"/>
  <c r="J60" i="120"/>
  <c r="P60" i="120" s="1"/>
  <c r="F60" i="120"/>
  <c r="H60" i="120" s="1"/>
  <c r="B60" i="120"/>
  <c r="W59" i="120"/>
  <c r="N59" i="120" s="1"/>
  <c r="K59" i="120"/>
  <c r="J59" i="120"/>
  <c r="F59" i="120"/>
  <c r="H59" i="120" s="1"/>
  <c r="B59" i="120"/>
  <c r="M58" i="120"/>
  <c r="W57" i="120"/>
  <c r="H57" i="120"/>
  <c r="W56" i="120"/>
  <c r="H56" i="120"/>
  <c r="W55" i="120"/>
  <c r="H55" i="120"/>
  <c r="W54" i="120"/>
  <c r="H54" i="120"/>
  <c r="W53" i="120"/>
  <c r="H53" i="120"/>
  <c r="W52" i="120"/>
  <c r="W51" i="120"/>
  <c r="N51" i="120" s="1"/>
  <c r="O51" i="120" s="1"/>
  <c r="V51" i="120"/>
  <c r="K51" i="120"/>
  <c r="J51" i="120"/>
  <c r="P51" i="120" s="1"/>
  <c r="F51" i="120"/>
  <c r="H51" i="120" s="1"/>
  <c r="W50" i="120"/>
  <c r="N50" i="120" s="1"/>
  <c r="V50" i="120"/>
  <c r="K50" i="120"/>
  <c r="J50" i="120"/>
  <c r="F50" i="120"/>
  <c r="H50" i="120" s="1"/>
  <c r="W49" i="120"/>
  <c r="N49" i="120"/>
  <c r="K49" i="120"/>
  <c r="J49" i="120"/>
  <c r="P49" i="120" s="1"/>
  <c r="F49" i="120"/>
  <c r="H49" i="120" s="1"/>
  <c r="W48" i="120"/>
  <c r="M48" i="120"/>
  <c r="W47" i="120"/>
  <c r="H47" i="120"/>
  <c r="W46" i="120"/>
  <c r="H46" i="120"/>
  <c r="W45" i="120"/>
  <c r="H45" i="120"/>
  <c r="W44" i="120"/>
  <c r="H44" i="120"/>
  <c r="W43" i="120"/>
  <c r="H43" i="120"/>
  <c r="W42" i="120"/>
  <c r="H42" i="120"/>
  <c r="W41" i="120"/>
  <c r="N41" i="120" s="1"/>
  <c r="O41" i="120" s="1"/>
  <c r="R41" i="120" s="1"/>
  <c r="W40" i="120"/>
  <c r="AC39" i="120"/>
  <c r="AB39" i="120"/>
  <c r="W39" i="120"/>
  <c r="W38" i="120"/>
  <c r="N38" i="120"/>
  <c r="K38" i="120"/>
  <c r="J38" i="120"/>
  <c r="P38" i="120" s="1"/>
  <c r="F38" i="120"/>
  <c r="H38" i="120" s="1"/>
  <c r="C38" i="120"/>
  <c r="M37" i="120"/>
  <c r="F18" i="119" s="1"/>
  <c r="W36" i="120"/>
  <c r="H36" i="120"/>
  <c r="W35" i="120"/>
  <c r="H35" i="120"/>
  <c r="W34" i="120"/>
  <c r="H34" i="120"/>
  <c r="W33" i="120"/>
  <c r="H33" i="120"/>
  <c r="W32" i="120"/>
  <c r="H32" i="120"/>
  <c r="W31" i="120"/>
  <c r="W30" i="120"/>
  <c r="N30" i="120" s="1"/>
  <c r="O30" i="120" s="1"/>
  <c r="Q30" i="120" s="1"/>
  <c r="W29" i="120"/>
  <c r="W28" i="120"/>
  <c r="N28" i="120" s="1"/>
  <c r="V28" i="120"/>
  <c r="K28" i="120"/>
  <c r="J28" i="120"/>
  <c r="P28" i="120" s="1"/>
  <c r="F28" i="120"/>
  <c r="H28" i="120" s="1"/>
  <c r="B28" i="120"/>
  <c r="W27" i="120"/>
  <c r="N27" i="120" s="1"/>
  <c r="K27" i="120"/>
  <c r="J27" i="120"/>
  <c r="F27" i="120"/>
  <c r="H27" i="120" s="1"/>
  <c r="M26" i="120"/>
  <c r="W25" i="120"/>
  <c r="H25" i="120"/>
  <c r="W24" i="120"/>
  <c r="H24" i="120"/>
  <c r="W23" i="120"/>
  <c r="H23" i="120"/>
  <c r="H22" i="120"/>
  <c r="H21" i="120"/>
  <c r="W19" i="120"/>
  <c r="N19" i="120" s="1"/>
  <c r="V19" i="120"/>
  <c r="K19" i="120"/>
  <c r="J19" i="120"/>
  <c r="P19" i="120" s="1"/>
  <c r="F19" i="120"/>
  <c r="H19" i="120" s="1"/>
  <c r="W18" i="120"/>
  <c r="N18" i="120" s="1"/>
  <c r="V18" i="120"/>
  <c r="K18" i="120"/>
  <c r="J18" i="120"/>
  <c r="P18" i="120" s="1"/>
  <c r="F18" i="120"/>
  <c r="H18" i="120" s="1"/>
  <c r="W17" i="120"/>
  <c r="N17" i="120" s="1"/>
  <c r="V17" i="120"/>
  <c r="K17" i="120"/>
  <c r="J17" i="120"/>
  <c r="F17" i="120"/>
  <c r="H17" i="120" s="1"/>
  <c r="W16" i="120"/>
  <c r="N16" i="120"/>
  <c r="K16" i="120"/>
  <c r="J16" i="120"/>
  <c r="P16" i="120" s="1"/>
  <c r="F16" i="120"/>
  <c r="H16" i="120" s="1"/>
  <c r="M15" i="120"/>
  <c r="W14" i="120"/>
  <c r="H14" i="120"/>
  <c r="W13" i="120"/>
  <c r="H13" i="120"/>
  <c r="W12" i="120"/>
  <c r="H12" i="120"/>
  <c r="W11" i="120"/>
  <c r="H11" i="120"/>
  <c r="W10" i="120"/>
  <c r="W9" i="120"/>
  <c r="N9" i="120" s="1"/>
  <c r="O9" i="120" s="1"/>
  <c r="V9" i="120"/>
  <c r="K9" i="120"/>
  <c r="J9" i="120"/>
  <c r="P9" i="120" s="1"/>
  <c r="F9" i="120"/>
  <c r="H9" i="120" s="1"/>
  <c r="W8" i="120"/>
  <c r="V8" i="120"/>
  <c r="N8" i="120"/>
  <c r="K8" i="120"/>
  <c r="J8" i="120"/>
  <c r="P8" i="120" s="1"/>
  <c r="F8" i="120"/>
  <c r="H8" i="120" s="1"/>
  <c r="B8" i="120"/>
  <c r="W7" i="120"/>
  <c r="V7" i="120"/>
  <c r="N7" i="120"/>
  <c r="K7" i="120"/>
  <c r="J7" i="120"/>
  <c r="P7" i="120" s="1"/>
  <c r="F7" i="120"/>
  <c r="H7" i="120" s="1"/>
  <c r="B7" i="120"/>
  <c r="W6" i="120"/>
  <c r="N6" i="120" s="1"/>
  <c r="V6" i="120"/>
  <c r="K6" i="120"/>
  <c r="J6" i="120"/>
  <c r="P6" i="120" s="1"/>
  <c r="F6" i="120"/>
  <c r="H6" i="120" s="1"/>
  <c r="B6" i="120"/>
  <c r="W5" i="120"/>
  <c r="N5" i="120" s="1"/>
  <c r="K5" i="120"/>
  <c r="J5" i="120"/>
  <c r="F5" i="120"/>
  <c r="H5" i="120" s="1"/>
  <c r="B5" i="120"/>
  <c r="I2" i="120"/>
  <c r="E1" i="120"/>
  <c r="I16" i="117"/>
  <c r="H16" i="117"/>
  <c r="G16" i="117"/>
  <c r="F16" i="117"/>
  <c r="E16" i="117"/>
  <c r="D16" i="117"/>
  <c r="I14" i="117"/>
  <c r="H14" i="117"/>
  <c r="F14" i="117"/>
  <c r="D14" i="117"/>
  <c r="G3" i="117"/>
  <c r="V62" i="118"/>
  <c r="K62" i="118"/>
  <c r="AB62" i="118" s="1"/>
  <c r="J62" i="118"/>
  <c r="P62" i="118" s="1"/>
  <c r="F62" i="118"/>
  <c r="H62" i="118" s="1"/>
  <c r="B62" i="118"/>
  <c r="H47" i="118"/>
  <c r="V29" i="118"/>
  <c r="V30" i="118"/>
  <c r="N30" i="118"/>
  <c r="O30" i="118" s="1"/>
  <c r="K30" i="118"/>
  <c r="L30" i="118" s="1"/>
  <c r="P30" i="118"/>
  <c r="F30" i="118"/>
  <c r="H30" i="118" s="1"/>
  <c r="B30" i="118"/>
  <c r="F29" i="118"/>
  <c r="H29" i="118" s="1"/>
  <c r="J29" i="118"/>
  <c r="P29" i="118" s="1"/>
  <c r="K29" i="118"/>
  <c r="AB29" i="118" s="1"/>
  <c r="N29" i="118"/>
  <c r="O29" i="118"/>
  <c r="AB20" i="118"/>
  <c r="AC20" i="118"/>
  <c r="W20" i="118"/>
  <c r="V20" i="118"/>
  <c r="W78" i="118"/>
  <c r="H78" i="118"/>
  <c r="W77" i="118"/>
  <c r="H77" i="118"/>
  <c r="W76" i="118"/>
  <c r="H76" i="118"/>
  <c r="W75" i="118"/>
  <c r="H75" i="118"/>
  <c r="W74" i="118"/>
  <c r="H74" i="118"/>
  <c r="W73" i="118"/>
  <c r="W72" i="118"/>
  <c r="W71" i="118"/>
  <c r="W70" i="118"/>
  <c r="AC70" i="118"/>
  <c r="M69" i="118"/>
  <c r="W68" i="118"/>
  <c r="H68" i="118"/>
  <c r="W67" i="118"/>
  <c r="H67" i="118"/>
  <c r="W66" i="118"/>
  <c r="H66" i="118"/>
  <c r="W65" i="118"/>
  <c r="H65" i="118"/>
  <c r="W64" i="118"/>
  <c r="H64" i="118"/>
  <c r="W63" i="118"/>
  <c r="W62" i="118"/>
  <c r="N62" i="118" s="1"/>
  <c r="O62" i="118" s="1"/>
  <c r="W61" i="118"/>
  <c r="V61" i="118"/>
  <c r="N61" i="118"/>
  <c r="O61" i="118" s="1"/>
  <c r="K61" i="118"/>
  <c r="J61" i="118"/>
  <c r="P61" i="118" s="1"/>
  <c r="F61" i="118"/>
  <c r="H61" i="118" s="1"/>
  <c r="B61" i="118"/>
  <c r="W60" i="118"/>
  <c r="N60" i="118" s="1"/>
  <c r="V60" i="118"/>
  <c r="K60" i="118"/>
  <c r="J60" i="118"/>
  <c r="P60" i="118" s="1"/>
  <c r="F60" i="118"/>
  <c r="H60" i="118" s="1"/>
  <c r="B60" i="118"/>
  <c r="W59" i="118"/>
  <c r="N59" i="118" s="1"/>
  <c r="K59" i="118"/>
  <c r="J59" i="118"/>
  <c r="F59" i="118"/>
  <c r="H59" i="118" s="1"/>
  <c r="B59" i="118"/>
  <c r="M58" i="118"/>
  <c r="W57" i="118"/>
  <c r="H57" i="118"/>
  <c r="W56" i="118"/>
  <c r="H56" i="118"/>
  <c r="W55" i="118"/>
  <c r="H55" i="118"/>
  <c r="W54" i="118"/>
  <c r="H54" i="118"/>
  <c r="W53" i="118"/>
  <c r="H53" i="118"/>
  <c r="W52" i="118"/>
  <c r="W51" i="118"/>
  <c r="N51" i="118" s="1"/>
  <c r="O51" i="118" s="1"/>
  <c r="V51" i="118"/>
  <c r="K51" i="118"/>
  <c r="J51" i="118"/>
  <c r="P51" i="118" s="1"/>
  <c r="F51" i="118"/>
  <c r="H51" i="118" s="1"/>
  <c r="B51" i="118"/>
  <c r="W50" i="118"/>
  <c r="V50" i="118"/>
  <c r="N50" i="118"/>
  <c r="K50" i="118"/>
  <c r="J50" i="118"/>
  <c r="P50" i="118" s="1"/>
  <c r="F50" i="118"/>
  <c r="H50" i="118" s="1"/>
  <c r="B50" i="118"/>
  <c r="W49" i="118"/>
  <c r="N49" i="118" s="1"/>
  <c r="K49" i="118"/>
  <c r="J49" i="118"/>
  <c r="P49" i="118" s="1"/>
  <c r="F49" i="118"/>
  <c r="H49" i="118" s="1"/>
  <c r="B49" i="118"/>
  <c r="W48" i="118"/>
  <c r="M48" i="118"/>
  <c r="W47" i="118"/>
  <c r="W46" i="118"/>
  <c r="H46" i="118"/>
  <c r="W45" i="118"/>
  <c r="H45" i="118"/>
  <c r="W44" i="118"/>
  <c r="H44" i="118"/>
  <c r="W43" i="118"/>
  <c r="H43" i="118"/>
  <c r="W42" i="118"/>
  <c r="H42" i="118"/>
  <c r="W41" i="118"/>
  <c r="AC40" i="118"/>
  <c r="AB40" i="118"/>
  <c r="W40" i="118"/>
  <c r="AC39" i="118"/>
  <c r="AB39" i="118"/>
  <c r="W39" i="118"/>
  <c r="W38" i="118"/>
  <c r="N38" i="118"/>
  <c r="K38" i="118"/>
  <c r="K48" i="118" s="1"/>
  <c r="J38" i="118"/>
  <c r="J48" i="118" s="1"/>
  <c r="F38" i="118"/>
  <c r="H38" i="118" s="1"/>
  <c r="C38" i="118"/>
  <c r="M37" i="118"/>
  <c r="W36" i="118"/>
  <c r="H36" i="118"/>
  <c r="W35" i="118"/>
  <c r="H35" i="118"/>
  <c r="W34" i="118"/>
  <c r="H34" i="118"/>
  <c r="W33" i="118"/>
  <c r="H33" i="118"/>
  <c r="W32" i="118"/>
  <c r="H32" i="118"/>
  <c r="W31" i="118"/>
  <c r="W30" i="118"/>
  <c r="W29" i="118"/>
  <c r="W28" i="118"/>
  <c r="N28" i="118" s="1"/>
  <c r="V28" i="118"/>
  <c r="K28" i="118"/>
  <c r="J28" i="118"/>
  <c r="P28" i="118" s="1"/>
  <c r="F28" i="118"/>
  <c r="H28" i="118" s="1"/>
  <c r="B28" i="118"/>
  <c r="W27" i="118"/>
  <c r="N27" i="118" s="1"/>
  <c r="K27" i="118"/>
  <c r="J27" i="118"/>
  <c r="F27" i="118"/>
  <c r="H27" i="118" s="1"/>
  <c r="M26" i="118"/>
  <c r="W25" i="118"/>
  <c r="H25" i="118"/>
  <c r="W24" i="118"/>
  <c r="H24" i="118"/>
  <c r="W23" i="118"/>
  <c r="H23" i="118"/>
  <c r="H22" i="118"/>
  <c r="H21" i="118"/>
  <c r="W19" i="118"/>
  <c r="N19" i="118" s="1"/>
  <c r="V19" i="118"/>
  <c r="K19" i="118"/>
  <c r="J19" i="118"/>
  <c r="P19" i="118" s="1"/>
  <c r="F19" i="118"/>
  <c r="H19" i="118" s="1"/>
  <c r="W18" i="118"/>
  <c r="N18" i="118" s="1"/>
  <c r="V18" i="118"/>
  <c r="K18" i="118"/>
  <c r="J18" i="118"/>
  <c r="P18" i="118" s="1"/>
  <c r="F18" i="118"/>
  <c r="H18" i="118" s="1"/>
  <c r="W17" i="118"/>
  <c r="N17" i="118" s="1"/>
  <c r="V17" i="118"/>
  <c r="K17" i="118"/>
  <c r="J17" i="118"/>
  <c r="P17" i="118" s="1"/>
  <c r="F17" i="118"/>
  <c r="H17" i="118" s="1"/>
  <c r="W16" i="118"/>
  <c r="N16" i="118"/>
  <c r="K16" i="118"/>
  <c r="J16" i="118"/>
  <c r="P16" i="118" s="1"/>
  <c r="F16" i="118"/>
  <c r="H16" i="118" s="1"/>
  <c r="M15" i="118"/>
  <c r="W14" i="118"/>
  <c r="H14" i="118"/>
  <c r="W13" i="118"/>
  <c r="H13" i="118"/>
  <c r="W12" i="118"/>
  <c r="H12" i="118"/>
  <c r="W11" i="118"/>
  <c r="H11" i="118"/>
  <c r="W10" i="118"/>
  <c r="W9" i="118"/>
  <c r="N9" i="118" s="1"/>
  <c r="O9" i="118" s="1"/>
  <c r="V9" i="118"/>
  <c r="K9" i="118"/>
  <c r="J9" i="118"/>
  <c r="P9" i="118" s="1"/>
  <c r="F9" i="118"/>
  <c r="H9" i="118" s="1"/>
  <c r="W8" i="118"/>
  <c r="V8" i="118"/>
  <c r="N8" i="118"/>
  <c r="K8" i="118"/>
  <c r="J8" i="118"/>
  <c r="P8" i="118" s="1"/>
  <c r="F8" i="118"/>
  <c r="H8" i="118" s="1"/>
  <c r="B8" i="118"/>
  <c r="W7" i="118"/>
  <c r="V7" i="118"/>
  <c r="N7" i="118"/>
  <c r="K7" i="118"/>
  <c r="J7" i="118"/>
  <c r="P7" i="118" s="1"/>
  <c r="F7" i="118"/>
  <c r="H7" i="118" s="1"/>
  <c r="B7" i="118"/>
  <c r="W6" i="118"/>
  <c r="N6" i="118" s="1"/>
  <c r="V6" i="118"/>
  <c r="K6" i="118"/>
  <c r="J6" i="118"/>
  <c r="P6" i="118" s="1"/>
  <c r="F6" i="118"/>
  <c r="H6" i="118" s="1"/>
  <c r="B6" i="118"/>
  <c r="W5" i="118"/>
  <c r="N5" i="118" s="1"/>
  <c r="K5" i="118"/>
  <c r="J5" i="118"/>
  <c r="F5" i="118"/>
  <c r="H5" i="118" s="1"/>
  <c r="B5" i="118"/>
  <c r="I2" i="118"/>
  <c r="E1" i="118"/>
  <c r="I18" i="117"/>
  <c r="H18" i="117"/>
  <c r="G18" i="117"/>
  <c r="E18" i="117"/>
  <c r="D18" i="117"/>
  <c r="J7" i="117"/>
  <c r="I18" i="113"/>
  <c r="H18" i="113"/>
  <c r="F18" i="113"/>
  <c r="E18" i="113"/>
  <c r="D18" i="113"/>
  <c r="J18" i="115"/>
  <c r="I18" i="115"/>
  <c r="H18" i="115"/>
  <c r="G18" i="115"/>
  <c r="E18" i="115"/>
  <c r="D18" i="115"/>
  <c r="AC70" i="116"/>
  <c r="V51" i="116"/>
  <c r="B51" i="116"/>
  <c r="F51" i="116"/>
  <c r="H51" i="116" s="1"/>
  <c r="J51" i="116"/>
  <c r="K51" i="116"/>
  <c r="L51" i="116" s="1"/>
  <c r="P51" i="116"/>
  <c r="W29" i="116"/>
  <c r="V9" i="116"/>
  <c r="J9" i="116"/>
  <c r="P9" i="116" s="1"/>
  <c r="K9" i="116"/>
  <c r="F9" i="116"/>
  <c r="H9" i="116" s="1"/>
  <c r="J16" i="115"/>
  <c r="I16" i="115"/>
  <c r="H16" i="115"/>
  <c r="G16" i="115"/>
  <c r="F16" i="115"/>
  <c r="E16" i="115"/>
  <c r="D16" i="115"/>
  <c r="F16" i="112"/>
  <c r="W78" i="116"/>
  <c r="H78" i="116"/>
  <c r="W77" i="116"/>
  <c r="H77" i="116"/>
  <c r="W76" i="116"/>
  <c r="H76" i="116"/>
  <c r="W75" i="116"/>
  <c r="H75" i="116"/>
  <c r="W74" i="116"/>
  <c r="H74" i="116"/>
  <c r="W73" i="116"/>
  <c r="W72" i="116"/>
  <c r="W71" i="116"/>
  <c r="W70" i="116"/>
  <c r="N70" i="116" s="1"/>
  <c r="O70" i="116" s="1"/>
  <c r="K70" i="116"/>
  <c r="AB70" i="116" s="1"/>
  <c r="J70" i="116"/>
  <c r="P70" i="116" s="1"/>
  <c r="F70" i="116"/>
  <c r="H70" i="116" s="1"/>
  <c r="M69" i="116"/>
  <c r="M79" i="116" s="1"/>
  <c r="W68" i="116"/>
  <c r="H68" i="116"/>
  <c r="W67" i="116"/>
  <c r="H67" i="116"/>
  <c r="W66" i="116"/>
  <c r="H66" i="116"/>
  <c r="W65" i="116"/>
  <c r="H65" i="116"/>
  <c r="W64" i="116"/>
  <c r="H64" i="116"/>
  <c r="W63" i="116"/>
  <c r="W62" i="116"/>
  <c r="W61" i="116"/>
  <c r="N61" i="116" s="1"/>
  <c r="O61" i="116" s="1"/>
  <c r="V61" i="116"/>
  <c r="K61" i="116"/>
  <c r="J61" i="116"/>
  <c r="P61" i="116" s="1"/>
  <c r="F61" i="116"/>
  <c r="H61" i="116" s="1"/>
  <c r="B61" i="116"/>
  <c r="W60" i="116"/>
  <c r="N60" i="116" s="1"/>
  <c r="V60" i="116"/>
  <c r="K60" i="116"/>
  <c r="J60" i="116"/>
  <c r="P60" i="116" s="1"/>
  <c r="F60" i="116"/>
  <c r="H60" i="116" s="1"/>
  <c r="B60" i="116"/>
  <c r="W59" i="116"/>
  <c r="N59" i="116"/>
  <c r="O59" i="116" s="1"/>
  <c r="K59" i="116"/>
  <c r="J59" i="116"/>
  <c r="F59" i="116"/>
  <c r="H59" i="116" s="1"/>
  <c r="B59" i="116"/>
  <c r="M58" i="116"/>
  <c r="W57" i="116"/>
  <c r="H57" i="116"/>
  <c r="W56" i="116"/>
  <c r="H56" i="116"/>
  <c r="W55" i="116"/>
  <c r="H55" i="116"/>
  <c r="W54" i="116"/>
  <c r="H54" i="116"/>
  <c r="W53" i="116"/>
  <c r="H53" i="116"/>
  <c r="W52" i="116"/>
  <c r="W51" i="116"/>
  <c r="N51" i="116" s="1"/>
  <c r="O51" i="116" s="1"/>
  <c r="W50" i="116"/>
  <c r="V50" i="116"/>
  <c r="N50" i="116"/>
  <c r="K50" i="116"/>
  <c r="J50" i="116"/>
  <c r="P50" i="116" s="1"/>
  <c r="F50" i="116"/>
  <c r="H50" i="116" s="1"/>
  <c r="B50" i="116"/>
  <c r="W49" i="116"/>
  <c r="N49" i="116" s="1"/>
  <c r="K49" i="116"/>
  <c r="J49" i="116"/>
  <c r="P49" i="116" s="1"/>
  <c r="F49" i="116"/>
  <c r="H49" i="116" s="1"/>
  <c r="B49" i="116"/>
  <c r="W48" i="116"/>
  <c r="M48" i="116"/>
  <c r="W47" i="116"/>
  <c r="H47" i="116"/>
  <c r="W46" i="116"/>
  <c r="H46" i="116"/>
  <c r="W45" i="116"/>
  <c r="H45" i="116"/>
  <c r="W44" i="116"/>
  <c r="H44" i="116"/>
  <c r="W43" i="116"/>
  <c r="H43" i="116"/>
  <c r="W42" i="116"/>
  <c r="H42" i="116"/>
  <c r="W41" i="116"/>
  <c r="W40" i="116"/>
  <c r="AC39" i="116"/>
  <c r="W39" i="116"/>
  <c r="AB39" i="116"/>
  <c r="W38" i="116"/>
  <c r="N38" i="116" s="1"/>
  <c r="K38" i="116"/>
  <c r="J38" i="116"/>
  <c r="P38" i="116" s="1"/>
  <c r="F38" i="116"/>
  <c r="H38" i="116" s="1"/>
  <c r="C38" i="116"/>
  <c r="M37" i="116"/>
  <c r="F18" i="115" s="1"/>
  <c r="W36" i="116"/>
  <c r="H36" i="116"/>
  <c r="W35" i="116"/>
  <c r="H35" i="116"/>
  <c r="W34" i="116"/>
  <c r="H34" i="116"/>
  <c r="W33" i="116"/>
  <c r="H33" i="116"/>
  <c r="W32" i="116"/>
  <c r="H32" i="116"/>
  <c r="W31" i="116"/>
  <c r="W30" i="116"/>
  <c r="W28" i="116"/>
  <c r="N28" i="116" s="1"/>
  <c r="V28" i="116"/>
  <c r="K28" i="116"/>
  <c r="J28" i="116"/>
  <c r="P28" i="116" s="1"/>
  <c r="F28" i="116"/>
  <c r="H28" i="116" s="1"/>
  <c r="B28" i="116"/>
  <c r="W27" i="116"/>
  <c r="N27" i="116"/>
  <c r="K27" i="116"/>
  <c r="J27" i="116"/>
  <c r="F27" i="116"/>
  <c r="H27" i="116" s="1"/>
  <c r="M26" i="116"/>
  <c r="W25" i="116"/>
  <c r="H25" i="116"/>
  <c r="W24" i="116"/>
  <c r="H24" i="116"/>
  <c r="W23" i="116"/>
  <c r="H23" i="116"/>
  <c r="H22" i="116"/>
  <c r="H21" i="116"/>
  <c r="W19" i="116"/>
  <c r="N19" i="116" s="1"/>
  <c r="V19" i="116"/>
  <c r="K19" i="116"/>
  <c r="J19" i="116"/>
  <c r="P19" i="116" s="1"/>
  <c r="F19" i="116"/>
  <c r="H19" i="116" s="1"/>
  <c r="W18" i="116"/>
  <c r="N18" i="116" s="1"/>
  <c r="V18" i="116"/>
  <c r="K18" i="116"/>
  <c r="J18" i="116"/>
  <c r="P18" i="116" s="1"/>
  <c r="F18" i="116"/>
  <c r="H18" i="116" s="1"/>
  <c r="W17" i="116"/>
  <c r="N17" i="116" s="1"/>
  <c r="V17" i="116"/>
  <c r="K17" i="116"/>
  <c r="J17" i="116"/>
  <c r="F17" i="116"/>
  <c r="H17" i="116" s="1"/>
  <c r="W16" i="116"/>
  <c r="N16" i="116"/>
  <c r="O16" i="116" s="1"/>
  <c r="K16" i="116"/>
  <c r="J16" i="116"/>
  <c r="P16" i="116" s="1"/>
  <c r="F16" i="116"/>
  <c r="H16" i="116" s="1"/>
  <c r="M15" i="116"/>
  <c r="W14" i="116"/>
  <c r="H14" i="116"/>
  <c r="W13" i="116"/>
  <c r="H13" i="116"/>
  <c r="W12" i="116"/>
  <c r="H12" i="116"/>
  <c r="W11" i="116"/>
  <c r="H11" i="116"/>
  <c r="W10" i="116"/>
  <c r="W9" i="116"/>
  <c r="N9" i="116" s="1"/>
  <c r="O9" i="116" s="1"/>
  <c r="W8" i="116"/>
  <c r="N8" i="116" s="1"/>
  <c r="V8" i="116"/>
  <c r="K8" i="116"/>
  <c r="J8" i="116"/>
  <c r="P8" i="116" s="1"/>
  <c r="F8" i="116"/>
  <c r="H8" i="116" s="1"/>
  <c r="B8" i="116"/>
  <c r="W7" i="116"/>
  <c r="N7" i="116" s="1"/>
  <c r="V7" i="116"/>
  <c r="K7" i="116"/>
  <c r="J7" i="116"/>
  <c r="P7" i="116" s="1"/>
  <c r="F7" i="116"/>
  <c r="H7" i="116" s="1"/>
  <c r="B7" i="116"/>
  <c r="W6" i="116"/>
  <c r="N6" i="116" s="1"/>
  <c r="V6" i="116"/>
  <c r="K6" i="116"/>
  <c r="J6" i="116"/>
  <c r="P6" i="116" s="1"/>
  <c r="F6" i="116"/>
  <c r="H6" i="116" s="1"/>
  <c r="B6" i="116"/>
  <c r="W5" i="116"/>
  <c r="N5" i="116"/>
  <c r="K5" i="116"/>
  <c r="J5" i="116"/>
  <c r="P5" i="116" s="1"/>
  <c r="F5" i="116"/>
  <c r="H5" i="116" s="1"/>
  <c r="B5" i="116"/>
  <c r="I2" i="116"/>
  <c r="E1" i="116"/>
  <c r="G3" i="115" s="1"/>
  <c r="V51" i="114"/>
  <c r="B51" i="114"/>
  <c r="F51" i="114"/>
  <c r="H51" i="114" s="1"/>
  <c r="J51" i="114"/>
  <c r="P51" i="114" s="1"/>
  <c r="K51" i="114"/>
  <c r="V30" i="114"/>
  <c r="B30" i="114"/>
  <c r="F30" i="114"/>
  <c r="H30" i="114" s="1"/>
  <c r="L30" i="114"/>
  <c r="P30" i="114"/>
  <c r="I16" i="113"/>
  <c r="H16" i="113"/>
  <c r="G16" i="113"/>
  <c r="F16" i="113"/>
  <c r="E16" i="113"/>
  <c r="D16" i="113"/>
  <c r="J14" i="109"/>
  <c r="W78" i="114"/>
  <c r="H78" i="114"/>
  <c r="W77" i="114"/>
  <c r="H77" i="114"/>
  <c r="W76" i="114"/>
  <c r="H76" i="114"/>
  <c r="W75" i="114"/>
  <c r="H75" i="114"/>
  <c r="W74" i="114"/>
  <c r="H74" i="114"/>
  <c r="W73" i="114"/>
  <c r="W72" i="114"/>
  <c r="W71" i="114"/>
  <c r="W70" i="114"/>
  <c r="M69" i="114"/>
  <c r="W68" i="114"/>
  <c r="H68" i="114"/>
  <c r="W67" i="114"/>
  <c r="H67" i="114"/>
  <c r="W66" i="114"/>
  <c r="H66" i="114"/>
  <c r="W65" i="114"/>
  <c r="H65" i="114"/>
  <c r="W64" i="114"/>
  <c r="H64" i="114"/>
  <c r="W63" i="114"/>
  <c r="W62" i="114"/>
  <c r="W61" i="114"/>
  <c r="V61" i="114"/>
  <c r="N61" i="114"/>
  <c r="O61" i="114" s="1"/>
  <c r="K61" i="114"/>
  <c r="J61" i="114"/>
  <c r="P61" i="114" s="1"/>
  <c r="F61" i="114"/>
  <c r="H61" i="114" s="1"/>
  <c r="B61" i="114"/>
  <c r="W60" i="114"/>
  <c r="N60" i="114" s="1"/>
  <c r="V60" i="114"/>
  <c r="K60" i="114"/>
  <c r="J60" i="114"/>
  <c r="P60" i="114" s="1"/>
  <c r="F60" i="114"/>
  <c r="H60" i="114" s="1"/>
  <c r="B60" i="114"/>
  <c r="W59" i="114"/>
  <c r="N59" i="114" s="1"/>
  <c r="O59" i="114" s="1"/>
  <c r="K59" i="114"/>
  <c r="J59" i="114"/>
  <c r="F59" i="114"/>
  <c r="H59" i="114" s="1"/>
  <c r="B59" i="114"/>
  <c r="M58" i="114"/>
  <c r="W57" i="114"/>
  <c r="H57" i="114"/>
  <c r="W56" i="114"/>
  <c r="H56" i="114"/>
  <c r="W55" i="114"/>
  <c r="H55" i="114"/>
  <c r="W54" i="114"/>
  <c r="H54" i="114"/>
  <c r="W53" i="114"/>
  <c r="H53" i="114"/>
  <c r="W52" i="114"/>
  <c r="W51" i="114"/>
  <c r="N51" i="114" s="1"/>
  <c r="O51" i="114" s="1"/>
  <c r="W50" i="114"/>
  <c r="N50" i="114" s="1"/>
  <c r="V50" i="114"/>
  <c r="K50" i="114"/>
  <c r="J50" i="114"/>
  <c r="P50" i="114" s="1"/>
  <c r="F50" i="114"/>
  <c r="H50" i="114" s="1"/>
  <c r="B50" i="114"/>
  <c r="W49" i="114"/>
  <c r="N49" i="114" s="1"/>
  <c r="K49" i="114"/>
  <c r="J49" i="114"/>
  <c r="P49" i="114" s="1"/>
  <c r="F49" i="114"/>
  <c r="H49" i="114" s="1"/>
  <c r="B49" i="114"/>
  <c r="W48" i="114"/>
  <c r="M48" i="114"/>
  <c r="G18" i="113" s="1"/>
  <c r="W47" i="114"/>
  <c r="H47" i="114"/>
  <c r="W46" i="114"/>
  <c r="H46" i="114"/>
  <c r="W45" i="114"/>
  <c r="H45" i="114"/>
  <c r="W44" i="114"/>
  <c r="H44" i="114"/>
  <c r="W43" i="114"/>
  <c r="H43" i="114"/>
  <c r="W42" i="114"/>
  <c r="H42" i="114"/>
  <c r="W41" i="114"/>
  <c r="W40" i="114"/>
  <c r="W39" i="114"/>
  <c r="N39" i="114" s="1"/>
  <c r="V39" i="114"/>
  <c r="K39" i="114"/>
  <c r="J39" i="114"/>
  <c r="P39" i="114" s="1"/>
  <c r="F39" i="114"/>
  <c r="H39" i="114" s="1"/>
  <c r="B39" i="114"/>
  <c r="W38" i="114"/>
  <c r="N38" i="114" s="1"/>
  <c r="K38" i="114"/>
  <c r="J38" i="114"/>
  <c r="P38" i="114" s="1"/>
  <c r="F38" i="114"/>
  <c r="H38" i="114" s="1"/>
  <c r="C38" i="114"/>
  <c r="M37" i="114"/>
  <c r="W36" i="114"/>
  <c r="H36" i="114"/>
  <c r="W35" i="114"/>
  <c r="H35" i="114"/>
  <c r="W34" i="114"/>
  <c r="H34" i="114"/>
  <c r="W33" i="114"/>
  <c r="H33" i="114"/>
  <c r="W32" i="114"/>
  <c r="H32" i="114"/>
  <c r="W31" i="114"/>
  <c r="W30" i="114"/>
  <c r="N30" i="114" s="1"/>
  <c r="O30" i="114" s="1"/>
  <c r="W29" i="114"/>
  <c r="N29" i="114" s="1"/>
  <c r="V29" i="114"/>
  <c r="P29" i="114"/>
  <c r="L29" i="114"/>
  <c r="F29" i="114"/>
  <c r="H29" i="114" s="1"/>
  <c r="B29" i="114"/>
  <c r="W28" i="114"/>
  <c r="N28" i="114" s="1"/>
  <c r="V28" i="114"/>
  <c r="K28" i="114"/>
  <c r="J28" i="114"/>
  <c r="P28" i="114" s="1"/>
  <c r="F28" i="114"/>
  <c r="H28" i="114" s="1"/>
  <c r="B28" i="114"/>
  <c r="W27" i="114"/>
  <c r="N27" i="114" s="1"/>
  <c r="K27" i="114"/>
  <c r="J27" i="114"/>
  <c r="P27" i="114" s="1"/>
  <c r="F27" i="114"/>
  <c r="H27" i="114" s="1"/>
  <c r="M26" i="114"/>
  <c r="W25" i="114"/>
  <c r="H25" i="114"/>
  <c r="W24" i="114"/>
  <c r="H24" i="114"/>
  <c r="W23" i="114"/>
  <c r="H23" i="114"/>
  <c r="H22" i="114"/>
  <c r="H21" i="114"/>
  <c r="W19" i="114"/>
  <c r="N19" i="114" s="1"/>
  <c r="V19" i="114"/>
  <c r="K19" i="114"/>
  <c r="J19" i="114"/>
  <c r="P19" i="114" s="1"/>
  <c r="F19" i="114"/>
  <c r="H19" i="114" s="1"/>
  <c r="W18" i="114"/>
  <c r="N18" i="114" s="1"/>
  <c r="V18" i="114"/>
  <c r="K18" i="114"/>
  <c r="J18" i="114"/>
  <c r="P18" i="114" s="1"/>
  <c r="F18" i="114"/>
  <c r="H18" i="114" s="1"/>
  <c r="W17" i="114"/>
  <c r="N17" i="114" s="1"/>
  <c r="V17" i="114"/>
  <c r="K17" i="114"/>
  <c r="J17" i="114"/>
  <c r="P17" i="114" s="1"/>
  <c r="F17" i="114"/>
  <c r="H17" i="114" s="1"/>
  <c r="W16" i="114"/>
  <c r="N16" i="114"/>
  <c r="K16" i="114"/>
  <c r="J16" i="114"/>
  <c r="P16" i="114" s="1"/>
  <c r="F16" i="114"/>
  <c r="H16" i="114" s="1"/>
  <c r="M15" i="114"/>
  <c r="W14" i="114"/>
  <c r="H14" i="114"/>
  <c r="W13" i="114"/>
  <c r="H13" i="114"/>
  <c r="W12" i="114"/>
  <c r="H12" i="114"/>
  <c r="W11" i="114"/>
  <c r="H11" i="114"/>
  <c r="W10" i="114"/>
  <c r="W9" i="114"/>
  <c r="W8" i="114"/>
  <c r="W7" i="114"/>
  <c r="N7" i="114" s="1"/>
  <c r="V7" i="114"/>
  <c r="K7" i="114"/>
  <c r="J7" i="114"/>
  <c r="P7" i="114" s="1"/>
  <c r="F7" i="114"/>
  <c r="H7" i="114" s="1"/>
  <c r="B7" i="114"/>
  <c r="W6" i="114"/>
  <c r="N6" i="114" s="1"/>
  <c r="V6" i="114"/>
  <c r="K6" i="114"/>
  <c r="J6" i="114"/>
  <c r="P6" i="114" s="1"/>
  <c r="F6" i="114"/>
  <c r="H6" i="114" s="1"/>
  <c r="B6" i="114"/>
  <c r="W5" i="114"/>
  <c r="N5" i="114" s="1"/>
  <c r="K5" i="114"/>
  <c r="J5" i="114"/>
  <c r="P5" i="114" s="1"/>
  <c r="F5" i="114"/>
  <c r="H5" i="114" s="1"/>
  <c r="B5" i="114"/>
  <c r="I2" i="114"/>
  <c r="E1" i="114"/>
  <c r="G3" i="113" s="1"/>
  <c r="V51" i="111"/>
  <c r="K51" i="111"/>
  <c r="AC51" i="111" s="1"/>
  <c r="J51" i="111"/>
  <c r="P51" i="111" s="1"/>
  <c r="F51" i="111"/>
  <c r="H51" i="111" s="1"/>
  <c r="B51" i="111"/>
  <c r="Q16" i="121" l="1"/>
  <c r="L26" i="121"/>
  <c r="E13" i="122" s="1"/>
  <c r="H6" i="122" s="1"/>
  <c r="L58" i="121"/>
  <c r="H13" i="122" s="1"/>
  <c r="L79" i="121"/>
  <c r="I13" i="122"/>
  <c r="L37" i="121"/>
  <c r="F13" i="122" s="1"/>
  <c r="R8" i="121"/>
  <c r="P69" i="121"/>
  <c r="Q30" i="121"/>
  <c r="Q8" i="121"/>
  <c r="G2" i="121"/>
  <c r="J3" i="122"/>
  <c r="Q18" i="121"/>
  <c r="R18" i="121"/>
  <c r="AB26" i="121"/>
  <c r="AC26" i="121"/>
  <c r="AD16" i="121" s="1"/>
  <c r="R6" i="121"/>
  <c r="Q6" i="121"/>
  <c r="Q28" i="121"/>
  <c r="R28" i="121"/>
  <c r="Q19" i="121"/>
  <c r="R19" i="121"/>
  <c r="R50" i="121"/>
  <c r="Q50" i="121"/>
  <c r="AC58" i="121"/>
  <c r="AD49" i="121" s="1"/>
  <c r="AB58" i="121"/>
  <c r="Q58" i="121"/>
  <c r="R59" i="121"/>
  <c r="Q59" i="121"/>
  <c r="O69" i="121"/>
  <c r="I14" i="122" s="1"/>
  <c r="R17" i="121"/>
  <c r="Q17" i="121"/>
  <c r="Q27" i="121"/>
  <c r="R27" i="121"/>
  <c r="O37" i="121"/>
  <c r="AC37" i="121"/>
  <c r="AD27" i="121" s="1"/>
  <c r="AB37" i="121"/>
  <c r="Q37" i="121"/>
  <c r="O48" i="121"/>
  <c r="Q48" i="121"/>
  <c r="AC48" i="121"/>
  <c r="AD38" i="121" s="1"/>
  <c r="AB48" i="121"/>
  <c r="R63" i="121"/>
  <c r="Q63" i="121"/>
  <c r="R5" i="121"/>
  <c r="Q5" i="121"/>
  <c r="O15" i="121"/>
  <c r="D14" i="122" s="1"/>
  <c r="D15" i="122" s="1"/>
  <c r="AB69" i="121"/>
  <c r="Q69" i="121"/>
  <c r="N79" i="121"/>
  <c r="AC69" i="121"/>
  <c r="AD59" i="121" s="1"/>
  <c r="O58" i="121"/>
  <c r="Q49" i="121"/>
  <c r="R49" i="121"/>
  <c r="AC15" i="121"/>
  <c r="AD5" i="121" s="1"/>
  <c r="AB15" i="121"/>
  <c r="R9" i="121"/>
  <c r="Q9" i="121"/>
  <c r="Q7" i="121"/>
  <c r="R7" i="121"/>
  <c r="O26" i="121"/>
  <c r="E14" i="122" s="1"/>
  <c r="E15" i="122" s="1"/>
  <c r="R62" i="121"/>
  <c r="Q62" i="121"/>
  <c r="R61" i="121"/>
  <c r="Q61" i="121"/>
  <c r="R51" i="121"/>
  <c r="Q51" i="121"/>
  <c r="R70" i="121"/>
  <c r="Q70" i="121"/>
  <c r="R60" i="121"/>
  <c r="Q60" i="121"/>
  <c r="P38" i="118"/>
  <c r="L61" i="118"/>
  <c r="L49" i="118"/>
  <c r="L9" i="116"/>
  <c r="Q9" i="116" s="1"/>
  <c r="L16" i="116"/>
  <c r="Q16" i="116" s="1"/>
  <c r="L60" i="118"/>
  <c r="L17" i="116"/>
  <c r="L29" i="118"/>
  <c r="R29" i="118" s="1"/>
  <c r="R40" i="120"/>
  <c r="L7" i="120"/>
  <c r="K37" i="120"/>
  <c r="K26" i="118"/>
  <c r="L60" i="120"/>
  <c r="L16" i="120"/>
  <c r="L17" i="118"/>
  <c r="AC62" i="118"/>
  <c r="L61" i="120"/>
  <c r="L49" i="120"/>
  <c r="AC8" i="116"/>
  <c r="AB5" i="116"/>
  <c r="K69" i="120"/>
  <c r="K79" i="120" s="1"/>
  <c r="L8" i="116"/>
  <c r="L28" i="116"/>
  <c r="AB39" i="114"/>
  <c r="L7" i="114"/>
  <c r="L7" i="118"/>
  <c r="AC29" i="118"/>
  <c r="AB8" i="120"/>
  <c r="L19" i="120"/>
  <c r="J48" i="120"/>
  <c r="P48" i="120" s="1"/>
  <c r="L38" i="120"/>
  <c r="L48" i="120" s="1"/>
  <c r="G13" i="119" s="1"/>
  <c r="L49" i="116"/>
  <c r="Q29" i="118"/>
  <c r="J26" i="120"/>
  <c r="P26" i="120" s="1"/>
  <c r="J37" i="120"/>
  <c r="P37" i="120" s="1"/>
  <c r="K48" i="120"/>
  <c r="L9" i="118"/>
  <c r="L51" i="111"/>
  <c r="L18" i="114"/>
  <c r="AC50" i="114"/>
  <c r="L59" i="116"/>
  <c r="Q59" i="116" s="1"/>
  <c r="L61" i="116"/>
  <c r="R61" i="116" s="1"/>
  <c r="L70" i="120"/>
  <c r="L16" i="114"/>
  <c r="L51" i="114"/>
  <c r="Q51" i="114" s="1"/>
  <c r="K15" i="116"/>
  <c r="L7" i="116"/>
  <c r="L18" i="116"/>
  <c r="L26" i="116" s="1"/>
  <c r="E13" i="115" s="1"/>
  <c r="L18" i="118"/>
  <c r="L28" i="118"/>
  <c r="AC30" i="118"/>
  <c r="L62" i="118"/>
  <c r="R62" i="118" s="1"/>
  <c r="L8" i="120"/>
  <c r="AC70" i="120"/>
  <c r="L38" i="118"/>
  <c r="L48" i="118" s="1"/>
  <c r="G13" i="117" s="1"/>
  <c r="L50" i="116"/>
  <c r="AC51" i="114"/>
  <c r="L19" i="116"/>
  <c r="L60" i="116"/>
  <c r="AB8" i="118"/>
  <c r="L19" i="118"/>
  <c r="AB7" i="120"/>
  <c r="AC50" i="120"/>
  <c r="L17" i="114"/>
  <c r="AB51" i="114"/>
  <c r="L6" i="116"/>
  <c r="J26" i="116"/>
  <c r="P26" i="116" s="1"/>
  <c r="J37" i="116"/>
  <c r="P37" i="116" s="1"/>
  <c r="AC9" i="118"/>
  <c r="L9" i="120"/>
  <c r="R9" i="120" s="1"/>
  <c r="AB9" i="120"/>
  <c r="AC9" i="120"/>
  <c r="J69" i="116"/>
  <c r="J79" i="116" s="1"/>
  <c r="P79" i="116" s="1"/>
  <c r="AB30" i="118"/>
  <c r="J69" i="120"/>
  <c r="J79" i="120" s="1"/>
  <c r="AB51" i="111"/>
  <c r="K69" i="116"/>
  <c r="K79" i="116" s="1"/>
  <c r="AC49" i="118"/>
  <c r="L51" i="118"/>
  <c r="Q51" i="118" s="1"/>
  <c r="L49" i="114"/>
  <c r="L6" i="118"/>
  <c r="L17" i="120"/>
  <c r="Q17" i="120" s="1"/>
  <c r="AC50" i="116"/>
  <c r="L8" i="118"/>
  <c r="AC61" i="120"/>
  <c r="K37" i="116"/>
  <c r="AC37" i="116" s="1"/>
  <c r="AD27" i="116" s="1"/>
  <c r="AB9" i="118"/>
  <c r="AB17" i="114"/>
  <c r="L38" i="116"/>
  <c r="L48" i="116" s="1"/>
  <c r="G13" i="115" s="1"/>
  <c r="AB50" i="118"/>
  <c r="L6" i="120"/>
  <c r="L18" i="120"/>
  <c r="L28" i="120"/>
  <c r="AB41" i="120"/>
  <c r="AC41" i="120"/>
  <c r="R30" i="120"/>
  <c r="R62" i="120"/>
  <c r="Q63" i="120"/>
  <c r="N58" i="120"/>
  <c r="J58" i="120"/>
  <c r="P58" i="120" s="1"/>
  <c r="L51" i="120"/>
  <c r="R51" i="120" s="1"/>
  <c r="AB51" i="120"/>
  <c r="AC51" i="120"/>
  <c r="L50" i="120"/>
  <c r="AB50" i="120"/>
  <c r="N48" i="120"/>
  <c r="AB40" i="120"/>
  <c r="Q40" i="120"/>
  <c r="AC40" i="120"/>
  <c r="O17" i="120"/>
  <c r="AB17" i="120"/>
  <c r="AC17" i="120"/>
  <c r="AC8" i="120"/>
  <c r="J15" i="120"/>
  <c r="K15" i="120"/>
  <c r="N26" i="120"/>
  <c r="O19" i="120"/>
  <c r="AB19" i="120"/>
  <c r="AC19" i="120"/>
  <c r="AB27" i="120"/>
  <c r="O27" i="120"/>
  <c r="AC27" i="120"/>
  <c r="N37" i="120"/>
  <c r="O6" i="120"/>
  <c r="AC6" i="120"/>
  <c r="AB6" i="120"/>
  <c r="O60" i="120"/>
  <c r="AC60" i="120"/>
  <c r="AB60" i="120"/>
  <c r="G1" i="120"/>
  <c r="O18" i="120"/>
  <c r="AC18" i="120"/>
  <c r="AB18" i="120"/>
  <c r="AC5" i="120"/>
  <c r="O5" i="120"/>
  <c r="N15" i="120"/>
  <c r="AB5" i="120"/>
  <c r="O28" i="120"/>
  <c r="AC28" i="120"/>
  <c r="AB28" i="120"/>
  <c r="AC59" i="120"/>
  <c r="AB59" i="120"/>
  <c r="O59" i="120"/>
  <c r="N69" i="120"/>
  <c r="O61" i="120"/>
  <c r="O49" i="120"/>
  <c r="O7" i="120"/>
  <c r="O38" i="120"/>
  <c r="P5" i="120"/>
  <c r="AB61" i="120"/>
  <c r="O16" i="120"/>
  <c r="K26" i="120"/>
  <c r="O70" i="120"/>
  <c r="P15" i="120"/>
  <c r="L27" i="120"/>
  <c r="P17" i="120"/>
  <c r="AB49" i="120"/>
  <c r="AC7" i="120"/>
  <c r="AB16" i="120"/>
  <c r="AC38" i="120"/>
  <c r="AB70" i="120"/>
  <c r="M79" i="120"/>
  <c r="L5" i="120"/>
  <c r="O8" i="120"/>
  <c r="P50" i="120"/>
  <c r="P27" i="120"/>
  <c r="AB38" i="120"/>
  <c r="AC49" i="120"/>
  <c r="P59" i="120"/>
  <c r="AC16" i="120"/>
  <c r="K58" i="120"/>
  <c r="O50" i="120"/>
  <c r="L59" i="120"/>
  <c r="J69" i="118"/>
  <c r="J79" i="118" s="1"/>
  <c r="K69" i="118"/>
  <c r="K79" i="118" s="1"/>
  <c r="F18" i="117"/>
  <c r="AC50" i="118"/>
  <c r="K58" i="118"/>
  <c r="N48" i="118"/>
  <c r="AB48" i="118" s="1"/>
  <c r="P48" i="118"/>
  <c r="R30" i="118"/>
  <c r="Q30" i="118"/>
  <c r="J37" i="118"/>
  <c r="P37" i="118"/>
  <c r="K37" i="118"/>
  <c r="O17" i="118"/>
  <c r="AC17" i="118"/>
  <c r="AB17" i="118"/>
  <c r="AC8" i="118"/>
  <c r="K15" i="118"/>
  <c r="AC7" i="118"/>
  <c r="J15" i="118"/>
  <c r="P15" i="118" s="1"/>
  <c r="O19" i="118"/>
  <c r="AB19" i="118"/>
  <c r="AC19" i="118"/>
  <c r="O27" i="118"/>
  <c r="AC27" i="118"/>
  <c r="AB27" i="118"/>
  <c r="N37" i="118"/>
  <c r="N26" i="118"/>
  <c r="O5" i="118"/>
  <c r="N15" i="118"/>
  <c r="AC5" i="118"/>
  <c r="AB5" i="118"/>
  <c r="AB18" i="118"/>
  <c r="O18" i="118"/>
  <c r="AC18" i="118"/>
  <c r="R61" i="118"/>
  <c r="Q61" i="118"/>
  <c r="Q17" i="118"/>
  <c r="R17" i="118"/>
  <c r="R9" i="118"/>
  <c r="Q9" i="118"/>
  <c r="O6" i="118"/>
  <c r="AC6" i="118"/>
  <c r="AB6" i="118"/>
  <c r="G1" i="118"/>
  <c r="O60" i="118"/>
  <c r="AC60" i="118"/>
  <c r="AB60" i="118"/>
  <c r="O28" i="118"/>
  <c r="AC28" i="118"/>
  <c r="AB28" i="118"/>
  <c r="AC59" i="118"/>
  <c r="O59" i="118"/>
  <c r="N69" i="118"/>
  <c r="AB59" i="118"/>
  <c r="L16" i="118"/>
  <c r="O7" i="118"/>
  <c r="M79" i="118"/>
  <c r="J58" i="118"/>
  <c r="P58" i="118" s="1"/>
  <c r="O16" i="118"/>
  <c r="L5" i="118"/>
  <c r="L27" i="118"/>
  <c r="L59" i="118"/>
  <c r="L69" i="118" s="1"/>
  <c r="P5" i="118"/>
  <c r="AB7" i="118"/>
  <c r="P27" i="118"/>
  <c r="AB61" i="118"/>
  <c r="AB16" i="118"/>
  <c r="AC38" i="118"/>
  <c r="AC61" i="118"/>
  <c r="AB70" i="118"/>
  <c r="O49" i="118"/>
  <c r="J26" i="118"/>
  <c r="P26" i="118" s="1"/>
  <c r="O38" i="118"/>
  <c r="L50" i="118"/>
  <c r="O50" i="118"/>
  <c r="N58" i="118"/>
  <c r="AB49" i="118"/>
  <c r="AB38" i="118"/>
  <c r="P59" i="118"/>
  <c r="AC16" i="118"/>
  <c r="O8" i="118"/>
  <c r="L70" i="116"/>
  <c r="R70" i="116" s="1"/>
  <c r="AB59" i="116"/>
  <c r="AC59" i="116"/>
  <c r="Q51" i="116"/>
  <c r="R51" i="116"/>
  <c r="N37" i="116"/>
  <c r="AC27" i="116"/>
  <c r="AB27" i="116"/>
  <c r="AB17" i="116"/>
  <c r="AC17" i="116"/>
  <c r="AC5" i="116"/>
  <c r="AC19" i="116"/>
  <c r="O19" i="116"/>
  <c r="AB19" i="116"/>
  <c r="O49" i="116"/>
  <c r="AC49" i="116"/>
  <c r="AB49" i="116"/>
  <c r="N58" i="116"/>
  <c r="AC40" i="116"/>
  <c r="AB40" i="116"/>
  <c r="O6" i="116"/>
  <c r="AB6" i="116"/>
  <c r="AC6" i="116"/>
  <c r="N15" i="116"/>
  <c r="G1" i="116"/>
  <c r="AB7" i="116"/>
  <c r="AC7" i="116"/>
  <c r="O7" i="116"/>
  <c r="O18" i="116"/>
  <c r="AC18" i="116"/>
  <c r="AB18" i="116"/>
  <c r="I1" i="116"/>
  <c r="O28" i="116"/>
  <c r="AC28" i="116"/>
  <c r="AB28" i="116"/>
  <c r="N48" i="116"/>
  <c r="N69" i="116"/>
  <c r="O60" i="116"/>
  <c r="O69" i="116" s="1"/>
  <c r="I14" i="115" s="1"/>
  <c r="AB60" i="116"/>
  <c r="AC60" i="116"/>
  <c r="J58" i="116"/>
  <c r="P58" i="116" s="1"/>
  <c r="O38" i="116"/>
  <c r="K26" i="116"/>
  <c r="L27" i="116"/>
  <c r="O50" i="116"/>
  <c r="N26" i="116"/>
  <c r="J48" i="116"/>
  <c r="P48" i="116" s="1"/>
  <c r="AB38" i="116"/>
  <c r="P59" i="116"/>
  <c r="AB61" i="116"/>
  <c r="AB16" i="116"/>
  <c r="AC38" i="116"/>
  <c r="AC61" i="116"/>
  <c r="K58" i="116"/>
  <c r="O5" i="116"/>
  <c r="O17" i="116"/>
  <c r="O26" i="116" s="1"/>
  <c r="E14" i="115" s="1"/>
  <c r="P69" i="116"/>
  <c r="P17" i="116"/>
  <c r="K48" i="116"/>
  <c r="P27" i="116"/>
  <c r="AB8" i="116"/>
  <c r="J15" i="116"/>
  <c r="P15" i="116" s="1"/>
  <c r="AC16" i="116"/>
  <c r="L5" i="116"/>
  <c r="O8" i="116"/>
  <c r="AB50" i="116"/>
  <c r="O27" i="116"/>
  <c r="L60" i="114"/>
  <c r="L38" i="114"/>
  <c r="L59" i="114"/>
  <c r="R59" i="114" s="1"/>
  <c r="K69" i="114"/>
  <c r="K79" i="114" s="1"/>
  <c r="L19" i="114"/>
  <c r="L61" i="114"/>
  <c r="R61" i="114" s="1"/>
  <c r="L5" i="114"/>
  <c r="AB59" i="114"/>
  <c r="L6" i="114"/>
  <c r="L27" i="114"/>
  <c r="L37" i="114" s="1"/>
  <c r="F13" i="113" s="1"/>
  <c r="L50" i="114"/>
  <c r="AC59" i="114"/>
  <c r="J69" i="114"/>
  <c r="J79" i="114" s="1"/>
  <c r="K48" i="114"/>
  <c r="AC39" i="114"/>
  <c r="Q30" i="114"/>
  <c r="R30" i="114"/>
  <c r="N37" i="114"/>
  <c r="L28" i="114"/>
  <c r="AB27" i="114"/>
  <c r="AC27" i="114"/>
  <c r="AC17" i="114"/>
  <c r="AB5" i="114"/>
  <c r="AC5" i="114"/>
  <c r="AB49" i="114"/>
  <c r="O49" i="114"/>
  <c r="AC49" i="114"/>
  <c r="N58" i="114"/>
  <c r="N26" i="114"/>
  <c r="O29" i="114"/>
  <c r="AC29" i="114"/>
  <c r="AB29" i="114"/>
  <c r="O6" i="114"/>
  <c r="AB6" i="114"/>
  <c r="N15" i="114"/>
  <c r="AC6" i="114"/>
  <c r="AC19" i="114"/>
  <c r="O19" i="114"/>
  <c r="AB19" i="114"/>
  <c r="AB7" i="114"/>
  <c r="O7" i="114"/>
  <c r="AC7" i="114"/>
  <c r="G1" i="114"/>
  <c r="AB18" i="114"/>
  <c r="O18" i="114"/>
  <c r="AC18" i="114"/>
  <c r="O28" i="114"/>
  <c r="AC28" i="114"/>
  <c r="AB28" i="114"/>
  <c r="N48" i="114"/>
  <c r="O60" i="114"/>
  <c r="O69" i="114" s="1"/>
  <c r="I14" i="113" s="1"/>
  <c r="J7" i="113" s="1"/>
  <c r="AC60" i="114"/>
  <c r="AB60" i="114"/>
  <c r="N69" i="114"/>
  <c r="J26" i="114"/>
  <c r="P26" i="114" s="1"/>
  <c r="O38" i="114"/>
  <c r="K58" i="114"/>
  <c r="J58" i="114"/>
  <c r="P58" i="114" s="1"/>
  <c r="K26" i="114"/>
  <c r="O5" i="114"/>
  <c r="O39" i="114"/>
  <c r="J48" i="114"/>
  <c r="P48" i="114" s="1"/>
  <c r="P59" i="114"/>
  <c r="AB61" i="114"/>
  <c r="AB16" i="114"/>
  <c r="K37" i="114"/>
  <c r="AC38" i="114"/>
  <c r="AC61" i="114"/>
  <c r="O50" i="114"/>
  <c r="O27" i="114"/>
  <c r="J37" i="114"/>
  <c r="P37" i="114" s="1"/>
  <c r="AB38" i="114"/>
  <c r="J15" i="114"/>
  <c r="P15" i="114" s="1"/>
  <c r="AC16" i="114"/>
  <c r="K15" i="114"/>
  <c r="AB50" i="114"/>
  <c r="O16" i="114"/>
  <c r="L39" i="114"/>
  <c r="M79" i="114"/>
  <c r="O17" i="114"/>
  <c r="F6" i="122" l="1"/>
  <c r="I15" i="122"/>
  <c r="R48" i="121"/>
  <c r="S38" i="121" s="1"/>
  <c r="G14" i="122"/>
  <c r="G15" i="122" s="1"/>
  <c r="R58" i="121"/>
  <c r="S49" i="121" s="1"/>
  <c r="H14" i="122"/>
  <c r="H15" i="122" s="1"/>
  <c r="R37" i="121"/>
  <c r="S27" i="121" s="1"/>
  <c r="F14" i="122"/>
  <c r="F15" i="122" s="1"/>
  <c r="R69" i="121"/>
  <c r="S59" i="121" s="1"/>
  <c r="O79" i="121"/>
  <c r="E2" i="121" s="1"/>
  <c r="Q26" i="121"/>
  <c r="R26" i="121"/>
  <c r="S16" i="121" s="1"/>
  <c r="AC79" i="121"/>
  <c r="AD70" i="121" s="1"/>
  <c r="AB79" i="121"/>
  <c r="Q79" i="121"/>
  <c r="R15" i="121"/>
  <c r="S5" i="121" s="1"/>
  <c r="Q15" i="121"/>
  <c r="R9" i="116"/>
  <c r="R16" i="116"/>
  <c r="R51" i="114"/>
  <c r="L37" i="116"/>
  <c r="F13" i="115" s="1"/>
  <c r="AC48" i="120"/>
  <c r="AD38" i="120" s="1"/>
  <c r="L58" i="116"/>
  <c r="H13" i="115" s="1"/>
  <c r="L37" i="118"/>
  <c r="F13" i="117" s="1"/>
  <c r="AB37" i="116"/>
  <c r="Q59" i="114"/>
  <c r="Q61" i="116"/>
  <c r="R59" i="116"/>
  <c r="R51" i="118"/>
  <c r="Q62" i="118"/>
  <c r="P79" i="120"/>
  <c r="P69" i="118"/>
  <c r="P79" i="118"/>
  <c r="L69" i="120"/>
  <c r="L79" i="120" s="1"/>
  <c r="J13" i="119" s="1"/>
  <c r="Q51" i="120"/>
  <c r="L58" i="114"/>
  <c r="H13" i="113" s="1"/>
  <c r="L26" i="118"/>
  <c r="E13" i="117" s="1"/>
  <c r="L58" i="120"/>
  <c r="H13" i="119" s="1"/>
  <c r="H15" i="119" s="1"/>
  <c r="P69" i="120"/>
  <c r="L79" i="118"/>
  <c r="I13" i="117"/>
  <c r="R28" i="120"/>
  <c r="L15" i="114"/>
  <c r="D13" i="113" s="1"/>
  <c r="L15" i="118"/>
  <c r="D13" i="117" s="1"/>
  <c r="D15" i="117" s="1"/>
  <c r="L69" i="116"/>
  <c r="R69" i="116" s="1"/>
  <c r="S59" i="116" s="1"/>
  <c r="L26" i="114"/>
  <c r="E13" i="113" s="1"/>
  <c r="R17" i="120"/>
  <c r="L15" i="120"/>
  <c r="D13" i="119" s="1"/>
  <c r="D15" i="119" s="1"/>
  <c r="L15" i="116"/>
  <c r="D13" i="115" s="1"/>
  <c r="H6" i="115" s="1"/>
  <c r="E15" i="115"/>
  <c r="L58" i="118"/>
  <c r="H13" i="117" s="1"/>
  <c r="Q70" i="116"/>
  <c r="L26" i="120"/>
  <c r="E13" i="119" s="1"/>
  <c r="E15" i="119" s="1"/>
  <c r="P69" i="114"/>
  <c r="Q37" i="116"/>
  <c r="Q9" i="120"/>
  <c r="L37" i="120"/>
  <c r="F13" i="119" s="1"/>
  <c r="G2" i="118"/>
  <c r="J3" i="117"/>
  <c r="G2" i="120"/>
  <c r="J3" i="119"/>
  <c r="Q48" i="120"/>
  <c r="AB48" i="120"/>
  <c r="I1" i="120"/>
  <c r="AB58" i="120"/>
  <c r="R50" i="120"/>
  <c r="Q50" i="120"/>
  <c r="O48" i="120"/>
  <c r="R38" i="120"/>
  <c r="Q38" i="120"/>
  <c r="AC15" i="120"/>
  <c r="AD5" i="120" s="1"/>
  <c r="AB15" i="120"/>
  <c r="O58" i="120"/>
  <c r="Q49" i="120"/>
  <c r="R49" i="120"/>
  <c r="R19" i="120"/>
  <c r="Q19" i="120"/>
  <c r="Q7" i="120"/>
  <c r="R7" i="120"/>
  <c r="Q61" i="120"/>
  <c r="R61" i="120"/>
  <c r="AB69" i="120"/>
  <c r="AC69" i="120"/>
  <c r="AD59" i="120" s="1"/>
  <c r="Q69" i="120"/>
  <c r="N79" i="120"/>
  <c r="R18" i="120"/>
  <c r="Q18" i="120"/>
  <c r="Q58" i="120"/>
  <c r="Q70" i="120"/>
  <c r="R70" i="120"/>
  <c r="AC58" i="120"/>
  <c r="AD49" i="120" s="1"/>
  <c r="R8" i="120"/>
  <c r="Q8" i="120"/>
  <c r="Q60" i="120"/>
  <c r="R60" i="120"/>
  <c r="R5" i="120"/>
  <c r="Q5" i="120"/>
  <c r="O15" i="120"/>
  <c r="R59" i="120"/>
  <c r="Q59" i="120"/>
  <c r="O69" i="120"/>
  <c r="Q6" i="120"/>
  <c r="R6" i="120"/>
  <c r="AB26" i="120"/>
  <c r="AC26" i="120"/>
  <c r="AD16" i="120" s="1"/>
  <c r="R16" i="120"/>
  <c r="O26" i="120"/>
  <c r="Q16" i="120"/>
  <c r="AC37" i="120"/>
  <c r="AD27" i="120" s="1"/>
  <c r="Q37" i="120"/>
  <c r="AB37" i="120"/>
  <c r="Q28" i="120"/>
  <c r="R27" i="120"/>
  <c r="Q27" i="120"/>
  <c r="O37" i="120"/>
  <c r="Q48" i="118"/>
  <c r="AC48" i="118"/>
  <c r="AD38" i="118" s="1"/>
  <c r="Q28" i="118"/>
  <c r="R28" i="118"/>
  <c r="Q37" i="118"/>
  <c r="AC37" i="118"/>
  <c r="AD27" i="118" s="1"/>
  <c r="AB37" i="118"/>
  <c r="R8" i="118"/>
  <c r="Q8" i="118"/>
  <c r="R7" i="118"/>
  <c r="Q7" i="118"/>
  <c r="R60" i="118"/>
  <c r="Q60" i="118"/>
  <c r="AB26" i="118"/>
  <c r="AC26" i="118"/>
  <c r="AD16" i="118" s="1"/>
  <c r="AC58" i="118"/>
  <c r="AD49" i="118" s="1"/>
  <c r="AB58" i="118"/>
  <c r="Q58" i="118"/>
  <c r="R18" i="118"/>
  <c r="Q18" i="118"/>
  <c r="R50" i="118"/>
  <c r="Q50" i="118"/>
  <c r="N79" i="118"/>
  <c r="AC69" i="118"/>
  <c r="AD59" i="118" s="1"/>
  <c r="AB69" i="118"/>
  <c r="Q69" i="118"/>
  <c r="I1" i="118"/>
  <c r="R59" i="118"/>
  <c r="O69" i="118"/>
  <c r="Q59" i="118"/>
  <c r="R27" i="118"/>
  <c r="O37" i="118"/>
  <c r="R37" i="118" s="1"/>
  <c r="S27" i="118" s="1"/>
  <c r="Q27" i="118"/>
  <c r="O48" i="118"/>
  <c r="Q38" i="118"/>
  <c r="R38" i="118"/>
  <c r="Q6" i="118"/>
  <c r="R6" i="118"/>
  <c r="AC15" i="118"/>
  <c r="AD5" i="118" s="1"/>
  <c r="AB15" i="118"/>
  <c r="O58" i="118"/>
  <c r="Q49" i="118"/>
  <c r="R49" i="118"/>
  <c r="R5" i="118"/>
  <c r="Q5" i="118"/>
  <c r="O15" i="118"/>
  <c r="R19" i="118"/>
  <c r="Q19" i="118"/>
  <c r="O26" i="118"/>
  <c r="E14" i="117" s="1"/>
  <c r="Q16" i="118"/>
  <c r="R16" i="118"/>
  <c r="G2" i="116"/>
  <c r="J3" i="115"/>
  <c r="O79" i="116"/>
  <c r="R26" i="116"/>
  <c r="S16" i="116" s="1"/>
  <c r="Q26" i="116"/>
  <c r="AB48" i="116"/>
  <c r="AC48" i="116"/>
  <c r="AD38" i="116" s="1"/>
  <c r="Q48" i="116"/>
  <c r="AB15" i="116"/>
  <c r="AC15" i="116"/>
  <c r="AD5" i="116" s="1"/>
  <c r="R27" i="116"/>
  <c r="Q27" i="116"/>
  <c r="O37" i="116"/>
  <c r="R28" i="116"/>
  <c r="Q28" i="116"/>
  <c r="R18" i="116"/>
  <c r="Q18" i="116"/>
  <c r="N79" i="116"/>
  <c r="AC69" i="116"/>
  <c r="AD59" i="116" s="1"/>
  <c r="Q69" i="116"/>
  <c r="AB69" i="116"/>
  <c r="AC26" i="116"/>
  <c r="AD16" i="116" s="1"/>
  <c r="AB26" i="116"/>
  <c r="Q17" i="116"/>
  <c r="R17" i="116"/>
  <c r="O15" i="116"/>
  <c r="D14" i="115" s="1"/>
  <c r="R5" i="116"/>
  <c r="Q5" i="116"/>
  <c r="AC58" i="116"/>
  <c r="AD49" i="116" s="1"/>
  <c r="AB58" i="116"/>
  <c r="Q58" i="116"/>
  <c r="Q8" i="116"/>
  <c r="R8" i="116"/>
  <c r="R7" i="116"/>
  <c r="Q7" i="116"/>
  <c r="Q19" i="116"/>
  <c r="R19" i="116"/>
  <c r="Q50" i="116"/>
  <c r="R50" i="116"/>
  <c r="Q6" i="116"/>
  <c r="R6" i="116"/>
  <c r="O48" i="116"/>
  <c r="Q38" i="116"/>
  <c r="R38" i="116"/>
  <c r="R49" i="116"/>
  <c r="Q49" i="116"/>
  <c r="O58" i="116"/>
  <c r="R60" i="116"/>
  <c r="Q60" i="116"/>
  <c r="AC37" i="114"/>
  <c r="AD27" i="114" s="1"/>
  <c r="Q61" i="114"/>
  <c r="L69" i="114"/>
  <c r="P79" i="114"/>
  <c r="L48" i="114"/>
  <c r="G13" i="113" s="1"/>
  <c r="AB37" i="114"/>
  <c r="Q37" i="114"/>
  <c r="G2" i="114"/>
  <c r="J3" i="113"/>
  <c r="O79" i="114"/>
  <c r="AC26" i="114"/>
  <c r="AD16" i="114" s="1"/>
  <c r="AB26" i="114"/>
  <c r="Q19" i="114"/>
  <c r="R19" i="114"/>
  <c r="AB48" i="114"/>
  <c r="AC48" i="114"/>
  <c r="AD38" i="114" s="1"/>
  <c r="Q48" i="114"/>
  <c r="R49" i="114"/>
  <c r="Q49" i="114"/>
  <c r="O58" i="114"/>
  <c r="R17" i="114"/>
  <c r="Q17" i="114"/>
  <c r="R39" i="114"/>
  <c r="Q39" i="114"/>
  <c r="AB15" i="114"/>
  <c r="AC15" i="114"/>
  <c r="AD5" i="114" s="1"/>
  <c r="R27" i="114"/>
  <c r="Q27" i="114"/>
  <c r="O37" i="114"/>
  <c r="Q7" i="114"/>
  <c r="R7" i="114"/>
  <c r="AC58" i="114"/>
  <c r="AD49" i="114" s="1"/>
  <c r="AB58" i="114"/>
  <c r="Q58" i="114"/>
  <c r="R60" i="114"/>
  <c r="Q60" i="114"/>
  <c r="R18" i="114"/>
  <c r="Q18" i="114"/>
  <c r="O15" i="114"/>
  <c r="D14" i="113" s="1"/>
  <c r="Q5" i="114"/>
  <c r="R5" i="114"/>
  <c r="Q50" i="114"/>
  <c r="R50" i="114"/>
  <c r="R28" i="114"/>
  <c r="Q28" i="114"/>
  <c r="Q6" i="114"/>
  <c r="R6" i="114"/>
  <c r="I1" i="114"/>
  <c r="R16" i="114"/>
  <c r="O26" i="114"/>
  <c r="E14" i="113" s="1"/>
  <c r="Q16" i="114"/>
  <c r="Q38" i="114"/>
  <c r="O48" i="114"/>
  <c r="R38" i="114"/>
  <c r="N79" i="114"/>
  <c r="AC69" i="114"/>
  <c r="AD59" i="114" s="1"/>
  <c r="AB69" i="114"/>
  <c r="Q69" i="114"/>
  <c r="R29" i="114"/>
  <c r="Q29" i="114"/>
  <c r="R79" i="121" l="1"/>
  <c r="S70" i="121" s="1"/>
  <c r="J14" i="122"/>
  <c r="F7" i="122" s="1"/>
  <c r="H8" i="122"/>
  <c r="H7" i="122"/>
  <c r="F15" i="117"/>
  <c r="E15" i="117"/>
  <c r="R58" i="120"/>
  <c r="S49" i="120" s="1"/>
  <c r="H6" i="113"/>
  <c r="I13" i="119"/>
  <c r="R58" i="118"/>
  <c r="S49" i="118" s="1"/>
  <c r="H6" i="117"/>
  <c r="F6" i="119"/>
  <c r="E15" i="113"/>
  <c r="H6" i="119"/>
  <c r="J6" i="119"/>
  <c r="I15" i="119"/>
  <c r="L79" i="116"/>
  <c r="J13" i="115" s="1"/>
  <c r="I13" i="115"/>
  <c r="F6" i="117"/>
  <c r="J6" i="117"/>
  <c r="I15" i="117"/>
  <c r="J8" i="117" s="1"/>
  <c r="R48" i="118"/>
  <c r="S38" i="118" s="1"/>
  <c r="G14" i="117"/>
  <c r="G15" i="117" s="1"/>
  <c r="R48" i="120"/>
  <c r="S38" i="120" s="1"/>
  <c r="G14" i="119"/>
  <c r="G15" i="119" s="1"/>
  <c r="R37" i="120"/>
  <c r="S27" i="120" s="1"/>
  <c r="F14" i="119"/>
  <c r="R15" i="120"/>
  <c r="S5" i="120" s="1"/>
  <c r="Q15" i="120"/>
  <c r="O79" i="120"/>
  <c r="R69" i="120"/>
  <c r="S59" i="120" s="1"/>
  <c r="AC79" i="120"/>
  <c r="AD70" i="120" s="1"/>
  <c r="AB79" i="120"/>
  <c r="Q79" i="120"/>
  <c r="R26" i="120"/>
  <c r="S16" i="120" s="1"/>
  <c r="Q26" i="120"/>
  <c r="H7" i="117"/>
  <c r="F7" i="117"/>
  <c r="H15" i="117"/>
  <c r="AC79" i="118"/>
  <c r="AD70" i="118" s="1"/>
  <c r="AB79" i="118"/>
  <c r="Q79" i="118"/>
  <c r="Q15" i="118"/>
  <c r="R15" i="118"/>
  <c r="S5" i="118" s="1"/>
  <c r="O79" i="118"/>
  <c r="R79" i="118" s="1"/>
  <c r="S70" i="118" s="1"/>
  <c r="R69" i="118"/>
  <c r="S59" i="118" s="1"/>
  <c r="R26" i="118"/>
  <c r="S16" i="118" s="1"/>
  <c r="Q26" i="118"/>
  <c r="J14" i="115"/>
  <c r="R58" i="116"/>
  <c r="S49" i="116" s="1"/>
  <c r="H14" i="115"/>
  <c r="H15" i="115" s="1"/>
  <c r="R48" i="116"/>
  <c r="S38" i="116" s="1"/>
  <c r="G14" i="115"/>
  <c r="G15" i="115" s="1"/>
  <c r="R37" i="116"/>
  <c r="S27" i="116" s="1"/>
  <c r="F14" i="115"/>
  <c r="F15" i="115" s="1"/>
  <c r="D15" i="115"/>
  <c r="AC79" i="116"/>
  <c r="AD70" i="116" s="1"/>
  <c r="AB79" i="116"/>
  <c r="Q79" i="116"/>
  <c r="Q15" i="116"/>
  <c r="E2" i="116"/>
  <c r="R15" i="116"/>
  <c r="S5" i="116" s="1"/>
  <c r="L79" i="114"/>
  <c r="R79" i="114" s="1"/>
  <c r="S70" i="114" s="1"/>
  <c r="I13" i="113"/>
  <c r="R58" i="114"/>
  <c r="S49" i="114" s="1"/>
  <c r="H14" i="113"/>
  <c r="H15" i="113" s="1"/>
  <c r="R69" i="114"/>
  <c r="S59" i="114" s="1"/>
  <c r="R48" i="114"/>
  <c r="S38" i="114" s="1"/>
  <c r="G14" i="113"/>
  <c r="G15" i="113" s="1"/>
  <c r="R37" i="114"/>
  <c r="S27" i="114" s="1"/>
  <c r="F14" i="113"/>
  <c r="F15" i="113" s="1"/>
  <c r="D15" i="113"/>
  <c r="AC79" i="114"/>
  <c r="AD70" i="114" s="1"/>
  <c r="AB79" i="114"/>
  <c r="Q79" i="114"/>
  <c r="R15" i="114"/>
  <c r="S5" i="114" s="1"/>
  <c r="E2" i="114"/>
  <c r="Q15" i="114"/>
  <c r="R26" i="114"/>
  <c r="S16" i="114" s="1"/>
  <c r="Q26" i="114"/>
  <c r="J15" i="122" l="1"/>
  <c r="J7" i="122"/>
  <c r="J6" i="115"/>
  <c r="F6" i="115"/>
  <c r="I15" i="115"/>
  <c r="R79" i="116"/>
  <c r="S70" i="116" s="1"/>
  <c r="R79" i="120"/>
  <c r="S70" i="120" s="1"/>
  <c r="J14" i="119"/>
  <c r="F15" i="119"/>
  <c r="H7" i="119"/>
  <c r="E2" i="120"/>
  <c r="H8" i="117"/>
  <c r="F8" i="117"/>
  <c r="E2" i="118"/>
  <c r="J15" i="115"/>
  <c r="J7" i="115"/>
  <c r="F7" i="115"/>
  <c r="H7" i="115"/>
  <c r="H8" i="115"/>
  <c r="J6" i="113"/>
  <c r="I15" i="113"/>
  <c r="J8" i="113" s="1"/>
  <c r="F6" i="113"/>
  <c r="F7" i="113"/>
  <c r="H7" i="113"/>
  <c r="H8" i="113"/>
  <c r="F8" i="113"/>
  <c r="F8" i="122" l="1"/>
  <c r="J8" i="122"/>
  <c r="J8" i="115"/>
  <c r="J15" i="119"/>
  <c r="J8" i="119" s="1"/>
  <c r="J7" i="119"/>
  <c r="F7" i="119"/>
  <c r="H8" i="119"/>
  <c r="F8" i="115"/>
  <c r="F8" i="119" l="1"/>
  <c r="I18" i="112"/>
  <c r="G18" i="112"/>
  <c r="F18" i="112"/>
  <c r="E18" i="112"/>
  <c r="D18" i="112"/>
  <c r="I16" i="112"/>
  <c r="H16" i="112"/>
  <c r="G16" i="112"/>
  <c r="E16" i="112"/>
  <c r="D16" i="112"/>
  <c r="W78" i="111"/>
  <c r="H78" i="111"/>
  <c r="W77" i="111"/>
  <c r="H77" i="111"/>
  <c r="W76" i="111"/>
  <c r="H76" i="111"/>
  <c r="W75" i="111"/>
  <c r="H75" i="111"/>
  <c r="W74" i="111"/>
  <c r="H74" i="111"/>
  <c r="W73" i="111"/>
  <c r="W72" i="111"/>
  <c r="W71" i="111"/>
  <c r="W70" i="111"/>
  <c r="M69" i="111"/>
  <c r="M79" i="111" s="1"/>
  <c r="W68" i="111"/>
  <c r="H68" i="111"/>
  <c r="W67" i="111"/>
  <c r="H67" i="111"/>
  <c r="W66" i="111"/>
  <c r="H66" i="111"/>
  <c r="W65" i="111"/>
  <c r="H65" i="111"/>
  <c r="W64" i="111"/>
  <c r="H64" i="111"/>
  <c r="W63" i="111"/>
  <c r="W62" i="111"/>
  <c r="W61" i="111"/>
  <c r="N61" i="111" s="1"/>
  <c r="V61" i="111"/>
  <c r="K61" i="111"/>
  <c r="J61" i="111"/>
  <c r="P61" i="111" s="1"/>
  <c r="F61" i="111"/>
  <c r="H61" i="111" s="1"/>
  <c r="B61" i="111"/>
  <c r="W60" i="111"/>
  <c r="N60" i="111" s="1"/>
  <c r="O60" i="111" s="1"/>
  <c r="V60" i="111"/>
  <c r="K60" i="111"/>
  <c r="J60" i="111"/>
  <c r="F60" i="111"/>
  <c r="H60" i="111" s="1"/>
  <c r="B60" i="111"/>
  <c r="W59" i="111"/>
  <c r="N59" i="111" s="1"/>
  <c r="K59" i="111"/>
  <c r="J59" i="111"/>
  <c r="P59" i="111" s="1"/>
  <c r="F59" i="111"/>
  <c r="H59" i="111" s="1"/>
  <c r="B59" i="111"/>
  <c r="M58" i="111"/>
  <c r="W57" i="111"/>
  <c r="H57" i="111"/>
  <c r="W56" i="111"/>
  <c r="H56" i="111"/>
  <c r="W55" i="111"/>
  <c r="H55" i="111"/>
  <c r="W54" i="111"/>
  <c r="H54" i="111"/>
  <c r="W53" i="111"/>
  <c r="H53" i="111"/>
  <c r="W52" i="111"/>
  <c r="W51" i="111"/>
  <c r="N51" i="111" s="1"/>
  <c r="O51" i="111" s="1"/>
  <c r="W50" i="111"/>
  <c r="V50" i="111"/>
  <c r="N50" i="111"/>
  <c r="O50" i="111" s="1"/>
  <c r="K50" i="111"/>
  <c r="J50" i="111"/>
  <c r="P50" i="111" s="1"/>
  <c r="F50" i="111"/>
  <c r="H50" i="111" s="1"/>
  <c r="B50" i="111"/>
  <c r="W49" i="111"/>
  <c r="N49" i="111" s="1"/>
  <c r="O49" i="111" s="1"/>
  <c r="K49" i="111"/>
  <c r="J49" i="111"/>
  <c r="J58" i="111" s="1"/>
  <c r="F49" i="111"/>
  <c r="H49" i="111" s="1"/>
  <c r="B49" i="111"/>
  <c r="W48" i="111"/>
  <c r="M48" i="111"/>
  <c r="W47" i="111"/>
  <c r="H47" i="111"/>
  <c r="W46" i="111"/>
  <c r="H46" i="111"/>
  <c r="W45" i="111"/>
  <c r="H45" i="111"/>
  <c r="W44" i="111"/>
  <c r="H44" i="111"/>
  <c r="W43" i="111"/>
  <c r="H43" i="111"/>
  <c r="W42" i="111"/>
  <c r="H42" i="111"/>
  <c r="W41" i="111"/>
  <c r="W40" i="111"/>
  <c r="W39" i="111"/>
  <c r="V39" i="111"/>
  <c r="N39" i="111"/>
  <c r="K39" i="111"/>
  <c r="J39" i="111"/>
  <c r="P39" i="111" s="1"/>
  <c r="F39" i="111"/>
  <c r="H39" i="111" s="1"/>
  <c r="B39" i="111"/>
  <c r="W38" i="111"/>
  <c r="N38" i="111" s="1"/>
  <c r="K38" i="111"/>
  <c r="J38" i="111"/>
  <c r="P38" i="111" s="1"/>
  <c r="F38" i="111"/>
  <c r="H38" i="111" s="1"/>
  <c r="C38" i="111"/>
  <c r="M37" i="111"/>
  <c r="W36" i="111"/>
  <c r="H36" i="111"/>
  <c r="W35" i="111"/>
  <c r="H35" i="111"/>
  <c r="W34" i="111"/>
  <c r="H34" i="111"/>
  <c r="W33" i="111"/>
  <c r="H33" i="111"/>
  <c r="W32" i="111"/>
  <c r="H32" i="111"/>
  <c r="W31" i="111"/>
  <c r="W30" i="111"/>
  <c r="W29" i="111"/>
  <c r="N29" i="111" s="1"/>
  <c r="O29" i="111" s="1"/>
  <c r="V29" i="111"/>
  <c r="P29" i="111"/>
  <c r="L29" i="111"/>
  <c r="F29" i="111"/>
  <c r="H29" i="111" s="1"/>
  <c r="B29" i="111"/>
  <c r="W28" i="111"/>
  <c r="N28" i="111" s="1"/>
  <c r="O28" i="111" s="1"/>
  <c r="V28" i="111"/>
  <c r="J28" i="111"/>
  <c r="P28" i="111" s="1"/>
  <c r="F28" i="111"/>
  <c r="H28" i="111" s="1"/>
  <c r="B28" i="111"/>
  <c r="W27" i="111"/>
  <c r="N27" i="111"/>
  <c r="O27" i="111" s="1"/>
  <c r="K27" i="111"/>
  <c r="J27" i="111"/>
  <c r="P27" i="111" s="1"/>
  <c r="F27" i="111"/>
  <c r="H27" i="111" s="1"/>
  <c r="M26" i="111"/>
  <c r="W25" i="111"/>
  <c r="H25" i="111"/>
  <c r="W24" i="111"/>
  <c r="H24" i="111"/>
  <c r="W23" i="111"/>
  <c r="H23" i="111"/>
  <c r="H22" i="111"/>
  <c r="H21" i="111"/>
  <c r="W19" i="111"/>
  <c r="N19" i="111" s="1"/>
  <c r="V19" i="111"/>
  <c r="K19" i="111"/>
  <c r="J19" i="111"/>
  <c r="P19" i="111" s="1"/>
  <c r="F19" i="111"/>
  <c r="H19" i="111" s="1"/>
  <c r="W18" i="111"/>
  <c r="V18" i="111"/>
  <c r="N18" i="111"/>
  <c r="O18" i="111" s="1"/>
  <c r="K18" i="111"/>
  <c r="J18" i="111"/>
  <c r="P18" i="111" s="1"/>
  <c r="F18" i="111"/>
  <c r="H18" i="111" s="1"/>
  <c r="W17" i="111"/>
  <c r="V17" i="111"/>
  <c r="N17" i="111"/>
  <c r="O17" i="111" s="1"/>
  <c r="K17" i="111"/>
  <c r="J17" i="111"/>
  <c r="P17" i="111" s="1"/>
  <c r="F17" i="111"/>
  <c r="H17" i="111" s="1"/>
  <c r="W16" i="111"/>
  <c r="N16" i="111" s="1"/>
  <c r="K16" i="111"/>
  <c r="J16" i="111"/>
  <c r="P16" i="111" s="1"/>
  <c r="F16" i="111"/>
  <c r="H16" i="111" s="1"/>
  <c r="M15" i="111"/>
  <c r="W14" i="111"/>
  <c r="H14" i="111"/>
  <c r="W13" i="111"/>
  <c r="H13" i="111"/>
  <c r="W12" i="111"/>
  <c r="H12" i="111"/>
  <c r="W11" i="111"/>
  <c r="H11" i="111"/>
  <c r="W10" i="111"/>
  <c r="W9" i="111"/>
  <c r="W8" i="111"/>
  <c r="N8" i="111" s="1"/>
  <c r="O8" i="111" s="1"/>
  <c r="V8" i="111"/>
  <c r="K8" i="111"/>
  <c r="J8" i="111"/>
  <c r="P8" i="111" s="1"/>
  <c r="F8" i="111"/>
  <c r="H8" i="111" s="1"/>
  <c r="B8" i="111"/>
  <c r="W7" i="111"/>
  <c r="N7" i="111" s="1"/>
  <c r="O7" i="111" s="1"/>
  <c r="V7" i="111"/>
  <c r="K7" i="111"/>
  <c r="J7" i="111"/>
  <c r="P7" i="111" s="1"/>
  <c r="F7" i="111"/>
  <c r="H7" i="111" s="1"/>
  <c r="B7" i="111"/>
  <c r="W6" i="111"/>
  <c r="V6" i="111"/>
  <c r="N6" i="111"/>
  <c r="O6" i="111" s="1"/>
  <c r="K6" i="111"/>
  <c r="J6" i="111"/>
  <c r="F6" i="111"/>
  <c r="H6" i="111" s="1"/>
  <c r="B6" i="111"/>
  <c r="W5" i="111"/>
  <c r="N5" i="111" s="1"/>
  <c r="O5" i="111" s="1"/>
  <c r="K5" i="111"/>
  <c r="J5" i="111"/>
  <c r="P5" i="111" s="1"/>
  <c r="F5" i="111"/>
  <c r="H5" i="111" s="1"/>
  <c r="B5" i="111"/>
  <c r="I2" i="111"/>
  <c r="E1" i="111"/>
  <c r="G3" i="112" s="1"/>
  <c r="O79" i="110"/>
  <c r="N79" i="110"/>
  <c r="M79" i="110"/>
  <c r="K27" i="110"/>
  <c r="J27" i="110"/>
  <c r="K70" i="110"/>
  <c r="J70" i="110"/>
  <c r="P70" i="110" s="1"/>
  <c r="F70" i="110"/>
  <c r="H70" i="110" s="1"/>
  <c r="B70" i="110"/>
  <c r="L5" i="111" l="1"/>
  <c r="L39" i="111"/>
  <c r="AB61" i="111"/>
  <c r="L17" i="111"/>
  <c r="Q17" i="111" s="1"/>
  <c r="L19" i="111"/>
  <c r="Q19" i="111" s="1"/>
  <c r="L49" i="111"/>
  <c r="R49" i="111" s="1"/>
  <c r="L70" i="110"/>
  <c r="AB16" i="111"/>
  <c r="L59" i="111"/>
  <c r="L61" i="111"/>
  <c r="L50" i="111"/>
  <c r="R50" i="111" s="1"/>
  <c r="AB38" i="111"/>
  <c r="J48" i="111"/>
  <c r="P48" i="111" s="1"/>
  <c r="L18" i="111"/>
  <c r="R18" i="111" s="1"/>
  <c r="L38" i="111"/>
  <c r="L8" i="111"/>
  <c r="Q8" i="111" s="1"/>
  <c r="K15" i="111"/>
  <c r="AC60" i="111"/>
  <c r="I1" i="111"/>
  <c r="R51" i="111"/>
  <c r="Q51" i="111"/>
  <c r="N58" i="111"/>
  <c r="H18" i="112"/>
  <c r="P58" i="111"/>
  <c r="K37" i="111"/>
  <c r="O19" i="111"/>
  <c r="AB19" i="111"/>
  <c r="AC19" i="111"/>
  <c r="AC6" i="111"/>
  <c r="AB7" i="111"/>
  <c r="AC7" i="111"/>
  <c r="AB6" i="111"/>
  <c r="Q5" i="111"/>
  <c r="R5" i="111"/>
  <c r="O58" i="111"/>
  <c r="H14" i="112" s="1"/>
  <c r="G1" i="111"/>
  <c r="AB40" i="111"/>
  <c r="J26" i="111"/>
  <c r="P26" i="111" s="1"/>
  <c r="R29" i="111"/>
  <c r="Q29" i="111"/>
  <c r="AC40" i="111"/>
  <c r="L28" i="111"/>
  <c r="Q28" i="111" s="1"/>
  <c r="AC29" i="111"/>
  <c r="AB62" i="111"/>
  <c r="AB29" i="111"/>
  <c r="J69" i="111"/>
  <c r="P60" i="111"/>
  <c r="K26" i="111"/>
  <c r="O61" i="111"/>
  <c r="AC61" i="111"/>
  <c r="L7" i="111"/>
  <c r="R7" i="111" s="1"/>
  <c r="K69" i="111"/>
  <c r="K79" i="111" s="1"/>
  <c r="K48" i="111"/>
  <c r="L6" i="111"/>
  <c r="R6" i="111" s="1"/>
  <c r="L27" i="111"/>
  <c r="AB28" i="111"/>
  <c r="N69" i="111"/>
  <c r="AC59" i="111"/>
  <c r="AB59" i="111"/>
  <c r="AB60" i="111"/>
  <c r="N15" i="111"/>
  <c r="AC5" i="111"/>
  <c r="AB5" i="111"/>
  <c r="AC8" i="111"/>
  <c r="AB8" i="111"/>
  <c r="O16" i="111"/>
  <c r="AC16" i="111"/>
  <c r="AB27" i="111"/>
  <c r="N37" i="111"/>
  <c r="AC27" i="111"/>
  <c r="AC28" i="111"/>
  <c r="AB49" i="111"/>
  <c r="O59" i="111"/>
  <c r="AB39" i="111"/>
  <c r="AC39" i="111"/>
  <c r="AC18" i="111"/>
  <c r="AB18" i="111"/>
  <c r="N26" i="111"/>
  <c r="O39" i="111"/>
  <c r="AB17" i="111"/>
  <c r="AC17" i="111"/>
  <c r="AC50" i="111"/>
  <c r="AB50" i="111"/>
  <c r="L60" i="111"/>
  <c r="P6" i="111"/>
  <c r="J15" i="111"/>
  <c r="P15" i="111" s="1"/>
  <c r="J37" i="111"/>
  <c r="P37" i="111" s="1"/>
  <c r="O38" i="111"/>
  <c r="N48" i="111"/>
  <c r="AC38" i="111"/>
  <c r="O15" i="111"/>
  <c r="D14" i="112" s="1"/>
  <c r="O37" i="111"/>
  <c r="F14" i="112" s="1"/>
  <c r="AC49" i="111"/>
  <c r="L16" i="111"/>
  <c r="P49" i="111"/>
  <c r="K58" i="111"/>
  <c r="W78" i="110"/>
  <c r="H78" i="110"/>
  <c r="W77" i="110"/>
  <c r="H77" i="110"/>
  <c r="W76" i="110"/>
  <c r="H76" i="110"/>
  <c r="W75" i="110"/>
  <c r="H75" i="110"/>
  <c r="W74" i="110"/>
  <c r="H74" i="110"/>
  <c r="W73" i="110"/>
  <c r="W72" i="110"/>
  <c r="W71" i="110"/>
  <c r="W70" i="110"/>
  <c r="N70" i="110" s="1"/>
  <c r="O70" i="110" s="1"/>
  <c r="M69" i="110"/>
  <c r="W68" i="110"/>
  <c r="H68" i="110"/>
  <c r="W67" i="110"/>
  <c r="H67" i="110"/>
  <c r="W66" i="110"/>
  <c r="H66" i="110"/>
  <c r="W65" i="110"/>
  <c r="H65" i="110"/>
  <c r="W64" i="110"/>
  <c r="H64" i="110"/>
  <c r="W63" i="110"/>
  <c r="W62" i="110"/>
  <c r="N62" i="110" s="1"/>
  <c r="V62" i="110"/>
  <c r="K62" i="110"/>
  <c r="J62" i="110"/>
  <c r="P62" i="110" s="1"/>
  <c r="F62" i="110"/>
  <c r="H62" i="110" s="1"/>
  <c r="B62" i="110"/>
  <c r="W61" i="110"/>
  <c r="N61" i="110" s="1"/>
  <c r="V61" i="110"/>
  <c r="K61" i="110"/>
  <c r="J61" i="110"/>
  <c r="P61" i="110" s="1"/>
  <c r="F61" i="110"/>
  <c r="H61" i="110" s="1"/>
  <c r="B61" i="110"/>
  <c r="W60" i="110"/>
  <c r="N60" i="110" s="1"/>
  <c r="V60" i="110"/>
  <c r="K60" i="110"/>
  <c r="J60" i="110"/>
  <c r="P60" i="110" s="1"/>
  <c r="F60" i="110"/>
  <c r="H60" i="110" s="1"/>
  <c r="B60" i="110"/>
  <c r="W59" i="110"/>
  <c r="N59" i="110" s="1"/>
  <c r="K59" i="110"/>
  <c r="J59" i="110"/>
  <c r="P59" i="110" s="1"/>
  <c r="F59" i="110"/>
  <c r="H59" i="110" s="1"/>
  <c r="B59" i="110"/>
  <c r="M58" i="110"/>
  <c r="W57" i="110"/>
  <c r="H57" i="110"/>
  <c r="W56" i="110"/>
  <c r="H56" i="110"/>
  <c r="W55" i="110"/>
  <c r="H55" i="110"/>
  <c r="W54" i="110"/>
  <c r="H54" i="110"/>
  <c r="W53" i="110"/>
  <c r="H53" i="110"/>
  <c r="W52" i="110"/>
  <c r="W51" i="110"/>
  <c r="W50" i="110"/>
  <c r="N50" i="110" s="1"/>
  <c r="V50" i="110"/>
  <c r="K50" i="110"/>
  <c r="J50" i="110"/>
  <c r="L50" i="110" s="1"/>
  <c r="F50" i="110"/>
  <c r="H50" i="110" s="1"/>
  <c r="B50" i="110"/>
  <c r="W49" i="110"/>
  <c r="N49" i="110" s="1"/>
  <c r="K49" i="110"/>
  <c r="J49" i="110"/>
  <c r="P49" i="110" s="1"/>
  <c r="F49" i="110"/>
  <c r="H49" i="110" s="1"/>
  <c r="B49" i="110"/>
  <c r="W48" i="110"/>
  <c r="M48" i="110"/>
  <c r="G18" i="109" s="1"/>
  <c r="W47" i="110"/>
  <c r="H47" i="110"/>
  <c r="W46" i="110"/>
  <c r="H46" i="110"/>
  <c r="W45" i="110"/>
  <c r="H45" i="110"/>
  <c r="W44" i="110"/>
  <c r="H44" i="110"/>
  <c r="W43" i="110"/>
  <c r="H43" i="110"/>
  <c r="W42" i="110"/>
  <c r="H42" i="110"/>
  <c r="W41" i="110"/>
  <c r="W40" i="110"/>
  <c r="V40" i="110"/>
  <c r="N40" i="110"/>
  <c r="O40" i="110" s="1"/>
  <c r="K40" i="110"/>
  <c r="J40" i="110"/>
  <c r="P40" i="110" s="1"/>
  <c r="F40" i="110"/>
  <c r="H40" i="110" s="1"/>
  <c r="B40" i="110"/>
  <c r="W39" i="110"/>
  <c r="N39" i="110" s="1"/>
  <c r="O39" i="110" s="1"/>
  <c r="V39" i="110"/>
  <c r="K39" i="110"/>
  <c r="J39" i="110"/>
  <c r="P39" i="110" s="1"/>
  <c r="F39" i="110"/>
  <c r="H39" i="110" s="1"/>
  <c r="B39" i="110"/>
  <c r="W38" i="110"/>
  <c r="N38" i="110" s="1"/>
  <c r="K38" i="110"/>
  <c r="J38" i="110"/>
  <c r="P38" i="110" s="1"/>
  <c r="F38" i="110"/>
  <c r="H38" i="110" s="1"/>
  <c r="C38" i="110"/>
  <c r="M37" i="110"/>
  <c r="W36" i="110"/>
  <c r="H36" i="110"/>
  <c r="W35" i="110"/>
  <c r="H35" i="110"/>
  <c r="W34" i="110"/>
  <c r="H34" i="110"/>
  <c r="W33" i="110"/>
  <c r="H33" i="110"/>
  <c r="W32" i="110"/>
  <c r="H32" i="110"/>
  <c r="W31" i="110"/>
  <c r="W30" i="110"/>
  <c r="W29" i="110"/>
  <c r="N29" i="110" s="1"/>
  <c r="V29" i="110"/>
  <c r="P29" i="110"/>
  <c r="L29" i="110"/>
  <c r="F29" i="110"/>
  <c r="H29" i="110" s="1"/>
  <c r="B29" i="110"/>
  <c r="W28" i="110"/>
  <c r="N28" i="110" s="1"/>
  <c r="V28" i="110"/>
  <c r="K28" i="110"/>
  <c r="K37" i="110" s="1"/>
  <c r="J28" i="110"/>
  <c r="J37" i="110" s="1"/>
  <c r="F28" i="110"/>
  <c r="H28" i="110" s="1"/>
  <c r="B28" i="110"/>
  <c r="W27" i="110"/>
  <c r="P27" i="110"/>
  <c r="N27" i="110"/>
  <c r="AC27" i="110" s="1"/>
  <c r="L27" i="110"/>
  <c r="F27" i="110"/>
  <c r="H27" i="110" s="1"/>
  <c r="M26" i="110"/>
  <c r="E18" i="109" s="1"/>
  <c r="W25" i="110"/>
  <c r="H25" i="110"/>
  <c r="W24" i="110"/>
  <c r="H24" i="110"/>
  <c r="W23" i="110"/>
  <c r="H23" i="110"/>
  <c r="H22" i="110"/>
  <c r="H21" i="110"/>
  <c r="W19" i="110"/>
  <c r="N19" i="110" s="1"/>
  <c r="V19" i="110"/>
  <c r="K19" i="110"/>
  <c r="J19" i="110"/>
  <c r="P19" i="110" s="1"/>
  <c r="F19" i="110"/>
  <c r="H19" i="110" s="1"/>
  <c r="W18" i="110"/>
  <c r="N18" i="110" s="1"/>
  <c r="V18" i="110"/>
  <c r="K18" i="110"/>
  <c r="J18" i="110"/>
  <c r="P18" i="110" s="1"/>
  <c r="F18" i="110"/>
  <c r="H18" i="110" s="1"/>
  <c r="W17" i="110"/>
  <c r="V17" i="110"/>
  <c r="N17" i="110"/>
  <c r="K17" i="110"/>
  <c r="J17" i="110"/>
  <c r="P17" i="110" s="1"/>
  <c r="F17" i="110"/>
  <c r="H17" i="110" s="1"/>
  <c r="W16" i="110"/>
  <c r="N16" i="110" s="1"/>
  <c r="K16" i="110"/>
  <c r="J16" i="110"/>
  <c r="P16" i="110" s="1"/>
  <c r="F16" i="110"/>
  <c r="H16" i="110" s="1"/>
  <c r="M15" i="110"/>
  <c r="D18" i="109" s="1"/>
  <c r="W14" i="110"/>
  <c r="H14" i="110"/>
  <c r="W13" i="110"/>
  <c r="H13" i="110"/>
  <c r="W12" i="110"/>
  <c r="H12" i="110"/>
  <c r="W11" i="110"/>
  <c r="H11" i="110"/>
  <c r="W10" i="110"/>
  <c r="W9" i="110"/>
  <c r="W8" i="110"/>
  <c r="N8" i="110" s="1"/>
  <c r="V8" i="110"/>
  <c r="K8" i="110"/>
  <c r="J8" i="110"/>
  <c r="P8" i="110" s="1"/>
  <c r="F8" i="110"/>
  <c r="H8" i="110" s="1"/>
  <c r="B8" i="110"/>
  <c r="W7" i="110"/>
  <c r="N7" i="110" s="1"/>
  <c r="V7" i="110"/>
  <c r="K7" i="110"/>
  <c r="J7" i="110"/>
  <c r="F7" i="110"/>
  <c r="H7" i="110" s="1"/>
  <c r="B7" i="110"/>
  <c r="W6" i="110"/>
  <c r="N6" i="110" s="1"/>
  <c r="V6" i="110"/>
  <c r="K6" i="110"/>
  <c r="J6" i="110"/>
  <c r="P6" i="110" s="1"/>
  <c r="F6" i="110"/>
  <c r="H6" i="110" s="1"/>
  <c r="B6" i="110"/>
  <c r="W5" i="110"/>
  <c r="N5" i="110"/>
  <c r="K5" i="110"/>
  <c r="J5" i="110"/>
  <c r="P5" i="110" s="1"/>
  <c r="F5" i="110"/>
  <c r="H5" i="110" s="1"/>
  <c r="B5" i="110"/>
  <c r="I2" i="110"/>
  <c r="E1" i="110"/>
  <c r="G3" i="109" s="1"/>
  <c r="I16" i="109"/>
  <c r="H16" i="109"/>
  <c r="G16" i="109"/>
  <c r="F16" i="109"/>
  <c r="E16" i="109"/>
  <c r="D16" i="109"/>
  <c r="I18" i="107"/>
  <c r="G18" i="107"/>
  <c r="E18" i="107"/>
  <c r="I16" i="107"/>
  <c r="H16" i="107"/>
  <c r="G16" i="107"/>
  <c r="F16" i="107"/>
  <c r="E16" i="107"/>
  <c r="D16" i="107"/>
  <c r="I14" i="107"/>
  <c r="E14" i="107"/>
  <c r="I18" i="105"/>
  <c r="H18" i="105"/>
  <c r="G18" i="105"/>
  <c r="F18" i="105"/>
  <c r="E18" i="105"/>
  <c r="D18" i="105"/>
  <c r="G3" i="105"/>
  <c r="G3" i="107"/>
  <c r="N62" i="108"/>
  <c r="O62" i="108" s="1"/>
  <c r="K62" i="108"/>
  <c r="J62" i="108"/>
  <c r="P62" i="108" s="1"/>
  <c r="F62" i="108"/>
  <c r="H62" i="108" s="1"/>
  <c r="B62" i="108"/>
  <c r="V9" i="108"/>
  <c r="B9" i="108"/>
  <c r="F9" i="108"/>
  <c r="H9" i="108" s="1"/>
  <c r="J9" i="108"/>
  <c r="K9" i="108"/>
  <c r="N9" i="108"/>
  <c r="O9" i="108" s="1"/>
  <c r="W78" i="108"/>
  <c r="H78" i="108"/>
  <c r="W77" i="108"/>
  <c r="H77" i="108"/>
  <c r="W76" i="108"/>
  <c r="H76" i="108"/>
  <c r="W75" i="108"/>
  <c r="H75" i="108"/>
  <c r="W74" i="108"/>
  <c r="H74" i="108"/>
  <c r="W73" i="108"/>
  <c r="W72" i="108"/>
  <c r="W71" i="108"/>
  <c r="AD70" i="108"/>
  <c r="W70" i="108"/>
  <c r="S70" i="108"/>
  <c r="M69" i="108"/>
  <c r="W68" i="108"/>
  <c r="H68" i="108"/>
  <c r="W67" i="108"/>
  <c r="H67" i="108"/>
  <c r="W66" i="108"/>
  <c r="H66" i="108"/>
  <c r="W65" i="108"/>
  <c r="H65" i="108"/>
  <c r="W64" i="108"/>
  <c r="H64" i="108"/>
  <c r="W63" i="108"/>
  <c r="W62" i="108"/>
  <c r="V62" i="108"/>
  <c r="W61" i="108"/>
  <c r="N61" i="108" s="1"/>
  <c r="V61" i="108"/>
  <c r="K61" i="108"/>
  <c r="J61" i="108"/>
  <c r="P61" i="108" s="1"/>
  <c r="F61" i="108"/>
  <c r="H61" i="108" s="1"/>
  <c r="B61" i="108"/>
  <c r="W60" i="108"/>
  <c r="N60" i="108" s="1"/>
  <c r="V60" i="108"/>
  <c r="K60" i="108"/>
  <c r="J60" i="108"/>
  <c r="P60" i="108" s="1"/>
  <c r="F60" i="108"/>
  <c r="H60" i="108" s="1"/>
  <c r="B60" i="108"/>
  <c r="W59" i="108"/>
  <c r="N59" i="108" s="1"/>
  <c r="O59" i="108" s="1"/>
  <c r="K59" i="108"/>
  <c r="J59" i="108"/>
  <c r="F59" i="108"/>
  <c r="H59" i="108" s="1"/>
  <c r="B59" i="108"/>
  <c r="M58" i="108"/>
  <c r="H18" i="107" s="1"/>
  <c r="W57" i="108"/>
  <c r="H57" i="108"/>
  <c r="W56" i="108"/>
  <c r="H56" i="108"/>
  <c r="W55" i="108"/>
  <c r="H55" i="108"/>
  <c r="W54" i="108"/>
  <c r="H54" i="108"/>
  <c r="W53" i="108"/>
  <c r="H53" i="108"/>
  <c r="W52" i="108"/>
  <c r="W51" i="108"/>
  <c r="W50" i="108"/>
  <c r="N50" i="108" s="1"/>
  <c r="V50" i="108"/>
  <c r="K50" i="108"/>
  <c r="J50" i="108"/>
  <c r="P50" i="108" s="1"/>
  <c r="F50" i="108"/>
  <c r="H50" i="108" s="1"/>
  <c r="B50" i="108"/>
  <c r="W49" i="108"/>
  <c r="N49" i="108" s="1"/>
  <c r="O49" i="108" s="1"/>
  <c r="K49" i="108"/>
  <c r="J49" i="108"/>
  <c r="P49" i="108" s="1"/>
  <c r="F49" i="108"/>
  <c r="H49" i="108" s="1"/>
  <c r="B49" i="108"/>
  <c r="W48" i="108"/>
  <c r="M48" i="108"/>
  <c r="W47" i="108"/>
  <c r="H47" i="108"/>
  <c r="W46" i="108"/>
  <c r="H46" i="108"/>
  <c r="W45" i="108"/>
  <c r="H45" i="108"/>
  <c r="W44" i="108"/>
  <c r="H44" i="108"/>
  <c r="W43" i="108"/>
  <c r="H43" i="108"/>
  <c r="W42" i="108"/>
  <c r="H42" i="108"/>
  <c r="W41" i="108"/>
  <c r="W40" i="108"/>
  <c r="N40" i="108" s="1"/>
  <c r="O40" i="108" s="1"/>
  <c r="V40" i="108"/>
  <c r="K40" i="108"/>
  <c r="J40" i="108"/>
  <c r="P40" i="108" s="1"/>
  <c r="F40" i="108"/>
  <c r="H40" i="108" s="1"/>
  <c r="B40" i="108"/>
  <c r="W39" i="108"/>
  <c r="N39" i="108" s="1"/>
  <c r="O39" i="108" s="1"/>
  <c r="V39" i="108"/>
  <c r="K39" i="108"/>
  <c r="AB39" i="108" s="1"/>
  <c r="J39" i="108"/>
  <c r="P39" i="108" s="1"/>
  <c r="F39" i="108"/>
  <c r="H39" i="108" s="1"/>
  <c r="B39" i="108"/>
  <c r="W38" i="108"/>
  <c r="N38" i="108" s="1"/>
  <c r="O38" i="108" s="1"/>
  <c r="K38" i="108"/>
  <c r="J38" i="108"/>
  <c r="F38" i="108"/>
  <c r="H38" i="108" s="1"/>
  <c r="C38" i="108"/>
  <c r="M37" i="108"/>
  <c r="F18" i="107" s="1"/>
  <c r="W36" i="108"/>
  <c r="H36" i="108"/>
  <c r="W35" i="108"/>
  <c r="H35" i="108"/>
  <c r="W34" i="108"/>
  <c r="H34" i="108"/>
  <c r="W33" i="108"/>
  <c r="H33" i="108"/>
  <c r="W32" i="108"/>
  <c r="H32" i="108"/>
  <c r="W31" i="108"/>
  <c r="W30" i="108"/>
  <c r="W29" i="108"/>
  <c r="N29" i="108" s="1"/>
  <c r="V29" i="108"/>
  <c r="P29" i="108"/>
  <c r="L29" i="108"/>
  <c r="F29" i="108"/>
  <c r="H29" i="108" s="1"/>
  <c r="B29" i="108"/>
  <c r="W28" i="108"/>
  <c r="N28" i="108" s="1"/>
  <c r="V28" i="108"/>
  <c r="K28" i="108"/>
  <c r="K37" i="108" s="1"/>
  <c r="J28" i="108"/>
  <c r="J37" i="108" s="1"/>
  <c r="F28" i="108"/>
  <c r="H28" i="108" s="1"/>
  <c r="B28" i="108"/>
  <c r="W27" i="108"/>
  <c r="N27" i="108" s="1"/>
  <c r="P27" i="108"/>
  <c r="L27" i="108"/>
  <c r="F27" i="108"/>
  <c r="H27" i="108" s="1"/>
  <c r="M26" i="108"/>
  <c r="W25" i="108"/>
  <c r="H25" i="108"/>
  <c r="W24" i="108"/>
  <c r="H24" i="108"/>
  <c r="W23" i="108"/>
  <c r="H23" i="108"/>
  <c r="H22" i="108"/>
  <c r="H21" i="108"/>
  <c r="W19" i="108"/>
  <c r="N19" i="108" s="1"/>
  <c r="O19" i="108" s="1"/>
  <c r="V19" i="108"/>
  <c r="K19" i="108"/>
  <c r="J19" i="108"/>
  <c r="P19" i="108" s="1"/>
  <c r="F19" i="108"/>
  <c r="H19" i="108" s="1"/>
  <c r="W18" i="108"/>
  <c r="N18" i="108" s="1"/>
  <c r="V18" i="108"/>
  <c r="K18" i="108"/>
  <c r="J18" i="108"/>
  <c r="P18" i="108" s="1"/>
  <c r="F18" i="108"/>
  <c r="H18" i="108" s="1"/>
  <c r="W17" i="108"/>
  <c r="N17" i="108" s="1"/>
  <c r="V17" i="108"/>
  <c r="K17" i="108"/>
  <c r="J17" i="108"/>
  <c r="P17" i="108" s="1"/>
  <c r="F17" i="108"/>
  <c r="H17" i="108" s="1"/>
  <c r="W16" i="108"/>
  <c r="N16" i="108" s="1"/>
  <c r="K16" i="108"/>
  <c r="J16" i="108"/>
  <c r="P16" i="108" s="1"/>
  <c r="F16" i="108"/>
  <c r="H16" i="108" s="1"/>
  <c r="M15" i="108"/>
  <c r="D18" i="107" s="1"/>
  <c r="W14" i="108"/>
  <c r="H14" i="108"/>
  <c r="W13" i="108"/>
  <c r="H13" i="108"/>
  <c r="W12" i="108"/>
  <c r="H12" i="108"/>
  <c r="W11" i="108"/>
  <c r="H11" i="108"/>
  <c r="W10" i="108"/>
  <c r="W9" i="108"/>
  <c r="W8" i="108"/>
  <c r="N8" i="108" s="1"/>
  <c r="V8" i="108"/>
  <c r="K8" i="108"/>
  <c r="J8" i="108"/>
  <c r="P8" i="108" s="1"/>
  <c r="F8" i="108"/>
  <c r="H8" i="108" s="1"/>
  <c r="B8" i="108"/>
  <c r="W7" i="108"/>
  <c r="N7" i="108" s="1"/>
  <c r="V7" i="108"/>
  <c r="K7" i="108"/>
  <c r="J7" i="108"/>
  <c r="P7" i="108" s="1"/>
  <c r="F7" i="108"/>
  <c r="H7" i="108" s="1"/>
  <c r="B7" i="108"/>
  <c r="W6" i="108"/>
  <c r="N6" i="108" s="1"/>
  <c r="O6" i="108" s="1"/>
  <c r="V6" i="108"/>
  <c r="K6" i="108"/>
  <c r="J6" i="108"/>
  <c r="F6" i="108"/>
  <c r="H6" i="108" s="1"/>
  <c r="B6" i="108"/>
  <c r="W5" i="108"/>
  <c r="N5" i="108" s="1"/>
  <c r="K5" i="108"/>
  <c r="J5" i="108"/>
  <c r="P5" i="108" s="1"/>
  <c r="F5" i="108"/>
  <c r="H5" i="108" s="1"/>
  <c r="B5" i="108"/>
  <c r="I2" i="108"/>
  <c r="E1" i="108"/>
  <c r="I16" i="105"/>
  <c r="I14" i="105"/>
  <c r="H16" i="105"/>
  <c r="H14" i="105"/>
  <c r="G16" i="105"/>
  <c r="G14" i="105"/>
  <c r="F16" i="105"/>
  <c r="F14" i="105"/>
  <c r="E16" i="105"/>
  <c r="E14" i="105"/>
  <c r="D16" i="105"/>
  <c r="D14" i="105"/>
  <c r="V62" i="106"/>
  <c r="V63" i="106"/>
  <c r="V40" i="106"/>
  <c r="M48" i="106"/>
  <c r="F62" i="106"/>
  <c r="H62" i="106" s="1"/>
  <c r="J62" i="106"/>
  <c r="P62" i="106" s="1"/>
  <c r="K62" i="106"/>
  <c r="F63" i="106"/>
  <c r="H63" i="106" s="1"/>
  <c r="J63" i="106"/>
  <c r="P63" i="106" s="1"/>
  <c r="K63" i="106"/>
  <c r="B62" i="106"/>
  <c r="B63" i="106"/>
  <c r="F40" i="106"/>
  <c r="H40" i="106" s="1"/>
  <c r="J40" i="106"/>
  <c r="P40" i="106" s="1"/>
  <c r="K40" i="106"/>
  <c r="B40" i="106"/>
  <c r="Q49" i="111" l="1"/>
  <c r="L40" i="106"/>
  <c r="R8" i="111"/>
  <c r="AC8" i="110"/>
  <c r="L7" i="110"/>
  <c r="L60" i="110"/>
  <c r="AB17" i="110"/>
  <c r="L63" i="106"/>
  <c r="L48" i="111"/>
  <c r="G13" i="112" s="1"/>
  <c r="P37" i="110"/>
  <c r="L62" i="106"/>
  <c r="K58" i="110"/>
  <c r="L26" i="111"/>
  <c r="E13" i="112" s="1"/>
  <c r="L61" i="110"/>
  <c r="L16" i="110"/>
  <c r="AB5" i="110"/>
  <c r="L9" i="108"/>
  <c r="L38" i="110"/>
  <c r="P50" i="110"/>
  <c r="Q50" i="111"/>
  <c r="K48" i="110"/>
  <c r="L62" i="110"/>
  <c r="R19" i="111"/>
  <c r="R17" i="111"/>
  <c r="P9" i="108"/>
  <c r="L6" i="110"/>
  <c r="L8" i="110"/>
  <c r="AB50" i="110"/>
  <c r="L62" i="108"/>
  <c r="L18" i="110"/>
  <c r="L5" i="110"/>
  <c r="AC62" i="110"/>
  <c r="L40" i="110"/>
  <c r="Q40" i="110" s="1"/>
  <c r="Q18" i="111"/>
  <c r="AC59" i="110"/>
  <c r="Q7" i="111"/>
  <c r="AB16" i="110"/>
  <c r="L19" i="110"/>
  <c r="Q6" i="111"/>
  <c r="K69" i="110"/>
  <c r="K79" i="110" s="1"/>
  <c r="AC39" i="108"/>
  <c r="L17" i="110"/>
  <c r="L69" i="111"/>
  <c r="R60" i="111"/>
  <c r="L58" i="111"/>
  <c r="H13" i="112" s="1"/>
  <c r="H15" i="112" s="1"/>
  <c r="L79" i="111"/>
  <c r="I13" i="112"/>
  <c r="AB58" i="111"/>
  <c r="L37" i="111"/>
  <c r="F13" i="112" s="1"/>
  <c r="G2" i="111"/>
  <c r="J3" i="112"/>
  <c r="R59" i="111"/>
  <c r="Q59" i="111"/>
  <c r="O69" i="111"/>
  <c r="I14" i="112" s="1"/>
  <c r="Q58" i="111"/>
  <c r="L15" i="111"/>
  <c r="D13" i="112" s="1"/>
  <c r="D15" i="112" s="1"/>
  <c r="Q61" i="111"/>
  <c r="R61" i="111"/>
  <c r="J79" i="111"/>
  <c r="P79" i="111" s="1"/>
  <c r="P69" i="111"/>
  <c r="Q27" i="111"/>
  <c r="R27" i="111"/>
  <c r="AB15" i="111"/>
  <c r="AC15" i="111"/>
  <c r="AD5" i="111" s="1"/>
  <c r="R28" i="111"/>
  <c r="Q37" i="111"/>
  <c r="AC37" i="111"/>
  <c r="AD27" i="111" s="1"/>
  <c r="AB37" i="111"/>
  <c r="AC58" i="111"/>
  <c r="AD49" i="111" s="1"/>
  <c r="R39" i="111"/>
  <c r="Q39" i="111"/>
  <c r="AC26" i="111"/>
  <c r="AD16" i="111" s="1"/>
  <c r="AB26" i="111"/>
  <c r="Q48" i="111"/>
  <c r="AB48" i="111"/>
  <c r="AC48" i="111"/>
  <c r="AD38" i="111" s="1"/>
  <c r="O26" i="111"/>
  <c r="E14" i="112" s="1"/>
  <c r="R16" i="111"/>
  <c r="Q16" i="111"/>
  <c r="AC69" i="111"/>
  <c r="AD59" i="111" s="1"/>
  <c r="AB69" i="111"/>
  <c r="N79" i="111"/>
  <c r="Q69" i="111"/>
  <c r="O48" i="111"/>
  <c r="Q38" i="111"/>
  <c r="R38" i="111"/>
  <c r="Q60" i="111"/>
  <c r="AC17" i="110"/>
  <c r="AC40" i="110"/>
  <c r="AB40" i="110"/>
  <c r="R70" i="110"/>
  <c r="Q70" i="110"/>
  <c r="F18" i="109"/>
  <c r="AC5" i="110"/>
  <c r="P7" i="110"/>
  <c r="AB28" i="110"/>
  <c r="O28" i="110"/>
  <c r="AC28" i="110"/>
  <c r="AB7" i="110"/>
  <c r="AC7" i="110"/>
  <c r="O7" i="110"/>
  <c r="O38" i="110"/>
  <c r="N48" i="110"/>
  <c r="AC38" i="110"/>
  <c r="AB38" i="110"/>
  <c r="N69" i="110"/>
  <c r="O60" i="110"/>
  <c r="AC60" i="110"/>
  <c r="AB60" i="110"/>
  <c r="AB49" i="110"/>
  <c r="N58" i="110"/>
  <c r="O49" i="110"/>
  <c r="AC49" i="110"/>
  <c r="AB19" i="110"/>
  <c r="O19" i="110"/>
  <c r="AC19" i="110"/>
  <c r="AC18" i="110"/>
  <c r="O18" i="110"/>
  <c r="AB18" i="110"/>
  <c r="AC6" i="110"/>
  <c r="AB6" i="110"/>
  <c r="O6" i="110"/>
  <c r="N15" i="110"/>
  <c r="AC29" i="110"/>
  <c r="AB29" i="110"/>
  <c r="O29" i="110"/>
  <c r="G1" i="110"/>
  <c r="O61" i="110"/>
  <c r="AC61" i="110"/>
  <c r="AB61" i="110"/>
  <c r="J26" i="110"/>
  <c r="P26" i="110" s="1"/>
  <c r="O16" i="110"/>
  <c r="O62" i="110"/>
  <c r="I18" i="109"/>
  <c r="O5" i="110"/>
  <c r="N26" i="110"/>
  <c r="L49" i="110"/>
  <c r="L58" i="110" s="1"/>
  <c r="H13" i="109" s="1"/>
  <c r="AB62" i="110"/>
  <c r="O59" i="110"/>
  <c r="AB8" i="110"/>
  <c r="J15" i="110"/>
  <c r="P15" i="110" s="1"/>
  <c r="AC16" i="110"/>
  <c r="P28" i="110"/>
  <c r="N37" i="110"/>
  <c r="AB39" i="110"/>
  <c r="AC50" i="110"/>
  <c r="J69" i="110"/>
  <c r="J79" i="110" s="1"/>
  <c r="P79" i="110" s="1"/>
  <c r="L39" i="110"/>
  <c r="Q39" i="110" s="1"/>
  <c r="K26" i="110"/>
  <c r="O50" i="110"/>
  <c r="L59" i="110"/>
  <c r="O8" i="110"/>
  <c r="J48" i="110"/>
  <c r="P48" i="110" s="1"/>
  <c r="O27" i="110"/>
  <c r="I1" i="110"/>
  <c r="L28" i="110"/>
  <c r="L37" i="110" s="1"/>
  <c r="F13" i="109" s="1"/>
  <c r="K15" i="110"/>
  <c r="AB27" i="110"/>
  <c r="AC39" i="110"/>
  <c r="J58" i="110"/>
  <c r="P58" i="110" s="1"/>
  <c r="AB59" i="110"/>
  <c r="H18" i="109"/>
  <c r="O17" i="110"/>
  <c r="J7" i="107"/>
  <c r="AC62" i="108"/>
  <c r="AB62" i="108"/>
  <c r="R62" i="108"/>
  <c r="Q62" i="108"/>
  <c r="AB40" i="108"/>
  <c r="AC40" i="108"/>
  <c r="L60" i="108"/>
  <c r="L5" i="108"/>
  <c r="L18" i="108"/>
  <c r="L49" i="108"/>
  <c r="Q49" i="108" s="1"/>
  <c r="K58" i="108"/>
  <c r="AC19" i="108"/>
  <c r="L16" i="108"/>
  <c r="L7" i="108"/>
  <c r="AB19" i="108"/>
  <c r="AB59" i="108"/>
  <c r="L40" i="108"/>
  <c r="R40" i="108" s="1"/>
  <c r="L61" i="108"/>
  <c r="AC59" i="108"/>
  <c r="I1" i="108"/>
  <c r="L17" i="108"/>
  <c r="P28" i="108"/>
  <c r="L28" i="108"/>
  <c r="L37" i="108" s="1"/>
  <c r="F13" i="107" s="1"/>
  <c r="L8" i="108"/>
  <c r="L39" i="108"/>
  <c r="Q39" i="108" s="1"/>
  <c r="AC6" i="108"/>
  <c r="Q9" i="108"/>
  <c r="R9" i="108"/>
  <c r="G1" i="108"/>
  <c r="K48" i="108"/>
  <c r="L38" i="108"/>
  <c r="Q38" i="108" s="1"/>
  <c r="AC5" i="108"/>
  <c r="N15" i="108"/>
  <c r="AB5" i="108"/>
  <c r="AC29" i="108"/>
  <c r="AB29" i="108"/>
  <c r="O29" i="108"/>
  <c r="AB38" i="108"/>
  <c r="O48" i="108"/>
  <c r="G14" i="107" s="1"/>
  <c r="J69" i="108"/>
  <c r="P69" i="108" s="1"/>
  <c r="P59" i="108"/>
  <c r="O8" i="108"/>
  <c r="AB8" i="108"/>
  <c r="AC8" i="108"/>
  <c r="P6" i="108"/>
  <c r="J15" i="108"/>
  <c r="P15" i="108" s="1"/>
  <c r="P37" i="108"/>
  <c r="J58" i="108"/>
  <c r="P58" i="108" s="1"/>
  <c r="AB6" i="108"/>
  <c r="AC49" i="108"/>
  <c r="AB49" i="108"/>
  <c r="N58" i="108"/>
  <c r="AC61" i="108"/>
  <c r="AB61" i="108"/>
  <c r="O5" i="108"/>
  <c r="N26" i="108"/>
  <c r="AC16" i="108"/>
  <c r="O16" i="108"/>
  <c r="AB16" i="108"/>
  <c r="L50" i="108"/>
  <c r="K69" i="108"/>
  <c r="AC18" i="108"/>
  <c r="AB18" i="108"/>
  <c r="O18" i="108"/>
  <c r="AC28" i="108"/>
  <c r="AB28" i="108"/>
  <c r="AC38" i="108"/>
  <c r="AC50" i="108"/>
  <c r="O28" i="108"/>
  <c r="O60" i="108"/>
  <c r="AC60" i="108"/>
  <c r="AB60" i="108"/>
  <c r="O7" i="108"/>
  <c r="AC7" i="108"/>
  <c r="AB17" i="108"/>
  <c r="AC17" i="108"/>
  <c r="N69" i="108"/>
  <c r="K15" i="108"/>
  <c r="L6" i="108"/>
  <c r="AB7" i="108"/>
  <c r="O17" i="108"/>
  <c r="O27" i="108"/>
  <c r="AC27" i="108"/>
  <c r="AB27" i="108"/>
  <c r="N37" i="108"/>
  <c r="L19" i="108"/>
  <c r="R19" i="108" s="1"/>
  <c r="P38" i="108"/>
  <c r="J48" i="108"/>
  <c r="P48" i="108" s="1"/>
  <c r="O61" i="108"/>
  <c r="O50" i="108"/>
  <c r="L59" i="108"/>
  <c r="K26" i="108"/>
  <c r="AB50" i="108"/>
  <c r="J26" i="108"/>
  <c r="P26" i="108" s="1"/>
  <c r="N48" i="108"/>
  <c r="N41" i="104"/>
  <c r="O41" i="104" s="1"/>
  <c r="P41" i="104"/>
  <c r="W78" i="106"/>
  <c r="H78" i="106"/>
  <c r="W77" i="106"/>
  <c r="H77" i="106"/>
  <c r="W76" i="106"/>
  <c r="H76" i="106"/>
  <c r="W75" i="106"/>
  <c r="H75" i="106"/>
  <c r="W74" i="106"/>
  <c r="H74" i="106"/>
  <c r="W73" i="106"/>
  <c r="W72" i="106"/>
  <c r="W71" i="106"/>
  <c r="AD70" i="106"/>
  <c r="W70" i="106"/>
  <c r="M69" i="106"/>
  <c r="W68" i="106"/>
  <c r="H68" i="106"/>
  <c r="W67" i="106"/>
  <c r="H67" i="106"/>
  <c r="W66" i="106"/>
  <c r="H66" i="106"/>
  <c r="W65" i="106"/>
  <c r="H65" i="106"/>
  <c r="W64" i="106"/>
  <c r="H64" i="106"/>
  <c r="W63" i="106"/>
  <c r="N63" i="106" s="1"/>
  <c r="O63" i="106" s="1"/>
  <c r="W62" i="106"/>
  <c r="N62" i="106" s="1"/>
  <c r="O62" i="106" s="1"/>
  <c r="W61" i="106"/>
  <c r="N61" i="106" s="1"/>
  <c r="V61" i="106"/>
  <c r="K61" i="106"/>
  <c r="J61" i="106"/>
  <c r="F61" i="106"/>
  <c r="H61" i="106" s="1"/>
  <c r="B61" i="106"/>
  <c r="W60" i="106"/>
  <c r="V60" i="106"/>
  <c r="N60" i="106"/>
  <c r="K60" i="106"/>
  <c r="J60" i="106"/>
  <c r="P60" i="106" s="1"/>
  <c r="F60" i="106"/>
  <c r="H60" i="106" s="1"/>
  <c r="B60" i="106"/>
  <c r="W59" i="106"/>
  <c r="N59" i="106" s="1"/>
  <c r="K59" i="106"/>
  <c r="J59" i="106"/>
  <c r="P59" i="106" s="1"/>
  <c r="F59" i="106"/>
  <c r="H59" i="106" s="1"/>
  <c r="B59" i="106"/>
  <c r="M58" i="106"/>
  <c r="W57" i="106"/>
  <c r="H57" i="106"/>
  <c r="W56" i="106"/>
  <c r="H56" i="106"/>
  <c r="W55" i="106"/>
  <c r="H55" i="106"/>
  <c r="W54" i="106"/>
  <c r="H54" i="106"/>
  <c r="W53" i="106"/>
  <c r="H53" i="106"/>
  <c r="W52" i="106"/>
  <c r="W51" i="106"/>
  <c r="W50" i="106"/>
  <c r="N50" i="106" s="1"/>
  <c r="V50" i="106"/>
  <c r="K50" i="106"/>
  <c r="J50" i="106"/>
  <c r="P50" i="106" s="1"/>
  <c r="F50" i="106"/>
  <c r="H50" i="106" s="1"/>
  <c r="B50" i="106"/>
  <c r="W49" i="106"/>
  <c r="N49" i="106"/>
  <c r="K49" i="106"/>
  <c r="J49" i="106"/>
  <c r="F49" i="106"/>
  <c r="H49" i="106" s="1"/>
  <c r="B49" i="106"/>
  <c r="W48" i="106"/>
  <c r="W47" i="106"/>
  <c r="H47" i="106"/>
  <c r="W46" i="106"/>
  <c r="H46" i="106"/>
  <c r="W45" i="106"/>
  <c r="H45" i="106"/>
  <c r="W44" i="106"/>
  <c r="H44" i="106"/>
  <c r="W43" i="106"/>
  <c r="H43" i="106"/>
  <c r="W42" i="106"/>
  <c r="H42" i="106"/>
  <c r="W41" i="106"/>
  <c r="W40" i="106"/>
  <c r="N40" i="106" s="1"/>
  <c r="O40" i="106" s="1"/>
  <c r="W39" i="106"/>
  <c r="N39" i="106" s="1"/>
  <c r="O39" i="106" s="1"/>
  <c r="V39" i="106"/>
  <c r="K39" i="106"/>
  <c r="J39" i="106"/>
  <c r="P39" i="106" s="1"/>
  <c r="F39" i="106"/>
  <c r="H39" i="106" s="1"/>
  <c r="B39" i="106"/>
  <c r="W38" i="106"/>
  <c r="N38" i="106" s="1"/>
  <c r="K38" i="106"/>
  <c r="J38" i="106"/>
  <c r="F38" i="106"/>
  <c r="H38" i="106" s="1"/>
  <c r="C38" i="106"/>
  <c r="M37" i="106"/>
  <c r="W36" i="106"/>
  <c r="H36" i="106"/>
  <c r="W35" i="106"/>
  <c r="H35" i="106"/>
  <c r="W34" i="106"/>
  <c r="H34" i="106"/>
  <c r="W33" i="106"/>
  <c r="H33" i="106"/>
  <c r="W32" i="106"/>
  <c r="H32" i="106"/>
  <c r="W31" i="106"/>
  <c r="W30" i="106"/>
  <c r="W29" i="106"/>
  <c r="V29" i="106"/>
  <c r="P29" i="106"/>
  <c r="N29" i="106"/>
  <c r="AB29" i="106" s="1"/>
  <c r="L29" i="106"/>
  <c r="F29" i="106"/>
  <c r="H29" i="106" s="1"/>
  <c r="B29" i="106"/>
  <c r="W28" i="106"/>
  <c r="N28" i="106" s="1"/>
  <c r="V28" i="106"/>
  <c r="K28" i="106"/>
  <c r="J28" i="106"/>
  <c r="J37" i="106" s="1"/>
  <c r="F28" i="106"/>
  <c r="H28" i="106" s="1"/>
  <c r="B28" i="106"/>
  <c r="W27" i="106"/>
  <c r="N27" i="106" s="1"/>
  <c r="P27" i="106"/>
  <c r="L27" i="106"/>
  <c r="F27" i="106"/>
  <c r="H27" i="106" s="1"/>
  <c r="M26" i="106"/>
  <c r="W25" i="106"/>
  <c r="H25" i="106"/>
  <c r="W24" i="106"/>
  <c r="H24" i="106"/>
  <c r="W23" i="106"/>
  <c r="H23" i="106"/>
  <c r="H22" i="106"/>
  <c r="H21" i="106"/>
  <c r="W19" i="106"/>
  <c r="N19" i="106" s="1"/>
  <c r="O19" i="106" s="1"/>
  <c r="V19" i="106"/>
  <c r="K19" i="106"/>
  <c r="J19" i="106"/>
  <c r="P19" i="106" s="1"/>
  <c r="F19" i="106"/>
  <c r="H19" i="106" s="1"/>
  <c r="W18" i="106"/>
  <c r="N18" i="106" s="1"/>
  <c r="V18" i="106"/>
  <c r="K18" i="106"/>
  <c r="J18" i="106"/>
  <c r="P18" i="106" s="1"/>
  <c r="F18" i="106"/>
  <c r="H18" i="106" s="1"/>
  <c r="W17" i="106"/>
  <c r="N17" i="106" s="1"/>
  <c r="O17" i="106" s="1"/>
  <c r="V17" i="106"/>
  <c r="K17" i="106"/>
  <c r="J17" i="106"/>
  <c r="P17" i="106" s="1"/>
  <c r="F17" i="106"/>
  <c r="H17" i="106" s="1"/>
  <c r="W16" i="106"/>
  <c r="N16" i="106" s="1"/>
  <c r="K16" i="106"/>
  <c r="J16" i="106"/>
  <c r="F16" i="106"/>
  <c r="H16" i="106" s="1"/>
  <c r="M15" i="106"/>
  <c r="W14" i="106"/>
  <c r="H14" i="106"/>
  <c r="W13" i="106"/>
  <c r="H13" i="106"/>
  <c r="W12" i="106"/>
  <c r="H12" i="106"/>
  <c r="W11" i="106"/>
  <c r="H11" i="106"/>
  <c r="W10" i="106"/>
  <c r="W9" i="106"/>
  <c r="W8" i="106"/>
  <c r="V8" i="106"/>
  <c r="N8" i="106"/>
  <c r="O8" i="106" s="1"/>
  <c r="K8" i="106"/>
  <c r="J8" i="106"/>
  <c r="P8" i="106" s="1"/>
  <c r="F8" i="106"/>
  <c r="H8" i="106" s="1"/>
  <c r="B8" i="106"/>
  <c r="W7" i="106"/>
  <c r="N7" i="106" s="1"/>
  <c r="V7" i="106"/>
  <c r="K7" i="106"/>
  <c r="J7" i="106"/>
  <c r="P7" i="106" s="1"/>
  <c r="F7" i="106"/>
  <c r="H7" i="106" s="1"/>
  <c r="B7" i="106"/>
  <c r="W6" i="106"/>
  <c r="N6" i="106" s="1"/>
  <c r="V6" i="106"/>
  <c r="K6" i="106"/>
  <c r="J6" i="106"/>
  <c r="F6" i="106"/>
  <c r="H6" i="106" s="1"/>
  <c r="B6" i="106"/>
  <c r="W5" i="106"/>
  <c r="N5" i="106"/>
  <c r="K5" i="106"/>
  <c r="J5" i="106"/>
  <c r="P5" i="106" s="1"/>
  <c r="F5" i="106"/>
  <c r="H5" i="106" s="1"/>
  <c r="B5" i="106"/>
  <c r="I2" i="106"/>
  <c r="E1" i="106"/>
  <c r="J7" i="105"/>
  <c r="H7" i="105"/>
  <c r="F7" i="105"/>
  <c r="V62" i="104"/>
  <c r="K62" i="104"/>
  <c r="J62" i="104"/>
  <c r="P62" i="104" s="1"/>
  <c r="F62" i="104"/>
  <c r="H62" i="104" s="1"/>
  <c r="B62" i="104"/>
  <c r="V40" i="104"/>
  <c r="V41" i="104"/>
  <c r="B40" i="104"/>
  <c r="F40" i="104"/>
  <c r="H40" i="104" s="1"/>
  <c r="J40" i="104"/>
  <c r="P40" i="104" s="1"/>
  <c r="K40" i="104"/>
  <c r="N40" i="104"/>
  <c r="O40" i="104" s="1"/>
  <c r="D18" i="103"/>
  <c r="I16" i="103"/>
  <c r="H16" i="103"/>
  <c r="G16" i="103"/>
  <c r="F16" i="103"/>
  <c r="E16" i="103"/>
  <c r="D16" i="103"/>
  <c r="W78" i="104"/>
  <c r="H78" i="104"/>
  <c r="W77" i="104"/>
  <c r="H77" i="104"/>
  <c r="W76" i="104"/>
  <c r="H76" i="104"/>
  <c r="W75" i="104"/>
  <c r="H75" i="104"/>
  <c r="W74" i="104"/>
  <c r="H74" i="104"/>
  <c r="W73" i="104"/>
  <c r="W72" i="104"/>
  <c r="W71" i="104"/>
  <c r="AD70" i="104"/>
  <c r="W70" i="104"/>
  <c r="M69" i="104"/>
  <c r="I18" i="103" s="1"/>
  <c r="W68" i="104"/>
  <c r="H68" i="104"/>
  <c r="W67" i="104"/>
  <c r="H67" i="104"/>
  <c r="W66" i="104"/>
  <c r="H66" i="104"/>
  <c r="W65" i="104"/>
  <c r="H65" i="104"/>
  <c r="W64" i="104"/>
  <c r="H64" i="104"/>
  <c r="W63" i="104"/>
  <c r="W62" i="104"/>
  <c r="N62" i="104" s="1"/>
  <c r="O62" i="104" s="1"/>
  <c r="W61" i="104"/>
  <c r="N61" i="104" s="1"/>
  <c r="V61" i="104"/>
  <c r="K61" i="104"/>
  <c r="J61" i="104"/>
  <c r="P61" i="104" s="1"/>
  <c r="F61" i="104"/>
  <c r="H61" i="104" s="1"/>
  <c r="B61" i="104"/>
  <c r="W60" i="104"/>
  <c r="N60" i="104" s="1"/>
  <c r="V60" i="104"/>
  <c r="K60" i="104"/>
  <c r="J60" i="104"/>
  <c r="P60" i="104" s="1"/>
  <c r="F60" i="104"/>
  <c r="H60" i="104" s="1"/>
  <c r="B60" i="104"/>
  <c r="W59" i="104"/>
  <c r="N59" i="104" s="1"/>
  <c r="K59" i="104"/>
  <c r="J59" i="104"/>
  <c r="P59" i="104" s="1"/>
  <c r="F59" i="104"/>
  <c r="H59" i="104" s="1"/>
  <c r="B59" i="104"/>
  <c r="M58" i="104"/>
  <c r="H18" i="103" s="1"/>
  <c r="W57" i="104"/>
  <c r="H57" i="104"/>
  <c r="W56" i="104"/>
  <c r="H56" i="104"/>
  <c r="W55" i="104"/>
  <c r="H55" i="104"/>
  <c r="W54" i="104"/>
  <c r="H54" i="104"/>
  <c r="W53" i="104"/>
  <c r="H53" i="104"/>
  <c r="W52" i="104"/>
  <c r="W51" i="104"/>
  <c r="W50" i="104"/>
  <c r="N50" i="104" s="1"/>
  <c r="O50" i="104" s="1"/>
  <c r="V50" i="104"/>
  <c r="K50" i="104"/>
  <c r="J50" i="104"/>
  <c r="P50" i="104" s="1"/>
  <c r="F50" i="104"/>
  <c r="H50" i="104" s="1"/>
  <c r="B50" i="104"/>
  <c r="W49" i="104"/>
  <c r="N49" i="104" s="1"/>
  <c r="K49" i="104"/>
  <c r="J49" i="104"/>
  <c r="P49" i="104" s="1"/>
  <c r="F49" i="104"/>
  <c r="H49" i="104" s="1"/>
  <c r="B49" i="104"/>
  <c r="W48" i="104"/>
  <c r="M48" i="104"/>
  <c r="W47" i="104"/>
  <c r="H47" i="104"/>
  <c r="W46" i="104"/>
  <c r="H46" i="104"/>
  <c r="W45" i="104"/>
  <c r="H45" i="104"/>
  <c r="W44" i="104"/>
  <c r="H44" i="104"/>
  <c r="W43" i="104"/>
  <c r="H43" i="104"/>
  <c r="W42" i="104"/>
  <c r="H42" i="104"/>
  <c r="W41" i="104"/>
  <c r="W40" i="104"/>
  <c r="W39" i="104"/>
  <c r="V39" i="104"/>
  <c r="N39" i="104"/>
  <c r="O39" i="104" s="1"/>
  <c r="K39" i="104"/>
  <c r="J39" i="104"/>
  <c r="P39" i="104" s="1"/>
  <c r="F39" i="104"/>
  <c r="H39" i="104" s="1"/>
  <c r="B39" i="104"/>
  <c r="W38" i="104"/>
  <c r="N38" i="104" s="1"/>
  <c r="K38" i="104"/>
  <c r="J38" i="104"/>
  <c r="P38" i="104" s="1"/>
  <c r="F38" i="104"/>
  <c r="H38" i="104" s="1"/>
  <c r="C38" i="104"/>
  <c r="M37" i="104"/>
  <c r="F18" i="103" s="1"/>
  <c r="W36" i="104"/>
  <c r="H36" i="104"/>
  <c r="W35" i="104"/>
  <c r="H35" i="104"/>
  <c r="W34" i="104"/>
  <c r="H34" i="104"/>
  <c r="W33" i="104"/>
  <c r="H33" i="104"/>
  <c r="W32" i="104"/>
  <c r="H32" i="104"/>
  <c r="W31" i="104"/>
  <c r="W30" i="104"/>
  <c r="W29" i="104"/>
  <c r="N29" i="104" s="1"/>
  <c r="V29" i="104"/>
  <c r="P29" i="104"/>
  <c r="L29" i="104"/>
  <c r="F29" i="104"/>
  <c r="H29" i="104" s="1"/>
  <c r="B29" i="104"/>
  <c r="W28" i="104"/>
  <c r="N28" i="104" s="1"/>
  <c r="V28" i="104"/>
  <c r="K28" i="104"/>
  <c r="K37" i="104" s="1"/>
  <c r="J28" i="104"/>
  <c r="J37" i="104" s="1"/>
  <c r="F28" i="104"/>
  <c r="H28" i="104" s="1"/>
  <c r="B28" i="104"/>
  <c r="W27" i="104"/>
  <c r="P27" i="104"/>
  <c r="N27" i="104"/>
  <c r="AB27" i="104" s="1"/>
  <c r="L27" i="104"/>
  <c r="F27" i="104"/>
  <c r="H27" i="104" s="1"/>
  <c r="M26" i="104"/>
  <c r="E18" i="103" s="1"/>
  <c r="W25" i="104"/>
  <c r="H25" i="104"/>
  <c r="W24" i="104"/>
  <c r="H24" i="104"/>
  <c r="W23" i="104"/>
  <c r="H23" i="104"/>
  <c r="H22" i="104"/>
  <c r="H21" i="104"/>
  <c r="W19" i="104"/>
  <c r="N19" i="104" s="1"/>
  <c r="O19" i="104" s="1"/>
  <c r="V19" i="104"/>
  <c r="K19" i="104"/>
  <c r="J19" i="104"/>
  <c r="P19" i="104" s="1"/>
  <c r="F19" i="104"/>
  <c r="H19" i="104" s="1"/>
  <c r="W18" i="104"/>
  <c r="N18" i="104" s="1"/>
  <c r="V18" i="104"/>
  <c r="K18" i="104"/>
  <c r="J18" i="104"/>
  <c r="F18" i="104"/>
  <c r="H18" i="104" s="1"/>
  <c r="W17" i="104"/>
  <c r="N17" i="104" s="1"/>
  <c r="V17" i="104"/>
  <c r="K17" i="104"/>
  <c r="J17" i="104"/>
  <c r="P17" i="104" s="1"/>
  <c r="F17" i="104"/>
  <c r="H17" i="104" s="1"/>
  <c r="W16" i="104"/>
  <c r="N16" i="104"/>
  <c r="K16" i="104"/>
  <c r="J16" i="104"/>
  <c r="P16" i="104" s="1"/>
  <c r="F16" i="104"/>
  <c r="H16" i="104" s="1"/>
  <c r="M15" i="104"/>
  <c r="W14" i="104"/>
  <c r="H14" i="104"/>
  <c r="W13" i="104"/>
  <c r="H13" i="104"/>
  <c r="W12" i="104"/>
  <c r="H12" i="104"/>
  <c r="W11" i="104"/>
  <c r="H11" i="104"/>
  <c r="W10" i="104"/>
  <c r="W9" i="104"/>
  <c r="W8" i="104"/>
  <c r="V8" i="104"/>
  <c r="N8" i="104"/>
  <c r="O8" i="104" s="1"/>
  <c r="K8" i="104"/>
  <c r="J8" i="104"/>
  <c r="P8" i="104" s="1"/>
  <c r="F8" i="104"/>
  <c r="H8" i="104" s="1"/>
  <c r="B8" i="104"/>
  <c r="W7" i="104"/>
  <c r="N7" i="104" s="1"/>
  <c r="O7" i="104" s="1"/>
  <c r="V7" i="104"/>
  <c r="K7" i="104"/>
  <c r="J7" i="104"/>
  <c r="P7" i="104" s="1"/>
  <c r="F7" i="104"/>
  <c r="H7" i="104" s="1"/>
  <c r="B7" i="104"/>
  <c r="W6" i="104"/>
  <c r="N6" i="104" s="1"/>
  <c r="V6" i="104"/>
  <c r="K6" i="104"/>
  <c r="J6" i="104"/>
  <c r="P6" i="104" s="1"/>
  <c r="F6" i="104"/>
  <c r="H6" i="104" s="1"/>
  <c r="B6" i="104"/>
  <c r="W5" i="104"/>
  <c r="N5" i="104" s="1"/>
  <c r="K5" i="104"/>
  <c r="J5" i="104"/>
  <c r="P5" i="104" s="1"/>
  <c r="F5" i="104"/>
  <c r="H5" i="104" s="1"/>
  <c r="B5" i="104"/>
  <c r="I2" i="104"/>
  <c r="E1" i="104"/>
  <c r="G3" i="103" s="1"/>
  <c r="V39" i="102"/>
  <c r="P29" i="102"/>
  <c r="K28" i="102"/>
  <c r="J28" i="102"/>
  <c r="K70" i="102"/>
  <c r="J70" i="102"/>
  <c r="P70" i="102" s="1"/>
  <c r="N39" i="102"/>
  <c r="O39" i="102" s="1"/>
  <c r="K39" i="102"/>
  <c r="J39" i="102"/>
  <c r="P39" i="102" s="1"/>
  <c r="F39" i="102"/>
  <c r="H39" i="102" s="1"/>
  <c r="B50" i="102"/>
  <c r="F50" i="102"/>
  <c r="H50" i="102" s="1"/>
  <c r="J50" i="102"/>
  <c r="P50" i="102" s="1"/>
  <c r="K50" i="102"/>
  <c r="B39" i="102"/>
  <c r="W78" i="102"/>
  <c r="H78" i="102"/>
  <c r="W77" i="102"/>
  <c r="H77" i="102"/>
  <c r="W76" i="102"/>
  <c r="H76" i="102"/>
  <c r="W75" i="102"/>
  <c r="H75" i="102"/>
  <c r="W74" i="102"/>
  <c r="H74" i="102"/>
  <c r="W73" i="102"/>
  <c r="W72" i="102"/>
  <c r="W71" i="102"/>
  <c r="AD70" i="102"/>
  <c r="W70" i="102"/>
  <c r="N70" i="102" s="1"/>
  <c r="O70" i="102" s="1"/>
  <c r="F70" i="102"/>
  <c r="H70" i="102" s="1"/>
  <c r="B70" i="102"/>
  <c r="M69" i="102"/>
  <c r="M79" i="102" s="1"/>
  <c r="W68" i="102"/>
  <c r="H68" i="102"/>
  <c r="W67" i="102"/>
  <c r="H67" i="102"/>
  <c r="W66" i="102"/>
  <c r="H66" i="102"/>
  <c r="W65" i="102"/>
  <c r="H65" i="102"/>
  <c r="W64" i="102"/>
  <c r="H64" i="102"/>
  <c r="W63" i="102"/>
  <c r="W62" i="102"/>
  <c r="W61" i="102"/>
  <c r="N61" i="102" s="1"/>
  <c r="V61" i="102"/>
  <c r="K61" i="102"/>
  <c r="J61" i="102"/>
  <c r="P61" i="102" s="1"/>
  <c r="F61" i="102"/>
  <c r="H61" i="102" s="1"/>
  <c r="B61" i="102"/>
  <c r="W60" i="102"/>
  <c r="N60" i="102" s="1"/>
  <c r="V60" i="102"/>
  <c r="K60" i="102"/>
  <c r="J60" i="102"/>
  <c r="P60" i="102" s="1"/>
  <c r="F60" i="102"/>
  <c r="H60" i="102" s="1"/>
  <c r="B60" i="102"/>
  <c r="W59" i="102"/>
  <c r="N59" i="102" s="1"/>
  <c r="K59" i="102"/>
  <c r="J59" i="102"/>
  <c r="F59" i="102"/>
  <c r="H59" i="102" s="1"/>
  <c r="B59" i="102"/>
  <c r="M58" i="102"/>
  <c r="H18" i="101" s="1"/>
  <c r="W57" i="102"/>
  <c r="H57" i="102"/>
  <c r="W56" i="102"/>
  <c r="H56" i="102"/>
  <c r="W55" i="102"/>
  <c r="H55" i="102"/>
  <c r="W54" i="102"/>
  <c r="H54" i="102"/>
  <c r="W53" i="102"/>
  <c r="H53" i="102"/>
  <c r="W52" i="102"/>
  <c r="W51" i="102"/>
  <c r="W50" i="102"/>
  <c r="N50" i="102" s="1"/>
  <c r="O50" i="102" s="1"/>
  <c r="V50" i="102"/>
  <c r="W49" i="102"/>
  <c r="N49" i="102" s="1"/>
  <c r="K49" i="102"/>
  <c r="J49" i="102"/>
  <c r="F49" i="102"/>
  <c r="H49" i="102" s="1"/>
  <c r="B49" i="102"/>
  <c r="W48" i="102"/>
  <c r="M48" i="102"/>
  <c r="W47" i="102"/>
  <c r="H47" i="102"/>
  <c r="W46" i="102"/>
  <c r="H46" i="102"/>
  <c r="W45" i="102"/>
  <c r="H45" i="102"/>
  <c r="W44" i="102"/>
  <c r="H44" i="102"/>
  <c r="W43" i="102"/>
  <c r="H43" i="102"/>
  <c r="W42" i="102"/>
  <c r="H42" i="102"/>
  <c r="W41" i="102"/>
  <c r="H41" i="102"/>
  <c r="W40" i="102"/>
  <c r="H40" i="102"/>
  <c r="W39" i="102"/>
  <c r="W38" i="102"/>
  <c r="N38" i="102" s="1"/>
  <c r="K38" i="102"/>
  <c r="J38" i="102"/>
  <c r="P38" i="102" s="1"/>
  <c r="F38" i="102"/>
  <c r="H38" i="102" s="1"/>
  <c r="C38" i="102"/>
  <c r="M37" i="102"/>
  <c r="F18" i="101" s="1"/>
  <c r="W36" i="102"/>
  <c r="H36" i="102"/>
  <c r="W35" i="102"/>
  <c r="H35" i="102"/>
  <c r="W34" i="102"/>
  <c r="H34" i="102"/>
  <c r="W33" i="102"/>
  <c r="H33" i="102"/>
  <c r="W32" i="102"/>
  <c r="H32" i="102"/>
  <c r="W31" i="102"/>
  <c r="W30" i="102"/>
  <c r="W29" i="102"/>
  <c r="N29" i="102" s="1"/>
  <c r="V29" i="102"/>
  <c r="F29" i="102"/>
  <c r="H29" i="102" s="1"/>
  <c r="B29" i="102"/>
  <c r="W28" i="102"/>
  <c r="N28" i="102" s="1"/>
  <c r="V28" i="102"/>
  <c r="F28" i="102"/>
  <c r="H28" i="102" s="1"/>
  <c r="B28" i="102"/>
  <c r="W27" i="102"/>
  <c r="N27" i="102" s="1"/>
  <c r="O27" i="102" s="1"/>
  <c r="P27" i="102"/>
  <c r="L27" i="102"/>
  <c r="F27" i="102"/>
  <c r="H27" i="102" s="1"/>
  <c r="M26" i="102"/>
  <c r="W25" i="102"/>
  <c r="H25" i="102"/>
  <c r="W24" i="102"/>
  <c r="H24" i="102"/>
  <c r="W23" i="102"/>
  <c r="H23" i="102"/>
  <c r="H22" i="102"/>
  <c r="H21" i="102"/>
  <c r="W19" i="102"/>
  <c r="N19" i="102" s="1"/>
  <c r="O19" i="102" s="1"/>
  <c r="V19" i="102"/>
  <c r="K19" i="102"/>
  <c r="J19" i="102"/>
  <c r="P19" i="102" s="1"/>
  <c r="F19" i="102"/>
  <c r="H19" i="102" s="1"/>
  <c r="W18" i="102"/>
  <c r="V18" i="102"/>
  <c r="N18" i="102"/>
  <c r="K18" i="102"/>
  <c r="J18" i="102"/>
  <c r="P18" i="102" s="1"/>
  <c r="F18" i="102"/>
  <c r="H18" i="102" s="1"/>
  <c r="W17" i="102"/>
  <c r="V17" i="102"/>
  <c r="N17" i="102"/>
  <c r="K17" i="102"/>
  <c r="J17" i="102"/>
  <c r="P17" i="102" s="1"/>
  <c r="F17" i="102"/>
  <c r="H17" i="102" s="1"/>
  <c r="W16" i="102"/>
  <c r="N16" i="102" s="1"/>
  <c r="O16" i="102" s="1"/>
  <c r="K16" i="102"/>
  <c r="J16" i="102"/>
  <c r="F16" i="102"/>
  <c r="H16" i="102" s="1"/>
  <c r="M15" i="102"/>
  <c r="W14" i="102"/>
  <c r="H14" i="102"/>
  <c r="W13" i="102"/>
  <c r="H13" i="102"/>
  <c r="W12" i="102"/>
  <c r="H12" i="102"/>
  <c r="W11" i="102"/>
  <c r="H11" i="102"/>
  <c r="W10" i="102"/>
  <c r="W9" i="102"/>
  <c r="W8" i="102"/>
  <c r="V8" i="102"/>
  <c r="N8" i="102"/>
  <c r="K8" i="102"/>
  <c r="J8" i="102"/>
  <c r="P8" i="102" s="1"/>
  <c r="F8" i="102"/>
  <c r="H8" i="102" s="1"/>
  <c r="B8" i="102"/>
  <c r="W7" i="102"/>
  <c r="N7" i="102" s="1"/>
  <c r="V7" i="102"/>
  <c r="K7" i="102"/>
  <c r="J7" i="102"/>
  <c r="P7" i="102" s="1"/>
  <c r="F7" i="102"/>
  <c r="H7" i="102" s="1"/>
  <c r="B7" i="102"/>
  <c r="W6" i="102"/>
  <c r="N6" i="102" s="1"/>
  <c r="V6" i="102"/>
  <c r="K6" i="102"/>
  <c r="J6" i="102"/>
  <c r="P6" i="102" s="1"/>
  <c r="F6" i="102"/>
  <c r="H6" i="102" s="1"/>
  <c r="B6" i="102"/>
  <c r="W5" i="102"/>
  <c r="N5" i="102"/>
  <c r="K5" i="102"/>
  <c r="J5" i="102"/>
  <c r="P5" i="102" s="1"/>
  <c r="F5" i="102"/>
  <c r="H5" i="102" s="1"/>
  <c r="B5" i="102"/>
  <c r="I2" i="102"/>
  <c r="E1" i="102"/>
  <c r="G3" i="101" s="1"/>
  <c r="I18" i="101"/>
  <c r="D18" i="101"/>
  <c r="J16" i="101"/>
  <c r="I16" i="101"/>
  <c r="H16" i="101"/>
  <c r="G16" i="101"/>
  <c r="F16" i="101"/>
  <c r="E16" i="101"/>
  <c r="D16" i="101"/>
  <c r="G3" i="99"/>
  <c r="J14" i="97"/>
  <c r="J14" i="94"/>
  <c r="J14" i="92"/>
  <c r="V63" i="100"/>
  <c r="J62" i="100"/>
  <c r="P62" i="100" s="1"/>
  <c r="K62" i="100"/>
  <c r="J63" i="100"/>
  <c r="P63" i="100" s="1"/>
  <c r="K63" i="100"/>
  <c r="L63" i="100" s="1"/>
  <c r="N63" i="100"/>
  <c r="O63" i="100" s="1"/>
  <c r="H63" i="100"/>
  <c r="J51" i="100"/>
  <c r="P51" i="100" s="1"/>
  <c r="K51" i="100"/>
  <c r="V40" i="100"/>
  <c r="V39" i="100"/>
  <c r="K27" i="100"/>
  <c r="J27" i="100"/>
  <c r="P27" i="100" s="1"/>
  <c r="K40" i="100"/>
  <c r="J40" i="100"/>
  <c r="K39" i="100"/>
  <c r="J39" i="100"/>
  <c r="P39" i="100" s="1"/>
  <c r="F40" i="100"/>
  <c r="H40" i="100" s="1"/>
  <c r="F39" i="100"/>
  <c r="H39" i="100" s="1"/>
  <c r="B38" i="100"/>
  <c r="B40" i="100"/>
  <c r="B39" i="100"/>
  <c r="W78" i="100"/>
  <c r="H78" i="100"/>
  <c r="W77" i="100"/>
  <c r="H77" i="100"/>
  <c r="W76" i="100"/>
  <c r="H76" i="100"/>
  <c r="W75" i="100"/>
  <c r="H75" i="100"/>
  <c r="W74" i="100"/>
  <c r="H74" i="100"/>
  <c r="W73" i="100"/>
  <c r="W72" i="100"/>
  <c r="W71" i="100"/>
  <c r="W70" i="100"/>
  <c r="M69" i="100"/>
  <c r="W68" i="100"/>
  <c r="H68" i="100"/>
  <c r="W67" i="100"/>
  <c r="H67" i="100"/>
  <c r="W66" i="100"/>
  <c r="H66" i="100"/>
  <c r="W65" i="100"/>
  <c r="H65" i="100"/>
  <c r="W64" i="100"/>
  <c r="H64" i="100"/>
  <c r="W63" i="100"/>
  <c r="W62" i="100"/>
  <c r="V62" i="100"/>
  <c r="N62" i="100"/>
  <c r="H62" i="100"/>
  <c r="W61" i="100"/>
  <c r="N61" i="100" s="1"/>
  <c r="V61" i="100"/>
  <c r="K61" i="100"/>
  <c r="J61" i="100"/>
  <c r="P61" i="100" s="1"/>
  <c r="F61" i="100"/>
  <c r="H61" i="100" s="1"/>
  <c r="B61" i="100"/>
  <c r="W60" i="100"/>
  <c r="V60" i="100"/>
  <c r="N60" i="100"/>
  <c r="K60" i="100"/>
  <c r="J60" i="100"/>
  <c r="F60" i="100"/>
  <c r="H60" i="100" s="1"/>
  <c r="B60" i="100"/>
  <c r="W59" i="100"/>
  <c r="N59" i="100" s="1"/>
  <c r="O59" i="100" s="1"/>
  <c r="K59" i="100"/>
  <c r="J59" i="100"/>
  <c r="P59" i="100" s="1"/>
  <c r="F59" i="100"/>
  <c r="H59" i="100" s="1"/>
  <c r="B59" i="100"/>
  <c r="M58" i="100"/>
  <c r="H18" i="99" s="1"/>
  <c r="W57" i="100"/>
  <c r="H57" i="100"/>
  <c r="W56" i="100"/>
  <c r="H56" i="100"/>
  <c r="W55" i="100"/>
  <c r="H55" i="100"/>
  <c r="W54" i="100"/>
  <c r="H54" i="100"/>
  <c r="W53" i="100"/>
  <c r="H53" i="100"/>
  <c r="W52" i="100"/>
  <c r="W51" i="100"/>
  <c r="N51" i="100" s="1"/>
  <c r="V51" i="100"/>
  <c r="F51" i="100"/>
  <c r="H51" i="100" s="1"/>
  <c r="B51" i="100"/>
  <c r="W50" i="100"/>
  <c r="N50" i="100" s="1"/>
  <c r="V50" i="100"/>
  <c r="K50" i="100"/>
  <c r="J50" i="100"/>
  <c r="P50" i="100" s="1"/>
  <c r="F50" i="100"/>
  <c r="H50" i="100" s="1"/>
  <c r="B50" i="100"/>
  <c r="W49" i="100"/>
  <c r="N49" i="100" s="1"/>
  <c r="K49" i="100"/>
  <c r="J49" i="100"/>
  <c r="P49" i="100" s="1"/>
  <c r="F49" i="100"/>
  <c r="H49" i="100" s="1"/>
  <c r="B49" i="100"/>
  <c r="W48" i="100"/>
  <c r="M48" i="100"/>
  <c r="W47" i="100"/>
  <c r="H47" i="100"/>
  <c r="W46" i="100"/>
  <c r="H46" i="100"/>
  <c r="W45" i="100"/>
  <c r="H45" i="100"/>
  <c r="W44" i="100"/>
  <c r="H44" i="100"/>
  <c r="W43" i="100"/>
  <c r="H43" i="100"/>
  <c r="W42" i="100"/>
  <c r="H42" i="100"/>
  <c r="W41" i="100"/>
  <c r="W40" i="100"/>
  <c r="N40" i="100" s="1"/>
  <c r="O40" i="100" s="1"/>
  <c r="W39" i="100"/>
  <c r="N39" i="100" s="1"/>
  <c r="O39" i="100" s="1"/>
  <c r="W38" i="100"/>
  <c r="N38" i="100" s="1"/>
  <c r="K38" i="100"/>
  <c r="J38" i="100"/>
  <c r="F38" i="100"/>
  <c r="H38" i="100" s="1"/>
  <c r="C38" i="100"/>
  <c r="M37" i="100"/>
  <c r="F18" i="99" s="1"/>
  <c r="W36" i="100"/>
  <c r="H36" i="100"/>
  <c r="W35" i="100"/>
  <c r="H35" i="100"/>
  <c r="W34" i="100"/>
  <c r="H34" i="100"/>
  <c r="W33" i="100"/>
  <c r="H33" i="100"/>
  <c r="W32" i="100"/>
  <c r="H32" i="100"/>
  <c r="W31" i="100"/>
  <c r="W30" i="100"/>
  <c r="W29" i="100"/>
  <c r="N29" i="100" s="1"/>
  <c r="V29" i="100"/>
  <c r="L29" i="100"/>
  <c r="P29" i="100"/>
  <c r="F29" i="100"/>
  <c r="H29" i="100" s="1"/>
  <c r="B29" i="100"/>
  <c r="W28" i="100"/>
  <c r="N28" i="100" s="1"/>
  <c r="V28" i="100"/>
  <c r="K28" i="100"/>
  <c r="J28" i="100"/>
  <c r="F28" i="100"/>
  <c r="H28" i="100" s="1"/>
  <c r="B28" i="100"/>
  <c r="W27" i="100"/>
  <c r="N27" i="100"/>
  <c r="F27" i="100"/>
  <c r="H27" i="100" s="1"/>
  <c r="M26" i="100"/>
  <c r="E18" i="99" s="1"/>
  <c r="W25" i="100"/>
  <c r="H25" i="100"/>
  <c r="W24" i="100"/>
  <c r="H24" i="100"/>
  <c r="W23" i="100"/>
  <c r="H23" i="100"/>
  <c r="H22" i="100"/>
  <c r="H21" i="100"/>
  <c r="W19" i="100"/>
  <c r="N19" i="100" s="1"/>
  <c r="O19" i="100" s="1"/>
  <c r="V19" i="100"/>
  <c r="K19" i="100"/>
  <c r="J19" i="100"/>
  <c r="P19" i="100" s="1"/>
  <c r="F19" i="100"/>
  <c r="H19" i="100" s="1"/>
  <c r="W18" i="100"/>
  <c r="N18" i="100" s="1"/>
  <c r="V18" i="100"/>
  <c r="K18" i="100"/>
  <c r="J18" i="100"/>
  <c r="P18" i="100" s="1"/>
  <c r="F18" i="100"/>
  <c r="H18" i="100" s="1"/>
  <c r="W17" i="100"/>
  <c r="V17" i="100"/>
  <c r="N17" i="100"/>
  <c r="O17" i="100" s="1"/>
  <c r="K17" i="100"/>
  <c r="J17" i="100"/>
  <c r="P17" i="100" s="1"/>
  <c r="F17" i="100"/>
  <c r="H17" i="100" s="1"/>
  <c r="W16" i="100"/>
  <c r="N16" i="100"/>
  <c r="K16" i="100"/>
  <c r="J16" i="100"/>
  <c r="P16" i="100" s="1"/>
  <c r="F16" i="100"/>
  <c r="H16" i="100" s="1"/>
  <c r="M15" i="100"/>
  <c r="W14" i="100"/>
  <c r="H14" i="100"/>
  <c r="W13" i="100"/>
  <c r="H13" i="100"/>
  <c r="W12" i="100"/>
  <c r="H12" i="100"/>
  <c r="W11" i="100"/>
  <c r="H11" i="100"/>
  <c r="W10" i="100"/>
  <c r="W9" i="100"/>
  <c r="W8" i="100"/>
  <c r="N8" i="100" s="1"/>
  <c r="V8" i="100"/>
  <c r="K8" i="100"/>
  <c r="J8" i="100"/>
  <c r="P8" i="100" s="1"/>
  <c r="F8" i="100"/>
  <c r="H8" i="100" s="1"/>
  <c r="B8" i="100"/>
  <c r="W7" i="100"/>
  <c r="V7" i="100"/>
  <c r="N7" i="100"/>
  <c r="O7" i="100" s="1"/>
  <c r="K7" i="100"/>
  <c r="J7" i="100"/>
  <c r="F7" i="100"/>
  <c r="H7" i="100" s="1"/>
  <c r="B7" i="100"/>
  <c r="W6" i="100"/>
  <c r="N6" i="100" s="1"/>
  <c r="V6" i="100"/>
  <c r="K6" i="100"/>
  <c r="J6" i="100"/>
  <c r="P6" i="100" s="1"/>
  <c r="F6" i="100"/>
  <c r="H6" i="100" s="1"/>
  <c r="B6" i="100"/>
  <c r="W5" i="100"/>
  <c r="N5" i="100"/>
  <c r="O5" i="100" s="1"/>
  <c r="K5" i="100"/>
  <c r="J5" i="100"/>
  <c r="P5" i="100" s="1"/>
  <c r="F5" i="100"/>
  <c r="H5" i="100" s="1"/>
  <c r="B5" i="100"/>
  <c r="I2" i="100"/>
  <c r="E1" i="100"/>
  <c r="G18" i="99"/>
  <c r="I16" i="99"/>
  <c r="H16" i="99"/>
  <c r="G16" i="99"/>
  <c r="F16" i="99"/>
  <c r="E16" i="99"/>
  <c r="D16" i="99"/>
  <c r="K50" i="98"/>
  <c r="J50" i="98"/>
  <c r="K49" i="98"/>
  <c r="J49" i="98"/>
  <c r="AB61" i="106" l="1"/>
  <c r="L50" i="102"/>
  <c r="L7" i="104"/>
  <c r="AB16" i="104"/>
  <c r="L7" i="100"/>
  <c r="Q7" i="100" s="1"/>
  <c r="L40" i="104"/>
  <c r="L16" i="106"/>
  <c r="L15" i="110"/>
  <c r="D13" i="109" s="1"/>
  <c r="L62" i="100"/>
  <c r="R58" i="111"/>
  <c r="S49" i="111" s="1"/>
  <c r="K48" i="102"/>
  <c r="L5" i="104"/>
  <c r="L17" i="100"/>
  <c r="R17" i="100" s="1"/>
  <c r="L51" i="100"/>
  <c r="E15" i="112"/>
  <c r="L61" i="104"/>
  <c r="J15" i="106"/>
  <c r="P15" i="106" s="1"/>
  <c r="R63" i="100"/>
  <c r="K26" i="102"/>
  <c r="R38" i="108"/>
  <c r="L40" i="100"/>
  <c r="R40" i="100" s="1"/>
  <c r="Q15" i="111"/>
  <c r="L60" i="106"/>
  <c r="K26" i="104"/>
  <c r="L48" i="110"/>
  <c r="G13" i="109" s="1"/>
  <c r="R40" i="110"/>
  <c r="L26" i="110"/>
  <c r="E13" i="109" s="1"/>
  <c r="K69" i="102"/>
  <c r="K79" i="102" s="1"/>
  <c r="L6" i="100"/>
  <c r="L50" i="106"/>
  <c r="L58" i="108"/>
  <c r="H13" i="107" s="1"/>
  <c r="L60" i="104"/>
  <c r="J26" i="102"/>
  <c r="P26" i="102" s="1"/>
  <c r="L69" i="110"/>
  <c r="I13" i="109" s="1"/>
  <c r="P69" i="110"/>
  <c r="L39" i="102"/>
  <c r="R39" i="102" s="1"/>
  <c r="L49" i="106"/>
  <c r="AC60" i="100"/>
  <c r="J26" i="104"/>
  <c r="P26" i="104" s="1"/>
  <c r="L6" i="106"/>
  <c r="K26" i="106"/>
  <c r="AC49" i="106"/>
  <c r="L59" i="106"/>
  <c r="P40" i="100"/>
  <c r="L8" i="106"/>
  <c r="R8" i="106" s="1"/>
  <c r="L39" i="106"/>
  <c r="Q39" i="106" s="1"/>
  <c r="AB49" i="100"/>
  <c r="L27" i="100"/>
  <c r="L70" i="102"/>
  <c r="R70" i="102" s="1"/>
  <c r="L38" i="104"/>
  <c r="L62" i="104"/>
  <c r="R62" i="104" s="1"/>
  <c r="L61" i="106"/>
  <c r="R49" i="108"/>
  <c r="K15" i="100"/>
  <c r="L18" i="100"/>
  <c r="L59" i="100"/>
  <c r="Q59" i="100" s="1"/>
  <c r="L19" i="106"/>
  <c r="R19" i="106" s="1"/>
  <c r="P7" i="100"/>
  <c r="L19" i="104"/>
  <c r="R19" i="104" s="1"/>
  <c r="L7" i="106"/>
  <c r="L18" i="106"/>
  <c r="L28" i="106"/>
  <c r="L37" i="106" s="1"/>
  <c r="F13" i="105" s="1"/>
  <c r="F15" i="105" s="1"/>
  <c r="J69" i="106"/>
  <c r="P69" i="106" s="1"/>
  <c r="AC60" i="104"/>
  <c r="K15" i="106"/>
  <c r="L17" i="104"/>
  <c r="J48" i="104"/>
  <c r="P48" i="104" s="1"/>
  <c r="J48" i="106"/>
  <c r="AC79" i="110"/>
  <c r="AD70" i="110" s="1"/>
  <c r="AB79" i="110"/>
  <c r="Q79" i="110"/>
  <c r="L61" i="100"/>
  <c r="L6" i="104"/>
  <c r="L8" i="104"/>
  <c r="Q8" i="104" s="1"/>
  <c r="L59" i="104"/>
  <c r="P16" i="106"/>
  <c r="AB18" i="106"/>
  <c r="AC28" i="106"/>
  <c r="K48" i="106"/>
  <c r="AC60" i="106"/>
  <c r="L39" i="100"/>
  <c r="R39" i="100" s="1"/>
  <c r="AC49" i="104"/>
  <c r="K48" i="104"/>
  <c r="R15" i="111"/>
  <c r="S5" i="111" s="1"/>
  <c r="G2" i="108"/>
  <c r="J3" i="107"/>
  <c r="R37" i="111"/>
  <c r="S27" i="111" s="1"/>
  <c r="I15" i="112"/>
  <c r="J6" i="112"/>
  <c r="R48" i="111"/>
  <c r="S38" i="111" s="1"/>
  <c r="G14" i="112"/>
  <c r="G15" i="112" s="1"/>
  <c r="F6" i="112"/>
  <c r="F15" i="112"/>
  <c r="H6" i="112"/>
  <c r="R26" i="111"/>
  <c r="S16" i="111" s="1"/>
  <c r="Q26" i="111"/>
  <c r="AC79" i="111"/>
  <c r="AD70" i="111" s="1"/>
  <c r="AB79" i="111"/>
  <c r="Q79" i="111"/>
  <c r="O79" i="111"/>
  <c r="E2" i="111" s="1"/>
  <c r="R69" i="111"/>
  <c r="S59" i="111" s="1"/>
  <c r="AC15" i="110"/>
  <c r="AD5" i="110" s="1"/>
  <c r="AB15" i="110"/>
  <c r="Q49" i="110"/>
  <c r="R49" i="110"/>
  <c r="O58" i="110"/>
  <c r="Q17" i="110"/>
  <c r="R17" i="110"/>
  <c r="R8" i="110"/>
  <c r="Q8" i="110"/>
  <c r="O48" i="110"/>
  <c r="Q38" i="110"/>
  <c r="R38" i="110"/>
  <c r="AC26" i="110"/>
  <c r="AD16" i="110" s="1"/>
  <c r="AB26" i="110"/>
  <c r="R39" i="110"/>
  <c r="R18" i="110"/>
  <c r="Q18" i="110"/>
  <c r="R7" i="110"/>
  <c r="Q7" i="110"/>
  <c r="O15" i="110"/>
  <c r="R5" i="110"/>
  <c r="Q5" i="110"/>
  <c r="AC69" i="110"/>
  <c r="AD59" i="110" s="1"/>
  <c r="AB69" i="110"/>
  <c r="Q69" i="110"/>
  <c r="Q6" i="110"/>
  <c r="R6" i="110"/>
  <c r="AB37" i="110"/>
  <c r="AC37" i="110"/>
  <c r="AD27" i="110" s="1"/>
  <c r="Q37" i="110"/>
  <c r="Q62" i="110"/>
  <c r="R62" i="110"/>
  <c r="Q19" i="110"/>
  <c r="R19" i="110"/>
  <c r="R28" i="110"/>
  <c r="Q28" i="110"/>
  <c r="O37" i="110"/>
  <c r="R27" i="110"/>
  <c r="Q27" i="110"/>
  <c r="Q58" i="110"/>
  <c r="AC58" i="110"/>
  <c r="AD49" i="110" s="1"/>
  <c r="AB58" i="110"/>
  <c r="O69" i="110"/>
  <c r="R59" i="110"/>
  <c r="Q59" i="110"/>
  <c r="R50" i="110"/>
  <c r="Q50" i="110"/>
  <c r="Q48" i="110"/>
  <c r="AC48" i="110"/>
  <c r="AD38" i="110" s="1"/>
  <c r="AB48" i="110"/>
  <c r="R61" i="110"/>
  <c r="Q61" i="110"/>
  <c r="J3" i="109"/>
  <c r="G2" i="110"/>
  <c r="Q29" i="110"/>
  <c r="R29" i="110"/>
  <c r="O26" i="110"/>
  <c r="Q16" i="110"/>
  <c r="R16" i="110"/>
  <c r="R60" i="110"/>
  <c r="Q60" i="110"/>
  <c r="Q40" i="108"/>
  <c r="Q19" i="108"/>
  <c r="R39" i="108"/>
  <c r="L69" i="108"/>
  <c r="I13" i="107" s="1"/>
  <c r="L48" i="108"/>
  <c r="G13" i="107" s="1"/>
  <c r="G15" i="107" s="1"/>
  <c r="L15" i="108"/>
  <c r="D13" i="107" s="1"/>
  <c r="Q6" i="108"/>
  <c r="R6" i="108"/>
  <c r="AB58" i="108"/>
  <c r="Q58" i="108"/>
  <c r="AC58" i="108"/>
  <c r="AD49" i="108" s="1"/>
  <c r="R50" i="108"/>
  <c r="Q50" i="108"/>
  <c r="R7" i="108"/>
  <c r="Q7" i="108"/>
  <c r="R29" i="108"/>
  <c r="Q29" i="108"/>
  <c r="R61" i="108"/>
  <c r="Q61" i="108"/>
  <c r="AC48" i="108"/>
  <c r="AD38" i="108" s="1"/>
  <c r="AB48" i="108"/>
  <c r="Q48" i="108"/>
  <c r="R60" i="108"/>
  <c r="Q60" i="108"/>
  <c r="O69" i="108"/>
  <c r="Q59" i="108"/>
  <c r="R59" i="108"/>
  <c r="AB37" i="108"/>
  <c r="AC37" i="108"/>
  <c r="AD27" i="108" s="1"/>
  <c r="Q37" i="108"/>
  <c r="AC69" i="108"/>
  <c r="AD59" i="108" s="1"/>
  <c r="AB69" i="108"/>
  <c r="Q69" i="108"/>
  <c r="O37" i="108"/>
  <c r="R27" i="108"/>
  <c r="Q27" i="108"/>
  <c r="R8" i="108"/>
  <c r="Q8" i="108"/>
  <c r="R17" i="108"/>
  <c r="Q17" i="108"/>
  <c r="R28" i="108"/>
  <c r="Q28" i="108"/>
  <c r="O26" i="108"/>
  <c r="Q16" i="108"/>
  <c r="R16" i="108"/>
  <c r="AC15" i="108"/>
  <c r="AD5" i="108" s="1"/>
  <c r="AB15" i="108"/>
  <c r="L26" i="108"/>
  <c r="E13" i="107" s="1"/>
  <c r="E15" i="107" s="1"/>
  <c r="AC26" i="108"/>
  <c r="AD16" i="108" s="1"/>
  <c r="AB26" i="108"/>
  <c r="O58" i="108"/>
  <c r="O15" i="108"/>
  <c r="D14" i="107" s="1"/>
  <c r="R5" i="108"/>
  <c r="Q5" i="108"/>
  <c r="R18" i="108"/>
  <c r="Q18" i="108"/>
  <c r="Q40" i="106"/>
  <c r="R40" i="106"/>
  <c r="Q62" i="106"/>
  <c r="R62" i="106"/>
  <c r="Q63" i="106"/>
  <c r="R63" i="106"/>
  <c r="AC61" i="106"/>
  <c r="J58" i="106"/>
  <c r="P58" i="106" s="1"/>
  <c r="P48" i="106"/>
  <c r="AC18" i="106"/>
  <c r="N15" i="106"/>
  <c r="Q41" i="104"/>
  <c r="R41" i="104"/>
  <c r="AC50" i="106"/>
  <c r="O50" i="106"/>
  <c r="AB50" i="106"/>
  <c r="O7" i="106"/>
  <c r="AB7" i="106"/>
  <c r="AC7" i="106"/>
  <c r="N48" i="106"/>
  <c r="AB38" i="106"/>
  <c r="O38" i="106"/>
  <c r="AC38" i="106"/>
  <c r="AC27" i="106"/>
  <c r="AB27" i="106"/>
  <c r="N37" i="106"/>
  <c r="O27" i="106"/>
  <c r="N26" i="106"/>
  <c r="AC16" i="106"/>
  <c r="AB16" i="106"/>
  <c r="O16" i="106"/>
  <c r="P37" i="106"/>
  <c r="R39" i="106"/>
  <c r="O59" i="106"/>
  <c r="AB59" i="106"/>
  <c r="N69" i="106"/>
  <c r="AC59" i="106"/>
  <c r="G1" i="106"/>
  <c r="AC6" i="106"/>
  <c r="AB6" i="106"/>
  <c r="O6" i="106"/>
  <c r="L5" i="106"/>
  <c r="K37" i="106"/>
  <c r="P28" i="106"/>
  <c r="O29" i="106"/>
  <c r="L38" i="106"/>
  <c r="P49" i="106"/>
  <c r="K58" i="106"/>
  <c r="O61" i="106"/>
  <c r="P61" i="106"/>
  <c r="L17" i="106"/>
  <c r="Q17" i="106" s="1"/>
  <c r="O60" i="106"/>
  <c r="K69" i="106"/>
  <c r="O5" i="106"/>
  <c r="AB8" i="106"/>
  <c r="P6" i="106"/>
  <c r="AC8" i="106"/>
  <c r="P38" i="106"/>
  <c r="N58" i="106"/>
  <c r="AB60" i="106"/>
  <c r="AB5" i="106"/>
  <c r="AB17" i="106"/>
  <c r="J26" i="106"/>
  <c r="P26" i="106" s="1"/>
  <c r="AC29" i="106"/>
  <c r="O49" i="106"/>
  <c r="O18" i="106"/>
  <c r="AC5" i="106"/>
  <c r="AC17" i="106"/>
  <c r="AB28" i="106"/>
  <c r="AB49" i="106"/>
  <c r="O28" i="106"/>
  <c r="AB61" i="104"/>
  <c r="AC61" i="104"/>
  <c r="J69" i="104"/>
  <c r="J79" i="104" s="1"/>
  <c r="L50" i="104"/>
  <c r="Q50" i="104" s="1"/>
  <c r="K58" i="104"/>
  <c r="Q40" i="104"/>
  <c r="R40" i="104"/>
  <c r="G18" i="103"/>
  <c r="AC27" i="104"/>
  <c r="P37" i="104"/>
  <c r="O27" i="104"/>
  <c r="Q27" i="104" s="1"/>
  <c r="O16" i="104"/>
  <c r="AC17" i="104"/>
  <c r="AB17" i="104"/>
  <c r="N26" i="104"/>
  <c r="O17" i="104"/>
  <c r="R50" i="104"/>
  <c r="R7" i="104"/>
  <c r="Q7" i="104"/>
  <c r="N15" i="104"/>
  <c r="AC5" i="104"/>
  <c r="AB5" i="104"/>
  <c r="O5" i="104"/>
  <c r="AB29" i="104"/>
  <c r="AC29" i="104"/>
  <c r="O29" i="104"/>
  <c r="AB18" i="104"/>
  <c r="O18" i="104"/>
  <c r="AC18" i="104"/>
  <c r="AB6" i="104"/>
  <c r="O6" i="104"/>
  <c r="AC6" i="104"/>
  <c r="AC28" i="104"/>
  <c r="AB28" i="104"/>
  <c r="O28" i="104"/>
  <c r="O37" i="104" s="1"/>
  <c r="N48" i="104"/>
  <c r="AB38" i="104"/>
  <c r="O38" i="104"/>
  <c r="AC38" i="104"/>
  <c r="O59" i="104"/>
  <c r="N69" i="104"/>
  <c r="AC59" i="104"/>
  <c r="AB59" i="104"/>
  <c r="G1" i="104"/>
  <c r="L28" i="104"/>
  <c r="L37" i="104" s="1"/>
  <c r="F13" i="103" s="1"/>
  <c r="L49" i="104"/>
  <c r="AB50" i="104"/>
  <c r="O60" i="104"/>
  <c r="K69" i="104"/>
  <c r="K79" i="104" s="1"/>
  <c r="O49" i="104"/>
  <c r="J58" i="104"/>
  <c r="P58" i="104" s="1"/>
  <c r="L18" i="104"/>
  <c r="R27" i="104"/>
  <c r="AC50" i="104"/>
  <c r="AB7" i="104"/>
  <c r="AC7" i="104"/>
  <c r="P28" i="104"/>
  <c r="N37" i="104"/>
  <c r="O61" i="104"/>
  <c r="P18" i="104"/>
  <c r="M79" i="104"/>
  <c r="AB8" i="104"/>
  <c r="J15" i="104"/>
  <c r="P15" i="104" s="1"/>
  <c r="AC16" i="104"/>
  <c r="AC8" i="104"/>
  <c r="K15" i="104"/>
  <c r="N58" i="104"/>
  <c r="AB60" i="104"/>
  <c r="L39" i="104"/>
  <c r="R39" i="104" s="1"/>
  <c r="L16" i="104"/>
  <c r="AB49" i="104"/>
  <c r="N15" i="102"/>
  <c r="R50" i="102"/>
  <c r="Q50" i="102"/>
  <c r="K58" i="102"/>
  <c r="L29" i="102"/>
  <c r="AC49" i="102"/>
  <c r="L60" i="102"/>
  <c r="AB60" i="102"/>
  <c r="AC28" i="102"/>
  <c r="J69" i="102"/>
  <c r="J79" i="102" s="1"/>
  <c r="P79" i="102" s="1"/>
  <c r="L59" i="102"/>
  <c r="L61" i="102"/>
  <c r="L7" i="102"/>
  <c r="P16" i="102"/>
  <c r="L18" i="102"/>
  <c r="L6" i="102"/>
  <c r="L8" i="102"/>
  <c r="L17" i="102"/>
  <c r="AC18" i="102"/>
  <c r="AC17" i="102"/>
  <c r="AB18" i="102"/>
  <c r="L19" i="102"/>
  <c r="R19" i="102" s="1"/>
  <c r="AB61" i="102"/>
  <c r="AC61" i="102"/>
  <c r="O61" i="102"/>
  <c r="AC16" i="102"/>
  <c r="AB16" i="102"/>
  <c r="N26" i="102"/>
  <c r="O29" i="102"/>
  <c r="AC29" i="102"/>
  <c r="AB29" i="102"/>
  <c r="J37" i="102"/>
  <c r="P37" i="102" s="1"/>
  <c r="P28" i="102"/>
  <c r="P49" i="102"/>
  <c r="J58" i="102"/>
  <c r="P58" i="102" s="1"/>
  <c r="AC27" i="102"/>
  <c r="AB27" i="102"/>
  <c r="N37" i="102"/>
  <c r="AB38" i="102"/>
  <c r="O38" i="102"/>
  <c r="AC38" i="102"/>
  <c r="N48" i="102"/>
  <c r="AC6" i="102"/>
  <c r="AB6" i="102"/>
  <c r="O6" i="102"/>
  <c r="AC8" i="102"/>
  <c r="AB8" i="102"/>
  <c r="O8" i="102"/>
  <c r="L28" i="102"/>
  <c r="G1" i="102"/>
  <c r="R27" i="102"/>
  <c r="Q27" i="102"/>
  <c r="O7" i="102"/>
  <c r="AC7" i="102"/>
  <c r="AB7" i="102"/>
  <c r="K15" i="102"/>
  <c r="L5" i="102"/>
  <c r="E18" i="101"/>
  <c r="I1" i="102"/>
  <c r="G18" i="101"/>
  <c r="J18" i="101"/>
  <c r="AC50" i="102"/>
  <c r="AB50" i="102"/>
  <c r="O59" i="102"/>
  <c r="AC59" i="102"/>
  <c r="AB59" i="102"/>
  <c r="N69" i="102"/>
  <c r="O28" i="102"/>
  <c r="O49" i="102"/>
  <c r="L49" i="102"/>
  <c r="L58" i="102" s="1"/>
  <c r="H13" i="101" s="1"/>
  <c r="O18" i="102"/>
  <c r="L38" i="102"/>
  <c r="K37" i="102"/>
  <c r="J15" i="102"/>
  <c r="P15" i="102" s="1"/>
  <c r="N58" i="102"/>
  <c r="AB17" i="102"/>
  <c r="J48" i="102"/>
  <c r="P48" i="102" s="1"/>
  <c r="AC60" i="102"/>
  <c r="O60" i="102"/>
  <c r="O5" i="102"/>
  <c r="O17" i="102"/>
  <c r="AB5" i="102"/>
  <c r="AC5" i="102"/>
  <c r="L16" i="102"/>
  <c r="R16" i="102" s="1"/>
  <c r="AB28" i="102"/>
  <c r="AB49" i="102"/>
  <c r="P59" i="102"/>
  <c r="AB62" i="100"/>
  <c r="K69" i="100"/>
  <c r="Q63" i="100"/>
  <c r="I18" i="99"/>
  <c r="K58" i="100"/>
  <c r="AB27" i="100"/>
  <c r="J37" i="100"/>
  <c r="P37" i="100" s="1"/>
  <c r="K37" i="100"/>
  <c r="AC62" i="100"/>
  <c r="AC49" i="100"/>
  <c r="O49" i="100"/>
  <c r="L50" i="100"/>
  <c r="J48" i="100"/>
  <c r="P48" i="100" s="1"/>
  <c r="L38" i="100"/>
  <c r="P38" i="100"/>
  <c r="K48" i="100"/>
  <c r="L19" i="100"/>
  <c r="Q19" i="100" s="1"/>
  <c r="AB17" i="100"/>
  <c r="AC17" i="100"/>
  <c r="J26" i="100"/>
  <c r="P26" i="100" s="1"/>
  <c r="K26" i="100"/>
  <c r="G1" i="100"/>
  <c r="G2" i="100" s="1"/>
  <c r="AC5" i="100"/>
  <c r="AB5" i="100"/>
  <c r="O38" i="100"/>
  <c r="AC38" i="100"/>
  <c r="N48" i="100"/>
  <c r="AB38" i="100"/>
  <c r="P60" i="100"/>
  <c r="J69" i="100"/>
  <c r="O28" i="100"/>
  <c r="AC28" i="100"/>
  <c r="N58" i="100"/>
  <c r="O50" i="100"/>
  <c r="AC50" i="100"/>
  <c r="AB50" i="100"/>
  <c r="O18" i="100"/>
  <c r="AC18" i="100"/>
  <c r="AB18" i="100"/>
  <c r="AC7" i="100"/>
  <c r="AB7" i="100"/>
  <c r="D18" i="99"/>
  <c r="I1" i="100"/>
  <c r="AB29" i="100"/>
  <c r="O29" i="100"/>
  <c r="AC29" i="100"/>
  <c r="AB28" i="100"/>
  <c r="AB6" i="100"/>
  <c r="O6" i="100"/>
  <c r="AC6" i="100"/>
  <c r="N15" i="100"/>
  <c r="L8" i="100"/>
  <c r="R7" i="100"/>
  <c r="L16" i="100"/>
  <c r="AB16" i="100"/>
  <c r="AC59" i="100"/>
  <c r="AB59" i="100"/>
  <c r="N69" i="100"/>
  <c r="O61" i="100"/>
  <c r="AB61" i="100"/>
  <c r="AC61" i="100"/>
  <c r="AC8" i="100"/>
  <c r="O51" i="100"/>
  <c r="AC51" i="100"/>
  <c r="AB51" i="100"/>
  <c r="L60" i="100"/>
  <c r="L28" i="100"/>
  <c r="L49" i="100"/>
  <c r="O60" i="100"/>
  <c r="O62" i="100"/>
  <c r="O27" i="100"/>
  <c r="L5" i="100"/>
  <c r="J58" i="100"/>
  <c r="P58" i="100" s="1"/>
  <c r="P28" i="100"/>
  <c r="N37" i="100"/>
  <c r="AB8" i="100"/>
  <c r="J15" i="100"/>
  <c r="P15" i="100" s="1"/>
  <c r="AC16" i="100"/>
  <c r="AC27" i="100"/>
  <c r="O16" i="100"/>
  <c r="O8" i="100"/>
  <c r="N26" i="100"/>
  <c r="AB60" i="100"/>
  <c r="L48" i="100" l="1"/>
  <c r="G13" i="99" s="1"/>
  <c r="R59" i="100"/>
  <c r="L48" i="106"/>
  <c r="G13" i="105" s="1"/>
  <c r="G15" i="105" s="1"/>
  <c r="Q19" i="106"/>
  <c r="L58" i="106"/>
  <c r="H13" i="105" s="1"/>
  <c r="H15" i="105" s="1"/>
  <c r="Q40" i="100"/>
  <c r="Q39" i="100"/>
  <c r="H6" i="109"/>
  <c r="R8" i="104"/>
  <c r="L37" i="100"/>
  <c r="F13" i="99" s="1"/>
  <c r="Q17" i="100"/>
  <c r="L15" i="104"/>
  <c r="D13" i="103" s="1"/>
  <c r="R17" i="106"/>
  <c r="L48" i="104"/>
  <c r="G13" i="103" s="1"/>
  <c r="AC15" i="106"/>
  <c r="AD5" i="106" s="1"/>
  <c r="L48" i="102"/>
  <c r="G13" i="101" s="1"/>
  <c r="Q39" i="102"/>
  <c r="L26" i="106"/>
  <c r="E13" i="105" s="1"/>
  <c r="E15" i="105" s="1"/>
  <c r="L58" i="100"/>
  <c r="H13" i="99" s="1"/>
  <c r="L79" i="110"/>
  <c r="J13" i="109" s="1"/>
  <c r="L69" i="102"/>
  <c r="I13" i="101" s="1"/>
  <c r="Q19" i="104"/>
  <c r="L69" i="104"/>
  <c r="I13" i="103" s="1"/>
  <c r="Q62" i="104"/>
  <c r="Q70" i="102"/>
  <c r="L15" i="100"/>
  <c r="D13" i="99" s="1"/>
  <c r="F6" i="107"/>
  <c r="R48" i="108"/>
  <c r="S38" i="108" s="1"/>
  <c r="L69" i="106"/>
  <c r="I13" i="105" s="1"/>
  <c r="Q39" i="104"/>
  <c r="J6" i="107"/>
  <c r="I15" i="107"/>
  <c r="J8" i="107" s="1"/>
  <c r="R19" i="100"/>
  <c r="L15" i="106"/>
  <c r="D13" i="105" s="1"/>
  <c r="Q8" i="106"/>
  <c r="H6" i="107"/>
  <c r="L69" i="100"/>
  <c r="I13" i="99" s="1"/>
  <c r="J6" i="99" s="1"/>
  <c r="R49" i="100"/>
  <c r="L26" i="100"/>
  <c r="E13" i="99" s="1"/>
  <c r="L15" i="102"/>
  <c r="D13" i="101" s="1"/>
  <c r="L58" i="104"/>
  <c r="H13" i="103" s="1"/>
  <c r="G2" i="106"/>
  <c r="J3" i="105"/>
  <c r="R79" i="111"/>
  <c r="S70" i="111" s="1"/>
  <c r="F7" i="112"/>
  <c r="H7" i="112"/>
  <c r="H8" i="112"/>
  <c r="H14" i="109"/>
  <c r="H15" i="109" s="1"/>
  <c r="R58" i="110"/>
  <c r="S49" i="110" s="1"/>
  <c r="R26" i="110"/>
  <c r="S16" i="110" s="1"/>
  <c r="Q26" i="110"/>
  <c r="E14" i="109"/>
  <c r="E15" i="109" s="1"/>
  <c r="R48" i="110"/>
  <c r="S38" i="110" s="1"/>
  <c r="G14" i="109"/>
  <c r="G15" i="109" s="1"/>
  <c r="R69" i="110"/>
  <c r="S59" i="110" s="1"/>
  <c r="I14" i="109"/>
  <c r="E2" i="110"/>
  <c r="R15" i="110"/>
  <c r="S5" i="110" s="1"/>
  <c r="Q15" i="110"/>
  <c r="D14" i="109"/>
  <c r="F14" i="109"/>
  <c r="F15" i="109" s="1"/>
  <c r="R37" i="110"/>
  <c r="S27" i="110" s="1"/>
  <c r="R58" i="108"/>
  <c r="S49" i="108" s="1"/>
  <c r="H14" i="107"/>
  <c r="H15" i="107" s="1"/>
  <c r="R37" i="108"/>
  <c r="S27" i="108" s="1"/>
  <c r="F14" i="107"/>
  <c r="F15" i="107" s="1"/>
  <c r="D15" i="107"/>
  <c r="R69" i="108"/>
  <c r="S59" i="108" s="1"/>
  <c r="R26" i="108"/>
  <c r="S16" i="108" s="1"/>
  <c r="Q26" i="108"/>
  <c r="E2" i="108"/>
  <c r="Q15" i="108"/>
  <c r="R15" i="108"/>
  <c r="S5" i="108" s="1"/>
  <c r="AB15" i="106"/>
  <c r="I1" i="106"/>
  <c r="AB48" i="106"/>
  <c r="Q48" i="106"/>
  <c r="AC48" i="106"/>
  <c r="AD38" i="106" s="1"/>
  <c r="Q18" i="106"/>
  <c r="R18" i="106"/>
  <c r="R5" i="106"/>
  <c r="Q5" i="106"/>
  <c r="O15" i="106"/>
  <c r="R59" i="106"/>
  <c r="Q59" i="106"/>
  <c r="O69" i="106"/>
  <c r="R6" i="106"/>
  <c r="Q6" i="106"/>
  <c r="R50" i="106"/>
  <c r="Q50" i="106"/>
  <c r="AC26" i="106"/>
  <c r="AD16" i="106" s="1"/>
  <c r="AB26" i="106"/>
  <c r="R27" i="106"/>
  <c r="Q27" i="106"/>
  <c r="O37" i="106"/>
  <c r="R37" i="106" s="1"/>
  <c r="S27" i="106" s="1"/>
  <c r="Q60" i="106"/>
  <c r="R60" i="106"/>
  <c r="R7" i="106"/>
  <c r="Q7" i="106"/>
  <c r="R28" i="106"/>
  <c r="Q28" i="106"/>
  <c r="Q58" i="106"/>
  <c r="AC58" i="106"/>
  <c r="AD49" i="106" s="1"/>
  <c r="AB58" i="106"/>
  <c r="R61" i="106"/>
  <c r="Q61" i="106"/>
  <c r="O48" i="106"/>
  <c r="R48" i="106" s="1"/>
  <c r="S38" i="106" s="1"/>
  <c r="R38" i="106"/>
  <c r="Q38" i="106"/>
  <c r="R29" i="106"/>
  <c r="Q29" i="106"/>
  <c r="R49" i="106"/>
  <c r="O58" i="106"/>
  <c r="R58" i="106" s="1"/>
  <c r="S49" i="106" s="1"/>
  <c r="Q49" i="106"/>
  <c r="AC37" i="106"/>
  <c r="AD27" i="106" s="1"/>
  <c r="AB37" i="106"/>
  <c r="Q37" i="106"/>
  <c r="AC69" i="106"/>
  <c r="AD59" i="106" s="1"/>
  <c r="AB69" i="106"/>
  <c r="Q69" i="106"/>
  <c r="O26" i="106"/>
  <c r="R16" i="106"/>
  <c r="Q16" i="106"/>
  <c r="P69" i="104"/>
  <c r="P79" i="104"/>
  <c r="R37" i="104"/>
  <c r="S27" i="104" s="1"/>
  <c r="F14" i="103"/>
  <c r="F15" i="103" s="1"/>
  <c r="G2" i="104"/>
  <c r="J3" i="103"/>
  <c r="AC15" i="104"/>
  <c r="AD5" i="104" s="1"/>
  <c r="AB15" i="104"/>
  <c r="O58" i="104"/>
  <c r="R49" i="104"/>
  <c r="Q49" i="104"/>
  <c r="I1" i="104"/>
  <c r="R60" i="104"/>
  <c r="Q60" i="104"/>
  <c r="R29" i="104"/>
  <c r="Q29" i="104"/>
  <c r="R61" i="104"/>
  <c r="Q61" i="104"/>
  <c r="L26" i="104"/>
  <c r="E13" i="103" s="1"/>
  <c r="AC37" i="104"/>
  <c r="AD27" i="104" s="1"/>
  <c r="AB37" i="104"/>
  <c r="Q37" i="104"/>
  <c r="AC69" i="104"/>
  <c r="AD59" i="104" s="1"/>
  <c r="AB69" i="104"/>
  <c r="Q69" i="104"/>
  <c r="N79" i="104"/>
  <c r="Q79" i="104" s="1"/>
  <c r="Q59" i="104"/>
  <c r="O69" i="104"/>
  <c r="I14" i="103" s="1"/>
  <c r="R59" i="104"/>
  <c r="R6" i="104"/>
  <c r="Q6" i="104"/>
  <c r="R16" i="104"/>
  <c r="R17" i="104"/>
  <c r="Q17" i="104"/>
  <c r="AC48" i="104"/>
  <c r="AD38" i="104" s="1"/>
  <c r="AB48" i="104"/>
  <c r="Q48" i="104"/>
  <c r="R18" i="104"/>
  <c r="Q18" i="104"/>
  <c r="R28" i="104"/>
  <c r="Q28" i="104"/>
  <c r="AC26" i="104"/>
  <c r="AD16" i="104" s="1"/>
  <c r="AB26" i="104"/>
  <c r="Q58" i="104"/>
  <c r="AC58" i="104"/>
  <c r="AD49" i="104" s="1"/>
  <c r="AB58" i="104"/>
  <c r="O26" i="104"/>
  <c r="E14" i="103" s="1"/>
  <c r="R38" i="104"/>
  <c r="Q38" i="104"/>
  <c r="O48" i="104"/>
  <c r="Q16" i="104"/>
  <c r="R5" i="104"/>
  <c r="Q5" i="104"/>
  <c r="O15" i="104"/>
  <c r="D14" i="103" s="1"/>
  <c r="P69" i="102"/>
  <c r="AC15" i="102"/>
  <c r="AD5" i="102" s="1"/>
  <c r="O37" i="102"/>
  <c r="F14" i="101" s="1"/>
  <c r="L37" i="102"/>
  <c r="F13" i="101" s="1"/>
  <c r="AB15" i="102"/>
  <c r="Q19" i="102"/>
  <c r="L26" i="102"/>
  <c r="E13" i="101" s="1"/>
  <c r="R6" i="102"/>
  <c r="Q6" i="102"/>
  <c r="AB69" i="102"/>
  <c r="N79" i="102"/>
  <c r="Q79" i="102" s="1"/>
  <c r="AC69" i="102"/>
  <c r="AD59" i="102" s="1"/>
  <c r="Q69" i="102"/>
  <c r="Q58" i="102"/>
  <c r="AB58" i="102"/>
  <c r="AC58" i="102"/>
  <c r="AD49" i="102" s="1"/>
  <c r="AC26" i="102"/>
  <c r="AD16" i="102" s="1"/>
  <c r="AB26" i="102"/>
  <c r="R7" i="102"/>
  <c r="Q7" i="102"/>
  <c r="AC48" i="102"/>
  <c r="AD38" i="102" s="1"/>
  <c r="AB48" i="102"/>
  <c r="Q48" i="102"/>
  <c r="R28" i="102"/>
  <c r="Q28" i="102"/>
  <c r="L79" i="102"/>
  <c r="J13" i="101" s="1"/>
  <c r="Q59" i="102"/>
  <c r="R59" i="102"/>
  <c r="O69" i="102"/>
  <c r="G2" i="102"/>
  <c r="J3" i="101"/>
  <c r="R38" i="102"/>
  <c r="O48" i="102"/>
  <c r="Q38" i="102"/>
  <c r="R17" i="102"/>
  <c r="Q17" i="102"/>
  <c r="R18" i="102"/>
  <c r="Q18" i="102"/>
  <c r="Q8" i="102"/>
  <c r="R8" i="102"/>
  <c r="R61" i="102"/>
  <c r="Q61" i="102"/>
  <c r="R5" i="102"/>
  <c r="Q5" i="102"/>
  <c r="O15" i="102"/>
  <c r="O26" i="102"/>
  <c r="AC37" i="102"/>
  <c r="AD27" i="102" s="1"/>
  <c r="Q37" i="102"/>
  <c r="AB37" i="102"/>
  <c r="R60" i="102"/>
  <c r="Q60" i="102"/>
  <c r="R49" i="102"/>
  <c r="O58" i="102"/>
  <c r="Q49" i="102"/>
  <c r="Q16" i="102"/>
  <c r="R29" i="102"/>
  <c r="Q29" i="102"/>
  <c r="J3" i="99"/>
  <c r="Q5" i="100"/>
  <c r="R5" i="100"/>
  <c r="AC15" i="100"/>
  <c r="AD5" i="100" s="1"/>
  <c r="AB15" i="100"/>
  <c r="R60" i="100"/>
  <c r="Q60" i="100"/>
  <c r="R6" i="100"/>
  <c r="Q6" i="100"/>
  <c r="P69" i="100"/>
  <c r="R50" i="100"/>
  <c r="Q50" i="100"/>
  <c r="Q51" i="100"/>
  <c r="R51" i="100"/>
  <c r="Q58" i="100"/>
  <c r="AC58" i="100"/>
  <c r="AD49" i="100" s="1"/>
  <c r="AB58" i="100"/>
  <c r="O15" i="100"/>
  <c r="R28" i="100"/>
  <c r="Q28" i="100"/>
  <c r="Q49" i="100"/>
  <c r="Q37" i="100"/>
  <c r="AC37" i="100"/>
  <c r="AD27" i="100" s="1"/>
  <c r="AB37" i="100"/>
  <c r="O69" i="100"/>
  <c r="AC48" i="100"/>
  <c r="AD38" i="100" s="1"/>
  <c r="Q48" i="100"/>
  <c r="AB48" i="100"/>
  <c r="R61" i="100"/>
  <c r="Q61" i="100"/>
  <c r="R18" i="100"/>
  <c r="Q18" i="100"/>
  <c r="AC26" i="100"/>
  <c r="AD16" i="100" s="1"/>
  <c r="AB26" i="100"/>
  <c r="Q29" i="100"/>
  <c r="R29" i="100"/>
  <c r="O58" i="100"/>
  <c r="Q38" i="100"/>
  <c r="O48" i="100"/>
  <c r="R38" i="100"/>
  <c r="R8" i="100"/>
  <c r="Q8" i="100"/>
  <c r="O37" i="100"/>
  <c r="R27" i="100"/>
  <c r="Q27" i="100"/>
  <c r="R16" i="100"/>
  <c r="O26" i="100"/>
  <c r="Q16" i="100"/>
  <c r="Q62" i="100"/>
  <c r="R62" i="100"/>
  <c r="AC69" i="100"/>
  <c r="AD59" i="100" s="1"/>
  <c r="AB69" i="100"/>
  <c r="Q69" i="100"/>
  <c r="R79" i="110" l="1"/>
  <c r="S70" i="110" s="1"/>
  <c r="J15" i="109"/>
  <c r="F6" i="109"/>
  <c r="H6" i="103"/>
  <c r="H6" i="99"/>
  <c r="J6" i="109"/>
  <c r="F6" i="103"/>
  <c r="L79" i="104"/>
  <c r="J6" i="103" s="1"/>
  <c r="H6" i="105"/>
  <c r="F6" i="105"/>
  <c r="D15" i="105"/>
  <c r="E15" i="103"/>
  <c r="J6" i="105"/>
  <c r="I15" i="105"/>
  <c r="J8" i="105" s="1"/>
  <c r="F6" i="99"/>
  <c r="J7" i="112"/>
  <c r="I15" i="109"/>
  <c r="J8" i="109" s="1"/>
  <c r="J7" i="109"/>
  <c r="D15" i="109"/>
  <c r="F7" i="109"/>
  <c r="H7" i="109"/>
  <c r="H7" i="107"/>
  <c r="F7" i="107"/>
  <c r="H8" i="107"/>
  <c r="F8" i="107"/>
  <c r="R15" i="106"/>
  <c r="S5" i="106" s="1"/>
  <c r="Q15" i="106"/>
  <c r="Q26" i="106"/>
  <c r="R26" i="106"/>
  <c r="S16" i="106" s="1"/>
  <c r="R69" i="106"/>
  <c r="S59" i="106" s="1"/>
  <c r="S70" i="106"/>
  <c r="I15" i="103"/>
  <c r="R58" i="104"/>
  <c r="S49" i="104" s="1"/>
  <c r="H14" i="103"/>
  <c r="H15" i="103" s="1"/>
  <c r="R48" i="104"/>
  <c r="S38" i="104" s="1"/>
  <c r="G14" i="103"/>
  <c r="G15" i="103" s="1"/>
  <c r="D15" i="103"/>
  <c r="R15" i="104"/>
  <c r="S5" i="104" s="1"/>
  <c r="Q15" i="104"/>
  <c r="R69" i="104"/>
  <c r="S59" i="104" s="1"/>
  <c r="O79" i="104"/>
  <c r="R26" i="104"/>
  <c r="S16" i="104" s="1"/>
  <c r="Q26" i="104"/>
  <c r="R37" i="102"/>
  <c r="S27" i="102" s="1"/>
  <c r="H6" i="101"/>
  <c r="F15" i="101"/>
  <c r="J6" i="101"/>
  <c r="D14" i="101"/>
  <c r="R15" i="102"/>
  <c r="S5" i="102" s="1"/>
  <c r="Q15" i="102"/>
  <c r="H14" i="101"/>
  <c r="H15" i="101" s="1"/>
  <c r="R58" i="102"/>
  <c r="S49" i="102" s="1"/>
  <c r="O79" i="102"/>
  <c r="R69" i="102"/>
  <c r="S59" i="102" s="1"/>
  <c r="I14" i="101"/>
  <c r="R48" i="102"/>
  <c r="S38" i="102" s="1"/>
  <c r="G14" i="101"/>
  <c r="G15" i="101" s="1"/>
  <c r="F6" i="101"/>
  <c r="E14" i="101"/>
  <c r="E15" i="101" s="1"/>
  <c r="R26" i="102"/>
  <c r="S16" i="102" s="1"/>
  <c r="Q26" i="102"/>
  <c r="R37" i="100"/>
  <c r="S27" i="100" s="1"/>
  <c r="F14" i="99"/>
  <c r="F15" i="99" s="1"/>
  <c r="R15" i="100"/>
  <c r="S5" i="100" s="1"/>
  <c r="Q15" i="100"/>
  <c r="D14" i="99"/>
  <c r="R48" i="100"/>
  <c r="S38" i="100" s="1"/>
  <c r="G14" i="99"/>
  <c r="G15" i="99" s="1"/>
  <c r="H14" i="99"/>
  <c r="H15" i="99" s="1"/>
  <c r="R58" i="100"/>
  <c r="S49" i="100" s="1"/>
  <c r="E14" i="99"/>
  <c r="E15" i="99" s="1"/>
  <c r="R26" i="100"/>
  <c r="S16" i="100" s="1"/>
  <c r="Q26" i="100"/>
  <c r="R69" i="100"/>
  <c r="S59" i="100" s="1"/>
  <c r="I14" i="99"/>
  <c r="H8" i="105" l="1"/>
  <c r="F8" i="105"/>
  <c r="J8" i="112"/>
  <c r="F8" i="112"/>
  <c r="H8" i="109"/>
  <c r="F8" i="109"/>
  <c r="E2" i="106"/>
  <c r="R79" i="104"/>
  <c r="S70" i="104" s="1"/>
  <c r="F7" i="103"/>
  <c r="H7" i="103"/>
  <c r="H8" i="103"/>
  <c r="E2" i="104"/>
  <c r="H7" i="101"/>
  <c r="D15" i="101"/>
  <c r="I15" i="101"/>
  <c r="R79" i="102"/>
  <c r="S70" i="102" s="1"/>
  <c r="J14" i="101"/>
  <c r="J15" i="101" s="1"/>
  <c r="E2" i="102"/>
  <c r="E2" i="100"/>
  <c r="D15" i="99"/>
  <c r="H7" i="99"/>
  <c r="F7" i="99"/>
  <c r="J7" i="99"/>
  <c r="I15" i="99"/>
  <c r="J8" i="99" s="1"/>
  <c r="J7" i="103" l="1"/>
  <c r="J8" i="101"/>
  <c r="J7" i="101"/>
  <c r="H8" i="101"/>
  <c r="F8" i="101"/>
  <c r="F7" i="101"/>
  <c r="H8" i="99"/>
  <c r="F8" i="99"/>
  <c r="J8" i="103" l="1"/>
  <c r="F8" i="103"/>
  <c r="P72" i="98"/>
  <c r="P73" i="98"/>
  <c r="F72" i="98"/>
  <c r="H72" i="98" s="1"/>
  <c r="F73" i="98"/>
  <c r="H73" i="98" s="1"/>
  <c r="L72" i="98"/>
  <c r="L73" i="98"/>
  <c r="B72" i="98"/>
  <c r="B73" i="98"/>
  <c r="W78" i="98"/>
  <c r="H78" i="98"/>
  <c r="W77" i="98"/>
  <c r="H77" i="98"/>
  <c r="W76" i="98"/>
  <c r="H76" i="98"/>
  <c r="W75" i="98"/>
  <c r="H75" i="98"/>
  <c r="W74" i="98"/>
  <c r="H74" i="98"/>
  <c r="W73" i="98"/>
  <c r="N73" i="98" s="1"/>
  <c r="O73" i="98" s="1"/>
  <c r="W72" i="98"/>
  <c r="N72" i="98" s="1"/>
  <c r="O72" i="98" s="1"/>
  <c r="Q72" i="98" s="1"/>
  <c r="W71" i="98"/>
  <c r="V71" i="98"/>
  <c r="P71" i="98"/>
  <c r="N71" i="98"/>
  <c r="O71" i="98" s="1"/>
  <c r="R71" i="98" s="1"/>
  <c r="L71" i="98"/>
  <c r="F71" i="98"/>
  <c r="H71" i="98" s="1"/>
  <c r="B71" i="98"/>
  <c r="AD70" i="98"/>
  <c r="W70" i="98"/>
  <c r="P70" i="98"/>
  <c r="N70" i="98"/>
  <c r="O70" i="98" s="1"/>
  <c r="Q70" i="98" s="1"/>
  <c r="L70" i="98"/>
  <c r="F70" i="98"/>
  <c r="H70" i="98" s="1"/>
  <c r="B70" i="98"/>
  <c r="M69" i="98"/>
  <c r="M79" i="98" s="1"/>
  <c r="W68" i="98"/>
  <c r="H68" i="98"/>
  <c r="W67" i="98"/>
  <c r="H67" i="98"/>
  <c r="W66" i="98"/>
  <c r="H66" i="98"/>
  <c r="W65" i="98"/>
  <c r="H65" i="98"/>
  <c r="W64" i="98"/>
  <c r="H64" i="98"/>
  <c r="W63" i="98"/>
  <c r="H63" i="98"/>
  <c r="W62" i="98"/>
  <c r="V62" i="98"/>
  <c r="P62" i="98"/>
  <c r="N62" i="98"/>
  <c r="AC62" i="98" s="1"/>
  <c r="H62" i="98"/>
  <c r="W61" i="98"/>
  <c r="V61" i="98"/>
  <c r="N61" i="98"/>
  <c r="K61" i="98"/>
  <c r="J61" i="98"/>
  <c r="P61" i="98" s="1"/>
  <c r="F61" i="98"/>
  <c r="H61" i="98" s="1"/>
  <c r="B61" i="98"/>
  <c r="W60" i="98"/>
  <c r="V60" i="98"/>
  <c r="N60" i="98"/>
  <c r="K60" i="98"/>
  <c r="J60" i="98"/>
  <c r="P60" i="98" s="1"/>
  <c r="F60" i="98"/>
  <c r="H60" i="98" s="1"/>
  <c r="B60" i="98"/>
  <c r="W59" i="98"/>
  <c r="N59" i="98" s="1"/>
  <c r="K59" i="98"/>
  <c r="J59" i="98"/>
  <c r="F59" i="98"/>
  <c r="H59" i="98" s="1"/>
  <c r="B59" i="98"/>
  <c r="M58" i="98"/>
  <c r="W57" i="98"/>
  <c r="H57" i="98"/>
  <c r="W56" i="98"/>
  <c r="H56" i="98"/>
  <c r="W55" i="98"/>
  <c r="H55" i="98"/>
  <c r="W54" i="98"/>
  <c r="H54" i="98"/>
  <c r="W53" i="98"/>
  <c r="H53" i="98"/>
  <c r="W52" i="98"/>
  <c r="W51" i="98"/>
  <c r="N51" i="98" s="1"/>
  <c r="V51" i="98"/>
  <c r="P51" i="98"/>
  <c r="L51" i="98"/>
  <c r="F51" i="98"/>
  <c r="H51" i="98" s="1"/>
  <c r="B51" i="98"/>
  <c r="W50" i="98"/>
  <c r="N50" i="98" s="1"/>
  <c r="V50" i="98"/>
  <c r="P50" i="98"/>
  <c r="L50" i="98"/>
  <c r="F50" i="98"/>
  <c r="H50" i="98" s="1"/>
  <c r="B50" i="98"/>
  <c r="W49" i="98"/>
  <c r="N49" i="98" s="1"/>
  <c r="AC49" i="98" s="1"/>
  <c r="L49" i="98"/>
  <c r="J58" i="98"/>
  <c r="F49" i="98"/>
  <c r="H49" i="98" s="1"/>
  <c r="B49" i="98"/>
  <c r="W48" i="98"/>
  <c r="M48" i="98"/>
  <c r="G18" i="97" s="1"/>
  <c r="W47" i="98"/>
  <c r="H47" i="98"/>
  <c r="W46" i="98"/>
  <c r="H46" i="98"/>
  <c r="W45" i="98"/>
  <c r="H45" i="98"/>
  <c r="W44" i="98"/>
  <c r="H44" i="98"/>
  <c r="W43" i="98"/>
  <c r="H43" i="98"/>
  <c r="W42" i="98"/>
  <c r="H42" i="98"/>
  <c r="W41" i="98"/>
  <c r="H41" i="98"/>
  <c r="W40" i="98"/>
  <c r="H40" i="98"/>
  <c r="W39" i="98"/>
  <c r="W38" i="98"/>
  <c r="N38" i="98" s="1"/>
  <c r="K38" i="98"/>
  <c r="K48" i="98" s="1"/>
  <c r="J38" i="98"/>
  <c r="P38" i="98" s="1"/>
  <c r="F38" i="98"/>
  <c r="H38" i="98" s="1"/>
  <c r="C38" i="98"/>
  <c r="M37" i="98"/>
  <c r="W36" i="98"/>
  <c r="H36" i="98"/>
  <c r="W35" i="98"/>
  <c r="H35" i="98"/>
  <c r="W34" i="98"/>
  <c r="H34" i="98"/>
  <c r="W33" i="98"/>
  <c r="H33" i="98"/>
  <c r="W32" i="98"/>
  <c r="H32" i="98"/>
  <c r="W31" i="98"/>
  <c r="W30" i="98"/>
  <c r="N30" i="98" s="1"/>
  <c r="O30" i="98" s="1"/>
  <c r="V30" i="98"/>
  <c r="P30" i="98"/>
  <c r="L30" i="98"/>
  <c r="F30" i="98"/>
  <c r="H30" i="98" s="1"/>
  <c r="B30" i="98"/>
  <c r="W29" i="98"/>
  <c r="N29" i="98" s="1"/>
  <c r="V29" i="98"/>
  <c r="K29" i="98"/>
  <c r="J29" i="98"/>
  <c r="P29" i="98" s="1"/>
  <c r="F29" i="98"/>
  <c r="H29" i="98" s="1"/>
  <c r="B29" i="98"/>
  <c r="W28" i="98"/>
  <c r="N28" i="98" s="1"/>
  <c r="O28" i="98" s="1"/>
  <c r="V28" i="98"/>
  <c r="K28" i="98"/>
  <c r="J28" i="98"/>
  <c r="F28" i="98"/>
  <c r="H28" i="98" s="1"/>
  <c r="B28" i="98"/>
  <c r="W27" i="98"/>
  <c r="P27" i="98"/>
  <c r="N27" i="98"/>
  <c r="O27" i="98" s="1"/>
  <c r="L27" i="98"/>
  <c r="F27" i="98"/>
  <c r="H27" i="98" s="1"/>
  <c r="M26" i="98"/>
  <c r="E18" i="97" s="1"/>
  <c r="W25" i="98"/>
  <c r="H25" i="98"/>
  <c r="W24" i="98"/>
  <c r="H24" i="98"/>
  <c r="W23" i="98"/>
  <c r="H23" i="98"/>
  <c r="H22" i="98"/>
  <c r="H21" i="98"/>
  <c r="W19" i="98"/>
  <c r="N19" i="98" s="1"/>
  <c r="O19" i="98" s="1"/>
  <c r="V19" i="98"/>
  <c r="K19" i="98"/>
  <c r="J19" i="98"/>
  <c r="P19" i="98" s="1"/>
  <c r="F19" i="98"/>
  <c r="H19" i="98" s="1"/>
  <c r="W18" i="98"/>
  <c r="N18" i="98" s="1"/>
  <c r="V18" i="98"/>
  <c r="K18" i="98"/>
  <c r="J18" i="98"/>
  <c r="P18" i="98" s="1"/>
  <c r="F18" i="98"/>
  <c r="H18" i="98" s="1"/>
  <c r="W17" i="98"/>
  <c r="N17" i="98" s="1"/>
  <c r="V17" i="98"/>
  <c r="K17" i="98"/>
  <c r="J17" i="98"/>
  <c r="P17" i="98" s="1"/>
  <c r="F17" i="98"/>
  <c r="H17" i="98" s="1"/>
  <c r="W16" i="98"/>
  <c r="N16" i="98"/>
  <c r="O16" i="98" s="1"/>
  <c r="K16" i="98"/>
  <c r="J16" i="98"/>
  <c r="P16" i="98" s="1"/>
  <c r="F16" i="98"/>
  <c r="H16" i="98" s="1"/>
  <c r="M15" i="98"/>
  <c r="D18" i="97" s="1"/>
  <c r="W14" i="98"/>
  <c r="H14" i="98"/>
  <c r="W13" i="98"/>
  <c r="H13" i="98"/>
  <c r="W12" i="98"/>
  <c r="H12" i="98"/>
  <c r="W11" i="98"/>
  <c r="H11" i="98"/>
  <c r="W10" i="98"/>
  <c r="W9" i="98"/>
  <c r="W8" i="98"/>
  <c r="V8" i="98"/>
  <c r="N8" i="98"/>
  <c r="O8" i="98" s="1"/>
  <c r="K8" i="98"/>
  <c r="J8" i="98"/>
  <c r="P8" i="98" s="1"/>
  <c r="F8" i="98"/>
  <c r="H8" i="98" s="1"/>
  <c r="B8" i="98"/>
  <c r="W7" i="98"/>
  <c r="N7" i="98" s="1"/>
  <c r="V7" i="98"/>
  <c r="K7" i="98"/>
  <c r="J7" i="98"/>
  <c r="P7" i="98" s="1"/>
  <c r="F7" i="98"/>
  <c r="H7" i="98" s="1"/>
  <c r="B7" i="98"/>
  <c r="W6" i="98"/>
  <c r="N6" i="98" s="1"/>
  <c r="V6" i="98"/>
  <c r="K6" i="98"/>
  <c r="J6" i="98"/>
  <c r="P6" i="98" s="1"/>
  <c r="F6" i="98"/>
  <c r="H6" i="98" s="1"/>
  <c r="B6" i="98"/>
  <c r="W5" i="98"/>
  <c r="N5" i="98"/>
  <c r="K5" i="98"/>
  <c r="J5" i="98"/>
  <c r="F5" i="98"/>
  <c r="H5" i="98" s="1"/>
  <c r="B5" i="98"/>
  <c r="I2" i="98"/>
  <c r="E1" i="98"/>
  <c r="G3" i="97" s="1"/>
  <c r="I18" i="97"/>
  <c r="J16" i="97"/>
  <c r="I16" i="97"/>
  <c r="H16" i="97"/>
  <c r="G16" i="97"/>
  <c r="F16" i="97"/>
  <c r="E16" i="97"/>
  <c r="D16" i="97"/>
  <c r="K39" i="95"/>
  <c r="J39" i="95"/>
  <c r="H62" i="95"/>
  <c r="H63" i="95"/>
  <c r="H39" i="95"/>
  <c r="H40" i="95"/>
  <c r="H41" i="95"/>
  <c r="H42" i="95"/>
  <c r="H62" i="93"/>
  <c r="H40" i="93"/>
  <c r="H41" i="93"/>
  <c r="H39" i="93"/>
  <c r="K69" i="98" l="1"/>
  <c r="K79" i="98" s="1"/>
  <c r="L16" i="98"/>
  <c r="R16" i="98" s="1"/>
  <c r="L18" i="98"/>
  <c r="L8" i="98"/>
  <c r="L60" i="98"/>
  <c r="Q60" i="98" s="1"/>
  <c r="L7" i="98"/>
  <c r="K26" i="98"/>
  <c r="J37" i="98"/>
  <c r="P37" i="98" s="1"/>
  <c r="J69" i="98"/>
  <c r="J79" i="98" s="1"/>
  <c r="P79" i="98" s="1"/>
  <c r="L61" i="98"/>
  <c r="AC61" i="98"/>
  <c r="L19" i="98"/>
  <c r="R19" i="98" s="1"/>
  <c r="L29" i="98"/>
  <c r="AC60" i="98"/>
  <c r="AB17" i="98"/>
  <c r="J26" i="98"/>
  <c r="P26" i="98" s="1"/>
  <c r="AB5" i="98"/>
  <c r="L58" i="98"/>
  <c r="H13" i="97" s="1"/>
  <c r="P58" i="98"/>
  <c r="AB28" i="98"/>
  <c r="Q73" i="98"/>
  <c r="R73" i="98"/>
  <c r="R72" i="98"/>
  <c r="H18" i="97"/>
  <c r="F18" i="97"/>
  <c r="O60" i="98"/>
  <c r="O62" i="98"/>
  <c r="Q62" i="98" s="1"/>
  <c r="AC28" i="98"/>
  <c r="AC5" i="98"/>
  <c r="J48" i="98"/>
  <c r="P48" i="98" s="1"/>
  <c r="L6" i="98"/>
  <c r="J15" i="98"/>
  <c r="P15" i="98" s="1"/>
  <c r="Q8" i="98"/>
  <c r="R8" i="98"/>
  <c r="AB50" i="98"/>
  <c r="AC50" i="98"/>
  <c r="O50" i="98"/>
  <c r="Q27" i="98"/>
  <c r="R27" i="98"/>
  <c r="Q30" i="98"/>
  <c r="R30" i="98"/>
  <c r="O7" i="98"/>
  <c r="AC7" i="98"/>
  <c r="AB7" i="98"/>
  <c r="G1" i="98"/>
  <c r="AB18" i="98"/>
  <c r="AC18" i="98"/>
  <c r="O18" i="98"/>
  <c r="O29" i="98"/>
  <c r="O37" i="98" s="1"/>
  <c r="AB29" i="98"/>
  <c r="AC29" i="98"/>
  <c r="AB38" i="98"/>
  <c r="O38" i="98"/>
  <c r="AC38" i="98"/>
  <c r="N48" i="98"/>
  <c r="J18" i="97"/>
  <c r="AB51" i="98"/>
  <c r="O51" i="98"/>
  <c r="AC51" i="98"/>
  <c r="O26" i="98"/>
  <c r="AB6" i="98"/>
  <c r="O6" i="98"/>
  <c r="AC6" i="98"/>
  <c r="N15" i="98"/>
  <c r="N69" i="98"/>
  <c r="O59" i="98"/>
  <c r="AC59" i="98"/>
  <c r="AB59" i="98"/>
  <c r="L5" i="98"/>
  <c r="N26" i="98"/>
  <c r="O61" i="98"/>
  <c r="Q71" i="98"/>
  <c r="O5" i="98"/>
  <c r="R62" i="98"/>
  <c r="R70" i="98"/>
  <c r="I1" i="98"/>
  <c r="P5" i="98"/>
  <c r="P28" i="98"/>
  <c r="N37" i="98"/>
  <c r="L38" i="98"/>
  <c r="L48" i="98" s="1"/>
  <c r="G13" i="97" s="1"/>
  <c r="N58" i="98"/>
  <c r="L59" i="98"/>
  <c r="AB60" i="98"/>
  <c r="K37" i="98"/>
  <c r="P49" i="98"/>
  <c r="AB16" i="98"/>
  <c r="AB27" i="98"/>
  <c r="AB62" i="98"/>
  <c r="L28" i="98"/>
  <c r="Q28" i="98" s="1"/>
  <c r="K58" i="98"/>
  <c r="O17" i="98"/>
  <c r="O49" i="98"/>
  <c r="AB8" i="98"/>
  <c r="AC16" i="98"/>
  <c r="AC27" i="98"/>
  <c r="AC8" i="98"/>
  <c r="K15" i="98"/>
  <c r="P59" i="98"/>
  <c r="AB61" i="98"/>
  <c r="L17" i="98"/>
  <c r="AB49" i="98"/>
  <c r="AC17" i="98"/>
  <c r="W78" i="95"/>
  <c r="H78" i="95"/>
  <c r="W77" i="95"/>
  <c r="H77" i="95"/>
  <c r="W76" i="95"/>
  <c r="H76" i="95"/>
  <c r="W75" i="95"/>
  <c r="H75" i="95"/>
  <c r="W74" i="95"/>
  <c r="H74" i="95"/>
  <c r="W73" i="95"/>
  <c r="H73" i="95"/>
  <c r="W72" i="95"/>
  <c r="H72" i="95"/>
  <c r="W71" i="95"/>
  <c r="V71" i="95"/>
  <c r="P71" i="95"/>
  <c r="N71" i="95"/>
  <c r="O71" i="95" s="1"/>
  <c r="L71" i="95"/>
  <c r="F71" i="95"/>
  <c r="H71" i="95" s="1"/>
  <c r="B71" i="95"/>
  <c r="AD70" i="95"/>
  <c r="W70" i="95"/>
  <c r="P70" i="95"/>
  <c r="N70" i="95"/>
  <c r="O70" i="95" s="1"/>
  <c r="L70" i="95"/>
  <c r="H70" i="95"/>
  <c r="F70" i="95"/>
  <c r="B70" i="95"/>
  <c r="M69" i="95"/>
  <c r="W68" i="95"/>
  <c r="H68" i="95"/>
  <c r="W67" i="95"/>
  <c r="H67" i="95"/>
  <c r="W66" i="95"/>
  <c r="H66" i="95"/>
  <c r="W65" i="95"/>
  <c r="H65" i="95"/>
  <c r="W64" i="95"/>
  <c r="H64" i="95"/>
  <c r="W63" i="95"/>
  <c r="W62" i="95"/>
  <c r="V62" i="95"/>
  <c r="P62" i="95"/>
  <c r="N62" i="95"/>
  <c r="W61" i="95"/>
  <c r="N61" i="95" s="1"/>
  <c r="V61" i="95"/>
  <c r="K61" i="95"/>
  <c r="J61" i="95"/>
  <c r="P61" i="95" s="1"/>
  <c r="F61" i="95"/>
  <c r="H61" i="95" s="1"/>
  <c r="B61" i="95"/>
  <c r="W60" i="95"/>
  <c r="V60" i="95"/>
  <c r="N60" i="95"/>
  <c r="K60" i="95"/>
  <c r="J60" i="95"/>
  <c r="F60" i="95"/>
  <c r="H60" i="95" s="1"/>
  <c r="B60" i="95"/>
  <c r="W59" i="95"/>
  <c r="N59" i="95" s="1"/>
  <c r="K59" i="95"/>
  <c r="J59" i="95"/>
  <c r="P59" i="95" s="1"/>
  <c r="F59" i="95"/>
  <c r="H59" i="95" s="1"/>
  <c r="B59" i="95"/>
  <c r="M58" i="95"/>
  <c r="H18" i="94" s="1"/>
  <c r="W57" i="95"/>
  <c r="H57" i="95"/>
  <c r="W56" i="95"/>
  <c r="H56" i="95"/>
  <c r="W55" i="95"/>
  <c r="H55" i="95"/>
  <c r="W54" i="95"/>
  <c r="H54" i="95"/>
  <c r="W53" i="95"/>
  <c r="H53" i="95"/>
  <c r="W52" i="95"/>
  <c r="W51" i="95"/>
  <c r="N51" i="95" s="1"/>
  <c r="O51" i="95" s="1"/>
  <c r="Q51" i="95" s="1"/>
  <c r="V51" i="95"/>
  <c r="P51" i="95"/>
  <c r="L51" i="95"/>
  <c r="F51" i="95"/>
  <c r="H51" i="95" s="1"/>
  <c r="B51" i="95"/>
  <c r="W50" i="95"/>
  <c r="N50" i="95" s="1"/>
  <c r="V50" i="95"/>
  <c r="P50" i="95"/>
  <c r="L50" i="95"/>
  <c r="F50" i="95"/>
  <c r="H50" i="95" s="1"/>
  <c r="B50" i="95"/>
  <c r="W49" i="95"/>
  <c r="N49" i="95" s="1"/>
  <c r="K49" i="95"/>
  <c r="K58" i="95" s="1"/>
  <c r="J49" i="95"/>
  <c r="P49" i="95" s="1"/>
  <c r="F49" i="95"/>
  <c r="H49" i="95" s="1"/>
  <c r="B49" i="95"/>
  <c r="W48" i="95"/>
  <c r="M48" i="95"/>
  <c r="W47" i="95"/>
  <c r="H47" i="95"/>
  <c r="W46" i="95"/>
  <c r="H46" i="95"/>
  <c r="W45" i="95"/>
  <c r="H45" i="95"/>
  <c r="W44" i="95"/>
  <c r="H44" i="95"/>
  <c r="W43" i="95"/>
  <c r="H43" i="95"/>
  <c r="W42" i="95"/>
  <c r="W41" i="95"/>
  <c r="W40" i="95"/>
  <c r="W39" i="95"/>
  <c r="V39" i="95"/>
  <c r="P39" i="95"/>
  <c r="N39" i="95"/>
  <c r="O39" i="95" s="1"/>
  <c r="R39" i="95" s="1"/>
  <c r="W38" i="95"/>
  <c r="N38" i="95"/>
  <c r="K38" i="95"/>
  <c r="K48" i="95" s="1"/>
  <c r="J38" i="95"/>
  <c r="P38" i="95" s="1"/>
  <c r="F38" i="95"/>
  <c r="H38" i="95" s="1"/>
  <c r="C38" i="95"/>
  <c r="M37" i="95"/>
  <c r="W36" i="95"/>
  <c r="H36" i="95"/>
  <c r="W35" i="95"/>
  <c r="H35" i="95"/>
  <c r="W34" i="95"/>
  <c r="H34" i="95"/>
  <c r="W33" i="95"/>
  <c r="H33" i="95"/>
  <c r="W32" i="95"/>
  <c r="H32" i="95"/>
  <c r="W31" i="95"/>
  <c r="W30" i="95"/>
  <c r="N30" i="95" s="1"/>
  <c r="O30" i="95" s="1"/>
  <c r="V30" i="95"/>
  <c r="P30" i="95"/>
  <c r="L30" i="95"/>
  <c r="F30" i="95"/>
  <c r="H30" i="95" s="1"/>
  <c r="B30" i="95"/>
  <c r="W29" i="95"/>
  <c r="N29" i="95" s="1"/>
  <c r="V29" i="95"/>
  <c r="K29" i="95"/>
  <c r="J29" i="95"/>
  <c r="P29" i="95" s="1"/>
  <c r="F29" i="95"/>
  <c r="H29" i="95" s="1"/>
  <c r="B29" i="95"/>
  <c r="W28" i="95"/>
  <c r="V28" i="95"/>
  <c r="N28" i="95"/>
  <c r="K28" i="95"/>
  <c r="J28" i="95"/>
  <c r="P28" i="95" s="1"/>
  <c r="F28" i="95"/>
  <c r="H28" i="95" s="1"/>
  <c r="B28" i="95"/>
  <c r="W27" i="95"/>
  <c r="N27" i="95" s="1"/>
  <c r="O27" i="95" s="1"/>
  <c r="P27" i="95"/>
  <c r="L27" i="95"/>
  <c r="F27" i="95"/>
  <c r="H27" i="95" s="1"/>
  <c r="M26" i="95"/>
  <c r="W25" i="95"/>
  <c r="H25" i="95"/>
  <c r="W24" i="95"/>
  <c r="H24" i="95"/>
  <c r="W23" i="95"/>
  <c r="H23" i="95"/>
  <c r="H22" i="95"/>
  <c r="H21" i="95"/>
  <c r="W19" i="95"/>
  <c r="N19" i="95" s="1"/>
  <c r="O19" i="95" s="1"/>
  <c r="V19" i="95"/>
  <c r="K19" i="95"/>
  <c r="J19" i="95"/>
  <c r="P19" i="95" s="1"/>
  <c r="F19" i="95"/>
  <c r="H19" i="95" s="1"/>
  <c r="W18" i="95"/>
  <c r="V18" i="95"/>
  <c r="N18" i="95"/>
  <c r="K18" i="95"/>
  <c r="AC18" i="95" s="1"/>
  <c r="J18" i="95"/>
  <c r="P18" i="95" s="1"/>
  <c r="F18" i="95"/>
  <c r="H18" i="95" s="1"/>
  <c r="W17" i="95"/>
  <c r="N17" i="95" s="1"/>
  <c r="V17" i="95"/>
  <c r="K17" i="95"/>
  <c r="J17" i="95"/>
  <c r="P17" i="95" s="1"/>
  <c r="F17" i="95"/>
  <c r="H17" i="95" s="1"/>
  <c r="W16" i="95"/>
  <c r="N16" i="95" s="1"/>
  <c r="O16" i="95" s="1"/>
  <c r="K16" i="95"/>
  <c r="J16" i="95"/>
  <c r="F16" i="95"/>
  <c r="H16" i="95" s="1"/>
  <c r="M15" i="95"/>
  <c r="D18" i="94" s="1"/>
  <c r="W14" i="95"/>
  <c r="H14" i="95"/>
  <c r="W13" i="95"/>
  <c r="H13" i="95"/>
  <c r="W12" i="95"/>
  <c r="H12" i="95"/>
  <c r="W11" i="95"/>
  <c r="H11" i="95"/>
  <c r="W10" i="95"/>
  <c r="W9" i="95"/>
  <c r="W8" i="95"/>
  <c r="N8" i="95" s="1"/>
  <c r="O8" i="95" s="1"/>
  <c r="V8" i="95"/>
  <c r="K8" i="95"/>
  <c r="J8" i="95"/>
  <c r="P8" i="95" s="1"/>
  <c r="F8" i="95"/>
  <c r="H8" i="95" s="1"/>
  <c r="B8" i="95"/>
  <c r="W7" i="95"/>
  <c r="N7" i="95" s="1"/>
  <c r="O7" i="95" s="1"/>
  <c r="V7" i="95"/>
  <c r="K7" i="95"/>
  <c r="J7" i="95"/>
  <c r="P7" i="95" s="1"/>
  <c r="F7" i="95"/>
  <c r="H7" i="95" s="1"/>
  <c r="B7" i="95"/>
  <c r="W6" i="95"/>
  <c r="N6" i="95" s="1"/>
  <c r="O6" i="95" s="1"/>
  <c r="V6" i="95"/>
  <c r="K6" i="95"/>
  <c r="J6" i="95"/>
  <c r="P6" i="95" s="1"/>
  <c r="F6" i="95"/>
  <c r="H6" i="95" s="1"/>
  <c r="B6" i="95"/>
  <c r="W5" i="95"/>
  <c r="N5" i="95" s="1"/>
  <c r="K5" i="95"/>
  <c r="J5" i="95"/>
  <c r="P5" i="95" s="1"/>
  <c r="F5" i="95"/>
  <c r="H5" i="95" s="1"/>
  <c r="B5" i="95"/>
  <c r="I2" i="95"/>
  <c r="E1" i="95"/>
  <c r="G3" i="94" s="1"/>
  <c r="E18" i="94"/>
  <c r="J16" i="94"/>
  <c r="I16" i="94"/>
  <c r="H16" i="94"/>
  <c r="G16" i="94"/>
  <c r="F16" i="94"/>
  <c r="E16" i="94"/>
  <c r="D16" i="94"/>
  <c r="J16" i="92"/>
  <c r="J18" i="92"/>
  <c r="F7" i="92"/>
  <c r="J7" i="92"/>
  <c r="V72" i="93"/>
  <c r="V71" i="93"/>
  <c r="M79" i="93"/>
  <c r="V19" i="93"/>
  <c r="V41" i="93"/>
  <c r="N41" i="93"/>
  <c r="O41" i="93" s="1"/>
  <c r="P41" i="93"/>
  <c r="V30" i="93"/>
  <c r="N27" i="93"/>
  <c r="O27" i="93" s="1"/>
  <c r="R27" i="93" s="1"/>
  <c r="N28" i="93"/>
  <c r="N19" i="93"/>
  <c r="O19" i="93"/>
  <c r="P72" i="93"/>
  <c r="P62" i="91"/>
  <c r="P62" i="93"/>
  <c r="P71" i="93"/>
  <c r="P70" i="93"/>
  <c r="L72" i="93"/>
  <c r="F72" i="93"/>
  <c r="H72" i="93" s="1"/>
  <c r="L71" i="93"/>
  <c r="F71" i="93"/>
  <c r="H71" i="93" s="1"/>
  <c r="L70" i="93"/>
  <c r="F70" i="93"/>
  <c r="H70" i="93" s="1"/>
  <c r="B72" i="93"/>
  <c r="B71" i="93"/>
  <c r="B70" i="93"/>
  <c r="F30" i="93"/>
  <c r="H30" i="93" s="1"/>
  <c r="P30" i="93"/>
  <c r="L30" i="93"/>
  <c r="B30" i="93"/>
  <c r="F19" i="93"/>
  <c r="H19" i="93" s="1"/>
  <c r="J19" i="93"/>
  <c r="P19" i="93" s="1"/>
  <c r="K19" i="93"/>
  <c r="L19" i="93" s="1"/>
  <c r="Q16" i="98" l="1"/>
  <c r="R60" i="98"/>
  <c r="L69" i="98"/>
  <c r="K37" i="95"/>
  <c r="L15" i="98"/>
  <c r="D13" i="97" s="1"/>
  <c r="L26" i="98"/>
  <c r="E13" i="97" s="1"/>
  <c r="Q19" i="98"/>
  <c r="AC29" i="95"/>
  <c r="L7" i="95"/>
  <c r="Q7" i="95" s="1"/>
  <c r="L17" i="95"/>
  <c r="L61" i="95"/>
  <c r="Q19" i="93"/>
  <c r="AC59" i="95"/>
  <c r="L29" i="95"/>
  <c r="L5" i="95"/>
  <c r="L59" i="95"/>
  <c r="Q59" i="95" s="1"/>
  <c r="L60" i="95"/>
  <c r="J58" i="95"/>
  <c r="P58" i="95" s="1"/>
  <c r="K69" i="95"/>
  <c r="K79" i="95" s="1"/>
  <c r="L8" i="95"/>
  <c r="R8" i="95" s="1"/>
  <c r="P69" i="98"/>
  <c r="F14" i="97"/>
  <c r="L37" i="98"/>
  <c r="F13" i="97" s="1"/>
  <c r="H6" i="97" s="1"/>
  <c r="R18" i="98"/>
  <c r="Q18" i="98"/>
  <c r="AB58" i="98"/>
  <c r="AC58" i="98"/>
  <c r="AD49" i="98" s="1"/>
  <c r="Q58" i="98"/>
  <c r="R59" i="98"/>
  <c r="Q59" i="98"/>
  <c r="O69" i="98"/>
  <c r="AB37" i="98"/>
  <c r="Q37" i="98"/>
  <c r="AC37" i="98"/>
  <c r="AD27" i="98" s="1"/>
  <c r="AC69" i="98"/>
  <c r="AD59" i="98" s="1"/>
  <c r="AB69" i="98"/>
  <c r="Q69" i="98"/>
  <c r="N79" i="98"/>
  <c r="Q79" i="98" s="1"/>
  <c r="R29" i="98"/>
  <c r="Q29" i="98"/>
  <c r="AC15" i="98"/>
  <c r="AD5" i="98" s="1"/>
  <c r="AB15" i="98"/>
  <c r="G2" i="98"/>
  <c r="J3" i="97"/>
  <c r="R50" i="98"/>
  <c r="Q50" i="98"/>
  <c r="R28" i="98"/>
  <c r="R51" i="98"/>
  <c r="Q51" i="98"/>
  <c r="R5" i="98"/>
  <c r="Q5" i="98"/>
  <c r="O15" i="98"/>
  <c r="R6" i="98"/>
  <c r="Q6" i="98"/>
  <c r="AC48" i="98"/>
  <c r="AD38" i="98" s="1"/>
  <c r="AB48" i="98"/>
  <c r="Q48" i="98"/>
  <c r="O58" i="98"/>
  <c r="R49" i="98"/>
  <c r="Q49" i="98"/>
  <c r="R7" i="98"/>
  <c r="Q7" i="98"/>
  <c r="R17" i="98"/>
  <c r="Q17" i="98"/>
  <c r="Q61" i="98"/>
  <c r="R61" i="98"/>
  <c r="R38" i="98"/>
  <c r="Q38" i="98"/>
  <c r="O48" i="98"/>
  <c r="L79" i="98"/>
  <c r="J13" i="97" s="1"/>
  <c r="J15" i="97" s="1"/>
  <c r="I13" i="97"/>
  <c r="AC26" i="98"/>
  <c r="AD16" i="98" s="1"/>
  <c r="AB26" i="98"/>
  <c r="E14" i="97"/>
  <c r="O59" i="95"/>
  <c r="O29" i="95"/>
  <c r="R51" i="95"/>
  <c r="J48" i="95"/>
  <c r="P48" i="95" s="1"/>
  <c r="AB59" i="95"/>
  <c r="AC8" i="95"/>
  <c r="K15" i="95"/>
  <c r="J15" i="95"/>
  <c r="P15" i="95" s="1"/>
  <c r="L6" i="95"/>
  <c r="R6" i="95" s="1"/>
  <c r="AB6" i="95"/>
  <c r="AC6" i="95"/>
  <c r="R71" i="95"/>
  <c r="Q71" i="95"/>
  <c r="G1" i="95"/>
  <c r="R70" i="95"/>
  <c r="Q70" i="95"/>
  <c r="G18" i="94"/>
  <c r="R59" i="95"/>
  <c r="L18" i="95"/>
  <c r="L38" i="95"/>
  <c r="L48" i="95" s="1"/>
  <c r="G13" i="94" s="1"/>
  <c r="N15" i="95"/>
  <c r="AC5" i="95"/>
  <c r="AB5" i="95"/>
  <c r="O5" i="95"/>
  <c r="R30" i="95"/>
  <c r="Q30" i="95"/>
  <c r="J37" i="95"/>
  <c r="P37" i="95" s="1"/>
  <c r="AC38" i="95"/>
  <c r="N48" i="95"/>
  <c r="AB38" i="95"/>
  <c r="L28" i="95"/>
  <c r="O38" i="95"/>
  <c r="AB51" i="95"/>
  <c r="AC51" i="95"/>
  <c r="F18" i="94"/>
  <c r="M79" i="95"/>
  <c r="I1" i="95" s="1"/>
  <c r="I18" i="94"/>
  <c r="J26" i="95"/>
  <c r="P26" i="95" s="1"/>
  <c r="P16" i="95"/>
  <c r="N37" i="95"/>
  <c r="O50" i="95"/>
  <c r="AC50" i="95"/>
  <c r="AB50" i="95"/>
  <c r="K26" i="95"/>
  <c r="AB29" i="95"/>
  <c r="J69" i="95"/>
  <c r="J79" i="95" s="1"/>
  <c r="P60" i="95"/>
  <c r="O61" i="95"/>
  <c r="AC61" i="95"/>
  <c r="AB61" i="95"/>
  <c r="AC17" i="95"/>
  <c r="AB17" i="95"/>
  <c r="O17" i="95"/>
  <c r="R27" i="95"/>
  <c r="Q27" i="95"/>
  <c r="L49" i="95"/>
  <c r="L58" i="95" s="1"/>
  <c r="H13" i="94" s="1"/>
  <c r="N26" i="95"/>
  <c r="AB27" i="95"/>
  <c r="Q39" i="95"/>
  <c r="AB7" i="95"/>
  <c r="AB8" i="95"/>
  <c r="AB16" i="95"/>
  <c r="L19" i="95"/>
  <c r="Q19" i="95" s="1"/>
  <c r="AC27" i="95"/>
  <c r="AC60" i="95"/>
  <c r="AB60" i="95"/>
  <c r="N69" i="95"/>
  <c r="O60" i="95"/>
  <c r="AC62" i="95"/>
  <c r="AB62" i="95"/>
  <c r="AC7" i="95"/>
  <c r="AC16" i="95"/>
  <c r="O62" i="95"/>
  <c r="AB18" i="95"/>
  <c r="N58" i="95"/>
  <c r="O49" i="95"/>
  <c r="O18" i="95"/>
  <c r="AB49" i="95"/>
  <c r="AC28" i="95"/>
  <c r="AB28" i="95"/>
  <c r="AC49" i="95"/>
  <c r="O28" i="95"/>
  <c r="AC39" i="95"/>
  <c r="AB39" i="95"/>
  <c r="L16" i="95"/>
  <c r="R16" i="95" s="1"/>
  <c r="Q41" i="93"/>
  <c r="R41" i="93"/>
  <c r="R19" i="93"/>
  <c r="J6" i="97" l="1"/>
  <c r="R7" i="95"/>
  <c r="Q8" i="95"/>
  <c r="R26" i="98"/>
  <c r="S16" i="98" s="1"/>
  <c r="F6" i="97"/>
  <c r="L69" i="95"/>
  <c r="Q26" i="98"/>
  <c r="E15" i="97"/>
  <c r="R19" i="95"/>
  <c r="L15" i="95"/>
  <c r="D13" i="94" s="1"/>
  <c r="Q16" i="95"/>
  <c r="R37" i="98"/>
  <c r="S27" i="98" s="1"/>
  <c r="F15" i="97"/>
  <c r="L37" i="95"/>
  <c r="F13" i="94" s="1"/>
  <c r="R29" i="95"/>
  <c r="Q6" i="95"/>
  <c r="G14" i="97"/>
  <c r="G15" i="97" s="1"/>
  <c r="R48" i="98"/>
  <c r="S38" i="98" s="1"/>
  <c r="R58" i="98"/>
  <c r="S49" i="98" s="1"/>
  <c r="H14" i="97"/>
  <c r="H15" i="97" s="1"/>
  <c r="I14" i="97"/>
  <c r="R69" i="98"/>
  <c r="S59" i="98" s="1"/>
  <c r="O79" i="98"/>
  <c r="R79" i="98" s="1"/>
  <c r="S70" i="98" s="1"/>
  <c r="D14" i="97"/>
  <c r="Q15" i="98"/>
  <c r="E2" i="98"/>
  <c r="R15" i="98"/>
  <c r="S5" i="98" s="1"/>
  <c r="Q29" i="95"/>
  <c r="R50" i="95"/>
  <c r="Q50" i="95"/>
  <c r="O37" i="95"/>
  <c r="R28" i="95"/>
  <c r="Q28" i="95"/>
  <c r="O15" i="95"/>
  <c r="Q5" i="95"/>
  <c r="R5" i="95"/>
  <c r="R60" i="95"/>
  <c r="Q60" i="95"/>
  <c r="AC26" i="95"/>
  <c r="AD16" i="95" s="1"/>
  <c r="AB26" i="95"/>
  <c r="AC37" i="95"/>
  <c r="AD27" i="95" s="1"/>
  <c r="AB37" i="95"/>
  <c r="Q37" i="95"/>
  <c r="R38" i="95"/>
  <c r="Q38" i="95"/>
  <c r="O48" i="95"/>
  <c r="AC69" i="95"/>
  <c r="AD59" i="95" s="1"/>
  <c r="AB69" i="95"/>
  <c r="Q69" i="95"/>
  <c r="N79" i="95"/>
  <c r="Q79" i="95" s="1"/>
  <c r="AC15" i="95"/>
  <c r="AD5" i="95" s="1"/>
  <c r="AB15" i="95"/>
  <c r="R61" i="95"/>
  <c r="Q61" i="95"/>
  <c r="L79" i="95"/>
  <c r="J13" i="94" s="1"/>
  <c r="J15" i="94" s="1"/>
  <c r="I13" i="94"/>
  <c r="Q18" i="95"/>
  <c r="R18" i="95"/>
  <c r="O58" i="95"/>
  <c r="R49" i="95"/>
  <c r="Q49" i="95"/>
  <c r="Q58" i="95"/>
  <c r="AC58" i="95"/>
  <c r="AD49" i="95" s="1"/>
  <c r="AB58" i="95"/>
  <c r="O26" i="95"/>
  <c r="Q17" i="95"/>
  <c r="R17" i="95"/>
  <c r="AB48" i="95"/>
  <c r="Q48" i="95"/>
  <c r="AC48" i="95"/>
  <c r="AD38" i="95" s="1"/>
  <c r="P69" i="95"/>
  <c r="L26" i="95"/>
  <c r="E13" i="94" s="1"/>
  <c r="R62" i="95"/>
  <c r="Q62" i="95"/>
  <c r="P79" i="95"/>
  <c r="J18" i="94"/>
  <c r="O69" i="95"/>
  <c r="G2" i="95"/>
  <c r="J3" i="94"/>
  <c r="W78" i="93"/>
  <c r="H78" i="93"/>
  <c r="W77" i="93"/>
  <c r="H77" i="93"/>
  <c r="W76" i="93"/>
  <c r="H76" i="93"/>
  <c r="W75" i="93"/>
  <c r="H75" i="93"/>
  <c r="W74" i="93"/>
  <c r="H74" i="93"/>
  <c r="W73" i="93"/>
  <c r="H73" i="93"/>
  <c r="W72" i="93"/>
  <c r="N72" i="93" s="1"/>
  <c r="W71" i="93"/>
  <c r="N71" i="93" s="1"/>
  <c r="O71" i="93" s="1"/>
  <c r="AD70" i="93"/>
  <c r="W70" i="93"/>
  <c r="N70" i="93" s="1"/>
  <c r="O70" i="93" s="1"/>
  <c r="M69" i="93"/>
  <c r="W68" i="93"/>
  <c r="H68" i="93"/>
  <c r="W67" i="93"/>
  <c r="H67" i="93"/>
  <c r="W66" i="93"/>
  <c r="H66" i="93"/>
  <c r="W65" i="93"/>
  <c r="H65" i="93"/>
  <c r="W64" i="93"/>
  <c r="H64" i="93"/>
  <c r="W63" i="93"/>
  <c r="AC62" i="93"/>
  <c r="W62" i="93"/>
  <c r="N62" i="93" s="1"/>
  <c r="O62" i="93" s="1"/>
  <c r="V62" i="93"/>
  <c r="W61" i="93"/>
  <c r="N61" i="93" s="1"/>
  <c r="V61" i="93"/>
  <c r="K61" i="93"/>
  <c r="J61" i="93"/>
  <c r="P61" i="93" s="1"/>
  <c r="F61" i="93"/>
  <c r="H61" i="93" s="1"/>
  <c r="B61" i="93"/>
  <c r="W60" i="93"/>
  <c r="N60" i="93" s="1"/>
  <c r="V60" i="93"/>
  <c r="K60" i="93"/>
  <c r="J60" i="93"/>
  <c r="P60" i="93" s="1"/>
  <c r="F60" i="93"/>
  <c r="H60" i="93" s="1"/>
  <c r="B60" i="93"/>
  <c r="W59" i="93"/>
  <c r="N59" i="93" s="1"/>
  <c r="O59" i="93" s="1"/>
  <c r="K59" i="93"/>
  <c r="J59" i="93"/>
  <c r="F59" i="93"/>
  <c r="H59" i="93" s="1"/>
  <c r="B59" i="93"/>
  <c r="M58" i="93"/>
  <c r="W57" i="93"/>
  <c r="H57" i="93"/>
  <c r="W56" i="93"/>
  <c r="H56" i="93"/>
  <c r="W55" i="93"/>
  <c r="H55" i="93"/>
  <c r="W54" i="93"/>
  <c r="H54" i="93"/>
  <c r="W53" i="93"/>
  <c r="H53" i="93"/>
  <c r="W52" i="93"/>
  <c r="W51" i="93"/>
  <c r="N51" i="93" s="1"/>
  <c r="V51" i="93"/>
  <c r="P51" i="93"/>
  <c r="L51" i="93"/>
  <c r="F51" i="93"/>
  <c r="H51" i="93" s="1"/>
  <c r="B51" i="93"/>
  <c r="W50" i="93"/>
  <c r="V50" i="93"/>
  <c r="P50" i="93"/>
  <c r="N50" i="93"/>
  <c r="O50" i="93" s="1"/>
  <c r="L50" i="93"/>
  <c r="F50" i="93"/>
  <c r="H50" i="93" s="1"/>
  <c r="B50" i="93"/>
  <c r="W49" i="93"/>
  <c r="N49" i="93"/>
  <c r="K49" i="93"/>
  <c r="K58" i="93" s="1"/>
  <c r="J49" i="93"/>
  <c r="J58" i="93" s="1"/>
  <c r="F49" i="93"/>
  <c r="H49" i="93" s="1"/>
  <c r="B49" i="93"/>
  <c r="W48" i="93"/>
  <c r="M48" i="93"/>
  <c r="G18" i="92" s="1"/>
  <c r="W47" i="93"/>
  <c r="H47" i="93"/>
  <c r="W46" i="93"/>
  <c r="H46" i="93"/>
  <c r="W45" i="93"/>
  <c r="H45" i="93"/>
  <c r="W44" i="93"/>
  <c r="H44" i="93"/>
  <c r="W43" i="93"/>
  <c r="H43" i="93"/>
  <c r="W42" i="93"/>
  <c r="W41" i="93"/>
  <c r="W40" i="93"/>
  <c r="V40" i="93"/>
  <c r="P40" i="93"/>
  <c r="N40" i="93"/>
  <c r="O40" i="93" s="1"/>
  <c r="R40" i="93" s="1"/>
  <c r="W39" i="93"/>
  <c r="V39" i="93"/>
  <c r="P39" i="93"/>
  <c r="N39" i="93"/>
  <c r="O39" i="93" s="1"/>
  <c r="W38" i="93"/>
  <c r="N38" i="93"/>
  <c r="K38" i="93"/>
  <c r="J38" i="93"/>
  <c r="J48" i="93" s="1"/>
  <c r="F38" i="93"/>
  <c r="H38" i="93" s="1"/>
  <c r="C38" i="93"/>
  <c r="M37" i="93"/>
  <c r="W36" i="93"/>
  <c r="H36" i="93"/>
  <c r="W35" i="93"/>
  <c r="H35" i="93"/>
  <c r="W34" i="93"/>
  <c r="H34" i="93"/>
  <c r="W33" i="93"/>
  <c r="H33" i="93"/>
  <c r="W32" i="93"/>
  <c r="H32" i="93"/>
  <c r="W31" i="93"/>
  <c r="W30" i="93"/>
  <c r="W29" i="93"/>
  <c r="N29" i="93" s="1"/>
  <c r="O29" i="93" s="1"/>
  <c r="V29" i="93"/>
  <c r="K29" i="93"/>
  <c r="J29" i="93"/>
  <c r="P29" i="93" s="1"/>
  <c r="F29" i="93"/>
  <c r="H29" i="93" s="1"/>
  <c r="B29" i="93"/>
  <c r="W28" i="93"/>
  <c r="O28" i="93" s="1"/>
  <c r="V28" i="93"/>
  <c r="K28" i="93"/>
  <c r="J28" i="93"/>
  <c r="P28" i="93" s="1"/>
  <c r="F28" i="93"/>
  <c r="H28" i="93" s="1"/>
  <c r="B28" i="93"/>
  <c r="W27" i="93"/>
  <c r="P27" i="93"/>
  <c r="F27" i="93"/>
  <c r="H27" i="93" s="1"/>
  <c r="M26" i="93"/>
  <c r="E18" i="92" s="1"/>
  <c r="W25" i="93"/>
  <c r="H25" i="93"/>
  <c r="W24" i="93"/>
  <c r="H24" i="93"/>
  <c r="W23" i="93"/>
  <c r="H23" i="93"/>
  <c r="H22" i="93"/>
  <c r="H21" i="93"/>
  <c r="W19" i="93"/>
  <c r="W18" i="93"/>
  <c r="N18" i="93" s="1"/>
  <c r="V18" i="93"/>
  <c r="K18" i="93"/>
  <c r="J18" i="93"/>
  <c r="P18" i="93" s="1"/>
  <c r="F18" i="93"/>
  <c r="H18" i="93" s="1"/>
  <c r="W17" i="93"/>
  <c r="N17" i="93" s="1"/>
  <c r="V17" i="93"/>
  <c r="K17" i="93"/>
  <c r="J17" i="93"/>
  <c r="P17" i="93" s="1"/>
  <c r="F17" i="93"/>
  <c r="H17" i="93" s="1"/>
  <c r="W16" i="93"/>
  <c r="N16" i="93" s="1"/>
  <c r="K16" i="93"/>
  <c r="J16" i="93"/>
  <c r="P16" i="93" s="1"/>
  <c r="F16" i="93"/>
  <c r="H16" i="93" s="1"/>
  <c r="M15" i="93"/>
  <c r="W14" i="93"/>
  <c r="H14" i="93"/>
  <c r="W13" i="93"/>
  <c r="H13" i="93"/>
  <c r="W12" i="93"/>
  <c r="H12" i="93"/>
  <c r="W11" i="93"/>
  <c r="H11" i="93"/>
  <c r="W10" i="93"/>
  <c r="W9" i="93"/>
  <c r="W8" i="93"/>
  <c r="N8" i="93" s="1"/>
  <c r="V8" i="93"/>
  <c r="K8" i="93"/>
  <c r="J8" i="93"/>
  <c r="P8" i="93" s="1"/>
  <c r="F8" i="93"/>
  <c r="H8" i="93" s="1"/>
  <c r="B8" i="93"/>
  <c r="W7" i="93"/>
  <c r="V7" i="93"/>
  <c r="N7" i="93"/>
  <c r="K7" i="93"/>
  <c r="J7" i="93"/>
  <c r="P7" i="93" s="1"/>
  <c r="F7" i="93"/>
  <c r="H7" i="93" s="1"/>
  <c r="B7" i="93"/>
  <c r="W6" i="93"/>
  <c r="V6" i="93"/>
  <c r="N6" i="93"/>
  <c r="K6" i="93"/>
  <c r="J6" i="93"/>
  <c r="F6" i="93"/>
  <c r="H6" i="93" s="1"/>
  <c r="B6" i="93"/>
  <c r="W5" i="93"/>
  <c r="N5" i="93" s="1"/>
  <c r="K5" i="93"/>
  <c r="J5" i="93"/>
  <c r="P5" i="93" s="1"/>
  <c r="F5" i="93"/>
  <c r="H5" i="93" s="1"/>
  <c r="B5" i="93"/>
  <c r="I2" i="93"/>
  <c r="E1" i="93"/>
  <c r="G3" i="92" s="1"/>
  <c r="I18" i="92"/>
  <c r="I16" i="92"/>
  <c r="H16" i="92"/>
  <c r="G16" i="92"/>
  <c r="F16" i="92"/>
  <c r="E16" i="92"/>
  <c r="D16" i="92"/>
  <c r="V18" i="91"/>
  <c r="V9" i="91"/>
  <c r="V40" i="91"/>
  <c r="P40" i="91"/>
  <c r="P39" i="91"/>
  <c r="N39" i="91"/>
  <c r="O39" i="91" s="1"/>
  <c r="F18" i="91"/>
  <c r="H18" i="91" s="1"/>
  <c r="J18" i="91"/>
  <c r="P18" i="91" s="1"/>
  <c r="K18" i="91"/>
  <c r="F9" i="91"/>
  <c r="H9" i="91" s="1"/>
  <c r="J9" i="91"/>
  <c r="P9" i="91" s="1"/>
  <c r="K9" i="91"/>
  <c r="B9" i="91"/>
  <c r="H6" i="94" l="1"/>
  <c r="F6" i="94"/>
  <c r="J6" i="94"/>
  <c r="H7" i="97"/>
  <c r="F7" i="97"/>
  <c r="D15" i="97"/>
  <c r="I15" i="97"/>
  <c r="J8" i="97" s="1"/>
  <c r="J7" i="97"/>
  <c r="R58" i="95"/>
  <c r="S49" i="95" s="1"/>
  <c r="H14" i="94"/>
  <c r="H15" i="94" s="1"/>
  <c r="R48" i="95"/>
  <c r="S38" i="95" s="1"/>
  <c r="G14" i="94"/>
  <c r="G15" i="94" s="1"/>
  <c r="D14" i="94"/>
  <c r="Q15" i="95"/>
  <c r="R15" i="95"/>
  <c r="S5" i="95" s="1"/>
  <c r="R69" i="95"/>
  <c r="S59" i="95" s="1"/>
  <c r="O79" i="95"/>
  <c r="R79" i="95" s="1"/>
  <c r="S70" i="95" s="1"/>
  <c r="I14" i="94"/>
  <c r="E14" i="94"/>
  <c r="E15" i="94" s="1"/>
  <c r="R26" i="95"/>
  <c r="S16" i="95" s="1"/>
  <c r="Q26" i="95"/>
  <c r="R37" i="95"/>
  <c r="S27" i="95" s="1"/>
  <c r="F14" i="94"/>
  <c r="F15" i="94" s="1"/>
  <c r="O72" i="93"/>
  <c r="O79" i="93" s="1"/>
  <c r="N79" i="93"/>
  <c r="N30" i="93"/>
  <c r="O30" i="93" s="1"/>
  <c r="N26" i="93"/>
  <c r="R72" i="93"/>
  <c r="Q72" i="93"/>
  <c r="R71" i="93"/>
  <c r="Q71" i="93"/>
  <c r="R70" i="93"/>
  <c r="Q70" i="93"/>
  <c r="Q62" i="93"/>
  <c r="R62" i="93"/>
  <c r="AB62" i="93"/>
  <c r="O51" i="93"/>
  <c r="R51" i="93" s="1"/>
  <c r="AC51" i="93"/>
  <c r="N48" i="93"/>
  <c r="AC16" i="93"/>
  <c r="P48" i="93"/>
  <c r="I1" i="93"/>
  <c r="D18" i="92"/>
  <c r="N58" i="93"/>
  <c r="AB58" i="93" s="1"/>
  <c r="O38" i="93"/>
  <c r="O16" i="93"/>
  <c r="L18" i="91"/>
  <c r="L59" i="93"/>
  <c r="Q59" i="93" s="1"/>
  <c r="L38" i="93"/>
  <c r="L48" i="93" s="1"/>
  <c r="G13" i="92" s="1"/>
  <c r="L29" i="93"/>
  <c r="R29" i="93" s="1"/>
  <c r="L8" i="93"/>
  <c r="L5" i="93"/>
  <c r="L6" i="93"/>
  <c r="L9" i="91"/>
  <c r="L60" i="93"/>
  <c r="P6" i="93"/>
  <c r="P49" i="93"/>
  <c r="K26" i="93"/>
  <c r="AC28" i="93"/>
  <c r="P58" i="93"/>
  <c r="K69" i="93"/>
  <c r="K79" i="93" s="1"/>
  <c r="L18" i="93"/>
  <c r="L49" i="93"/>
  <c r="L58" i="93" s="1"/>
  <c r="H13" i="92" s="1"/>
  <c r="AC38" i="93"/>
  <c r="AB8" i="93"/>
  <c r="AB16" i="93"/>
  <c r="J69" i="93"/>
  <c r="L27" i="93"/>
  <c r="L61" i="93"/>
  <c r="L17" i="93"/>
  <c r="AC59" i="93"/>
  <c r="L28" i="93"/>
  <c r="AB38" i="93"/>
  <c r="AB18" i="93"/>
  <c r="O18" i="93"/>
  <c r="AC18" i="93"/>
  <c r="R50" i="93"/>
  <c r="Q50" i="93"/>
  <c r="AC6" i="93"/>
  <c r="AB6" i="93"/>
  <c r="AC60" i="93"/>
  <c r="N69" i="93"/>
  <c r="AB60" i="93"/>
  <c r="O60" i="93"/>
  <c r="O6" i="93"/>
  <c r="N15" i="93"/>
  <c r="O5" i="93"/>
  <c r="AC5" i="93"/>
  <c r="AB5" i="93"/>
  <c r="O61" i="93"/>
  <c r="AB61" i="93"/>
  <c r="AC61" i="93"/>
  <c r="O48" i="93"/>
  <c r="R39" i="93"/>
  <c r="Q39" i="93"/>
  <c r="AC7" i="93"/>
  <c r="J15" i="93"/>
  <c r="P15" i="93" s="1"/>
  <c r="G1" i="93"/>
  <c r="J3" i="92" s="1"/>
  <c r="O17" i="93"/>
  <c r="AC17" i="93"/>
  <c r="AB17" i="93"/>
  <c r="N37" i="93"/>
  <c r="AC27" i="93"/>
  <c r="AB27" i="93"/>
  <c r="L7" i="93"/>
  <c r="K15" i="93"/>
  <c r="O8" i="93"/>
  <c r="AC8" i="93"/>
  <c r="AB28" i="93"/>
  <c r="K37" i="93"/>
  <c r="O49" i="93"/>
  <c r="F18" i="92"/>
  <c r="O7" i="93"/>
  <c r="J26" i="93"/>
  <c r="P26" i="93" s="1"/>
  <c r="H18" i="92"/>
  <c r="AB7" i="93"/>
  <c r="AB29" i="93"/>
  <c r="AB39" i="93"/>
  <c r="AB50" i="93"/>
  <c r="Q40" i="93"/>
  <c r="L16" i="93"/>
  <c r="P38" i="93"/>
  <c r="P59" i="93"/>
  <c r="K48" i="93"/>
  <c r="AB49" i="93"/>
  <c r="AC49" i="93"/>
  <c r="AC29" i="93"/>
  <c r="AC39" i="93"/>
  <c r="AC50" i="93"/>
  <c r="AB51" i="93"/>
  <c r="J37" i="93"/>
  <c r="P37" i="93" s="1"/>
  <c r="AB59" i="93"/>
  <c r="R39" i="91"/>
  <c r="Q39" i="91"/>
  <c r="Q79" i="93" l="1"/>
  <c r="P69" i="93"/>
  <c r="J79" i="93"/>
  <c r="P79" i="93" s="1"/>
  <c r="H8" i="97"/>
  <c r="F8" i="97"/>
  <c r="J7" i="94"/>
  <c r="I15" i="94"/>
  <c r="J8" i="94" s="1"/>
  <c r="E2" i="95"/>
  <c r="H7" i="94"/>
  <c r="F7" i="94"/>
  <c r="D15" i="94"/>
  <c r="Q51" i="93"/>
  <c r="R30" i="93"/>
  <c r="Q30" i="93"/>
  <c r="AB26" i="93"/>
  <c r="Q58" i="93"/>
  <c r="AC58" i="93"/>
  <c r="AD49" i="93" s="1"/>
  <c r="AB48" i="93"/>
  <c r="Q16" i="93"/>
  <c r="R59" i="93"/>
  <c r="L69" i="93"/>
  <c r="L37" i="93"/>
  <c r="F13" i="92" s="1"/>
  <c r="AC26" i="93"/>
  <c r="AD16" i="93" s="1"/>
  <c r="Q29" i="93"/>
  <c r="R38" i="93"/>
  <c r="Q38" i="93"/>
  <c r="Q28" i="93"/>
  <c r="R28" i="93"/>
  <c r="L26" i="93"/>
  <c r="E13" i="92" s="1"/>
  <c r="R16" i="93"/>
  <c r="L15" i="93"/>
  <c r="D13" i="92" s="1"/>
  <c r="AB37" i="93"/>
  <c r="Q37" i="93"/>
  <c r="AC37" i="93"/>
  <c r="AD27" i="93" s="1"/>
  <c r="R17" i="93"/>
  <c r="Q17" i="93"/>
  <c r="AC15" i="93"/>
  <c r="AD5" i="93" s="1"/>
  <c r="AB15" i="93"/>
  <c r="O58" i="93"/>
  <c r="R49" i="93"/>
  <c r="Q49" i="93"/>
  <c r="O37" i="93"/>
  <c r="Q27" i="93"/>
  <c r="R61" i="93"/>
  <c r="Q61" i="93"/>
  <c r="Q8" i="93"/>
  <c r="R8" i="93"/>
  <c r="AC48" i="93"/>
  <c r="AD38" i="93" s="1"/>
  <c r="AB69" i="93"/>
  <c r="Q69" i="93"/>
  <c r="AC69" i="93"/>
  <c r="AD59" i="93" s="1"/>
  <c r="Q5" i="93"/>
  <c r="O15" i="93"/>
  <c r="R5" i="93"/>
  <c r="Q6" i="93"/>
  <c r="R6" i="93"/>
  <c r="O69" i="93"/>
  <c r="G14" i="92"/>
  <c r="G15" i="92" s="1"/>
  <c r="R48" i="93"/>
  <c r="S38" i="93" s="1"/>
  <c r="Q60" i="93"/>
  <c r="R60" i="93"/>
  <c r="R18" i="93"/>
  <c r="Q18" i="93"/>
  <c r="R7" i="93"/>
  <c r="Q7" i="93"/>
  <c r="Q48" i="93"/>
  <c r="O26" i="93"/>
  <c r="G2" i="93"/>
  <c r="W78" i="91"/>
  <c r="H78" i="91"/>
  <c r="W77" i="91"/>
  <c r="H77" i="91"/>
  <c r="W76" i="91"/>
  <c r="H76" i="91"/>
  <c r="W75" i="91"/>
  <c r="H75" i="91"/>
  <c r="W74" i="91"/>
  <c r="H74" i="91"/>
  <c r="W73" i="91"/>
  <c r="H73" i="91"/>
  <c r="W72" i="91"/>
  <c r="H72" i="91"/>
  <c r="W71" i="91"/>
  <c r="H71" i="91"/>
  <c r="AD70" i="91"/>
  <c r="W70" i="91"/>
  <c r="S70" i="91"/>
  <c r="M69" i="91"/>
  <c r="W68" i="91"/>
  <c r="H68" i="91"/>
  <c r="W67" i="91"/>
  <c r="H67" i="91"/>
  <c r="W66" i="91"/>
  <c r="H66" i="91"/>
  <c r="W65" i="91"/>
  <c r="H65" i="91"/>
  <c r="W64" i="91"/>
  <c r="H64" i="91"/>
  <c r="W63" i="91"/>
  <c r="AC62" i="91"/>
  <c r="W62" i="91"/>
  <c r="N62" i="91" s="1"/>
  <c r="O62" i="91" s="1"/>
  <c r="V62" i="91"/>
  <c r="W61" i="91"/>
  <c r="N61" i="91" s="1"/>
  <c r="O61" i="91" s="1"/>
  <c r="V61" i="91"/>
  <c r="K61" i="91"/>
  <c r="J61" i="91"/>
  <c r="P61" i="91" s="1"/>
  <c r="F61" i="91"/>
  <c r="H61" i="91" s="1"/>
  <c r="B61" i="91"/>
  <c r="W60" i="91"/>
  <c r="N60" i="91" s="1"/>
  <c r="V60" i="91"/>
  <c r="K60" i="91"/>
  <c r="J60" i="91"/>
  <c r="F60" i="91"/>
  <c r="H60" i="91" s="1"/>
  <c r="B60" i="91"/>
  <c r="W59" i="91"/>
  <c r="N59" i="91" s="1"/>
  <c r="O59" i="91" s="1"/>
  <c r="K59" i="91"/>
  <c r="J59" i="91"/>
  <c r="P59" i="91" s="1"/>
  <c r="F59" i="91"/>
  <c r="H59" i="91" s="1"/>
  <c r="B59" i="91"/>
  <c r="M58" i="91"/>
  <c r="H18" i="90" s="1"/>
  <c r="W57" i="91"/>
  <c r="H57" i="91"/>
  <c r="W56" i="91"/>
  <c r="H56" i="91"/>
  <c r="W55" i="91"/>
  <c r="H55" i="91"/>
  <c r="W54" i="91"/>
  <c r="H54" i="91"/>
  <c r="W53" i="91"/>
  <c r="H53" i="91"/>
  <c r="W52" i="91"/>
  <c r="W51" i="91"/>
  <c r="N51" i="91" s="1"/>
  <c r="V51" i="91"/>
  <c r="P51" i="91"/>
  <c r="L51" i="91"/>
  <c r="F51" i="91"/>
  <c r="H51" i="91" s="1"/>
  <c r="B51" i="91"/>
  <c r="W50" i="91"/>
  <c r="N50" i="91" s="1"/>
  <c r="V50" i="91"/>
  <c r="P50" i="91"/>
  <c r="L50" i="91"/>
  <c r="F50" i="91"/>
  <c r="H50" i="91" s="1"/>
  <c r="B50" i="91"/>
  <c r="W49" i="91"/>
  <c r="N49" i="91" s="1"/>
  <c r="K49" i="91"/>
  <c r="K58" i="91" s="1"/>
  <c r="J49" i="91"/>
  <c r="J58" i="91" s="1"/>
  <c r="F49" i="91"/>
  <c r="H49" i="91" s="1"/>
  <c r="B49" i="91"/>
  <c r="W48" i="91"/>
  <c r="M48" i="91"/>
  <c r="W47" i="91"/>
  <c r="H47" i="91"/>
  <c r="W46" i="91"/>
  <c r="H46" i="91"/>
  <c r="W45" i="91"/>
  <c r="H45" i="91"/>
  <c r="W44" i="91"/>
  <c r="H44" i="91"/>
  <c r="W43" i="91"/>
  <c r="H43" i="91"/>
  <c r="W42" i="91"/>
  <c r="W41" i="91"/>
  <c r="W40" i="91"/>
  <c r="N40" i="91" s="1"/>
  <c r="O40" i="91" s="1"/>
  <c r="AC39" i="91"/>
  <c r="AB39" i="91"/>
  <c r="W39" i="91"/>
  <c r="V39" i="91"/>
  <c r="W38" i="91"/>
  <c r="N38" i="91" s="1"/>
  <c r="K38" i="91"/>
  <c r="K48" i="91" s="1"/>
  <c r="J38" i="91"/>
  <c r="P38" i="91" s="1"/>
  <c r="F38" i="91"/>
  <c r="H38" i="91" s="1"/>
  <c r="C38" i="91"/>
  <c r="M37" i="91"/>
  <c r="F18" i="90" s="1"/>
  <c r="W36" i="91"/>
  <c r="H36" i="91"/>
  <c r="W35" i="91"/>
  <c r="H35" i="91"/>
  <c r="W34" i="91"/>
  <c r="H34" i="91"/>
  <c r="W33" i="91"/>
  <c r="H33" i="91"/>
  <c r="W32" i="91"/>
  <c r="H32" i="91"/>
  <c r="W31" i="91"/>
  <c r="W30" i="91"/>
  <c r="W29" i="91"/>
  <c r="N29" i="91" s="1"/>
  <c r="V29" i="91"/>
  <c r="K29" i="91"/>
  <c r="J29" i="91"/>
  <c r="P29" i="91" s="1"/>
  <c r="F29" i="91"/>
  <c r="H29" i="91" s="1"/>
  <c r="B29" i="91"/>
  <c r="W28" i="91"/>
  <c r="N28" i="91" s="1"/>
  <c r="O28" i="91" s="1"/>
  <c r="V28" i="91"/>
  <c r="K28" i="91"/>
  <c r="J28" i="91"/>
  <c r="F28" i="91"/>
  <c r="H28" i="91" s="1"/>
  <c r="B28" i="91"/>
  <c r="W27" i="91"/>
  <c r="N27" i="91" s="1"/>
  <c r="K27" i="91"/>
  <c r="J27" i="91"/>
  <c r="P27" i="91" s="1"/>
  <c r="F27" i="91"/>
  <c r="H27" i="91" s="1"/>
  <c r="M26" i="91"/>
  <c r="E18" i="90" s="1"/>
  <c r="W25" i="91"/>
  <c r="H25" i="91"/>
  <c r="W24" i="91"/>
  <c r="H24" i="91"/>
  <c r="W23" i="91"/>
  <c r="H23" i="91"/>
  <c r="H22" i="91"/>
  <c r="H21" i="91"/>
  <c r="W19" i="91"/>
  <c r="AC18" i="91"/>
  <c r="W18" i="91"/>
  <c r="N18" i="91" s="1"/>
  <c r="O18" i="91" s="1"/>
  <c r="W17" i="91"/>
  <c r="N17" i="91" s="1"/>
  <c r="O17" i="91" s="1"/>
  <c r="V17" i="91"/>
  <c r="K17" i="91"/>
  <c r="J17" i="91"/>
  <c r="F17" i="91"/>
  <c r="H17" i="91" s="1"/>
  <c r="W16" i="91"/>
  <c r="N16" i="91" s="1"/>
  <c r="K16" i="91"/>
  <c r="J16" i="91"/>
  <c r="P16" i="91" s="1"/>
  <c r="F16" i="91"/>
  <c r="H16" i="91" s="1"/>
  <c r="M15" i="91"/>
  <c r="D18" i="90" s="1"/>
  <c r="W14" i="91"/>
  <c r="H14" i="91"/>
  <c r="W13" i="91"/>
  <c r="H13" i="91"/>
  <c r="W12" i="91"/>
  <c r="H12" i="91"/>
  <c r="W11" i="91"/>
  <c r="H11" i="91"/>
  <c r="W10" i="91"/>
  <c r="W9" i="91"/>
  <c r="N9" i="91" s="1"/>
  <c r="O9" i="91" s="1"/>
  <c r="W8" i="91"/>
  <c r="N8" i="91" s="1"/>
  <c r="V8" i="91"/>
  <c r="K8" i="91"/>
  <c r="J8" i="91"/>
  <c r="P8" i="91" s="1"/>
  <c r="F8" i="91"/>
  <c r="H8" i="91" s="1"/>
  <c r="B8" i="91"/>
  <c r="W7" i="91"/>
  <c r="N7" i="91" s="1"/>
  <c r="O7" i="91" s="1"/>
  <c r="V7" i="91"/>
  <c r="K7" i="91"/>
  <c r="J7" i="91"/>
  <c r="P7" i="91" s="1"/>
  <c r="F7" i="91"/>
  <c r="H7" i="91" s="1"/>
  <c r="B7" i="91"/>
  <c r="W6" i="91"/>
  <c r="N6" i="91" s="1"/>
  <c r="V6" i="91"/>
  <c r="K6" i="91"/>
  <c r="J6" i="91"/>
  <c r="F6" i="91"/>
  <c r="H6" i="91" s="1"/>
  <c r="B6" i="91"/>
  <c r="W5" i="91"/>
  <c r="N5" i="91"/>
  <c r="K5" i="91"/>
  <c r="J5" i="91"/>
  <c r="F5" i="91"/>
  <c r="H5" i="91" s="1"/>
  <c r="B5" i="91"/>
  <c r="I2" i="91"/>
  <c r="E1" i="91"/>
  <c r="G3" i="90" s="1"/>
  <c r="I18" i="90"/>
  <c r="I16" i="90"/>
  <c r="H16" i="90"/>
  <c r="G16" i="90"/>
  <c r="F16" i="90"/>
  <c r="E16" i="90"/>
  <c r="D16" i="90"/>
  <c r="D16" i="88"/>
  <c r="E16" i="88"/>
  <c r="F16" i="88"/>
  <c r="G16" i="88"/>
  <c r="H16" i="88"/>
  <c r="I16" i="88"/>
  <c r="I13" i="92" l="1"/>
  <c r="L79" i="93"/>
  <c r="H8" i="94"/>
  <c r="F8" i="94"/>
  <c r="AB62" i="91"/>
  <c r="R62" i="91"/>
  <c r="Q62" i="91"/>
  <c r="H6" i="92"/>
  <c r="L5" i="91"/>
  <c r="L8" i="91"/>
  <c r="L17" i="91"/>
  <c r="R17" i="91" s="1"/>
  <c r="L27" i="91"/>
  <c r="J48" i="91"/>
  <c r="P48" i="91" s="1"/>
  <c r="R58" i="93"/>
  <c r="S49" i="93" s="1"/>
  <c r="H14" i="92"/>
  <c r="H15" i="92" s="1"/>
  <c r="R69" i="93"/>
  <c r="S59" i="93" s="1"/>
  <c r="I14" i="92"/>
  <c r="R26" i="93"/>
  <c r="S16" i="93" s="1"/>
  <c r="Q26" i="93"/>
  <c r="E14" i="92"/>
  <c r="E15" i="92" s="1"/>
  <c r="E2" i="93"/>
  <c r="R15" i="93"/>
  <c r="S5" i="93" s="1"/>
  <c r="Q15" i="93"/>
  <c r="D14" i="92"/>
  <c r="R37" i="93"/>
  <c r="S27" i="93" s="1"/>
  <c r="F14" i="92"/>
  <c r="F15" i="92" s="1"/>
  <c r="R40" i="91"/>
  <c r="Q40" i="91"/>
  <c r="Q9" i="91"/>
  <c r="R9" i="91"/>
  <c r="R18" i="91"/>
  <c r="Q18" i="91"/>
  <c r="AB18" i="91"/>
  <c r="P58" i="91"/>
  <c r="L38" i="91"/>
  <c r="L48" i="91" s="1"/>
  <c r="G13" i="90" s="1"/>
  <c r="L61" i="91"/>
  <c r="R61" i="91" s="1"/>
  <c r="L29" i="91"/>
  <c r="K69" i="91"/>
  <c r="L59" i="91"/>
  <c r="R59" i="91" s="1"/>
  <c r="P5" i="91"/>
  <c r="K15" i="91"/>
  <c r="AB29" i="91"/>
  <c r="I1" i="91"/>
  <c r="P17" i="91"/>
  <c r="K26" i="91"/>
  <c r="G1" i="91"/>
  <c r="P6" i="91"/>
  <c r="J15" i="91"/>
  <c r="P15" i="91" s="1"/>
  <c r="K37" i="91"/>
  <c r="L28" i="91"/>
  <c r="AB6" i="91"/>
  <c r="O51" i="91"/>
  <c r="AC51" i="91"/>
  <c r="AB51" i="91"/>
  <c r="AC5" i="91"/>
  <c r="AB5" i="91"/>
  <c r="N15" i="91"/>
  <c r="O5" i="91"/>
  <c r="AB27" i="91"/>
  <c r="N37" i="91"/>
  <c r="AC27" i="91"/>
  <c r="AC6" i="91"/>
  <c r="O27" i="91"/>
  <c r="AB28" i="91"/>
  <c r="O38" i="91"/>
  <c r="AC38" i="91"/>
  <c r="N48" i="91"/>
  <c r="AB38" i="91"/>
  <c r="AC29" i="91"/>
  <c r="O29" i="91"/>
  <c r="AC7" i="91"/>
  <c r="J69" i="91"/>
  <c r="P69" i="91" s="1"/>
  <c r="P60" i="91"/>
  <c r="L60" i="91"/>
  <c r="AC61" i="91"/>
  <c r="P28" i="91"/>
  <c r="J37" i="91"/>
  <c r="P37" i="91" s="1"/>
  <c r="O8" i="91"/>
  <c r="AC8" i="91"/>
  <c r="AB8" i="91"/>
  <c r="L6" i="91"/>
  <c r="AB7" i="91"/>
  <c r="AC17" i="91"/>
  <c r="AB17" i="91"/>
  <c r="AC59" i="91"/>
  <c r="AB59" i="91"/>
  <c r="N69" i="91"/>
  <c r="AC28" i="91"/>
  <c r="O50" i="91"/>
  <c r="AB50" i="91"/>
  <c r="AC50" i="91"/>
  <c r="AB61" i="91"/>
  <c r="N26" i="91"/>
  <c r="O49" i="91"/>
  <c r="N58" i="91"/>
  <c r="AC49" i="91"/>
  <c r="AC60" i="91"/>
  <c r="O16" i="91"/>
  <c r="AB16" i="91"/>
  <c r="AC16" i="91"/>
  <c r="AB49" i="91"/>
  <c r="O6" i="91"/>
  <c r="O60" i="91"/>
  <c r="O69" i="91" s="1"/>
  <c r="L7" i="91"/>
  <c r="Q7" i="91" s="1"/>
  <c r="L49" i="91"/>
  <c r="L58" i="91" s="1"/>
  <c r="H13" i="90" s="1"/>
  <c r="L16" i="91"/>
  <c r="G18" i="90"/>
  <c r="J26" i="91"/>
  <c r="P26" i="91" s="1"/>
  <c r="P49" i="91"/>
  <c r="AB60" i="91"/>
  <c r="AB62" i="89"/>
  <c r="AC62" i="89"/>
  <c r="V62" i="89"/>
  <c r="AB39" i="89"/>
  <c r="AC39" i="89"/>
  <c r="W40" i="89"/>
  <c r="W41" i="89"/>
  <c r="V39" i="89"/>
  <c r="K38" i="89"/>
  <c r="J38" i="89"/>
  <c r="P38" i="89" s="1"/>
  <c r="V8" i="89"/>
  <c r="K8" i="89"/>
  <c r="AB8" i="89" s="1"/>
  <c r="J8" i="89"/>
  <c r="P8" i="89" s="1"/>
  <c r="F8" i="89"/>
  <c r="H8" i="89" s="1"/>
  <c r="B8" i="89"/>
  <c r="E18" i="88"/>
  <c r="W78" i="89"/>
  <c r="H78" i="89"/>
  <c r="W77" i="89"/>
  <c r="H77" i="89"/>
  <c r="W76" i="89"/>
  <c r="H76" i="89"/>
  <c r="W75" i="89"/>
  <c r="H75" i="89"/>
  <c r="W74" i="89"/>
  <c r="H74" i="89"/>
  <c r="W73" i="89"/>
  <c r="H73" i="89"/>
  <c r="W72" i="89"/>
  <c r="H72" i="89"/>
  <c r="W71" i="89"/>
  <c r="H71" i="89"/>
  <c r="AD70" i="89"/>
  <c r="W70" i="89"/>
  <c r="S70" i="89"/>
  <c r="M69" i="89"/>
  <c r="I18" i="88" s="1"/>
  <c r="W68" i="89"/>
  <c r="H68" i="89"/>
  <c r="W67" i="89"/>
  <c r="H67" i="89"/>
  <c r="W66" i="89"/>
  <c r="H66" i="89"/>
  <c r="W65" i="89"/>
  <c r="H65" i="89"/>
  <c r="W64" i="89"/>
  <c r="H64" i="89"/>
  <c r="W63" i="89"/>
  <c r="W62" i="89"/>
  <c r="W61" i="89"/>
  <c r="N61" i="89" s="1"/>
  <c r="V61" i="89"/>
  <c r="K61" i="89"/>
  <c r="J61" i="89"/>
  <c r="P61" i="89" s="1"/>
  <c r="F61" i="89"/>
  <c r="H61" i="89" s="1"/>
  <c r="B61" i="89"/>
  <c r="W60" i="89"/>
  <c r="N60" i="89" s="1"/>
  <c r="O60" i="89" s="1"/>
  <c r="V60" i="89"/>
  <c r="K60" i="89"/>
  <c r="J60" i="89"/>
  <c r="P60" i="89" s="1"/>
  <c r="F60" i="89"/>
  <c r="H60" i="89" s="1"/>
  <c r="B60" i="89"/>
  <c r="W59" i="89"/>
  <c r="N59" i="89"/>
  <c r="O59" i="89" s="1"/>
  <c r="K59" i="89"/>
  <c r="J59" i="89"/>
  <c r="F59" i="89"/>
  <c r="H59" i="89" s="1"/>
  <c r="B59" i="89"/>
  <c r="M58" i="89"/>
  <c r="H18" i="88" s="1"/>
  <c r="W57" i="89"/>
  <c r="H57" i="89"/>
  <c r="W56" i="89"/>
  <c r="H56" i="89"/>
  <c r="W55" i="89"/>
  <c r="H55" i="89"/>
  <c r="W54" i="89"/>
  <c r="H54" i="89"/>
  <c r="W53" i="89"/>
  <c r="H53" i="89"/>
  <c r="W52" i="89"/>
  <c r="W51" i="89"/>
  <c r="N51" i="89" s="1"/>
  <c r="V51" i="89"/>
  <c r="P51" i="89"/>
  <c r="L51" i="89"/>
  <c r="F51" i="89"/>
  <c r="H51" i="89" s="1"/>
  <c r="B51" i="89"/>
  <c r="W50" i="89"/>
  <c r="N50" i="89" s="1"/>
  <c r="V50" i="89"/>
  <c r="P50" i="89"/>
  <c r="L50" i="89"/>
  <c r="F50" i="89"/>
  <c r="H50" i="89" s="1"/>
  <c r="B50" i="89"/>
  <c r="W49" i="89"/>
  <c r="N49" i="89" s="1"/>
  <c r="K49" i="89"/>
  <c r="K58" i="89" s="1"/>
  <c r="J49" i="89"/>
  <c r="J58" i="89" s="1"/>
  <c r="F49" i="89"/>
  <c r="H49" i="89" s="1"/>
  <c r="B49" i="89"/>
  <c r="W48" i="89"/>
  <c r="M48" i="89"/>
  <c r="G18" i="88" s="1"/>
  <c r="W47" i="89"/>
  <c r="H47" i="89"/>
  <c r="W46" i="89"/>
  <c r="H46" i="89"/>
  <c r="W45" i="89"/>
  <c r="H45" i="89"/>
  <c r="W44" i="89"/>
  <c r="H44" i="89"/>
  <c r="W43" i="89"/>
  <c r="H43" i="89"/>
  <c r="W42" i="89"/>
  <c r="W39" i="89"/>
  <c r="W38" i="89"/>
  <c r="N38" i="89" s="1"/>
  <c r="O38" i="89" s="1"/>
  <c r="F38" i="89"/>
  <c r="H38" i="89" s="1"/>
  <c r="C38" i="89"/>
  <c r="M37" i="89"/>
  <c r="F18" i="88" s="1"/>
  <c r="W36" i="89"/>
  <c r="H36" i="89"/>
  <c r="W35" i="89"/>
  <c r="H35" i="89"/>
  <c r="W34" i="89"/>
  <c r="H34" i="89"/>
  <c r="W33" i="89"/>
  <c r="H33" i="89"/>
  <c r="W32" i="89"/>
  <c r="H32" i="89"/>
  <c r="W31" i="89"/>
  <c r="W30" i="89"/>
  <c r="W29" i="89"/>
  <c r="N29" i="89" s="1"/>
  <c r="V29" i="89"/>
  <c r="K29" i="89"/>
  <c r="J29" i="89"/>
  <c r="P29" i="89" s="1"/>
  <c r="F29" i="89"/>
  <c r="H29" i="89" s="1"/>
  <c r="B29" i="89"/>
  <c r="W28" i="89"/>
  <c r="N28" i="89" s="1"/>
  <c r="O28" i="89" s="1"/>
  <c r="V28" i="89"/>
  <c r="K28" i="89"/>
  <c r="J28" i="89"/>
  <c r="P28" i="89" s="1"/>
  <c r="F28" i="89"/>
  <c r="H28" i="89" s="1"/>
  <c r="B28" i="89"/>
  <c r="W27" i="89"/>
  <c r="N27" i="89" s="1"/>
  <c r="K27" i="89"/>
  <c r="J27" i="89"/>
  <c r="F27" i="89"/>
  <c r="H27" i="89" s="1"/>
  <c r="M26" i="89"/>
  <c r="W25" i="89"/>
  <c r="H25" i="89"/>
  <c r="W24" i="89"/>
  <c r="H24" i="89"/>
  <c r="W23" i="89"/>
  <c r="H23" i="89"/>
  <c r="H22" i="89"/>
  <c r="H21" i="89"/>
  <c r="W19" i="89"/>
  <c r="AC18" i="89"/>
  <c r="AB18" i="89"/>
  <c r="W18" i="89"/>
  <c r="W17" i="89"/>
  <c r="N17" i="89" s="1"/>
  <c r="V17" i="89"/>
  <c r="K17" i="89"/>
  <c r="J17" i="89"/>
  <c r="P17" i="89" s="1"/>
  <c r="F17" i="89"/>
  <c r="H17" i="89" s="1"/>
  <c r="W16" i="89"/>
  <c r="N16" i="89"/>
  <c r="K16" i="89"/>
  <c r="J16" i="89"/>
  <c r="F16" i="89"/>
  <c r="H16" i="89" s="1"/>
  <c r="M15" i="89"/>
  <c r="D18" i="88" s="1"/>
  <c r="W14" i="89"/>
  <c r="H14" i="89"/>
  <c r="W13" i="89"/>
  <c r="H13" i="89"/>
  <c r="W12" i="89"/>
  <c r="H12" i="89"/>
  <c r="W11" i="89"/>
  <c r="H11" i="89"/>
  <c r="W10" i="89"/>
  <c r="W9" i="89"/>
  <c r="W8" i="89"/>
  <c r="N8" i="89" s="1"/>
  <c r="O8" i="89" s="1"/>
  <c r="W7" i="89"/>
  <c r="N7" i="89" s="1"/>
  <c r="V7" i="89"/>
  <c r="K7" i="89"/>
  <c r="J7" i="89"/>
  <c r="F7" i="89"/>
  <c r="H7" i="89" s="1"/>
  <c r="B7" i="89"/>
  <c r="W6" i="89"/>
  <c r="N6" i="89" s="1"/>
  <c r="O6" i="89" s="1"/>
  <c r="V6" i="89"/>
  <c r="K6" i="89"/>
  <c r="J6" i="89"/>
  <c r="P6" i="89" s="1"/>
  <c r="F6" i="89"/>
  <c r="H6" i="89" s="1"/>
  <c r="B6" i="89"/>
  <c r="W5" i="89"/>
  <c r="N5" i="89" s="1"/>
  <c r="K5" i="89"/>
  <c r="J5" i="89"/>
  <c r="P5" i="89" s="1"/>
  <c r="F5" i="89"/>
  <c r="H5" i="89" s="1"/>
  <c r="B5" i="89"/>
  <c r="I2" i="89"/>
  <c r="E1" i="89"/>
  <c r="G3" i="88" s="1"/>
  <c r="W78" i="87"/>
  <c r="H78" i="87"/>
  <c r="W77" i="87"/>
  <c r="H77" i="87"/>
  <c r="W76" i="87"/>
  <c r="H76" i="87"/>
  <c r="W75" i="87"/>
  <c r="H75" i="87"/>
  <c r="W74" i="87"/>
  <c r="H74" i="87"/>
  <c r="W73" i="87"/>
  <c r="H73" i="87"/>
  <c r="W72" i="87"/>
  <c r="H72" i="87"/>
  <c r="W71" i="87"/>
  <c r="H71" i="87"/>
  <c r="AD70" i="87"/>
  <c r="W70" i="87"/>
  <c r="S70" i="87"/>
  <c r="M69" i="87"/>
  <c r="I18" i="86" s="1"/>
  <c r="W68" i="87"/>
  <c r="H68" i="87"/>
  <c r="W67" i="87"/>
  <c r="H67" i="87"/>
  <c r="W66" i="87"/>
  <c r="H66" i="87"/>
  <c r="W65" i="87"/>
  <c r="H65" i="87"/>
  <c r="W64" i="87"/>
  <c r="H64" i="87"/>
  <c r="W63" i="87"/>
  <c r="W62" i="87"/>
  <c r="W61" i="87"/>
  <c r="N61" i="87" s="1"/>
  <c r="V61" i="87"/>
  <c r="K61" i="87"/>
  <c r="J61" i="87"/>
  <c r="P61" i="87" s="1"/>
  <c r="F61" i="87"/>
  <c r="H61" i="87" s="1"/>
  <c r="B61" i="87"/>
  <c r="W60" i="87"/>
  <c r="N60" i="87" s="1"/>
  <c r="V60" i="87"/>
  <c r="K60" i="87"/>
  <c r="J60" i="87"/>
  <c r="P60" i="87" s="1"/>
  <c r="F60" i="87"/>
  <c r="H60" i="87" s="1"/>
  <c r="B60" i="87"/>
  <c r="W59" i="87"/>
  <c r="N59" i="87" s="1"/>
  <c r="K59" i="87"/>
  <c r="J59" i="87"/>
  <c r="F59" i="87"/>
  <c r="H59" i="87" s="1"/>
  <c r="B59" i="87"/>
  <c r="M58" i="87"/>
  <c r="W57" i="87"/>
  <c r="H57" i="87"/>
  <c r="W56" i="87"/>
  <c r="H56" i="87"/>
  <c r="W55" i="87"/>
  <c r="H55" i="87"/>
  <c r="W54" i="87"/>
  <c r="H54" i="87"/>
  <c r="W53" i="87"/>
  <c r="H53" i="87"/>
  <c r="W52" i="87"/>
  <c r="W51" i="87"/>
  <c r="V51" i="87"/>
  <c r="P51" i="87"/>
  <c r="N51" i="87"/>
  <c r="AC51" i="87" s="1"/>
  <c r="L51" i="87"/>
  <c r="F51" i="87"/>
  <c r="H51" i="87" s="1"/>
  <c r="B51" i="87"/>
  <c r="W50" i="87"/>
  <c r="V50" i="87"/>
  <c r="P50" i="87"/>
  <c r="N50" i="87"/>
  <c r="AC50" i="87" s="1"/>
  <c r="L50" i="87"/>
  <c r="F50" i="87"/>
  <c r="H50" i="87" s="1"/>
  <c r="B50" i="87"/>
  <c r="W49" i="87"/>
  <c r="N49" i="87" s="1"/>
  <c r="K49" i="87"/>
  <c r="K58" i="87" s="1"/>
  <c r="J49" i="87"/>
  <c r="J58" i="87" s="1"/>
  <c r="F49" i="87"/>
  <c r="H49" i="87" s="1"/>
  <c r="B49" i="87"/>
  <c r="W48" i="87"/>
  <c r="M48" i="87"/>
  <c r="W47" i="87"/>
  <c r="H47" i="87"/>
  <c r="W46" i="87"/>
  <c r="H46" i="87"/>
  <c r="W45" i="87"/>
  <c r="H45" i="87"/>
  <c r="W44" i="87"/>
  <c r="H44" i="87"/>
  <c r="W43" i="87"/>
  <c r="H43" i="87"/>
  <c r="W42" i="87"/>
  <c r="W41" i="87"/>
  <c r="W40" i="87"/>
  <c r="W39" i="87"/>
  <c r="W38" i="87"/>
  <c r="N38" i="87"/>
  <c r="K38" i="87"/>
  <c r="J38" i="87"/>
  <c r="P38" i="87" s="1"/>
  <c r="F38" i="87"/>
  <c r="H38" i="87" s="1"/>
  <c r="C38" i="87"/>
  <c r="M37" i="87"/>
  <c r="F18" i="86" s="1"/>
  <c r="W36" i="87"/>
  <c r="H36" i="87"/>
  <c r="W35" i="87"/>
  <c r="H35" i="87"/>
  <c r="W34" i="87"/>
  <c r="H34" i="87"/>
  <c r="W33" i="87"/>
  <c r="H33" i="87"/>
  <c r="W32" i="87"/>
  <c r="H32" i="87"/>
  <c r="W31" i="87"/>
  <c r="W30" i="87"/>
  <c r="N30" i="87" s="1"/>
  <c r="V30" i="87"/>
  <c r="K30" i="87"/>
  <c r="J30" i="87"/>
  <c r="P30" i="87" s="1"/>
  <c r="F30" i="87"/>
  <c r="H30" i="87" s="1"/>
  <c r="B30" i="87"/>
  <c r="W29" i="87"/>
  <c r="N29" i="87" s="1"/>
  <c r="V29" i="87"/>
  <c r="K29" i="87"/>
  <c r="J29" i="87"/>
  <c r="P29" i="87" s="1"/>
  <c r="F29" i="87"/>
  <c r="H29" i="87" s="1"/>
  <c r="B29" i="87"/>
  <c r="W28" i="87"/>
  <c r="N28" i="87" s="1"/>
  <c r="V28" i="87"/>
  <c r="K28" i="87"/>
  <c r="J28" i="87"/>
  <c r="F28" i="87"/>
  <c r="H28" i="87" s="1"/>
  <c r="B28" i="87"/>
  <c r="W27" i="87"/>
  <c r="N27" i="87" s="1"/>
  <c r="K27" i="87"/>
  <c r="J27" i="87"/>
  <c r="P27" i="87" s="1"/>
  <c r="F27" i="87"/>
  <c r="H27" i="87" s="1"/>
  <c r="M26" i="87"/>
  <c r="E18" i="86" s="1"/>
  <c r="W25" i="87"/>
  <c r="H25" i="87"/>
  <c r="W24" i="87"/>
  <c r="H24" i="87"/>
  <c r="W23" i="87"/>
  <c r="H23" i="87"/>
  <c r="H22" i="87"/>
  <c r="H21" i="87"/>
  <c r="W19" i="87"/>
  <c r="AC18" i="87"/>
  <c r="W18" i="87"/>
  <c r="AB18" i="87"/>
  <c r="W17" i="87"/>
  <c r="N17" i="87" s="1"/>
  <c r="O17" i="87" s="1"/>
  <c r="V17" i="87"/>
  <c r="K17" i="87"/>
  <c r="J17" i="87"/>
  <c r="P17" i="87" s="1"/>
  <c r="F17" i="87"/>
  <c r="H17" i="87" s="1"/>
  <c r="W16" i="87"/>
  <c r="N16" i="87" s="1"/>
  <c r="K16" i="87"/>
  <c r="J16" i="87"/>
  <c r="P16" i="87" s="1"/>
  <c r="F16" i="87"/>
  <c r="H16" i="87" s="1"/>
  <c r="M15" i="87"/>
  <c r="W14" i="87"/>
  <c r="H14" i="87"/>
  <c r="W13" i="87"/>
  <c r="H13" i="87"/>
  <c r="W12" i="87"/>
  <c r="H12" i="87"/>
  <c r="W11" i="87"/>
  <c r="H11" i="87"/>
  <c r="W10" i="87"/>
  <c r="W9" i="87"/>
  <c r="W8" i="87"/>
  <c r="W7" i="87"/>
  <c r="N7" i="87" s="1"/>
  <c r="V7" i="87"/>
  <c r="K7" i="87"/>
  <c r="J7" i="87"/>
  <c r="P7" i="87" s="1"/>
  <c r="F7" i="87"/>
  <c r="H7" i="87" s="1"/>
  <c r="B7" i="87"/>
  <c r="W6" i="87"/>
  <c r="N6" i="87" s="1"/>
  <c r="V6" i="87"/>
  <c r="K6" i="87"/>
  <c r="J6" i="87"/>
  <c r="P6" i="87" s="1"/>
  <c r="F6" i="87"/>
  <c r="H6" i="87" s="1"/>
  <c r="B6" i="87"/>
  <c r="W5" i="87"/>
  <c r="N5" i="87"/>
  <c r="K5" i="87"/>
  <c r="J5" i="87"/>
  <c r="F5" i="87"/>
  <c r="H5" i="87" s="1"/>
  <c r="B5" i="87"/>
  <c r="I2" i="87"/>
  <c r="E1" i="87"/>
  <c r="G3" i="86" s="1"/>
  <c r="G18" i="86"/>
  <c r="D18" i="86"/>
  <c r="I16" i="86"/>
  <c r="H16" i="86"/>
  <c r="G16" i="86"/>
  <c r="F16" i="86"/>
  <c r="E16" i="86"/>
  <c r="D16" i="86"/>
  <c r="I16" i="84"/>
  <c r="H16" i="84"/>
  <c r="G16" i="84"/>
  <c r="F16" i="84"/>
  <c r="E16" i="84"/>
  <c r="D16" i="84"/>
  <c r="Q61" i="91" l="1"/>
  <c r="J13" i="92"/>
  <c r="J15" i="92" s="1"/>
  <c r="R79" i="93"/>
  <c r="S70" i="93" s="1"/>
  <c r="L7" i="89"/>
  <c r="R7" i="89" s="1"/>
  <c r="J69" i="87"/>
  <c r="P69" i="87" s="1"/>
  <c r="L38" i="87"/>
  <c r="L48" i="87" s="1"/>
  <c r="G13" i="86" s="1"/>
  <c r="L60" i="87"/>
  <c r="Q59" i="91"/>
  <c r="L28" i="87"/>
  <c r="L30" i="87"/>
  <c r="K69" i="87"/>
  <c r="Q17" i="91"/>
  <c r="K48" i="87"/>
  <c r="AC8" i="89"/>
  <c r="P59" i="87"/>
  <c r="L6" i="87"/>
  <c r="L61" i="87"/>
  <c r="L7" i="87"/>
  <c r="AC5" i="87"/>
  <c r="L38" i="89"/>
  <c r="Q38" i="89" s="1"/>
  <c r="L69" i="91"/>
  <c r="I13" i="90" s="1"/>
  <c r="J6" i="90" s="1"/>
  <c r="P49" i="87"/>
  <c r="L17" i="87"/>
  <c r="R17" i="87" s="1"/>
  <c r="K15" i="87"/>
  <c r="L26" i="91"/>
  <c r="E13" i="90" s="1"/>
  <c r="L37" i="91"/>
  <c r="F13" i="90" s="1"/>
  <c r="AC38" i="87"/>
  <c r="L5" i="89"/>
  <c r="K15" i="89"/>
  <c r="H7" i="92"/>
  <c r="D15" i="92"/>
  <c r="I15" i="92"/>
  <c r="L15" i="91"/>
  <c r="D13" i="90" s="1"/>
  <c r="R7" i="91"/>
  <c r="R28" i="91"/>
  <c r="O37" i="91"/>
  <c r="Q27" i="91"/>
  <c r="R27" i="91"/>
  <c r="Q51" i="91"/>
  <c r="R51" i="91"/>
  <c r="Q29" i="91"/>
  <c r="R29" i="91"/>
  <c r="Q28" i="91"/>
  <c r="O15" i="91"/>
  <c r="R5" i="91"/>
  <c r="Q5" i="91"/>
  <c r="AC58" i="91"/>
  <c r="AD49" i="91" s="1"/>
  <c r="AB58" i="91"/>
  <c r="Q58" i="91"/>
  <c r="O58" i="91"/>
  <c r="R49" i="91"/>
  <c r="Q49" i="91"/>
  <c r="AB26" i="91"/>
  <c r="AC26" i="91"/>
  <c r="AD16" i="91" s="1"/>
  <c r="AB48" i="91"/>
  <c r="Q48" i="91"/>
  <c r="AC48" i="91"/>
  <c r="AD38" i="91" s="1"/>
  <c r="AB15" i="91"/>
  <c r="AC15" i="91"/>
  <c r="AD5" i="91" s="1"/>
  <c r="G2" i="91"/>
  <c r="J3" i="90"/>
  <c r="R50" i="91"/>
  <c r="Q50" i="91"/>
  <c r="AB37" i="91"/>
  <c r="AC37" i="91"/>
  <c r="AD27" i="91" s="1"/>
  <c r="Q37" i="91"/>
  <c r="I14" i="90"/>
  <c r="R60" i="91"/>
  <c r="Q60" i="91"/>
  <c r="R8" i="91"/>
  <c r="Q8" i="91"/>
  <c r="O26" i="91"/>
  <c r="Q16" i="91"/>
  <c r="R16" i="91"/>
  <c r="AB69" i="91"/>
  <c r="AC69" i="91"/>
  <c r="AD59" i="91" s="1"/>
  <c r="Q69" i="91"/>
  <c r="R6" i="91"/>
  <c r="Q6" i="91"/>
  <c r="O48" i="91"/>
  <c r="R38" i="91"/>
  <c r="Q38" i="91"/>
  <c r="P58" i="89"/>
  <c r="K69" i="89"/>
  <c r="J69" i="89"/>
  <c r="P69" i="89" s="1"/>
  <c r="K48" i="89"/>
  <c r="J48" i="89"/>
  <c r="P48" i="89" s="1"/>
  <c r="K37" i="89"/>
  <c r="AC27" i="89"/>
  <c r="L6" i="89"/>
  <c r="Q6" i="89" s="1"/>
  <c r="L17" i="89"/>
  <c r="AC16" i="89"/>
  <c r="P49" i="89"/>
  <c r="P59" i="89"/>
  <c r="J37" i="89"/>
  <c r="P37" i="89" s="1"/>
  <c r="L61" i="89"/>
  <c r="J26" i="89"/>
  <c r="P26" i="89" s="1"/>
  <c r="L60" i="89"/>
  <c r="R60" i="89" s="1"/>
  <c r="L8" i="89"/>
  <c r="Q8" i="89" s="1"/>
  <c r="AB28" i="89"/>
  <c r="O16" i="89"/>
  <c r="L27" i="89"/>
  <c r="AC28" i="89"/>
  <c r="AB16" i="89"/>
  <c r="AC7" i="89"/>
  <c r="AB7" i="89"/>
  <c r="O7" i="89"/>
  <c r="N15" i="89"/>
  <c r="AB6" i="89"/>
  <c r="I1" i="89"/>
  <c r="AC50" i="89"/>
  <c r="AB50" i="89"/>
  <c r="O50" i="89"/>
  <c r="AC38" i="89"/>
  <c r="AB38" i="89"/>
  <c r="N48" i="89"/>
  <c r="O61" i="89"/>
  <c r="O69" i="89" s="1"/>
  <c r="AC61" i="89"/>
  <c r="AB61" i="89"/>
  <c r="O17" i="89"/>
  <c r="AC17" i="89"/>
  <c r="AB17" i="89"/>
  <c r="N26" i="89"/>
  <c r="O29" i="89"/>
  <c r="AC29" i="89"/>
  <c r="AB29" i="89"/>
  <c r="O49" i="89"/>
  <c r="AC49" i="89"/>
  <c r="AB49" i="89"/>
  <c r="N58" i="89"/>
  <c r="AB51" i="89"/>
  <c r="AC51" i="89"/>
  <c r="O51" i="89"/>
  <c r="G1" i="89"/>
  <c r="N69" i="89"/>
  <c r="AC5" i="89"/>
  <c r="K26" i="89"/>
  <c r="P7" i="89"/>
  <c r="P16" i="89"/>
  <c r="N37" i="89"/>
  <c r="L59" i="89"/>
  <c r="AB60" i="89"/>
  <c r="AC60" i="89"/>
  <c r="AC6" i="89"/>
  <c r="O5" i="89"/>
  <c r="P27" i="89"/>
  <c r="O27" i="89"/>
  <c r="L28" i="89"/>
  <c r="R28" i="89" s="1"/>
  <c r="J15" i="89"/>
  <c r="P15" i="89" s="1"/>
  <c r="L29" i="89"/>
  <c r="L49" i="89"/>
  <c r="L58" i="89" s="1"/>
  <c r="H13" i="88" s="1"/>
  <c r="AB59" i="89"/>
  <c r="L16" i="89"/>
  <c r="AB27" i="89"/>
  <c r="AC59" i="89"/>
  <c r="AB5" i="89"/>
  <c r="N69" i="87"/>
  <c r="L29" i="87"/>
  <c r="J37" i="87"/>
  <c r="P37" i="87" s="1"/>
  <c r="K26" i="87"/>
  <c r="J26" i="87"/>
  <c r="P26" i="87" s="1"/>
  <c r="J15" i="87"/>
  <c r="P15" i="87" s="1"/>
  <c r="P5" i="87"/>
  <c r="O28" i="87"/>
  <c r="AC28" i="87"/>
  <c r="AB28" i="87"/>
  <c r="K37" i="87"/>
  <c r="L27" i="87"/>
  <c r="AC39" i="87"/>
  <c r="AB39" i="87"/>
  <c r="P58" i="87"/>
  <c r="O60" i="87"/>
  <c r="AC60" i="87"/>
  <c r="AB60" i="87"/>
  <c r="AB30" i="87"/>
  <c r="O30" i="87"/>
  <c r="AC30" i="87"/>
  <c r="O61" i="87"/>
  <c r="AC61" i="87"/>
  <c r="AB61" i="87"/>
  <c r="AC27" i="87"/>
  <c r="N37" i="87"/>
  <c r="O49" i="87"/>
  <c r="N58" i="87"/>
  <c r="AC49" i="87"/>
  <c r="AB49" i="87"/>
  <c r="O7" i="87"/>
  <c r="AC7" i="87"/>
  <c r="AB7" i="87"/>
  <c r="O16" i="87"/>
  <c r="N26" i="87"/>
  <c r="AC16" i="87"/>
  <c r="AB16" i="87"/>
  <c r="O29" i="87"/>
  <c r="AC29" i="87"/>
  <c r="AB29" i="87"/>
  <c r="O6" i="87"/>
  <c r="AC6" i="87"/>
  <c r="AB6" i="87"/>
  <c r="G1" i="87"/>
  <c r="H18" i="86"/>
  <c r="O27" i="87"/>
  <c r="O59" i="87"/>
  <c r="J48" i="87"/>
  <c r="P48" i="87" s="1"/>
  <c r="I1" i="87"/>
  <c r="O50" i="87"/>
  <c r="L59" i="87"/>
  <c r="L5" i="87"/>
  <c r="O38" i="87"/>
  <c r="O51" i="87"/>
  <c r="AB50" i="87"/>
  <c r="AB17" i="87"/>
  <c r="P28" i="87"/>
  <c r="AB38" i="87"/>
  <c r="N48" i="87"/>
  <c r="AB51" i="87"/>
  <c r="L16" i="87"/>
  <c r="AC17" i="87"/>
  <c r="AB27" i="87"/>
  <c r="L49" i="87"/>
  <c r="L58" i="87" s="1"/>
  <c r="H13" i="86" s="1"/>
  <c r="AB59" i="87"/>
  <c r="O5" i="87"/>
  <c r="AB5" i="87"/>
  <c r="N15" i="87"/>
  <c r="AC59" i="87"/>
  <c r="K27" i="85"/>
  <c r="J27" i="85"/>
  <c r="J29" i="85"/>
  <c r="K29" i="85"/>
  <c r="V8" i="85"/>
  <c r="F8" i="85"/>
  <c r="H8" i="85" s="1"/>
  <c r="J8" i="85"/>
  <c r="P8" i="85" s="1"/>
  <c r="K8" i="85"/>
  <c r="B8" i="85"/>
  <c r="J8" i="92" l="1"/>
  <c r="AB15" i="89"/>
  <c r="F6" i="92"/>
  <c r="L69" i="87"/>
  <c r="I13" i="86" s="1"/>
  <c r="J6" i="86" s="1"/>
  <c r="Q7" i="89"/>
  <c r="J6" i="92"/>
  <c r="R69" i="91"/>
  <c r="S59" i="91" s="1"/>
  <c r="Q17" i="87"/>
  <c r="L26" i="87"/>
  <c r="E13" i="86" s="1"/>
  <c r="AC69" i="87"/>
  <c r="AD59" i="87" s="1"/>
  <c r="R38" i="89"/>
  <c r="H6" i="90"/>
  <c r="R6" i="89"/>
  <c r="L48" i="89"/>
  <c r="G13" i="88" s="1"/>
  <c r="Q16" i="89"/>
  <c r="L15" i="89"/>
  <c r="D13" i="88" s="1"/>
  <c r="L8" i="85"/>
  <c r="L69" i="89"/>
  <c r="I13" i="88" s="1"/>
  <c r="J6" i="88" s="1"/>
  <c r="L15" i="87"/>
  <c r="D13" i="86" s="1"/>
  <c r="F6" i="90"/>
  <c r="L37" i="87"/>
  <c r="F13" i="86" s="1"/>
  <c r="F8" i="92"/>
  <c r="H8" i="92"/>
  <c r="I15" i="90"/>
  <c r="J8" i="90" s="1"/>
  <c r="J7" i="90"/>
  <c r="R48" i="91"/>
  <c r="S38" i="91" s="1"/>
  <c r="G14" i="90"/>
  <c r="G15" i="90" s="1"/>
  <c r="E2" i="91"/>
  <c r="R15" i="91"/>
  <c r="S5" i="91" s="1"/>
  <c r="Q15" i="91"/>
  <c r="D14" i="90"/>
  <c r="H14" i="90"/>
  <c r="H15" i="90" s="1"/>
  <c r="R58" i="91"/>
  <c r="S49" i="91" s="1"/>
  <c r="Q26" i="91"/>
  <c r="R26" i="91"/>
  <c r="S16" i="91" s="1"/>
  <c r="E14" i="90"/>
  <c r="E15" i="90" s="1"/>
  <c r="F14" i="90"/>
  <c r="F15" i="90" s="1"/>
  <c r="R37" i="91"/>
  <c r="S27" i="91" s="1"/>
  <c r="AC15" i="89"/>
  <c r="AD5" i="89" s="1"/>
  <c r="L37" i="89"/>
  <c r="F13" i="88" s="1"/>
  <c r="I14" i="88"/>
  <c r="R8" i="89"/>
  <c r="Q60" i="89"/>
  <c r="G2" i="89"/>
  <c r="J3" i="88"/>
  <c r="O58" i="89"/>
  <c r="R49" i="89"/>
  <c r="Q49" i="89"/>
  <c r="R61" i="89"/>
  <c r="Q61" i="89"/>
  <c r="R59" i="89"/>
  <c r="R29" i="89"/>
  <c r="Q29" i="89"/>
  <c r="AC37" i="89"/>
  <c r="AD27" i="89" s="1"/>
  <c r="AB37" i="89"/>
  <c r="Q37" i="89"/>
  <c r="Q48" i="89"/>
  <c r="AC48" i="89"/>
  <c r="AD38" i="89" s="1"/>
  <c r="AB48" i="89"/>
  <c r="O48" i="89"/>
  <c r="R27" i="89"/>
  <c r="Q27" i="89"/>
  <c r="O37" i="89"/>
  <c r="R51" i="89"/>
  <c r="Q51" i="89"/>
  <c r="Q59" i="89"/>
  <c r="AC69" i="89"/>
  <c r="AD59" i="89" s="1"/>
  <c r="AB69" i="89"/>
  <c r="Q69" i="89"/>
  <c r="Q28" i="89"/>
  <c r="R5" i="89"/>
  <c r="Q5" i="89"/>
  <c r="O15" i="89"/>
  <c r="D14" i="88" s="1"/>
  <c r="AC26" i="89"/>
  <c r="AD16" i="89" s="1"/>
  <c r="AB26" i="89"/>
  <c r="AC58" i="89"/>
  <c r="AD49" i="89" s="1"/>
  <c r="AB58" i="89"/>
  <c r="Q58" i="89"/>
  <c r="Q50" i="89"/>
  <c r="R50" i="89"/>
  <c r="R16" i="89"/>
  <c r="L26" i="89"/>
  <c r="E13" i="88" s="1"/>
  <c r="R17" i="89"/>
  <c r="O26" i="89"/>
  <c r="E14" i="88" s="1"/>
  <c r="Q17" i="89"/>
  <c r="Q69" i="87"/>
  <c r="AB69" i="87"/>
  <c r="R50" i="87"/>
  <c r="Q50" i="87"/>
  <c r="R7" i="87"/>
  <c r="Q7" i="87"/>
  <c r="R29" i="87"/>
  <c r="Q29" i="87"/>
  <c r="O37" i="87"/>
  <c r="R27" i="87"/>
  <c r="Q27" i="87"/>
  <c r="R28" i="87"/>
  <c r="Q28" i="87"/>
  <c r="Q30" i="87"/>
  <c r="R30" i="87"/>
  <c r="AC58" i="87"/>
  <c r="AD49" i="87" s="1"/>
  <c r="AB58" i="87"/>
  <c r="Q58" i="87"/>
  <c r="O15" i="87"/>
  <c r="R5" i="87"/>
  <c r="Q5" i="87"/>
  <c r="R51" i="87"/>
  <c r="Q51" i="87"/>
  <c r="AB26" i="87"/>
  <c r="AC26" i="87"/>
  <c r="AD16" i="87" s="1"/>
  <c r="R60" i="87"/>
  <c r="Q60" i="87"/>
  <c r="J3" i="86"/>
  <c r="G2" i="87"/>
  <c r="R6" i="87"/>
  <c r="Q6" i="87"/>
  <c r="Q48" i="87"/>
  <c r="AB48" i="87"/>
  <c r="AC48" i="87"/>
  <c r="AD38" i="87" s="1"/>
  <c r="O58" i="87"/>
  <c r="R49" i="87"/>
  <c r="Q49" i="87"/>
  <c r="Q37" i="87"/>
  <c r="AC37" i="87"/>
  <c r="AD27" i="87" s="1"/>
  <c r="AB37" i="87"/>
  <c r="AC15" i="87"/>
  <c r="AD5" i="87" s="1"/>
  <c r="AB15" i="87"/>
  <c r="O69" i="87"/>
  <c r="R59" i="87"/>
  <c r="Q59" i="87"/>
  <c r="O48" i="87"/>
  <c r="R38" i="87"/>
  <c r="Q38" i="87"/>
  <c r="R16" i="87"/>
  <c r="O26" i="87"/>
  <c r="Q16" i="87"/>
  <c r="Q61" i="87"/>
  <c r="R61" i="87"/>
  <c r="F6" i="86" l="1"/>
  <c r="H6" i="86"/>
  <c r="R69" i="89"/>
  <c r="S59" i="89" s="1"/>
  <c r="D15" i="90"/>
  <c r="H7" i="90"/>
  <c r="F7" i="90"/>
  <c r="F6" i="88"/>
  <c r="R48" i="89"/>
  <c r="S38" i="89" s="1"/>
  <c r="G14" i="88"/>
  <c r="G15" i="88" s="1"/>
  <c r="R58" i="89"/>
  <c r="S49" i="89" s="1"/>
  <c r="H14" i="88"/>
  <c r="H15" i="88" s="1"/>
  <c r="E15" i="88"/>
  <c r="H6" i="88"/>
  <c r="I15" i="88"/>
  <c r="J8" i="88" s="1"/>
  <c r="J7" i="88"/>
  <c r="R37" i="89"/>
  <c r="S27" i="89" s="1"/>
  <c r="F14" i="88"/>
  <c r="F15" i="88" s="1"/>
  <c r="D15" i="88"/>
  <c r="R26" i="89"/>
  <c r="S16" i="89" s="1"/>
  <c r="Q26" i="89"/>
  <c r="E2" i="89"/>
  <c r="R15" i="89"/>
  <c r="S5" i="89" s="1"/>
  <c r="Q15" i="89"/>
  <c r="I14" i="86"/>
  <c r="R69" i="87"/>
  <c r="S59" i="87" s="1"/>
  <c r="F14" i="86"/>
  <c r="F15" i="86" s="1"/>
  <c r="R37" i="87"/>
  <c r="S27" i="87" s="1"/>
  <c r="E14" i="86"/>
  <c r="E15" i="86" s="1"/>
  <c r="R26" i="87"/>
  <c r="S16" i="87" s="1"/>
  <c r="Q26" i="87"/>
  <c r="D14" i="86"/>
  <c r="R15" i="87"/>
  <c r="S5" i="87" s="1"/>
  <c r="E2" i="87"/>
  <c r="Q15" i="87"/>
  <c r="H14" i="86"/>
  <c r="H15" i="86" s="1"/>
  <c r="R58" i="87"/>
  <c r="S49" i="87" s="1"/>
  <c r="R48" i="87"/>
  <c r="S38" i="87" s="1"/>
  <c r="G14" i="86"/>
  <c r="G15" i="86" s="1"/>
  <c r="H8" i="90" l="1"/>
  <c r="F8" i="90"/>
  <c r="H7" i="88"/>
  <c r="F7" i="88"/>
  <c r="F8" i="88"/>
  <c r="H8" i="88"/>
  <c r="D15" i="86"/>
  <c r="F7" i="86"/>
  <c r="H7" i="86"/>
  <c r="I15" i="86"/>
  <c r="J8" i="86" s="1"/>
  <c r="J7" i="86"/>
  <c r="H8" i="86" l="1"/>
  <c r="F8" i="86"/>
  <c r="I18" i="84" l="1"/>
  <c r="E18" i="84"/>
  <c r="W78" i="85"/>
  <c r="H78" i="85"/>
  <c r="W77" i="85"/>
  <c r="H77" i="85"/>
  <c r="W76" i="85"/>
  <c r="H76" i="85"/>
  <c r="W75" i="85"/>
  <c r="H75" i="85"/>
  <c r="W74" i="85"/>
  <c r="H74" i="85"/>
  <c r="W73" i="85"/>
  <c r="H73" i="85"/>
  <c r="W72" i="85"/>
  <c r="H72" i="85"/>
  <c r="W71" i="85"/>
  <c r="H71" i="85"/>
  <c r="AD70" i="85"/>
  <c r="W70" i="85"/>
  <c r="S70" i="85"/>
  <c r="M69" i="85"/>
  <c r="W68" i="85"/>
  <c r="H68" i="85"/>
  <c r="W67" i="85"/>
  <c r="H67" i="85"/>
  <c r="W66" i="85"/>
  <c r="H66" i="85"/>
  <c r="W65" i="85"/>
  <c r="H65" i="85"/>
  <c r="W64" i="85"/>
  <c r="H64" i="85"/>
  <c r="W63" i="85"/>
  <c r="W62" i="85"/>
  <c r="W61" i="85"/>
  <c r="N61" i="85" s="1"/>
  <c r="V61" i="85"/>
  <c r="K61" i="85"/>
  <c r="J61" i="85"/>
  <c r="P61" i="85" s="1"/>
  <c r="F61" i="85"/>
  <c r="H61" i="85" s="1"/>
  <c r="B61" i="85"/>
  <c r="W60" i="85"/>
  <c r="V60" i="85"/>
  <c r="N60" i="85"/>
  <c r="O60" i="85" s="1"/>
  <c r="K60" i="85"/>
  <c r="J60" i="85"/>
  <c r="P60" i="85" s="1"/>
  <c r="F60" i="85"/>
  <c r="H60" i="85" s="1"/>
  <c r="B60" i="85"/>
  <c r="W59" i="85"/>
  <c r="N59" i="85"/>
  <c r="O59" i="85" s="1"/>
  <c r="K59" i="85"/>
  <c r="J59" i="85"/>
  <c r="F59" i="85"/>
  <c r="H59" i="85" s="1"/>
  <c r="B59" i="85"/>
  <c r="M58" i="85"/>
  <c r="H18" i="84" s="1"/>
  <c r="W57" i="85"/>
  <c r="H57" i="85"/>
  <c r="W56" i="85"/>
  <c r="H56" i="85"/>
  <c r="W55" i="85"/>
  <c r="H55" i="85"/>
  <c r="W54" i="85"/>
  <c r="H54" i="85"/>
  <c r="W53" i="85"/>
  <c r="H53" i="85"/>
  <c r="W52" i="85"/>
  <c r="W51" i="85"/>
  <c r="V51" i="85"/>
  <c r="P51" i="85"/>
  <c r="N51" i="85"/>
  <c r="AC51" i="85" s="1"/>
  <c r="L51" i="85"/>
  <c r="F51" i="85"/>
  <c r="H51" i="85" s="1"/>
  <c r="B51" i="85"/>
  <c r="W50" i="85"/>
  <c r="V50" i="85"/>
  <c r="P50" i="85"/>
  <c r="N50" i="85"/>
  <c r="AB50" i="85" s="1"/>
  <c r="L50" i="85"/>
  <c r="F50" i="85"/>
  <c r="H50" i="85" s="1"/>
  <c r="B50" i="85"/>
  <c r="W49" i="85"/>
  <c r="N49" i="85"/>
  <c r="O49" i="85" s="1"/>
  <c r="K49" i="85"/>
  <c r="K58" i="85" s="1"/>
  <c r="J49" i="85"/>
  <c r="J58" i="85" s="1"/>
  <c r="P58" i="85" s="1"/>
  <c r="F49" i="85"/>
  <c r="H49" i="85" s="1"/>
  <c r="B49" i="85"/>
  <c r="W48" i="85"/>
  <c r="M48" i="85"/>
  <c r="G18" i="84" s="1"/>
  <c r="W47" i="85"/>
  <c r="H47" i="85"/>
  <c r="W46" i="85"/>
  <c r="H46" i="85"/>
  <c r="W45" i="85"/>
  <c r="H45" i="85"/>
  <c r="W44" i="85"/>
  <c r="H44" i="85"/>
  <c r="W43" i="85"/>
  <c r="H43" i="85"/>
  <c r="W42" i="85"/>
  <c r="W41" i="85"/>
  <c r="W40" i="85"/>
  <c r="W39" i="85"/>
  <c r="N39" i="85" s="1"/>
  <c r="V39" i="85"/>
  <c r="K39" i="85"/>
  <c r="J39" i="85"/>
  <c r="P39" i="85" s="1"/>
  <c r="F39" i="85"/>
  <c r="H39" i="85" s="1"/>
  <c r="C39" i="85"/>
  <c r="B39" i="85"/>
  <c r="W38" i="85"/>
  <c r="N38" i="85" s="1"/>
  <c r="K38" i="85"/>
  <c r="J38" i="85"/>
  <c r="P38" i="85" s="1"/>
  <c r="F38" i="85"/>
  <c r="H38" i="85" s="1"/>
  <c r="C38" i="85"/>
  <c r="M37" i="85"/>
  <c r="F18" i="84" s="1"/>
  <c r="W36" i="85"/>
  <c r="H36" i="85"/>
  <c r="W35" i="85"/>
  <c r="H35" i="85"/>
  <c r="W34" i="85"/>
  <c r="H34" i="85"/>
  <c r="W33" i="85"/>
  <c r="H33" i="85"/>
  <c r="W32" i="85"/>
  <c r="H32" i="85"/>
  <c r="W31" i="85"/>
  <c r="W30" i="85"/>
  <c r="V30" i="85"/>
  <c r="N30" i="85"/>
  <c r="O30" i="85" s="1"/>
  <c r="K30" i="85"/>
  <c r="J30" i="85"/>
  <c r="P30" i="85" s="1"/>
  <c r="F30" i="85"/>
  <c r="H30" i="85" s="1"/>
  <c r="B30" i="85"/>
  <c r="W29" i="85"/>
  <c r="N29" i="85" s="1"/>
  <c r="V29" i="85"/>
  <c r="P29" i="85"/>
  <c r="L29" i="85"/>
  <c r="F29" i="85"/>
  <c r="H29" i="85" s="1"/>
  <c r="B29" i="85"/>
  <c r="W28" i="85"/>
  <c r="N28" i="85" s="1"/>
  <c r="V28" i="85"/>
  <c r="K28" i="85"/>
  <c r="J28" i="85"/>
  <c r="P28" i="85" s="1"/>
  <c r="F28" i="85"/>
  <c r="H28" i="85" s="1"/>
  <c r="B28" i="85"/>
  <c r="W27" i="85"/>
  <c r="N27" i="85" s="1"/>
  <c r="P27" i="85"/>
  <c r="L27" i="85"/>
  <c r="F27" i="85"/>
  <c r="H27" i="85" s="1"/>
  <c r="M26" i="85"/>
  <c r="W25" i="85"/>
  <c r="H25" i="85"/>
  <c r="W24" i="85"/>
  <c r="H24" i="85"/>
  <c r="W23" i="85"/>
  <c r="H23" i="85"/>
  <c r="H22" i="85"/>
  <c r="H21" i="85"/>
  <c r="W19" i="85"/>
  <c r="W18" i="85"/>
  <c r="N18" i="85" s="1"/>
  <c r="V18" i="85"/>
  <c r="K18" i="85"/>
  <c r="J18" i="85"/>
  <c r="P18" i="85" s="1"/>
  <c r="F18" i="85"/>
  <c r="H18" i="85" s="1"/>
  <c r="B18" i="85"/>
  <c r="W17" i="85"/>
  <c r="N17" i="85" s="1"/>
  <c r="V17" i="85"/>
  <c r="K17" i="85"/>
  <c r="J17" i="85"/>
  <c r="P17" i="85" s="1"/>
  <c r="F17" i="85"/>
  <c r="H17" i="85" s="1"/>
  <c r="W16" i="85"/>
  <c r="N16" i="85"/>
  <c r="K16" i="85"/>
  <c r="J16" i="85"/>
  <c r="P16" i="85" s="1"/>
  <c r="F16" i="85"/>
  <c r="H16" i="85" s="1"/>
  <c r="M15" i="85"/>
  <c r="D18" i="84" s="1"/>
  <c r="W14" i="85"/>
  <c r="H14" i="85"/>
  <c r="W13" i="85"/>
  <c r="H13" i="85"/>
  <c r="W12" i="85"/>
  <c r="H12" i="85"/>
  <c r="W11" i="85"/>
  <c r="H11" i="85"/>
  <c r="W10" i="85"/>
  <c r="W9" i="85"/>
  <c r="W8" i="85"/>
  <c r="N8" i="85" s="1"/>
  <c r="O8" i="85" s="1"/>
  <c r="W7" i="85"/>
  <c r="N7" i="85" s="1"/>
  <c r="O7" i="85" s="1"/>
  <c r="V7" i="85"/>
  <c r="K7" i="85"/>
  <c r="J7" i="85"/>
  <c r="P7" i="85" s="1"/>
  <c r="F7" i="85"/>
  <c r="H7" i="85" s="1"/>
  <c r="B7" i="85"/>
  <c r="W6" i="85"/>
  <c r="N6" i="85" s="1"/>
  <c r="V6" i="85"/>
  <c r="K6" i="85"/>
  <c r="J6" i="85"/>
  <c r="P6" i="85" s="1"/>
  <c r="F6" i="85"/>
  <c r="H6" i="85" s="1"/>
  <c r="B6" i="85"/>
  <c r="W5" i="85"/>
  <c r="N5" i="85"/>
  <c r="K5" i="85"/>
  <c r="J5" i="85"/>
  <c r="F5" i="85"/>
  <c r="H5" i="85" s="1"/>
  <c r="B5" i="85"/>
  <c r="I2" i="85"/>
  <c r="E1" i="85"/>
  <c r="G3" i="84" s="1"/>
  <c r="V6" i="82"/>
  <c r="V52" i="82"/>
  <c r="K52" i="82"/>
  <c r="J52" i="82"/>
  <c r="P52" i="82" s="1"/>
  <c r="F52" i="82"/>
  <c r="H52" i="82" s="1"/>
  <c r="B52" i="82"/>
  <c r="W78" i="82"/>
  <c r="H78" i="82"/>
  <c r="W77" i="82"/>
  <c r="H77" i="82"/>
  <c r="W76" i="82"/>
  <c r="H76" i="82"/>
  <c r="W75" i="82"/>
  <c r="H75" i="82"/>
  <c r="W74" i="82"/>
  <c r="H74" i="82"/>
  <c r="W73" i="82"/>
  <c r="H73" i="82"/>
  <c r="W72" i="82"/>
  <c r="H72" i="82"/>
  <c r="W71" i="82"/>
  <c r="H71" i="82"/>
  <c r="AD70" i="82"/>
  <c r="W70" i="82"/>
  <c r="S70" i="82"/>
  <c r="M69" i="82"/>
  <c r="I18" i="81" s="1"/>
  <c r="W68" i="82"/>
  <c r="H68" i="82"/>
  <c r="W67" i="82"/>
  <c r="H67" i="82"/>
  <c r="W66" i="82"/>
  <c r="H66" i="82"/>
  <c r="W65" i="82"/>
  <c r="H65" i="82"/>
  <c r="W64" i="82"/>
  <c r="H64" i="82"/>
  <c r="W63" i="82"/>
  <c r="W62" i="82"/>
  <c r="W61" i="82"/>
  <c r="N61" i="82" s="1"/>
  <c r="O61" i="82" s="1"/>
  <c r="V61" i="82"/>
  <c r="K61" i="82"/>
  <c r="J61" i="82"/>
  <c r="P61" i="82" s="1"/>
  <c r="F61" i="82"/>
  <c r="H61" i="82" s="1"/>
  <c r="B61" i="82"/>
  <c r="W60" i="82"/>
  <c r="N60" i="82" s="1"/>
  <c r="O60" i="82" s="1"/>
  <c r="V60" i="82"/>
  <c r="K60" i="82"/>
  <c r="J60" i="82"/>
  <c r="F60" i="82"/>
  <c r="H60" i="82" s="1"/>
  <c r="B60" i="82"/>
  <c r="W59" i="82"/>
  <c r="N59" i="82"/>
  <c r="O59" i="82" s="1"/>
  <c r="K59" i="82"/>
  <c r="J59" i="82"/>
  <c r="P59" i="82" s="1"/>
  <c r="F59" i="82"/>
  <c r="H59" i="82" s="1"/>
  <c r="B59" i="82"/>
  <c r="M58" i="82"/>
  <c r="H18" i="81" s="1"/>
  <c r="W57" i="82"/>
  <c r="H57" i="82"/>
  <c r="W56" i="82"/>
  <c r="H56" i="82"/>
  <c r="W55" i="82"/>
  <c r="H55" i="82"/>
  <c r="W54" i="82"/>
  <c r="H54" i="82"/>
  <c r="W53" i="82"/>
  <c r="H53" i="82"/>
  <c r="W52" i="82"/>
  <c r="N52" i="82" s="1"/>
  <c r="O52" i="82" s="1"/>
  <c r="W51" i="82"/>
  <c r="N51" i="82" s="1"/>
  <c r="V51" i="82"/>
  <c r="K51" i="82"/>
  <c r="J51" i="82"/>
  <c r="P51" i="82" s="1"/>
  <c r="F51" i="82"/>
  <c r="H51" i="82" s="1"/>
  <c r="B51" i="82"/>
  <c r="W50" i="82"/>
  <c r="N50" i="82" s="1"/>
  <c r="V50" i="82"/>
  <c r="K50" i="82"/>
  <c r="J50" i="82"/>
  <c r="P50" i="82" s="1"/>
  <c r="F50" i="82"/>
  <c r="H50" i="82" s="1"/>
  <c r="B50" i="82"/>
  <c r="W49" i="82"/>
  <c r="N49" i="82" s="1"/>
  <c r="O49" i="82" s="1"/>
  <c r="K49" i="82"/>
  <c r="J49" i="82"/>
  <c r="F49" i="82"/>
  <c r="H49" i="82" s="1"/>
  <c r="B49" i="82"/>
  <c r="W48" i="82"/>
  <c r="M48" i="82"/>
  <c r="W47" i="82"/>
  <c r="H47" i="82"/>
  <c r="W46" i="82"/>
  <c r="H46" i="82"/>
  <c r="W45" i="82"/>
  <c r="H45" i="82"/>
  <c r="W44" i="82"/>
  <c r="H44" i="82"/>
  <c r="W43" i="82"/>
  <c r="H43" i="82"/>
  <c r="W42" i="82"/>
  <c r="W41" i="82"/>
  <c r="W40" i="82"/>
  <c r="W39" i="82"/>
  <c r="N39" i="82" s="1"/>
  <c r="V39" i="82"/>
  <c r="K39" i="82"/>
  <c r="J39" i="82"/>
  <c r="P39" i="82" s="1"/>
  <c r="F39" i="82"/>
  <c r="H39" i="82" s="1"/>
  <c r="C39" i="82"/>
  <c r="B39" i="82"/>
  <c r="W38" i="82"/>
  <c r="N38" i="82" s="1"/>
  <c r="O38" i="82" s="1"/>
  <c r="K38" i="82"/>
  <c r="J38" i="82"/>
  <c r="P38" i="82" s="1"/>
  <c r="F38" i="82"/>
  <c r="H38" i="82" s="1"/>
  <c r="C38" i="82"/>
  <c r="M37" i="82"/>
  <c r="W36" i="82"/>
  <c r="H36" i="82"/>
  <c r="W35" i="82"/>
  <c r="H35" i="82"/>
  <c r="W34" i="82"/>
  <c r="H34" i="82"/>
  <c r="W33" i="82"/>
  <c r="H33" i="82"/>
  <c r="W32" i="82"/>
  <c r="H32" i="82"/>
  <c r="W31" i="82"/>
  <c r="W30" i="82"/>
  <c r="N30" i="82" s="1"/>
  <c r="O30" i="82" s="1"/>
  <c r="V30" i="82"/>
  <c r="K30" i="82"/>
  <c r="J30" i="82"/>
  <c r="P30" i="82" s="1"/>
  <c r="F30" i="82"/>
  <c r="H30" i="82" s="1"/>
  <c r="B30" i="82"/>
  <c r="W29" i="82"/>
  <c r="V29" i="82"/>
  <c r="N29" i="82"/>
  <c r="O29" i="82" s="1"/>
  <c r="K29" i="82"/>
  <c r="J29" i="82"/>
  <c r="P29" i="82" s="1"/>
  <c r="F29" i="82"/>
  <c r="H29" i="82" s="1"/>
  <c r="B29" i="82"/>
  <c r="W28" i="82"/>
  <c r="N28" i="82" s="1"/>
  <c r="V28" i="82"/>
  <c r="K28" i="82"/>
  <c r="J28" i="82"/>
  <c r="P28" i="82" s="1"/>
  <c r="F28" i="82"/>
  <c r="H28" i="82" s="1"/>
  <c r="B28" i="82"/>
  <c r="W27" i="82"/>
  <c r="N27" i="82" s="1"/>
  <c r="K27" i="82"/>
  <c r="J27" i="82"/>
  <c r="P27" i="82" s="1"/>
  <c r="F27" i="82"/>
  <c r="H27" i="82" s="1"/>
  <c r="M26" i="82"/>
  <c r="E18" i="81" s="1"/>
  <c r="W25" i="82"/>
  <c r="H25" i="82"/>
  <c r="W24" i="82"/>
  <c r="H24" i="82"/>
  <c r="W23" i="82"/>
  <c r="H23" i="82"/>
  <c r="H22" i="82"/>
  <c r="H21" i="82"/>
  <c r="W19" i="82"/>
  <c r="W18" i="82"/>
  <c r="N18" i="82" s="1"/>
  <c r="V18" i="82"/>
  <c r="K18" i="82"/>
  <c r="J18" i="82"/>
  <c r="P18" i="82" s="1"/>
  <c r="F18" i="82"/>
  <c r="H18" i="82" s="1"/>
  <c r="B18" i="82"/>
  <c r="W17" i="82"/>
  <c r="N17" i="82" s="1"/>
  <c r="O17" i="82" s="1"/>
  <c r="V17" i="82"/>
  <c r="K17" i="82"/>
  <c r="J17" i="82"/>
  <c r="P17" i="82" s="1"/>
  <c r="F17" i="82"/>
  <c r="H17" i="82" s="1"/>
  <c r="W16" i="82"/>
  <c r="N16" i="82"/>
  <c r="K16" i="82"/>
  <c r="J16" i="82"/>
  <c r="F16" i="82"/>
  <c r="H16" i="82" s="1"/>
  <c r="M15" i="82"/>
  <c r="W14" i="82"/>
  <c r="H14" i="82"/>
  <c r="W13" i="82"/>
  <c r="H13" i="82"/>
  <c r="W12" i="82"/>
  <c r="H12" i="82"/>
  <c r="W11" i="82"/>
  <c r="H11" i="82"/>
  <c r="W10" i="82"/>
  <c r="W9" i="82"/>
  <c r="W8" i="82"/>
  <c r="W7" i="82"/>
  <c r="N7" i="82" s="1"/>
  <c r="O7" i="82" s="1"/>
  <c r="V7" i="82"/>
  <c r="K7" i="82"/>
  <c r="J7" i="82"/>
  <c r="P7" i="82" s="1"/>
  <c r="F7" i="82"/>
  <c r="H7" i="82" s="1"/>
  <c r="B7" i="82"/>
  <c r="W6" i="82"/>
  <c r="N6" i="82"/>
  <c r="K6" i="82"/>
  <c r="J6" i="82"/>
  <c r="P6" i="82" s="1"/>
  <c r="F6" i="82"/>
  <c r="H6" i="82" s="1"/>
  <c r="B6" i="82"/>
  <c r="W5" i="82"/>
  <c r="N5" i="82"/>
  <c r="K5" i="82"/>
  <c r="J5" i="82"/>
  <c r="F5" i="82"/>
  <c r="H5" i="82" s="1"/>
  <c r="B5" i="82"/>
  <c r="I2" i="82"/>
  <c r="E1" i="82"/>
  <c r="G3" i="81" s="1"/>
  <c r="I16" i="81"/>
  <c r="H16" i="81"/>
  <c r="G16" i="81"/>
  <c r="F16" i="81"/>
  <c r="E16" i="81"/>
  <c r="D16" i="81"/>
  <c r="N28" i="80"/>
  <c r="K28" i="80"/>
  <c r="K31" i="80"/>
  <c r="J31" i="80"/>
  <c r="K30" i="80"/>
  <c r="J30" i="80"/>
  <c r="K29" i="80"/>
  <c r="J29" i="80"/>
  <c r="J28" i="80"/>
  <c r="K27" i="80"/>
  <c r="J27" i="80"/>
  <c r="L18" i="85" l="1"/>
  <c r="L38" i="82"/>
  <c r="K48" i="82"/>
  <c r="J15" i="85"/>
  <c r="P15" i="85" s="1"/>
  <c r="L7" i="85"/>
  <c r="R7" i="85" s="1"/>
  <c r="L30" i="85"/>
  <c r="R30" i="85" s="1"/>
  <c r="J37" i="85"/>
  <c r="P37" i="85" s="1"/>
  <c r="AC6" i="85"/>
  <c r="AC16" i="82"/>
  <c r="L5" i="82"/>
  <c r="AB50" i="82"/>
  <c r="K48" i="85"/>
  <c r="L60" i="82"/>
  <c r="L16" i="82"/>
  <c r="L28" i="85"/>
  <c r="K26" i="85"/>
  <c r="L61" i="82"/>
  <c r="L5" i="85"/>
  <c r="L39" i="85"/>
  <c r="K37" i="82"/>
  <c r="L6" i="82"/>
  <c r="L18" i="82"/>
  <c r="AC5" i="85"/>
  <c r="L52" i="82"/>
  <c r="R52" i="82" s="1"/>
  <c r="K15" i="85"/>
  <c r="L51" i="82"/>
  <c r="L27" i="82"/>
  <c r="P5" i="82"/>
  <c r="L61" i="85"/>
  <c r="J48" i="82"/>
  <c r="P48" i="82" s="1"/>
  <c r="L50" i="82"/>
  <c r="AB5" i="85"/>
  <c r="Q8" i="85"/>
  <c r="R8" i="85"/>
  <c r="O50" i="85"/>
  <c r="AC50" i="85"/>
  <c r="I1" i="85"/>
  <c r="N69" i="85"/>
  <c r="AB51" i="85"/>
  <c r="AB30" i="85"/>
  <c r="O5" i="85"/>
  <c r="K69" i="85"/>
  <c r="AC69" i="85" s="1"/>
  <c r="AD59" i="85" s="1"/>
  <c r="J69" i="85"/>
  <c r="P69" i="85" s="1"/>
  <c r="L60" i="85"/>
  <c r="R60" i="85" s="1"/>
  <c r="Q30" i="85"/>
  <c r="AC18" i="85"/>
  <c r="AB18" i="85"/>
  <c r="O18" i="85"/>
  <c r="G1" i="85"/>
  <c r="O29" i="85"/>
  <c r="AB29" i="85"/>
  <c r="AC29" i="85"/>
  <c r="O38" i="85"/>
  <c r="AC38" i="85"/>
  <c r="N48" i="85"/>
  <c r="AB38" i="85"/>
  <c r="R50" i="85"/>
  <c r="AC28" i="85"/>
  <c r="AB28" i="85"/>
  <c r="O28" i="85"/>
  <c r="O17" i="85"/>
  <c r="AC17" i="85"/>
  <c r="AB17" i="85"/>
  <c r="O61" i="85"/>
  <c r="O69" i="85" s="1"/>
  <c r="I14" i="84" s="1"/>
  <c r="J7" i="84" s="1"/>
  <c r="AC61" i="85"/>
  <c r="AB61" i="85"/>
  <c r="AC39" i="85"/>
  <c r="AB39" i="85"/>
  <c r="O39" i="85"/>
  <c r="O27" i="85"/>
  <c r="N37" i="85"/>
  <c r="AC27" i="85"/>
  <c r="AB27" i="85"/>
  <c r="N26" i="85"/>
  <c r="J48" i="85"/>
  <c r="P48" i="85" s="1"/>
  <c r="P5" i="85"/>
  <c r="AB7" i="85"/>
  <c r="AB16" i="85"/>
  <c r="AB49" i="85"/>
  <c r="Q50" i="85"/>
  <c r="N58" i="85"/>
  <c r="L59" i="85"/>
  <c r="AB60" i="85"/>
  <c r="L6" i="85"/>
  <c r="AC7" i="85"/>
  <c r="AC16" i="85"/>
  <c r="AC49" i="85"/>
  <c r="O51" i="85"/>
  <c r="AC60" i="85"/>
  <c r="O6" i="85"/>
  <c r="AC30" i="85"/>
  <c r="P59" i="85"/>
  <c r="L16" i="85"/>
  <c r="K37" i="85"/>
  <c r="L49" i="85"/>
  <c r="L58" i="85" s="1"/>
  <c r="H13" i="84" s="1"/>
  <c r="N15" i="85"/>
  <c r="O16" i="85"/>
  <c r="P49" i="85"/>
  <c r="J26" i="85"/>
  <c r="P26" i="85" s="1"/>
  <c r="AB59" i="85"/>
  <c r="L17" i="85"/>
  <c r="L38" i="85"/>
  <c r="AB6" i="85"/>
  <c r="AC59" i="85"/>
  <c r="AC49" i="82"/>
  <c r="Q38" i="82"/>
  <c r="AC29" i="82"/>
  <c r="AB49" i="82"/>
  <c r="N58" i="82"/>
  <c r="AB60" i="82"/>
  <c r="I1" i="82"/>
  <c r="AC61" i="82"/>
  <c r="AC60" i="82"/>
  <c r="O51" i="82"/>
  <c r="AB38" i="82"/>
  <c r="N48" i="82"/>
  <c r="AB48" i="82" s="1"/>
  <c r="AC38" i="82"/>
  <c r="AC30" i="82"/>
  <c r="AB29" i="82"/>
  <c r="K58" i="82"/>
  <c r="G1" i="82"/>
  <c r="G18" i="81"/>
  <c r="J15" i="82"/>
  <c r="P15" i="82" s="1"/>
  <c r="AB16" i="82"/>
  <c r="AC39" i="82"/>
  <c r="AB39" i="82"/>
  <c r="K15" i="82"/>
  <c r="L28" i="82"/>
  <c r="L29" i="82"/>
  <c r="R29" i="82" s="1"/>
  <c r="J37" i="82"/>
  <c r="P37" i="82" s="1"/>
  <c r="R38" i="82"/>
  <c r="O39" i="82"/>
  <c r="AC18" i="82"/>
  <c r="AB18" i="82"/>
  <c r="L39" i="82"/>
  <c r="L48" i="82" s="1"/>
  <c r="G13" i="81" s="1"/>
  <c r="O69" i="82"/>
  <c r="N26" i="82"/>
  <c r="O16" i="82"/>
  <c r="AB17" i="82"/>
  <c r="AC17" i="82"/>
  <c r="L30" i="82"/>
  <c r="R30" i="82" s="1"/>
  <c r="L7" i="82"/>
  <c r="Q7" i="82" s="1"/>
  <c r="AC28" i="82"/>
  <c r="AB28" i="82"/>
  <c r="D18" i="81"/>
  <c r="O28" i="82"/>
  <c r="AB30" i="82"/>
  <c r="AB51" i="82"/>
  <c r="AC51" i="82"/>
  <c r="P60" i="82"/>
  <c r="J69" i="82"/>
  <c r="P69" i="82" s="1"/>
  <c r="AC5" i="82"/>
  <c r="AB5" i="82"/>
  <c r="AB7" i="82"/>
  <c r="O5" i="82"/>
  <c r="AC7" i="82"/>
  <c r="K69" i="82"/>
  <c r="N15" i="82"/>
  <c r="O18" i="82"/>
  <c r="J58" i="82"/>
  <c r="P58" i="82" s="1"/>
  <c r="P49" i="82"/>
  <c r="AC6" i="82"/>
  <c r="AB6" i="82"/>
  <c r="L17" i="82"/>
  <c r="Q17" i="82" s="1"/>
  <c r="O6" i="82"/>
  <c r="P16" i="82"/>
  <c r="J26" i="82"/>
  <c r="P26" i="82" s="1"/>
  <c r="O27" i="82"/>
  <c r="N37" i="82"/>
  <c r="AC27" i="82"/>
  <c r="L49" i="82"/>
  <c r="L59" i="82"/>
  <c r="K26" i="82"/>
  <c r="AB27" i="82"/>
  <c r="O50" i="82"/>
  <c r="AC50" i="82"/>
  <c r="N69" i="82"/>
  <c r="AC59" i="82"/>
  <c r="AB59" i="82"/>
  <c r="R60" i="82"/>
  <c r="Q60" i="82"/>
  <c r="AB61" i="82"/>
  <c r="F18" i="81"/>
  <c r="R5" i="85" l="1"/>
  <c r="L37" i="85"/>
  <c r="F13" i="84" s="1"/>
  <c r="L58" i="82"/>
  <c r="H13" i="81" s="1"/>
  <c r="L15" i="85"/>
  <c r="D13" i="84" s="1"/>
  <c r="Q7" i="85"/>
  <c r="Q60" i="85"/>
  <c r="Q69" i="85"/>
  <c r="L48" i="85"/>
  <c r="G13" i="84" s="1"/>
  <c r="Q49" i="85"/>
  <c r="L26" i="82"/>
  <c r="E13" i="81" s="1"/>
  <c r="L69" i="82"/>
  <c r="I13" i="81" s="1"/>
  <c r="J6" i="81" s="1"/>
  <c r="R49" i="82"/>
  <c r="Q52" i="82"/>
  <c r="L26" i="85"/>
  <c r="E13" i="84" s="1"/>
  <c r="L37" i="82"/>
  <c r="F13" i="81" s="1"/>
  <c r="AB69" i="85"/>
  <c r="L69" i="85"/>
  <c r="I13" i="84" s="1"/>
  <c r="R51" i="82"/>
  <c r="Q29" i="82"/>
  <c r="R61" i="82"/>
  <c r="Q61" i="82"/>
  <c r="Q49" i="82"/>
  <c r="Q5" i="85"/>
  <c r="G2" i="85"/>
  <c r="J3" i="84"/>
  <c r="AC48" i="85"/>
  <c r="AD38" i="85" s="1"/>
  <c r="AB48" i="85"/>
  <c r="Q48" i="85"/>
  <c r="AC58" i="85"/>
  <c r="AD49" i="85" s="1"/>
  <c r="AB58" i="85"/>
  <c r="Q58" i="85"/>
  <c r="R39" i="85"/>
  <c r="Q39" i="85"/>
  <c r="R51" i="85"/>
  <c r="Q51" i="85"/>
  <c r="Q18" i="85"/>
  <c r="R18" i="85"/>
  <c r="O26" i="85"/>
  <c r="E14" i="84" s="1"/>
  <c r="R16" i="85"/>
  <c r="Q16" i="85"/>
  <c r="R49" i="85"/>
  <c r="O48" i="85"/>
  <c r="Q38" i="85"/>
  <c r="R38" i="85"/>
  <c r="R28" i="85"/>
  <c r="Q28" i="85"/>
  <c r="Q29" i="85"/>
  <c r="R29" i="85"/>
  <c r="Q37" i="85"/>
  <c r="AC37" i="85"/>
  <c r="AD27" i="85" s="1"/>
  <c r="AB37" i="85"/>
  <c r="O37" i="85"/>
  <c r="R27" i="85"/>
  <c r="Q27" i="85"/>
  <c r="R6" i="85"/>
  <c r="Q6" i="85"/>
  <c r="R17" i="85"/>
  <c r="Q17" i="85"/>
  <c r="R59" i="85"/>
  <c r="AB15" i="85"/>
  <c r="AC15" i="85"/>
  <c r="AD5" i="85" s="1"/>
  <c r="AC26" i="85"/>
  <c r="AD16" i="85" s="1"/>
  <c r="AB26" i="85"/>
  <c r="R61" i="85"/>
  <c r="Q61" i="85"/>
  <c r="Q59" i="85"/>
  <c r="O15" i="85"/>
  <c r="D14" i="84" s="1"/>
  <c r="O58" i="85"/>
  <c r="AB58" i="82"/>
  <c r="Q48" i="82"/>
  <c r="Q51" i="82"/>
  <c r="AC48" i="82"/>
  <c r="AD38" i="82" s="1"/>
  <c r="Q58" i="82"/>
  <c r="AC58" i="82"/>
  <c r="AD49" i="82" s="1"/>
  <c r="J3" i="81"/>
  <c r="G2" i="82"/>
  <c r="Q50" i="82"/>
  <c r="R50" i="82"/>
  <c r="O58" i="82"/>
  <c r="Q6" i="82"/>
  <c r="R6" i="82"/>
  <c r="R39" i="82"/>
  <c r="Q39" i="82"/>
  <c r="O48" i="82"/>
  <c r="Q30" i="82"/>
  <c r="O26" i="82"/>
  <c r="R16" i="82"/>
  <c r="Q16" i="82"/>
  <c r="O15" i="82"/>
  <c r="Q5" i="82"/>
  <c r="R5" i="82"/>
  <c r="Q37" i="82"/>
  <c r="AC37" i="82"/>
  <c r="AD27" i="82" s="1"/>
  <c r="AB37" i="82"/>
  <c r="R18" i="82"/>
  <c r="Q18" i="82"/>
  <c r="AC26" i="82"/>
  <c r="AD16" i="82" s="1"/>
  <c r="AB26" i="82"/>
  <c r="R28" i="82"/>
  <c r="Q28" i="82"/>
  <c r="O37" i="82"/>
  <c r="Q27" i="82"/>
  <c r="R27" i="82"/>
  <c r="AC15" i="82"/>
  <c r="AD5" i="82" s="1"/>
  <c r="AB15" i="82"/>
  <c r="L15" i="82"/>
  <c r="D13" i="81" s="1"/>
  <c r="AC69" i="82"/>
  <c r="AD59" i="82" s="1"/>
  <c r="AB69" i="82"/>
  <c r="Q69" i="82"/>
  <c r="R17" i="82"/>
  <c r="R7" i="82"/>
  <c r="R59" i="82"/>
  <c r="Q59" i="82"/>
  <c r="I14" i="81"/>
  <c r="H6" i="84" l="1"/>
  <c r="F6" i="84"/>
  <c r="E15" i="84"/>
  <c r="J6" i="84"/>
  <c r="I15" i="84"/>
  <c r="J8" i="84" s="1"/>
  <c r="R69" i="82"/>
  <c r="S59" i="82" s="1"/>
  <c r="R69" i="85"/>
  <c r="S59" i="85" s="1"/>
  <c r="R48" i="85"/>
  <c r="S38" i="85" s="1"/>
  <c r="G14" i="84"/>
  <c r="G15" i="84" s="1"/>
  <c r="R37" i="85"/>
  <c r="S27" i="85" s="1"/>
  <c r="F14" i="84"/>
  <c r="F15" i="84" s="1"/>
  <c r="R58" i="85"/>
  <c r="S49" i="85" s="1"/>
  <c r="H14" i="84"/>
  <c r="H15" i="84" s="1"/>
  <c r="D15" i="84"/>
  <c r="R15" i="85"/>
  <c r="S5" i="85" s="1"/>
  <c r="Q15" i="85"/>
  <c r="E2" i="85"/>
  <c r="R26" i="85"/>
  <c r="S16" i="85" s="1"/>
  <c r="Q26" i="85"/>
  <c r="Q26" i="82"/>
  <c r="E14" i="81"/>
  <c r="E15" i="81" s="1"/>
  <c r="R26" i="82"/>
  <c r="S16" i="82" s="1"/>
  <c r="R58" i="82"/>
  <c r="S49" i="82" s="1"/>
  <c r="H14" i="81"/>
  <c r="H15" i="81" s="1"/>
  <c r="F14" i="81"/>
  <c r="F15" i="81" s="1"/>
  <c r="R37" i="82"/>
  <c r="S27" i="82" s="1"/>
  <c r="R48" i="82"/>
  <c r="S38" i="82" s="1"/>
  <c r="G14" i="81"/>
  <c r="G15" i="81" s="1"/>
  <c r="H6" i="81"/>
  <c r="F6" i="81"/>
  <c r="I15" i="81"/>
  <c r="J8" i="81" s="1"/>
  <c r="J7" i="81"/>
  <c r="R15" i="82"/>
  <c r="S5" i="82" s="1"/>
  <c r="Q15" i="82"/>
  <c r="D14" i="81"/>
  <c r="E2" i="82"/>
  <c r="H7" i="84" l="1"/>
  <c r="F7" i="84"/>
  <c r="F8" i="84"/>
  <c r="H8" i="84"/>
  <c r="D15" i="81"/>
  <c r="F7" i="81"/>
  <c r="H7" i="81"/>
  <c r="H8" i="81" l="1"/>
  <c r="F8" i="81"/>
  <c r="W78" i="80" l="1"/>
  <c r="H78" i="80"/>
  <c r="W77" i="80"/>
  <c r="H77" i="80"/>
  <c r="W76" i="80"/>
  <c r="H76" i="80"/>
  <c r="W75" i="80"/>
  <c r="H75" i="80"/>
  <c r="W74" i="80"/>
  <c r="H74" i="80"/>
  <c r="W73" i="80"/>
  <c r="H73" i="80"/>
  <c r="W72" i="80"/>
  <c r="H72" i="80"/>
  <c r="W71" i="80"/>
  <c r="H71" i="80"/>
  <c r="AD70" i="80"/>
  <c r="W70" i="80"/>
  <c r="S70" i="80"/>
  <c r="M69" i="80"/>
  <c r="I18" i="79" s="1"/>
  <c r="W68" i="80"/>
  <c r="H68" i="80"/>
  <c r="W67" i="80"/>
  <c r="H67" i="80"/>
  <c r="W66" i="80"/>
  <c r="H66" i="80"/>
  <c r="W65" i="80"/>
  <c r="H65" i="80"/>
  <c r="W64" i="80"/>
  <c r="H64" i="80"/>
  <c r="W63" i="80"/>
  <c r="W62" i="80"/>
  <c r="N62" i="80" s="1"/>
  <c r="O62" i="80" s="1"/>
  <c r="V62" i="80"/>
  <c r="K62" i="80"/>
  <c r="J62" i="80"/>
  <c r="P62" i="80" s="1"/>
  <c r="F62" i="80"/>
  <c r="H62" i="80" s="1"/>
  <c r="B62" i="80"/>
  <c r="W61" i="80"/>
  <c r="N61" i="80" s="1"/>
  <c r="V61" i="80"/>
  <c r="K61" i="80"/>
  <c r="J61" i="80"/>
  <c r="P61" i="80" s="1"/>
  <c r="F61" i="80"/>
  <c r="H61" i="80" s="1"/>
  <c r="B61" i="80"/>
  <c r="W60" i="80"/>
  <c r="V60" i="80"/>
  <c r="N60" i="80"/>
  <c r="K60" i="80"/>
  <c r="J60" i="80"/>
  <c r="P60" i="80" s="1"/>
  <c r="F60" i="80"/>
  <c r="H60" i="80" s="1"/>
  <c r="B60" i="80"/>
  <c r="W59" i="80"/>
  <c r="N59" i="80"/>
  <c r="K59" i="80"/>
  <c r="J59" i="80"/>
  <c r="F59" i="80"/>
  <c r="H59" i="80" s="1"/>
  <c r="B59" i="80"/>
  <c r="M58" i="80"/>
  <c r="H18" i="79" s="1"/>
  <c r="W57" i="80"/>
  <c r="H57" i="80"/>
  <c r="W56" i="80"/>
  <c r="H56" i="80"/>
  <c r="W55" i="80"/>
  <c r="H55" i="80"/>
  <c r="W54" i="80"/>
  <c r="H54" i="80"/>
  <c r="W53" i="80"/>
  <c r="H53" i="80"/>
  <c r="W52" i="80"/>
  <c r="W51" i="80"/>
  <c r="N51" i="80" s="1"/>
  <c r="V51" i="80"/>
  <c r="K51" i="80"/>
  <c r="J51" i="80"/>
  <c r="P51" i="80" s="1"/>
  <c r="F51" i="80"/>
  <c r="H51" i="80" s="1"/>
  <c r="B51" i="80"/>
  <c r="W50" i="80"/>
  <c r="V50" i="80"/>
  <c r="N50" i="80"/>
  <c r="K50" i="80"/>
  <c r="J50" i="80"/>
  <c r="P50" i="80" s="1"/>
  <c r="F50" i="80"/>
  <c r="H50" i="80" s="1"/>
  <c r="B50" i="80"/>
  <c r="W49" i="80"/>
  <c r="N49" i="80" s="1"/>
  <c r="K49" i="80"/>
  <c r="J49" i="80"/>
  <c r="P49" i="80" s="1"/>
  <c r="F49" i="80"/>
  <c r="H49" i="80" s="1"/>
  <c r="B49" i="80"/>
  <c r="W48" i="80"/>
  <c r="M48" i="80"/>
  <c r="G18" i="79" s="1"/>
  <c r="W47" i="80"/>
  <c r="H47" i="80"/>
  <c r="W46" i="80"/>
  <c r="H46" i="80"/>
  <c r="W45" i="80"/>
  <c r="H45" i="80"/>
  <c r="W44" i="80"/>
  <c r="H44" i="80"/>
  <c r="W43" i="80"/>
  <c r="H43" i="80"/>
  <c r="W42" i="80"/>
  <c r="W41" i="80"/>
  <c r="W40" i="80"/>
  <c r="W39" i="80"/>
  <c r="N39" i="80" s="1"/>
  <c r="V39" i="80"/>
  <c r="K39" i="80"/>
  <c r="J39" i="80"/>
  <c r="P39" i="80" s="1"/>
  <c r="F39" i="80"/>
  <c r="H39" i="80" s="1"/>
  <c r="C39" i="80"/>
  <c r="B39" i="80"/>
  <c r="W38" i="80"/>
  <c r="N38" i="80" s="1"/>
  <c r="K38" i="80"/>
  <c r="J38" i="80"/>
  <c r="P38" i="80" s="1"/>
  <c r="F38" i="80"/>
  <c r="H38" i="80" s="1"/>
  <c r="C38" i="80"/>
  <c r="M37" i="80"/>
  <c r="K37" i="80"/>
  <c r="J37" i="80"/>
  <c r="W36" i="80"/>
  <c r="H36" i="80"/>
  <c r="W35" i="80"/>
  <c r="H35" i="80"/>
  <c r="W34" i="80"/>
  <c r="H34" i="80"/>
  <c r="W33" i="80"/>
  <c r="H33" i="80"/>
  <c r="W32" i="80"/>
  <c r="H32" i="80"/>
  <c r="W31" i="80"/>
  <c r="V31" i="80"/>
  <c r="P31" i="80"/>
  <c r="N31" i="80"/>
  <c r="O31" i="80" s="1"/>
  <c r="L31" i="80"/>
  <c r="F31" i="80"/>
  <c r="H31" i="80" s="1"/>
  <c r="B31" i="80"/>
  <c r="W30" i="80"/>
  <c r="V30" i="80"/>
  <c r="P30" i="80"/>
  <c r="N30" i="80"/>
  <c r="AC30" i="80" s="1"/>
  <c r="L30" i="80"/>
  <c r="F30" i="80"/>
  <c r="H30" i="80" s="1"/>
  <c r="B30" i="80"/>
  <c r="W29" i="80"/>
  <c r="N29" i="80" s="1"/>
  <c r="V29" i="80"/>
  <c r="P29" i="80"/>
  <c r="L29" i="80"/>
  <c r="F29" i="80"/>
  <c r="H29" i="80" s="1"/>
  <c r="B29" i="80"/>
  <c r="W28" i="80"/>
  <c r="V28" i="80"/>
  <c r="P28" i="80"/>
  <c r="L28" i="80"/>
  <c r="F28" i="80"/>
  <c r="H28" i="80" s="1"/>
  <c r="B28" i="80"/>
  <c r="W27" i="80"/>
  <c r="P27" i="80"/>
  <c r="N27" i="80"/>
  <c r="AB27" i="80" s="1"/>
  <c r="L27" i="80"/>
  <c r="F27" i="80"/>
  <c r="H27" i="80" s="1"/>
  <c r="M26" i="80"/>
  <c r="W25" i="80"/>
  <c r="H25" i="80"/>
  <c r="W24" i="80"/>
  <c r="H24" i="80"/>
  <c r="W23" i="80"/>
  <c r="H23" i="80"/>
  <c r="H22" i="80"/>
  <c r="H21" i="80"/>
  <c r="H20" i="80"/>
  <c r="W19" i="80"/>
  <c r="N19" i="80" s="1"/>
  <c r="O19" i="80" s="1"/>
  <c r="V19" i="80"/>
  <c r="K19" i="80"/>
  <c r="J19" i="80"/>
  <c r="P19" i="80" s="1"/>
  <c r="F19" i="80"/>
  <c r="H19" i="80" s="1"/>
  <c r="B19" i="80"/>
  <c r="W18" i="80"/>
  <c r="N18" i="80" s="1"/>
  <c r="V18" i="80"/>
  <c r="K18" i="80"/>
  <c r="J18" i="80"/>
  <c r="P18" i="80" s="1"/>
  <c r="F18" i="80"/>
  <c r="H18" i="80" s="1"/>
  <c r="B18" i="80"/>
  <c r="W17" i="80"/>
  <c r="N17" i="80" s="1"/>
  <c r="V17" i="80"/>
  <c r="K17" i="80"/>
  <c r="J17" i="80"/>
  <c r="P17" i="80" s="1"/>
  <c r="F17" i="80"/>
  <c r="H17" i="80" s="1"/>
  <c r="W16" i="80"/>
  <c r="N16" i="80"/>
  <c r="O16" i="80" s="1"/>
  <c r="K16" i="80"/>
  <c r="J16" i="80"/>
  <c r="P16" i="80" s="1"/>
  <c r="F16" i="80"/>
  <c r="H16" i="80" s="1"/>
  <c r="M15" i="80"/>
  <c r="W14" i="80"/>
  <c r="H14" i="80"/>
  <c r="W13" i="80"/>
  <c r="H13" i="80"/>
  <c r="W12" i="80"/>
  <c r="H12" i="80"/>
  <c r="W11" i="80"/>
  <c r="H11" i="80"/>
  <c r="W10" i="80"/>
  <c r="W9" i="80"/>
  <c r="W8" i="80"/>
  <c r="V8" i="80"/>
  <c r="N8" i="80"/>
  <c r="O8" i="80" s="1"/>
  <c r="K8" i="80"/>
  <c r="J8" i="80"/>
  <c r="F8" i="80"/>
  <c r="H8" i="80" s="1"/>
  <c r="W7" i="80"/>
  <c r="N7" i="80" s="1"/>
  <c r="V7" i="80"/>
  <c r="K7" i="80"/>
  <c r="J7" i="80"/>
  <c r="P7" i="80" s="1"/>
  <c r="F7" i="80"/>
  <c r="H7" i="80" s="1"/>
  <c r="B7" i="80"/>
  <c r="W6" i="80"/>
  <c r="N6" i="80" s="1"/>
  <c r="K6" i="80"/>
  <c r="J6" i="80"/>
  <c r="P6" i="80" s="1"/>
  <c r="F6" i="80"/>
  <c r="H6" i="80" s="1"/>
  <c r="B6" i="80"/>
  <c r="W5" i="80"/>
  <c r="N5" i="80"/>
  <c r="K5" i="80"/>
  <c r="J5" i="80"/>
  <c r="F5" i="80"/>
  <c r="H5" i="80" s="1"/>
  <c r="B5" i="80"/>
  <c r="I2" i="80"/>
  <c r="E1" i="80"/>
  <c r="G3" i="79" s="1"/>
  <c r="I16" i="79"/>
  <c r="H16" i="79"/>
  <c r="G16" i="79"/>
  <c r="F16" i="79"/>
  <c r="E16" i="79"/>
  <c r="D16" i="79"/>
  <c r="L30" i="78"/>
  <c r="V9" i="78"/>
  <c r="N9" i="78"/>
  <c r="O9" i="78"/>
  <c r="F9" i="78"/>
  <c r="H9" i="78" s="1"/>
  <c r="J9" i="78"/>
  <c r="P9" i="78" s="1"/>
  <c r="K9" i="78"/>
  <c r="W78" i="78"/>
  <c r="H78" i="78"/>
  <c r="W77" i="78"/>
  <c r="H77" i="78"/>
  <c r="W76" i="78"/>
  <c r="H76" i="78"/>
  <c r="W75" i="78"/>
  <c r="H75" i="78"/>
  <c r="W74" i="78"/>
  <c r="H74" i="78"/>
  <c r="W73" i="78"/>
  <c r="H73" i="78"/>
  <c r="W72" i="78"/>
  <c r="H72" i="78"/>
  <c r="W71" i="78"/>
  <c r="H71" i="78"/>
  <c r="AD70" i="78"/>
  <c r="W70" i="78"/>
  <c r="S70" i="78"/>
  <c r="M69" i="78"/>
  <c r="I18" i="77" s="1"/>
  <c r="W68" i="78"/>
  <c r="H68" i="78"/>
  <c r="W67" i="78"/>
  <c r="H67" i="78"/>
  <c r="W66" i="78"/>
  <c r="H66" i="78"/>
  <c r="W65" i="78"/>
  <c r="H65" i="78"/>
  <c r="W64" i="78"/>
  <c r="H64" i="78"/>
  <c r="W63" i="78"/>
  <c r="V63" i="78"/>
  <c r="N63" i="78"/>
  <c r="O63" i="78" s="1"/>
  <c r="K63" i="78"/>
  <c r="J63" i="78"/>
  <c r="P63" i="78" s="1"/>
  <c r="F63" i="78"/>
  <c r="H63" i="78" s="1"/>
  <c r="B63" i="78"/>
  <c r="W62" i="78"/>
  <c r="N62" i="78" s="1"/>
  <c r="O62" i="78" s="1"/>
  <c r="V62" i="78"/>
  <c r="K62" i="78"/>
  <c r="J62" i="78"/>
  <c r="P62" i="78" s="1"/>
  <c r="F62" i="78"/>
  <c r="H62" i="78" s="1"/>
  <c r="B62" i="78"/>
  <c r="W61" i="78"/>
  <c r="N61" i="78" s="1"/>
  <c r="V61" i="78"/>
  <c r="K61" i="78"/>
  <c r="J61" i="78"/>
  <c r="P61" i="78" s="1"/>
  <c r="F61" i="78"/>
  <c r="H61" i="78" s="1"/>
  <c r="B61" i="78"/>
  <c r="W60" i="78"/>
  <c r="V60" i="78"/>
  <c r="N60" i="78"/>
  <c r="O60" i="78" s="1"/>
  <c r="K60" i="78"/>
  <c r="J60" i="78"/>
  <c r="P60" i="78" s="1"/>
  <c r="F60" i="78"/>
  <c r="H60" i="78" s="1"/>
  <c r="B60" i="78"/>
  <c r="W59" i="78"/>
  <c r="N59" i="78" s="1"/>
  <c r="K59" i="78"/>
  <c r="J59" i="78"/>
  <c r="P59" i="78" s="1"/>
  <c r="F59" i="78"/>
  <c r="H59" i="78" s="1"/>
  <c r="B59" i="78"/>
  <c r="M58" i="78"/>
  <c r="H18" i="77" s="1"/>
  <c r="W57" i="78"/>
  <c r="H57" i="78"/>
  <c r="W56" i="78"/>
  <c r="H56" i="78"/>
  <c r="W55" i="78"/>
  <c r="H55" i="78"/>
  <c r="W54" i="78"/>
  <c r="H54" i="78"/>
  <c r="W53" i="78"/>
  <c r="H53" i="78"/>
  <c r="W52" i="78"/>
  <c r="W51" i="78"/>
  <c r="N51" i="78" s="1"/>
  <c r="V51" i="78"/>
  <c r="K51" i="78"/>
  <c r="J51" i="78"/>
  <c r="P51" i="78" s="1"/>
  <c r="F51" i="78"/>
  <c r="H51" i="78" s="1"/>
  <c r="B51" i="78"/>
  <c r="W50" i="78"/>
  <c r="V50" i="78"/>
  <c r="N50" i="78"/>
  <c r="O50" i="78" s="1"/>
  <c r="K50" i="78"/>
  <c r="J50" i="78"/>
  <c r="P50" i="78" s="1"/>
  <c r="F50" i="78"/>
  <c r="H50" i="78" s="1"/>
  <c r="B50" i="78"/>
  <c r="W49" i="78"/>
  <c r="N49" i="78"/>
  <c r="O49" i="78" s="1"/>
  <c r="K49" i="78"/>
  <c r="J49" i="78"/>
  <c r="P49" i="78" s="1"/>
  <c r="F49" i="78"/>
  <c r="H49" i="78" s="1"/>
  <c r="B49" i="78"/>
  <c r="W48" i="78"/>
  <c r="M48" i="78"/>
  <c r="G18" i="77" s="1"/>
  <c r="W47" i="78"/>
  <c r="H47" i="78"/>
  <c r="W46" i="78"/>
  <c r="H46" i="78"/>
  <c r="W45" i="78"/>
  <c r="H45" i="78"/>
  <c r="W44" i="78"/>
  <c r="H44" i="78"/>
  <c r="W43" i="78"/>
  <c r="H43" i="78"/>
  <c r="W42" i="78"/>
  <c r="W41" i="78"/>
  <c r="W40" i="78"/>
  <c r="N40" i="78" s="1"/>
  <c r="O40" i="78" s="1"/>
  <c r="V40" i="78"/>
  <c r="K40" i="78"/>
  <c r="J40" i="78"/>
  <c r="P40" i="78" s="1"/>
  <c r="F40" i="78"/>
  <c r="H40" i="78" s="1"/>
  <c r="B40" i="78"/>
  <c r="W39" i="78"/>
  <c r="N39" i="78" s="1"/>
  <c r="V39" i="78"/>
  <c r="K39" i="78"/>
  <c r="J39" i="78"/>
  <c r="P39" i="78" s="1"/>
  <c r="F39" i="78"/>
  <c r="H39" i="78" s="1"/>
  <c r="C39" i="78"/>
  <c r="B39" i="78"/>
  <c r="W38" i="78"/>
  <c r="N38" i="78"/>
  <c r="K38" i="78"/>
  <c r="J38" i="78"/>
  <c r="P38" i="78" s="1"/>
  <c r="F38" i="78"/>
  <c r="H38" i="78" s="1"/>
  <c r="C38" i="78"/>
  <c r="M37" i="78"/>
  <c r="F18" i="77" s="1"/>
  <c r="W36" i="78"/>
  <c r="H36" i="78"/>
  <c r="W35" i="78"/>
  <c r="H35" i="78"/>
  <c r="W34" i="78"/>
  <c r="H34" i="78"/>
  <c r="W33" i="78"/>
  <c r="H33" i="78"/>
  <c r="W32" i="78"/>
  <c r="H32" i="78"/>
  <c r="W31" i="78"/>
  <c r="N31" i="78" s="1"/>
  <c r="O31" i="78" s="1"/>
  <c r="V31" i="78"/>
  <c r="P31" i="78"/>
  <c r="F31" i="78"/>
  <c r="H31" i="78" s="1"/>
  <c r="B31" i="78"/>
  <c r="W30" i="78"/>
  <c r="V30" i="78"/>
  <c r="N30" i="78"/>
  <c r="F30" i="78"/>
  <c r="H30" i="78" s="1"/>
  <c r="B30" i="78"/>
  <c r="W29" i="78"/>
  <c r="V29" i="78"/>
  <c r="P29" i="78"/>
  <c r="N29" i="78"/>
  <c r="AB29" i="78" s="1"/>
  <c r="L29" i="78"/>
  <c r="F29" i="78"/>
  <c r="H29" i="78" s="1"/>
  <c r="B29" i="78"/>
  <c r="W28" i="78"/>
  <c r="N28" i="78" s="1"/>
  <c r="V28" i="78"/>
  <c r="P28" i="78"/>
  <c r="L28" i="78"/>
  <c r="F28" i="78"/>
  <c r="H28" i="78" s="1"/>
  <c r="B28" i="78"/>
  <c r="W27" i="78"/>
  <c r="N27" i="78" s="1"/>
  <c r="P27" i="78"/>
  <c r="L27" i="78"/>
  <c r="F27" i="78"/>
  <c r="H27" i="78" s="1"/>
  <c r="M26" i="78"/>
  <c r="W25" i="78"/>
  <c r="H25" i="78"/>
  <c r="W24" i="78"/>
  <c r="H24" i="78"/>
  <c r="W23" i="78"/>
  <c r="H23" i="78"/>
  <c r="H22" i="78"/>
  <c r="H21" i="78"/>
  <c r="H20" i="78"/>
  <c r="W19" i="78"/>
  <c r="N19" i="78" s="1"/>
  <c r="O19" i="78" s="1"/>
  <c r="V19" i="78"/>
  <c r="K19" i="78"/>
  <c r="J19" i="78"/>
  <c r="P19" i="78" s="1"/>
  <c r="F19" i="78"/>
  <c r="H19" i="78" s="1"/>
  <c r="B19" i="78"/>
  <c r="W18" i="78"/>
  <c r="N18" i="78" s="1"/>
  <c r="V18" i="78"/>
  <c r="K18" i="78"/>
  <c r="J18" i="78"/>
  <c r="P18" i="78" s="1"/>
  <c r="F18" i="78"/>
  <c r="H18" i="78" s="1"/>
  <c r="B18" i="78"/>
  <c r="W17" i="78"/>
  <c r="N17" i="78" s="1"/>
  <c r="V17" i="78"/>
  <c r="K17" i="78"/>
  <c r="J17" i="78"/>
  <c r="P17" i="78" s="1"/>
  <c r="F17" i="78"/>
  <c r="H17" i="78" s="1"/>
  <c r="W16" i="78"/>
  <c r="N16" i="78" s="1"/>
  <c r="K16" i="78"/>
  <c r="J16" i="78"/>
  <c r="P16" i="78" s="1"/>
  <c r="F16" i="78"/>
  <c r="H16" i="78" s="1"/>
  <c r="M15" i="78"/>
  <c r="W14" i="78"/>
  <c r="H14" i="78"/>
  <c r="W13" i="78"/>
  <c r="H13" i="78"/>
  <c r="W12" i="78"/>
  <c r="H12" i="78"/>
  <c r="W11" i="78"/>
  <c r="H11" i="78"/>
  <c r="W10" i="78"/>
  <c r="H10" i="78"/>
  <c r="W9" i="78"/>
  <c r="W8" i="78"/>
  <c r="V8" i="78"/>
  <c r="N8" i="78"/>
  <c r="O8" i="78" s="1"/>
  <c r="K8" i="78"/>
  <c r="J8" i="78"/>
  <c r="P8" i="78" s="1"/>
  <c r="F8" i="78"/>
  <c r="H8" i="78" s="1"/>
  <c r="W7" i="78"/>
  <c r="V7" i="78"/>
  <c r="N7" i="78"/>
  <c r="K7" i="78"/>
  <c r="J7" i="78"/>
  <c r="P7" i="78" s="1"/>
  <c r="F7" i="78"/>
  <c r="H7" i="78" s="1"/>
  <c r="B7" i="78"/>
  <c r="W6" i="78"/>
  <c r="N6" i="78"/>
  <c r="O6" i="78" s="1"/>
  <c r="K6" i="78"/>
  <c r="J6" i="78"/>
  <c r="P6" i="78" s="1"/>
  <c r="F6" i="78"/>
  <c r="H6" i="78" s="1"/>
  <c r="B6" i="78"/>
  <c r="W5" i="78"/>
  <c r="N5" i="78" s="1"/>
  <c r="K5" i="78"/>
  <c r="J5" i="78"/>
  <c r="P5" i="78" s="1"/>
  <c r="F5" i="78"/>
  <c r="H5" i="78" s="1"/>
  <c r="B5" i="78"/>
  <c r="I2" i="78"/>
  <c r="E1" i="78"/>
  <c r="G3" i="77" s="1"/>
  <c r="E18" i="77"/>
  <c r="D18" i="77"/>
  <c r="I16" i="77"/>
  <c r="H16" i="77"/>
  <c r="G16" i="77"/>
  <c r="F16" i="77"/>
  <c r="E16" i="77"/>
  <c r="D16" i="77"/>
  <c r="L8" i="80" l="1"/>
  <c r="L19" i="78"/>
  <c r="L16" i="80"/>
  <c r="L49" i="78"/>
  <c r="K48" i="78"/>
  <c r="AB59" i="80"/>
  <c r="AB16" i="78"/>
  <c r="L61" i="78"/>
  <c r="AC61" i="78"/>
  <c r="L49" i="80"/>
  <c r="R49" i="80" s="1"/>
  <c r="L63" i="78"/>
  <c r="R63" i="78" s="1"/>
  <c r="L51" i="80"/>
  <c r="L17" i="78"/>
  <c r="AC38" i="78"/>
  <c r="L60" i="78"/>
  <c r="R60" i="78" s="1"/>
  <c r="L6" i="78"/>
  <c r="Q6" i="78" s="1"/>
  <c r="AB39" i="80"/>
  <c r="K58" i="80"/>
  <c r="K48" i="80"/>
  <c r="K26" i="80"/>
  <c r="AC50" i="80"/>
  <c r="L18" i="78"/>
  <c r="L39" i="78"/>
  <c r="J69" i="80"/>
  <c r="P69" i="80" s="1"/>
  <c r="L5" i="78"/>
  <c r="L7" i="78"/>
  <c r="L9" i="78"/>
  <c r="Q9" i="78" s="1"/>
  <c r="L59" i="80"/>
  <c r="L61" i="80"/>
  <c r="L39" i="80"/>
  <c r="L19" i="80"/>
  <c r="Q19" i="80" s="1"/>
  <c r="L40" i="78"/>
  <c r="R40" i="78" s="1"/>
  <c r="L7" i="80"/>
  <c r="L60" i="80"/>
  <c r="Q60" i="80" s="1"/>
  <c r="AB60" i="80"/>
  <c r="K26" i="78"/>
  <c r="P8" i="80"/>
  <c r="L17" i="80"/>
  <c r="Q17" i="80" s="1"/>
  <c r="AB17" i="80"/>
  <c r="O17" i="80"/>
  <c r="AC17" i="80"/>
  <c r="AB16" i="80"/>
  <c r="O49" i="80"/>
  <c r="AC49" i="80"/>
  <c r="O60" i="80"/>
  <c r="AC60" i="80"/>
  <c r="O27" i="80"/>
  <c r="AC27" i="80"/>
  <c r="L62" i="80"/>
  <c r="R62" i="80" s="1"/>
  <c r="J48" i="80"/>
  <c r="L6" i="80"/>
  <c r="O7" i="80"/>
  <c r="AC7" i="80"/>
  <c r="AB7" i="80"/>
  <c r="Q16" i="80"/>
  <c r="AC18" i="80"/>
  <c r="AB18" i="80"/>
  <c r="O18" i="80"/>
  <c r="L38" i="80"/>
  <c r="L50" i="80"/>
  <c r="K69" i="80"/>
  <c r="P5" i="80"/>
  <c r="J15" i="80"/>
  <c r="P15" i="80" s="1"/>
  <c r="R31" i="80"/>
  <c r="Q31" i="80"/>
  <c r="AC38" i="80"/>
  <c r="N48" i="80"/>
  <c r="AB38" i="80"/>
  <c r="O38" i="80"/>
  <c r="L5" i="80"/>
  <c r="K15" i="80"/>
  <c r="N58" i="80"/>
  <c r="AC5" i="80"/>
  <c r="Q8" i="80"/>
  <c r="R8" i="80"/>
  <c r="E18" i="79"/>
  <c r="O28" i="80"/>
  <c r="O37" i="80" s="1"/>
  <c r="AC28" i="80"/>
  <c r="AB28" i="80"/>
  <c r="AC6" i="80"/>
  <c r="O6" i="80"/>
  <c r="R16" i="80"/>
  <c r="G1" i="80"/>
  <c r="AB6" i="80"/>
  <c r="J58" i="80"/>
  <c r="P58" i="80" s="1"/>
  <c r="AC61" i="80"/>
  <c r="AB61" i="80"/>
  <c r="O61" i="80"/>
  <c r="AC29" i="80"/>
  <c r="AB29" i="80"/>
  <c r="O29" i="80"/>
  <c r="N26" i="80"/>
  <c r="F18" i="79"/>
  <c r="P37" i="80"/>
  <c r="L18" i="80"/>
  <c r="L37" i="80"/>
  <c r="F13" i="79" s="1"/>
  <c r="N37" i="80"/>
  <c r="P48" i="80"/>
  <c r="Q27" i="80"/>
  <c r="R27" i="80"/>
  <c r="AC51" i="80"/>
  <c r="AB51" i="80"/>
  <c r="O51" i="80"/>
  <c r="AC39" i="80"/>
  <c r="AC59" i="80"/>
  <c r="N69" i="80"/>
  <c r="O5" i="80"/>
  <c r="AC16" i="80"/>
  <c r="O30" i="80"/>
  <c r="O50" i="80"/>
  <c r="I1" i="80"/>
  <c r="AB49" i="80"/>
  <c r="N15" i="80"/>
  <c r="D18" i="79"/>
  <c r="J26" i="80"/>
  <c r="P26" i="80" s="1"/>
  <c r="P59" i="80"/>
  <c r="AB30" i="80"/>
  <c r="AB50" i="80"/>
  <c r="O39" i="80"/>
  <c r="O59" i="80"/>
  <c r="AB5" i="80"/>
  <c r="AC30" i="78"/>
  <c r="AC50" i="78"/>
  <c r="L62" i="78"/>
  <c r="R62" i="78" s="1"/>
  <c r="J69" i="78"/>
  <c r="P69" i="78" s="1"/>
  <c r="K69" i="78"/>
  <c r="K58" i="78"/>
  <c r="L31" i="78"/>
  <c r="L37" i="78" s="1"/>
  <c r="F13" i="77" s="1"/>
  <c r="J37" i="78"/>
  <c r="P37" i="78" s="1"/>
  <c r="K37" i="78"/>
  <c r="AC16" i="78"/>
  <c r="L8" i="78"/>
  <c r="AC7" i="78"/>
  <c r="AC5" i="78"/>
  <c r="N15" i="78"/>
  <c r="AB5" i="78"/>
  <c r="O5" i="78"/>
  <c r="R19" i="78"/>
  <c r="Q19" i="78"/>
  <c r="AB39" i="78"/>
  <c r="O39" i="78"/>
  <c r="AC39" i="78"/>
  <c r="AB27" i="78"/>
  <c r="O27" i="78"/>
  <c r="N37" i="78"/>
  <c r="AC27" i="78"/>
  <c r="G1" i="78"/>
  <c r="Q49" i="78"/>
  <c r="R49" i="78"/>
  <c r="AB28" i="78"/>
  <c r="O28" i="78"/>
  <c r="AC28" i="78"/>
  <c r="AC51" i="78"/>
  <c r="O51" i="78"/>
  <c r="AB51" i="78"/>
  <c r="N69" i="78"/>
  <c r="AB59" i="78"/>
  <c r="O59" i="78"/>
  <c r="AC59" i="78"/>
  <c r="N48" i="78"/>
  <c r="AC18" i="78"/>
  <c r="O18" i="78"/>
  <c r="AB18" i="78"/>
  <c r="AB17" i="78"/>
  <c r="O17" i="78"/>
  <c r="AC17" i="78"/>
  <c r="R31" i="78"/>
  <c r="Q31" i="78"/>
  <c r="L16" i="78"/>
  <c r="L38" i="78"/>
  <c r="P30" i="78"/>
  <c r="O61" i="78"/>
  <c r="L51" i="78"/>
  <c r="AB60" i="78"/>
  <c r="J15" i="78"/>
  <c r="P15" i="78" s="1"/>
  <c r="K15" i="78"/>
  <c r="O29" i="78"/>
  <c r="AC60" i="78"/>
  <c r="AC6" i="78"/>
  <c r="AC29" i="78"/>
  <c r="AB49" i="78"/>
  <c r="N58" i="78"/>
  <c r="L59" i="78"/>
  <c r="N26" i="78"/>
  <c r="AC49" i="78"/>
  <c r="AB7" i="78"/>
  <c r="AB30" i="78"/>
  <c r="O7" i="78"/>
  <c r="O30" i="78"/>
  <c r="L50" i="78"/>
  <c r="R50" i="78" s="1"/>
  <c r="J58" i="78"/>
  <c r="P58" i="78" s="1"/>
  <c r="O16" i="78"/>
  <c r="J26" i="78"/>
  <c r="P26" i="78" s="1"/>
  <c r="O38" i="78"/>
  <c r="AB6" i="78"/>
  <c r="J48" i="78"/>
  <c r="P48" i="78" s="1"/>
  <c r="I1" i="78"/>
  <c r="AB38" i="78"/>
  <c r="AB61" i="78"/>
  <c r="AB50" i="78"/>
  <c r="L58" i="80" l="1"/>
  <c r="H13" i="79" s="1"/>
  <c r="Q63" i="78"/>
  <c r="L26" i="80"/>
  <c r="E13" i="79" s="1"/>
  <c r="R17" i="80"/>
  <c r="R6" i="78"/>
  <c r="Q60" i="78"/>
  <c r="R9" i="78"/>
  <c r="Q49" i="80"/>
  <c r="L69" i="80"/>
  <c r="I13" i="79" s="1"/>
  <c r="J6" i="79" s="1"/>
  <c r="Q40" i="78"/>
  <c r="L58" i="78"/>
  <c r="H13" i="77" s="1"/>
  <c r="R19" i="80"/>
  <c r="L15" i="78"/>
  <c r="D13" i="77" s="1"/>
  <c r="L15" i="80"/>
  <c r="D13" i="79" s="1"/>
  <c r="L48" i="78"/>
  <c r="G13" i="77" s="1"/>
  <c r="Q62" i="80"/>
  <c r="R60" i="80"/>
  <c r="L48" i="80"/>
  <c r="G13" i="79" s="1"/>
  <c r="L26" i="78"/>
  <c r="E13" i="77" s="1"/>
  <c r="Q8" i="78"/>
  <c r="O58" i="80"/>
  <c r="R58" i="80" s="1"/>
  <c r="S49" i="80" s="1"/>
  <c r="R50" i="80"/>
  <c r="Q50" i="80"/>
  <c r="R28" i="80"/>
  <c r="Q28" i="80"/>
  <c r="R39" i="80"/>
  <c r="Q39" i="80"/>
  <c r="R5" i="80"/>
  <c r="O15" i="80"/>
  <c r="Q5" i="80"/>
  <c r="J3" i="79"/>
  <c r="G2" i="80"/>
  <c r="R18" i="80"/>
  <c r="Q18" i="80"/>
  <c r="AC69" i="80"/>
  <c r="AD59" i="80" s="1"/>
  <c r="AB69" i="80"/>
  <c r="Q69" i="80"/>
  <c r="AC26" i="80"/>
  <c r="AD16" i="80" s="1"/>
  <c r="AB26" i="80"/>
  <c r="O48" i="80"/>
  <c r="R38" i="80"/>
  <c r="Q38" i="80"/>
  <c r="R29" i="80"/>
  <c r="Q29" i="80"/>
  <c r="R6" i="80"/>
  <c r="Q6" i="80"/>
  <c r="R37" i="80"/>
  <c r="S27" i="80" s="1"/>
  <c r="F14" i="79"/>
  <c r="F15" i="79" s="1"/>
  <c r="R30" i="80"/>
  <c r="Q30" i="80"/>
  <c r="R59" i="80"/>
  <c r="Q59" i="80"/>
  <c r="O69" i="80"/>
  <c r="AC48" i="80"/>
  <c r="AD38" i="80" s="1"/>
  <c r="AB48" i="80"/>
  <c r="Q48" i="80"/>
  <c r="R51" i="80"/>
  <c r="Q51" i="80"/>
  <c r="AC37" i="80"/>
  <c r="AD27" i="80" s="1"/>
  <c r="AB37" i="80"/>
  <c r="Q37" i="80"/>
  <c r="AB58" i="80"/>
  <c r="Q58" i="80"/>
  <c r="AC58" i="80"/>
  <c r="AD49" i="80" s="1"/>
  <c r="O26" i="80"/>
  <c r="R61" i="80"/>
  <c r="Q61" i="80"/>
  <c r="AC15" i="80"/>
  <c r="AD5" i="80" s="1"/>
  <c r="AB15" i="80"/>
  <c r="R7" i="80"/>
  <c r="Q7" i="80"/>
  <c r="R8" i="78"/>
  <c r="L69" i="78"/>
  <c r="I13" i="77" s="1"/>
  <c r="J6" i="77" s="1"/>
  <c r="Q62" i="78"/>
  <c r="Q38" i="78"/>
  <c r="R38" i="78"/>
  <c r="O48" i="78"/>
  <c r="AC58" i="78"/>
  <c r="AD49" i="78" s="1"/>
  <c r="Q58" i="78"/>
  <c r="AB58" i="78"/>
  <c r="R18" i="78"/>
  <c r="Q18" i="78"/>
  <c r="R39" i="78"/>
  <c r="Q39" i="78"/>
  <c r="Q16" i="78"/>
  <c r="O26" i="78"/>
  <c r="R16" i="78"/>
  <c r="Q28" i="78"/>
  <c r="R28" i="78"/>
  <c r="J3" i="77"/>
  <c r="G2" i="78"/>
  <c r="AC48" i="78"/>
  <c r="AD38" i="78" s="1"/>
  <c r="Q48" i="78"/>
  <c r="AB48" i="78"/>
  <c r="Q50" i="78"/>
  <c r="R29" i="78"/>
  <c r="Q29" i="78"/>
  <c r="O69" i="78"/>
  <c r="Q59" i="78"/>
  <c r="R59" i="78"/>
  <c r="Q5" i="78"/>
  <c r="O15" i="78"/>
  <c r="R5" i="78"/>
  <c r="AC69" i="78"/>
  <c r="AD59" i="78" s="1"/>
  <c r="AB69" i="78"/>
  <c r="Q69" i="78"/>
  <c r="Q37" i="78"/>
  <c r="AC37" i="78"/>
  <c r="AD27" i="78" s="1"/>
  <c r="AB37" i="78"/>
  <c r="AC15" i="78"/>
  <c r="AD5" i="78" s="1"/>
  <c r="AB15" i="78"/>
  <c r="R51" i="78"/>
  <c r="Q51" i="78"/>
  <c r="Q30" i="78"/>
  <c r="R30" i="78"/>
  <c r="Q7" i="78"/>
  <c r="R7" i="78"/>
  <c r="R17" i="78"/>
  <c r="Q17" i="78"/>
  <c r="AB26" i="78"/>
  <c r="AC26" i="78"/>
  <c r="AD16" i="78" s="1"/>
  <c r="R61" i="78"/>
  <c r="Q61" i="78"/>
  <c r="O58" i="78"/>
  <c r="R27" i="78"/>
  <c r="O37" i="78"/>
  <c r="Q27" i="78"/>
  <c r="H6" i="79" l="1"/>
  <c r="H6" i="77"/>
  <c r="F6" i="79"/>
  <c r="H14" i="79"/>
  <c r="H15" i="79" s="1"/>
  <c r="R26" i="80"/>
  <c r="S16" i="80" s="1"/>
  <c r="Q26" i="80"/>
  <c r="E14" i="79"/>
  <c r="E15" i="79" s="1"/>
  <c r="I14" i="79"/>
  <c r="R69" i="80"/>
  <c r="S59" i="80" s="1"/>
  <c r="Q15" i="80"/>
  <c r="E2" i="80"/>
  <c r="D14" i="79"/>
  <c r="R15" i="80"/>
  <c r="S5" i="80" s="1"/>
  <c r="R48" i="80"/>
  <c r="S38" i="80" s="1"/>
  <c r="G14" i="79"/>
  <c r="G15" i="79" s="1"/>
  <c r="F6" i="77"/>
  <c r="Q26" i="78"/>
  <c r="E14" i="77"/>
  <c r="E15" i="77" s="1"/>
  <c r="R26" i="78"/>
  <c r="S16" i="78" s="1"/>
  <c r="F14" i="77"/>
  <c r="F15" i="77" s="1"/>
  <c r="R37" i="78"/>
  <c r="S27" i="78" s="1"/>
  <c r="E2" i="78"/>
  <c r="Q15" i="78"/>
  <c r="D14" i="77"/>
  <c r="R15" i="78"/>
  <c r="S5" i="78" s="1"/>
  <c r="R58" i="78"/>
  <c r="S49" i="78" s="1"/>
  <c r="H14" i="77"/>
  <c r="H15" i="77" s="1"/>
  <c r="G14" i="77"/>
  <c r="G15" i="77" s="1"/>
  <c r="R48" i="78"/>
  <c r="S38" i="78" s="1"/>
  <c r="R69" i="78"/>
  <c r="S59" i="78" s="1"/>
  <c r="I14" i="77"/>
  <c r="D15" i="79" l="1"/>
  <c r="H7" i="79"/>
  <c r="F7" i="79"/>
  <c r="I15" i="79"/>
  <c r="J8" i="79" s="1"/>
  <c r="J7" i="79"/>
  <c r="H7" i="77"/>
  <c r="F7" i="77"/>
  <c r="D15" i="77"/>
  <c r="J7" i="77"/>
  <c r="I15" i="77"/>
  <c r="J8" i="77" s="1"/>
  <c r="F8" i="79" l="1"/>
  <c r="H8" i="79"/>
  <c r="H8" i="77"/>
  <c r="F8" i="77"/>
  <c r="V62" i="76" l="1"/>
  <c r="V63" i="76"/>
  <c r="V31" i="76" l="1"/>
  <c r="V40" i="76"/>
  <c r="V52" i="76"/>
  <c r="V19" i="76"/>
  <c r="N63" i="76" l="1"/>
  <c r="O63" i="76"/>
  <c r="N40" i="76"/>
  <c r="O40" i="76"/>
  <c r="N19" i="76"/>
  <c r="O19" i="76"/>
  <c r="F62" i="76"/>
  <c r="H62" i="76" s="1"/>
  <c r="J62" i="76"/>
  <c r="P62" i="76" s="1"/>
  <c r="K62" i="76"/>
  <c r="F63" i="76"/>
  <c r="H63" i="76" s="1"/>
  <c r="J63" i="76"/>
  <c r="P63" i="76" s="1"/>
  <c r="K63" i="76"/>
  <c r="B62" i="76"/>
  <c r="B63" i="76"/>
  <c r="B52" i="76"/>
  <c r="J52" i="76"/>
  <c r="P52" i="76" s="1"/>
  <c r="K52" i="76"/>
  <c r="F52" i="76"/>
  <c r="H52" i="76" s="1"/>
  <c r="J40" i="76"/>
  <c r="P40" i="76" s="1"/>
  <c r="K40" i="76"/>
  <c r="F40" i="76"/>
  <c r="H40" i="76" s="1"/>
  <c r="B40" i="76"/>
  <c r="F31" i="76"/>
  <c r="H31" i="76" s="1"/>
  <c r="J31" i="76"/>
  <c r="K31" i="76"/>
  <c r="B31" i="76"/>
  <c r="F19" i="76"/>
  <c r="H19" i="76" s="1"/>
  <c r="J19" i="76"/>
  <c r="P19" i="76" s="1"/>
  <c r="K19" i="76"/>
  <c r="B19" i="76"/>
  <c r="L62" i="76" l="1"/>
  <c r="L40" i="76"/>
  <c r="Q40" i="76" s="1"/>
  <c r="L19" i="76"/>
  <c r="L63" i="76"/>
  <c r="Q63" i="76" s="1"/>
  <c r="R63" i="76"/>
  <c r="L31" i="76"/>
  <c r="L52" i="76"/>
  <c r="R19" i="76"/>
  <c r="P31" i="76"/>
  <c r="Q19" i="76"/>
  <c r="R40" i="76" l="1"/>
  <c r="W78" i="76"/>
  <c r="H78" i="76"/>
  <c r="W77" i="76"/>
  <c r="H77" i="76"/>
  <c r="W76" i="76"/>
  <c r="H76" i="76"/>
  <c r="W75" i="76"/>
  <c r="H75" i="76"/>
  <c r="W74" i="76"/>
  <c r="H74" i="76"/>
  <c r="W73" i="76"/>
  <c r="H73" i="76"/>
  <c r="W72" i="76"/>
  <c r="H72" i="76"/>
  <c r="W71" i="76"/>
  <c r="H71" i="76"/>
  <c r="AD70" i="76"/>
  <c r="W70" i="76"/>
  <c r="S70" i="76"/>
  <c r="M69" i="76"/>
  <c r="W68" i="76"/>
  <c r="H68" i="76"/>
  <c r="W67" i="76"/>
  <c r="H67" i="76"/>
  <c r="W66" i="76"/>
  <c r="H66" i="76"/>
  <c r="W65" i="76"/>
  <c r="H65" i="76"/>
  <c r="W64" i="76"/>
  <c r="H64" i="76"/>
  <c r="W63" i="76"/>
  <c r="W62" i="76"/>
  <c r="N62" i="76" s="1"/>
  <c r="O62" i="76" s="1"/>
  <c r="W61" i="76"/>
  <c r="N61" i="76" s="1"/>
  <c r="V61" i="76"/>
  <c r="K61" i="76"/>
  <c r="J61" i="76"/>
  <c r="P61" i="76" s="1"/>
  <c r="F61" i="76"/>
  <c r="H61" i="76" s="1"/>
  <c r="B61" i="76"/>
  <c r="W60" i="76"/>
  <c r="V60" i="76"/>
  <c r="N60" i="76"/>
  <c r="O60" i="76" s="1"/>
  <c r="K60" i="76"/>
  <c r="J60" i="76"/>
  <c r="F60" i="76"/>
  <c r="H60" i="76" s="1"/>
  <c r="B60" i="76"/>
  <c r="W59" i="76"/>
  <c r="P59" i="76"/>
  <c r="N59" i="76"/>
  <c r="K59" i="76"/>
  <c r="J59" i="76"/>
  <c r="F59" i="76"/>
  <c r="H59" i="76" s="1"/>
  <c r="B59" i="76"/>
  <c r="M58" i="76"/>
  <c r="W57" i="76"/>
  <c r="H57" i="76"/>
  <c r="W56" i="76"/>
  <c r="H56" i="76"/>
  <c r="W55" i="76"/>
  <c r="H55" i="76"/>
  <c r="W54" i="76"/>
  <c r="H54" i="76"/>
  <c r="W53" i="76"/>
  <c r="H53" i="76"/>
  <c r="W52" i="76"/>
  <c r="N52" i="76" s="1"/>
  <c r="O52" i="76" s="1"/>
  <c r="W51" i="76"/>
  <c r="N51" i="76" s="1"/>
  <c r="V51" i="76"/>
  <c r="K51" i="76"/>
  <c r="J51" i="76"/>
  <c r="L51" i="76" s="1"/>
  <c r="F51" i="76"/>
  <c r="H51" i="76" s="1"/>
  <c r="B51" i="76"/>
  <c r="W50" i="76"/>
  <c r="N50" i="76" s="1"/>
  <c r="V50" i="76"/>
  <c r="K50" i="76"/>
  <c r="J50" i="76"/>
  <c r="P50" i="76" s="1"/>
  <c r="F50" i="76"/>
  <c r="H50" i="76" s="1"/>
  <c r="B50" i="76"/>
  <c r="W49" i="76"/>
  <c r="N49" i="76"/>
  <c r="O49" i="76" s="1"/>
  <c r="K49" i="76"/>
  <c r="J49" i="76"/>
  <c r="F49" i="76"/>
  <c r="H49" i="76" s="1"/>
  <c r="B49" i="76"/>
  <c r="W48" i="76"/>
  <c r="M48" i="76"/>
  <c r="W47" i="76"/>
  <c r="H47" i="76"/>
  <c r="W46" i="76"/>
  <c r="H46" i="76"/>
  <c r="W45" i="76"/>
  <c r="H45" i="76"/>
  <c r="W44" i="76"/>
  <c r="H44" i="76"/>
  <c r="W43" i="76"/>
  <c r="H43" i="76"/>
  <c r="W42" i="76"/>
  <c r="W41" i="76"/>
  <c r="W40" i="76"/>
  <c r="W39" i="76"/>
  <c r="V39" i="76"/>
  <c r="N39" i="76"/>
  <c r="K39" i="76"/>
  <c r="J39" i="76"/>
  <c r="P39" i="76" s="1"/>
  <c r="F39" i="76"/>
  <c r="H39" i="76" s="1"/>
  <c r="C39" i="76"/>
  <c r="B39" i="76"/>
  <c r="W38" i="76"/>
  <c r="N38" i="76" s="1"/>
  <c r="K38" i="76"/>
  <c r="J38" i="76"/>
  <c r="F38" i="76"/>
  <c r="H38" i="76" s="1"/>
  <c r="C38" i="76"/>
  <c r="M37" i="76"/>
  <c r="F18" i="75" s="1"/>
  <c r="W36" i="76"/>
  <c r="H36" i="76"/>
  <c r="W35" i="76"/>
  <c r="H35" i="76"/>
  <c r="W34" i="76"/>
  <c r="H34" i="76"/>
  <c r="W33" i="76"/>
  <c r="H33" i="76"/>
  <c r="W32" i="76"/>
  <c r="H32" i="76"/>
  <c r="W31" i="76"/>
  <c r="N31" i="76" s="1"/>
  <c r="O31" i="76" s="1"/>
  <c r="W30" i="76"/>
  <c r="N30" i="76" s="1"/>
  <c r="O30" i="76" s="1"/>
  <c r="V30" i="76"/>
  <c r="K30" i="76"/>
  <c r="J30" i="76"/>
  <c r="P30" i="76" s="1"/>
  <c r="F30" i="76"/>
  <c r="H30" i="76" s="1"/>
  <c r="B30" i="76"/>
  <c r="W29" i="76"/>
  <c r="N29" i="76" s="1"/>
  <c r="V29" i="76"/>
  <c r="K29" i="76"/>
  <c r="J29" i="76"/>
  <c r="P29" i="76" s="1"/>
  <c r="F29" i="76"/>
  <c r="H29" i="76" s="1"/>
  <c r="B29" i="76"/>
  <c r="W28" i="76"/>
  <c r="V28" i="76"/>
  <c r="P28" i="76"/>
  <c r="N28" i="76"/>
  <c r="L28" i="76"/>
  <c r="F28" i="76"/>
  <c r="H28" i="76" s="1"/>
  <c r="B28" i="76"/>
  <c r="W27" i="76"/>
  <c r="N27" i="76" s="1"/>
  <c r="P27" i="76"/>
  <c r="O27" i="76"/>
  <c r="R27" i="76" s="1"/>
  <c r="L27" i="76"/>
  <c r="F27" i="76"/>
  <c r="H27" i="76" s="1"/>
  <c r="M26" i="76"/>
  <c r="E18" i="75" s="1"/>
  <c r="W25" i="76"/>
  <c r="H25" i="76"/>
  <c r="W24" i="76"/>
  <c r="H24" i="76"/>
  <c r="W23" i="76"/>
  <c r="H23" i="76"/>
  <c r="H22" i="76"/>
  <c r="H21" i="76"/>
  <c r="H20" i="76"/>
  <c r="W19" i="76"/>
  <c r="W18" i="76"/>
  <c r="V18" i="76"/>
  <c r="N18" i="76"/>
  <c r="K18" i="76"/>
  <c r="J18" i="76"/>
  <c r="P18" i="76" s="1"/>
  <c r="F18" i="76"/>
  <c r="H18" i="76" s="1"/>
  <c r="B18" i="76"/>
  <c r="W17" i="76"/>
  <c r="N17" i="76" s="1"/>
  <c r="V17" i="76"/>
  <c r="O17" i="76"/>
  <c r="K17" i="76"/>
  <c r="J17" i="76"/>
  <c r="P17" i="76" s="1"/>
  <c r="F17" i="76"/>
  <c r="H17" i="76" s="1"/>
  <c r="W16" i="76"/>
  <c r="N16" i="76" s="1"/>
  <c r="K16" i="76"/>
  <c r="J16" i="76"/>
  <c r="P16" i="76" s="1"/>
  <c r="F16" i="76"/>
  <c r="H16" i="76" s="1"/>
  <c r="M15" i="76"/>
  <c r="D18" i="75" s="1"/>
  <c r="W14" i="76"/>
  <c r="H14" i="76"/>
  <c r="W13" i="76"/>
  <c r="H13" i="76"/>
  <c r="W12" i="76"/>
  <c r="H12" i="76"/>
  <c r="W11" i="76"/>
  <c r="H11" i="76"/>
  <c r="W10" i="76"/>
  <c r="H10" i="76"/>
  <c r="W9" i="76"/>
  <c r="H9" i="76"/>
  <c r="W8" i="76"/>
  <c r="N8" i="76" s="1"/>
  <c r="O8" i="76" s="1"/>
  <c r="V8" i="76"/>
  <c r="K8" i="76"/>
  <c r="J8" i="76"/>
  <c r="P8" i="76" s="1"/>
  <c r="F8" i="76"/>
  <c r="H8" i="76" s="1"/>
  <c r="W7" i="76"/>
  <c r="N7" i="76" s="1"/>
  <c r="O7" i="76" s="1"/>
  <c r="V7" i="76"/>
  <c r="K7" i="76"/>
  <c r="J7" i="76"/>
  <c r="P7" i="76" s="1"/>
  <c r="F7" i="76"/>
  <c r="H7" i="76" s="1"/>
  <c r="B7" i="76"/>
  <c r="W6" i="76"/>
  <c r="N6" i="76" s="1"/>
  <c r="K6" i="76"/>
  <c r="J6" i="76"/>
  <c r="F6" i="76"/>
  <c r="H6" i="76" s="1"/>
  <c r="B6" i="76"/>
  <c r="W5" i="76"/>
  <c r="N5" i="76"/>
  <c r="O5" i="76" s="1"/>
  <c r="K5" i="76"/>
  <c r="J5" i="76"/>
  <c r="P5" i="76" s="1"/>
  <c r="F5" i="76"/>
  <c r="H5" i="76" s="1"/>
  <c r="B5" i="76"/>
  <c r="I2" i="76"/>
  <c r="E1" i="76"/>
  <c r="G3" i="75" s="1"/>
  <c r="I18" i="75"/>
  <c r="I16" i="75"/>
  <c r="H16" i="75"/>
  <c r="G16" i="75"/>
  <c r="F16" i="75"/>
  <c r="E16" i="75"/>
  <c r="D16" i="75"/>
  <c r="F7" i="73"/>
  <c r="F7" i="71"/>
  <c r="V8" i="74"/>
  <c r="K8" i="74"/>
  <c r="J8" i="74"/>
  <c r="P8" i="74" s="1"/>
  <c r="F8" i="74"/>
  <c r="H8" i="74" s="1"/>
  <c r="L5" i="76" l="1"/>
  <c r="L38" i="76"/>
  <c r="L7" i="76"/>
  <c r="R7" i="76" s="1"/>
  <c r="L39" i="76"/>
  <c r="L50" i="76"/>
  <c r="L59" i="76"/>
  <c r="Q62" i="76"/>
  <c r="R62" i="76"/>
  <c r="Q52" i="76"/>
  <c r="R52" i="76"/>
  <c r="L61" i="76"/>
  <c r="L8" i="74"/>
  <c r="J48" i="76"/>
  <c r="P48" i="76" s="1"/>
  <c r="L30" i="76"/>
  <c r="R30" i="76" s="1"/>
  <c r="L17" i="76"/>
  <c r="Q17" i="76" s="1"/>
  <c r="AB38" i="76"/>
  <c r="L8" i="76"/>
  <c r="Q8" i="76" s="1"/>
  <c r="K48" i="76"/>
  <c r="AC48" i="76" s="1"/>
  <c r="AD38" i="76" s="1"/>
  <c r="P51" i="76"/>
  <c r="AC29" i="76"/>
  <c r="L18" i="76"/>
  <c r="N48" i="76"/>
  <c r="Q31" i="76"/>
  <c r="R31" i="76"/>
  <c r="I1" i="76"/>
  <c r="H18" i="75"/>
  <c r="AB60" i="76"/>
  <c r="AC60" i="76"/>
  <c r="N58" i="76"/>
  <c r="K37" i="76"/>
  <c r="AC30" i="76"/>
  <c r="AB30" i="76"/>
  <c r="G1" i="76"/>
  <c r="Q27" i="76"/>
  <c r="AB39" i="76"/>
  <c r="AC39" i="76"/>
  <c r="AC18" i="76"/>
  <c r="AB18" i="76"/>
  <c r="Q7" i="76"/>
  <c r="O18" i="76"/>
  <c r="N37" i="76"/>
  <c r="AB27" i="76"/>
  <c r="AC27" i="76"/>
  <c r="K15" i="76"/>
  <c r="L6" i="76"/>
  <c r="AC7" i="76"/>
  <c r="Q30" i="76"/>
  <c r="O38" i="76"/>
  <c r="AC38" i="76"/>
  <c r="O50" i="76"/>
  <c r="AB50" i="76"/>
  <c r="AC50" i="76"/>
  <c r="Q5" i="76"/>
  <c r="R5" i="76"/>
  <c r="AC51" i="76"/>
  <c r="AB51" i="76"/>
  <c r="O51" i="76"/>
  <c r="J15" i="76"/>
  <c r="P15" i="76" s="1"/>
  <c r="P6" i="76"/>
  <c r="O16" i="76"/>
  <c r="AC16" i="76"/>
  <c r="AB16" i="76"/>
  <c r="AB59" i="76"/>
  <c r="N69" i="76"/>
  <c r="AC59" i="76"/>
  <c r="O39" i="76"/>
  <c r="O59" i="76"/>
  <c r="J58" i="76"/>
  <c r="P58" i="76" s="1"/>
  <c r="P49" i="76"/>
  <c r="AB7" i="76"/>
  <c r="K58" i="76"/>
  <c r="L49" i="76"/>
  <c r="AB6" i="76"/>
  <c r="N26" i="76"/>
  <c r="L29" i="76"/>
  <c r="K26" i="76"/>
  <c r="AB29" i="76"/>
  <c r="J37" i="76"/>
  <c r="P37" i="76" s="1"/>
  <c r="AB49" i="76"/>
  <c r="AC6" i="76"/>
  <c r="AC17" i="76"/>
  <c r="AB17" i="76"/>
  <c r="AB28" i="76"/>
  <c r="AC28" i="76"/>
  <c r="AC49" i="76"/>
  <c r="P60" i="76"/>
  <c r="J69" i="76"/>
  <c r="P69" i="76" s="1"/>
  <c r="AB5" i="76"/>
  <c r="AC5" i="76"/>
  <c r="N15" i="76"/>
  <c r="O28" i="76"/>
  <c r="G18" i="75"/>
  <c r="L60" i="76"/>
  <c r="R60" i="76" s="1"/>
  <c r="AC61" i="76"/>
  <c r="O61" i="76"/>
  <c r="AB61" i="76"/>
  <c r="K69" i="76"/>
  <c r="L16" i="76"/>
  <c r="J26" i="76"/>
  <c r="P26" i="76" s="1"/>
  <c r="P38" i="76"/>
  <c r="O29" i="76"/>
  <c r="O6" i="76"/>
  <c r="O15" i="76" s="1"/>
  <c r="W78" i="74"/>
  <c r="H78" i="74"/>
  <c r="W77" i="74"/>
  <c r="H77" i="74"/>
  <c r="W76" i="74"/>
  <c r="H76" i="74"/>
  <c r="W75" i="74"/>
  <c r="H75" i="74"/>
  <c r="W74" i="74"/>
  <c r="H74" i="74"/>
  <c r="W73" i="74"/>
  <c r="H73" i="74"/>
  <c r="W72" i="74"/>
  <c r="H72" i="74"/>
  <c r="W71" i="74"/>
  <c r="H71" i="74"/>
  <c r="AD70" i="74"/>
  <c r="W70" i="74"/>
  <c r="S70" i="74"/>
  <c r="M69" i="74"/>
  <c r="I18" i="73" s="1"/>
  <c r="W68" i="74"/>
  <c r="H68" i="74"/>
  <c r="W67" i="74"/>
  <c r="H67" i="74"/>
  <c r="W66" i="74"/>
  <c r="H66" i="74"/>
  <c r="W65" i="74"/>
  <c r="H65" i="74"/>
  <c r="W64" i="74"/>
  <c r="H64" i="74"/>
  <c r="W63" i="74"/>
  <c r="H63" i="74"/>
  <c r="W62" i="74"/>
  <c r="W61" i="74"/>
  <c r="N61" i="74" s="1"/>
  <c r="V61" i="74"/>
  <c r="K61" i="74"/>
  <c r="J61" i="74"/>
  <c r="P61" i="74" s="1"/>
  <c r="F61" i="74"/>
  <c r="H61" i="74" s="1"/>
  <c r="B61" i="74"/>
  <c r="W60" i="74"/>
  <c r="V60" i="74"/>
  <c r="N60" i="74"/>
  <c r="K60" i="74"/>
  <c r="J60" i="74"/>
  <c r="P60" i="74" s="1"/>
  <c r="F60" i="74"/>
  <c r="H60" i="74" s="1"/>
  <c r="B60" i="74"/>
  <c r="W59" i="74"/>
  <c r="N59" i="74" s="1"/>
  <c r="K59" i="74"/>
  <c r="J59" i="74"/>
  <c r="P59" i="74" s="1"/>
  <c r="F59" i="74"/>
  <c r="H59" i="74" s="1"/>
  <c r="B59" i="74"/>
  <c r="M58" i="74"/>
  <c r="W57" i="74"/>
  <c r="H57" i="74"/>
  <c r="W56" i="74"/>
  <c r="H56" i="74"/>
  <c r="W55" i="74"/>
  <c r="H55" i="74"/>
  <c r="W54" i="74"/>
  <c r="H54" i="74"/>
  <c r="W53" i="74"/>
  <c r="H53" i="74"/>
  <c r="W52" i="74"/>
  <c r="W51" i="74"/>
  <c r="N51" i="74" s="1"/>
  <c r="V51" i="74"/>
  <c r="K51" i="74"/>
  <c r="J51" i="74"/>
  <c r="P51" i="74" s="1"/>
  <c r="F51" i="74"/>
  <c r="H51" i="74" s="1"/>
  <c r="B51" i="74"/>
  <c r="W50" i="74"/>
  <c r="N50" i="74" s="1"/>
  <c r="V50" i="74"/>
  <c r="K50" i="74"/>
  <c r="J50" i="74"/>
  <c r="P50" i="74" s="1"/>
  <c r="F50" i="74"/>
  <c r="H50" i="74" s="1"/>
  <c r="B50" i="74"/>
  <c r="W49" i="74"/>
  <c r="N49" i="74" s="1"/>
  <c r="K49" i="74"/>
  <c r="J49" i="74"/>
  <c r="P49" i="74" s="1"/>
  <c r="F49" i="74"/>
  <c r="H49" i="74" s="1"/>
  <c r="B49" i="74"/>
  <c r="W48" i="74"/>
  <c r="M48" i="74"/>
  <c r="G18" i="73" s="1"/>
  <c r="W47" i="74"/>
  <c r="H47" i="74"/>
  <c r="W46" i="74"/>
  <c r="H46" i="74"/>
  <c r="W45" i="74"/>
  <c r="H45" i="74"/>
  <c r="W44" i="74"/>
  <c r="H44" i="74"/>
  <c r="W43" i="74"/>
  <c r="H43" i="74"/>
  <c r="W42" i="74"/>
  <c r="W41" i="74"/>
  <c r="W40" i="74"/>
  <c r="W39" i="74"/>
  <c r="N39" i="74" s="1"/>
  <c r="V39" i="74"/>
  <c r="K39" i="74"/>
  <c r="J39" i="74"/>
  <c r="P39" i="74" s="1"/>
  <c r="F39" i="74"/>
  <c r="H39" i="74" s="1"/>
  <c r="C39" i="74"/>
  <c r="B39" i="74"/>
  <c r="W38" i="74"/>
  <c r="N38" i="74" s="1"/>
  <c r="K38" i="74"/>
  <c r="J38" i="74"/>
  <c r="F38" i="74"/>
  <c r="H38" i="74" s="1"/>
  <c r="C38" i="74"/>
  <c r="M37" i="74"/>
  <c r="W36" i="74"/>
  <c r="H36" i="74"/>
  <c r="W35" i="74"/>
  <c r="H35" i="74"/>
  <c r="W34" i="74"/>
  <c r="H34" i="74"/>
  <c r="W33" i="74"/>
  <c r="H33" i="74"/>
  <c r="W32" i="74"/>
  <c r="H32" i="74"/>
  <c r="W31" i="74"/>
  <c r="W30" i="74"/>
  <c r="V30" i="74"/>
  <c r="N30" i="74"/>
  <c r="O30" i="74" s="1"/>
  <c r="K30" i="74"/>
  <c r="J30" i="74"/>
  <c r="P30" i="74" s="1"/>
  <c r="F30" i="74"/>
  <c r="H30" i="74" s="1"/>
  <c r="B30" i="74"/>
  <c r="W29" i="74"/>
  <c r="N29" i="74" s="1"/>
  <c r="O29" i="74" s="1"/>
  <c r="V29" i="74"/>
  <c r="K29" i="74"/>
  <c r="J29" i="74"/>
  <c r="F29" i="74"/>
  <c r="H29" i="74" s="1"/>
  <c r="B29" i="74"/>
  <c r="W28" i="74"/>
  <c r="N28" i="74" s="1"/>
  <c r="V28" i="74"/>
  <c r="P28" i="74"/>
  <c r="L28" i="74"/>
  <c r="F28" i="74"/>
  <c r="H28" i="74" s="1"/>
  <c r="B28" i="74"/>
  <c r="W27" i="74"/>
  <c r="N27" i="74" s="1"/>
  <c r="P27" i="74"/>
  <c r="L27" i="74"/>
  <c r="F27" i="74"/>
  <c r="H27" i="74" s="1"/>
  <c r="M26" i="74"/>
  <c r="E18" i="73" s="1"/>
  <c r="W25" i="74"/>
  <c r="H25" i="74"/>
  <c r="W24" i="74"/>
  <c r="H24" i="74"/>
  <c r="W23" i="74"/>
  <c r="H23" i="74"/>
  <c r="H22" i="74"/>
  <c r="H21" i="74"/>
  <c r="H20" i="74"/>
  <c r="W19" i="74"/>
  <c r="W18" i="74"/>
  <c r="V18" i="74"/>
  <c r="N18" i="74"/>
  <c r="O18" i="74" s="1"/>
  <c r="K18" i="74"/>
  <c r="J18" i="74"/>
  <c r="P18" i="74" s="1"/>
  <c r="F18" i="74"/>
  <c r="H18" i="74" s="1"/>
  <c r="B18" i="74"/>
  <c r="W17" i="74"/>
  <c r="N17" i="74" s="1"/>
  <c r="V17" i="74"/>
  <c r="K17" i="74"/>
  <c r="J17" i="74"/>
  <c r="P17" i="74" s="1"/>
  <c r="F17" i="74"/>
  <c r="H17" i="74" s="1"/>
  <c r="W16" i="74"/>
  <c r="N16" i="74"/>
  <c r="K16" i="74"/>
  <c r="J16" i="74"/>
  <c r="F16" i="74"/>
  <c r="H16" i="74" s="1"/>
  <c r="M15" i="74"/>
  <c r="D18" i="73" s="1"/>
  <c r="W14" i="74"/>
  <c r="H14" i="74"/>
  <c r="W13" i="74"/>
  <c r="H13" i="74"/>
  <c r="W12" i="74"/>
  <c r="H12" i="74"/>
  <c r="W11" i="74"/>
  <c r="H11" i="74"/>
  <c r="W10" i="74"/>
  <c r="H10" i="74"/>
  <c r="W9" i="74"/>
  <c r="H9" i="74"/>
  <c r="W8" i="74"/>
  <c r="N8" i="74" s="1"/>
  <c r="O8" i="74" s="1"/>
  <c r="W7" i="74"/>
  <c r="V7" i="74"/>
  <c r="N7" i="74"/>
  <c r="O7" i="74" s="1"/>
  <c r="K7" i="74"/>
  <c r="J7" i="74"/>
  <c r="P7" i="74" s="1"/>
  <c r="F7" i="74"/>
  <c r="H7" i="74" s="1"/>
  <c r="B7" i="74"/>
  <c r="W6" i="74"/>
  <c r="N6" i="74" s="1"/>
  <c r="K6" i="74"/>
  <c r="J6" i="74"/>
  <c r="P6" i="74" s="1"/>
  <c r="F6" i="74"/>
  <c r="H6" i="74" s="1"/>
  <c r="B6" i="74"/>
  <c r="W5" i="74"/>
  <c r="N5" i="74" s="1"/>
  <c r="K5" i="74"/>
  <c r="J5" i="74"/>
  <c r="F5" i="74"/>
  <c r="H5" i="74" s="1"/>
  <c r="B5" i="74"/>
  <c r="I2" i="74"/>
  <c r="E1" i="74"/>
  <c r="G3" i="73" s="1"/>
  <c r="I16" i="73"/>
  <c r="H16" i="73"/>
  <c r="G16" i="73"/>
  <c r="F16" i="73"/>
  <c r="E16" i="73"/>
  <c r="D16" i="73"/>
  <c r="L48" i="76" l="1"/>
  <c r="G13" i="75" s="1"/>
  <c r="R17" i="76"/>
  <c r="L58" i="76"/>
  <c r="H13" i="75" s="1"/>
  <c r="R8" i="74"/>
  <c r="O58" i="76"/>
  <c r="L6" i="74"/>
  <c r="L15" i="76"/>
  <c r="D13" i="75" s="1"/>
  <c r="Q48" i="76"/>
  <c r="AB48" i="76"/>
  <c r="R8" i="76"/>
  <c r="J15" i="74"/>
  <c r="P15" i="74" s="1"/>
  <c r="L7" i="74"/>
  <c r="R7" i="74" s="1"/>
  <c r="L38" i="74"/>
  <c r="L26" i="76"/>
  <c r="E13" i="75" s="1"/>
  <c r="L37" i="76"/>
  <c r="F13" i="75" s="1"/>
  <c r="O37" i="76"/>
  <c r="F14" i="75" s="1"/>
  <c r="AC58" i="76"/>
  <c r="AD49" i="76" s="1"/>
  <c r="D14" i="75"/>
  <c r="AC15" i="76"/>
  <c r="AD5" i="76" s="1"/>
  <c r="AB15" i="76"/>
  <c r="Q37" i="76"/>
  <c r="AB37" i="76"/>
  <c r="AC37" i="76"/>
  <c r="AD27" i="76" s="1"/>
  <c r="AC26" i="76"/>
  <c r="AD16" i="76" s="1"/>
  <c r="AB26" i="76"/>
  <c r="R6" i="76"/>
  <c r="Q6" i="76"/>
  <c r="Q60" i="76"/>
  <c r="R29" i="76"/>
  <c r="Q29" i="76"/>
  <c r="L69" i="76"/>
  <c r="I13" i="75" s="1"/>
  <c r="J6" i="75" s="1"/>
  <c r="Q16" i="76"/>
  <c r="R16" i="76"/>
  <c r="O26" i="76"/>
  <c r="J3" i="75"/>
  <c r="G2" i="76"/>
  <c r="R51" i="76"/>
  <c r="Q51" i="76"/>
  <c r="Q58" i="76"/>
  <c r="R28" i="76"/>
  <c r="Q28" i="76"/>
  <c r="Q50" i="76"/>
  <c r="R50" i="76"/>
  <c r="O69" i="76"/>
  <c r="Q59" i="76"/>
  <c r="R59" i="76"/>
  <c r="R49" i="76"/>
  <c r="R39" i="76"/>
  <c r="Q39" i="76"/>
  <c r="Q49" i="76"/>
  <c r="R18" i="76"/>
  <c r="Q18" i="76"/>
  <c r="AC69" i="76"/>
  <c r="AD59" i="76" s="1"/>
  <c r="AB69" i="76"/>
  <c r="Q69" i="76"/>
  <c r="Q38" i="76"/>
  <c r="O48" i="76"/>
  <c r="R38" i="76"/>
  <c r="AB58" i="76"/>
  <c r="Q61" i="76"/>
  <c r="R61" i="76"/>
  <c r="Q8" i="74"/>
  <c r="N69" i="74"/>
  <c r="O59" i="74"/>
  <c r="AC61" i="74"/>
  <c r="O61" i="74"/>
  <c r="AC51" i="74"/>
  <c r="AB51" i="74"/>
  <c r="L60" i="74"/>
  <c r="L5" i="74"/>
  <c r="AC16" i="74"/>
  <c r="AC18" i="74"/>
  <c r="AC59" i="74"/>
  <c r="L17" i="74"/>
  <c r="J37" i="74"/>
  <c r="P37" i="74" s="1"/>
  <c r="L39" i="74"/>
  <c r="L50" i="74"/>
  <c r="L30" i="74"/>
  <c r="Q30" i="74" s="1"/>
  <c r="J58" i="74"/>
  <c r="P58" i="74" s="1"/>
  <c r="AB18" i="74"/>
  <c r="K58" i="74"/>
  <c r="H18" i="73"/>
  <c r="L51" i="74"/>
  <c r="K15" i="74"/>
  <c r="P29" i="74"/>
  <c r="I1" i="74"/>
  <c r="G1" i="74"/>
  <c r="J3" i="73" s="1"/>
  <c r="L61" i="74"/>
  <c r="AC28" i="74"/>
  <c r="AB28" i="74"/>
  <c r="O28" i="74"/>
  <c r="AC17" i="74"/>
  <c r="AB17" i="74"/>
  <c r="O17" i="74"/>
  <c r="O6" i="74"/>
  <c r="AC6" i="74"/>
  <c r="AB6" i="74"/>
  <c r="O50" i="74"/>
  <c r="AB50" i="74"/>
  <c r="AC39" i="74"/>
  <c r="AB39" i="74"/>
  <c r="O39" i="74"/>
  <c r="O38" i="74"/>
  <c r="AC38" i="74"/>
  <c r="N48" i="74"/>
  <c r="AB38" i="74"/>
  <c r="K37" i="74"/>
  <c r="AC50" i="74"/>
  <c r="P16" i="74"/>
  <c r="J26" i="74"/>
  <c r="P26" i="74" s="1"/>
  <c r="N37" i="74"/>
  <c r="AC27" i="74"/>
  <c r="AB27" i="74"/>
  <c r="O27" i="74"/>
  <c r="L16" i="74"/>
  <c r="O49" i="74"/>
  <c r="AC49" i="74"/>
  <c r="N58" i="74"/>
  <c r="AB49" i="74"/>
  <c r="O60" i="74"/>
  <c r="AC60" i="74"/>
  <c r="AB60" i="74"/>
  <c r="J69" i="74"/>
  <c r="P69" i="74" s="1"/>
  <c r="AC5" i="74"/>
  <c r="AB5" i="74"/>
  <c r="N15" i="74"/>
  <c r="O5" i="74"/>
  <c r="AC29" i="74"/>
  <c r="AB29" i="74"/>
  <c r="P38" i="74"/>
  <c r="J48" i="74"/>
  <c r="P48" i="74" s="1"/>
  <c r="O16" i="74"/>
  <c r="K48" i="74"/>
  <c r="L59" i="74"/>
  <c r="O51" i="74"/>
  <c r="N26" i="74"/>
  <c r="AB61" i="74"/>
  <c r="K26" i="74"/>
  <c r="P5" i="74"/>
  <c r="AB7" i="74"/>
  <c r="L18" i="74"/>
  <c r="R18" i="74" s="1"/>
  <c r="AC7" i="74"/>
  <c r="AB30" i="74"/>
  <c r="AB16" i="74"/>
  <c r="L29" i="74"/>
  <c r="AC30" i="74"/>
  <c r="L49" i="74"/>
  <c r="F18" i="73"/>
  <c r="K69" i="74"/>
  <c r="AB59" i="74"/>
  <c r="I16" i="71"/>
  <c r="H16" i="71"/>
  <c r="G16" i="71"/>
  <c r="F16" i="71"/>
  <c r="E16" i="71"/>
  <c r="D16" i="71"/>
  <c r="I16" i="68"/>
  <c r="H16" i="68"/>
  <c r="G16" i="68"/>
  <c r="F16" i="68"/>
  <c r="E16" i="68"/>
  <c r="D16" i="68"/>
  <c r="G18" i="71"/>
  <c r="F18" i="71"/>
  <c r="E18" i="71"/>
  <c r="D18" i="71"/>
  <c r="G14" i="71"/>
  <c r="D14" i="71"/>
  <c r="V62" i="72"/>
  <c r="K62" i="72"/>
  <c r="J62" i="72"/>
  <c r="P62" i="72" s="1"/>
  <c r="F62" i="72"/>
  <c r="H62" i="72" s="1"/>
  <c r="B62" i="72"/>
  <c r="F18" i="68"/>
  <c r="D18" i="68"/>
  <c r="F14" i="68"/>
  <c r="D14" i="68"/>
  <c r="G3" i="68"/>
  <c r="W78" i="72"/>
  <c r="H78" i="72"/>
  <c r="W77" i="72"/>
  <c r="H77" i="72"/>
  <c r="W76" i="72"/>
  <c r="H76" i="72"/>
  <c r="W75" i="72"/>
  <c r="H75" i="72"/>
  <c r="W74" i="72"/>
  <c r="H74" i="72"/>
  <c r="W73" i="72"/>
  <c r="H73" i="72"/>
  <c r="W72" i="72"/>
  <c r="H72" i="72"/>
  <c r="W71" i="72"/>
  <c r="H71" i="72"/>
  <c r="AD70" i="72"/>
  <c r="W70" i="72"/>
  <c r="S70" i="72"/>
  <c r="M69" i="72"/>
  <c r="I18" i="71" s="1"/>
  <c r="W68" i="72"/>
  <c r="H68" i="72"/>
  <c r="W67" i="72"/>
  <c r="H67" i="72"/>
  <c r="W66" i="72"/>
  <c r="H66" i="72"/>
  <c r="W65" i="72"/>
  <c r="H65" i="72"/>
  <c r="W64" i="72"/>
  <c r="H64" i="72"/>
  <c r="W63" i="72"/>
  <c r="H63" i="72"/>
  <c r="W62" i="72"/>
  <c r="N62" i="72" s="1"/>
  <c r="O62" i="72" s="1"/>
  <c r="W61" i="72"/>
  <c r="N61" i="72" s="1"/>
  <c r="V61" i="72"/>
  <c r="K61" i="72"/>
  <c r="J61" i="72"/>
  <c r="P61" i="72" s="1"/>
  <c r="F61" i="72"/>
  <c r="H61" i="72" s="1"/>
  <c r="B61" i="72"/>
  <c r="W60" i="72"/>
  <c r="N60" i="72" s="1"/>
  <c r="V60" i="72"/>
  <c r="K60" i="72"/>
  <c r="J60" i="72"/>
  <c r="P60" i="72" s="1"/>
  <c r="F60" i="72"/>
  <c r="H60" i="72" s="1"/>
  <c r="B60" i="72"/>
  <c r="W59" i="72"/>
  <c r="N59" i="72"/>
  <c r="K59" i="72"/>
  <c r="J59" i="72"/>
  <c r="P59" i="72" s="1"/>
  <c r="F59" i="72"/>
  <c r="H59" i="72" s="1"/>
  <c r="B59" i="72"/>
  <c r="M58" i="72"/>
  <c r="H18" i="71" s="1"/>
  <c r="W57" i="72"/>
  <c r="H57" i="72"/>
  <c r="W56" i="72"/>
  <c r="H56" i="72"/>
  <c r="W55" i="72"/>
  <c r="H55" i="72"/>
  <c r="W54" i="72"/>
  <c r="H54" i="72"/>
  <c r="W53" i="72"/>
  <c r="H53" i="72"/>
  <c r="W52" i="72"/>
  <c r="W51" i="72"/>
  <c r="N51" i="72" s="1"/>
  <c r="V51" i="72"/>
  <c r="K51" i="72"/>
  <c r="J51" i="72"/>
  <c r="F51" i="72"/>
  <c r="H51" i="72" s="1"/>
  <c r="B51" i="72"/>
  <c r="W50" i="72"/>
  <c r="N50" i="72" s="1"/>
  <c r="V50" i="72"/>
  <c r="K50" i="72"/>
  <c r="J50" i="72"/>
  <c r="P50" i="72" s="1"/>
  <c r="F50" i="72"/>
  <c r="H50" i="72" s="1"/>
  <c r="B50" i="72"/>
  <c r="W49" i="72"/>
  <c r="N49" i="72"/>
  <c r="K49" i="72"/>
  <c r="J49" i="72"/>
  <c r="F49" i="72"/>
  <c r="H49" i="72" s="1"/>
  <c r="B49" i="72"/>
  <c r="W48" i="72"/>
  <c r="M48" i="72"/>
  <c r="W47" i="72"/>
  <c r="H47" i="72"/>
  <c r="W46" i="72"/>
  <c r="H46" i="72"/>
  <c r="W45" i="72"/>
  <c r="H45" i="72"/>
  <c r="W44" i="72"/>
  <c r="H44" i="72"/>
  <c r="W43" i="72"/>
  <c r="H43" i="72"/>
  <c r="W42" i="72"/>
  <c r="W41" i="72"/>
  <c r="W40" i="72"/>
  <c r="W39" i="72"/>
  <c r="N39" i="72" s="1"/>
  <c r="V39" i="72"/>
  <c r="K39" i="72"/>
  <c r="J39" i="72"/>
  <c r="P39" i="72" s="1"/>
  <c r="F39" i="72"/>
  <c r="H39" i="72" s="1"/>
  <c r="C39" i="72"/>
  <c r="B39" i="72"/>
  <c r="W38" i="72"/>
  <c r="N38" i="72"/>
  <c r="K38" i="72"/>
  <c r="J38" i="72"/>
  <c r="F38" i="72"/>
  <c r="H38" i="72" s="1"/>
  <c r="C38" i="72"/>
  <c r="M37" i="72"/>
  <c r="W36" i="72"/>
  <c r="H36" i="72"/>
  <c r="W35" i="72"/>
  <c r="H35" i="72"/>
  <c r="W34" i="72"/>
  <c r="H34" i="72"/>
  <c r="W33" i="72"/>
  <c r="H33" i="72"/>
  <c r="W32" i="72"/>
  <c r="H32" i="72"/>
  <c r="W31" i="72"/>
  <c r="W30" i="72"/>
  <c r="N30" i="72" s="1"/>
  <c r="V30" i="72"/>
  <c r="K30" i="72"/>
  <c r="J30" i="72"/>
  <c r="P30" i="72" s="1"/>
  <c r="F30" i="72"/>
  <c r="H30" i="72" s="1"/>
  <c r="B30" i="72"/>
  <c r="W29" i="72"/>
  <c r="N29" i="72" s="1"/>
  <c r="V29" i="72"/>
  <c r="K29" i="72"/>
  <c r="J29" i="72"/>
  <c r="P29" i="72" s="1"/>
  <c r="F29" i="72"/>
  <c r="H29" i="72" s="1"/>
  <c r="B29" i="72"/>
  <c r="W28" i="72"/>
  <c r="N28" i="72" s="1"/>
  <c r="V28" i="72"/>
  <c r="P28" i="72"/>
  <c r="L28" i="72"/>
  <c r="F28" i="72"/>
  <c r="H28" i="72" s="1"/>
  <c r="B28" i="72"/>
  <c r="W27" i="72"/>
  <c r="P27" i="72"/>
  <c r="N27" i="72"/>
  <c r="AB27" i="72" s="1"/>
  <c r="L27" i="72"/>
  <c r="F27" i="72"/>
  <c r="H27" i="72" s="1"/>
  <c r="M26" i="72"/>
  <c r="W25" i="72"/>
  <c r="H25" i="72"/>
  <c r="W24" i="72"/>
  <c r="H24" i="72"/>
  <c r="W23" i="72"/>
  <c r="H23" i="72"/>
  <c r="H22" i="72"/>
  <c r="H21" i="72"/>
  <c r="H20" i="72"/>
  <c r="W19" i="72"/>
  <c r="W18" i="72"/>
  <c r="N18" i="72" s="1"/>
  <c r="V18" i="72"/>
  <c r="K18" i="72"/>
  <c r="J18" i="72"/>
  <c r="P18" i="72" s="1"/>
  <c r="F18" i="72"/>
  <c r="H18" i="72" s="1"/>
  <c r="B18" i="72"/>
  <c r="W17" i="72"/>
  <c r="V17" i="72"/>
  <c r="N17" i="72"/>
  <c r="K17" i="72"/>
  <c r="J17" i="72"/>
  <c r="F17" i="72"/>
  <c r="H17" i="72" s="1"/>
  <c r="W16" i="72"/>
  <c r="N16" i="72"/>
  <c r="O16" i="72" s="1"/>
  <c r="K16" i="72"/>
  <c r="J16" i="72"/>
  <c r="P16" i="72" s="1"/>
  <c r="F16" i="72"/>
  <c r="H16" i="72" s="1"/>
  <c r="M15" i="72"/>
  <c r="W14" i="72"/>
  <c r="H14" i="72"/>
  <c r="W13" i="72"/>
  <c r="H13" i="72"/>
  <c r="W12" i="72"/>
  <c r="H12" i="72"/>
  <c r="W11" i="72"/>
  <c r="H11" i="72"/>
  <c r="W10" i="72"/>
  <c r="H10" i="72"/>
  <c r="W9" i="72"/>
  <c r="H9" i="72"/>
  <c r="W8" i="72"/>
  <c r="W7" i="72"/>
  <c r="N7" i="72" s="1"/>
  <c r="V7" i="72"/>
  <c r="K7" i="72"/>
  <c r="J7" i="72"/>
  <c r="P7" i="72" s="1"/>
  <c r="F7" i="72"/>
  <c r="H7" i="72" s="1"/>
  <c r="B7" i="72"/>
  <c r="W6" i="72"/>
  <c r="N6" i="72" s="1"/>
  <c r="V6" i="72"/>
  <c r="K6" i="72"/>
  <c r="J6" i="72"/>
  <c r="P6" i="72" s="1"/>
  <c r="F6" i="72"/>
  <c r="H6" i="72" s="1"/>
  <c r="B6" i="72"/>
  <c r="W5" i="72"/>
  <c r="N5" i="72" s="1"/>
  <c r="K5" i="72"/>
  <c r="J5" i="72"/>
  <c r="F5" i="72"/>
  <c r="H5" i="72" s="1"/>
  <c r="B5" i="72"/>
  <c r="I2" i="72"/>
  <c r="E1" i="72"/>
  <c r="G3" i="71" s="1"/>
  <c r="W78" i="69"/>
  <c r="H78" i="69"/>
  <c r="W77" i="69"/>
  <c r="H77" i="69"/>
  <c r="W76" i="69"/>
  <c r="H76" i="69"/>
  <c r="W75" i="69"/>
  <c r="H75" i="69"/>
  <c r="W74" i="69"/>
  <c r="H74" i="69"/>
  <c r="W73" i="69"/>
  <c r="H73" i="69"/>
  <c r="W72" i="69"/>
  <c r="H72" i="69"/>
  <c r="W71" i="69"/>
  <c r="H71" i="69"/>
  <c r="AD70" i="69"/>
  <c r="W70" i="69"/>
  <c r="S70" i="69"/>
  <c r="M69" i="69"/>
  <c r="I18" i="68" s="1"/>
  <c r="W68" i="69"/>
  <c r="H68" i="69"/>
  <c r="W67" i="69"/>
  <c r="H67" i="69"/>
  <c r="W66" i="69"/>
  <c r="H66" i="69"/>
  <c r="W65" i="69"/>
  <c r="H65" i="69"/>
  <c r="W64" i="69"/>
  <c r="H64" i="69"/>
  <c r="W63" i="69"/>
  <c r="H63" i="69"/>
  <c r="W62" i="69"/>
  <c r="H62" i="69"/>
  <c r="W61" i="69"/>
  <c r="N61" i="69" s="1"/>
  <c r="O61" i="69" s="1"/>
  <c r="V61" i="69"/>
  <c r="K61" i="69"/>
  <c r="J61" i="69"/>
  <c r="P61" i="69" s="1"/>
  <c r="F61" i="69"/>
  <c r="H61" i="69" s="1"/>
  <c r="B61" i="69"/>
  <c r="W60" i="69"/>
  <c r="V60" i="69"/>
  <c r="N60" i="69"/>
  <c r="K60" i="69"/>
  <c r="J60" i="69"/>
  <c r="P60" i="69" s="1"/>
  <c r="F60" i="69"/>
  <c r="H60" i="69" s="1"/>
  <c r="B60" i="69"/>
  <c r="W59" i="69"/>
  <c r="N59" i="69" s="1"/>
  <c r="K59" i="69"/>
  <c r="J59" i="69"/>
  <c r="F59" i="69"/>
  <c r="H59" i="69" s="1"/>
  <c r="B59" i="69"/>
  <c r="M58" i="69"/>
  <c r="H18" i="68" s="1"/>
  <c r="W57" i="69"/>
  <c r="H57" i="69"/>
  <c r="W56" i="69"/>
  <c r="H56" i="69"/>
  <c r="W55" i="69"/>
  <c r="H55" i="69"/>
  <c r="W54" i="69"/>
  <c r="H54" i="69"/>
  <c r="W53" i="69"/>
  <c r="H53" i="69"/>
  <c r="W52" i="69"/>
  <c r="W51" i="69"/>
  <c r="N51" i="69" s="1"/>
  <c r="V51" i="69"/>
  <c r="K51" i="69"/>
  <c r="J51" i="69"/>
  <c r="P51" i="69" s="1"/>
  <c r="F51" i="69"/>
  <c r="H51" i="69" s="1"/>
  <c r="B51" i="69"/>
  <c r="W50" i="69"/>
  <c r="V50" i="69"/>
  <c r="N50" i="69"/>
  <c r="K50" i="69"/>
  <c r="J50" i="69"/>
  <c r="P50" i="69" s="1"/>
  <c r="F50" i="69"/>
  <c r="H50" i="69" s="1"/>
  <c r="B50" i="69"/>
  <c r="W49" i="69"/>
  <c r="N49" i="69"/>
  <c r="K49" i="69"/>
  <c r="J49" i="69"/>
  <c r="F49" i="69"/>
  <c r="H49" i="69" s="1"/>
  <c r="B49" i="69"/>
  <c r="W48" i="69"/>
  <c r="M48" i="69"/>
  <c r="G18" i="68" s="1"/>
  <c r="W47" i="69"/>
  <c r="H47" i="69"/>
  <c r="W46" i="69"/>
  <c r="H46" i="69"/>
  <c r="W45" i="69"/>
  <c r="H45" i="69"/>
  <c r="W44" i="69"/>
  <c r="H44" i="69"/>
  <c r="W43" i="69"/>
  <c r="H43" i="69"/>
  <c r="W42" i="69"/>
  <c r="W41" i="69"/>
  <c r="W40" i="69"/>
  <c r="N40" i="69" s="1"/>
  <c r="V40" i="69"/>
  <c r="K40" i="69"/>
  <c r="J40" i="69"/>
  <c r="P40" i="69" s="1"/>
  <c r="F40" i="69"/>
  <c r="H40" i="69" s="1"/>
  <c r="B40" i="69"/>
  <c r="W39" i="69"/>
  <c r="N39" i="69" s="1"/>
  <c r="O39" i="69" s="1"/>
  <c r="V39" i="69"/>
  <c r="K39" i="69"/>
  <c r="J39" i="69"/>
  <c r="P39" i="69" s="1"/>
  <c r="F39" i="69"/>
  <c r="H39" i="69" s="1"/>
  <c r="C39" i="69"/>
  <c r="B39" i="69"/>
  <c r="W38" i="69"/>
  <c r="N38" i="69" s="1"/>
  <c r="K38" i="69"/>
  <c r="J38" i="69"/>
  <c r="P38" i="69" s="1"/>
  <c r="F38" i="69"/>
  <c r="H38" i="69" s="1"/>
  <c r="C38" i="69"/>
  <c r="M37" i="69"/>
  <c r="W36" i="69"/>
  <c r="H36" i="69"/>
  <c r="W35" i="69"/>
  <c r="H35" i="69"/>
  <c r="W34" i="69"/>
  <c r="H34" i="69"/>
  <c r="W33" i="69"/>
  <c r="H33" i="69"/>
  <c r="W32" i="69"/>
  <c r="H32" i="69"/>
  <c r="W31" i="69"/>
  <c r="N31" i="69" s="1"/>
  <c r="V31" i="69"/>
  <c r="K31" i="69"/>
  <c r="J31" i="69"/>
  <c r="P31" i="69" s="1"/>
  <c r="F31" i="69"/>
  <c r="H31" i="69" s="1"/>
  <c r="B31" i="69"/>
  <c r="W30" i="69"/>
  <c r="N30" i="69" s="1"/>
  <c r="V30" i="69"/>
  <c r="K30" i="69"/>
  <c r="J30" i="69"/>
  <c r="P30" i="69" s="1"/>
  <c r="F30" i="69"/>
  <c r="H30" i="69" s="1"/>
  <c r="B30" i="69"/>
  <c r="W29" i="69"/>
  <c r="V29" i="69"/>
  <c r="N29" i="69"/>
  <c r="O29" i="69" s="1"/>
  <c r="K29" i="69"/>
  <c r="J29" i="69"/>
  <c r="P29" i="69" s="1"/>
  <c r="F29" i="69"/>
  <c r="H29" i="69" s="1"/>
  <c r="B29" i="69"/>
  <c r="W28" i="69"/>
  <c r="V28" i="69"/>
  <c r="P28" i="69"/>
  <c r="N28" i="69"/>
  <c r="AB28" i="69" s="1"/>
  <c r="L28" i="69"/>
  <c r="F28" i="69"/>
  <c r="H28" i="69" s="1"/>
  <c r="B28" i="69"/>
  <c r="W27" i="69"/>
  <c r="N27" i="69" s="1"/>
  <c r="P27" i="69"/>
  <c r="L27" i="69"/>
  <c r="F27" i="69"/>
  <c r="H27" i="69" s="1"/>
  <c r="M26" i="69"/>
  <c r="E18" i="68" s="1"/>
  <c r="W25" i="69"/>
  <c r="H25" i="69"/>
  <c r="W24" i="69"/>
  <c r="H24" i="69"/>
  <c r="W23" i="69"/>
  <c r="H23" i="69"/>
  <c r="H22" i="69"/>
  <c r="H21" i="69"/>
  <c r="H20" i="69"/>
  <c r="W19" i="69"/>
  <c r="W18" i="69"/>
  <c r="V18" i="69"/>
  <c r="N18" i="69"/>
  <c r="K18" i="69"/>
  <c r="J18" i="69"/>
  <c r="F18" i="69"/>
  <c r="H18" i="69" s="1"/>
  <c r="B18" i="69"/>
  <c r="W17" i="69"/>
  <c r="N17" i="69" s="1"/>
  <c r="O17" i="69" s="1"/>
  <c r="V17" i="69"/>
  <c r="K17" i="69"/>
  <c r="J17" i="69"/>
  <c r="P17" i="69" s="1"/>
  <c r="F17" i="69"/>
  <c r="H17" i="69" s="1"/>
  <c r="W16" i="69"/>
  <c r="N16" i="69" s="1"/>
  <c r="K16" i="69"/>
  <c r="J16" i="69"/>
  <c r="P16" i="69" s="1"/>
  <c r="F16" i="69"/>
  <c r="H16" i="69" s="1"/>
  <c r="M15" i="69"/>
  <c r="W14" i="69"/>
  <c r="H14" i="69"/>
  <c r="W13" i="69"/>
  <c r="H13" i="69"/>
  <c r="W12" i="69"/>
  <c r="H12" i="69"/>
  <c r="W11" i="69"/>
  <c r="H11" i="69"/>
  <c r="W10" i="69"/>
  <c r="H10" i="69"/>
  <c r="W9" i="69"/>
  <c r="H9" i="69"/>
  <c r="W8" i="69"/>
  <c r="W7" i="69"/>
  <c r="V7" i="69"/>
  <c r="N7" i="69"/>
  <c r="O7" i="69" s="1"/>
  <c r="K7" i="69"/>
  <c r="J7" i="69"/>
  <c r="P7" i="69" s="1"/>
  <c r="F7" i="69"/>
  <c r="H7" i="69" s="1"/>
  <c r="B7" i="69"/>
  <c r="W6" i="69"/>
  <c r="V6" i="69"/>
  <c r="N6" i="69"/>
  <c r="K6" i="69"/>
  <c r="J6" i="69"/>
  <c r="P6" i="69" s="1"/>
  <c r="F6" i="69"/>
  <c r="H6" i="69" s="1"/>
  <c r="B6" i="69"/>
  <c r="W5" i="69"/>
  <c r="N5" i="69" s="1"/>
  <c r="K5" i="69"/>
  <c r="J5" i="69"/>
  <c r="P5" i="69" s="1"/>
  <c r="F5" i="69"/>
  <c r="H5" i="69" s="1"/>
  <c r="B5" i="69"/>
  <c r="I2" i="69"/>
  <c r="E1" i="69"/>
  <c r="K5" i="67"/>
  <c r="K6" i="67"/>
  <c r="K7" i="67"/>
  <c r="K8" i="67"/>
  <c r="K16" i="67"/>
  <c r="K17" i="67"/>
  <c r="K18" i="67"/>
  <c r="K19" i="67"/>
  <c r="K29" i="67"/>
  <c r="K30" i="67"/>
  <c r="K31" i="67"/>
  <c r="K38" i="67"/>
  <c r="K39" i="67"/>
  <c r="K40" i="67"/>
  <c r="K41" i="67"/>
  <c r="K42" i="67"/>
  <c r="K49" i="67"/>
  <c r="K50" i="67"/>
  <c r="K51" i="67"/>
  <c r="K52" i="67"/>
  <c r="F42" i="67"/>
  <c r="H42" i="67" s="1"/>
  <c r="J42" i="67"/>
  <c r="P42" i="67" s="1"/>
  <c r="B41" i="67"/>
  <c r="B42" i="67"/>
  <c r="E16" i="66"/>
  <c r="N16" i="67"/>
  <c r="W78" i="67"/>
  <c r="H78" i="67"/>
  <c r="W77" i="67"/>
  <c r="H77" i="67"/>
  <c r="W76" i="67"/>
  <c r="H76" i="67"/>
  <c r="W75" i="67"/>
  <c r="H75" i="67"/>
  <c r="W74" i="67"/>
  <c r="H74" i="67"/>
  <c r="W73" i="67"/>
  <c r="H73" i="67"/>
  <c r="W72" i="67"/>
  <c r="H72" i="67"/>
  <c r="W71" i="67"/>
  <c r="H71" i="67"/>
  <c r="W70" i="67"/>
  <c r="M69" i="67"/>
  <c r="W68" i="67"/>
  <c r="H68" i="67"/>
  <c r="W67" i="67"/>
  <c r="H67" i="67"/>
  <c r="W66" i="67"/>
  <c r="H66" i="67"/>
  <c r="W65" i="67"/>
  <c r="H65" i="67"/>
  <c r="W64" i="67"/>
  <c r="H64" i="67"/>
  <c r="W63" i="67"/>
  <c r="H63" i="67"/>
  <c r="AC62" i="67"/>
  <c r="AB62" i="67"/>
  <c r="W62" i="67"/>
  <c r="H62" i="67"/>
  <c r="W61" i="67"/>
  <c r="V61" i="67"/>
  <c r="N61" i="67"/>
  <c r="O61" i="67" s="1"/>
  <c r="K61" i="67"/>
  <c r="AB61" i="67" s="1"/>
  <c r="J61" i="67"/>
  <c r="P61" i="67" s="1"/>
  <c r="F61" i="67"/>
  <c r="H61" i="67" s="1"/>
  <c r="B61" i="67"/>
  <c r="W60" i="67"/>
  <c r="N60" i="67" s="1"/>
  <c r="O60" i="67" s="1"/>
  <c r="V60" i="67"/>
  <c r="K60" i="67"/>
  <c r="J60" i="67"/>
  <c r="P60" i="67" s="1"/>
  <c r="F60" i="67"/>
  <c r="H60" i="67" s="1"/>
  <c r="B60" i="67"/>
  <c r="W59" i="67"/>
  <c r="N59" i="67" s="1"/>
  <c r="K59" i="67"/>
  <c r="J59" i="67"/>
  <c r="F59" i="67"/>
  <c r="H59" i="67" s="1"/>
  <c r="B59" i="67"/>
  <c r="M58" i="67"/>
  <c r="W57" i="67"/>
  <c r="H57" i="67"/>
  <c r="W56" i="67"/>
  <c r="H56" i="67"/>
  <c r="W55" i="67"/>
  <c r="H55" i="67"/>
  <c r="W54" i="67"/>
  <c r="H54" i="67"/>
  <c r="W53" i="67"/>
  <c r="H53" i="67"/>
  <c r="W52" i="67"/>
  <c r="N52" i="67" s="1"/>
  <c r="V52" i="67"/>
  <c r="J52" i="67"/>
  <c r="F52" i="67"/>
  <c r="H52" i="67" s="1"/>
  <c r="B52" i="67"/>
  <c r="W51" i="67"/>
  <c r="N51" i="67" s="1"/>
  <c r="V51" i="67"/>
  <c r="J51" i="67"/>
  <c r="P51" i="67" s="1"/>
  <c r="F51" i="67"/>
  <c r="H51" i="67" s="1"/>
  <c r="B51" i="67"/>
  <c r="W50" i="67"/>
  <c r="V50" i="67"/>
  <c r="N50" i="67"/>
  <c r="J50" i="67"/>
  <c r="P50" i="67" s="1"/>
  <c r="F50" i="67"/>
  <c r="H50" i="67" s="1"/>
  <c r="B50" i="67"/>
  <c r="W49" i="67"/>
  <c r="N49" i="67" s="1"/>
  <c r="J49" i="67"/>
  <c r="P49" i="67" s="1"/>
  <c r="F49" i="67"/>
  <c r="H49" i="67" s="1"/>
  <c r="B49" i="67"/>
  <c r="W48" i="67"/>
  <c r="M48" i="67"/>
  <c r="G18" i="66" s="1"/>
  <c r="W47" i="67"/>
  <c r="H47" i="67"/>
  <c r="W46" i="67"/>
  <c r="H46" i="67"/>
  <c r="W45" i="67"/>
  <c r="H45" i="67"/>
  <c r="W44" i="67"/>
  <c r="H44" i="67"/>
  <c r="W43" i="67"/>
  <c r="H43" i="67"/>
  <c r="W42" i="67"/>
  <c r="N42" i="67" s="1"/>
  <c r="O42" i="67" s="1"/>
  <c r="W41" i="67"/>
  <c r="N41" i="67" s="1"/>
  <c r="V41" i="67"/>
  <c r="J41" i="67"/>
  <c r="P41" i="67" s="1"/>
  <c r="F41" i="67"/>
  <c r="H41" i="67" s="1"/>
  <c r="W40" i="67"/>
  <c r="N40" i="67" s="1"/>
  <c r="V40" i="67"/>
  <c r="J40" i="67"/>
  <c r="P40" i="67" s="1"/>
  <c r="F40" i="67"/>
  <c r="H40" i="67" s="1"/>
  <c r="B40" i="67"/>
  <c r="W39" i="67"/>
  <c r="N39" i="67" s="1"/>
  <c r="V39" i="67"/>
  <c r="J39" i="67"/>
  <c r="P39" i="67" s="1"/>
  <c r="F39" i="67"/>
  <c r="H39" i="67" s="1"/>
  <c r="C39" i="67"/>
  <c r="B39" i="67"/>
  <c r="W38" i="67"/>
  <c r="N38" i="67" s="1"/>
  <c r="J38" i="67"/>
  <c r="P38" i="67" s="1"/>
  <c r="F38" i="67"/>
  <c r="H38" i="67" s="1"/>
  <c r="C38" i="67"/>
  <c r="M37" i="67"/>
  <c r="F18" i="66" s="1"/>
  <c r="W36" i="67"/>
  <c r="H36" i="67"/>
  <c r="W35" i="67"/>
  <c r="H35" i="67"/>
  <c r="W34" i="67"/>
  <c r="H34" i="67"/>
  <c r="W33" i="67"/>
  <c r="H33" i="67"/>
  <c r="W32" i="67"/>
  <c r="H32" i="67"/>
  <c r="W31" i="67"/>
  <c r="N31" i="67" s="1"/>
  <c r="V31" i="67"/>
  <c r="J31" i="67"/>
  <c r="P31" i="67" s="1"/>
  <c r="F31" i="67"/>
  <c r="H31" i="67" s="1"/>
  <c r="B31" i="67"/>
  <c r="W30" i="67"/>
  <c r="N30" i="67" s="1"/>
  <c r="V30" i="67"/>
  <c r="J30" i="67"/>
  <c r="P30" i="67" s="1"/>
  <c r="F30" i="67"/>
  <c r="H30" i="67" s="1"/>
  <c r="B30" i="67"/>
  <c r="W29" i="67"/>
  <c r="N29" i="67" s="1"/>
  <c r="O29" i="67" s="1"/>
  <c r="V29" i="67"/>
  <c r="J29" i="67"/>
  <c r="P29" i="67" s="1"/>
  <c r="F29" i="67"/>
  <c r="H29" i="67" s="1"/>
  <c r="B29" i="67"/>
  <c r="W28" i="67"/>
  <c r="N28" i="67" s="1"/>
  <c r="AC28" i="67" s="1"/>
  <c r="V28" i="67"/>
  <c r="P28" i="67"/>
  <c r="L28" i="67"/>
  <c r="F28" i="67"/>
  <c r="H28" i="67" s="1"/>
  <c r="B28" i="67"/>
  <c r="W27" i="67"/>
  <c r="P27" i="67"/>
  <c r="N27" i="67"/>
  <c r="L27" i="67"/>
  <c r="F27" i="67"/>
  <c r="H27" i="67" s="1"/>
  <c r="M26" i="67"/>
  <c r="W25" i="67"/>
  <c r="H25" i="67"/>
  <c r="W24" i="67"/>
  <c r="H24" i="67"/>
  <c r="W23" i="67"/>
  <c r="H23" i="67"/>
  <c r="H22" i="67"/>
  <c r="H21" i="67"/>
  <c r="H20" i="67"/>
  <c r="W19" i="67"/>
  <c r="V19" i="67"/>
  <c r="N19" i="67"/>
  <c r="J19" i="67"/>
  <c r="P19" i="67" s="1"/>
  <c r="F19" i="67"/>
  <c r="H19" i="67" s="1"/>
  <c r="B19" i="67"/>
  <c r="W18" i="67"/>
  <c r="V18" i="67"/>
  <c r="N18" i="67"/>
  <c r="J18" i="67"/>
  <c r="P18" i="67" s="1"/>
  <c r="F18" i="67"/>
  <c r="H18" i="67" s="1"/>
  <c r="B18" i="67"/>
  <c r="W17" i="67"/>
  <c r="N17" i="67" s="1"/>
  <c r="V17" i="67"/>
  <c r="J17" i="67"/>
  <c r="P17" i="67" s="1"/>
  <c r="F17" i="67"/>
  <c r="H17" i="67" s="1"/>
  <c r="W16" i="67"/>
  <c r="J16" i="67"/>
  <c r="P16" i="67" s="1"/>
  <c r="F16" i="67"/>
  <c r="H16" i="67" s="1"/>
  <c r="M15" i="67"/>
  <c r="D18" i="66" s="1"/>
  <c r="W14" i="67"/>
  <c r="H14" i="67"/>
  <c r="W13" i="67"/>
  <c r="H13" i="67"/>
  <c r="W12" i="67"/>
  <c r="H12" i="67"/>
  <c r="W11" i="67"/>
  <c r="H11" i="67"/>
  <c r="W10" i="67"/>
  <c r="H10" i="67"/>
  <c r="W9" i="67"/>
  <c r="H9" i="67"/>
  <c r="W8" i="67"/>
  <c r="N8" i="67" s="1"/>
  <c r="O8" i="67" s="1"/>
  <c r="V8" i="67"/>
  <c r="J8" i="67"/>
  <c r="P8" i="67" s="1"/>
  <c r="F8" i="67"/>
  <c r="H8" i="67" s="1"/>
  <c r="B8" i="67"/>
  <c r="W7" i="67"/>
  <c r="V7" i="67"/>
  <c r="N7" i="67"/>
  <c r="O7" i="67" s="1"/>
  <c r="J7" i="67"/>
  <c r="P7" i="67" s="1"/>
  <c r="F7" i="67"/>
  <c r="H7" i="67" s="1"/>
  <c r="B7" i="67"/>
  <c r="W6" i="67"/>
  <c r="N6" i="67" s="1"/>
  <c r="V6" i="67"/>
  <c r="J6" i="67"/>
  <c r="P6" i="67" s="1"/>
  <c r="F6" i="67"/>
  <c r="H6" i="67" s="1"/>
  <c r="B6" i="67"/>
  <c r="W5" i="67"/>
  <c r="N5" i="67" s="1"/>
  <c r="J5" i="67"/>
  <c r="P5" i="67" s="1"/>
  <c r="F5" i="67"/>
  <c r="H5" i="67" s="1"/>
  <c r="B5" i="67"/>
  <c r="I2" i="67"/>
  <c r="E1" i="67"/>
  <c r="G3" i="66" s="1"/>
  <c r="I18" i="66"/>
  <c r="H18" i="66"/>
  <c r="I16" i="66"/>
  <c r="H16" i="66"/>
  <c r="G16" i="66"/>
  <c r="F16" i="66"/>
  <c r="D16" i="66"/>
  <c r="J16" i="64"/>
  <c r="I16" i="64"/>
  <c r="H16" i="64"/>
  <c r="G16" i="64"/>
  <c r="F16" i="64"/>
  <c r="E16" i="64"/>
  <c r="D16" i="64"/>
  <c r="L51" i="72" l="1"/>
  <c r="L59" i="67"/>
  <c r="K15" i="67"/>
  <c r="AB39" i="67"/>
  <c r="AB6" i="67"/>
  <c r="L48" i="74"/>
  <c r="G13" i="73" s="1"/>
  <c r="K37" i="67"/>
  <c r="L50" i="67"/>
  <c r="L18" i="69"/>
  <c r="J58" i="72"/>
  <c r="P58" i="72" s="1"/>
  <c r="L7" i="67"/>
  <c r="R7" i="67" s="1"/>
  <c r="R58" i="76"/>
  <c r="S49" i="76" s="1"/>
  <c r="L42" i="67"/>
  <c r="Q42" i="67" s="1"/>
  <c r="L40" i="67"/>
  <c r="AB50" i="69"/>
  <c r="L61" i="69"/>
  <c r="R61" i="69" s="1"/>
  <c r="L31" i="67"/>
  <c r="L6" i="69"/>
  <c r="L16" i="72"/>
  <c r="R16" i="72" s="1"/>
  <c r="AB6" i="69"/>
  <c r="L58" i="74"/>
  <c r="H13" i="73" s="1"/>
  <c r="Q7" i="74"/>
  <c r="R30" i="74"/>
  <c r="Q15" i="76"/>
  <c r="L19" i="67"/>
  <c r="AB5" i="72"/>
  <c r="J26" i="72"/>
  <c r="P26" i="72" s="1"/>
  <c r="K37" i="72"/>
  <c r="AC50" i="67"/>
  <c r="K26" i="67"/>
  <c r="L50" i="69"/>
  <c r="L6" i="72"/>
  <c r="L15" i="74"/>
  <c r="D13" i="73" s="1"/>
  <c r="J58" i="69"/>
  <c r="P58" i="69" s="1"/>
  <c r="AB60" i="72"/>
  <c r="H6" i="75"/>
  <c r="L7" i="72"/>
  <c r="L50" i="72"/>
  <c r="L37" i="74"/>
  <c r="F13" i="73" s="1"/>
  <c r="L18" i="67"/>
  <c r="L40" i="69"/>
  <c r="K26" i="72"/>
  <c r="F15" i="75"/>
  <c r="H14" i="75"/>
  <c r="H15" i="75" s="1"/>
  <c r="R37" i="76"/>
  <c r="S27" i="76" s="1"/>
  <c r="P59" i="67"/>
  <c r="L5" i="69"/>
  <c r="L61" i="72"/>
  <c r="K58" i="72"/>
  <c r="AC49" i="72"/>
  <c r="P18" i="69"/>
  <c r="L49" i="69"/>
  <c r="Q49" i="69" s="1"/>
  <c r="AB5" i="69"/>
  <c r="L60" i="69"/>
  <c r="P49" i="69"/>
  <c r="L7" i="69"/>
  <c r="R7" i="69" s="1"/>
  <c r="L17" i="69"/>
  <c r="Q17" i="69" s="1"/>
  <c r="J15" i="72"/>
  <c r="P15" i="72" s="1"/>
  <c r="L5" i="67"/>
  <c r="K15" i="72"/>
  <c r="L18" i="72"/>
  <c r="L39" i="72"/>
  <c r="L62" i="72"/>
  <c r="R62" i="72" s="1"/>
  <c r="AC38" i="72"/>
  <c r="L59" i="72"/>
  <c r="L51" i="69"/>
  <c r="R51" i="69" s="1"/>
  <c r="AC18" i="67"/>
  <c r="AC30" i="72"/>
  <c r="P51" i="72"/>
  <c r="R15" i="76"/>
  <c r="S5" i="76" s="1"/>
  <c r="L30" i="67"/>
  <c r="L8" i="67"/>
  <c r="Q8" i="67" s="1"/>
  <c r="L30" i="72"/>
  <c r="K37" i="69"/>
  <c r="L31" i="69"/>
  <c r="AC18" i="69"/>
  <c r="AB17" i="72"/>
  <c r="L16" i="69"/>
  <c r="L49" i="67"/>
  <c r="L38" i="67"/>
  <c r="L30" i="69"/>
  <c r="AC49" i="69"/>
  <c r="L59" i="69"/>
  <c r="Q26" i="76"/>
  <c r="R26" i="76"/>
  <c r="S16" i="76" s="1"/>
  <c r="E14" i="75"/>
  <c r="E15" i="75" s="1"/>
  <c r="D15" i="75"/>
  <c r="E2" i="76"/>
  <c r="F6" i="75"/>
  <c r="I14" i="75"/>
  <c r="R69" i="76"/>
  <c r="S59" i="76" s="1"/>
  <c r="G14" i="75"/>
  <c r="G15" i="75" s="1"/>
  <c r="R48" i="76"/>
  <c r="S38" i="76" s="1"/>
  <c r="AC69" i="74"/>
  <c r="AD59" i="74" s="1"/>
  <c r="Q59" i="74"/>
  <c r="R61" i="74"/>
  <c r="G2" i="74"/>
  <c r="AC15" i="74"/>
  <c r="AD5" i="74" s="1"/>
  <c r="AB15" i="74"/>
  <c r="L26" i="74"/>
  <c r="E13" i="73" s="1"/>
  <c r="AC48" i="74"/>
  <c r="AD38" i="74" s="1"/>
  <c r="AB48" i="74"/>
  <c r="Q48" i="74"/>
  <c r="R6" i="74"/>
  <c r="Q6" i="74"/>
  <c r="R60" i="74"/>
  <c r="Q60" i="74"/>
  <c r="R50" i="74"/>
  <c r="Q50" i="74"/>
  <c r="R51" i="74"/>
  <c r="Q51" i="74"/>
  <c r="Q29" i="74"/>
  <c r="Q61" i="74"/>
  <c r="O69" i="74"/>
  <c r="R29" i="74"/>
  <c r="O48" i="74"/>
  <c r="Q38" i="74"/>
  <c r="R38" i="74"/>
  <c r="R17" i="74"/>
  <c r="Q17" i="74"/>
  <c r="Q69" i="74"/>
  <c r="Q37" i="74"/>
  <c r="AC37" i="74"/>
  <c r="AD27" i="74" s="1"/>
  <c r="AB37" i="74"/>
  <c r="AC58" i="74"/>
  <c r="AD49" i="74" s="1"/>
  <c r="Q58" i="74"/>
  <c r="AB58" i="74"/>
  <c r="Q18" i="74"/>
  <c r="R5" i="74"/>
  <c r="Q5" i="74"/>
  <c r="O15" i="74"/>
  <c r="R49" i="74"/>
  <c r="Q49" i="74"/>
  <c r="O58" i="74"/>
  <c r="AC26" i="74"/>
  <c r="AD16" i="74" s="1"/>
  <c r="AB26" i="74"/>
  <c r="L69" i="74"/>
  <c r="I13" i="73" s="1"/>
  <c r="J6" i="73" s="1"/>
  <c r="R59" i="74"/>
  <c r="O37" i="74"/>
  <c r="R27" i="74"/>
  <c r="Q27" i="74"/>
  <c r="Q39" i="74"/>
  <c r="R39" i="74"/>
  <c r="AB69" i="74"/>
  <c r="O26" i="74"/>
  <c r="R16" i="74"/>
  <c r="Q16" i="74"/>
  <c r="Q28" i="74"/>
  <c r="R28" i="74"/>
  <c r="AC60" i="72"/>
  <c r="J69" i="72"/>
  <c r="P69" i="72" s="1"/>
  <c r="K69" i="72"/>
  <c r="J48" i="72"/>
  <c r="P48" i="72" s="1"/>
  <c r="K48" i="72"/>
  <c r="I1" i="72"/>
  <c r="AC27" i="72"/>
  <c r="AC17" i="72"/>
  <c r="AC5" i="72"/>
  <c r="G1" i="72"/>
  <c r="O6" i="72"/>
  <c r="AC6" i="72"/>
  <c r="AB6" i="72"/>
  <c r="N15" i="72"/>
  <c r="O29" i="72"/>
  <c r="AC29" i="72"/>
  <c r="AB29" i="72"/>
  <c r="AC61" i="72"/>
  <c r="O61" i="72"/>
  <c r="AB61" i="72"/>
  <c r="AC51" i="72"/>
  <c r="AB51" i="72"/>
  <c r="O51" i="72"/>
  <c r="O28" i="72"/>
  <c r="N37" i="72"/>
  <c r="AB28" i="72"/>
  <c r="AC28" i="72"/>
  <c r="O18" i="72"/>
  <c r="AC18" i="72"/>
  <c r="AB18" i="72"/>
  <c r="O50" i="72"/>
  <c r="AB50" i="72"/>
  <c r="AC50" i="72"/>
  <c r="N58" i="72"/>
  <c r="AB39" i="72"/>
  <c r="O39" i="72"/>
  <c r="AC39" i="72"/>
  <c r="N48" i="72"/>
  <c r="AC7" i="72"/>
  <c r="O7" i="72"/>
  <c r="AB7" i="72"/>
  <c r="N69" i="72"/>
  <c r="L17" i="72"/>
  <c r="L60" i="72"/>
  <c r="O17" i="72"/>
  <c r="L38" i="72"/>
  <c r="L49" i="72"/>
  <c r="O38" i="72"/>
  <c r="O5" i="72"/>
  <c r="O27" i="72"/>
  <c r="P38" i="72"/>
  <c r="O49" i="72"/>
  <c r="O60" i="72"/>
  <c r="P5" i="72"/>
  <c r="P17" i="72"/>
  <c r="N26" i="72"/>
  <c r="P49" i="72"/>
  <c r="O30" i="72"/>
  <c r="O59" i="72"/>
  <c r="L5" i="72"/>
  <c r="AB30" i="72"/>
  <c r="AB59" i="72"/>
  <c r="L29" i="72"/>
  <c r="AC59" i="72"/>
  <c r="AC16" i="72"/>
  <c r="AB16" i="72"/>
  <c r="J37" i="72"/>
  <c r="P37" i="72" s="1"/>
  <c r="AB38" i="72"/>
  <c r="AB49" i="72"/>
  <c r="AC61" i="69"/>
  <c r="K69" i="69"/>
  <c r="AC60" i="69"/>
  <c r="O51" i="69"/>
  <c r="AC51" i="69"/>
  <c r="AB51" i="69"/>
  <c r="O49" i="69"/>
  <c r="AB49" i="69"/>
  <c r="AB41" i="69"/>
  <c r="J48" i="69"/>
  <c r="P48" i="69" s="1"/>
  <c r="K48" i="69"/>
  <c r="AC29" i="69"/>
  <c r="AB17" i="69"/>
  <c r="AC17" i="69"/>
  <c r="AC5" i="69"/>
  <c r="AC7" i="69"/>
  <c r="N15" i="69"/>
  <c r="G1" i="69"/>
  <c r="O30" i="69"/>
  <c r="AC30" i="69"/>
  <c r="AB30" i="69"/>
  <c r="N48" i="69"/>
  <c r="AC38" i="69"/>
  <c r="AB38" i="69"/>
  <c r="O38" i="69"/>
  <c r="AC27" i="69"/>
  <c r="O27" i="69"/>
  <c r="AB27" i="69"/>
  <c r="N37" i="69"/>
  <c r="AB40" i="69"/>
  <c r="AC40" i="69"/>
  <c r="O40" i="69"/>
  <c r="AC31" i="69"/>
  <c r="AB31" i="69"/>
  <c r="O31" i="69"/>
  <c r="O59" i="69"/>
  <c r="N69" i="69"/>
  <c r="AC59" i="69"/>
  <c r="AB59" i="69"/>
  <c r="AB16" i="69"/>
  <c r="N26" i="69"/>
  <c r="AC16" i="69"/>
  <c r="O16" i="69"/>
  <c r="O18" i="69"/>
  <c r="O60" i="69"/>
  <c r="AC6" i="69"/>
  <c r="AC28" i="69"/>
  <c r="O5" i="69"/>
  <c r="K26" i="69"/>
  <c r="AB39" i="69"/>
  <c r="AC50" i="69"/>
  <c r="P59" i="69"/>
  <c r="AB61" i="69"/>
  <c r="AB18" i="69"/>
  <c r="J26" i="69"/>
  <c r="P26" i="69" s="1"/>
  <c r="L38" i="69"/>
  <c r="I1" i="69"/>
  <c r="AB7" i="69"/>
  <c r="AB29" i="69"/>
  <c r="AC39" i="69"/>
  <c r="O6" i="69"/>
  <c r="J15" i="69"/>
  <c r="P15" i="69" s="1"/>
  <c r="O28" i="69"/>
  <c r="L39" i="69"/>
  <c r="Q39" i="69" s="1"/>
  <c r="K15" i="69"/>
  <c r="L29" i="69"/>
  <c r="R29" i="69" s="1"/>
  <c r="O50" i="69"/>
  <c r="O58" i="69" s="1"/>
  <c r="K58" i="69"/>
  <c r="J69" i="69"/>
  <c r="P69" i="69" s="1"/>
  <c r="J37" i="69"/>
  <c r="P37" i="69" s="1"/>
  <c r="AC41" i="69"/>
  <c r="AB60" i="69"/>
  <c r="N58" i="69"/>
  <c r="N58" i="67"/>
  <c r="AB19" i="67"/>
  <c r="L17" i="67"/>
  <c r="L52" i="67"/>
  <c r="AB50" i="67"/>
  <c r="I1" i="67"/>
  <c r="L61" i="67"/>
  <c r="R61" i="67" s="1"/>
  <c r="AC61" i="67"/>
  <c r="L60" i="67"/>
  <c r="Q60" i="67" s="1"/>
  <c r="P52" i="67"/>
  <c r="L51" i="67"/>
  <c r="AC19" i="67"/>
  <c r="AB7" i="67"/>
  <c r="AC7" i="67"/>
  <c r="AB29" i="67"/>
  <c r="AC29" i="67"/>
  <c r="AC39" i="67"/>
  <c r="K48" i="67"/>
  <c r="L41" i="67"/>
  <c r="J48" i="67"/>
  <c r="P48" i="67" s="1"/>
  <c r="AC40" i="67"/>
  <c r="AB40" i="67"/>
  <c r="O40" i="67"/>
  <c r="O17" i="67"/>
  <c r="AC17" i="67"/>
  <c r="AB17" i="67"/>
  <c r="O52" i="67"/>
  <c r="AC52" i="67"/>
  <c r="AB52" i="67"/>
  <c r="O16" i="67"/>
  <c r="AC16" i="67"/>
  <c r="N26" i="67"/>
  <c r="AB16" i="67"/>
  <c r="O5" i="67"/>
  <c r="N15" i="67"/>
  <c r="AC5" i="67"/>
  <c r="AB5" i="67"/>
  <c r="N37" i="67"/>
  <c r="G1" i="67"/>
  <c r="O41" i="67"/>
  <c r="AB41" i="67"/>
  <c r="AC41" i="67"/>
  <c r="O51" i="67"/>
  <c r="AC51" i="67"/>
  <c r="AB51" i="67"/>
  <c r="O59" i="67"/>
  <c r="N69" i="67"/>
  <c r="AC59" i="67"/>
  <c r="AB59" i="67"/>
  <c r="N48" i="67"/>
  <c r="AC38" i="67"/>
  <c r="O38" i="67"/>
  <c r="AB38" i="67"/>
  <c r="AC31" i="67"/>
  <c r="O31" i="67"/>
  <c r="AB31" i="67"/>
  <c r="AC30" i="67"/>
  <c r="O30" i="67"/>
  <c r="AB30" i="67"/>
  <c r="E18" i="66"/>
  <c r="O19" i="67"/>
  <c r="O39" i="67"/>
  <c r="O50" i="67"/>
  <c r="J58" i="67"/>
  <c r="P58" i="67" s="1"/>
  <c r="O49" i="67"/>
  <c r="O18" i="67"/>
  <c r="O6" i="67"/>
  <c r="O28" i="67"/>
  <c r="L29" i="67"/>
  <c r="L16" i="67"/>
  <c r="J37" i="67"/>
  <c r="P37" i="67" s="1"/>
  <c r="K58" i="67"/>
  <c r="J69" i="67"/>
  <c r="P69" i="67" s="1"/>
  <c r="L39" i="67"/>
  <c r="AB49" i="67"/>
  <c r="K69" i="67"/>
  <c r="AB18" i="67"/>
  <c r="AC27" i="67"/>
  <c r="AC49" i="67"/>
  <c r="O27" i="67"/>
  <c r="J15" i="67"/>
  <c r="P15" i="67" s="1"/>
  <c r="AB27" i="67"/>
  <c r="AB28" i="67"/>
  <c r="AB60" i="67"/>
  <c r="AC6" i="67"/>
  <c r="J26" i="67"/>
  <c r="P26" i="67" s="1"/>
  <c r="AC60" i="67"/>
  <c r="L6" i="67"/>
  <c r="G2" i="69" l="1"/>
  <c r="J3" i="68"/>
  <c r="Q16" i="72"/>
  <c r="Q7" i="67"/>
  <c r="L58" i="72"/>
  <c r="H13" i="71" s="1"/>
  <c r="R42" i="67"/>
  <c r="Q61" i="69"/>
  <c r="L26" i="69"/>
  <c r="E13" i="68" s="1"/>
  <c r="Q61" i="67"/>
  <c r="L15" i="69"/>
  <c r="D13" i="68" s="1"/>
  <c r="D15" i="68" s="1"/>
  <c r="L26" i="67"/>
  <c r="E13" i="66" s="1"/>
  <c r="L15" i="72"/>
  <c r="D13" i="71" s="1"/>
  <c r="D15" i="71" s="1"/>
  <c r="L58" i="67"/>
  <c r="H13" i="66" s="1"/>
  <c r="L69" i="69"/>
  <c r="I13" i="68" s="1"/>
  <c r="J6" i="68" s="1"/>
  <c r="R8" i="67"/>
  <c r="L15" i="67"/>
  <c r="D13" i="66" s="1"/>
  <c r="Q7" i="69"/>
  <c r="R17" i="69"/>
  <c r="L37" i="67"/>
  <c r="F13" i="66" s="1"/>
  <c r="F6" i="73"/>
  <c r="L48" i="67"/>
  <c r="G13" i="66" s="1"/>
  <c r="R60" i="67"/>
  <c r="L37" i="72"/>
  <c r="F13" i="71" s="1"/>
  <c r="Q62" i="72"/>
  <c r="L48" i="72"/>
  <c r="G13" i="71" s="1"/>
  <c r="G15" i="71" s="1"/>
  <c r="L58" i="69"/>
  <c r="H13" i="68" s="1"/>
  <c r="Q51" i="69"/>
  <c r="L69" i="72"/>
  <c r="I13" i="71" s="1"/>
  <c r="J6" i="71" s="1"/>
  <c r="L69" i="67"/>
  <c r="I13" i="66" s="1"/>
  <c r="J6" i="66" s="1"/>
  <c r="H6" i="73"/>
  <c r="L26" i="72"/>
  <c r="E13" i="71" s="1"/>
  <c r="R49" i="69"/>
  <c r="J7" i="75"/>
  <c r="I15" i="75"/>
  <c r="J8" i="75" s="1"/>
  <c r="F7" i="75"/>
  <c r="H7" i="75"/>
  <c r="H8" i="75"/>
  <c r="Q26" i="74"/>
  <c r="E14" i="73"/>
  <c r="E15" i="73" s="1"/>
  <c r="R26" i="74"/>
  <c r="S16" i="74" s="1"/>
  <c r="E2" i="74"/>
  <c r="D14" i="73"/>
  <c r="R15" i="74"/>
  <c r="S5" i="74" s="1"/>
  <c r="Q15" i="74"/>
  <c r="R48" i="74"/>
  <c r="S38" i="74" s="1"/>
  <c r="G14" i="73"/>
  <c r="G15" i="73" s="1"/>
  <c r="F14" i="73"/>
  <c r="F15" i="73" s="1"/>
  <c r="R37" i="74"/>
  <c r="S27" i="74" s="1"/>
  <c r="I14" i="73"/>
  <c r="R69" i="74"/>
  <c r="S59" i="74" s="1"/>
  <c r="R58" i="74"/>
  <c r="S49" i="74" s="1"/>
  <c r="H14" i="73"/>
  <c r="H15" i="73" s="1"/>
  <c r="G2" i="72"/>
  <c r="J3" i="71"/>
  <c r="H14" i="68"/>
  <c r="AC37" i="72"/>
  <c r="AD27" i="72" s="1"/>
  <c r="AB37" i="72"/>
  <c r="Q37" i="72"/>
  <c r="Q39" i="72"/>
  <c r="R39" i="72"/>
  <c r="Q17" i="72"/>
  <c r="R17" i="72"/>
  <c r="R60" i="72"/>
  <c r="Q60" i="72"/>
  <c r="R28" i="72"/>
  <c r="Q28" i="72"/>
  <c r="AB26" i="72"/>
  <c r="AC26" i="72"/>
  <c r="AD16" i="72" s="1"/>
  <c r="R49" i="72"/>
  <c r="Q49" i="72"/>
  <c r="O58" i="72"/>
  <c r="AB69" i="72"/>
  <c r="Q69" i="72"/>
  <c r="AC69" i="72"/>
  <c r="AD59" i="72" s="1"/>
  <c r="Q50" i="72"/>
  <c r="R50" i="72"/>
  <c r="R29" i="72"/>
  <c r="Q29" i="72"/>
  <c r="AC15" i="72"/>
  <c r="AD5" i="72" s="1"/>
  <c r="AB15" i="72"/>
  <c r="R7" i="72"/>
  <c r="Q7" i="72"/>
  <c r="R5" i="72"/>
  <c r="Q5" i="72"/>
  <c r="O15" i="72"/>
  <c r="R18" i="72"/>
  <c r="Q18" i="72"/>
  <c r="R38" i="72"/>
  <c r="Q38" i="72"/>
  <c r="O48" i="72"/>
  <c r="Q6" i="72"/>
  <c r="R6" i="72"/>
  <c r="Q30" i="72"/>
  <c r="R30" i="72"/>
  <c r="AC58" i="72"/>
  <c r="AD49" i="72" s="1"/>
  <c r="AB58" i="72"/>
  <c r="Q58" i="72"/>
  <c r="O26" i="72"/>
  <c r="E14" i="71" s="1"/>
  <c r="R51" i="72"/>
  <c r="Q51" i="72"/>
  <c r="Q27" i="72"/>
  <c r="O37" i="72"/>
  <c r="R27" i="72"/>
  <c r="O69" i="72"/>
  <c r="R59" i="72"/>
  <c r="Q59" i="72"/>
  <c r="AC48" i="72"/>
  <c r="AD38" i="72" s="1"/>
  <c r="AB48" i="72"/>
  <c r="Q48" i="72"/>
  <c r="R61" i="72"/>
  <c r="Q61" i="72"/>
  <c r="AC15" i="69"/>
  <c r="AD5" i="69" s="1"/>
  <c r="L37" i="69"/>
  <c r="F13" i="68" s="1"/>
  <c r="AC58" i="69"/>
  <c r="AD49" i="69" s="1"/>
  <c r="Q58" i="69"/>
  <c r="AB58" i="69"/>
  <c r="R6" i="69"/>
  <c r="Q6" i="69"/>
  <c r="R39" i="69"/>
  <c r="Q29" i="69"/>
  <c r="AC48" i="69"/>
  <c r="AD38" i="69" s="1"/>
  <c r="AB48" i="69"/>
  <c r="Q48" i="69"/>
  <c r="O26" i="69"/>
  <c r="E14" i="68" s="1"/>
  <c r="Q16" i="69"/>
  <c r="R16" i="69"/>
  <c r="Q40" i="69"/>
  <c r="R40" i="69"/>
  <c r="Q28" i="69"/>
  <c r="R28" i="69"/>
  <c r="AC69" i="69"/>
  <c r="AD59" i="69" s="1"/>
  <c r="AB69" i="69"/>
  <c r="Q69" i="69"/>
  <c r="AB15" i="69"/>
  <c r="Q37" i="69"/>
  <c r="AC37" i="69"/>
  <c r="AD27" i="69" s="1"/>
  <c r="AB37" i="69"/>
  <c r="R18" i="69"/>
  <c r="Q18" i="69"/>
  <c r="AB26" i="69"/>
  <c r="AC26" i="69"/>
  <c r="AD16" i="69" s="1"/>
  <c r="O48" i="69"/>
  <c r="R38" i="69"/>
  <c r="Q38" i="69"/>
  <c r="O15" i="69"/>
  <c r="Q5" i="69"/>
  <c r="R5" i="69"/>
  <c r="L48" i="69"/>
  <c r="G13" i="68" s="1"/>
  <c r="O69" i="69"/>
  <c r="Q59" i="69"/>
  <c r="R59" i="69"/>
  <c r="R30" i="69"/>
  <c r="Q30" i="69"/>
  <c r="R50" i="69"/>
  <c r="Q50" i="69"/>
  <c r="R60" i="69"/>
  <c r="Q60" i="69"/>
  <c r="Q31" i="69"/>
  <c r="R31" i="69"/>
  <c r="R27" i="69"/>
  <c r="Q27" i="69"/>
  <c r="O37" i="69"/>
  <c r="AC58" i="67"/>
  <c r="AD49" i="67" s="1"/>
  <c r="Q58" i="67"/>
  <c r="AB58" i="67"/>
  <c r="R28" i="67"/>
  <c r="Q28" i="67"/>
  <c r="Q30" i="67"/>
  <c r="R30" i="67"/>
  <c r="R52" i="67"/>
  <c r="Q52" i="67"/>
  <c r="R16" i="67"/>
  <c r="Q16" i="67"/>
  <c r="O26" i="67"/>
  <c r="Q41" i="67"/>
  <c r="R41" i="67"/>
  <c r="R6" i="67"/>
  <c r="Q6" i="67"/>
  <c r="AB48" i="67"/>
  <c r="Q48" i="67"/>
  <c r="AC48" i="67"/>
  <c r="AD38" i="67" s="1"/>
  <c r="Q17" i="67"/>
  <c r="R17" i="67"/>
  <c r="Q29" i="67"/>
  <c r="R29" i="67"/>
  <c r="AC69" i="67"/>
  <c r="AD59" i="67" s="1"/>
  <c r="AB69" i="67"/>
  <c r="Q69" i="67"/>
  <c r="AD70" i="67"/>
  <c r="Q39" i="67"/>
  <c r="R39" i="67"/>
  <c r="O69" i="67"/>
  <c r="Q59" i="67"/>
  <c r="R59" i="67"/>
  <c r="R5" i="67"/>
  <c r="O15" i="67"/>
  <c r="Q5" i="67"/>
  <c r="Q19" i="67"/>
  <c r="R19" i="67"/>
  <c r="O37" i="67"/>
  <c r="Q27" i="67"/>
  <c r="R27" i="67"/>
  <c r="R51" i="67"/>
  <c r="Q51" i="67"/>
  <c r="AB26" i="67"/>
  <c r="AC26" i="67"/>
  <c r="AD16" i="67" s="1"/>
  <c r="O48" i="67"/>
  <c r="R38" i="67"/>
  <c r="Q38" i="67"/>
  <c r="J3" i="66"/>
  <c r="G2" i="67"/>
  <c r="Q18" i="67"/>
  <c r="R18" i="67"/>
  <c r="Q37" i="67"/>
  <c r="AC37" i="67"/>
  <c r="AD27" i="67" s="1"/>
  <c r="AB37" i="67"/>
  <c r="R49" i="67"/>
  <c r="O58" i="67"/>
  <c r="Q49" i="67"/>
  <c r="Q50" i="67"/>
  <c r="R50" i="67"/>
  <c r="R31" i="67"/>
  <c r="Q31" i="67"/>
  <c r="AB15" i="67"/>
  <c r="AC15" i="67"/>
  <c r="AD5" i="67" s="1"/>
  <c r="R40" i="67"/>
  <c r="Q40" i="67"/>
  <c r="S70" i="67"/>
  <c r="F8" i="75" l="1"/>
  <c r="H6" i="68"/>
  <c r="H6" i="66"/>
  <c r="H6" i="71"/>
  <c r="H15" i="68"/>
  <c r="R37" i="69"/>
  <c r="S27" i="69" s="1"/>
  <c r="R48" i="72"/>
  <c r="S38" i="72" s="1"/>
  <c r="R58" i="69"/>
  <c r="S49" i="69" s="1"/>
  <c r="F6" i="66"/>
  <c r="F6" i="68"/>
  <c r="F15" i="68"/>
  <c r="F6" i="71"/>
  <c r="H7" i="73"/>
  <c r="D15" i="73"/>
  <c r="J7" i="73"/>
  <c r="I15" i="73"/>
  <c r="J8" i="73" s="1"/>
  <c r="R69" i="72"/>
  <c r="S59" i="72" s="1"/>
  <c r="I14" i="71"/>
  <c r="R58" i="72"/>
  <c r="S49" i="72" s="1"/>
  <c r="H14" i="71"/>
  <c r="H15" i="71" s="1"/>
  <c r="R37" i="72"/>
  <c r="S27" i="72" s="1"/>
  <c r="F14" i="71"/>
  <c r="F15" i="71" s="1"/>
  <c r="E15" i="71"/>
  <c r="R48" i="69"/>
  <c r="S38" i="69" s="1"/>
  <c r="G14" i="68"/>
  <c r="G15" i="68" s="1"/>
  <c r="R69" i="69"/>
  <c r="S59" i="69" s="1"/>
  <c r="I14" i="68"/>
  <c r="F7" i="68"/>
  <c r="E15" i="68"/>
  <c r="H7" i="68"/>
  <c r="R26" i="72"/>
  <c r="S16" i="72" s="1"/>
  <c r="Q26" i="72"/>
  <c r="E2" i="72"/>
  <c r="R15" i="72"/>
  <c r="S5" i="72" s="1"/>
  <c r="Q15" i="72"/>
  <c r="Q26" i="69"/>
  <c r="R26" i="69"/>
  <c r="S16" i="69" s="1"/>
  <c r="R15" i="69"/>
  <c r="S5" i="69" s="1"/>
  <c r="Q15" i="69"/>
  <c r="E2" i="69"/>
  <c r="R15" i="67"/>
  <c r="S5" i="67" s="1"/>
  <c r="Q15" i="67"/>
  <c r="E2" i="67"/>
  <c r="D14" i="66"/>
  <c r="H14" i="66"/>
  <c r="H15" i="66" s="1"/>
  <c r="R58" i="67"/>
  <c r="S49" i="67" s="1"/>
  <c r="I14" i="66"/>
  <c r="J7" i="66" s="1"/>
  <c r="R69" i="67"/>
  <c r="S59" i="67" s="1"/>
  <c r="E14" i="66"/>
  <c r="E15" i="66" s="1"/>
  <c r="R26" i="67"/>
  <c r="S16" i="67" s="1"/>
  <c r="Q26" i="67"/>
  <c r="G14" i="66"/>
  <c r="G15" i="66" s="1"/>
  <c r="R48" i="67"/>
  <c r="S38" i="67" s="1"/>
  <c r="F14" i="66"/>
  <c r="F15" i="66" s="1"/>
  <c r="R37" i="67"/>
  <c r="S27" i="67" s="1"/>
  <c r="H8" i="73" l="1"/>
  <c r="F8" i="73"/>
  <c r="H7" i="71"/>
  <c r="I15" i="71"/>
  <c r="J8" i="71" s="1"/>
  <c r="J7" i="71"/>
  <c r="H8" i="71"/>
  <c r="I15" i="68"/>
  <c r="J8" i="68" s="1"/>
  <c r="J7" i="68"/>
  <c r="H8" i="68"/>
  <c r="F8" i="68"/>
  <c r="I15" i="66"/>
  <c r="J8" i="66" s="1"/>
  <c r="H7" i="66"/>
  <c r="F7" i="66"/>
  <c r="D15" i="66"/>
  <c r="F8" i="71" l="1"/>
  <c r="H8" i="66"/>
  <c r="F8" i="66"/>
  <c r="H73" i="65" l="1"/>
  <c r="H74" i="65"/>
  <c r="H72" i="65"/>
  <c r="H71" i="65"/>
  <c r="H62" i="65"/>
  <c r="H63" i="65"/>
  <c r="H9" i="65"/>
  <c r="H20" i="65"/>
  <c r="H32" i="65"/>
  <c r="H42" i="65"/>
  <c r="H53" i="65"/>
  <c r="H54" i="65"/>
  <c r="B50" i="65"/>
  <c r="W42" i="65" l="1"/>
  <c r="W31" i="65"/>
  <c r="N31" i="65" s="1"/>
  <c r="O31" i="65" s="1"/>
  <c r="V31" i="65"/>
  <c r="K31" i="65"/>
  <c r="J31" i="65"/>
  <c r="P31" i="65" s="1"/>
  <c r="F31" i="65"/>
  <c r="H31" i="65" s="1"/>
  <c r="B31" i="65"/>
  <c r="L31" i="65" l="1"/>
  <c r="R31" i="65" s="1"/>
  <c r="AC31" i="65"/>
  <c r="AB31" i="65"/>
  <c r="W71" i="65"/>
  <c r="V8" i="65"/>
  <c r="V19" i="65"/>
  <c r="W19" i="65"/>
  <c r="N19" i="65" s="1"/>
  <c r="W8" i="65"/>
  <c r="N8" i="65" s="1"/>
  <c r="O8" i="65" s="1"/>
  <c r="K39" i="65"/>
  <c r="J39" i="65"/>
  <c r="K30" i="65"/>
  <c r="J30" i="65"/>
  <c r="K29" i="65"/>
  <c r="J29" i="65"/>
  <c r="K16" i="65"/>
  <c r="J16" i="65"/>
  <c r="K5" i="65"/>
  <c r="J5" i="65"/>
  <c r="F19" i="65"/>
  <c r="H19" i="65" s="1"/>
  <c r="J19" i="65"/>
  <c r="P19" i="65" s="1"/>
  <c r="K19" i="65"/>
  <c r="F8" i="65"/>
  <c r="H8" i="65" s="1"/>
  <c r="J8" i="65"/>
  <c r="P8" i="65" s="1"/>
  <c r="K8" i="65"/>
  <c r="B19" i="65"/>
  <c r="B8" i="65"/>
  <c r="Q31" i="65" l="1"/>
  <c r="O19" i="65"/>
  <c r="AC19" i="65"/>
  <c r="AB19" i="65"/>
  <c r="L19" i="65"/>
  <c r="R19" i="65" s="1"/>
  <c r="L8" i="65"/>
  <c r="R8" i="65" s="1"/>
  <c r="Q19" i="65" l="1"/>
  <c r="Q8" i="65"/>
  <c r="W63" i="65" l="1"/>
  <c r="M79" i="65" l="1"/>
  <c r="J18" i="64" s="1"/>
  <c r="W78" i="65"/>
  <c r="H78" i="65"/>
  <c r="W77" i="65"/>
  <c r="H77" i="65"/>
  <c r="W76" i="65"/>
  <c r="H76" i="65"/>
  <c r="W75" i="65"/>
  <c r="H75" i="65"/>
  <c r="W74" i="65"/>
  <c r="W73" i="65"/>
  <c r="W72" i="65"/>
  <c r="W70" i="65"/>
  <c r="N70" i="65" s="1"/>
  <c r="K70" i="65"/>
  <c r="J70" i="65"/>
  <c r="P70" i="65" s="1"/>
  <c r="F70" i="65"/>
  <c r="H70" i="65" s="1"/>
  <c r="C70" i="65"/>
  <c r="B70" i="65"/>
  <c r="M69" i="65"/>
  <c r="I18" i="64" s="1"/>
  <c r="W68" i="65"/>
  <c r="H68" i="65"/>
  <c r="W67" i="65"/>
  <c r="H67" i="65"/>
  <c r="W66" i="65"/>
  <c r="H66" i="65"/>
  <c r="W65" i="65"/>
  <c r="H65" i="65"/>
  <c r="W64" i="65"/>
  <c r="H64" i="65"/>
  <c r="W62" i="65"/>
  <c r="W61" i="65"/>
  <c r="V61" i="65"/>
  <c r="N61" i="65"/>
  <c r="K61" i="65"/>
  <c r="J61" i="65"/>
  <c r="P61" i="65" s="1"/>
  <c r="F61" i="65"/>
  <c r="H61" i="65" s="1"/>
  <c r="B61" i="65"/>
  <c r="W60" i="65"/>
  <c r="N60" i="65" s="1"/>
  <c r="V60" i="65"/>
  <c r="K60" i="65"/>
  <c r="J60" i="65"/>
  <c r="P60" i="65" s="1"/>
  <c r="F60" i="65"/>
  <c r="H60" i="65" s="1"/>
  <c r="B60" i="65"/>
  <c r="W59" i="65"/>
  <c r="N59" i="65"/>
  <c r="O59" i="65" s="1"/>
  <c r="K59" i="65"/>
  <c r="J59" i="65"/>
  <c r="F59" i="65"/>
  <c r="H59" i="65" s="1"/>
  <c r="B59" i="65"/>
  <c r="M58" i="65"/>
  <c r="H18" i="64" s="1"/>
  <c r="W57" i="65"/>
  <c r="H57" i="65"/>
  <c r="W56" i="65"/>
  <c r="H56" i="65"/>
  <c r="W55" i="65"/>
  <c r="H55" i="65"/>
  <c r="W54" i="65"/>
  <c r="W53" i="65"/>
  <c r="W52" i="65"/>
  <c r="N52" i="65" s="1"/>
  <c r="V52" i="65"/>
  <c r="K52" i="65"/>
  <c r="J52" i="65"/>
  <c r="P52" i="65" s="1"/>
  <c r="F52" i="65"/>
  <c r="H52" i="65" s="1"/>
  <c r="B52" i="65"/>
  <c r="W51" i="65"/>
  <c r="N51" i="65" s="1"/>
  <c r="V51" i="65"/>
  <c r="K51" i="65"/>
  <c r="J51" i="65"/>
  <c r="F51" i="65"/>
  <c r="H51" i="65" s="1"/>
  <c r="B51" i="65"/>
  <c r="W50" i="65"/>
  <c r="N50" i="65" s="1"/>
  <c r="O50" i="65" s="1"/>
  <c r="V50" i="65"/>
  <c r="K50" i="65"/>
  <c r="J50" i="65"/>
  <c r="P50" i="65" s="1"/>
  <c r="F50" i="65"/>
  <c r="H50" i="65" s="1"/>
  <c r="W49" i="65"/>
  <c r="N49" i="65" s="1"/>
  <c r="K49" i="65"/>
  <c r="J49" i="65"/>
  <c r="P49" i="65" s="1"/>
  <c r="F49" i="65"/>
  <c r="H49" i="65" s="1"/>
  <c r="B49" i="65"/>
  <c r="W48" i="65"/>
  <c r="M48" i="65"/>
  <c r="G18" i="64" s="1"/>
  <c r="W47" i="65"/>
  <c r="H47" i="65"/>
  <c r="W46" i="65"/>
  <c r="H46" i="65"/>
  <c r="W45" i="65"/>
  <c r="H45" i="65"/>
  <c r="W44" i="65"/>
  <c r="H44" i="65"/>
  <c r="W43" i="65"/>
  <c r="H43" i="65"/>
  <c r="W41" i="65"/>
  <c r="N41" i="65" s="1"/>
  <c r="V41" i="65"/>
  <c r="K41" i="65"/>
  <c r="J41" i="65"/>
  <c r="P41" i="65" s="1"/>
  <c r="F41" i="65"/>
  <c r="H41" i="65" s="1"/>
  <c r="W40" i="65"/>
  <c r="N40" i="65" s="1"/>
  <c r="V40" i="65"/>
  <c r="K40" i="65"/>
  <c r="J40" i="65"/>
  <c r="P40" i="65" s="1"/>
  <c r="F40" i="65"/>
  <c r="H40" i="65" s="1"/>
  <c r="B40" i="65"/>
  <c r="W39" i="65"/>
  <c r="N39" i="65" s="1"/>
  <c r="O39" i="65" s="1"/>
  <c r="V39" i="65"/>
  <c r="P39" i="65"/>
  <c r="L39" i="65"/>
  <c r="F39" i="65"/>
  <c r="H39" i="65" s="1"/>
  <c r="C39" i="65"/>
  <c r="B39" i="65"/>
  <c r="W38" i="65"/>
  <c r="N38" i="65" s="1"/>
  <c r="K38" i="65"/>
  <c r="J38" i="65"/>
  <c r="P38" i="65" s="1"/>
  <c r="F38" i="65"/>
  <c r="H38" i="65" s="1"/>
  <c r="C38" i="65"/>
  <c r="M37" i="65"/>
  <c r="F18" i="64" s="1"/>
  <c r="W36" i="65"/>
  <c r="H36" i="65"/>
  <c r="W35" i="65"/>
  <c r="H35" i="65"/>
  <c r="W34" i="65"/>
  <c r="H34" i="65"/>
  <c r="W33" i="65"/>
  <c r="H33" i="65"/>
  <c r="W32" i="65"/>
  <c r="W30" i="65"/>
  <c r="N30" i="65" s="1"/>
  <c r="V30" i="65"/>
  <c r="P30" i="65"/>
  <c r="L30" i="65"/>
  <c r="F30" i="65"/>
  <c r="H30" i="65" s="1"/>
  <c r="B30" i="65"/>
  <c r="W29" i="65"/>
  <c r="N29" i="65" s="1"/>
  <c r="V29" i="65"/>
  <c r="L29" i="65"/>
  <c r="P29" i="65"/>
  <c r="F29" i="65"/>
  <c r="H29" i="65" s="1"/>
  <c r="B29" i="65"/>
  <c r="W28" i="65"/>
  <c r="N28" i="65" s="1"/>
  <c r="V28" i="65"/>
  <c r="J37" i="65"/>
  <c r="F28" i="65"/>
  <c r="H28" i="65" s="1"/>
  <c r="B28" i="65"/>
  <c r="W27" i="65"/>
  <c r="N27" i="65" s="1"/>
  <c r="P27" i="65"/>
  <c r="L27" i="65"/>
  <c r="F27" i="65"/>
  <c r="H27" i="65" s="1"/>
  <c r="M26" i="65"/>
  <c r="E18" i="64" s="1"/>
  <c r="W25" i="65"/>
  <c r="H25" i="65"/>
  <c r="W24" i="65"/>
  <c r="H24" i="65"/>
  <c r="W23" i="65"/>
  <c r="H23" i="65"/>
  <c r="H22" i="65"/>
  <c r="H21" i="65"/>
  <c r="W18" i="65"/>
  <c r="N18" i="65" s="1"/>
  <c r="V18" i="65"/>
  <c r="K18" i="65"/>
  <c r="J18" i="65"/>
  <c r="P18" i="65" s="1"/>
  <c r="F18" i="65"/>
  <c r="H18" i="65" s="1"/>
  <c r="B18" i="65"/>
  <c r="W17" i="65"/>
  <c r="N17" i="65" s="1"/>
  <c r="V17" i="65"/>
  <c r="K17" i="65"/>
  <c r="J17" i="65"/>
  <c r="P17" i="65" s="1"/>
  <c r="F17" i="65"/>
  <c r="H17" i="65" s="1"/>
  <c r="W16" i="65"/>
  <c r="N16" i="65" s="1"/>
  <c r="P16" i="65"/>
  <c r="L16" i="65"/>
  <c r="F16" i="65"/>
  <c r="H16" i="65" s="1"/>
  <c r="M15" i="65"/>
  <c r="W14" i="65"/>
  <c r="H14" i="65"/>
  <c r="W13" i="65"/>
  <c r="H13" i="65"/>
  <c r="W12" i="65"/>
  <c r="H12" i="65"/>
  <c r="W11" i="65"/>
  <c r="H11" i="65"/>
  <c r="W10" i="65"/>
  <c r="H10" i="65"/>
  <c r="W9" i="65"/>
  <c r="W7" i="65"/>
  <c r="N7" i="65" s="1"/>
  <c r="V7" i="65"/>
  <c r="K7" i="65"/>
  <c r="J7" i="65"/>
  <c r="P7" i="65" s="1"/>
  <c r="F7" i="65"/>
  <c r="H7" i="65" s="1"/>
  <c r="B7" i="65"/>
  <c r="W6" i="65"/>
  <c r="N6" i="65" s="1"/>
  <c r="V6" i="65"/>
  <c r="K6" i="65"/>
  <c r="J6" i="65"/>
  <c r="F6" i="65"/>
  <c r="H6" i="65" s="1"/>
  <c r="B6" i="65"/>
  <c r="W5" i="65"/>
  <c r="N5" i="65" s="1"/>
  <c r="AC5" i="65" s="1"/>
  <c r="P5" i="65"/>
  <c r="L5" i="65"/>
  <c r="F5" i="65"/>
  <c r="H5" i="65" s="1"/>
  <c r="B5" i="65"/>
  <c r="I2" i="65"/>
  <c r="E1" i="65"/>
  <c r="G3" i="64" s="1"/>
  <c r="AC18" i="65" l="1"/>
  <c r="K26" i="65"/>
  <c r="AC51" i="65"/>
  <c r="L38" i="65"/>
  <c r="L7" i="65"/>
  <c r="J26" i="65"/>
  <c r="P26" i="65" s="1"/>
  <c r="K37" i="65"/>
  <c r="L70" i="65"/>
  <c r="L79" i="65" s="1"/>
  <c r="J13" i="64" s="1"/>
  <c r="AB70" i="65"/>
  <c r="L17" i="65"/>
  <c r="L60" i="65"/>
  <c r="L41" i="65"/>
  <c r="J15" i="65"/>
  <c r="P15" i="65" s="1"/>
  <c r="K48" i="65"/>
  <c r="J58" i="65"/>
  <c r="P58" i="65" s="1"/>
  <c r="AC61" i="65"/>
  <c r="L50" i="65"/>
  <c r="R50" i="65" s="1"/>
  <c r="L52" i="65"/>
  <c r="L61" i="65"/>
  <c r="L6" i="65"/>
  <c r="L18" i="65"/>
  <c r="AB40" i="65"/>
  <c r="L49" i="65"/>
  <c r="K58" i="65"/>
  <c r="AC62" i="65"/>
  <c r="J69" i="65"/>
  <c r="P69" i="65" s="1"/>
  <c r="K69" i="65"/>
  <c r="AB59" i="65"/>
  <c r="AC59" i="65"/>
  <c r="D18" i="64"/>
  <c r="AC70" i="65"/>
  <c r="AC40" i="65"/>
  <c r="AB28" i="65"/>
  <c r="AC28" i="65"/>
  <c r="N37" i="65"/>
  <c r="P37" i="65"/>
  <c r="N69" i="65"/>
  <c r="O60" i="65"/>
  <c r="AC60" i="65"/>
  <c r="AB60" i="65"/>
  <c r="O7" i="65"/>
  <c r="AB7" i="65"/>
  <c r="AC7" i="65"/>
  <c r="AC52" i="65"/>
  <c r="O52" i="65"/>
  <c r="AB52" i="65"/>
  <c r="N58" i="65"/>
  <c r="AB49" i="65"/>
  <c r="O49" i="65"/>
  <c r="AC49" i="65"/>
  <c r="N26" i="65"/>
  <c r="AB16" i="65"/>
  <c r="AC16" i="65"/>
  <c r="O16" i="65"/>
  <c r="L37" i="65"/>
  <c r="F13" i="64" s="1"/>
  <c r="O6" i="65"/>
  <c r="AC6" i="65"/>
  <c r="AB6" i="65"/>
  <c r="AB29" i="65"/>
  <c r="AC29" i="65"/>
  <c r="O29" i="65"/>
  <c r="AC41" i="65"/>
  <c r="AB41" i="65"/>
  <c r="O41" i="65"/>
  <c r="AB17" i="65"/>
  <c r="AC17" i="65"/>
  <c r="O17" i="65"/>
  <c r="R39" i="65"/>
  <c r="Q39" i="65"/>
  <c r="O30" i="65"/>
  <c r="AC30" i="65"/>
  <c r="AB30" i="65"/>
  <c r="G1" i="65"/>
  <c r="O38" i="65"/>
  <c r="N48" i="65"/>
  <c r="AC38" i="65"/>
  <c r="AB38" i="65"/>
  <c r="O27" i="65"/>
  <c r="O61" i="65"/>
  <c r="J79" i="65"/>
  <c r="P79" i="65" s="1"/>
  <c r="I1" i="65"/>
  <c r="K15" i="65"/>
  <c r="AB27" i="65"/>
  <c r="AB50" i="65"/>
  <c r="P59" i="65"/>
  <c r="AB61" i="65"/>
  <c r="O18" i="65"/>
  <c r="O51" i="65"/>
  <c r="L59" i="65"/>
  <c r="P51" i="65"/>
  <c r="O70" i="65"/>
  <c r="P28" i="65"/>
  <c r="P6" i="65"/>
  <c r="AC27" i="65"/>
  <c r="AB39" i="65"/>
  <c r="AC50" i="65"/>
  <c r="J48" i="65"/>
  <c r="P48" i="65" s="1"/>
  <c r="O5" i="65"/>
  <c r="L28" i="65"/>
  <c r="O28" i="65"/>
  <c r="N79" i="65"/>
  <c r="AB5" i="65"/>
  <c r="N15" i="65"/>
  <c r="AB18" i="65"/>
  <c r="AC39" i="65"/>
  <c r="L51" i="65"/>
  <c r="K79" i="65"/>
  <c r="L40" i="65"/>
  <c r="AB51" i="65"/>
  <c r="AB62" i="65"/>
  <c r="O40" i="65"/>
  <c r="L15" i="65" l="1"/>
  <c r="D13" i="64" s="1"/>
  <c r="L26" i="65"/>
  <c r="E13" i="64" s="1"/>
  <c r="Q37" i="65"/>
  <c r="L58" i="65"/>
  <c r="H13" i="64" s="1"/>
  <c r="L69" i="65"/>
  <c r="I13" i="64" s="1"/>
  <c r="J6" i="64" s="1"/>
  <c r="L48" i="65"/>
  <c r="G13" i="64" s="1"/>
  <c r="R59" i="65"/>
  <c r="Q59" i="65"/>
  <c r="Q50" i="65"/>
  <c r="O69" i="65"/>
  <c r="I14" i="64" s="1"/>
  <c r="AB37" i="65"/>
  <c r="AC37" i="65"/>
  <c r="AD27" i="65" s="1"/>
  <c r="G2" i="65"/>
  <c r="J3" i="64"/>
  <c r="R6" i="65"/>
  <c r="Q6" i="65"/>
  <c r="R70" i="65"/>
  <c r="Q70" i="65"/>
  <c r="O79" i="65"/>
  <c r="J14" i="64" s="1"/>
  <c r="J15" i="64" s="1"/>
  <c r="R61" i="65"/>
  <c r="Q61" i="65"/>
  <c r="R41" i="65"/>
  <c r="Q41" i="65"/>
  <c r="Q18" i="65"/>
  <c r="R18" i="65"/>
  <c r="R29" i="65"/>
  <c r="Q29" i="65"/>
  <c r="R38" i="65"/>
  <c r="Q38" i="65"/>
  <c r="O48" i="65"/>
  <c r="Q49" i="65"/>
  <c r="O58" i="65"/>
  <c r="R49" i="65"/>
  <c r="R30" i="65"/>
  <c r="Q30" i="65"/>
  <c r="AC15" i="65"/>
  <c r="AD5" i="65" s="1"/>
  <c r="AB15" i="65"/>
  <c r="R52" i="65"/>
  <c r="Q52" i="65"/>
  <c r="Q51" i="65"/>
  <c r="R51" i="65"/>
  <c r="R7" i="65"/>
  <c r="Q7" i="65"/>
  <c r="O15" i="65"/>
  <c r="D14" i="64" s="1"/>
  <c r="Q5" i="65"/>
  <c r="R5" i="65"/>
  <c r="AC48" i="65"/>
  <c r="AD38" i="65" s="1"/>
  <c r="Q48" i="65"/>
  <c r="AB48" i="65"/>
  <c r="Q17" i="65"/>
  <c r="R17" i="65"/>
  <c r="R60" i="65"/>
  <c r="Q60" i="65"/>
  <c r="AC79" i="65"/>
  <c r="AD70" i="65" s="1"/>
  <c r="AB79" i="65"/>
  <c r="Q27" i="65"/>
  <c r="O37" i="65"/>
  <c r="R27" i="65"/>
  <c r="R16" i="65"/>
  <c r="Q16" i="65"/>
  <c r="O26" i="65"/>
  <c r="E14" i="64" s="1"/>
  <c r="R28" i="65"/>
  <c r="Q28" i="65"/>
  <c r="R40" i="65"/>
  <c r="Q40" i="65"/>
  <c r="AC26" i="65"/>
  <c r="AD16" i="65" s="1"/>
  <c r="AB26" i="65"/>
  <c r="AC58" i="65"/>
  <c r="AD49" i="65" s="1"/>
  <c r="AB58" i="65"/>
  <c r="Q58" i="65"/>
  <c r="Q69" i="65"/>
  <c r="AC69" i="65"/>
  <c r="AD59" i="65" s="1"/>
  <c r="AB69" i="65"/>
  <c r="E15" i="64" l="1"/>
  <c r="F6" i="64"/>
  <c r="H6" i="64"/>
  <c r="I15" i="64"/>
  <c r="J8" i="64" s="1"/>
  <c r="J7" i="64"/>
  <c r="R69" i="65"/>
  <c r="S59" i="65" s="1"/>
  <c r="R58" i="65"/>
  <c r="S49" i="65" s="1"/>
  <c r="H14" i="64"/>
  <c r="H15" i="64" s="1"/>
  <c r="R48" i="65"/>
  <c r="S38" i="65" s="1"/>
  <c r="G14" i="64"/>
  <c r="G15" i="64" s="1"/>
  <c r="R37" i="65"/>
  <c r="S27" i="65" s="1"/>
  <c r="F14" i="64"/>
  <c r="F15" i="64" s="1"/>
  <c r="D15" i="64"/>
  <c r="Q15" i="65"/>
  <c r="E2" i="65"/>
  <c r="R15" i="65"/>
  <c r="S5" i="65" s="1"/>
  <c r="R79" i="65"/>
  <c r="S70" i="65" s="1"/>
  <c r="Q79" i="65"/>
  <c r="R26" i="65"/>
  <c r="S16" i="65" s="1"/>
  <c r="Q26" i="65"/>
  <c r="H7" i="64" l="1"/>
  <c r="F7" i="64"/>
  <c r="H8" i="64"/>
  <c r="F8" i="64"/>
</calcChain>
</file>

<file path=xl/sharedStrings.xml><?xml version="1.0" encoding="utf-8"?>
<sst xmlns="http://schemas.openxmlformats.org/spreadsheetml/2006/main" count="4947" uniqueCount="275">
  <si>
    <t>溫層</t>
    <phoneticPr fontId="2" type="noConversion"/>
  </si>
  <si>
    <t>人時性</t>
    <phoneticPr fontId="5" type="noConversion"/>
  </si>
  <si>
    <t>平均廠價</t>
  </si>
  <si>
    <t>廠價</t>
    <phoneticPr fontId="2" type="noConversion"/>
  </si>
  <si>
    <t>生產時間</t>
    <rPh sb="0" eb="4">
      <t>カイシジカン</t>
    </rPh>
    <phoneticPr fontId="3"/>
  </si>
  <si>
    <t>開始</t>
    <rPh sb="0" eb="2">
      <t>カイシジカン</t>
    </rPh>
    <phoneticPr fontId="3"/>
  </si>
  <si>
    <t>結束</t>
    <rPh sb="0" eb="2">
      <t>シュウリョウジカン</t>
    </rPh>
    <phoneticPr fontId="3"/>
  </si>
  <si>
    <t>平均</t>
    <phoneticPr fontId="5" type="noConversion"/>
  </si>
  <si>
    <t>總生產量</t>
    <phoneticPr fontId="5" type="noConversion"/>
  </si>
  <si>
    <t>營業額</t>
    <phoneticPr fontId="2" type="noConversion"/>
  </si>
  <si>
    <t>出勤人數</t>
  </si>
  <si>
    <t>產線配置圖</t>
    <phoneticPr fontId="5" type="noConversion"/>
  </si>
  <si>
    <t>生產實績</t>
    <phoneticPr fontId="5" type="noConversion"/>
  </si>
  <si>
    <t>人時性差異分析</t>
    <phoneticPr fontId="5" type="noConversion"/>
  </si>
  <si>
    <t>日報登錄</t>
    <phoneticPr fontId="5" type="noConversion"/>
  </si>
  <si>
    <t>分析說明</t>
    <phoneticPr fontId="5" type="noConversion"/>
  </si>
  <si>
    <t>產能差異分析</t>
    <phoneticPr fontId="5" type="noConversion"/>
  </si>
  <si>
    <t>多次生產數</t>
  </si>
  <si>
    <t>線別</t>
    <phoneticPr fontId="2" type="noConversion"/>
  </si>
  <si>
    <t>品類</t>
    <phoneticPr fontId="5" type="noConversion"/>
  </si>
  <si>
    <t>品名</t>
    <phoneticPr fontId="2" type="noConversion"/>
  </si>
  <si>
    <t>廠價</t>
  </si>
  <si>
    <t>生產量</t>
  </si>
  <si>
    <t>營收</t>
  </si>
  <si>
    <t>多次
生產</t>
    <phoneticPr fontId="5" type="noConversion"/>
  </si>
  <si>
    <t>人數</t>
    <phoneticPr fontId="5" type="noConversion"/>
  </si>
  <si>
    <t>產能/時</t>
    <phoneticPr fontId="5" type="noConversion"/>
  </si>
  <si>
    <t>達成率</t>
    <phoneticPr fontId="5" type="noConversion"/>
  </si>
  <si>
    <t>達成率平均</t>
    <phoneticPr fontId="5" type="noConversion"/>
  </si>
  <si>
    <t>前置、換線時間/分</t>
    <rPh sb="0" eb="2">
      <t>キリカエ</t>
    </rPh>
    <phoneticPr fontId="3"/>
  </si>
  <si>
    <t>稼動時間/分</t>
    <phoneticPr fontId="5" type="noConversion"/>
  </si>
  <si>
    <t>休息時間</t>
    <phoneticPr fontId="5" type="noConversion"/>
  </si>
  <si>
    <t>開始</t>
    <phoneticPr fontId="5" type="noConversion"/>
  </si>
  <si>
    <t>結束</t>
  </si>
  <si>
    <t>4度一組</t>
    <phoneticPr fontId="2" type="noConversion"/>
  </si>
  <si>
    <t xml:space="preserve">4度二組A
</t>
    <phoneticPr fontId="2" type="noConversion"/>
  </si>
  <si>
    <t xml:space="preserve">
4度二組B
</t>
    <phoneticPr fontId="2" type="noConversion"/>
  </si>
  <si>
    <t xml:space="preserve">
4度二組C1
</t>
    <phoneticPr fontId="2" type="noConversion"/>
  </si>
  <si>
    <t xml:space="preserve">
4度二組C2
</t>
    <phoneticPr fontId="2" type="noConversion"/>
  </si>
  <si>
    <t xml:space="preserve">
4度三組
</t>
    <phoneticPr fontId="2" type="noConversion"/>
  </si>
  <si>
    <t xml:space="preserve">
4度四組
</t>
    <phoneticPr fontId="2" type="noConversion"/>
  </si>
  <si>
    <t>1.當日出勤人數較多</t>
  </si>
  <si>
    <t>2.當日出勤人數較少</t>
  </si>
  <si>
    <t>3.當日出勤熟手較少</t>
    <phoneticPr fontId="5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</si>
  <si>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</si>
  <si>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</si>
  <si>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</si>
  <si>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</si>
  <si>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</si>
  <si>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</si>
  <si>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</si>
  <si>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</si>
  <si>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2" type="noConversion"/>
  </si>
  <si>
    <t>13.區域出貨，分段生產</t>
    <phoneticPr fontId="2" type="noConversion"/>
  </si>
  <si>
    <t>手工三線
(ET-55)</t>
    <phoneticPr fontId="2" type="noConversion"/>
  </si>
  <si>
    <t>手工四線
(ET-55)</t>
    <phoneticPr fontId="5" type="noConversion"/>
  </si>
  <si>
    <t>手工五線
(ET-55)</t>
    <phoneticPr fontId="5" type="noConversion"/>
  </si>
  <si>
    <t>調理包一線
(八爪機)</t>
    <phoneticPr fontId="5" type="noConversion"/>
  </si>
  <si>
    <t>調理包二線
(手工)</t>
    <phoneticPr fontId="5" type="noConversion"/>
  </si>
  <si>
    <t>起司馬鈴薯</t>
    <phoneticPr fontId="5" type="noConversion"/>
  </si>
  <si>
    <t>拿坡里義大利麵</t>
  </si>
  <si>
    <t>品項</t>
    <phoneticPr fontId="2" type="noConversion"/>
  </si>
  <si>
    <t>類別</t>
    <phoneticPr fontId="2" type="noConversion"/>
  </si>
  <si>
    <t>義大利麵</t>
    <phoneticPr fontId="2" type="noConversion"/>
  </si>
  <si>
    <t>4度C</t>
    <phoneticPr fontId="2" type="noConversion"/>
  </si>
  <si>
    <t>check</t>
    <phoneticPr fontId="2" type="noConversion"/>
  </si>
  <si>
    <t>焗烤起司雙饗筆尖麵</t>
  </si>
  <si>
    <t>自動一線
(ET-600)</t>
    <phoneticPr fontId="5" type="noConversion"/>
  </si>
  <si>
    <t>自動二線
(ET-600)</t>
    <phoneticPr fontId="5" type="noConversion"/>
  </si>
  <si>
    <t>人數</t>
    <phoneticPr fontId="2" type="noConversion"/>
  </si>
  <si>
    <t>產能</t>
    <phoneticPr fontId="2" type="noConversion"/>
  </si>
  <si>
    <t>焗烤起司雙饗筆尖麵</t>
    <phoneticPr fontId="2" type="noConversion"/>
  </si>
  <si>
    <t>(長家回填)</t>
    <phoneticPr fontId="5" type="noConversion"/>
  </si>
  <si>
    <t xml:space="preserve">長家廠4度C日報分析                              </t>
    <phoneticPr fontId="5" type="noConversion"/>
  </si>
  <si>
    <t>長家廠組合室生產人時性分析</t>
    <phoneticPr fontId="2" type="noConversion"/>
  </si>
  <si>
    <t>日期</t>
  </si>
  <si>
    <t>訂單量</t>
  </si>
  <si>
    <t>營業額</t>
  </si>
  <si>
    <t>項目</t>
    <phoneticPr fontId="2" type="noConversion"/>
  </si>
  <si>
    <t>➀</t>
    <phoneticPr fontId="5" type="noConversion"/>
  </si>
  <si>
    <t>➁</t>
    <phoneticPr fontId="5" type="noConversion"/>
  </si>
  <si>
    <t>③</t>
    <phoneticPr fontId="2" type="noConversion"/>
  </si>
  <si>
    <t>人時性</t>
    <phoneticPr fontId="2" type="noConversion"/>
  </si>
  <si>
    <t>組合室</t>
    <phoneticPr fontId="2" type="noConversion"/>
  </si>
  <si>
    <t>全溫層</t>
    <phoneticPr fontId="2" type="noConversion"/>
  </si>
  <si>
    <t>袋裝小吃、義麵</t>
    <phoneticPr fontId="2" type="noConversion"/>
  </si>
  <si>
    <t>排關平均</t>
  </si>
  <si>
    <t>實績平均</t>
  </si>
  <si>
    <t>達成率平均</t>
  </si>
  <si>
    <t>※現行日本鮮食廠以達成率80%為基本(即為現行KPI)</t>
  </si>
  <si>
    <t>4度C-各編組展開</t>
    <phoneticPr fontId="2" type="noConversion"/>
  </si>
  <si>
    <t>編組</t>
    <phoneticPr fontId="2" type="noConversion"/>
  </si>
  <si>
    <t>自動1線</t>
    <phoneticPr fontId="2" type="noConversion"/>
  </si>
  <si>
    <t>自動2線</t>
    <phoneticPr fontId="2" type="noConversion"/>
  </si>
  <si>
    <t>手工3線</t>
    <phoneticPr fontId="2" type="noConversion"/>
  </si>
  <si>
    <t>手工4線</t>
    <phoneticPr fontId="2" type="noConversion"/>
  </si>
  <si>
    <t>手工5線</t>
    <phoneticPr fontId="2" type="noConversion"/>
  </si>
  <si>
    <t>調理包1線</t>
    <phoneticPr fontId="2" type="noConversion"/>
  </si>
  <si>
    <t>調理包2線</t>
    <phoneticPr fontId="2" type="noConversion"/>
  </si>
  <si>
    <t>排關</t>
    <phoneticPr fontId="2" type="noConversion"/>
  </si>
  <si>
    <t>實績</t>
    <phoneticPr fontId="2" type="noConversion"/>
  </si>
  <si>
    <t>達成率</t>
    <phoneticPr fontId="2" type="noConversion"/>
  </si>
  <si>
    <t>作業
時間</t>
    <phoneticPr fontId="2" type="noConversion"/>
  </si>
  <si>
    <t>開始</t>
    <phoneticPr fontId="2" type="noConversion"/>
  </si>
  <si>
    <t>結束</t>
    <phoneticPr fontId="2" type="noConversion"/>
  </si>
  <si>
    <t>配置人數</t>
    <phoneticPr fontId="2" type="noConversion"/>
  </si>
  <si>
    <t>主要應用設備</t>
    <phoneticPr fontId="2" type="noConversion"/>
  </si>
  <si>
    <t>ET-600</t>
  </si>
  <si>
    <t>ET-55</t>
  </si>
  <si>
    <t>八爪機</t>
    <phoneticPr fontId="2" type="noConversion"/>
  </si>
  <si>
    <t>封口機</t>
    <phoneticPr fontId="2" type="noConversion"/>
  </si>
  <si>
    <t>次要應用設備</t>
    <phoneticPr fontId="2" type="noConversion"/>
  </si>
  <si>
    <t>備註</t>
    <phoneticPr fontId="2" type="noConversion"/>
  </si>
  <si>
    <t>4度C</t>
  </si>
  <si>
    <t>小吃、微波</t>
    <phoneticPr fontId="2" type="noConversion"/>
  </si>
  <si>
    <t>冷凍</t>
  </si>
  <si>
    <t>冷凍調理麵</t>
    <phoneticPr fontId="2" type="noConversion"/>
  </si>
  <si>
    <t>青醬蛤蜊義大利麵</t>
    <phoneticPr fontId="2" type="noConversion"/>
  </si>
  <si>
    <t>經典肉醬義大利麵</t>
    <phoneticPr fontId="2" type="noConversion"/>
  </si>
  <si>
    <t>奶油蘑菇培根義大利麵</t>
    <phoneticPr fontId="2" type="noConversion"/>
  </si>
  <si>
    <t>清炒蛤蜊義大利麵</t>
    <phoneticPr fontId="2" type="noConversion"/>
  </si>
  <si>
    <t>青醬乳酪筆尖麵</t>
    <phoneticPr fontId="2" type="noConversion"/>
  </si>
  <si>
    <t>辣蕃茄義大利麵</t>
    <phoneticPr fontId="2" type="noConversion"/>
  </si>
  <si>
    <t>青醬彩椒寬扁麵</t>
    <phoneticPr fontId="2" type="noConversion"/>
  </si>
  <si>
    <t>韓式起司義大利麵</t>
    <phoneticPr fontId="2" type="noConversion"/>
  </si>
  <si>
    <t>奶油蔬菜義大利麵</t>
    <phoneticPr fontId="2" type="noConversion"/>
  </si>
  <si>
    <t>和風明太子細扁麵</t>
    <phoneticPr fontId="2" type="noConversion"/>
  </si>
  <si>
    <t>小滷青蔬</t>
    <phoneticPr fontId="5" type="noConversion"/>
  </si>
  <si>
    <t>小滷青蔬</t>
  </si>
  <si>
    <t>品名</t>
    <phoneticPr fontId="2" type="noConversion"/>
  </si>
  <si>
    <t>白酒蛤蜊義大利麵</t>
  </si>
  <si>
    <t>白酒蛤蜊義大利麵</t>
    <phoneticPr fontId="2" type="noConversion"/>
  </si>
  <si>
    <t>奶油培根義大利麵</t>
    <phoneticPr fontId="2" type="noConversion"/>
  </si>
  <si>
    <t>白酒蛤蜊義大利麵</t>
    <phoneticPr fontId="2" type="noConversion"/>
  </si>
  <si>
    <t>熱那亞青醬義大利麵</t>
  </si>
  <si>
    <t>熱那亞青醬義大利麵</t>
    <phoneticPr fontId="2" type="noConversion"/>
  </si>
  <si>
    <t>義式蕃茄起司義大利麵</t>
  </si>
  <si>
    <t>義式蕃茄起司義大利麵</t>
    <phoneticPr fontId="2" type="noConversion"/>
  </si>
  <si>
    <t>ET-600</t>
    <phoneticPr fontId="2" type="noConversion"/>
  </si>
  <si>
    <t>ET-55</t>
    <phoneticPr fontId="2" type="noConversion"/>
  </si>
  <si>
    <t>義大利麵</t>
  </si>
  <si>
    <t>黑胡椒燻豬腿義大利麵</t>
  </si>
  <si>
    <t>黑胡椒燻豬腿義大利麵</t>
    <phoneticPr fontId="2" type="noConversion"/>
  </si>
  <si>
    <t>起司馬鈴薯</t>
  </si>
  <si>
    <t>起司馬鈴薯</t>
    <phoneticPr fontId="2" type="noConversion"/>
  </si>
  <si>
    <t>義大利麵支援</t>
    <phoneticPr fontId="2" type="noConversion"/>
  </si>
  <si>
    <t>奶油蒜香雞義大利麵</t>
  </si>
  <si>
    <t>奶油蒜香雞義大利麵</t>
    <phoneticPr fontId="2" type="noConversion"/>
  </si>
  <si>
    <t>韓式起司炸雞義大利麵</t>
  </si>
  <si>
    <t>韓式起司炸雞義大利麵</t>
    <phoneticPr fontId="2" type="noConversion"/>
  </si>
  <si>
    <t>奶油培根義大利麵</t>
  </si>
  <si>
    <t>羊乳起司培根筆尖麵</t>
    <phoneticPr fontId="2" type="noConversion"/>
  </si>
  <si>
    <t>青花椒麻雞肉拌麵</t>
    <phoneticPr fontId="2" type="noConversion"/>
  </si>
  <si>
    <t>熱乾麵</t>
    <phoneticPr fontId="2" type="noConversion"/>
  </si>
  <si>
    <t>青花椒麻雞肉拌麵</t>
  </si>
  <si>
    <t>羊乳起司培根筆尖麵</t>
  </si>
  <si>
    <t>台式綜合甜不辣</t>
    <phoneticPr fontId="2" type="noConversion"/>
  </si>
  <si>
    <t>台式綜合甜不辣</t>
  </si>
  <si>
    <t xml:space="preserve"> </t>
    <phoneticPr fontId="2" type="noConversion"/>
  </si>
  <si>
    <t>黑胡椒燻豬腿義大利麵-降速生產</t>
    <phoneticPr fontId="2" type="noConversion"/>
  </si>
  <si>
    <t>奶油蒜香雞義大利麵-降速生產</t>
    <phoneticPr fontId="2" type="noConversion"/>
  </si>
  <si>
    <t>白酒蛤蜊義大利麵-手</t>
    <phoneticPr fontId="2" type="noConversion"/>
  </si>
  <si>
    <t>7:06-7:20 封膜機故障、7:20-8:10 停麵</t>
    <phoneticPr fontId="2" type="noConversion"/>
  </si>
  <si>
    <t>青花椒麻雞肉拌麵-降速生產</t>
    <phoneticPr fontId="2" type="noConversion"/>
  </si>
  <si>
    <t>10月01日  星期三</t>
    <phoneticPr fontId="5" type="noConversion"/>
  </si>
  <si>
    <t>7:00-7:23試產煮麵</t>
    <phoneticPr fontId="2" type="noConversion"/>
  </si>
  <si>
    <t>9:54-9:56玉取機異常</t>
    <phoneticPr fontId="2" type="noConversion"/>
  </si>
  <si>
    <t>待料(牛絞肉)</t>
    <phoneticPr fontId="2" type="noConversion"/>
  </si>
  <si>
    <t>韓式辣醬肉丸義大利麵</t>
  </si>
  <si>
    <t>家傳炸醬麵-降速生產</t>
  </si>
  <si>
    <t>家傳炸醬麵</t>
  </si>
  <si>
    <t>義大利麵</t>
    <phoneticPr fontId="2" type="noConversion"/>
  </si>
  <si>
    <t>熱乾麵</t>
  </si>
  <si>
    <t>剝皮辣椒雞奶油扁麵</t>
  </si>
  <si>
    <t>待料(番茄丁)</t>
    <phoneticPr fontId="2" type="noConversion"/>
  </si>
  <si>
    <t>熱乾麵</t>
    <phoneticPr fontId="2" type="noConversion"/>
  </si>
  <si>
    <t>封膜機台異常</t>
    <phoneticPr fontId="2" type="noConversion"/>
  </si>
  <si>
    <t>14:00-14:12試產濃拿坡里</t>
    <phoneticPr fontId="2" type="noConversion"/>
  </si>
  <si>
    <t>10:25-10:50機台異常</t>
    <phoneticPr fontId="2" type="noConversion"/>
  </si>
  <si>
    <t>8:46~9:06、9:32~9:43待料(炸雞未冷卻)</t>
    <phoneticPr fontId="2" type="noConversion"/>
  </si>
  <si>
    <t>9:51~11:28製作2420盒，550盒報廢(湯凍異常)</t>
    <phoneticPr fontId="2" type="noConversion"/>
  </si>
  <si>
    <t>6:50~7:19醬太稀停線拆盒</t>
    <phoneticPr fontId="2" type="noConversion"/>
  </si>
  <si>
    <t>8:40~8:45待料(海苔酥)</t>
    <phoneticPr fontId="2" type="noConversion"/>
  </si>
  <si>
    <t>10月02日  星期四</t>
    <phoneticPr fontId="5" type="noConversion"/>
  </si>
  <si>
    <t>10月03日  星期五</t>
    <phoneticPr fontId="5" type="noConversion"/>
  </si>
  <si>
    <t>待醬</t>
    <phoneticPr fontId="2" type="noConversion"/>
  </si>
  <si>
    <t>訂單量少</t>
    <phoneticPr fontId="2" type="noConversion"/>
  </si>
  <si>
    <t>待料(油豆腐、甜不辣片)</t>
    <phoneticPr fontId="2" type="noConversion"/>
  </si>
  <si>
    <t>12:50-13:11熱轉印故障</t>
    <phoneticPr fontId="2" type="noConversion"/>
  </si>
  <si>
    <t>支援製作</t>
    <phoneticPr fontId="2" type="noConversion"/>
  </si>
  <si>
    <t>10月05日  星期日</t>
    <phoneticPr fontId="5" type="noConversion"/>
  </si>
  <si>
    <t>10月04日  星期六</t>
    <phoneticPr fontId="5" type="noConversion"/>
  </si>
  <si>
    <t>封口設備異常</t>
    <phoneticPr fontId="2" type="noConversion"/>
  </si>
  <si>
    <t>生產數量少</t>
    <phoneticPr fontId="2" type="noConversion"/>
  </si>
  <si>
    <t>11:05~11:30停線，確認半成品可否使用</t>
    <phoneticPr fontId="2" type="noConversion"/>
  </si>
  <si>
    <t>10月06日  星期一</t>
    <phoneticPr fontId="5" type="noConversion"/>
  </si>
  <si>
    <t>10月07日  星期二</t>
    <phoneticPr fontId="5" type="noConversion"/>
  </si>
  <si>
    <t>12:55-13:13試產青醬蛤蠣</t>
    <phoneticPr fontId="2" type="noConversion"/>
  </si>
  <si>
    <t>13:30~14:00 試產焗烤明太子筆尖麵</t>
    <phoneticPr fontId="2" type="noConversion"/>
  </si>
  <si>
    <t>10:30-10:45油豆腐溫度過高</t>
    <phoneticPr fontId="2" type="noConversion"/>
  </si>
  <si>
    <t>8:40-8:56高麗菜溫度過高</t>
    <phoneticPr fontId="2" type="noConversion"/>
  </si>
  <si>
    <t>台式甜不辣-手工組裝</t>
    <phoneticPr fontId="2" type="noConversion"/>
  </si>
  <si>
    <t>生產數量少(分區)</t>
    <phoneticPr fontId="2" type="noConversion"/>
  </si>
  <si>
    <t>排程調整：油炸機故障，韓式炸雞生產延後</t>
    <phoneticPr fontId="2" type="noConversion"/>
  </si>
  <si>
    <t>10月08日  星期三</t>
    <phoneticPr fontId="5" type="noConversion"/>
  </si>
  <si>
    <t>8:23~08:26待料(番茄丁)</t>
    <phoneticPr fontId="2" type="noConversion"/>
  </si>
  <si>
    <t>10月09日  星期四</t>
    <phoneticPr fontId="5" type="noConversion"/>
  </si>
  <si>
    <t>半成品溫度過高</t>
    <phoneticPr fontId="2" type="noConversion"/>
  </si>
  <si>
    <t>10月10日  星期五</t>
    <phoneticPr fontId="5" type="noConversion"/>
  </si>
  <si>
    <t>7:37~7:50待醬(未冷卻)，停線</t>
    <phoneticPr fontId="2" type="noConversion"/>
  </si>
  <si>
    <t>7:38~7:53待醬(未冷卻)，停線</t>
    <phoneticPr fontId="2" type="noConversion"/>
  </si>
  <si>
    <t>9:45~10:15待醬(未冷卻)</t>
    <phoneticPr fontId="2" type="noConversion"/>
  </si>
  <si>
    <t>生產數量少</t>
    <phoneticPr fontId="2" type="noConversion"/>
  </si>
  <si>
    <t>10月11日  星期六</t>
    <phoneticPr fontId="5" type="noConversion"/>
  </si>
  <si>
    <t>9:25~9:40待料(肉丸未冷卻)</t>
    <phoneticPr fontId="2" type="noConversion"/>
  </si>
  <si>
    <r>
      <t>10月12日  星期</t>
    </r>
    <r>
      <rPr>
        <sz val="14"/>
        <rFont val="Microsoft JhengHei UI"/>
        <family val="2"/>
        <charset val="136"/>
      </rPr>
      <t>日</t>
    </r>
    <phoneticPr fontId="5" type="noConversion"/>
  </si>
  <si>
    <t>小吃、微波</t>
  </si>
  <si>
    <t xml:space="preserve">7:42-7:55待肉丸冷卻 </t>
    <phoneticPr fontId="2" type="noConversion"/>
  </si>
  <si>
    <t>08:15-8:40熱轉印斷帶5次</t>
    <phoneticPr fontId="2" type="noConversion"/>
  </si>
  <si>
    <t>9:30-10:37封膜機異常請工務排除</t>
    <phoneticPr fontId="2" type="noConversion"/>
  </si>
  <si>
    <t>10月13日  星期一</t>
    <phoneticPr fontId="5" type="noConversion"/>
  </si>
  <si>
    <t>白酒蛤蜊熱封膜全檢</t>
    <phoneticPr fontId="2" type="noConversion"/>
  </si>
  <si>
    <t>青醬蛤蜊義大利麵</t>
  </si>
  <si>
    <t>焗烤明太子筆尖麵</t>
  </si>
  <si>
    <t>焗烤明太子筆尖麵</t>
    <phoneticPr fontId="2" type="noConversion"/>
  </si>
  <si>
    <t>10月14日  星期二</t>
    <phoneticPr fontId="5" type="noConversion"/>
  </si>
  <si>
    <t>10:13~10:35待料(蘿蔔)、10:35~10:50手工作業</t>
    <phoneticPr fontId="2" type="noConversion"/>
  </si>
  <si>
    <t>8:00~8:19督導調整排關、自動線改手工線</t>
    <phoneticPr fontId="2" type="noConversion"/>
  </si>
  <si>
    <t>15:43-15:45、16:11-16:17玉取機故障</t>
    <phoneticPr fontId="2" type="noConversion"/>
  </si>
  <si>
    <t>13:08-13:10玉取機故障</t>
    <phoneticPr fontId="2" type="noConversion"/>
  </si>
  <si>
    <t>9:30-9:35玉取機故障</t>
    <phoneticPr fontId="2" type="noConversion"/>
  </si>
  <si>
    <t>封膜異常,重工</t>
    <phoneticPr fontId="2" type="noConversion"/>
  </si>
  <si>
    <t>10月15日  星期三</t>
    <phoneticPr fontId="5" type="noConversion"/>
  </si>
  <si>
    <t>10:00-10:01、10:09-10:11、11:08-11:10、11:39-11:40、13:56-13:58、14:40-14:42、15:15-15:16、16:33-16:34玉取機故障</t>
    <phoneticPr fontId="2" type="noConversion"/>
  </si>
  <si>
    <t>10月16日  星期四</t>
    <phoneticPr fontId="5" type="noConversion"/>
  </si>
  <si>
    <t>10月17日  星期五</t>
    <phoneticPr fontId="5" type="noConversion"/>
  </si>
  <si>
    <t>10月18日  星期六</t>
    <phoneticPr fontId="5" type="noConversion"/>
  </si>
  <si>
    <r>
      <t>10月19日  星期</t>
    </r>
    <r>
      <rPr>
        <sz val="14"/>
        <rFont val="Microsoft JhengHei UI"/>
        <family val="2"/>
        <charset val="136"/>
      </rPr>
      <t>日</t>
    </r>
    <phoneticPr fontId="5" type="noConversion"/>
  </si>
  <si>
    <t>封膜異常，部分收籃</t>
    <phoneticPr fontId="2" type="noConversion"/>
  </si>
  <si>
    <t>10月20日  星期一</t>
    <phoneticPr fontId="5" type="noConversion"/>
  </si>
  <si>
    <t>8:44~8:54壓盒收籃324盒、8:54~9:02玉取機停麵</t>
    <phoneticPr fontId="2" type="noConversion"/>
  </si>
  <si>
    <t>10:26~10:43試產-濃拿坡里100份</t>
    <phoneticPr fontId="2" type="noConversion"/>
  </si>
  <si>
    <t>補封膜15分</t>
    <phoneticPr fontId="2" type="noConversion"/>
  </si>
  <si>
    <t>10月21日  星期二</t>
    <phoneticPr fontId="5" type="noConversion"/>
  </si>
  <si>
    <t>10:25-11:45手工挖醬</t>
    <phoneticPr fontId="2" type="noConversion"/>
  </si>
  <si>
    <t>待料(蘿蔔)</t>
    <phoneticPr fontId="2" type="noConversion"/>
  </si>
  <si>
    <t>10月22日  星期三</t>
    <phoneticPr fontId="5" type="noConversion"/>
  </si>
  <si>
    <t>10月23日  星期四</t>
    <phoneticPr fontId="5" type="noConversion"/>
  </si>
  <si>
    <t>12:25~12:39封膜機故障</t>
    <phoneticPr fontId="2" type="noConversion"/>
  </si>
  <si>
    <t>10月24日  星期五</t>
    <phoneticPr fontId="5" type="noConversion"/>
  </si>
  <si>
    <t>10:01~10:13等待自動2線交接青醬蛤蜊製作</t>
    <phoneticPr fontId="2" type="noConversion"/>
  </si>
  <si>
    <t>生產數量較少</t>
    <phoneticPr fontId="2" type="noConversion"/>
  </si>
  <si>
    <t>10月25日  星期六</t>
    <phoneticPr fontId="5" type="noConversion"/>
  </si>
  <si>
    <t>10月26日  星期日</t>
    <phoneticPr fontId="5" type="noConversion"/>
  </si>
  <si>
    <t>10月27日  星期一</t>
    <phoneticPr fontId="5" type="noConversion"/>
  </si>
  <si>
    <t>13:40-15:35手工挖醬</t>
    <phoneticPr fontId="2" type="noConversion"/>
  </si>
  <si>
    <t>生產數量少</t>
  </si>
  <si>
    <t>生產數量少</t>
    <phoneticPr fontId="2" type="noConversion"/>
  </si>
  <si>
    <t>封膜設備異常</t>
    <phoneticPr fontId="2" type="noConversion"/>
  </si>
  <si>
    <t>濃拿坡里義大利麵</t>
  </si>
  <si>
    <t>濃拿坡里義大利麵</t>
    <phoneticPr fontId="2" type="noConversion"/>
  </si>
  <si>
    <t>奶油起司蝦仁通心粉</t>
  </si>
  <si>
    <t>奶油起司蝦仁通心粉</t>
    <phoneticPr fontId="2" type="noConversion"/>
  </si>
  <si>
    <t>更新日期10/30</t>
    <phoneticPr fontId="2" type="noConversion"/>
  </si>
  <si>
    <t>10月28日  星期二</t>
    <phoneticPr fontId="5" type="noConversion"/>
  </si>
  <si>
    <t>熱轉印異常，停線206盒重工</t>
    <phoneticPr fontId="2" type="noConversion"/>
  </si>
  <si>
    <t>10月29日  星期三</t>
    <phoneticPr fontId="5" type="noConversion"/>
  </si>
  <si>
    <t>待料(冷卻)</t>
    <phoneticPr fontId="2" type="noConversion"/>
  </si>
  <si>
    <t xml:space="preserve">7:05-7:20待料未冷卻 </t>
    <phoneticPr fontId="2" type="noConversion"/>
  </si>
  <si>
    <t>10月30日  星期四</t>
    <phoneticPr fontId="5" type="noConversion"/>
  </si>
  <si>
    <t>封口設備異常</t>
    <phoneticPr fontId="2" type="noConversion"/>
  </si>
  <si>
    <t>10:25-10:40手工挖醬作業</t>
    <phoneticPr fontId="2" type="noConversion"/>
  </si>
  <si>
    <t>15:56-16:10熱轉印色帶斷帶與封膜機異常</t>
    <phoneticPr fontId="2" type="noConversion"/>
  </si>
  <si>
    <t>10月31日  星期五</t>
    <phoneticPr fontId="5" type="noConversion"/>
  </si>
  <si>
    <t>10:11~10:25改手工作業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</si>
</sst>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.0"/>
    <numFmt numFmtId="178" formatCode="0.0%"/>
    <numFmt numFmtId="179" formatCode="h:mm;@"/>
    <numFmt numFmtId="180" formatCode="0_ "/>
    <numFmt numFmtId="181" formatCode="0.0_ "/>
    <numFmt numFmtId="182" formatCode="0_);[Red]\(0\)"/>
    <numFmt numFmtId="183" formatCode="[$-F800]dddd\,\ mmmm\ dd\,\ yyyy"/>
    <numFmt numFmtId="184" formatCode="#,##0_ "/>
  </numFmts>
  <fonts count="2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4"/>
      <name val="Microsoft JhengHei UI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002060"/>
        <bgColor indexed="64"/>
      </patternFill>
    </fill>
  </fills>
  <borders count="1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</borders>
  <cellStyleXfs count="15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</cellStyleXfs>
  <cellXfs count="522">
    <xf numFmtId="0" fontId="0" fillId="0" borderId="0" xfId="0">
      <alignment vertical="center"/>
    </xf>
    <xf numFmtId="0" fontId="6" fillId="0" borderId="11" xfId="1" applyFont="1" applyBorder="1" applyAlignment="1">
      <alignment horizontal="center" vertical="center"/>
    </xf>
    <xf numFmtId="0" fontId="9" fillId="0" borderId="17" xfId="9" applyFont="1" applyBorder="1">
      <alignment vertical="center"/>
    </xf>
    <xf numFmtId="176" fontId="10" fillId="6" borderId="17" xfId="10" applyNumberFormat="1" applyFont="1" applyFill="1" applyBorder="1" applyAlignment="1">
      <alignment horizontal="center" vertical="center"/>
    </xf>
    <xf numFmtId="43" fontId="9" fillId="0" borderId="17" xfId="10" applyFont="1" applyBorder="1" applyAlignment="1">
      <alignment horizontal="center" vertical="center"/>
    </xf>
    <xf numFmtId="1" fontId="9" fillId="0" borderId="17" xfId="9" applyNumberFormat="1" applyFont="1" applyBorder="1" applyAlignment="1">
      <alignment horizontal="center" vertical="center"/>
    </xf>
    <xf numFmtId="0" fontId="11" fillId="0" borderId="0" xfId="9" applyFont="1">
      <alignment vertical="center"/>
    </xf>
    <xf numFmtId="177" fontId="9" fillId="0" borderId="17" xfId="9" applyNumberFormat="1" applyFont="1" applyBorder="1" applyAlignment="1">
      <alignment horizontal="center" vertical="center"/>
    </xf>
    <xf numFmtId="177" fontId="13" fillId="0" borderId="17" xfId="9" applyNumberFormat="1" applyFont="1" applyBorder="1" applyAlignment="1">
      <alignment horizontal="center" vertical="center" wrapText="1"/>
    </xf>
    <xf numFmtId="2" fontId="9" fillId="0" borderId="17" xfId="9" applyNumberFormat="1" applyFont="1" applyBorder="1" applyAlignment="1">
      <alignment horizontal="center" vertical="center"/>
    </xf>
    <xf numFmtId="0" fontId="11" fillId="0" borderId="25" xfId="9" applyFont="1" applyBorder="1" applyAlignment="1">
      <alignment horizontal="center"/>
    </xf>
    <xf numFmtId="0" fontId="11" fillId="0" borderId="21" xfId="8" applyFont="1" applyBorder="1" applyAlignment="1"/>
    <xf numFmtId="0" fontId="11" fillId="0" borderId="22" xfId="8" applyFont="1" applyBorder="1" applyAlignment="1"/>
    <xf numFmtId="0" fontId="11" fillId="0" borderId="22" xfId="8" applyFont="1" applyBorder="1" applyAlignment="1">
      <alignment horizontal="center"/>
    </xf>
    <xf numFmtId="1" fontId="11" fillId="0" borderId="17" xfId="9" applyNumberFormat="1" applyFont="1" applyBorder="1" applyAlignment="1">
      <alignment horizontal="center" vertical="center"/>
    </xf>
    <xf numFmtId="43" fontId="11" fillId="0" borderId="17" xfId="10" applyFont="1" applyBorder="1" applyAlignment="1">
      <alignment horizontal="center" vertical="center"/>
    </xf>
    <xf numFmtId="1" fontId="11" fillId="2" borderId="17" xfId="9" applyNumberFormat="1" applyFont="1" applyFill="1" applyBorder="1" applyAlignment="1">
      <alignment horizontal="center" vertical="center"/>
    </xf>
    <xf numFmtId="177" fontId="11" fillId="0" borderId="17" xfId="9" applyNumberFormat="1" applyFont="1" applyBorder="1" applyAlignment="1">
      <alignment horizontal="center" vertical="center"/>
    </xf>
    <xf numFmtId="180" fontId="11" fillId="0" borderId="17" xfId="9" applyNumberFormat="1" applyFont="1" applyBorder="1" applyAlignment="1">
      <alignment horizontal="center" vertical="center"/>
    </xf>
    <xf numFmtId="181" fontId="11" fillId="0" borderId="17" xfId="9" applyNumberFormat="1" applyFont="1" applyBorder="1" applyAlignment="1">
      <alignment horizontal="center" vertical="center"/>
    </xf>
    <xf numFmtId="179" fontId="11" fillId="0" borderId="17" xfId="9" applyNumberFormat="1" applyFont="1" applyBorder="1" applyAlignment="1">
      <alignment horizontal="center" vertical="center"/>
    </xf>
    <xf numFmtId="0" fontId="11" fillId="2" borderId="2" xfId="9" applyFont="1" applyFill="1" applyBorder="1" applyAlignment="1">
      <alignment horizontal="center" vertical="center"/>
    </xf>
    <xf numFmtId="20" fontId="11" fillId="0" borderId="17" xfId="9" applyNumberFormat="1" applyFont="1" applyBorder="1" applyAlignment="1">
      <alignment horizontal="center" vertical="center"/>
    </xf>
    <xf numFmtId="0" fontId="11" fillId="0" borderId="21" xfId="9" applyFont="1" applyBorder="1" applyAlignment="1">
      <alignment horizontal="center"/>
    </xf>
    <xf numFmtId="0" fontId="11" fillId="0" borderId="22" xfId="9" applyFont="1" applyBorder="1" applyAlignment="1">
      <alignment horizontal="center" vertical="center" wrapText="1"/>
    </xf>
    <xf numFmtId="1" fontId="11" fillId="0" borderId="22" xfId="9" applyNumberFormat="1" applyFont="1" applyBorder="1" applyAlignment="1">
      <alignment horizontal="center" vertical="center"/>
    </xf>
    <xf numFmtId="0" fontId="11" fillId="0" borderId="26" xfId="9" applyFont="1" applyBorder="1" applyAlignment="1">
      <alignment horizontal="center" vertical="center"/>
    </xf>
    <xf numFmtId="0" fontId="11" fillId="0" borderId="27" xfId="9" applyFont="1" applyBorder="1" applyAlignment="1">
      <alignment horizontal="center" vertical="center"/>
    </xf>
    <xf numFmtId="0" fontId="11" fillId="0" borderId="24" xfId="8" applyFont="1" applyBorder="1" applyAlignment="1"/>
    <xf numFmtId="0" fontId="11" fillId="0" borderId="26" xfId="8" applyFont="1" applyBorder="1" applyAlignment="1"/>
    <xf numFmtId="1" fontId="11" fillId="0" borderId="20" xfId="9" applyNumberFormat="1" applyFont="1" applyBorder="1" applyAlignment="1">
      <alignment horizontal="center" vertical="center"/>
    </xf>
    <xf numFmtId="1" fontId="11" fillId="2" borderId="20" xfId="9" applyNumberFormat="1" applyFont="1" applyFill="1" applyBorder="1" applyAlignment="1">
      <alignment horizontal="center" vertical="center"/>
    </xf>
    <xf numFmtId="179" fontId="11" fillId="0" borderId="20" xfId="9" applyNumberFormat="1" applyFont="1" applyBorder="1" applyAlignment="1">
      <alignment horizontal="center" vertical="center"/>
    </xf>
    <xf numFmtId="20" fontId="11" fillId="0" borderId="20" xfId="9" applyNumberFormat="1" applyFont="1" applyBorder="1" applyAlignment="1">
      <alignment horizontal="center" vertical="center"/>
    </xf>
    <xf numFmtId="180" fontId="11" fillId="0" borderId="20" xfId="9" applyNumberFormat="1" applyFont="1" applyBorder="1" applyAlignment="1">
      <alignment horizontal="center" vertical="center"/>
    </xf>
    <xf numFmtId="177" fontId="11" fillId="0" borderId="20" xfId="9" applyNumberFormat="1" applyFont="1" applyBorder="1" applyAlignment="1">
      <alignment horizontal="center" vertical="center"/>
    </xf>
    <xf numFmtId="1" fontId="11" fillId="0" borderId="2" xfId="9" applyNumberFormat="1" applyFont="1" applyBorder="1" applyAlignment="1">
      <alignment horizontal="center" vertical="center"/>
    </xf>
    <xf numFmtId="1" fontId="11" fillId="2" borderId="2" xfId="9" applyNumberFormat="1" applyFont="1" applyFill="1" applyBorder="1" applyAlignment="1">
      <alignment horizontal="center" vertical="center"/>
    </xf>
    <xf numFmtId="177" fontId="11" fillId="0" borderId="2" xfId="9" applyNumberFormat="1" applyFont="1" applyBorder="1" applyAlignment="1">
      <alignment horizontal="center" vertical="center"/>
    </xf>
    <xf numFmtId="180" fontId="11" fillId="0" borderId="2" xfId="9" applyNumberFormat="1" applyFont="1" applyBorder="1" applyAlignment="1">
      <alignment horizontal="center" vertical="center"/>
    </xf>
    <xf numFmtId="181" fontId="11" fillId="0" borderId="2" xfId="9" applyNumberFormat="1" applyFont="1" applyBorder="1" applyAlignment="1">
      <alignment horizontal="center" vertical="center"/>
    </xf>
    <xf numFmtId="179" fontId="11" fillId="0" borderId="2" xfId="9" applyNumberFormat="1" applyFont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1" fillId="0" borderId="2" xfId="9" applyFont="1" applyBorder="1" applyAlignment="1">
      <alignment horizontal="center" vertical="center" wrapText="1"/>
    </xf>
    <xf numFmtId="20" fontId="11" fillId="0" borderId="2" xfId="9" applyNumberFormat="1" applyFont="1" applyBorder="1" applyAlignment="1">
      <alignment horizontal="center" vertical="center"/>
    </xf>
    <xf numFmtId="1" fontId="11" fillId="0" borderId="13" xfId="9" applyNumberFormat="1" applyFont="1" applyBorder="1" applyAlignment="1">
      <alignment horizontal="center" vertical="center"/>
    </xf>
    <xf numFmtId="177" fontId="11" fillId="0" borderId="13" xfId="9" applyNumberFormat="1" applyFont="1" applyBorder="1" applyAlignment="1">
      <alignment horizontal="center" vertical="center"/>
    </xf>
    <xf numFmtId="180" fontId="11" fillId="0" borderId="13" xfId="9" applyNumberFormat="1" applyFont="1" applyBorder="1" applyAlignment="1">
      <alignment horizontal="center" vertical="center"/>
    </xf>
    <xf numFmtId="181" fontId="11" fillId="0" borderId="13" xfId="9" applyNumberFormat="1" applyFont="1" applyBorder="1" applyAlignment="1">
      <alignment horizontal="center" vertical="center"/>
    </xf>
    <xf numFmtId="178" fontId="11" fillId="0" borderId="13" xfId="11" applyNumberFormat="1" applyFont="1" applyBorder="1" applyAlignment="1">
      <alignment horizontal="center" vertical="center"/>
    </xf>
    <xf numFmtId="43" fontId="11" fillId="0" borderId="2" xfId="10" applyFont="1" applyBorder="1" applyAlignment="1">
      <alignment horizontal="center" vertical="center"/>
    </xf>
    <xf numFmtId="180" fontId="11" fillId="0" borderId="16" xfId="9" applyNumberFormat="1" applyFont="1" applyBorder="1" applyAlignment="1">
      <alignment horizontal="center" vertical="center"/>
    </xf>
    <xf numFmtId="178" fontId="11" fillId="0" borderId="16" xfId="11" applyNumberFormat="1" applyFont="1" applyBorder="1" applyAlignment="1">
      <alignment horizontal="center" vertical="center"/>
    </xf>
    <xf numFmtId="182" fontId="11" fillId="0" borderId="2" xfId="9" applyNumberFormat="1" applyFont="1" applyBorder="1" applyAlignment="1">
      <alignment horizontal="center" vertical="center"/>
    </xf>
    <xf numFmtId="20" fontId="11" fillId="0" borderId="2" xfId="8" applyNumberFormat="1" applyFont="1" applyBorder="1" applyAlignment="1">
      <alignment horizontal="center" vertical="center"/>
    </xf>
    <xf numFmtId="178" fontId="11" fillId="0" borderId="21" xfId="11" applyNumberFormat="1" applyFont="1" applyBorder="1" applyAlignment="1">
      <alignment horizontal="center" vertical="center"/>
    </xf>
    <xf numFmtId="0" fontId="11" fillId="0" borderId="2" xfId="8" applyFont="1" applyBorder="1" applyAlignment="1">
      <alignment horizontal="center"/>
    </xf>
    <xf numFmtId="178" fontId="11" fillId="0" borderId="24" xfId="11" applyNumberFormat="1" applyFont="1" applyBorder="1" applyAlignment="1">
      <alignment horizontal="center" vertical="center"/>
    </xf>
    <xf numFmtId="177" fontId="3" fillId="0" borderId="13" xfId="12" applyNumberFormat="1" applyFont="1" applyBorder="1" applyAlignment="1">
      <alignment horizontal="center" vertical="center"/>
    </xf>
    <xf numFmtId="179" fontId="3" fillId="0" borderId="13" xfId="12" applyNumberFormat="1" applyFont="1" applyBorder="1" applyAlignment="1">
      <alignment horizontal="center" vertical="center"/>
    </xf>
    <xf numFmtId="177" fontId="3" fillId="0" borderId="4" xfId="12" applyNumberFormat="1" applyFont="1" applyBorder="1" applyAlignment="1">
      <alignment horizontal="center" vertical="center"/>
    </xf>
    <xf numFmtId="180" fontId="3" fillId="0" borderId="23" xfId="12" applyNumberFormat="1" applyFont="1" applyBorder="1" applyAlignment="1">
      <alignment horizontal="center" vertical="center"/>
    </xf>
    <xf numFmtId="178" fontId="3" fillId="0" borderId="2" xfId="4" applyNumberFormat="1" applyFont="1" applyBorder="1" applyAlignment="1">
      <alignment horizontal="center" vertical="center"/>
    </xf>
    <xf numFmtId="0" fontId="3" fillId="0" borderId="0" xfId="12" applyFont="1">
      <alignment vertical="center"/>
    </xf>
    <xf numFmtId="43" fontId="3" fillId="0" borderId="2" xfId="10" applyFont="1" applyBorder="1" applyAlignment="1">
      <alignment horizontal="center" vertical="center"/>
    </xf>
    <xf numFmtId="0" fontId="3" fillId="0" borderId="2" xfId="12" applyFont="1" applyBorder="1" applyAlignment="1">
      <alignment horizontal="center" vertical="center"/>
    </xf>
    <xf numFmtId="1" fontId="3" fillId="2" borderId="2" xfId="12" applyNumberFormat="1" applyFont="1" applyFill="1" applyBorder="1" applyAlignment="1">
      <alignment horizontal="center" vertical="center"/>
    </xf>
    <xf numFmtId="1" fontId="3" fillId="0" borderId="2" xfId="12" applyNumberFormat="1" applyFont="1" applyBorder="1" applyAlignment="1">
      <alignment horizontal="center" vertical="center"/>
    </xf>
    <xf numFmtId="177" fontId="3" fillId="0" borderId="2" xfId="12" applyNumberFormat="1" applyFont="1" applyBorder="1" applyAlignment="1">
      <alignment horizontal="center" vertical="center"/>
    </xf>
    <xf numFmtId="178" fontId="11" fillId="0" borderId="22" xfId="11" applyNumberFormat="1" applyFont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20" fontId="3" fillId="0" borderId="2" xfId="13" applyNumberFormat="1" applyFont="1" applyBorder="1" applyAlignment="1">
      <alignment horizontal="center" vertical="center"/>
    </xf>
    <xf numFmtId="180" fontId="3" fillId="0" borderId="18" xfId="12" applyNumberFormat="1" applyFont="1" applyBorder="1" applyAlignment="1">
      <alignment horizontal="center" vertical="center"/>
    </xf>
    <xf numFmtId="0" fontId="3" fillId="0" borderId="2" xfId="12" applyFont="1" applyBorder="1" applyAlignment="1">
      <alignment horizontal="center"/>
    </xf>
    <xf numFmtId="180" fontId="11" fillId="0" borderId="19" xfId="9" applyNumberFormat="1" applyFont="1" applyBorder="1" applyAlignment="1">
      <alignment horizontal="center" vertical="center"/>
    </xf>
    <xf numFmtId="181" fontId="11" fillId="0" borderId="19" xfId="9" applyNumberFormat="1" applyFont="1" applyBorder="1" applyAlignment="1">
      <alignment horizontal="center" vertical="center"/>
    </xf>
    <xf numFmtId="179" fontId="3" fillId="0" borderId="2" xfId="12" applyNumberFormat="1" applyFont="1" applyBorder="1" applyAlignment="1">
      <alignment horizontal="center" vertical="center"/>
    </xf>
    <xf numFmtId="43" fontId="11" fillId="0" borderId="16" xfId="10" applyFont="1" applyBorder="1" applyAlignment="1">
      <alignment horizontal="center" vertical="center"/>
    </xf>
    <xf numFmtId="1" fontId="11" fillId="0" borderId="16" xfId="9" applyNumberFormat="1" applyFont="1" applyBorder="1" applyAlignment="1">
      <alignment horizontal="center" vertical="center"/>
    </xf>
    <xf numFmtId="177" fontId="11" fillId="0" borderId="16" xfId="9" applyNumberFormat="1" applyFont="1" applyBorder="1" applyAlignment="1">
      <alignment horizontal="center" vertical="center"/>
    </xf>
    <xf numFmtId="179" fontId="3" fillId="7" borderId="13" xfId="12" applyNumberFormat="1" applyFont="1" applyFill="1" applyBorder="1" applyAlignment="1">
      <alignment horizontal="center" vertical="center"/>
    </xf>
    <xf numFmtId="0" fontId="11" fillId="7" borderId="17" xfId="9" applyFont="1" applyFill="1" applyBorder="1" applyAlignment="1">
      <alignment horizontal="center" vertical="center" wrapText="1"/>
    </xf>
    <xf numFmtId="0" fontId="11" fillId="0" borderId="19" xfId="9" applyFont="1" applyBorder="1" applyAlignment="1">
      <alignment horizontal="center" vertical="center"/>
    </xf>
    <xf numFmtId="1" fontId="11" fillId="0" borderId="19" xfId="9" applyNumberFormat="1" applyFont="1" applyBorder="1" applyAlignment="1">
      <alignment horizontal="center" vertical="center"/>
    </xf>
    <xf numFmtId="177" fontId="11" fillId="0" borderId="19" xfId="9" applyNumberFormat="1" applyFont="1" applyBorder="1" applyAlignment="1">
      <alignment horizontal="center" vertical="center"/>
    </xf>
    <xf numFmtId="20" fontId="11" fillId="0" borderId="17" xfId="8" applyNumberFormat="1" applyFont="1" applyBorder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180" fontId="11" fillId="0" borderId="28" xfId="9" applyNumberFormat="1" applyFont="1" applyBorder="1" applyAlignment="1">
      <alignment horizontal="center" vertical="center"/>
    </xf>
    <xf numFmtId="178" fontId="11" fillId="0" borderId="28" xfId="11" applyNumberFormat="1" applyFont="1" applyBorder="1" applyAlignment="1">
      <alignment horizontal="center" vertical="center"/>
    </xf>
    <xf numFmtId="0" fontId="11" fillId="0" borderId="25" xfId="8" applyFont="1" applyBorder="1" applyAlignment="1"/>
    <xf numFmtId="1" fontId="11" fillId="2" borderId="19" xfId="9" applyNumberFormat="1" applyFont="1" applyFill="1" applyBorder="1" applyAlignment="1">
      <alignment horizontal="center" vertical="center"/>
    </xf>
    <xf numFmtId="0" fontId="11" fillId="0" borderId="28" xfId="9" applyFont="1" applyBorder="1" applyAlignment="1">
      <alignment horizontal="center" vertical="center" wrapText="1"/>
    </xf>
    <xf numFmtId="20" fontId="11" fillId="0" borderId="28" xfId="9" applyNumberFormat="1" applyFont="1" applyBorder="1" applyAlignment="1">
      <alignment horizontal="center" vertical="center"/>
    </xf>
    <xf numFmtId="0" fontId="11" fillId="0" borderId="16" xfId="9" applyFont="1" applyBorder="1" applyAlignment="1">
      <alignment horizontal="center" vertical="center" wrapText="1"/>
    </xf>
    <xf numFmtId="20" fontId="11" fillId="0" borderId="20" xfId="8" applyNumberFormat="1" applyFont="1" applyBorder="1" applyAlignment="1">
      <alignment horizontal="center" vertical="center"/>
    </xf>
    <xf numFmtId="0" fontId="11" fillId="0" borderId="0" xfId="9" applyFont="1" applyAlignment="1">
      <alignment vertical="center" wrapText="1"/>
    </xf>
    <xf numFmtId="0" fontId="11" fillId="0" borderId="2" xfId="9" applyFont="1" applyBorder="1">
      <alignment vertical="center"/>
    </xf>
    <xf numFmtId="20" fontId="11" fillId="0" borderId="31" xfId="0" applyNumberFormat="1" applyFont="1" applyBorder="1" applyAlignment="1">
      <alignment horizontal="center" vertical="center"/>
    </xf>
    <xf numFmtId="20" fontId="11" fillId="0" borderId="2" xfId="0" applyNumberFormat="1" applyFont="1" applyBorder="1" applyAlignment="1">
      <alignment horizontal="center" vertical="center"/>
    </xf>
    <xf numFmtId="182" fontId="1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82" fontId="3" fillId="0" borderId="13" xfId="0" applyNumberFormat="1" applyFont="1" applyBorder="1" applyAlignment="1">
      <alignment horizontal="center" vertical="center"/>
    </xf>
    <xf numFmtId="182" fontId="3" fillId="7" borderId="2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33" xfId="9" applyFont="1" applyBorder="1" applyAlignment="1">
      <alignment horizontal="center"/>
    </xf>
    <xf numFmtId="0" fontId="11" fillId="0" borderId="34" xfId="8" applyFont="1" applyBorder="1" applyAlignment="1"/>
    <xf numFmtId="0" fontId="11" fillId="0" borderId="35" xfId="8" applyFont="1" applyBorder="1" applyAlignment="1"/>
    <xf numFmtId="1" fontId="11" fillId="0" borderId="36" xfId="9" applyNumberFormat="1" applyFont="1" applyBorder="1" applyAlignment="1">
      <alignment horizontal="center" vertical="center"/>
    </xf>
    <xf numFmtId="43" fontId="11" fillId="0" borderId="36" xfId="10" applyFont="1" applyBorder="1" applyAlignment="1">
      <alignment horizontal="center" vertical="center"/>
    </xf>
    <xf numFmtId="0" fontId="11" fillId="0" borderId="36" xfId="9" applyFont="1" applyBorder="1" applyAlignment="1">
      <alignment horizontal="center" vertical="center" wrapText="1"/>
    </xf>
    <xf numFmtId="1" fontId="11" fillId="2" borderId="36" xfId="9" applyNumberFormat="1" applyFont="1" applyFill="1" applyBorder="1" applyAlignment="1">
      <alignment horizontal="center" vertical="center"/>
    </xf>
    <xf numFmtId="177" fontId="11" fillId="0" borderId="36" xfId="9" applyNumberFormat="1" applyFont="1" applyBorder="1" applyAlignment="1">
      <alignment horizontal="center" vertical="center"/>
    </xf>
    <xf numFmtId="0" fontId="11" fillId="2" borderId="36" xfId="9" applyFont="1" applyFill="1" applyBorder="1" applyAlignment="1">
      <alignment horizontal="center" vertical="center"/>
    </xf>
    <xf numFmtId="180" fontId="11" fillId="0" borderId="36" xfId="9" applyNumberFormat="1" applyFont="1" applyBorder="1" applyAlignment="1">
      <alignment horizontal="center" vertical="center"/>
    </xf>
    <xf numFmtId="181" fontId="11" fillId="0" borderId="36" xfId="9" applyNumberFormat="1" applyFont="1" applyBorder="1" applyAlignment="1">
      <alignment horizontal="center" vertical="center"/>
    </xf>
    <xf numFmtId="0" fontId="11" fillId="0" borderId="41" xfId="9" applyFont="1" applyBorder="1" applyAlignment="1">
      <alignment horizontal="center"/>
    </xf>
    <xf numFmtId="0" fontId="11" fillId="10" borderId="42" xfId="9" applyFont="1" applyFill="1" applyBorder="1" applyAlignment="1">
      <alignment horizontal="center"/>
    </xf>
    <xf numFmtId="177" fontId="11" fillId="10" borderId="42" xfId="9" applyNumberFormat="1" applyFont="1" applyFill="1" applyBorder="1" applyAlignment="1">
      <alignment horizontal="center" vertical="center"/>
    </xf>
    <xf numFmtId="43" fontId="11" fillId="10" borderId="42" xfId="10" applyFont="1" applyFill="1" applyBorder="1" applyAlignment="1">
      <alignment horizontal="center" vertical="center"/>
    </xf>
    <xf numFmtId="0" fontId="11" fillId="10" borderId="42" xfId="9" applyFont="1" applyFill="1" applyBorder="1" applyAlignment="1">
      <alignment horizontal="center" vertical="center"/>
    </xf>
    <xf numFmtId="1" fontId="11" fillId="10" borderId="42" xfId="9" applyNumberFormat="1" applyFont="1" applyFill="1" applyBorder="1" applyAlignment="1">
      <alignment horizontal="center" vertical="center"/>
    </xf>
    <xf numFmtId="180" fontId="11" fillId="0" borderId="42" xfId="9" applyNumberFormat="1" applyFont="1" applyBorder="1" applyAlignment="1">
      <alignment horizontal="center" vertical="center"/>
    </xf>
    <xf numFmtId="181" fontId="11" fillId="0" borderId="42" xfId="9" applyNumberFormat="1" applyFont="1" applyBorder="1" applyAlignment="1">
      <alignment horizontal="center" vertical="center"/>
    </xf>
    <xf numFmtId="178" fontId="11" fillId="0" borderId="42" xfId="11" applyNumberFormat="1" applyFont="1" applyFill="1" applyBorder="1" applyAlignment="1">
      <alignment horizontal="center" vertical="center"/>
    </xf>
    <xf numFmtId="179" fontId="11" fillId="0" borderId="42" xfId="9" applyNumberFormat="1" applyFont="1" applyBorder="1" applyAlignment="1">
      <alignment horizontal="center" vertical="center"/>
    </xf>
    <xf numFmtId="0" fontId="11" fillId="0" borderId="41" xfId="9" applyFont="1" applyBorder="1" applyAlignment="1">
      <alignment horizontal="center" vertical="center" wrapText="1"/>
    </xf>
    <xf numFmtId="177" fontId="11" fillId="0" borderId="42" xfId="9" applyNumberFormat="1" applyFont="1" applyBorder="1" applyAlignment="1">
      <alignment horizontal="center" vertical="center"/>
    </xf>
    <xf numFmtId="43" fontId="11" fillId="0" borderId="31" xfId="10" applyFont="1" applyBorder="1" applyAlignment="1">
      <alignment horizontal="center" vertical="center"/>
    </xf>
    <xf numFmtId="0" fontId="11" fillId="0" borderId="31" xfId="9" applyFont="1" applyBorder="1" applyAlignment="1">
      <alignment horizontal="center" vertical="center"/>
    </xf>
    <xf numFmtId="1" fontId="11" fillId="0" borderId="31" xfId="9" applyNumberFormat="1" applyFont="1" applyBorder="1" applyAlignment="1">
      <alignment horizontal="center" vertical="center"/>
    </xf>
    <xf numFmtId="177" fontId="11" fillId="0" borderId="31" xfId="9" applyNumberFormat="1" applyFont="1" applyBorder="1" applyAlignment="1">
      <alignment horizontal="center" vertical="center"/>
    </xf>
    <xf numFmtId="180" fontId="11" fillId="0" borderId="31" xfId="9" applyNumberFormat="1" applyFont="1" applyBorder="1" applyAlignment="1">
      <alignment horizontal="center" vertical="center"/>
    </xf>
    <xf numFmtId="181" fontId="11" fillId="0" borderId="31" xfId="9" applyNumberFormat="1" applyFont="1" applyBorder="1" applyAlignment="1">
      <alignment horizontal="center" vertical="center"/>
    </xf>
    <xf numFmtId="0" fontId="11" fillId="0" borderId="31" xfId="9" applyFont="1" applyBorder="1" applyAlignment="1">
      <alignment horizontal="center" vertical="center" wrapText="1"/>
    </xf>
    <xf numFmtId="0" fontId="11" fillId="0" borderId="11" xfId="9" applyFont="1" applyBorder="1" applyAlignment="1">
      <alignment horizontal="center"/>
    </xf>
    <xf numFmtId="0" fontId="11" fillId="10" borderId="11" xfId="9" applyFont="1" applyFill="1" applyBorder="1" applyAlignment="1">
      <alignment horizontal="center"/>
    </xf>
    <xf numFmtId="1" fontId="11" fillId="10" borderId="11" xfId="9" applyNumberFormat="1" applyFont="1" applyFill="1" applyBorder="1" applyAlignment="1">
      <alignment horizontal="center" vertical="center"/>
    </xf>
    <xf numFmtId="43" fontId="11" fillId="10" borderId="11" xfId="10" applyFont="1" applyFill="1" applyBorder="1" applyAlignment="1">
      <alignment horizontal="center" vertical="center"/>
    </xf>
    <xf numFmtId="0" fontId="11" fillId="10" borderId="11" xfId="9" applyFont="1" applyFill="1" applyBorder="1" applyAlignment="1">
      <alignment horizontal="center" vertical="center"/>
    </xf>
    <xf numFmtId="177" fontId="11" fillId="10" borderId="11" xfId="9" applyNumberFormat="1" applyFont="1" applyFill="1" applyBorder="1" applyAlignment="1">
      <alignment horizontal="center" vertical="center"/>
    </xf>
    <xf numFmtId="180" fontId="11" fillId="0" borderId="11" xfId="9" applyNumberFormat="1" applyFont="1" applyBorder="1" applyAlignment="1">
      <alignment horizontal="center" vertical="center"/>
    </xf>
    <xf numFmtId="181" fontId="11" fillId="0" borderId="11" xfId="9" applyNumberFormat="1" applyFont="1" applyBorder="1" applyAlignment="1">
      <alignment horizontal="center" vertical="center"/>
    </xf>
    <xf numFmtId="178" fontId="11" fillId="0" borderId="11" xfId="11" applyNumberFormat="1" applyFont="1" applyFill="1" applyBorder="1" applyAlignment="1">
      <alignment horizontal="center" vertical="center"/>
    </xf>
    <xf numFmtId="179" fontId="11" fillId="0" borderId="11" xfId="9" applyNumberFormat="1" applyFont="1" applyBorder="1" applyAlignment="1">
      <alignment horizontal="center" vertical="center"/>
    </xf>
    <xf numFmtId="1" fontId="11" fillId="0" borderId="11" xfId="9" applyNumberFormat="1" applyFont="1" applyBorder="1" applyAlignment="1">
      <alignment horizontal="center" vertical="center"/>
    </xf>
    <xf numFmtId="177" fontId="11" fillId="0" borderId="11" xfId="9" applyNumberFormat="1" applyFont="1" applyBorder="1" applyAlignment="1">
      <alignment horizontal="center" vertical="center"/>
    </xf>
    <xf numFmtId="0" fontId="11" fillId="2" borderId="31" xfId="9" applyFont="1" applyFill="1" applyBorder="1" applyAlignment="1">
      <alignment horizontal="center" vertical="center"/>
    </xf>
    <xf numFmtId="178" fontId="11" fillId="0" borderId="34" xfId="11" applyNumberFormat="1" applyFont="1" applyBorder="1" applyAlignment="1">
      <alignment horizontal="center" vertical="center"/>
    </xf>
    <xf numFmtId="182" fontId="11" fillId="10" borderId="11" xfId="9" applyNumberFormat="1" applyFont="1" applyFill="1" applyBorder="1" applyAlignment="1">
      <alignment horizontal="center" vertical="center"/>
    </xf>
    <xf numFmtId="0" fontId="11" fillId="0" borderId="11" xfId="9" applyFont="1" applyBorder="1" applyAlignment="1">
      <alignment horizontal="center" vertical="center"/>
    </xf>
    <xf numFmtId="20" fontId="11" fillId="0" borderId="11" xfId="9" applyNumberFormat="1" applyFont="1" applyBorder="1" applyAlignment="1">
      <alignment horizontal="center" vertical="center"/>
    </xf>
    <xf numFmtId="43" fontId="3" fillId="0" borderId="31" xfId="10" applyFont="1" applyBorder="1" applyAlignment="1">
      <alignment horizontal="center" vertical="center"/>
    </xf>
    <xf numFmtId="0" fontId="3" fillId="0" borderId="31" xfId="12" applyFont="1" applyBorder="1" applyAlignment="1">
      <alignment horizontal="center" vertical="center"/>
    </xf>
    <xf numFmtId="1" fontId="3" fillId="0" borderId="31" xfId="12" applyNumberFormat="1" applyFont="1" applyBorder="1" applyAlignment="1">
      <alignment horizontal="center" vertical="center"/>
    </xf>
    <xf numFmtId="177" fontId="3" fillId="0" borderId="31" xfId="12" applyNumberFormat="1" applyFont="1" applyBorder="1" applyAlignment="1">
      <alignment horizontal="center" vertical="center"/>
    </xf>
    <xf numFmtId="178" fontId="11" fillId="0" borderId="35" xfId="11" applyNumberFormat="1" applyFont="1" applyBorder="1" applyAlignment="1">
      <alignment horizontal="center" vertical="center"/>
    </xf>
    <xf numFmtId="179" fontId="3" fillId="0" borderId="31" xfId="12" applyNumberFormat="1" applyFont="1" applyBorder="1" applyAlignment="1">
      <alignment horizontal="center" vertical="center"/>
    </xf>
    <xf numFmtId="0" fontId="3" fillId="0" borderId="31" xfId="9" applyFont="1" applyBorder="1" applyAlignment="1">
      <alignment horizontal="center" vertical="center" wrapText="1"/>
    </xf>
    <xf numFmtId="177" fontId="3" fillId="0" borderId="7" xfId="12" applyNumberFormat="1" applyFont="1" applyBorder="1" applyAlignment="1">
      <alignment horizontal="center" vertical="center"/>
    </xf>
    <xf numFmtId="180" fontId="3" fillId="0" borderId="8" xfId="12" applyNumberFormat="1" applyFont="1" applyBorder="1" applyAlignment="1">
      <alignment horizontal="center" vertical="center"/>
    </xf>
    <xf numFmtId="178" fontId="3" fillId="0" borderId="31" xfId="4" applyNumberFormat="1" applyFont="1" applyBorder="1" applyAlignment="1">
      <alignment horizontal="center" vertical="center"/>
    </xf>
    <xf numFmtId="0" fontId="3" fillId="0" borderId="0" xfId="12" applyFont="1" applyAlignment="1">
      <alignment horizontal="center"/>
    </xf>
    <xf numFmtId="0" fontId="11" fillId="0" borderId="53" xfId="9" applyFont="1" applyBorder="1" applyAlignment="1">
      <alignment horizontal="center"/>
    </xf>
    <xf numFmtId="180" fontId="11" fillId="0" borderId="54" xfId="9" applyNumberFormat="1" applyFont="1" applyBorder="1" applyAlignment="1">
      <alignment horizontal="center" vertical="center"/>
    </xf>
    <xf numFmtId="181" fontId="11" fillId="0" borderId="55" xfId="9" applyNumberFormat="1" applyFont="1" applyBorder="1" applyAlignment="1">
      <alignment horizontal="center" vertical="center"/>
    </xf>
    <xf numFmtId="178" fontId="11" fillId="0" borderId="55" xfId="11" applyNumberFormat="1" applyFont="1" applyFill="1" applyBorder="1" applyAlignment="1">
      <alignment horizontal="center" vertical="center"/>
    </xf>
    <xf numFmtId="179" fontId="11" fillId="0" borderId="55" xfId="9" applyNumberFormat="1" applyFont="1" applyBorder="1" applyAlignment="1">
      <alignment horizontal="center" vertical="center"/>
    </xf>
    <xf numFmtId="0" fontId="3" fillId="0" borderId="11" xfId="9" applyFont="1" applyBorder="1" applyAlignment="1">
      <alignment horizontal="center" vertical="center" wrapText="1"/>
    </xf>
    <xf numFmtId="20" fontId="11" fillId="0" borderId="55" xfId="9" applyNumberFormat="1" applyFont="1" applyBorder="1" applyAlignment="1">
      <alignment horizontal="center" vertical="center"/>
    </xf>
    <xf numFmtId="180" fontId="11" fillId="0" borderId="53" xfId="9" applyNumberFormat="1" applyFont="1" applyBorder="1" applyAlignment="1">
      <alignment horizontal="center" vertical="center"/>
    </xf>
    <xf numFmtId="180" fontId="11" fillId="0" borderId="35" xfId="9" applyNumberFormat="1" applyFont="1" applyBorder="1" applyAlignment="1">
      <alignment horizontal="center" vertical="center"/>
    </xf>
    <xf numFmtId="0" fontId="11" fillId="0" borderId="42" xfId="9" applyFont="1" applyBorder="1" applyAlignment="1">
      <alignment horizontal="center"/>
    </xf>
    <xf numFmtId="1" fontId="11" fillId="10" borderId="55" xfId="9" applyNumberFormat="1" applyFont="1" applyFill="1" applyBorder="1" applyAlignment="1">
      <alignment horizontal="center" vertical="center"/>
    </xf>
    <xf numFmtId="179" fontId="3" fillId="0" borderId="59" xfId="12" applyNumberFormat="1" applyFont="1" applyBorder="1" applyAlignment="1">
      <alignment horizontal="center" vertical="center"/>
    </xf>
    <xf numFmtId="1" fontId="11" fillId="0" borderId="42" xfId="9" applyNumberFormat="1" applyFont="1" applyBorder="1" applyAlignment="1">
      <alignment horizontal="center" vertical="center"/>
    </xf>
    <xf numFmtId="179" fontId="11" fillId="0" borderId="36" xfId="9" applyNumberFormat="1" applyFont="1" applyBorder="1" applyAlignment="1">
      <alignment horizontal="center" vertical="center"/>
    </xf>
    <xf numFmtId="0" fontId="11" fillId="10" borderId="55" xfId="9" applyFont="1" applyFill="1" applyBorder="1" applyAlignment="1">
      <alignment horizontal="center" vertical="center"/>
    </xf>
    <xf numFmtId="177" fontId="11" fillId="10" borderId="55" xfId="9" applyNumberFormat="1" applyFont="1" applyFill="1" applyBorder="1" applyAlignment="1">
      <alignment horizontal="center" vertical="center"/>
    </xf>
    <xf numFmtId="180" fontId="11" fillId="0" borderId="55" xfId="9" applyNumberFormat="1" applyFont="1" applyBorder="1" applyAlignment="1">
      <alignment horizontal="center" vertical="center"/>
    </xf>
    <xf numFmtId="20" fontId="11" fillId="0" borderId="36" xfId="9" applyNumberFormat="1" applyFont="1" applyBorder="1" applyAlignment="1">
      <alignment horizontal="center" vertical="center"/>
    </xf>
    <xf numFmtId="43" fontId="11" fillId="10" borderId="55" xfId="10" applyFont="1" applyFill="1" applyBorder="1" applyAlignment="1">
      <alignment horizontal="center" vertical="center"/>
    </xf>
    <xf numFmtId="0" fontId="11" fillId="2" borderId="29" xfId="9" applyFont="1" applyFill="1" applyBorder="1" applyAlignment="1">
      <alignment horizontal="center" vertical="center"/>
    </xf>
    <xf numFmtId="0" fontId="9" fillId="0" borderId="17" xfId="9" applyFont="1" applyBorder="1" applyAlignment="1">
      <alignment horizontal="center" vertical="center"/>
    </xf>
    <xf numFmtId="0" fontId="9" fillId="0" borderId="17" xfId="9" applyFont="1" applyBorder="1" applyAlignment="1">
      <alignment horizontal="left" vertical="center"/>
    </xf>
    <xf numFmtId="0" fontId="11" fillId="0" borderId="17" xfId="9" applyFont="1" applyBorder="1" applyAlignment="1">
      <alignment horizontal="center" vertical="center"/>
    </xf>
    <xf numFmtId="0" fontId="11" fillId="0" borderId="20" xfId="9" applyFont="1" applyBorder="1" applyAlignment="1">
      <alignment horizontal="center" vertical="center"/>
    </xf>
    <xf numFmtId="0" fontId="7" fillId="8" borderId="20" xfId="9" applyFont="1" applyFill="1" applyBorder="1" applyAlignment="1">
      <alignment horizontal="center" vertical="center"/>
    </xf>
    <xf numFmtId="0" fontId="11" fillId="2" borderId="17" xfId="9" applyFont="1" applyFill="1" applyBorder="1" applyAlignment="1">
      <alignment horizontal="center" vertical="center"/>
    </xf>
    <xf numFmtId="0" fontId="11" fillId="2" borderId="20" xfId="9" applyFont="1" applyFill="1" applyBorder="1" applyAlignment="1">
      <alignment horizontal="center" vertical="center"/>
    </xf>
    <xf numFmtId="0" fontId="11" fillId="0" borderId="17" xfId="9" applyFont="1" applyBorder="1" applyAlignment="1">
      <alignment horizontal="center" vertical="center" wrapText="1"/>
    </xf>
    <xf numFmtId="0" fontId="11" fillId="0" borderId="21" xfId="9" applyFont="1" applyBorder="1" applyAlignment="1">
      <alignment horizontal="center" vertical="center"/>
    </xf>
    <xf numFmtId="178" fontId="11" fillId="0" borderId="36" xfId="11" applyNumberFormat="1" applyFont="1" applyBorder="1" applyAlignment="1">
      <alignment horizontal="center" vertical="center"/>
    </xf>
    <xf numFmtId="178" fontId="11" fillId="0" borderId="17" xfId="11" applyNumberFormat="1" applyFont="1" applyBorder="1" applyAlignment="1">
      <alignment horizontal="center" vertical="center"/>
    </xf>
    <xf numFmtId="178" fontId="11" fillId="0" borderId="20" xfId="11" applyNumberFormat="1" applyFont="1" applyBorder="1" applyAlignment="1">
      <alignment horizontal="center" vertical="center"/>
    </xf>
    <xf numFmtId="178" fontId="11" fillId="0" borderId="42" xfId="11" applyNumberFormat="1" applyFont="1" applyBorder="1" applyAlignment="1">
      <alignment horizontal="center" vertical="center"/>
    </xf>
    <xf numFmtId="0" fontId="11" fillId="0" borderId="36" xfId="9" applyFont="1" applyBorder="1" applyAlignment="1">
      <alignment horizontal="center" vertical="center"/>
    </xf>
    <xf numFmtId="178" fontId="11" fillId="0" borderId="31" xfId="11" applyNumberFormat="1" applyFont="1" applyBorder="1" applyAlignment="1">
      <alignment horizontal="center" vertical="center"/>
    </xf>
    <xf numFmtId="178" fontId="11" fillId="0" borderId="2" xfId="11" applyNumberFormat="1" applyFont="1" applyBorder="1" applyAlignment="1">
      <alignment horizontal="center" vertical="center"/>
    </xf>
    <xf numFmtId="178" fontId="11" fillId="0" borderId="11" xfId="11" applyNumberFormat="1" applyFont="1" applyBorder="1" applyAlignment="1">
      <alignment horizontal="center" vertical="center"/>
    </xf>
    <xf numFmtId="178" fontId="11" fillId="0" borderId="26" xfId="11" applyNumberFormat="1" applyFont="1" applyBorder="1" applyAlignment="1">
      <alignment horizontal="center" vertical="center"/>
    </xf>
    <xf numFmtId="0" fontId="11" fillId="0" borderId="16" xfId="9" applyFont="1" applyBorder="1" applyAlignment="1">
      <alignment horizontal="center" vertical="center"/>
    </xf>
    <xf numFmtId="0" fontId="11" fillId="0" borderId="37" xfId="9" applyFont="1" applyBorder="1">
      <alignment vertical="center"/>
    </xf>
    <xf numFmtId="0" fontId="11" fillId="0" borderId="42" xfId="9" applyFont="1" applyBorder="1" applyAlignment="1">
      <alignment horizontal="center" vertical="center"/>
    </xf>
    <xf numFmtId="0" fontId="11" fillId="0" borderId="55" xfId="9" applyFont="1" applyBorder="1" applyAlignment="1">
      <alignment horizontal="center" vertical="center"/>
    </xf>
    <xf numFmtId="0" fontId="11" fillId="7" borderId="17" xfId="9" applyFont="1" applyFill="1" applyBorder="1" applyAlignment="1">
      <alignment horizontal="center" vertical="center"/>
    </xf>
    <xf numFmtId="179" fontId="11" fillId="0" borderId="16" xfId="9" applyNumberFormat="1" applyFont="1" applyBorder="1" applyAlignment="1">
      <alignment horizontal="center" vertical="center"/>
    </xf>
    <xf numFmtId="0" fontId="11" fillId="0" borderId="63" xfId="8" applyFont="1" applyBorder="1" applyAlignment="1">
      <alignment horizontal="center"/>
    </xf>
    <xf numFmtId="180" fontId="11" fillId="0" borderId="65" xfId="9" applyNumberFormat="1" applyFont="1" applyBorder="1" applyAlignment="1">
      <alignment horizontal="center" vertical="center"/>
    </xf>
    <xf numFmtId="181" fontId="11" fillId="0" borderId="65" xfId="9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16" fillId="0" borderId="0" xfId="1" applyFont="1">
      <alignment vertical="center"/>
    </xf>
    <xf numFmtId="0" fontId="3" fillId="0" borderId="0" xfId="1" applyFont="1">
      <alignment vertical="center"/>
    </xf>
    <xf numFmtId="0" fontId="17" fillId="0" borderId="2" xfId="1" applyFont="1" applyBorder="1" applyAlignment="1">
      <alignment horizontal="center" vertical="center"/>
    </xf>
    <xf numFmtId="176" fontId="17" fillId="0" borderId="0" xfId="3" applyNumberFormat="1" applyFont="1" applyBorder="1" applyAlignment="1">
      <alignment vertical="center"/>
    </xf>
    <xf numFmtId="0" fontId="17" fillId="0" borderId="66" xfId="1" applyFont="1" applyBorder="1">
      <alignment vertical="center"/>
    </xf>
    <xf numFmtId="0" fontId="17" fillId="0" borderId="0" xfId="1" applyFont="1">
      <alignment vertical="center"/>
    </xf>
    <xf numFmtId="0" fontId="21" fillId="0" borderId="0" xfId="1" applyFont="1">
      <alignment vertical="center"/>
    </xf>
    <xf numFmtId="0" fontId="22" fillId="0" borderId="0" xfId="2" applyFont="1">
      <alignment vertical="center"/>
    </xf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77" fontId="25" fillId="0" borderId="2" xfId="1" applyNumberFormat="1" applyFont="1" applyBorder="1" applyAlignment="1">
      <alignment horizontal="center" vertical="center"/>
    </xf>
    <xf numFmtId="177" fontId="25" fillId="0" borderId="9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 wrapText="1"/>
    </xf>
    <xf numFmtId="1" fontId="3" fillId="0" borderId="9" xfId="1" applyNumberFormat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8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29" xfId="8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180" fontId="11" fillId="0" borderId="77" xfId="9" applyNumberFormat="1" applyFont="1" applyBorder="1" applyAlignment="1">
      <alignment horizontal="center" vertical="center"/>
    </xf>
    <xf numFmtId="178" fontId="11" fillId="0" borderId="77" xfId="11" applyNumberFormat="1" applyFont="1" applyBorder="1" applyAlignment="1">
      <alignment horizontal="center" vertical="center"/>
    </xf>
    <xf numFmtId="180" fontId="11" fillId="0" borderId="78" xfId="9" applyNumberFormat="1" applyFont="1" applyBorder="1" applyAlignment="1">
      <alignment horizontal="center" vertical="center"/>
    </xf>
    <xf numFmtId="178" fontId="11" fillId="0" borderId="79" xfId="11" applyNumberFormat="1" applyFont="1" applyBorder="1" applyAlignment="1">
      <alignment horizontal="center" vertical="center"/>
    </xf>
    <xf numFmtId="0" fontId="11" fillId="0" borderId="80" xfId="8" applyFont="1" applyBorder="1" applyAlignment="1">
      <alignment horizontal="center"/>
    </xf>
    <xf numFmtId="0" fontId="11" fillId="0" borderId="82" xfId="9" applyFont="1" applyBorder="1" applyAlignment="1">
      <alignment horizontal="center" vertical="center"/>
    </xf>
    <xf numFmtId="0" fontId="11" fillId="0" borderId="83" xfId="9" applyFont="1" applyBorder="1" applyAlignment="1">
      <alignment horizontal="center" vertical="center"/>
    </xf>
    <xf numFmtId="0" fontId="11" fillId="0" borderId="84" xfId="9" applyFont="1" applyBorder="1" applyAlignment="1">
      <alignment horizontal="center" vertical="center"/>
    </xf>
    <xf numFmtId="178" fontId="25" fillId="0" borderId="19" xfId="5" applyNumberFormat="1" applyFont="1" applyBorder="1" applyAlignment="1">
      <alignment horizontal="center" vertical="center"/>
    </xf>
    <xf numFmtId="178" fontId="25" fillId="0" borderId="85" xfId="5" applyNumberFormat="1" applyFont="1" applyBorder="1" applyAlignment="1">
      <alignment horizontal="center" vertical="center"/>
    </xf>
    <xf numFmtId="1" fontId="11" fillId="2" borderId="21" xfId="9" applyNumberFormat="1" applyFont="1" applyFill="1" applyBorder="1" applyAlignment="1">
      <alignment horizontal="center" vertical="center"/>
    </xf>
    <xf numFmtId="177" fontId="11" fillId="0" borderId="22" xfId="9" applyNumberFormat="1" applyFont="1" applyBorder="1" applyAlignment="1">
      <alignment horizontal="center" vertical="center"/>
    </xf>
    <xf numFmtId="1" fontId="11" fillId="0" borderId="77" xfId="9" applyNumberFormat="1" applyFont="1" applyBorder="1" applyAlignment="1">
      <alignment horizontal="center" vertical="center"/>
    </xf>
    <xf numFmtId="0" fontId="11" fillId="0" borderId="87" xfId="9" applyFont="1" applyBorder="1">
      <alignment vertical="center"/>
    </xf>
    <xf numFmtId="0" fontId="11" fillId="0" borderId="22" xfId="9" applyFont="1" applyBorder="1">
      <alignment vertical="center"/>
    </xf>
    <xf numFmtId="0" fontId="11" fillId="0" borderId="24" xfId="9" applyFont="1" applyBorder="1" applyAlignment="1">
      <alignment horizontal="center"/>
    </xf>
    <xf numFmtId="182" fontId="11" fillId="0" borderId="19" xfId="9" applyNumberFormat="1" applyFont="1" applyBorder="1" applyAlignment="1">
      <alignment horizontal="center" vertical="center"/>
    </xf>
    <xf numFmtId="43" fontId="11" fillId="0" borderId="19" xfId="10" applyFont="1" applyBorder="1" applyAlignment="1">
      <alignment horizontal="center" vertical="center"/>
    </xf>
    <xf numFmtId="0" fontId="11" fillId="0" borderId="81" xfId="9" applyFont="1" applyBorder="1" applyAlignment="1">
      <alignment horizontal="center" vertical="center"/>
    </xf>
    <xf numFmtId="0" fontId="11" fillId="0" borderId="88" xfId="9" applyFont="1" applyBorder="1" applyAlignment="1">
      <alignment horizontal="center" vertical="center"/>
    </xf>
    <xf numFmtId="0" fontId="11" fillId="0" borderId="88" xfId="8" applyFont="1" applyBorder="1" applyAlignment="1"/>
    <xf numFmtId="0" fontId="11" fillId="0" borderId="29" xfId="8" applyFont="1" applyBorder="1" applyAlignment="1"/>
    <xf numFmtId="182" fontId="11" fillId="0" borderId="13" xfId="9" applyNumberFormat="1" applyFont="1" applyBorder="1" applyAlignment="1">
      <alignment horizontal="center" vertical="center"/>
    </xf>
    <xf numFmtId="43" fontId="11" fillId="0" borderId="13" xfId="10" applyFont="1" applyBorder="1" applyAlignment="1">
      <alignment horizontal="center" vertical="center"/>
    </xf>
    <xf numFmtId="0" fontId="11" fillId="0" borderId="13" xfId="9" applyFont="1" applyBorder="1" applyAlignment="1">
      <alignment horizontal="center" vertical="center"/>
    </xf>
    <xf numFmtId="1" fontId="11" fillId="2" borderId="13" xfId="9" applyNumberFormat="1" applyFont="1" applyFill="1" applyBorder="1" applyAlignment="1">
      <alignment horizontal="center" vertical="center"/>
    </xf>
    <xf numFmtId="0" fontId="11" fillId="2" borderId="13" xfId="9" applyFont="1" applyFill="1" applyBorder="1" applyAlignment="1">
      <alignment horizontal="center" vertical="center"/>
    </xf>
    <xf numFmtId="0" fontId="11" fillId="0" borderId="89" xfId="9" applyFont="1" applyBorder="1" applyAlignment="1">
      <alignment horizontal="center"/>
    </xf>
    <xf numFmtId="0" fontId="11" fillId="0" borderId="90" xfId="8" applyFont="1" applyBorder="1" applyAlignment="1"/>
    <xf numFmtId="0" fontId="11" fillId="0" borderId="91" xfId="8" applyFont="1" applyBorder="1" applyAlignment="1"/>
    <xf numFmtId="0" fontId="11" fillId="0" borderId="92" xfId="9" applyFont="1" applyBorder="1" applyAlignment="1">
      <alignment horizontal="center"/>
    </xf>
    <xf numFmtId="0" fontId="11" fillId="0" borderId="92" xfId="8" applyFont="1" applyBorder="1" applyAlignment="1"/>
    <xf numFmtId="0" fontId="11" fillId="0" borderId="93" xfId="8" applyFont="1" applyBorder="1" applyAlignment="1"/>
    <xf numFmtId="1" fontId="11" fillId="2" borderId="92" xfId="9" applyNumberFormat="1" applyFont="1" applyFill="1" applyBorder="1" applyAlignment="1">
      <alignment horizontal="center" vertical="center"/>
    </xf>
    <xf numFmtId="177" fontId="11" fillId="0" borderId="93" xfId="9" applyNumberFormat="1" applyFont="1" applyBorder="1" applyAlignment="1">
      <alignment horizontal="center" vertical="center"/>
    </xf>
    <xf numFmtId="180" fontId="11" fillId="0" borderId="95" xfId="9" applyNumberFormat="1" applyFont="1" applyBorder="1" applyAlignment="1">
      <alignment horizontal="center" vertical="center"/>
    </xf>
    <xf numFmtId="178" fontId="11" fillId="0" borderId="96" xfId="11" applyNumberFormat="1" applyFont="1" applyBorder="1" applyAlignment="1">
      <alignment horizontal="center" vertical="center"/>
    </xf>
    <xf numFmtId="0" fontId="11" fillId="2" borderId="21" xfId="9" applyFont="1" applyFill="1" applyBorder="1" applyAlignment="1">
      <alignment horizontal="center" vertical="center"/>
    </xf>
    <xf numFmtId="20" fontId="3" fillId="0" borderId="98" xfId="13" applyNumberFormat="1" applyFont="1" applyBorder="1" applyAlignment="1">
      <alignment horizontal="center" vertical="center"/>
    </xf>
    <xf numFmtId="1" fontId="11" fillId="0" borderId="97" xfId="9" applyNumberFormat="1" applyFont="1" applyBorder="1" applyAlignment="1">
      <alignment horizontal="center" vertical="center"/>
    </xf>
    <xf numFmtId="177" fontId="11" fillId="0" borderId="99" xfId="9" applyNumberFormat="1" applyFont="1" applyBorder="1" applyAlignment="1">
      <alignment horizontal="center" vertical="center"/>
    </xf>
    <xf numFmtId="179" fontId="11" fillId="0" borderId="100" xfId="9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20" fontId="11" fillId="0" borderId="21" xfId="9" applyNumberFormat="1" applyFont="1" applyBorder="1" applyAlignment="1">
      <alignment horizontal="center" vertical="center"/>
    </xf>
    <xf numFmtId="180" fontId="11" fillId="0" borderId="22" xfId="9" applyNumberFormat="1" applyFont="1" applyBorder="1" applyAlignment="1">
      <alignment horizontal="center" vertical="center"/>
    </xf>
    <xf numFmtId="182" fontId="11" fillId="0" borderId="31" xfId="0" applyNumberFormat="1" applyFont="1" applyBorder="1" applyAlignment="1">
      <alignment horizontal="center" vertical="center"/>
    </xf>
    <xf numFmtId="182" fontId="3" fillId="0" borderId="31" xfId="0" applyNumberFormat="1" applyFont="1" applyBorder="1" applyAlignment="1">
      <alignment horizontal="center" vertical="center"/>
    </xf>
    <xf numFmtId="1" fontId="11" fillId="2" borderId="31" xfId="9" applyNumberFormat="1" applyFont="1" applyFill="1" applyBorder="1" applyAlignment="1">
      <alignment horizontal="center" vertical="center"/>
    </xf>
    <xf numFmtId="179" fontId="11" fillId="0" borderId="31" xfId="9" applyNumberFormat="1" applyFont="1" applyBorder="1" applyAlignment="1">
      <alignment horizontal="center" vertical="center"/>
    </xf>
    <xf numFmtId="182" fontId="11" fillId="0" borderId="31" xfId="9" applyNumberFormat="1" applyFont="1" applyBorder="1" applyAlignment="1">
      <alignment horizontal="center" vertical="center"/>
    </xf>
    <xf numFmtId="1" fontId="3" fillId="2" borderId="31" xfId="12" applyNumberFormat="1" applyFont="1" applyFill="1" applyBorder="1" applyAlignment="1">
      <alignment horizontal="center" vertical="center"/>
    </xf>
    <xf numFmtId="20" fontId="11" fillId="0" borderId="13" xfId="0" applyNumberFormat="1" applyFont="1" applyBorder="1" applyAlignment="1">
      <alignment horizontal="center" vertical="center"/>
    </xf>
    <xf numFmtId="180" fontId="3" fillId="0" borderId="2" xfId="12" applyNumberFormat="1" applyFont="1" applyBorder="1" applyAlignment="1">
      <alignment horizontal="center" vertical="center"/>
    </xf>
    <xf numFmtId="179" fontId="11" fillId="0" borderId="79" xfId="9" applyNumberFormat="1" applyFont="1" applyBorder="1" applyAlignment="1">
      <alignment horizontal="center" vertical="center"/>
    </xf>
    <xf numFmtId="179" fontId="11" fillId="0" borderId="104" xfId="9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" fontId="11" fillId="2" borderId="77" xfId="9" applyNumberFormat="1" applyFont="1" applyFill="1" applyBorder="1" applyAlignment="1">
      <alignment horizontal="center" vertical="center"/>
    </xf>
    <xf numFmtId="0" fontId="11" fillId="0" borderId="106" xfId="8" applyFont="1" applyBorder="1" applyAlignment="1">
      <alignment horizontal="center"/>
    </xf>
    <xf numFmtId="0" fontId="11" fillId="0" borderId="107" xfId="8" applyFont="1" applyBorder="1" applyAlignment="1">
      <alignment horizontal="center"/>
    </xf>
    <xf numFmtId="43" fontId="3" fillId="0" borderId="13" xfId="10" applyFont="1" applyBorder="1" applyAlignment="1">
      <alignment horizontal="center" vertical="center"/>
    </xf>
    <xf numFmtId="0" fontId="3" fillId="0" borderId="13" xfId="12" applyFont="1" applyBorder="1" applyAlignment="1">
      <alignment horizontal="center" vertical="center"/>
    </xf>
    <xf numFmtId="1" fontId="11" fillId="2" borderId="16" xfId="9" applyNumberFormat="1" applyFont="1" applyFill="1" applyBorder="1" applyAlignment="1">
      <alignment horizontal="center" vertical="center"/>
    </xf>
    <xf numFmtId="1" fontId="3" fillId="2" borderId="13" xfId="12" applyNumberFormat="1" applyFont="1" applyFill="1" applyBorder="1" applyAlignment="1">
      <alignment horizontal="center" vertical="center"/>
    </xf>
    <xf numFmtId="1" fontId="3" fillId="0" borderId="13" xfId="12" applyNumberFormat="1" applyFont="1" applyBorder="1" applyAlignment="1">
      <alignment horizontal="center" vertical="center"/>
    </xf>
    <xf numFmtId="178" fontId="11" fillId="0" borderId="29" xfId="11" applyNumberFormat="1" applyFont="1" applyBorder="1" applyAlignment="1">
      <alignment horizontal="center" vertical="center"/>
    </xf>
    <xf numFmtId="182" fontId="3" fillId="0" borderId="2" xfId="0" applyNumberFormat="1" applyFont="1" applyBorder="1" applyAlignment="1">
      <alignment horizontal="center" vertical="center"/>
    </xf>
    <xf numFmtId="0" fontId="11" fillId="0" borderId="98" xfId="9" applyFont="1" applyBorder="1" applyAlignment="1">
      <alignment horizontal="center"/>
    </xf>
    <xf numFmtId="0" fontId="11" fillId="0" borderId="1" xfId="8" applyFont="1" applyBorder="1" applyAlignment="1"/>
    <xf numFmtId="0" fontId="11" fillId="0" borderId="98" xfId="8" applyFont="1" applyBorder="1" applyAlignment="1"/>
    <xf numFmtId="0" fontId="11" fillId="0" borderId="37" xfId="8" applyFont="1" applyBorder="1" applyAlignment="1"/>
    <xf numFmtId="0" fontId="11" fillId="10" borderId="19" xfId="9" applyFont="1" applyFill="1" applyBorder="1" applyAlignment="1">
      <alignment horizontal="center"/>
    </xf>
    <xf numFmtId="182" fontId="11" fillId="10" borderId="19" xfId="9" applyNumberFormat="1" applyFont="1" applyFill="1" applyBorder="1" applyAlignment="1">
      <alignment horizontal="center" vertical="center"/>
    </xf>
    <xf numFmtId="43" fontId="11" fillId="10" borderId="19" xfId="10" applyFont="1" applyFill="1" applyBorder="1" applyAlignment="1">
      <alignment horizontal="center" vertical="center"/>
    </xf>
    <xf numFmtId="0" fontId="11" fillId="10" borderId="19" xfId="9" applyFont="1" applyFill="1" applyBorder="1" applyAlignment="1">
      <alignment horizontal="center" vertical="center"/>
    </xf>
    <xf numFmtId="1" fontId="11" fillId="10" borderId="19" xfId="9" applyNumberFormat="1" applyFont="1" applyFill="1" applyBorder="1" applyAlignment="1">
      <alignment horizontal="center" vertical="center"/>
    </xf>
    <xf numFmtId="177" fontId="11" fillId="10" borderId="19" xfId="9" applyNumberFormat="1" applyFont="1" applyFill="1" applyBorder="1" applyAlignment="1">
      <alignment horizontal="center" vertical="center"/>
    </xf>
    <xf numFmtId="178" fontId="11" fillId="0" borderId="19" xfId="11" applyNumberFormat="1" applyFont="1" applyFill="1" applyBorder="1" applyAlignment="1">
      <alignment horizontal="center" vertical="center"/>
    </xf>
    <xf numFmtId="177" fontId="11" fillId="0" borderId="108" xfId="9" applyNumberFormat="1" applyFont="1" applyBorder="1" applyAlignment="1">
      <alignment horizontal="center" vertical="center"/>
    </xf>
    <xf numFmtId="0" fontId="11" fillId="2" borderId="105" xfId="9" applyFont="1" applyFill="1" applyBorder="1" applyAlignment="1">
      <alignment horizontal="center" vertical="center"/>
    </xf>
    <xf numFmtId="180" fontId="3" fillId="0" borderId="109" xfId="12" applyNumberFormat="1" applyFont="1" applyBorder="1" applyAlignment="1">
      <alignment horizontal="center" vertical="center"/>
    </xf>
    <xf numFmtId="0" fontId="11" fillId="0" borderId="19" xfId="8" applyFont="1" applyBorder="1" applyAlignment="1">
      <alignment horizontal="center"/>
    </xf>
    <xf numFmtId="0" fontId="11" fillId="0" borderId="27" xfId="9" applyFont="1" applyBorder="1" applyAlignment="1">
      <alignment horizontal="center"/>
    </xf>
    <xf numFmtId="0" fontId="11" fillId="0" borderId="111" xfId="8" applyFont="1" applyBorder="1" applyAlignment="1"/>
    <xf numFmtId="0" fontId="11" fillId="0" borderId="27" xfId="8" applyFont="1" applyBorder="1" applyAlignment="1"/>
    <xf numFmtId="43" fontId="11" fillId="0" borderId="20" xfId="10" applyFont="1" applyBorder="1" applyAlignment="1">
      <alignment horizontal="center" vertical="center"/>
    </xf>
    <xf numFmtId="181" fontId="11" fillId="0" borderId="20" xfId="9" applyNumberFormat="1" applyFont="1" applyBorder="1" applyAlignment="1">
      <alignment horizontal="center" vertical="center"/>
    </xf>
    <xf numFmtId="0" fontId="11" fillId="0" borderId="88" xfId="9" applyFont="1" applyBorder="1" applyAlignment="1">
      <alignment horizontal="center"/>
    </xf>
    <xf numFmtId="0" fontId="11" fillId="2" borderId="16" xfId="9" applyFont="1" applyFill="1" applyBorder="1" applyAlignment="1">
      <alignment horizontal="center" vertical="center"/>
    </xf>
    <xf numFmtId="181" fontId="11" fillId="0" borderId="16" xfId="9" applyNumberFormat="1" applyFont="1" applyBorder="1" applyAlignment="1">
      <alignment horizontal="center" vertical="center"/>
    </xf>
    <xf numFmtId="0" fontId="11" fillId="0" borderId="2" xfId="9" applyFont="1" applyBorder="1" applyAlignment="1">
      <alignment horizontal="center"/>
    </xf>
    <xf numFmtId="0" fontId="11" fillId="0" borderId="2" xfId="8" applyFont="1" applyBorder="1" applyAlignment="1"/>
    <xf numFmtId="180" fontId="3" fillId="0" borderId="31" xfId="12" applyNumberFormat="1" applyFont="1" applyBorder="1" applyAlignment="1">
      <alignment horizontal="center" vertical="center"/>
    </xf>
    <xf numFmtId="1" fontId="11" fillId="2" borderId="30" xfId="9" applyNumberFormat="1" applyFont="1" applyFill="1" applyBorder="1" applyAlignment="1">
      <alignment horizontal="center" vertical="center"/>
    </xf>
    <xf numFmtId="1" fontId="11" fillId="0" borderId="30" xfId="9" applyNumberFormat="1" applyFont="1" applyBorder="1" applyAlignment="1">
      <alignment horizontal="center" vertical="center"/>
    </xf>
    <xf numFmtId="177" fontId="11" fillId="0" borderId="113" xfId="9" applyNumberFormat="1" applyFont="1" applyBorder="1" applyAlignment="1">
      <alignment horizontal="center" vertical="center"/>
    </xf>
    <xf numFmtId="180" fontId="3" fillId="0" borderId="114" xfId="12" applyNumberFormat="1" applyFont="1" applyBorder="1" applyAlignment="1">
      <alignment horizontal="center" vertical="center"/>
    </xf>
    <xf numFmtId="178" fontId="3" fillId="0" borderId="105" xfId="4" applyNumberFormat="1" applyFont="1" applyBorder="1" applyAlignment="1">
      <alignment horizontal="center" vertical="center"/>
    </xf>
    <xf numFmtId="178" fontId="11" fillId="0" borderId="114" xfId="11" applyNumberFormat="1" applyFont="1" applyBorder="1" applyAlignment="1">
      <alignment horizontal="center" vertical="center"/>
    </xf>
    <xf numFmtId="180" fontId="11" fillId="0" borderId="88" xfId="9" applyNumberFormat="1" applyFont="1" applyBorder="1" applyAlignment="1">
      <alignment horizontal="center" vertical="center"/>
    </xf>
    <xf numFmtId="178" fontId="11" fillId="0" borderId="30" xfId="11" applyNumberFormat="1" applyFont="1" applyBorder="1" applyAlignment="1">
      <alignment horizontal="center" vertical="center"/>
    </xf>
    <xf numFmtId="0" fontId="11" fillId="0" borderId="22" xfId="9" applyFont="1" applyBorder="1" applyAlignment="1">
      <alignment horizontal="center" vertical="center"/>
    </xf>
    <xf numFmtId="0" fontId="11" fillId="0" borderId="88" xfId="9" applyFont="1" applyBorder="1" applyAlignment="1">
      <alignment horizontal="center" vertical="center" wrapText="1"/>
    </xf>
    <xf numFmtId="20" fontId="11" fillId="0" borderId="77" xfId="9" applyNumberFormat="1" applyFont="1" applyBorder="1" applyAlignment="1">
      <alignment horizontal="center" vertical="center"/>
    </xf>
    <xf numFmtId="20" fontId="11" fillId="0" borderId="16" xfId="9" applyNumberFormat="1" applyFont="1" applyBorder="1" applyAlignment="1">
      <alignment horizontal="center" vertical="center"/>
    </xf>
    <xf numFmtId="20" fontId="11" fillId="0" borderId="78" xfId="9" applyNumberFormat="1" applyFont="1" applyBorder="1" applyAlignment="1">
      <alignment horizontal="center" vertical="center"/>
    </xf>
    <xf numFmtId="20" fontId="11" fillId="0" borderId="79" xfId="9" applyNumberFormat="1" applyFont="1" applyBorder="1" applyAlignment="1">
      <alignment horizontal="center" vertical="center"/>
    </xf>
    <xf numFmtId="0" fontId="11" fillId="0" borderId="19" xfId="9" applyFont="1" applyBorder="1" applyAlignment="1">
      <alignment horizontal="center"/>
    </xf>
    <xf numFmtId="0" fontId="6" fillId="0" borderId="19" xfId="1" applyFont="1" applyBorder="1" applyAlignment="1">
      <alignment horizontal="center" vertical="center"/>
    </xf>
    <xf numFmtId="179" fontId="11" fillId="0" borderId="19" xfId="9" applyNumberFormat="1" applyFont="1" applyBorder="1" applyAlignment="1">
      <alignment horizontal="center" vertical="center"/>
    </xf>
    <xf numFmtId="20" fontId="11" fillId="0" borderId="19" xfId="9" applyNumberFormat="1" applyFont="1" applyBorder="1" applyAlignment="1">
      <alignment horizontal="center" vertical="center"/>
    </xf>
    <xf numFmtId="0" fontId="11" fillId="0" borderId="114" xfId="8" applyFont="1" applyBorder="1" applyAlignment="1"/>
    <xf numFmtId="0" fontId="11" fillId="0" borderId="31" xfId="8" applyFont="1" applyBorder="1" applyAlignment="1">
      <alignment horizontal="center"/>
    </xf>
    <xf numFmtId="180" fontId="11" fillId="0" borderId="118" xfId="9" applyNumberFormat="1" applyFont="1" applyBorder="1" applyAlignment="1">
      <alignment horizontal="center" vertical="center"/>
    </xf>
    <xf numFmtId="178" fontId="11" fillId="0" borderId="118" xfId="11" applyNumberFormat="1" applyFont="1" applyBorder="1" applyAlignment="1">
      <alignment horizontal="center" vertical="center"/>
    </xf>
    <xf numFmtId="0" fontId="3" fillId="0" borderId="7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74" xfId="1" applyFont="1" applyBorder="1" applyAlignment="1">
      <alignment horizontal="center" vertical="center"/>
    </xf>
    <xf numFmtId="0" fontId="3" fillId="0" borderId="75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178" fontId="20" fillId="0" borderId="2" xfId="4" applyNumberFormat="1" applyFont="1" applyFill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177" fontId="17" fillId="0" borderId="2" xfId="1" applyNumberFormat="1" applyFont="1" applyBorder="1" applyAlignment="1">
      <alignment horizontal="center" vertical="center"/>
    </xf>
    <xf numFmtId="177" fontId="17" fillId="0" borderId="2" xfId="3" applyNumberFormat="1" applyFont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68" xfId="1" applyFont="1" applyFill="1" applyBorder="1" applyAlignment="1">
      <alignment horizontal="center" vertical="center"/>
    </xf>
    <xf numFmtId="0" fontId="3" fillId="0" borderId="69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7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 textRotation="255"/>
    </xf>
    <xf numFmtId="0" fontId="3" fillId="0" borderId="71" xfId="1" applyFont="1" applyBorder="1" applyAlignment="1">
      <alignment horizontal="center" vertical="center" textRotation="255"/>
    </xf>
    <xf numFmtId="0" fontId="3" fillId="0" borderId="72" xfId="1" applyFont="1" applyBorder="1" applyAlignment="1">
      <alignment horizontal="center" vertical="center" textRotation="255"/>
    </xf>
    <xf numFmtId="0" fontId="3" fillId="0" borderId="10" xfId="1" applyFont="1" applyBorder="1" applyAlignment="1">
      <alignment horizontal="center" vertical="center" wrapText="1"/>
    </xf>
    <xf numFmtId="0" fontId="3" fillId="0" borderId="72" xfId="1" applyFont="1" applyBorder="1" applyAlignment="1">
      <alignment horizontal="center" vertical="center" wrapText="1"/>
    </xf>
    <xf numFmtId="0" fontId="3" fillId="0" borderId="6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176" fontId="17" fillId="2" borderId="2" xfId="3" applyNumberFormat="1" applyFont="1" applyFill="1" applyBorder="1" applyAlignment="1">
      <alignment horizontal="center" vertical="center"/>
    </xf>
    <xf numFmtId="177" fontId="20" fillId="4" borderId="2" xfId="1" applyNumberFormat="1" applyFont="1" applyFill="1" applyBorder="1" applyAlignment="1">
      <alignment horizontal="center" vertical="center"/>
    </xf>
    <xf numFmtId="177" fontId="20" fillId="4" borderId="2" xfId="3" applyNumberFormat="1" applyFont="1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183" fontId="18" fillId="13" borderId="2" xfId="2" applyNumberFormat="1" applyFont="1" applyFill="1" applyBorder="1" applyAlignment="1">
      <alignment horizontal="center" vertical="center"/>
    </xf>
    <xf numFmtId="184" fontId="17" fillId="0" borderId="2" xfId="49" applyNumberFormat="1" applyFont="1" applyBorder="1" applyAlignment="1">
      <alignment horizontal="center" vertical="center"/>
    </xf>
    <xf numFmtId="184" fontId="17" fillId="0" borderId="2" xfId="1" applyNumberFormat="1" applyFont="1" applyBorder="1" applyAlignment="1">
      <alignment horizontal="center" vertical="center"/>
    </xf>
    <xf numFmtId="176" fontId="17" fillId="3" borderId="2" xfId="3" applyNumberFormat="1" applyFont="1" applyFill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178" fontId="3" fillId="0" borderId="50" xfId="4" applyNumberFormat="1" applyFont="1" applyBorder="1" applyAlignment="1">
      <alignment horizontal="center" vertical="center"/>
    </xf>
    <xf numFmtId="178" fontId="3" fillId="0" borderId="9" xfId="4" applyNumberFormat="1" applyFont="1" applyBorder="1" applyAlignment="1">
      <alignment horizontal="center" vertical="center"/>
    </xf>
    <xf numFmtId="178" fontId="3" fillId="0" borderId="12" xfId="4" applyNumberFormat="1" applyFont="1" applyBorder="1" applyAlignment="1">
      <alignment horizontal="center" vertical="center"/>
    </xf>
    <xf numFmtId="178" fontId="11" fillId="0" borderId="38" xfId="11" applyNumberFormat="1" applyFont="1" applyBorder="1" applyAlignment="1">
      <alignment horizontal="center" vertical="center"/>
    </xf>
    <xf numFmtId="178" fontId="11" fillId="0" borderId="39" xfId="11" applyNumberFormat="1" applyFont="1" applyBorder="1" applyAlignment="1">
      <alignment horizontal="center" vertical="center"/>
    </xf>
    <xf numFmtId="178" fontId="11" fillId="0" borderId="86" xfId="11" applyNumberFormat="1" applyFont="1" applyBorder="1" applyAlignment="1">
      <alignment horizontal="center" vertical="center"/>
    </xf>
    <xf numFmtId="178" fontId="11" fillId="0" borderId="94" xfId="11" applyNumberFormat="1" applyFont="1" applyBorder="1" applyAlignment="1">
      <alignment horizontal="center" vertical="center"/>
    </xf>
    <xf numFmtId="178" fontId="11" fillId="0" borderId="40" xfId="11" applyNumberFormat="1" applyFont="1" applyBorder="1" applyAlignment="1">
      <alignment horizontal="center" vertical="center"/>
    </xf>
    <xf numFmtId="178" fontId="11" fillId="0" borderId="43" xfId="11" applyNumberFormat="1" applyFont="1" applyBorder="1" applyAlignment="1">
      <alignment horizontal="center" vertical="center"/>
    </xf>
    <xf numFmtId="178" fontId="11" fillId="0" borderId="76" xfId="11" applyNumberFormat="1" applyFont="1" applyBorder="1" applyAlignment="1">
      <alignment horizontal="center" vertical="center"/>
    </xf>
    <xf numFmtId="0" fontId="11" fillId="0" borderId="21" xfId="9" applyFont="1" applyBorder="1" applyAlignment="1">
      <alignment horizontal="center" vertical="center"/>
    </xf>
    <xf numFmtId="0" fontId="11" fillId="0" borderId="22" xfId="9" applyFont="1" applyBorder="1" applyAlignment="1">
      <alignment horizontal="center" vertical="center"/>
    </xf>
    <xf numFmtId="0" fontId="11" fillId="0" borderId="17" xfId="9" applyFont="1" applyBorder="1" applyAlignment="1">
      <alignment horizontal="center" vertical="center"/>
    </xf>
    <xf numFmtId="0" fontId="11" fillId="0" borderId="42" xfId="9" applyFont="1" applyBorder="1" applyAlignment="1">
      <alignment horizontal="center" vertical="center"/>
    </xf>
    <xf numFmtId="0" fontId="11" fillId="0" borderId="28" xfId="9" applyFont="1" applyBorder="1" applyAlignment="1">
      <alignment horizontal="center" vertical="center"/>
    </xf>
    <xf numFmtId="0" fontId="11" fillId="0" borderId="16" xfId="9" applyFont="1" applyBorder="1" applyAlignment="1">
      <alignment horizontal="center" vertical="center"/>
    </xf>
    <xf numFmtId="0" fontId="11" fillId="10" borderId="42" xfId="9" applyFont="1" applyFill="1" applyBorder="1" applyAlignment="1"/>
    <xf numFmtId="0" fontId="11" fillId="11" borderId="60" xfId="9" applyFont="1" applyFill="1" applyBorder="1" applyAlignment="1">
      <alignment horizontal="center" vertical="center" wrapText="1"/>
    </xf>
    <xf numFmtId="0" fontId="11" fillId="11" borderId="61" xfId="9" applyFont="1" applyFill="1" applyBorder="1" applyAlignment="1">
      <alignment horizontal="center" vertical="center" wrapText="1"/>
    </xf>
    <xf numFmtId="0" fontId="11" fillId="11" borderId="62" xfId="9" applyFont="1" applyFill="1" applyBorder="1" applyAlignment="1">
      <alignment horizontal="center" vertical="center" wrapText="1"/>
    </xf>
    <xf numFmtId="178" fontId="11" fillId="0" borderId="36" xfId="11" applyNumberFormat="1" applyFont="1" applyBorder="1" applyAlignment="1">
      <alignment horizontal="center" vertical="center"/>
    </xf>
    <xf numFmtId="178" fontId="11" fillId="0" borderId="17" xfId="11" applyNumberFormat="1" applyFont="1" applyBorder="1" applyAlignment="1">
      <alignment horizontal="center" vertical="center"/>
    </xf>
    <xf numFmtId="178" fontId="11" fillId="0" borderId="20" xfId="11" applyNumberFormat="1" applyFont="1" applyBorder="1" applyAlignment="1">
      <alignment horizontal="center" vertical="center"/>
    </xf>
    <xf numFmtId="178" fontId="11" fillId="0" borderId="26" xfId="11" applyNumberFormat="1" applyFont="1" applyBorder="1" applyAlignment="1">
      <alignment horizontal="center" vertical="center"/>
    </xf>
    <xf numFmtId="178" fontId="11" fillId="0" borderId="42" xfId="11" applyNumberFormat="1" applyFont="1" applyBorder="1" applyAlignment="1">
      <alignment horizontal="center" vertical="center"/>
    </xf>
    <xf numFmtId="0" fontId="11" fillId="0" borderId="34" xfId="9" applyFont="1" applyBorder="1" applyAlignment="1">
      <alignment horizontal="center" vertical="center"/>
    </xf>
    <xf numFmtId="0" fontId="11" fillId="0" borderId="35" xfId="9" applyFont="1" applyBorder="1" applyAlignment="1">
      <alignment horizontal="center" vertical="center"/>
    </xf>
    <xf numFmtId="0" fontId="11" fillId="5" borderId="56" xfId="9" applyFont="1" applyFill="1" applyBorder="1" applyAlignment="1">
      <alignment horizontal="center" vertical="center" wrapText="1"/>
    </xf>
    <xf numFmtId="0" fontId="11" fillId="5" borderId="64" xfId="9" applyFont="1" applyFill="1" applyBorder="1" applyAlignment="1">
      <alignment horizontal="center" vertical="center" wrapText="1"/>
    </xf>
    <xf numFmtId="0" fontId="11" fillId="5" borderId="57" xfId="9" applyFont="1" applyFill="1" applyBorder="1" applyAlignment="1">
      <alignment horizontal="center" vertical="center" wrapText="1"/>
    </xf>
    <xf numFmtId="0" fontId="11" fillId="5" borderId="58" xfId="9" applyFont="1" applyFill="1" applyBorder="1" applyAlignment="1">
      <alignment horizontal="center" vertical="center"/>
    </xf>
    <xf numFmtId="178" fontId="11" fillId="0" borderId="16" xfId="11" applyNumberFormat="1" applyFont="1" applyBorder="1" applyAlignment="1">
      <alignment horizontal="center" vertical="center"/>
    </xf>
    <xf numFmtId="0" fontId="11" fillId="3" borderId="56" xfId="9" applyFont="1" applyFill="1" applyBorder="1" applyAlignment="1">
      <alignment horizontal="center" vertical="center" wrapText="1"/>
    </xf>
    <xf numFmtId="0" fontId="11" fillId="3" borderId="57" xfId="9" applyFont="1" applyFill="1" applyBorder="1" applyAlignment="1">
      <alignment horizontal="center" vertical="center"/>
    </xf>
    <xf numFmtId="0" fontId="11" fillId="3" borderId="58" xfId="9" applyFont="1" applyFill="1" applyBorder="1" applyAlignment="1">
      <alignment horizontal="center" vertical="center"/>
    </xf>
    <xf numFmtId="0" fontId="11" fillId="0" borderId="36" xfId="9" applyFont="1" applyBorder="1" applyAlignment="1">
      <alignment horizontal="center" vertical="center"/>
    </xf>
    <xf numFmtId="0" fontId="14" fillId="12" borderId="49" xfId="12" applyFont="1" applyFill="1" applyBorder="1" applyAlignment="1">
      <alignment horizontal="center" vertical="center" wrapText="1"/>
    </xf>
    <xf numFmtId="0" fontId="14" fillId="12" borderId="51" xfId="12" applyFont="1" applyFill="1" applyBorder="1" applyAlignment="1">
      <alignment horizontal="center" vertical="center" wrapText="1"/>
    </xf>
    <xf numFmtId="0" fontId="14" fillId="12" borderId="52" xfId="12" applyFont="1" applyFill="1" applyBorder="1" applyAlignment="1">
      <alignment horizontal="center" vertical="center" wrapText="1"/>
    </xf>
    <xf numFmtId="0" fontId="11" fillId="0" borderId="77" xfId="9" applyFont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1" fillId="0" borderId="41" xfId="9" applyFont="1" applyBorder="1" applyAlignment="1">
      <alignment horizontal="center" vertical="center"/>
    </xf>
    <xf numFmtId="0" fontId="11" fillId="3" borderId="44" xfId="9" applyFont="1" applyFill="1" applyBorder="1" applyAlignment="1">
      <alignment horizontal="center" vertical="center" wrapText="1"/>
    </xf>
    <xf numFmtId="0" fontId="11" fillId="3" borderId="45" xfId="9" applyFont="1" applyFill="1" applyBorder="1" applyAlignment="1">
      <alignment horizontal="center" vertical="center"/>
    </xf>
    <xf numFmtId="0" fontId="11" fillId="3" borderId="46" xfId="9" applyFont="1" applyFill="1" applyBorder="1" applyAlignment="1">
      <alignment horizontal="center" vertical="center"/>
    </xf>
    <xf numFmtId="178" fontId="11" fillId="0" borderId="31" xfId="11" applyNumberFormat="1" applyFont="1" applyBorder="1" applyAlignment="1">
      <alignment horizontal="center" vertical="center"/>
    </xf>
    <xf numFmtId="178" fontId="11" fillId="0" borderId="2" xfId="11" applyNumberFormat="1" applyFont="1" applyBorder="1" applyAlignment="1">
      <alignment horizontal="center" vertical="center"/>
    </xf>
    <xf numFmtId="178" fontId="11" fillId="0" borderId="11" xfId="11" applyNumberFormat="1" applyFont="1" applyBorder="1" applyAlignment="1">
      <alignment horizontal="center" vertical="center"/>
    </xf>
    <xf numFmtId="0" fontId="11" fillId="10" borderId="47" xfId="9" applyFont="1" applyFill="1" applyBorder="1" applyAlignment="1"/>
    <xf numFmtId="0" fontId="11" fillId="10" borderId="48" xfId="9" applyFont="1" applyFill="1" applyBorder="1" applyAlignment="1"/>
    <xf numFmtId="0" fontId="11" fillId="5" borderId="32" xfId="9" applyFont="1" applyFill="1" applyBorder="1" applyAlignment="1">
      <alignment horizontal="center" vertical="center" wrapText="1"/>
    </xf>
    <xf numFmtId="0" fontId="11" fillId="5" borderId="14" xfId="9" applyFont="1" applyFill="1" applyBorder="1" applyAlignment="1">
      <alignment horizontal="center" vertical="center"/>
    </xf>
    <xf numFmtId="0" fontId="11" fillId="5" borderId="10" xfId="9" applyFont="1" applyFill="1" applyBorder="1" applyAlignment="1">
      <alignment horizontal="center" vertical="center"/>
    </xf>
    <xf numFmtId="0" fontId="11" fillId="5" borderId="15" xfId="9" applyFont="1" applyFill="1" applyBorder="1" applyAlignment="1">
      <alignment horizontal="center" vertical="center"/>
    </xf>
    <xf numFmtId="0" fontId="11" fillId="0" borderId="22" xfId="9" applyFont="1" applyBorder="1" applyAlignment="1">
      <alignment horizontal="left" vertical="center"/>
    </xf>
    <xf numFmtId="0" fontId="11" fillId="0" borderId="21" xfId="9" applyFont="1" applyBorder="1" applyAlignment="1">
      <alignment horizontal="left" vertical="center"/>
    </xf>
    <xf numFmtId="0" fontId="11" fillId="0" borderId="88" xfId="9" applyFont="1" applyBorder="1" applyAlignment="1">
      <alignment horizontal="center" vertical="center"/>
    </xf>
    <xf numFmtId="0" fontId="11" fillId="0" borderId="29" xfId="9" applyFont="1" applyBorder="1" applyAlignment="1">
      <alignment horizontal="center" vertical="center"/>
    </xf>
    <xf numFmtId="0" fontId="11" fillId="0" borderId="17" xfId="9" applyFont="1" applyBorder="1" applyAlignment="1">
      <alignment horizontal="center" vertical="center" wrapText="1"/>
    </xf>
    <xf numFmtId="0" fontId="11" fillId="0" borderId="20" xfId="9" applyFont="1" applyBorder="1" applyAlignment="1">
      <alignment horizontal="center" vertical="center"/>
    </xf>
    <xf numFmtId="0" fontId="7" fillId="8" borderId="17" xfId="9" applyFont="1" applyFill="1" applyBorder="1" applyAlignment="1">
      <alignment horizontal="center" vertical="center"/>
    </xf>
    <xf numFmtId="0" fontId="7" fillId="8" borderId="17" xfId="9" applyFont="1" applyFill="1" applyBorder="1" applyAlignment="1">
      <alignment horizontal="center" vertical="center" wrapText="1"/>
    </xf>
    <xf numFmtId="0" fontId="7" fillId="8" borderId="20" xfId="9" applyFont="1" applyFill="1" applyBorder="1" applyAlignment="1">
      <alignment horizontal="center" vertical="center"/>
    </xf>
    <xf numFmtId="0" fontId="11" fillId="0" borderId="20" xfId="9" applyFont="1" applyBorder="1" applyAlignment="1">
      <alignment horizontal="center" vertical="center" wrapText="1"/>
    </xf>
    <xf numFmtId="0" fontId="10" fillId="0" borderId="17" xfId="9" applyFont="1" applyBorder="1" applyAlignment="1">
      <alignment horizontal="center" vertical="center" wrapText="1"/>
    </xf>
    <xf numFmtId="0" fontId="10" fillId="0" borderId="17" xfId="9" applyFont="1" applyBorder="1" applyAlignment="1">
      <alignment horizontal="center" vertical="center"/>
    </xf>
    <xf numFmtId="0" fontId="10" fillId="0" borderId="20" xfId="9" applyFont="1" applyBorder="1" applyAlignment="1">
      <alignment horizontal="center" vertical="center"/>
    </xf>
    <xf numFmtId="0" fontId="11" fillId="9" borderId="17" xfId="9" applyFont="1" applyFill="1" applyBorder="1" applyAlignment="1">
      <alignment horizontal="center" vertical="center"/>
    </xf>
    <xf numFmtId="0" fontId="11" fillId="9" borderId="20" xfId="9" applyFont="1" applyFill="1" applyBorder="1" applyAlignment="1">
      <alignment horizontal="center" vertical="center"/>
    </xf>
    <xf numFmtId="0" fontId="11" fillId="5" borderId="17" xfId="9" applyFont="1" applyFill="1" applyBorder="1" applyAlignment="1">
      <alignment horizontal="center" vertical="center" wrapText="1"/>
    </xf>
    <xf numFmtId="0" fontId="11" fillId="5" borderId="20" xfId="9" applyFont="1" applyFill="1" applyBorder="1" applyAlignment="1">
      <alignment horizontal="center" vertical="center" wrapText="1"/>
    </xf>
    <xf numFmtId="0" fontId="11" fillId="0" borderId="98" xfId="9" applyFont="1" applyBorder="1" applyAlignment="1">
      <alignment horizontal="center" vertical="center" wrapText="1"/>
    </xf>
    <xf numFmtId="0" fontId="11" fillId="0" borderId="1" xfId="9" applyFont="1" applyBorder="1" applyAlignment="1">
      <alignment horizontal="center" vertical="center" wrapText="1"/>
    </xf>
    <xf numFmtId="14" fontId="9" fillId="0" borderId="17" xfId="9" applyNumberFormat="1" applyFont="1" applyBorder="1" applyAlignment="1">
      <alignment horizontal="left" vertical="center"/>
    </xf>
    <xf numFmtId="0" fontId="11" fillId="0" borderId="30" xfId="9" applyFont="1" applyBorder="1" applyAlignment="1">
      <alignment horizontal="center" vertical="center"/>
    </xf>
    <xf numFmtId="0" fontId="12" fillId="0" borderId="17" xfId="9" applyFont="1" applyBorder="1" applyAlignment="1">
      <alignment horizontal="center" vertical="center"/>
    </xf>
    <xf numFmtId="0" fontId="11" fillId="2" borderId="32" xfId="9" applyFont="1" applyFill="1" applyBorder="1" applyAlignment="1">
      <alignment horizontal="center" vertical="center" wrapText="1"/>
    </xf>
    <xf numFmtId="0" fontId="11" fillId="2" borderId="14" xfId="9" applyFont="1" applyFill="1" applyBorder="1" applyAlignment="1">
      <alignment horizontal="center" vertical="center"/>
    </xf>
    <xf numFmtId="0" fontId="11" fillId="2" borderId="10" xfId="9" applyFont="1" applyFill="1" applyBorder="1" applyAlignment="1">
      <alignment horizontal="center" vertical="center"/>
    </xf>
    <xf numFmtId="0" fontId="11" fillId="2" borderId="15" xfId="9" applyFont="1" applyFill="1" applyBorder="1" applyAlignment="1">
      <alignment horizontal="center" vertical="center"/>
    </xf>
    <xf numFmtId="0" fontId="11" fillId="3" borderId="17" xfId="9" applyFont="1" applyFill="1" applyBorder="1" applyAlignment="1">
      <alignment horizontal="center" vertical="center"/>
    </xf>
    <xf numFmtId="0" fontId="11" fillId="3" borderId="20" xfId="9" applyFont="1" applyFill="1" applyBorder="1" applyAlignment="1">
      <alignment horizontal="center" vertical="center"/>
    </xf>
    <xf numFmtId="0" fontId="9" fillId="0" borderId="17" xfId="9" applyFont="1" applyBorder="1" applyAlignment="1">
      <alignment horizontal="center" vertical="center"/>
    </xf>
    <xf numFmtId="0" fontId="11" fillId="2" borderId="17" xfId="9" applyFont="1" applyFill="1" applyBorder="1" applyAlignment="1">
      <alignment horizontal="center" vertical="center"/>
    </xf>
    <xf numFmtId="0" fontId="11" fillId="2" borderId="20" xfId="9" applyFont="1" applyFill="1" applyBorder="1" applyAlignment="1">
      <alignment horizontal="center" vertical="center"/>
    </xf>
    <xf numFmtId="0" fontId="11" fillId="4" borderId="17" xfId="9" applyFont="1" applyFill="1" applyBorder="1" applyAlignment="1">
      <alignment horizontal="center" vertical="center"/>
    </xf>
    <xf numFmtId="0" fontId="11" fillId="4" borderId="20" xfId="9" applyFont="1" applyFill="1" applyBorder="1" applyAlignment="1">
      <alignment horizontal="center" vertical="center"/>
    </xf>
    <xf numFmtId="0" fontId="11" fillId="0" borderId="98" xfId="9" applyFont="1" applyBorder="1" applyAlignment="1">
      <alignment horizontal="center" vertical="center"/>
    </xf>
    <xf numFmtId="0" fontId="11" fillId="0" borderId="2" xfId="9" applyFont="1" applyBorder="1" applyAlignment="1">
      <alignment horizontal="left" vertical="center"/>
    </xf>
    <xf numFmtId="0" fontId="11" fillId="0" borderId="87" xfId="9" applyFont="1" applyBorder="1" applyAlignment="1">
      <alignment horizontal="left" vertical="center"/>
    </xf>
    <xf numFmtId="0" fontId="11" fillId="0" borderId="101" xfId="9" applyFont="1" applyBorder="1" applyAlignment="1">
      <alignment horizontal="left" vertical="center"/>
    </xf>
    <xf numFmtId="0" fontId="11" fillId="0" borderId="87" xfId="9" applyFont="1" applyBorder="1" applyAlignment="1">
      <alignment horizontal="center" vertical="center"/>
    </xf>
    <xf numFmtId="0" fontId="11" fillId="0" borderId="101" xfId="9" applyFont="1" applyBorder="1" applyAlignment="1">
      <alignment horizontal="center" vertical="center"/>
    </xf>
    <xf numFmtId="0" fontId="3" fillId="0" borderId="9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7" fillId="2" borderId="98" xfId="1" applyFont="1" applyFill="1" applyBorder="1" applyAlignment="1">
      <alignment horizontal="center" vertical="center"/>
    </xf>
    <xf numFmtId="0" fontId="17" fillId="2" borderId="18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3" fillId="0" borderId="10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 textRotation="255"/>
    </xf>
    <xf numFmtId="0" fontId="3" fillId="0" borderId="103" xfId="1" applyFont="1" applyBorder="1" applyAlignment="1">
      <alignment horizontal="center" vertical="center" textRotation="255"/>
    </xf>
    <xf numFmtId="0" fontId="3" fillId="0" borderId="13" xfId="1" applyFont="1" applyBorder="1" applyAlignment="1">
      <alignment horizontal="center" vertical="center" textRotation="255"/>
    </xf>
    <xf numFmtId="0" fontId="3" fillId="0" borderId="19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178" fontId="11" fillId="0" borderId="35" xfId="11" applyNumberFormat="1" applyFont="1" applyBorder="1" applyAlignment="1">
      <alignment horizontal="center" vertical="center"/>
    </xf>
    <xf numFmtId="178" fontId="11" fillId="0" borderId="22" xfId="11" applyNumberFormat="1" applyFont="1" applyBorder="1" applyAlignment="1">
      <alignment horizontal="center" vertical="center"/>
    </xf>
    <xf numFmtId="0" fontId="11" fillId="0" borderId="16" xfId="9" applyFont="1" applyBorder="1" applyAlignment="1">
      <alignment horizontal="center" vertical="center" wrapText="1"/>
    </xf>
    <xf numFmtId="0" fontId="11" fillId="0" borderId="102" xfId="9" applyFont="1" applyBorder="1" applyAlignment="1">
      <alignment horizontal="center" vertical="center" wrapText="1"/>
    </xf>
    <xf numFmtId="0" fontId="11" fillId="0" borderId="3" xfId="9" applyFont="1" applyBorder="1" applyAlignment="1">
      <alignment horizontal="center" vertical="center" wrapText="1"/>
    </xf>
    <xf numFmtId="0" fontId="11" fillId="0" borderId="66" xfId="9" applyFont="1" applyBorder="1" applyAlignment="1">
      <alignment horizontal="center" vertical="center" wrapText="1"/>
    </xf>
    <xf numFmtId="0" fontId="11" fillId="0" borderId="110" xfId="9" applyFont="1" applyBorder="1" applyAlignment="1">
      <alignment horizontal="center" vertical="center" wrapText="1"/>
    </xf>
    <xf numFmtId="0" fontId="11" fillId="0" borderId="4" xfId="9" applyFont="1" applyBorder="1" applyAlignment="1">
      <alignment horizontal="center" vertical="center" wrapText="1"/>
    </xf>
    <xf numFmtId="0" fontId="11" fillId="0" borderId="5" xfId="9" applyFont="1" applyBorder="1" applyAlignment="1">
      <alignment horizontal="center" vertical="center" wrapText="1"/>
    </xf>
    <xf numFmtId="0" fontId="11" fillId="5" borderId="45" xfId="9" applyFont="1" applyFill="1" applyBorder="1" applyAlignment="1">
      <alignment horizontal="center" vertical="center" wrapText="1"/>
    </xf>
    <xf numFmtId="0" fontId="11" fillId="0" borderId="112" xfId="9" applyFont="1" applyBorder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0" fontId="3" fillId="0" borderId="112" xfId="12" applyFont="1" applyBorder="1" applyAlignment="1">
      <alignment horizontal="left" vertical="center"/>
    </xf>
    <xf numFmtId="0" fontId="3" fillId="0" borderId="18" xfId="12" applyFont="1" applyBorder="1" applyAlignment="1">
      <alignment horizontal="left" vertical="center"/>
    </xf>
    <xf numFmtId="0" fontId="11" fillId="0" borderId="17" xfId="9" applyFont="1" applyBorder="1" applyAlignment="1">
      <alignment horizontal="left" vertical="center"/>
    </xf>
    <xf numFmtId="0" fontId="11" fillId="0" borderId="98" xfId="9" applyFont="1" applyBorder="1" applyAlignment="1">
      <alignment horizontal="left" vertical="center"/>
    </xf>
    <xf numFmtId="0" fontId="3" fillId="0" borderId="1" xfId="12" applyFont="1" applyBorder="1" applyAlignment="1">
      <alignment horizontal="left" vertical="center"/>
    </xf>
    <xf numFmtId="0" fontId="11" fillId="0" borderId="92" xfId="9" applyFont="1" applyBorder="1" applyAlignment="1">
      <alignment horizontal="center" vertical="center"/>
    </xf>
    <xf numFmtId="0" fontId="11" fillId="3" borderId="115" xfId="9" applyFont="1" applyFill="1" applyBorder="1" applyAlignment="1">
      <alignment horizontal="center" vertical="center"/>
    </xf>
    <xf numFmtId="178" fontId="11" fillId="0" borderId="19" xfId="11" applyNumberFormat="1" applyFont="1" applyBorder="1" applyAlignment="1">
      <alignment horizontal="center" vertical="center"/>
    </xf>
    <xf numFmtId="0" fontId="11" fillId="10" borderId="116" xfId="9" applyFont="1" applyFill="1" applyBorder="1" applyAlignment="1"/>
    <xf numFmtId="0" fontId="11" fillId="10" borderId="117" xfId="9" applyFont="1" applyFill="1" applyBorder="1" applyAlignment="1"/>
    <xf numFmtId="0" fontId="11" fillId="0" borderId="26" xfId="9" applyFont="1" applyBorder="1" applyAlignment="1">
      <alignment horizontal="center" vertical="center"/>
    </xf>
    <xf numFmtId="0" fontId="3" fillId="0" borderId="112" xfId="12" applyFont="1" applyBorder="1" applyAlignment="1">
      <alignment horizontal="center" vertical="center"/>
    </xf>
    <xf numFmtId="0" fontId="3" fillId="0" borderId="1" xfId="12" applyFont="1" applyBorder="1" applyAlignment="1">
      <alignment horizontal="center" vertical="center"/>
    </xf>
    <xf numFmtId="0" fontId="11" fillId="0" borderId="31" xfId="9" applyFont="1" applyBorder="1" applyAlignment="1">
      <alignment horizontal="center" vertical="center"/>
    </xf>
    <xf numFmtId="0" fontId="11" fillId="0" borderId="7" xfId="9" applyFont="1" applyBorder="1" applyAlignment="1">
      <alignment horizontal="center" vertical="center"/>
    </xf>
    <xf numFmtId="0" fontId="3" fillId="0" borderId="18" xfId="12" applyFont="1" applyBorder="1" applyAlignment="1">
      <alignment horizontal="center" vertical="center"/>
    </xf>
    <xf numFmtId="178" fontId="11" fillId="0" borderId="21" xfId="11" applyNumberFormat="1" applyFont="1" applyBorder="1" applyAlignment="1">
      <alignment horizontal="center" vertical="center"/>
    </xf>
  </cellXfs>
  <cellStyles count="157">
    <cellStyle name="一般" xfId="0" builtinId="0"/>
    <cellStyle name="一般 2" xfId="15" xr:uid="{00000000-0005-0000-0000-000001000000}"/>
    <cellStyle name="一般 2 17 2" xfId="1" xr:uid="{00000000-0005-0000-0000-000002000000}"/>
    <cellStyle name="一般 2 18" xfId="13" xr:uid="{00000000-0005-0000-0000-000003000000}"/>
    <cellStyle name="一般 2 2 10" xfId="6" xr:uid="{00000000-0005-0000-0000-000004000000}"/>
    <cellStyle name="一般 2 2 2 2" xfId="2" xr:uid="{00000000-0005-0000-0000-000005000000}"/>
    <cellStyle name="一般 2 2 4" xfId="12" xr:uid="{00000000-0005-0000-0000-000006000000}"/>
    <cellStyle name="一般 2 4 2" xfId="8" xr:uid="{00000000-0005-0000-0000-000007000000}"/>
    <cellStyle name="一般 2 8" xfId="9" xr:uid="{00000000-0005-0000-0000-000008000000}"/>
    <cellStyle name="一般 2 8 23" xfId="14" xr:uid="{00000000-0005-0000-0000-000009000000}"/>
    <cellStyle name="千分位 2" xfId="16" xr:uid="{00000000-0005-0000-0000-00000A000000}"/>
    <cellStyle name="千分位 2 10" xfId="7" xr:uid="{00000000-0005-0000-0000-00000B000000}"/>
    <cellStyle name="千分位 2 10 2" xfId="18" xr:uid="{00000000-0005-0000-0000-00000C000000}"/>
    <cellStyle name="千分位 2 10 2 2" xfId="27" xr:uid="{00000000-0005-0000-0000-00000D000000}"/>
    <cellStyle name="千分位 2 10 2 2 2" xfId="45" xr:uid="{CCA7ACBC-AA0E-4307-A5CB-665E0794326B}"/>
    <cellStyle name="千分位 2 10 2 2 2 2" xfId="81" xr:uid="{FC098A42-3553-4F93-90A6-F5503BA06D82}"/>
    <cellStyle name="千分位 2 10 2 2 2 2 2" xfId="153" xr:uid="{9766C234-7708-4C25-88E6-C0376C610998}"/>
    <cellStyle name="千分位 2 10 2 2 2 3" xfId="117" xr:uid="{BCCB5C23-3457-40F8-9C65-650DF745A430}"/>
    <cellStyle name="千分位 2 10 2 2 3" xfId="63" xr:uid="{082AE1FE-265D-4964-A4E4-A8F316C60530}"/>
    <cellStyle name="千分位 2 10 2 2 3 2" xfId="135" xr:uid="{4803E3BF-B0C4-4F9D-8EEA-D9AD991CF7C7}"/>
    <cellStyle name="千分位 2 10 2 2 4" xfId="99" xr:uid="{AE07D88E-1053-4D67-8C33-6711FD460115}"/>
    <cellStyle name="千分位 2 10 2 3" xfId="36" xr:uid="{9B427948-4AC0-4BA1-B8C6-AD466DBEC1D3}"/>
    <cellStyle name="千分位 2 10 2 3 2" xfId="72" xr:uid="{E95BE5CC-53C5-451B-AB86-4BF483B41BAF}"/>
    <cellStyle name="千分位 2 10 2 3 2 2" xfId="144" xr:uid="{391FC833-7AB6-44E7-89B5-AF27288CFD89}"/>
    <cellStyle name="千分位 2 10 2 3 3" xfId="108" xr:uid="{1EF2E2C7-143A-4AA6-BCC1-112968B81CDB}"/>
    <cellStyle name="千分位 2 10 2 4" xfId="54" xr:uid="{B4314F7D-5F2D-48B0-B4C9-57C44ED484B9}"/>
    <cellStyle name="千分位 2 10 2 4 2" xfId="126" xr:uid="{63F903BA-8CEC-4D2A-A375-C2E23DE8F699}"/>
    <cellStyle name="千分位 2 10 2 5" xfId="90" xr:uid="{951AC121-06E3-427A-A72B-6061ED8EE1B3}"/>
    <cellStyle name="千分位 2 10 3" xfId="23" xr:uid="{00000000-0005-0000-0000-00000E000000}"/>
    <cellStyle name="千分位 2 10 3 2" xfId="41" xr:uid="{660B26A6-C8FB-4D40-BB7F-E0D2E1674EFF}"/>
    <cellStyle name="千分位 2 10 3 2 2" xfId="77" xr:uid="{5BCAF342-7EA7-4603-AA46-384C71BCC18B}"/>
    <cellStyle name="千分位 2 10 3 2 2 2" xfId="149" xr:uid="{C0506DF6-F8A7-4CC0-9208-1250E0B1C5A6}"/>
    <cellStyle name="千分位 2 10 3 2 3" xfId="113" xr:uid="{0049DC1E-CE8E-4C51-8638-915298984C4E}"/>
    <cellStyle name="千分位 2 10 3 3" xfId="59" xr:uid="{EB4B107A-0418-42C4-A278-EC57DC8FB0B7}"/>
    <cellStyle name="千分位 2 10 3 3 2" xfId="131" xr:uid="{3E74ECAC-A393-4D0C-A032-351C7ACE0E38}"/>
    <cellStyle name="千分位 2 10 3 4" xfId="95" xr:uid="{83A5A868-367E-4E32-8D0E-7A89CEBE3080}"/>
    <cellStyle name="千分位 2 10 4" xfId="32" xr:uid="{F78D6FC6-A48E-4EF6-9420-77EF7A7AB07A}"/>
    <cellStyle name="千分位 2 10 4 2" xfId="68" xr:uid="{02EA994A-0215-4264-8EF9-2901391FF373}"/>
    <cellStyle name="千分位 2 10 4 2 2" xfId="140" xr:uid="{02429BDF-0BB2-428A-B2D6-C3A52DECEDE1}"/>
    <cellStyle name="千分位 2 10 4 3" xfId="104" xr:uid="{B05D1134-7EDC-4D0A-BF6A-4210F0235C7F}"/>
    <cellStyle name="千分位 2 10 5" xfId="50" xr:uid="{2167D3D7-4534-4ACC-9E99-25260512F380}"/>
    <cellStyle name="千分位 2 10 5 2" xfId="122" xr:uid="{DA2B7636-4159-4923-8C42-88E691615847}"/>
    <cellStyle name="千分位 2 10 6" xfId="86" xr:uid="{589C315A-12E5-4C30-BA61-D12C1E2D7C69}"/>
    <cellStyle name="千分位 2 2" xfId="20" xr:uid="{00000000-0005-0000-0000-00000F000000}"/>
    <cellStyle name="千分位 2 2 2" xfId="29" xr:uid="{00000000-0005-0000-0000-000010000000}"/>
    <cellStyle name="千分位 2 2 2 2" xfId="47" xr:uid="{28F6FE21-A1DB-4D0C-827F-1CBBC2A60574}"/>
    <cellStyle name="千分位 2 2 2 2 2" xfId="83" xr:uid="{B006A87C-E375-49C2-81B8-391BF26ED091}"/>
    <cellStyle name="千分位 2 2 2 2 2 2" xfId="155" xr:uid="{4F66D6E3-0EBA-48A0-BF9C-A95D4352DC61}"/>
    <cellStyle name="千分位 2 2 2 2 3" xfId="119" xr:uid="{FD002035-E0DA-495C-A58D-636A5ADB643C}"/>
    <cellStyle name="千分位 2 2 2 3" xfId="65" xr:uid="{2D807146-2F91-4698-B821-0F0C65F6EAD6}"/>
    <cellStyle name="千分位 2 2 2 3 2" xfId="137" xr:uid="{DCAB0834-444E-4728-9FE7-ADB52DE84C2C}"/>
    <cellStyle name="千分位 2 2 2 4" xfId="101" xr:uid="{08BBE11F-0EE7-4326-B788-81BBF293C373}"/>
    <cellStyle name="千分位 2 2 3" xfId="38" xr:uid="{CFDC599E-5FE7-4E20-B9C0-CB22E089050C}"/>
    <cellStyle name="千分位 2 2 3 2" xfId="74" xr:uid="{EA612C5A-38D8-4899-834E-D6643AF707E2}"/>
    <cellStyle name="千分位 2 2 3 2 2" xfId="146" xr:uid="{5F7BA43B-2CC5-412D-B51F-CF7AF7E138CC}"/>
    <cellStyle name="千分位 2 2 3 3" xfId="110" xr:uid="{5735EDCC-21F0-4C77-B19D-EB3A17107929}"/>
    <cellStyle name="千分位 2 2 4" xfId="56" xr:uid="{8506F565-AEE7-4329-BDBC-F0041930055E}"/>
    <cellStyle name="千分位 2 2 4 2" xfId="128" xr:uid="{73C4071A-E476-47C0-B723-9ED84A02EC9A}"/>
    <cellStyle name="千分位 2 2 5" xfId="92" xr:uid="{D1E5876E-FFA3-4AF0-AA4E-1595A061489D}"/>
    <cellStyle name="千分位 2 3" xfId="21" xr:uid="{00000000-0005-0000-0000-000011000000}"/>
    <cellStyle name="千分位 2 3 2" xfId="30" xr:uid="{00000000-0005-0000-0000-000012000000}"/>
    <cellStyle name="千分位 2 3 2 2" xfId="48" xr:uid="{6DCAC8CA-E906-4C45-9F1C-A0EF81E8540C}"/>
    <cellStyle name="千分位 2 3 2 2 2" xfId="84" xr:uid="{881BDF22-5D29-4C35-A9CF-14FC6BFA1522}"/>
    <cellStyle name="千分位 2 3 2 2 2 2" xfId="156" xr:uid="{FC6866BC-C97E-4E91-B35B-B003832CA4F2}"/>
    <cellStyle name="千分位 2 3 2 2 3" xfId="120" xr:uid="{20164837-3476-488B-8C4F-728881939E63}"/>
    <cellStyle name="千分位 2 3 2 3" xfId="66" xr:uid="{D73E6B86-03F3-4F90-8EF4-D278FB6375E7}"/>
    <cellStyle name="千分位 2 3 2 3 2" xfId="138" xr:uid="{4698CC5E-1326-4B53-B660-15E6E9E3974E}"/>
    <cellStyle name="千分位 2 3 2 4" xfId="102" xr:uid="{7B154594-C263-4575-8573-2FE09E9E2A26}"/>
    <cellStyle name="千分位 2 3 3" xfId="39" xr:uid="{EC5EB9A8-563C-4B20-A7D6-AF7A0F15C9AD}"/>
    <cellStyle name="千分位 2 3 3 2" xfId="75" xr:uid="{FFC290F7-62F5-45D5-B41B-404354497C96}"/>
    <cellStyle name="千分位 2 3 3 2 2" xfId="147" xr:uid="{D678D4E3-596C-441A-AFD4-6CEB49164A44}"/>
    <cellStyle name="千分位 2 3 3 3" xfId="111" xr:uid="{37C87BFB-0345-4572-BCBB-278AF9C0E708}"/>
    <cellStyle name="千分位 2 3 4" xfId="57" xr:uid="{0C0A61C8-5911-49EA-9114-0DB5DF2D45DD}"/>
    <cellStyle name="千分位 2 3 4 2" xfId="129" xr:uid="{B38876EE-2A25-4F7D-8333-DB8A7DCFAE12}"/>
    <cellStyle name="千分位 2 3 5" xfId="93" xr:uid="{E551383C-DC01-4461-90C6-80C7E1574CA0}"/>
    <cellStyle name="千分位 2 4" xfId="25" xr:uid="{00000000-0005-0000-0000-000013000000}"/>
    <cellStyle name="千分位 2 4 2" xfId="43" xr:uid="{AB2A1345-60C3-4FE1-A1D0-084860EBE819}"/>
    <cellStyle name="千分位 2 4 2 2" xfId="79" xr:uid="{09BC1E89-A196-4A72-A641-DB0008A0CBC2}"/>
    <cellStyle name="千分位 2 4 2 2 2" xfId="151" xr:uid="{9392153F-7810-455F-AC46-D085B36867E7}"/>
    <cellStyle name="千分位 2 4 2 3" xfId="115" xr:uid="{EA1EC826-61D1-4AB4-A7A9-66760E64D7B7}"/>
    <cellStyle name="千分位 2 4 3" xfId="61" xr:uid="{2C12B9B0-3B43-43AE-A447-77A0871777B5}"/>
    <cellStyle name="千分位 2 4 3 2" xfId="133" xr:uid="{B4A9CF85-62F7-4E57-A866-D7B3778E563B}"/>
    <cellStyle name="千分位 2 4 4" xfId="97" xr:uid="{21D462E5-6B90-4E52-8AC1-9F3A8F3E5610}"/>
    <cellStyle name="千分位 2 5" xfId="34" xr:uid="{CEFDFA41-A4F1-4390-8AD4-554E35B9ADDE}"/>
    <cellStyle name="千分位 2 5 2" xfId="70" xr:uid="{E5133263-9BE0-42C3-8F2B-A69379C30A8E}"/>
    <cellStyle name="千分位 2 5 2 2" xfId="142" xr:uid="{1CF11EEA-ADFF-45FC-B579-3BEB868CD8E2}"/>
    <cellStyle name="千分位 2 5 3" xfId="106" xr:uid="{103F2834-6F55-46FF-8D66-E0717418DBA7}"/>
    <cellStyle name="千分位 2 6" xfId="52" xr:uid="{1B816F45-8117-446C-8005-3993FF566BE8}"/>
    <cellStyle name="千分位 2 6 2" xfId="124" xr:uid="{CD70DF67-9566-4CE4-A422-D7901700645A}"/>
    <cellStyle name="千分位 2 7" xfId="88" xr:uid="{FFFE3E16-E2B7-4EB3-A915-E8D936E8602F}"/>
    <cellStyle name="千分位 2 8" xfId="10" xr:uid="{00000000-0005-0000-0000-000014000000}"/>
    <cellStyle name="千分位 2 8 2" xfId="19" xr:uid="{00000000-0005-0000-0000-000015000000}"/>
    <cellStyle name="千分位 2 8 2 2" xfId="28" xr:uid="{00000000-0005-0000-0000-000016000000}"/>
    <cellStyle name="千分位 2 8 2 2 2" xfId="46" xr:uid="{07F82648-D9EE-4B20-8EC0-8CBCE751D67C}"/>
    <cellStyle name="千分位 2 8 2 2 2 2" xfId="82" xr:uid="{3D3E40F9-D7A2-4F1A-8270-D6F309D814ED}"/>
    <cellStyle name="千分位 2 8 2 2 2 2 2" xfId="154" xr:uid="{A7F8AFBD-53D0-427C-8352-DB97047399D8}"/>
    <cellStyle name="千分位 2 8 2 2 2 3" xfId="118" xr:uid="{2DAD3F88-1DF4-4136-A180-C0F162D56B49}"/>
    <cellStyle name="千分位 2 8 2 2 3" xfId="64" xr:uid="{0F1C0BDA-064E-45E9-B16F-D9C1AEAC0594}"/>
    <cellStyle name="千分位 2 8 2 2 3 2" xfId="136" xr:uid="{FE125F34-39A4-4C8A-A96B-C751B9FDD067}"/>
    <cellStyle name="千分位 2 8 2 2 4" xfId="100" xr:uid="{52AC6BF9-8D21-4EE2-8455-068C4EE029FE}"/>
    <cellStyle name="千分位 2 8 2 3" xfId="37" xr:uid="{C6F888E9-C9E3-40C2-AB4F-DB47B1D9D012}"/>
    <cellStyle name="千分位 2 8 2 3 2" xfId="73" xr:uid="{325F2CF1-1E4F-4E9F-9300-C5EC2CEE9E67}"/>
    <cellStyle name="千分位 2 8 2 3 2 2" xfId="145" xr:uid="{CCA8CC3E-B7D0-4D19-9F78-C46B3FC41E1F}"/>
    <cellStyle name="千分位 2 8 2 3 3" xfId="109" xr:uid="{1A44B5EE-49D8-44B0-8A27-5EE014BF82CA}"/>
    <cellStyle name="千分位 2 8 2 4" xfId="55" xr:uid="{09DB624E-9098-48C7-A95A-2923D540FE2C}"/>
    <cellStyle name="千分位 2 8 2 4 2" xfId="127" xr:uid="{AD3BFA1B-D8C5-45D9-B452-AD34795741CA}"/>
    <cellStyle name="千分位 2 8 2 5" xfId="91" xr:uid="{F3224143-0AA8-4FFC-ABF7-9A843F33843F}"/>
    <cellStyle name="千分位 2 8 3" xfId="24" xr:uid="{00000000-0005-0000-0000-000017000000}"/>
    <cellStyle name="千分位 2 8 3 2" xfId="42" xr:uid="{F02BDF1D-DD62-45DA-A940-395EE9741291}"/>
    <cellStyle name="千分位 2 8 3 2 2" xfId="78" xr:uid="{EE58DA76-74D6-4B3A-A77F-583474C62B47}"/>
    <cellStyle name="千分位 2 8 3 2 2 2" xfId="150" xr:uid="{D69A3B45-B159-4EBD-9BE7-D75022C53202}"/>
    <cellStyle name="千分位 2 8 3 2 3" xfId="114" xr:uid="{35800BAE-2D7E-4ABF-AB58-DCCAEB48A85D}"/>
    <cellStyle name="千分位 2 8 3 3" xfId="60" xr:uid="{AD515B0B-BACA-4D19-B294-60E2B6892898}"/>
    <cellStyle name="千分位 2 8 3 3 2" xfId="132" xr:uid="{10A3B820-49DE-41CF-8E01-7B44A1BC095E}"/>
    <cellStyle name="千分位 2 8 3 4" xfId="96" xr:uid="{3FDADB14-F8D3-4C1A-AE86-A7700D09F272}"/>
    <cellStyle name="千分位 2 8 4" xfId="33" xr:uid="{039F25AC-D748-40F3-AB8F-AF7CE2EF1259}"/>
    <cellStyle name="千分位 2 8 4 2" xfId="69" xr:uid="{3F1AFE60-8177-498C-8A8F-DB2B6DCB7F21}"/>
    <cellStyle name="千分位 2 8 4 2 2" xfId="141" xr:uid="{CAE9B7CC-E89C-44C9-908D-38E17C83D543}"/>
    <cellStyle name="千分位 2 8 4 3" xfId="105" xr:uid="{5A7CF629-ECD6-4467-84A8-B1023B5EA5B7}"/>
    <cellStyle name="千分位 2 8 5" xfId="51" xr:uid="{D2D5CC92-ECA4-4B64-A8F7-ECE9510CD2EB}"/>
    <cellStyle name="千分位 2 8 5 2" xfId="123" xr:uid="{34A50A48-5A88-4DDC-8D3A-1D3C7175827A}"/>
    <cellStyle name="千分位 2 8 6" xfId="87" xr:uid="{AEDE9137-9D81-4687-A9E2-F7C861C48CAF}"/>
    <cellStyle name="千分位 9" xfId="3" xr:uid="{00000000-0005-0000-0000-000018000000}"/>
    <cellStyle name="千分位 9 2" xfId="17" xr:uid="{00000000-0005-0000-0000-000019000000}"/>
    <cellStyle name="千分位 9 2 2" xfId="26" xr:uid="{00000000-0005-0000-0000-00001A000000}"/>
    <cellStyle name="千分位 9 2 2 2" xfId="44" xr:uid="{1E8ED0E5-5A6C-4F3B-B7E7-6A45C2112A01}"/>
    <cellStyle name="千分位 9 2 2 2 2" xfId="80" xr:uid="{55450B03-12B1-4D51-83CE-65684FCD4FA4}"/>
    <cellStyle name="千分位 9 2 2 2 2 2" xfId="152" xr:uid="{87D75CB8-A970-45E4-A15C-5E1E3BEAB59E}"/>
    <cellStyle name="千分位 9 2 2 2 3" xfId="116" xr:uid="{CBBE2498-3D5B-4B7C-9EA5-5E5625C24A29}"/>
    <cellStyle name="千分位 9 2 2 3" xfId="62" xr:uid="{BA0008F2-CFCA-4606-AAE7-38A17D7D9E2F}"/>
    <cellStyle name="千分位 9 2 2 3 2" xfId="134" xr:uid="{9D6FCB65-849B-4577-BE24-10E15501DB0C}"/>
    <cellStyle name="千分位 9 2 2 4" xfId="98" xr:uid="{79962834-C406-4D49-9253-031F14220229}"/>
    <cellStyle name="千分位 9 2 3" xfId="35" xr:uid="{70D5B25E-0AD5-4E45-A3C0-A6CCBD630E34}"/>
    <cellStyle name="千分位 9 2 3 2" xfId="71" xr:uid="{BDB9963D-8787-4687-9A6F-DA218717C638}"/>
    <cellStyle name="千分位 9 2 3 2 2" xfId="143" xr:uid="{C6C5A50B-9B87-43FD-BA78-6301DD98F2F8}"/>
    <cellStyle name="千分位 9 2 3 3" xfId="107" xr:uid="{E0CD9B38-406E-4E58-AA3B-6FC7D48ACEF5}"/>
    <cellStyle name="千分位 9 2 4" xfId="53" xr:uid="{86766E81-982C-4BB3-B922-1AECB99AAAF3}"/>
    <cellStyle name="千分位 9 2 4 2" xfId="125" xr:uid="{A2824A35-AAE0-4595-83A6-C4DFDA6992B5}"/>
    <cellStyle name="千分位 9 2 5" xfId="89" xr:uid="{5B28D93D-9A55-4509-8775-FC5B6454156E}"/>
    <cellStyle name="千分位 9 3" xfId="22" xr:uid="{00000000-0005-0000-0000-00001B000000}"/>
    <cellStyle name="千分位 9 3 2" xfId="40" xr:uid="{CBFB44CA-08C9-401D-B585-F48C154AF5D2}"/>
    <cellStyle name="千分位 9 3 2 2" xfId="76" xr:uid="{DFFFF40C-36D2-478F-A1A9-06D1A29C895C}"/>
    <cellStyle name="千分位 9 3 2 2 2" xfId="148" xr:uid="{0D56F49F-F73C-4A72-8173-2CA4D1610EC5}"/>
    <cellStyle name="千分位 9 3 2 3" xfId="112" xr:uid="{E2FAD7D4-ECA4-4B84-A255-1F8ACD5A4ABA}"/>
    <cellStyle name="千分位 9 3 3" xfId="58" xr:uid="{D8F45D0E-6A3E-47C8-81D6-94B8D706E90A}"/>
    <cellStyle name="千分位 9 3 3 2" xfId="130" xr:uid="{EBFA84D8-C213-4E44-B78B-21DEE7BAE831}"/>
    <cellStyle name="千分位 9 3 4" xfId="94" xr:uid="{5A420A06-CADC-4270-B65C-85A051CB0339}"/>
    <cellStyle name="千分位 9 4" xfId="31" xr:uid="{602DDABF-600E-47E2-BDC0-5545AEF97F9E}"/>
    <cellStyle name="千分位 9 4 2" xfId="67" xr:uid="{106D0F84-624A-4C98-B9F9-431953A42368}"/>
    <cellStyle name="千分位 9 4 2 2" xfId="139" xr:uid="{60A64B11-0BB5-4763-917D-0CAA76AC7B65}"/>
    <cellStyle name="千分位 9 4 3" xfId="103" xr:uid="{5DA5D8B8-E068-4A06-9E77-1BCD1886FAEA}"/>
    <cellStyle name="千分位 9 5" xfId="49" xr:uid="{246DC62D-D1EA-4C99-B577-620C7741E3C5}"/>
    <cellStyle name="千分位 9 5 2" xfId="121" xr:uid="{2051E57F-B0F3-4B4E-AE20-95B16C1C9CFC}"/>
    <cellStyle name="千分位 9 6" xfId="85" xr:uid="{10DBDDD2-3C7A-4023-A58F-689D4D78927B}"/>
    <cellStyle name="百分比 2 2 2 2" xfId="5" xr:uid="{00000000-0005-0000-0000-00001C000000}"/>
    <cellStyle name="百分比 2 5" xfId="4" xr:uid="{00000000-0005-0000-0000-00001D000000}"/>
    <cellStyle name="百分比 7" xfId="11" xr:uid="{00000000-0005-0000-0000-00001E000000}"/>
  </cellStyles>
  <dxfs count="31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1:E42" totalsRowShown="0">
  <tableColumns count="5">
    <tableColumn id="1" xr3:uid="{00000000-0010-0000-0000-000001000000}" name="check" dataDxfId="310"/>
    <tableColumn id="2" xr3:uid="{00000000-0010-0000-0000-000002000000}" name="溫層"/>
    <tableColumn id="4" xr3:uid="{00000000-0010-0000-0000-000004000000}" name="品名"/>
    <tableColumn id="3" xr3:uid="{00000000-0010-0000-0000-000003000000}" name="類別"/>
    <tableColumn id="5" xr3:uid="{00000000-0010-0000-0000-000005000000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I27" sqref="I27"/>
    </sheetView>
  </sheetViews>
  <sheetFormatPr defaultRowHeight="16.5" x14ac:dyDescent="0.25"/>
  <cols>
    <col min="1" max="1" width="9" style="100"/>
    <col min="2" max="2" width="9.75" bestFit="1" customWidth="1"/>
    <col min="3" max="3" width="27.625" bestFit="1" customWidth="1"/>
    <col min="4" max="5" width="11.875" bestFit="1" customWidth="1"/>
    <col min="6" max="6" width="7.375" bestFit="1" customWidth="1"/>
    <col min="9" max="9" width="23" bestFit="1" customWidth="1"/>
  </cols>
  <sheetData>
    <row r="1" spans="1:5" x14ac:dyDescent="0.25">
      <c r="A1" s="100" t="s">
        <v>65</v>
      </c>
      <c r="B1" s="104" t="s">
        <v>0</v>
      </c>
      <c r="C1" s="104" t="s">
        <v>129</v>
      </c>
      <c r="D1" s="104" t="s">
        <v>62</v>
      </c>
      <c r="E1" s="104" t="s">
        <v>3</v>
      </c>
    </row>
    <row r="2" spans="1:5" x14ac:dyDescent="0.25">
      <c r="A2" s="101"/>
      <c r="B2" s="211" t="s">
        <v>64</v>
      </c>
      <c r="C2" s="56" t="s">
        <v>133</v>
      </c>
      <c r="D2" s="211" t="s">
        <v>63</v>
      </c>
      <c r="E2" s="56">
        <v>57.21</v>
      </c>
    </row>
    <row r="3" spans="1:5" x14ac:dyDescent="0.25">
      <c r="A3" s="101"/>
      <c r="B3" s="211" t="s">
        <v>64</v>
      </c>
      <c r="C3" s="56" t="s">
        <v>135</v>
      </c>
      <c r="D3" s="211" t="s">
        <v>63</v>
      </c>
      <c r="E3" s="56">
        <v>50.67</v>
      </c>
    </row>
    <row r="4" spans="1:5" x14ac:dyDescent="0.25">
      <c r="A4" s="101"/>
      <c r="B4" s="211" t="s">
        <v>64</v>
      </c>
      <c r="C4" s="56" t="s">
        <v>137</v>
      </c>
      <c r="D4" s="211" t="s">
        <v>63</v>
      </c>
      <c r="E4" s="56">
        <v>50.39</v>
      </c>
    </row>
    <row r="5" spans="1:5" x14ac:dyDescent="0.25">
      <c r="A5" s="101"/>
      <c r="B5" s="211" t="s">
        <v>64</v>
      </c>
      <c r="C5" s="56" t="s">
        <v>71</v>
      </c>
      <c r="D5" s="211" t="s">
        <v>63</v>
      </c>
      <c r="E5" s="56">
        <v>49.97</v>
      </c>
    </row>
    <row r="6" spans="1:5" x14ac:dyDescent="0.25">
      <c r="A6" s="101"/>
      <c r="B6" s="211" t="s">
        <v>64</v>
      </c>
      <c r="C6" s="56" t="s">
        <v>132</v>
      </c>
      <c r="D6" s="211" t="s">
        <v>63</v>
      </c>
      <c r="E6" s="56">
        <v>49.14</v>
      </c>
    </row>
    <row r="7" spans="1:5" x14ac:dyDescent="0.25">
      <c r="A7" s="101"/>
      <c r="B7" s="211" t="s">
        <v>64</v>
      </c>
      <c r="C7" s="234" t="s">
        <v>149</v>
      </c>
      <c r="D7" s="211" t="s">
        <v>63</v>
      </c>
      <c r="E7" s="56">
        <v>57.21</v>
      </c>
    </row>
    <row r="8" spans="1:5" x14ac:dyDescent="0.25">
      <c r="A8" s="101"/>
      <c r="B8" s="211" t="s">
        <v>113</v>
      </c>
      <c r="C8" s="234" t="s">
        <v>168</v>
      </c>
      <c r="D8" s="211" t="s">
        <v>140</v>
      </c>
      <c r="E8" s="56">
        <v>57.21</v>
      </c>
    </row>
    <row r="9" spans="1:5" x14ac:dyDescent="0.25">
      <c r="A9" s="101"/>
      <c r="B9" s="211" t="s">
        <v>113</v>
      </c>
      <c r="C9" s="73" t="s">
        <v>60</v>
      </c>
      <c r="D9" s="211" t="s">
        <v>63</v>
      </c>
      <c r="E9" s="56">
        <v>58.17</v>
      </c>
    </row>
    <row r="10" spans="1:5" x14ac:dyDescent="0.25">
      <c r="A10" s="101"/>
      <c r="B10" s="211" t="s">
        <v>113</v>
      </c>
      <c r="C10" s="73" t="s">
        <v>151</v>
      </c>
      <c r="D10" s="211" t="s">
        <v>63</v>
      </c>
      <c r="E10" s="56">
        <v>62.61</v>
      </c>
    </row>
    <row r="11" spans="1:5" x14ac:dyDescent="0.25">
      <c r="A11" s="101"/>
      <c r="B11" s="211" t="s">
        <v>113</v>
      </c>
      <c r="C11" s="56" t="s">
        <v>142</v>
      </c>
      <c r="D11" s="211" t="s">
        <v>63</v>
      </c>
      <c r="E11" s="56">
        <v>50.6</v>
      </c>
    </row>
    <row r="12" spans="1:5" x14ac:dyDescent="0.25">
      <c r="A12" s="101"/>
      <c r="B12" s="211" t="s">
        <v>113</v>
      </c>
      <c r="C12" s="56" t="s">
        <v>173</v>
      </c>
      <c r="D12" s="211" t="s">
        <v>140</v>
      </c>
      <c r="E12" s="56">
        <v>56.87</v>
      </c>
    </row>
    <row r="13" spans="1:5" x14ac:dyDescent="0.25">
      <c r="A13" s="101"/>
      <c r="B13" s="211" t="s">
        <v>113</v>
      </c>
      <c r="C13" s="56" t="s">
        <v>147</v>
      </c>
      <c r="D13" s="211" t="s">
        <v>63</v>
      </c>
      <c r="E13" s="56">
        <v>55.13</v>
      </c>
    </row>
    <row r="14" spans="1:5" x14ac:dyDescent="0.25">
      <c r="A14" s="101"/>
      <c r="B14" s="211" t="s">
        <v>113</v>
      </c>
      <c r="C14" s="56" t="s">
        <v>222</v>
      </c>
      <c r="D14" s="211" t="s">
        <v>63</v>
      </c>
      <c r="E14" s="56">
        <v>50.67</v>
      </c>
    </row>
    <row r="15" spans="1:5" x14ac:dyDescent="0.25">
      <c r="A15" s="101"/>
      <c r="B15" s="211" t="s">
        <v>113</v>
      </c>
      <c r="C15" s="56" t="s">
        <v>223</v>
      </c>
      <c r="D15" s="211" t="s">
        <v>140</v>
      </c>
      <c r="E15" s="56">
        <v>57.3</v>
      </c>
    </row>
    <row r="16" spans="1:5" x14ac:dyDescent="0.25">
      <c r="A16" s="101"/>
      <c r="B16" s="211" t="s">
        <v>113</v>
      </c>
      <c r="C16" s="56" t="s">
        <v>260</v>
      </c>
      <c r="D16" s="211" t="s">
        <v>63</v>
      </c>
      <c r="E16" s="56">
        <v>56.43</v>
      </c>
    </row>
    <row r="17" spans="1:5" x14ac:dyDescent="0.25">
      <c r="A17" s="101"/>
      <c r="B17" s="211" t="s">
        <v>64</v>
      </c>
      <c r="C17" s="56" t="s">
        <v>262</v>
      </c>
      <c r="D17" s="211" t="s">
        <v>63</v>
      </c>
      <c r="E17" s="56">
        <v>47.71</v>
      </c>
    </row>
    <row r="18" spans="1:5" x14ac:dyDescent="0.25">
      <c r="A18" s="101"/>
      <c r="B18" s="211" t="s">
        <v>113</v>
      </c>
      <c r="C18" s="56" t="s">
        <v>152</v>
      </c>
      <c r="D18" s="211" t="s">
        <v>153</v>
      </c>
      <c r="E18" s="56">
        <v>49.91</v>
      </c>
    </row>
    <row r="19" spans="1:5" x14ac:dyDescent="0.25">
      <c r="A19" s="101"/>
      <c r="B19" s="211" t="s">
        <v>113</v>
      </c>
      <c r="C19" s="56" t="s">
        <v>170</v>
      </c>
      <c r="D19" s="211" t="s">
        <v>172</v>
      </c>
      <c r="E19" s="56">
        <v>47.6</v>
      </c>
    </row>
    <row r="20" spans="1:5" x14ac:dyDescent="0.25">
      <c r="A20" s="101"/>
      <c r="B20" s="211" t="s">
        <v>64</v>
      </c>
      <c r="C20" s="56" t="s">
        <v>127</v>
      </c>
      <c r="D20" s="211" t="s">
        <v>114</v>
      </c>
      <c r="E20" s="56">
        <v>26.99</v>
      </c>
    </row>
    <row r="21" spans="1:5" x14ac:dyDescent="0.25">
      <c r="A21" s="101"/>
      <c r="B21" s="211" t="s">
        <v>64</v>
      </c>
      <c r="C21" s="56" t="s">
        <v>59</v>
      </c>
      <c r="D21" s="211" t="s">
        <v>114</v>
      </c>
      <c r="E21" s="56">
        <v>28.26</v>
      </c>
    </row>
    <row r="22" spans="1:5" x14ac:dyDescent="0.25">
      <c r="A22" s="101"/>
      <c r="B22" s="211" t="s">
        <v>113</v>
      </c>
      <c r="C22" s="56" t="s">
        <v>156</v>
      </c>
      <c r="D22" s="211" t="s">
        <v>114</v>
      </c>
      <c r="E22" s="56">
        <v>28.47</v>
      </c>
    </row>
    <row r="23" spans="1:5" x14ac:dyDescent="0.25">
      <c r="A23" s="101"/>
      <c r="B23" s="211" t="s">
        <v>115</v>
      </c>
      <c r="C23" s="56" t="s">
        <v>117</v>
      </c>
      <c r="D23" s="211" t="s">
        <v>116</v>
      </c>
      <c r="E23" s="56">
        <v>29.38</v>
      </c>
    </row>
    <row r="24" spans="1:5" x14ac:dyDescent="0.25">
      <c r="A24" s="101"/>
      <c r="B24" s="211" t="s">
        <v>115</v>
      </c>
      <c r="C24" s="56" t="s">
        <v>118</v>
      </c>
      <c r="D24" s="211" t="s">
        <v>116</v>
      </c>
      <c r="E24" s="56">
        <v>29.38</v>
      </c>
    </row>
    <row r="25" spans="1:5" x14ac:dyDescent="0.25">
      <c r="A25" s="101"/>
      <c r="B25" s="211" t="s">
        <v>115</v>
      </c>
      <c r="C25" s="56" t="s">
        <v>119</v>
      </c>
      <c r="D25" s="211" t="s">
        <v>116</v>
      </c>
      <c r="E25" s="56">
        <v>29.38</v>
      </c>
    </row>
    <row r="26" spans="1:5" x14ac:dyDescent="0.25">
      <c r="A26" s="101"/>
      <c r="B26" s="211" t="s">
        <v>115</v>
      </c>
      <c r="C26" s="56" t="s">
        <v>120</v>
      </c>
      <c r="D26" s="211" t="s">
        <v>116</v>
      </c>
      <c r="E26" s="56">
        <v>29.38</v>
      </c>
    </row>
    <row r="27" spans="1:5" x14ac:dyDescent="0.25">
      <c r="A27" s="101"/>
      <c r="B27" s="211" t="s">
        <v>115</v>
      </c>
      <c r="C27" s="56" t="s">
        <v>121</v>
      </c>
      <c r="D27" s="211" t="s">
        <v>116</v>
      </c>
      <c r="E27" s="56">
        <v>29.38</v>
      </c>
    </row>
    <row r="28" spans="1:5" x14ac:dyDescent="0.25">
      <c r="A28" s="101"/>
      <c r="B28" s="211" t="s">
        <v>115</v>
      </c>
      <c r="C28" s="56" t="s">
        <v>122</v>
      </c>
      <c r="D28" s="211" t="s">
        <v>116</v>
      </c>
      <c r="E28" s="56">
        <v>29.38</v>
      </c>
    </row>
    <row r="29" spans="1:5" x14ac:dyDescent="0.25">
      <c r="B29" s="211" t="s">
        <v>115</v>
      </c>
      <c r="C29" s="56" t="s">
        <v>123</v>
      </c>
      <c r="D29" s="211" t="s">
        <v>116</v>
      </c>
      <c r="E29" s="56">
        <v>29.38</v>
      </c>
    </row>
    <row r="30" spans="1:5" x14ac:dyDescent="0.25">
      <c r="B30" s="211" t="s">
        <v>115</v>
      </c>
      <c r="C30" s="211" t="s">
        <v>124</v>
      </c>
      <c r="D30" s="211" t="s">
        <v>116</v>
      </c>
      <c r="E30" s="56">
        <v>29.38</v>
      </c>
    </row>
    <row r="31" spans="1:5" x14ac:dyDescent="0.25">
      <c r="B31" s="211" t="s">
        <v>115</v>
      </c>
      <c r="C31" s="211" t="s">
        <v>125</v>
      </c>
      <c r="D31" s="211" t="s">
        <v>116</v>
      </c>
      <c r="E31" s="211">
        <v>29.38</v>
      </c>
    </row>
    <row r="32" spans="1:5" x14ac:dyDescent="0.25">
      <c r="B32" s="211" t="s">
        <v>115</v>
      </c>
      <c r="C32" s="211" t="s">
        <v>126</v>
      </c>
      <c r="D32" s="211" t="s">
        <v>116</v>
      </c>
      <c r="E32" s="211">
        <v>29.38</v>
      </c>
    </row>
    <row r="33" spans="2:5" x14ac:dyDescent="0.25">
      <c r="B33" s="210"/>
      <c r="C33" s="211"/>
      <c r="D33" s="210"/>
      <c r="E33" s="211"/>
    </row>
    <row r="34" spans="2:5" x14ac:dyDescent="0.25">
      <c r="B34" s="210"/>
      <c r="C34" s="211"/>
      <c r="D34" s="210"/>
      <c r="E34" s="211"/>
    </row>
    <row r="35" spans="2:5" x14ac:dyDescent="0.25">
      <c r="B35" s="210"/>
      <c r="C35" s="56"/>
      <c r="D35" s="210"/>
      <c r="E35" s="56"/>
    </row>
    <row r="36" spans="2:5" x14ac:dyDescent="0.25">
      <c r="B36" s="210"/>
      <c r="C36" s="73"/>
      <c r="D36" s="210"/>
      <c r="E36" s="56"/>
    </row>
    <row r="37" spans="2:5" x14ac:dyDescent="0.25">
      <c r="B37" s="210"/>
      <c r="C37" s="211"/>
      <c r="D37" s="210"/>
      <c r="E37" s="21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C24" sqref="C24"/>
    </sheetView>
  </sheetViews>
  <sheetFormatPr defaultColWidth="9" defaultRowHeight="15.75" x14ac:dyDescent="0.25"/>
  <cols>
    <col min="1" max="1" width="35.5" style="282" customWidth="1"/>
    <col min="2" max="6" width="9" style="282"/>
    <col min="7" max="7" width="22.75" style="282" bestFit="1" customWidth="1"/>
    <col min="8" max="16384" width="9" style="282"/>
  </cols>
  <sheetData>
    <row r="1" spans="1:4" x14ac:dyDescent="0.25">
      <c r="A1" s="211" t="s">
        <v>61</v>
      </c>
      <c r="B1" s="211" t="s">
        <v>69</v>
      </c>
      <c r="C1" s="211" t="s">
        <v>70</v>
      </c>
      <c r="D1" s="236"/>
    </row>
    <row r="2" spans="1:4" x14ac:dyDescent="0.25">
      <c r="A2" s="211" t="s">
        <v>131</v>
      </c>
      <c r="B2" s="211">
        <v>13</v>
      </c>
      <c r="C2" s="211">
        <v>2000</v>
      </c>
      <c r="D2" s="237" t="s">
        <v>138</v>
      </c>
    </row>
    <row r="3" spans="1:4" x14ac:dyDescent="0.25">
      <c r="A3" s="211" t="s">
        <v>161</v>
      </c>
      <c r="B3" s="211">
        <v>15</v>
      </c>
      <c r="C3" s="211">
        <v>1565</v>
      </c>
      <c r="D3" s="237" t="s">
        <v>139</v>
      </c>
    </row>
    <row r="4" spans="1:4" x14ac:dyDescent="0.25">
      <c r="A4" s="211" t="s">
        <v>135</v>
      </c>
      <c r="B4" s="211">
        <v>16</v>
      </c>
      <c r="C4" s="211">
        <v>1915</v>
      </c>
      <c r="D4" s="236"/>
    </row>
    <row r="5" spans="1:4" x14ac:dyDescent="0.25">
      <c r="A5" s="211" t="s">
        <v>137</v>
      </c>
      <c r="B5" s="211">
        <v>12</v>
      </c>
      <c r="C5" s="211">
        <v>2000</v>
      </c>
      <c r="D5" s="236"/>
    </row>
    <row r="6" spans="1:4" x14ac:dyDescent="0.25">
      <c r="A6" s="211" t="s">
        <v>71</v>
      </c>
      <c r="B6" s="211">
        <v>18</v>
      </c>
      <c r="C6" s="211">
        <v>1565</v>
      </c>
      <c r="D6" s="236"/>
    </row>
    <row r="7" spans="1:4" x14ac:dyDescent="0.25">
      <c r="A7" s="211" t="s">
        <v>132</v>
      </c>
      <c r="B7" s="211">
        <v>13</v>
      </c>
      <c r="C7" s="211">
        <v>2000</v>
      </c>
      <c r="D7" s="236"/>
    </row>
    <row r="8" spans="1:4" x14ac:dyDescent="0.25">
      <c r="A8" s="211" t="s">
        <v>149</v>
      </c>
      <c r="B8" s="211">
        <v>14</v>
      </c>
      <c r="C8" s="211">
        <v>1895</v>
      </c>
      <c r="D8" s="236"/>
    </row>
    <row r="9" spans="1:4" x14ac:dyDescent="0.25">
      <c r="A9" s="211" t="s">
        <v>168</v>
      </c>
      <c r="B9" s="211">
        <v>17</v>
      </c>
      <c r="C9" s="211">
        <v>1565</v>
      </c>
      <c r="D9" s="236"/>
    </row>
    <row r="10" spans="1:4" x14ac:dyDescent="0.25">
      <c r="A10" s="211" t="s">
        <v>173</v>
      </c>
      <c r="B10" s="211">
        <v>17</v>
      </c>
      <c r="C10" s="211">
        <v>1500</v>
      </c>
      <c r="D10" s="236"/>
    </row>
    <row r="11" spans="1:4" x14ac:dyDescent="0.25">
      <c r="A11" s="211" t="s">
        <v>60</v>
      </c>
      <c r="B11" s="211">
        <v>16</v>
      </c>
      <c r="C11" s="211">
        <v>1429</v>
      </c>
      <c r="D11" s="236"/>
    </row>
    <row r="12" spans="1:4" x14ac:dyDescent="0.25">
      <c r="A12" s="211" t="s">
        <v>170</v>
      </c>
      <c r="B12" s="211">
        <v>18</v>
      </c>
      <c r="C12" s="211">
        <v>1636</v>
      </c>
      <c r="D12" s="236"/>
    </row>
    <row r="13" spans="1:4" x14ac:dyDescent="0.25">
      <c r="A13" s="211" t="s">
        <v>169</v>
      </c>
      <c r="B13" s="211">
        <v>16</v>
      </c>
      <c r="C13" s="211">
        <v>1440</v>
      </c>
      <c r="D13" s="236"/>
    </row>
    <row r="14" spans="1:4" x14ac:dyDescent="0.25">
      <c r="A14" s="211" t="s">
        <v>141</v>
      </c>
      <c r="B14" s="211">
        <v>18</v>
      </c>
      <c r="C14" s="211">
        <v>1500</v>
      </c>
      <c r="D14" s="236"/>
    </row>
    <row r="15" spans="1:4" x14ac:dyDescent="0.25">
      <c r="A15" s="211" t="s">
        <v>159</v>
      </c>
      <c r="B15" s="211">
        <v>13</v>
      </c>
      <c r="C15" s="211">
        <v>1385</v>
      </c>
      <c r="D15" s="236"/>
    </row>
    <row r="16" spans="1:4" x14ac:dyDescent="0.25">
      <c r="A16" s="211" t="s">
        <v>152</v>
      </c>
      <c r="B16" s="211">
        <v>17</v>
      </c>
      <c r="C16" s="211">
        <v>1565</v>
      </c>
      <c r="D16" s="236"/>
    </row>
    <row r="17" spans="1:5" x14ac:dyDescent="0.25">
      <c r="A17" s="211" t="s">
        <v>163</v>
      </c>
      <c r="B17" s="211">
        <v>14</v>
      </c>
      <c r="C17" s="211">
        <v>1385</v>
      </c>
      <c r="D17" s="236"/>
    </row>
    <row r="18" spans="1:5" x14ac:dyDescent="0.25">
      <c r="A18" s="211" t="s">
        <v>147</v>
      </c>
      <c r="B18" s="211">
        <v>18</v>
      </c>
      <c r="C18" s="211">
        <v>1385</v>
      </c>
      <c r="D18" s="236"/>
    </row>
    <row r="19" spans="1:5" x14ac:dyDescent="0.25">
      <c r="A19" s="211" t="s">
        <v>160</v>
      </c>
      <c r="B19" s="211">
        <v>16</v>
      </c>
      <c r="C19" s="211">
        <v>1385</v>
      </c>
      <c r="D19" s="236"/>
    </row>
    <row r="20" spans="1:5" x14ac:dyDescent="0.25">
      <c r="A20" s="211" t="s">
        <v>151</v>
      </c>
      <c r="B20" s="211">
        <v>17</v>
      </c>
      <c r="C20" s="211">
        <v>1636</v>
      </c>
      <c r="D20" s="236"/>
    </row>
    <row r="21" spans="1:5" x14ac:dyDescent="0.25">
      <c r="A21" s="211" t="s">
        <v>117</v>
      </c>
      <c r="B21" s="211">
        <v>15</v>
      </c>
      <c r="C21" s="211">
        <v>2000</v>
      </c>
      <c r="D21" s="236"/>
    </row>
    <row r="22" spans="1:5" x14ac:dyDescent="0.25">
      <c r="A22" s="211" t="s">
        <v>224</v>
      </c>
      <c r="B22" s="211">
        <v>17</v>
      </c>
      <c r="C22" s="211">
        <v>1385</v>
      </c>
      <c r="D22" s="236"/>
    </row>
    <row r="23" spans="1:5" x14ac:dyDescent="0.25">
      <c r="A23" s="211" t="s">
        <v>260</v>
      </c>
      <c r="B23" s="211">
        <v>15</v>
      </c>
      <c r="C23" s="211">
        <v>1440</v>
      </c>
      <c r="D23" s="236"/>
    </row>
    <row r="24" spans="1:5" x14ac:dyDescent="0.25">
      <c r="A24" s="211" t="s">
        <v>262</v>
      </c>
      <c r="B24" s="211">
        <v>16</v>
      </c>
      <c r="C24" s="211">
        <v>1385</v>
      </c>
      <c r="D24" s="236"/>
    </row>
    <row r="25" spans="1:5" x14ac:dyDescent="0.25">
      <c r="A25" s="211" t="s">
        <v>128</v>
      </c>
      <c r="B25" s="211">
        <v>13</v>
      </c>
      <c r="C25" s="211">
        <v>1565</v>
      </c>
      <c r="D25" s="236"/>
    </row>
    <row r="26" spans="1:5" x14ac:dyDescent="0.25">
      <c r="A26" s="211" t="s">
        <v>144</v>
      </c>
      <c r="B26" s="211">
        <v>12</v>
      </c>
      <c r="C26" s="211">
        <v>1565</v>
      </c>
      <c r="D26" s="236"/>
    </row>
    <row r="27" spans="1:5" x14ac:dyDescent="0.25">
      <c r="A27" s="211" t="s">
        <v>156</v>
      </c>
      <c r="B27" s="211">
        <v>12</v>
      </c>
      <c r="C27" s="211">
        <v>1565</v>
      </c>
    </row>
    <row r="28" spans="1:5" x14ac:dyDescent="0.25">
      <c r="A28" s="211"/>
      <c r="B28" s="211"/>
      <c r="C28" s="211"/>
    </row>
    <row r="29" spans="1:5" x14ac:dyDescent="0.25">
      <c r="A29" s="211"/>
      <c r="B29" s="211"/>
      <c r="C29" s="211"/>
    </row>
    <row r="30" spans="1:5" x14ac:dyDescent="0.25">
      <c r="A30" s="211"/>
      <c r="B30" s="211"/>
      <c r="C30" s="211"/>
    </row>
    <row r="31" spans="1:5" x14ac:dyDescent="0.25">
      <c r="A31" s="211"/>
      <c r="B31" s="211"/>
      <c r="C31" s="211"/>
    </row>
    <row r="32" spans="1:5" x14ac:dyDescent="0.25">
      <c r="E32" s="282" t="s">
        <v>263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CFAB-76FC-4400-B581-C1DC4E5B0F65}">
  <sheetPr>
    <pageSetUpPr fitToPage="1"/>
  </sheetPr>
  <dimension ref="B1:O22"/>
  <sheetViews>
    <sheetView zoomScale="70" zoomScaleNormal="70" workbookViewId="0">
      <selection activeCell="J18" sqref="J18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45931</v>
      </c>
      <c r="E3" s="383"/>
      <c r="F3" s="214" t="s">
        <v>76</v>
      </c>
      <c r="G3" s="384">
        <f>'1001'!E1</f>
        <v>59618</v>
      </c>
      <c r="H3" s="384"/>
      <c r="I3" s="214" t="s">
        <v>77</v>
      </c>
      <c r="J3" s="385">
        <f>'1001'!G1</f>
        <v>2862983.48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117.98369527298097</v>
      </c>
      <c r="G6" s="362"/>
      <c r="H6" s="363">
        <f>AVERAGE(D13:H13)</f>
        <v>113.67931013431011</v>
      </c>
      <c r="I6" s="363"/>
      <c r="J6" s="363">
        <f>AVERAGE(I13:J13)</f>
        <v>128.74465811965811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105.7620809363689</v>
      </c>
      <c r="G7" s="380"/>
      <c r="H7" s="381">
        <f>AVERAGE(D14:H14)</f>
        <v>100.00484880439676</v>
      </c>
      <c r="I7" s="381"/>
      <c r="J7" s="381">
        <f>AVERAGE(I14:J14)</f>
        <v>120.15516126629927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0.89982633169439197</v>
      </c>
      <c r="G8" s="360"/>
      <c r="H8" s="360">
        <f>AVERAGE(D15:H15)</f>
        <v>0.88636358434920814</v>
      </c>
      <c r="I8" s="360"/>
      <c r="J8" s="360">
        <f>AVERAGE(I15:J15)</f>
        <v>0.93348320005735119</v>
      </c>
      <c r="K8" s="360"/>
      <c r="L8" s="219" t="s">
        <v>89</v>
      </c>
    </row>
    <row r="9" spans="2:15" ht="25.5" customHeight="1" thickBot="1" x14ac:dyDescent="0.3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376" t="s">
        <v>0</v>
      </c>
      <c r="C10" s="377"/>
      <c r="D10" s="364" t="s">
        <v>90</v>
      </c>
      <c r="E10" s="365"/>
      <c r="F10" s="365"/>
      <c r="G10" s="365"/>
      <c r="H10" s="365"/>
      <c r="I10" s="365"/>
      <c r="J10" s="366"/>
    </row>
    <row r="11" spans="2:15" ht="17.25" customHeight="1" x14ac:dyDescent="0.25">
      <c r="B11" s="367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3">
        <v>7</v>
      </c>
    </row>
    <row r="12" spans="2:15" ht="33.950000000000003" customHeight="1" x14ac:dyDescent="0.25">
      <c r="B12" s="369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5" t="s">
        <v>98</v>
      </c>
    </row>
    <row r="13" spans="2:15" ht="39.950000000000003" customHeight="1" x14ac:dyDescent="0.25">
      <c r="B13" s="371" t="s">
        <v>1</v>
      </c>
      <c r="C13" s="226" t="s">
        <v>99</v>
      </c>
      <c r="D13" s="227">
        <f>VALUE('1001'!L15)</f>
        <v>149.22390109890108</v>
      </c>
      <c r="E13" s="227">
        <f>VALUE('1001'!L26)</f>
        <v>151.71674679487177</v>
      </c>
      <c r="F13" s="227">
        <f>VALUE('1001'!L37)</f>
        <v>87.449673202614377</v>
      </c>
      <c r="G13" s="227">
        <f>VALUE('1001'!L48)</f>
        <v>92.416360294117652</v>
      </c>
      <c r="H13" s="227">
        <f>VALUE('1001'!L58)</f>
        <v>87.58986928104575</v>
      </c>
      <c r="I13" s="227">
        <f>VALUE('1001'!L69)</f>
        <v>127.07264957264958</v>
      </c>
      <c r="J13" s="228">
        <f>VALUE('1001'!L79)</f>
        <v>130.41666666666666</v>
      </c>
    </row>
    <row r="14" spans="2:15" ht="39.950000000000003" customHeight="1" x14ac:dyDescent="0.25">
      <c r="B14" s="372"/>
      <c r="C14" s="226" t="s">
        <v>100</v>
      </c>
      <c r="D14" s="227">
        <f>VALUE('1001'!O15)</f>
        <v>130.1570362941161</v>
      </c>
      <c r="E14" s="227">
        <f>VALUE('1001'!O26)</f>
        <v>128.20091929632221</v>
      </c>
      <c r="F14" s="227">
        <f>VALUE('1001'!O37)</f>
        <v>77.822304432140015</v>
      </c>
      <c r="G14" s="227">
        <f>VALUE('1001'!O48)</f>
        <v>76.983356548047027</v>
      </c>
      <c r="H14" s="227">
        <f>VALUE('1001'!O58)</f>
        <v>86.860627451358454</v>
      </c>
      <c r="I14" s="227">
        <f>VALUE('1001'!O69)</f>
        <v>120.58206166303336</v>
      </c>
      <c r="J14" s="228">
        <f>VALUE('1001'!O79)</f>
        <v>119.7282608695652</v>
      </c>
    </row>
    <row r="15" spans="2:15" ht="39.950000000000003" customHeight="1" x14ac:dyDescent="0.25">
      <c r="B15" s="373"/>
      <c r="C15" s="222" t="s">
        <v>101</v>
      </c>
      <c r="D15" s="248">
        <f>D14/D13</f>
        <v>0.87222646865298048</v>
      </c>
      <c r="E15" s="248">
        <f t="shared" ref="E15:J15" si="0">E14/E13</f>
        <v>0.84500176812818117</v>
      </c>
      <c r="F15" s="248">
        <f t="shared" si="0"/>
        <v>0.88990960837362465</v>
      </c>
      <c r="G15" s="248">
        <f t="shared" si="0"/>
        <v>0.83300571785174549</v>
      </c>
      <c r="H15" s="248">
        <f t="shared" si="0"/>
        <v>0.99167435873950893</v>
      </c>
      <c r="I15" s="248">
        <f t="shared" si="0"/>
        <v>0.9489222273129243</v>
      </c>
      <c r="J15" s="249">
        <f t="shared" si="0"/>
        <v>0.91804417280177797</v>
      </c>
    </row>
    <row r="16" spans="2:15" ht="17.25" customHeight="1" x14ac:dyDescent="0.25">
      <c r="B16" s="374" t="s">
        <v>102</v>
      </c>
      <c r="C16" s="222" t="s">
        <v>103</v>
      </c>
      <c r="D16" s="98">
        <f>'1001'!T5</f>
        <v>0.3034722222222222</v>
      </c>
      <c r="E16" s="98">
        <f>'1001'!T16</f>
        <v>0.3034722222222222</v>
      </c>
      <c r="F16" s="98">
        <f>'1001'!T27</f>
        <v>0.29305555555555557</v>
      </c>
      <c r="G16" s="98">
        <f>'1001'!T38</f>
        <v>0.33263888888888887</v>
      </c>
      <c r="H16" s="98">
        <f>'1001'!T49</f>
        <v>0.28819444444444442</v>
      </c>
      <c r="I16" s="98">
        <f>'1001'!T59</f>
        <v>0.29166666666666669</v>
      </c>
      <c r="J16" s="281">
        <f>'1001'!T70</f>
        <v>0.34930555555555554</v>
      </c>
    </row>
    <row r="17" spans="2:10" ht="17.25" customHeight="1" x14ac:dyDescent="0.25">
      <c r="B17" s="375"/>
      <c r="C17" s="222" t="s">
        <v>104</v>
      </c>
      <c r="D17" s="98">
        <v>0.65138888888888891</v>
      </c>
      <c r="E17" s="41">
        <v>0.64444444444444449</v>
      </c>
      <c r="F17" s="41">
        <v>0.65486111111111112</v>
      </c>
      <c r="G17" s="59">
        <v>0.63541666666666663</v>
      </c>
      <c r="H17" s="80">
        <v>0.67986111111111114</v>
      </c>
      <c r="I17" s="20">
        <v>0.62152777777777779</v>
      </c>
      <c r="J17" s="20">
        <v>0.41319444444444442</v>
      </c>
    </row>
    <row r="18" spans="2:10" ht="17.25" customHeight="1" x14ac:dyDescent="0.25">
      <c r="B18" s="354" t="s">
        <v>105</v>
      </c>
      <c r="C18" s="355"/>
      <c r="D18" s="229">
        <f>VALUE('1001'!M15)</f>
        <v>13.5</v>
      </c>
      <c r="E18" s="229">
        <f>VALUE('1001'!M26)</f>
        <v>13.25</v>
      </c>
      <c r="F18" s="229">
        <f>VALUE('1001'!M37)</f>
        <v>16</v>
      </c>
      <c r="G18" s="229">
        <f>VALUE('1001'!M48)</f>
        <v>16</v>
      </c>
      <c r="H18" s="229">
        <f>VALUE('1001'!M58)</f>
        <v>17.5</v>
      </c>
      <c r="I18" s="229">
        <f>VALUE('1001'!M69)</f>
        <v>12.333333333333334</v>
      </c>
      <c r="J18" s="230">
        <f>VALUE('1001'!M79)</f>
        <v>12</v>
      </c>
    </row>
    <row r="19" spans="2:10" ht="17.25" customHeight="1" x14ac:dyDescent="0.25">
      <c r="B19" s="354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5" t="s">
        <v>110</v>
      </c>
    </row>
    <row r="20" spans="2:10" ht="17.25" customHeight="1" x14ac:dyDescent="0.25">
      <c r="B20" s="354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356" t="s">
        <v>112</v>
      </c>
      <c r="C21" s="357"/>
      <c r="D21" s="1"/>
      <c r="E21" s="1"/>
      <c r="F21" s="1"/>
      <c r="G21" s="1"/>
      <c r="H21" s="1"/>
      <c r="I21" s="1"/>
      <c r="J21" s="232" t="s">
        <v>145</v>
      </c>
    </row>
    <row r="22" spans="2:10" x14ac:dyDescent="0.25">
      <c r="B22" s="358"/>
      <c r="C22" s="358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992A-7988-45AE-9F90-0A499473B15F}">
  <sheetPr>
    <tabColor theme="9" tint="0.79998168889431442"/>
    <pageSetUpPr fitToPage="1"/>
  </sheetPr>
  <dimension ref="A1:AF92"/>
  <sheetViews>
    <sheetView zoomScale="69" zoomScaleNormal="69" workbookViewId="0">
      <pane xSplit="5" ySplit="4" topLeftCell="F41" activePane="bottomRight" state="frozen"/>
      <selection activeCell="T16" sqref="T16"/>
      <selection pane="topRight" activeCell="T16" sqref="T16"/>
      <selection pane="bottomLeft" activeCell="T16" sqref="T16"/>
      <selection pane="bottomRight" activeCell="Z40" sqref="Z40:AA40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9.1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59618</v>
      </c>
      <c r="F1" s="185" t="s">
        <v>9</v>
      </c>
      <c r="G1" s="4">
        <f>SUM(H5:H79)</f>
        <v>2862983.48</v>
      </c>
      <c r="H1" s="183" t="s">
        <v>10</v>
      </c>
      <c r="I1" s="5">
        <f>M15+M26+M48+M58+M69+M79+M37</f>
        <v>100.58333333333333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164</v>
      </c>
      <c r="B2" s="461"/>
      <c r="C2" s="184"/>
      <c r="D2" s="184" t="s">
        <v>1</v>
      </c>
      <c r="E2" s="7">
        <f>AVERAGE(O15,O26,O37,O48,O58,O69,O79)</f>
        <v>105.7620809363689</v>
      </c>
      <c r="F2" s="8" t="s">
        <v>2</v>
      </c>
      <c r="G2" s="9">
        <f>G1/E1</f>
        <v>48.022132241940355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1944</v>
      </c>
      <c r="H5" s="109">
        <f>F5*G5</f>
        <v>111216.24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1715.294117647059</v>
      </c>
      <c r="O5" s="112">
        <f>N5/M5</f>
        <v>131.94570135746608</v>
      </c>
      <c r="P5" s="114">
        <f>M5-J5</f>
        <v>0</v>
      </c>
      <c r="Q5" s="115">
        <f>O5-L5</f>
        <v>-21.900452488687762</v>
      </c>
      <c r="R5" s="192">
        <f>O5/L5</f>
        <v>0.85764705882352954</v>
      </c>
      <c r="S5" s="408">
        <f>R15</f>
        <v>0.87222646865298048</v>
      </c>
      <c r="T5" s="97">
        <v>0.3034722222222222</v>
      </c>
      <c r="U5" s="97">
        <v>0.35069444444444442</v>
      </c>
      <c r="V5" s="202"/>
      <c r="W5" s="110">
        <f t="shared" ref="W5:W14" si="0">(U5-T5)*24*60</f>
        <v>68</v>
      </c>
      <c r="X5" s="196"/>
      <c r="Y5" s="196"/>
      <c r="Z5" s="423" t="s">
        <v>165</v>
      </c>
      <c r="AA5" s="423"/>
      <c r="AB5" s="114">
        <f>N5-K5</f>
        <v>-284.70588235294099</v>
      </c>
      <c r="AC5" s="192">
        <f>N5/K5</f>
        <v>0.85764705882352954</v>
      </c>
      <c r="AD5" s="391">
        <f>AC15</f>
        <v>0.88446106306542294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2871</v>
      </c>
      <c r="H6" s="15">
        <f t="shared" ref="H6:H14" si="1">F6*G6</f>
        <v>164249.91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15</v>
      </c>
      <c r="N6" s="14">
        <f>G6/W6*60</f>
        <v>1609.9065420560744</v>
      </c>
      <c r="O6" s="17">
        <f>N6/M6</f>
        <v>107.3271028037383</v>
      </c>
      <c r="P6" s="18">
        <f>M6-J6</f>
        <v>1</v>
      </c>
      <c r="Q6" s="19">
        <f>O6-L6</f>
        <v>-28.030040053404562</v>
      </c>
      <c r="R6" s="193">
        <f>O6/L6</f>
        <v>0.79291790989569189</v>
      </c>
      <c r="S6" s="409"/>
      <c r="T6" s="98">
        <v>0.3611111111111111</v>
      </c>
      <c r="U6" s="98">
        <v>0.43541666666666667</v>
      </c>
      <c r="V6" s="185">
        <f>(T6-U5)*24*60</f>
        <v>15.000000000000027</v>
      </c>
      <c r="W6" s="190">
        <f t="shared" si="0"/>
        <v>107.00000000000001</v>
      </c>
      <c r="X6" s="22"/>
      <c r="Y6" s="22"/>
      <c r="Z6" s="446" t="s">
        <v>166</v>
      </c>
      <c r="AA6" s="446"/>
      <c r="AB6" s="18">
        <f>N6-K6</f>
        <v>-285.09345794392561</v>
      </c>
      <c r="AC6" s="193">
        <f>N6/K6</f>
        <v>0.84955490345966989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2284</v>
      </c>
      <c r="H7" s="15">
        <f t="shared" si="1"/>
        <v>112235.76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1803.1578947368428</v>
      </c>
      <c r="O7" s="17">
        <f>N7/M7</f>
        <v>138.70445344129558</v>
      </c>
      <c r="P7" s="18">
        <f>M7-J7</f>
        <v>0</v>
      </c>
      <c r="Q7" s="19">
        <f>O7-L7</f>
        <v>-15.141700404858256</v>
      </c>
      <c r="R7" s="193">
        <f>O7/L7</f>
        <v>0.90157894736842137</v>
      </c>
      <c r="S7" s="409"/>
      <c r="T7" s="98">
        <v>0.44722222222222224</v>
      </c>
      <c r="U7" s="98">
        <v>0.5</v>
      </c>
      <c r="V7" s="185">
        <f>(T7-U6)*24*60</f>
        <v>17.000000000000021</v>
      </c>
      <c r="W7" s="190">
        <f t="shared" si="0"/>
        <v>75.999999999999972</v>
      </c>
      <c r="X7" s="22"/>
      <c r="Y7" s="22"/>
      <c r="Z7" s="400"/>
      <c r="AA7" s="400"/>
      <c r="AB7" s="18">
        <f>N7-K7</f>
        <v>-196.84210526315724</v>
      </c>
      <c r="AC7" s="193">
        <f>N7/K7</f>
        <v>0.90157894736842137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4018</v>
      </c>
      <c r="H8" s="15">
        <f t="shared" ref="H8:H9" si="2">F8*G8</f>
        <v>197444.52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1854.4615384615381</v>
      </c>
      <c r="O8" s="17">
        <f>N8/M8</f>
        <v>142.65088757396447</v>
      </c>
      <c r="P8" s="18">
        <f>M8-J8</f>
        <v>0</v>
      </c>
      <c r="Q8" s="19">
        <f>O8-L8</f>
        <v>-11.195266272189372</v>
      </c>
      <c r="R8" s="193">
        <f>O8/L8</f>
        <v>0.92723076923076908</v>
      </c>
      <c r="S8" s="409"/>
      <c r="T8" s="98">
        <v>0.56111111111111112</v>
      </c>
      <c r="U8" s="98">
        <v>0.65138888888888891</v>
      </c>
      <c r="V8" s="185">
        <f>(T8-U7)*24*60</f>
        <v>88</v>
      </c>
      <c r="W8" s="190">
        <f t="shared" si="0"/>
        <v>130.00000000000003</v>
      </c>
      <c r="X8" s="22">
        <v>0.51041666666666663</v>
      </c>
      <c r="Y8" s="22">
        <v>0.55208333333333337</v>
      </c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>
        <f t="shared" si="2"/>
        <v>0</v>
      </c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>
        <f t="shared" si="1"/>
        <v>0</v>
      </c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59"/>
      <c r="AA11" s="460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4"/>
      <c r="AA12" s="44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3">AVERAGE(J5:J14)</f>
        <v>13.25</v>
      </c>
      <c r="K15" s="121">
        <f t="shared" si="3"/>
        <v>1973.75</v>
      </c>
      <c r="L15" s="118">
        <f t="shared" si="3"/>
        <v>149.22390109890108</v>
      </c>
      <c r="M15" s="121">
        <f t="shared" si="3"/>
        <v>13.5</v>
      </c>
      <c r="N15" s="121">
        <f t="shared" si="3"/>
        <v>1745.7050232253785</v>
      </c>
      <c r="O15" s="118">
        <f t="shared" si="3"/>
        <v>130.1570362941161</v>
      </c>
      <c r="P15" s="122">
        <f t="shared" ref="P15:P18" si="4">M15-J15</f>
        <v>0.25</v>
      </c>
      <c r="Q15" s="123">
        <f t="shared" ref="Q15:Q18" si="5">O15-L15</f>
        <v>-19.066864804784984</v>
      </c>
      <c r="R15" s="124">
        <f t="shared" ref="R15:R18" si="6">O15/L15</f>
        <v>0.87222646865298048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-228.04497677462155</v>
      </c>
      <c r="AC15" s="195">
        <f>N15/K15</f>
        <v>0.88446106306542294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2286</v>
      </c>
      <c r="H16" s="128">
        <f t="shared" ref="H16:H25" si="7">F16*G16</f>
        <v>130782.06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1652.530120481927</v>
      </c>
      <c r="O16" s="131">
        <f>N16/M16</f>
        <v>127.11770157553285</v>
      </c>
      <c r="P16" s="132">
        <f t="shared" si="4"/>
        <v>0</v>
      </c>
      <c r="Q16" s="133">
        <f t="shared" si="5"/>
        <v>-26.728452270620991</v>
      </c>
      <c r="R16" s="197">
        <f t="shared" si="6"/>
        <v>0.82626506024096358</v>
      </c>
      <c r="S16" s="433">
        <f>R26</f>
        <v>0.84500176812818117</v>
      </c>
      <c r="T16" s="288">
        <v>0.3034722222222222</v>
      </c>
      <c r="U16" s="288">
        <v>0.3611111111111111</v>
      </c>
      <c r="V16" s="129"/>
      <c r="W16" s="134">
        <f t="shared" ref="W16:W68" si="8">(U16-T16)*24*60</f>
        <v>83.000000000000028</v>
      </c>
      <c r="X16" s="131"/>
      <c r="Y16" s="131"/>
      <c r="Z16" s="423" t="s">
        <v>162</v>
      </c>
      <c r="AA16" s="423"/>
      <c r="AB16" s="114">
        <f>N16-K16</f>
        <v>-347.46987951807296</v>
      </c>
      <c r="AC16" s="192">
        <f>N16/K16</f>
        <v>0.82626506024096347</v>
      </c>
      <c r="AD16" s="391">
        <f>AC26</f>
        <v>0.84269469292048838</v>
      </c>
    </row>
    <row r="17" spans="1:30" ht="15" customHeight="1" x14ac:dyDescent="0.25">
      <c r="A17" s="439"/>
      <c r="B17" s="56" t="s">
        <v>171</v>
      </c>
      <c r="C17" s="10"/>
      <c r="D17" s="11" t="s">
        <v>134</v>
      </c>
      <c r="E17" s="89"/>
      <c r="F17" s="56">
        <f>VLOOKUP(D17,廠價表!$C$1:$E$39,3,0)</f>
        <v>50.67</v>
      </c>
      <c r="G17" s="99">
        <v>2335</v>
      </c>
      <c r="H17" s="15">
        <f t="shared" si="7"/>
        <v>118314.45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1556.6666666666665</v>
      </c>
      <c r="O17" s="38">
        <f>N17/M17</f>
        <v>97.291666666666657</v>
      </c>
      <c r="P17" s="39">
        <f t="shared" si="4"/>
        <v>0</v>
      </c>
      <c r="Q17" s="40">
        <f t="shared" si="5"/>
        <v>-22.395833333333343</v>
      </c>
      <c r="R17" s="198">
        <f t="shared" si="6"/>
        <v>0.81288076588337677</v>
      </c>
      <c r="S17" s="434"/>
      <c r="T17" s="41">
        <v>0.36805555555555558</v>
      </c>
      <c r="U17" s="41">
        <v>0.43055555555555558</v>
      </c>
      <c r="V17" s="185">
        <f>(T17-U16)*24*60</f>
        <v>10.000000000000044</v>
      </c>
      <c r="W17" s="43">
        <f t="shared" si="8"/>
        <v>90</v>
      </c>
      <c r="X17" s="44"/>
      <c r="Y17" s="44"/>
      <c r="Z17" s="399"/>
      <c r="AA17" s="400"/>
      <c r="AB17" s="18">
        <f>N17-K17</f>
        <v>-358.33333333333348</v>
      </c>
      <c r="AC17" s="193">
        <f>N17/K17</f>
        <v>0.81288076588337677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2543</v>
      </c>
      <c r="H18" s="15">
        <f t="shared" si="7"/>
        <v>128141.77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1860.7317073170725</v>
      </c>
      <c r="O18" s="38">
        <f>N18/M18</f>
        <v>155.06097560975604</v>
      </c>
      <c r="P18" s="39">
        <f t="shared" si="4"/>
        <v>0</v>
      </c>
      <c r="Q18" s="40">
        <f t="shared" si="5"/>
        <v>-11.605691056910615</v>
      </c>
      <c r="R18" s="198">
        <f t="shared" si="6"/>
        <v>0.9303658536585363</v>
      </c>
      <c r="S18" s="434"/>
      <c r="T18" s="41">
        <v>0.44027777777777777</v>
      </c>
      <c r="U18" s="41">
        <v>0.49722222222222223</v>
      </c>
      <c r="V18" s="185">
        <f>(T18-U17)*24*60</f>
        <v>13.99999999999995</v>
      </c>
      <c r="W18" s="43">
        <f t="shared" si="8"/>
        <v>82.000000000000028</v>
      </c>
      <c r="X18" s="22"/>
      <c r="Y18" s="22"/>
      <c r="Z18" s="399"/>
      <c r="AA18" s="400"/>
      <c r="AB18" s="18">
        <f>N18-K18</f>
        <v>-139.26829268292749</v>
      </c>
      <c r="AC18" s="193">
        <f>N18/K18</f>
        <v>0.9303658536585363</v>
      </c>
      <c r="AD18" s="392"/>
    </row>
    <row r="19" spans="1:30" ht="15" customHeight="1" x14ac:dyDescent="0.25">
      <c r="A19" s="439"/>
      <c r="B19" s="56" t="str">
        <f>VLOOKUP(D19,廠價表!$C$1:$E$39,2,0)</f>
        <v>義大利麵</v>
      </c>
      <c r="C19" s="23"/>
      <c r="D19" s="11" t="s">
        <v>136</v>
      </c>
      <c r="E19" s="12"/>
      <c r="F19" s="56">
        <f>VLOOKUP(D19,廠價表!$C$1:$E$39,3,0)</f>
        <v>50.39</v>
      </c>
      <c r="G19" s="99">
        <v>3200</v>
      </c>
      <c r="H19" s="15">
        <f t="shared" ref="H19:H20" si="9">F19*G19</f>
        <v>161248</v>
      </c>
      <c r="I19" s="42"/>
      <c r="J19" s="16">
        <f>VLOOKUP(D19,產線配置圖!$A$2:$C$38,2,0)</f>
        <v>12</v>
      </c>
      <c r="K19" s="14">
        <f>VLOOKUP(D19,產線配置圖!$A$2:$C$38,3,0)</f>
        <v>2000</v>
      </c>
      <c r="L19" s="17">
        <f>K19/J19</f>
        <v>166.66666666666666</v>
      </c>
      <c r="M19" s="37">
        <v>12</v>
      </c>
      <c r="N19" s="36">
        <f>G19/W19*60</f>
        <v>1599.9999999999993</v>
      </c>
      <c r="O19" s="38">
        <f>N19/M19</f>
        <v>133.33333333333329</v>
      </c>
      <c r="P19" s="39">
        <f t="shared" ref="P19" si="10">M19-J19</f>
        <v>0</v>
      </c>
      <c r="Q19" s="40">
        <f t="shared" ref="Q19" si="11">O19-L19</f>
        <v>-33.333333333333371</v>
      </c>
      <c r="R19" s="198">
        <f t="shared" ref="R19" si="12">O19/L19</f>
        <v>0.79999999999999971</v>
      </c>
      <c r="S19" s="434"/>
      <c r="T19" s="41">
        <v>0.56111111111111112</v>
      </c>
      <c r="U19" s="41">
        <v>0.64444444444444449</v>
      </c>
      <c r="V19" s="185">
        <f>(T19-U18)*24*60</f>
        <v>92</v>
      </c>
      <c r="W19" s="43">
        <f t="shared" si="8"/>
        <v>120.00000000000006</v>
      </c>
      <c r="X19" s="22">
        <v>0.51041666666666663</v>
      </c>
      <c r="Y19" s="22">
        <v>0.55208333333333337</v>
      </c>
      <c r="Z19" s="398" t="s">
        <v>167</v>
      </c>
      <c r="AA19" s="399"/>
      <c r="AB19" s="18">
        <f>N19-K19</f>
        <v>-400.00000000000068</v>
      </c>
      <c r="AC19" s="193">
        <f>N19/K19</f>
        <v>0.79999999999999971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>
        <f t="shared" si="9"/>
        <v>0</v>
      </c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7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7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8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8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8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3">AVERAGE(J16:J25)</f>
        <v>13.25</v>
      </c>
      <c r="K26" s="137">
        <f t="shared" si="13"/>
        <v>1978.75</v>
      </c>
      <c r="L26" s="140">
        <f t="shared" si="13"/>
        <v>151.71674679487177</v>
      </c>
      <c r="M26" s="137">
        <f t="shared" si="13"/>
        <v>13.25</v>
      </c>
      <c r="N26" s="137">
        <f t="shared" si="13"/>
        <v>1667.4821236164164</v>
      </c>
      <c r="O26" s="140">
        <f t="shared" si="13"/>
        <v>128.20091929632221</v>
      </c>
      <c r="P26" s="141">
        <f t="shared" ref="P26:P30" si="14">M26-J26</f>
        <v>0</v>
      </c>
      <c r="Q26" s="142">
        <f t="shared" ref="Q26:Q30" si="15">O26-L26</f>
        <v>-23.515827498549555</v>
      </c>
      <c r="R26" s="143">
        <f t="shared" ref="R26:R30" si="16">O26/L26</f>
        <v>0.84500176812818117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-311.2678763835836</v>
      </c>
      <c r="AC26" s="195">
        <f>N26/K26</f>
        <v>0.84269469292048838</v>
      </c>
      <c r="AD26" s="396"/>
    </row>
    <row r="27" spans="1:30" ht="15" customHeight="1" x14ac:dyDescent="0.25">
      <c r="A27" s="430" t="s">
        <v>54</v>
      </c>
      <c r="B27" s="244" t="s">
        <v>171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1431</v>
      </c>
      <c r="H27" s="128">
        <f t="shared" ref="H27:H36" si="17">F27*G27</f>
        <v>72408.600000000006</v>
      </c>
      <c r="I27" s="129"/>
      <c r="J27" s="111">
        <v>17</v>
      </c>
      <c r="K27" s="252">
        <v>1636</v>
      </c>
      <c r="L27" s="112">
        <f>K27/J27</f>
        <v>96.235294117647058</v>
      </c>
      <c r="M27" s="147">
        <v>16</v>
      </c>
      <c r="N27" s="130">
        <f>G27/W27*60</f>
        <v>1300.909090909091</v>
      </c>
      <c r="O27" s="131">
        <f>N27/M27</f>
        <v>81.306818181818187</v>
      </c>
      <c r="P27" s="132">
        <f t="shared" si="14"/>
        <v>-1</v>
      </c>
      <c r="Q27" s="133">
        <f t="shared" si="15"/>
        <v>-14.928475935828871</v>
      </c>
      <c r="R27" s="197">
        <f t="shared" si="16"/>
        <v>0.84487525005556796</v>
      </c>
      <c r="S27" s="433">
        <f>R37</f>
        <v>0.88990960837362465</v>
      </c>
      <c r="T27" s="97">
        <v>0.29305555555555557</v>
      </c>
      <c r="U27" s="97">
        <v>0.33888888888888891</v>
      </c>
      <c r="V27" s="129"/>
      <c r="W27" s="134">
        <f t="shared" si="8"/>
        <v>66</v>
      </c>
      <c r="X27" s="129"/>
      <c r="Y27" s="129" t="s">
        <v>158</v>
      </c>
      <c r="Z27" s="414"/>
      <c r="AA27" s="423"/>
      <c r="AB27" s="114">
        <f>N27-K27</f>
        <v>-335.09090909090901</v>
      </c>
      <c r="AC27" s="148">
        <f>N27/K27</f>
        <v>0.79517670593465217</v>
      </c>
      <c r="AD27" s="391">
        <f>AC37</f>
        <v>0.81021674726179227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2115</v>
      </c>
      <c r="H28" s="50">
        <f t="shared" si="17"/>
        <v>120999.15000000001</v>
      </c>
      <c r="I28" s="42"/>
      <c r="J28" s="16">
        <v>17</v>
      </c>
      <c r="K28" s="14">
        <v>1636</v>
      </c>
      <c r="L28" s="251">
        <f>K28/J28</f>
        <v>96.235294117647058</v>
      </c>
      <c r="M28" s="21">
        <v>15</v>
      </c>
      <c r="N28" s="36">
        <f>G28/W28*60</f>
        <v>1164.2201834862385</v>
      </c>
      <c r="O28" s="38">
        <f>N28/M28</f>
        <v>77.614678899082563</v>
      </c>
      <c r="P28" s="39">
        <f t="shared" si="14"/>
        <v>-2</v>
      </c>
      <c r="Q28" s="40">
        <f t="shared" si="15"/>
        <v>-18.620615218564495</v>
      </c>
      <c r="R28" s="198">
        <f t="shared" si="16"/>
        <v>0.80650949956259388</v>
      </c>
      <c r="S28" s="434"/>
      <c r="T28" s="291">
        <v>0.34722222222222221</v>
      </c>
      <c r="U28" s="291">
        <v>0.42291666666666666</v>
      </c>
      <c r="V28" s="42">
        <f>(T28-U27)*24*60</f>
        <v>11.999999999999957</v>
      </c>
      <c r="W28" s="43">
        <f t="shared" si="8"/>
        <v>109.00000000000001</v>
      </c>
      <c r="X28" s="54"/>
      <c r="Y28" s="54"/>
      <c r="Z28" s="399" t="s">
        <v>174</v>
      </c>
      <c r="AA28" s="400"/>
      <c r="AB28" s="34">
        <f>N28-K28</f>
        <v>-471.77981651376149</v>
      </c>
      <c r="AC28" s="194">
        <f>N28/K28</f>
        <v>0.71162602902581817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1749</v>
      </c>
      <c r="H29" s="50">
        <f t="shared" si="17"/>
        <v>96422.37000000001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16</v>
      </c>
      <c r="N29" s="36">
        <f>G29/W29*60</f>
        <v>1220.2325581395357</v>
      </c>
      <c r="O29" s="38">
        <f>N29/M29</f>
        <v>76.264534883720984</v>
      </c>
      <c r="P29" s="39">
        <f t="shared" si="14"/>
        <v>-2</v>
      </c>
      <c r="Q29" s="40">
        <f t="shared" si="15"/>
        <v>-0.67990956072345909</v>
      </c>
      <c r="R29" s="198">
        <f t="shared" si="16"/>
        <v>0.99116363025774568</v>
      </c>
      <c r="S29" s="434"/>
      <c r="T29" s="41">
        <v>0.42986111111111114</v>
      </c>
      <c r="U29" s="41">
        <v>0.48958333333333331</v>
      </c>
      <c r="V29" s="42">
        <f>(T29-U28)*24*60</f>
        <v>10.000000000000044</v>
      </c>
      <c r="W29" s="43">
        <f t="shared" si="8"/>
        <v>85.999999999999929</v>
      </c>
      <c r="X29" s="54"/>
      <c r="Y29" s="54"/>
      <c r="Z29" s="399"/>
      <c r="AA29" s="400"/>
      <c r="AB29" s="275">
        <f t="shared" ref="AB29:AB30" si="18">N29-K29</f>
        <v>-164.76744186046426</v>
      </c>
      <c r="AC29" s="276">
        <f t="shared" ref="AC29:AC30" si="19">N29/K29</f>
        <v>0.88103433800688502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1999</v>
      </c>
      <c r="H30" s="257">
        <f t="shared" si="17"/>
        <v>95152.400000000009</v>
      </c>
      <c r="I30" s="82"/>
      <c r="J30" s="16">
        <f>VLOOKUP(D30,產線配置圖!$A$2:$C$38,2,0)</f>
        <v>18</v>
      </c>
      <c r="K30" s="14">
        <f>VLOOKUP(D30,產線配置圖!$A$2:$C$38,3,0)</f>
        <v>1636</v>
      </c>
      <c r="L30" s="251">
        <f>K30/J30</f>
        <v>90.888888888888886</v>
      </c>
      <c r="M30" s="21">
        <v>15</v>
      </c>
      <c r="N30" s="36">
        <f>G30/W30*60</f>
        <v>1175.8823529411752</v>
      </c>
      <c r="O30" s="38">
        <f>N30/M30</f>
        <v>78.392156862745011</v>
      </c>
      <c r="P30" s="39">
        <f t="shared" si="14"/>
        <v>-3</v>
      </c>
      <c r="Q30" s="40">
        <f t="shared" si="15"/>
        <v>-12.496732026143874</v>
      </c>
      <c r="R30" s="198">
        <f t="shared" si="16"/>
        <v>0.86250539335538523</v>
      </c>
      <c r="S30" s="434"/>
      <c r="T30" s="41">
        <v>0.54513888888888884</v>
      </c>
      <c r="U30" s="41">
        <v>0.61597222222222225</v>
      </c>
      <c r="V30" s="42">
        <f>(T30-U29)*24*60</f>
        <v>79.999999999999957</v>
      </c>
      <c r="W30" s="43">
        <f t="shared" si="8"/>
        <v>102.00000000000011</v>
      </c>
      <c r="X30" s="22">
        <v>0.5</v>
      </c>
      <c r="Y30" s="22">
        <v>0.54166666666666663</v>
      </c>
      <c r="Z30" s="442"/>
      <c r="AA30" s="443"/>
      <c r="AB30" s="275">
        <f t="shared" si="18"/>
        <v>-460.11764705882479</v>
      </c>
      <c r="AC30" s="276">
        <f t="shared" si="19"/>
        <v>0.71875449446282103</v>
      </c>
      <c r="AD30" s="394"/>
    </row>
    <row r="31" spans="1:30" ht="15" customHeight="1" x14ac:dyDescent="0.25">
      <c r="A31" s="431"/>
      <c r="B31" s="56" t="str">
        <f>VLOOKUP(D31,廠價表!$C$1:$E$39,2,0)</f>
        <v>義大利麵</v>
      </c>
      <c r="C31" s="10"/>
      <c r="D31" s="28" t="s">
        <v>146</v>
      </c>
      <c r="E31" s="89"/>
      <c r="F31" s="56">
        <f>VLOOKUP(D31,廠價表!$C$1:$E$39,3,0)</f>
        <v>55.13</v>
      </c>
      <c r="G31" s="256">
        <v>1133</v>
      </c>
      <c r="H31" s="50">
        <f t="shared" ref="H31:H32" si="20">F31*G31</f>
        <v>62462.29</v>
      </c>
      <c r="I31" s="42"/>
      <c r="J31" s="16">
        <f>VLOOKUP(D31,產線配置圖!$A$2:$C$38,2,0)</f>
        <v>18</v>
      </c>
      <c r="K31" s="14">
        <f>VLOOKUP(D31,產線配置圖!$A$2:$C$38,3,0)</f>
        <v>1385</v>
      </c>
      <c r="L31" s="251">
        <f>K31/J31</f>
        <v>76.944444444444443</v>
      </c>
      <c r="M31" s="21">
        <v>18</v>
      </c>
      <c r="N31" s="36">
        <f>G31/W31*60</f>
        <v>1359.6000000000004</v>
      </c>
      <c r="O31" s="38">
        <f>N31/M31</f>
        <v>75.53333333333336</v>
      </c>
      <c r="P31" s="39">
        <f t="shared" ref="P31" si="21">M31-J31</f>
        <v>0</v>
      </c>
      <c r="Q31" s="40">
        <f t="shared" ref="Q31" si="22">O31-L31</f>
        <v>-1.411111111111083</v>
      </c>
      <c r="R31" s="198">
        <f t="shared" ref="R31" si="23">O31/L31</f>
        <v>0.98166064981949497</v>
      </c>
      <c r="S31" s="434"/>
      <c r="T31" s="41">
        <v>0.62013888888888891</v>
      </c>
      <c r="U31" s="41">
        <v>0.65486111111111112</v>
      </c>
      <c r="V31" s="42">
        <f>(T31-U30)*24*60</f>
        <v>5.9999999999999787</v>
      </c>
      <c r="W31" s="43">
        <f t="shared" si="8"/>
        <v>49.999999999999986</v>
      </c>
      <c r="X31" s="54"/>
      <c r="Y31" s="54"/>
      <c r="Z31" s="253"/>
      <c r="AA31" s="254"/>
      <c r="AB31" s="275">
        <f t="shared" ref="AB31" si="24">N31-K31</f>
        <v>-25.399999999999636</v>
      </c>
      <c r="AC31" s="276">
        <f t="shared" ref="AC31" si="25">N31/K31</f>
        <v>0.98166064981949486</v>
      </c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20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8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7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8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7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8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7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8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7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8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26">AVERAGE(J27:J36)</f>
        <v>17.600000000000001</v>
      </c>
      <c r="K37" s="137">
        <f t="shared" si="26"/>
        <v>1535.6</v>
      </c>
      <c r="L37" s="140">
        <f t="shared" si="26"/>
        <v>87.449673202614377</v>
      </c>
      <c r="M37" s="137">
        <f t="shared" si="26"/>
        <v>16</v>
      </c>
      <c r="N37" s="137">
        <f t="shared" si="26"/>
        <v>1244.1688370952081</v>
      </c>
      <c r="O37" s="140">
        <f t="shared" si="26"/>
        <v>77.822304432140015</v>
      </c>
      <c r="P37" s="141">
        <f>M37-J37</f>
        <v>-1.6000000000000014</v>
      </c>
      <c r="Q37" s="142">
        <f>N37-K37</f>
        <v>-291.43116290479179</v>
      </c>
      <c r="R37" s="143">
        <f t="shared" ref="R37:R41" si="27">O37/L37</f>
        <v>0.88990960837362465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41" si="28">N37-K37</f>
        <v>-291.43116290479179</v>
      </c>
      <c r="AC37" s="195">
        <f t="shared" ref="AC37:AC41" si="29">N37/K37</f>
        <v>0.81021674726179227</v>
      </c>
      <c r="AD37" s="396"/>
    </row>
    <row r="38" spans="1:30" s="63" customFormat="1" ht="15" customHeight="1" x14ac:dyDescent="0.25">
      <c r="A38" s="424" t="s">
        <v>55</v>
      </c>
      <c r="B38" s="244" t="s">
        <v>175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2618</v>
      </c>
      <c r="H38" s="152">
        <f>F38*G38</f>
        <v>130664.37999999999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16</v>
      </c>
      <c r="N38" s="154">
        <f>G38/W38*60</f>
        <v>1468.0373831775701</v>
      </c>
      <c r="O38" s="155">
        <f>N38/M38</f>
        <v>91.752336448598129</v>
      </c>
      <c r="P38" s="132">
        <f>M38-J38</f>
        <v>-1</v>
      </c>
      <c r="Q38" s="133">
        <f>O38-L38</f>
        <v>-0.30648708081363907</v>
      </c>
      <c r="R38" s="156">
        <f t="shared" si="27"/>
        <v>0.99667074736496364</v>
      </c>
      <c r="S38" s="408">
        <f>R48</f>
        <v>0.83300571785174549</v>
      </c>
      <c r="T38" s="157">
        <v>0.33263888888888887</v>
      </c>
      <c r="U38" s="157">
        <v>0.40694444444444444</v>
      </c>
      <c r="V38" s="153"/>
      <c r="W38" s="158">
        <f t="shared" si="8"/>
        <v>107.00000000000001</v>
      </c>
      <c r="X38" s="155"/>
      <c r="Y38" s="159"/>
      <c r="Z38" s="427"/>
      <c r="AA38" s="427"/>
      <c r="AB38" s="160">
        <f t="shared" si="28"/>
        <v>-96.962616822429936</v>
      </c>
      <c r="AC38" s="161">
        <f t="shared" si="29"/>
        <v>0.93804305634349527</v>
      </c>
      <c r="AD38" s="388">
        <f>AC48</f>
        <v>0.79530828395076836</v>
      </c>
    </row>
    <row r="39" spans="1:30" s="63" customFormat="1" ht="15" customHeight="1" thickBot="1" x14ac:dyDescent="0.3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155</v>
      </c>
      <c r="E39" s="89"/>
      <c r="F39" s="56">
        <f>VLOOKUP(D39,廠價表!$C$1:$E$39,3,0)</f>
        <v>62.61</v>
      </c>
      <c r="G39" s="102">
        <v>1232</v>
      </c>
      <c r="H39" s="64">
        <f>F39*G39</f>
        <v>77135.520000000004</v>
      </c>
      <c r="I39" s="65"/>
      <c r="J39" s="16">
        <f>VLOOKUP(D39,產線配置圖!$A$2:$C$38,2,0)</f>
        <v>17</v>
      </c>
      <c r="K39" s="14">
        <f>VLOOKUP(D39,產線配置圖!$A$2:$C$38,3,0)</f>
        <v>1636</v>
      </c>
      <c r="L39" s="17">
        <f>K39/J39</f>
        <v>96.235294117647058</v>
      </c>
      <c r="M39" s="66">
        <v>16</v>
      </c>
      <c r="N39" s="67">
        <f t="shared" ref="N39:N41" si="30">G39/W39*60</f>
        <v>1137.2307692307691</v>
      </c>
      <c r="O39" s="68">
        <f t="shared" ref="O39:O41" si="31">N39/M39</f>
        <v>71.076923076923066</v>
      </c>
      <c r="P39" s="39">
        <f t="shared" ref="P39:P41" si="32">M39-J39</f>
        <v>-1</v>
      </c>
      <c r="Q39" s="40">
        <f t="shared" ref="Q39:Q41" si="33">O39-L39</f>
        <v>-25.158371040723992</v>
      </c>
      <c r="R39" s="69">
        <f t="shared" si="27"/>
        <v>0.73857438405115661</v>
      </c>
      <c r="S39" s="409"/>
      <c r="T39" s="59">
        <v>0.41249999999999998</v>
      </c>
      <c r="U39" s="59">
        <v>0.45763888888888887</v>
      </c>
      <c r="V39" s="42">
        <f t="shared" ref="V39:V41" si="34">(T39-U38)*24*60</f>
        <v>7.9999999999999716</v>
      </c>
      <c r="W39" s="70">
        <f t="shared" si="8"/>
        <v>65.000000000000014</v>
      </c>
      <c r="X39" s="58"/>
      <c r="Y39" s="60"/>
      <c r="Z39" s="428" t="s">
        <v>178</v>
      </c>
      <c r="AA39" s="428"/>
      <c r="AB39" s="61">
        <f t="shared" si="28"/>
        <v>-498.76923076923094</v>
      </c>
      <c r="AC39" s="62">
        <f t="shared" si="29"/>
        <v>0.69512883204814735</v>
      </c>
      <c r="AD39" s="389"/>
    </row>
    <row r="40" spans="1:30" s="63" customFormat="1" ht="15" customHeight="1" x14ac:dyDescent="0.25">
      <c r="A40" s="425"/>
      <c r="B40" s="56" t="str">
        <f>VLOOKUP(D40,廠價表!$C$1:$E$39,2,0)</f>
        <v>義大利麵</v>
      </c>
      <c r="C40" s="10"/>
      <c r="D40" s="11" t="s">
        <v>60</v>
      </c>
      <c r="E40" s="89"/>
      <c r="F40" s="56">
        <f>VLOOKUP(D40,廠價表!$C$1:$E$39,3,0)</f>
        <v>58.17</v>
      </c>
      <c r="G40" s="102">
        <v>1565</v>
      </c>
      <c r="H40" s="64">
        <f>F40*G40</f>
        <v>91036.05</v>
      </c>
      <c r="I40" s="65"/>
      <c r="J40" s="16">
        <f>VLOOKUP(D40,產線配置圖!$A$2:$C$38,2,0)</f>
        <v>16</v>
      </c>
      <c r="K40" s="14">
        <f>VLOOKUP(D40,產線配置圖!$A$2:$C$38,3,0)</f>
        <v>1429</v>
      </c>
      <c r="L40" s="17">
        <f>K40/J40</f>
        <v>89.3125</v>
      </c>
      <c r="M40" s="66">
        <v>16</v>
      </c>
      <c r="N40" s="67">
        <f t="shared" si="30"/>
        <v>1043.3333333333333</v>
      </c>
      <c r="O40" s="68">
        <f t="shared" si="31"/>
        <v>65.208333333333329</v>
      </c>
      <c r="P40" s="39">
        <f t="shared" si="32"/>
        <v>0</v>
      </c>
      <c r="Q40" s="40">
        <f t="shared" si="33"/>
        <v>-24.104166666666671</v>
      </c>
      <c r="R40" s="69">
        <f t="shared" si="27"/>
        <v>0.73011429904362024</v>
      </c>
      <c r="S40" s="409"/>
      <c r="T40" s="59">
        <v>0.46458333333333335</v>
      </c>
      <c r="U40" s="59">
        <v>0.52708333333333335</v>
      </c>
      <c r="V40" s="42">
        <f t="shared" si="34"/>
        <v>10.000000000000044</v>
      </c>
      <c r="W40" s="70">
        <f t="shared" si="8"/>
        <v>90</v>
      </c>
      <c r="X40" s="71"/>
      <c r="Y40" s="278"/>
      <c r="Z40" s="428" t="s">
        <v>176</v>
      </c>
      <c r="AA40" s="428"/>
      <c r="AB40" s="160">
        <f t="shared" si="28"/>
        <v>-385.66666666666674</v>
      </c>
      <c r="AC40" s="161">
        <f t="shared" si="29"/>
        <v>0.73011429904362024</v>
      </c>
      <c r="AD40" s="389"/>
    </row>
    <row r="41" spans="1:30" s="63" customFormat="1" ht="15" customHeight="1" x14ac:dyDescent="0.25">
      <c r="A41" s="425"/>
      <c r="B41" s="56" t="s">
        <v>153</v>
      </c>
      <c r="C41" s="10"/>
      <c r="D41" s="11" t="s">
        <v>154</v>
      </c>
      <c r="E41" s="89"/>
      <c r="F41" s="56">
        <f>VLOOKUP(D41,廠價表!$C$1:$E$39,3,0)</f>
        <v>49.91</v>
      </c>
      <c r="G41" s="102">
        <v>767</v>
      </c>
      <c r="H41" s="64">
        <f>F41*G41</f>
        <v>38280.969999999994</v>
      </c>
      <c r="I41" s="65"/>
      <c r="J41" s="16">
        <f>VLOOKUP(D41,產線配置圖!$A$2:$C$38,2,0)</f>
        <v>17</v>
      </c>
      <c r="K41" s="14">
        <f>VLOOKUP(D41,產線配置圖!$A$2:$C$38,3,0)</f>
        <v>1565</v>
      </c>
      <c r="L41" s="17">
        <f>K41/J41</f>
        <v>92.058823529411768</v>
      </c>
      <c r="M41" s="66">
        <v>16</v>
      </c>
      <c r="N41" s="67">
        <f t="shared" si="30"/>
        <v>1278.3333333333378</v>
      </c>
      <c r="O41" s="68">
        <f t="shared" si="31"/>
        <v>79.895833333333613</v>
      </c>
      <c r="P41" s="39">
        <f t="shared" si="32"/>
        <v>-1</v>
      </c>
      <c r="Q41" s="40">
        <f t="shared" si="33"/>
        <v>-12.162990196078155</v>
      </c>
      <c r="R41" s="69">
        <f t="shared" si="27"/>
        <v>0.8678780617678411</v>
      </c>
      <c r="S41" s="409"/>
      <c r="T41" s="59">
        <v>0.61041666666666672</v>
      </c>
      <c r="U41" s="59">
        <v>0.63541666666666663</v>
      </c>
      <c r="V41" s="42">
        <f t="shared" si="34"/>
        <v>120.00000000000006</v>
      </c>
      <c r="W41" s="70">
        <f t="shared" si="8"/>
        <v>35.999999999999872</v>
      </c>
      <c r="X41" s="71">
        <v>0.53472222222222221</v>
      </c>
      <c r="Y41" s="278">
        <v>0.57638888888888884</v>
      </c>
      <c r="Z41" s="428" t="s">
        <v>177</v>
      </c>
      <c r="AA41" s="428"/>
      <c r="AB41" s="61">
        <f t="shared" si="28"/>
        <v>-286.66666666666219</v>
      </c>
      <c r="AC41" s="62">
        <f t="shared" si="29"/>
        <v>0.81682641107561527</v>
      </c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8"/>
        <v>0</v>
      </c>
      <c r="X42" s="71"/>
      <c r="Y42" s="60"/>
      <c r="Z42" s="403"/>
      <c r="AA42" s="403"/>
      <c r="AB42" s="7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35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35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36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35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36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35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36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35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36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7">AVERAGE(J38:J47)</f>
        <v>16.75</v>
      </c>
      <c r="K48" s="137">
        <f t="shared" si="37"/>
        <v>1548.75</v>
      </c>
      <c r="L48" s="140">
        <f t="shared" si="37"/>
        <v>92.416360294117652</v>
      </c>
      <c r="M48" s="137">
        <f t="shared" si="37"/>
        <v>16</v>
      </c>
      <c r="N48" s="137">
        <f t="shared" si="37"/>
        <v>1231.7337047687524</v>
      </c>
      <c r="O48" s="140">
        <f t="shared" si="37"/>
        <v>76.983356548047027</v>
      </c>
      <c r="P48" s="164">
        <f>M48-J48</f>
        <v>-0.75</v>
      </c>
      <c r="Q48" s="165">
        <f>N48-K48</f>
        <v>-317.01629523124757</v>
      </c>
      <c r="R48" s="166">
        <f>O48/L48</f>
        <v>0.83300571785174549</v>
      </c>
      <c r="S48" s="412"/>
      <c r="T48" s="167"/>
      <c r="U48" s="167"/>
      <c r="V48" s="204"/>
      <c r="W48" s="168">
        <f t="shared" si="36"/>
        <v>0</v>
      </c>
      <c r="X48" s="169"/>
      <c r="Y48" s="169"/>
      <c r="Z48" s="401"/>
      <c r="AA48" s="401"/>
      <c r="AB48" s="170">
        <f>N48-K48</f>
        <v>-317.01629523124757</v>
      </c>
      <c r="AC48" s="199">
        <f>N48/K48</f>
        <v>0.79530828395076836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3037</v>
      </c>
      <c r="H49" s="128">
        <f t="shared" ref="H49:H57" si="38">F49*G49</f>
        <v>151758.88999999998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1557.4358974358965</v>
      </c>
      <c r="O49" s="131">
        <f>N49/M49</f>
        <v>86.52421652421647</v>
      </c>
      <c r="P49" s="171">
        <f>M49-J49</f>
        <v>0</v>
      </c>
      <c r="Q49" s="115">
        <f>O49-L49</f>
        <v>-0.42022792022797262</v>
      </c>
      <c r="R49" s="192">
        <f>O49/L49</f>
        <v>0.99516670762677095</v>
      </c>
      <c r="S49" s="408">
        <f>R58</f>
        <v>0.99167435873950893</v>
      </c>
      <c r="T49" s="157">
        <v>0.28819444444444442</v>
      </c>
      <c r="U49" s="157">
        <v>0.36944444444444446</v>
      </c>
      <c r="V49" s="196"/>
      <c r="W49" s="158">
        <f t="shared" si="8"/>
        <v>117.00000000000006</v>
      </c>
      <c r="X49" s="196"/>
      <c r="Y49" s="196"/>
      <c r="Z49" s="423"/>
      <c r="AA49" s="423"/>
      <c r="AB49" s="114">
        <f>N49-K49</f>
        <v>-7.5641025641034503</v>
      </c>
      <c r="AC49" s="192">
        <f>N49/K49</f>
        <v>0.99516670762677095</v>
      </c>
      <c r="AD49" s="391">
        <f>AC58</f>
        <v>0.99174937925135309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3985</v>
      </c>
      <c r="H50" s="77">
        <f t="shared" si="38"/>
        <v>226626.94999999998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1494.375</v>
      </c>
      <c r="O50" s="79">
        <f>N50/M50</f>
        <v>87.904411764705884</v>
      </c>
      <c r="P50" s="18">
        <f>M50-J50</f>
        <v>0</v>
      </c>
      <c r="Q50" s="19">
        <f>O50-L50</f>
        <v>-0.33088235294117396</v>
      </c>
      <c r="R50" s="193">
        <f>O50/L50</f>
        <v>0.99625000000000008</v>
      </c>
      <c r="S50" s="409"/>
      <c r="T50" s="80">
        <v>0.375</v>
      </c>
      <c r="U50" s="80">
        <v>0.4861111111111111</v>
      </c>
      <c r="V50" s="185">
        <f t="shared" ref="V50:V52" si="39">(T50-U49)*24*60</f>
        <v>7.9999999999999716</v>
      </c>
      <c r="W50" s="81">
        <f t="shared" si="8"/>
        <v>160</v>
      </c>
      <c r="X50" s="22"/>
      <c r="Y50" s="22"/>
      <c r="Z50" s="398"/>
      <c r="AA50" s="399"/>
      <c r="AB50" s="18">
        <f>N50-K50</f>
        <v>-5.625</v>
      </c>
      <c r="AC50" s="193">
        <f>N50/K50</f>
        <v>0.99624999999999997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3576</v>
      </c>
      <c r="H51" s="77">
        <f t="shared" si="38"/>
        <v>178692.72</v>
      </c>
      <c r="I51" s="185"/>
      <c r="J51" s="16">
        <f>VLOOKUP(D51,產線配置圖!$A$2:$C$38,2,0)</f>
        <v>18</v>
      </c>
      <c r="K51" s="14">
        <f>VLOOKUP(D51,產線配置圖!$A$2:$C$38,3,0)</f>
        <v>1565</v>
      </c>
      <c r="L51" s="17">
        <f t="shared" ref="L51:L52" si="40">K51/J51</f>
        <v>86.944444444444443</v>
      </c>
      <c r="M51" s="182">
        <v>18</v>
      </c>
      <c r="N51" s="78">
        <f t="shared" ref="N51:N52" si="41">G51/W51*60</f>
        <v>1554.7826086956522</v>
      </c>
      <c r="O51" s="79">
        <f t="shared" ref="O51:O52" si="42">N51/M51</f>
        <v>86.376811594202906</v>
      </c>
      <c r="P51" s="18">
        <f t="shared" ref="P51:P52" si="43">M51-J51</f>
        <v>0</v>
      </c>
      <c r="Q51" s="19">
        <f t="shared" ref="Q51:Q52" si="44">O51-L51</f>
        <v>-0.56763285024153731</v>
      </c>
      <c r="R51" s="193">
        <f t="shared" ref="R51:R52" si="45">O51/L51</f>
        <v>0.99347131546048073</v>
      </c>
      <c r="S51" s="409"/>
      <c r="T51" s="80">
        <v>0.54166666666666663</v>
      </c>
      <c r="U51" s="44">
        <v>0.63749999999999996</v>
      </c>
      <c r="V51" s="185">
        <f t="shared" si="39"/>
        <v>79.999999999999957</v>
      </c>
      <c r="W51" s="81">
        <f t="shared" si="8"/>
        <v>138</v>
      </c>
      <c r="X51" s="22">
        <v>0.49305555555555558</v>
      </c>
      <c r="Y51" s="22">
        <v>0.53472222222222221</v>
      </c>
      <c r="Z51" s="400"/>
      <c r="AA51" s="400"/>
      <c r="AB51" s="51">
        <f>N51-K51</f>
        <v>-10.217391304347757</v>
      </c>
      <c r="AC51" s="52">
        <f>N51/K51</f>
        <v>0.99347131546048062</v>
      </c>
      <c r="AD51" s="392"/>
    </row>
    <row r="52" spans="1:30" ht="15" customHeight="1" x14ac:dyDescent="0.25">
      <c r="A52" s="421"/>
      <c r="B52" s="56" t="str">
        <f>VLOOKUP(D52,廠價表!$C$1:$E$39,2,0)</f>
        <v>義大利麵</v>
      </c>
      <c r="C52" s="23"/>
      <c r="D52" s="11" t="s">
        <v>173</v>
      </c>
      <c r="E52" s="12"/>
      <c r="F52" s="56">
        <f>VLOOKUP(D52,廠價表!$C$1:$E$39,3,0)</f>
        <v>56.87</v>
      </c>
      <c r="G52" s="67">
        <v>1301</v>
      </c>
      <c r="H52" s="77">
        <f t="shared" si="38"/>
        <v>73987.87</v>
      </c>
      <c r="I52" s="185"/>
      <c r="J52" s="16">
        <f>VLOOKUP(D52,產線配置圖!$A$2:$C$38,2,0)</f>
        <v>17</v>
      </c>
      <c r="K52" s="14">
        <f>VLOOKUP(D52,產線配置圖!$A$2:$C$38,3,0)</f>
        <v>1500</v>
      </c>
      <c r="L52" s="17">
        <f t="shared" si="40"/>
        <v>88.235294117647058</v>
      </c>
      <c r="M52" s="182">
        <v>17</v>
      </c>
      <c r="N52" s="78">
        <f t="shared" si="41"/>
        <v>1472.830188679246</v>
      </c>
      <c r="O52" s="79">
        <f t="shared" si="42"/>
        <v>86.637069922308584</v>
      </c>
      <c r="P52" s="18">
        <f t="shared" si="43"/>
        <v>0</v>
      </c>
      <c r="Q52" s="19">
        <f t="shared" si="44"/>
        <v>-1.5982241953384744</v>
      </c>
      <c r="R52" s="193">
        <f t="shared" si="45"/>
        <v>0.98188679245283061</v>
      </c>
      <c r="S52" s="409"/>
      <c r="T52" s="80">
        <v>0.6430555555555556</v>
      </c>
      <c r="U52" s="80">
        <v>0.67986111111111114</v>
      </c>
      <c r="V52" s="185">
        <f t="shared" si="39"/>
        <v>8.0000000000001315</v>
      </c>
      <c r="W52" s="81">
        <f t="shared" si="8"/>
        <v>52.999999999999972</v>
      </c>
      <c r="X52" s="22"/>
      <c r="Y52" s="22"/>
      <c r="Z52" s="400"/>
      <c r="AA52" s="400"/>
      <c r="AB52" s="18">
        <f>N52-K52</f>
        <v>-27.169811320753979</v>
      </c>
      <c r="AC52" s="193">
        <f>N52/K52</f>
        <v>0.98188679245283073</v>
      </c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38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8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8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8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8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8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8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8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8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8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6">AVERAGE(J49:J57)</f>
        <v>17.5</v>
      </c>
      <c r="K58" s="121">
        <f t="shared" si="46"/>
        <v>1532.5</v>
      </c>
      <c r="L58" s="118">
        <f t="shared" si="46"/>
        <v>87.58986928104575</v>
      </c>
      <c r="M58" s="121">
        <f t="shared" si="46"/>
        <v>17.5</v>
      </c>
      <c r="N58" s="121">
        <f t="shared" si="46"/>
        <v>1519.8559237026986</v>
      </c>
      <c r="O58" s="118">
        <f t="shared" si="46"/>
        <v>86.860627451358454</v>
      </c>
      <c r="P58" s="122">
        <f>M58-J58</f>
        <v>0</v>
      </c>
      <c r="Q58" s="123">
        <f>N58-K58</f>
        <v>-12.644076297301353</v>
      </c>
      <c r="R58" s="124">
        <f t="shared" ref="R58:R60" si="47">O58/L58</f>
        <v>0.99167435873950893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48">N58-K58</f>
        <v>-12.644076297301353</v>
      </c>
      <c r="AC58" s="195">
        <f t="shared" ref="AC58:AC62" si="49">N58/K58</f>
        <v>0.99174937925135309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4639</v>
      </c>
      <c r="H59" s="109">
        <f t="shared" ref="H59:H68" si="50">F59*G59</f>
        <v>125206.60999999999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51">G59/W59*60</f>
        <v>1427.3846153846159</v>
      </c>
      <c r="O59" s="112">
        <f t="shared" ref="O59:O61" si="52">N59/M59</f>
        <v>109.79881656804739</v>
      </c>
      <c r="P59" s="114">
        <f t="shared" ref="P59:P61" si="53">M59-J59</f>
        <v>0</v>
      </c>
      <c r="Q59" s="115">
        <f t="shared" ref="Q59:Q61" si="54">O59-L59</f>
        <v>-10.585798816568001</v>
      </c>
      <c r="R59" s="192">
        <f t="shared" si="47"/>
        <v>0.91206684689112838</v>
      </c>
      <c r="S59" s="408">
        <f>R69</f>
        <v>0.9489222273129243</v>
      </c>
      <c r="T59" s="176">
        <v>0.29166666666666669</v>
      </c>
      <c r="U59" s="176">
        <v>0.42708333333333331</v>
      </c>
      <c r="V59" s="196"/>
      <c r="W59" s="110">
        <f t="shared" si="8"/>
        <v>194.99999999999994</v>
      </c>
      <c r="X59" s="196"/>
      <c r="Y59" s="196"/>
      <c r="Z59" s="400"/>
      <c r="AA59" s="400"/>
      <c r="AB59" s="240">
        <f t="shared" si="48"/>
        <v>-137.61538461538407</v>
      </c>
      <c r="AC59" s="241">
        <f t="shared" si="49"/>
        <v>0.91206684689112838</v>
      </c>
      <c r="AD59" s="391">
        <f>AC69</f>
        <v>0.94797721755851927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143</v>
      </c>
      <c r="E60" s="89"/>
      <c r="F60" s="56">
        <f>VLOOKUP(D60,廠價表!$C$1:$E$39,3,0)</f>
        <v>28.26</v>
      </c>
      <c r="G60" s="185">
        <v>2330</v>
      </c>
      <c r="H60" s="15">
        <f t="shared" si="50"/>
        <v>65845.8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51"/>
        <v>1471.5789473684213</v>
      </c>
      <c r="O60" s="17">
        <f t="shared" si="52"/>
        <v>122.63157894736844</v>
      </c>
      <c r="P60" s="18">
        <f t="shared" si="53"/>
        <v>0</v>
      </c>
      <c r="Q60" s="19">
        <f t="shared" si="54"/>
        <v>-7.7850877192982182</v>
      </c>
      <c r="R60" s="193">
        <f t="shared" si="47"/>
        <v>0.9403060366571383</v>
      </c>
      <c r="S60" s="419"/>
      <c r="T60" s="206">
        <v>0.4375</v>
      </c>
      <c r="U60" s="206">
        <v>0.50347222222222221</v>
      </c>
      <c r="V60" s="185">
        <f t="shared" ref="V60:V61" si="55">(T60-U59)*24*60</f>
        <v>15.000000000000027</v>
      </c>
      <c r="W60" s="93">
        <f t="shared" si="8"/>
        <v>94.999999999999986</v>
      </c>
      <c r="X60" s="201"/>
      <c r="Y60" s="201"/>
      <c r="Z60" s="400"/>
      <c r="AA60" s="400"/>
      <c r="AB60" s="242">
        <f t="shared" si="48"/>
        <v>-93.421052631578732</v>
      </c>
      <c r="AC60" s="243">
        <f t="shared" si="49"/>
        <v>0.94030603665713819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157</v>
      </c>
      <c r="E61" s="89"/>
      <c r="F61" s="56">
        <f>VLOOKUP(D61,廠價表!$C$1:$E$39,3,0)</f>
        <v>28.47</v>
      </c>
      <c r="G61" s="185">
        <v>2457</v>
      </c>
      <c r="H61" s="15">
        <f t="shared" si="50"/>
        <v>69950.789999999994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56">K61/J61</f>
        <v>130.41666666666666</v>
      </c>
      <c r="M61" s="188">
        <v>12</v>
      </c>
      <c r="N61" s="14">
        <f t="shared" si="51"/>
        <v>1551.7894736842109</v>
      </c>
      <c r="O61" s="17">
        <f t="shared" si="52"/>
        <v>129.31578947368425</v>
      </c>
      <c r="P61" s="18">
        <f t="shared" si="53"/>
        <v>0</v>
      </c>
      <c r="Q61" s="19">
        <f t="shared" si="54"/>
        <v>-1.1008771929824093</v>
      </c>
      <c r="R61" s="193">
        <f>O61/L61</f>
        <v>0.99155876912729146</v>
      </c>
      <c r="S61" s="409"/>
      <c r="T61" s="20">
        <v>0.55555555555555558</v>
      </c>
      <c r="U61" s="20">
        <v>0.62152777777777779</v>
      </c>
      <c r="V61" s="185">
        <f t="shared" si="55"/>
        <v>75.000000000000057</v>
      </c>
      <c r="W61" s="91">
        <f t="shared" si="8"/>
        <v>94.999999999999986</v>
      </c>
      <c r="X61" s="22">
        <v>0.50694444444444442</v>
      </c>
      <c r="Y61" s="22">
        <v>0.54861111111111116</v>
      </c>
      <c r="Z61" s="400"/>
      <c r="AA61" s="400"/>
      <c r="AB61" s="51">
        <f t="shared" si="48"/>
        <v>-13.210526315789139</v>
      </c>
      <c r="AC61" s="52">
        <f t="shared" si="49"/>
        <v>0.99155876912729124</v>
      </c>
      <c r="AD61" s="392"/>
    </row>
    <row r="62" spans="1:30" ht="15" customHeight="1" x14ac:dyDescent="0.25">
      <c r="A62" s="417"/>
      <c r="B62" s="56"/>
      <c r="C62" s="23"/>
      <c r="D62" s="11"/>
      <c r="E62" s="12"/>
      <c r="F62" s="56"/>
      <c r="G62" s="185"/>
      <c r="H62" s="15">
        <f t="shared" si="50"/>
        <v>0</v>
      </c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8"/>
        <v>0</v>
      </c>
      <c r="X62" s="22"/>
      <c r="Y62" s="22"/>
      <c r="Z62" s="400"/>
      <c r="AA62" s="400"/>
      <c r="AB62" s="18">
        <f t="shared" si="48"/>
        <v>0</v>
      </c>
      <c r="AC62" s="193" t="e">
        <f t="shared" si="49"/>
        <v>#DIV/0!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>
        <f t="shared" si="50"/>
        <v>0</v>
      </c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8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50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8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50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8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50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8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50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8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50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8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7">AVERAGE(J59:J68)</f>
        <v>12.333333333333334</v>
      </c>
      <c r="K69" s="173">
        <f t="shared" si="57"/>
        <v>1565</v>
      </c>
      <c r="L69" s="178">
        <f t="shared" si="57"/>
        <v>127.07264957264958</v>
      </c>
      <c r="M69" s="173">
        <f t="shared" si="57"/>
        <v>12.333333333333334</v>
      </c>
      <c r="N69" s="173">
        <f t="shared" si="57"/>
        <v>1483.5843454790827</v>
      </c>
      <c r="O69" s="178">
        <f t="shared" si="57"/>
        <v>120.58206166303336</v>
      </c>
      <c r="P69" s="179">
        <f>M69-J69</f>
        <v>0</v>
      </c>
      <c r="Q69" s="165">
        <f>N69-K69</f>
        <v>-81.415654520917315</v>
      </c>
      <c r="R69" s="124">
        <f>O69/L69</f>
        <v>0.9489222273129243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-81.415654520917315</v>
      </c>
      <c r="AC69" s="195">
        <f>N69/K69</f>
        <v>0.94797721755851927</v>
      </c>
      <c r="AD69" s="396"/>
    </row>
    <row r="70" spans="1:32" ht="15" customHeight="1" x14ac:dyDescent="0.25">
      <c r="A70" s="405" t="s">
        <v>58</v>
      </c>
      <c r="B70" s="207" t="str">
        <f>VLOOKUP(D70,廠價表!$C$1:$E$39,2,0)</f>
        <v>小吃、微波</v>
      </c>
      <c r="C70" s="207" t="e">
        <f>VLOOKUP(E70,廠價表!$C$1:$E$39,2,0)</f>
        <v>#N/A</v>
      </c>
      <c r="D70" s="106" t="s">
        <v>157</v>
      </c>
      <c r="E70" s="107"/>
      <c r="F70" s="207">
        <f>VLOOKUP(D70,廠價表!$C$1:$E$39,3,0)</f>
        <v>28.47</v>
      </c>
      <c r="G70" s="196">
        <v>2203</v>
      </c>
      <c r="H70" s="109">
        <f>F70*G70</f>
        <v>62719.409999999996</v>
      </c>
      <c r="I70" s="196"/>
      <c r="J70" s="111">
        <f>VLOOKUP(D70,產線配置圖!$A$2:$C$38,2,0)</f>
        <v>12</v>
      </c>
      <c r="K70" s="108">
        <f>VLOOKUP(D70,產線配置圖!$A$2:$C$38,3,0)</f>
        <v>1565</v>
      </c>
      <c r="L70" s="112">
        <f>K70/J70</f>
        <v>130.41666666666666</v>
      </c>
      <c r="M70" s="113">
        <v>12</v>
      </c>
      <c r="N70" s="83">
        <f>G70/W70*60</f>
        <v>1436.7391304347825</v>
      </c>
      <c r="O70" s="112">
        <f>N70/M70</f>
        <v>119.7282608695652</v>
      </c>
      <c r="P70" s="208">
        <f>M70-J70</f>
        <v>0</v>
      </c>
      <c r="Q70" s="209">
        <f>O70-L70</f>
        <v>-10.688405797101453</v>
      </c>
      <c r="R70" s="192">
        <f>O70/L70</f>
        <v>0.91804417280177797</v>
      </c>
      <c r="S70" s="408">
        <f>R79</f>
        <v>0.91804417280177797</v>
      </c>
      <c r="T70" s="176">
        <v>0.34930555555555554</v>
      </c>
      <c r="U70" s="176">
        <v>0.41319444444444442</v>
      </c>
      <c r="V70" s="196"/>
      <c r="W70" s="110">
        <f t="shared" ref="W70:W78" si="58">(U70-T70)*24*60</f>
        <v>92</v>
      </c>
      <c r="X70" s="180"/>
      <c r="Y70" s="180"/>
      <c r="Z70" s="413"/>
      <c r="AA70" s="414"/>
      <c r="AB70" s="240">
        <f>N70-K70</f>
        <v>-128.26086956521749</v>
      </c>
      <c r="AC70" s="241">
        <f>N70/K70</f>
        <v>0.91804417280177797</v>
      </c>
      <c r="AD70" s="391">
        <f>AC79</f>
        <v>0.91804417280177797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4" si="59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58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59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8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59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8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59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8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ref="H75:H78" si="60">F75*G75</f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8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60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8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60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8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60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8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61">AVERAGE(J70:J78)</f>
        <v>12</v>
      </c>
      <c r="K79" s="173">
        <f t="shared" si="61"/>
        <v>1565</v>
      </c>
      <c r="L79" s="178">
        <f t="shared" si="61"/>
        <v>130.41666666666666</v>
      </c>
      <c r="M79" s="173">
        <f t="shared" si="61"/>
        <v>12</v>
      </c>
      <c r="N79" s="173">
        <f t="shared" si="61"/>
        <v>1436.7391304347825</v>
      </c>
      <c r="O79" s="178">
        <f t="shared" si="61"/>
        <v>119.7282608695652</v>
      </c>
      <c r="P79" s="179">
        <f>M79-J79</f>
        <v>0</v>
      </c>
      <c r="Q79" s="165">
        <f>O79-L79</f>
        <v>-10.688405797101453</v>
      </c>
      <c r="R79" s="166">
        <f>O79/L79</f>
        <v>0.91804417280177797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-128.26086956521749</v>
      </c>
      <c r="AC79" s="195">
        <f>N79/K79</f>
        <v>0.91804417280177797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4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T3:U3"/>
    <mergeCell ref="V3:V4"/>
    <mergeCell ref="W3:W4"/>
    <mergeCell ref="X3:Y3"/>
    <mergeCell ref="Z3:AA4"/>
    <mergeCell ref="AB3:AB4"/>
    <mergeCell ref="S3:S4"/>
    <mergeCell ref="Z9:AA9"/>
    <mergeCell ref="Z10:AA10"/>
    <mergeCell ref="Z11:AA11"/>
    <mergeCell ref="AD16:AD26"/>
    <mergeCell ref="Z17:AA17"/>
    <mergeCell ref="Z18:AA18"/>
    <mergeCell ref="Z19:AA19"/>
    <mergeCell ref="Z20:AA20"/>
    <mergeCell ref="Z21:AA21"/>
    <mergeCell ref="Z22:AA22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A16:A26"/>
    <mergeCell ref="S16:S26"/>
    <mergeCell ref="Z16:AA16"/>
    <mergeCell ref="Z28:AA28"/>
    <mergeCell ref="Z29:AA29"/>
    <mergeCell ref="Z30:AA30"/>
    <mergeCell ref="Z32:AA32"/>
    <mergeCell ref="Z33:AA33"/>
    <mergeCell ref="Z34:AA34"/>
    <mergeCell ref="Z35:AA35"/>
    <mergeCell ref="Z36:AA36"/>
    <mergeCell ref="Z37:AA3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D38:AD48"/>
    <mergeCell ref="AD27:AD37"/>
    <mergeCell ref="AD59:AD69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</mergeCells>
  <phoneticPr fontId="2" type="noConversion"/>
  <conditionalFormatting sqref="P5:P79">
    <cfRule type="cellIs" dxfId="308" priority="1" operator="greaterThan">
      <formula>0</formula>
    </cfRule>
  </conditionalFormatting>
  <conditionalFormatting sqref="Q5:Q79 AB5:AB79">
    <cfRule type="cellIs" dxfId="307" priority="4" operator="lessThan">
      <formula>0</formula>
    </cfRule>
  </conditionalFormatting>
  <conditionalFormatting sqref="R5:R79 AC5:AC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D59:AD62 S69:S76 AD69:AD76">
    <cfRule type="cellIs" dxfId="304" priority="7" operator="lessThan">
      <formula>0.8</formula>
    </cfRule>
  </conditionalFormatting>
  <conditionalFormatting sqref="S19:S25 AD19:AD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D5:AD8 S15:S16 AD15:AD16 AD49 AD79">
    <cfRule type="cellIs" dxfId="301" priority="9" operator="lessThan">
      <formula>0.8</formula>
    </cfRule>
  </conditionalFormatting>
  <conditionalFormatting sqref="AD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9010A7-6577-4BDF-AEB5-6F0472D70D2B}">
          <x14:formula1>
            <xm:f>廠價表!$C$2:$C$37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3BB6-274B-44D7-ABBF-8A3374585FC7}">
  <sheetPr>
    <pageSetUpPr fitToPage="1"/>
  </sheetPr>
  <dimension ref="B1:O22"/>
  <sheetViews>
    <sheetView zoomScale="70" zoomScaleNormal="70" workbookViewId="0">
      <selection activeCell="E16" sqref="E16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45932</v>
      </c>
      <c r="E3" s="383"/>
      <c r="F3" s="214" t="s">
        <v>76</v>
      </c>
      <c r="G3" s="384">
        <f>'1002'!E1</f>
        <v>51111</v>
      </c>
      <c r="H3" s="384"/>
      <c r="I3" s="214" t="s">
        <v>77</v>
      </c>
      <c r="J3" s="385">
        <f>'1002'!G1</f>
        <v>2526872.9400000004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115.80807136422943</v>
      </c>
      <c r="G6" s="362"/>
      <c r="H6" s="363">
        <f>AVERAGE(D13:H13)</f>
        <v>113.55515572254542</v>
      </c>
      <c r="I6" s="363"/>
      <c r="J6" s="363">
        <f>AVERAGE(I13)</f>
        <v>127.07264957264958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100.78229177524302</v>
      </c>
      <c r="G7" s="380"/>
      <c r="H7" s="381">
        <f>AVERAGE(D14:H14)</f>
        <v>97.630616743210851</v>
      </c>
      <c r="I7" s="381"/>
      <c r="J7" s="381">
        <f>AVERAGE(I14)</f>
        <v>116.54066693540386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0.87301927695338277</v>
      </c>
      <c r="G8" s="360"/>
      <c r="H8" s="360">
        <f>AVERAGE(D15:H15)</f>
        <v>0.86419944939208693</v>
      </c>
      <c r="I8" s="360"/>
      <c r="J8" s="360">
        <f>AVERAGE(I15)</f>
        <v>0.91711841475986222</v>
      </c>
      <c r="K8" s="360"/>
      <c r="L8" s="219" t="s">
        <v>89</v>
      </c>
    </row>
    <row r="9" spans="2:15" ht="25.5" customHeight="1" thickBot="1" x14ac:dyDescent="0.3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376" t="s">
        <v>0</v>
      </c>
      <c r="C10" s="377"/>
      <c r="D10" s="364" t="s">
        <v>90</v>
      </c>
      <c r="E10" s="365"/>
      <c r="F10" s="365"/>
      <c r="G10" s="365"/>
      <c r="H10" s="365"/>
      <c r="I10" s="365"/>
      <c r="J10" s="366"/>
    </row>
    <row r="11" spans="2:15" ht="17.25" customHeight="1" x14ac:dyDescent="0.25">
      <c r="B11" s="367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3">
        <v>7</v>
      </c>
    </row>
    <row r="12" spans="2:15" ht="33.950000000000003" customHeight="1" x14ac:dyDescent="0.25">
      <c r="B12" s="369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5" t="s">
        <v>98</v>
      </c>
    </row>
    <row r="13" spans="2:15" ht="39.950000000000003" customHeight="1" x14ac:dyDescent="0.25">
      <c r="B13" s="371" t="s">
        <v>1</v>
      </c>
      <c r="C13" s="226" t="s">
        <v>99</v>
      </c>
      <c r="D13" s="227">
        <f>VALUE('1002'!L15)</f>
        <v>149.22390109890108</v>
      </c>
      <c r="E13" s="227">
        <f>VALUE('1002'!L26)</f>
        <v>151.71674679487177</v>
      </c>
      <c r="F13" s="227">
        <f>VALUE('1002'!L37)</f>
        <v>87.449673202614377</v>
      </c>
      <c r="G13" s="227">
        <f>VALUE('1002'!L48)</f>
        <v>91.795588235294119</v>
      </c>
      <c r="H13" s="227">
        <f>VALUE('1002'!L58)</f>
        <v>87.58986928104575</v>
      </c>
      <c r="I13" s="227">
        <f>VALUE('1002'!L69)</f>
        <v>127.07264957264958</v>
      </c>
      <c r="J13" s="228"/>
    </row>
    <row r="14" spans="2:15" ht="39.950000000000003" customHeight="1" x14ac:dyDescent="0.25">
      <c r="B14" s="372"/>
      <c r="C14" s="226" t="s">
        <v>100</v>
      </c>
      <c r="D14" s="227">
        <f>VALUE('1002'!O15)</f>
        <v>127.83883409273662</v>
      </c>
      <c r="E14" s="227">
        <f>VALUE('1002'!O26)</f>
        <v>126.37997069329305</v>
      </c>
      <c r="F14" s="227">
        <f>VALUE('1002'!O37)</f>
        <v>71.843324967584309</v>
      </c>
      <c r="G14" s="227">
        <f>VALUE('1002'!O48)</f>
        <v>78.000367468916721</v>
      </c>
      <c r="H14" s="227">
        <f>VALUE('1002'!O58)</f>
        <v>84.090586493523503</v>
      </c>
      <c r="I14" s="227">
        <f>VALUE('1002'!O69)</f>
        <v>116.54066693540386</v>
      </c>
      <c r="J14" s="228"/>
    </row>
    <row r="15" spans="2:15" ht="39.950000000000003" customHeight="1" x14ac:dyDescent="0.25">
      <c r="B15" s="373"/>
      <c r="C15" s="222" t="s">
        <v>101</v>
      </c>
      <c r="D15" s="248">
        <f>D14/D13</f>
        <v>0.85669140902574925</v>
      </c>
      <c r="E15" s="248">
        <f t="shared" ref="E15:I15" si="0">E14/E13</f>
        <v>0.83299947674309649</v>
      </c>
      <c r="F15" s="248">
        <f t="shared" si="0"/>
        <v>0.82153909027342709</v>
      </c>
      <c r="G15" s="248">
        <f t="shared" si="0"/>
        <v>0.84971804166648035</v>
      </c>
      <c r="H15" s="248">
        <f t="shared" si="0"/>
        <v>0.96004922925168146</v>
      </c>
      <c r="I15" s="248">
        <f t="shared" si="0"/>
        <v>0.91711841475986222</v>
      </c>
      <c r="J15" s="249"/>
    </row>
    <row r="16" spans="2:15" ht="17.25" customHeight="1" x14ac:dyDescent="0.25">
      <c r="B16" s="374" t="s">
        <v>102</v>
      </c>
      <c r="C16" s="222" t="s">
        <v>103</v>
      </c>
      <c r="D16" s="98">
        <f>'1002'!T5</f>
        <v>0.29166666666666669</v>
      </c>
      <c r="E16" s="98">
        <f>'1002'!T16</f>
        <v>0.29236111111111113</v>
      </c>
      <c r="F16" s="98">
        <f>'1002'!T27</f>
        <v>0.30486111111111114</v>
      </c>
      <c r="G16" s="98">
        <f>'1002'!T38</f>
        <v>0.33263888888888887</v>
      </c>
      <c r="H16" s="98">
        <f>'1002'!T49</f>
        <v>0.29166666666666669</v>
      </c>
      <c r="I16" s="98">
        <f>'1002'!T59</f>
        <v>0.29166666666666669</v>
      </c>
      <c r="J16" s="281"/>
    </row>
    <row r="17" spans="2:10" ht="17.25" customHeight="1" x14ac:dyDescent="0.25">
      <c r="B17" s="375"/>
      <c r="C17" s="222" t="s">
        <v>104</v>
      </c>
      <c r="D17" s="98">
        <v>0.63402777777777775</v>
      </c>
      <c r="E17" s="41">
        <v>0.64097222222222228</v>
      </c>
      <c r="F17" s="41">
        <v>0.65555555555555556</v>
      </c>
      <c r="G17" s="76">
        <v>0.60138888888888886</v>
      </c>
      <c r="H17" s="80">
        <v>0.66597222222222219</v>
      </c>
      <c r="I17" s="20">
        <v>0.51041666666666663</v>
      </c>
      <c r="J17" s="20"/>
    </row>
    <row r="18" spans="2:10" ht="17.25" customHeight="1" x14ac:dyDescent="0.25">
      <c r="B18" s="354" t="s">
        <v>105</v>
      </c>
      <c r="C18" s="355"/>
      <c r="D18" s="229">
        <f>VALUE('1002'!M15)</f>
        <v>13.25</v>
      </c>
      <c r="E18" s="229">
        <f>VALUE('1002'!M26)</f>
        <v>13.25</v>
      </c>
      <c r="F18" s="229">
        <f>VALUE('1002'!M37)</f>
        <v>16.8</v>
      </c>
      <c r="G18" s="229">
        <f>VALUE('1002'!M48)</f>
        <v>15.4</v>
      </c>
      <c r="H18" s="229">
        <f>VALUE('1002'!M58)</f>
        <v>17.5</v>
      </c>
      <c r="I18" s="229">
        <f>VALUE('1002'!M69)</f>
        <v>12.333333333333334</v>
      </c>
      <c r="J18" s="230"/>
    </row>
    <row r="19" spans="2:10" ht="17.25" customHeight="1" x14ac:dyDescent="0.25">
      <c r="B19" s="354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5"/>
    </row>
    <row r="20" spans="2:10" ht="17.25" customHeight="1" x14ac:dyDescent="0.25">
      <c r="B20" s="354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356" t="s">
        <v>112</v>
      </c>
      <c r="C21" s="357"/>
      <c r="D21" s="1"/>
      <c r="E21" s="1"/>
      <c r="F21" s="1"/>
      <c r="G21" s="1"/>
      <c r="H21" s="1"/>
      <c r="I21" s="1"/>
      <c r="J21" s="232"/>
    </row>
    <row r="22" spans="2:10" x14ac:dyDescent="0.25">
      <c r="B22" s="358"/>
      <c r="C22" s="358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3B85-ED04-4B83-B074-5F46FA98529E}">
  <sheetPr>
    <tabColor theme="9" tint="0.79998168889431442"/>
    <pageSetUpPr fitToPage="1"/>
  </sheetPr>
  <dimension ref="A1:AF92"/>
  <sheetViews>
    <sheetView zoomScale="69" zoomScaleNormal="69" workbookViewId="0">
      <pane xSplit="5" ySplit="4" topLeftCell="M38" activePane="bottomRight" state="frozen"/>
      <selection activeCell="N17" sqref="N17"/>
      <selection pane="topRight" activeCell="N17" sqref="N17"/>
      <selection pane="bottomLeft" activeCell="N17" sqref="N17"/>
      <selection pane="bottomRight" activeCell="H60" sqref="H60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51111</v>
      </c>
      <c r="F1" s="185" t="s">
        <v>9</v>
      </c>
      <c r="G1" s="4">
        <f>SUM(H5:H79)</f>
        <v>2526872.9400000004</v>
      </c>
      <c r="H1" s="183" t="s">
        <v>10</v>
      </c>
      <c r="I1" s="5">
        <f>M15+M26+M48+M58+M69+M79+M37</f>
        <v>88.533333333333331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183</v>
      </c>
      <c r="B2" s="461"/>
      <c r="C2" s="184"/>
      <c r="D2" s="184" t="s">
        <v>1</v>
      </c>
      <c r="E2" s="7">
        <f>AVERAGE(O15,O26,O37,O48,O58,O69,O79)</f>
        <v>100.78229177524302</v>
      </c>
      <c r="F2" s="8" t="s">
        <v>2</v>
      </c>
      <c r="G2" s="9">
        <f>G1/E1</f>
        <v>49.438925867230154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1895</v>
      </c>
      <c r="H5" s="109">
        <f>F5*G5</f>
        <v>108412.95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1895.0000000000018</v>
      </c>
      <c r="O5" s="112">
        <f>N5/M5</f>
        <v>145.76923076923092</v>
      </c>
      <c r="P5" s="114">
        <f>M5-J5</f>
        <v>0</v>
      </c>
      <c r="Q5" s="115">
        <f>O5-L5</f>
        <v>-8.0769230769229239</v>
      </c>
      <c r="R5" s="192">
        <f>O5/L5</f>
        <v>0.94750000000000101</v>
      </c>
      <c r="S5" s="408">
        <f>R15</f>
        <v>0.85669140902574925</v>
      </c>
      <c r="T5" s="97">
        <v>0.29166666666666669</v>
      </c>
      <c r="U5" s="97">
        <v>0.33333333333333331</v>
      </c>
      <c r="V5" s="202"/>
      <c r="W5" s="110">
        <f t="shared" ref="W5:W14" si="0">(U5-T5)*24*60</f>
        <v>59.999999999999943</v>
      </c>
      <c r="X5" s="196"/>
      <c r="Y5" s="196"/>
      <c r="Z5" s="423"/>
      <c r="AA5" s="423"/>
      <c r="AB5" s="114">
        <f>N5-K5</f>
        <v>-104.99999999999818</v>
      </c>
      <c r="AC5" s="192">
        <f>N5/K5</f>
        <v>0.9475000000000009</v>
      </c>
      <c r="AD5" s="391">
        <f>AC15</f>
        <v>0.85352493639294535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2653</v>
      </c>
      <c r="H6" s="15">
        <f t="shared" ref="H6:H14" si="1">F6*G6</f>
        <v>151778.13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1273.4399999999998</v>
      </c>
      <c r="O6" s="17">
        <f>N6/M6</f>
        <v>90.96</v>
      </c>
      <c r="P6" s="18">
        <f>M6-J6</f>
        <v>0</v>
      </c>
      <c r="Q6" s="19">
        <f>O6-L6</f>
        <v>-44.397142857142867</v>
      </c>
      <c r="R6" s="193">
        <f>O6/L6</f>
        <v>0.67199999999999993</v>
      </c>
      <c r="S6" s="409"/>
      <c r="T6" s="98">
        <v>0.34375</v>
      </c>
      <c r="U6" s="98">
        <v>0.43055555555555558</v>
      </c>
      <c r="V6" s="185">
        <f>(T6-U5)*24*60</f>
        <v>15.000000000000027</v>
      </c>
      <c r="W6" s="190">
        <f t="shared" si="0"/>
        <v>125.00000000000003</v>
      </c>
      <c r="X6" s="22"/>
      <c r="Y6" s="22"/>
      <c r="Z6" s="446" t="s">
        <v>179</v>
      </c>
      <c r="AA6" s="446"/>
      <c r="AB6" s="18">
        <f>N6-K6</f>
        <v>-621.56000000000017</v>
      </c>
      <c r="AC6" s="193">
        <f>N6/K6</f>
        <v>0.67199999999999993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2175</v>
      </c>
      <c r="H7" s="15">
        <f t="shared" si="1"/>
        <v>106879.5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1864.2857142857147</v>
      </c>
      <c r="O7" s="17">
        <f>N7/M7</f>
        <v>143.40659340659343</v>
      </c>
      <c r="P7" s="18">
        <f>M7-J7</f>
        <v>0</v>
      </c>
      <c r="Q7" s="19">
        <f>O7-L7</f>
        <v>-10.43956043956041</v>
      </c>
      <c r="R7" s="193">
        <f>O7/L7</f>
        <v>0.93214285714285738</v>
      </c>
      <c r="S7" s="409"/>
      <c r="T7" s="98">
        <v>0.4375</v>
      </c>
      <c r="U7" s="98">
        <v>0.4861111111111111</v>
      </c>
      <c r="V7" s="185">
        <f>(T7-U6)*24*60</f>
        <v>9.9999999999999645</v>
      </c>
      <c r="W7" s="190">
        <f t="shared" si="0"/>
        <v>69.999999999999986</v>
      </c>
      <c r="X7" s="22"/>
      <c r="Y7" s="22"/>
      <c r="Z7" s="400"/>
      <c r="AA7" s="400"/>
      <c r="AB7" s="18">
        <f>N7-K7</f>
        <v>-135.71428571428532</v>
      </c>
      <c r="AC7" s="193">
        <f>N7/K7</f>
        <v>0.93214285714285738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3497</v>
      </c>
      <c r="H8" s="15">
        <f t="shared" si="1"/>
        <v>171842.58000000002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1705.8536585365871</v>
      </c>
      <c r="O8" s="17">
        <f>N8/M8</f>
        <v>131.21951219512209</v>
      </c>
      <c r="P8" s="18">
        <f>M8-J8</f>
        <v>0</v>
      </c>
      <c r="Q8" s="19">
        <f>O8-L8</f>
        <v>-22.626641651031747</v>
      </c>
      <c r="R8" s="193">
        <f>O8/L8</f>
        <v>0.85292682926829366</v>
      </c>
      <c r="S8" s="409"/>
      <c r="T8" s="98">
        <v>0.54861111111111116</v>
      </c>
      <c r="U8" s="98">
        <v>0.63402777777777775</v>
      </c>
      <c r="V8" s="185">
        <f>(T8-U7)*24*60</f>
        <v>90.000000000000085</v>
      </c>
      <c r="W8" s="190">
        <f t="shared" si="0"/>
        <v>122.99999999999989</v>
      </c>
      <c r="X8" s="22"/>
      <c r="Y8" s="22"/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>
        <f t="shared" si="1"/>
        <v>0</v>
      </c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>
        <f t="shared" si="1"/>
        <v>0</v>
      </c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59"/>
      <c r="AA11" s="460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4"/>
      <c r="AA12" s="44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13.25</v>
      </c>
      <c r="K15" s="121">
        <f t="shared" si="2"/>
        <v>1973.75</v>
      </c>
      <c r="L15" s="118">
        <f t="shared" si="2"/>
        <v>149.22390109890108</v>
      </c>
      <c r="M15" s="121">
        <f t="shared" si="2"/>
        <v>13.25</v>
      </c>
      <c r="N15" s="121">
        <f t="shared" si="2"/>
        <v>1684.6448432055759</v>
      </c>
      <c r="O15" s="118">
        <f t="shared" si="2"/>
        <v>127.83883409273662</v>
      </c>
      <c r="P15" s="122">
        <f t="shared" ref="P15:P19" si="3">M15-J15</f>
        <v>0</v>
      </c>
      <c r="Q15" s="123">
        <f t="shared" ref="Q15:Q19" si="4">O15-L15</f>
        <v>-21.385067006164462</v>
      </c>
      <c r="R15" s="124">
        <f t="shared" ref="R15:R19" si="5">O15/L15</f>
        <v>0.85669140902574925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-289.10515679442415</v>
      </c>
      <c r="AC15" s="195">
        <f>N15/K15</f>
        <v>0.85352493639294535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2031</v>
      </c>
      <c r="H16" s="128">
        <f t="shared" ref="H16:H25" si="6">F16*G16</f>
        <v>116193.51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1904.0624999999995</v>
      </c>
      <c r="O16" s="131">
        <f>N16/M16</f>
        <v>146.46634615384613</v>
      </c>
      <c r="P16" s="132">
        <f t="shared" si="3"/>
        <v>0</v>
      </c>
      <c r="Q16" s="133">
        <f t="shared" si="4"/>
        <v>-7.3798076923077076</v>
      </c>
      <c r="R16" s="197">
        <f t="shared" si="5"/>
        <v>0.95203124999999988</v>
      </c>
      <c r="S16" s="433">
        <f>R26</f>
        <v>0.83299947674309649</v>
      </c>
      <c r="T16" s="288">
        <v>0.29236111111111113</v>
      </c>
      <c r="U16" s="288">
        <v>0.33680555555555558</v>
      </c>
      <c r="V16" s="129"/>
      <c r="W16" s="134">
        <f t="shared" ref="W16:W68" si="7">(U16-T16)*24*60</f>
        <v>64.000000000000014</v>
      </c>
      <c r="X16" s="131"/>
      <c r="Y16" s="131"/>
      <c r="Z16" s="423"/>
      <c r="AA16" s="423"/>
      <c r="AB16" s="114">
        <f>N16-K16</f>
        <v>-95.937500000000455</v>
      </c>
      <c r="AC16" s="192">
        <f>N16/K16</f>
        <v>0.95203124999999977</v>
      </c>
      <c r="AD16" s="391">
        <f>AC26</f>
        <v>0.83726648119913716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2237</v>
      </c>
      <c r="H17" s="15">
        <f t="shared" si="6"/>
        <v>113348.79000000001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1657.0370370370365</v>
      </c>
      <c r="O17" s="38">
        <f>N17/M17</f>
        <v>103.56481481481478</v>
      </c>
      <c r="P17" s="39">
        <f t="shared" si="3"/>
        <v>0</v>
      </c>
      <c r="Q17" s="40">
        <f t="shared" si="4"/>
        <v>-16.122685185185219</v>
      </c>
      <c r="R17" s="198">
        <f t="shared" si="5"/>
        <v>0.86529349192534544</v>
      </c>
      <c r="S17" s="434"/>
      <c r="T17" s="41">
        <v>0.34375</v>
      </c>
      <c r="U17" s="41">
        <v>0.4</v>
      </c>
      <c r="V17" s="185">
        <f>(T17-U16)*24*60</f>
        <v>9.9999999999999645</v>
      </c>
      <c r="W17" s="43">
        <f t="shared" si="7"/>
        <v>81.000000000000028</v>
      </c>
      <c r="X17" s="44"/>
      <c r="Y17" s="44"/>
      <c r="Z17" s="399"/>
      <c r="AA17" s="400"/>
      <c r="AB17" s="18">
        <f>N17-K17</f>
        <v>-257.9629629629635</v>
      </c>
      <c r="AC17" s="193">
        <f>N17/K17</f>
        <v>0.86529349192534544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1870</v>
      </c>
      <c r="H18" s="15">
        <f t="shared" si="6"/>
        <v>94229.3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1457.1428571428564</v>
      </c>
      <c r="O18" s="38">
        <f>N18/M18</f>
        <v>121.42857142857137</v>
      </c>
      <c r="P18" s="39">
        <f t="shared" si="3"/>
        <v>0</v>
      </c>
      <c r="Q18" s="40">
        <f t="shared" si="4"/>
        <v>-45.238095238095283</v>
      </c>
      <c r="R18" s="198">
        <f t="shared" si="5"/>
        <v>0.72857142857142831</v>
      </c>
      <c r="S18" s="434"/>
      <c r="T18" s="41">
        <v>0.41041666666666665</v>
      </c>
      <c r="U18" s="41">
        <v>0.46388888888888891</v>
      </c>
      <c r="V18" s="185">
        <f>(T18-U17)*24*60</f>
        <v>14.999999999999947</v>
      </c>
      <c r="W18" s="43">
        <f t="shared" si="7"/>
        <v>77.000000000000043</v>
      </c>
      <c r="X18" s="22"/>
      <c r="Y18" s="22"/>
      <c r="Z18" s="399" t="s">
        <v>180</v>
      </c>
      <c r="AA18" s="400"/>
      <c r="AB18" s="18">
        <f>N18-K18</f>
        <v>-542.85714285714357</v>
      </c>
      <c r="AC18" s="193">
        <f>N18/K18</f>
        <v>0.7285714285714282</v>
      </c>
      <c r="AD18" s="392"/>
    </row>
    <row r="19" spans="1:30" ht="15" customHeight="1" x14ac:dyDescent="0.25">
      <c r="A19" s="439"/>
      <c r="B19" s="56" t="str">
        <f>VLOOKUP(D19,廠價表!$C$1:$E$39,2,0)</f>
        <v>義大利麵</v>
      </c>
      <c r="C19" s="23"/>
      <c r="D19" s="11" t="s">
        <v>136</v>
      </c>
      <c r="E19" s="12"/>
      <c r="F19" s="56">
        <f>VLOOKUP(D19,廠價表!$C$1:$E$39,3,0)</f>
        <v>50.39</v>
      </c>
      <c r="G19" s="99">
        <v>3566</v>
      </c>
      <c r="H19" s="15">
        <f t="shared" si="6"/>
        <v>179690.74</v>
      </c>
      <c r="I19" s="42"/>
      <c r="J19" s="16">
        <f>VLOOKUP(D19,產線配置圖!$A$2:$C$38,2,0)</f>
        <v>12</v>
      </c>
      <c r="K19" s="14">
        <f>VLOOKUP(D19,產線配置圖!$A$2:$C$38,3,0)</f>
        <v>2000</v>
      </c>
      <c r="L19" s="17">
        <f>K19/J19</f>
        <v>166.66666666666666</v>
      </c>
      <c r="M19" s="37">
        <v>12</v>
      </c>
      <c r="N19" s="36">
        <f>G19/W19*60</f>
        <v>1608.7218045112782</v>
      </c>
      <c r="O19" s="38">
        <f>N19/M19</f>
        <v>134.06015037593986</v>
      </c>
      <c r="P19" s="39">
        <f t="shared" si="3"/>
        <v>0</v>
      </c>
      <c r="Q19" s="40">
        <f t="shared" si="4"/>
        <v>-32.606516290726802</v>
      </c>
      <c r="R19" s="198">
        <f t="shared" si="5"/>
        <v>0.80436090225563917</v>
      </c>
      <c r="S19" s="434"/>
      <c r="T19" s="41">
        <v>0.54861111111111116</v>
      </c>
      <c r="U19" s="41">
        <v>0.64097222222222228</v>
      </c>
      <c r="V19" s="185">
        <f>(T19-U18)*24*60</f>
        <v>122.00000000000004</v>
      </c>
      <c r="W19" s="43">
        <f t="shared" si="7"/>
        <v>133</v>
      </c>
      <c r="X19" s="22"/>
      <c r="Y19" s="22"/>
      <c r="Z19" s="398"/>
      <c r="AA19" s="399"/>
      <c r="AB19" s="18">
        <f>N19-K19</f>
        <v>-391.27819548872185</v>
      </c>
      <c r="AC19" s="193">
        <f>N19/K19</f>
        <v>0.80436090225563905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>
        <f t="shared" si="6"/>
        <v>0</v>
      </c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8">AVERAGE(J16:J25)</f>
        <v>13.25</v>
      </c>
      <c r="K26" s="137">
        <f t="shared" si="8"/>
        <v>1978.75</v>
      </c>
      <c r="L26" s="140">
        <f t="shared" si="8"/>
        <v>151.71674679487177</v>
      </c>
      <c r="M26" s="137">
        <f t="shared" si="8"/>
        <v>13.25</v>
      </c>
      <c r="N26" s="137">
        <f t="shared" si="8"/>
        <v>1656.7410496727925</v>
      </c>
      <c r="O26" s="140">
        <f t="shared" si="8"/>
        <v>126.37997069329305</v>
      </c>
      <c r="P26" s="141">
        <f t="shared" ref="P26:P31" si="9">M26-J26</f>
        <v>0</v>
      </c>
      <c r="Q26" s="142">
        <f t="shared" ref="Q26:Q31" si="10">O26-L26</f>
        <v>-25.336776101578721</v>
      </c>
      <c r="R26" s="143">
        <f t="shared" ref="R26:R31" si="11">O26/L26</f>
        <v>0.83299947674309649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-322.00895032720746</v>
      </c>
      <c r="AC26" s="195">
        <f>N26/K26</f>
        <v>0.83726648119913716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1365</v>
      </c>
      <c r="H27" s="128">
        <f t="shared" ref="H27:H36" si="12">F27*G27</f>
        <v>69069</v>
      </c>
      <c r="I27" s="129"/>
      <c r="J27" s="111">
        <v>17</v>
      </c>
      <c r="K27" s="252">
        <v>1636</v>
      </c>
      <c r="L27" s="112">
        <f>K27/J27</f>
        <v>96.235294117647058</v>
      </c>
      <c r="M27" s="147">
        <v>15</v>
      </c>
      <c r="N27" s="130">
        <f>G27/W27*60</f>
        <v>1092.0000000000005</v>
      </c>
      <c r="O27" s="131">
        <f>N27/M27</f>
        <v>72.800000000000026</v>
      </c>
      <c r="P27" s="132">
        <f t="shared" si="9"/>
        <v>-2</v>
      </c>
      <c r="Q27" s="133">
        <f t="shared" si="10"/>
        <v>-23.435294117647032</v>
      </c>
      <c r="R27" s="197">
        <f t="shared" si="11"/>
        <v>0.75647921760391224</v>
      </c>
      <c r="S27" s="433">
        <f>R37</f>
        <v>0.82153909027342709</v>
      </c>
      <c r="T27" s="97">
        <v>0.30486111111111114</v>
      </c>
      <c r="U27" s="97">
        <v>0.35694444444444445</v>
      </c>
      <c r="V27" s="129"/>
      <c r="W27" s="134">
        <f t="shared" si="7"/>
        <v>74.999999999999972</v>
      </c>
      <c r="X27" s="129"/>
      <c r="Y27" s="129" t="s">
        <v>158</v>
      </c>
      <c r="Z27" s="414" t="s">
        <v>181</v>
      </c>
      <c r="AA27" s="423"/>
      <c r="AB27" s="114">
        <f>N27-K27</f>
        <v>-543.99999999999955</v>
      </c>
      <c r="AC27" s="148">
        <f>N27/K27</f>
        <v>0.66748166259168729</v>
      </c>
      <c r="AD27" s="391">
        <f>AC37</f>
        <v>0.78473873635384084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2019</v>
      </c>
      <c r="H28" s="50">
        <f t="shared" si="12"/>
        <v>115506.99</v>
      </c>
      <c r="I28" s="42"/>
      <c r="J28" s="16">
        <v>17</v>
      </c>
      <c r="K28" s="14">
        <v>1636</v>
      </c>
      <c r="L28" s="251">
        <f>K28/J28</f>
        <v>96.235294117647058</v>
      </c>
      <c r="M28" s="21">
        <v>15</v>
      </c>
      <c r="N28" s="36">
        <f>G28/W28*60</f>
        <v>1111.3761467889906</v>
      </c>
      <c r="O28" s="38">
        <f>N28/M28</f>
        <v>74.091743119266042</v>
      </c>
      <c r="P28" s="39">
        <f t="shared" si="9"/>
        <v>-2</v>
      </c>
      <c r="Q28" s="40">
        <f t="shared" si="10"/>
        <v>-22.143550998381016</v>
      </c>
      <c r="R28" s="198">
        <f t="shared" si="11"/>
        <v>0.76990197617819234</v>
      </c>
      <c r="S28" s="434"/>
      <c r="T28" s="291">
        <v>0.36527777777777776</v>
      </c>
      <c r="U28" s="291">
        <v>0.44097222222222221</v>
      </c>
      <c r="V28" s="42">
        <f>(T28-U27)*24*60</f>
        <v>11.999999999999957</v>
      </c>
      <c r="W28" s="43">
        <f t="shared" si="7"/>
        <v>109.00000000000001</v>
      </c>
      <c r="X28" s="54"/>
      <c r="Y28" s="54"/>
      <c r="Z28" s="399" t="s">
        <v>182</v>
      </c>
      <c r="AA28" s="400"/>
      <c r="AB28" s="34">
        <f>N28-K28</f>
        <v>-524.62385321100942</v>
      </c>
      <c r="AC28" s="194">
        <f>N28/K28</f>
        <v>0.67932527309840496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1572</v>
      </c>
      <c r="H29" s="50">
        <f t="shared" si="12"/>
        <v>86664.36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18</v>
      </c>
      <c r="N29" s="36">
        <f>G29/W29*60</f>
        <v>1136.3855421686753</v>
      </c>
      <c r="O29" s="38">
        <f>N29/M29</f>
        <v>63.13253012048196</v>
      </c>
      <c r="P29" s="39">
        <f t="shared" si="9"/>
        <v>0</v>
      </c>
      <c r="Q29" s="40">
        <f t="shared" si="10"/>
        <v>-13.811914323962483</v>
      </c>
      <c r="R29" s="198">
        <f t="shared" si="11"/>
        <v>0.8204949762950724</v>
      </c>
      <c r="S29" s="434"/>
      <c r="T29" s="41">
        <v>0.44583333333333336</v>
      </c>
      <c r="U29" s="41">
        <v>0.50347222222222221</v>
      </c>
      <c r="V29" s="42">
        <f>(T29-U28)*24*60</f>
        <v>7.0000000000000551</v>
      </c>
      <c r="W29" s="43">
        <f t="shared" si="7"/>
        <v>82.999999999999943</v>
      </c>
      <c r="X29" s="54"/>
      <c r="Y29" s="54"/>
      <c r="Z29" s="399"/>
      <c r="AA29" s="400"/>
      <c r="AB29" s="275">
        <f t="shared" ref="AB29:AB31" si="13">N29-K29</f>
        <v>-248.61445783132467</v>
      </c>
      <c r="AC29" s="276">
        <f t="shared" ref="AC29:AC31" si="14">N29/K29</f>
        <v>0.8204949762950724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1602</v>
      </c>
      <c r="H30" s="257">
        <f t="shared" si="12"/>
        <v>76255.199999999997</v>
      </c>
      <c r="I30" s="82"/>
      <c r="J30" s="16">
        <f>VLOOKUP(D30,產線配置圖!$A$2:$C$38,2,0)</f>
        <v>18</v>
      </c>
      <c r="K30" s="14">
        <f>VLOOKUP(D30,產線配置圖!$A$2:$C$38,3,0)</f>
        <v>1636</v>
      </c>
      <c r="L30" s="251">
        <f>K30/J30</f>
        <v>90.888888888888886</v>
      </c>
      <c r="M30" s="21">
        <v>18</v>
      </c>
      <c r="N30" s="36">
        <f>G30/W30*60</f>
        <v>1316.7123287671222</v>
      </c>
      <c r="O30" s="38">
        <f>N30/M30</f>
        <v>73.150684931506788</v>
      </c>
      <c r="P30" s="39">
        <f t="shared" si="9"/>
        <v>0</v>
      </c>
      <c r="Q30" s="40">
        <f t="shared" si="10"/>
        <v>-17.738203957382098</v>
      </c>
      <c r="R30" s="198">
        <f t="shared" si="11"/>
        <v>0.80483638677696956</v>
      </c>
      <c r="S30" s="434"/>
      <c r="T30" s="41">
        <v>0.56458333333333333</v>
      </c>
      <c r="U30" s="41">
        <v>0.61527777777777781</v>
      </c>
      <c r="V30" s="42">
        <f>(T30-U29)*24*60</f>
        <v>88</v>
      </c>
      <c r="W30" s="43">
        <f t="shared" si="7"/>
        <v>73.000000000000057</v>
      </c>
      <c r="X30" s="22"/>
      <c r="Y30" s="22"/>
      <c r="Z30" s="442"/>
      <c r="AA30" s="443"/>
      <c r="AB30" s="275">
        <f t="shared" si="13"/>
        <v>-319.28767123287776</v>
      </c>
      <c r="AC30" s="276">
        <f t="shared" si="14"/>
        <v>0.80483638677696956</v>
      </c>
      <c r="AD30" s="394"/>
    </row>
    <row r="31" spans="1:30" ht="15" customHeight="1" x14ac:dyDescent="0.25">
      <c r="A31" s="431"/>
      <c r="B31" s="56" t="str">
        <f>VLOOKUP(D31,廠價表!$C$1:$E$39,2,0)</f>
        <v>義大利麵</v>
      </c>
      <c r="C31" s="10"/>
      <c r="D31" s="28" t="s">
        <v>146</v>
      </c>
      <c r="E31" s="89"/>
      <c r="F31" s="56">
        <f>VLOOKUP(D31,廠價表!$C$1:$E$39,3,0)</f>
        <v>55.13</v>
      </c>
      <c r="G31" s="256">
        <v>1095</v>
      </c>
      <c r="H31" s="50">
        <f t="shared" si="12"/>
        <v>60367.350000000006</v>
      </c>
      <c r="I31" s="42"/>
      <c r="J31" s="16">
        <f>VLOOKUP(D31,產線配置圖!$A$2:$C$38,2,0)</f>
        <v>18</v>
      </c>
      <c r="K31" s="14">
        <f>VLOOKUP(D31,產線配置圖!$A$2:$C$38,3,0)</f>
        <v>1385</v>
      </c>
      <c r="L31" s="251">
        <f>K31/J31</f>
        <v>76.944444444444443</v>
      </c>
      <c r="M31" s="21">
        <v>18</v>
      </c>
      <c r="N31" s="36">
        <f>G31/W31*60</f>
        <v>1368.7500000000005</v>
      </c>
      <c r="O31" s="38">
        <f>N31/M31</f>
        <v>76.041666666666686</v>
      </c>
      <c r="P31" s="39">
        <f t="shared" si="9"/>
        <v>0</v>
      </c>
      <c r="Q31" s="40">
        <f t="shared" si="10"/>
        <v>-0.90277777777775725</v>
      </c>
      <c r="R31" s="198">
        <f t="shared" si="11"/>
        <v>0.98826714801444071</v>
      </c>
      <c r="S31" s="434"/>
      <c r="T31" s="41">
        <v>0.62222222222222223</v>
      </c>
      <c r="U31" s="41">
        <v>0.65555555555555556</v>
      </c>
      <c r="V31" s="42">
        <f>(T31-U30)*24*60</f>
        <v>9.9999999999999645</v>
      </c>
      <c r="W31" s="43">
        <f t="shared" si="7"/>
        <v>47.999999999999986</v>
      </c>
      <c r="X31" s="54"/>
      <c r="Y31" s="54"/>
      <c r="Z31" s="253"/>
      <c r="AA31" s="254"/>
      <c r="AB31" s="275">
        <f t="shared" si="13"/>
        <v>-16.249999999999545</v>
      </c>
      <c r="AC31" s="276">
        <f t="shared" si="14"/>
        <v>0.98826714801444071</v>
      </c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2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2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15">AVERAGE(J27:J36)</f>
        <v>17.600000000000001</v>
      </c>
      <c r="K37" s="137">
        <f t="shared" si="15"/>
        <v>1535.6</v>
      </c>
      <c r="L37" s="140">
        <f t="shared" si="15"/>
        <v>87.449673202614377</v>
      </c>
      <c r="M37" s="137">
        <f t="shared" si="15"/>
        <v>16.8</v>
      </c>
      <c r="N37" s="137">
        <f t="shared" si="15"/>
        <v>1205.0448035449579</v>
      </c>
      <c r="O37" s="140">
        <f t="shared" si="15"/>
        <v>71.843324967584309</v>
      </c>
      <c r="P37" s="141">
        <f>M37-J37</f>
        <v>-0.80000000000000071</v>
      </c>
      <c r="Q37" s="142">
        <f>N37-K37</f>
        <v>-330.55519645504205</v>
      </c>
      <c r="R37" s="143">
        <f t="shared" ref="R37:R41" si="16">O37/L37</f>
        <v>0.82153909027342709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41" si="17">N37-K37</f>
        <v>-330.55519645504205</v>
      </c>
      <c r="AC37" s="195">
        <f t="shared" ref="AC37:AC41" si="18">N37/K37</f>
        <v>0.78473873635384084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2016</v>
      </c>
      <c r="H38" s="152">
        <f>F38*G38</f>
        <v>100618.56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17</v>
      </c>
      <c r="N38" s="154">
        <f>G38/W38*60</f>
        <v>1423.0588235294117</v>
      </c>
      <c r="O38" s="155">
        <f>N38/M38</f>
        <v>83.709342560553637</v>
      </c>
      <c r="P38" s="132">
        <f>M38-J38</f>
        <v>0</v>
      </c>
      <c r="Q38" s="133">
        <f>O38-L38</f>
        <v>-8.3494809688581313</v>
      </c>
      <c r="R38" s="156">
        <f t="shared" si="16"/>
        <v>0.90930276263860177</v>
      </c>
      <c r="S38" s="408">
        <f>R48</f>
        <v>0.84971804166648035</v>
      </c>
      <c r="T38" s="157">
        <v>0.33263888888888887</v>
      </c>
      <c r="U38" s="157">
        <v>0.39166666666666666</v>
      </c>
      <c r="V38" s="153"/>
      <c r="W38" s="158">
        <f t="shared" si="7"/>
        <v>85.000000000000014</v>
      </c>
      <c r="X38" s="155"/>
      <c r="Y38" s="159"/>
      <c r="Z38" s="427"/>
      <c r="AA38" s="427"/>
      <c r="AB38" s="160">
        <f t="shared" si="17"/>
        <v>-141.94117647058829</v>
      </c>
      <c r="AC38" s="161">
        <f t="shared" si="18"/>
        <v>0.90930276263860177</v>
      </c>
      <c r="AD38" s="388">
        <f>AC48</f>
        <v>0.79560532150074226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155</v>
      </c>
      <c r="E39" s="89"/>
      <c r="F39" s="56">
        <f>VLOOKUP(D39,廠價表!$C$1:$E$39,3,0)</f>
        <v>62.61</v>
      </c>
      <c r="G39" s="102">
        <v>1094</v>
      </c>
      <c r="H39" s="64">
        <f>F39*G39</f>
        <v>68495.34</v>
      </c>
      <c r="I39" s="65"/>
      <c r="J39" s="16">
        <f>VLOOKUP(D39,產線配置圖!$A$2:$C$38,2,0)</f>
        <v>17</v>
      </c>
      <c r="K39" s="14">
        <f>VLOOKUP(D39,產線配置圖!$A$2:$C$38,3,0)</f>
        <v>1636</v>
      </c>
      <c r="L39" s="17">
        <f>K39/J39</f>
        <v>96.235294117647058</v>
      </c>
      <c r="M39" s="66">
        <v>15</v>
      </c>
      <c r="N39" s="67">
        <f t="shared" ref="N39:N41" si="19">G39/W39*60</f>
        <v>1262.3076923076931</v>
      </c>
      <c r="O39" s="68">
        <f t="shared" ref="O39:O41" si="20">N39/M39</f>
        <v>84.153846153846203</v>
      </c>
      <c r="P39" s="39">
        <f t="shared" ref="P39:P41" si="21">M39-J39</f>
        <v>-2</v>
      </c>
      <c r="Q39" s="40">
        <f t="shared" ref="Q39:Q41" si="22">O39-L39</f>
        <v>-12.081447963800855</v>
      </c>
      <c r="R39" s="69">
        <f t="shared" si="16"/>
        <v>0.87445928154974661</v>
      </c>
      <c r="S39" s="409"/>
      <c r="T39" s="59">
        <v>0.39861111111111114</v>
      </c>
      <c r="U39" s="59">
        <v>0.43472222222222223</v>
      </c>
      <c r="V39" s="42">
        <f t="shared" ref="V39:V41" si="23">(T39-U38)*24*60</f>
        <v>10.000000000000044</v>
      </c>
      <c r="W39" s="70">
        <f t="shared" si="7"/>
        <v>51.999999999999972</v>
      </c>
      <c r="X39" s="58"/>
      <c r="Y39" s="60"/>
      <c r="Z39" s="428"/>
      <c r="AA39" s="475"/>
      <c r="AB39" s="292">
        <f t="shared" si="17"/>
        <v>-373.69230769230694</v>
      </c>
      <c r="AC39" s="62">
        <f t="shared" si="18"/>
        <v>0.77158171901448236</v>
      </c>
      <c r="AD39" s="389"/>
    </row>
    <row r="40" spans="1:30" s="63" customFormat="1" ht="15" customHeight="1" x14ac:dyDescent="0.25">
      <c r="A40" s="425"/>
      <c r="B40" s="56" t="str">
        <f>VLOOKUP(D40,廠價表!$C$1:$E$39,2,0)</f>
        <v>義大利麵</v>
      </c>
      <c r="C40" s="10"/>
      <c r="D40" s="11" t="s">
        <v>60</v>
      </c>
      <c r="E40" s="89"/>
      <c r="F40" s="56">
        <f>VLOOKUP(D40,廠價表!$C$1:$E$39,3,0)</f>
        <v>58.17</v>
      </c>
      <c r="G40" s="102">
        <v>748</v>
      </c>
      <c r="H40" s="64">
        <f>F40*G40</f>
        <v>43511.16</v>
      </c>
      <c r="I40" s="65"/>
      <c r="J40" s="16">
        <f>VLOOKUP(D40,產線配置圖!$A$2:$C$38,2,0)</f>
        <v>16</v>
      </c>
      <c r="K40" s="14">
        <f>VLOOKUP(D40,產線配置圖!$A$2:$C$38,3,0)</f>
        <v>1429</v>
      </c>
      <c r="L40" s="17">
        <f>K40/J40</f>
        <v>89.3125</v>
      </c>
      <c r="M40" s="66">
        <v>14</v>
      </c>
      <c r="N40" s="67">
        <f t="shared" si="19"/>
        <v>997.33333333333337</v>
      </c>
      <c r="O40" s="68">
        <f t="shared" si="20"/>
        <v>71.238095238095241</v>
      </c>
      <c r="P40" s="39">
        <f t="shared" si="21"/>
        <v>-2</v>
      </c>
      <c r="Q40" s="40">
        <f t="shared" si="22"/>
        <v>-18.074404761904759</v>
      </c>
      <c r="R40" s="69">
        <f t="shared" si="16"/>
        <v>0.79762737845313081</v>
      </c>
      <c r="S40" s="409"/>
      <c r="T40" s="59">
        <v>0.44097222222222221</v>
      </c>
      <c r="U40" s="59">
        <v>0.47222222222222221</v>
      </c>
      <c r="V40" s="42">
        <f t="shared" si="23"/>
        <v>8.999999999999968</v>
      </c>
      <c r="W40" s="70">
        <f t="shared" si="7"/>
        <v>45</v>
      </c>
      <c r="X40" s="71"/>
      <c r="Y40" s="278"/>
      <c r="Z40" s="428" t="s">
        <v>176</v>
      </c>
      <c r="AA40" s="428"/>
      <c r="AB40" s="292">
        <f t="shared" si="17"/>
        <v>-431.66666666666663</v>
      </c>
      <c r="AC40" s="62">
        <f t="shared" si="18"/>
        <v>0.69792395614648939</v>
      </c>
      <c r="AD40" s="389"/>
    </row>
    <row r="41" spans="1:30" s="63" customFormat="1" ht="15" customHeight="1" x14ac:dyDescent="0.25">
      <c r="A41" s="425"/>
      <c r="B41" s="56" t="str">
        <f>VLOOKUP(D41,廠價表!$C$1:$E$39,2,0)</f>
        <v>義大利麵</v>
      </c>
      <c r="C41" s="10"/>
      <c r="D41" s="11" t="s">
        <v>60</v>
      </c>
      <c r="E41" s="89"/>
      <c r="F41" s="56">
        <f>VLOOKUP(D41,廠價表!$C$1:$E$39,3,0)</f>
        <v>58.17</v>
      </c>
      <c r="G41" s="102">
        <v>709</v>
      </c>
      <c r="H41" s="64">
        <f>F41*G41</f>
        <v>41242.53</v>
      </c>
      <c r="I41" s="65"/>
      <c r="J41" s="16">
        <f>VLOOKUP(D41,產線配置圖!$A$2:$C$38,2,0)</f>
        <v>16</v>
      </c>
      <c r="K41" s="14">
        <f>VLOOKUP(D41,產線配置圖!$A$2:$C$38,3,0)</f>
        <v>1429</v>
      </c>
      <c r="L41" s="17">
        <f>K41/J41</f>
        <v>89.3125</v>
      </c>
      <c r="M41" s="66">
        <v>14</v>
      </c>
      <c r="N41" s="67">
        <f t="shared" si="19"/>
        <v>850.80000000000018</v>
      </c>
      <c r="O41" s="68">
        <f t="shared" si="20"/>
        <v>60.771428571428586</v>
      </c>
      <c r="P41" s="39">
        <f t="shared" si="21"/>
        <v>-2</v>
      </c>
      <c r="Q41" s="40">
        <f t="shared" si="22"/>
        <v>-28.541071428571414</v>
      </c>
      <c r="R41" s="69">
        <f t="shared" si="16"/>
        <v>0.68043586923922839</v>
      </c>
      <c r="S41" s="409"/>
      <c r="T41" s="59">
        <v>0.53472222222222221</v>
      </c>
      <c r="U41" s="59">
        <v>0.56944444444444442</v>
      </c>
      <c r="V41" s="42">
        <f t="shared" si="23"/>
        <v>90</v>
      </c>
      <c r="W41" s="70">
        <f t="shared" si="7"/>
        <v>49.999999999999986</v>
      </c>
      <c r="X41" s="71"/>
      <c r="Y41" s="278"/>
      <c r="Z41" s="428" t="s">
        <v>176</v>
      </c>
      <c r="AA41" s="428"/>
      <c r="AB41" s="292">
        <f t="shared" si="17"/>
        <v>-578.19999999999982</v>
      </c>
      <c r="AC41" s="62">
        <f t="shared" si="18"/>
        <v>0.59538138558432485</v>
      </c>
      <c r="AD41" s="389"/>
    </row>
    <row r="42" spans="1:30" s="63" customFormat="1" ht="15" customHeight="1" x14ac:dyDescent="0.25">
      <c r="A42" s="425"/>
      <c r="B42" s="56" t="str">
        <f>VLOOKUP(D42,廠價表!$C$1:$E$39,2,0)</f>
        <v>熱乾麵</v>
      </c>
      <c r="C42" s="23"/>
      <c r="D42" s="11" t="s">
        <v>154</v>
      </c>
      <c r="E42" s="12"/>
      <c r="F42" s="56">
        <f>VLOOKUP(D42,廠價表!$C$1:$E$39,3,0)</f>
        <v>49.91</v>
      </c>
      <c r="G42" s="102">
        <v>1047</v>
      </c>
      <c r="H42" s="64">
        <f>F42*G42</f>
        <v>52255.77</v>
      </c>
      <c r="I42" s="65"/>
      <c r="J42" s="16">
        <f>VLOOKUP(D42,產線配置圖!$A$2:$C$38,2,0)</f>
        <v>17</v>
      </c>
      <c r="K42" s="14">
        <f>VLOOKUP(D42,產線配置圖!$A$2:$C$38,3,0)</f>
        <v>1565</v>
      </c>
      <c r="L42" s="17">
        <f>K42/J42</f>
        <v>92.058823529411768</v>
      </c>
      <c r="M42" s="66">
        <v>17</v>
      </c>
      <c r="N42" s="67">
        <f t="shared" ref="N42" si="24">G42/W42*60</f>
        <v>1532.1951219512191</v>
      </c>
      <c r="O42" s="68">
        <f t="shared" ref="O42" si="25">N42/M42</f>
        <v>90.129124820659953</v>
      </c>
      <c r="P42" s="39">
        <f t="shared" ref="P42" si="26">M42-J42</f>
        <v>0</v>
      </c>
      <c r="Q42" s="40">
        <f t="shared" ref="Q42" si="27">O42-L42</f>
        <v>-1.9296987087518147</v>
      </c>
      <c r="R42" s="69">
        <f t="shared" ref="R42" si="28">O42/L42</f>
        <v>0.97903841658224866</v>
      </c>
      <c r="S42" s="409"/>
      <c r="T42" s="76">
        <v>0.57291666666666663</v>
      </c>
      <c r="U42" s="76">
        <v>0.60138888888888886</v>
      </c>
      <c r="V42" s="42"/>
      <c r="W42" s="70">
        <f t="shared" si="7"/>
        <v>41.000000000000014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29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9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30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9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30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9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30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9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30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1">AVERAGE(J38:J47)</f>
        <v>16.600000000000001</v>
      </c>
      <c r="K48" s="137">
        <f t="shared" si="31"/>
        <v>1524.8</v>
      </c>
      <c r="L48" s="140">
        <f t="shared" si="31"/>
        <v>91.795588235294119</v>
      </c>
      <c r="M48" s="137">
        <f t="shared" si="31"/>
        <v>15.4</v>
      </c>
      <c r="N48" s="137">
        <f t="shared" si="31"/>
        <v>1213.1389942243318</v>
      </c>
      <c r="O48" s="140">
        <f t="shared" si="31"/>
        <v>78.000367468916721</v>
      </c>
      <c r="P48" s="164">
        <f>M48-J48</f>
        <v>-1.2000000000000011</v>
      </c>
      <c r="Q48" s="165">
        <f>N48-K48</f>
        <v>-311.66100577566817</v>
      </c>
      <c r="R48" s="166">
        <f>O48/L48</f>
        <v>0.84971804166648035</v>
      </c>
      <c r="S48" s="412"/>
      <c r="T48" s="167"/>
      <c r="U48" s="167"/>
      <c r="V48" s="204"/>
      <c r="W48" s="168">
        <f t="shared" si="30"/>
        <v>0</v>
      </c>
      <c r="X48" s="169"/>
      <c r="Y48" s="169"/>
      <c r="Z48" s="401"/>
      <c r="AA48" s="401"/>
      <c r="AB48" s="170">
        <f>N48-K48</f>
        <v>-311.66100577566817</v>
      </c>
      <c r="AC48" s="199">
        <f>N48/K48</f>
        <v>0.79560532150074226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2915</v>
      </c>
      <c r="H49" s="128">
        <f t="shared" ref="H49:H57" si="32">F49*G49</f>
        <v>145662.54999999999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1534.2105263157894</v>
      </c>
      <c r="O49" s="131">
        <f>N49/M49</f>
        <v>85.233918128654963</v>
      </c>
      <c r="P49" s="171">
        <f>M49-J49</f>
        <v>0</v>
      </c>
      <c r="Q49" s="115">
        <f>O49-L49</f>
        <v>-1.7105263157894797</v>
      </c>
      <c r="R49" s="192">
        <f>O49/L49</f>
        <v>0.98032621489826799</v>
      </c>
      <c r="S49" s="408">
        <f>R58</f>
        <v>0.96004922925168146</v>
      </c>
      <c r="T49" s="157">
        <v>0.29166666666666669</v>
      </c>
      <c r="U49" s="157">
        <v>0.37083333333333335</v>
      </c>
      <c r="V49" s="196"/>
      <c r="W49" s="158">
        <f t="shared" si="7"/>
        <v>114</v>
      </c>
      <c r="X49" s="196"/>
      <c r="Y49" s="196"/>
      <c r="Z49" s="423"/>
      <c r="AA49" s="423"/>
      <c r="AB49" s="114">
        <f>N49-K49</f>
        <v>-30.789473684210634</v>
      </c>
      <c r="AC49" s="192">
        <f>N49/K49</f>
        <v>0.98032621489826799</v>
      </c>
      <c r="AD49" s="391">
        <f>AC58</f>
        <v>0.96081596177247375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3722</v>
      </c>
      <c r="H50" s="77">
        <f t="shared" si="32"/>
        <v>211670.13999999998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1498.7919463087246</v>
      </c>
      <c r="O50" s="79">
        <f>N50/M50</f>
        <v>88.164232135807325</v>
      </c>
      <c r="P50" s="18">
        <f>M50-J50</f>
        <v>0</v>
      </c>
      <c r="Q50" s="19">
        <f>O50-L50</f>
        <v>-7.1061981839733335E-2</v>
      </c>
      <c r="R50" s="193">
        <f>O50/L50</f>
        <v>0.99919463087248306</v>
      </c>
      <c r="S50" s="409"/>
      <c r="T50" s="80">
        <v>0.37569444444444444</v>
      </c>
      <c r="U50" s="80">
        <v>0.47916666666666669</v>
      </c>
      <c r="V50" s="185">
        <f t="shared" ref="V50:V52" si="33">(T50-U49)*24*60</f>
        <v>6.9999999999999751</v>
      </c>
      <c r="W50" s="81">
        <f t="shared" si="7"/>
        <v>149.00000000000003</v>
      </c>
      <c r="X50" s="22"/>
      <c r="Y50" s="22"/>
      <c r="Z50" s="398"/>
      <c r="AA50" s="399"/>
      <c r="AB50" s="18">
        <f>N50-K50</f>
        <v>-1.2080536912753814</v>
      </c>
      <c r="AC50" s="193">
        <f>N50/K50</f>
        <v>0.99919463087248306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1193</v>
      </c>
      <c r="H51" s="77">
        <f t="shared" si="32"/>
        <v>67845.91</v>
      </c>
      <c r="I51" s="185"/>
      <c r="J51" s="16">
        <f>VLOOKUP(D51,產線配置圖!$A$2:$C$38,2,0)</f>
        <v>17</v>
      </c>
      <c r="K51" s="14">
        <f>VLOOKUP(D51,產線配置圖!$A$2:$C$38,3,0)</f>
        <v>1500</v>
      </c>
      <c r="L51" s="17">
        <f t="shared" ref="L51:L52" si="34">K51/J51</f>
        <v>88.235294117647058</v>
      </c>
      <c r="M51" s="182">
        <v>17</v>
      </c>
      <c r="N51" s="78">
        <f t="shared" ref="N51:N52" si="35">G51/W51*60</f>
        <v>1301.4545454545425</v>
      </c>
      <c r="O51" s="79">
        <f t="shared" ref="O51:O52" si="36">N51/M51</f>
        <v>76.556149732620156</v>
      </c>
      <c r="P51" s="18">
        <f t="shared" ref="P51:P52" si="37">M51-J51</f>
        <v>0</v>
      </c>
      <c r="Q51" s="19">
        <f t="shared" ref="Q51:Q52" si="38">O51-L51</f>
        <v>-11.679144385026902</v>
      </c>
      <c r="R51" s="193">
        <f t="shared" ref="R51:R52" si="39">O51/L51</f>
        <v>0.86763636363636176</v>
      </c>
      <c r="S51" s="409"/>
      <c r="T51" s="80">
        <v>0.54166666666666663</v>
      </c>
      <c r="U51" s="44">
        <v>0.57986111111111116</v>
      </c>
      <c r="V51" s="185">
        <f t="shared" si="33"/>
        <v>89.999999999999915</v>
      </c>
      <c r="W51" s="81">
        <f t="shared" si="7"/>
        <v>55.000000000000128</v>
      </c>
      <c r="X51" s="22"/>
      <c r="Y51" s="22"/>
      <c r="Z51" s="400"/>
      <c r="AA51" s="400"/>
      <c r="AB51" s="51">
        <f>N51-K51</f>
        <v>-198.54545454545746</v>
      </c>
      <c r="AC51" s="52">
        <f>N51/K51</f>
        <v>0.86763636363636165</v>
      </c>
      <c r="AD51" s="392"/>
    </row>
    <row r="52" spans="1:30" ht="15" customHeight="1" x14ac:dyDescent="0.25">
      <c r="A52" s="421"/>
      <c r="B52" s="56" t="str">
        <f>VLOOKUP(D52,廠價表!$C$1:$E$39,2,0)</f>
        <v>義大利麵</v>
      </c>
      <c r="C52" s="23"/>
      <c r="D52" s="11" t="s">
        <v>66</v>
      </c>
      <c r="E52" s="12"/>
      <c r="F52" s="56">
        <f>VLOOKUP(D52,廠價表!$C$1:$E$39,3,0)</f>
        <v>49.97</v>
      </c>
      <c r="G52" s="67">
        <v>3007</v>
      </c>
      <c r="H52" s="77">
        <f t="shared" si="32"/>
        <v>150259.79</v>
      </c>
      <c r="I52" s="185"/>
      <c r="J52" s="16">
        <f>VLOOKUP(D52,產線配置圖!$A$2:$C$38,2,0)</f>
        <v>18</v>
      </c>
      <c r="K52" s="14">
        <f>VLOOKUP(D52,產線配置圖!$A$2:$C$38,3,0)</f>
        <v>1565</v>
      </c>
      <c r="L52" s="17">
        <f t="shared" si="34"/>
        <v>86.944444444444443</v>
      </c>
      <c r="M52" s="182">
        <v>18</v>
      </c>
      <c r="N52" s="78">
        <f t="shared" si="35"/>
        <v>1555.3448275862079</v>
      </c>
      <c r="O52" s="79">
        <f t="shared" si="36"/>
        <v>86.408045977011554</v>
      </c>
      <c r="P52" s="18">
        <f t="shared" si="37"/>
        <v>0</v>
      </c>
      <c r="Q52" s="19">
        <f t="shared" si="38"/>
        <v>-0.53639846743288899</v>
      </c>
      <c r="R52" s="193">
        <f t="shared" si="39"/>
        <v>0.99383056075796039</v>
      </c>
      <c r="S52" s="409"/>
      <c r="T52" s="80">
        <v>0.5854166666666667</v>
      </c>
      <c r="U52" s="80">
        <v>0.66597222222222219</v>
      </c>
      <c r="V52" s="185">
        <f t="shared" si="33"/>
        <v>7.9999999999999716</v>
      </c>
      <c r="W52" s="81">
        <f t="shared" si="7"/>
        <v>115.99999999999991</v>
      </c>
      <c r="X52" s="22"/>
      <c r="Y52" s="22"/>
      <c r="Z52" s="400"/>
      <c r="AA52" s="400"/>
      <c r="AB52" s="18">
        <f>N52-K52</f>
        <v>-9.6551724137921155</v>
      </c>
      <c r="AC52" s="193">
        <f>N52/K52</f>
        <v>0.99383056075796028</v>
      </c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32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2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2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2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2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0">AVERAGE(J49:J57)</f>
        <v>17.5</v>
      </c>
      <c r="K58" s="121">
        <f t="shared" si="40"/>
        <v>1532.5</v>
      </c>
      <c r="L58" s="118">
        <f t="shared" si="40"/>
        <v>87.58986928104575</v>
      </c>
      <c r="M58" s="121">
        <f t="shared" si="40"/>
        <v>17.5</v>
      </c>
      <c r="N58" s="121">
        <f t="shared" si="40"/>
        <v>1472.4504614163161</v>
      </c>
      <c r="O58" s="118">
        <f t="shared" si="40"/>
        <v>84.090586493523503</v>
      </c>
      <c r="P58" s="122">
        <f>M58-J58</f>
        <v>0</v>
      </c>
      <c r="Q58" s="123">
        <f>N58-K58</f>
        <v>-60.049538583683898</v>
      </c>
      <c r="R58" s="124">
        <f t="shared" ref="R58:R60" si="41">O58/L58</f>
        <v>0.96004922925168146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42">N58-K58</f>
        <v>-60.049538583683898</v>
      </c>
      <c r="AC58" s="195">
        <f t="shared" ref="AC58:AC62" si="43">N58/K58</f>
        <v>0.96081596177247375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4145</v>
      </c>
      <c r="H59" s="109">
        <f t="shared" ref="H59:H68" si="44">F59*G59</f>
        <v>111873.54999999999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5">G59/W59*60</f>
        <v>1507.2727272727275</v>
      </c>
      <c r="O59" s="112">
        <f t="shared" ref="O59:O61" si="46">N59/M59</f>
        <v>115.94405594405596</v>
      </c>
      <c r="P59" s="114">
        <f t="shared" ref="P59:P61" si="47">M59-J59</f>
        <v>0</v>
      </c>
      <c r="Q59" s="115">
        <f t="shared" ref="Q59:Q61" si="48">O59-L59</f>
        <v>-4.4405594405594258</v>
      </c>
      <c r="R59" s="192">
        <f t="shared" si="41"/>
        <v>0.96311356375254153</v>
      </c>
      <c r="S59" s="408">
        <f>R69</f>
        <v>0.91711841475986222</v>
      </c>
      <c r="T59" s="176">
        <v>0.29166666666666669</v>
      </c>
      <c r="U59" s="176">
        <v>0.40625</v>
      </c>
      <c r="V59" s="196"/>
      <c r="W59" s="110">
        <f t="shared" si="7"/>
        <v>164.99999999999997</v>
      </c>
      <c r="X59" s="196"/>
      <c r="Y59" s="196"/>
      <c r="Z59" s="400"/>
      <c r="AA59" s="400"/>
      <c r="AB59" s="240">
        <f t="shared" si="42"/>
        <v>-57.727272727272521</v>
      </c>
      <c r="AC59" s="241">
        <f t="shared" si="43"/>
        <v>0.96311356375254153</v>
      </c>
      <c r="AD59" s="391">
        <f>AC69</f>
        <v>0.91829777755454634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816</v>
      </c>
      <c r="H60" s="15">
        <f t="shared" si="44"/>
        <v>23231.52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5"/>
        <v>1288.4210526315808</v>
      </c>
      <c r="O60" s="17">
        <f t="shared" si="46"/>
        <v>107.36842105263173</v>
      </c>
      <c r="P60" s="18">
        <f t="shared" si="47"/>
        <v>0</v>
      </c>
      <c r="Q60" s="19">
        <f t="shared" si="48"/>
        <v>-23.048245614034926</v>
      </c>
      <c r="R60" s="193">
        <f t="shared" si="41"/>
        <v>0.82327223810324657</v>
      </c>
      <c r="S60" s="419"/>
      <c r="T60" s="206">
        <v>0.4152777777777778</v>
      </c>
      <c r="U60" s="206">
        <v>0.44166666666666665</v>
      </c>
      <c r="V60" s="185">
        <f t="shared" ref="V60:V61" si="49">(T60-U59)*24*60</f>
        <v>13.000000000000034</v>
      </c>
      <c r="W60" s="93">
        <f t="shared" si="7"/>
        <v>37.999999999999943</v>
      </c>
      <c r="X60" s="201"/>
      <c r="Y60" s="201"/>
      <c r="Z60" s="400"/>
      <c r="AA60" s="400"/>
      <c r="AB60" s="242">
        <f t="shared" si="42"/>
        <v>-276.57894736841922</v>
      </c>
      <c r="AC60" s="243">
        <f t="shared" si="43"/>
        <v>0.82327223810324646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2122</v>
      </c>
      <c r="H61" s="15">
        <f t="shared" si="44"/>
        <v>59967.72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50">K61/J61</f>
        <v>130.41666666666666</v>
      </c>
      <c r="M61" s="188">
        <v>12</v>
      </c>
      <c r="N61" s="14">
        <f t="shared" si="45"/>
        <v>1515.7142857142869</v>
      </c>
      <c r="O61" s="17">
        <f t="shared" si="46"/>
        <v>126.30952380952391</v>
      </c>
      <c r="P61" s="18">
        <f t="shared" si="47"/>
        <v>0</v>
      </c>
      <c r="Q61" s="19">
        <f t="shared" si="48"/>
        <v>-4.1071428571427475</v>
      </c>
      <c r="R61" s="193">
        <f>O61/L61</f>
        <v>0.96850753080785112</v>
      </c>
      <c r="S61" s="409"/>
      <c r="T61" s="20">
        <v>0.45208333333333334</v>
      </c>
      <c r="U61" s="20">
        <v>0.51041666666666663</v>
      </c>
      <c r="V61" s="185">
        <f t="shared" si="49"/>
        <v>15.000000000000027</v>
      </c>
      <c r="W61" s="91">
        <f t="shared" si="7"/>
        <v>83.999999999999943</v>
      </c>
      <c r="X61" s="22"/>
      <c r="Y61" s="22"/>
      <c r="Z61" s="400"/>
      <c r="AA61" s="400"/>
      <c r="AB61" s="51">
        <f t="shared" si="42"/>
        <v>-49.285714285713084</v>
      </c>
      <c r="AC61" s="52">
        <f t="shared" si="43"/>
        <v>0.96850753080785101</v>
      </c>
      <c r="AD61" s="392"/>
    </row>
    <row r="62" spans="1:30" ht="15" customHeight="1" x14ac:dyDescent="0.25">
      <c r="A62" s="417"/>
      <c r="B62" s="56"/>
      <c r="C62" s="23"/>
      <c r="D62" s="11"/>
      <c r="E62" s="12"/>
      <c r="F62" s="56"/>
      <c r="G62" s="185"/>
      <c r="H62" s="15">
        <f t="shared" si="44"/>
        <v>0</v>
      </c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7"/>
        <v>0</v>
      </c>
      <c r="X62" s="22"/>
      <c r="Y62" s="22"/>
      <c r="Z62" s="400"/>
      <c r="AA62" s="400"/>
      <c r="AB62" s="18">
        <f t="shared" si="42"/>
        <v>0</v>
      </c>
      <c r="AC62" s="193" t="e">
        <f t="shared" si="43"/>
        <v>#DIV/0!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>
        <f t="shared" si="44"/>
        <v>0</v>
      </c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4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4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4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4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4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1">AVERAGE(J59:J68)</f>
        <v>12.333333333333334</v>
      </c>
      <c r="K69" s="173">
        <f t="shared" si="51"/>
        <v>1565</v>
      </c>
      <c r="L69" s="178">
        <f t="shared" si="51"/>
        <v>127.07264957264958</v>
      </c>
      <c r="M69" s="173">
        <f t="shared" si="51"/>
        <v>12.333333333333334</v>
      </c>
      <c r="N69" s="173">
        <f t="shared" si="51"/>
        <v>1437.1360218728651</v>
      </c>
      <c r="O69" s="178">
        <f t="shared" si="51"/>
        <v>116.54066693540386</v>
      </c>
      <c r="P69" s="179">
        <f>M69-J69</f>
        <v>0</v>
      </c>
      <c r="Q69" s="165">
        <f>N69-K69</f>
        <v>-127.86397812713494</v>
      </c>
      <c r="R69" s="124">
        <f>O69/L69</f>
        <v>0.91711841475986222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-127.86397812713494</v>
      </c>
      <c r="AC69" s="195">
        <f>N69/K69</f>
        <v>0.91829777755454634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52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53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52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53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2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53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2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53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2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3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2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3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2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3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2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3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2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4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2:AA32"/>
    <mergeCell ref="Z33:AA33"/>
    <mergeCell ref="Z34:AA34"/>
    <mergeCell ref="Z35:AA35"/>
    <mergeCell ref="Z36:AA36"/>
    <mergeCell ref="Z37:AA37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298" priority="1" operator="greaterThan">
      <formula>0</formula>
    </cfRule>
  </conditionalFormatting>
  <conditionalFormatting sqref="Q5:Q79 AB5:AB79">
    <cfRule type="cellIs" dxfId="297" priority="4" operator="lessThan">
      <formula>0</formula>
    </cfRule>
  </conditionalFormatting>
  <conditionalFormatting sqref="R5:R79 AC5:AC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D59:AD62 S69:S76 AD69:AD76">
    <cfRule type="cellIs" dxfId="294" priority="7" operator="lessThan">
      <formula>0.8</formula>
    </cfRule>
  </conditionalFormatting>
  <conditionalFormatting sqref="S19:S25 AD19:AD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D5:AD8 S15:S16 AD15:AD16 AD49 AD79">
    <cfRule type="cellIs" dxfId="291" priority="9" operator="lessThan">
      <formula>0.8</formula>
    </cfRule>
  </conditionalFormatting>
  <conditionalFormatting sqref="AD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E5F201-E31A-432D-9CFB-C45301097AAA}">
          <x14:formula1>
            <xm:f>廠價表!$C$2:$C$37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6B17-0D8D-499A-A6BE-60F896B93DFF}">
  <sheetPr>
    <pageSetUpPr fitToPage="1"/>
  </sheetPr>
  <dimension ref="B1:O22"/>
  <sheetViews>
    <sheetView zoomScale="70" zoomScaleNormal="70" workbookViewId="0">
      <selection activeCell="N16" sqref="N16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45933</v>
      </c>
      <c r="E3" s="383"/>
      <c r="F3" s="214" t="s">
        <v>76</v>
      </c>
      <c r="G3" s="384">
        <f>'1003'!E1</f>
        <v>39570</v>
      </c>
      <c r="H3" s="384"/>
      <c r="I3" s="214" t="s">
        <v>77</v>
      </c>
      <c r="J3" s="385">
        <f>'1003'!G1</f>
        <v>1956294.79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114.87991053971444</v>
      </c>
      <c r="G6" s="362"/>
      <c r="H6" s="363">
        <f>AVERAGE(D13:H13)</f>
        <v>112.44136273312742</v>
      </c>
      <c r="I6" s="363"/>
      <c r="J6" s="363">
        <f>AVERAGE(I13)</f>
        <v>127.07264957264958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98.969749638924256</v>
      </c>
      <c r="G7" s="380"/>
      <c r="H7" s="381">
        <f>AVERAGE(D14:H14)</f>
        <v>97.916007955866107</v>
      </c>
      <c r="I7" s="381"/>
      <c r="J7" s="381">
        <f>AVERAGE(I14)</f>
        <v>104.23845805421492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0.8598060411745484</v>
      </c>
      <c r="G8" s="360"/>
      <c r="H8" s="360">
        <f>AVERAGE(D15:H15)</f>
        <v>0.86770604756189607</v>
      </c>
      <c r="I8" s="360"/>
      <c r="J8" s="360">
        <f>AVERAGE(I15)</f>
        <v>0.82030600923781027</v>
      </c>
      <c r="K8" s="360"/>
      <c r="L8" s="219" t="s">
        <v>89</v>
      </c>
    </row>
    <row r="9" spans="2:15" ht="25.5" customHeight="1" thickBot="1" x14ac:dyDescent="0.3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376" t="s">
        <v>0</v>
      </c>
      <c r="C10" s="377"/>
      <c r="D10" s="364" t="s">
        <v>90</v>
      </c>
      <c r="E10" s="365"/>
      <c r="F10" s="365"/>
      <c r="G10" s="365"/>
      <c r="H10" s="365"/>
      <c r="I10" s="365"/>
      <c r="J10" s="366"/>
    </row>
    <row r="11" spans="2:15" ht="17.25" customHeight="1" x14ac:dyDescent="0.25">
      <c r="B11" s="367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3">
        <v>7</v>
      </c>
    </row>
    <row r="12" spans="2:15" ht="33.950000000000003" customHeight="1" x14ac:dyDescent="0.25">
      <c r="B12" s="369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5" t="s">
        <v>98</v>
      </c>
    </row>
    <row r="13" spans="2:15" ht="39.950000000000003" customHeight="1" x14ac:dyDescent="0.25">
      <c r="B13" s="371" t="s">
        <v>1</v>
      </c>
      <c r="C13" s="226" t="s">
        <v>99</v>
      </c>
      <c r="D13" s="227">
        <f>VALUE('1003'!L15)</f>
        <v>147.68315018315016</v>
      </c>
      <c r="E13" s="227">
        <f>VALUE('1003'!L26)</f>
        <v>146.73344017094016</v>
      </c>
      <c r="F13" s="227">
        <f>VALUE('1003'!L37)</f>
        <v>87.449673202614377</v>
      </c>
      <c r="G13" s="227">
        <f>VALUE('1003'!L48)</f>
        <v>92.535539215686285</v>
      </c>
      <c r="H13" s="227">
        <f>VALUE('1003'!L58)</f>
        <v>87.805010893246177</v>
      </c>
      <c r="I13" s="227">
        <f>VALUE('1003'!L69)</f>
        <v>127.07264957264958</v>
      </c>
      <c r="J13" s="228"/>
    </row>
    <row r="14" spans="2:15" ht="39.950000000000003" customHeight="1" x14ac:dyDescent="0.25">
      <c r="B14" s="372"/>
      <c r="C14" s="226" t="s">
        <v>100</v>
      </c>
      <c r="D14" s="227">
        <f>VALUE('1003'!O15)</f>
        <v>130.6520791761086</v>
      </c>
      <c r="E14" s="227">
        <f>VALUE('1003'!O26)</f>
        <v>129.40770273087347</v>
      </c>
      <c r="F14" s="227">
        <f>VALUE('1003'!O37)</f>
        <v>72.097527752353628</v>
      </c>
      <c r="G14" s="227">
        <f>VALUE('1003'!O48)</f>
        <v>77.952597381994835</v>
      </c>
      <c r="H14" s="227">
        <f>VALUE('1003'!O58)</f>
        <v>79.470132738000004</v>
      </c>
      <c r="I14" s="227">
        <f>VALUE('1003'!O69)</f>
        <v>104.23845805421492</v>
      </c>
      <c r="J14" s="228"/>
    </row>
    <row r="15" spans="2:15" ht="39.950000000000003" customHeight="1" x14ac:dyDescent="0.25">
      <c r="B15" s="373"/>
      <c r="C15" s="222" t="s">
        <v>101</v>
      </c>
      <c r="D15" s="248">
        <f>D14/D13</f>
        <v>0.88467830632052213</v>
      </c>
      <c r="E15" s="248">
        <f t="shared" ref="E15:I15" si="0">E14/E13</f>
        <v>0.88192372904306804</v>
      </c>
      <c r="F15" s="248">
        <f t="shared" si="0"/>
        <v>0.82444593686827194</v>
      </c>
      <c r="G15" s="248">
        <f t="shared" si="0"/>
        <v>0.84240712317349953</v>
      </c>
      <c r="H15" s="248">
        <f t="shared" si="0"/>
        <v>0.90507514240411902</v>
      </c>
      <c r="I15" s="248">
        <f t="shared" si="0"/>
        <v>0.82030600923781027</v>
      </c>
      <c r="J15" s="249"/>
    </row>
    <row r="16" spans="2:15" ht="17.25" customHeight="1" x14ac:dyDescent="0.25">
      <c r="B16" s="374" t="s">
        <v>102</v>
      </c>
      <c r="C16" s="222" t="s">
        <v>103</v>
      </c>
      <c r="D16" s="98">
        <f>'1003'!T5</f>
        <v>0.29722222222222222</v>
      </c>
      <c r="E16" s="98">
        <f>'1003'!T16</f>
        <v>0.29722222222222222</v>
      </c>
      <c r="F16" s="98">
        <f>'1003'!T27</f>
        <v>0.2986111111111111</v>
      </c>
      <c r="G16" s="98">
        <f>'1003'!T38</f>
        <v>0.33124999999999999</v>
      </c>
      <c r="H16" s="98">
        <f>'1003'!T49</f>
        <v>0.29166666666666669</v>
      </c>
      <c r="I16" s="98">
        <f>'1003'!T59</f>
        <v>0.29166666666666669</v>
      </c>
      <c r="J16" s="281"/>
    </row>
    <row r="17" spans="2:10" ht="17.25" customHeight="1" x14ac:dyDescent="0.25">
      <c r="B17" s="375"/>
      <c r="C17" s="222" t="s">
        <v>104</v>
      </c>
      <c r="D17" s="98">
        <v>0.50138888888888888</v>
      </c>
      <c r="E17" s="41">
        <v>0.49305555555555558</v>
      </c>
      <c r="F17" s="41">
        <v>0.62847222222222221</v>
      </c>
      <c r="G17" s="59">
        <v>0.50277777777777777</v>
      </c>
      <c r="H17" s="44">
        <v>0.61388888888888893</v>
      </c>
      <c r="I17" s="20">
        <v>0.4826388888888889</v>
      </c>
      <c r="J17" s="20"/>
    </row>
    <row r="18" spans="2:10" ht="17.25" customHeight="1" x14ac:dyDescent="0.25">
      <c r="B18" s="354" t="s">
        <v>105</v>
      </c>
      <c r="C18" s="355"/>
      <c r="D18" s="229">
        <f>VALUE('1003'!M15)</f>
        <v>13.333333333333334</v>
      </c>
      <c r="E18" s="229">
        <f>VALUE('1003'!M26)</f>
        <v>13.666666666666666</v>
      </c>
      <c r="F18" s="229">
        <f>VALUE('1003'!M37)</f>
        <v>14.2</v>
      </c>
      <c r="G18" s="229">
        <f>VALUE('1003'!M48)</f>
        <v>15.333333333333334</v>
      </c>
      <c r="H18" s="229">
        <f>VALUE('1003'!M58)</f>
        <v>18</v>
      </c>
      <c r="I18" s="229">
        <f>VALUE('1003'!M69)</f>
        <v>12.333333333333334</v>
      </c>
      <c r="J18" s="230"/>
    </row>
    <row r="19" spans="2:10" ht="17.25" customHeight="1" x14ac:dyDescent="0.25">
      <c r="B19" s="354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5"/>
    </row>
    <row r="20" spans="2:10" ht="17.25" customHeight="1" x14ac:dyDescent="0.25">
      <c r="B20" s="354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356" t="s">
        <v>112</v>
      </c>
      <c r="C21" s="357"/>
      <c r="D21" s="1"/>
      <c r="E21" s="1"/>
      <c r="F21" s="1"/>
      <c r="G21" s="1"/>
      <c r="H21" s="1"/>
      <c r="I21" s="1"/>
      <c r="J21" s="232"/>
    </row>
    <row r="22" spans="2:10" x14ac:dyDescent="0.25">
      <c r="B22" s="358"/>
      <c r="C22" s="358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DCF9-57B0-43F6-81A8-964CADA93656}">
  <sheetPr>
    <tabColor theme="9" tint="0.79998168889431442"/>
    <pageSetUpPr fitToPage="1"/>
  </sheetPr>
  <dimension ref="A1:AF92"/>
  <sheetViews>
    <sheetView zoomScale="69" zoomScaleNormal="69" workbookViewId="0">
      <pane xSplit="5" ySplit="4" topLeftCell="F14" activePane="bottomRight" state="frozen"/>
      <selection activeCell="N17" sqref="N17"/>
      <selection pane="topRight" activeCell="N17" sqref="N17"/>
      <selection pane="bottomLeft" activeCell="N17" sqref="N17"/>
      <selection pane="bottomRight" activeCell="J28" sqref="J28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39570</v>
      </c>
      <c r="F1" s="185" t="s">
        <v>9</v>
      </c>
      <c r="G1" s="4">
        <f>SUM(H5:H79)</f>
        <v>1956294.79</v>
      </c>
      <c r="H1" s="183" t="s">
        <v>10</v>
      </c>
      <c r="I1" s="5">
        <f>M15+M26+M48+M58+M69+M79+M37</f>
        <v>86.866666666666674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184</v>
      </c>
      <c r="B2" s="461"/>
      <c r="C2" s="184"/>
      <c r="D2" s="184" t="s">
        <v>1</v>
      </c>
      <c r="E2" s="7">
        <f>AVERAGE(O15,O26,O37,O48,O58,O69,O79)</f>
        <v>98.969749638924256</v>
      </c>
      <c r="F2" s="8" t="s">
        <v>2</v>
      </c>
      <c r="G2" s="9">
        <f>G1/E1</f>
        <v>49.438837250442255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1362</v>
      </c>
      <c r="H5" s="109">
        <f>F5*G5</f>
        <v>77920.02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1738.7234042553193</v>
      </c>
      <c r="O5" s="112">
        <f>N5/M5</f>
        <v>133.74795417348611</v>
      </c>
      <c r="P5" s="114">
        <f>M5-J5</f>
        <v>0</v>
      </c>
      <c r="Q5" s="115">
        <f>O5-L5</f>
        <v>-20.098199672667732</v>
      </c>
      <c r="R5" s="192">
        <f>O5/L5</f>
        <v>0.86936170212765973</v>
      </c>
      <c r="S5" s="408">
        <f>R15</f>
        <v>0.88467830632052213</v>
      </c>
      <c r="T5" s="97">
        <v>0.29722222222222222</v>
      </c>
      <c r="U5" s="97">
        <v>0.3298611111111111</v>
      </c>
      <c r="V5" s="202"/>
      <c r="W5" s="110">
        <f t="shared" ref="W5:W14" si="0">(U5-T5)*24*60</f>
        <v>46.999999999999993</v>
      </c>
      <c r="X5" s="196"/>
      <c r="Y5" s="196"/>
      <c r="Z5" s="423"/>
      <c r="AA5" s="423"/>
      <c r="AB5" s="114">
        <f>N5-K5</f>
        <v>-261.27659574468066</v>
      </c>
      <c r="AC5" s="192">
        <f>N5/K5</f>
        <v>0.86936170212765962</v>
      </c>
      <c r="AD5" s="391">
        <f>AC15</f>
        <v>0.88322332209286281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2153</v>
      </c>
      <c r="H6" s="15">
        <f t="shared" ref="H6:H14" si="1">F6*G6</f>
        <v>123173.13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1556.3855421686742</v>
      </c>
      <c r="O6" s="17">
        <f>N6/M6</f>
        <v>111.17039586919101</v>
      </c>
      <c r="P6" s="18">
        <f>M6-J6</f>
        <v>0</v>
      </c>
      <c r="Q6" s="19">
        <f>O6-L6</f>
        <v>-24.18674698795185</v>
      </c>
      <c r="R6" s="193">
        <f>O6/L6</f>
        <v>0.82131163175127919</v>
      </c>
      <c r="S6" s="409"/>
      <c r="T6" s="98">
        <v>0.34236111111111112</v>
      </c>
      <c r="U6" s="98">
        <v>0.4</v>
      </c>
      <c r="V6" s="185">
        <f>(T6-U5)*24*60</f>
        <v>18.000000000000014</v>
      </c>
      <c r="W6" s="190">
        <f t="shared" si="0"/>
        <v>83.000000000000028</v>
      </c>
      <c r="X6" s="22"/>
      <c r="Y6" s="22"/>
      <c r="Z6" s="446"/>
      <c r="AA6" s="446"/>
      <c r="AB6" s="18">
        <f>N6-K6</f>
        <v>-338.61445783132581</v>
      </c>
      <c r="AC6" s="193">
        <f>N6/K6</f>
        <v>0.8213116317512793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4269</v>
      </c>
      <c r="H7" s="15">
        <f t="shared" si="1"/>
        <v>209778.66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1911.4925373134329</v>
      </c>
      <c r="O7" s="17">
        <f>N7/M7</f>
        <v>147.0378874856487</v>
      </c>
      <c r="P7" s="18">
        <f>M7-J7</f>
        <v>0</v>
      </c>
      <c r="Q7" s="19">
        <f>O7-L7</f>
        <v>-6.8082663605051437</v>
      </c>
      <c r="R7" s="193">
        <f>O7/L7</f>
        <v>0.95574626865671652</v>
      </c>
      <c r="S7" s="409"/>
      <c r="T7" s="98">
        <v>0.40833333333333333</v>
      </c>
      <c r="U7" s="98">
        <v>0.50138888888888888</v>
      </c>
      <c r="V7" s="185">
        <f>(T7-U6)*24*60</f>
        <v>11.999999999999957</v>
      </c>
      <c r="W7" s="190">
        <f t="shared" si="0"/>
        <v>134</v>
      </c>
      <c r="X7" s="22"/>
      <c r="Y7" s="22"/>
      <c r="Z7" s="400"/>
      <c r="AA7" s="400"/>
      <c r="AB7" s="18">
        <f>N7-K7</f>
        <v>-88.507462686567123</v>
      </c>
      <c r="AC7" s="193">
        <f>N7/K7</f>
        <v>0.95574626865671641</v>
      </c>
      <c r="AD7" s="392"/>
    </row>
    <row r="8" spans="1:30" ht="15" customHeight="1" x14ac:dyDescent="0.25">
      <c r="A8" s="465"/>
      <c r="B8" s="56"/>
      <c r="C8" s="10"/>
      <c r="D8" s="11"/>
      <c r="E8" s="89"/>
      <c r="F8" s="56"/>
      <c r="G8" s="25"/>
      <c r="H8" s="15"/>
      <c r="I8" s="190"/>
      <c r="J8" s="16"/>
      <c r="K8" s="14"/>
      <c r="L8" s="17"/>
      <c r="M8" s="188"/>
      <c r="N8" s="14"/>
      <c r="O8" s="17"/>
      <c r="P8" s="18"/>
      <c r="Q8" s="19"/>
      <c r="R8" s="193"/>
      <c r="S8" s="409"/>
      <c r="T8" s="98"/>
      <c r="U8" s="98"/>
      <c r="V8" s="185"/>
      <c r="W8" s="190">
        <f t="shared" si="0"/>
        <v>0</v>
      </c>
      <c r="X8" s="22"/>
      <c r="Y8" s="22"/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>
        <f t="shared" si="1"/>
        <v>0</v>
      </c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>
        <f t="shared" si="1"/>
        <v>0</v>
      </c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59"/>
      <c r="AA11" s="460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4"/>
      <c r="AA12" s="44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13.333333333333334</v>
      </c>
      <c r="K15" s="121">
        <f t="shared" si="2"/>
        <v>1965</v>
      </c>
      <c r="L15" s="118">
        <f t="shared" si="2"/>
        <v>147.68315018315016</v>
      </c>
      <c r="M15" s="121">
        <f t="shared" si="2"/>
        <v>13.333333333333334</v>
      </c>
      <c r="N15" s="121">
        <f t="shared" si="2"/>
        <v>1735.5338279124753</v>
      </c>
      <c r="O15" s="118">
        <f t="shared" si="2"/>
        <v>130.6520791761086</v>
      </c>
      <c r="P15" s="122">
        <f t="shared" ref="P15:P18" si="3">M15-J15</f>
        <v>0</v>
      </c>
      <c r="Q15" s="123">
        <f t="shared" ref="Q15:Q18" si="4">O15-L15</f>
        <v>-17.031071007041561</v>
      </c>
      <c r="R15" s="124">
        <f t="shared" ref="R15:R18" si="5">O15/L15</f>
        <v>0.88467830632052213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-229.46617208752468</v>
      </c>
      <c r="AC15" s="195">
        <f>N15/K15</f>
        <v>0.88322332209286281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1404</v>
      </c>
      <c r="H16" s="128">
        <f t="shared" ref="H16:H25" si="6">F16*G16</f>
        <v>80322.84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1620.0000000000009</v>
      </c>
      <c r="O16" s="131">
        <f>N16/M16</f>
        <v>124.61538461538468</v>
      </c>
      <c r="P16" s="132">
        <f t="shared" si="3"/>
        <v>0</v>
      </c>
      <c r="Q16" s="133">
        <f t="shared" si="4"/>
        <v>-29.230769230769155</v>
      </c>
      <c r="R16" s="197">
        <f t="shared" si="5"/>
        <v>0.8100000000000005</v>
      </c>
      <c r="S16" s="433">
        <f>R26</f>
        <v>0.88192372904306804</v>
      </c>
      <c r="T16" s="288">
        <v>0.29722222222222222</v>
      </c>
      <c r="U16" s="288">
        <v>0.33333333333333331</v>
      </c>
      <c r="V16" s="129"/>
      <c r="W16" s="134">
        <f t="shared" ref="W16:W68" si="7">(U16-T16)*24*60</f>
        <v>51.999999999999972</v>
      </c>
      <c r="X16" s="131"/>
      <c r="Y16" s="131"/>
      <c r="Z16" s="423"/>
      <c r="AA16" s="423"/>
      <c r="AB16" s="114">
        <f>N16-K16</f>
        <v>-379.99999999999909</v>
      </c>
      <c r="AC16" s="192">
        <f>N16/K16</f>
        <v>0.8100000000000005</v>
      </c>
      <c r="AD16" s="391">
        <f>AC26</f>
        <v>0.87714162010597274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1620</v>
      </c>
      <c r="H17" s="15">
        <f t="shared" si="6"/>
        <v>82085.400000000009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1619.9999999999991</v>
      </c>
      <c r="O17" s="38">
        <f>N17/M17</f>
        <v>101.24999999999994</v>
      </c>
      <c r="P17" s="39">
        <f t="shared" si="3"/>
        <v>0</v>
      </c>
      <c r="Q17" s="40">
        <f t="shared" si="4"/>
        <v>-18.437500000000057</v>
      </c>
      <c r="R17" s="198">
        <f t="shared" si="5"/>
        <v>0.84595300261096562</v>
      </c>
      <c r="S17" s="434"/>
      <c r="T17" s="41">
        <v>0.34375</v>
      </c>
      <c r="U17" s="41">
        <v>0.38541666666666669</v>
      </c>
      <c r="V17" s="185">
        <f>(T17-U16)*24*60</f>
        <v>15.000000000000027</v>
      </c>
      <c r="W17" s="43">
        <f t="shared" si="7"/>
        <v>60.000000000000028</v>
      </c>
      <c r="X17" s="44"/>
      <c r="Y17" s="44"/>
      <c r="Z17" s="399"/>
      <c r="AA17" s="400"/>
      <c r="AB17" s="18">
        <f>N17-K17</f>
        <v>-295.00000000000091</v>
      </c>
      <c r="AC17" s="193">
        <f>N17/K17</f>
        <v>0.84595300261096562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3994</v>
      </c>
      <c r="H18" s="15">
        <f t="shared" si="6"/>
        <v>201257.66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1948.2926829268288</v>
      </c>
      <c r="O18" s="38">
        <f>N18/M18</f>
        <v>162.35772357723573</v>
      </c>
      <c r="P18" s="39">
        <f t="shared" si="3"/>
        <v>0</v>
      </c>
      <c r="Q18" s="40">
        <f t="shared" si="4"/>
        <v>-4.308943089430926</v>
      </c>
      <c r="R18" s="198">
        <f t="shared" si="5"/>
        <v>0.97414634146341439</v>
      </c>
      <c r="S18" s="434"/>
      <c r="T18" s="41">
        <v>0.40763888888888888</v>
      </c>
      <c r="U18" s="41">
        <v>0.49305555555555558</v>
      </c>
      <c r="V18" s="185">
        <f>(T18-U17)*24*60</f>
        <v>31.999999999999964</v>
      </c>
      <c r="W18" s="43">
        <f t="shared" si="7"/>
        <v>123.00000000000004</v>
      </c>
      <c r="X18" s="22"/>
      <c r="Y18" s="22"/>
      <c r="Z18" s="399"/>
      <c r="AA18" s="400"/>
      <c r="AB18" s="18">
        <f>N18-K18</f>
        <v>-51.707317073171225</v>
      </c>
      <c r="AC18" s="193">
        <f>N18/K18</f>
        <v>0.97414634146341439</v>
      </c>
      <c r="AD18" s="392"/>
    </row>
    <row r="19" spans="1:30" ht="15" customHeight="1" x14ac:dyDescent="0.25">
      <c r="A19" s="439"/>
      <c r="B19" s="56"/>
      <c r="C19" s="23"/>
      <c r="D19" s="11"/>
      <c r="E19" s="12"/>
      <c r="F19" s="56"/>
      <c r="G19" s="99"/>
      <c r="H19" s="15"/>
      <c r="I19" s="42"/>
      <c r="J19" s="16"/>
      <c r="K19" s="14"/>
      <c r="L19" s="17"/>
      <c r="M19" s="37"/>
      <c r="N19" s="36"/>
      <c r="O19" s="38"/>
      <c r="P19" s="39"/>
      <c r="Q19" s="40"/>
      <c r="R19" s="198"/>
      <c r="S19" s="434"/>
      <c r="T19" s="41"/>
      <c r="U19" s="41"/>
      <c r="V19" s="185"/>
      <c r="W19" s="43">
        <f t="shared" si="7"/>
        <v>0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>
        <f t="shared" si="6"/>
        <v>0</v>
      </c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8">AVERAGE(J16:J25)</f>
        <v>13.666666666666666</v>
      </c>
      <c r="K26" s="137">
        <f t="shared" si="8"/>
        <v>1971.6666666666667</v>
      </c>
      <c r="L26" s="140">
        <f t="shared" si="8"/>
        <v>146.73344017094016</v>
      </c>
      <c r="M26" s="137">
        <f t="shared" si="8"/>
        <v>13.666666666666666</v>
      </c>
      <c r="N26" s="137">
        <f t="shared" si="8"/>
        <v>1729.4308943089429</v>
      </c>
      <c r="O26" s="140">
        <f t="shared" si="8"/>
        <v>129.40770273087347</v>
      </c>
      <c r="P26" s="141">
        <f t="shared" ref="P26:P31" si="9">M26-J26</f>
        <v>0</v>
      </c>
      <c r="Q26" s="142">
        <f t="shared" ref="Q26:Q31" si="10">O26-L26</f>
        <v>-17.325737440066689</v>
      </c>
      <c r="R26" s="143">
        <f t="shared" ref="R26:R31" si="11">O26/L26</f>
        <v>0.88192372904306804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-242.23577235772382</v>
      </c>
      <c r="AC26" s="195">
        <f>N26/K26</f>
        <v>0.87714162010597274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1102</v>
      </c>
      <c r="H27" s="128">
        <f t="shared" ref="H27:H36" si="12">F27*G27</f>
        <v>55761.200000000004</v>
      </c>
      <c r="I27" s="129"/>
      <c r="J27" s="111">
        <v>17</v>
      </c>
      <c r="K27" s="252">
        <v>1636</v>
      </c>
      <c r="L27" s="112">
        <f>K27/J27</f>
        <v>96.235294117647058</v>
      </c>
      <c r="M27" s="147">
        <v>13</v>
      </c>
      <c r="N27" s="130">
        <f>G27/W27*60</f>
        <v>1017.2307692307691</v>
      </c>
      <c r="O27" s="131">
        <f>N27/M27</f>
        <v>78.248520710059154</v>
      </c>
      <c r="P27" s="132">
        <f t="shared" si="9"/>
        <v>-4</v>
      </c>
      <c r="Q27" s="133">
        <f t="shared" si="10"/>
        <v>-17.986773407587904</v>
      </c>
      <c r="R27" s="197">
        <f t="shared" si="11"/>
        <v>0.8130958753490255</v>
      </c>
      <c r="S27" s="433">
        <f>R37</f>
        <v>0.82444593686827194</v>
      </c>
      <c r="T27" s="97">
        <v>0.2986111111111111</v>
      </c>
      <c r="U27" s="97">
        <v>0.34375</v>
      </c>
      <c r="V27" s="129"/>
      <c r="W27" s="134">
        <f t="shared" si="7"/>
        <v>65.000000000000014</v>
      </c>
      <c r="X27" s="129"/>
      <c r="Y27" s="129" t="s">
        <v>158</v>
      </c>
      <c r="Z27" s="414"/>
      <c r="AA27" s="423"/>
      <c r="AB27" s="114">
        <f>N27-K27</f>
        <v>-618.76923076923094</v>
      </c>
      <c r="AC27" s="148">
        <f>N27/K27</f>
        <v>0.6217791987963136</v>
      </c>
      <c r="AD27" s="391">
        <f>AC37</f>
        <v>0.66275719039314562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1546</v>
      </c>
      <c r="H28" s="50">
        <f t="shared" si="12"/>
        <v>88446.66</v>
      </c>
      <c r="I28" s="42"/>
      <c r="J28" s="16">
        <v>17</v>
      </c>
      <c r="K28" s="14">
        <v>1636</v>
      </c>
      <c r="L28" s="251">
        <f>K28/J28</f>
        <v>96.235294117647058</v>
      </c>
      <c r="M28" s="21">
        <v>13</v>
      </c>
      <c r="N28" s="36">
        <f>G28/W28*60</f>
        <v>1054.0909090909099</v>
      </c>
      <c r="O28" s="38">
        <f>N28/M28</f>
        <v>81.083916083916151</v>
      </c>
      <c r="P28" s="39">
        <f t="shared" si="9"/>
        <v>-4</v>
      </c>
      <c r="Q28" s="40">
        <f t="shared" si="10"/>
        <v>-15.151378033730907</v>
      </c>
      <c r="R28" s="198">
        <f t="shared" si="11"/>
        <v>0.84255903021184264</v>
      </c>
      <c r="S28" s="434"/>
      <c r="T28" s="291">
        <v>0.35208333333333336</v>
      </c>
      <c r="U28" s="291">
        <v>0.41319444444444442</v>
      </c>
      <c r="V28" s="42">
        <f>(T28-U27)*24*60</f>
        <v>12.000000000000037</v>
      </c>
      <c r="W28" s="43">
        <f t="shared" si="7"/>
        <v>87.999999999999929</v>
      </c>
      <c r="X28" s="54"/>
      <c r="Y28" s="54"/>
      <c r="Z28" s="399"/>
      <c r="AA28" s="400"/>
      <c r="AB28" s="34">
        <f>N28-K28</f>
        <v>-581.90909090909008</v>
      </c>
      <c r="AC28" s="194">
        <f>N28/K28</f>
        <v>0.6443098466325855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1423</v>
      </c>
      <c r="H29" s="50">
        <f t="shared" si="12"/>
        <v>78449.990000000005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15</v>
      </c>
      <c r="N29" s="36">
        <f>G29/W29*60</f>
        <v>948.66666666666674</v>
      </c>
      <c r="O29" s="38">
        <f>N29/M29</f>
        <v>63.244444444444447</v>
      </c>
      <c r="P29" s="39">
        <f t="shared" si="9"/>
        <v>-3</v>
      </c>
      <c r="Q29" s="40">
        <f t="shared" si="10"/>
        <v>-13.699999999999996</v>
      </c>
      <c r="R29" s="198">
        <f t="shared" si="11"/>
        <v>0.82194945848375456</v>
      </c>
      <c r="S29" s="434"/>
      <c r="T29" s="41">
        <v>0.42083333333333334</v>
      </c>
      <c r="U29" s="41">
        <v>0.48333333333333334</v>
      </c>
      <c r="V29" s="42">
        <f>(T29-U28)*24*60</f>
        <v>11.000000000000041</v>
      </c>
      <c r="W29" s="43">
        <f t="shared" si="7"/>
        <v>90</v>
      </c>
      <c r="X29" s="54"/>
      <c r="Y29" s="54"/>
      <c r="Z29" s="442" t="s">
        <v>185</v>
      </c>
      <c r="AA29" s="443"/>
      <c r="AB29" s="275">
        <f t="shared" ref="AB29:AB31" si="13">N29-K29</f>
        <v>-436.33333333333326</v>
      </c>
      <c r="AC29" s="276">
        <f t="shared" ref="AC29:AC31" si="14">N29/K29</f>
        <v>0.68495788206979547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1095</v>
      </c>
      <c r="H30" s="257">
        <f t="shared" si="12"/>
        <v>52122</v>
      </c>
      <c r="I30" s="82"/>
      <c r="J30" s="16">
        <f>VLOOKUP(D30,產線配置圖!$A$2:$C$38,2,0)</f>
        <v>18</v>
      </c>
      <c r="K30" s="14">
        <f>VLOOKUP(D30,產線配置圖!$A$2:$C$38,3,0)</f>
        <v>1636</v>
      </c>
      <c r="L30" s="251">
        <f>K30/J30</f>
        <v>90.888888888888886</v>
      </c>
      <c r="M30" s="21">
        <v>15</v>
      </c>
      <c r="N30" s="36">
        <f>G30/W30*60</f>
        <v>1113.5593220338994</v>
      </c>
      <c r="O30" s="38">
        <f>N30/M30</f>
        <v>74.237288135593289</v>
      </c>
      <c r="P30" s="39">
        <f t="shared" si="9"/>
        <v>-3</v>
      </c>
      <c r="Q30" s="40">
        <f t="shared" si="10"/>
        <v>-16.651600753295597</v>
      </c>
      <c r="R30" s="198">
        <f t="shared" si="11"/>
        <v>0.81679167875347147</v>
      </c>
      <c r="S30" s="434"/>
      <c r="T30" s="41">
        <v>0.5493055555555556</v>
      </c>
      <c r="U30" s="41">
        <v>0.59027777777777779</v>
      </c>
      <c r="V30" s="42">
        <f>(T30-U29)*24*60</f>
        <v>95.000000000000057</v>
      </c>
      <c r="W30" s="43">
        <f t="shared" si="7"/>
        <v>58.99999999999995</v>
      </c>
      <c r="X30" s="54">
        <v>0.49305555555555558</v>
      </c>
      <c r="Y30" s="54">
        <v>0.53472222222222221</v>
      </c>
      <c r="Z30" s="479"/>
      <c r="AA30" s="480"/>
      <c r="AB30" s="275">
        <f t="shared" si="13"/>
        <v>-522.44067796610057</v>
      </c>
      <c r="AC30" s="276">
        <f t="shared" si="14"/>
        <v>0.68065973229455956</v>
      </c>
      <c r="AD30" s="394"/>
    </row>
    <row r="31" spans="1:30" ht="15" customHeight="1" x14ac:dyDescent="0.25">
      <c r="A31" s="431"/>
      <c r="B31" s="56" t="str">
        <f>VLOOKUP(D31,廠價表!$C$1:$E$39,2,0)</f>
        <v>義大利麵</v>
      </c>
      <c r="C31" s="10"/>
      <c r="D31" s="28" t="s">
        <v>146</v>
      </c>
      <c r="E31" s="89"/>
      <c r="F31" s="56">
        <f>VLOOKUP(D31,廠價表!$C$1:$E$39,3,0)</f>
        <v>55.13</v>
      </c>
      <c r="G31" s="256">
        <v>780</v>
      </c>
      <c r="H31" s="50">
        <f t="shared" si="12"/>
        <v>43001.4</v>
      </c>
      <c r="I31" s="42"/>
      <c r="J31" s="16">
        <f>VLOOKUP(D31,產線配置圖!$A$2:$C$38,2,0)</f>
        <v>18</v>
      </c>
      <c r="K31" s="14">
        <f>VLOOKUP(D31,產線配置圖!$A$2:$C$38,3,0)</f>
        <v>1385</v>
      </c>
      <c r="L31" s="251">
        <f>K31/J31</f>
        <v>76.944444444444443</v>
      </c>
      <c r="M31" s="21">
        <v>15</v>
      </c>
      <c r="N31" s="36">
        <f>G31/W31*60</f>
        <v>955.10204081632673</v>
      </c>
      <c r="O31" s="38">
        <f>N31/M31</f>
        <v>63.673469387755112</v>
      </c>
      <c r="P31" s="39">
        <f t="shared" si="9"/>
        <v>-3</v>
      </c>
      <c r="Q31" s="40">
        <f t="shared" si="10"/>
        <v>-13.270975056689331</v>
      </c>
      <c r="R31" s="198">
        <f t="shared" si="11"/>
        <v>0.8275252339202831</v>
      </c>
      <c r="S31" s="434"/>
      <c r="T31" s="41">
        <v>0.59444444444444444</v>
      </c>
      <c r="U31" s="41">
        <v>0.62847222222222221</v>
      </c>
      <c r="V31" s="42">
        <f>(T31-U30)*24*60</f>
        <v>5.9999999999999787</v>
      </c>
      <c r="W31" s="43">
        <f t="shared" si="7"/>
        <v>48.999999999999986</v>
      </c>
      <c r="X31" s="54"/>
      <c r="Y31" s="54"/>
      <c r="Z31" s="477" t="s">
        <v>185</v>
      </c>
      <c r="AA31" s="478"/>
      <c r="AB31" s="275">
        <f t="shared" si="13"/>
        <v>-429.89795918367327</v>
      </c>
      <c r="AC31" s="276">
        <f t="shared" si="14"/>
        <v>0.68960436160023586</v>
      </c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2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2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15">AVERAGE(J27:J36)</f>
        <v>17.600000000000001</v>
      </c>
      <c r="K37" s="137">
        <f t="shared" si="15"/>
        <v>1535.6</v>
      </c>
      <c r="L37" s="140">
        <f t="shared" si="15"/>
        <v>87.449673202614377</v>
      </c>
      <c r="M37" s="137">
        <f t="shared" si="15"/>
        <v>14.2</v>
      </c>
      <c r="N37" s="137">
        <f t="shared" si="15"/>
        <v>1017.7299415677144</v>
      </c>
      <c r="O37" s="140">
        <f t="shared" si="15"/>
        <v>72.097527752353628</v>
      </c>
      <c r="P37" s="141">
        <f>M37-J37</f>
        <v>-3.4000000000000021</v>
      </c>
      <c r="Q37" s="142">
        <f>N37-K37</f>
        <v>-517.87005843228553</v>
      </c>
      <c r="R37" s="143">
        <f t="shared" ref="R37:R40" si="16">O37/L37</f>
        <v>0.82444593686827194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41" si="17">N37-K37</f>
        <v>-517.87005843228553</v>
      </c>
      <c r="AC37" s="195">
        <f t="shared" ref="AC37:AC41" si="18">N37/K37</f>
        <v>0.66275719039314562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2325</v>
      </c>
      <c r="H38" s="152">
        <f>F38*G38</f>
        <v>116040.74999999999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16</v>
      </c>
      <c r="N38" s="154">
        <f>G38/W38*60</f>
        <v>1354.3689320388346</v>
      </c>
      <c r="O38" s="155">
        <f>N38/M38</f>
        <v>84.648058252427163</v>
      </c>
      <c r="P38" s="132">
        <f>M38-J38</f>
        <v>-1</v>
      </c>
      <c r="Q38" s="133">
        <f>O38-L38</f>
        <v>-7.4107652769846055</v>
      </c>
      <c r="R38" s="156">
        <f t="shared" si="16"/>
        <v>0.91949967430751545</v>
      </c>
      <c r="S38" s="408">
        <f>R48</f>
        <v>0.84240712317349953</v>
      </c>
      <c r="T38" s="157">
        <v>0.33124999999999999</v>
      </c>
      <c r="U38" s="157">
        <v>0.40277777777777779</v>
      </c>
      <c r="V38" s="153"/>
      <c r="W38" s="158">
        <f t="shared" si="7"/>
        <v>103.00000000000003</v>
      </c>
      <c r="X38" s="155"/>
      <c r="Y38" s="159"/>
      <c r="Z38" s="427"/>
      <c r="AA38" s="427"/>
      <c r="AB38" s="160">
        <f t="shared" si="17"/>
        <v>-210.6310679611654</v>
      </c>
      <c r="AC38" s="161">
        <f t="shared" si="18"/>
        <v>0.86541145817177934</v>
      </c>
      <c r="AD38" s="388">
        <f>AC48</f>
        <v>0.78052265927235209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155</v>
      </c>
      <c r="E39" s="89"/>
      <c r="F39" s="56">
        <f>VLOOKUP(D39,廠價表!$C$1:$E$39,3,0)</f>
        <v>62.61</v>
      </c>
      <c r="G39" s="102">
        <v>773</v>
      </c>
      <c r="H39" s="64">
        <f>F39*G39</f>
        <v>48397.53</v>
      </c>
      <c r="I39" s="65"/>
      <c r="J39" s="16">
        <f>VLOOKUP(D39,產線配置圖!$A$2:$C$38,2,0)</f>
        <v>17</v>
      </c>
      <c r="K39" s="14">
        <f>VLOOKUP(D39,產線配置圖!$A$2:$C$38,3,0)</f>
        <v>1636</v>
      </c>
      <c r="L39" s="17">
        <f>K39/J39</f>
        <v>96.235294117647058</v>
      </c>
      <c r="M39" s="66">
        <v>16</v>
      </c>
      <c r="N39" s="67">
        <f t="shared" ref="N39:N40" si="19">G39/W39*60</f>
        <v>1364.1176470588218</v>
      </c>
      <c r="O39" s="68">
        <f t="shared" ref="O39:O40" si="20">N39/M39</f>
        <v>85.257352941176364</v>
      </c>
      <c r="P39" s="39">
        <f t="shared" ref="P39:P40" si="21">M39-J39</f>
        <v>-1</v>
      </c>
      <c r="Q39" s="40">
        <f t="shared" ref="Q39:Q40" si="22">O39-L39</f>
        <v>-10.977941176470694</v>
      </c>
      <c r="R39" s="69">
        <f t="shared" si="16"/>
        <v>0.88592603911980328</v>
      </c>
      <c r="S39" s="409"/>
      <c r="T39" s="59">
        <v>0.40972222222222221</v>
      </c>
      <c r="U39" s="59">
        <v>0.43333333333333335</v>
      </c>
      <c r="V39" s="42">
        <f t="shared" ref="V39:V40" si="23">(T39-U38)*24*60</f>
        <v>9.9999999999999645</v>
      </c>
      <c r="W39" s="70">
        <f t="shared" si="7"/>
        <v>34.000000000000043</v>
      </c>
      <c r="X39" s="58"/>
      <c r="Y39" s="60"/>
      <c r="Z39" s="428"/>
      <c r="AA39" s="475"/>
      <c r="AB39" s="292">
        <f t="shared" si="17"/>
        <v>-271.88235294117817</v>
      </c>
      <c r="AC39" s="62">
        <f t="shared" si="18"/>
        <v>0.83381274270099137</v>
      </c>
      <c r="AD39" s="389"/>
    </row>
    <row r="40" spans="1:30" s="63" customFormat="1" ht="15" customHeight="1" x14ac:dyDescent="0.25">
      <c r="A40" s="425"/>
      <c r="B40" s="56" t="str">
        <f>VLOOKUP(D40,廠價表!$C$1:$E$39,2,0)</f>
        <v>義大利麵</v>
      </c>
      <c r="C40" s="10"/>
      <c r="D40" s="11" t="s">
        <v>60</v>
      </c>
      <c r="E40" s="89"/>
      <c r="F40" s="56">
        <f>VLOOKUP(D40,廠價表!$C$1:$E$39,3,0)</f>
        <v>58.17</v>
      </c>
      <c r="G40" s="102">
        <v>1343</v>
      </c>
      <c r="H40" s="64">
        <f>F40*G40</f>
        <v>78122.31</v>
      </c>
      <c r="I40" s="65"/>
      <c r="J40" s="16">
        <f>VLOOKUP(D40,產線配置圖!$A$2:$C$38,2,0)</f>
        <v>16</v>
      </c>
      <c r="K40" s="14">
        <f>VLOOKUP(D40,產線配置圖!$A$2:$C$38,3,0)</f>
        <v>1429</v>
      </c>
      <c r="L40" s="17">
        <f>K40/J40</f>
        <v>89.3125</v>
      </c>
      <c r="M40" s="66">
        <v>14</v>
      </c>
      <c r="N40" s="67">
        <f t="shared" si="19"/>
        <v>895.33333333333337</v>
      </c>
      <c r="O40" s="68">
        <f t="shared" si="20"/>
        <v>63.952380952380956</v>
      </c>
      <c r="P40" s="39">
        <f t="shared" si="21"/>
        <v>-2</v>
      </c>
      <c r="Q40" s="40">
        <f t="shared" si="22"/>
        <v>-25.360119047619044</v>
      </c>
      <c r="R40" s="69">
        <f t="shared" si="16"/>
        <v>0.71605185111133329</v>
      </c>
      <c r="S40" s="409"/>
      <c r="T40" s="59">
        <v>0.44027777777777777</v>
      </c>
      <c r="U40" s="59">
        <v>0.50277777777777777</v>
      </c>
      <c r="V40" s="42">
        <f t="shared" si="23"/>
        <v>9.9999999999999645</v>
      </c>
      <c r="W40" s="70">
        <f t="shared" si="7"/>
        <v>90</v>
      </c>
      <c r="X40" s="71"/>
      <c r="Y40" s="278"/>
      <c r="Z40" s="476" t="s">
        <v>185</v>
      </c>
      <c r="AA40" s="476"/>
      <c r="AB40" s="292">
        <f t="shared" si="17"/>
        <v>-533.66666666666663</v>
      </c>
      <c r="AC40" s="62">
        <f t="shared" si="18"/>
        <v>0.62654536972241659</v>
      </c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>
        <f t="shared" si="17"/>
        <v>0</v>
      </c>
      <c r="AC41" s="62" t="e">
        <f t="shared" si="18"/>
        <v>#DIV/0!</v>
      </c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24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16.666666666666668</v>
      </c>
      <c r="K48" s="137">
        <f t="shared" si="26"/>
        <v>1543.3333333333333</v>
      </c>
      <c r="L48" s="140">
        <f t="shared" si="26"/>
        <v>92.535539215686285</v>
      </c>
      <c r="M48" s="137">
        <f t="shared" si="26"/>
        <v>15.333333333333334</v>
      </c>
      <c r="N48" s="137">
        <f t="shared" si="26"/>
        <v>1204.6066374769966</v>
      </c>
      <c r="O48" s="140">
        <f t="shared" si="26"/>
        <v>77.952597381994835</v>
      </c>
      <c r="P48" s="164">
        <f>M48-J48</f>
        <v>-1.3333333333333339</v>
      </c>
      <c r="Q48" s="165">
        <f>N48-K48</f>
        <v>-338.72669585633662</v>
      </c>
      <c r="R48" s="166">
        <f>O48/L48</f>
        <v>0.84240712317349953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-338.72669585633662</v>
      </c>
      <c r="AC48" s="199">
        <f>N48/K48</f>
        <v>0.78052265927235209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4474</v>
      </c>
      <c r="H49" s="128">
        <f t="shared" ref="H49:H57" si="27">F49*G49</f>
        <v>223565.78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1560.6976744186052</v>
      </c>
      <c r="O49" s="131">
        <f>N49/M49</f>
        <v>86.705426356589172</v>
      </c>
      <c r="P49" s="171">
        <f>M49-J49</f>
        <v>0</v>
      </c>
      <c r="Q49" s="115">
        <f>O49-L49</f>
        <v>-0.23901808785527123</v>
      </c>
      <c r="R49" s="192">
        <f>O49/L49</f>
        <v>0.9972509101716327</v>
      </c>
      <c r="S49" s="408">
        <f>R58</f>
        <v>0.90507514240411902</v>
      </c>
      <c r="T49" s="157">
        <v>0.29166666666666669</v>
      </c>
      <c r="U49" s="157">
        <v>0.41111111111111109</v>
      </c>
      <c r="V49" s="196"/>
      <c r="W49" s="158">
        <f t="shared" si="7"/>
        <v>171.99999999999994</v>
      </c>
      <c r="X49" s="196"/>
      <c r="Y49" s="196"/>
      <c r="Z49" s="423"/>
      <c r="AA49" s="423"/>
      <c r="AB49" s="114">
        <f>N49-K49</f>
        <v>-4.3023255813948253</v>
      </c>
      <c r="AC49" s="192">
        <f>N49/K49</f>
        <v>0.9972509101716327</v>
      </c>
      <c r="AD49" s="391">
        <f>AC58</f>
        <v>0.94006290642979196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1760</v>
      </c>
      <c r="H50" s="77">
        <f t="shared" si="27"/>
        <v>100091.2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18</v>
      </c>
      <c r="N50" s="78">
        <f>G50/W50*60</f>
        <v>1287.8048780487813</v>
      </c>
      <c r="O50" s="79">
        <f>N50/M50</f>
        <v>71.544715447154516</v>
      </c>
      <c r="P50" s="18">
        <f>M50-J50</f>
        <v>1</v>
      </c>
      <c r="Q50" s="19">
        <f>O50-L50</f>
        <v>-16.690578670492542</v>
      </c>
      <c r="R50" s="193">
        <f>O50/L50</f>
        <v>0.81084010840108456</v>
      </c>
      <c r="S50" s="409"/>
      <c r="T50" s="80">
        <v>0.4152777777777778</v>
      </c>
      <c r="U50" s="80">
        <v>0.47222222222222221</v>
      </c>
      <c r="V50" s="185">
        <f t="shared" ref="V50:V51" si="28">(T50-U49)*24*60</f>
        <v>6.0000000000000586</v>
      </c>
      <c r="W50" s="81">
        <f t="shared" si="7"/>
        <v>81.999999999999943</v>
      </c>
      <c r="X50" s="22"/>
      <c r="Y50" s="22"/>
      <c r="Z50" s="398"/>
      <c r="AA50" s="399"/>
      <c r="AB50" s="18">
        <f>N50-K50</f>
        <v>-212.19512195121865</v>
      </c>
      <c r="AC50" s="193">
        <f>N50/K50</f>
        <v>0.8585365853658542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2501</v>
      </c>
      <c r="H51" s="77">
        <f t="shared" si="27"/>
        <v>142231.87</v>
      </c>
      <c r="I51" s="185"/>
      <c r="J51" s="16">
        <f>VLOOKUP(D51,產線配置圖!$A$2:$C$38,2,0)</f>
        <v>17</v>
      </c>
      <c r="K51" s="14">
        <f>VLOOKUP(D51,產線配置圖!$A$2:$C$38,3,0)</f>
        <v>1500</v>
      </c>
      <c r="L51" s="17">
        <f t="shared" ref="L51" si="29">K51/J51</f>
        <v>88.235294117647058</v>
      </c>
      <c r="M51" s="182">
        <v>18</v>
      </c>
      <c r="N51" s="78">
        <f t="shared" ref="N51" si="30">G51/W51*60</f>
        <v>1442.8846153846139</v>
      </c>
      <c r="O51" s="79">
        <f t="shared" ref="O51" si="31">N51/M51</f>
        <v>80.160256410256324</v>
      </c>
      <c r="P51" s="18">
        <f t="shared" ref="P51" si="32">M51-J51</f>
        <v>1</v>
      </c>
      <c r="Q51" s="19">
        <f t="shared" ref="Q51" si="33">O51-L51</f>
        <v>-8.0750377073907345</v>
      </c>
      <c r="R51" s="193">
        <f t="shared" ref="R51" si="34">O51/L51</f>
        <v>0.90848290598290504</v>
      </c>
      <c r="S51" s="409"/>
      <c r="T51" s="80">
        <v>0.54166666666666663</v>
      </c>
      <c r="U51" s="44">
        <v>0.61388888888888893</v>
      </c>
      <c r="V51" s="185">
        <f t="shared" si="28"/>
        <v>99.999999999999972</v>
      </c>
      <c r="W51" s="81">
        <f t="shared" si="7"/>
        <v>104.00000000000011</v>
      </c>
      <c r="X51" s="22">
        <v>0.4861111111111111</v>
      </c>
      <c r="Y51" s="22">
        <v>0.52777777777777779</v>
      </c>
      <c r="Z51" s="400"/>
      <c r="AA51" s="400"/>
      <c r="AB51" s="51">
        <f>N51-K51</f>
        <v>-57.11538461538612</v>
      </c>
      <c r="AC51" s="52">
        <f>N51/K51</f>
        <v>0.96192307692307588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5">AVERAGE(J49:J57)</f>
        <v>17.333333333333332</v>
      </c>
      <c r="K58" s="121">
        <f t="shared" si="35"/>
        <v>1521.6666666666667</v>
      </c>
      <c r="L58" s="118">
        <f t="shared" si="35"/>
        <v>87.805010893246177</v>
      </c>
      <c r="M58" s="121">
        <f t="shared" si="35"/>
        <v>18</v>
      </c>
      <c r="N58" s="121">
        <f t="shared" si="35"/>
        <v>1430.4623892840002</v>
      </c>
      <c r="O58" s="118">
        <f t="shared" si="35"/>
        <v>79.470132738000004</v>
      </c>
      <c r="P58" s="122">
        <f>M58-J58</f>
        <v>0.66666666666666785</v>
      </c>
      <c r="Q58" s="123">
        <f>N58-K58</f>
        <v>-91.204277382666533</v>
      </c>
      <c r="R58" s="124">
        <f t="shared" ref="R58:R60" si="36">O58/L58</f>
        <v>0.90507514240411902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7">N58-K58</f>
        <v>-91.204277382666533</v>
      </c>
      <c r="AC58" s="195">
        <f t="shared" ref="AC58:AC61" si="38">N58/K58</f>
        <v>0.94006290642979196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3264</v>
      </c>
      <c r="H59" s="109">
        <f t="shared" ref="H59:H68" si="39">F59*G59</f>
        <v>88095.360000000001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0">G59/W59*60</f>
        <v>1506.461538461539</v>
      </c>
      <c r="O59" s="112">
        <f t="shared" ref="O59:O61" si="41">N59/M59</f>
        <v>115.88165680473377</v>
      </c>
      <c r="P59" s="114">
        <f t="shared" ref="P59:P61" si="42">M59-J59</f>
        <v>0</v>
      </c>
      <c r="Q59" s="115">
        <f t="shared" ref="Q59:Q61" si="43">O59-L59</f>
        <v>-4.5029585798816214</v>
      </c>
      <c r="R59" s="192">
        <f t="shared" si="36"/>
        <v>0.96259523224379484</v>
      </c>
      <c r="S59" s="408">
        <f>R69</f>
        <v>0.82030600923781027</v>
      </c>
      <c r="T59" s="176">
        <v>0.29166666666666669</v>
      </c>
      <c r="U59" s="176">
        <v>0.38194444444444442</v>
      </c>
      <c r="V59" s="196"/>
      <c r="W59" s="110">
        <f t="shared" si="7"/>
        <v>129.99999999999994</v>
      </c>
      <c r="X59" s="196"/>
      <c r="Y59" s="196"/>
      <c r="Z59" s="400"/>
      <c r="AA59" s="400"/>
      <c r="AB59" s="240">
        <f t="shared" si="37"/>
        <v>-58.538461538460979</v>
      </c>
      <c r="AC59" s="241">
        <f t="shared" si="38"/>
        <v>0.96259523224379495</v>
      </c>
      <c r="AD59" s="391">
        <f>AC69</f>
        <v>0.82395445085334851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551</v>
      </c>
      <c r="H60" s="15">
        <f t="shared" si="39"/>
        <v>15686.97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0"/>
        <v>1180.7142857142867</v>
      </c>
      <c r="O60" s="17">
        <f t="shared" si="41"/>
        <v>98.392857142857224</v>
      </c>
      <c r="P60" s="18">
        <f t="shared" si="42"/>
        <v>0</v>
      </c>
      <c r="Q60" s="19">
        <f t="shared" si="43"/>
        <v>-32.023809523809433</v>
      </c>
      <c r="R60" s="193">
        <f t="shared" si="36"/>
        <v>0.75445002282063056</v>
      </c>
      <c r="S60" s="419"/>
      <c r="T60" s="206">
        <v>0.39027777777777778</v>
      </c>
      <c r="U60" s="206">
        <v>0.40972222222222221</v>
      </c>
      <c r="V60" s="185">
        <f t="shared" ref="V60:V61" si="44">(T60-U59)*24*60</f>
        <v>12.000000000000037</v>
      </c>
      <c r="W60" s="93">
        <f t="shared" si="7"/>
        <v>27.999999999999979</v>
      </c>
      <c r="X60" s="201"/>
      <c r="Y60" s="201"/>
      <c r="Z60" s="400" t="s">
        <v>186</v>
      </c>
      <c r="AA60" s="400"/>
      <c r="AB60" s="242">
        <f t="shared" si="37"/>
        <v>-384.28571428571331</v>
      </c>
      <c r="AC60" s="243">
        <f t="shared" si="38"/>
        <v>0.75445002282063045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1831</v>
      </c>
      <c r="H61" s="15">
        <f t="shared" si="39"/>
        <v>51744.060000000005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5">K61/J61</f>
        <v>130.41666666666666</v>
      </c>
      <c r="M61" s="188">
        <v>12</v>
      </c>
      <c r="N61" s="14">
        <f t="shared" si="40"/>
        <v>1181.2903225806454</v>
      </c>
      <c r="O61" s="17">
        <f t="shared" si="41"/>
        <v>98.440860215053775</v>
      </c>
      <c r="P61" s="18">
        <f t="shared" si="42"/>
        <v>0</v>
      </c>
      <c r="Q61" s="19">
        <f t="shared" si="43"/>
        <v>-31.975806451612883</v>
      </c>
      <c r="R61" s="193">
        <f>O61/L61</f>
        <v>0.75481809749562001</v>
      </c>
      <c r="S61" s="409"/>
      <c r="T61" s="20">
        <v>0.41805555555555557</v>
      </c>
      <c r="U61" s="20">
        <v>0.4826388888888889</v>
      </c>
      <c r="V61" s="185">
        <f t="shared" si="44"/>
        <v>12.000000000000037</v>
      </c>
      <c r="W61" s="91">
        <f t="shared" si="7"/>
        <v>92.999999999999986</v>
      </c>
      <c r="X61" s="22"/>
      <c r="Y61" s="22"/>
      <c r="Z61" s="400" t="s">
        <v>187</v>
      </c>
      <c r="AA61" s="400"/>
      <c r="AB61" s="51">
        <f t="shared" si="37"/>
        <v>-383.70967741935465</v>
      </c>
      <c r="AC61" s="52">
        <f t="shared" si="38"/>
        <v>0.75481809749562001</v>
      </c>
      <c r="AD61" s="392"/>
    </row>
    <row r="62" spans="1:30" ht="15" customHeight="1" x14ac:dyDescent="0.25">
      <c r="A62" s="417"/>
      <c r="B62" s="56"/>
      <c r="C62" s="23"/>
      <c r="D62" s="11"/>
      <c r="E62" s="12"/>
      <c r="F62" s="56"/>
      <c r="G62" s="185"/>
      <c r="H62" s="15">
        <f t="shared" si="39"/>
        <v>0</v>
      </c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7"/>
        <v>0</v>
      </c>
      <c r="X62" s="22"/>
      <c r="Y62" s="22"/>
      <c r="Z62" s="400"/>
      <c r="AA62" s="400"/>
      <c r="AB62" s="18"/>
      <c r="AC62" s="193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>
        <f t="shared" si="39"/>
        <v>0</v>
      </c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9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9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9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9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9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6">AVERAGE(J59:J68)</f>
        <v>12.333333333333334</v>
      </c>
      <c r="K69" s="173">
        <f t="shared" si="46"/>
        <v>1565</v>
      </c>
      <c r="L69" s="178">
        <f t="shared" si="46"/>
        <v>127.07264957264958</v>
      </c>
      <c r="M69" s="173">
        <f t="shared" si="46"/>
        <v>12.333333333333334</v>
      </c>
      <c r="N69" s="173">
        <f t="shared" si="46"/>
        <v>1289.4887155854904</v>
      </c>
      <c r="O69" s="178">
        <f t="shared" si="46"/>
        <v>104.23845805421492</v>
      </c>
      <c r="P69" s="179">
        <f>M69-J69</f>
        <v>0</v>
      </c>
      <c r="Q69" s="165">
        <f>N69-K69</f>
        <v>-275.51128441450965</v>
      </c>
      <c r="R69" s="124">
        <f>O69/L69</f>
        <v>0.82030600923781027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-275.51128441450965</v>
      </c>
      <c r="AC69" s="195">
        <f>N69/K69</f>
        <v>0.82395445085334851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47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48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7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48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7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48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7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48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7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8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7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8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7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8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7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8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7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0:AA30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2:AA32"/>
    <mergeCell ref="Z33:AA33"/>
    <mergeCell ref="Z34:AA34"/>
    <mergeCell ref="Z35:AA35"/>
    <mergeCell ref="Z36:AA36"/>
    <mergeCell ref="Z37:AA37"/>
    <mergeCell ref="Z31:AA31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D59:AD69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</mergeCells>
  <phoneticPr fontId="2" type="noConversion"/>
  <conditionalFormatting sqref="P5:P79">
    <cfRule type="cellIs" dxfId="288" priority="1" operator="greaterThan">
      <formula>0</formula>
    </cfRule>
  </conditionalFormatting>
  <conditionalFormatting sqref="Q5:Q79 AB5:AB79">
    <cfRule type="cellIs" dxfId="287" priority="4" operator="lessThan">
      <formula>0</formula>
    </cfRule>
  </conditionalFormatting>
  <conditionalFormatting sqref="R5:R79 AC5:AC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D59:AD62 S69:S76 AD69:AD76">
    <cfRule type="cellIs" dxfId="284" priority="7" operator="lessThan">
      <formula>0.8</formula>
    </cfRule>
  </conditionalFormatting>
  <conditionalFormatting sqref="S19:S25 AD19:AD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D5:AD8 S15:S16 AD15:AD16 AD49 AD79">
    <cfRule type="cellIs" dxfId="281" priority="9" operator="lessThan">
      <formula>0.8</formula>
    </cfRule>
  </conditionalFormatting>
  <conditionalFormatting sqref="AD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4DFE19-FABB-4D4B-B022-0E1F337C44BF}">
          <x14:formula1>
            <xm:f>廠價表!$C$2:$C$37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5A49-9EBA-43FA-9B10-9070B9D3ACA0}">
  <sheetPr>
    <pageSetUpPr fitToPage="1"/>
  </sheetPr>
  <dimension ref="B1:O22"/>
  <sheetViews>
    <sheetView zoomScale="70" zoomScaleNormal="70" workbookViewId="0">
      <selection activeCell="H13" sqref="H13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45934</v>
      </c>
      <c r="E3" s="383"/>
      <c r="F3" s="214" t="s">
        <v>76</v>
      </c>
      <c r="G3" s="384">
        <f>'1004'!E1</f>
        <v>39731</v>
      </c>
      <c r="H3" s="384"/>
      <c r="I3" s="214" t="s">
        <v>77</v>
      </c>
      <c r="J3" s="385">
        <f>'1004'!G1</f>
        <v>1957596.6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115.1486495417255</v>
      </c>
      <c r="G6" s="362"/>
      <c r="H6" s="363">
        <f>AVERAGE(D13:H13)</f>
        <v>112.59664868083985</v>
      </c>
      <c r="I6" s="363"/>
      <c r="J6" s="363">
        <f>AVERAGE(I13)</f>
        <v>127.90865384615384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AVERAGE(D14:I14)</f>
        <v>105.05554389859917</v>
      </c>
      <c r="G7" s="380"/>
      <c r="H7" s="381">
        <f>AVERAGE(D14:H14)</f>
        <v>102.37068915626851</v>
      </c>
      <c r="I7" s="381"/>
      <c r="J7" s="381">
        <f>AVERAGE(I14)</f>
        <v>118.4798176102524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0.91350047415767344</v>
      </c>
      <c r="G8" s="360"/>
      <c r="H8" s="360">
        <f>AVERAGE(D15:H15)</f>
        <v>0.91094364688484808</v>
      </c>
      <c r="I8" s="360"/>
      <c r="J8" s="360">
        <f>AVERAGE(I15)</f>
        <v>0.92628461052180044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VALUE('1004'!L15)</f>
        <v>147.68315018315016</v>
      </c>
      <c r="E13" s="227">
        <f>VALUE('1004'!L26)</f>
        <v>146.73344017094016</v>
      </c>
      <c r="F13" s="227">
        <f>VALUE('1004'!L37)</f>
        <v>90.07598039215685</v>
      </c>
      <c r="G13" s="227">
        <f>VALUE('1004'!L48)</f>
        <v>90.685661764705884</v>
      </c>
      <c r="H13" s="227">
        <f>VALUE('1004'!L58)</f>
        <v>87.805010893246177</v>
      </c>
      <c r="I13" s="227">
        <f>VALUE('1004'!L69)</f>
        <v>127.90865384615384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VALUE('1004'!O15)</f>
        <v>134.80054313502595</v>
      </c>
      <c r="E14" s="227">
        <f>VALUE('1004'!O26)</f>
        <v>131.31540181805011</v>
      </c>
      <c r="F14" s="227">
        <f>VALUE('1004'!O37)</f>
        <v>74.899821389149835</v>
      </c>
      <c r="G14" s="227">
        <f>VALUE('1004'!O48)</f>
        <v>83.317754135662</v>
      </c>
      <c r="H14" s="227">
        <f>VALUE('1004'!O58)</f>
        <v>87.51992530345467</v>
      </c>
      <c r="I14" s="227">
        <f>VALUE('1004'!O69)</f>
        <v>118.4798176102524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0.91276860608574661</v>
      </c>
      <c r="E15" s="248">
        <f t="shared" ref="E15:I15" si="0">E14/E13</f>
        <v>0.89492484920323212</v>
      </c>
      <c r="F15" s="248">
        <f t="shared" si="0"/>
        <v>0.83151824785102824</v>
      </c>
      <c r="G15" s="248">
        <f t="shared" si="0"/>
        <v>0.91875333447793828</v>
      </c>
      <c r="H15" s="248">
        <f t="shared" si="0"/>
        <v>0.99675319680629482</v>
      </c>
      <c r="I15" s="248">
        <f t="shared" si="0"/>
        <v>0.92628461052180044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'1004'!T5</f>
        <v>0.29166666666666669</v>
      </c>
      <c r="E16" s="98">
        <f>'1004'!T16</f>
        <v>0.2902777777777778</v>
      </c>
      <c r="F16" s="98">
        <f>'1004'!T27</f>
        <v>0.29444444444444445</v>
      </c>
      <c r="G16" s="98">
        <f>'1004'!T38</f>
        <v>0.33263888888888887</v>
      </c>
      <c r="H16" s="98">
        <f>'1004'!T49</f>
        <v>0.28888888888888886</v>
      </c>
      <c r="I16" s="98">
        <f>'1004'!T59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98">
        <v>0.49305555555555558</v>
      </c>
      <c r="E17" s="41">
        <v>0.46736111111111112</v>
      </c>
      <c r="F17" s="41">
        <v>0.5805555555555556</v>
      </c>
      <c r="G17" s="59">
        <v>0.49791666666666667</v>
      </c>
      <c r="H17" s="44">
        <v>0.62986111111111109</v>
      </c>
      <c r="I17" s="20">
        <v>0.55972222222222223</v>
      </c>
      <c r="J17" s="294"/>
    </row>
    <row r="18" spans="2:10" ht="17.25" customHeight="1" x14ac:dyDescent="0.25">
      <c r="B18" s="481" t="s">
        <v>105</v>
      </c>
      <c r="C18" s="355"/>
      <c r="D18" s="229">
        <f>VALUE('1004'!M15)</f>
        <v>13.333333333333334</v>
      </c>
      <c r="E18" s="229">
        <f>VALUE('1004'!M26)</f>
        <v>13.666666666666666</v>
      </c>
      <c r="F18" s="229">
        <f>VALUE('1004'!M37)</f>
        <v>16.25</v>
      </c>
      <c r="G18" s="229">
        <f>VALUE('1004'!M48)</f>
        <v>15</v>
      </c>
      <c r="H18" s="229">
        <f>VALUE('1004'!M58)</f>
        <v>17.333333333333332</v>
      </c>
      <c r="I18" s="229">
        <f>VALUE('1004'!M69)</f>
        <v>12.25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5171-DAC1-4D82-937F-F56996A34898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U62" sqref="U62"/>
      <selection pane="topRight" activeCell="U62" sqref="U62"/>
      <selection pane="bottomLeft" activeCell="U62" sqref="U62"/>
      <selection pane="bottomRight" activeCell="J64" sqref="J64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39731</v>
      </c>
      <c r="F1" s="185" t="s">
        <v>9</v>
      </c>
      <c r="G1" s="4">
        <f>SUM(H5:H79)</f>
        <v>1957596.6</v>
      </c>
      <c r="H1" s="183" t="s">
        <v>10</v>
      </c>
      <c r="I1" s="5">
        <f>M15+M26+M48+M58+M69+M79+M37</f>
        <v>87.833333333333329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191</v>
      </c>
      <c r="B2" s="461"/>
      <c r="C2" s="184"/>
      <c r="D2" s="184" t="s">
        <v>1</v>
      </c>
      <c r="E2" s="7">
        <f>AVERAGE(O15,O26,O37,O48,O58,O69,O79)</f>
        <v>105.05554389859917</v>
      </c>
      <c r="F2" s="8" t="s">
        <v>2</v>
      </c>
      <c r="G2" s="9">
        <f>G1/E1</f>
        <v>49.271264252095342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1259</v>
      </c>
      <c r="H5" s="109">
        <f>F5*G5</f>
        <v>72027.39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1888.5000000000032</v>
      </c>
      <c r="O5" s="112">
        <f>N5/M5</f>
        <v>145.269230769231</v>
      </c>
      <c r="P5" s="114">
        <f>M5-J5</f>
        <v>0</v>
      </c>
      <c r="Q5" s="115">
        <f>O5-L5</f>
        <v>-8.5769230769228386</v>
      </c>
      <c r="R5" s="192">
        <f>O5/L5</f>
        <v>0.94425000000000159</v>
      </c>
      <c r="S5" s="408">
        <f>R15</f>
        <v>0.91276860608574661</v>
      </c>
      <c r="T5" s="97">
        <v>0.29166666666666669</v>
      </c>
      <c r="U5" s="97">
        <v>0.31944444444444442</v>
      </c>
      <c r="V5" s="202"/>
      <c r="W5" s="110">
        <f t="shared" ref="W5:W14" si="0">(U5-T5)*24*60</f>
        <v>39.999999999999936</v>
      </c>
      <c r="X5" s="196"/>
      <c r="Y5" s="196"/>
      <c r="Z5" s="423"/>
      <c r="AA5" s="423"/>
      <c r="AB5" s="114">
        <f>N5-K5</f>
        <v>-111.49999999999682</v>
      </c>
      <c r="AC5" s="192">
        <f>N5/K5</f>
        <v>0.94425000000000159</v>
      </c>
      <c r="AD5" s="391">
        <f>AC15</f>
        <v>0.91282559737942781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2168</v>
      </c>
      <c r="H6" s="15">
        <f t="shared" ref="H6:H14" si="1">F6*G6</f>
        <v>124031.28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1734.4000000000005</v>
      </c>
      <c r="O6" s="17">
        <f>N6/M6</f>
        <v>123.88571428571433</v>
      </c>
      <c r="P6" s="18">
        <f>M6-J6</f>
        <v>0</v>
      </c>
      <c r="Q6" s="19">
        <f>O6-L6</f>
        <v>-11.471428571428532</v>
      </c>
      <c r="R6" s="193">
        <f>O6/L6</f>
        <v>0.91525065963060714</v>
      </c>
      <c r="S6" s="409"/>
      <c r="T6" s="98">
        <v>0.3298611111111111</v>
      </c>
      <c r="U6" s="98">
        <v>0.38194444444444442</v>
      </c>
      <c r="V6" s="185">
        <f>(T6-U5)*24*60</f>
        <v>15.000000000000027</v>
      </c>
      <c r="W6" s="190">
        <f t="shared" si="0"/>
        <v>74.999999999999972</v>
      </c>
      <c r="X6" s="22"/>
      <c r="Y6" s="22"/>
      <c r="Z6" s="446"/>
      <c r="AA6" s="446"/>
      <c r="AB6" s="18">
        <f>N6-K6</f>
        <v>-160.59999999999945</v>
      </c>
      <c r="AC6" s="193">
        <f>N6/K6</f>
        <v>0.91525065963060714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4249</v>
      </c>
      <c r="H7" s="15">
        <f t="shared" si="1"/>
        <v>208795.86000000002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1758.2068965517233</v>
      </c>
      <c r="O7" s="17">
        <f>N7/M7</f>
        <v>135.24668435013257</v>
      </c>
      <c r="P7" s="18">
        <f>M7-J7</f>
        <v>0</v>
      </c>
      <c r="Q7" s="19">
        <f>O7-L7</f>
        <v>-18.599469496021271</v>
      </c>
      <c r="R7" s="193">
        <f>O7/L7</f>
        <v>0.87910344827586173</v>
      </c>
      <c r="S7" s="409"/>
      <c r="T7" s="98">
        <v>0.3923611111111111</v>
      </c>
      <c r="U7" s="98">
        <v>0.49305555555555558</v>
      </c>
      <c r="V7" s="185">
        <f>(T7-U6)*24*60</f>
        <v>15.000000000000027</v>
      </c>
      <c r="W7" s="190">
        <f t="shared" si="0"/>
        <v>145.00000000000006</v>
      </c>
      <c r="X7" s="22"/>
      <c r="Y7" s="22"/>
      <c r="Z7" s="400"/>
      <c r="AA7" s="400"/>
      <c r="AB7" s="18">
        <f>N7-K7</f>
        <v>-241.79310344827672</v>
      </c>
      <c r="AC7" s="193">
        <f>N7/K7</f>
        <v>0.87910344827586162</v>
      </c>
      <c r="AD7" s="392"/>
    </row>
    <row r="8" spans="1:30" ht="15" customHeight="1" x14ac:dyDescent="0.25">
      <c r="A8" s="465"/>
      <c r="B8" s="56"/>
      <c r="C8" s="10"/>
      <c r="D8" s="11"/>
      <c r="E8" s="89"/>
      <c r="F8" s="56"/>
      <c r="G8" s="25"/>
      <c r="H8" s="15"/>
      <c r="I8" s="190"/>
      <c r="J8" s="16"/>
      <c r="K8" s="14"/>
      <c r="L8" s="17"/>
      <c r="M8" s="188"/>
      <c r="N8" s="14"/>
      <c r="O8" s="17"/>
      <c r="P8" s="18"/>
      <c r="Q8" s="19"/>
      <c r="R8" s="193"/>
      <c r="S8" s="409"/>
      <c r="T8" s="98"/>
      <c r="U8" s="98"/>
      <c r="V8" s="185"/>
      <c r="W8" s="190">
        <f t="shared" si="0"/>
        <v>0</v>
      </c>
      <c r="X8" s="22"/>
      <c r="Y8" s="22"/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>
        <f t="shared" si="1"/>
        <v>0</v>
      </c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>
        <f t="shared" si="1"/>
        <v>0</v>
      </c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59"/>
      <c r="AA11" s="460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4"/>
      <c r="AA12" s="44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13.333333333333334</v>
      </c>
      <c r="K15" s="121">
        <f t="shared" si="2"/>
        <v>1965</v>
      </c>
      <c r="L15" s="118">
        <f t="shared" si="2"/>
        <v>147.68315018315016</v>
      </c>
      <c r="M15" s="121">
        <f t="shared" si="2"/>
        <v>13.333333333333334</v>
      </c>
      <c r="N15" s="121">
        <f t="shared" si="2"/>
        <v>1793.7022988505757</v>
      </c>
      <c r="O15" s="118">
        <f t="shared" si="2"/>
        <v>134.80054313502595</v>
      </c>
      <c r="P15" s="122">
        <f t="shared" ref="P15:P18" si="3">M15-J15</f>
        <v>0</v>
      </c>
      <c r="Q15" s="123">
        <f t="shared" ref="Q15:Q18" si="4">O15-L15</f>
        <v>-12.882607048124214</v>
      </c>
      <c r="R15" s="124">
        <f t="shared" ref="R15:R18" si="5">O15/L15</f>
        <v>0.91276860608574661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-171.29770114942426</v>
      </c>
      <c r="AC15" s="195">
        <f>N15/K15</f>
        <v>0.91282559737942781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1361</v>
      </c>
      <c r="H16" s="128">
        <f t="shared" ref="H16:H25" si="6">F16*G16</f>
        <v>77862.81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1814.6666666666665</v>
      </c>
      <c r="O16" s="131">
        <f>N16/M16</f>
        <v>139.58974358974359</v>
      </c>
      <c r="P16" s="132">
        <f t="shared" si="3"/>
        <v>0</v>
      </c>
      <c r="Q16" s="133">
        <f t="shared" si="4"/>
        <v>-14.256410256410248</v>
      </c>
      <c r="R16" s="197">
        <f t="shared" si="5"/>
        <v>0.90733333333333344</v>
      </c>
      <c r="S16" s="433">
        <f>R26</f>
        <v>0.89492484920323212</v>
      </c>
      <c r="T16" s="288">
        <v>0.2902777777777778</v>
      </c>
      <c r="U16" s="288">
        <v>0.3215277777777778</v>
      </c>
      <c r="V16" s="129"/>
      <c r="W16" s="134">
        <f t="shared" ref="W16:W68" si="7">(U16-T16)*24*60</f>
        <v>45</v>
      </c>
      <c r="X16" s="131"/>
      <c r="Y16" s="131"/>
      <c r="Z16" s="423"/>
      <c r="AA16" s="423"/>
      <c r="AB16" s="114">
        <f>N16-K16</f>
        <v>-185.33333333333348</v>
      </c>
      <c r="AC16" s="192">
        <f>N16/K16</f>
        <v>0.90733333333333321</v>
      </c>
      <c r="AD16" s="391">
        <f>AC26</f>
        <v>0.88779699222984743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1640</v>
      </c>
      <c r="H17" s="15">
        <f t="shared" si="6"/>
        <v>83098.8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1537.4999999999995</v>
      </c>
      <c r="O17" s="38">
        <f>N17/M17</f>
        <v>96.093749999999972</v>
      </c>
      <c r="P17" s="39">
        <f t="shared" si="3"/>
        <v>0</v>
      </c>
      <c r="Q17" s="40">
        <f t="shared" si="4"/>
        <v>-23.593750000000028</v>
      </c>
      <c r="R17" s="198">
        <f t="shared" si="5"/>
        <v>0.80287206266318512</v>
      </c>
      <c r="S17" s="434"/>
      <c r="T17" s="41">
        <v>0.3263888888888889</v>
      </c>
      <c r="U17" s="41">
        <v>0.37083333333333335</v>
      </c>
      <c r="V17" s="185">
        <f>(T17-U16)*24*60</f>
        <v>6.9999999999999751</v>
      </c>
      <c r="W17" s="43">
        <f t="shared" si="7"/>
        <v>64.000000000000014</v>
      </c>
      <c r="X17" s="44"/>
      <c r="Y17" s="44"/>
      <c r="Z17" s="399"/>
      <c r="AA17" s="400"/>
      <c r="AB17" s="18">
        <f>N17-K17</f>
        <v>-377.50000000000045</v>
      </c>
      <c r="AC17" s="193">
        <f>N17/K17</f>
        <v>0.80287206266318512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3735</v>
      </c>
      <c r="H18" s="15">
        <f t="shared" si="6"/>
        <v>188206.65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1899.1525423728815</v>
      </c>
      <c r="O18" s="38">
        <f>N18/M18</f>
        <v>158.26271186440678</v>
      </c>
      <c r="P18" s="39">
        <f t="shared" si="3"/>
        <v>0</v>
      </c>
      <c r="Q18" s="40">
        <f t="shared" si="4"/>
        <v>-8.4039548022598751</v>
      </c>
      <c r="R18" s="198">
        <f t="shared" si="5"/>
        <v>0.94957627118644072</v>
      </c>
      <c r="S18" s="434"/>
      <c r="T18" s="41">
        <v>0.38541666666666669</v>
      </c>
      <c r="U18" s="41">
        <v>0.46736111111111112</v>
      </c>
      <c r="V18" s="185">
        <f>(T18-U17)*24*60</f>
        <v>21.000000000000007</v>
      </c>
      <c r="W18" s="43">
        <f t="shared" si="7"/>
        <v>117.99999999999999</v>
      </c>
      <c r="X18" s="22"/>
      <c r="Y18" s="22"/>
      <c r="Z18" s="399"/>
      <c r="AA18" s="400"/>
      <c r="AB18" s="18">
        <f>N18-K18</f>
        <v>-100.8474576271185</v>
      </c>
      <c r="AC18" s="193">
        <f>N18/K18</f>
        <v>0.94957627118644072</v>
      </c>
      <c r="AD18" s="392"/>
    </row>
    <row r="19" spans="1:30" ht="15" customHeight="1" x14ac:dyDescent="0.25">
      <c r="A19" s="439"/>
      <c r="B19" s="56"/>
      <c r="C19" s="23"/>
      <c r="D19" s="11"/>
      <c r="E19" s="12"/>
      <c r="F19" s="56"/>
      <c r="G19" s="99"/>
      <c r="H19" s="15"/>
      <c r="I19" s="42"/>
      <c r="J19" s="16"/>
      <c r="K19" s="14"/>
      <c r="L19" s="17"/>
      <c r="M19" s="37"/>
      <c r="N19" s="36"/>
      <c r="O19" s="38"/>
      <c r="P19" s="39"/>
      <c r="Q19" s="40"/>
      <c r="R19" s="198"/>
      <c r="S19" s="434"/>
      <c r="T19" s="41"/>
      <c r="U19" s="41"/>
      <c r="V19" s="185"/>
      <c r="W19" s="43">
        <f t="shared" si="7"/>
        <v>0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>
        <f t="shared" si="6"/>
        <v>0</v>
      </c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8">AVERAGE(J16:J25)</f>
        <v>13.666666666666666</v>
      </c>
      <c r="K26" s="137">
        <f t="shared" si="8"/>
        <v>1971.6666666666667</v>
      </c>
      <c r="L26" s="140">
        <f t="shared" si="8"/>
        <v>146.73344017094016</v>
      </c>
      <c r="M26" s="137">
        <f t="shared" si="8"/>
        <v>13.666666666666666</v>
      </c>
      <c r="N26" s="137">
        <f t="shared" si="8"/>
        <v>1750.4397363465159</v>
      </c>
      <c r="O26" s="140">
        <f t="shared" si="8"/>
        <v>131.31540181805011</v>
      </c>
      <c r="P26" s="141">
        <f t="shared" ref="P26:P30" si="9">M26-J26</f>
        <v>0</v>
      </c>
      <c r="Q26" s="142">
        <f t="shared" ref="Q26:Q30" si="10">O26-L26</f>
        <v>-15.418038352890051</v>
      </c>
      <c r="R26" s="143">
        <f t="shared" ref="R26:R30" si="11">O26/L26</f>
        <v>0.89492484920323212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-221.22693032015081</v>
      </c>
      <c r="AC26" s="195">
        <f>N26/K26</f>
        <v>0.88779699222984743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1132</v>
      </c>
      <c r="H27" s="128">
        <f t="shared" ref="H27:H36" si="12">F27*G27</f>
        <v>57279.200000000004</v>
      </c>
      <c r="I27" s="129"/>
      <c r="J27" s="111">
        <v>17</v>
      </c>
      <c r="K27" s="252">
        <v>1636</v>
      </c>
      <c r="L27" s="112">
        <f>K27/J27</f>
        <v>96.235294117647058</v>
      </c>
      <c r="M27" s="147">
        <v>15</v>
      </c>
      <c r="N27" s="130">
        <f>G27/W27*60</f>
        <v>1171.0344827586216</v>
      </c>
      <c r="O27" s="131">
        <f>N27/M27</f>
        <v>78.068965517241438</v>
      </c>
      <c r="P27" s="132">
        <f t="shared" si="9"/>
        <v>-2</v>
      </c>
      <c r="Q27" s="133">
        <f t="shared" si="10"/>
        <v>-18.16632860040562</v>
      </c>
      <c r="R27" s="197">
        <f t="shared" si="11"/>
        <v>0.81123008178062617</v>
      </c>
      <c r="S27" s="433">
        <f>R37</f>
        <v>0.83151824785102824</v>
      </c>
      <c r="T27" s="97">
        <v>0.29444444444444445</v>
      </c>
      <c r="U27" s="97">
        <v>0.3347222222222222</v>
      </c>
      <c r="V27" s="129"/>
      <c r="W27" s="134">
        <f t="shared" si="7"/>
        <v>57.999999999999957</v>
      </c>
      <c r="X27" s="129"/>
      <c r="Y27" s="129" t="s">
        <v>158</v>
      </c>
      <c r="Z27" s="414"/>
      <c r="AA27" s="423"/>
      <c r="AB27" s="114">
        <f>N27-K27</f>
        <v>-464.96551724137839</v>
      </c>
      <c r="AC27" s="148">
        <f>N27/K27</f>
        <v>0.71579124862996435</v>
      </c>
      <c r="AD27" s="391">
        <f>AC37</f>
        <v>0.77753383908401053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1503</v>
      </c>
      <c r="H28" s="50">
        <f t="shared" si="12"/>
        <v>85986.63</v>
      </c>
      <c r="I28" s="42"/>
      <c r="J28" s="16">
        <v>17</v>
      </c>
      <c r="K28" s="14">
        <v>1636</v>
      </c>
      <c r="L28" s="251">
        <f>K28/J28</f>
        <v>96.235294117647058</v>
      </c>
      <c r="M28" s="21">
        <v>17</v>
      </c>
      <c r="N28" s="36">
        <f>G28/W28*60</f>
        <v>1478.3606557377043</v>
      </c>
      <c r="O28" s="38">
        <f>N28/M28</f>
        <v>86.96239151398261</v>
      </c>
      <c r="P28" s="39">
        <f t="shared" si="9"/>
        <v>0</v>
      </c>
      <c r="Q28" s="40">
        <f t="shared" si="10"/>
        <v>-9.2729026036644484</v>
      </c>
      <c r="R28" s="198">
        <f t="shared" si="11"/>
        <v>0.90364343260250879</v>
      </c>
      <c r="S28" s="434"/>
      <c r="T28" s="291">
        <v>0.34652777777777777</v>
      </c>
      <c r="U28" s="291">
        <v>0.3888888888888889</v>
      </c>
      <c r="V28" s="42">
        <f>(T28-U27)*24*60</f>
        <v>17.000000000000021</v>
      </c>
      <c r="W28" s="43">
        <f t="shared" si="7"/>
        <v>61.000000000000021</v>
      </c>
      <c r="X28" s="54"/>
      <c r="Y28" s="54"/>
      <c r="Z28" s="399"/>
      <c r="AA28" s="400"/>
      <c r="AB28" s="34">
        <f>N28-K28</f>
        <v>-157.63934426229571</v>
      </c>
      <c r="AC28" s="194">
        <f>N28/K28</f>
        <v>0.90364343260250879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2116</v>
      </c>
      <c r="H29" s="50">
        <f t="shared" si="12"/>
        <v>116655.08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18</v>
      </c>
      <c r="N29" s="36">
        <f>G29/W29*60</f>
        <v>1350.6382978723407</v>
      </c>
      <c r="O29" s="38">
        <f>N29/M29</f>
        <v>75.035460992907815</v>
      </c>
      <c r="P29" s="39">
        <f t="shared" si="9"/>
        <v>0</v>
      </c>
      <c r="Q29" s="40">
        <f t="shared" si="10"/>
        <v>-1.9089834515366277</v>
      </c>
      <c r="R29" s="198">
        <f t="shared" si="11"/>
        <v>0.97519010676703299</v>
      </c>
      <c r="S29" s="434"/>
      <c r="T29" s="41">
        <v>0.39930555555555558</v>
      </c>
      <c r="U29" s="41">
        <v>0.46458333333333335</v>
      </c>
      <c r="V29" s="42">
        <f>(T29-U28)*24*60</f>
        <v>15.000000000000027</v>
      </c>
      <c r="W29" s="43">
        <f t="shared" si="7"/>
        <v>93.999999999999986</v>
      </c>
      <c r="X29" s="54"/>
      <c r="Y29" s="54"/>
      <c r="Z29" s="442"/>
      <c r="AA29" s="443"/>
      <c r="AB29" s="275">
        <f t="shared" ref="AB29:AB30" si="13">N29-K29</f>
        <v>-34.361702127659328</v>
      </c>
      <c r="AC29" s="276">
        <f t="shared" ref="AC29:AC30" si="14">N29/K29</f>
        <v>0.97519010676703299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1146</v>
      </c>
      <c r="H30" s="257">
        <f t="shared" si="12"/>
        <v>54549.599999999999</v>
      </c>
      <c r="I30" s="82"/>
      <c r="J30" s="16">
        <f>VLOOKUP(D30,產線配置圖!$A$2:$C$38,2,0)</f>
        <v>18</v>
      </c>
      <c r="K30" s="14">
        <f>VLOOKUP(D30,產線配置圖!$A$2:$C$38,3,0)</f>
        <v>1636</v>
      </c>
      <c r="L30" s="251">
        <f>K30/J30</f>
        <v>90.888888888888886</v>
      </c>
      <c r="M30" s="21">
        <v>15</v>
      </c>
      <c r="N30" s="36">
        <f>G30/W30*60</f>
        <v>892.98701298701246</v>
      </c>
      <c r="O30" s="38">
        <f>N30/M30</f>
        <v>59.5324675324675</v>
      </c>
      <c r="P30" s="39">
        <f t="shared" si="9"/>
        <v>-3</v>
      </c>
      <c r="Q30" s="40">
        <f t="shared" si="10"/>
        <v>-31.356421356421386</v>
      </c>
      <c r="R30" s="198">
        <f t="shared" si="11"/>
        <v>0.65500269901247865</v>
      </c>
      <c r="S30" s="434"/>
      <c r="T30" s="41">
        <v>0.52708333333333335</v>
      </c>
      <c r="U30" s="41">
        <v>0.5805555555555556</v>
      </c>
      <c r="V30" s="42">
        <f>(T30-U29)*24*60</f>
        <v>90</v>
      </c>
      <c r="W30" s="43">
        <f t="shared" si="7"/>
        <v>77.000000000000043</v>
      </c>
      <c r="X30" s="54">
        <v>0.46875</v>
      </c>
      <c r="Y30" s="54">
        <v>0.51041666666666663</v>
      </c>
      <c r="Z30" s="479" t="s">
        <v>188</v>
      </c>
      <c r="AA30" s="480"/>
      <c r="AB30" s="275">
        <f t="shared" si="13"/>
        <v>-743.01298701298754</v>
      </c>
      <c r="AC30" s="276">
        <f t="shared" si="14"/>
        <v>0.54583558251039876</v>
      </c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50"/>
      <c r="I31" s="4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7"/>
      <c r="AA31" s="478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2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2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15">AVERAGE(J27:J36)</f>
        <v>17.5</v>
      </c>
      <c r="K37" s="137">
        <f t="shared" si="15"/>
        <v>1573.25</v>
      </c>
      <c r="L37" s="140">
        <f t="shared" si="15"/>
        <v>90.07598039215685</v>
      </c>
      <c r="M37" s="137">
        <f t="shared" si="15"/>
        <v>16.25</v>
      </c>
      <c r="N37" s="137">
        <f t="shared" si="15"/>
        <v>1223.2551123389196</v>
      </c>
      <c r="O37" s="140">
        <f t="shared" si="15"/>
        <v>74.899821389149835</v>
      </c>
      <c r="P37" s="141">
        <f>M37-J37</f>
        <v>-1.25</v>
      </c>
      <c r="Q37" s="142">
        <f>N37-K37</f>
        <v>-349.99488766108038</v>
      </c>
      <c r="R37" s="143">
        <f t="shared" ref="R37:R39" si="16">O37/L37</f>
        <v>0.83151824785102824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17">N37-K37</f>
        <v>-349.99488766108038</v>
      </c>
      <c r="AC37" s="195">
        <f t="shared" ref="AC37:AC39" si="18">N37/K37</f>
        <v>0.77753383908401053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2320</v>
      </c>
      <c r="H38" s="152">
        <f>F38*G38</f>
        <v>115791.2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16</v>
      </c>
      <c r="N38" s="154">
        <f>G38/W38*60</f>
        <v>1378.2178217821777</v>
      </c>
      <c r="O38" s="155">
        <f>N38/M38</f>
        <v>86.138613861386105</v>
      </c>
      <c r="P38" s="132">
        <f>M38-J38</f>
        <v>-1</v>
      </c>
      <c r="Q38" s="133">
        <f>O38-L38</f>
        <v>-5.9202096680256631</v>
      </c>
      <c r="R38" s="156">
        <f t="shared" si="16"/>
        <v>0.93569101319077552</v>
      </c>
      <c r="S38" s="408">
        <f>R48</f>
        <v>0.91875333447793828</v>
      </c>
      <c r="T38" s="157">
        <v>0.33263888888888887</v>
      </c>
      <c r="U38" s="157">
        <v>0.40277777777777779</v>
      </c>
      <c r="V38" s="153"/>
      <c r="W38" s="158">
        <f t="shared" si="7"/>
        <v>101.00000000000004</v>
      </c>
      <c r="X38" s="155"/>
      <c r="Y38" s="159"/>
      <c r="Z38" s="427"/>
      <c r="AA38" s="427"/>
      <c r="AB38" s="160">
        <f t="shared" si="17"/>
        <v>-186.78217821782232</v>
      </c>
      <c r="AC38" s="161">
        <f t="shared" si="18"/>
        <v>0.88065036535602403</v>
      </c>
      <c r="AD38" s="388">
        <f>AC48</f>
        <v>0.83673157766242767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60</v>
      </c>
      <c r="E39" s="89"/>
      <c r="F39" s="56">
        <f>VLOOKUP(D39,廠價表!$C$1:$E$39,3,0)</f>
        <v>58.17</v>
      </c>
      <c r="G39" s="102">
        <v>1296</v>
      </c>
      <c r="H39" s="64">
        <f>F39*G39</f>
        <v>75388.320000000007</v>
      </c>
      <c r="I39" s="65"/>
      <c r="J39" s="16">
        <f>VLOOKUP(D39,產線配置圖!$A$2:$C$38,2,0)</f>
        <v>16</v>
      </c>
      <c r="K39" s="14">
        <f>VLOOKUP(D39,產線配置圖!$A$2:$C$38,3,0)</f>
        <v>1429</v>
      </c>
      <c r="L39" s="17">
        <f>K39/J39</f>
        <v>89.3125</v>
      </c>
      <c r="M39" s="66">
        <v>14</v>
      </c>
      <c r="N39" s="67">
        <f t="shared" ref="N39" si="19">G39/W39*60</f>
        <v>1126.9565217391305</v>
      </c>
      <c r="O39" s="68">
        <f t="shared" ref="O39" si="20">N39/M39</f>
        <v>80.496894409937894</v>
      </c>
      <c r="P39" s="39">
        <f t="shared" ref="P39" si="21">M39-J39</f>
        <v>-2</v>
      </c>
      <c r="Q39" s="40">
        <f t="shared" ref="Q39" si="22">O39-L39</f>
        <v>-8.8156055900621055</v>
      </c>
      <c r="R39" s="69">
        <f t="shared" si="16"/>
        <v>0.90129482894262158</v>
      </c>
      <c r="S39" s="409"/>
      <c r="T39" s="59">
        <v>0.45</v>
      </c>
      <c r="U39" s="59">
        <v>0.49791666666666667</v>
      </c>
      <c r="V39" s="42">
        <f t="shared" ref="V39" si="23">(T39-U38)*24*60</f>
        <v>68</v>
      </c>
      <c r="W39" s="70">
        <f t="shared" si="7"/>
        <v>69</v>
      </c>
      <c r="X39" s="58"/>
      <c r="Y39" s="60"/>
      <c r="Z39" s="428"/>
      <c r="AA39" s="475"/>
      <c r="AB39" s="292">
        <f t="shared" si="17"/>
        <v>-302.04347826086951</v>
      </c>
      <c r="AC39" s="62">
        <f t="shared" si="18"/>
        <v>0.78863297532479393</v>
      </c>
      <c r="AD39" s="389"/>
    </row>
    <row r="40" spans="1:30" s="63" customFormat="1" ht="15" customHeight="1" x14ac:dyDescent="0.25">
      <c r="A40" s="425"/>
      <c r="B40" s="56"/>
      <c r="C40" s="10"/>
      <c r="D40" s="11"/>
      <c r="E40" s="89"/>
      <c r="F40" s="56"/>
      <c r="G40" s="102"/>
      <c r="H40" s="64"/>
      <c r="I40" s="65"/>
      <c r="J40" s="16"/>
      <c r="K40" s="14"/>
      <c r="L40" s="17"/>
      <c r="M40" s="66"/>
      <c r="N40" s="67"/>
      <c r="O40" s="68"/>
      <c r="P40" s="39"/>
      <c r="Q40" s="40"/>
      <c r="R40" s="69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24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16.5</v>
      </c>
      <c r="K48" s="137">
        <f t="shared" si="26"/>
        <v>1497</v>
      </c>
      <c r="L48" s="140">
        <f t="shared" si="26"/>
        <v>90.685661764705884</v>
      </c>
      <c r="M48" s="137">
        <f t="shared" si="26"/>
        <v>15</v>
      </c>
      <c r="N48" s="137">
        <f t="shared" si="26"/>
        <v>1252.5871717606542</v>
      </c>
      <c r="O48" s="140">
        <f t="shared" si="26"/>
        <v>83.317754135662</v>
      </c>
      <c r="P48" s="164">
        <f>M48-J48</f>
        <v>-1.5</v>
      </c>
      <c r="Q48" s="165">
        <f>N48-K48</f>
        <v>-244.4128282393458</v>
      </c>
      <c r="R48" s="166">
        <f>O48/L48</f>
        <v>0.91875333447793828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-244.4128282393458</v>
      </c>
      <c r="AC48" s="199">
        <f>N48/K48</f>
        <v>0.83673157766242767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4432</v>
      </c>
      <c r="H49" s="128">
        <f t="shared" ref="H49:H57" si="27">F49*G49</f>
        <v>221467.04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1564.2352941176468</v>
      </c>
      <c r="O49" s="131">
        <f>N49/M49</f>
        <v>86.901960784313715</v>
      </c>
      <c r="P49" s="171">
        <f>M49-J49</f>
        <v>0</v>
      </c>
      <c r="Q49" s="115">
        <f>O49-L49</f>
        <v>-4.2483660130727685E-2</v>
      </c>
      <c r="R49" s="192">
        <f>O49/L49</f>
        <v>0.99951137004322488</v>
      </c>
      <c r="S49" s="408">
        <f>R58</f>
        <v>0.99675319680629482</v>
      </c>
      <c r="T49" s="157">
        <v>0.28888888888888886</v>
      </c>
      <c r="U49" s="157">
        <v>0.40694444444444444</v>
      </c>
      <c r="V49" s="196"/>
      <c r="W49" s="158">
        <f t="shared" si="7"/>
        <v>170.00000000000003</v>
      </c>
      <c r="X49" s="196"/>
      <c r="Y49" s="196"/>
      <c r="Z49" s="423"/>
      <c r="AA49" s="423"/>
      <c r="AB49" s="114">
        <f>N49-K49</f>
        <v>-0.76470588235315518</v>
      </c>
      <c r="AC49" s="192">
        <f>N49/K49</f>
        <v>0.99951137004322477</v>
      </c>
      <c r="AD49" s="391">
        <f>AC58</f>
        <v>0.99680572864414074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2429</v>
      </c>
      <c r="H50" s="77">
        <f t="shared" si="27"/>
        <v>138137.22999999998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1487.1428571428562</v>
      </c>
      <c r="O50" s="79">
        <f>N50/M50</f>
        <v>87.478991596638593</v>
      </c>
      <c r="P50" s="18">
        <f>M50-J50</f>
        <v>0</v>
      </c>
      <c r="Q50" s="19">
        <f>O50-L50</f>
        <v>-0.75630252100846462</v>
      </c>
      <c r="R50" s="193">
        <f>O50/L50</f>
        <v>0.99142857142857077</v>
      </c>
      <c r="S50" s="409"/>
      <c r="T50" s="80">
        <v>0.41319444444444442</v>
      </c>
      <c r="U50" s="80">
        <v>0.48125000000000001</v>
      </c>
      <c r="V50" s="185">
        <f t="shared" ref="V50:V51" si="28">(T50-U49)*24*60</f>
        <v>8.999999999999968</v>
      </c>
      <c r="W50" s="81">
        <f t="shared" si="7"/>
        <v>98.000000000000057</v>
      </c>
      <c r="X50" s="22"/>
      <c r="Y50" s="22"/>
      <c r="Z50" s="398"/>
      <c r="AA50" s="399"/>
      <c r="AB50" s="18">
        <f>N50-K50</f>
        <v>-12.857142857143799</v>
      </c>
      <c r="AC50" s="193">
        <f>N50/K50</f>
        <v>0.99142857142857077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3123</v>
      </c>
      <c r="H51" s="77">
        <f t="shared" si="27"/>
        <v>177605.00999999998</v>
      </c>
      <c r="I51" s="185"/>
      <c r="J51" s="16">
        <f>VLOOKUP(D51,產線配置圖!$A$2:$C$38,2,0)</f>
        <v>17</v>
      </c>
      <c r="K51" s="14">
        <f>VLOOKUP(D51,產線配置圖!$A$2:$C$38,3,0)</f>
        <v>1500</v>
      </c>
      <c r="L51" s="17">
        <f t="shared" ref="L51" si="29">K51/J51</f>
        <v>88.235294117647058</v>
      </c>
      <c r="M51" s="182">
        <v>17</v>
      </c>
      <c r="N51" s="78">
        <f t="shared" ref="N51" si="30">G51/W51*60</f>
        <v>1499.0399999999997</v>
      </c>
      <c r="O51" s="79">
        <f t="shared" ref="O51" si="31">N51/M51</f>
        <v>88.178823529411744</v>
      </c>
      <c r="P51" s="18">
        <f t="shared" ref="P51" si="32">M51-J51</f>
        <v>0</v>
      </c>
      <c r="Q51" s="19">
        <f t="shared" ref="Q51" si="33">O51-L51</f>
        <v>-5.6470588235313812E-2</v>
      </c>
      <c r="R51" s="193">
        <f t="shared" ref="R51" si="34">O51/L51</f>
        <v>0.9993599999999998</v>
      </c>
      <c r="S51" s="409"/>
      <c r="T51" s="80">
        <v>0.54305555555555551</v>
      </c>
      <c r="U51" s="44">
        <v>0.62986111111111109</v>
      </c>
      <c r="V51" s="185">
        <f t="shared" si="28"/>
        <v>88.999999999999929</v>
      </c>
      <c r="W51" s="81">
        <f t="shared" si="7"/>
        <v>125.00000000000003</v>
      </c>
      <c r="X51" s="22">
        <v>0.48958333333333331</v>
      </c>
      <c r="Y51" s="22">
        <v>0.53125</v>
      </c>
      <c r="Z51" s="400"/>
      <c r="AA51" s="400"/>
      <c r="AB51" s="51">
        <f>N51-K51</f>
        <v>-0.96000000000026375</v>
      </c>
      <c r="AC51" s="52">
        <f>N51/K51</f>
        <v>0.9993599999999998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5">AVERAGE(J49:J57)</f>
        <v>17.333333333333332</v>
      </c>
      <c r="K58" s="121">
        <f t="shared" si="35"/>
        <v>1521.6666666666667</v>
      </c>
      <c r="L58" s="118">
        <f t="shared" si="35"/>
        <v>87.805010893246177</v>
      </c>
      <c r="M58" s="121">
        <f t="shared" si="35"/>
        <v>17.333333333333332</v>
      </c>
      <c r="N58" s="121">
        <f t="shared" si="35"/>
        <v>1516.8060504201676</v>
      </c>
      <c r="O58" s="118">
        <f t="shared" si="35"/>
        <v>87.51992530345467</v>
      </c>
      <c r="P58" s="122">
        <f>M58-J58</f>
        <v>0</v>
      </c>
      <c r="Q58" s="123">
        <f>N58-K58</f>
        <v>-4.8606162464991485</v>
      </c>
      <c r="R58" s="124">
        <f t="shared" ref="R58:R60" si="36">O58/L58</f>
        <v>0.99675319680629482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7">N58-K58</f>
        <v>-4.8606162464991485</v>
      </c>
      <c r="AC58" s="195">
        <f t="shared" ref="AC58:AC61" si="38">N58/K58</f>
        <v>0.99680572864414074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3144</v>
      </c>
      <c r="H59" s="109">
        <f t="shared" ref="H59:H68" si="39">F59*G59</f>
        <v>84856.56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0">G59/W59*60</f>
        <v>1366.9565217391305</v>
      </c>
      <c r="O59" s="112">
        <f t="shared" ref="O59:O61" si="41">N59/M59</f>
        <v>105.15050167224081</v>
      </c>
      <c r="P59" s="114">
        <f t="shared" ref="P59:P61" si="42">M59-J59</f>
        <v>0</v>
      </c>
      <c r="Q59" s="115">
        <f t="shared" ref="Q59:Q61" si="43">O59-L59</f>
        <v>-15.23411371237458</v>
      </c>
      <c r="R59" s="192">
        <f t="shared" si="36"/>
        <v>0.87345464647867765</v>
      </c>
      <c r="S59" s="408">
        <f>R69</f>
        <v>0.92628461052180044</v>
      </c>
      <c r="T59" s="176">
        <v>0.29166666666666669</v>
      </c>
      <c r="U59" s="176">
        <v>0.38750000000000001</v>
      </c>
      <c r="V59" s="196"/>
      <c r="W59" s="110">
        <f t="shared" si="7"/>
        <v>138</v>
      </c>
      <c r="X59" s="196"/>
      <c r="Y59" s="196"/>
      <c r="Z59" s="400"/>
      <c r="AA59" s="400"/>
      <c r="AB59" s="240">
        <f t="shared" si="37"/>
        <v>-198.04347826086951</v>
      </c>
      <c r="AC59" s="241">
        <f t="shared" si="38"/>
        <v>0.87345464647867765</v>
      </c>
      <c r="AD59" s="391">
        <f>AC69</f>
        <v>0.92526864967481715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846</v>
      </c>
      <c r="H60" s="15">
        <f t="shared" si="39"/>
        <v>24085.62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0"/>
        <v>1371.891891891891</v>
      </c>
      <c r="O60" s="17">
        <f t="shared" si="41"/>
        <v>114.32432432432425</v>
      </c>
      <c r="P60" s="18">
        <f t="shared" si="42"/>
        <v>0</v>
      </c>
      <c r="Q60" s="19">
        <f t="shared" si="43"/>
        <v>-16.092342342342405</v>
      </c>
      <c r="R60" s="193">
        <f t="shared" si="36"/>
        <v>0.87660823763060136</v>
      </c>
      <c r="S60" s="419"/>
      <c r="T60" s="206">
        <v>0.39791666666666664</v>
      </c>
      <c r="U60" s="206">
        <v>0.4236111111111111</v>
      </c>
      <c r="V60" s="185">
        <f t="shared" ref="V60:V62" si="44">(T60-U59)*24*60</f>
        <v>14.999999999999947</v>
      </c>
      <c r="W60" s="93">
        <f t="shared" si="7"/>
        <v>37.000000000000028</v>
      </c>
      <c r="X60" s="201"/>
      <c r="Y60" s="201"/>
      <c r="Z60" s="400"/>
      <c r="AA60" s="400"/>
      <c r="AB60" s="242">
        <f t="shared" si="37"/>
        <v>-193.10810810810904</v>
      </c>
      <c r="AC60" s="243">
        <f t="shared" si="38"/>
        <v>0.87660823763060125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918</v>
      </c>
      <c r="H61" s="15">
        <f t="shared" si="39"/>
        <v>25942.68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5">K61/J61</f>
        <v>130.41666666666666</v>
      </c>
      <c r="M61" s="188">
        <v>12</v>
      </c>
      <c r="N61" s="14">
        <f t="shared" si="40"/>
        <v>1530.000000000002</v>
      </c>
      <c r="O61" s="17">
        <f t="shared" si="41"/>
        <v>127.50000000000017</v>
      </c>
      <c r="P61" s="18">
        <f t="shared" si="42"/>
        <v>0</v>
      </c>
      <c r="Q61" s="19">
        <f t="shared" si="43"/>
        <v>-2.9166666666664867</v>
      </c>
      <c r="R61" s="193">
        <f>O61/L61</f>
        <v>0.97763578274760521</v>
      </c>
      <c r="S61" s="409"/>
      <c r="T61" s="20">
        <v>0.43402777777777779</v>
      </c>
      <c r="U61" s="20">
        <v>0.45902777777777776</v>
      </c>
      <c r="V61" s="185">
        <f t="shared" si="44"/>
        <v>15.000000000000027</v>
      </c>
      <c r="W61" s="91">
        <f t="shared" si="7"/>
        <v>35.99999999999995</v>
      </c>
      <c r="X61" s="22">
        <v>0.46875</v>
      </c>
      <c r="Y61" s="22">
        <v>0.51041666666666663</v>
      </c>
      <c r="Z61" s="400"/>
      <c r="AA61" s="400"/>
      <c r="AB61" s="51">
        <f t="shared" si="37"/>
        <v>-34.999999999997954</v>
      </c>
      <c r="AC61" s="52">
        <f t="shared" si="38"/>
        <v>0.9776357827476051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260" t="s">
        <v>143</v>
      </c>
      <c r="E62" s="89"/>
      <c r="F62" s="56">
        <f>VLOOKUP(D62,廠價表!$C$1:$E$39,3,0)</f>
        <v>28.26</v>
      </c>
      <c r="G62" s="185">
        <v>914</v>
      </c>
      <c r="H62" s="15">
        <f t="shared" ref="H62" si="46">F62*G62</f>
        <v>25829.640000000003</v>
      </c>
      <c r="I62" s="82"/>
      <c r="J62" s="16">
        <f>VLOOKUP(D62,產線配置圖!$A$2:$C$38,2,0)</f>
        <v>12</v>
      </c>
      <c r="K62" s="14">
        <f>VLOOKUP(D62,產線配置圖!$A$2:$C$38,3,0)</f>
        <v>1565</v>
      </c>
      <c r="L62" s="17">
        <f t="shared" ref="L62" si="47">K62/J62</f>
        <v>130.41666666666666</v>
      </c>
      <c r="M62" s="188">
        <v>12</v>
      </c>
      <c r="N62" s="14">
        <f t="shared" ref="N62" si="48">G62/W62*60</f>
        <v>1523.3333333333321</v>
      </c>
      <c r="O62" s="17">
        <f t="shared" ref="O62" si="49">N62/M62</f>
        <v>126.94444444444434</v>
      </c>
      <c r="P62" s="18">
        <f t="shared" ref="P62" si="50">M62-J62</f>
        <v>0</v>
      </c>
      <c r="Q62" s="19">
        <f t="shared" ref="Q62" si="51">O62-L62</f>
        <v>-3.4722222222223138</v>
      </c>
      <c r="R62" s="193">
        <f>O62/L62</f>
        <v>0.9733759318423848</v>
      </c>
      <c r="S62" s="409"/>
      <c r="T62" s="20">
        <v>0.53472222222222221</v>
      </c>
      <c r="U62" s="20">
        <v>0.55972222222222223</v>
      </c>
      <c r="V62" s="185">
        <f t="shared" si="44"/>
        <v>109.00000000000001</v>
      </c>
      <c r="W62" s="93">
        <f t="shared" si="7"/>
        <v>36.000000000000028</v>
      </c>
      <c r="X62" s="22"/>
      <c r="Y62" s="22"/>
      <c r="Z62" s="400"/>
      <c r="AA62" s="400"/>
      <c r="AB62" s="18"/>
      <c r="AC62" s="193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>
        <f t="shared" si="39"/>
        <v>0</v>
      </c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9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9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9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9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9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2">AVERAGE(J59:J68)</f>
        <v>12.25</v>
      </c>
      <c r="K69" s="173">
        <f t="shared" si="52"/>
        <v>1565</v>
      </c>
      <c r="L69" s="178">
        <f t="shared" si="52"/>
        <v>127.90865384615384</v>
      </c>
      <c r="M69" s="173">
        <f t="shared" si="52"/>
        <v>12.25</v>
      </c>
      <c r="N69" s="173">
        <f t="shared" si="52"/>
        <v>1448.0454367410889</v>
      </c>
      <c r="O69" s="178">
        <f t="shared" si="52"/>
        <v>118.4798176102524</v>
      </c>
      <c r="P69" s="179">
        <f>M69-J69</f>
        <v>0</v>
      </c>
      <c r="Q69" s="165">
        <f>N69-K69</f>
        <v>-116.95456325891109</v>
      </c>
      <c r="R69" s="124">
        <f>O69/L69</f>
        <v>0.92628461052180044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-116.95456325891109</v>
      </c>
      <c r="AC69" s="195">
        <f>N69/K69</f>
        <v>0.92526864967481715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53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54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53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54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3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54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3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54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3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4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3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4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3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4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3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4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3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78" priority="1" operator="greaterThan">
      <formula>0</formula>
    </cfRule>
  </conditionalFormatting>
  <conditionalFormatting sqref="Q5:Q79 AB5:AB79">
    <cfRule type="cellIs" dxfId="277" priority="4" operator="lessThan">
      <formula>0</formula>
    </cfRule>
  </conditionalFormatting>
  <conditionalFormatting sqref="R5:R79 AC5:AC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D59:AD62 S69:S76 AD69:AD76">
    <cfRule type="cellIs" dxfId="274" priority="7" operator="lessThan">
      <formula>0.8</formula>
    </cfRule>
  </conditionalFormatting>
  <conditionalFormatting sqref="S19:S25 AD19:AD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D5:AD8 S15:S16 AD15:AD16 AD49 AD79">
    <cfRule type="cellIs" dxfId="271" priority="9" operator="lessThan">
      <formula>0.8</formula>
    </cfRule>
  </conditionalFormatting>
  <conditionalFormatting sqref="AD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6DD0F8-DAC2-4015-A486-815FAF1DBE67}">
          <x14:formula1>
            <xm:f>廠價表!$C$2:$C$37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4E9A-0159-4BA7-AC0E-4B2FDE64DD06}">
  <sheetPr>
    <pageSetUpPr fitToPage="1"/>
  </sheetPr>
  <dimension ref="B1:O22"/>
  <sheetViews>
    <sheetView zoomScale="70" zoomScaleNormal="70" workbookViewId="0">
      <selection activeCell="U61" sqref="U61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45935</v>
      </c>
      <c r="E3" s="383"/>
      <c r="F3" s="214" t="s">
        <v>76</v>
      </c>
      <c r="G3" s="384">
        <f>'1005'!E1</f>
        <v>44134</v>
      </c>
      <c r="H3" s="384"/>
      <c r="I3" s="214" t="s">
        <v>77</v>
      </c>
      <c r="J3" s="385">
        <f>'1005'!G1</f>
        <v>2173287.62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112.47853609036206</v>
      </c>
      <c r="G6" s="362"/>
      <c r="H6" s="363">
        <f>AVERAGE(D13:H13)</f>
        <v>109.55971339390456</v>
      </c>
      <c r="I6" s="363"/>
      <c r="J6" s="363">
        <f>AVERAGE(I13)</f>
        <v>127.07264957264958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100.67267316215617</v>
      </c>
      <c r="G7" s="380"/>
      <c r="H7" s="381">
        <f>AVERAGE(D14:H14)</f>
        <v>98.01166489642722</v>
      </c>
      <c r="I7" s="381"/>
      <c r="J7" s="381">
        <f>AVERAGE(I14)</f>
        <v>113.97771449080101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0.89518596863246824</v>
      </c>
      <c r="G8" s="360"/>
      <c r="H8" s="360">
        <f>AVERAGE(D15:H15)</f>
        <v>0.8948333174566756</v>
      </c>
      <c r="I8" s="360"/>
      <c r="J8" s="360">
        <f>AVERAGE(I15)</f>
        <v>0.89694922451143211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VALUE('1005'!L15)</f>
        <v>132.49847374847374</v>
      </c>
      <c r="E13" s="227">
        <f>VALUE('1005'!L26)</f>
        <v>146.73344017094016</v>
      </c>
      <c r="F13" s="227">
        <f>VALUE('1005'!L37)</f>
        <v>90.07598039215685</v>
      </c>
      <c r="G13" s="227">
        <f>VALUE('1005'!L48)</f>
        <v>90.685661764705884</v>
      </c>
      <c r="H13" s="227">
        <f>VALUE('1005'!L58)</f>
        <v>87.805010893246177</v>
      </c>
      <c r="I13" s="227">
        <f>VALUE('1005'!L69)</f>
        <v>127.07264957264958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VALUE('1005'!O15)</f>
        <v>121.8903881262809</v>
      </c>
      <c r="E14" s="227">
        <f>VALUE('1005'!O26)</f>
        <v>128.84787356618344</v>
      </c>
      <c r="F14" s="227">
        <f>VALUE('1005'!O37)</f>
        <v>74.659691367705818</v>
      </c>
      <c r="G14" s="227">
        <f>VALUE('1005'!O48)</f>
        <v>77.474999999999952</v>
      </c>
      <c r="H14" s="227">
        <f>VALUE('1005'!O58)</f>
        <v>87.185371421965968</v>
      </c>
      <c r="I14" s="227">
        <f>VALUE('1005'!O69)</f>
        <v>113.97771449080101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0.91993805421237884</v>
      </c>
      <c r="E15" s="248">
        <f t="shared" ref="E15:I15" si="0">E14/E13</f>
        <v>0.87810844900848395</v>
      </c>
      <c r="F15" s="248">
        <f t="shared" si="0"/>
        <v>0.82885238709216014</v>
      </c>
      <c r="G15" s="248">
        <f t="shared" si="0"/>
        <v>0.85432469138304934</v>
      </c>
      <c r="H15" s="248">
        <f t="shared" si="0"/>
        <v>0.99294300558730564</v>
      </c>
      <c r="I15" s="248">
        <f t="shared" si="0"/>
        <v>0.89694922451143211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'1005'!T5</f>
        <v>0.2902777777777778</v>
      </c>
      <c r="E16" s="98">
        <f>'1005'!T16</f>
        <v>0.28958333333333336</v>
      </c>
      <c r="F16" s="98">
        <f>'1005'!T27</f>
        <v>0.29166666666666669</v>
      </c>
      <c r="G16" s="98">
        <f>'1005'!T38</f>
        <v>0.33263888888888887</v>
      </c>
      <c r="H16" s="98">
        <f>'1005'!T49</f>
        <v>0.28888888888888886</v>
      </c>
      <c r="I16" s="98">
        <f>'1005'!T59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0.63888888888888884</v>
      </c>
      <c r="E17" s="41">
        <v>0.49722222222222223</v>
      </c>
      <c r="F17" s="41">
        <v>0.56597222222222221</v>
      </c>
      <c r="G17" s="59">
        <v>0.46180555555555558</v>
      </c>
      <c r="H17" s="44">
        <v>0.65625</v>
      </c>
      <c r="I17" s="20">
        <v>0.49652777777777779</v>
      </c>
      <c r="J17" s="294"/>
    </row>
    <row r="18" spans="2:10" ht="17.25" customHeight="1" x14ac:dyDescent="0.25">
      <c r="B18" s="481" t="s">
        <v>105</v>
      </c>
      <c r="C18" s="355"/>
      <c r="D18" s="229">
        <f>VALUE('1005'!M15)</f>
        <v>14.5</v>
      </c>
      <c r="E18" s="229">
        <f>VALUE('1005'!M26)</f>
        <v>13.666666666666666</v>
      </c>
      <c r="F18" s="229">
        <f>VALUE('1005'!M37)</f>
        <v>16.75</v>
      </c>
      <c r="G18" s="229">
        <f>VALUE('1005'!M48)</f>
        <v>16.5</v>
      </c>
      <c r="H18" s="229">
        <f>VALUE('1005'!M58)</f>
        <v>17.333333333333332</v>
      </c>
      <c r="I18" s="229">
        <f>VALUE('1005'!M69)</f>
        <v>12.333333333333334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920E-071F-441D-BE18-053E4E744062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U61" sqref="U61"/>
      <selection pane="topRight" activeCell="U61" sqref="U61"/>
      <selection pane="bottomLeft" activeCell="U61" sqref="U61"/>
      <selection pane="bottomRight" activeCell="K28" sqref="K28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44134</v>
      </c>
      <c r="F1" s="185" t="s">
        <v>9</v>
      </c>
      <c r="G1" s="4">
        <f>SUM(H5:H79)</f>
        <v>2173287.62</v>
      </c>
      <c r="H1" s="183" t="s">
        <v>10</v>
      </c>
      <c r="I1" s="5">
        <f>M15+M26+M48+M58+M69+M79+M37</f>
        <v>91.083333333333329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190</v>
      </c>
      <c r="B2" s="461"/>
      <c r="C2" s="184"/>
      <c r="D2" s="184" t="s">
        <v>1</v>
      </c>
      <c r="E2" s="7">
        <f>AVERAGE(O15,O26,O37,O48,O58,O69,O79)</f>
        <v>100.67267316215617</v>
      </c>
      <c r="F2" s="8" t="s">
        <v>2</v>
      </c>
      <c r="G2" s="9">
        <f>G1/E1</f>
        <v>49.24293333937554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1371</v>
      </c>
      <c r="H5" s="109">
        <f>F5*G5</f>
        <v>78434.91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1750.2127659574471</v>
      </c>
      <c r="O5" s="112">
        <f>N5/M5</f>
        <v>134.63175122749593</v>
      </c>
      <c r="P5" s="114">
        <f>M5-J5</f>
        <v>0</v>
      </c>
      <c r="Q5" s="115">
        <f>O5-L5</f>
        <v>-19.214402618657914</v>
      </c>
      <c r="R5" s="192">
        <f>O5/L5</f>
        <v>0.87510638297872356</v>
      </c>
      <c r="S5" s="408">
        <f>R15</f>
        <v>0.91993805421237884</v>
      </c>
      <c r="T5" s="97">
        <v>0.2902777777777778</v>
      </c>
      <c r="U5" s="97">
        <v>0.32291666666666669</v>
      </c>
      <c r="V5" s="202"/>
      <c r="W5" s="110">
        <f t="shared" ref="W5:W14" si="0">(U5-T5)*24*60</f>
        <v>46.999999999999993</v>
      </c>
      <c r="X5" s="196"/>
      <c r="Y5" s="196"/>
      <c r="Z5" s="423"/>
      <c r="AA5" s="423"/>
      <c r="AB5" s="114">
        <f>N5-K5</f>
        <v>-249.78723404255288</v>
      </c>
      <c r="AC5" s="192">
        <f>N5/K5</f>
        <v>0.87510638297872356</v>
      </c>
      <c r="AD5" s="391">
        <f>AC15</f>
        <v>0.92286106820509306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2242</v>
      </c>
      <c r="H6" s="15">
        <f t="shared" ref="H6:H14" si="1">F6*G6</f>
        <v>128264.82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1660.7407407407402</v>
      </c>
      <c r="O6" s="17">
        <f>N6/M6</f>
        <v>118.62433862433859</v>
      </c>
      <c r="P6" s="18">
        <f>M6-J6</f>
        <v>0</v>
      </c>
      <c r="Q6" s="19">
        <f>O6-L6</f>
        <v>-16.73280423280427</v>
      </c>
      <c r="R6" s="193">
        <f>O6/L6</f>
        <v>0.87638033812176264</v>
      </c>
      <c r="S6" s="409"/>
      <c r="T6" s="98">
        <v>0.3298611111111111</v>
      </c>
      <c r="U6" s="98">
        <v>0.38611111111111113</v>
      </c>
      <c r="V6" s="185"/>
      <c r="W6" s="190">
        <f t="shared" si="0"/>
        <v>81.000000000000028</v>
      </c>
      <c r="X6" s="22"/>
      <c r="Y6" s="22"/>
      <c r="Z6" s="446"/>
      <c r="AA6" s="446"/>
      <c r="AB6" s="18">
        <f>N6-K6</f>
        <v>-234.25925925925981</v>
      </c>
      <c r="AC6" s="193">
        <f>N6/K6</f>
        <v>0.87638033812176264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5190</v>
      </c>
      <c r="H7" s="15">
        <f t="shared" si="1"/>
        <v>255036.6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1934.1614906832299</v>
      </c>
      <c r="O7" s="17">
        <f>N7/M7</f>
        <v>148.78165312947922</v>
      </c>
      <c r="P7" s="18">
        <f>M7-J7</f>
        <v>0</v>
      </c>
      <c r="Q7" s="19">
        <f>O7-L7</f>
        <v>-5.0645007166746154</v>
      </c>
      <c r="R7" s="193">
        <f>O7/L7</f>
        <v>0.96708074534161503</v>
      </c>
      <c r="S7" s="409"/>
      <c r="T7" s="98">
        <v>0.39444444444444443</v>
      </c>
      <c r="U7" s="98">
        <v>0.50624999999999998</v>
      </c>
      <c r="V7" s="185">
        <f>(T7-U6)*24*60</f>
        <v>11.999999999999957</v>
      </c>
      <c r="W7" s="190">
        <f t="shared" si="0"/>
        <v>161</v>
      </c>
      <c r="X7" s="22"/>
      <c r="Y7" s="22"/>
      <c r="Z7" s="400"/>
      <c r="AA7" s="400"/>
      <c r="AB7" s="18">
        <f>N7-K7</f>
        <v>-65.838509316770114</v>
      </c>
      <c r="AC7" s="193">
        <f>N7/K7</f>
        <v>0.96708074534161492</v>
      </c>
      <c r="AD7" s="392"/>
    </row>
    <row r="8" spans="1:30" ht="15" customHeight="1" x14ac:dyDescent="0.25">
      <c r="A8" s="465"/>
      <c r="B8" s="56" t="s">
        <v>140</v>
      </c>
      <c r="C8" s="23"/>
      <c r="D8" s="11" t="s">
        <v>66</v>
      </c>
      <c r="E8" s="12"/>
      <c r="F8" s="56">
        <f>VLOOKUP(D8,廠價表!$C$1:$E$39,3,0)</f>
        <v>49.97</v>
      </c>
      <c r="G8" s="67">
        <v>898</v>
      </c>
      <c r="H8" s="77">
        <f t="shared" si="1"/>
        <v>44873.06</v>
      </c>
      <c r="I8" s="185"/>
      <c r="J8" s="16">
        <f>VLOOKUP(D8,產線配置圖!$A$2:$C$38,2,0)</f>
        <v>18</v>
      </c>
      <c r="K8" s="14">
        <f>VLOOKUP(D8,產線配置圖!$A$2:$C$38,3,0)</f>
        <v>1565</v>
      </c>
      <c r="L8" s="17">
        <f t="shared" ref="L8" si="2">K8/J8</f>
        <v>86.944444444444443</v>
      </c>
      <c r="M8" s="182">
        <v>18</v>
      </c>
      <c r="N8" s="78">
        <f t="shared" ref="N8" si="3">G8/W8*60</f>
        <v>1539.428571428577</v>
      </c>
      <c r="O8" s="79">
        <f t="shared" ref="O8" si="4">N8/M8</f>
        <v>85.523809523809831</v>
      </c>
      <c r="P8" s="18">
        <f t="shared" ref="P8" si="5">M8-J8</f>
        <v>0</v>
      </c>
      <c r="Q8" s="19">
        <f t="shared" ref="Q8" si="6">O8-L8</f>
        <v>-1.4206349206346118</v>
      </c>
      <c r="R8" s="193">
        <f t="shared" ref="R8" si="7">O8/L8</f>
        <v>0.98366042902784467</v>
      </c>
      <c r="S8" s="409"/>
      <c r="T8" s="80">
        <v>0.61458333333333337</v>
      </c>
      <c r="U8" s="80">
        <v>0.63888888888888884</v>
      </c>
      <c r="V8" s="185">
        <f>(T8-U7)*24*60</f>
        <v>156.00000000000009</v>
      </c>
      <c r="W8" s="190">
        <f t="shared" si="0"/>
        <v>34.999999999999872</v>
      </c>
      <c r="X8" s="22">
        <v>0.52083333333333337</v>
      </c>
      <c r="Y8" s="22">
        <v>0.60416666666666663</v>
      </c>
      <c r="Z8" s="447" t="s">
        <v>189</v>
      </c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>
        <f t="shared" si="1"/>
        <v>0</v>
      </c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>
        <f t="shared" si="1"/>
        <v>0</v>
      </c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59"/>
      <c r="AA11" s="460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4"/>
      <c r="AA12" s="44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8">AVERAGE(J5:J14)</f>
        <v>14.5</v>
      </c>
      <c r="K15" s="121">
        <f t="shared" si="8"/>
        <v>1865</v>
      </c>
      <c r="L15" s="118">
        <f t="shared" si="8"/>
        <v>132.49847374847374</v>
      </c>
      <c r="M15" s="121">
        <f t="shared" si="8"/>
        <v>14.5</v>
      </c>
      <c r="N15" s="121">
        <f t="shared" si="8"/>
        <v>1721.1358922024986</v>
      </c>
      <c r="O15" s="118">
        <f t="shared" si="8"/>
        <v>121.8903881262809</v>
      </c>
      <c r="P15" s="122">
        <f t="shared" ref="P15:P18" si="9">M15-J15</f>
        <v>0</v>
      </c>
      <c r="Q15" s="123">
        <f t="shared" ref="Q15:Q18" si="10">O15-L15</f>
        <v>-10.608085622192846</v>
      </c>
      <c r="R15" s="124">
        <f t="shared" ref="R15:R18" si="11">O15/L15</f>
        <v>0.91993805421237884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-143.86410779750145</v>
      </c>
      <c r="AC15" s="195">
        <f>N15/K15</f>
        <v>0.92286106820509306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1426</v>
      </c>
      <c r="H16" s="128">
        <f t="shared" ref="H16:H25" si="12">F16*G16</f>
        <v>81581.460000000006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1782.5000000000005</v>
      </c>
      <c r="O16" s="131">
        <f>N16/M16</f>
        <v>137.11538461538464</v>
      </c>
      <c r="P16" s="132">
        <f t="shared" si="9"/>
        <v>0</v>
      </c>
      <c r="Q16" s="133">
        <f t="shared" si="10"/>
        <v>-16.730769230769198</v>
      </c>
      <c r="R16" s="197">
        <f t="shared" si="11"/>
        <v>0.89125000000000021</v>
      </c>
      <c r="S16" s="433">
        <f>R26</f>
        <v>0.87810844900848395</v>
      </c>
      <c r="T16" s="288">
        <v>0.28958333333333336</v>
      </c>
      <c r="U16" s="288">
        <v>0.32291666666666669</v>
      </c>
      <c r="V16" s="129"/>
      <c r="W16" s="134">
        <f t="shared" ref="W16:W68" si="13">(U16-T16)*24*60</f>
        <v>47.999999999999986</v>
      </c>
      <c r="X16" s="131"/>
      <c r="Y16" s="131"/>
      <c r="Z16" s="423"/>
      <c r="AA16" s="423"/>
      <c r="AB16" s="114">
        <f>N16-K16</f>
        <v>-217.49999999999955</v>
      </c>
      <c r="AC16" s="192">
        <f>N16/K16</f>
        <v>0.89125000000000021</v>
      </c>
      <c r="AD16" s="391">
        <f>AC26</f>
        <v>0.87347273270504966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1642</v>
      </c>
      <c r="H17" s="15">
        <f t="shared" si="12"/>
        <v>83200.14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1563.8095238095234</v>
      </c>
      <c r="O17" s="38">
        <f>N17/M17</f>
        <v>97.738095238095212</v>
      </c>
      <c r="P17" s="39">
        <f t="shared" si="9"/>
        <v>0</v>
      </c>
      <c r="Q17" s="40">
        <f t="shared" si="10"/>
        <v>-21.949404761904788</v>
      </c>
      <c r="R17" s="198">
        <f t="shared" si="11"/>
        <v>0.81661071739400704</v>
      </c>
      <c r="S17" s="434"/>
      <c r="T17" s="41">
        <v>0.33055555555555555</v>
      </c>
      <c r="U17" s="41">
        <v>0.37430555555555556</v>
      </c>
      <c r="V17" s="185">
        <f>(T17-U16)*24*60</f>
        <v>10.999999999999961</v>
      </c>
      <c r="W17" s="43">
        <f t="shared" si="13"/>
        <v>63.000000000000014</v>
      </c>
      <c r="X17" s="44"/>
      <c r="Y17" s="44"/>
      <c r="Z17" s="399"/>
      <c r="AA17" s="400"/>
      <c r="AB17" s="18">
        <f>N17-K17</f>
        <v>-351.1904761904766</v>
      </c>
      <c r="AC17" s="193">
        <f>N17/K17</f>
        <v>0.81661071739400704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4308</v>
      </c>
      <c r="H18" s="15">
        <f t="shared" si="12"/>
        <v>217080.12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1820.2816901408455</v>
      </c>
      <c r="O18" s="38">
        <f>N18/M18</f>
        <v>151.69014084507046</v>
      </c>
      <c r="P18" s="39">
        <f t="shared" si="9"/>
        <v>0</v>
      </c>
      <c r="Q18" s="40">
        <f t="shared" si="10"/>
        <v>-14.976525821596198</v>
      </c>
      <c r="R18" s="198">
        <f t="shared" si="11"/>
        <v>0.91014084507042281</v>
      </c>
      <c r="S18" s="434"/>
      <c r="T18" s="41">
        <v>0.39861111111111114</v>
      </c>
      <c r="U18" s="41">
        <v>0.49722222222222223</v>
      </c>
      <c r="V18" s="185">
        <f>(T18-U17)*24*60</f>
        <v>35.000000000000036</v>
      </c>
      <c r="W18" s="43">
        <f t="shared" si="13"/>
        <v>141.99999999999997</v>
      </c>
      <c r="X18" s="22"/>
      <c r="Y18" s="22"/>
      <c r="Z18" s="399"/>
      <c r="AA18" s="400"/>
      <c r="AB18" s="18">
        <f>N18-K18</f>
        <v>-179.71830985915449</v>
      </c>
      <c r="AC18" s="193">
        <f>N18/K18</f>
        <v>0.91014084507042281</v>
      </c>
      <c r="AD18" s="392"/>
    </row>
    <row r="19" spans="1:30" ht="15" customHeight="1" x14ac:dyDescent="0.25">
      <c r="A19" s="439"/>
      <c r="B19" s="56"/>
      <c r="C19" s="23"/>
      <c r="D19" s="11"/>
      <c r="E19" s="12"/>
      <c r="F19" s="56"/>
      <c r="G19" s="99"/>
      <c r="H19" s="15"/>
      <c r="I19" s="42"/>
      <c r="J19" s="16"/>
      <c r="K19" s="14"/>
      <c r="L19" s="17"/>
      <c r="M19" s="37"/>
      <c r="N19" s="36"/>
      <c r="O19" s="38"/>
      <c r="P19" s="39"/>
      <c r="Q19" s="40"/>
      <c r="R19" s="198"/>
      <c r="S19" s="434"/>
      <c r="T19" s="41"/>
      <c r="U19" s="41"/>
      <c r="V19" s="185"/>
      <c r="W19" s="43">
        <f t="shared" si="13"/>
        <v>0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>
        <f t="shared" si="12"/>
        <v>0</v>
      </c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13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13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13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4">AVERAGE(J16:J25)</f>
        <v>13.666666666666666</v>
      </c>
      <c r="K26" s="137">
        <f t="shared" si="14"/>
        <v>1971.6666666666667</v>
      </c>
      <c r="L26" s="140">
        <f t="shared" si="14"/>
        <v>146.73344017094016</v>
      </c>
      <c r="M26" s="137">
        <f t="shared" si="14"/>
        <v>13.666666666666666</v>
      </c>
      <c r="N26" s="137">
        <f t="shared" si="14"/>
        <v>1722.1970713167896</v>
      </c>
      <c r="O26" s="140">
        <f t="shared" si="14"/>
        <v>128.84787356618344</v>
      </c>
      <c r="P26" s="141">
        <f t="shared" ref="P26:P30" si="15">M26-J26</f>
        <v>0</v>
      </c>
      <c r="Q26" s="142">
        <f t="shared" ref="Q26:Q30" si="16">O26-L26</f>
        <v>-17.885566604756718</v>
      </c>
      <c r="R26" s="143">
        <f t="shared" ref="R26:R30" si="17">O26/L26</f>
        <v>0.87810844900848395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-249.46959534987718</v>
      </c>
      <c r="AC26" s="195">
        <f>N26/K26</f>
        <v>0.87347273270504966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1060</v>
      </c>
      <c r="H27" s="128">
        <f t="shared" ref="H27:H36" si="18">F27*G27</f>
        <v>53636</v>
      </c>
      <c r="I27" s="129"/>
      <c r="J27" s="111">
        <v>17</v>
      </c>
      <c r="K27" s="252">
        <v>1636</v>
      </c>
      <c r="L27" s="112">
        <f>K27/J27</f>
        <v>96.235294117647058</v>
      </c>
      <c r="M27" s="147">
        <v>17</v>
      </c>
      <c r="N27" s="130">
        <f>G27/W27*60</f>
        <v>1156.3636363636369</v>
      </c>
      <c r="O27" s="131">
        <f>N27/M27</f>
        <v>68.021390374331588</v>
      </c>
      <c r="P27" s="132">
        <f t="shared" si="15"/>
        <v>0</v>
      </c>
      <c r="Q27" s="133">
        <f t="shared" si="16"/>
        <v>-28.21390374331547</v>
      </c>
      <c r="R27" s="197">
        <f t="shared" si="17"/>
        <v>0.70682373860858005</v>
      </c>
      <c r="S27" s="433">
        <f>R37</f>
        <v>0.82885238709216014</v>
      </c>
      <c r="T27" s="97">
        <v>0.29166666666666669</v>
      </c>
      <c r="U27" s="97">
        <v>0.3298611111111111</v>
      </c>
      <c r="V27" s="129"/>
      <c r="W27" s="134">
        <f t="shared" si="13"/>
        <v>54.999999999999964</v>
      </c>
      <c r="X27" s="129"/>
      <c r="Y27" s="129" t="s">
        <v>158</v>
      </c>
      <c r="Z27" s="414" t="s">
        <v>193</v>
      </c>
      <c r="AA27" s="423"/>
      <c r="AB27" s="114">
        <f>N27-K27</f>
        <v>-479.63636363636306</v>
      </c>
      <c r="AC27" s="148">
        <f>N27/K27</f>
        <v>0.70682373860858005</v>
      </c>
      <c r="AD27" s="391">
        <f>AC37</f>
        <v>0.79450084150845246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1418</v>
      </c>
      <c r="H28" s="50">
        <f t="shared" si="18"/>
        <v>81123.78</v>
      </c>
      <c r="I28" s="42"/>
      <c r="J28" s="16">
        <v>17</v>
      </c>
      <c r="K28" s="14">
        <v>1636</v>
      </c>
      <c r="L28" s="251">
        <f>K28/J28</f>
        <v>96.235294117647058</v>
      </c>
      <c r="M28" s="21">
        <v>16</v>
      </c>
      <c r="N28" s="36">
        <f>G28/W28*60</f>
        <v>1233.0434782608695</v>
      </c>
      <c r="O28" s="38">
        <f>N28/M28</f>
        <v>77.065217391304344</v>
      </c>
      <c r="P28" s="39">
        <f t="shared" si="15"/>
        <v>-1</v>
      </c>
      <c r="Q28" s="40">
        <f t="shared" si="16"/>
        <v>-19.170076726342714</v>
      </c>
      <c r="R28" s="198">
        <f t="shared" si="17"/>
        <v>0.80079993621771017</v>
      </c>
      <c r="S28" s="434"/>
      <c r="T28" s="291">
        <v>0.33402777777777776</v>
      </c>
      <c r="U28" s="291">
        <v>0.38194444444444442</v>
      </c>
      <c r="V28" s="42">
        <f>(T28-U27)*24*60</f>
        <v>5.9999999999999787</v>
      </c>
      <c r="W28" s="43">
        <f t="shared" si="13"/>
        <v>69</v>
      </c>
      <c r="X28" s="54"/>
      <c r="Y28" s="54"/>
      <c r="Z28" s="399"/>
      <c r="AA28" s="400"/>
      <c r="AB28" s="34">
        <f>N28-K28</f>
        <v>-402.95652173913049</v>
      </c>
      <c r="AC28" s="194">
        <f>N28/K28</f>
        <v>0.75369405761666841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2133</v>
      </c>
      <c r="H29" s="50">
        <f t="shared" si="18"/>
        <v>117592.29000000001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17</v>
      </c>
      <c r="N29" s="36">
        <f>G29/W29*60</f>
        <v>1122.6315789473683</v>
      </c>
      <c r="O29" s="38">
        <f>N29/M29</f>
        <v>66.037151702786375</v>
      </c>
      <c r="P29" s="39">
        <f t="shared" si="15"/>
        <v>-1</v>
      </c>
      <c r="Q29" s="40">
        <f t="shared" si="16"/>
        <v>-10.907292741658068</v>
      </c>
      <c r="R29" s="198">
        <f t="shared" si="17"/>
        <v>0.85824457086653771</v>
      </c>
      <c r="S29" s="434"/>
      <c r="T29" s="41">
        <v>0.39305555555555555</v>
      </c>
      <c r="U29" s="41">
        <v>0.47222222222222221</v>
      </c>
      <c r="V29" s="42">
        <f>(T29-U28)*24*60</f>
        <v>16.000000000000021</v>
      </c>
      <c r="W29" s="43">
        <f t="shared" si="13"/>
        <v>114</v>
      </c>
      <c r="X29" s="54"/>
      <c r="Y29" s="54"/>
      <c r="Z29" s="442"/>
      <c r="AA29" s="443"/>
      <c r="AB29" s="275">
        <f t="shared" ref="AB29:AB30" si="19">N29-K29</f>
        <v>-262.36842105263167</v>
      </c>
      <c r="AC29" s="276">
        <f t="shared" ref="AC29:AC30" si="20">N29/K29</f>
        <v>0.81056431692950781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1215</v>
      </c>
      <c r="H30" s="257">
        <f>F30*G30</f>
        <v>57834</v>
      </c>
      <c r="I30" s="82"/>
      <c r="J30" s="16">
        <f>VLOOKUP(D30,產線配置圖!$A$2:$C$38,2,0)</f>
        <v>18</v>
      </c>
      <c r="K30" s="14">
        <f>VLOOKUP(D30,產線配置圖!$A$2:$C$38,3,0)</f>
        <v>1636</v>
      </c>
      <c r="L30" s="251">
        <f>K30/J30</f>
        <v>90.888888888888886</v>
      </c>
      <c r="M30" s="21">
        <v>17</v>
      </c>
      <c r="N30" s="36">
        <f>G30/W30*60</f>
        <v>1487.7551020408168</v>
      </c>
      <c r="O30" s="38">
        <f>N30/M30</f>
        <v>87.515006002400995</v>
      </c>
      <c r="P30" s="39">
        <f t="shared" si="15"/>
        <v>-1</v>
      </c>
      <c r="Q30" s="40">
        <f t="shared" si="16"/>
        <v>-3.3738828864878911</v>
      </c>
      <c r="R30" s="198">
        <f t="shared" si="17"/>
        <v>0.96287903914622119</v>
      </c>
      <c r="S30" s="434"/>
      <c r="T30" s="41">
        <v>0.53194444444444444</v>
      </c>
      <c r="U30" s="41">
        <v>0.56597222222222221</v>
      </c>
      <c r="V30" s="42">
        <f>(T30-U29)*24*60</f>
        <v>86.000000000000014</v>
      </c>
      <c r="W30" s="43">
        <f t="shared" si="13"/>
        <v>48.999999999999986</v>
      </c>
      <c r="X30" s="54">
        <v>0.46875</v>
      </c>
      <c r="Y30" s="54">
        <v>0.51041666666666663</v>
      </c>
      <c r="Z30" s="479" t="s">
        <v>188</v>
      </c>
      <c r="AA30" s="480"/>
      <c r="AB30" s="275">
        <f t="shared" si="19"/>
        <v>-148.24489795918316</v>
      </c>
      <c r="AC30" s="276">
        <f t="shared" si="20"/>
        <v>0.90938575919365328</v>
      </c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50"/>
      <c r="I31" s="4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13"/>
        <v>0</v>
      </c>
      <c r="X31" s="54"/>
      <c r="Y31" s="54"/>
      <c r="Z31" s="477"/>
      <c r="AA31" s="478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8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13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8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13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8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13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8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13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8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13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21">AVERAGE(J27:J36)</f>
        <v>17.5</v>
      </c>
      <c r="K37" s="137">
        <f t="shared" si="21"/>
        <v>1573.25</v>
      </c>
      <c r="L37" s="140">
        <f t="shared" si="21"/>
        <v>90.07598039215685</v>
      </c>
      <c r="M37" s="137">
        <f t="shared" si="21"/>
        <v>16.75</v>
      </c>
      <c r="N37" s="137">
        <f t="shared" si="21"/>
        <v>1249.9484489031729</v>
      </c>
      <c r="O37" s="140">
        <f t="shared" si="21"/>
        <v>74.659691367705818</v>
      </c>
      <c r="P37" s="141">
        <f>M37-J37</f>
        <v>-0.75</v>
      </c>
      <c r="Q37" s="142">
        <f>N37-K37</f>
        <v>-323.3015510968271</v>
      </c>
      <c r="R37" s="143">
        <f t="shared" ref="R37:R39" si="22">O37/L37</f>
        <v>0.82885238709216014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23">N37-K37</f>
        <v>-323.3015510968271</v>
      </c>
      <c r="AC37" s="195">
        <f t="shared" ref="AC37:AC39" si="24">N37/K37</f>
        <v>0.79450084150845246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2482</v>
      </c>
      <c r="H38" s="152">
        <f>F38*G38</f>
        <v>123876.62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17</v>
      </c>
      <c r="N38" s="154">
        <f>G38/W38*60</f>
        <v>1551.2499999999991</v>
      </c>
      <c r="O38" s="155">
        <f>N38/M38</f>
        <v>91.249999999999943</v>
      </c>
      <c r="P38" s="132">
        <f>M38-J38</f>
        <v>0</v>
      </c>
      <c r="Q38" s="133">
        <f>O38-L38</f>
        <v>-0.80882352941182489</v>
      </c>
      <c r="R38" s="156">
        <f t="shared" si="22"/>
        <v>0.99121405750798652</v>
      </c>
      <c r="S38" s="408">
        <f>R48</f>
        <v>0.85432469138304934</v>
      </c>
      <c r="T38" s="157">
        <v>0.33263888888888887</v>
      </c>
      <c r="U38" s="157">
        <v>0.39930555555555558</v>
      </c>
      <c r="V38" s="153"/>
      <c r="W38" s="158">
        <f t="shared" si="13"/>
        <v>96.000000000000057</v>
      </c>
      <c r="X38" s="155"/>
      <c r="Y38" s="159"/>
      <c r="Z38" s="427"/>
      <c r="AA38" s="427"/>
      <c r="AB38" s="160">
        <f t="shared" si="23"/>
        <v>-13.750000000000909</v>
      </c>
      <c r="AC38" s="161">
        <f t="shared" si="24"/>
        <v>0.99121405750798663</v>
      </c>
      <c r="AD38" s="388">
        <f>AC48</f>
        <v>0.85853373413493606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60</v>
      </c>
      <c r="E39" s="89"/>
      <c r="F39" s="56">
        <f>VLOOKUP(D39,廠價表!$C$1:$E$39,3,0)</f>
        <v>58.17</v>
      </c>
      <c r="G39" s="102">
        <v>1274</v>
      </c>
      <c r="H39" s="64">
        <f>F39*G39</f>
        <v>74108.58</v>
      </c>
      <c r="I39" s="65"/>
      <c r="J39" s="16">
        <f>VLOOKUP(D39,產線配置圖!$A$2:$C$38,2,0)</f>
        <v>16</v>
      </c>
      <c r="K39" s="14">
        <f>VLOOKUP(D39,產線配置圖!$A$2:$C$38,3,0)</f>
        <v>1429</v>
      </c>
      <c r="L39" s="17">
        <f>K39/J39</f>
        <v>89.3125</v>
      </c>
      <c r="M39" s="66">
        <v>16</v>
      </c>
      <c r="N39" s="67">
        <f t="shared" ref="N39" si="25">G39/W39*60</f>
        <v>1019.1999999999992</v>
      </c>
      <c r="O39" s="68">
        <f t="shared" ref="O39" si="26">N39/M39</f>
        <v>63.699999999999953</v>
      </c>
      <c r="P39" s="39">
        <f t="shared" ref="P39" si="27">M39-J39</f>
        <v>0</v>
      </c>
      <c r="Q39" s="40">
        <f t="shared" ref="Q39" si="28">O39-L39</f>
        <v>-25.612500000000047</v>
      </c>
      <c r="R39" s="69">
        <f t="shared" si="22"/>
        <v>0.71322603219034242</v>
      </c>
      <c r="S39" s="409"/>
      <c r="T39" s="59">
        <v>0.40972222222222221</v>
      </c>
      <c r="U39" s="59">
        <v>0.46180555555555558</v>
      </c>
      <c r="V39" s="42">
        <f t="shared" ref="V39" si="29">(T39-U38)*24*60</f>
        <v>14.999999999999947</v>
      </c>
      <c r="W39" s="70">
        <f t="shared" si="13"/>
        <v>75.000000000000057</v>
      </c>
      <c r="X39" s="58"/>
      <c r="Y39" s="60"/>
      <c r="Z39" s="428" t="s">
        <v>192</v>
      </c>
      <c r="AA39" s="475"/>
      <c r="AB39" s="292">
        <f t="shared" si="23"/>
        <v>-409.80000000000075</v>
      </c>
      <c r="AC39" s="62">
        <f t="shared" si="24"/>
        <v>0.71322603219034242</v>
      </c>
      <c r="AD39" s="389"/>
    </row>
    <row r="40" spans="1:30" s="63" customFormat="1" ht="15" customHeight="1" x14ac:dyDescent="0.25">
      <c r="A40" s="425"/>
      <c r="B40" s="56"/>
      <c r="C40" s="10"/>
      <c r="D40" s="11"/>
      <c r="E40" s="89"/>
      <c r="F40" s="56"/>
      <c r="G40" s="102"/>
      <c r="H40" s="64"/>
      <c r="I40" s="65"/>
      <c r="J40" s="16"/>
      <c r="K40" s="14"/>
      <c r="L40" s="17"/>
      <c r="M40" s="66"/>
      <c r="N40" s="67"/>
      <c r="O40" s="68"/>
      <c r="P40" s="39"/>
      <c r="Q40" s="40"/>
      <c r="R40" s="69"/>
      <c r="S40" s="409"/>
      <c r="T40" s="59"/>
      <c r="U40" s="59"/>
      <c r="V40" s="42"/>
      <c r="W40" s="70">
        <f t="shared" si="13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13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13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30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30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31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30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31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30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31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30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31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2">AVERAGE(J38:J47)</f>
        <v>16.5</v>
      </c>
      <c r="K48" s="137">
        <f t="shared" si="32"/>
        <v>1497</v>
      </c>
      <c r="L48" s="140">
        <f t="shared" si="32"/>
        <v>90.685661764705884</v>
      </c>
      <c r="M48" s="137">
        <f t="shared" si="32"/>
        <v>16.5</v>
      </c>
      <c r="N48" s="137">
        <f t="shared" si="32"/>
        <v>1285.2249999999992</v>
      </c>
      <c r="O48" s="140">
        <f t="shared" si="32"/>
        <v>77.474999999999952</v>
      </c>
      <c r="P48" s="164">
        <f>M48-J48</f>
        <v>0</v>
      </c>
      <c r="Q48" s="165">
        <f>N48-K48</f>
        <v>-211.77500000000077</v>
      </c>
      <c r="R48" s="166">
        <f>O48/L48</f>
        <v>0.85432469138304934</v>
      </c>
      <c r="S48" s="412"/>
      <c r="T48" s="167"/>
      <c r="U48" s="167"/>
      <c r="V48" s="204"/>
      <c r="W48" s="168">
        <f t="shared" si="31"/>
        <v>0</v>
      </c>
      <c r="X48" s="169"/>
      <c r="Y48" s="169"/>
      <c r="Z48" s="401"/>
      <c r="AA48" s="401"/>
      <c r="AB48" s="170">
        <f>N48-K48</f>
        <v>-211.77500000000077</v>
      </c>
      <c r="AC48" s="199">
        <f>N48/K48</f>
        <v>0.85853373413493606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4422</v>
      </c>
      <c r="H49" s="128">
        <f t="shared" ref="H49:H57" si="33">F49*G49</f>
        <v>220967.34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1560.705882352941</v>
      </c>
      <c r="O49" s="131">
        <f>N49/M49</f>
        <v>86.70588235294116</v>
      </c>
      <c r="P49" s="171">
        <f>M49-J49</f>
        <v>0</v>
      </c>
      <c r="Q49" s="115">
        <f>O49-L49</f>
        <v>-0.23856209150328311</v>
      </c>
      <c r="R49" s="192">
        <f>O49/L49</f>
        <v>0.99725615485810926</v>
      </c>
      <c r="S49" s="408">
        <f>R58</f>
        <v>0.99294300558730564</v>
      </c>
      <c r="T49" s="157">
        <v>0.28888888888888886</v>
      </c>
      <c r="U49" s="157">
        <v>0.40694444444444444</v>
      </c>
      <c r="V49" s="196"/>
      <c r="W49" s="158">
        <f t="shared" si="13"/>
        <v>170.00000000000003</v>
      </c>
      <c r="X49" s="196"/>
      <c r="Y49" s="196"/>
      <c r="Z49" s="423"/>
      <c r="AA49" s="423"/>
      <c r="AB49" s="114">
        <f>N49-K49</f>
        <v>-4.2941176470590108</v>
      </c>
      <c r="AC49" s="192">
        <f>N49/K49</f>
        <v>0.99725615485810926</v>
      </c>
      <c r="AD49" s="391">
        <f>AC58</f>
        <v>0.99302515331286001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2264</v>
      </c>
      <c r="H50" s="77">
        <f t="shared" si="33"/>
        <v>128753.68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1476.5217391304348</v>
      </c>
      <c r="O50" s="79">
        <f>N50/M50</f>
        <v>86.854219948849106</v>
      </c>
      <c r="P50" s="18">
        <f>M50-J50</f>
        <v>0</v>
      </c>
      <c r="Q50" s="19">
        <f>O50-L50</f>
        <v>-1.3810741687979515</v>
      </c>
      <c r="R50" s="193">
        <f>O50/L50</f>
        <v>0.98434782608695659</v>
      </c>
      <c r="S50" s="409"/>
      <c r="T50" s="80">
        <v>0.41180555555555554</v>
      </c>
      <c r="U50" s="80">
        <v>0.47569444444444442</v>
      </c>
      <c r="V50" s="185">
        <f t="shared" ref="V50:V51" si="34">(T50-U49)*24*60</f>
        <v>6.9999999999999751</v>
      </c>
      <c r="W50" s="81">
        <f t="shared" si="13"/>
        <v>92</v>
      </c>
      <c r="X50" s="22"/>
      <c r="Y50" s="22"/>
      <c r="Z50" s="398"/>
      <c r="AA50" s="399"/>
      <c r="AB50" s="18">
        <f>N50-K50</f>
        <v>-23.478260869565247</v>
      </c>
      <c r="AC50" s="193">
        <f>N50/K50</f>
        <v>0.98434782608695648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4413</v>
      </c>
      <c r="H51" s="77">
        <f t="shared" si="33"/>
        <v>250967.31</v>
      </c>
      <c r="I51" s="185"/>
      <c r="J51" s="16">
        <f>VLOOKUP(D51,產線配置圖!$A$2:$C$38,2,0)</f>
        <v>17</v>
      </c>
      <c r="K51" s="14">
        <f>VLOOKUP(D51,產線配置圖!$A$2:$C$38,3,0)</f>
        <v>1500</v>
      </c>
      <c r="L51" s="17">
        <f t="shared" ref="L51" si="35">K51/J51</f>
        <v>88.235294117647058</v>
      </c>
      <c r="M51" s="182">
        <v>17</v>
      </c>
      <c r="N51" s="78">
        <f t="shared" ref="N51" si="36">G51/W51*60</f>
        <v>1495.9322033898304</v>
      </c>
      <c r="O51" s="79">
        <f t="shared" ref="O51" si="37">N51/M51</f>
        <v>87.996011964107666</v>
      </c>
      <c r="P51" s="18">
        <f t="shared" ref="P51" si="38">M51-J51</f>
        <v>0</v>
      </c>
      <c r="Q51" s="19">
        <f t="shared" ref="Q51" si="39">O51-L51</f>
        <v>-0.23928215353939208</v>
      </c>
      <c r="R51" s="193">
        <f t="shared" ref="R51" si="40">O51/L51</f>
        <v>0.99728813559322027</v>
      </c>
      <c r="S51" s="409"/>
      <c r="T51" s="80">
        <v>0.53333333333333333</v>
      </c>
      <c r="U51" s="44">
        <v>0.65625</v>
      </c>
      <c r="V51" s="185">
        <f t="shared" si="34"/>
        <v>83.000000000000028</v>
      </c>
      <c r="W51" s="81">
        <f t="shared" si="13"/>
        <v>177</v>
      </c>
      <c r="X51" s="22">
        <v>0.47916666666666669</v>
      </c>
      <c r="Y51" s="22">
        <v>0.52083333333333337</v>
      </c>
      <c r="Z51" s="400"/>
      <c r="AA51" s="400"/>
      <c r="AB51" s="51">
        <f>N51-K51</f>
        <v>-4.0677966101695802</v>
      </c>
      <c r="AC51" s="52">
        <f>N51/K51</f>
        <v>0.99728813559322027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13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33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13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3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13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3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13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3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13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3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13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1">AVERAGE(J49:J57)</f>
        <v>17.333333333333332</v>
      </c>
      <c r="K58" s="121">
        <f t="shared" si="41"/>
        <v>1521.6666666666667</v>
      </c>
      <c r="L58" s="118">
        <f t="shared" si="41"/>
        <v>87.805010893246177</v>
      </c>
      <c r="M58" s="121">
        <f t="shared" si="41"/>
        <v>17.333333333333332</v>
      </c>
      <c r="N58" s="121">
        <f t="shared" si="41"/>
        <v>1511.0532749577353</v>
      </c>
      <c r="O58" s="118">
        <f t="shared" si="41"/>
        <v>87.185371421965968</v>
      </c>
      <c r="P58" s="122">
        <f>M58-J58</f>
        <v>0</v>
      </c>
      <c r="Q58" s="123">
        <f>N58-K58</f>
        <v>-10.613391708931431</v>
      </c>
      <c r="R58" s="124">
        <f t="shared" ref="R58:R60" si="42">O58/L58</f>
        <v>0.99294300558730564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43">N58-K58</f>
        <v>-10.613391708931431</v>
      </c>
      <c r="AC58" s="195">
        <f t="shared" ref="AC58:AC61" si="44">N58/K58</f>
        <v>0.99302515331286001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3494</v>
      </c>
      <c r="H59" s="109">
        <f t="shared" ref="H59:H68" si="45">F59*G59</f>
        <v>94303.06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6">G59/W59*60</f>
        <v>1564.4776119402986</v>
      </c>
      <c r="O59" s="112">
        <f t="shared" ref="O59:O61" si="47">N59/M59</f>
        <v>120.34443168771529</v>
      </c>
      <c r="P59" s="114">
        <f t="shared" ref="P59:P61" si="48">M59-J59</f>
        <v>0</v>
      </c>
      <c r="Q59" s="115">
        <f t="shared" ref="Q59:Q61" si="49">O59-L59</f>
        <v>-4.018369690010104E-2</v>
      </c>
      <c r="R59" s="192">
        <f t="shared" si="42"/>
        <v>0.99966620571265097</v>
      </c>
      <c r="S59" s="408">
        <f>R69</f>
        <v>0.89694922451143211</v>
      </c>
      <c r="T59" s="176">
        <v>0.29166666666666669</v>
      </c>
      <c r="U59" s="176">
        <v>0.38472222222222224</v>
      </c>
      <c r="V59" s="196"/>
      <c r="W59" s="110">
        <f t="shared" si="13"/>
        <v>134</v>
      </c>
      <c r="X59" s="196"/>
      <c r="Y59" s="196"/>
      <c r="Z59" s="400"/>
      <c r="AA59" s="400"/>
      <c r="AB59" s="240">
        <f t="shared" si="43"/>
        <v>-0.52238805970137037</v>
      </c>
      <c r="AC59" s="241">
        <f t="shared" si="44"/>
        <v>0.99966620571265086</v>
      </c>
      <c r="AD59" s="391">
        <f>AC69</f>
        <v>0.89958299326018143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993</v>
      </c>
      <c r="H60" s="15">
        <f t="shared" si="45"/>
        <v>28270.71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6"/>
        <v>1385.5813953488371</v>
      </c>
      <c r="O60" s="17">
        <f t="shared" si="47"/>
        <v>115.46511627906976</v>
      </c>
      <c r="P60" s="18">
        <f t="shared" si="48"/>
        <v>0</v>
      </c>
      <c r="Q60" s="19">
        <f t="shared" si="49"/>
        <v>-14.951550387596896</v>
      </c>
      <c r="R60" s="193">
        <f t="shared" si="42"/>
        <v>0.88535552418456054</v>
      </c>
      <c r="S60" s="419"/>
      <c r="T60" s="206">
        <v>0.39374999999999999</v>
      </c>
      <c r="U60" s="206">
        <v>0.4236111111111111</v>
      </c>
      <c r="V60" s="185">
        <f t="shared" ref="V60:V61" si="50">(T60-U59)*24*60</f>
        <v>12.999999999999954</v>
      </c>
      <c r="W60" s="93">
        <f t="shared" si="13"/>
        <v>43.000000000000007</v>
      </c>
      <c r="X60" s="201"/>
      <c r="Y60" s="201"/>
      <c r="Z60" s="400"/>
      <c r="AA60" s="400"/>
      <c r="AB60" s="242">
        <f t="shared" si="43"/>
        <v>-179.41860465116292</v>
      </c>
      <c r="AC60" s="243">
        <f t="shared" si="44"/>
        <v>0.88535552418456043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1889</v>
      </c>
      <c r="H61" s="15">
        <f t="shared" si="45"/>
        <v>53383.14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51">K61/J61</f>
        <v>130.41666666666666</v>
      </c>
      <c r="M61" s="188">
        <v>12</v>
      </c>
      <c r="N61" s="14">
        <f t="shared" si="46"/>
        <v>1273.4831460674159</v>
      </c>
      <c r="O61" s="17">
        <f t="shared" si="47"/>
        <v>106.12359550561798</v>
      </c>
      <c r="P61" s="18">
        <f t="shared" si="48"/>
        <v>0</v>
      </c>
      <c r="Q61" s="19">
        <f t="shared" si="49"/>
        <v>-24.293071161048672</v>
      </c>
      <c r="R61" s="193">
        <f>O61/L61</f>
        <v>0.81372724988333289</v>
      </c>
      <c r="S61" s="409"/>
      <c r="T61" s="20">
        <v>0.43472222222222223</v>
      </c>
      <c r="U61" s="20">
        <v>0.49652777777777779</v>
      </c>
      <c r="V61" s="185">
        <f t="shared" si="50"/>
        <v>16.000000000000021</v>
      </c>
      <c r="W61" s="91">
        <f t="shared" si="13"/>
        <v>89</v>
      </c>
      <c r="X61" s="22"/>
      <c r="Y61" s="22"/>
      <c r="Z61" s="400"/>
      <c r="AA61" s="400"/>
      <c r="AB61" s="51">
        <f t="shared" si="43"/>
        <v>-291.51685393258413</v>
      </c>
      <c r="AC61" s="52">
        <f t="shared" si="44"/>
        <v>0.81372724988333278</v>
      </c>
      <c r="AD61" s="392"/>
    </row>
    <row r="62" spans="1:30" ht="15" customHeight="1" x14ac:dyDescent="0.25">
      <c r="A62" s="417"/>
      <c r="B62" s="56"/>
      <c r="C62" s="10"/>
      <c r="D62" s="260"/>
      <c r="E62" s="89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13"/>
        <v>0</v>
      </c>
      <c r="X62" s="22"/>
      <c r="Y62" s="22"/>
      <c r="Z62" s="400"/>
      <c r="AA62" s="400"/>
      <c r="AB62" s="18"/>
      <c r="AC62" s="193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>
        <f t="shared" si="45"/>
        <v>0</v>
      </c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13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5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13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5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13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5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13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5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13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5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13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2">AVERAGE(J59:J68)</f>
        <v>12.333333333333334</v>
      </c>
      <c r="K69" s="173">
        <f t="shared" si="52"/>
        <v>1565</v>
      </c>
      <c r="L69" s="178">
        <f t="shared" si="52"/>
        <v>127.07264957264958</v>
      </c>
      <c r="M69" s="173">
        <f t="shared" si="52"/>
        <v>12.333333333333334</v>
      </c>
      <c r="N69" s="173">
        <f t="shared" si="52"/>
        <v>1407.8473844521839</v>
      </c>
      <c r="O69" s="178">
        <f t="shared" si="52"/>
        <v>113.97771449080101</v>
      </c>
      <c r="P69" s="179">
        <f>M69-J69</f>
        <v>0</v>
      </c>
      <c r="Q69" s="165">
        <f>N69-K69</f>
        <v>-157.15261554781614</v>
      </c>
      <c r="R69" s="124">
        <f>O69/L69</f>
        <v>0.89694922451143211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-157.15261554781614</v>
      </c>
      <c r="AC69" s="195">
        <f>N69/K69</f>
        <v>0.89958299326018143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53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54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53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54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3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54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3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54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3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4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3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4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3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4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3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4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3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68" priority="1" operator="greaterThan">
      <formula>0</formula>
    </cfRule>
  </conditionalFormatting>
  <conditionalFormatting sqref="Q5:Q79 AB5:AB79">
    <cfRule type="cellIs" dxfId="267" priority="4" operator="lessThan">
      <formula>0</formula>
    </cfRule>
  </conditionalFormatting>
  <conditionalFormatting sqref="R5:R79 AC5:AC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D59:AD62 S69:S76 AD69:AD76">
    <cfRule type="cellIs" dxfId="264" priority="7" operator="lessThan">
      <formula>0.8</formula>
    </cfRule>
  </conditionalFormatting>
  <conditionalFormatting sqref="S19:S25 AD19:AD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D5:AD8 S15:S16 AD15:AD16 AD49 AD79">
    <cfRule type="cellIs" dxfId="261" priority="9" operator="lessThan">
      <formula>0.8</formula>
    </cfRule>
  </conditionalFormatting>
  <conditionalFormatting sqref="AD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5E217C-765F-4F8E-AE27-C068B56D6F7F}">
          <x14:formula1>
            <xm:f>廠價表!$C$2:$C$37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7663-DFF0-4B95-9C21-B9F32081883E}">
  <sheetPr>
    <pageSetUpPr fitToPage="1"/>
  </sheetPr>
  <dimension ref="B1:O22"/>
  <sheetViews>
    <sheetView zoomScale="70" zoomScaleNormal="70" workbookViewId="0">
      <selection activeCell="A2" sqref="A1:K2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45936</v>
      </c>
      <c r="E3" s="383"/>
      <c r="F3" s="214" t="s">
        <v>76</v>
      </c>
      <c r="G3" s="384">
        <f>'1006'!E1</f>
        <v>55625</v>
      </c>
      <c r="H3" s="384"/>
      <c r="I3" s="214" t="s">
        <v>77</v>
      </c>
      <c r="J3" s="385">
        <f>'1006'!G1</f>
        <v>2707574.919999999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115.58790314737006</v>
      </c>
      <c r="G6" s="362"/>
      <c r="H6" s="363">
        <f>AVERAGE(D13:H13)</f>
        <v>113.42471454607482</v>
      </c>
      <c r="I6" s="363"/>
      <c r="J6" s="363">
        <f>AVERAGE(I13)</f>
        <v>126.40384615384615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99.648692689746227</v>
      </c>
      <c r="G7" s="380"/>
      <c r="H7" s="381">
        <f>AVERAGE(D14:H14)</f>
        <v>100.06921476572606</v>
      </c>
      <c r="I7" s="381"/>
      <c r="J7" s="381">
        <f>AVERAGE(I14)</f>
        <v>97.546082309847051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0.86442468724549304</v>
      </c>
      <c r="G8" s="360"/>
      <c r="H8" s="360">
        <f>AVERAGE(D15:H15)</f>
        <v>0.88296925408415361</v>
      </c>
      <c r="I8" s="360"/>
      <c r="J8" s="360">
        <f>AVERAGE(I15)</f>
        <v>0.7717018530521903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VALUE('1006'!L15)</f>
        <v>149.22390109890108</v>
      </c>
      <c r="E13" s="227">
        <f>VALUE('1006'!L26)</f>
        <v>151.71674679487177</v>
      </c>
      <c r="F13" s="227">
        <f>VALUE('1006'!L37)</f>
        <v>87.449673202614377</v>
      </c>
      <c r="G13" s="227">
        <f>VALUE('1006'!L48)</f>
        <v>91.143382352941174</v>
      </c>
      <c r="H13" s="227">
        <f>VALUE('1006'!L58)</f>
        <v>87.58986928104575</v>
      </c>
      <c r="I13" s="227">
        <f>VALUE('1006'!L69)</f>
        <v>126.40384615384615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VALUE('1006'!O15)</f>
        <v>134.12121912222025</v>
      </c>
      <c r="E14" s="227">
        <f>VALUE('1006'!O26)</f>
        <v>131.03965687048515</v>
      </c>
      <c r="F14" s="227">
        <f>VALUE('1006'!O37)</f>
        <v>74.10406078556187</v>
      </c>
      <c r="G14" s="227">
        <f>VALUE('1006'!O48)</f>
        <v>76.580065359477103</v>
      </c>
      <c r="H14" s="227">
        <f>VALUE('1006'!O58)</f>
        <v>84.501071690885937</v>
      </c>
      <c r="I14" s="227">
        <f>VALUE('1006'!O69)</f>
        <v>97.546082309847051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0.89879180301906714</v>
      </c>
      <c r="E15" s="248">
        <f t="shared" ref="E15:I15" si="0">E14/E13</f>
        <v>0.8637125408947568</v>
      </c>
      <c r="F15" s="248">
        <f t="shared" si="0"/>
        <v>0.84739094008811544</v>
      </c>
      <c r="G15" s="248">
        <f t="shared" si="0"/>
        <v>0.84021531111200731</v>
      </c>
      <c r="H15" s="248">
        <f t="shared" si="0"/>
        <v>0.96473567530682203</v>
      </c>
      <c r="I15" s="248">
        <f t="shared" si="0"/>
        <v>0.7717018530521903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'1006'!T5</f>
        <v>0.29166666666666669</v>
      </c>
      <c r="E16" s="98">
        <f>'1006'!T16</f>
        <v>0.2902777777777778</v>
      </c>
      <c r="F16" s="98">
        <f>'1006'!T27</f>
        <v>0.29166666666666669</v>
      </c>
      <c r="G16" s="98">
        <f>'1006'!T38</f>
        <v>0.3298611111111111</v>
      </c>
      <c r="H16" s="98">
        <f>'1006'!T49</f>
        <v>0.28819444444444442</v>
      </c>
      <c r="I16" s="98">
        <f>'1006'!T59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0.64513888888888893</v>
      </c>
      <c r="E17" s="41">
        <v>0.62847222222222221</v>
      </c>
      <c r="F17" s="41">
        <v>0.65138888888888891</v>
      </c>
      <c r="G17" s="59">
        <v>0.60763888888888884</v>
      </c>
      <c r="H17" s="80">
        <v>0.69861111111111107</v>
      </c>
      <c r="I17" s="20">
        <v>0.67361111111111116</v>
      </c>
      <c r="J17" s="294"/>
    </row>
    <row r="18" spans="2:10" ht="17.25" customHeight="1" x14ac:dyDescent="0.25">
      <c r="B18" s="481" t="s">
        <v>105</v>
      </c>
      <c r="C18" s="355"/>
      <c r="D18" s="229">
        <f>VALUE('1006'!M15)</f>
        <v>13.25</v>
      </c>
      <c r="E18" s="229">
        <f>VALUE('1006'!M26)</f>
        <v>13.5</v>
      </c>
      <c r="F18" s="229">
        <f>VALUE('1006'!M37)</f>
        <v>16.2</v>
      </c>
      <c r="G18" s="229">
        <f>VALUE('1006'!M48)</f>
        <v>16.333333333333332</v>
      </c>
      <c r="H18" s="229">
        <f>VALUE('1006'!M58)</f>
        <v>17.5</v>
      </c>
      <c r="I18" s="229">
        <f>VALUE('1006'!M69)</f>
        <v>12.4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658F-FEE9-4529-8857-EC81183A99D6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A2" sqref="A1:K2"/>
      <selection pane="topRight" activeCell="A2" sqref="A1:K2"/>
      <selection pane="bottomLeft" activeCell="A2" sqref="A1:K2"/>
      <selection pane="bottomRight" activeCell="K28" sqref="K28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55625</v>
      </c>
      <c r="F1" s="185" t="s">
        <v>9</v>
      </c>
      <c r="G1" s="4">
        <f>SUM(H5:H79)</f>
        <v>2707574.919999999</v>
      </c>
      <c r="H1" s="183" t="s">
        <v>10</v>
      </c>
      <c r="I1" s="5">
        <f>M15+M26+M48+M58+M69+M79+M37</f>
        <v>89.183333333333337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195</v>
      </c>
      <c r="B2" s="461"/>
      <c r="C2" s="184"/>
      <c r="D2" s="184" t="s">
        <v>1</v>
      </c>
      <c r="E2" s="7">
        <f>AVERAGE(O15,O26,O37,O48,O58,O69,O79)</f>
        <v>99.648692689746227</v>
      </c>
      <c r="F2" s="8" t="s">
        <v>2</v>
      </c>
      <c r="G2" s="9">
        <f>G1/E1</f>
        <v>48.67550417977526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2063</v>
      </c>
      <c r="H5" s="109">
        <f>F5*G5</f>
        <v>118024.23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1793.9130434782608</v>
      </c>
      <c r="O5" s="112">
        <f>N5/M5</f>
        <v>137.99331103678929</v>
      </c>
      <c r="P5" s="114">
        <f>M5-J5</f>
        <v>0</v>
      </c>
      <c r="Q5" s="115">
        <f>O5-L5</f>
        <v>-15.852842809364546</v>
      </c>
      <c r="R5" s="192">
        <f>O5/L5</f>
        <v>0.89695652173913043</v>
      </c>
      <c r="S5" s="408">
        <f>R15</f>
        <v>0.89879180301906714</v>
      </c>
      <c r="T5" s="97">
        <v>0.29166666666666669</v>
      </c>
      <c r="U5" s="97">
        <v>0.33958333333333335</v>
      </c>
      <c r="V5" s="202"/>
      <c r="W5" s="110">
        <f t="shared" ref="W5:W14" si="0">(U5-T5)*24*60</f>
        <v>69</v>
      </c>
      <c r="X5" s="196"/>
      <c r="Y5" s="196"/>
      <c r="Z5" s="423"/>
      <c r="AA5" s="423"/>
      <c r="AB5" s="114">
        <f>N5-K5</f>
        <v>-206.08695652173924</v>
      </c>
      <c r="AC5" s="192">
        <f>N5/K5</f>
        <v>0.89695652173913043</v>
      </c>
      <c r="AD5" s="391">
        <f>AC15</f>
        <v>0.89990176655947196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2891</v>
      </c>
      <c r="H6" s="15">
        <f t="shared" ref="H6:H14" si="1">F6*G6</f>
        <v>165394.11000000002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1825.8947368421043</v>
      </c>
      <c r="O6" s="17">
        <f>N6/M6</f>
        <v>130.42105263157887</v>
      </c>
      <c r="P6" s="18">
        <f>M6-J6</f>
        <v>0</v>
      </c>
      <c r="Q6" s="19">
        <f>O6-L6</f>
        <v>-4.9360902255639871</v>
      </c>
      <c r="R6" s="193">
        <f>O6/L6</f>
        <v>0.96353284266074102</v>
      </c>
      <c r="S6" s="409"/>
      <c r="T6" s="98">
        <v>0.35069444444444442</v>
      </c>
      <c r="U6" s="98">
        <v>0.41666666666666669</v>
      </c>
      <c r="V6" s="185"/>
      <c r="W6" s="190">
        <f t="shared" si="0"/>
        <v>95.000000000000057</v>
      </c>
      <c r="X6" s="22"/>
      <c r="Y6" s="22"/>
      <c r="Z6" s="446"/>
      <c r="AA6" s="446"/>
      <c r="AB6" s="18">
        <f>N6-K6</f>
        <v>-69.105263157895706</v>
      </c>
      <c r="AC6" s="193">
        <f>N6/K6</f>
        <v>0.96353284266074102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2215</v>
      </c>
      <c r="H7" s="15">
        <f t="shared" si="1"/>
        <v>108845.1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1772.0000000000007</v>
      </c>
      <c r="O7" s="17">
        <f>N7/M7</f>
        <v>136.30769230769235</v>
      </c>
      <c r="P7" s="18">
        <f>M7-J7</f>
        <v>0</v>
      </c>
      <c r="Q7" s="19">
        <f>O7-L7</f>
        <v>-17.53846153846149</v>
      </c>
      <c r="R7" s="193">
        <f>O7/L7</f>
        <v>0.88600000000000034</v>
      </c>
      <c r="S7" s="409"/>
      <c r="T7" s="98">
        <v>0.43055555555555558</v>
      </c>
      <c r="U7" s="98">
        <v>0.4826388888888889</v>
      </c>
      <c r="V7" s="185">
        <f>(T7-U6)*24*60</f>
        <v>20.000000000000007</v>
      </c>
      <c r="W7" s="190">
        <f t="shared" si="0"/>
        <v>74.999999999999972</v>
      </c>
      <c r="X7" s="22"/>
      <c r="Y7" s="22"/>
      <c r="Z7" s="400"/>
      <c r="AA7" s="400"/>
      <c r="AB7" s="18">
        <f>N7-K7</f>
        <v>-227.99999999999932</v>
      </c>
      <c r="AC7" s="193">
        <f>N7/K7</f>
        <v>0.88600000000000034</v>
      </c>
      <c r="AD7" s="392"/>
    </row>
    <row r="8" spans="1:30" ht="15" customHeight="1" x14ac:dyDescent="0.25">
      <c r="A8" s="465"/>
      <c r="B8" s="56" t="s">
        <v>140</v>
      </c>
      <c r="C8" s="23"/>
      <c r="D8" s="11" t="s">
        <v>150</v>
      </c>
      <c r="E8" s="12"/>
      <c r="F8" s="56">
        <f>VLOOKUP(D8,廠價表!$C$1:$E$39,3,0)</f>
        <v>49.14</v>
      </c>
      <c r="G8" s="67">
        <v>4111</v>
      </c>
      <c r="H8" s="77">
        <f t="shared" si="1"/>
        <v>202014.54</v>
      </c>
      <c r="I8" s="185"/>
      <c r="J8" s="16">
        <f>VLOOKUP(D8,產線配置圖!$A$2:$C$38,2,0)</f>
        <v>13</v>
      </c>
      <c r="K8" s="14">
        <f>VLOOKUP(D8,產線配置圖!$A$2:$C$38,3,0)</f>
        <v>2000</v>
      </c>
      <c r="L8" s="17">
        <f t="shared" ref="L8" si="2">K8/J8</f>
        <v>153.84615384615384</v>
      </c>
      <c r="M8" s="182">
        <v>13</v>
      </c>
      <c r="N8" s="78">
        <f t="shared" ref="N8" si="3">G8/W8*60</f>
        <v>1712.9166666666654</v>
      </c>
      <c r="O8" s="79">
        <f t="shared" ref="O8" si="4">N8/M8</f>
        <v>131.76282051282041</v>
      </c>
      <c r="P8" s="18">
        <f t="shared" ref="P8" si="5">M8-J8</f>
        <v>0</v>
      </c>
      <c r="Q8" s="19">
        <f t="shared" ref="Q8" si="6">O8-L8</f>
        <v>-22.083333333333428</v>
      </c>
      <c r="R8" s="193">
        <f t="shared" ref="R8" si="7">O8/L8</f>
        <v>0.85645833333333277</v>
      </c>
      <c r="S8" s="409"/>
      <c r="T8" s="80">
        <v>0.54513888888888884</v>
      </c>
      <c r="U8" s="80">
        <v>0.64513888888888893</v>
      </c>
      <c r="V8" s="185">
        <f>(T8-U7)*24*60</f>
        <v>89.999999999999915</v>
      </c>
      <c r="W8" s="190">
        <f t="shared" si="0"/>
        <v>144.00000000000011</v>
      </c>
      <c r="X8" s="22">
        <v>0.52083333333333337</v>
      </c>
      <c r="Y8" s="22">
        <v>0.60416666666666663</v>
      </c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>
        <f t="shared" si="1"/>
        <v>0</v>
      </c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>
        <f t="shared" si="1"/>
        <v>0</v>
      </c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59"/>
      <c r="AA11" s="460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4"/>
      <c r="AA12" s="44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8">AVERAGE(J5:J14)</f>
        <v>13.25</v>
      </c>
      <c r="K15" s="121">
        <f t="shared" si="8"/>
        <v>1973.75</v>
      </c>
      <c r="L15" s="118">
        <f t="shared" si="8"/>
        <v>149.22390109890108</v>
      </c>
      <c r="M15" s="121">
        <f t="shared" si="8"/>
        <v>13.25</v>
      </c>
      <c r="N15" s="121">
        <f t="shared" si="8"/>
        <v>1776.1811117467578</v>
      </c>
      <c r="O15" s="118">
        <f t="shared" si="8"/>
        <v>134.12121912222025</v>
      </c>
      <c r="P15" s="122">
        <f t="shared" ref="P15:P18" si="9">M15-J15</f>
        <v>0</v>
      </c>
      <c r="Q15" s="123">
        <f t="shared" ref="Q15:Q18" si="10">O15-L15</f>
        <v>-15.102681976680827</v>
      </c>
      <c r="R15" s="124">
        <f t="shared" ref="R15:R18" si="11">O15/L15</f>
        <v>0.89879180301906714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-197.56888825324222</v>
      </c>
      <c r="AC15" s="195">
        <f>N15/K15</f>
        <v>0.89990176655947196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2238</v>
      </c>
      <c r="H16" s="128">
        <f t="shared" ref="H16:H25" si="12">F16*G16</f>
        <v>128035.98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14</v>
      </c>
      <c r="N16" s="130">
        <f>G16/W16*60</f>
        <v>1743.8961038961045</v>
      </c>
      <c r="O16" s="131">
        <f>N16/M16</f>
        <v>124.56400742115032</v>
      </c>
      <c r="P16" s="132">
        <f t="shared" si="9"/>
        <v>1</v>
      </c>
      <c r="Q16" s="133">
        <f t="shared" si="10"/>
        <v>-29.282146425003518</v>
      </c>
      <c r="R16" s="197">
        <f t="shared" si="11"/>
        <v>0.80966604823747712</v>
      </c>
      <c r="S16" s="433">
        <f>R26</f>
        <v>0.8637125408947568</v>
      </c>
      <c r="T16" s="288">
        <v>0.2902777777777778</v>
      </c>
      <c r="U16" s="288">
        <v>0.34375</v>
      </c>
      <c r="V16" s="129"/>
      <c r="W16" s="134">
        <f t="shared" ref="W16:W68" si="13">(U16-T16)*24*60</f>
        <v>76.999999999999972</v>
      </c>
      <c r="X16" s="131"/>
      <c r="Y16" s="131"/>
      <c r="Z16" s="423"/>
      <c r="AA16" s="423"/>
      <c r="AB16" s="114">
        <f>N16-K16</f>
        <v>-256.10389610389552</v>
      </c>
      <c r="AC16" s="192">
        <f>N16/K16</f>
        <v>0.87194805194805225</v>
      </c>
      <c r="AD16" s="391">
        <f>AC26</f>
        <v>0.8748255604021522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2414</v>
      </c>
      <c r="H17" s="15">
        <f t="shared" si="12"/>
        <v>122317.38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1540.8510638297876</v>
      </c>
      <c r="O17" s="38">
        <f>N17/M17</f>
        <v>96.303191489361723</v>
      </c>
      <c r="P17" s="39">
        <f t="shared" si="9"/>
        <v>0</v>
      </c>
      <c r="Q17" s="40">
        <f t="shared" si="10"/>
        <v>-23.384308510638277</v>
      </c>
      <c r="R17" s="198">
        <f t="shared" si="11"/>
        <v>0.80462196544636422</v>
      </c>
      <c r="S17" s="434"/>
      <c r="T17" s="41">
        <v>0.35416666666666669</v>
      </c>
      <c r="U17" s="41">
        <v>0.41944444444444445</v>
      </c>
      <c r="V17" s="185">
        <f>(T17-U16)*24*60</f>
        <v>15.000000000000027</v>
      </c>
      <c r="W17" s="43">
        <f t="shared" si="13"/>
        <v>93.999999999999986</v>
      </c>
      <c r="X17" s="44"/>
      <c r="Y17" s="44"/>
      <c r="Z17" s="399"/>
      <c r="AA17" s="400"/>
      <c r="AB17" s="18">
        <f>N17-K17</f>
        <v>-374.14893617021244</v>
      </c>
      <c r="AC17" s="193">
        <f>N17/K17</f>
        <v>0.80462196544636422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2122</v>
      </c>
      <c r="H18" s="15">
        <f t="shared" si="12"/>
        <v>106927.58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1818.8571428571431</v>
      </c>
      <c r="O18" s="38">
        <f>N18/M18</f>
        <v>151.57142857142858</v>
      </c>
      <c r="P18" s="39">
        <f t="shared" si="9"/>
        <v>0</v>
      </c>
      <c r="Q18" s="40">
        <f t="shared" si="10"/>
        <v>-15.095238095238074</v>
      </c>
      <c r="R18" s="198">
        <f t="shared" si="11"/>
        <v>0.90942857142857159</v>
      </c>
      <c r="S18" s="434"/>
      <c r="T18" s="41">
        <v>0.43055555555555558</v>
      </c>
      <c r="U18" s="41">
        <v>0.47916666666666669</v>
      </c>
      <c r="V18" s="185">
        <f>(T18-U17)*24*60</f>
        <v>16.000000000000021</v>
      </c>
      <c r="W18" s="43">
        <f t="shared" si="13"/>
        <v>69.999999999999986</v>
      </c>
      <c r="X18" s="22"/>
      <c r="Y18" s="22"/>
      <c r="Z18" s="399"/>
      <c r="AA18" s="400"/>
      <c r="AB18" s="18">
        <f>N18-K18</f>
        <v>-181.14285714285688</v>
      </c>
      <c r="AC18" s="193">
        <f>N18/K18</f>
        <v>0.90942857142857159</v>
      </c>
      <c r="AD18" s="392"/>
    </row>
    <row r="19" spans="1:30" ht="15" customHeight="1" x14ac:dyDescent="0.25">
      <c r="A19" s="439"/>
      <c r="B19" s="56" t="str">
        <f>VLOOKUP(D19,廠價表!$C$1:$E$39,2,0)</f>
        <v>義大利麵</v>
      </c>
      <c r="C19" s="23"/>
      <c r="D19" s="11" t="s">
        <v>136</v>
      </c>
      <c r="E19" s="12"/>
      <c r="F19" s="56">
        <f>VLOOKUP(D19,廠價表!$C$1:$E$39,3,0)</f>
        <v>50.39</v>
      </c>
      <c r="G19" s="99">
        <v>3793</v>
      </c>
      <c r="H19" s="15">
        <f t="shared" ref="H19" si="14">F19*G19</f>
        <v>191129.27</v>
      </c>
      <c r="I19" s="42"/>
      <c r="J19" s="16">
        <f>VLOOKUP(D19,產線配置圖!$A$2:$C$38,2,0)</f>
        <v>12</v>
      </c>
      <c r="K19" s="14">
        <f>VLOOKUP(D19,產線配置圖!$A$2:$C$38,3,0)</f>
        <v>2000</v>
      </c>
      <c r="L19" s="17">
        <f>K19/J19</f>
        <v>166.66666666666666</v>
      </c>
      <c r="M19" s="37">
        <v>12</v>
      </c>
      <c r="N19" s="36">
        <f>G19/W19*60</f>
        <v>1820.6399999999996</v>
      </c>
      <c r="O19" s="38">
        <f>N19/M19</f>
        <v>151.71999999999997</v>
      </c>
      <c r="P19" s="39">
        <f t="shared" ref="P19" si="15">M19-J19</f>
        <v>0</v>
      </c>
      <c r="Q19" s="40">
        <f t="shared" ref="Q19" si="16">O19-L19</f>
        <v>-14.946666666666687</v>
      </c>
      <c r="R19" s="198">
        <f t="shared" ref="R19" si="17">O19/L19</f>
        <v>0.91031999999999991</v>
      </c>
      <c r="S19" s="434"/>
      <c r="T19" s="41">
        <v>0.54166666666666663</v>
      </c>
      <c r="U19" s="41">
        <v>0.62847222222222221</v>
      </c>
      <c r="V19" s="185">
        <f>(T19-U18)*24*60</f>
        <v>89.999999999999915</v>
      </c>
      <c r="W19" s="43">
        <f t="shared" si="13"/>
        <v>125.00000000000003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>
        <f t="shared" si="12"/>
        <v>0</v>
      </c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13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13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13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8">AVERAGE(J16:J25)</f>
        <v>13.25</v>
      </c>
      <c r="K26" s="137">
        <f t="shared" si="18"/>
        <v>1978.75</v>
      </c>
      <c r="L26" s="140">
        <f t="shared" si="18"/>
        <v>151.71674679487177</v>
      </c>
      <c r="M26" s="137">
        <f t="shared" si="18"/>
        <v>13.5</v>
      </c>
      <c r="N26" s="137">
        <f t="shared" si="18"/>
        <v>1731.0610776457586</v>
      </c>
      <c r="O26" s="140">
        <f t="shared" si="18"/>
        <v>131.03965687048515</v>
      </c>
      <c r="P26" s="141">
        <f t="shared" ref="P26:P30" si="19">M26-J26</f>
        <v>0.25</v>
      </c>
      <c r="Q26" s="142">
        <f t="shared" ref="Q26:Q30" si="20">O26-L26</f>
        <v>-20.677089924386621</v>
      </c>
      <c r="R26" s="143">
        <f t="shared" ref="R26:R30" si="21">O26/L26</f>
        <v>0.8637125408947568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-247.68892235424141</v>
      </c>
      <c r="AC26" s="195">
        <f>N26/K26</f>
        <v>0.8748255604021522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1437</v>
      </c>
      <c r="H27" s="128">
        <f t="shared" ref="H27:H36" si="22">F27*G27</f>
        <v>72712.2</v>
      </c>
      <c r="I27" s="129"/>
      <c r="J27" s="111">
        <v>17</v>
      </c>
      <c r="K27" s="252">
        <v>1636</v>
      </c>
      <c r="L27" s="112">
        <f>K27/J27</f>
        <v>96.235294117647058</v>
      </c>
      <c r="M27" s="147">
        <v>14</v>
      </c>
      <c r="N27" s="130">
        <f>G27/W27*60</f>
        <v>1091.3924050632918</v>
      </c>
      <c r="O27" s="131">
        <f>N27/M27</f>
        <v>77.956600361663703</v>
      </c>
      <c r="P27" s="132">
        <f t="shared" si="19"/>
        <v>-3</v>
      </c>
      <c r="Q27" s="133">
        <f t="shared" si="20"/>
        <v>-18.278693755983355</v>
      </c>
      <c r="R27" s="197">
        <f t="shared" si="21"/>
        <v>0.81006247319577196</v>
      </c>
      <c r="S27" s="433">
        <f>R37</f>
        <v>0.84739094008811544</v>
      </c>
      <c r="T27" s="97">
        <v>0.29166666666666669</v>
      </c>
      <c r="U27" s="97">
        <v>0.34652777777777777</v>
      </c>
      <c r="V27" s="129"/>
      <c r="W27" s="134">
        <f t="shared" si="13"/>
        <v>78.999999999999957</v>
      </c>
      <c r="X27" s="129"/>
      <c r="Y27" s="129" t="s">
        <v>158</v>
      </c>
      <c r="Z27" s="414"/>
      <c r="AA27" s="423"/>
      <c r="AB27" s="114">
        <f>N27-K27</f>
        <v>-544.60759493670821</v>
      </c>
      <c r="AC27" s="148">
        <f>N27/K27</f>
        <v>0.66711027204357687</v>
      </c>
      <c r="AD27" s="391">
        <f>AC37</f>
        <v>0.77599967847073592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1725</v>
      </c>
      <c r="H28" s="50">
        <f t="shared" si="22"/>
        <v>98687.25</v>
      </c>
      <c r="I28" s="42"/>
      <c r="J28" s="16">
        <v>17</v>
      </c>
      <c r="K28" s="14">
        <v>1636</v>
      </c>
      <c r="L28" s="251">
        <f>K28/J28</f>
        <v>96.235294117647058</v>
      </c>
      <c r="M28" s="21">
        <v>15</v>
      </c>
      <c r="N28" s="36">
        <f>G28/W28*60</f>
        <v>1162.9213483146068</v>
      </c>
      <c r="O28" s="38">
        <f>N28/M28</f>
        <v>77.528089887640448</v>
      </c>
      <c r="P28" s="39">
        <f t="shared" si="19"/>
        <v>-2</v>
      </c>
      <c r="Q28" s="40">
        <f t="shared" si="20"/>
        <v>-18.70720423000661</v>
      </c>
      <c r="R28" s="198">
        <f t="shared" si="21"/>
        <v>0.80560973599626384</v>
      </c>
      <c r="S28" s="434"/>
      <c r="T28" s="291">
        <v>0.35347222222222224</v>
      </c>
      <c r="U28" s="291">
        <v>0.4152777777777778</v>
      </c>
      <c r="V28" s="42">
        <f>(T28-U27)*24*60</f>
        <v>10.000000000000044</v>
      </c>
      <c r="W28" s="43">
        <f t="shared" si="13"/>
        <v>89</v>
      </c>
      <c r="X28" s="54"/>
      <c r="Y28" s="54"/>
      <c r="Z28" s="399"/>
      <c r="AA28" s="400"/>
      <c r="AB28" s="34">
        <f>N28-K28</f>
        <v>-473.0786516853932</v>
      </c>
      <c r="AC28" s="194">
        <f>N28/K28</f>
        <v>0.71083211999670337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1773</v>
      </c>
      <c r="H29" s="50">
        <f t="shared" si="22"/>
        <v>97745.49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18</v>
      </c>
      <c r="N29" s="36">
        <f>G29/W29*60</f>
        <v>1108.1250000000005</v>
      </c>
      <c r="O29" s="38">
        <f>N29/M29</f>
        <v>61.562500000000028</v>
      </c>
      <c r="P29" s="39">
        <f t="shared" si="19"/>
        <v>0</v>
      </c>
      <c r="Q29" s="40">
        <f t="shared" si="20"/>
        <v>-15.381944444444414</v>
      </c>
      <c r="R29" s="198">
        <f t="shared" si="21"/>
        <v>0.80009025270758161</v>
      </c>
      <c r="S29" s="434"/>
      <c r="T29" s="41">
        <v>0.42291666666666666</v>
      </c>
      <c r="U29" s="41">
        <v>0.48958333333333331</v>
      </c>
      <c r="V29" s="42">
        <f>(T29-U28)*24*60</f>
        <v>10.999999999999961</v>
      </c>
      <c r="W29" s="43">
        <f t="shared" si="13"/>
        <v>95.999999999999972</v>
      </c>
      <c r="X29" s="54"/>
      <c r="Y29" s="54"/>
      <c r="Z29" s="442"/>
      <c r="AA29" s="443"/>
      <c r="AB29" s="275">
        <f t="shared" ref="AB29:AB30" si="23">N29-K29</f>
        <v>-276.87499999999955</v>
      </c>
      <c r="AC29" s="276">
        <f t="shared" ref="AC29:AC30" si="24">N29/K29</f>
        <v>0.80009025270758161</v>
      </c>
      <c r="AD29" s="393"/>
    </row>
    <row r="30" spans="1:30" ht="15" customHeight="1" x14ac:dyDescent="0.25">
      <c r="A30" s="431"/>
      <c r="B30" s="56" t="str">
        <f>VLOOKUP(D30,廠價表!$C$1:$E$39,2,0)</f>
        <v>義大利麵</v>
      </c>
      <c r="C30" s="255"/>
      <c r="D30" s="28" t="s">
        <v>146</v>
      </c>
      <c r="E30" s="29"/>
      <c r="F30" s="56">
        <f>VLOOKUP(D30,廠價表!$C$1:$E$39,3,0)</f>
        <v>55.13</v>
      </c>
      <c r="G30" s="256">
        <v>1198</v>
      </c>
      <c r="H30" s="257">
        <f>F30*G30</f>
        <v>66045.740000000005</v>
      </c>
      <c r="I30" s="82"/>
      <c r="J30" s="16">
        <f>VLOOKUP(D30,產線配置圖!$A$2:$C$38,2,0)</f>
        <v>18</v>
      </c>
      <c r="K30" s="14">
        <f>VLOOKUP(D30,產線配置圖!$A$2:$C$38,3,0)</f>
        <v>1385</v>
      </c>
      <c r="L30" s="251">
        <f>K30/J30</f>
        <v>76.944444444444443</v>
      </c>
      <c r="M30" s="21">
        <v>18</v>
      </c>
      <c r="N30" s="36">
        <f>G30/W30*60</f>
        <v>1261.0526315789482</v>
      </c>
      <c r="O30" s="38">
        <f>N30/M30</f>
        <v>70.058479532163787</v>
      </c>
      <c r="P30" s="39">
        <f t="shared" si="19"/>
        <v>0</v>
      </c>
      <c r="Q30" s="40">
        <f t="shared" si="20"/>
        <v>-6.8859649122806559</v>
      </c>
      <c r="R30" s="198">
        <f t="shared" si="21"/>
        <v>0.91050731521945716</v>
      </c>
      <c r="S30" s="434"/>
      <c r="T30" s="41">
        <v>0.55138888888888893</v>
      </c>
      <c r="U30" s="41">
        <v>0.59097222222222223</v>
      </c>
      <c r="V30" s="42">
        <f>(T30-U29)*24*60</f>
        <v>89.000000000000085</v>
      </c>
      <c r="W30" s="43">
        <f t="shared" si="13"/>
        <v>56.999999999999957</v>
      </c>
      <c r="X30" s="54">
        <v>0.46875</v>
      </c>
      <c r="Y30" s="54">
        <v>0.51041666666666663</v>
      </c>
      <c r="Z30" s="479"/>
      <c r="AA30" s="480"/>
      <c r="AB30" s="275">
        <f t="shared" si="23"/>
        <v>-123.94736842105181</v>
      </c>
      <c r="AC30" s="276">
        <f t="shared" si="24"/>
        <v>0.91050731521945716</v>
      </c>
      <c r="AD30" s="394"/>
    </row>
    <row r="31" spans="1:30" ht="15" customHeight="1" x14ac:dyDescent="0.25">
      <c r="A31" s="431"/>
      <c r="B31" s="56" t="str">
        <f>VLOOKUP(D31,廠價表!$C$1:$E$39,2,0)</f>
        <v>熱乾麵</v>
      </c>
      <c r="C31" s="10"/>
      <c r="D31" s="28" t="s">
        <v>170</v>
      </c>
      <c r="E31" s="89"/>
      <c r="F31" s="56">
        <f>VLOOKUP(D31,廠價表!$C$1:$E$39,3,0)</f>
        <v>47.6</v>
      </c>
      <c r="G31" s="256">
        <v>1824</v>
      </c>
      <c r="H31" s="257">
        <f>F31*G31</f>
        <v>86822.400000000009</v>
      </c>
      <c r="I31" s="82"/>
      <c r="J31" s="16">
        <f>VLOOKUP(D31,產線配置圖!$A$2:$C$38,2,0)</f>
        <v>18</v>
      </c>
      <c r="K31" s="14">
        <f>VLOOKUP(D31,產線配置圖!$A$2:$C$38,3,0)</f>
        <v>1636</v>
      </c>
      <c r="L31" s="251">
        <f>K31/J31</f>
        <v>90.888888888888886</v>
      </c>
      <c r="M31" s="21">
        <v>16</v>
      </c>
      <c r="N31" s="36">
        <f>G31/W31*60</f>
        <v>1334.6341463414628</v>
      </c>
      <c r="O31" s="38">
        <f>N31/M31</f>
        <v>83.414634146341427</v>
      </c>
      <c r="P31" s="39">
        <f t="shared" ref="P31" si="25">M31-J31</f>
        <v>-2</v>
      </c>
      <c r="Q31" s="40">
        <f t="shared" ref="Q31" si="26">O31-L31</f>
        <v>-7.4742547425474584</v>
      </c>
      <c r="R31" s="198">
        <f t="shared" ref="R31" si="27">O31/L31</f>
        <v>0.91776492337050475</v>
      </c>
      <c r="S31" s="434"/>
      <c r="T31" s="41">
        <v>0.59444444444444444</v>
      </c>
      <c r="U31" s="41">
        <v>0.65138888888888891</v>
      </c>
      <c r="V31" s="42">
        <f>(T31-U30)*24*60</f>
        <v>4.9999999999999822</v>
      </c>
      <c r="W31" s="43">
        <f t="shared" si="13"/>
        <v>82.000000000000028</v>
      </c>
      <c r="X31" s="54"/>
      <c r="Y31" s="54"/>
      <c r="Z31" s="477"/>
      <c r="AA31" s="478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22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13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22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13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2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13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2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13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2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13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28">AVERAGE(J27:J36)</f>
        <v>17.600000000000001</v>
      </c>
      <c r="K37" s="137">
        <f t="shared" si="28"/>
        <v>1535.6</v>
      </c>
      <c r="L37" s="140">
        <f t="shared" si="28"/>
        <v>87.449673202614377</v>
      </c>
      <c r="M37" s="137">
        <f t="shared" si="28"/>
        <v>16.2</v>
      </c>
      <c r="N37" s="137">
        <f t="shared" si="28"/>
        <v>1191.6251062596621</v>
      </c>
      <c r="O37" s="140">
        <f t="shared" si="28"/>
        <v>74.10406078556187</v>
      </c>
      <c r="P37" s="141">
        <f>M37-J37</f>
        <v>-1.4000000000000021</v>
      </c>
      <c r="Q37" s="142">
        <f>N37-K37</f>
        <v>-343.97489374033785</v>
      </c>
      <c r="R37" s="143">
        <f t="shared" ref="R37:R39" si="29">O37/L37</f>
        <v>0.84739094008811544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30">N37-K37</f>
        <v>-343.97489374033785</v>
      </c>
      <c r="AC37" s="195">
        <f t="shared" ref="AC37:AC39" si="31">N37/K37</f>
        <v>0.77599967847073592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1353</v>
      </c>
      <c r="H38" s="152">
        <f>F38*G38</f>
        <v>67528.23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17</v>
      </c>
      <c r="N38" s="154">
        <f>G38/W38*60</f>
        <v>1475.9999999999989</v>
      </c>
      <c r="O38" s="155">
        <f>N38/M38</f>
        <v>86.823529411764639</v>
      </c>
      <c r="P38" s="132">
        <f>M38-J38</f>
        <v>0</v>
      </c>
      <c r="Q38" s="133">
        <f>O38-L38</f>
        <v>-5.235294117647129</v>
      </c>
      <c r="R38" s="156">
        <f t="shared" si="29"/>
        <v>0.94313099041533466</v>
      </c>
      <c r="S38" s="408">
        <f>R48</f>
        <v>0.84021531111200731</v>
      </c>
      <c r="T38" s="157">
        <v>0.3298611111111111</v>
      </c>
      <c r="U38" s="157">
        <v>0.36805555555555558</v>
      </c>
      <c r="V38" s="153"/>
      <c r="W38" s="158">
        <f t="shared" si="13"/>
        <v>55.000000000000043</v>
      </c>
      <c r="X38" s="155"/>
      <c r="Y38" s="159"/>
      <c r="Z38" s="427"/>
      <c r="AA38" s="427"/>
      <c r="AB38" s="160">
        <f t="shared" si="30"/>
        <v>-89.000000000001137</v>
      </c>
      <c r="AC38" s="161">
        <f t="shared" si="31"/>
        <v>0.94313099041533477</v>
      </c>
      <c r="AD38" s="388">
        <f>AC48</f>
        <v>0.82532719163559243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60</v>
      </c>
      <c r="E39" s="89"/>
      <c r="F39" s="56">
        <f>VLOOKUP(D39,廠價表!$C$1:$E$39,3,0)</f>
        <v>58.17</v>
      </c>
      <c r="G39" s="102">
        <v>1628</v>
      </c>
      <c r="H39" s="64">
        <f>F39*G39</f>
        <v>94700.760000000009</v>
      </c>
      <c r="I39" s="65"/>
      <c r="J39" s="16">
        <f>VLOOKUP(D39,產線配置圖!$A$2:$C$38,2,0)</f>
        <v>16</v>
      </c>
      <c r="K39" s="14">
        <f>VLOOKUP(D39,產線配置圖!$A$2:$C$38,3,0)</f>
        <v>1429</v>
      </c>
      <c r="L39" s="17">
        <f>K39/J39</f>
        <v>89.3125</v>
      </c>
      <c r="M39" s="66">
        <v>16</v>
      </c>
      <c r="N39" s="67">
        <f t="shared" ref="N39" si="32">G39/W39*60</f>
        <v>814.00000000000023</v>
      </c>
      <c r="O39" s="68">
        <f t="shared" ref="O39" si="33">N39/M39</f>
        <v>50.875000000000014</v>
      </c>
      <c r="P39" s="39">
        <f t="shared" ref="P39" si="34">M39-J39</f>
        <v>0</v>
      </c>
      <c r="Q39" s="40">
        <f t="shared" ref="Q39" si="35">O39-L39</f>
        <v>-38.437499999999986</v>
      </c>
      <c r="R39" s="69">
        <f t="shared" si="29"/>
        <v>0.56962911126662019</v>
      </c>
      <c r="S39" s="409"/>
      <c r="T39" s="59">
        <v>0.40625</v>
      </c>
      <c r="U39" s="59">
        <v>0.48958333333333331</v>
      </c>
      <c r="V39" s="42">
        <f t="shared" ref="V39:V40" si="36">(T39-U38)*24*60</f>
        <v>54.999999999999964</v>
      </c>
      <c r="W39" s="70">
        <f t="shared" si="13"/>
        <v>119.99999999999997</v>
      </c>
      <c r="X39" s="58"/>
      <c r="Y39" s="60"/>
      <c r="Z39" s="428" t="s">
        <v>192</v>
      </c>
      <c r="AA39" s="475"/>
      <c r="AB39" s="292">
        <f t="shared" si="30"/>
        <v>-614.99999999999977</v>
      </c>
      <c r="AC39" s="62">
        <f t="shared" si="31"/>
        <v>0.56962911126662019</v>
      </c>
      <c r="AD39" s="389"/>
    </row>
    <row r="40" spans="1:30" s="63" customFormat="1" ht="15" customHeight="1" x14ac:dyDescent="0.25">
      <c r="A40" s="425"/>
      <c r="B40" s="56" t="str">
        <f>VLOOKUP(D40,廠價表!$C$1:$E$39,2,0)</f>
        <v>熱乾麵</v>
      </c>
      <c r="C40" s="10"/>
      <c r="D40" s="11" t="s">
        <v>154</v>
      </c>
      <c r="E40" s="89"/>
      <c r="F40" s="56">
        <f>VLOOKUP(D40,廠價表!$C$1:$E$39,3,0)</f>
        <v>49.91</v>
      </c>
      <c r="G40" s="102">
        <v>2209</v>
      </c>
      <c r="H40" s="64">
        <f>F40*G40</f>
        <v>110251.18999999999</v>
      </c>
      <c r="I40" s="65"/>
      <c r="J40" s="16">
        <f>VLOOKUP(D40,產線配置圖!$A$2:$C$38,2,0)</f>
        <v>17</v>
      </c>
      <c r="K40" s="14">
        <f>VLOOKUP(D40,產線配置圖!$A$2:$C$38,3,0)</f>
        <v>1565</v>
      </c>
      <c r="L40" s="17">
        <f>K40/J40</f>
        <v>92.058823529411768</v>
      </c>
      <c r="M40" s="66">
        <v>16</v>
      </c>
      <c r="N40" s="67">
        <f t="shared" ref="N40" si="37">G40/W40*60</f>
        <v>1472.6666666666667</v>
      </c>
      <c r="O40" s="68">
        <f t="shared" ref="O40" si="38">N40/M40</f>
        <v>92.041666666666671</v>
      </c>
      <c r="P40" s="39">
        <f t="shared" ref="P40" si="39">M40-J40</f>
        <v>-1</v>
      </c>
      <c r="Q40" s="40">
        <f t="shared" ref="Q40" si="40">O40-L40</f>
        <v>-1.7156862745096646E-2</v>
      </c>
      <c r="R40" s="69">
        <f t="shared" ref="R40" si="41">O40/L40</f>
        <v>0.99981363152289671</v>
      </c>
      <c r="S40" s="409"/>
      <c r="T40" s="59">
        <v>0.54513888888888884</v>
      </c>
      <c r="U40" s="59">
        <v>0.60763888888888884</v>
      </c>
      <c r="V40" s="42">
        <f t="shared" si="36"/>
        <v>79.999999999999957</v>
      </c>
      <c r="W40" s="70">
        <f t="shared" si="13"/>
        <v>90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13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13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42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42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43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42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43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42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43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42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43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44">AVERAGE(J38:J47)</f>
        <v>16.666666666666668</v>
      </c>
      <c r="K48" s="137">
        <f t="shared" si="44"/>
        <v>1519.6666666666667</v>
      </c>
      <c r="L48" s="140">
        <f t="shared" si="44"/>
        <v>91.143382352941174</v>
      </c>
      <c r="M48" s="137">
        <f t="shared" si="44"/>
        <v>16.333333333333332</v>
      </c>
      <c r="N48" s="137">
        <f t="shared" si="44"/>
        <v>1254.2222222222219</v>
      </c>
      <c r="O48" s="140">
        <f t="shared" si="44"/>
        <v>76.580065359477103</v>
      </c>
      <c r="P48" s="164">
        <f>M48-J48</f>
        <v>-0.3333333333333357</v>
      </c>
      <c r="Q48" s="165">
        <f>N48-K48</f>
        <v>-265.4444444444448</v>
      </c>
      <c r="R48" s="166">
        <f>O48/L48</f>
        <v>0.84021531111200731</v>
      </c>
      <c r="S48" s="412"/>
      <c r="T48" s="167"/>
      <c r="U48" s="167"/>
      <c r="V48" s="204"/>
      <c r="W48" s="168">
        <f t="shared" si="43"/>
        <v>0</v>
      </c>
      <c r="X48" s="169"/>
      <c r="Y48" s="169"/>
      <c r="Z48" s="401"/>
      <c r="AA48" s="401"/>
      <c r="AB48" s="170">
        <f>N48-K48</f>
        <v>-265.4444444444448</v>
      </c>
      <c r="AC48" s="199">
        <f>N48/K48</f>
        <v>0.82532719163559243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3924</v>
      </c>
      <c r="H49" s="128">
        <f t="shared" ref="H49:H57" si="45">F49*G49</f>
        <v>196082.28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1548.9473684210523</v>
      </c>
      <c r="O49" s="131">
        <f>N49/M49</f>
        <v>86.052631578947341</v>
      </c>
      <c r="P49" s="171">
        <f>M49-J49</f>
        <v>0</v>
      </c>
      <c r="Q49" s="115">
        <f>O49-L49</f>
        <v>-0.89181286549710137</v>
      </c>
      <c r="R49" s="192">
        <f>O49/L49</f>
        <v>0.98974272742559244</v>
      </c>
      <c r="S49" s="408">
        <f>R58</f>
        <v>0.96473567530682203</v>
      </c>
      <c r="T49" s="157">
        <v>0.28819444444444442</v>
      </c>
      <c r="U49" s="157">
        <v>0.39374999999999999</v>
      </c>
      <c r="V49" s="196"/>
      <c r="W49" s="158">
        <f t="shared" si="13"/>
        <v>152.00000000000003</v>
      </c>
      <c r="X49" s="196"/>
      <c r="Y49" s="196"/>
      <c r="Z49" s="423"/>
      <c r="AA49" s="423"/>
      <c r="AB49" s="114">
        <f>N49-K49</f>
        <v>-16.052631578947739</v>
      </c>
      <c r="AC49" s="192">
        <f>N49/K49</f>
        <v>0.98974272742559255</v>
      </c>
      <c r="AD49" s="391">
        <f>AC58</f>
        <v>0.96459973530669862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2150</v>
      </c>
      <c r="H50" s="77">
        <f t="shared" si="45"/>
        <v>122270.5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1433.3333333333333</v>
      </c>
      <c r="O50" s="79">
        <f>N50/M50</f>
        <v>84.313725490196077</v>
      </c>
      <c r="P50" s="18">
        <f>M50-J50</f>
        <v>0</v>
      </c>
      <c r="Q50" s="19">
        <f>O50-L50</f>
        <v>-3.9215686274509807</v>
      </c>
      <c r="R50" s="193">
        <f>O50/L50</f>
        <v>0.9555555555555556</v>
      </c>
      <c r="S50" s="409"/>
      <c r="T50" s="80">
        <v>0.40277777777777779</v>
      </c>
      <c r="U50" s="80">
        <v>0.46527777777777779</v>
      </c>
      <c r="V50" s="185">
        <f t="shared" ref="V50:V52" si="46">(T50-U49)*24*60</f>
        <v>13.000000000000034</v>
      </c>
      <c r="W50" s="81">
        <f t="shared" si="13"/>
        <v>90</v>
      </c>
      <c r="X50" s="22"/>
      <c r="Y50" s="22"/>
      <c r="Z50" s="398"/>
      <c r="AA50" s="399"/>
      <c r="AB50" s="18">
        <f>N50-K50</f>
        <v>-66.666666666666742</v>
      </c>
      <c r="AC50" s="193">
        <f>N50/K50</f>
        <v>0.95555555555555549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3073</v>
      </c>
      <c r="H51" s="77">
        <f t="shared" si="45"/>
        <v>174761.50999999998</v>
      </c>
      <c r="I51" s="185"/>
      <c r="J51" s="16">
        <f>VLOOKUP(D51,產線配置圖!$A$2:$C$38,2,0)</f>
        <v>17</v>
      </c>
      <c r="K51" s="14">
        <f>VLOOKUP(D51,產線配置圖!$A$2:$C$38,3,0)</f>
        <v>1500</v>
      </c>
      <c r="L51" s="17">
        <f t="shared" ref="L51" si="47">K51/J51</f>
        <v>88.235294117647058</v>
      </c>
      <c r="M51" s="182">
        <v>17</v>
      </c>
      <c r="N51" s="78">
        <f t="shared" ref="N51" si="48">G51/W51*60</f>
        <v>1475.0399999999997</v>
      </c>
      <c r="O51" s="79">
        <f t="shared" ref="O51" si="49">N51/M51</f>
        <v>86.767058823529396</v>
      </c>
      <c r="P51" s="18">
        <f t="shared" ref="P51" si="50">M51-J51</f>
        <v>0</v>
      </c>
      <c r="Q51" s="19">
        <f t="shared" ref="Q51" si="51">O51-L51</f>
        <v>-1.4682352941176617</v>
      </c>
      <c r="R51" s="193">
        <f t="shared" ref="R51" si="52">O51/L51</f>
        <v>0.98335999999999979</v>
      </c>
      <c r="S51" s="409"/>
      <c r="T51" s="80">
        <v>0.52430555555555558</v>
      </c>
      <c r="U51" s="44">
        <v>0.61111111111111116</v>
      </c>
      <c r="V51" s="185">
        <f t="shared" si="46"/>
        <v>85.000000000000014</v>
      </c>
      <c r="W51" s="81">
        <f t="shared" si="13"/>
        <v>125.00000000000003</v>
      </c>
      <c r="X51" s="22">
        <v>0.47916666666666669</v>
      </c>
      <c r="Y51" s="22">
        <v>0.52083333333333337</v>
      </c>
      <c r="Z51" s="400"/>
      <c r="AA51" s="400"/>
      <c r="AB51" s="51">
        <f>N51-K51</f>
        <v>-24.960000000000264</v>
      </c>
      <c r="AC51" s="52">
        <f>N51/K51</f>
        <v>0.98335999999999979</v>
      </c>
      <c r="AD51" s="392"/>
    </row>
    <row r="52" spans="1:30" ht="15" customHeight="1" x14ac:dyDescent="0.25">
      <c r="A52" s="421"/>
      <c r="B52" s="56" t="str">
        <f>VLOOKUP(D52,廠價表!$C$1:$E$39,2,0)</f>
        <v>義大利麵</v>
      </c>
      <c r="C52" s="23"/>
      <c r="D52" s="11" t="s">
        <v>66</v>
      </c>
      <c r="E52" s="12"/>
      <c r="F52" s="56">
        <f>VLOOKUP(D52,廠價表!$C$1:$E$39,3,0)</f>
        <v>49.97</v>
      </c>
      <c r="G52" s="67">
        <v>2693</v>
      </c>
      <c r="H52" s="77">
        <f t="shared" ref="H52" si="53">F52*G52</f>
        <v>134569.21</v>
      </c>
      <c r="I52" s="185"/>
      <c r="J52" s="16">
        <f>VLOOKUP(D52,產線配置圖!$A$2:$C$38,2,0)</f>
        <v>18</v>
      </c>
      <c r="K52" s="14">
        <f>VLOOKUP(D52,產線配置圖!$A$2:$C$38,3,0)</f>
        <v>1565</v>
      </c>
      <c r="L52" s="17">
        <f t="shared" ref="L52" si="54">K52/J52</f>
        <v>86.944444444444443</v>
      </c>
      <c r="M52" s="182">
        <v>18</v>
      </c>
      <c r="N52" s="78">
        <f t="shared" ref="N52" si="55">G52/W52*60</f>
        <v>1455.6756756756765</v>
      </c>
      <c r="O52" s="79">
        <f t="shared" ref="O52" si="56">N52/M52</f>
        <v>80.870870870870917</v>
      </c>
      <c r="P52" s="18">
        <f t="shared" ref="P52" si="57">M52-J52</f>
        <v>0</v>
      </c>
      <c r="Q52" s="19">
        <f t="shared" ref="Q52" si="58">O52-L52</f>
        <v>-6.0735735735735261</v>
      </c>
      <c r="R52" s="193">
        <f t="shared" ref="R52" si="59">O52/L52</f>
        <v>0.93014420170969747</v>
      </c>
      <c r="S52" s="409"/>
      <c r="T52" s="80">
        <v>0.62152777777777779</v>
      </c>
      <c r="U52" s="80">
        <v>0.69861111111111107</v>
      </c>
      <c r="V52" s="185">
        <f t="shared" si="46"/>
        <v>14.999999999999947</v>
      </c>
      <c r="W52" s="81">
        <f t="shared" si="13"/>
        <v>110.99999999999993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45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13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45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13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45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13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45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13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45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13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60">AVERAGE(J49:J57)</f>
        <v>17.5</v>
      </c>
      <c r="K58" s="121">
        <f t="shared" si="60"/>
        <v>1532.5</v>
      </c>
      <c r="L58" s="118">
        <f t="shared" si="60"/>
        <v>87.58986928104575</v>
      </c>
      <c r="M58" s="121">
        <f t="shared" si="60"/>
        <v>17.5</v>
      </c>
      <c r="N58" s="121">
        <f t="shared" si="60"/>
        <v>1478.2490943575156</v>
      </c>
      <c r="O58" s="118">
        <f t="shared" si="60"/>
        <v>84.501071690885937</v>
      </c>
      <c r="P58" s="122">
        <f>M58-J58</f>
        <v>0</v>
      </c>
      <c r="Q58" s="123">
        <f>N58-K58</f>
        <v>-54.25090564248444</v>
      </c>
      <c r="R58" s="124">
        <f t="shared" ref="R58:R60" si="61">O58/L58</f>
        <v>0.96473567530682203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62">N58-K58</f>
        <v>-54.25090564248444</v>
      </c>
      <c r="AC58" s="195">
        <f t="shared" ref="AC58:AC61" si="63">N58/K58</f>
        <v>0.96459973530669862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3059</v>
      </c>
      <c r="H59" s="109">
        <f t="shared" ref="H59:H68" si="64">F59*G59</f>
        <v>82562.409999999989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65">G59/W59*60</f>
        <v>1468.3200000000006</v>
      </c>
      <c r="O59" s="112">
        <f t="shared" ref="O59:O61" si="66">N59/M59</f>
        <v>112.94769230769235</v>
      </c>
      <c r="P59" s="114">
        <f t="shared" ref="P59:P61" si="67">M59-J59</f>
        <v>0</v>
      </c>
      <c r="Q59" s="115">
        <f t="shared" ref="Q59:Q61" si="68">O59-L59</f>
        <v>-7.436923076923037</v>
      </c>
      <c r="R59" s="192">
        <f t="shared" si="61"/>
        <v>0.9382236421725243</v>
      </c>
      <c r="S59" s="408">
        <f>R69</f>
        <v>0.7717018530521903</v>
      </c>
      <c r="T59" s="176">
        <v>0.29166666666666669</v>
      </c>
      <c r="U59" s="176">
        <v>0.37847222222222221</v>
      </c>
      <c r="V59" s="196"/>
      <c r="W59" s="110">
        <f t="shared" si="13"/>
        <v>124.99999999999996</v>
      </c>
      <c r="X59" s="196"/>
      <c r="Y59" s="196"/>
      <c r="Z59" s="400"/>
      <c r="AA59" s="400"/>
      <c r="AB59" s="240">
        <f t="shared" si="62"/>
        <v>-96.679999999999382</v>
      </c>
      <c r="AC59" s="241">
        <f t="shared" si="63"/>
        <v>0.93822364217252441</v>
      </c>
      <c r="AD59" s="391">
        <f>AC69</f>
        <v>0.77690109807501306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1658</v>
      </c>
      <c r="H60" s="15">
        <f t="shared" si="64"/>
        <v>47203.259999999995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65"/>
        <v>1421.1428571428573</v>
      </c>
      <c r="O60" s="17">
        <f t="shared" si="66"/>
        <v>118.42857142857144</v>
      </c>
      <c r="P60" s="18">
        <f t="shared" si="67"/>
        <v>0</v>
      </c>
      <c r="Q60" s="19">
        <f t="shared" si="68"/>
        <v>-11.988095238095212</v>
      </c>
      <c r="R60" s="193">
        <f t="shared" si="61"/>
        <v>0.90807850296668202</v>
      </c>
      <c r="S60" s="419"/>
      <c r="T60" s="206">
        <v>0.3888888888888889</v>
      </c>
      <c r="U60" s="206">
        <v>0.4375</v>
      </c>
      <c r="V60" s="185">
        <f t="shared" ref="V60:V63" si="69">(T60-U59)*24*60</f>
        <v>15.000000000000027</v>
      </c>
      <c r="W60" s="93">
        <f t="shared" si="13"/>
        <v>69.999999999999986</v>
      </c>
      <c r="X60" s="201"/>
      <c r="Y60" s="201"/>
      <c r="Z60" s="400"/>
      <c r="AA60" s="400"/>
      <c r="AB60" s="242">
        <f t="shared" si="62"/>
        <v>-143.85714285714266</v>
      </c>
      <c r="AC60" s="243">
        <f t="shared" si="63"/>
        <v>0.90807850296668202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569</v>
      </c>
      <c r="H61" s="15">
        <f t="shared" si="64"/>
        <v>16079.94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70">K61/J61</f>
        <v>130.41666666666666</v>
      </c>
      <c r="M61" s="188">
        <v>12</v>
      </c>
      <c r="N61" s="14">
        <f t="shared" si="65"/>
        <v>455.20000000000016</v>
      </c>
      <c r="O61" s="17">
        <f t="shared" si="66"/>
        <v>37.933333333333344</v>
      </c>
      <c r="P61" s="18">
        <f t="shared" si="67"/>
        <v>0</v>
      </c>
      <c r="Q61" s="19">
        <f t="shared" si="68"/>
        <v>-92.48333333333332</v>
      </c>
      <c r="R61" s="193">
        <f>O61/L61</f>
        <v>0.2908626198083068</v>
      </c>
      <c r="S61" s="409"/>
      <c r="T61" s="20">
        <v>0.44791666666666669</v>
      </c>
      <c r="U61" s="20">
        <v>0.5</v>
      </c>
      <c r="V61" s="185">
        <f t="shared" si="69"/>
        <v>15.000000000000027</v>
      </c>
      <c r="W61" s="91">
        <f t="shared" si="13"/>
        <v>74.999999999999972</v>
      </c>
      <c r="X61" s="22"/>
      <c r="Y61" s="22"/>
      <c r="Z61" s="400" t="s">
        <v>194</v>
      </c>
      <c r="AA61" s="400"/>
      <c r="AB61" s="51">
        <f t="shared" si="62"/>
        <v>-1109.7999999999997</v>
      </c>
      <c r="AC61" s="52">
        <f t="shared" si="63"/>
        <v>0.2908626198083068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260" t="s">
        <v>128</v>
      </c>
      <c r="E62" s="89"/>
      <c r="F62" s="56">
        <f>VLOOKUP(D62,廠價表!$C$1:$E$39,3,0)</f>
        <v>26.99</v>
      </c>
      <c r="G62" s="185">
        <v>1722</v>
      </c>
      <c r="H62" s="15">
        <f t="shared" ref="H62:H63" si="71">F62*G62</f>
        <v>46476.78</v>
      </c>
      <c r="I62" s="82"/>
      <c r="J62" s="16">
        <f>VLOOKUP(D62,產線配置圖!$A$2:$C$38,2,0)</f>
        <v>13</v>
      </c>
      <c r="K62" s="14">
        <f>VLOOKUP(D62,產線配置圖!$A$2:$C$38,3,0)</f>
        <v>1565</v>
      </c>
      <c r="L62" s="17">
        <f t="shared" ref="L62:L63" si="72">K62/J62</f>
        <v>120.38461538461539</v>
      </c>
      <c r="M62" s="188">
        <v>13</v>
      </c>
      <c r="N62" s="14">
        <f t="shared" ref="N62:N63" si="73">G62/W62*60</f>
        <v>1476.0000000000018</v>
      </c>
      <c r="O62" s="17">
        <f t="shared" ref="O62:O63" si="74">N62/M62</f>
        <v>113.53846153846168</v>
      </c>
      <c r="P62" s="18">
        <f t="shared" ref="P62:P63" si="75">M62-J62</f>
        <v>0</v>
      </c>
      <c r="Q62" s="19">
        <f t="shared" ref="Q62:Q63" si="76">O62-L62</f>
        <v>-6.8461538461537117</v>
      </c>
      <c r="R62" s="193">
        <f t="shared" ref="R62:R63" si="77">O62/L62</f>
        <v>0.94313099041533655</v>
      </c>
      <c r="S62" s="409"/>
      <c r="T62" s="20">
        <v>0.55208333333333337</v>
      </c>
      <c r="U62" s="20">
        <v>0.60069444444444442</v>
      </c>
      <c r="V62" s="185">
        <f t="shared" si="69"/>
        <v>75.000000000000057</v>
      </c>
      <c r="W62" s="93">
        <f t="shared" si="13"/>
        <v>69.999999999999915</v>
      </c>
      <c r="X62" s="22"/>
      <c r="Y62" s="22"/>
      <c r="Z62" s="400"/>
      <c r="AA62" s="400"/>
      <c r="AB62" s="18"/>
      <c r="AC62" s="193"/>
      <c r="AD62" s="392"/>
    </row>
    <row r="63" spans="1:30" ht="15" customHeight="1" x14ac:dyDescent="0.25">
      <c r="A63" s="417"/>
      <c r="B63" s="56" t="str">
        <f>VLOOKUP(D63,廠價表!$C$1:$E$39,2,0)</f>
        <v>小吃、微波</v>
      </c>
      <c r="C63" s="23"/>
      <c r="D63" s="11" t="s">
        <v>143</v>
      </c>
      <c r="E63" s="12"/>
      <c r="F63" s="56">
        <f>VLOOKUP(D63,廠價表!$C$1:$E$39,3,0)</f>
        <v>28.26</v>
      </c>
      <c r="G63" s="185">
        <v>1783</v>
      </c>
      <c r="H63" s="15">
        <f t="shared" si="71"/>
        <v>50387.58</v>
      </c>
      <c r="I63" s="82"/>
      <c r="J63" s="16">
        <f>VLOOKUP(D63,產線配置圖!$A$2:$C$38,2,0)</f>
        <v>12</v>
      </c>
      <c r="K63" s="14">
        <f>VLOOKUP(D63,產線配置圖!$A$2:$C$38,3,0)</f>
        <v>1565</v>
      </c>
      <c r="L63" s="17">
        <f t="shared" si="72"/>
        <v>130.41666666666666</v>
      </c>
      <c r="M63" s="188">
        <v>12</v>
      </c>
      <c r="N63" s="14">
        <f t="shared" si="73"/>
        <v>1258.5882352941173</v>
      </c>
      <c r="O63" s="17">
        <f t="shared" si="74"/>
        <v>104.88235294117645</v>
      </c>
      <c r="P63" s="18">
        <f t="shared" si="75"/>
        <v>0</v>
      </c>
      <c r="Q63" s="19">
        <f t="shared" si="76"/>
        <v>-25.534313725490208</v>
      </c>
      <c r="R63" s="193">
        <f t="shared" si="77"/>
        <v>0.8042097350122156</v>
      </c>
      <c r="S63" s="409"/>
      <c r="T63" s="20">
        <v>0.61458333333333337</v>
      </c>
      <c r="U63" s="20">
        <v>0.67361111111111116</v>
      </c>
      <c r="V63" s="185">
        <f t="shared" si="69"/>
        <v>20.000000000000089</v>
      </c>
      <c r="W63" s="93">
        <f t="shared" si="13"/>
        <v>85.000000000000014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64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13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64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13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64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13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64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13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64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13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78">AVERAGE(J59:J68)</f>
        <v>12.4</v>
      </c>
      <c r="K69" s="173">
        <f t="shared" si="78"/>
        <v>1565</v>
      </c>
      <c r="L69" s="178">
        <f t="shared" si="78"/>
        <v>126.40384615384615</v>
      </c>
      <c r="M69" s="173">
        <f t="shared" si="78"/>
        <v>12.4</v>
      </c>
      <c r="N69" s="173">
        <f t="shared" si="78"/>
        <v>1215.8502184873955</v>
      </c>
      <c r="O69" s="178">
        <f t="shared" si="78"/>
        <v>97.546082309847051</v>
      </c>
      <c r="P69" s="179">
        <f>M69-J69</f>
        <v>0</v>
      </c>
      <c r="Q69" s="165">
        <f>N69-K69</f>
        <v>-349.14978151260448</v>
      </c>
      <c r="R69" s="124">
        <f>O69/L69</f>
        <v>0.7717018530521903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-349.14978151260448</v>
      </c>
      <c r="AC69" s="195">
        <f>N69/K69</f>
        <v>0.77690109807501306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79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80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79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80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79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80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79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80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79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80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79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80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79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80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79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80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79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58" priority="1" operator="greaterThan">
      <formula>0</formula>
    </cfRule>
  </conditionalFormatting>
  <conditionalFormatting sqref="Q5:Q79 AB5:AB79">
    <cfRule type="cellIs" dxfId="257" priority="4" operator="lessThan">
      <formula>0</formula>
    </cfRule>
  </conditionalFormatting>
  <conditionalFormatting sqref="R5:R79 AC5:AC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D59:AD62 S69:S76 AD69:AD76">
    <cfRule type="cellIs" dxfId="254" priority="7" operator="lessThan">
      <formula>0.8</formula>
    </cfRule>
  </conditionalFormatting>
  <conditionalFormatting sqref="S19:S25 AD19:AD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D5:AD8 S15:S16 AD15:AD16 AD49 AD79">
    <cfRule type="cellIs" dxfId="251" priority="9" operator="lessThan">
      <formula>0.8</formula>
    </cfRule>
  </conditionalFormatting>
  <conditionalFormatting sqref="AD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D1F666-2B5E-4B99-A0D3-C9C57A4480FD}">
          <x14:formula1>
            <xm:f>廠價表!$C$2:$C$37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6059-A92C-4B87-B6F5-69E52A3D658B}">
  <sheetPr>
    <pageSetUpPr fitToPage="1"/>
  </sheetPr>
  <dimension ref="B1:O22"/>
  <sheetViews>
    <sheetView zoomScale="70" zoomScaleNormal="70" workbookViewId="0">
      <selection activeCell="A2" sqref="A1:K2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45937</v>
      </c>
      <c r="E3" s="383"/>
      <c r="F3" s="214" t="s">
        <v>76</v>
      </c>
      <c r="G3" s="384">
        <f>'1007'!E1</f>
        <v>51247</v>
      </c>
      <c r="H3" s="384"/>
      <c r="I3" s="214" t="s">
        <v>77</v>
      </c>
      <c r="J3" s="385">
        <f>'1007'!G1</f>
        <v>2466724.87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118.17582521078232</v>
      </c>
      <c r="G6" s="362"/>
      <c r="H6" s="363">
        <f>AVERAGE(D13:H13)</f>
        <v>116.53022102216956</v>
      </c>
      <c r="I6" s="363"/>
      <c r="J6" s="363">
        <f>AVERAGE(I13)</f>
        <v>126.40384615384615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100.83453583801825</v>
      </c>
      <c r="G7" s="380"/>
      <c r="H7" s="381">
        <f>AVERAGE(D14:H14)</f>
        <v>102.32135825018779</v>
      </c>
      <c r="I7" s="381"/>
      <c r="J7" s="381">
        <f>AVERAGE(I14)</f>
        <v>93.400423777170559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0.84919459850180334</v>
      </c>
      <c r="G8" s="360"/>
      <c r="H8" s="360">
        <f>AVERAGE(D15:H15)</f>
        <v>0.87125253428575233</v>
      </c>
      <c r="I8" s="360"/>
      <c r="J8" s="360">
        <f>AVERAGE(I15)</f>
        <v>0.73890491958205828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VALUE('1007'!L15)</f>
        <v>146.45054945054943</v>
      </c>
      <c r="E13" s="227">
        <f>VALUE('1007'!L26)</f>
        <v>151.71674679487177</v>
      </c>
      <c r="F13" s="227">
        <f>VALUE('1007'!L37)</f>
        <v>93.179751131221721</v>
      </c>
      <c r="G13" s="227">
        <f>VALUE('1007'!L48)</f>
        <v>103.92933006535948</v>
      </c>
      <c r="H13" s="227">
        <f>VALUE('1007'!L58)</f>
        <v>87.37472766884531</v>
      </c>
      <c r="I13" s="227">
        <f>VALUE('1007'!L69)</f>
        <v>126.40384615384615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VALUE('1007'!O15)</f>
        <v>137.1441602568645</v>
      </c>
      <c r="E14" s="227">
        <f>VALUE('1007'!O26)</f>
        <v>141.57364268297772</v>
      </c>
      <c r="F14" s="227">
        <f>VALUE('1007'!O37)</f>
        <v>80.438990852799449</v>
      </c>
      <c r="G14" s="227">
        <f>VALUE('1007'!O48)</f>
        <v>66.584615384615375</v>
      </c>
      <c r="H14" s="227">
        <f>VALUE('1007'!O58)</f>
        <v>85.865382073681829</v>
      </c>
      <c r="I14" s="227">
        <f>VALUE('1007'!O69)</f>
        <v>93.400423777170559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0.93645370926500116</v>
      </c>
      <c r="E15" s="248">
        <f t="shared" ref="E15:I15" si="0">E14/E13</f>
        <v>0.93314446607790769</v>
      </c>
      <c r="F15" s="248">
        <f t="shared" si="0"/>
        <v>0.86326685654611901</v>
      </c>
      <c r="G15" s="248">
        <f t="shared" si="0"/>
        <v>0.64067203495626679</v>
      </c>
      <c r="H15" s="248">
        <f t="shared" si="0"/>
        <v>0.98272560458346747</v>
      </c>
      <c r="I15" s="248">
        <f t="shared" si="0"/>
        <v>0.73890491958205828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'1007'!T5</f>
        <v>0.2902777777777778</v>
      </c>
      <c r="E16" s="98">
        <f>'1007'!T16</f>
        <v>0.29097222222222224</v>
      </c>
      <c r="F16" s="98">
        <f>'1007'!T27</f>
        <v>0.2951388888888889</v>
      </c>
      <c r="G16" s="98">
        <f>'1007'!T38</f>
        <v>0.3298611111111111</v>
      </c>
      <c r="H16" s="98">
        <f>'1007'!T49</f>
        <v>0.28888888888888886</v>
      </c>
      <c r="I16" s="98">
        <f>'1007'!T59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20">
        <v>0.61458333333333337</v>
      </c>
      <c r="E17" s="41">
        <v>0.61458333333333337</v>
      </c>
      <c r="F17" s="41">
        <v>0.64722222222222225</v>
      </c>
      <c r="G17" s="59">
        <v>0.61041666666666672</v>
      </c>
      <c r="H17" s="44">
        <v>0.62847222222222221</v>
      </c>
      <c r="I17" s="20">
        <v>0.67361111111111116</v>
      </c>
      <c r="J17" s="294"/>
    </row>
    <row r="18" spans="2:10" ht="17.25" customHeight="1" x14ac:dyDescent="0.25">
      <c r="B18" s="481" t="s">
        <v>105</v>
      </c>
      <c r="C18" s="355"/>
      <c r="D18" s="229">
        <f>VALUE('1007'!M15)</f>
        <v>13.4</v>
      </c>
      <c r="E18" s="229">
        <f>VALUE('1007'!M26)</f>
        <v>13.25</v>
      </c>
      <c r="F18" s="229">
        <f>VALUE('1007'!M37)</f>
        <v>13.8</v>
      </c>
      <c r="G18" s="229">
        <f>VALUE('1007'!M48)</f>
        <v>15</v>
      </c>
      <c r="H18" s="229">
        <f>VALUE('1007'!M58)</f>
        <v>17.666666666666668</v>
      </c>
      <c r="I18" s="229">
        <f>VALUE('1007'!M69)</f>
        <v>12.4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BD9D-F1B2-4E15-A74B-0DA770589CBE}">
  <sheetPr>
    <tabColor theme="9" tint="0.79998168889431442"/>
    <pageSetUpPr fitToPage="1"/>
  </sheetPr>
  <dimension ref="A1:AF92"/>
  <sheetViews>
    <sheetView zoomScale="69" zoomScaleNormal="69" workbookViewId="0">
      <pane xSplit="5" ySplit="4" topLeftCell="Y5" activePane="bottomRight" state="frozen"/>
      <selection activeCell="A2" sqref="A1:K2"/>
      <selection pane="topRight" activeCell="A2" sqref="A1:K2"/>
      <selection pane="bottomLeft" activeCell="A2" sqref="A1:K2"/>
      <selection pane="bottomRight" activeCell="Z39" sqref="Z39:AA39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51247</v>
      </c>
      <c r="F1" s="185" t="s">
        <v>9</v>
      </c>
      <c r="G1" s="4">
        <f>SUM(H5:H79)</f>
        <v>2466724.87</v>
      </c>
      <c r="H1" s="183" t="s">
        <v>10</v>
      </c>
      <c r="I1" s="5">
        <f>M15+M26+M48+M58+M69+M79+M37</f>
        <v>85.516666666666666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196</v>
      </c>
      <c r="B2" s="461"/>
      <c r="C2" s="184"/>
      <c r="D2" s="184" t="s">
        <v>1</v>
      </c>
      <c r="E2" s="7">
        <f>AVERAGE(O15,O26,O37,O48,O58,O69,O79)</f>
        <v>100.83453583801825</v>
      </c>
      <c r="F2" s="8" t="s">
        <v>2</v>
      </c>
      <c r="G2" s="9">
        <f>G1/E1</f>
        <v>48.134034577633813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1852</v>
      </c>
      <c r="H5" s="109">
        <f>F5*G5</f>
        <v>105952.92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1792.2580645161308</v>
      </c>
      <c r="O5" s="112">
        <f>N5/M5</f>
        <v>137.8660049627793</v>
      </c>
      <c r="P5" s="114">
        <f>M5-J5</f>
        <v>0</v>
      </c>
      <c r="Q5" s="115">
        <f>O5-L5</f>
        <v>-15.98014888337454</v>
      </c>
      <c r="R5" s="192">
        <f>O5/L5</f>
        <v>0.89612903225806551</v>
      </c>
      <c r="S5" s="408">
        <f>R15</f>
        <v>0.93645370926500116</v>
      </c>
      <c r="T5" s="97">
        <v>0.2902777777777778</v>
      </c>
      <c r="U5" s="97">
        <v>0.33333333333333331</v>
      </c>
      <c r="V5" s="202"/>
      <c r="W5" s="110">
        <f t="shared" ref="W5:W14" si="0">(U5-T5)*24*60</f>
        <v>61.999999999999943</v>
      </c>
      <c r="X5" s="196"/>
      <c r="Y5" s="196"/>
      <c r="Z5" s="423"/>
      <c r="AA5" s="423"/>
      <c r="AB5" s="114">
        <f>N5-K5</f>
        <v>-207.74193548386916</v>
      </c>
      <c r="AC5" s="192">
        <f>N5/K5</f>
        <v>0.89612903225806539</v>
      </c>
      <c r="AD5" s="391">
        <f>AC15</f>
        <v>0.93515457241856648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150</v>
      </c>
      <c r="E6" s="89"/>
      <c r="F6" s="56">
        <f>VLOOKUP(D6,廠價表!$C$1:$E$39,3,0)</f>
        <v>49.14</v>
      </c>
      <c r="G6" s="25">
        <v>4895</v>
      </c>
      <c r="H6" s="15">
        <f t="shared" ref="H6:H14" si="1">F6*G6</f>
        <v>240540.3</v>
      </c>
      <c r="I6" s="190"/>
      <c r="J6" s="16">
        <f>VLOOKUP(D6,產線配置圖!$A$2:$C$38,2,0)</f>
        <v>13</v>
      </c>
      <c r="K6" s="14">
        <f>VLOOKUP(D6,產線配置圖!$A$2:$C$38,3,0)</f>
        <v>2000</v>
      </c>
      <c r="L6" s="17">
        <f>K6/J6</f>
        <v>153.84615384615384</v>
      </c>
      <c r="M6" s="188">
        <v>13</v>
      </c>
      <c r="N6" s="14">
        <f>G6/W6*60</f>
        <v>1997.9591836734701</v>
      </c>
      <c r="O6" s="17">
        <f>N6/M6</f>
        <v>153.68916797488231</v>
      </c>
      <c r="P6" s="18">
        <f>M6-J6</f>
        <v>0</v>
      </c>
      <c r="Q6" s="19">
        <f>O6-L6</f>
        <v>-0.15698587127153019</v>
      </c>
      <c r="R6" s="193">
        <f>O6/L6</f>
        <v>0.99897959183673501</v>
      </c>
      <c r="S6" s="409"/>
      <c r="T6" s="98">
        <v>0.34236111111111112</v>
      </c>
      <c r="U6" s="98">
        <v>0.44444444444444442</v>
      </c>
      <c r="V6" s="185"/>
      <c r="W6" s="190">
        <f t="shared" si="0"/>
        <v>146.99999999999994</v>
      </c>
      <c r="X6" s="22"/>
      <c r="Y6" s="22"/>
      <c r="Z6" s="446"/>
      <c r="AA6" s="446"/>
      <c r="AB6" s="18">
        <f>N6-K6</f>
        <v>-2.0408163265299208</v>
      </c>
      <c r="AC6" s="193">
        <f>N6/K6</f>
        <v>0.99897959183673501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148</v>
      </c>
      <c r="E7" s="89"/>
      <c r="F7" s="56">
        <f>VLOOKUP(D7,廠價表!$C$1:$E$39,3,0)</f>
        <v>57.21</v>
      </c>
      <c r="G7" s="25">
        <v>1161</v>
      </c>
      <c r="H7" s="15">
        <f t="shared" si="1"/>
        <v>66420.81</v>
      </c>
      <c r="I7" s="190"/>
      <c r="J7" s="16">
        <f>VLOOKUP(D7,產線配置圖!$A$2:$C$38,2,0)</f>
        <v>14</v>
      </c>
      <c r="K7" s="14">
        <f>VLOOKUP(D7,產線配置圖!$A$2:$C$38,3,0)</f>
        <v>1895</v>
      </c>
      <c r="L7" s="17">
        <f>K7/J7</f>
        <v>135.35714285714286</v>
      </c>
      <c r="M7" s="188">
        <v>14</v>
      </c>
      <c r="N7" s="14">
        <f>G7/W7*60</f>
        <v>1699.0243902439017</v>
      </c>
      <c r="O7" s="17">
        <f>N7/M7</f>
        <v>121.35888501742156</v>
      </c>
      <c r="P7" s="18">
        <f>M7-J7</f>
        <v>0</v>
      </c>
      <c r="Q7" s="19">
        <f>O7-L7</f>
        <v>-13.998257839721305</v>
      </c>
      <c r="R7" s="193">
        <f>O7/L7</f>
        <v>0.89658279168543631</v>
      </c>
      <c r="S7" s="409"/>
      <c r="T7" s="98">
        <v>0.45347222222222222</v>
      </c>
      <c r="U7" s="98">
        <v>0.48194444444444445</v>
      </c>
      <c r="V7" s="185">
        <f>(T7-U6)*24*60</f>
        <v>13.000000000000034</v>
      </c>
      <c r="W7" s="190">
        <f t="shared" si="0"/>
        <v>41.000000000000014</v>
      </c>
      <c r="X7" s="22"/>
      <c r="Y7" s="22"/>
      <c r="Z7" s="400"/>
      <c r="AA7" s="400"/>
      <c r="AB7" s="18">
        <f>N7-K7</f>
        <v>-195.97560975609827</v>
      </c>
      <c r="AC7" s="193">
        <f>N7/K7</f>
        <v>0.89658279168543631</v>
      </c>
      <c r="AD7" s="392"/>
    </row>
    <row r="8" spans="1:30" ht="15" customHeight="1" x14ac:dyDescent="0.25">
      <c r="A8" s="465"/>
      <c r="B8" s="56" t="s">
        <v>140</v>
      </c>
      <c r="C8" s="23"/>
      <c r="D8" s="11" t="s">
        <v>148</v>
      </c>
      <c r="E8" s="12"/>
      <c r="F8" s="56">
        <f>VLOOKUP(D8,廠價表!$C$1:$E$39,3,0)</f>
        <v>57.21</v>
      </c>
      <c r="G8" s="67">
        <v>1477</v>
      </c>
      <c r="H8" s="77">
        <f t="shared" si="1"/>
        <v>84499.17</v>
      </c>
      <c r="I8" s="185"/>
      <c r="J8" s="16">
        <f>VLOOKUP(D8,產線配置圖!$A$2:$C$38,2,0)</f>
        <v>14</v>
      </c>
      <c r="K8" s="14">
        <f>VLOOKUP(D8,產線配置圖!$A$2:$C$38,3,0)</f>
        <v>1895</v>
      </c>
      <c r="L8" s="17">
        <f t="shared" ref="L8" si="2">K8/J8</f>
        <v>135.35714285714286</v>
      </c>
      <c r="M8" s="182">
        <v>14</v>
      </c>
      <c r="N8" s="78">
        <f t="shared" ref="N8" si="3">G8/W8*60</f>
        <v>1672.0754716981091</v>
      </c>
      <c r="O8" s="79">
        <f t="shared" ref="O8" si="4">N8/M8</f>
        <v>119.43396226415065</v>
      </c>
      <c r="P8" s="18">
        <f t="shared" ref="P8" si="5">M8-J8</f>
        <v>0</v>
      </c>
      <c r="Q8" s="19">
        <f t="shared" ref="Q8" si="6">O8-L8</f>
        <v>-15.92318059299221</v>
      </c>
      <c r="R8" s="193">
        <f t="shared" ref="R8" si="7">O8/L8</f>
        <v>0.8823617264897673</v>
      </c>
      <c r="S8" s="409"/>
      <c r="T8" s="80">
        <v>0.5444444444444444</v>
      </c>
      <c r="U8" s="80">
        <v>0.58125000000000004</v>
      </c>
      <c r="V8" s="185">
        <f>(T8-U7)*24*60</f>
        <v>89.999999999999915</v>
      </c>
      <c r="W8" s="190">
        <f t="shared" si="0"/>
        <v>53.000000000000128</v>
      </c>
      <c r="X8" s="22">
        <v>0.5</v>
      </c>
      <c r="Y8" s="22">
        <v>0.54166666666666663</v>
      </c>
      <c r="Z8" s="447"/>
      <c r="AA8" s="447"/>
      <c r="AB8" s="18"/>
      <c r="AC8" s="193"/>
      <c r="AD8" s="392"/>
    </row>
    <row r="9" spans="1:30" ht="15" customHeight="1" x14ac:dyDescent="0.25">
      <c r="A9" s="466"/>
      <c r="B9" s="56" t="s">
        <v>140</v>
      </c>
      <c r="C9" s="23"/>
      <c r="D9" s="11" t="s">
        <v>150</v>
      </c>
      <c r="E9" s="12"/>
      <c r="F9" s="56">
        <f>VLOOKUP(D9,廠價表!$C$1:$E$39,3,0)</f>
        <v>49.14</v>
      </c>
      <c r="G9" s="67">
        <v>1296</v>
      </c>
      <c r="H9" s="77">
        <f t="shared" ref="H9" si="8">F9*G9</f>
        <v>63685.440000000002</v>
      </c>
      <c r="I9" s="185"/>
      <c r="J9" s="16">
        <f>VLOOKUP(D9,產線配置圖!$A$2:$C$38,2,0)</f>
        <v>13</v>
      </c>
      <c r="K9" s="14">
        <f>VLOOKUP(D9,產線配置圖!$A$2:$C$38,3,0)</f>
        <v>2000</v>
      </c>
      <c r="L9" s="17">
        <f t="shared" ref="L9" si="9">K9/J9</f>
        <v>153.84615384615384</v>
      </c>
      <c r="M9" s="188">
        <v>13</v>
      </c>
      <c r="N9" s="78">
        <f t="shared" ref="N9" si="10">G9/W9*60</f>
        <v>1993.8461538461527</v>
      </c>
      <c r="O9" s="79">
        <f t="shared" ref="O9" si="11">N9/M9</f>
        <v>153.37278106508867</v>
      </c>
      <c r="P9" s="18">
        <f t="shared" ref="P9" si="12">M9-J9</f>
        <v>0</v>
      </c>
      <c r="Q9" s="19">
        <f t="shared" ref="Q9" si="13">O9-L9</f>
        <v>-0.47337278106516578</v>
      </c>
      <c r="R9" s="193">
        <f t="shared" ref="R9" si="14">O9/L9</f>
        <v>0.99692307692307647</v>
      </c>
      <c r="S9" s="410"/>
      <c r="T9" s="20">
        <v>0.58750000000000002</v>
      </c>
      <c r="U9" s="20">
        <v>0.61458333333333337</v>
      </c>
      <c r="V9" s="185">
        <f>(T9-U8)*24*60</f>
        <v>8.999999999999968</v>
      </c>
      <c r="W9" s="24">
        <f t="shared" si="0"/>
        <v>39.000000000000021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>
        <f t="shared" si="1"/>
        <v>0</v>
      </c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 t="s">
        <v>203</v>
      </c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15">AVERAGE(J5:J14)</f>
        <v>13.4</v>
      </c>
      <c r="K15" s="121">
        <f t="shared" si="15"/>
        <v>1958</v>
      </c>
      <c r="L15" s="118">
        <f t="shared" si="15"/>
        <v>146.45054945054943</v>
      </c>
      <c r="M15" s="121">
        <f t="shared" si="15"/>
        <v>13.4</v>
      </c>
      <c r="N15" s="121">
        <f t="shared" si="15"/>
        <v>1831.0326527955531</v>
      </c>
      <c r="O15" s="118">
        <f t="shared" si="15"/>
        <v>137.1441602568645</v>
      </c>
      <c r="P15" s="122">
        <f t="shared" ref="P15:P19" si="16">M15-J15</f>
        <v>0</v>
      </c>
      <c r="Q15" s="123">
        <f t="shared" ref="Q15:Q19" si="17">O15-L15</f>
        <v>-9.3063891936849359</v>
      </c>
      <c r="R15" s="124">
        <f t="shared" ref="R15:R19" si="18">O15/L15</f>
        <v>0.93645370926500116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-126.96734720444692</v>
      </c>
      <c r="AC15" s="195">
        <f>N15/K15</f>
        <v>0.93515457241856648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2143</v>
      </c>
      <c r="H16" s="128">
        <f t="shared" ref="H16:H25" si="19">F16*G16</f>
        <v>122601.03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1863.4782608695652</v>
      </c>
      <c r="O16" s="131">
        <f>N16/M16</f>
        <v>143.34448160535118</v>
      </c>
      <c r="P16" s="132">
        <f t="shared" si="16"/>
        <v>0</v>
      </c>
      <c r="Q16" s="133">
        <f t="shared" si="17"/>
        <v>-10.501672240802662</v>
      </c>
      <c r="R16" s="197">
        <f t="shared" si="18"/>
        <v>0.93173913043478274</v>
      </c>
      <c r="S16" s="433">
        <f>R26</f>
        <v>0.93314446607790769</v>
      </c>
      <c r="T16" s="288">
        <v>0.29097222222222224</v>
      </c>
      <c r="U16" s="288">
        <v>0.33888888888888891</v>
      </c>
      <c r="V16" s="129"/>
      <c r="W16" s="134">
        <f t="shared" ref="W16:W68" si="20">(U16-T16)*24*60</f>
        <v>69</v>
      </c>
      <c r="X16" s="131"/>
      <c r="Y16" s="131"/>
      <c r="Z16" s="423"/>
      <c r="AA16" s="423"/>
      <c r="AB16" s="114">
        <f>N16-K16</f>
        <v>-136.52173913043475</v>
      </c>
      <c r="AC16" s="192">
        <f>N16/K16</f>
        <v>0.93173913043478263</v>
      </c>
      <c r="AD16" s="391">
        <f>AC26</f>
        <v>0.92805382148514814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2196</v>
      </c>
      <c r="H17" s="15">
        <f t="shared" si="19"/>
        <v>111271.32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1626.6666666666661</v>
      </c>
      <c r="O17" s="38">
        <f>N17/M17</f>
        <v>101.66666666666663</v>
      </c>
      <c r="P17" s="39">
        <f t="shared" si="16"/>
        <v>0</v>
      </c>
      <c r="Q17" s="40">
        <f t="shared" si="17"/>
        <v>-18.020833333333371</v>
      </c>
      <c r="R17" s="198">
        <f t="shared" si="18"/>
        <v>0.84943429068755405</v>
      </c>
      <c r="S17" s="434"/>
      <c r="T17" s="41">
        <v>0.34444444444444444</v>
      </c>
      <c r="U17" s="41">
        <v>0.40069444444444446</v>
      </c>
      <c r="V17" s="185">
        <f>(T17-U16)*24*60</f>
        <v>7.9999999999999716</v>
      </c>
      <c r="W17" s="43">
        <f t="shared" si="20"/>
        <v>81.000000000000028</v>
      </c>
      <c r="X17" s="44"/>
      <c r="Y17" s="44"/>
      <c r="Z17" s="399"/>
      <c r="AA17" s="400"/>
      <c r="AB17" s="18">
        <f>N17-K17</f>
        <v>-288.33333333333394</v>
      </c>
      <c r="AC17" s="193">
        <f>N17/K17</f>
        <v>0.84943429068755405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2792</v>
      </c>
      <c r="H18" s="15">
        <f t="shared" si="19"/>
        <v>140688.88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1903.6363636363635</v>
      </c>
      <c r="O18" s="38">
        <f>N18/M18</f>
        <v>158.63636363636363</v>
      </c>
      <c r="P18" s="39">
        <f t="shared" si="16"/>
        <v>0</v>
      </c>
      <c r="Q18" s="40">
        <f t="shared" si="17"/>
        <v>-8.0303030303030312</v>
      </c>
      <c r="R18" s="198">
        <f t="shared" si="18"/>
        <v>0.95181818181818179</v>
      </c>
      <c r="S18" s="434"/>
      <c r="T18" s="41">
        <v>0.41597222222222224</v>
      </c>
      <c r="U18" s="41">
        <v>0.47708333333333336</v>
      </c>
      <c r="V18" s="185">
        <f>(T18-U17)*24*60</f>
        <v>22</v>
      </c>
      <c r="W18" s="43">
        <f t="shared" si="20"/>
        <v>88</v>
      </c>
      <c r="X18" s="22"/>
      <c r="Y18" s="22"/>
      <c r="Z18" s="399"/>
      <c r="AA18" s="400"/>
      <c r="AB18" s="18">
        <f>N18-K18</f>
        <v>-96.363636363636488</v>
      </c>
      <c r="AC18" s="193">
        <f>N18/K18</f>
        <v>0.95181818181818179</v>
      </c>
      <c r="AD18" s="392"/>
    </row>
    <row r="19" spans="1:30" ht="15" customHeight="1" x14ac:dyDescent="0.25">
      <c r="A19" s="439"/>
      <c r="B19" s="56" t="str">
        <f>VLOOKUP(D19,廠價表!$C$1:$E$39,2,0)</f>
        <v>義大利麵</v>
      </c>
      <c r="C19" s="23"/>
      <c r="D19" s="11" t="s">
        <v>136</v>
      </c>
      <c r="E19" s="12"/>
      <c r="F19" s="56">
        <f>VLOOKUP(D19,廠價表!$C$1:$E$39,3,0)</f>
        <v>50.39</v>
      </c>
      <c r="G19" s="99">
        <v>2765</v>
      </c>
      <c r="H19" s="15">
        <f t="shared" si="19"/>
        <v>139328.35</v>
      </c>
      <c r="I19" s="42"/>
      <c r="J19" s="16">
        <f>VLOOKUP(D19,產線配置圖!$A$2:$C$38,2,0)</f>
        <v>12</v>
      </c>
      <c r="K19" s="14">
        <f>VLOOKUP(D19,產線配置圖!$A$2:$C$38,3,0)</f>
        <v>2000</v>
      </c>
      <c r="L19" s="17">
        <f>K19/J19</f>
        <v>166.66666666666666</v>
      </c>
      <c r="M19" s="37">
        <v>12</v>
      </c>
      <c r="N19" s="36">
        <f>G19/W19*60</f>
        <v>1951.7647058823527</v>
      </c>
      <c r="O19" s="38">
        <f>N19/M19</f>
        <v>162.64705882352939</v>
      </c>
      <c r="P19" s="39">
        <f t="shared" si="16"/>
        <v>0</v>
      </c>
      <c r="Q19" s="40">
        <f t="shared" si="17"/>
        <v>-4.0196078431372655</v>
      </c>
      <c r="R19" s="198">
        <f t="shared" si="18"/>
        <v>0.97588235294117642</v>
      </c>
      <c r="S19" s="434"/>
      <c r="T19" s="41">
        <v>0.55555555555555558</v>
      </c>
      <c r="U19" s="41">
        <v>0.61458333333333337</v>
      </c>
      <c r="V19" s="185">
        <f>(T19-U18)*24*60</f>
        <v>113</v>
      </c>
      <c r="W19" s="43">
        <f t="shared" si="20"/>
        <v>85.000000000000014</v>
      </c>
      <c r="X19" s="22">
        <v>0.5</v>
      </c>
      <c r="Y19" s="22">
        <v>0.54166666666666663</v>
      </c>
      <c r="Z19" s="398" t="s">
        <v>197</v>
      </c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>
        <f t="shared" si="19"/>
        <v>0</v>
      </c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19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19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19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20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19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20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19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20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21">AVERAGE(J16:J25)</f>
        <v>13.25</v>
      </c>
      <c r="K26" s="137">
        <f t="shared" si="21"/>
        <v>1978.75</v>
      </c>
      <c r="L26" s="140">
        <f t="shared" si="21"/>
        <v>151.71674679487177</v>
      </c>
      <c r="M26" s="137">
        <f t="shared" si="21"/>
        <v>13.25</v>
      </c>
      <c r="N26" s="137">
        <f t="shared" si="21"/>
        <v>1836.3864992637368</v>
      </c>
      <c r="O26" s="140">
        <f t="shared" si="21"/>
        <v>141.57364268297772</v>
      </c>
      <c r="P26" s="141">
        <f t="shared" ref="P26:P31" si="22">M26-J26</f>
        <v>0</v>
      </c>
      <c r="Q26" s="142">
        <f t="shared" ref="Q26:Q31" si="23">O26-L26</f>
        <v>-10.143104111894047</v>
      </c>
      <c r="R26" s="143">
        <f t="shared" ref="R26:R31" si="24">O26/L26</f>
        <v>0.93314446607790769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-142.36350073626318</v>
      </c>
      <c r="AC26" s="195">
        <f>N26/K26</f>
        <v>0.92805382148514814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1349</v>
      </c>
      <c r="H27" s="128">
        <f t="shared" ref="H27:H36" si="25">F27*G27</f>
        <v>68259.400000000009</v>
      </c>
      <c r="I27" s="129"/>
      <c r="J27" s="111">
        <v>13</v>
      </c>
      <c r="K27" s="252">
        <v>1385</v>
      </c>
      <c r="L27" s="112">
        <f>K27/J27</f>
        <v>106.53846153846153</v>
      </c>
      <c r="M27" s="147">
        <v>13</v>
      </c>
      <c r="N27" s="130">
        <f>G27/W27*60</f>
        <v>1124.166666666667</v>
      </c>
      <c r="O27" s="131">
        <f>N27/M27</f>
        <v>86.474358974358992</v>
      </c>
      <c r="P27" s="132">
        <f t="shared" si="22"/>
        <v>0</v>
      </c>
      <c r="Q27" s="133">
        <f t="shared" si="23"/>
        <v>-20.064102564102541</v>
      </c>
      <c r="R27" s="197">
        <f t="shared" si="24"/>
        <v>0.81167268351383892</v>
      </c>
      <c r="S27" s="433">
        <f>R37</f>
        <v>0.86326685654611901</v>
      </c>
      <c r="T27" s="97">
        <v>0.2951388888888889</v>
      </c>
      <c r="U27" s="97">
        <v>0.34513888888888888</v>
      </c>
      <c r="V27" s="129"/>
      <c r="W27" s="134">
        <f t="shared" si="20"/>
        <v>71.999999999999986</v>
      </c>
      <c r="X27" s="129"/>
      <c r="Y27" s="129" t="s">
        <v>158</v>
      </c>
      <c r="Z27" s="414"/>
      <c r="AA27" s="423"/>
      <c r="AB27" s="114">
        <f>N27-K27</f>
        <v>-260.83333333333303</v>
      </c>
      <c r="AC27" s="148">
        <f>N27/K27</f>
        <v>0.81167268351383892</v>
      </c>
      <c r="AD27" s="391">
        <f>AC37</f>
        <v>0.7657726296648818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1518</v>
      </c>
      <c r="H28" s="50">
        <f t="shared" si="25"/>
        <v>86844.78</v>
      </c>
      <c r="I28" s="42"/>
      <c r="J28" s="16">
        <v>17</v>
      </c>
      <c r="K28" s="14">
        <v>1636</v>
      </c>
      <c r="L28" s="251">
        <f>K28/J28</f>
        <v>96.235294117647058</v>
      </c>
      <c r="M28" s="21">
        <v>13</v>
      </c>
      <c r="N28" s="36">
        <f>G28/W28*60</f>
        <v>1000.8791208791209</v>
      </c>
      <c r="O28" s="38">
        <f>N28/M28</f>
        <v>76.990701606086219</v>
      </c>
      <c r="P28" s="39">
        <f t="shared" si="22"/>
        <v>-4</v>
      </c>
      <c r="Q28" s="40">
        <f t="shared" si="23"/>
        <v>-19.244592511560839</v>
      </c>
      <c r="R28" s="198">
        <f t="shared" si="24"/>
        <v>0.80002562793610377</v>
      </c>
      <c r="S28" s="434"/>
      <c r="T28" s="291">
        <v>0.35416666666666669</v>
      </c>
      <c r="U28" s="291">
        <v>0.41736111111111113</v>
      </c>
      <c r="V28" s="42">
        <f>(T28-U27)*24*60</f>
        <v>13.000000000000034</v>
      </c>
      <c r="W28" s="43">
        <f t="shared" si="20"/>
        <v>91</v>
      </c>
      <c r="X28" s="54"/>
      <c r="Y28" s="54"/>
      <c r="Z28" s="399"/>
      <c r="AA28" s="400"/>
      <c r="AB28" s="34">
        <f>N28-K28</f>
        <v>-635.12087912087907</v>
      </c>
      <c r="AC28" s="194">
        <f>N28/K28</f>
        <v>0.61178430371584414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1585</v>
      </c>
      <c r="H29" s="50">
        <f t="shared" si="25"/>
        <v>87381.05</v>
      </c>
      <c r="I29" s="42"/>
      <c r="J29" s="16">
        <v>16</v>
      </c>
      <c r="K29" s="14">
        <v>1385</v>
      </c>
      <c r="L29" s="251">
        <f>K29/J29</f>
        <v>86.5625</v>
      </c>
      <c r="M29" s="21">
        <v>15</v>
      </c>
      <c r="N29" s="36">
        <f>G29/W29*60</f>
        <v>1159.7560975609751</v>
      </c>
      <c r="O29" s="38">
        <f>N29/M29</f>
        <v>77.317073170731675</v>
      </c>
      <c r="P29" s="39">
        <f t="shared" si="22"/>
        <v>-1</v>
      </c>
      <c r="Q29" s="40">
        <f t="shared" si="23"/>
        <v>-9.2454268292683253</v>
      </c>
      <c r="R29" s="198">
        <f t="shared" si="24"/>
        <v>0.89319362507704458</v>
      </c>
      <c r="S29" s="434"/>
      <c r="T29" s="41">
        <v>0.42638888888888887</v>
      </c>
      <c r="U29" s="41">
        <v>0.48333333333333334</v>
      </c>
      <c r="V29" s="42">
        <f>(T29-U28)*24*60</f>
        <v>12.999999999999954</v>
      </c>
      <c r="W29" s="43">
        <f t="shared" si="20"/>
        <v>82.000000000000028</v>
      </c>
      <c r="X29" s="54"/>
      <c r="Y29" s="54"/>
      <c r="Z29" s="442"/>
      <c r="AA29" s="443"/>
      <c r="AB29" s="275">
        <f t="shared" ref="AB29:AB30" si="26">N29-K29</f>
        <v>-225.24390243902485</v>
      </c>
      <c r="AC29" s="276">
        <f t="shared" ref="AC29:AC30" si="27">N29/K29</f>
        <v>0.8373690235097293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1462</v>
      </c>
      <c r="H30" s="257">
        <f>F30*G30</f>
        <v>69591.199999999997</v>
      </c>
      <c r="I30" s="82"/>
      <c r="J30" s="16">
        <v>16</v>
      </c>
      <c r="K30" s="14">
        <v>1440</v>
      </c>
      <c r="L30" s="251">
        <f>K30/J30</f>
        <v>90</v>
      </c>
      <c r="M30" s="21">
        <v>13</v>
      </c>
      <c r="N30" s="36">
        <f>G30/W30*60</f>
        <v>1096.4999999999998</v>
      </c>
      <c r="O30" s="38">
        <f>N30/M30</f>
        <v>84.346153846153825</v>
      </c>
      <c r="P30" s="39">
        <f t="shared" si="22"/>
        <v>-3</v>
      </c>
      <c r="Q30" s="40">
        <f t="shared" si="23"/>
        <v>-5.6538461538461746</v>
      </c>
      <c r="R30" s="198">
        <f t="shared" si="24"/>
        <v>0.93717948717948696</v>
      </c>
      <c r="S30" s="434"/>
      <c r="T30" s="41">
        <v>0.54513888888888884</v>
      </c>
      <c r="U30" s="41">
        <v>0.60069444444444442</v>
      </c>
      <c r="V30" s="42">
        <f>(T30-U29)*24*60</f>
        <v>88.999999999999929</v>
      </c>
      <c r="W30" s="43">
        <f t="shared" si="20"/>
        <v>80.000000000000028</v>
      </c>
      <c r="X30" s="54">
        <v>0.46875</v>
      </c>
      <c r="Y30" s="54">
        <v>0.51041666666666663</v>
      </c>
      <c r="Z30" s="479"/>
      <c r="AA30" s="480"/>
      <c r="AB30" s="275">
        <f t="shared" si="26"/>
        <v>-343.50000000000023</v>
      </c>
      <c r="AC30" s="276">
        <f t="shared" si="27"/>
        <v>0.76145833333333313</v>
      </c>
      <c r="AD30" s="394"/>
    </row>
    <row r="31" spans="1:30" ht="15" customHeight="1" x14ac:dyDescent="0.25">
      <c r="A31" s="431"/>
      <c r="B31" s="56" t="str">
        <f>VLOOKUP(D31,廠價表!$C$1:$E$39,2,0)</f>
        <v>義大利麵</v>
      </c>
      <c r="C31" s="10"/>
      <c r="D31" s="28" t="s">
        <v>146</v>
      </c>
      <c r="E31" s="89"/>
      <c r="F31" s="56">
        <f>VLOOKUP(D31,廠價表!$C$1:$E$39,3,0)</f>
        <v>55.13</v>
      </c>
      <c r="G31" s="256">
        <v>1156</v>
      </c>
      <c r="H31" s="257">
        <f>F31*G31</f>
        <v>63730.280000000006</v>
      </c>
      <c r="I31" s="82"/>
      <c r="J31" s="16">
        <v>16</v>
      </c>
      <c r="K31" s="14">
        <v>1385</v>
      </c>
      <c r="L31" s="251">
        <f>K31/J31</f>
        <v>86.5625</v>
      </c>
      <c r="M31" s="21">
        <v>15</v>
      </c>
      <c r="N31" s="36">
        <f>G31/W31*60</f>
        <v>1155.999999999998</v>
      </c>
      <c r="O31" s="38">
        <f>N31/M31</f>
        <v>77.066666666666535</v>
      </c>
      <c r="P31" s="39">
        <f t="shared" si="22"/>
        <v>-1</v>
      </c>
      <c r="Q31" s="40">
        <f t="shared" si="23"/>
        <v>-9.495833333333465</v>
      </c>
      <c r="R31" s="198">
        <f t="shared" si="24"/>
        <v>0.89030084235860252</v>
      </c>
      <c r="S31" s="434"/>
      <c r="T31" s="41">
        <v>0.60555555555555551</v>
      </c>
      <c r="U31" s="41">
        <v>0.64722222222222225</v>
      </c>
      <c r="V31" s="42">
        <f>(T31-U30)*24*60</f>
        <v>6.9999999999999751</v>
      </c>
      <c r="W31" s="43">
        <f t="shared" si="20"/>
        <v>60.000000000000107</v>
      </c>
      <c r="X31" s="54"/>
      <c r="Y31" s="54"/>
      <c r="Z31" s="477"/>
      <c r="AA31" s="478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25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20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25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20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2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20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2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20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2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20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28">AVERAGE(J27:J36)</f>
        <v>15.6</v>
      </c>
      <c r="K37" s="137">
        <f t="shared" si="28"/>
        <v>1446.2</v>
      </c>
      <c r="L37" s="140">
        <f t="shared" si="28"/>
        <v>93.179751131221721</v>
      </c>
      <c r="M37" s="137">
        <f t="shared" si="28"/>
        <v>13.8</v>
      </c>
      <c r="N37" s="137">
        <f t="shared" si="28"/>
        <v>1107.4603770213521</v>
      </c>
      <c r="O37" s="140">
        <f t="shared" si="28"/>
        <v>80.438990852799449</v>
      </c>
      <c r="P37" s="141">
        <f>M37-J37</f>
        <v>-1.7999999999999989</v>
      </c>
      <c r="Q37" s="142">
        <f>N37-K37</f>
        <v>-338.73962297864796</v>
      </c>
      <c r="R37" s="143">
        <f t="shared" ref="R37:R40" si="29">O37/L37</f>
        <v>0.86326685654611901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30">N37-K37</f>
        <v>-338.73962297864796</v>
      </c>
      <c r="AC37" s="195">
        <f t="shared" ref="AC37:AC39" si="31">N37/K37</f>
        <v>0.7657726296648818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3225</v>
      </c>
      <c r="H38" s="152">
        <f>F38*G38</f>
        <v>160959.75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15</v>
      </c>
      <c r="N38" s="154">
        <f>G38/W38*60</f>
        <v>1289.9999999999998</v>
      </c>
      <c r="O38" s="155">
        <f>N38/M38</f>
        <v>85.999999999999986</v>
      </c>
      <c r="P38" s="132">
        <f>M38-J38</f>
        <v>-2</v>
      </c>
      <c r="Q38" s="133">
        <f>O38-L38</f>
        <v>-6.0588235294117823</v>
      </c>
      <c r="R38" s="156">
        <f t="shared" si="29"/>
        <v>0.93418530351437679</v>
      </c>
      <c r="S38" s="408">
        <f>R48</f>
        <v>0.64067203495626679</v>
      </c>
      <c r="T38" s="157">
        <v>0.3298611111111111</v>
      </c>
      <c r="U38" s="157">
        <v>0.43402777777777779</v>
      </c>
      <c r="V38" s="153"/>
      <c r="W38" s="158">
        <f t="shared" si="20"/>
        <v>150.00000000000003</v>
      </c>
      <c r="X38" s="155"/>
      <c r="Y38" s="159"/>
      <c r="Z38" s="427"/>
      <c r="AA38" s="427"/>
      <c r="AB38" s="160">
        <f t="shared" si="30"/>
        <v>-275.00000000000023</v>
      </c>
      <c r="AC38" s="161">
        <f t="shared" si="31"/>
        <v>0.82428115015974424</v>
      </c>
      <c r="AD38" s="388">
        <f>AC48</f>
        <v>0.657229149442354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60</v>
      </c>
      <c r="E39" s="89"/>
      <c r="F39" s="56">
        <f>VLOOKUP(D39,廠價表!$C$1:$E$39,3,0)</f>
        <v>58.17</v>
      </c>
      <c r="G39" s="102">
        <v>1551</v>
      </c>
      <c r="H39" s="64">
        <f>F39*G39</f>
        <v>90221.67</v>
      </c>
      <c r="I39" s="65"/>
      <c r="J39" s="16">
        <f>VLOOKUP(D39,產線配置圖!$A$2:$C$38,2,0)</f>
        <v>16</v>
      </c>
      <c r="K39" s="14">
        <f>VLOOKUP(D39,產線配置圖!$A$2:$C$38,3,0)</f>
        <v>1429</v>
      </c>
      <c r="L39" s="17">
        <f>K39/J39</f>
        <v>89.3125</v>
      </c>
      <c r="M39" s="66">
        <v>15</v>
      </c>
      <c r="N39" s="67">
        <f t="shared" ref="N39:N40" si="32">G39/W39*60</f>
        <v>1034</v>
      </c>
      <c r="O39" s="68">
        <f t="shared" ref="O39:O40" si="33">N39/M39</f>
        <v>68.933333333333337</v>
      </c>
      <c r="P39" s="39">
        <f t="shared" ref="P39:P40" si="34">M39-J39</f>
        <v>-1</v>
      </c>
      <c r="Q39" s="40">
        <f t="shared" ref="Q39:Q40" si="35">O39-L39</f>
        <v>-20.379166666666663</v>
      </c>
      <c r="R39" s="69">
        <f t="shared" si="29"/>
        <v>0.77182178679729418</v>
      </c>
      <c r="S39" s="409"/>
      <c r="T39" s="59">
        <v>0.4375</v>
      </c>
      <c r="U39" s="59">
        <v>0.5</v>
      </c>
      <c r="V39" s="42">
        <f t="shared" ref="V39:V40" si="36">(T39-U38)*24*60</f>
        <v>4.9999999999999822</v>
      </c>
      <c r="W39" s="70">
        <f t="shared" si="20"/>
        <v>90</v>
      </c>
      <c r="X39" s="58"/>
      <c r="Y39" s="60"/>
      <c r="Z39" s="428" t="s">
        <v>192</v>
      </c>
      <c r="AA39" s="475"/>
      <c r="AB39" s="292">
        <f t="shared" si="30"/>
        <v>-395</v>
      </c>
      <c r="AC39" s="62">
        <f t="shared" si="31"/>
        <v>0.72358292512246325</v>
      </c>
      <c r="AD39" s="389"/>
    </row>
    <row r="40" spans="1:30" s="63" customFormat="1" ht="15" customHeight="1" x14ac:dyDescent="0.25">
      <c r="A40" s="425"/>
      <c r="B40" s="56" t="str">
        <f>VLOOKUP(D40,廠價表!$C$1:$E$39,2,0)</f>
        <v>小吃、微波</v>
      </c>
      <c r="C40" s="10"/>
      <c r="D40" s="11" t="s">
        <v>157</v>
      </c>
      <c r="E40" s="89"/>
      <c r="F40" s="56">
        <f>VLOOKUP(D40,廠價表!$C$1:$E$39,3,0)</f>
        <v>28.47</v>
      </c>
      <c r="G40" s="102">
        <v>437</v>
      </c>
      <c r="H40" s="64">
        <f>F40*G40</f>
        <v>12441.39</v>
      </c>
      <c r="I40" s="65"/>
      <c r="J40" s="16">
        <f>VLOOKUP(D40,產線配置圖!$A$2:$C$38,2,0)</f>
        <v>12</v>
      </c>
      <c r="K40" s="14">
        <f>VLOOKUP(D40,產線配置圖!$A$2:$C$38,3,0)</f>
        <v>1565</v>
      </c>
      <c r="L40" s="17">
        <f>K40/J40</f>
        <v>130.41666666666666</v>
      </c>
      <c r="M40" s="66">
        <v>15</v>
      </c>
      <c r="N40" s="67">
        <f t="shared" si="32"/>
        <v>672.30769230769192</v>
      </c>
      <c r="O40" s="68">
        <f t="shared" si="33"/>
        <v>44.820512820512796</v>
      </c>
      <c r="P40" s="39">
        <f t="shared" si="34"/>
        <v>3</v>
      </c>
      <c r="Q40" s="40">
        <f t="shared" si="35"/>
        <v>-85.596153846153868</v>
      </c>
      <c r="R40" s="69">
        <f t="shared" si="29"/>
        <v>0.34367166379945918</v>
      </c>
      <c r="S40" s="409"/>
      <c r="T40" s="59">
        <v>0.58333333333333337</v>
      </c>
      <c r="U40" s="59">
        <v>0.61041666666666672</v>
      </c>
      <c r="V40" s="42">
        <f t="shared" si="36"/>
        <v>120.00000000000006</v>
      </c>
      <c r="W40" s="70">
        <f t="shared" si="20"/>
        <v>39.000000000000021</v>
      </c>
      <c r="X40" s="71">
        <v>0.52083333333333337</v>
      </c>
      <c r="Y40" s="278">
        <v>0.5625</v>
      </c>
      <c r="Z40" s="476" t="s">
        <v>198</v>
      </c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20"/>
        <v>0</v>
      </c>
      <c r="X41" s="71"/>
      <c r="Y41" s="278"/>
      <c r="Z41" s="428" t="s">
        <v>201</v>
      </c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20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37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37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38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37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38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37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38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37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38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9">AVERAGE(J38:J47)</f>
        <v>15</v>
      </c>
      <c r="K48" s="137">
        <f t="shared" si="39"/>
        <v>1519.6666666666667</v>
      </c>
      <c r="L48" s="140">
        <f t="shared" si="39"/>
        <v>103.92933006535948</v>
      </c>
      <c r="M48" s="137">
        <f t="shared" si="39"/>
        <v>15</v>
      </c>
      <c r="N48" s="137">
        <f t="shared" si="39"/>
        <v>998.7692307692306</v>
      </c>
      <c r="O48" s="140">
        <f t="shared" si="39"/>
        <v>66.584615384615375</v>
      </c>
      <c r="P48" s="164">
        <f>M48-J48</f>
        <v>0</v>
      </c>
      <c r="Q48" s="165">
        <f>N48-K48</f>
        <v>-520.89743589743614</v>
      </c>
      <c r="R48" s="166">
        <f>O48/L48</f>
        <v>0.64067203495626679</v>
      </c>
      <c r="S48" s="412"/>
      <c r="T48" s="167"/>
      <c r="U48" s="167"/>
      <c r="V48" s="204"/>
      <c r="W48" s="168">
        <f t="shared" si="38"/>
        <v>0</v>
      </c>
      <c r="X48" s="169"/>
      <c r="Y48" s="169"/>
      <c r="Z48" s="401"/>
      <c r="AA48" s="401"/>
      <c r="AB48" s="170">
        <f>N48-K48</f>
        <v>-520.89743589743614</v>
      </c>
      <c r="AC48" s="199">
        <f>N48/K48</f>
        <v>0.657229149442354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2723</v>
      </c>
      <c r="H49" s="128">
        <f t="shared" ref="H49:H57" si="40">F49*G49</f>
        <v>136068.31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1555.9999999999995</v>
      </c>
      <c r="O49" s="131">
        <f>N49/M49</f>
        <v>86.444444444444414</v>
      </c>
      <c r="P49" s="171">
        <f>M49-J49</f>
        <v>0</v>
      </c>
      <c r="Q49" s="115">
        <f>O49-L49</f>
        <v>-0.50000000000002842</v>
      </c>
      <c r="R49" s="192">
        <f>O49/L49</f>
        <v>0.99424920127795491</v>
      </c>
      <c r="S49" s="408">
        <f>R58</f>
        <v>0.98272560458346747</v>
      </c>
      <c r="T49" s="157">
        <v>0.28888888888888886</v>
      </c>
      <c r="U49" s="157">
        <v>0.36180555555555555</v>
      </c>
      <c r="V49" s="196"/>
      <c r="W49" s="158">
        <f t="shared" si="20"/>
        <v>105.00000000000003</v>
      </c>
      <c r="X49" s="196"/>
      <c r="Y49" s="196"/>
      <c r="Z49" s="423"/>
      <c r="AA49" s="423"/>
      <c r="AB49" s="114">
        <f>N49-K49</f>
        <v>-9.0000000000004547</v>
      </c>
      <c r="AC49" s="192">
        <f>N49/K49</f>
        <v>0.99424920127795502</v>
      </c>
      <c r="AD49" s="391">
        <f>AC58</f>
        <v>0.98325267442401099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3486</v>
      </c>
      <c r="H50" s="77">
        <f t="shared" si="40"/>
        <v>198248.81999999998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1432.6027397260277</v>
      </c>
      <c r="O50" s="79">
        <f>N50/M50</f>
        <v>84.270749395648693</v>
      </c>
      <c r="P50" s="18">
        <f>M50-J50</f>
        <v>0</v>
      </c>
      <c r="Q50" s="19">
        <f>O50-L50</f>
        <v>-3.9645447219983652</v>
      </c>
      <c r="R50" s="193">
        <f>O50/L50</f>
        <v>0.9550684931506852</v>
      </c>
      <c r="S50" s="409"/>
      <c r="T50" s="80">
        <v>0.37083333333333335</v>
      </c>
      <c r="U50" s="80">
        <v>0.47222222222222221</v>
      </c>
      <c r="V50" s="185">
        <f t="shared" ref="V50:V51" si="41">(T50-U49)*24*60</f>
        <v>13.000000000000034</v>
      </c>
      <c r="W50" s="81">
        <f t="shared" si="20"/>
        <v>145.99999999999997</v>
      </c>
      <c r="X50" s="22"/>
      <c r="Y50" s="22"/>
      <c r="Z50" s="398"/>
      <c r="AA50" s="399"/>
      <c r="AB50" s="18">
        <f>N50-K50</f>
        <v>-67.397260273972279</v>
      </c>
      <c r="AC50" s="193">
        <f>N50/K50</f>
        <v>0.95506849315068509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3649</v>
      </c>
      <c r="H51" s="77">
        <f t="shared" si="40"/>
        <v>182340.53</v>
      </c>
      <c r="I51" s="185"/>
      <c r="J51" s="16">
        <f>VLOOKUP(D51,產線配置圖!$A$2:$C$38,2,0)</f>
        <v>18</v>
      </c>
      <c r="K51" s="14">
        <f>VLOOKUP(D51,產線配置圖!$A$2:$C$38,3,0)</f>
        <v>1565</v>
      </c>
      <c r="L51" s="17">
        <f t="shared" ref="L51" si="42">K51/J51</f>
        <v>86.944444444444443</v>
      </c>
      <c r="M51" s="182">
        <v>18</v>
      </c>
      <c r="N51" s="78">
        <f t="shared" ref="N51" si="43">G51/W51*60</f>
        <v>1563.8571428571431</v>
      </c>
      <c r="O51" s="79">
        <f t="shared" ref="O51" si="44">N51/M51</f>
        <v>86.880952380952394</v>
      </c>
      <c r="P51" s="18">
        <f t="shared" ref="P51" si="45">M51-J51</f>
        <v>0</v>
      </c>
      <c r="Q51" s="19">
        <f t="shared" ref="Q51" si="46">O51-L51</f>
        <v>-6.3492063492049056E-2</v>
      </c>
      <c r="R51" s="193">
        <f t="shared" ref="R51" si="47">O51/L51</f>
        <v>0.99926973984481993</v>
      </c>
      <c r="S51" s="409"/>
      <c r="T51" s="80">
        <v>0.53125</v>
      </c>
      <c r="U51" s="44">
        <v>0.62847222222222221</v>
      </c>
      <c r="V51" s="185">
        <f t="shared" si="41"/>
        <v>85.000000000000014</v>
      </c>
      <c r="W51" s="81">
        <f t="shared" si="20"/>
        <v>139.99999999999997</v>
      </c>
      <c r="X51" s="22">
        <v>0.47916666666666669</v>
      </c>
      <c r="Y51" s="22">
        <v>0.52083333333333337</v>
      </c>
      <c r="Z51" s="400"/>
      <c r="AA51" s="400"/>
      <c r="AB51" s="51">
        <f>N51-K51</f>
        <v>-1.142857142856883</v>
      </c>
      <c r="AC51" s="52">
        <f>N51/K51</f>
        <v>0.99926973984481993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20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40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20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40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20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40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20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40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20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40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20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8">AVERAGE(J49:J57)</f>
        <v>17.666666666666668</v>
      </c>
      <c r="K58" s="121">
        <f t="shared" si="48"/>
        <v>1543.3333333333333</v>
      </c>
      <c r="L58" s="118">
        <f t="shared" si="48"/>
        <v>87.37472766884531</v>
      </c>
      <c r="M58" s="121">
        <f t="shared" si="48"/>
        <v>17.666666666666668</v>
      </c>
      <c r="N58" s="121">
        <f t="shared" si="48"/>
        <v>1517.4866275277236</v>
      </c>
      <c r="O58" s="118">
        <f t="shared" si="48"/>
        <v>85.865382073681829</v>
      </c>
      <c r="P58" s="122">
        <f>M58-J58</f>
        <v>0</v>
      </c>
      <c r="Q58" s="123">
        <f>N58-K58</f>
        <v>-25.846705805609645</v>
      </c>
      <c r="R58" s="124">
        <f t="shared" ref="R58:R60" si="49">O58/L58</f>
        <v>0.98272560458346747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50">N58-K58</f>
        <v>-25.846705805609645</v>
      </c>
      <c r="AC58" s="195">
        <f t="shared" ref="AC58:AC61" si="51">N58/K58</f>
        <v>0.98325267442401099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2226</v>
      </c>
      <c r="H59" s="109">
        <f t="shared" ref="H59:H68" si="52">F59*G59</f>
        <v>60079.74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3" si="53">G59/W59*60</f>
        <v>1151.3793103448279</v>
      </c>
      <c r="O59" s="112">
        <f t="shared" ref="O59:O63" si="54">N59/M59</f>
        <v>88.567639257294459</v>
      </c>
      <c r="P59" s="114">
        <f t="shared" ref="P59:P63" si="55">M59-J59</f>
        <v>0</v>
      </c>
      <c r="Q59" s="115">
        <f t="shared" ref="Q59:Q63" si="56">O59-L59</f>
        <v>-31.816976127320928</v>
      </c>
      <c r="R59" s="192">
        <f t="shared" si="49"/>
        <v>0.73570562961330854</v>
      </c>
      <c r="S59" s="408">
        <f>R69</f>
        <v>0.73890491958205828</v>
      </c>
      <c r="T59" s="176">
        <v>0.29166666666666669</v>
      </c>
      <c r="U59" s="176">
        <v>0.37222222222222223</v>
      </c>
      <c r="V59" s="196"/>
      <c r="W59" s="110">
        <f t="shared" si="20"/>
        <v>115.99999999999999</v>
      </c>
      <c r="X59" s="196"/>
      <c r="Y59" s="196"/>
      <c r="Z59" s="400" t="s">
        <v>200</v>
      </c>
      <c r="AA59" s="400"/>
      <c r="AB59" s="240">
        <f t="shared" si="50"/>
        <v>-413.6206896551721</v>
      </c>
      <c r="AC59" s="241">
        <f t="shared" si="51"/>
        <v>0.73570562961330854</v>
      </c>
      <c r="AD59" s="391">
        <f>AC69</f>
        <v>0.74003264652395151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1734</v>
      </c>
      <c r="H60" s="15">
        <f t="shared" si="52"/>
        <v>49366.979999999996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53"/>
        <v>1095.1578947368416</v>
      </c>
      <c r="O60" s="17">
        <f t="shared" si="54"/>
        <v>91.263157894736807</v>
      </c>
      <c r="P60" s="18">
        <f t="shared" si="55"/>
        <v>0</v>
      </c>
      <c r="Q60" s="19">
        <f t="shared" si="56"/>
        <v>-39.15350877192985</v>
      </c>
      <c r="R60" s="193">
        <f t="shared" si="49"/>
        <v>0.69978140238775832</v>
      </c>
      <c r="S60" s="419"/>
      <c r="T60" s="206">
        <v>0.38194444444444442</v>
      </c>
      <c r="U60" s="206">
        <v>0.44791666666666669</v>
      </c>
      <c r="V60" s="185">
        <f t="shared" ref="V60:V63" si="57">(T60-U59)*24*60</f>
        <v>13.99999999999995</v>
      </c>
      <c r="W60" s="93">
        <f t="shared" si="20"/>
        <v>95.000000000000057</v>
      </c>
      <c r="X60" s="201"/>
      <c r="Y60" s="201"/>
      <c r="Z60" s="400" t="s">
        <v>199</v>
      </c>
      <c r="AA60" s="400"/>
      <c r="AB60" s="242">
        <f t="shared" si="50"/>
        <v>-469.84210526315837</v>
      </c>
      <c r="AC60" s="243">
        <f t="shared" si="51"/>
        <v>0.69978140238775821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585</v>
      </c>
      <c r="H61" s="15">
        <f t="shared" si="52"/>
        <v>16532.100000000002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3" si="58">K61/J61</f>
        <v>130.41666666666666</v>
      </c>
      <c r="M61" s="188">
        <v>12</v>
      </c>
      <c r="N61" s="14">
        <f t="shared" si="53"/>
        <v>1002.8571428571419</v>
      </c>
      <c r="O61" s="17">
        <f t="shared" si="54"/>
        <v>83.571428571428484</v>
      </c>
      <c r="P61" s="18">
        <f t="shared" si="55"/>
        <v>0</v>
      </c>
      <c r="Q61" s="19">
        <f t="shared" si="56"/>
        <v>-46.845238095238173</v>
      </c>
      <c r="R61" s="193">
        <f>O61/L61</f>
        <v>0.64080328617069771</v>
      </c>
      <c r="S61" s="409"/>
      <c r="T61" s="20">
        <v>0.45833333333333331</v>
      </c>
      <c r="U61" s="20">
        <v>0.4826388888888889</v>
      </c>
      <c r="V61" s="185">
        <f t="shared" si="57"/>
        <v>14.999999999999947</v>
      </c>
      <c r="W61" s="91">
        <f t="shared" si="20"/>
        <v>35.000000000000036</v>
      </c>
      <c r="X61" s="22"/>
      <c r="Y61" s="22"/>
      <c r="Z61" s="400" t="s">
        <v>202</v>
      </c>
      <c r="AA61" s="400"/>
      <c r="AB61" s="51">
        <f t="shared" si="50"/>
        <v>-562.14285714285813</v>
      </c>
      <c r="AC61" s="52">
        <f t="shared" si="51"/>
        <v>0.64080328617069771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260" t="s">
        <v>143</v>
      </c>
      <c r="E62" s="89"/>
      <c r="F62" s="56">
        <f>VLOOKUP(D62,廠價表!$C$1:$E$39,3,0)</f>
        <v>28.26</v>
      </c>
      <c r="G62" s="185">
        <v>1687</v>
      </c>
      <c r="H62" s="15">
        <f t="shared" si="52"/>
        <v>47674.62</v>
      </c>
      <c r="I62" s="82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58"/>
        <v>130.41666666666666</v>
      </c>
      <c r="M62" s="188">
        <v>12</v>
      </c>
      <c r="N62" s="14">
        <f t="shared" si="53"/>
        <v>1265.2499999999995</v>
      </c>
      <c r="O62" s="17">
        <f t="shared" si="54"/>
        <v>105.43749999999996</v>
      </c>
      <c r="P62" s="18">
        <f t="shared" si="55"/>
        <v>0</v>
      </c>
      <c r="Q62" s="19">
        <f t="shared" si="56"/>
        <v>-24.9791666666667</v>
      </c>
      <c r="R62" s="193">
        <f t="shared" ref="R62:R63" si="59">O62/L62</f>
        <v>0.80846645367412118</v>
      </c>
      <c r="S62" s="409"/>
      <c r="T62" s="20">
        <v>0.53472222222222221</v>
      </c>
      <c r="U62" s="20">
        <v>0.59027777777777779</v>
      </c>
      <c r="V62" s="185">
        <f t="shared" si="57"/>
        <v>74.999999999999972</v>
      </c>
      <c r="W62" s="93">
        <f t="shared" si="20"/>
        <v>80.000000000000028</v>
      </c>
      <c r="X62" s="22">
        <v>0.4861111111111111</v>
      </c>
      <c r="Y62" s="22">
        <v>0.52777777777777779</v>
      </c>
      <c r="Z62" s="400"/>
      <c r="AA62" s="400"/>
      <c r="AB62" s="18"/>
      <c r="AC62" s="193"/>
      <c r="AD62" s="392"/>
    </row>
    <row r="63" spans="1:30" ht="15" customHeight="1" x14ac:dyDescent="0.25">
      <c r="A63" s="417"/>
      <c r="B63" s="56" t="str">
        <f>VLOOKUP(D63,廠價表!$C$1:$E$39,2,0)</f>
        <v>小吃、微波</v>
      </c>
      <c r="C63" s="23"/>
      <c r="D63" s="11" t="s">
        <v>128</v>
      </c>
      <c r="E63" s="12"/>
      <c r="F63" s="56">
        <f>VLOOKUP(D63,廠價表!$C$1:$E$39,3,0)</f>
        <v>26.99</v>
      </c>
      <c r="G63" s="185">
        <v>2297</v>
      </c>
      <c r="H63" s="15">
        <f t="shared" si="52"/>
        <v>61996.03</v>
      </c>
      <c r="I63" s="82"/>
      <c r="J63" s="16">
        <f>VLOOKUP(D63,產線配置圖!$A$2:$C$38,2,0)</f>
        <v>13</v>
      </c>
      <c r="K63" s="14">
        <f>VLOOKUP(D63,產線配置圖!$A$2:$C$38,3,0)</f>
        <v>1565</v>
      </c>
      <c r="L63" s="17">
        <f t="shared" si="58"/>
        <v>120.38461538461539</v>
      </c>
      <c r="M63" s="188">
        <v>13</v>
      </c>
      <c r="N63" s="14">
        <f t="shared" si="53"/>
        <v>1276.1111111111099</v>
      </c>
      <c r="O63" s="17">
        <f t="shared" si="54"/>
        <v>98.162393162393073</v>
      </c>
      <c r="P63" s="18">
        <f t="shared" si="55"/>
        <v>0</v>
      </c>
      <c r="Q63" s="19">
        <f t="shared" si="56"/>
        <v>-22.222222222222314</v>
      </c>
      <c r="R63" s="193">
        <f t="shared" si="59"/>
        <v>0.81540646077387213</v>
      </c>
      <c r="S63" s="409"/>
      <c r="T63" s="20">
        <v>0.59861111111111109</v>
      </c>
      <c r="U63" s="20">
        <v>0.67361111111111116</v>
      </c>
      <c r="V63" s="185">
        <f t="shared" si="57"/>
        <v>11.999999999999957</v>
      </c>
      <c r="W63" s="93">
        <f t="shared" si="20"/>
        <v>108.0000000000001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52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20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52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20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52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20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52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20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52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20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60">AVERAGE(J59:J68)</f>
        <v>12.4</v>
      </c>
      <c r="K69" s="173">
        <f t="shared" si="60"/>
        <v>1565</v>
      </c>
      <c r="L69" s="178">
        <f t="shared" si="60"/>
        <v>126.40384615384615</v>
      </c>
      <c r="M69" s="173">
        <f t="shared" si="60"/>
        <v>12.4</v>
      </c>
      <c r="N69" s="173">
        <f t="shared" si="60"/>
        <v>1158.1510918099841</v>
      </c>
      <c r="O69" s="178">
        <f t="shared" si="60"/>
        <v>93.400423777170559</v>
      </c>
      <c r="P69" s="179">
        <f>M69-J69</f>
        <v>0</v>
      </c>
      <c r="Q69" s="165">
        <f>N69-K69</f>
        <v>-406.84890819001589</v>
      </c>
      <c r="R69" s="124">
        <f>O69/L69</f>
        <v>0.73890491958205828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-406.84890819001589</v>
      </c>
      <c r="AC69" s="195">
        <f>N69/K69</f>
        <v>0.74003264652395151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61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62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61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62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61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62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61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62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61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62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61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62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61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62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61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62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61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248" priority="1" operator="greaterThan">
      <formula>0</formula>
    </cfRule>
  </conditionalFormatting>
  <conditionalFormatting sqref="Q5:Q79 AB5:AB79">
    <cfRule type="cellIs" dxfId="247" priority="4" operator="lessThan">
      <formula>0</formula>
    </cfRule>
  </conditionalFormatting>
  <conditionalFormatting sqref="R5:R79 AC5:AC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D59:AD62 S69:S76 AD69:AD76">
    <cfRule type="cellIs" dxfId="244" priority="7" operator="lessThan">
      <formula>0.8</formula>
    </cfRule>
  </conditionalFormatting>
  <conditionalFormatting sqref="S19:S25 AD19:AD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D5:AD8 S15:S16 AD15:AD16 AD49 AD79">
    <cfRule type="cellIs" dxfId="241" priority="9" operator="lessThan">
      <formula>0.8</formula>
    </cfRule>
  </conditionalFormatting>
  <conditionalFormatting sqref="AD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D7DA58-B5DB-41A9-AA5C-84821FA102A4}">
          <x14:formula1>
            <xm:f>廠價表!$C$2:$C$37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D1A0-69B7-448D-A24A-2AF52D63757B}">
  <sheetPr>
    <pageSetUpPr fitToPage="1"/>
  </sheetPr>
  <dimension ref="B1:O22"/>
  <sheetViews>
    <sheetView zoomScale="70" zoomScaleNormal="70" workbookViewId="0">
      <selection activeCell="U62" sqref="U62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45938</v>
      </c>
      <c r="E3" s="383"/>
      <c r="F3" s="214" t="s">
        <v>76</v>
      </c>
      <c r="G3" s="384">
        <f>'1008'!E1</f>
        <v>49561</v>
      </c>
      <c r="H3" s="384"/>
      <c r="I3" s="214" t="s">
        <v>77</v>
      </c>
      <c r="J3" s="385">
        <f>'1008'!G1</f>
        <v>2406113.3000000003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114.73927754684495</v>
      </c>
      <c r="G6" s="362"/>
      <c r="H6" s="363">
        <f>AVERAGE(D13:H13)</f>
        <v>112.60700485108573</v>
      </c>
      <c r="I6" s="363"/>
      <c r="J6" s="363">
        <f>AVERAGE(I13)</f>
        <v>125.40064102564102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106.00357540734525</v>
      </c>
      <c r="G7" s="380"/>
      <c r="H7" s="381">
        <f>AVERAGE(D14:H14)</f>
        <v>104.34111887906204</v>
      </c>
      <c r="I7" s="381"/>
      <c r="J7" s="381">
        <f>AVERAGE(I14)</f>
        <v>114.31585804876133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0.9229038560194972</v>
      </c>
      <c r="G8" s="360"/>
      <c r="H8" s="360">
        <f>AVERAGE(D15:H15)</f>
        <v>0.92516361655904622</v>
      </c>
      <c r="I8" s="360"/>
      <c r="J8" s="360">
        <f>AVERAGE(I15)</f>
        <v>0.91160505332175168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VALUE('1008'!L15)</f>
        <v>149.22390109890108</v>
      </c>
      <c r="E13" s="227">
        <f>VALUE('1008'!L26)</f>
        <v>151.71674679487177</v>
      </c>
      <c r="F13" s="227">
        <f>VALUE('1008'!L37)</f>
        <v>84.033986928104582</v>
      </c>
      <c r="G13" s="227">
        <f>VALUE('1008'!L48)</f>
        <v>90.685661764705884</v>
      </c>
      <c r="H13" s="227">
        <f>VALUE('1008'!L58)</f>
        <v>87.37472766884531</v>
      </c>
      <c r="I13" s="227">
        <f>VALUE('1008'!L69)</f>
        <v>125.40064102564102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VALUE('1008'!O15)</f>
        <v>141.81870322659802</v>
      </c>
      <c r="E14" s="227">
        <f>VALUE('1008'!O26)</f>
        <v>138.51272732685266</v>
      </c>
      <c r="F14" s="227">
        <f>VALUE('1008'!O37)</f>
        <v>74.899461152690918</v>
      </c>
      <c r="G14" s="227">
        <f>VALUE('1008'!O48)</f>
        <v>81.659530095622671</v>
      </c>
      <c r="H14" s="227">
        <f>VALUE('1008'!O58)</f>
        <v>84.815172593545881</v>
      </c>
      <c r="I14" s="227">
        <f>VALUE('1008'!O69)</f>
        <v>114.31585804876133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0.95037525612337981</v>
      </c>
      <c r="E15" s="248">
        <f t="shared" ref="E15:I15" si="0">E14/E13</f>
        <v>0.91296926840995629</v>
      </c>
      <c r="F15" s="248">
        <f t="shared" si="0"/>
        <v>0.89129962638534899</v>
      </c>
      <c r="G15" s="248">
        <f t="shared" si="0"/>
        <v>0.90046792962152578</v>
      </c>
      <c r="H15" s="248">
        <f t="shared" si="0"/>
        <v>0.97070600225501968</v>
      </c>
      <c r="I15" s="248">
        <f t="shared" si="0"/>
        <v>0.91160505332175168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'1008'!T5</f>
        <v>0.2902777777777778</v>
      </c>
      <c r="E16" s="98">
        <f>'1008'!T16</f>
        <v>0.2902777777777778</v>
      </c>
      <c r="F16" s="98">
        <f>'1008'!T27</f>
        <v>0.29305555555555557</v>
      </c>
      <c r="G16" s="98">
        <f>'1008'!T38</f>
        <v>0.33194444444444443</v>
      </c>
      <c r="H16" s="98">
        <f>'1008'!T49</f>
        <v>0.2902777777777778</v>
      </c>
      <c r="I16" s="98">
        <f>'1008'!T59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0.60416666666666663</v>
      </c>
      <c r="E17" s="41">
        <v>0.59375</v>
      </c>
      <c r="F17" s="41">
        <v>0.64097222222222228</v>
      </c>
      <c r="G17" s="59">
        <v>0.49930555555555556</v>
      </c>
      <c r="H17" s="44">
        <v>0.63749999999999996</v>
      </c>
      <c r="I17" s="20">
        <v>0.60416666666666663</v>
      </c>
      <c r="J17" s="294"/>
    </row>
    <row r="18" spans="2:10" ht="17.25" customHeight="1" x14ac:dyDescent="0.25">
      <c r="B18" s="481" t="s">
        <v>105</v>
      </c>
      <c r="C18" s="355"/>
      <c r="D18" s="229">
        <f>VALUE('1008'!M15)</f>
        <v>13.25</v>
      </c>
      <c r="E18" s="229">
        <f>VALUE('1008'!M26)</f>
        <v>13.25</v>
      </c>
      <c r="F18" s="229">
        <f>VALUE('1008'!M37)</f>
        <v>14.4</v>
      </c>
      <c r="G18" s="229">
        <f>VALUE('1008'!M48)</f>
        <v>14</v>
      </c>
      <c r="H18" s="229">
        <f>VALUE('1008'!M58)</f>
        <v>17.666666666666668</v>
      </c>
      <c r="I18" s="229">
        <f>VALUE('1008'!M69)</f>
        <v>12.5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5859-84D8-4682-B571-3EA192A01ABB}">
  <sheetPr>
    <tabColor theme="9" tint="0.79998168889431442"/>
    <pageSetUpPr fitToPage="1"/>
  </sheetPr>
  <dimension ref="A1:AF92"/>
  <sheetViews>
    <sheetView zoomScale="69" zoomScaleNormal="69" workbookViewId="0">
      <pane xSplit="5" ySplit="4" topLeftCell="U35" activePane="bottomRight" state="frozen"/>
      <selection activeCell="U62" sqref="U62"/>
      <selection pane="topRight" activeCell="U62" sqref="U62"/>
      <selection pane="bottomLeft" activeCell="U62" sqref="U62"/>
      <selection pane="bottomRight" activeCell="M63" sqref="M63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49561</v>
      </c>
      <c r="F1" s="185" t="s">
        <v>9</v>
      </c>
      <c r="G1" s="4">
        <f>SUM(H5:H79)</f>
        <v>2406113.3000000003</v>
      </c>
      <c r="H1" s="183" t="s">
        <v>10</v>
      </c>
      <c r="I1" s="5">
        <f>M15+M26+M48+M58+M69+M79+M37</f>
        <v>85.066666666666677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204</v>
      </c>
      <c r="B2" s="461"/>
      <c r="C2" s="184"/>
      <c r="D2" s="184" t="s">
        <v>1</v>
      </c>
      <c r="E2" s="7">
        <f>AVERAGE(O15,O26,O37,O48,O58,O69,O79)</f>
        <v>106.00357540734525</v>
      </c>
      <c r="F2" s="8" t="s">
        <v>2</v>
      </c>
      <c r="G2" s="9">
        <f>G1/E1</f>
        <v>48.548522023365152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1794</v>
      </c>
      <c r="H5" s="109">
        <f>F5*G5</f>
        <v>102634.74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1888.4210526315803</v>
      </c>
      <c r="O5" s="112">
        <f>N5/M5</f>
        <v>145.26315789473693</v>
      </c>
      <c r="P5" s="114">
        <f>M5-J5</f>
        <v>0</v>
      </c>
      <c r="Q5" s="115">
        <f>O5-L5</f>
        <v>-8.5829959514169047</v>
      </c>
      <c r="R5" s="192">
        <f>O5/L5</f>
        <v>0.94421052631579017</v>
      </c>
      <c r="S5" s="408">
        <f>R15</f>
        <v>0.95037525612337981</v>
      </c>
      <c r="T5" s="97">
        <v>0.2902777777777778</v>
      </c>
      <c r="U5" s="97">
        <v>0.3298611111111111</v>
      </c>
      <c r="V5" s="202"/>
      <c r="W5" s="110">
        <f t="shared" ref="W5:W14" si="0">(U5-T5)*24*60</f>
        <v>56.999999999999957</v>
      </c>
      <c r="X5" s="196"/>
      <c r="Y5" s="196"/>
      <c r="Z5" s="423"/>
      <c r="AA5" s="423"/>
      <c r="AB5" s="114">
        <f>N5-K5</f>
        <v>-111.57894736841968</v>
      </c>
      <c r="AC5" s="192">
        <f>N5/K5</f>
        <v>0.94421052631579017</v>
      </c>
      <c r="AD5" s="391">
        <f>AC15</f>
        <v>0.94928088255644028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2744</v>
      </c>
      <c r="H6" s="15">
        <f t="shared" ref="H6:H14" si="1">F6*G6</f>
        <v>156984.24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1680.0000000000005</v>
      </c>
      <c r="O6" s="17">
        <f>N6/M6</f>
        <v>120.00000000000003</v>
      </c>
      <c r="P6" s="18">
        <f>M6-J6</f>
        <v>0</v>
      </c>
      <c r="Q6" s="19">
        <f>O6-L6</f>
        <v>-15.357142857142833</v>
      </c>
      <c r="R6" s="193">
        <f>O6/L6</f>
        <v>0.88654353562005295</v>
      </c>
      <c r="S6" s="409"/>
      <c r="T6" s="98">
        <v>0.34027777777777779</v>
      </c>
      <c r="U6" s="98">
        <v>0.40833333333333333</v>
      </c>
      <c r="V6" s="185"/>
      <c r="W6" s="190">
        <f t="shared" si="0"/>
        <v>97.999999999999972</v>
      </c>
      <c r="X6" s="22"/>
      <c r="Y6" s="22"/>
      <c r="Z6" s="446"/>
      <c r="AA6" s="446"/>
      <c r="AB6" s="18">
        <f>N6-K6</f>
        <v>-214.99999999999955</v>
      </c>
      <c r="AC6" s="193">
        <f>N6/K6</f>
        <v>0.88654353562005306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2826</v>
      </c>
      <c r="H7" s="15">
        <f t="shared" si="1"/>
        <v>138869.64000000001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1926.818181818182</v>
      </c>
      <c r="O7" s="17">
        <f>N7/M7</f>
        <v>148.21678321678323</v>
      </c>
      <c r="P7" s="18">
        <f>M7-J7</f>
        <v>0</v>
      </c>
      <c r="Q7" s="19">
        <f>O7-L7</f>
        <v>-5.6293706293706123</v>
      </c>
      <c r="R7" s="193">
        <f>O7/L7</f>
        <v>0.96340909090909099</v>
      </c>
      <c r="S7" s="409"/>
      <c r="T7" s="98">
        <v>0.41805555555555557</v>
      </c>
      <c r="U7" s="98">
        <v>0.47916666666666669</v>
      </c>
      <c r="V7" s="185">
        <f>(T7-U6)*24*60</f>
        <v>14.00000000000003</v>
      </c>
      <c r="W7" s="190">
        <f t="shared" si="0"/>
        <v>88</v>
      </c>
      <c r="X7" s="22"/>
      <c r="Y7" s="22"/>
      <c r="Z7" s="400"/>
      <c r="AA7" s="400"/>
      <c r="AB7" s="18">
        <f>N7-K7</f>
        <v>-73.181818181818016</v>
      </c>
      <c r="AC7" s="193">
        <f>N7/K7</f>
        <v>0.96340909090909099</v>
      </c>
      <c r="AD7" s="392"/>
    </row>
    <row r="8" spans="1:30" ht="15" customHeight="1" x14ac:dyDescent="0.25">
      <c r="A8" s="465"/>
      <c r="B8" s="56" t="s">
        <v>140</v>
      </c>
      <c r="C8" s="23"/>
      <c r="D8" s="11" t="s">
        <v>150</v>
      </c>
      <c r="E8" s="12"/>
      <c r="F8" s="56">
        <f>VLOOKUP(D8,廠價表!$C$1:$E$39,3,0)</f>
        <v>49.14</v>
      </c>
      <c r="G8" s="67">
        <v>2999</v>
      </c>
      <c r="H8" s="77">
        <f t="shared" si="1"/>
        <v>147370.86000000002</v>
      </c>
      <c r="I8" s="185"/>
      <c r="J8" s="16">
        <f>VLOOKUP(D8,產線配置圖!$A$2:$C$38,2,0)</f>
        <v>13</v>
      </c>
      <c r="K8" s="14">
        <f>VLOOKUP(D8,產線配置圖!$A$2:$C$38,3,0)</f>
        <v>2000</v>
      </c>
      <c r="L8" s="17">
        <f t="shared" ref="L8" si="2">K8/J8</f>
        <v>153.84615384615384</v>
      </c>
      <c r="M8" s="182">
        <v>13</v>
      </c>
      <c r="N8" s="78">
        <f t="shared" ref="N8" si="3">G8/W8*60</f>
        <v>1999.3333333333335</v>
      </c>
      <c r="O8" s="79">
        <f t="shared" ref="O8" si="4">N8/M8</f>
        <v>153.7948717948718</v>
      </c>
      <c r="P8" s="18">
        <f t="shared" ref="P8" si="5">M8-J8</f>
        <v>0</v>
      </c>
      <c r="Q8" s="19">
        <f t="shared" ref="Q8" si="6">O8-L8</f>
        <v>-5.1282051282043994E-2</v>
      </c>
      <c r="R8" s="193">
        <f t="shared" ref="R8" si="7">O8/L8</f>
        <v>0.9996666666666667</v>
      </c>
      <c r="S8" s="409"/>
      <c r="T8" s="80">
        <v>0.54166666666666663</v>
      </c>
      <c r="U8" s="80">
        <v>0.60416666666666663</v>
      </c>
      <c r="V8" s="185">
        <f>(T8-U7)*24*60</f>
        <v>89.999999999999915</v>
      </c>
      <c r="W8" s="190">
        <f t="shared" si="0"/>
        <v>90</v>
      </c>
      <c r="X8" s="22">
        <v>0.5</v>
      </c>
      <c r="Y8" s="22">
        <v>0.54166666666666663</v>
      </c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67"/>
      <c r="H9" s="77"/>
      <c r="I9" s="185"/>
      <c r="J9" s="16"/>
      <c r="K9" s="14"/>
      <c r="L9" s="17"/>
      <c r="M9" s="188"/>
      <c r="N9" s="78"/>
      <c r="O9" s="79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/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8">AVERAGE(J5:J14)</f>
        <v>13.25</v>
      </c>
      <c r="K15" s="121">
        <f t="shared" si="8"/>
        <v>1973.75</v>
      </c>
      <c r="L15" s="118">
        <f t="shared" si="8"/>
        <v>149.22390109890108</v>
      </c>
      <c r="M15" s="121">
        <f t="shared" si="8"/>
        <v>13.25</v>
      </c>
      <c r="N15" s="121">
        <f t="shared" si="8"/>
        <v>1873.643141945774</v>
      </c>
      <c r="O15" s="118">
        <f t="shared" si="8"/>
        <v>141.81870322659802</v>
      </c>
      <c r="P15" s="122">
        <f t="shared" ref="P15:P19" si="9">M15-J15</f>
        <v>0</v>
      </c>
      <c r="Q15" s="123">
        <f t="shared" ref="Q15:Q19" si="10">O15-L15</f>
        <v>-7.4051978723030629</v>
      </c>
      <c r="R15" s="124">
        <f t="shared" ref="R15:R19" si="11">O15/L15</f>
        <v>0.95037525612337981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-100.106858054226</v>
      </c>
      <c r="AC15" s="195">
        <f>N15/K15</f>
        <v>0.94928088255644028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2074</v>
      </c>
      <c r="H16" s="128">
        <f t="shared" ref="H16:H25" si="12">F16*G16</f>
        <v>118653.54000000001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1885.4545454545455</v>
      </c>
      <c r="O16" s="131">
        <f>N16/M16</f>
        <v>145.03496503496504</v>
      </c>
      <c r="P16" s="132">
        <f t="shared" si="9"/>
        <v>0</v>
      </c>
      <c r="Q16" s="133">
        <f t="shared" si="10"/>
        <v>-8.8111888111887993</v>
      </c>
      <c r="R16" s="197">
        <f t="shared" si="11"/>
        <v>0.94272727272727275</v>
      </c>
      <c r="S16" s="433">
        <f>R26</f>
        <v>0.91296926840995629</v>
      </c>
      <c r="T16" s="288">
        <v>0.2902777777777778</v>
      </c>
      <c r="U16" s="288">
        <v>0.33611111111111114</v>
      </c>
      <c r="V16" s="129"/>
      <c r="W16" s="134">
        <f t="shared" ref="W16:W68" si="13">(U16-T16)*24*60</f>
        <v>66</v>
      </c>
      <c r="X16" s="131"/>
      <c r="Y16" s="131"/>
      <c r="Z16" s="423"/>
      <c r="AA16" s="423"/>
      <c r="AB16" s="114">
        <f>N16-K16</f>
        <v>-114.5454545454545</v>
      </c>
      <c r="AC16" s="192">
        <f>N16/K16</f>
        <v>0.94272727272727275</v>
      </c>
      <c r="AD16" s="391">
        <f>AC26</f>
        <v>0.9076881565479259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2214</v>
      </c>
      <c r="H17" s="15">
        <f t="shared" si="12"/>
        <v>112183.38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1562.8235294117644</v>
      </c>
      <c r="O17" s="38">
        <f>N17/M17</f>
        <v>97.676470588235276</v>
      </c>
      <c r="P17" s="39">
        <f t="shared" si="9"/>
        <v>0</v>
      </c>
      <c r="Q17" s="40">
        <f t="shared" si="10"/>
        <v>-22.011029411764724</v>
      </c>
      <c r="R17" s="198">
        <f t="shared" si="11"/>
        <v>0.81609583781293182</v>
      </c>
      <c r="S17" s="434"/>
      <c r="T17" s="41">
        <v>0.34027777777777779</v>
      </c>
      <c r="U17" s="41">
        <v>0.39930555555555558</v>
      </c>
      <c r="V17" s="185">
        <f>(T17-U16)*24*60</f>
        <v>5.9999999999999787</v>
      </c>
      <c r="W17" s="43">
        <f t="shared" si="13"/>
        <v>85.000000000000014</v>
      </c>
      <c r="X17" s="44"/>
      <c r="Y17" s="44"/>
      <c r="Z17" s="399"/>
      <c r="AA17" s="400"/>
      <c r="AB17" s="18">
        <f>N17-K17</f>
        <v>-352.17647058823559</v>
      </c>
      <c r="AC17" s="193">
        <f>N17/K17</f>
        <v>0.81609583781293182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3161</v>
      </c>
      <c r="H18" s="15">
        <f t="shared" si="12"/>
        <v>159282.79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1896.599999999999</v>
      </c>
      <c r="O18" s="38">
        <f>N18/M18</f>
        <v>158.04999999999993</v>
      </c>
      <c r="P18" s="39">
        <f t="shared" si="9"/>
        <v>0</v>
      </c>
      <c r="Q18" s="40">
        <f t="shared" si="10"/>
        <v>-8.6166666666667311</v>
      </c>
      <c r="R18" s="198">
        <f t="shared" si="11"/>
        <v>0.94829999999999959</v>
      </c>
      <c r="S18" s="434"/>
      <c r="T18" s="41">
        <v>0.40972222222222221</v>
      </c>
      <c r="U18" s="41">
        <v>0.47916666666666669</v>
      </c>
      <c r="V18" s="185">
        <f>(T18-U17)*24*60</f>
        <v>14.999999999999947</v>
      </c>
      <c r="W18" s="43">
        <f t="shared" si="13"/>
        <v>100.00000000000004</v>
      </c>
      <c r="X18" s="22"/>
      <c r="Y18" s="22"/>
      <c r="Z18" s="399"/>
      <c r="AA18" s="400"/>
      <c r="AB18" s="18">
        <f>N18-K18</f>
        <v>-103.400000000001</v>
      </c>
      <c r="AC18" s="193">
        <f>N18/K18</f>
        <v>0.94829999999999948</v>
      </c>
      <c r="AD18" s="392"/>
    </row>
    <row r="19" spans="1:30" ht="15" customHeight="1" x14ac:dyDescent="0.25">
      <c r="A19" s="439"/>
      <c r="B19" s="56" t="str">
        <f>VLOOKUP(D19,廠價表!$C$1:$E$39,2,0)</f>
        <v>義大利麵</v>
      </c>
      <c r="C19" s="23"/>
      <c r="D19" s="11" t="s">
        <v>136</v>
      </c>
      <c r="E19" s="12"/>
      <c r="F19" s="56">
        <f>VLOOKUP(D19,廠價表!$C$1:$E$39,3,0)</f>
        <v>50.39</v>
      </c>
      <c r="G19" s="99">
        <v>2330</v>
      </c>
      <c r="H19" s="15">
        <f t="shared" si="12"/>
        <v>117408.7</v>
      </c>
      <c r="I19" s="42"/>
      <c r="J19" s="16">
        <f>VLOOKUP(D19,產線配置圖!$A$2:$C$38,2,0)</f>
        <v>12</v>
      </c>
      <c r="K19" s="14">
        <f>VLOOKUP(D19,產線配置圖!$A$2:$C$38,3,0)</f>
        <v>2000</v>
      </c>
      <c r="L19" s="17">
        <f>K19/J19</f>
        <v>166.66666666666666</v>
      </c>
      <c r="M19" s="37">
        <v>12</v>
      </c>
      <c r="N19" s="36">
        <f>G19/W19*60</f>
        <v>1839.4736842105249</v>
      </c>
      <c r="O19" s="38">
        <f>N19/M19</f>
        <v>153.28947368421041</v>
      </c>
      <c r="P19" s="39">
        <f t="shared" si="9"/>
        <v>0</v>
      </c>
      <c r="Q19" s="40">
        <f t="shared" si="10"/>
        <v>-13.377192982456251</v>
      </c>
      <c r="R19" s="198">
        <f t="shared" si="11"/>
        <v>0.91973684210526252</v>
      </c>
      <c r="S19" s="434"/>
      <c r="T19" s="41">
        <v>0.54097222222222219</v>
      </c>
      <c r="U19" s="41">
        <v>0.59375</v>
      </c>
      <c r="V19" s="185">
        <f>(T19-U18)*24*60</f>
        <v>88.999999999999929</v>
      </c>
      <c r="W19" s="43">
        <f t="shared" si="13"/>
        <v>76.000000000000057</v>
      </c>
      <c r="X19" s="22">
        <v>0.5</v>
      </c>
      <c r="Y19" s="22">
        <v>0.54166666666666663</v>
      </c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>
        <f t="shared" si="12"/>
        <v>0</v>
      </c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12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12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12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13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12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13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12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13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4">AVERAGE(J16:J25)</f>
        <v>13.25</v>
      </c>
      <c r="K26" s="137">
        <f t="shared" si="14"/>
        <v>1978.75</v>
      </c>
      <c r="L26" s="140">
        <f t="shared" si="14"/>
        <v>151.71674679487177</v>
      </c>
      <c r="M26" s="137">
        <f t="shared" si="14"/>
        <v>13.25</v>
      </c>
      <c r="N26" s="137">
        <f t="shared" si="14"/>
        <v>1796.0879397692083</v>
      </c>
      <c r="O26" s="140">
        <f t="shared" si="14"/>
        <v>138.51272732685266</v>
      </c>
      <c r="P26" s="141">
        <f t="shared" ref="P26:P31" si="15">M26-J26</f>
        <v>0</v>
      </c>
      <c r="Q26" s="142">
        <f t="shared" ref="Q26:Q31" si="16">O26-L26</f>
        <v>-13.204019468019112</v>
      </c>
      <c r="R26" s="143">
        <f t="shared" ref="R26:R31" si="17">O26/L26</f>
        <v>0.91296926840995629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-182.66206023079167</v>
      </c>
      <c r="AC26" s="195">
        <f>N26/K26</f>
        <v>0.9076881565479259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1255</v>
      </c>
      <c r="H27" s="128">
        <f t="shared" ref="H27:H36" si="18">F27*G27</f>
        <v>63503</v>
      </c>
      <c r="I27" s="129"/>
      <c r="J27" s="111">
        <f>VLOOKUP(D27,產線配置圖!$A$2:$C$38,2,0)</f>
        <v>18</v>
      </c>
      <c r="K27" s="252">
        <f>VLOOKUP(D27,產線配置圖!$A$2:$C$38,3,0)</f>
        <v>1500</v>
      </c>
      <c r="L27" s="112">
        <f>K27/J27</f>
        <v>83.333333333333329</v>
      </c>
      <c r="M27" s="147">
        <v>14</v>
      </c>
      <c r="N27" s="130">
        <f>G27/W27*60</f>
        <v>1060.5633802816903</v>
      </c>
      <c r="O27" s="131">
        <f>N27/M27</f>
        <v>75.75452716297788</v>
      </c>
      <c r="P27" s="132">
        <f t="shared" si="15"/>
        <v>-4</v>
      </c>
      <c r="Q27" s="133">
        <f t="shared" si="16"/>
        <v>-7.578806170355449</v>
      </c>
      <c r="R27" s="197">
        <f t="shared" si="17"/>
        <v>0.90905432595573465</v>
      </c>
      <c r="S27" s="433">
        <f>R37</f>
        <v>0.89129962638534899</v>
      </c>
      <c r="T27" s="97">
        <v>0.29305555555555557</v>
      </c>
      <c r="U27" s="97">
        <v>0.34236111111111112</v>
      </c>
      <c r="V27" s="129"/>
      <c r="W27" s="134">
        <f t="shared" si="13"/>
        <v>70.999999999999986</v>
      </c>
      <c r="X27" s="129"/>
      <c r="Y27" s="129" t="s">
        <v>158</v>
      </c>
      <c r="Z27" s="414"/>
      <c r="AA27" s="423"/>
      <c r="AB27" s="114">
        <f>N27-K27</f>
        <v>-439.43661971830966</v>
      </c>
      <c r="AC27" s="148">
        <f>N27/K27</f>
        <v>0.70704225352112693</v>
      </c>
      <c r="AD27" s="391">
        <f>AC37</f>
        <v>0.72192972008427059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1557</v>
      </c>
      <c r="H28" s="50">
        <f t="shared" si="18"/>
        <v>89075.97</v>
      </c>
      <c r="I28" s="42"/>
      <c r="J28" s="16">
        <f>VLOOKUP(D28,產線配置圖!$A$2:$C$38,2,0)</f>
        <v>17</v>
      </c>
      <c r="K28" s="14">
        <f>VLOOKUP(D28,產線配置圖!$A$2:$C$38,3,0)</f>
        <v>1565</v>
      </c>
      <c r="L28" s="251">
        <f>K28/J28</f>
        <v>92.058823529411768</v>
      </c>
      <c r="M28" s="21">
        <v>13</v>
      </c>
      <c r="N28" s="36">
        <f>G28/W28*60</f>
        <v>963.09278350515399</v>
      </c>
      <c r="O28" s="38">
        <f>N28/M28</f>
        <v>74.08406026962723</v>
      </c>
      <c r="P28" s="39">
        <f t="shared" si="15"/>
        <v>-4</v>
      </c>
      <c r="Q28" s="40">
        <f t="shared" si="16"/>
        <v>-17.974763259784538</v>
      </c>
      <c r="R28" s="198">
        <f t="shared" si="17"/>
        <v>0.80474698056464078</v>
      </c>
      <c r="S28" s="434"/>
      <c r="T28" s="291">
        <v>0.34930555555555554</v>
      </c>
      <c r="U28" s="291">
        <v>0.41666666666666669</v>
      </c>
      <c r="V28" s="42">
        <f>(T28-U27)*24*60</f>
        <v>9.9999999999999645</v>
      </c>
      <c r="W28" s="43">
        <f t="shared" si="13"/>
        <v>97.000000000000057</v>
      </c>
      <c r="X28" s="54"/>
      <c r="Y28" s="54"/>
      <c r="Z28" s="399" t="s">
        <v>205</v>
      </c>
      <c r="AA28" s="400"/>
      <c r="AB28" s="34">
        <f>N28-K28</f>
        <v>-601.90721649484601</v>
      </c>
      <c r="AC28" s="194">
        <f>N28/K28</f>
        <v>0.61539474984354892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1616</v>
      </c>
      <c r="H29" s="50">
        <f t="shared" si="18"/>
        <v>89090.08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15</v>
      </c>
      <c r="N29" s="36">
        <f>G29/W29*60</f>
        <v>1009.9999999999995</v>
      </c>
      <c r="O29" s="38">
        <f>N29/M29</f>
        <v>67.3333333333333</v>
      </c>
      <c r="P29" s="39">
        <f t="shared" si="15"/>
        <v>-3</v>
      </c>
      <c r="Q29" s="40">
        <f t="shared" si="16"/>
        <v>-9.6111111111111427</v>
      </c>
      <c r="R29" s="198">
        <f t="shared" si="17"/>
        <v>0.87509025270758078</v>
      </c>
      <c r="S29" s="434"/>
      <c r="T29" s="41">
        <v>0.42569444444444443</v>
      </c>
      <c r="U29" s="41">
        <v>0.49236111111111114</v>
      </c>
      <c r="V29" s="42">
        <f>(T29-U28)*24*60</f>
        <v>12.999999999999954</v>
      </c>
      <c r="W29" s="43">
        <f t="shared" si="13"/>
        <v>96.000000000000057</v>
      </c>
      <c r="X29" s="54"/>
      <c r="Y29" s="54"/>
      <c r="Z29" s="442"/>
      <c r="AA29" s="443"/>
      <c r="AB29" s="275">
        <f t="shared" ref="AB29:AB30" si="19">N29-K29</f>
        <v>-375.00000000000045</v>
      </c>
      <c r="AC29" s="276">
        <f t="shared" ref="AC29:AC30" si="20">N29/K29</f>
        <v>0.72924187725631739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1377</v>
      </c>
      <c r="H30" s="257">
        <f>F30*G30</f>
        <v>65545.2</v>
      </c>
      <c r="I30" s="82"/>
      <c r="J30" s="16">
        <f>VLOOKUP(D30,產線配置圖!$A$2:$C$38,2,0)</f>
        <v>18</v>
      </c>
      <c r="K30" s="14">
        <f>VLOOKUP(D30,產線配置圖!$A$2:$C$38,3,0)</f>
        <v>1636</v>
      </c>
      <c r="L30" s="251">
        <f>K30/J30</f>
        <v>90.888888888888886</v>
      </c>
      <c r="M30" s="21">
        <v>15</v>
      </c>
      <c r="N30" s="36">
        <f>G30/W30*60</f>
        <v>1354.4262295081978</v>
      </c>
      <c r="O30" s="38">
        <f>N30/M30</f>
        <v>90.295081967213193</v>
      </c>
      <c r="P30" s="39">
        <f t="shared" si="15"/>
        <v>-3</v>
      </c>
      <c r="Q30" s="40">
        <f t="shared" si="16"/>
        <v>-0.59380692167569293</v>
      </c>
      <c r="R30" s="198">
        <f t="shared" si="17"/>
        <v>0.99346667201090311</v>
      </c>
      <c r="S30" s="434"/>
      <c r="T30" s="41">
        <v>0.54791666666666672</v>
      </c>
      <c r="U30" s="41">
        <v>0.59027777777777779</v>
      </c>
      <c r="V30" s="42">
        <f>(T30-U29)*24*60</f>
        <v>80.000000000000028</v>
      </c>
      <c r="W30" s="43">
        <f t="shared" si="13"/>
        <v>60.999999999999943</v>
      </c>
      <c r="X30" s="54">
        <v>0.46875</v>
      </c>
      <c r="Y30" s="54">
        <v>0.51041666666666663</v>
      </c>
      <c r="Z30" s="479"/>
      <c r="AA30" s="480"/>
      <c r="AB30" s="275">
        <f t="shared" si="19"/>
        <v>-281.57377049180218</v>
      </c>
      <c r="AC30" s="276">
        <f t="shared" si="20"/>
        <v>0.82788889334241922</v>
      </c>
      <c r="AD30" s="394"/>
    </row>
    <row r="31" spans="1:30" ht="15" customHeight="1" x14ac:dyDescent="0.25">
      <c r="A31" s="431"/>
      <c r="B31" s="56" t="str">
        <f>VLOOKUP(D31,廠價表!$C$1:$E$39,2,0)</f>
        <v>義大利麵</v>
      </c>
      <c r="C31" s="10"/>
      <c r="D31" s="28" t="s">
        <v>146</v>
      </c>
      <c r="E31" s="89"/>
      <c r="F31" s="56">
        <f>VLOOKUP(D31,廠價表!$C$1:$E$39,3,0)</f>
        <v>55.13</v>
      </c>
      <c r="G31" s="256">
        <v>1106</v>
      </c>
      <c r="H31" s="257">
        <f>F31*G31</f>
        <v>60973.780000000006</v>
      </c>
      <c r="I31" s="82"/>
      <c r="J31" s="16">
        <f>VLOOKUP(D31,產線配置圖!$A$2:$C$38,2,0)</f>
        <v>18</v>
      </c>
      <c r="K31" s="14">
        <f>VLOOKUP(D31,產線配置圖!$A$2:$C$38,3,0)</f>
        <v>1385</v>
      </c>
      <c r="L31" s="251">
        <f>K31/J31</f>
        <v>76.944444444444443</v>
      </c>
      <c r="M31" s="21">
        <v>15</v>
      </c>
      <c r="N31" s="36">
        <f>G31/W31*60</f>
        <v>1005.4545454545441</v>
      </c>
      <c r="O31" s="38">
        <f>N31/M31</f>
        <v>67.030303030302946</v>
      </c>
      <c r="P31" s="39">
        <f t="shared" si="15"/>
        <v>-3</v>
      </c>
      <c r="Q31" s="40">
        <f t="shared" si="16"/>
        <v>-9.914141414141497</v>
      </c>
      <c r="R31" s="198">
        <f t="shared" si="17"/>
        <v>0.87115195274039936</v>
      </c>
      <c r="S31" s="434"/>
      <c r="T31" s="41">
        <v>0.59513888888888888</v>
      </c>
      <c r="U31" s="41">
        <v>0.64097222222222228</v>
      </c>
      <c r="V31" s="42">
        <f>(T31-U30)*24*60</f>
        <v>6.9999999999999751</v>
      </c>
      <c r="W31" s="43">
        <f t="shared" si="13"/>
        <v>66.000000000000085</v>
      </c>
      <c r="X31" s="54"/>
      <c r="Y31" s="54"/>
      <c r="Z31" s="477"/>
      <c r="AA31" s="478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8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13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8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13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8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13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8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13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8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13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21">AVERAGE(J27:J36)</f>
        <v>17.8</v>
      </c>
      <c r="K37" s="137">
        <f t="shared" si="21"/>
        <v>1494.2</v>
      </c>
      <c r="L37" s="140">
        <f t="shared" si="21"/>
        <v>84.033986928104582</v>
      </c>
      <c r="M37" s="137">
        <f t="shared" si="21"/>
        <v>14.4</v>
      </c>
      <c r="N37" s="137">
        <f t="shared" si="21"/>
        <v>1078.7073877499172</v>
      </c>
      <c r="O37" s="140">
        <f t="shared" si="21"/>
        <v>74.899461152690918</v>
      </c>
      <c r="P37" s="141">
        <f>M37-J37</f>
        <v>-3.4000000000000004</v>
      </c>
      <c r="Q37" s="142">
        <f>N37-K37</f>
        <v>-415.49261225008286</v>
      </c>
      <c r="R37" s="143">
        <f t="shared" ref="R37:R39" si="22">O37/L37</f>
        <v>0.89129962638534899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23">N37-K37</f>
        <v>-415.49261225008286</v>
      </c>
      <c r="AC37" s="195">
        <f t="shared" ref="AC37:AC39" si="24">N37/K37</f>
        <v>0.72192972008427059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2918</v>
      </c>
      <c r="H38" s="152">
        <f>F38*G38</f>
        <v>145637.37999999998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14</v>
      </c>
      <c r="N38" s="154">
        <f>G38/W38*60</f>
        <v>1277.956204379562</v>
      </c>
      <c r="O38" s="155">
        <f>N38/M38</f>
        <v>91.282586027111577</v>
      </c>
      <c r="P38" s="132">
        <f>M38-J38</f>
        <v>-3</v>
      </c>
      <c r="Q38" s="133">
        <f>O38-L38</f>
        <v>-0.77623750230019084</v>
      </c>
      <c r="R38" s="156">
        <f t="shared" si="22"/>
        <v>0.99156802713156345</v>
      </c>
      <c r="S38" s="408">
        <f>R48</f>
        <v>0.90046792962152578</v>
      </c>
      <c r="T38" s="157">
        <v>0.33194444444444443</v>
      </c>
      <c r="U38" s="157">
        <v>0.42708333333333331</v>
      </c>
      <c r="V38" s="153"/>
      <c r="W38" s="158">
        <f t="shared" si="13"/>
        <v>137</v>
      </c>
      <c r="X38" s="155"/>
      <c r="Y38" s="159"/>
      <c r="Z38" s="427"/>
      <c r="AA38" s="427"/>
      <c r="AB38" s="160">
        <f t="shared" si="23"/>
        <v>-287.043795620438</v>
      </c>
      <c r="AC38" s="161">
        <f t="shared" si="24"/>
        <v>0.81658543410834628</v>
      </c>
      <c r="AD38" s="388">
        <f>AC48</f>
        <v>0.76368298018618375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60</v>
      </c>
      <c r="E39" s="89"/>
      <c r="F39" s="56">
        <f>VLOOKUP(D39,廠價表!$C$1:$E$39,3,0)</f>
        <v>58.17</v>
      </c>
      <c r="G39" s="102">
        <v>1580</v>
      </c>
      <c r="H39" s="64">
        <f>F39*G39</f>
        <v>91908.6</v>
      </c>
      <c r="I39" s="65"/>
      <c r="J39" s="16">
        <f>VLOOKUP(D39,產線配置圖!$A$2:$C$38,2,0)</f>
        <v>16</v>
      </c>
      <c r="K39" s="14">
        <f>VLOOKUP(D39,產線配置圖!$A$2:$C$38,3,0)</f>
        <v>1429</v>
      </c>
      <c r="L39" s="17">
        <f>K39/J39</f>
        <v>89.3125</v>
      </c>
      <c r="M39" s="66">
        <v>14</v>
      </c>
      <c r="N39" s="67">
        <f t="shared" ref="N39" si="25">G39/W39*60</f>
        <v>1008.5106382978724</v>
      </c>
      <c r="O39" s="68">
        <f t="shared" ref="O39" si="26">N39/M39</f>
        <v>72.03647416413375</v>
      </c>
      <c r="P39" s="39">
        <f t="shared" ref="P39" si="27">M39-J39</f>
        <v>-2</v>
      </c>
      <c r="Q39" s="40">
        <f t="shared" ref="Q39" si="28">O39-L39</f>
        <v>-17.27602583586625</v>
      </c>
      <c r="R39" s="69">
        <f t="shared" si="22"/>
        <v>0.80656654067609512</v>
      </c>
      <c r="S39" s="409"/>
      <c r="T39" s="59">
        <v>0.43402777777777779</v>
      </c>
      <c r="U39" s="59">
        <v>0.49930555555555556</v>
      </c>
      <c r="V39" s="42">
        <f t="shared" ref="V39" si="29">(T39-U38)*24*60</f>
        <v>10.000000000000044</v>
      </c>
      <c r="W39" s="70">
        <f t="shared" si="13"/>
        <v>93.999999999999986</v>
      </c>
      <c r="X39" s="58"/>
      <c r="Y39" s="60"/>
      <c r="Z39" s="428"/>
      <c r="AA39" s="475"/>
      <c r="AB39" s="292">
        <f t="shared" si="23"/>
        <v>-420.48936170212755</v>
      </c>
      <c r="AC39" s="62">
        <f t="shared" si="24"/>
        <v>0.70574572309158323</v>
      </c>
      <c r="AD39" s="389"/>
    </row>
    <row r="40" spans="1:30" s="63" customFormat="1" ht="15" customHeight="1" x14ac:dyDescent="0.25">
      <c r="A40" s="425"/>
      <c r="B40" s="56"/>
      <c r="C40" s="10"/>
      <c r="D40" s="11"/>
      <c r="E40" s="89"/>
      <c r="F40" s="56"/>
      <c r="G40" s="102"/>
      <c r="H40" s="64"/>
      <c r="I40" s="65"/>
      <c r="J40" s="16"/>
      <c r="K40" s="14"/>
      <c r="L40" s="17"/>
      <c r="M40" s="66"/>
      <c r="N40" s="67"/>
      <c r="O40" s="68"/>
      <c r="P40" s="39"/>
      <c r="Q40" s="40"/>
      <c r="R40" s="69"/>
      <c r="S40" s="409"/>
      <c r="T40" s="59"/>
      <c r="U40" s="59"/>
      <c r="V40" s="42"/>
      <c r="W40" s="70">
        <f t="shared" si="13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13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13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30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30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31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30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31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30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31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30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31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2">AVERAGE(J38:J47)</f>
        <v>16.5</v>
      </c>
      <c r="K48" s="137">
        <f t="shared" si="32"/>
        <v>1497</v>
      </c>
      <c r="L48" s="140">
        <f t="shared" si="32"/>
        <v>90.685661764705884</v>
      </c>
      <c r="M48" s="137">
        <f t="shared" si="32"/>
        <v>14</v>
      </c>
      <c r="N48" s="137">
        <f t="shared" si="32"/>
        <v>1143.2334213387171</v>
      </c>
      <c r="O48" s="140">
        <f t="shared" si="32"/>
        <v>81.659530095622671</v>
      </c>
      <c r="P48" s="164">
        <f>M48-J48</f>
        <v>-2.5</v>
      </c>
      <c r="Q48" s="165">
        <f>N48-K48</f>
        <v>-353.76657866128289</v>
      </c>
      <c r="R48" s="166">
        <f>O48/L48</f>
        <v>0.90046792962152578</v>
      </c>
      <c r="S48" s="412"/>
      <c r="T48" s="167"/>
      <c r="U48" s="167"/>
      <c r="V48" s="204"/>
      <c r="W48" s="168">
        <f t="shared" si="31"/>
        <v>0</v>
      </c>
      <c r="X48" s="169"/>
      <c r="Y48" s="169"/>
      <c r="Z48" s="401"/>
      <c r="AA48" s="401"/>
      <c r="AB48" s="170">
        <f>N48-K48</f>
        <v>-353.76657866128289</v>
      </c>
      <c r="AC48" s="199">
        <f>N48/K48</f>
        <v>0.76368298018618375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2709</v>
      </c>
      <c r="H49" s="128">
        <f t="shared" ref="H49:H57" si="33">F49*G49</f>
        <v>135368.73000000001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1548.0000000000009</v>
      </c>
      <c r="O49" s="131">
        <f>N49/M49</f>
        <v>86.000000000000057</v>
      </c>
      <c r="P49" s="171">
        <f>M49-J49</f>
        <v>0</v>
      </c>
      <c r="Q49" s="115">
        <f>O49-L49</f>
        <v>-0.94444444444438602</v>
      </c>
      <c r="R49" s="192">
        <f>O49/L49</f>
        <v>0.98913738019169395</v>
      </c>
      <c r="S49" s="408">
        <f>R58</f>
        <v>0.97070600225501968</v>
      </c>
      <c r="T49" s="157">
        <v>0.2902777777777778</v>
      </c>
      <c r="U49" s="157">
        <v>0.36319444444444443</v>
      </c>
      <c r="V49" s="196"/>
      <c r="W49" s="158">
        <f t="shared" si="13"/>
        <v>104.99999999999994</v>
      </c>
      <c r="X49" s="196"/>
      <c r="Y49" s="196"/>
      <c r="Z49" s="423"/>
      <c r="AA49" s="423"/>
      <c r="AB49" s="114">
        <f>N49-K49</f>
        <v>-16.999999999999091</v>
      </c>
      <c r="AC49" s="192">
        <f>N49/K49</f>
        <v>0.98913738019169384</v>
      </c>
      <c r="AD49" s="391">
        <f>AC58</f>
        <v>0.97033709693144254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3886</v>
      </c>
      <c r="H50" s="77">
        <f t="shared" si="33"/>
        <v>220996.81999999998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1485.0955414012737</v>
      </c>
      <c r="O50" s="79">
        <f>N50/M50</f>
        <v>87.358561258898462</v>
      </c>
      <c r="P50" s="18">
        <f>M50-J50</f>
        <v>0</v>
      </c>
      <c r="Q50" s="19">
        <f>O50-L50</f>
        <v>-0.8767328587485963</v>
      </c>
      <c r="R50" s="193">
        <f>O50/L50</f>
        <v>0.99006369426751595</v>
      </c>
      <c r="S50" s="409"/>
      <c r="T50" s="80">
        <v>0.36944444444444446</v>
      </c>
      <c r="U50" s="80">
        <v>0.47847222222222224</v>
      </c>
      <c r="V50" s="185">
        <f t="shared" ref="V50:V51" si="34">(T50-U49)*24*60</f>
        <v>9.000000000000048</v>
      </c>
      <c r="W50" s="81">
        <f t="shared" si="13"/>
        <v>157</v>
      </c>
      <c r="X50" s="22"/>
      <c r="Y50" s="22"/>
      <c r="Z50" s="398"/>
      <c r="AA50" s="399"/>
      <c r="AB50" s="18">
        <f>N50-K50</f>
        <v>-14.904458598726251</v>
      </c>
      <c r="AC50" s="193">
        <f>N50/K50</f>
        <v>0.99006369426751584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3357</v>
      </c>
      <c r="H51" s="77">
        <f t="shared" si="33"/>
        <v>167749.29</v>
      </c>
      <c r="I51" s="185"/>
      <c r="J51" s="16">
        <f>VLOOKUP(D51,產線配置圖!$A$2:$C$38,2,0)</f>
        <v>18</v>
      </c>
      <c r="K51" s="14">
        <f>VLOOKUP(D51,產線配置圖!$A$2:$C$38,3,0)</f>
        <v>1565</v>
      </c>
      <c r="L51" s="17">
        <f t="shared" ref="L51" si="35">K51/J51</f>
        <v>86.944444444444443</v>
      </c>
      <c r="M51" s="182">
        <v>18</v>
      </c>
      <c r="N51" s="78">
        <f t="shared" ref="N51" si="36">G51/W51*60</f>
        <v>1459.5652173913043</v>
      </c>
      <c r="O51" s="79">
        <f t="shared" ref="O51" si="37">N51/M51</f>
        <v>81.086956521739125</v>
      </c>
      <c r="P51" s="18">
        <f t="shared" ref="P51" si="38">M51-J51</f>
        <v>0</v>
      </c>
      <c r="Q51" s="19">
        <f t="shared" ref="Q51" si="39">O51-L51</f>
        <v>-5.8574879227053174</v>
      </c>
      <c r="R51" s="193">
        <f t="shared" ref="R51" si="40">O51/L51</f>
        <v>0.93262953187942765</v>
      </c>
      <c r="S51" s="409"/>
      <c r="T51" s="80">
        <v>0.54166666666666663</v>
      </c>
      <c r="U51" s="44">
        <v>0.63749999999999996</v>
      </c>
      <c r="V51" s="185">
        <f t="shared" si="34"/>
        <v>90.999999999999915</v>
      </c>
      <c r="W51" s="81">
        <f t="shared" si="13"/>
        <v>138</v>
      </c>
      <c r="X51" s="22">
        <v>0.5</v>
      </c>
      <c r="Y51" s="22">
        <v>0.54166666666666663</v>
      </c>
      <c r="Z51" s="400"/>
      <c r="AA51" s="400"/>
      <c r="AB51" s="51">
        <f>N51-K51</f>
        <v>-105.43478260869574</v>
      </c>
      <c r="AC51" s="52">
        <f>N51/K51</f>
        <v>0.93262953187942765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13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33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13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3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13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3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13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3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13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3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13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1">AVERAGE(J49:J57)</f>
        <v>17.666666666666668</v>
      </c>
      <c r="K58" s="121">
        <f t="shared" si="41"/>
        <v>1543.3333333333333</v>
      </c>
      <c r="L58" s="118">
        <f t="shared" si="41"/>
        <v>87.37472766884531</v>
      </c>
      <c r="M58" s="121">
        <f t="shared" si="41"/>
        <v>17.666666666666668</v>
      </c>
      <c r="N58" s="121">
        <f t="shared" si="41"/>
        <v>1497.553586264193</v>
      </c>
      <c r="O58" s="118">
        <f t="shared" si="41"/>
        <v>84.815172593545881</v>
      </c>
      <c r="P58" s="122">
        <f>M58-J58</f>
        <v>0</v>
      </c>
      <c r="Q58" s="123">
        <f>N58-K58</f>
        <v>-45.779747069140285</v>
      </c>
      <c r="R58" s="124">
        <f t="shared" ref="R58:R60" si="42">O58/L58</f>
        <v>0.97070600225501968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43">N58-K58</f>
        <v>-45.779747069140285</v>
      </c>
      <c r="AC58" s="195">
        <f t="shared" ref="AC58:AC61" si="44">N58/K58</f>
        <v>0.97033709693144254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2837</v>
      </c>
      <c r="H59" s="109">
        <f t="shared" ref="H59:H68" si="45">F59*G59</f>
        <v>76570.62999999999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2" si="46">G59/W59*60</f>
        <v>1361.7600000000004</v>
      </c>
      <c r="O59" s="112">
        <f t="shared" ref="O59:O62" si="47">N59/M59</f>
        <v>104.75076923076927</v>
      </c>
      <c r="P59" s="114">
        <f t="shared" ref="P59:P62" si="48">M59-J59</f>
        <v>0</v>
      </c>
      <c r="Q59" s="115">
        <f t="shared" ref="Q59:Q62" si="49">O59-L59</f>
        <v>-15.633846153846122</v>
      </c>
      <c r="R59" s="192">
        <f t="shared" si="42"/>
        <v>0.87013418530351461</v>
      </c>
      <c r="S59" s="408">
        <f>R69</f>
        <v>0.91160505332175168</v>
      </c>
      <c r="T59" s="176">
        <v>0.29166666666666669</v>
      </c>
      <c r="U59" s="176">
        <v>0.37847222222222221</v>
      </c>
      <c r="V59" s="196"/>
      <c r="W59" s="110">
        <f t="shared" si="13"/>
        <v>124.99999999999996</v>
      </c>
      <c r="X59" s="196"/>
      <c r="Y59" s="196"/>
      <c r="Z59" s="400"/>
      <c r="AA59" s="400"/>
      <c r="AB59" s="240">
        <f t="shared" si="43"/>
        <v>-203.23999999999955</v>
      </c>
      <c r="AC59" s="241">
        <f t="shared" si="44"/>
        <v>0.87013418530351461</v>
      </c>
      <c r="AD59" s="391">
        <f>AC69</f>
        <v>0.91063010131050981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1784</v>
      </c>
      <c r="H60" s="15">
        <f t="shared" si="45"/>
        <v>50790.479999999996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6"/>
        <v>1529.1428571428576</v>
      </c>
      <c r="O60" s="17">
        <f t="shared" si="47"/>
        <v>127.42857142857146</v>
      </c>
      <c r="P60" s="18">
        <f t="shared" si="48"/>
        <v>0</v>
      </c>
      <c r="Q60" s="19">
        <f t="shared" si="49"/>
        <v>-2.9880952380951982</v>
      </c>
      <c r="R60" s="193">
        <f t="shared" si="42"/>
        <v>0.9770880876312189</v>
      </c>
      <c r="S60" s="419"/>
      <c r="T60" s="206">
        <v>0.3888888888888889</v>
      </c>
      <c r="U60" s="206">
        <v>0.4375</v>
      </c>
      <c r="V60" s="185">
        <f t="shared" ref="V60:V62" si="50">(T60-U59)*24*60</f>
        <v>15.000000000000027</v>
      </c>
      <c r="W60" s="93">
        <f t="shared" si="13"/>
        <v>69.999999999999986</v>
      </c>
      <c r="X60" s="201"/>
      <c r="Y60" s="201"/>
      <c r="Z60" s="400"/>
      <c r="AA60" s="400"/>
      <c r="AB60" s="242">
        <f t="shared" si="43"/>
        <v>-35.857142857142435</v>
      </c>
      <c r="AC60" s="243">
        <f t="shared" si="44"/>
        <v>0.9770880876312189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2166</v>
      </c>
      <c r="H61" s="15">
        <f t="shared" si="45"/>
        <v>61211.16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1">K61/J61</f>
        <v>130.41666666666666</v>
      </c>
      <c r="M61" s="188">
        <v>12</v>
      </c>
      <c r="N61" s="14">
        <f t="shared" si="46"/>
        <v>1397.4193548387109</v>
      </c>
      <c r="O61" s="17">
        <f t="shared" si="47"/>
        <v>116.45161290322591</v>
      </c>
      <c r="P61" s="18">
        <f t="shared" si="48"/>
        <v>0</v>
      </c>
      <c r="Q61" s="19">
        <f t="shared" si="49"/>
        <v>-13.96505376344075</v>
      </c>
      <c r="R61" s="193">
        <f>O61/L61</f>
        <v>0.89291971555189198</v>
      </c>
      <c r="S61" s="409"/>
      <c r="T61" s="20">
        <v>0.44583333333333336</v>
      </c>
      <c r="U61" s="20">
        <v>0.51041666666666663</v>
      </c>
      <c r="V61" s="185">
        <f t="shared" si="50"/>
        <v>12.000000000000037</v>
      </c>
      <c r="W61" s="91">
        <f t="shared" si="13"/>
        <v>92.999999999999915</v>
      </c>
      <c r="X61" s="22"/>
      <c r="Y61" s="22"/>
      <c r="Z61" s="400"/>
      <c r="AA61" s="400"/>
      <c r="AB61" s="51">
        <f t="shared" si="43"/>
        <v>-167.58064516128911</v>
      </c>
      <c r="AC61" s="52">
        <f t="shared" si="44"/>
        <v>0.89291971555189198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11" t="s">
        <v>128</v>
      </c>
      <c r="E62" s="89"/>
      <c r="F62" s="56">
        <f>VLOOKUP(D62,廠價表!$C$1:$E$39,3,0)</f>
        <v>26.99</v>
      </c>
      <c r="G62" s="185">
        <v>1271</v>
      </c>
      <c r="H62" s="15">
        <f t="shared" si="45"/>
        <v>34304.29</v>
      </c>
      <c r="I62" s="82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51"/>
        <v>120.38461538461539</v>
      </c>
      <c r="M62" s="188">
        <v>13</v>
      </c>
      <c r="N62" s="14">
        <f t="shared" si="46"/>
        <v>1412.2222222222229</v>
      </c>
      <c r="O62" s="17">
        <f t="shared" si="47"/>
        <v>108.63247863247868</v>
      </c>
      <c r="P62" s="18">
        <f t="shared" si="48"/>
        <v>0</v>
      </c>
      <c r="Q62" s="19">
        <f t="shared" si="49"/>
        <v>-11.752136752136707</v>
      </c>
      <c r="R62" s="193">
        <f t="shared" ref="R62" si="52">O62/L62</f>
        <v>0.90237841675541397</v>
      </c>
      <c r="S62" s="409"/>
      <c r="T62" s="20">
        <v>0.56666666666666665</v>
      </c>
      <c r="U62" s="20">
        <v>0.60416666666666663</v>
      </c>
      <c r="V62" s="185">
        <f t="shared" si="50"/>
        <v>81.000000000000028</v>
      </c>
      <c r="W62" s="93">
        <f t="shared" si="13"/>
        <v>53.999999999999972</v>
      </c>
      <c r="X62" s="22">
        <v>0.52083333333333337</v>
      </c>
      <c r="Y62" s="22">
        <v>0.5625</v>
      </c>
      <c r="Z62" s="400"/>
      <c r="AA62" s="400"/>
      <c r="AB62" s="18"/>
      <c r="AC62" s="193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13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5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13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5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13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5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13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5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13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5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13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3">AVERAGE(J59:J68)</f>
        <v>12.5</v>
      </c>
      <c r="K69" s="173">
        <f t="shared" si="53"/>
        <v>1565</v>
      </c>
      <c r="L69" s="178">
        <f t="shared" si="53"/>
        <v>125.40064102564102</v>
      </c>
      <c r="M69" s="173">
        <f t="shared" si="53"/>
        <v>12.5</v>
      </c>
      <c r="N69" s="173">
        <f t="shared" si="53"/>
        <v>1425.1361085509479</v>
      </c>
      <c r="O69" s="178">
        <f t="shared" si="53"/>
        <v>114.31585804876133</v>
      </c>
      <c r="P69" s="179">
        <f>M69-J69</f>
        <v>0</v>
      </c>
      <c r="Q69" s="165">
        <f>N69-K69</f>
        <v>-139.86389144905206</v>
      </c>
      <c r="R69" s="124">
        <f>O69/L69</f>
        <v>0.91160505332175168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-139.86389144905206</v>
      </c>
      <c r="AC69" s="195">
        <f>N69/K69</f>
        <v>0.91063010131050981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54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55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54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55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4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55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4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55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4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5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4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5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4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5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4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5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4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38" priority="1" operator="greaterThan">
      <formula>0</formula>
    </cfRule>
  </conditionalFormatting>
  <conditionalFormatting sqref="Q5:Q79 AB5:AB79">
    <cfRule type="cellIs" dxfId="237" priority="4" operator="lessThan">
      <formula>0</formula>
    </cfRule>
  </conditionalFormatting>
  <conditionalFormatting sqref="R5:R79 AC5:AC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D59:AD62 S69:S76 AD69:AD76">
    <cfRule type="cellIs" dxfId="234" priority="7" operator="lessThan">
      <formula>0.8</formula>
    </cfRule>
  </conditionalFormatting>
  <conditionalFormatting sqref="S19:S25 AD19:AD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D5:AD8 S15:S16 AD15:AD16 AD49 AD79">
    <cfRule type="cellIs" dxfId="231" priority="9" operator="lessThan">
      <formula>0.8</formula>
    </cfRule>
  </conditionalFormatting>
  <conditionalFormatting sqref="AD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339DE0-8964-4A0D-B134-20E545CCA362}">
          <x14:formula1>
            <xm:f>廠價表!$C$2:$C$37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675D-BE4E-4E37-B939-D533ACEFE1BD}">
  <sheetPr>
    <pageSetUpPr fitToPage="1"/>
  </sheetPr>
  <dimension ref="B1:O22"/>
  <sheetViews>
    <sheetView zoomScale="70" zoomScaleNormal="70" workbookViewId="0">
      <selection activeCell="D16" sqref="D16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45939</v>
      </c>
      <c r="E3" s="383"/>
      <c r="F3" s="214" t="s">
        <v>76</v>
      </c>
      <c r="G3" s="384">
        <f>'1009'!E1</f>
        <v>40503</v>
      </c>
      <c r="H3" s="384"/>
      <c r="I3" s="214" t="s">
        <v>77</v>
      </c>
      <c r="J3" s="385">
        <f>'1009'!G1</f>
        <v>1969504.24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114.26185725358518</v>
      </c>
      <c r="G6" s="362"/>
      <c r="H6" s="363">
        <f>AVERAGE(D13:H13)</f>
        <v>111.69969878977231</v>
      </c>
      <c r="I6" s="363"/>
      <c r="J6" s="363">
        <f>AVERAGE(I13)</f>
        <v>127.07264957264958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103.97967558264234</v>
      </c>
      <c r="G7" s="380"/>
      <c r="H7" s="381">
        <f>AVERAGE(D14:H14)</f>
        <v>103.68797725981324</v>
      </c>
      <c r="I7" s="381"/>
      <c r="J7" s="381">
        <f>AVERAGE(I14)</f>
        <v>105.43816719678784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0.90748933248291497</v>
      </c>
      <c r="G8" s="360"/>
      <c r="H8" s="360">
        <f>AVERAGE(D15:H15)</f>
        <v>0.92303777154349087</v>
      </c>
      <c r="I8" s="360"/>
      <c r="J8" s="360">
        <f>AVERAGE(I15)</f>
        <v>0.82974713718003545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VALUE('1009'!L15)</f>
        <v>147.68315018315016</v>
      </c>
      <c r="E13" s="227">
        <f>VALUE('1009'!L26)</f>
        <v>146.73344017094016</v>
      </c>
      <c r="F13" s="227">
        <f>VALUE('1009'!L37)</f>
        <v>85.806372549019613</v>
      </c>
      <c r="G13" s="227">
        <f>VALUE('1009'!L48)</f>
        <v>90.685661764705884</v>
      </c>
      <c r="H13" s="227">
        <f>VALUE('1009'!L58)</f>
        <v>87.58986928104575</v>
      </c>
      <c r="I13" s="227">
        <f>VALUE('1009'!L69)</f>
        <v>127.07264957264958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VALUE('1009'!O15)</f>
        <v>139.35834107643032</v>
      </c>
      <c r="E14" s="227">
        <f>VALUE('1009'!O26)</f>
        <v>139.72731755424067</v>
      </c>
      <c r="F14" s="227">
        <f>VALUE('1009'!O37)</f>
        <v>73.744075315881716</v>
      </c>
      <c r="G14" s="227">
        <f>VALUE('1009'!O48)</f>
        <v>79.191004672897208</v>
      </c>
      <c r="H14" s="227">
        <f>VALUE('1009'!O58)</f>
        <v>86.419147679616259</v>
      </c>
      <c r="I14" s="227">
        <f>VALUE('1009'!O69)</f>
        <v>105.43816719678784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0.9436306098807089</v>
      </c>
      <c r="E15" s="248">
        <f t="shared" ref="E15:I15" si="0">E14/E13</f>
        <v>0.95225272024878882</v>
      </c>
      <c r="F15" s="248">
        <f t="shared" si="0"/>
        <v>0.85942422602415769</v>
      </c>
      <c r="G15" s="248">
        <f t="shared" si="0"/>
        <v>0.87324724914471208</v>
      </c>
      <c r="H15" s="248">
        <f t="shared" si="0"/>
        <v>0.98663405241908686</v>
      </c>
      <c r="I15" s="248">
        <f t="shared" si="0"/>
        <v>0.82974713718003545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'1009'!T5</f>
        <v>0.29166666666666669</v>
      </c>
      <c r="E16" s="98">
        <f>'1009'!T16</f>
        <v>0.2902777777777778</v>
      </c>
      <c r="F16" s="98">
        <f>'1009'!T27</f>
        <v>0.29166666666666669</v>
      </c>
      <c r="G16" s="98">
        <f>'1009'!T38</f>
        <v>0.33194444444444443</v>
      </c>
      <c r="H16" s="98">
        <f>'1009'!T49</f>
        <v>0.2951388888888889</v>
      </c>
      <c r="I16" s="98">
        <f>'1009'!T59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98">
        <v>0.49930555555555556</v>
      </c>
      <c r="E17" s="41">
        <v>0.50347222222222221</v>
      </c>
      <c r="F17" s="41">
        <v>0.55555555555555558</v>
      </c>
      <c r="G17" s="59">
        <v>0.46875</v>
      </c>
      <c r="H17" s="80">
        <v>0.6</v>
      </c>
      <c r="I17" s="20">
        <v>0.51736111111111116</v>
      </c>
      <c r="J17" s="294"/>
    </row>
    <row r="18" spans="2:10" ht="17.25" customHeight="1" x14ac:dyDescent="0.25">
      <c r="B18" s="481" t="s">
        <v>105</v>
      </c>
      <c r="C18" s="355"/>
      <c r="D18" s="229">
        <f>VALUE('1009'!M15)</f>
        <v>13.333333333333334</v>
      </c>
      <c r="E18" s="229">
        <f>VALUE('1009'!M26)</f>
        <v>13.666666666666666</v>
      </c>
      <c r="F18" s="229">
        <f>VALUE('1009'!M37)</f>
        <v>16.25</v>
      </c>
      <c r="G18" s="229">
        <f>VALUE('1009'!M48)</f>
        <v>15.5</v>
      </c>
      <c r="H18" s="229">
        <f>VALUE('1009'!M58)</f>
        <v>17.5</v>
      </c>
      <c r="I18" s="229">
        <f>VALUE('1009'!M69)</f>
        <v>12.333333333333334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24B2-4841-44F1-88D5-0D09ED3BC5B1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U62" sqref="U62"/>
      <selection pane="topRight" activeCell="U62" sqref="U62"/>
      <selection pane="bottomLeft" activeCell="U62" sqref="U62"/>
      <selection pane="bottomRight" activeCell="V13" sqref="V13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40503</v>
      </c>
      <c r="F1" s="185" t="s">
        <v>9</v>
      </c>
      <c r="G1" s="4">
        <f>SUM(H5:H79)</f>
        <v>1969504.24</v>
      </c>
      <c r="H1" s="183" t="s">
        <v>10</v>
      </c>
      <c r="I1" s="5">
        <f>M15+M26+M48+M58+M69+M79+M37</f>
        <v>88.583333333333329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206</v>
      </c>
      <c r="B2" s="461"/>
      <c r="C2" s="184"/>
      <c r="D2" s="184" t="s">
        <v>1</v>
      </c>
      <c r="E2" s="7">
        <f>AVERAGE(O15,O26,O37,O48,O58,O69,O79)</f>
        <v>103.97967558264234</v>
      </c>
      <c r="F2" s="8" t="s">
        <v>2</v>
      </c>
      <c r="G2" s="9">
        <f>G1/E1</f>
        <v>48.62613238525541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1585</v>
      </c>
      <c r="H5" s="109">
        <f>F5*G5</f>
        <v>90677.85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1940.8163265306125</v>
      </c>
      <c r="O5" s="112">
        <f>N5/M5</f>
        <v>149.29356357927787</v>
      </c>
      <c r="P5" s="114">
        <f>M5-J5</f>
        <v>0</v>
      </c>
      <c r="Q5" s="115">
        <f>O5-L5</f>
        <v>-4.552590266875967</v>
      </c>
      <c r="R5" s="192">
        <f>O5/L5</f>
        <v>0.97040816326530621</v>
      </c>
      <c r="S5" s="408">
        <f>R15</f>
        <v>0.9436306098807089</v>
      </c>
      <c r="T5" s="97">
        <v>0.29166666666666669</v>
      </c>
      <c r="U5" s="97">
        <v>0.32569444444444445</v>
      </c>
      <c r="V5" s="202"/>
      <c r="W5" s="110">
        <f t="shared" ref="W5:W14" si="0">(U5-T5)*24*60</f>
        <v>48.999999999999986</v>
      </c>
      <c r="X5" s="196"/>
      <c r="Y5" s="196"/>
      <c r="Z5" s="423"/>
      <c r="AA5" s="423"/>
      <c r="AB5" s="114">
        <f>N5-K5</f>
        <v>-59.183673469387486</v>
      </c>
      <c r="AC5" s="192">
        <f>N5/K5</f>
        <v>0.97040816326530621</v>
      </c>
      <c r="AD5" s="391">
        <f>AC15</f>
        <v>0.94209816484677245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2271</v>
      </c>
      <c r="H6" s="15">
        <f t="shared" ref="H6:H14" si="1">F6*G6</f>
        <v>129923.91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1661.7073170731719</v>
      </c>
      <c r="O6" s="17">
        <f>N6/M6</f>
        <v>118.69337979094085</v>
      </c>
      <c r="P6" s="18">
        <f>M6-J6</f>
        <v>0</v>
      </c>
      <c r="Q6" s="19">
        <f>O6-L6</f>
        <v>-16.663763066202009</v>
      </c>
      <c r="R6" s="193">
        <f>O6/L6</f>
        <v>0.87689040478795355</v>
      </c>
      <c r="S6" s="409"/>
      <c r="T6" s="98">
        <v>0.33888888888888891</v>
      </c>
      <c r="U6" s="98">
        <v>0.39583333333333331</v>
      </c>
      <c r="V6" s="185">
        <f>(T6-U5)*24*60</f>
        <v>19.000000000000014</v>
      </c>
      <c r="W6" s="190">
        <f t="shared" si="0"/>
        <v>81.999999999999943</v>
      </c>
      <c r="X6" s="22"/>
      <c r="Y6" s="22"/>
      <c r="Z6" s="446"/>
      <c r="AA6" s="446"/>
      <c r="AB6" s="18">
        <f>N6-K6</f>
        <v>-233.29268292682809</v>
      </c>
      <c r="AC6" s="193">
        <f>N6/K6</f>
        <v>0.87689040478795355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4260</v>
      </c>
      <c r="H7" s="15">
        <f t="shared" si="1"/>
        <v>209336.4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1951.1450381679388</v>
      </c>
      <c r="O7" s="17">
        <f>N7/M7</f>
        <v>150.08807985907222</v>
      </c>
      <c r="P7" s="18">
        <f>M7-J7</f>
        <v>0</v>
      </c>
      <c r="Q7" s="19">
        <f>O7-L7</f>
        <v>-3.758073987081616</v>
      </c>
      <c r="R7" s="193">
        <f>O7/L7</f>
        <v>0.97557251908396947</v>
      </c>
      <c r="S7" s="409"/>
      <c r="T7" s="98">
        <v>0.40833333333333333</v>
      </c>
      <c r="U7" s="98">
        <v>0.49930555555555556</v>
      </c>
      <c r="V7" s="185">
        <f>(T7-U6)*24*60</f>
        <v>18.000000000000014</v>
      </c>
      <c r="W7" s="190">
        <f t="shared" si="0"/>
        <v>131</v>
      </c>
      <c r="X7" s="22"/>
      <c r="Y7" s="22"/>
      <c r="Z7" s="400"/>
      <c r="AA7" s="400"/>
      <c r="AB7" s="18">
        <f>N7-K7</f>
        <v>-48.854961832061235</v>
      </c>
      <c r="AC7" s="193">
        <f>N7/K7</f>
        <v>0.97557251908396936</v>
      </c>
      <c r="AD7" s="392"/>
    </row>
    <row r="8" spans="1:30" ht="15" customHeight="1" x14ac:dyDescent="0.25">
      <c r="A8" s="465"/>
      <c r="B8" s="56"/>
      <c r="C8" s="23"/>
      <c r="D8" s="11"/>
      <c r="E8" s="12"/>
      <c r="F8" s="56"/>
      <c r="G8" s="67"/>
      <c r="H8" s="77"/>
      <c r="I8" s="185"/>
      <c r="J8" s="16"/>
      <c r="K8" s="14"/>
      <c r="L8" s="17"/>
      <c r="M8" s="182"/>
      <c r="N8" s="78"/>
      <c r="O8" s="79"/>
      <c r="P8" s="18"/>
      <c r="Q8" s="19"/>
      <c r="R8" s="193"/>
      <c r="S8" s="409"/>
      <c r="T8" s="80"/>
      <c r="U8" s="80"/>
      <c r="V8" s="185"/>
      <c r="W8" s="190">
        <f t="shared" si="0"/>
        <v>0</v>
      </c>
      <c r="X8" s="22"/>
      <c r="Y8" s="22"/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67"/>
      <c r="H9" s="77"/>
      <c r="I9" s="185"/>
      <c r="J9" s="16"/>
      <c r="K9" s="14"/>
      <c r="L9" s="17"/>
      <c r="M9" s="188"/>
      <c r="N9" s="78"/>
      <c r="O9" s="79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/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13.333333333333334</v>
      </c>
      <c r="K15" s="121">
        <f t="shared" si="2"/>
        <v>1965</v>
      </c>
      <c r="L15" s="118">
        <f t="shared" si="2"/>
        <v>147.68315018315016</v>
      </c>
      <c r="M15" s="121">
        <f t="shared" si="2"/>
        <v>13.333333333333334</v>
      </c>
      <c r="N15" s="121">
        <f t="shared" si="2"/>
        <v>1851.2228939239078</v>
      </c>
      <c r="O15" s="118">
        <f t="shared" si="2"/>
        <v>139.35834107643032</v>
      </c>
      <c r="P15" s="122">
        <f t="shared" ref="P15:P18" si="3">M15-J15</f>
        <v>0</v>
      </c>
      <c r="Q15" s="123">
        <f t="shared" ref="Q15:Q18" si="4">O15-L15</f>
        <v>-8.3248091067198402</v>
      </c>
      <c r="R15" s="124">
        <f t="shared" ref="R15:R18" si="5">O15/L15</f>
        <v>0.9436306098807089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-113.7771060760922</v>
      </c>
      <c r="AC15" s="195">
        <f>N15/K15</f>
        <v>0.94209816484677245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1707</v>
      </c>
      <c r="H16" s="128">
        <f t="shared" ref="H16:H25" si="6">F16*G16</f>
        <v>97657.47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1969.6153846153857</v>
      </c>
      <c r="O16" s="131">
        <f>N16/M16</f>
        <v>151.50887573964505</v>
      </c>
      <c r="P16" s="132">
        <f t="shared" si="3"/>
        <v>0</v>
      </c>
      <c r="Q16" s="133">
        <f t="shared" si="4"/>
        <v>-2.3372781065087906</v>
      </c>
      <c r="R16" s="197">
        <f t="shared" si="5"/>
        <v>0.98480769230769283</v>
      </c>
      <c r="S16" s="433">
        <f>R26</f>
        <v>0.95225272024878882</v>
      </c>
      <c r="T16" s="288">
        <v>0.2902777777777778</v>
      </c>
      <c r="U16" s="288">
        <v>0.3263888888888889</v>
      </c>
      <c r="V16" s="129"/>
      <c r="W16" s="134">
        <f t="shared" ref="W16:W68" si="7">(U16-T16)*24*60</f>
        <v>51.999999999999972</v>
      </c>
      <c r="X16" s="131"/>
      <c r="Y16" s="131"/>
      <c r="Z16" s="423"/>
      <c r="AA16" s="423"/>
      <c r="AB16" s="114">
        <f>N16-K16</f>
        <v>-30.384615384614335</v>
      </c>
      <c r="AC16" s="192">
        <f>N16/K16</f>
        <v>0.98480769230769283</v>
      </c>
      <c r="AD16" s="391">
        <f>AC26</f>
        <v>0.94816307952402656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1849</v>
      </c>
      <c r="H17" s="15">
        <f t="shared" si="6"/>
        <v>93688.83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1706.7692307692305</v>
      </c>
      <c r="O17" s="38">
        <f>N17/M17</f>
        <v>106.67307692307691</v>
      </c>
      <c r="P17" s="39">
        <f t="shared" si="3"/>
        <v>0</v>
      </c>
      <c r="Q17" s="40">
        <f t="shared" si="4"/>
        <v>-13.014423076923094</v>
      </c>
      <c r="R17" s="198">
        <f t="shared" si="5"/>
        <v>0.8912633058847157</v>
      </c>
      <c r="S17" s="434"/>
      <c r="T17" s="41">
        <v>0.34027777777777779</v>
      </c>
      <c r="U17" s="41">
        <v>0.38541666666666669</v>
      </c>
      <c r="V17" s="185">
        <f>(T17-U16)*24*60</f>
        <v>20.000000000000007</v>
      </c>
      <c r="W17" s="43">
        <f t="shared" si="7"/>
        <v>65.000000000000014</v>
      </c>
      <c r="X17" s="44"/>
      <c r="Y17" s="44"/>
      <c r="Z17" s="399"/>
      <c r="AA17" s="400"/>
      <c r="AB17" s="18">
        <f>N17-K17</f>
        <v>-208.23076923076951</v>
      </c>
      <c r="AC17" s="193">
        <f>N17/K17</f>
        <v>0.8912633058847157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4508</v>
      </c>
      <c r="H18" s="15">
        <f t="shared" si="6"/>
        <v>227158.12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1932.0000000000007</v>
      </c>
      <c r="O18" s="38">
        <f>N18/M18</f>
        <v>161.00000000000006</v>
      </c>
      <c r="P18" s="39">
        <f t="shared" si="3"/>
        <v>0</v>
      </c>
      <c r="Q18" s="40">
        <f t="shared" si="4"/>
        <v>-5.6666666666666003</v>
      </c>
      <c r="R18" s="198">
        <f t="shared" si="5"/>
        <v>0.96600000000000041</v>
      </c>
      <c r="S18" s="434"/>
      <c r="T18" s="41">
        <v>0.40625</v>
      </c>
      <c r="U18" s="41">
        <v>0.50347222222222221</v>
      </c>
      <c r="V18" s="185">
        <f>(T18-U17)*24*60</f>
        <v>29.999999999999972</v>
      </c>
      <c r="W18" s="43">
        <f t="shared" si="7"/>
        <v>139.99999999999997</v>
      </c>
      <c r="X18" s="22"/>
      <c r="Y18" s="22"/>
      <c r="Z18" s="399"/>
      <c r="AA18" s="400"/>
      <c r="AB18" s="18">
        <f>N18-K18</f>
        <v>-67.999999999999318</v>
      </c>
      <c r="AC18" s="193">
        <f>N18/K18</f>
        <v>0.9660000000000003</v>
      </c>
      <c r="AD18" s="392"/>
    </row>
    <row r="19" spans="1:30" ht="15" customHeight="1" x14ac:dyDescent="0.25">
      <c r="A19" s="439"/>
      <c r="B19" s="56"/>
      <c r="C19" s="23"/>
      <c r="D19" s="11"/>
      <c r="E19" s="12"/>
      <c r="F19" s="56"/>
      <c r="G19" s="99"/>
      <c r="H19" s="15"/>
      <c r="I19" s="42"/>
      <c r="J19" s="16"/>
      <c r="K19" s="14"/>
      <c r="L19" s="17"/>
      <c r="M19" s="37"/>
      <c r="N19" s="36"/>
      <c r="O19" s="38"/>
      <c r="P19" s="39"/>
      <c r="Q19" s="40"/>
      <c r="R19" s="198"/>
      <c r="S19" s="434"/>
      <c r="T19" s="41"/>
      <c r="U19" s="41"/>
      <c r="V19" s="185"/>
      <c r="W19" s="43">
        <f t="shared" si="7"/>
        <v>0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8">AVERAGE(J16:J25)</f>
        <v>13.666666666666666</v>
      </c>
      <c r="K26" s="137">
        <f t="shared" si="8"/>
        <v>1971.6666666666667</v>
      </c>
      <c r="L26" s="140">
        <f t="shared" si="8"/>
        <v>146.73344017094016</v>
      </c>
      <c r="M26" s="137">
        <f t="shared" si="8"/>
        <v>13.666666666666666</v>
      </c>
      <c r="N26" s="137">
        <f t="shared" si="8"/>
        <v>1869.461538461539</v>
      </c>
      <c r="O26" s="140">
        <f t="shared" si="8"/>
        <v>139.72731755424067</v>
      </c>
      <c r="P26" s="141">
        <f t="shared" ref="P26:P30" si="9">M26-J26</f>
        <v>0</v>
      </c>
      <c r="Q26" s="142">
        <f t="shared" ref="Q26:Q30" si="10">O26-L26</f>
        <v>-7.0061226166994857</v>
      </c>
      <c r="R26" s="143">
        <f t="shared" ref="R26:R30" si="11">O26/L26</f>
        <v>0.95225272024878882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-102.20512820512772</v>
      </c>
      <c r="AC26" s="195">
        <f>N26/K26</f>
        <v>0.94816307952402656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1087</v>
      </c>
      <c r="H27" s="128">
        <f t="shared" ref="H27:H36" si="12">F27*G27</f>
        <v>55002.200000000004</v>
      </c>
      <c r="I27" s="129"/>
      <c r="J27" s="111">
        <f>VLOOKUP(D27,產線配置圖!$A$2:$C$38,2,0)</f>
        <v>18</v>
      </c>
      <c r="K27" s="252">
        <f>VLOOKUP(D27,產線配置圖!$A$2:$C$38,3,0)</f>
        <v>1500</v>
      </c>
      <c r="L27" s="112">
        <f>K27/J27</f>
        <v>83.333333333333329</v>
      </c>
      <c r="M27" s="147">
        <v>16</v>
      </c>
      <c r="N27" s="130">
        <f>G27/W27*60</f>
        <v>1230.5660377358497</v>
      </c>
      <c r="O27" s="131">
        <f>N27/M27</f>
        <v>76.910377358490607</v>
      </c>
      <c r="P27" s="132">
        <f t="shared" si="9"/>
        <v>-2</v>
      </c>
      <c r="Q27" s="133">
        <f t="shared" si="10"/>
        <v>-6.4229559748427221</v>
      </c>
      <c r="R27" s="197">
        <f t="shared" si="11"/>
        <v>0.92292452830188731</v>
      </c>
      <c r="S27" s="433">
        <f>R37</f>
        <v>0.85942422602415769</v>
      </c>
      <c r="T27" s="97">
        <v>0.29166666666666669</v>
      </c>
      <c r="U27" s="97">
        <v>0.32847222222222222</v>
      </c>
      <c r="V27" s="129"/>
      <c r="W27" s="134">
        <f t="shared" si="7"/>
        <v>52.999999999999972</v>
      </c>
      <c r="X27" s="129"/>
      <c r="Y27" s="129" t="s">
        <v>158</v>
      </c>
      <c r="Z27" s="414"/>
      <c r="AA27" s="423"/>
      <c r="AB27" s="114">
        <f>N27-K27</f>
        <v>-269.4339622641503</v>
      </c>
      <c r="AC27" s="148">
        <f>N27/K27</f>
        <v>0.82037735849056648</v>
      </c>
      <c r="AD27" s="391">
        <f>AC37</f>
        <v>0.78632599138483483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1125</v>
      </c>
      <c r="H28" s="50">
        <f t="shared" si="12"/>
        <v>64361.25</v>
      </c>
      <c r="I28" s="42"/>
      <c r="J28" s="16">
        <f>VLOOKUP(D28,產線配置圖!$A$2:$C$38,2,0)</f>
        <v>17</v>
      </c>
      <c r="K28" s="14">
        <f>VLOOKUP(D28,產線配置圖!$A$2:$C$38,3,0)</f>
        <v>1565</v>
      </c>
      <c r="L28" s="251">
        <f>K28/J28</f>
        <v>92.058823529411768</v>
      </c>
      <c r="M28" s="21">
        <v>14</v>
      </c>
      <c r="N28" s="36">
        <f>G28/W28*60</f>
        <v>1038.4615384615381</v>
      </c>
      <c r="O28" s="38">
        <f>N28/M28</f>
        <v>74.175824175824147</v>
      </c>
      <c r="P28" s="39">
        <f t="shared" si="9"/>
        <v>-3</v>
      </c>
      <c r="Q28" s="40">
        <f t="shared" si="10"/>
        <v>-17.882999353587621</v>
      </c>
      <c r="R28" s="198">
        <f t="shared" si="11"/>
        <v>0.80574377698978306</v>
      </c>
      <c r="S28" s="434"/>
      <c r="T28" s="291">
        <v>0.33541666666666664</v>
      </c>
      <c r="U28" s="291">
        <v>0.38055555555555554</v>
      </c>
      <c r="V28" s="42">
        <f>(T28-U27)*24*60</f>
        <v>9.9999999999999645</v>
      </c>
      <c r="W28" s="43">
        <f t="shared" si="7"/>
        <v>65.000000000000014</v>
      </c>
      <c r="X28" s="54"/>
      <c r="Y28" s="54"/>
      <c r="Z28" s="399"/>
      <c r="AA28" s="400"/>
      <c r="AB28" s="34">
        <f>N28-K28</f>
        <v>-526.53846153846189</v>
      </c>
      <c r="AC28" s="194">
        <f>N28/K28</f>
        <v>0.6635536986974685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2176</v>
      </c>
      <c r="H29" s="50">
        <f t="shared" si="12"/>
        <v>119962.88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18</v>
      </c>
      <c r="N29" s="36">
        <f>G29/W29*60</f>
        <v>1267.5728155339812</v>
      </c>
      <c r="O29" s="38">
        <f>N29/M29</f>
        <v>70.420711974110063</v>
      </c>
      <c r="P29" s="39">
        <f t="shared" si="9"/>
        <v>0</v>
      </c>
      <c r="Q29" s="40">
        <f t="shared" si="10"/>
        <v>-6.5237324703343802</v>
      </c>
      <c r="R29" s="198">
        <f t="shared" si="11"/>
        <v>0.91521502926641241</v>
      </c>
      <c r="S29" s="434"/>
      <c r="T29" s="41">
        <v>0.38750000000000001</v>
      </c>
      <c r="U29" s="41">
        <v>0.45902777777777776</v>
      </c>
      <c r="V29" s="42">
        <f>(T29-U28)*24*60</f>
        <v>10.000000000000044</v>
      </c>
      <c r="W29" s="43">
        <f t="shared" si="7"/>
        <v>102.99999999999996</v>
      </c>
      <c r="X29" s="54"/>
      <c r="Y29" s="54"/>
      <c r="Z29" s="442"/>
      <c r="AA29" s="443"/>
      <c r="AB29" s="275">
        <f t="shared" ref="AB29:AB30" si="13">N29-K29</f>
        <v>-117.42718446601884</v>
      </c>
      <c r="AC29" s="276">
        <f t="shared" ref="AC29:AC30" si="14">N29/K29</f>
        <v>0.91521502926641241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1020</v>
      </c>
      <c r="H30" s="257">
        <f>F30*G30</f>
        <v>48552</v>
      </c>
      <c r="I30" s="82"/>
      <c r="J30" s="16">
        <f>VLOOKUP(D30,產線配置圖!$A$2:$C$38,2,0)</f>
        <v>18</v>
      </c>
      <c r="K30" s="14">
        <f>VLOOKUP(D30,產線配置圖!$A$2:$C$38,3,0)</f>
        <v>1636</v>
      </c>
      <c r="L30" s="251">
        <f>K30/J30</f>
        <v>90.888888888888886</v>
      </c>
      <c r="M30" s="21">
        <v>17</v>
      </c>
      <c r="N30" s="36">
        <f>G30/W30*60</f>
        <v>1248.9795918367352</v>
      </c>
      <c r="O30" s="38">
        <f>N30/M30</f>
        <v>73.469387755102062</v>
      </c>
      <c r="P30" s="39">
        <f t="shared" si="9"/>
        <v>-1</v>
      </c>
      <c r="Q30" s="40">
        <f t="shared" si="10"/>
        <v>-17.419501133786824</v>
      </c>
      <c r="R30" s="198">
        <f t="shared" si="11"/>
        <v>0.80834289706102513</v>
      </c>
      <c r="S30" s="434"/>
      <c r="T30" s="41">
        <v>0.52152777777777781</v>
      </c>
      <c r="U30" s="41">
        <v>0.55555555555555558</v>
      </c>
      <c r="V30" s="42">
        <f>(T30-U29)*24*60</f>
        <v>90.000000000000085</v>
      </c>
      <c r="W30" s="43">
        <f t="shared" si="7"/>
        <v>48.999999999999986</v>
      </c>
      <c r="X30" s="54">
        <v>0.46875</v>
      </c>
      <c r="Y30" s="54">
        <v>0.51041666666666663</v>
      </c>
      <c r="Z30" s="479"/>
      <c r="AA30" s="480"/>
      <c r="AB30" s="275">
        <f t="shared" si="13"/>
        <v>-387.02040816326485</v>
      </c>
      <c r="AC30" s="276">
        <f t="shared" si="14"/>
        <v>0.76343495833541264</v>
      </c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7"/>
      <c r="AA31" s="478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2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2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15">AVERAGE(J27:J36)</f>
        <v>17.75</v>
      </c>
      <c r="K37" s="137">
        <f t="shared" si="15"/>
        <v>1521.5</v>
      </c>
      <c r="L37" s="140">
        <f t="shared" si="15"/>
        <v>85.806372549019613</v>
      </c>
      <c r="M37" s="137">
        <f t="shared" si="15"/>
        <v>16.25</v>
      </c>
      <c r="N37" s="137">
        <f t="shared" si="15"/>
        <v>1196.3949958920261</v>
      </c>
      <c r="O37" s="140">
        <f t="shared" si="15"/>
        <v>73.744075315881716</v>
      </c>
      <c r="P37" s="141">
        <f>M37-J37</f>
        <v>-1.5</v>
      </c>
      <c r="Q37" s="142">
        <f>N37-K37</f>
        <v>-325.10500410797385</v>
      </c>
      <c r="R37" s="143">
        <f t="shared" ref="R37:R39" si="16">O37/L37</f>
        <v>0.85942422602415769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17">N37-K37</f>
        <v>-325.10500410797385</v>
      </c>
      <c r="AC37" s="195">
        <f t="shared" ref="AC37:AC39" si="18">N37/K37</f>
        <v>0.78632599138483483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2401</v>
      </c>
      <c r="H38" s="152">
        <f>F38*G38</f>
        <v>119833.90999999999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15</v>
      </c>
      <c r="N38" s="154">
        <f>G38/W38*60</f>
        <v>1346.3551401869158</v>
      </c>
      <c r="O38" s="155">
        <f>N38/M38</f>
        <v>89.757009345794387</v>
      </c>
      <c r="P38" s="132">
        <f>M38-J38</f>
        <v>-2</v>
      </c>
      <c r="Q38" s="133">
        <f>O38-L38</f>
        <v>-2.3018141836173811</v>
      </c>
      <c r="R38" s="156">
        <f t="shared" si="16"/>
        <v>0.9749962676539965</v>
      </c>
      <c r="S38" s="408">
        <f>R48</f>
        <v>0.87324724914471208</v>
      </c>
      <c r="T38" s="157">
        <v>0.33194444444444443</v>
      </c>
      <c r="U38" s="157">
        <v>0.40625</v>
      </c>
      <c r="V38" s="153"/>
      <c r="W38" s="158">
        <f t="shared" si="7"/>
        <v>107.00000000000001</v>
      </c>
      <c r="X38" s="155"/>
      <c r="Y38" s="159"/>
      <c r="Z38" s="427"/>
      <c r="AA38" s="427"/>
      <c r="AB38" s="160">
        <f t="shared" si="17"/>
        <v>-218.64485981308417</v>
      </c>
      <c r="AC38" s="161">
        <f t="shared" si="18"/>
        <v>0.86029082440058524</v>
      </c>
      <c r="AD38" s="388">
        <f>AC48</f>
        <v>0.81641788249395997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60</v>
      </c>
      <c r="E39" s="89"/>
      <c r="F39" s="56">
        <f>VLOOKUP(D39,廠價表!$C$1:$E$39,3,0)</f>
        <v>58.17</v>
      </c>
      <c r="G39" s="102">
        <v>1281</v>
      </c>
      <c r="H39" s="64">
        <f>F39*G39</f>
        <v>74515.77</v>
      </c>
      <c r="I39" s="65"/>
      <c r="J39" s="16">
        <f>VLOOKUP(D39,產線配置圖!$A$2:$C$38,2,0)</f>
        <v>16</v>
      </c>
      <c r="K39" s="14">
        <f>VLOOKUP(D39,產線配置圖!$A$2:$C$38,3,0)</f>
        <v>1429</v>
      </c>
      <c r="L39" s="17">
        <f>K39/J39</f>
        <v>89.3125</v>
      </c>
      <c r="M39" s="66">
        <v>16</v>
      </c>
      <c r="N39" s="67">
        <f t="shared" ref="N39" si="19">G39/W39*60</f>
        <v>1098.0000000000002</v>
      </c>
      <c r="O39" s="68">
        <f t="shared" ref="O39" si="20">N39/M39</f>
        <v>68.625000000000014</v>
      </c>
      <c r="P39" s="39">
        <f t="shared" ref="P39" si="21">M39-J39</f>
        <v>0</v>
      </c>
      <c r="Q39" s="40">
        <f t="shared" ref="Q39" si="22">O39-L39</f>
        <v>-20.687499999999986</v>
      </c>
      <c r="R39" s="69">
        <f t="shared" si="16"/>
        <v>0.7683694891532542</v>
      </c>
      <c r="S39" s="409"/>
      <c r="T39" s="59">
        <v>0.4201388888888889</v>
      </c>
      <c r="U39" s="59">
        <v>0.46875</v>
      </c>
      <c r="V39" s="42">
        <f t="shared" ref="V39" si="23">(T39-U38)*24*60</f>
        <v>20.000000000000007</v>
      </c>
      <c r="W39" s="70">
        <f t="shared" si="7"/>
        <v>69.999999999999986</v>
      </c>
      <c r="X39" s="58"/>
      <c r="Y39" s="60"/>
      <c r="Z39" s="428" t="s">
        <v>192</v>
      </c>
      <c r="AA39" s="475"/>
      <c r="AB39" s="292">
        <f t="shared" si="17"/>
        <v>-330.99999999999977</v>
      </c>
      <c r="AC39" s="62">
        <f t="shared" si="18"/>
        <v>0.7683694891532542</v>
      </c>
      <c r="AD39" s="389"/>
    </row>
    <row r="40" spans="1:30" s="63" customFormat="1" ht="15" customHeight="1" x14ac:dyDescent="0.25">
      <c r="A40" s="425"/>
      <c r="B40" s="56"/>
      <c r="C40" s="10"/>
      <c r="D40" s="11"/>
      <c r="E40" s="89"/>
      <c r="F40" s="56"/>
      <c r="G40" s="102"/>
      <c r="H40" s="64"/>
      <c r="I40" s="65"/>
      <c r="J40" s="16"/>
      <c r="K40" s="14"/>
      <c r="L40" s="17"/>
      <c r="M40" s="66"/>
      <c r="N40" s="67"/>
      <c r="O40" s="68"/>
      <c r="P40" s="39"/>
      <c r="Q40" s="40"/>
      <c r="R40" s="69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24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16.5</v>
      </c>
      <c r="K48" s="137">
        <f t="shared" si="26"/>
        <v>1497</v>
      </c>
      <c r="L48" s="140">
        <f t="shared" si="26"/>
        <v>90.685661764705884</v>
      </c>
      <c r="M48" s="137">
        <f t="shared" si="26"/>
        <v>15.5</v>
      </c>
      <c r="N48" s="137">
        <f t="shared" si="26"/>
        <v>1222.1775700934581</v>
      </c>
      <c r="O48" s="140">
        <f t="shared" si="26"/>
        <v>79.191004672897208</v>
      </c>
      <c r="P48" s="164">
        <f>M48-J48</f>
        <v>-1</v>
      </c>
      <c r="Q48" s="165">
        <f>N48-K48</f>
        <v>-274.82242990654186</v>
      </c>
      <c r="R48" s="166">
        <f>O48/L48</f>
        <v>0.87324724914471208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-274.82242990654186</v>
      </c>
      <c r="AC48" s="199">
        <f>N48/K48</f>
        <v>0.81641788249395997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3034</v>
      </c>
      <c r="H49" s="128">
        <f t="shared" ref="H49:H57" si="27">F49*G49</f>
        <v>151608.98000000001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1542.7118644067798</v>
      </c>
      <c r="O49" s="131">
        <f>N49/M49</f>
        <v>85.706214689265551</v>
      </c>
      <c r="P49" s="171">
        <f>M49-J49</f>
        <v>0</v>
      </c>
      <c r="Q49" s="115">
        <f>O49-L49</f>
        <v>-1.2382297551788923</v>
      </c>
      <c r="R49" s="192">
        <f>O49/L49</f>
        <v>0.98575837981263892</v>
      </c>
      <c r="S49" s="408">
        <f>R58</f>
        <v>0.98663405241908686</v>
      </c>
      <c r="T49" s="157">
        <v>0.2951388888888889</v>
      </c>
      <c r="U49" s="157">
        <v>0.37708333333333333</v>
      </c>
      <c r="V49" s="196"/>
      <c r="W49" s="158">
        <f t="shared" si="7"/>
        <v>117.99999999999999</v>
      </c>
      <c r="X49" s="196"/>
      <c r="Y49" s="196"/>
      <c r="Z49" s="423"/>
      <c r="AA49" s="423"/>
      <c r="AB49" s="114">
        <f>N49-K49</f>
        <v>-22.288135593220204</v>
      </c>
      <c r="AC49" s="192">
        <f>N49/K49</f>
        <v>0.98575837981263881</v>
      </c>
      <c r="AD49" s="391">
        <f>AC58</f>
        <v>0.98668059506571693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3269</v>
      </c>
      <c r="H50" s="77">
        <f t="shared" si="27"/>
        <v>185908.03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1485.9090909090917</v>
      </c>
      <c r="O50" s="79">
        <f>N50/M50</f>
        <v>87.406417112299508</v>
      </c>
      <c r="P50" s="18">
        <f>M50-J50</f>
        <v>0</v>
      </c>
      <c r="Q50" s="19">
        <f>O50-L50</f>
        <v>-0.82887700534755027</v>
      </c>
      <c r="R50" s="193">
        <f>O50/L50</f>
        <v>0.99060606060606105</v>
      </c>
      <c r="S50" s="409"/>
      <c r="T50" s="80">
        <v>0.3840277777777778</v>
      </c>
      <c r="U50" s="80">
        <v>0.47569444444444442</v>
      </c>
      <c r="V50" s="185">
        <f t="shared" ref="V50:V52" si="28">(T50-U49)*24*60</f>
        <v>10.000000000000044</v>
      </c>
      <c r="W50" s="81">
        <f t="shared" si="7"/>
        <v>131.99999999999994</v>
      </c>
      <c r="X50" s="22"/>
      <c r="Y50" s="22"/>
      <c r="Z50" s="398"/>
      <c r="AA50" s="399"/>
      <c r="AB50" s="18">
        <f>N50-K50</f>
        <v>-14.090909090908326</v>
      </c>
      <c r="AC50" s="193">
        <f>N50/K50</f>
        <v>0.99060606060606116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857</v>
      </c>
      <c r="H51" s="77">
        <f t="shared" si="27"/>
        <v>48737.59</v>
      </c>
      <c r="I51" s="185"/>
      <c r="J51" s="16">
        <f>VLOOKUP(D51,產線配置圖!$A$2:$C$38,2,0)</f>
        <v>17</v>
      </c>
      <c r="K51" s="14">
        <f>VLOOKUP(D51,產線配置圖!$A$2:$C$38,3,0)</f>
        <v>1500</v>
      </c>
      <c r="L51" s="17">
        <f t="shared" ref="L51" si="29">K51/J51</f>
        <v>88.235294117647058</v>
      </c>
      <c r="M51" s="182">
        <v>17</v>
      </c>
      <c r="N51" s="78">
        <f t="shared" ref="N51" si="30">G51/W51*60</f>
        <v>1469.1428571428555</v>
      </c>
      <c r="O51" s="79">
        <f t="shared" ref="O51" si="31">N51/M51</f>
        <v>86.420168067226797</v>
      </c>
      <c r="P51" s="18">
        <f t="shared" ref="P51" si="32">M51-J51</f>
        <v>0</v>
      </c>
      <c r="Q51" s="19">
        <f t="shared" ref="Q51" si="33">O51-L51</f>
        <v>-1.8151260504202611</v>
      </c>
      <c r="R51" s="193">
        <f t="shared" ref="R51" si="34">O51/L51</f>
        <v>0.97942857142857043</v>
      </c>
      <c r="S51" s="409"/>
      <c r="T51" s="80">
        <v>0.53125</v>
      </c>
      <c r="U51" s="44">
        <v>0.55555555555555558</v>
      </c>
      <c r="V51" s="185">
        <f t="shared" si="28"/>
        <v>80.000000000000028</v>
      </c>
      <c r="W51" s="81">
        <f t="shared" si="7"/>
        <v>35.000000000000036</v>
      </c>
      <c r="X51" s="22">
        <v>0.47916666666666669</v>
      </c>
      <c r="Y51" s="22">
        <v>0.52083333333333337</v>
      </c>
      <c r="Z51" s="400"/>
      <c r="AA51" s="400"/>
      <c r="AB51" s="51">
        <f>N51-K51</f>
        <v>-30.857142857144481</v>
      </c>
      <c r="AC51" s="52">
        <f>N51/K51</f>
        <v>0.97942857142857032</v>
      </c>
      <c r="AD51" s="392"/>
    </row>
    <row r="52" spans="1:30" ht="15" customHeight="1" x14ac:dyDescent="0.25">
      <c r="A52" s="421"/>
      <c r="B52" s="56" t="str">
        <f>VLOOKUP(D52,廠價表!$C$1:$E$39,2,0)</f>
        <v>義大利麵</v>
      </c>
      <c r="C52" s="23"/>
      <c r="D52" s="11" t="s">
        <v>66</v>
      </c>
      <c r="E52" s="12"/>
      <c r="F52" s="56">
        <f>VLOOKUP(D52,廠價表!$C$1:$E$39,3,0)</f>
        <v>49.97</v>
      </c>
      <c r="G52" s="67">
        <v>1318</v>
      </c>
      <c r="H52" s="77">
        <f t="shared" ref="H52" si="35">F52*G52</f>
        <v>65860.459999999992</v>
      </c>
      <c r="I52" s="185"/>
      <c r="J52" s="16">
        <f>VLOOKUP(D52,產線配置圖!$A$2:$C$38,2,0)</f>
        <v>18</v>
      </c>
      <c r="K52" s="14">
        <f>VLOOKUP(D52,產線配置圖!$A$2:$C$38,3,0)</f>
        <v>1565</v>
      </c>
      <c r="L52" s="17">
        <f t="shared" ref="L52" si="36">K52/J52</f>
        <v>86.944444444444443</v>
      </c>
      <c r="M52" s="182">
        <v>18</v>
      </c>
      <c r="N52" s="78">
        <f t="shared" ref="N52" si="37">G52/W52*60</f>
        <v>1550.5882352941182</v>
      </c>
      <c r="O52" s="79">
        <f t="shared" ref="O52" si="38">N52/M52</f>
        <v>86.143790849673238</v>
      </c>
      <c r="P52" s="18">
        <f t="shared" ref="P52" si="39">M52-J52</f>
        <v>0</v>
      </c>
      <c r="Q52" s="19">
        <f t="shared" ref="Q52" si="40">O52-L52</f>
        <v>-0.80065359477120523</v>
      </c>
      <c r="R52" s="193">
        <f t="shared" ref="R52" si="41">O52/L52</f>
        <v>0.99079120466077852</v>
      </c>
      <c r="S52" s="409"/>
      <c r="T52" s="80">
        <v>0.56458333333333333</v>
      </c>
      <c r="U52" s="80">
        <v>0.6</v>
      </c>
      <c r="V52" s="185">
        <f t="shared" si="28"/>
        <v>12.999999999999954</v>
      </c>
      <c r="W52" s="81">
        <f t="shared" si="7"/>
        <v>50.999999999999979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2">AVERAGE(J49:J57)</f>
        <v>17.5</v>
      </c>
      <c r="K58" s="121">
        <f t="shared" si="42"/>
        <v>1532.5</v>
      </c>
      <c r="L58" s="118">
        <f t="shared" si="42"/>
        <v>87.58986928104575</v>
      </c>
      <c r="M58" s="121">
        <f t="shared" si="42"/>
        <v>17.5</v>
      </c>
      <c r="N58" s="121">
        <f t="shared" si="42"/>
        <v>1512.0880119382111</v>
      </c>
      <c r="O58" s="118">
        <f t="shared" si="42"/>
        <v>86.419147679616259</v>
      </c>
      <c r="P58" s="122">
        <f>M58-J58</f>
        <v>0</v>
      </c>
      <c r="Q58" s="123">
        <f>N58-K58</f>
        <v>-20.411988061788861</v>
      </c>
      <c r="R58" s="124">
        <f t="shared" ref="R58:R60" si="43">O58/L58</f>
        <v>0.98663405241908686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44">N58-K58</f>
        <v>-20.411988061788861</v>
      </c>
      <c r="AC58" s="195">
        <f t="shared" ref="AC58:AC61" si="45">N58/K58</f>
        <v>0.98668059506571693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3504</v>
      </c>
      <c r="H59" s="109">
        <f t="shared" ref="H59:H68" si="46">F59*G59</f>
        <v>94572.959999999992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7">G59/W59*60</f>
        <v>1557.3333333333333</v>
      </c>
      <c r="O59" s="112">
        <f t="shared" ref="O59:O61" si="48">N59/M59</f>
        <v>119.7948717948718</v>
      </c>
      <c r="P59" s="114">
        <f t="shared" ref="P59:P61" si="49">M59-J59</f>
        <v>0</v>
      </c>
      <c r="Q59" s="115">
        <f t="shared" ref="Q59:Q61" si="50">O59-L59</f>
        <v>-0.5897435897435912</v>
      </c>
      <c r="R59" s="192">
        <f t="shared" si="43"/>
        <v>0.9951011714589989</v>
      </c>
      <c r="S59" s="408">
        <f>R69</f>
        <v>0.82974713718003545</v>
      </c>
      <c r="T59" s="176">
        <v>0.29166666666666669</v>
      </c>
      <c r="U59" s="176">
        <v>0.38541666666666669</v>
      </c>
      <c r="V59" s="196"/>
      <c r="W59" s="110">
        <f t="shared" si="7"/>
        <v>135</v>
      </c>
      <c r="X59" s="196"/>
      <c r="Y59" s="196"/>
      <c r="Z59" s="400"/>
      <c r="AA59" s="400"/>
      <c r="AB59" s="240">
        <f t="shared" si="44"/>
        <v>-7.6666666666667425</v>
      </c>
      <c r="AC59" s="241">
        <f t="shared" si="45"/>
        <v>0.9951011714589989</v>
      </c>
      <c r="AD59" s="391">
        <f>AC69</f>
        <v>0.83398698421282935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1297</v>
      </c>
      <c r="H60" s="15">
        <f t="shared" si="46"/>
        <v>36925.589999999997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7"/>
        <v>1010.6493506493501</v>
      </c>
      <c r="O60" s="17">
        <f t="shared" si="48"/>
        <v>84.220779220779178</v>
      </c>
      <c r="P60" s="18">
        <f t="shared" si="49"/>
        <v>0</v>
      </c>
      <c r="Q60" s="19">
        <f t="shared" si="50"/>
        <v>-46.195887445887479</v>
      </c>
      <c r="R60" s="193">
        <f t="shared" si="43"/>
        <v>0.64578233268329088</v>
      </c>
      <c r="S60" s="419"/>
      <c r="T60" s="206">
        <v>0.39583333333333331</v>
      </c>
      <c r="U60" s="206">
        <v>0.44930555555555557</v>
      </c>
      <c r="V60" s="185">
        <f t="shared" ref="V60:V61" si="51">(T60-U59)*24*60</f>
        <v>14.999999999999947</v>
      </c>
      <c r="W60" s="93">
        <f t="shared" si="7"/>
        <v>77.000000000000043</v>
      </c>
      <c r="X60" s="201"/>
      <c r="Y60" s="201"/>
      <c r="Z60" s="400" t="s">
        <v>207</v>
      </c>
      <c r="AA60" s="400"/>
      <c r="AB60" s="242">
        <f t="shared" si="44"/>
        <v>-554.35064935064986</v>
      </c>
      <c r="AC60" s="243">
        <f t="shared" si="45"/>
        <v>0.64578233268329077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1954</v>
      </c>
      <c r="H61" s="15">
        <f t="shared" si="46"/>
        <v>55220.04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52">K61/J61</f>
        <v>130.41666666666666</v>
      </c>
      <c r="M61" s="188">
        <v>12</v>
      </c>
      <c r="N61" s="14">
        <f t="shared" si="47"/>
        <v>1347.5862068965505</v>
      </c>
      <c r="O61" s="17">
        <f t="shared" si="48"/>
        <v>112.29885057471255</v>
      </c>
      <c r="P61" s="18">
        <f t="shared" si="49"/>
        <v>0</v>
      </c>
      <c r="Q61" s="19">
        <f t="shared" si="50"/>
        <v>-18.117816091954111</v>
      </c>
      <c r="R61" s="193">
        <f>O61/L61</f>
        <v>0.86107744849619849</v>
      </c>
      <c r="S61" s="409"/>
      <c r="T61" s="20">
        <v>0.45694444444444443</v>
      </c>
      <c r="U61" s="20">
        <v>0.51736111111111116</v>
      </c>
      <c r="V61" s="185">
        <f t="shared" si="51"/>
        <v>10.999999999999961</v>
      </c>
      <c r="W61" s="91">
        <f t="shared" si="7"/>
        <v>87.000000000000085</v>
      </c>
      <c r="X61" s="22"/>
      <c r="Y61" s="22"/>
      <c r="Z61" s="400"/>
      <c r="AA61" s="400"/>
      <c r="AB61" s="51">
        <f t="shared" si="44"/>
        <v>-217.41379310344951</v>
      </c>
      <c r="AC61" s="52">
        <f t="shared" si="45"/>
        <v>0.86107744849619838</v>
      </c>
      <c r="AD61" s="392"/>
    </row>
    <row r="62" spans="1:30" ht="15" customHeight="1" x14ac:dyDescent="0.25">
      <c r="A62" s="417"/>
      <c r="B62" s="56"/>
      <c r="C62" s="10"/>
      <c r="D62" s="11"/>
      <c r="E62" s="89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7"/>
        <v>0</v>
      </c>
      <c r="X62" s="22"/>
      <c r="Y62" s="22"/>
      <c r="Z62" s="400"/>
      <c r="AA62" s="400"/>
      <c r="AB62" s="18"/>
      <c r="AC62" s="193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6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6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6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6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6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3">AVERAGE(J59:J68)</f>
        <v>12.333333333333334</v>
      </c>
      <c r="K69" s="173">
        <f t="shared" si="53"/>
        <v>1565</v>
      </c>
      <c r="L69" s="178">
        <f t="shared" si="53"/>
        <v>127.07264957264958</v>
      </c>
      <c r="M69" s="173">
        <f t="shared" si="53"/>
        <v>12.333333333333334</v>
      </c>
      <c r="N69" s="173">
        <f t="shared" si="53"/>
        <v>1305.1896302930779</v>
      </c>
      <c r="O69" s="178">
        <f t="shared" si="53"/>
        <v>105.43816719678784</v>
      </c>
      <c r="P69" s="179">
        <f>M69-J69</f>
        <v>0</v>
      </c>
      <c r="Q69" s="165">
        <f>N69-K69</f>
        <v>-259.81036970692207</v>
      </c>
      <c r="R69" s="124">
        <f>O69/L69</f>
        <v>0.82974713718003545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-259.81036970692207</v>
      </c>
      <c r="AC69" s="195">
        <f>N69/K69</f>
        <v>0.83398698421282935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54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55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54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55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4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55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4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55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4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5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4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5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4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5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4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5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4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28" priority="1" operator="greaterThan">
      <formula>0</formula>
    </cfRule>
  </conditionalFormatting>
  <conditionalFormatting sqref="Q5:Q79 AB5:AB79">
    <cfRule type="cellIs" dxfId="227" priority="4" operator="lessThan">
      <formula>0</formula>
    </cfRule>
  </conditionalFormatting>
  <conditionalFormatting sqref="R5:R79 AC5:AC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D59:AD62 S69:S76 AD69:AD76">
    <cfRule type="cellIs" dxfId="224" priority="7" operator="lessThan">
      <formula>0.8</formula>
    </cfRule>
  </conditionalFormatting>
  <conditionalFormatting sqref="S19:S25 AD19:AD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D5:AD8 S15:S16 AD15:AD16 AD49 AD79">
    <cfRule type="cellIs" dxfId="221" priority="9" operator="lessThan">
      <formula>0.8</formula>
    </cfRule>
  </conditionalFormatting>
  <conditionalFormatting sqref="AD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D65419-4548-41E1-94BD-62578F5DA202}">
          <x14:formula1>
            <xm:f>廠價表!$C$2:$C$37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AD63-A211-459B-A15E-D4930B9F5E8D}">
  <sheetPr>
    <pageSetUpPr fitToPage="1"/>
  </sheetPr>
  <dimension ref="B1:O22"/>
  <sheetViews>
    <sheetView zoomScale="70" zoomScaleNormal="70" workbookViewId="0">
      <selection activeCell="U8" sqref="U8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45940</v>
      </c>
      <c r="E3" s="383"/>
      <c r="F3" s="214" t="s">
        <v>76</v>
      </c>
      <c r="G3" s="384">
        <f>'1010'!E1</f>
        <v>39047</v>
      </c>
      <c r="H3" s="384"/>
      <c r="I3" s="214" t="s">
        <v>77</v>
      </c>
      <c r="J3" s="385">
        <f>'1010'!G1</f>
        <v>1906698.1400000001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114.62712764949283</v>
      </c>
      <c r="G6" s="362"/>
      <c r="H6" s="363">
        <f>AVERAGE(D13:H13)</f>
        <v>112.1380232648615</v>
      </c>
      <c r="I6" s="363"/>
      <c r="J6" s="363">
        <f>AVERAGE(I13)</f>
        <v>127.07264957264958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100.0391754312143</v>
      </c>
      <c r="G7" s="380"/>
      <c r="H7" s="381">
        <f>AVERAGE(D14:H14)</f>
        <v>97.955399992905456</v>
      </c>
      <c r="I7" s="381"/>
      <c r="J7" s="381">
        <f>AVERAGE(I14)</f>
        <v>110.45805262275859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0.87520011213325322</v>
      </c>
      <c r="G8" s="360"/>
      <c r="H8" s="360">
        <f>AVERAGE(D15:H15)</f>
        <v>0.87638989535542744</v>
      </c>
      <c r="I8" s="360"/>
      <c r="J8" s="360">
        <f>AVERAGE(I15)</f>
        <v>0.86925119602238132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VALUE('1010'!L15)</f>
        <v>149.22390109890108</v>
      </c>
      <c r="E13" s="227">
        <f>VALUE('1010'!L26)</f>
        <v>146.73344017094016</v>
      </c>
      <c r="F13" s="227">
        <f>VALUE('1010'!L37)</f>
        <v>85.806372549019613</v>
      </c>
      <c r="G13" s="227">
        <f>VALUE('1010'!L48)</f>
        <v>90.685661764705884</v>
      </c>
      <c r="H13" s="227">
        <f>VALUE('1010'!L58)</f>
        <v>88.240740740740719</v>
      </c>
      <c r="I13" s="227">
        <f>VALUE('1010'!L69)</f>
        <v>127.07264957264958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VALUE('1010'!O15)</f>
        <v>127.36150810370867</v>
      </c>
      <c r="E14" s="227">
        <f>VALUE('1010'!O26)</f>
        <v>127.60641005035893</v>
      </c>
      <c r="F14" s="227">
        <f>VALUE('1010'!O37)</f>
        <v>71.178095526520664</v>
      </c>
      <c r="G14" s="227">
        <f>VALUE('1010'!O48)</f>
        <v>82.089377289377296</v>
      </c>
      <c r="H14" s="227">
        <f>VALUE('1010'!O58)</f>
        <v>81.541608994561656</v>
      </c>
      <c r="I14" s="227">
        <f>VALUE('1010'!O69)</f>
        <v>110.45805262275859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0.85349268559396074</v>
      </c>
      <c r="E15" s="248">
        <f t="shared" ref="E15:I15" si="0">E14/E13</f>
        <v>0.86964777696005224</v>
      </c>
      <c r="F15" s="248">
        <f t="shared" si="0"/>
        <v>0.82951992272902475</v>
      </c>
      <c r="G15" s="248">
        <f t="shared" si="0"/>
        <v>0.90520789827136494</v>
      </c>
      <c r="H15" s="248">
        <f t="shared" si="0"/>
        <v>0.92408119322273463</v>
      </c>
      <c r="I15" s="248">
        <f t="shared" si="0"/>
        <v>0.86925119602238132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'1010'!T5</f>
        <v>0.29166666666666669</v>
      </c>
      <c r="E16" s="98">
        <f>'1010'!T16</f>
        <v>0.28958333333333336</v>
      </c>
      <c r="F16" s="98">
        <f>'1010'!T27</f>
        <v>0.2951388888888889</v>
      </c>
      <c r="G16" s="98">
        <f>'1010'!T38</f>
        <v>0.33333333333333331</v>
      </c>
      <c r="H16" s="98">
        <f>'1010'!T49</f>
        <v>0.2902777777777778</v>
      </c>
      <c r="I16" s="98">
        <f>'1010'!T59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0.58472222222222225</v>
      </c>
      <c r="E17" s="41">
        <v>0.48958333333333331</v>
      </c>
      <c r="F17" s="41">
        <v>0.58333333333333337</v>
      </c>
      <c r="G17" s="59">
        <v>0.51041666666666663</v>
      </c>
      <c r="H17" s="44">
        <v>0.62013888888888891</v>
      </c>
      <c r="I17" s="20">
        <v>0.51388888888888884</v>
      </c>
      <c r="J17" s="294"/>
    </row>
    <row r="18" spans="2:10" ht="17.25" customHeight="1" x14ac:dyDescent="0.25">
      <c r="B18" s="481" t="s">
        <v>105</v>
      </c>
      <c r="C18" s="355"/>
      <c r="D18" s="229">
        <f>VALUE('1010'!M15)</f>
        <v>13.25</v>
      </c>
      <c r="E18" s="229">
        <f>VALUE('1010'!M26)</f>
        <v>13.666666666666666</v>
      </c>
      <c r="F18" s="229">
        <f>VALUE('1010'!M37)</f>
        <v>13.75</v>
      </c>
      <c r="G18" s="229">
        <f>VALUE('1010'!M48)</f>
        <v>14</v>
      </c>
      <c r="H18" s="229">
        <f>VALUE('1010'!M58)</f>
        <v>17.666666666666668</v>
      </c>
      <c r="I18" s="229">
        <f>VALUE('1010'!M69)</f>
        <v>12.333333333333334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2597-D60A-4AA2-A772-DDFCB960EE8E}">
  <sheetPr>
    <tabColor theme="9" tint="0.79998168889431442"/>
    <pageSetUpPr fitToPage="1"/>
  </sheetPr>
  <dimension ref="A1:AF92"/>
  <sheetViews>
    <sheetView zoomScale="69" zoomScaleNormal="69" workbookViewId="0">
      <pane xSplit="5" ySplit="4" topLeftCell="F53" activePane="bottomRight" state="frozen"/>
      <selection activeCell="U8" sqref="U8"/>
      <selection pane="topRight" activeCell="U8" sqref="U8"/>
      <selection pane="bottomLeft" activeCell="U8" sqref="U8"/>
      <selection pane="bottomRight" activeCell="X51" sqref="X51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39047</v>
      </c>
      <c r="F1" s="185" t="s">
        <v>9</v>
      </c>
      <c r="G1" s="4">
        <f>SUM(H5:H79)</f>
        <v>1906698.1400000001</v>
      </c>
      <c r="H1" s="183" t="s">
        <v>10</v>
      </c>
      <c r="I1" s="5">
        <f>M15+M26+M48+M58+M69+M79+M37</f>
        <v>84.666666666666657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208</v>
      </c>
      <c r="B2" s="461"/>
      <c r="C2" s="184"/>
      <c r="D2" s="184" t="s">
        <v>1</v>
      </c>
      <c r="E2" s="7">
        <f>AVERAGE(O15,O26,O37,O48,O58,O69,O79)</f>
        <v>100.0391754312143</v>
      </c>
      <c r="F2" s="8" t="s">
        <v>2</v>
      </c>
      <c r="G2" s="9">
        <f>G1/E1</f>
        <v>48.830848464670787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1463</v>
      </c>
      <c r="H5" s="109">
        <f>F5*G5</f>
        <v>83698.23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1463.0000000000014</v>
      </c>
      <c r="O5" s="112">
        <f>N5/M5</f>
        <v>112.53846153846165</v>
      </c>
      <c r="P5" s="114">
        <f>M5-J5</f>
        <v>0</v>
      </c>
      <c r="Q5" s="115">
        <f>O5-L5</f>
        <v>-41.307692307692193</v>
      </c>
      <c r="R5" s="192">
        <f>O5/L5</f>
        <v>0.73150000000000071</v>
      </c>
      <c r="S5" s="408">
        <f>R15</f>
        <v>0.85349268559396074</v>
      </c>
      <c r="T5" s="97">
        <v>0.29166666666666669</v>
      </c>
      <c r="U5" s="97">
        <v>0.33333333333333331</v>
      </c>
      <c r="V5" s="202"/>
      <c r="W5" s="110">
        <f t="shared" ref="W5:W14" si="0">(U5-T5)*24*60</f>
        <v>59.999999999999943</v>
      </c>
      <c r="X5" s="196"/>
      <c r="Y5" s="196"/>
      <c r="Z5" s="423" t="s">
        <v>209</v>
      </c>
      <c r="AA5" s="423"/>
      <c r="AB5" s="114">
        <f>N5-K5</f>
        <v>-536.99999999999864</v>
      </c>
      <c r="AC5" s="192">
        <f>N5/K5</f>
        <v>0.73150000000000071</v>
      </c>
      <c r="AD5" s="391">
        <f>AC15</f>
        <v>0.85434503616093671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2168</v>
      </c>
      <c r="H6" s="15">
        <f t="shared" ref="H6:H14" si="1">F6*G6</f>
        <v>124031.28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1711.5789473684217</v>
      </c>
      <c r="O6" s="17">
        <f>N6/M6</f>
        <v>122.25563909774441</v>
      </c>
      <c r="P6" s="18">
        <f>M6-J6</f>
        <v>0</v>
      </c>
      <c r="Q6" s="19">
        <f>O6-L6</f>
        <v>-13.101503759398454</v>
      </c>
      <c r="R6" s="193">
        <f>O6/L6</f>
        <v>0.90320788779336236</v>
      </c>
      <c r="S6" s="409"/>
      <c r="T6" s="98">
        <v>0.34236111111111112</v>
      </c>
      <c r="U6" s="98">
        <v>0.39513888888888887</v>
      </c>
      <c r="V6" s="185">
        <f>(T6-U5)*24*60</f>
        <v>13.000000000000034</v>
      </c>
      <c r="W6" s="190">
        <f t="shared" si="0"/>
        <v>75.999999999999972</v>
      </c>
      <c r="X6" s="22"/>
      <c r="Y6" s="22"/>
      <c r="Z6" s="446"/>
      <c r="AA6" s="446"/>
      <c r="AB6" s="18">
        <f>N6-K6</f>
        <v>-183.42105263157828</v>
      </c>
      <c r="AC6" s="193">
        <f>N6/K6</f>
        <v>0.90320788779336236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2755</v>
      </c>
      <c r="H7" s="15">
        <f t="shared" si="1"/>
        <v>135380.70000000001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1944.705882352941</v>
      </c>
      <c r="O7" s="17">
        <f>N7/M7</f>
        <v>149.59276018099547</v>
      </c>
      <c r="P7" s="18">
        <f>M7-J7</f>
        <v>0</v>
      </c>
      <c r="Q7" s="19">
        <f>O7-L7</f>
        <v>-4.2533936651583701</v>
      </c>
      <c r="R7" s="193">
        <f>O7/L7</f>
        <v>0.97235294117647064</v>
      </c>
      <c r="S7" s="409"/>
      <c r="T7" s="98">
        <v>0.42708333333333331</v>
      </c>
      <c r="U7" s="98">
        <v>0.4861111111111111</v>
      </c>
      <c r="V7" s="185">
        <f>(T7-U6)*24*60</f>
        <v>46</v>
      </c>
      <c r="W7" s="190">
        <f t="shared" si="0"/>
        <v>85.000000000000014</v>
      </c>
      <c r="X7" s="22"/>
      <c r="Y7" s="22"/>
      <c r="Z7" s="400" t="s">
        <v>211</v>
      </c>
      <c r="AA7" s="400"/>
      <c r="AB7" s="18">
        <f>N7-K7</f>
        <v>-55.294117647059011</v>
      </c>
      <c r="AC7" s="193">
        <f>N7/K7</f>
        <v>0.97235294117647053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23"/>
      <c r="D8" s="11" t="s">
        <v>150</v>
      </c>
      <c r="E8" s="12"/>
      <c r="F8" s="56">
        <f>VLOOKUP(D8,廠價表!$C$1:$E$39,3,0)</f>
        <v>49.14</v>
      </c>
      <c r="G8" s="25">
        <v>1409</v>
      </c>
      <c r="H8" s="15">
        <f t="shared" ref="H8" si="2">F8*G8</f>
        <v>69238.259999999995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2">
        <v>13</v>
      </c>
      <c r="N8" s="14">
        <f>G8/W8*60</f>
        <v>1625.7692307692316</v>
      </c>
      <c r="O8" s="17">
        <f>N8/M8</f>
        <v>125.0591715976332</v>
      </c>
      <c r="P8" s="18">
        <f>M8-J8</f>
        <v>0</v>
      </c>
      <c r="Q8" s="19">
        <f>O8-L8</f>
        <v>-28.786982248520644</v>
      </c>
      <c r="R8" s="193">
        <f>O8/L8</f>
        <v>0.81288461538461576</v>
      </c>
      <c r="S8" s="409"/>
      <c r="T8" s="80">
        <v>0.54861111111111116</v>
      </c>
      <c r="U8" s="80">
        <v>0.58472222222222225</v>
      </c>
      <c r="V8" s="185">
        <f>(T8-U7)*24*60</f>
        <v>90.000000000000085</v>
      </c>
      <c r="W8" s="190">
        <f t="shared" si="0"/>
        <v>51.999999999999972</v>
      </c>
      <c r="X8" s="22">
        <v>0.5</v>
      </c>
      <c r="Y8" s="22">
        <v>0.54166666666666663</v>
      </c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67"/>
      <c r="H9" s="77"/>
      <c r="I9" s="185"/>
      <c r="J9" s="16"/>
      <c r="K9" s="14"/>
      <c r="L9" s="17"/>
      <c r="M9" s="188"/>
      <c r="N9" s="78"/>
      <c r="O9" s="79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/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3">AVERAGE(J5:J14)</f>
        <v>13.25</v>
      </c>
      <c r="K15" s="121">
        <f t="shared" si="3"/>
        <v>1973.75</v>
      </c>
      <c r="L15" s="118">
        <f t="shared" si="3"/>
        <v>149.22390109890108</v>
      </c>
      <c r="M15" s="121">
        <f t="shared" si="3"/>
        <v>13.25</v>
      </c>
      <c r="N15" s="121">
        <f t="shared" si="3"/>
        <v>1686.2635151226489</v>
      </c>
      <c r="O15" s="118">
        <f t="shared" si="3"/>
        <v>127.36150810370867</v>
      </c>
      <c r="P15" s="122">
        <f t="shared" ref="P15:P18" si="4">M15-J15</f>
        <v>0</v>
      </c>
      <c r="Q15" s="123">
        <f t="shared" ref="Q15:Q18" si="5">O15-L15</f>
        <v>-21.862392995192408</v>
      </c>
      <c r="R15" s="124">
        <f t="shared" ref="R15:R18" si="6">O15/L15</f>
        <v>0.85349268559396074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-287.48648487735113</v>
      </c>
      <c r="AC15" s="195">
        <f>N15/K15</f>
        <v>0.85434503616093671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1638</v>
      </c>
      <c r="H16" s="128">
        <f t="shared" ref="H16:H25" si="7">F16*G16</f>
        <v>93709.98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1445.294117647059</v>
      </c>
      <c r="O16" s="131">
        <f>N16/M16</f>
        <v>111.1764705882353</v>
      </c>
      <c r="P16" s="132">
        <f t="shared" si="4"/>
        <v>0</v>
      </c>
      <c r="Q16" s="133">
        <f t="shared" si="5"/>
        <v>-42.669683257918535</v>
      </c>
      <c r="R16" s="197">
        <f t="shared" si="6"/>
        <v>0.72264705882352953</v>
      </c>
      <c r="S16" s="433">
        <f>R26</f>
        <v>0.86964777696005224</v>
      </c>
      <c r="T16" s="288">
        <v>0.28958333333333336</v>
      </c>
      <c r="U16" s="288">
        <v>0.33680555555555558</v>
      </c>
      <c r="V16" s="129"/>
      <c r="W16" s="134">
        <f t="shared" ref="W16:W68" si="8">(U16-T16)*24*60</f>
        <v>68</v>
      </c>
      <c r="X16" s="131"/>
      <c r="Y16" s="131"/>
      <c r="Z16" s="423" t="s">
        <v>210</v>
      </c>
      <c r="AA16" s="423"/>
      <c r="AB16" s="114">
        <f>N16-K16</f>
        <v>-554.70588235294099</v>
      </c>
      <c r="AC16" s="192">
        <f>N16/K16</f>
        <v>0.72264705882352953</v>
      </c>
      <c r="AD16" s="391">
        <f>AC26</f>
        <v>0.8665671914318156</v>
      </c>
    </row>
    <row r="17" spans="1:30" ht="15" customHeight="1" x14ac:dyDescent="0.25">
      <c r="A17" s="439"/>
      <c r="B17" s="56" t="s">
        <v>63</v>
      </c>
      <c r="C17" s="10"/>
      <c r="D17" s="11" t="s">
        <v>134</v>
      </c>
      <c r="E17" s="89"/>
      <c r="F17" s="56">
        <f>VLOOKUP(D17,廠價表!$C$1:$E$39,3,0)</f>
        <v>50.67</v>
      </c>
      <c r="G17" s="99">
        <v>1711</v>
      </c>
      <c r="H17" s="15">
        <f t="shared" si="7"/>
        <v>86696.37000000001</v>
      </c>
      <c r="I17" s="185"/>
      <c r="J17" s="16">
        <f>VLOOKUP(D17,產線配置圖!$A$2:$C$38,2,0)</f>
        <v>16</v>
      </c>
      <c r="K17" s="14">
        <f>VLOOKUP(D17,產線配置圖!$A$2:$C$38,3,0)</f>
        <v>1915</v>
      </c>
      <c r="L17" s="17">
        <f>K17/J17</f>
        <v>119.6875</v>
      </c>
      <c r="M17" s="37">
        <v>16</v>
      </c>
      <c r="N17" s="36">
        <f>G17/W17*60</f>
        <v>1682.9508196721306</v>
      </c>
      <c r="O17" s="38">
        <f>N17/M17</f>
        <v>105.18442622950816</v>
      </c>
      <c r="P17" s="39">
        <f t="shared" si="4"/>
        <v>0</v>
      </c>
      <c r="Q17" s="40">
        <f t="shared" si="5"/>
        <v>-14.503073770491838</v>
      </c>
      <c r="R17" s="198">
        <f t="shared" si="6"/>
        <v>0.87882549330137372</v>
      </c>
      <c r="S17" s="434"/>
      <c r="T17" s="41">
        <v>0.34722222222222221</v>
      </c>
      <c r="U17" s="41">
        <v>0.38958333333333334</v>
      </c>
      <c r="V17" s="185">
        <f>(T17-U16)*24*60</f>
        <v>14.999999999999947</v>
      </c>
      <c r="W17" s="43">
        <f t="shared" si="8"/>
        <v>61.000000000000021</v>
      </c>
      <c r="X17" s="44"/>
      <c r="Y17" s="44"/>
      <c r="Z17" s="399"/>
      <c r="AA17" s="400"/>
      <c r="AB17" s="18">
        <f>N17-K17</f>
        <v>-232.04918032786941</v>
      </c>
      <c r="AC17" s="193">
        <f>N17/K17</f>
        <v>0.87882549330137372</v>
      </c>
      <c r="AD17" s="392"/>
    </row>
    <row r="18" spans="1:30" ht="15" customHeight="1" x14ac:dyDescent="0.25">
      <c r="A18" s="439"/>
      <c r="B18" s="56" t="str">
        <f>VLOOKUP(D18,廠價表!$C$1:$E$39,2,0)</f>
        <v>義大利麵</v>
      </c>
      <c r="C18" s="10"/>
      <c r="D18" s="11" t="s">
        <v>136</v>
      </c>
      <c r="E18" s="89"/>
      <c r="F18" s="56">
        <f>VLOOKUP(D18,廠價表!$C$1:$E$39,3,0)</f>
        <v>50.39</v>
      </c>
      <c r="G18" s="99">
        <v>3995</v>
      </c>
      <c r="H18" s="15">
        <f t="shared" si="7"/>
        <v>201308.05</v>
      </c>
      <c r="I18" s="42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1997.5000000000002</v>
      </c>
      <c r="O18" s="38">
        <f>N18/M18</f>
        <v>166.45833333333334</v>
      </c>
      <c r="P18" s="39">
        <f t="shared" si="4"/>
        <v>0</v>
      </c>
      <c r="Q18" s="40">
        <f t="shared" si="5"/>
        <v>-0.20833333333331439</v>
      </c>
      <c r="R18" s="198">
        <f t="shared" si="6"/>
        <v>0.99875000000000014</v>
      </c>
      <c r="S18" s="434"/>
      <c r="T18" s="41">
        <v>0.40625</v>
      </c>
      <c r="U18" s="41">
        <v>0.48958333333333331</v>
      </c>
      <c r="V18" s="185">
        <f>(T18-U17)*24*60</f>
        <v>23.999999999999993</v>
      </c>
      <c r="W18" s="43">
        <f t="shared" si="8"/>
        <v>119.99999999999997</v>
      </c>
      <c r="X18" s="22"/>
      <c r="Y18" s="22"/>
      <c r="Z18" s="399"/>
      <c r="AA18" s="400"/>
      <c r="AB18" s="18">
        <f>N18-K18</f>
        <v>-2.4999999999997726</v>
      </c>
      <c r="AC18" s="193">
        <f>N18/K18</f>
        <v>0.99875000000000014</v>
      </c>
      <c r="AD18" s="392"/>
    </row>
    <row r="19" spans="1:30" ht="15" customHeight="1" x14ac:dyDescent="0.25">
      <c r="A19" s="439"/>
      <c r="B19" s="56"/>
      <c r="C19" s="23"/>
      <c r="D19" s="11"/>
      <c r="E19" s="12"/>
      <c r="F19" s="56"/>
      <c r="G19" s="99"/>
      <c r="H19" s="15"/>
      <c r="I19" s="42"/>
      <c r="J19" s="16"/>
      <c r="K19" s="14"/>
      <c r="L19" s="17"/>
      <c r="M19" s="37"/>
      <c r="N19" s="36"/>
      <c r="O19" s="38"/>
      <c r="P19" s="39"/>
      <c r="Q19" s="40"/>
      <c r="R19" s="198"/>
      <c r="S19" s="434"/>
      <c r="T19" s="41"/>
      <c r="U19" s="41"/>
      <c r="V19" s="185"/>
      <c r="W19" s="43">
        <f t="shared" si="8"/>
        <v>0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7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7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8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8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8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9">AVERAGE(J16:J25)</f>
        <v>13.666666666666666</v>
      </c>
      <c r="K26" s="137">
        <f t="shared" si="9"/>
        <v>1971.6666666666667</v>
      </c>
      <c r="L26" s="140">
        <f t="shared" si="9"/>
        <v>146.73344017094016</v>
      </c>
      <c r="M26" s="137">
        <f t="shared" si="9"/>
        <v>13.666666666666666</v>
      </c>
      <c r="N26" s="137">
        <f t="shared" si="9"/>
        <v>1708.5816457730632</v>
      </c>
      <c r="O26" s="140">
        <f t="shared" si="9"/>
        <v>127.60641005035893</v>
      </c>
      <c r="P26" s="141">
        <f t="shared" ref="P26:P30" si="10">M26-J26</f>
        <v>0</v>
      </c>
      <c r="Q26" s="142">
        <f t="shared" ref="Q26:Q30" si="11">O26-L26</f>
        <v>-19.127030120581225</v>
      </c>
      <c r="R26" s="143">
        <f t="shared" ref="R26:R30" si="12">O26/L26</f>
        <v>0.86964777696005224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-263.08502089360354</v>
      </c>
      <c r="AC26" s="195">
        <f>N26/K26</f>
        <v>0.8665671914318156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141</v>
      </c>
      <c r="E27" s="107"/>
      <c r="F27" s="207">
        <f>VLOOKUP(D27,廠價表!$C$1:$E$39,3,0)</f>
        <v>50.6</v>
      </c>
      <c r="G27" s="289">
        <v>903</v>
      </c>
      <c r="H27" s="128">
        <f t="shared" ref="H27:H36" si="13">F27*G27</f>
        <v>45691.8</v>
      </c>
      <c r="I27" s="129"/>
      <c r="J27" s="111">
        <f>VLOOKUP(D27,產線配置圖!$A$2:$C$38,2,0)</f>
        <v>18</v>
      </c>
      <c r="K27" s="252">
        <f>VLOOKUP(D27,產線配置圖!$A$2:$C$38,3,0)</f>
        <v>1500</v>
      </c>
      <c r="L27" s="112">
        <f>K27/J27</f>
        <v>83.333333333333329</v>
      </c>
      <c r="M27" s="147">
        <v>13</v>
      </c>
      <c r="N27" s="130">
        <f>G27/W27*60</f>
        <v>902.99999999999966</v>
      </c>
      <c r="O27" s="131">
        <f>N27/M27</f>
        <v>69.461538461538439</v>
      </c>
      <c r="P27" s="132">
        <f t="shared" si="10"/>
        <v>-5</v>
      </c>
      <c r="Q27" s="133">
        <f t="shared" si="11"/>
        <v>-13.87179487179489</v>
      </c>
      <c r="R27" s="197">
        <f t="shared" si="12"/>
        <v>0.83353846153846134</v>
      </c>
      <c r="S27" s="433">
        <f>R37</f>
        <v>0.82951992272902475</v>
      </c>
      <c r="T27" s="97">
        <v>0.2951388888888889</v>
      </c>
      <c r="U27" s="97">
        <v>0.33680555555555558</v>
      </c>
      <c r="V27" s="129"/>
      <c r="W27" s="134">
        <f t="shared" si="8"/>
        <v>60.000000000000028</v>
      </c>
      <c r="X27" s="129"/>
      <c r="Y27" s="129" t="s">
        <v>158</v>
      </c>
      <c r="Z27" s="414"/>
      <c r="AA27" s="423"/>
      <c r="AB27" s="114">
        <f>N27-K27</f>
        <v>-597.00000000000034</v>
      </c>
      <c r="AC27" s="148">
        <f>N27/K27</f>
        <v>0.60199999999999976</v>
      </c>
      <c r="AD27" s="391">
        <f>AC37</f>
        <v>0.64352806622142933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1131</v>
      </c>
      <c r="H28" s="50">
        <f t="shared" si="13"/>
        <v>64704.51</v>
      </c>
      <c r="I28" s="42"/>
      <c r="J28" s="16">
        <f>VLOOKUP(D28,產線配置圖!$A$2:$C$38,2,0)</f>
        <v>17</v>
      </c>
      <c r="K28" s="14">
        <f>VLOOKUP(D28,產線配置圖!$A$2:$C$38,3,0)</f>
        <v>1565</v>
      </c>
      <c r="L28" s="251">
        <f>K28/J28</f>
        <v>92.058823529411768</v>
      </c>
      <c r="M28" s="21">
        <v>14</v>
      </c>
      <c r="N28" s="36">
        <f>G28/W28*60</f>
        <v>1043.9999999999998</v>
      </c>
      <c r="O28" s="38">
        <f>N28/M28</f>
        <v>74.571428571428555</v>
      </c>
      <c r="P28" s="39">
        <f t="shared" si="10"/>
        <v>-3</v>
      </c>
      <c r="Q28" s="40">
        <f t="shared" si="11"/>
        <v>-17.487394957983213</v>
      </c>
      <c r="R28" s="198">
        <f t="shared" si="12"/>
        <v>0.81004107713372864</v>
      </c>
      <c r="S28" s="434"/>
      <c r="T28" s="291">
        <v>0.34305555555555556</v>
      </c>
      <c r="U28" s="291">
        <v>0.38819444444444445</v>
      </c>
      <c r="V28" s="42">
        <f>(T28-U27)*24*60</f>
        <v>8.999999999999968</v>
      </c>
      <c r="W28" s="43">
        <f t="shared" si="8"/>
        <v>65.000000000000014</v>
      </c>
      <c r="X28" s="54"/>
      <c r="Y28" s="54"/>
      <c r="Z28" s="399"/>
      <c r="AA28" s="400"/>
      <c r="AB28" s="34">
        <f>N28-K28</f>
        <v>-521.00000000000023</v>
      </c>
      <c r="AC28" s="194">
        <f>N28/K28</f>
        <v>0.66709265175718835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28" t="s">
        <v>146</v>
      </c>
      <c r="E29" s="89"/>
      <c r="F29" s="56">
        <f>VLOOKUP(D29,廠價表!$C$1:$E$39,3,0)</f>
        <v>55.13</v>
      </c>
      <c r="G29" s="256">
        <v>2086</v>
      </c>
      <c r="H29" s="50">
        <f t="shared" si="13"/>
        <v>115001.18000000001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14</v>
      </c>
      <c r="N29" s="36">
        <f>G29/W29*60</f>
        <v>985.51181102362182</v>
      </c>
      <c r="O29" s="38">
        <f>N29/M29</f>
        <v>70.393700787401556</v>
      </c>
      <c r="P29" s="39">
        <f t="shared" si="10"/>
        <v>-4</v>
      </c>
      <c r="Q29" s="40">
        <f t="shared" si="11"/>
        <v>-6.5507436570428865</v>
      </c>
      <c r="R29" s="198">
        <f t="shared" si="12"/>
        <v>0.91486398135251124</v>
      </c>
      <c r="S29" s="434"/>
      <c r="T29" s="41">
        <v>0.39444444444444443</v>
      </c>
      <c r="U29" s="41">
        <v>0.4826388888888889</v>
      </c>
      <c r="V29" s="42">
        <f>(T29-U28)*24*60</f>
        <v>8.999999999999968</v>
      </c>
      <c r="W29" s="43">
        <f t="shared" si="8"/>
        <v>127.00000000000003</v>
      </c>
      <c r="X29" s="54"/>
      <c r="Y29" s="54"/>
      <c r="Z29" s="442"/>
      <c r="AA29" s="443"/>
      <c r="AB29" s="275">
        <f t="shared" ref="AB29:AB30" si="14">N29-K29</f>
        <v>-399.48818897637818</v>
      </c>
      <c r="AC29" s="276">
        <f t="shared" ref="AC29:AC30" si="15">N29/K29</f>
        <v>0.71156087438528648</v>
      </c>
      <c r="AD29" s="393"/>
    </row>
    <row r="30" spans="1:30" ht="15" customHeight="1" x14ac:dyDescent="0.25">
      <c r="A30" s="431"/>
      <c r="B30" s="56" t="str">
        <f>VLOOKUP(D30,廠價表!$C$1:$E$39,2,0)</f>
        <v>熱乾麵</v>
      </c>
      <c r="C30" s="255"/>
      <c r="D30" s="28" t="s">
        <v>170</v>
      </c>
      <c r="E30" s="29"/>
      <c r="F30" s="56">
        <f>VLOOKUP(D30,廠價表!$C$1:$E$39,3,0)</f>
        <v>47.6</v>
      </c>
      <c r="G30" s="256">
        <v>902</v>
      </c>
      <c r="H30" s="257">
        <f>F30*G30</f>
        <v>42935.200000000004</v>
      </c>
      <c r="I30" s="82"/>
      <c r="J30" s="16">
        <f>VLOOKUP(D30,產線配置圖!$A$2:$C$38,2,0)</f>
        <v>18</v>
      </c>
      <c r="K30" s="14">
        <f>VLOOKUP(D30,產線配置圖!$A$2:$C$38,3,0)</f>
        <v>1636</v>
      </c>
      <c r="L30" s="251">
        <f>K30/J30</f>
        <v>90.888888888888886</v>
      </c>
      <c r="M30" s="21">
        <v>14</v>
      </c>
      <c r="N30" s="36">
        <f>G30/W30*60</f>
        <v>983.99999999999773</v>
      </c>
      <c r="O30" s="38">
        <f>N30/M30</f>
        <v>70.285714285714121</v>
      </c>
      <c r="P30" s="39">
        <f t="shared" si="10"/>
        <v>-4</v>
      </c>
      <c r="Q30" s="40">
        <f t="shared" si="11"/>
        <v>-20.603174603174764</v>
      </c>
      <c r="R30" s="198">
        <f t="shared" si="12"/>
        <v>0.77331470485504539</v>
      </c>
      <c r="S30" s="434"/>
      <c r="T30" s="41">
        <v>0.54513888888888884</v>
      </c>
      <c r="U30" s="41">
        <v>0.58333333333333337</v>
      </c>
      <c r="V30" s="42">
        <f>(T30-U29)*24*60</f>
        <v>89.999999999999915</v>
      </c>
      <c r="W30" s="43">
        <f t="shared" si="8"/>
        <v>55.000000000000128</v>
      </c>
      <c r="X30" s="54">
        <v>0.5</v>
      </c>
      <c r="Y30" s="54">
        <v>0.54166666666666663</v>
      </c>
      <c r="Z30" s="479" t="s">
        <v>212</v>
      </c>
      <c r="AA30" s="480"/>
      <c r="AB30" s="275">
        <f t="shared" si="14"/>
        <v>-652.00000000000227</v>
      </c>
      <c r="AC30" s="276">
        <f t="shared" si="15"/>
        <v>0.60146699266503534</v>
      </c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8"/>
        <v>0</v>
      </c>
      <c r="X31" s="54"/>
      <c r="Y31" s="54"/>
      <c r="Z31" s="477"/>
      <c r="AA31" s="478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3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8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3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8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8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8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8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16">AVERAGE(J27:J36)</f>
        <v>17.75</v>
      </c>
      <c r="K37" s="137">
        <f t="shared" si="16"/>
        <v>1521.5</v>
      </c>
      <c r="L37" s="140">
        <f t="shared" si="16"/>
        <v>85.806372549019613</v>
      </c>
      <c r="M37" s="137">
        <f t="shared" si="16"/>
        <v>13.75</v>
      </c>
      <c r="N37" s="137">
        <f t="shared" si="16"/>
        <v>979.12795275590474</v>
      </c>
      <c r="O37" s="140">
        <f t="shared" si="16"/>
        <v>71.178095526520664</v>
      </c>
      <c r="P37" s="141">
        <f>M37-J37</f>
        <v>-4</v>
      </c>
      <c r="Q37" s="142">
        <f>N37-K37</f>
        <v>-542.37204724409526</v>
      </c>
      <c r="R37" s="143">
        <f t="shared" ref="R37:R39" si="17">O37/L37</f>
        <v>0.82951992272902475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18">N37-K37</f>
        <v>-542.37204724409526</v>
      </c>
      <c r="AC37" s="195">
        <f t="shared" ref="AC37:AC39" si="19">N37/K37</f>
        <v>0.64352806622142933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2326</v>
      </c>
      <c r="H38" s="152">
        <f>F38*G38</f>
        <v>116090.65999999999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15</v>
      </c>
      <c r="N38" s="154">
        <f>G38/W38*60</f>
        <v>1329.1428571428567</v>
      </c>
      <c r="O38" s="155">
        <f>N38/M38</f>
        <v>88.609523809523779</v>
      </c>
      <c r="P38" s="132">
        <f>M38-J38</f>
        <v>-2</v>
      </c>
      <c r="Q38" s="133">
        <f>O38-L38</f>
        <v>-3.4492997198879891</v>
      </c>
      <c r="R38" s="156">
        <f t="shared" si="17"/>
        <v>0.96253156853795796</v>
      </c>
      <c r="S38" s="408">
        <f>R48</f>
        <v>0.90520789827136494</v>
      </c>
      <c r="T38" s="157">
        <v>0.33333333333333331</v>
      </c>
      <c r="U38" s="157">
        <v>0.40625</v>
      </c>
      <c r="V38" s="153"/>
      <c r="W38" s="158">
        <f t="shared" si="8"/>
        <v>105.00000000000003</v>
      </c>
      <c r="X38" s="155"/>
      <c r="Y38" s="159"/>
      <c r="Z38" s="427"/>
      <c r="AA38" s="427"/>
      <c r="AB38" s="160">
        <f t="shared" si="18"/>
        <v>-235.85714285714334</v>
      </c>
      <c r="AC38" s="161">
        <f t="shared" si="19"/>
        <v>0.84929256047466883</v>
      </c>
      <c r="AD38" s="388">
        <f>AC48</f>
        <v>0.77205840251932434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10" t="e">
        <f>VLOOKUP(E39,廠價表!$C$1:$E$39,2,0)</f>
        <v>#N/A</v>
      </c>
      <c r="D39" s="11" t="s">
        <v>60</v>
      </c>
      <c r="E39" s="89"/>
      <c r="F39" s="56">
        <f>VLOOKUP(D39,廠價表!$C$1:$E$39,3,0)</f>
        <v>58.17</v>
      </c>
      <c r="G39" s="102">
        <v>1228</v>
      </c>
      <c r="H39" s="64">
        <f>F39*G39</f>
        <v>71432.760000000009</v>
      </c>
      <c r="I39" s="65"/>
      <c r="J39" s="16">
        <f>VLOOKUP(D39,產線配置圖!$A$2:$C$38,2,0)</f>
        <v>16</v>
      </c>
      <c r="K39" s="14">
        <f>VLOOKUP(D39,產線配置圖!$A$2:$C$38,3,0)</f>
        <v>1429</v>
      </c>
      <c r="L39" s="17">
        <f>K39/J39</f>
        <v>89.3125</v>
      </c>
      <c r="M39" s="66">
        <v>13</v>
      </c>
      <c r="N39" s="67">
        <f t="shared" ref="N39" si="20">G39/W39*60</f>
        <v>982.40000000000032</v>
      </c>
      <c r="O39" s="68">
        <f t="shared" ref="O39" si="21">N39/M39</f>
        <v>75.569230769230799</v>
      </c>
      <c r="P39" s="39">
        <f t="shared" ref="P39" si="22">M39-J39</f>
        <v>-3</v>
      </c>
      <c r="Q39" s="40">
        <f t="shared" ref="Q39" si="23">O39-L39</f>
        <v>-13.743269230769201</v>
      </c>
      <c r="R39" s="69">
        <f t="shared" si="17"/>
        <v>0.84612154815093965</v>
      </c>
      <c r="S39" s="409"/>
      <c r="T39" s="59">
        <v>0.45833333333333331</v>
      </c>
      <c r="U39" s="59">
        <v>0.51041666666666663</v>
      </c>
      <c r="V39" s="42">
        <f t="shared" ref="V39" si="24">(T39-U38)*24*60</f>
        <v>74.999999999999972</v>
      </c>
      <c r="W39" s="70">
        <f t="shared" si="8"/>
        <v>74.999999999999972</v>
      </c>
      <c r="X39" s="58"/>
      <c r="Y39" s="60"/>
      <c r="Z39" s="428"/>
      <c r="AA39" s="475"/>
      <c r="AB39" s="292">
        <f t="shared" si="18"/>
        <v>-446.59999999999968</v>
      </c>
      <c r="AC39" s="62">
        <f t="shared" si="19"/>
        <v>0.68747375787263842</v>
      </c>
      <c r="AD39" s="389"/>
    </row>
    <row r="40" spans="1:30" s="63" customFormat="1" ht="15" customHeight="1" x14ac:dyDescent="0.25">
      <c r="A40" s="425"/>
      <c r="B40" s="56"/>
      <c r="C40" s="10"/>
      <c r="D40" s="11"/>
      <c r="E40" s="89"/>
      <c r="F40" s="56"/>
      <c r="G40" s="102"/>
      <c r="H40" s="64"/>
      <c r="I40" s="65"/>
      <c r="J40" s="16"/>
      <c r="K40" s="14"/>
      <c r="L40" s="17"/>
      <c r="M40" s="66"/>
      <c r="N40" s="67"/>
      <c r="O40" s="68"/>
      <c r="P40" s="39"/>
      <c r="Q40" s="40"/>
      <c r="R40" s="69"/>
      <c r="S40" s="409"/>
      <c r="T40" s="59"/>
      <c r="U40" s="59"/>
      <c r="V40" s="42"/>
      <c r="W40" s="70">
        <f t="shared" si="8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8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8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25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5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6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5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6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5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6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5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6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7">AVERAGE(J38:J47)</f>
        <v>16.5</v>
      </c>
      <c r="K48" s="137">
        <f t="shared" si="27"/>
        <v>1497</v>
      </c>
      <c r="L48" s="140">
        <f t="shared" si="27"/>
        <v>90.685661764705884</v>
      </c>
      <c r="M48" s="137">
        <f t="shared" si="27"/>
        <v>14</v>
      </c>
      <c r="N48" s="137">
        <f t="shared" si="27"/>
        <v>1155.7714285714285</v>
      </c>
      <c r="O48" s="140">
        <f t="shared" si="27"/>
        <v>82.089377289377296</v>
      </c>
      <c r="P48" s="164">
        <f>M48-J48</f>
        <v>-2.5</v>
      </c>
      <c r="Q48" s="165">
        <f>N48-K48</f>
        <v>-341.22857142857151</v>
      </c>
      <c r="R48" s="166">
        <f>O48/L48</f>
        <v>0.90520789827136494</v>
      </c>
      <c r="S48" s="412"/>
      <c r="T48" s="167"/>
      <c r="U48" s="167"/>
      <c r="V48" s="204"/>
      <c r="W48" s="168">
        <f t="shared" si="26"/>
        <v>0</v>
      </c>
      <c r="X48" s="169"/>
      <c r="Y48" s="169"/>
      <c r="Z48" s="401"/>
      <c r="AA48" s="401"/>
      <c r="AB48" s="170">
        <f>N48-K48</f>
        <v>-341.22857142857151</v>
      </c>
      <c r="AC48" s="199">
        <f>N48/K48</f>
        <v>0.77205840251932434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4236</v>
      </c>
      <c r="H49" s="128">
        <f t="shared" ref="H49:H57" si="28">F49*G49</f>
        <v>211672.91999999998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17</v>
      </c>
      <c r="N49" s="130">
        <f>G49/W49*60</f>
        <v>1477.6744186046515</v>
      </c>
      <c r="O49" s="131">
        <f>N49/M49</f>
        <v>86.922024623803026</v>
      </c>
      <c r="P49" s="171">
        <f>M49-J49</f>
        <v>-1</v>
      </c>
      <c r="Q49" s="115">
        <f>O49-L49</f>
        <v>-2.2419820641417232E-2</v>
      </c>
      <c r="R49" s="192">
        <f>O49/L49</f>
        <v>0.99974213624821373</v>
      </c>
      <c r="S49" s="408">
        <f>R58</f>
        <v>0.92408119322273463</v>
      </c>
      <c r="T49" s="157">
        <v>0.2902777777777778</v>
      </c>
      <c r="U49" s="157">
        <v>0.40972222222222221</v>
      </c>
      <c r="V49" s="196"/>
      <c r="W49" s="158">
        <f t="shared" si="8"/>
        <v>171.99999999999994</v>
      </c>
      <c r="X49" s="196"/>
      <c r="Y49" s="196"/>
      <c r="Z49" s="423"/>
      <c r="AA49" s="423"/>
      <c r="AB49" s="114">
        <f>N49-K49</f>
        <v>-87.325581395348536</v>
      </c>
      <c r="AC49" s="192">
        <f>N49/K49</f>
        <v>0.94420090645664634</v>
      </c>
      <c r="AD49" s="391">
        <f>AC58</f>
        <v>0.90583942520095007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2123</v>
      </c>
      <c r="H50" s="77">
        <f t="shared" si="28"/>
        <v>120735.01</v>
      </c>
      <c r="I50" s="201"/>
      <c r="J50" s="16">
        <v>18</v>
      </c>
      <c r="K50" s="14">
        <v>1600</v>
      </c>
      <c r="L50" s="17">
        <f>K50/J50</f>
        <v>88.888888888888886</v>
      </c>
      <c r="M50" s="182">
        <v>18</v>
      </c>
      <c r="N50" s="78">
        <f>G50/W50*60</f>
        <v>1447.5</v>
      </c>
      <c r="O50" s="79">
        <f>N50/M50</f>
        <v>80.416666666666671</v>
      </c>
      <c r="P50" s="18">
        <f>M50-J50</f>
        <v>0</v>
      </c>
      <c r="Q50" s="19">
        <f>O50-L50</f>
        <v>-8.4722222222222143</v>
      </c>
      <c r="R50" s="193">
        <f>O50/L50</f>
        <v>0.90468750000000009</v>
      </c>
      <c r="S50" s="409"/>
      <c r="T50" s="80">
        <v>0.41805555555555557</v>
      </c>
      <c r="U50" s="80">
        <v>0.47916666666666669</v>
      </c>
      <c r="V50" s="185">
        <f t="shared" ref="V50:V51" si="29">(T50-U49)*24*60</f>
        <v>12.000000000000037</v>
      </c>
      <c r="W50" s="81">
        <f t="shared" si="8"/>
        <v>88</v>
      </c>
      <c r="X50" s="22"/>
      <c r="Y50" s="22"/>
      <c r="Z50" s="398"/>
      <c r="AA50" s="399"/>
      <c r="AB50" s="18">
        <f>N50-K50</f>
        <v>-152.5</v>
      </c>
      <c r="AC50" s="193">
        <f>N50/K50</f>
        <v>0.90468749999999998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2620</v>
      </c>
      <c r="H51" s="77">
        <f t="shared" si="28"/>
        <v>148999.4</v>
      </c>
      <c r="I51" s="185"/>
      <c r="J51" s="16">
        <v>18</v>
      </c>
      <c r="K51" s="14">
        <v>1600</v>
      </c>
      <c r="L51" s="17">
        <f t="shared" ref="L51" si="30">K51/J51</f>
        <v>88.888888888888886</v>
      </c>
      <c r="M51" s="182">
        <v>18</v>
      </c>
      <c r="N51" s="78">
        <f t="shared" ref="N51" si="31">G51/W51*60</f>
        <v>1391.150442477875</v>
      </c>
      <c r="O51" s="79">
        <f t="shared" ref="O51" si="32">N51/M51</f>
        <v>77.286135693215272</v>
      </c>
      <c r="P51" s="18">
        <f t="shared" ref="P51" si="33">M51-J51</f>
        <v>0</v>
      </c>
      <c r="Q51" s="19">
        <f t="shared" ref="Q51" si="34">O51-L51</f>
        <v>-11.602753195673614</v>
      </c>
      <c r="R51" s="193">
        <f t="shared" ref="R51" si="35">O51/L51</f>
        <v>0.86946902654867186</v>
      </c>
      <c r="S51" s="409"/>
      <c r="T51" s="80">
        <v>0.54166666666666663</v>
      </c>
      <c r="U51" s="44">
        <v>0.62013888888888891</v>
      </c>
      <c r="V51" s="185">
        <f t="shared" si="29"/>
        <v>89.999999999999915</v>
      </c>
      <c r="W51" s="81">
        <f t="shared" si="8"/>
        <v>113.00000000000009</v>
      </c>
      <c r="X51" s="22">
        <v>0.47916666666666669</v>
      </c>
      <c r="Y51" s="22">
        <v>0.52083333333333337</v>
      </c>
      <c r="Z51" s="400"/>
      <c r="AA51" s="400"/>
      <c r="AB51" s="51">
        <f>N51-K51</f>
        <v>-208.849557522125</v>
      </c>
      <c r="AC51" s="52">
        <f>N51/K51</f>
        <v>0.86946902654867186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8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8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8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8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8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8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8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8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8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8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8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6">AVERAGE(J49:J57)</f>
        <v>18</v>
      </c>
      <c r="K58" s="121">
        <f t="shared" si="36"/>
        <v>1588.3333333333333</v>
      </c>
      <c r="L58" s="118">
        <f t="shared" si="36"/>
        <v>88.240740740740719</v>
      </c>
      <c r="M58" s="121">
        <f t="shared" si="36"/>
        <v>17.666666666666668</v>
      </c>
      <c r="N58" s="121">
        <f t="shared" si="36"/>
        <v>1438.7749536941756</v>
      </c>
      <c r="O58" s="118">
        <f t="shared" si="36"/>
        <v>81.541608994561656</v>
      </c>
      <c r="P58" s="122">
        <f>M58-J58</f>
        <v>-0.33333333333333215</v>
      </c>
      <c r="Q58" s="123">
        <f>N58-K58</f>
        <v>-149.55837963915769</v>
      </c>
      <c r="R58" s="124">
        <f t="shared" ref="R58:R60" si="37">O58/L58</f>
        <v>0.92408119322273463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8">N58-K58</f>
        <v>-149.55837963915769</v>
      </c>
      <c r="AC58" s="195">
        <f t="shared" ref="AC58:AC61" si="39">N58/K58</f>
        <v>0.90583942520095007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3451</v>
      </c>
      <c r="H59" s="109">
        <f t="shared" ref="H59:H68" si="40">F59*G59</f>
        <v>93142.489999999991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1">G59/W59*60</f>
        <v>1380.4000000000005</v>
      </c>
      <c r="O59" s="112">
        <f t="shared" ref="O59:O61" si="42">N59/M59</f>
        <v>106.18461538461543</v>
      </c>
      <c r="P59" s="114">
        <f t="shared" ref="P59:P61" si="43">M59-J59</f>
        <v>0</v>
      </c>
      <c r="Q59" s="115">
        <f t="shared" ref="Q59:Q61" si="44">O59-L59</f>
        <v>-14.19999999999996</v>
      </c>
      <c r="R59" s="192">
        <f t="shared" si="37"/>
        <v>0.8820447284345051</v>
      </c>
      <c r="S59" s="408">
        <f>R69</f>
        <v>0.86925119602238132</v>
      </c>
      <c r="T59" s="176">
        <v>0.29166666666666669</v>
      </c>
      <c r="U59" s="176">
        <v>0.39583333333333331</v>
      </c>
      <c r="V59" s="196"/>
      <c r="W59" s="110">
        <f t="shared" si="8"/>
        <v>149.99999999999994</v>
      </c>
      <c r="X59" s="196"/>
      <c r="Y59" s="196"/>
      <c r="Z59" s="400"/>
      <c r="AA59" s="400"/>
      <c r="AB59" s="240">
        <f t="shared" si="38"/>
        <v>-184.59999999999945</v>
      </c>
      <c r="AC59" s="241">
        <f t="shared" si="39"/>
        <v>0.8820447284345051</v>
      </c>
      <c r="AD59" s="391">
        <f>AC69</f>
        <v>0.86957923531499992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143</v>
      </c>
      <c r="E60" s="89"/>
      <c r="F60" s="56">
        <f>VLOOKUP(D60,廠價表!$C$1:$E$39,3,0)</f>
        <v>28.26</v>
      </c>
      <c r="G60" s="185">
        <v>1860</v>
      </c>
      <c r="H60" s="15">
        <f t="shared" si="40"/>
        <v>52563.600000000006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1"/>
        <v>1312.9411764705881</v>
      </c>
      <c r="O60" s="17">
        <f t="shared" si="42"/>
        <v>109.41176470588233</v>
      </c>
      <c r="P60" s="18">
        <f t="shared" si="43"/>
        <v>0</v>
      </c>
      <c r="Q60" s="19">
        <f t="shared" si="44"/>
        <v>-21.004901960784323</v>
      </c>
      <c r="R60" s="193">
        <f t="shared" si="37"/>
        <v>0.83894004886299556</v>
      </c>
      <c r="S60" s="419"/>
      <c r="T60" s="206">
        <v>0.40972222222222221</v>
      </c>
      <c r="U60" s="206">
        <v>0.46875</v>
      </c>
      <c r="V60" s="185">
        <f t="shared" ref="V60:V61" si="45">(T60-U59)*24*60</f>
        <v>20.000000000000007</v>
      </c>
      <c r="W60" s="93">
        <f t="shared" si="8"/>
        <v>85.000000000000014</v>
      </c>
      <c r="X60" s="201"/>
      <c r="Y60" s="201"/>
      <c r="Z60" s="400"/>
      <c r="AA60" s="400"/>
      <c r="AB60" s="242">
        <f t="shared" si="38"/>
        <v>-252.05882352941194</v>
      </c>
      <c r="AC60" s="243">
        <f t="shared" si="39"/>
        <v>0.83894004886299556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157</v>
      </c>
      <c r="E61" s="89"/>
      <c r="F61" s="56">
        <f>VLOOKUP(D61,廠價表!$C$1:$E$39,3,0)</f>
        <v>28.47</v>
      </c>
      <c r="G61" s="185">
        <v>1042</v>
      </c>
      <c r="H61" s="15">
        <f t="shared" si="40"/>
        <v>29665.739999999998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6">K61/J61</f>
        <v>130.41666666666666</v>
      </c>
      <c r="M61" s="188">
        <v>12</v>
      </c>
      <c r="N61" s="14">
        <f t="shared" si="41"/>
        <v>1389.3333333333358</v>
      </c>
      <c r="O61" s="17">
        <f t="shared" si="42"/>
        <v>115.77777777777798</v>
      </c>
      <c r="P61" s="18">
        <f t="shared" si="43"/>
        <v>0</v>
      </c>
      <c r="Q61" s="19">
        <f t="shared" si="44"/>
        <v>-14.638888888888673</v>
      </c>
      <c r="R61" s="193">
        <f>O61/L61</f>
        <v>0.887752928647499</v>
      </c>
      <c r="S61" s="409"/>
      <c r="T61" s="20">
        <v>0.4826388888888889</v>
      </c>
      <c r="U61" s="20">
        <v>0.51388888888888884</v>
      </c>
      <c r="V61" s="185">
        <f t="shared" si="45"/>
        <v>20.000000000000007</v>
      </c>
      <c r="W61" s="91">
        <f t="shared" si="8"/>
        <v>44.999999999999922</v>
      </c>
      <c r="X61" s="22"/>
      <c r="Y61" s="22"/>
      <c r="Z61" s="400"/>
      <c r="AA61" s="400"/>
      <c r="AB61" s="51">
        <f t="shared" si="38"/>
        <v>-175.66666666666424</v>
      </c>
      <c r="AC61" s="52">
        <f t="shared" si="39"/>
        <v>0.88775292864749888</v>
      </c>
      <c r="AD61" s="392"/>
    </row>
    <row r="62" spans="1:30" ht="15" customHeight="1" x14ac:dyDescent="0.25">
      <c r="A62" s="417"/>
      <c r="B62" s="56"/>
      <c r="C62" s="10"/>
      <c r="D62" s="11"/>
      <c r="E62" s="89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8"/>
        <v>0</v>
      </c>
      <c r="X62" s="22"/>
      <c r="Y62" s="22"/>
      <c r="Z62" s="400"/>
      <c r="AA62" s="400"/>
      <c r="AB62" s="18"/>
      <c r="AC62" s="193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8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0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8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0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8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0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8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0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8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0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8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7">AVERAGE(J59:J68)</f>
        <v>12.333333333333334</v>
      </c>
      <c r="K69" s="173">
        <f t="shared" si="47"/>
        <v>1565</v>
      </c>
      <c r="L69" s="178">
        <f t="shared" si="47"/>
        <v>127.07264957264958</v>
      </c>
      <c r="M69" s="173">
        <f t="shared" si="47"/>
        <v>12.333333333333334</v>
      </c>
      <c r="N69" s="173">
        <f t="shared" si="47"/>
        <v>1360.8915032679749</v>
      </c>
      <c r="O69" s="178">
        <f t="shared" si="47"/>
        <v>110.45805262275859</v>
      </c>
      <c r="P69" s="179">
        <f>M69-J69</f>
        <v>0</v>
      </c>
      <c r="Q69" s="165">
        <f>N69-K69</f>
        <v>-204.10849673202506</v>
      </c>
      <c r="R69" s="124">
        <f>O69/L69</f>
        <v>0.86925119602238132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-204.10849673202506</v>
      </c>
      <c r="AC69" s="195">
        <f>N69/K69</f>
        <v>0.86957923531499992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48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49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8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49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8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49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8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49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8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9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8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9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8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9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8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9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8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218" priority="1" operator="greaterThan">
      <formula>0</formula>
    </cfRule>
  </conditionalFormatting>
  <conditionalFormatting sqref="Q5:Q79 AB5:AB79">
    <cfRule type="cellIs" dxfId="217" priority="4" operator="lessThan">
      <formula>0</formula>
    </cfRule>
  </conditionalFormatting>
  <conditionalFormatting sqref="R5:R79 AC5:AC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D59:AD62 S69:S76 AD69:AD76">
    <cfRule type="cellIs" dxfId="214" priority="7" operator="lessThan">
      <formula>0.8</formula>
    </cfRule>
  </conditionalFormatting>
  <conditionalFormatting sqref="S19:S25 AD19:AD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D5:AD8 S15:S16 AD15:AD16 AD49 AD79">
    <cfRule type="cellIs" dxfId="211" priority="9" operator="lessThan">
      <formula>0.8</formula>
    </cfRule>
  </conditionalFormatting>
  <conditionalFormatting sqref="AD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B221BB-66B2-46C9-8C82-6757BA3198D7}">
          <x14:formula1>
            <xm:f>廠價表!$C$2:$C$37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88AF-2A4D-4734-9EE3-55DAAD9636C3}">
  <sheetPr>
    <pageSetUpPr fitToPage="1"/>
  </sheetPr>
  <dimension ref="B1:O22"/>
  <sheetViews>
    <sheetView zoomScale="70" zoomScaleNormal="70" workbookViewId="0">
      <selection activeCell="N22" sqref="N22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45941</v>
      </c>
      <c r="E3" s="383"/>
      <c r="F3" s="214" t="s">
        <v>76</v>
      </c>
      <c r="G3" s="384">
        <f>'1011'!E1</f>
        <v>40125</v>
      </c>
      <c r="H3" s="384"/>
      <c r="I3" s="214" t="s">
        <v>77</v>
      </c>
      <c r="J3" s="385">
        <f>'1011'!G1</f>
        <v>1958221.9999999998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117.05727283791008</v>
      </c>
      <c r="G6" s="362"/>
      <c r="H6" s="363">
        <f>AVERAGE(D13:H13)</f>
        <v>115.05419749096218</v>
      </c>
      <c r="I6" s="363"/>
      <c r="J6" s="363">
        <f>AVERAGE(I13)</f>
        <v>127.07264957264958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106.85639209281287</v>
      </c>
      <c r="G7" s="380"/>
      <c r="H7" s="381">
        <f>AVERAGE(D14:H14)</f>
        <v>104.7278323865373</v>
      </c>
      <c r="I7" s="381"/>
      <c r="J7" s="381">
        <f>AVERAGE(I14)</f>
        <v>117.49919062419066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0.91183414070122737</v>
      </c>
      <c r="G8" s="360"/>
      <c r="H8" s="360">
        <f>AVERAGE(D15:H15)</f>
        <v>0.90926866276405161</v>
      </c>
      <c r="I8" s="360"/>
      <c r="J8" s="360">
        <f>AVERAGE(I15)</f>
        <v>0.92466153038710652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VALUE('1011'!L15)</f>
        <v>147.68315018315016</v>
      </c>
      <c r="E13" s="227">
        <f>VALUE('1011'!L26)</f>
        <v>160.25641025641025</v>
      </c>
      <c r="F13" s="227">
        <f>VALUE('1011'!L37)</f>
        <v>87.031862745098039</v>
      </c>
      <c r="G13" s="227">
        <f>VALUE('1011'!L48)</f>
        <v>92.058823529411768</v>
      </c>
      <c r="H13" s="227">
        <f>VALUE('1011'!L58)</f>
        <v>88.240740740740719</v>
      </c>
      <c r="I13" s="227">
        <f>VALUE('1011'!L69)</f>
        <v>127.07264957264958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VALUE('1011'!O15)</f>
        <v>134.29345119184168</v>
      </c>
      <c r="E14" s="227">
        <f>VALUE('1011'!O26)</f>
        <v>146.1486616831445</v>
      </c>
      <c r="F14" s="227">
        <f>VALUE('1011'!O37)</f>
        <v>69.046485658978526</v>
      </c>
      <c r="G14" s="227">
        <f>VALUE('1011'!O48)</f>
        <v>89.127272727272711</v>
      </c>
      <c r="H14" s="227">
        <f>VALUE('1011'!O58)</f>
        <v>85.023290671449118</v>
      </c>
      <c r="I14" s="227">
        <f>VALUE('1011'!O69)</f>
        <v>117.49919062419066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0.90933495815397247</v>
      </c>
      <c r="E15" s="248">
        <f t="shared" ref="E15:I15" si="0">E14/E13</f>
        <v>0.91196764890282167</v>
      </c>
      <c r="F15" s="248">
        <f t="shared" si="0"/>
        <v>0.79334721194241564</v>
      </c>
      <c r="G15" s="248">
        <f t="shared" si="0"/>
        <v>0.96815567818762682</v>
      </c>
      <c r="H15" s="248">
        <f t="shared" si="0"/>
        <v>0.96353781663342153</v>
      </c>
      <c r="I15" s="248">
        <f t="shared" si="0"/>
        <v>0.92466153038710652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'1011'!T5</f>
        <v>0.2902777777777778</v>
      </c>
      <c r="E16" s="98">
        <f>'1011'!T16</f>
        <v>0.29097222222222224</v>
      </c>
      <c r="F16" s="98">
        <f>'1011'!T27</f>
        <v>0.2951388888888889</v>
      </c>
      <c r="G16" s="98">
        <f>'1011'!T38</f>
        <v>0.33333333333333331</v>
      </c>
      <c r="H16" s="98">
        <f>'1011'!T49</f>
        <v>0.28472222222222221</v>
      </c>
      <c r="I16" s="98">
        <f>'1011'!T59</f>
        <v>0.2951388888888889</v>
      </c>
      <c r="J16" s="293"/>
    </row>
    <row r="17" spans="2:10" ht="17.25" customHeight="1" x14ac:dyDescent="0.25">
      <c r="B17" s="492"/>
      <c r="C17" s="222" t="s">
        <v>104</v>
      </c>
      <c r="D17" s="98">
        <v>0.5131944444444444</v>
      </c>
      <c r="E17" s="41">
        <v>0.47569444444444442</v>
      </c>
      <c r="F17" s="41">
        <v>0.625</v>
      </c>
      <c r="G17" s="59">
        <v>0.40972222222222221</v>
      </c>
      <c r="H17" s="44">
        <v>0.625</v>
      </c>
      <c r="I17" s="20">
        <v>0.50347222222222221</v>
      </c>
      <c r="J17" s="294"/>
    </row>
    <row r="18" spans="2:10" ht="17.25" customHeight="1" x14ac:dyDescent="0.25">
      <c r="B18" s="481" t="s">
        <v>105</v>
      </c>
      <c r="C18" s="355"/>
      <c r="D18" s="229">
        <f>VALUE('1011'!M15)</f>
        <v>13.333333333333334</v>
      </c>
      <c r="E18" s="229">
        <f>VALUE('1011'!M26)</f>
        <v>12.5</v>
      </c>
      <c r="F18" s="229">
        <f>VALUE('1011'!M37)</f>
        <v>15.5</v>
      </c>
      <c r="G18" s="229">
        <f>VALUE('1011'!M48)</f>
        <v>15</v>
      </c>
      <c r="H18" s="229">
        <f>VALUE('1011'!M58)</f>
        <v>18</v>
      </c>
      <c r="I18" s="229">
        <f>VALUE('1011'!M69)</f>
        <v>12.333333333333334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38CA-9527-416F-8D7C-A8F5B6D0DCE1}">
  <sheetPr>
    <tabColor theme="9" tint="0.79998168889431442"/>
    <pageSetUpPr fitToPage="1"/>
  </sheetPr>
  <dimension ref="A1:AF92"/>
  <sheetViews>
    <sheetView zoomScale="69" zoomScaleNormal="69" workbookViewId="0">
      <pane xSplit="5" ySplit="4" topLeftCell="F20" activePane="bottomRight" state="frozen"/>
      <selection activeCell="U8" sqref="U8"/>
      <selection pane="topRight" activeCell="U8" sqref="U8"/>
      <selection pane="bottomLeft" activeCell="U8" sqref="U8"/>
      <selection pane="bottomRight" activeCell="U7" sqref="U7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40125</v>
      </c>
      <c r="F1" s="185" t="s">
        <v>9</v>
      </c>
      <c r="G1" s="4">
        <f>SUM(H5:H79)</f>
        <v>1958221.9999999998</v>
      </c>
      <c r="H1" s="183" t="s">
        <v>10</v>
      </c>
      <c r="I1" s="5">
        <f>M15+M26+M48+M58+M69+M79+M37</f>
        <v>86.666666666666671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213</v>
      </c>
      <c r="B2" s="461"/>
      <c r="C2" s="184"/>
      <c r="D2" s="184" t="s">
        <v>1</v>
      </c>
      <c r="E2" s="7">
        <f>AVERAGE(O15,O26,O37,O48,O58,O69,O79)</f>
        <v>106.85639209281287</v>
      </c>
      <c r="F2" s="8" t="s">
        <v>2</v>
      </c>
      <c r="G2" s="9">
        <f>G1/E1</f>
        <v>48.803040498442364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1590</v>
      </c>
      <c r="H5" s="109">
        <f>F5*G5</f>
        <v>90963.9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1673.6842105263172</v>
      </c>
      <c r="O5" s="112">
        <f>N5/M5</f>
        <v>128.74493927125516</v>
      </c>
      <c r="P5" s="114">
        <f>M5-J5</f>
        <v>0</v>
      </c>
      <c r="Q5" s="115">
        <f>O5-L5</f>
        <v>-25.101214574898677</v>
      </c>
      <c r="R5" s="192">
        <f>O5/L5</f>
        <v>0.83684210526315861</v>
      </c>
      <c r="S5" s="408">
        <f>R15</f>
        <v>0.90933495815397247</v>
      </c>
      <c r="T5" s="97">
        <v>0.2902777777777778</v>
      </c>
      <c r="U5" s="97">
        <v>0.3298611111111111</v>
      </c>
      <c r="V5" s="202"/>
      <c r="W5" s="110">
        <f t="shared" ref="W5:W14" si="0">(U5-T5)*24*60</f>
        <v>56.999999999999957</v>
      </c>
      <c r="X5" s="196"/>
      <c r="Y5" s="196"/>
      <c r="Z5" s="423"/>
      <c r="AA5" s="423"/>
      <c r="AB5" s="114">
        <f>N5-K5</f>
        <v>-326.3157894736828</v>
      </c>
      <c r="AC5" s="192">
        <f>N5/K5</f>
        <v>0.83684210526315861</v>
      </c>
      <c r="AD5" s="391">
        <f>AC15</f>
        <v>0.91056709559585669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2494</v>
      </c>
      <c r="H6" s="15">
        <f t="shared" ref="H6:H14" si="1">F6*G6</f>
        <v>142681.74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1824.8780487804872</v>
      </c>
      <c r="O6" s="17">
        <f>N6/M6</f>
        <v>130.3484320557491</v>
      </c>
      <c r="P6" s="18">
        <f>M6-J6</f>
        <v>0</v>
      </c>
      <c r="Q6" s="19">
        <f>O6-L6</f>
        <v>-5.0087108013937609</v>
      </c>
      <c r="R6" s="193">
        <f>O6/L6</f>
        <v>0.96299633181028355</v>
      </c>
      <c r="S6" s="409"/>
      <c r="T6" s="98">
        <v>0.33541666666666664</v>
      </c>
      <c r="U6" s="98">
        <v>0.3923611111111111</v>
      </c>
      <c r="V6" s="185">
        <f>(T6-U5)*24*60</f>
        <v>7.9999999999999716</v>
      </c>
      <c r="W6" s="190">
        <f t="shared" si="0"/>
        <v>82.000000000000028</v>
      </c>
      <c r="X6" s="22"/>
      <c r="Y6" s="22"/>
      <c r="Z6" s="446"/>
      <c r="AA6" s="446"/>
      <c r="AB6" s="18">
        <f>N6-K6</f>
        <v>-70.121951219512766</v>
      </c>
      <c r="AC6" s="193">
        <f>N6/K6</f>
        <v>0.96299633181028355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4860</v>
      </c>
      <c r="H7" s="15">
        <f t="shared" si="1"/>
        <v>238820.4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1869.2307692307702</v>
      </c>
      <c r="O7" s="17">
        <f>N7/M7</f>
        <v>143.78698224852079</v>
      </c>
      <c r="P7" s="18">
        <f>M7-J7</f>
        <v>0</v>
      </c>
      <c r="Q7" s="19">
        <f>O7-L7</f>
        <v>-10.059171597633053</v>
      </c>
      <c r="R7" s="193">
        <f>O7/L7</f>
        <v>0.93461538461538518</v>
      </c>
      <c r="S7" s="409"/>
      <c r="T7" s="98">
        <v>0.40486111111111112</v>
      </c>
      <c r="U7" s="98">
        <v>0.5131944444444444</v>
      </c>
      <c r="V7" s="185">
        <f>(T7-U6)*24*60</f>
        <v>18.000000000000014</v>
      </c>
      <c r="W7" s="190">
        <f t="shared" si="0"/>
        <v>155.99999999999991</v>
      </c>
      <c r="X7" s="22"/>
      <c r="Y7" s="22"/>
      <c r="Z7" s="400"/>
      <c r="AA7" s="400"/>
      <c r="AB7" s="18">
        <f>N7-K7</f>
        <v>-130.76923076922981</v>
      </c>
      <c r="AC7" s="193">
        <f>N7/K7</f>
        <v>0.93461538461538507</v>
      </c>
      <c r="AD7" s="392"/>
    </row>
    <row r="8" spans="1:30" ht="15" customHeight="1" x14ac:dyDescent="0.25">
      <c r="A8" s="465"/>
      <c r="B8" s="56"/>
      <c r="C8" s="23"/>
      <c r="D8" s="11"/>
      <c r="E8" s="12"/>
      <c r="F8" s="56"/>
      <c r="G8" s="25"/>
      <c r="H8" s="15"/>
      <c r="I8" s="190"/>
      <c r="J8" s="16"/>
      <c r="K8" s="14"/>
      <c r="L8" s="17"/>
      <c r="M8" s="182"/>
      <c r="N8" s="14"/>
      <c r="O8" s="17"/>
      <c r="P8" s="18"/>
      <c r="Q8" s="19"/>
      <c r="R8" s="193"/>
      <c r="S8" s="409"/>
      <c r="T8" s="80"/>
      <c r="U8" s="80"/>
      <c r="V8" s="185"/>
      <c r="W8" s="190">
        <f t="shared" si="0"/>
        <v>0</v>
      </c>
      <c r="X8" s="22"/>
      <c r="Y8" s="22"/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67"/>
      <c r="H9" s="77"/>
      <c r="I9" s="185"/>
      <c r="J9" s="16"/>
      <c r="K9" s="14"/>
      <c r="L9" s="17"/>
      <c r="M9" s="188"/>
      <c r="N9" s="78"/>
      <c r="O9" s="79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/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13.333333333333334</v>
      </c>
      <c r="K15" s="121">
        <f t="shared" si="2"/>
        <v>1965</v>
      </c>
      <c r="L15" s="118">
        <f t="shared" si="2"/>
        <v>147.68315018315016</v>
      </c>
      <c r="M15" s="121">
        <f t="shared" si="2"/>
        <v>13.333333333333334</v>
      </c>
      <c r="N15" s="121">
        <f t="shared" si="2"/>
        <v>1789.2643428458584</v>
      </c>
      <c r="O15" s="118">
        <f t="shared" si="2"/>
        <v>134.29345119184168</v>
      </c>
      <c r="P15" s="122">
        <f t="shared" ref="P15:P17" si="3">M15-J15</f>
        <v>0</v>
      </c>
      <c r="Q15" s="123">
        <f t="shared" ref="Q15:Q17" si="4">O15-L15</f>
        <v>-13.389698991308478</v>
      </c>
      <c r="R15" s="124">
        <f t="shared" ref="R15:R17" si="5">O15/L15</f>
        <v>0.90933495815397247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-175.73565715414156</v>
      </c>
      <c r="AC15" s="195">
        <f>N15/K15</f>
        <v>0.91056709559585669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1669</v>
      </c>
      <c r="H16" s="128">
        <f t="shared" ref="H16:H25" si="6">F16*G16</f>
        <v>95483.49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1820.7272727272739</v>
      </c>
      <c r="O16" s="131">
        <f>N16/M16</f>
        <v>140.05594405594414</v>
      </c>
      <c r="P16" s="132">
        <f t="shared" si="3"/>
        <v>0</v>
      </c>
      <c r="Q16" s="133">
        <f t="shared" si="4"/>
        <v>-13.790209790209701</v>
      </c>
      <c r="R16" s="197">
        <f t="shared" si="5"/>
        <v>0.91036363636363693</v>
      </c>
      <c r="S16" s="433">
        <f>R26</f>
        <v>0.91196764890282167</v>
      </c>
      <c r="T16" s="288">
        <v>0.29097222222222224</v>
      </c>
      <c r="U16" s="288">
        <v>0.32916666666666666</v>
      </c>
      <c r="V16" s="129"/>
      <c r="W16" s="134">
        <f t="shared" ref="W16:W68" si="7">(U16-T16)*24*60</f>
        <v>54.999999999999964</v>
      </c>
      <c r="X16" s="131"/>
      <c r="Y16" s="131"/>
      <c r="Z16" s="423"/>
      <c r="AA16" s="423"/>
      <c r="AB16" s="114">
        <f>N16-K16</f>
        <v>-179.27272727272612</v>
      </c>
      <c r="AC16" s="192">
        <f>N16/K16</f>
        <v>0.91036363636363693</v>
      </c>
      <c r="AD16" s="391">
        <f>AC26</f>
        <v>0.91190595611285308</v>
      </c>
    </row>
    <row r="17" spans="1:30" ht="15" customHeight="1" x14ac:dyDescent="0.25">
      <c r="A17" s="439"/>
      <c r="B17" s="56" t="s">
        <v>63</v>
      </c>
      <c r="C17" s="10"/>
      <c r="D17" s="11" t="s">
        <v>136</v>
      </c>
      <c r="E17" s="89"/>
      <c r="F17" s="56">
        <f>VLOOKUP(D17,廠價表!$C$1:$E$39,3,0)</f>
        <v>50.39</v>
      </c>
      <c r="G17" s="99">
        <v>4415</v>
      </c>
      <c r="H17" s="15">
        <f t="shared" si="6"/>
        <v>222471.85</v>
      </c>
      <c r="I17" s="185"/>
      <c r="J17" s="16">
        <f>VLOOKUP(D17,產線配置圖!$A$2:$C$38,2,0)</f>
        <v>12</v>
      </c>
      <c r="K17" s="14">
        <f>VLOOKUP(D17,產線配置圖!$A$2:$C$38,3,0)</f>
        <v>2000</v>
      </c>
      <c r="L17" s="17">
        <f>K17/J17</f>
        <v>166.66666666666666</v>
      </c>
      <c r="M17" s="37">
        <v>12</v>
      </c>
      <c r="N17" s="36">
        <f>G17/W17*60</f>
        <v>1826.8965517241384</v>
      </c>
      <c r="O17" s="38">
        <f>N17/M17</f>
        <v>152.24137931034485</v>
      </c>
      <c r="P17" s="39">
        <f t="shared" si="3"/>
        <v>0</v>
      </c>
      <c r="Q17" s="40">
        <f t="shared" si="4"/>
        <v>-14.425287356321803</v>
      </c>
      <c r="R17" s="198">
        <f t="shared" si="5"/>
        <v>0.91344827586206923</v>
      </c>
      <c r="S17" s="434"/>
      <c r="T17" s="41">
        <v>0.375</v>
      </c>
      <c r="U17" s="41">
        <v>0.47569444444444442</v>
      </c>
      <c r="V17" s="185">
        <f>(T17-U16)*24*60</f>
        <v>66</v>
      </c>
      <c r="W17" s="43">
        <f t="shared" si="7"/>
        <v>144.99999999999997</v>
      </c>
      <c r="X17" s="44"/>
      <c r="Y17" s="44"/>
      <c r="Z17" s="399"/>
      <c r="AA17" s="400"/>
      <c r="AB17" s="18">
        <f>N17-K17</f>
        <v>-173.10344827586164</v>
      </c>
      <c r="AC17" s="193">
        <f>N17/K17</f>
        <v>0.91344827586206923</v>
      </c>
      <c r="AD17" s="392"/>
    </row>
    <row r="18" spans="1:30" ht="15" customHeight="1" x14ac:dyDescent="0.25">
      <c r="A18" s="439"/>
      <c r="B18" s="56"/>
      <c r="C18" s="10"/>
      <c r="D18" s="11"/>
      <c r="E18" s="89"/>
      <c r="F18" s="56"/>
      <c r="G18" s="99"/>
      <c r="H18" s="15"/>
      <c r="I18" s="42"/>
      <c r="J18" s="16"/>
      <c r="K18" s="14"/>
      <c r="L18" s="17"/>
      <c r="M18" s="37"/>
      <c r="N18" s="36"/>
      <c r="O18" s="38"/>
      <c r="P18" s="39"/>
      <c r="Q18" s="40"/>
      <c r="R18" s="198"/>
      <c r="S18" s="434"/>
      <c r="T18" s="41"/>
      <c r="U18" s="41"/>
      <c r="V18" s="185"/>
      <c r="W18" s="43">
        <f t="shared" si="7"/>
        <v>0</v>
      </c>
      <c r="X18" s="22"/>
      <c r="Y18" s="22"/>
      <c r="Z18" s="399"/>
      <c r="AA18" s="400"/>
      <c r="AB18" s="18">
        <f>N18-K18</f>
        <v>0</v>
      </c>
      <c r="AC18" s="193" t="e">
        <f>N18/K18</f>
        <v>#DIV/0!</v>
      </c>
      <c r="AD18" s="392"/>
    </row>
    <row r="19" spans="1:30" ht="15" customHeight="1" x14ac:dyDescent="0.25">
      <c r="A19" s="439"/>
      <c r="B19" s="56"/>
      <c r="C19" s="23"/>
      <c r="D19" s="11"/>
      <c r="E19" s="12"/>
      <c r="F19" s="56"/>
      <c r="G19" s="99"/>
      <c r="H19" s="15"/>
      <c r="I19" s="42"/>
      <c r="J19" s="16"/>
      <c r="K19" s="14"/>
      <c r="L19" s="17"/>
      <c r="M19" s="37"/>
      <c r="N19" s="36"/>
      <c r="O19" s="38"/>
      <c r="P19" s="39"/>
      <c r="Q19" s="40"/>
      <c r="R19" s="198"/>
      <c r="S19" s="434"/>
      <c r="T19" s="41"/>
      <c r="U19" s="41"/>
      <c r="V19" s="185"/>
      <c r="W19" s="43">
        <f t="shared" si="7"/>
        <v>0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8">AVERAGE(J16:J25)</f>
        <v>12.5</v>
      </c>
      <c r="K26" s="137">
        <f t="shared" si="8"/>
        <v>2000</v>
      </c>
      <c r="L26" s="140">
        <f t="shared" si="8"/>
        <v>160.25641025641025</v>
      </c>
      <c r="M26" s="137">
        <f t="shared" si="8"/>
        <v>12.5</v>
      </c>
      <c r="N26" s="137">
        <f t="shared" si="8"/>
        <v>1823.8119122257062</v>
      </c>
      <c r="O26" s="140">
        <f t="shared" si="8"/>
        <v>146.1486616831445</v>
      </c>
      <c r="P26" s="141">
        <f t="shared" ref="P26:P30" si="9">M26-J26</f>
        <v>0</v>
      </c>
      <c r="Q26" s="142">
        <f t="shared" ref="Q26:Q30" si="10">O26-L26</f>
        <v>-14.107748573265752</v>
      </c>
      <c r="R26" s="143">
        <f t="shared" ref="R26:R30" si="11">O26/L26</f>
        <v>0.91196764890282167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-176.18808777429376</v>
      </c>
      <c r="AC26" s="195">
        <f>N26/K26</f>
        <v>0.91190595611285308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2267</v>
      </c>
      <c r="H27" s="128">
        <f t="shared" ref="H27:H36" si="12">F27*G27</f>
        <v>124979.71</v>
      </c>
      <c r="I27" s="129"/>
      <c r="J27" s="111">
        <f>VLOOKUP(D27,產線配置圖!$A$2:$C$38,2,0)</f>
        <v>18</v>
      </c>
      <c r="K27" s="252">
        <f>VLOOKUP(D27,產線配置圖!$A$2:$C$38,3,0)</f>
        <v>1385</v>
      </c>
      <c r="L27" s="112">
        <f>K27/J27</f>
        <v>76.944444444444443</v>
      </c>
      <c r="M27" s="147">
        <v>14</v>
      </c>
      <c r="N27" s="130">
        <f>G27/W27*60</f>
        <v>971.57142857142878</v>
      </c>
      <c r="O27" s="131">
        <f>N27/M27</f>
        <v>69.397959183673478</v>
      </c>
      <c r="P27" s="132">
        <f t="shared" si="9"/>
        <v>-4</v>
      </c>
      <c r="Q27" s="133">
        <f t="shared" si="10"/>
        <v>-7.5464852607709645</v>
      </c>
      <c r="R27" s="197">
        <f t="shared" si="11"/>
        <v>0.90192293523907774</v>
      </c>
      <c r="S27" s="433">
        <f>R37</f>
        <v>0.79334721194241564</v>
      </c>
      <c r="T27" s="97">
        <v>0.2951388888888889</v>
      </c>
      <c r="U27" s="97">
        <v>0.3923611111111111</v>
      </c>
      <c r="V27" s="129"/>
      <c r="W27" s="134">
        <f t="shared" si="7"/>
        <v>139.99999999999997</v>
      </c>
      <c r="X27" s="129"/>
      <c r="Y27" s="129" t="s">
        <v>158</v>
      </c>
      <c r="Z27" s="414"/>
      <c r="AA27" s="423"/>
      <c r="AB27" s="114">
        <f>N27-K27</f>
        <v>-413.42857142857122</v>
      </c>
      <c r="AC27" s="148">
        <f>N27/K27</f>
        <v>0.70149561629706048</v>
      </c>
      <c r="AD27" s="391">
        <f>AC37</f>
        <v>0.70159676235025581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168</v>
      </c>
      <c r="E28" s="89"/>
      <c r="F28" s="56">
        <f>VLOOKUP(D28,廠價表!$C$1:$E$39,3,0)</f>
        <v>57.21</v>
      </c>
      <c r="G28" s="53">
        <v>1418</v>
      </c>
      <c r="H28" s="50">
        <f t="shared" si="12"/>
        <v>81123.78</v>
      </c>
      <c r="I28" s="42"/>
      <c r="J28" s="16">
        <f>VLOOKUP(D28,產線配置圖!$A$2:$C$38,2,0)</f>
        <v>17</v>
      </c>
      <c r="K28" s="14">
        <f>VLOOKUP(D28,產線配置圖!$A$2:$C$38,3,0)</f>
        <v>1565</v>
      </c>
      <c r="L28" s="251">
        <f>K28/J28</f>
        <v>92.058823529411768</v>
      </c>
      <c r="M28" s="21">
        <v>15</v>
      </c>
      <c r="N28" s="36">
        <f>G28/W28*60</f>
        <v>1104.9350649350654</v>
      </c>
      <c r="O28" s="38">
        <f>N28/M28</f>
        <v>73.662337662337691</v>
      </c>
      <c r="P28" s="39">
        <f t="shared" si="9"/>
        <v>-2</v>
      </c>
      <c r="Q28" s="40">
        <f t="shared" si="10"/>
        <v>-18.396485867074077</v>
      </c>
      <c r="R28" s="198">
        <f t="shared" si="11"/>
        <v>0.80016596821708674</v>
      </c>
      <c r="S28" s="434"/>
      <c r="T28" s="291">
        <v>0.40277777777777779</v>
      </c>
      <c r="U28" s="291">
        <v>0.45624999999999999</v>
      </c>
      <c r="V28" s="42">
        <f>(T28-U27)*24*60</f>
        <v>15.000000000000027</v>
      </c>
      <c r="W28" s="43">
        <f t="shared" si="7"/>
        <v>76.999999999999972</v>
      </c>
      <c r="X28" s="54"/>
      <c r="Y28" s="54"/>
      <c r="Z28" s="399" t="s">
        <v>214</v>
      </c>
      <c r="AA28" s="400"/>
      <c r="AB28" s="34">
        <f>N28-K28</f>
        <v>-460.06493506493462</v>
      </c>
      <c r="AC28" s="194">
        <f>N28/K28</f>
        <v>0.70602879548566477</v>
      </c>
      <c r="AD28" s="392"/>
    </row>
    <row r="29" spans="1:30" ht="15" customHeight="1" x14ac:dyDescent="0.25">
      <c r="A29" s="431"/>
      <c r="B29" s="56" t="str">
        <f>VLOOKUP(D29,廠價表!$C$1:$E$39,2,0)</f>
        <v>熱乾麵</v>
      </c>
      <c r="C29" s="10"/>
      <c r="D29" s="28" t="s">
        <v>170</v>
      </c>
      <c r="E29" s="89"/>
      <c r="F29" s="56">
        <f>VLOOKUP(D29,廠價表!$C$1:$E$39,3,0)</f>
        <v>47.6</v>
      </c>
      <c r="G29" s="256">
        <v>1097</v>
      </c>
      <c r="H29" s="50">
        <f t="shared" si="12"/>
        <v>52217.200000000004</v>
      </c>
      <c r="I29" s="42"/>
      <c r="J29" s="16">
        <f>VLOOKUP(D29,產線配置圖!$A$2:$C$38,2,0)</f>
        <v>18</v>
      </c>
      <c r="K29" s="14">
        <f>VLOOKUP(D29,產線配置圖!$A$2:$C$38,3,0)</f>
        <v>1636</v>
      </c>
      <c r="L29" s="251">
        <f>K29/J29</f>
        <v>90.888888888888886</v>
      </c>
      <c r="M29" s="21">
        <v>16</v>
      </c>
      <c r="N29" s="36">
        <f>G29/W29*60</f>
        <v>1115.5932203389809</v>
      </c>
      <c r="O29" s="38">
        <f>N29/M29</f>
        <v>69.724576271186308</v>
      </c>
      <c r="P29" s="39">
        <f t="shared" si="9"/>
        <v>-2</v>
      </c>
      <c r="Q29" s="40">
        <f t="shared" si="10"/>
        <v>-21.164312617702578</v>
      </c>
      <c r="R29" s="198">
        <f t="shared" si="11"/>
        <v>0.76714081471965379</v>
      </c>
      <c r="S29" s="434"/>
      <c r="T29" s="41">
        <v>0.54166666666666663</v>
      </c>
      <c r="U29" s="41">
        <v>0.58263888888888893</v>
      </c>
      <c r="V29" s="42">
        <f>(T29-U28)*24*60</f>
        <v>122.99999999999996</v>
      </c>
      <c r="W29" s="43">
        <f t="shared" si="7"/>
        <v>59.000000000000114</v>
      </c>
      <c r="X29" s="54">
        <v>0.47916666666666669</v>
      </c>
      <c r="Y29" s="54">
        <v>0.52083333333333337</v>
      </c>
      <c r="Z29" s="399" t="s">
        <v>193</v>
      </c>
      <c r="AA29" s="398"/>
      <c r="AB29" s="275">
        <f t="shared" ref="AB29:AB30" si="13">N29-K29</f>
        <v>-520.40677966101907</v>
      </c>
      <c r="AC29" s="276">
        <f t="shared" ref="AC29:AC30" si="14">N29/K29</f>
        <v>0.68190294641746996</v>
      </c>
      <c r="AD29" s="393"/>
    </row>
    <row r="30" spans="1:30" ht="15" customHeight="1" x14ac:dyDescent="0.25">
      <c r="A30" s="431"/>
      <c r="B30" s="56" t="str">
        <f>VLOOKUP(D30,廠價表!$C$1:$E$39,2,0)</f>
        <v>義大利麵</v>
      </c>
      <c r="C30" s="255"/>
      <c r="D30" s="11" t="s">
        <v>173</v>
      </c>
      <c r="E30" s="29"/>
      <c r="F30" s="56">
        <f>VLOOKUP(D30,廠價表!$C$1:$E$39,3,0)</f>
        <v>56.87</v>
      </c>
      <c r="G30" s="256">
        <v>988</v>
      </c>
      <c r="H30" s="257">
        <f>F30*G30</f>
        <v>56187.56</v>
      </c>
      <c r="I30" s="82"/>
      <c r="J30" s="16">
        <f>VLOOKUP(D30,產線配置圖!$A$2:$C$38,2,0)</f>
        <v>17</v>
      </c>
      <c r="K30" s="14">
        <f>VLOOKUP(D30,產線配置圖!$A$2:$C$38,3,0)</f>
        <v>1500</v>
      </c>
      <c r="L30" s="251">
        <f>K30/J30</f>
        <v>88.235294117647058</v>
      </c>
      <c r="M30" s="21">
        <v>17</v>
      </c>
      <c r="N30" s="36">
        <f>G30/W30*60</f>
        <v>1077.8181818181824</v>
      </c>
      <c r="O30" s="38">
        <f>N30/M30</f>
        <v>63.401069518716611</v>
      </c>
      <c r="P30" s="39">
        <f t="shared" si="9"/>
        <v>0</v>
      </c>
      <c r="Q30" s="40">
        <f t="shared" si="10"/>
        <v>-24.834224598930447</v>
      </c>
      <c r="R30" s="198">
        <f t="shared" si="11"/>
        <v>0.71854545454545493</v>
      </c>
      <c r="S30" s="434"/>
      <c r="T30" s="41">
        <v>0.58680555555555558</v>
      </c>
      <c r="U30" s="41">
        <v>0.625</v>
      </c>
      <c r="V30" s="42">
        <f>(T30-U29)*24*60</f>
        <v>5.9999999999999787</v>
      </c>
      <c r="W30" s="43">
        <f t="shared" si="7"/>
        <v>54.999999999999964</v>
      </c>
      <c r="X30" s="54"/>
      <c r="Y30" s="54"/>
      <c r="Z30" s="479" t="s">
        <v>193</v>
      </c>
      <c r="AA30" s="480"/>
      <c r="AB30" s="275">
        <f t="shared" si="13"/>
        <v>-422.18181818181756</v>
      </c>
      <c r="AC30" s="276">
        <f t="shared" si="14"/>
        <v>0.71854545454545493</v>
      </c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2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2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2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2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2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136"/>
      <c r="G37" s="149"/>
      <c r="H37" s="138"/>
      <c r="I37" s="139"/>
      <c r="J37" s="137">
        <f t="shared" ref="J37:O37" si="15">AVERAGE(J27:J36)</f>
        <v>17.5</v>
      </c>
      <c r="K37" s="137">
        <f t="shared" si="15"/>
        <v>1521.5</v>
      </c>
      <c r="L37" s="140">
        <f t="shared" si="15"/>
        <v>87.031862745098039</v>
      </c>
      <c r="M37" s="137">
        <f t="shared" si="15"/>
        <v>15.5</v>
      </c>
      <c r="N37" s="137">
        <f t="shared" si="15"/>
        <v>1067.4794739159142</v>
      </c>
      <c r="O37" s="140">
        <f t="shared" si="15"/>
        <v>69.046485658978526</v>
      </c>
      <c r="P37" s="141">
        <f>M37-J37</f>
        <v>-2</v>
      </c>
      <c r="Q37" s="142">
        <f>N37-K37</f>
        <v>-454.02052608408576</v>
      </c>
      <c r="R37" s="143">
        <f t="shared" ref="R37:R38" si="16">O37/L37</f>
        <v>0.79334721194241564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17">N37-K37</f>
        <v>-454.02052608408576</v>
      </c>
      <c r="AC37" s="195">
        <f t="shared" ref="AC37:AC39" si="18">N37/K37</f>
        <v>0.70159676235025581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11" t="s">
        <v>154</v>
      </c>
      <c r="E38" s="107"/>
      <c r="F38" s="207">
        <f>VLOOKUP(D38,廠價表!$C$1:$E$39,3,0)</f>
        <v>49.91</v>
      </c>
      <c r="G38" s="286">
        <v>2451</v>
      </c>
      <c r="H38" s="152">
        <f>F38*G38</f>
        <v>122329.40999999999</v>
      </c>
      <c r="I38" s="153"/>
      <c r="J38" s="111">
        <f>VLOOKUP(D38,產線配置圖!$A$2:$C$38,2,0)</f>
        <v>17</v>
      </c>
      <c r="K38" s="108">
        <f>VLOOKUP(D38,產線配置圖!$A$2:$C$38,3,0)</f>
        <v>1565</v>
      </c>
      <c r="L38" s="112">
        <f>K38/J38</f>
        <v>92.058823529411768</v>
      </c>
      <c r="M38" s="290">
        <v>15</v>
      </c>
      <c r="N38" s="154">
        <f>G38/W38*60</f>
        <v>1336.9090909090908</v>
      </c>
      <c r="O38" s="155">
        <f>N38/M38</f>
        <v>89.127272727272711</v>
      </c>
      <c r="P38" s="132">
        <f>M38-J38</f>
        <v>-2</v>
      </c>
      <c r="Q38" s="133">
        <f>O38-L38</f>
        <v>-2.9315508021390571</v>
      </c>
      <c r="R38" s="156">
        <f t="shared" si="16"/>
        <v>0.96815567818762682</v>
      </c>
      <c r="S38" s="408">
        <f>R48</f>
        <v>0.96815567818762682</v>
      </c>
      <c r="T38" s="157">
        <v>0.33333333333333331</v>
      </c>
      <c r="U38" s="157">
        <v>0.40972222222222221</v>
      </c>
      <c r="V38" s="153"/>
      <c r="W38" s="158">
        <f t="shared" si="7"/>
        <v>110.00000000000001</v>
      </c>
      <c r="X38" s="155"/>
      <c r="Y38" s="159"/>
      <c r="Z38" s="427"/>
      <c r="AA38" s="427"/>
      <c r="AB38" s="160">
        <f t="shared" si="17"/>
        <v>-228.09090909090924</v>
      </c>
      <c r="AC38" s="161">
        <f t="shared" si="18"/>
        <v>0.85425501016555316</v>
      </c>
      <c r="AD38" s="388">
        <f>AC48</f>
        <v>0.85425501016555316</v>
      </c>
    </row>
    <row r="39" spans="1:30" s="63" customFormat="1" ht="15" customHeight="1" x14ac:dyDescent="0.25">
      <c r="A39" s="425"/>
      <c r="B39" s="56"/>
      <c r="C39" s="10"/>
      <c r="D39" s="11"/>
      <c r="E39" s="89"/>
      <c r="F39" s="56"/>
      <c r="G39" s="102"/>
      <c r="H39" s="64"/>
      <c r="I39" s="65"/>
      <c r="J39" s="16"/>
      <c r="K39" s="14"/>
      <c r="L39" s="17"/>
      <c r="M39" s="66"/>
      <c r="N39" s="67"/>
      <c r="O39" s="68"/>
      <c r="P39" s="39"/>
      <c r="Q39" s="40"/>
      <c r="R39" s="69"/>
      <c r="S39" s="409"/>
      <c r="T39" s="59"/>
      <c r="U39" s="59"/>
      <c r="V39" s="42"/>
      <c r="W39" s="70">
        <f t="shared" si="7"/>
        <v>0</v>
      </c>
      <c r="X39" s="58"/>
      <c r="Y39" s="60"/>
      <c r="Z39" s="428"/>
      <c r="AA39" s="475"/>
      <c r="AB39" s="292">
        <f t="shared" si="17"/>
        <v>0</v>
      </c>
      <c r="AC39" s="62" t="e">
        <f t="shared" si="18"/>
        <v>#DIV/0!</v>
      </c>
      <c r="AD39" s="389"/>
    </row>
    <row r="40" spans="1:30" s="63" customFormat="1" ht="15" customHeight="1" x14ac:dyDescent="0.25">
      <c r="A40" s="425"/>
      <c r="B40" s="56"/>
      <c r="C40" s="10"/>
      <c r="D40" s="11"/>
      <c r="E40" s="89"/>
      <c r="F40" s="56"/>
      <c r="G40" s="102"/>
      <c r="H40" s="64"/>
      <c r="I40" s="65"/>
      <c r="J40" s="16"/>
      <c r="K40" s="14"/>
      <c r="L40" s="17"/>
      <c r="M40" s="66"/>
      <c r="N40" s="67"/>
      <c r="O40" s="68"/>
      <c r="P40" s="39"/>
      <c r="Q40" s="40"/>
      <c r="R40" s="69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19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19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0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19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0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19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0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19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0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1">AVERAGE(J38:J47)</f>
        <v>17</v>
      </c>
      <c r="K48" s="137">
        <f t="shared" si="21"/>
        <v>1565</v>
      </c>
      <c r="L48" s="140">
        <f t="shared" si="21"/>
        <v>92.058823529411768</v>
      </c>
      <c r="M48" s="137">
        <f t="shared" si="21"/>
        <v>15</v>
      </c>
      <c r="N48" s="137">
        <f t="shared" si="21"/>
        <v>1336.9090909090908</v>
      </c>
      <c r="O48" s="140">
        <f t="shared" si="21"/>
        <v>89.127272727272711</v>
      </c>
      <c r="P48" s="164">
        <f>M48-J48</f>
        <v>-2</v>
      </c>
      <c r="Q48" s="165">
        <f>N48-K48</f>
        <v>-228.09090909090924</v>
      </c>
      <c r="R48" s="166">
        <f>O48/L48</f>
        <v>0.96815567818762682</v>
      </c>
      <c r="S48" s="412"/>
      <c r="T48" s="167"/>
      <c r="U48" s="167"/>
      <c r="V48" s="204"/>
      <c r="W48" s="168">
        <f t="shared" si="20"/>
        <v>0</v>
      </c>
      <c r="X48" s="169"/>
      <c r="Y48" s="169"/>
      <c r="Z48" s="401"/>
      <c r="AA48" s="401"/>
      <c r="AB48" s="170">
        <f>N48-K48</f>
        <v>-228.09090909090924</v>
      </c>
      <c r="AC48" s="199">
        <f>N48/K48</f>
        <v>0.85425501016555316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4898</v>
      </c>
      <c r="H49" s="128">
        <f t="shared" ref="H49:H57" si="22">F49*G49</f>
        <v>244753.06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1563.1914893617018</v>
      </c>
      <c r="O49" s="131">
        <f>N49/M49</f>
        <v>86.843971631205648</v>
      </c>
      <c r="P49" s="171">
        <f>M49-J49</f>
        <v>0</v>
      </c>
      <c r="Q49" s="115">
        <f>O49-L49</f>
        <v>-0.10047281323879531</v>
      </c>
      <c r="R49" s="192">
        <f>O49/L49</f>
        <v>0.99884440214805215</v>
      </c>
      <c r="S49" s="408">
        <f>R58</f>
        <v>0.96353781663342153</v>
      </c>
      <c r="T49" s="157">
        <v>0.28472222222222221</v>
      </c>
      <c r="U49" s="157">
        <v>0.4152777777777778</v>
      </c>
      <c r="V49" s="196"/>
      <c r="W49" s="158">
        <f t="shared" si="7"/>
        <v>188.00000000000006</v>
      </c>
      <c r="X49" s="196"/>
      <c r="Y49" s="196"/>
      <c r="Z49" s="423"/>
      <c r="AA49" s="423"/>
      <c r="AB49" s="114">
        <f>N49-K49</f>
        <v>-1.8085106382982303</v>
      </c>
      <c r="AC49" s="192">
        <f>N49/K49</f>
        <v>0.99884440214805226</v>
      </c>
      <c r="AD49" s="391">
        <f>AC58</f>
        <v>0.96353781663342164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2302</v>
      </c>
      <c r="H50" s="77">
        <f t="shared" si="22"/>
        <v>130914.73999999999</v>
      </c>
      <c r="I50" s="201"/>
      <c r="J50" s="16">
        <v>18</v>
      </c>
      <c r="K50" s="14">
        <v>1600</v>
      </c>
      <c r="L50" s="17">
        <f>K50/J50</f>
        <v>88.888888888888886</v>
      </c>
      <c r="M50" s="182">
        <v>18</v>
      </c>
      <c r="N50" s="78">
        <f>G50/W50*60</f>
        <v>1587.5862068965516</v>
      </c>
      <c r="O50" s="79">
        <f>N50/M50</f>
        <v>88.199233716475092</v>
      </c>
      <c r="P50" s="18">
        <f>M50-J50</f>
        <v>0</v>
      </c>
      <c r="Q50" s="19">
        <f>O50-L50</f>
        <v>-0.68965517241379359</v>
      </c>
      <c r="R50" s="193">
        <f>O50/L50</f>
        <v>0.99224137931034484</v>
      </c>
      <c r="S50" s="409"/>
      <c r="T50" s="80">
        <v>0.41875000000000001</v>
      </c>
      <c r="U50" s="80">
        <v>0.47916666666666669</v>
      </c>
      <c r="V50" s="185">
        <f t="shared" ref="V50:V51" si="23">(T50-U49)*24*60</f>
        <v>4.9999999999999822</v>
      </c>
      <c r="W50" s="81">
        <f t="shared" si="7"/>
        <v>87.000000000000014</v>
      </c>
      <c r="X50" s="22"/>
      <c r="Y50" s="22"/>
      <c r="Z50" s="398"/>
      <c r="AA50" s="399"/>
      <c r="AB50" s="18">
        <f>N50-K50</f>
        <v>-12.41379310344837</v>
      </c>
      <c r="AC50" s="193">
        <f>N50/K50</f>
        <v>0.99224137931034473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3001</v>
      </c>
      <c r="H51" s="77">
        <f t="shared" si="22"/>
        <v>170666.87</v>
      </c>
      <c r="I51" s="185"/>
      <c r="J51" s="16">
        <v>18</v>
      </c>
      <c r="K51" s="14">
        <v>1600</v>
      </c>
      <c r="L51" s="17">
        <f t="shared" ref="L51" si="24">K51/J51</f>
        <v>88.888888888888886</v>
      </c>
      <c r="M51" s="182">
        <v>18</v>
      </c>
      <c r="N51" s="78">
        <f t="shared" ref="N51" si="25">G51/W51*60</f>
        <v>1440.4799999999998</v>
      </c>
      <c r="O51" s="79">
        <f t="shared" ref="O51" si="26">N51/M51</f>
        <v>80.026666666666657</v>
      </c>
      <c r="P51" s="18">
        <f t="shared" ref="P51" si="27">M51-J51</f>
        <v>0</v>
      </c>
      <c r="Q51" s="19">
        <f t="shared" ref="Q51" si="28">O51-L51</f>
        <v>-8.8622222222222291</v>
      </c>
      <c r="R51" s="193">
        <f t="shared" ref="R51" si="29">O51/L51</f>
        <v>0.90029999999999988</v>
      </c>
      <c r="S51" s="409"/>
      <c r="T51" s="80">
        <v>0.53819444444444442</v>
      </c>
      <c r="U51" s="44">
        <v>0.625</v>
      </c>
      <c r="V51" s="185">
        <f t="shared" si="23"/>
        <v>84.999999999999943</v>
      </c>
      <c r="W51" s="81">
        <f t="shared" si="7"/>
        <v>125.00000000000003</v>
      </c>
      <c r="X51" s="22">
        <v>0.48958333333333331</v>
      </c>
      <c r="Y51" s="22">
        <v>0.53125</v>
      </c>
      <c r="Z51" s="400"/>
      <c r="AA51" s="400"/>
      <c r="AB51" s="51">
        <f>N51-K51</f>
        <v>-159.52000000000021</v>
      </c>
      <c r="AC51" s="52">
        <f>N51/K51</f>
        <v>0.90029999999999988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2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2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2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2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2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0">AVERAGE(J49:J57)</f>
        <v>18</v>
      </c>
      <c r="K58" s="121">
        <f t="shared" si="30"/>
        <v>1588.3333333333333</v>
      </c>
      <c r="L58" s="118">
        <f t="shared" si="30"/>
        <v>88.240740740740719</v>
      </c>
      <c r="M58" s="121">
        <f t="shared" si="30"/>
        <v>18</v>
      </c>
      <c r="N58" s="121">
        <f t="shared" si="30"/>
        <v>1530.4192320860845</v>
      </c>
      <c r="O58" s="118">
        <f t="shared" si="30"/>
        <v>85.023290671449118</v>
      </c>
      <c r="P58" s="122">
        <f>M58-J58</f>
        <v>0</v>
      </c>
      <c r="Q58" s="123">
        <f>N58-K58</f>
        <v>-57.914101247248709</v>
      </c>
      <c r="R58" s="124">
        <f t="shared" ref="R58:R60" si="31">O58/L58</f>
        <v>0.96353781663342153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2">N58-K58</f>
        <v>-57.914101247248709</v>
      </c>
      <c r="AC58" s="195">
        <f t="shared" ref="AC58:AC61" si="33">N58/K58</f>
        <v>0.96353781663342164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3485</v>
      </c>
      <c r="H59" s="109">
        <f t="shared" ref="H59:H68" si="34">F59*G59</f>
        <v>94060.15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35">G59/W59*60</f>
        <v>1548.8888888888887</v>
      </c>
      <c r="O59" s="112">
        <f t="shared" ref="O59:O61" si="36">N59/M59</f>
        <v>119.14529914529913</v>
      </c>
      <c r="P59" s="114">
        <f t="shared" ref="P59:P61" si="37">M59-J59</f>
        <v>0</v>
      </c>
      <c r="Q59" s="115">
        <f t="shared" ref="Q59:Q61" si="38">O59-L59</f>
        <v>-1.2393162393162527</v>
      </c>
      <c r="R59" s="192">
        <f t="shared" si="31"/>
        <v>0.98970536031238898</v>
      </c>
      <c r="S59" s="408">
        <f>R69</f>
        <v>0.92466153038710652</v>
      </c>
      <c r="T59" s="176">
        <v>0.2951388888888889</v>
      </c>
      <c r="U59" s="176">
        <v>0.3888888888888889</v>
      </c>
      <c r="V59" s="196"/>
      <c r="W59" s="110">
        <f t="shared" si="7"/>
        <v>135</v>
      </c>
      <c r="X59" s="196"/>
      <c r="Y59" s="196"/>
      <c r="Z59" s="400"/>
      <c r="AA59" s="400"/>
      <c r="AB59" s="240">
        <f t="shared" si="32"/>
        <v>-16.111111111111313</v>
      </c>
      <c r="AC59" s="241">
        <f t="shared" si="33"/>
        <v>0.98970536031238898</v>
      </c>
      <c r="AD59" s="391">
        <f>AC69</f>
        <v>0.92632932089801134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143</v>
      </c>
      <c r="E60" s="89"/>
      <c r="F60" s="56">
        <f>VLOOKUP(D60,廠價表!$C$1:$E$39,3,0)</f>
        <v>28.26</v>
      </c>
      <c r="G60" s="185">
        <v>1196</v>
      </c>
      <c r="H60" s="15">
        <f t="shared" si="34"/>
        <v>33798.959999999999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5"/>
        <v>1304.7272727272737</v>
      </c>
      <c r="O60" s="17">
        <f t="shared" si="36"/>
        <v>108.7272727272728</v>
      </c>
      <c r="P60" s="18">
        <f t="shared" si="37"/>
        <v>0</v>
      </c>
      <c r="Q60" s="19">
        <f t="shared" si="38"/>
        <v>-21.689393939393852</v>
      </c>
      <c r="R60" s="193">
        <f t="shared" si="31"/>
        <v>0.83369154806854551</v>
      </c>
      <c r="S60" s="419"/>
      <c r="T60" s="206">
        <v>0.39930555555555558</v>
      </c>
      <c r="U60" s="206">
        <v>0.4375</v>
      </c>
      <c r="V60" s="185">
        <f t="shared" ref="V60:V61" si="39">(T60-U59)*24*60</f>
        <v>15.000000000000027</v>
      </c>
      <c r="W60" s="93">
        <f t="shared" si="7"/>
        <v>54.999999999999964</v>
      </c>
      <c r="X60" s="201"/>
      <c r="Y60" s="201"/>
      <c r="Z60" s="400"/>
      <c r="AA60" s="400"/>
      <c r="AB60" s="242">
        <f t="shared" si="32"/>
        <v>-260.27272727272634</v>
      </c>
      <c r="AC60" s="243">
        <f t="shared" si="33"/>
        <v>0.83369154806854551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157</v>
      </c>
      <c r="E61" s="89"/>
      <c r="F61" s="56">
        <f>VLOOKUP(D61,廠價表!$C$1:$E$39,3,0)</f>
        <v>28.47</v>
      </c>
      <c r="G61" s="185">
        <v>1994</v>
      </c>
      <c r="H61" s="15">
        <f t="shared" si="34"/>
        <v>56769.18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0">K61/J61</f>
        <v>130.41666666666666</v>
      </c>
      <c r="M61" s="188">
        <v>12</v>
      </c>
      <c r="N61" s="14">
        <f t="shared" si="35"/>
        <v>1495.5000000000009</v>
      </c>
      <c r="O61" s="17">
        <f t="shared" si="36"/>
        <v>124.62500000000007</v>
      </c>
      <c r="P61" s="18">
        <f t="shared" si="37"/>
        <v>0</v>
      </c>
      <c r="Q61" s="19">
        <f t="shared" si="38"/>
        <v>-5.7916666666665861</v>
      </c>
      <c r="R61" s="193">
        <f>O61/L61</f>
        <v>0.95559105431309965</v>
      </c>
      <c r="S61" s="409"/>
      <c r="T61" s="20">
        <v>0.44791666666666669</v>
      </c>
      <c r="U61" s="20">
        <v>0.50347222222222221</v>
      </c>
      <c r="V61" s="185">
        <f t="shared" si="39"/>
        <v>15.000000000000027</v>
      </c>
      <c r="W61" s="91">
        <f t="shared" si="7"/>
        <v>79.999999999999957</v>
      </c>
      <c r="X61" s="22"/>
      <c r="Y61" s="22"/>
      <c r="Z61" s="400"/>
      <c r="AA61" s="400"/>
      <c r="AB61" s="51">
        <f t="shared" si="32"/>
        <v>-69.499999999999091</v>
      </c>
      <c r="AC61" s="52">
        <f t="shared" si="33"/>
        <v>0.95559105431309965</v>
      </c>
      <c r="AD61" s="392"/>
    </row>
    <row r="62" spans="1:30" ht="15" customHeight="1" x14ac:dyDescent="0.25">
      <c r="A62" s="417"/>
      <c r="B62" s="56"/>
      <c r="C62" s="10"/>
      <c r="D62" s="11"/>
      <c r="E62" s="89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7"/>
        <v>0</v>
      </c>
      <c r="X62" s="22"/>
      <c r="Y62" s="22"/>
      <c r="Z62" s="400"/>
      <c r="AA62" s="400"/>
      <c r="AB62" s="18"/>
      <c r="AC62" s="193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4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4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4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4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4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1">AVERAGE(J59:J68)</f>
        <v>12.333333333333334</v>
      </c>
      <c r="K69" s="173">
        <f t="shared" si="41"/>
        <v>1565</v>
      </c>
      <c r="L69" s="178">
        <f t="shared" si="41"/>
        <v>127.07264957264958</v>
      </c>
      <c r="M69" s="173">
        <f t="shared" si="41"/>
        <v>12.333333333333334</v>
      </c>
      <c r="N69" s="173">
        <f t="shared" si="41"/>
        <v>1449.7053872053878</v>
      </c>
      <c r="O69" s="178">
        <f t="shared" si="41"/>
        <v>117.49919062419066</v>
      </c>
      <c r="P69" s="179">
        <f>M69-J69</f>
        <v>0</v>
      </c>
      <c r="Q69" s="165">
        <f>N69-K69</f>
        <v>-115.29461279461225</v>
      </c>
      <c r="R69" s="124">
        <f>O69/L69</f>
        <v>0.92466153038710652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-115.29461279461225</v>
      </c>
      <c r="AC69" s="195">
        <f>N69/K69</f>
        <v>0.92632932089801134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42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43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2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43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2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43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2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43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2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3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2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3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2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3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2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3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2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208" priority="1" operator="greaterThan">
      <formula>0</formula>
    </cfRule>
  </conditionalFormatting>
  <conditionalFormatting sqref="Q5:Q79 AB5:AB79">
    <cfRule type="cellIs" dxfId="207" priority="4" operator="lessThan">
      <formula>0</formula>
    </cfRule>
  </conditionalFormatting>
  <conditionalFormatting sqref="R5:R79 AC5:AC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D59:AD62 S69:S76 AD69:AD76">
    <cfRule type="cellIs" dxfId="204" priority="7" operator="lessThan">
      <formula>0.8</formula>
    </cfRule>
  </conditionalFormatting>
  <conditionalFormatting sqref="S19:S25 AD19:AD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D5:AD8 S15:S16 AD15:AD16 AD49 AD79">
    <cfRule type="cellIs" dxfId="201" priority="9" operator="lessThan">
      <formula>0.8</formula>
    </cfRule>
  </conditionalFormatting>
  <conditionalFormatting sqref="AD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594B9B-D346-4A54-9ACB-7B06DC0854F9}">
          <x14:formula1>
            <xm:f>廠價表!$C$2:$C$37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3828-7959-4A68-AA93-F0EB5A4C103C}">
  <sheetPr>
    <pageSetUpPr fitToPage="1"/>
  </sheetPr>
  <dimension ref="B1:O22"/>
  <sheetViews>
    <sheetView zoomScale="70" zoomScaleNormal="70" workbookViewId="0">
      <selection activeCell="D17" sqref="D17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45942</v>
      </c>
      <c r="E3" s="383"/>
      <c r="F3" s="214" t="s">
        <v>76</v>
      </c>
      <c r="G3" s="384">
        <f>'1012'!E1</f>
        <v>52506</v>
      </c>
      <c r="H3" s="384"/>
      <c r="I3" s="214" t="s">
        <v>77</v>
      </c>
      <c r="J3" s="385">
        <f>'1012'!G1</f>
        <v>2608368.35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116.39000278473962</v>
      </c>
      <c r="G6" s="362"/>
      <c r="H6" s="363">
        <f>AVERAGE(D13:H13)</f>
        <v>114.58787513655935</v>
      </c>
      <c r="I6" s="363"/>
      <c r="J6" s="363">
        <f>AVERAGE(I13)</f>
        <v>125.40064102564102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107.36677358798681</v>
      </c>
      <c r="G7" s="380"/>
      <c r="H7" s="381">
        <f>AVERAGE(D14:H14)</f>
        <v>105.59942881321486</v>
      </c>
      <c r="I7" s="381"/>
      <c r="J7" s="381">
        <f>AVERAGE(I14)</f>
        <v>116.20349746184662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0.91246382295894779</v>
      </c>
      <c r="G8" s="360"/>
      <c r="H8" s="360">
        <f>AVERAGE(D15:H15)</f>
        <v>0.90962500310040562</v>
      </c>
      <c r="I8" s="360"/>
      <c r="J8" s="360">
        <f>AVERAGE(I15)</f>
        <v>0.92665792225165877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VALUE('1012'!L15)</f>
        <v>149.22390109890108</v>
      </c>
      <c r="E13" s="227">
        <f>VALUE('1012'!L26)</f>
        <v>160.25641025641025</v>
      </c>
      <c r="F13" s="227">
        <f>VALUE('1012'!L37)</f>
        <v>86.630718954248366</v>
      </c>
      <c r="G13" s="227">
        <f>VALUE('1012'!L48)</f>
        <v>90.14705882352942</v>
      </c>
      <c r="H13" s="227">
        <f>VALUE('1012'!L58)</f>
        <v>86.681286549707622</v>
      </c>
      <c r="I13" s="227">
        <f>VALUE('1012'!L69)</f>
        <v>125.40064102564102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VALUE('1012'!O15)</f>
        <v>146.29809479877724</v>
      </c>
      <c r="E14" s="227">
        <f>VALUE('1012'!O26)</f>
        <v>151.77784913712736</v>
      </c>
      <c r="F14" s="227">
        <f>VALUE('1012'!O37)</f>
        <v>71.768758700234685</v>
      </c>
      <c r="G14" s="227">
        <f>VALUE('1012'!O48)</f>
        <v>72.903074050132872</v>
      </c>
      <c r="H14" s="227">
        <f>VALUE('1012'!O58)</f>
        <v>85.249367379802152</v>
      </c>
      <c r="I14" s="227">
        <f>VALUE('1012'!O69)</f>
        <v>116.20349746184662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0.98039317911823853</v>
      </c>
      <c r="E15" s="248">
        <f t="shared" ref="E15:I15" si="0">E14/E13</f>
        <v>0.94709377861567479</v>
      </c>
      <c r="F15" s="248">
        <f t="shared" si="0"/>
        <v>0.82844468528695214</v>
      </c>
      <c r="G15" s="248">
        <f t="shared" si="0"/>
        <v>0.8087127300830399</v>
      </c>
      <c r="H15" s="248">
        <f t="shared" si="0"/>
        <v>0.98348064239812205</v>
      </c>
      <c r="I15" s="248">
        <f t="shared" si="0"/>
        <v>0.92665792225165877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'1012'!T5</f>
        <v>0.2902777777777778</v>
      </c>
      <c r="E16" s="98">
        <f>'1012'!T16</f>
        <v>0.28958333333333336</v>
      </c>
      <c r="F16" s="98">
        <f>'1012'!T27</f>
        <v>0.29722222222222222</v>
      </c>
      <c r="G16" s="98">
        <f>'1012'!T38</f>
        <v>0.33333333333333331</v>
      </c>
      <c r="H16" s="98">
        <f>'1012'!T49</f>
        <v>0.28819444444444442</v>
      </c>
      <c r="I16" s="98">
        <f>'1012'!T59</f>
        <v>0.2951388888888889</v>
      </c>
      <c r="J16" s="293"/>
    </row>
    <row r="17" spans="2:10" ht="17.25" customHeight="1" x14ac:dyDescent="0.25">
      <c r="B17" s="492"/>
      <c r="C17" s="222" t="s">
        <v>104</v>
      </c>
      <c r="D17" s="80">
        <v>0.62222222222222223</v>
      </c>
      <c r="E17" s="41">
        <v>0.48472222222222222</v>
      </c>
      <c r="F17" s="41">
        <v>0.60902777777777772</v>
      </c>
      <c r="G17" s="59">
        <v>0.64930555555555558</v>
      </c>
      <c r="H17" s="44">
        <v>0.62847222222222221</v>
      </c>
      <c r="I17" s="20">
        <v>0.60902777777777772</v>
      </c>
      <c r="J17" s="294"/>
    </row>
    <row r="18" spans="2:10" ht="17.25" customHeight="1" x14ac:dyDescent="0.25">
      <c r="B18" s="481" t="s">
        <v>105</v>
      </c>
      <c r="C18" s="355"/>
      <c r="D18" s="229">
        <f>VALUE('1012'!M15)</f>
        <v>13.25</v>
      </c>
      <c r="E18" s="229">
        <f>VALUE('1012'!M26)</f>
        <v>12.5</v>
      </c>
      <c r="F18" s="229">
        <f>VALUE('1012'!M37)</f>
        <v>16.333333333333332</v>
      </c>
      <c r="G18" s="229">
        <f>VALUE('1012'!M48)</f>
        <v>18</v>
      </c>
      <c r="H18" s="229">
        <f>VALUE('1012'!M58)</f>
        <v>18</v>
      </c>
      <c r="I18" s="229">
        <f>VALUE('1012'!M69)</f>
        <v>12.5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ABDD-E77F-4B5D-BB55-EE90A14E5B5F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D17" sqref="D17"/>
      <selection pane="topRight" activeCell="D17" sqref="D17"/>
      <selection pane="bottomLeft" activeCell="D17" sqref="D17"/>
      <selection pane="bottomRight" activeCell="D17" sqref="D17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52506</v>
      </c>
      <c r="F1" s="185" t="s">
        <v>9</v>
      </c>
      <c r="G1" s="4">
        <f>SUM(H5:H79)</f>
        <v>2608368.35</v>
      </c>
      <c r="H1" s="183" t="s">
        <v>10</v>
      </c>
      <c r="I1" s="5">
        <f>M15+M26+M48+M58+M69+M79+M37</f>
        <v>90.583333333333329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215</v>
      </c>
      <c r="B2" s="461"/>
      <c r="C2" s="184"/>
      <c r="D2" s="184" t="s">
        <v>1</v>
      </c>
      <c r="E2" s="7">
        <f>AVERAGE(O15,O26,O37,O48,O58,O69,O79)</f>
        <v>107.36677358798681</v>
      </c>
      <c r="F2" s="8" t="s">
        <v>2</v>
      </c>
      <c r="G2" s="9">
        <f>G1/E1</f>
        <v>49.677529234754125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1955</v>
      </c>
      <c r="H5" s="109">
        <f>F5*G5</f>
        <v>111845.55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1891.9354838709694</v>
      </c>
      <c r="O5" s="112">
        <f>N5/M5</f>
        <v>145.53349875930533</v>
      </c>
      <c r="P5" s="114">
        <f>M5-J5</f>
        <v>0</v>
      </c>
      <c r="Q5" s="115">
        <f>O5-L5</f>
        <v>-8.3126550868485083</v>
      </c>
      <c r="R5" s="192">
        <f>O5/L5</f>
        <v>0.94596774193548472</v>
      </c>
      <c r="S5" s="408">
        <f>R15</f>
        <v>0.98039317911823853</v>
      </c>
      <c r="T5" s="97">
        <v>0.2902777777777778</v>
      </c>
      <c r="U5" s="97">
        <v>0.33333333333333331</v>
      </c>
      <c r="V5" s="202"/>
      <c r="W5" s="110">
        <f t="shared" ref="W5:W14" si="0">(U5-T5)*24*60</f>
        <v>61.999999999999943</v>
      </c>
      <c r="X5" s="196"/>
      <c r="Y5" s="196"/>
      <c r="Z5" s="423"/>
      <c r="AA5" s="423"/>
      <c r="AB5" s="114">
        <f>N5-K5</f>
        <v>-108.06451612903061</v>
      </c>
      <c r="AC5" s="192">
        <f>N5/K5</f>
        <v>0.94596774193548472</v>
      </c>
      <c r="AD5" s="391">
        <f>AC15</f>
        <v>0.98061352586184602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3137</v>
      </c>
      <c r="H6" s="15">
        <f t="shared" ref="H6:H14" si="1">F6*G6</f>
        <v>179467.77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1882.2000000000005</v>
      </c>
      <c r="O6" s="17">
        <f>N6/M6</f>
        <v>134.44285714285718</v>
      </c>
      <c r="P6" s="18">
        <f>M6-J6</f>
        <v>0</v>
      </c>
      <c r="Q6" s="19">
        <f>O6-L6</f>
        <v>-0.91428571428568262</v>
      </c>
      <c r="R6" s="193">
        <f>O6/L6</f>
        <v>0.99324538258575223</v>
      </c>
      <c r="S6" s="409"/>
      <c r="T6" s="98">
        <v>0.34375</v>
      </c>
      <c r="U6" s="98">
        <v>0.41319444444444442</v>
      </c>
      <c r="V6" s="185">
        <f>(T6-U5)*24*60</f>
        <v>15.000000000000027</v>
      </c>
      <c r="W6" s="190">
        <f t="shared" si="0"/>
        <v>99.999999999999972</v>
      </c>
      <c r="X6" s="22"/>
      <c r="Y6" s="22"/>
      <c r="Z6" s="446"/>
      <c r="AA6" s="446"/>
      <c r="AB6" s="18">
        <f>N6-K6</f>
        <v>-12.7999999999995</v>
      </c>
      <c r="AC6" s="193">
        <f>N6/K6</f>
        <v>0.99324538258575223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3014</v>
      </c>
      <c r="H7" s="15">
        <f t="shared" si="1"/>
        <v>148107.96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1987.2527472527474</v>
      </c>
      <c r="O7" s="17">
        <f>N7/M7</f>
        <v>152.86559594251904</v>
      </c>
      <c r="P7" s="18">
        <f>M7-J7</f>
        <v>0</v>
      </c>
      <c r="Q7" s="19">
        <f>O7-L7</f>
        <v>-0.98055790363480355</v>
      </c>
      <c r="R7" s="193">
        <f>O7/L7</f>
        <v>0.99362637362637374</v>
      </c>
      <c r="S7" s="409"/>
      <c r="T7" s="98">
        <v>0.42222222222222222</v>
      </c>
      <c r="U7" s="98">
        <v>0.48541666666666666</v>
      </c>
      <c r="V7" s="185">
        <f>(T7-U6)*24*60</f>
        <v>13.000000000000034</v>
      </c>
      <c r="W7" s="190">
        <f t="shared" si="0"/>
        <v>91</v>
      </c>
      <c r="X7" s="22">
        <v>0.49652777777777779</v>
      </c>
      <c r="Y7" s="22">
        <v>0.53819444444444442</v>
      </c>
      <c r="Z7" s="400"/>
      <c r="AA7" s="400"/>
      <c r="AB7" s="18">
        <f>N7-K7</f>
        <v>-12.74725274725256</v>
      </c>
      <c r="AC7" s="193">
        <f>N7/K7</f>
        <v>0.99362637362637374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3565</v>
      </c>
      <c r="H8" s="15">
        <f t="shared" ref="H8" si="2">F8*G8</f>
        <v>175184.1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1980.5555555555563</v>
      </c>
      <c r="O8" s="17">
        <f>N8/M8</f>
        <v>152.35042735042742</v>
      </c>
      <c r="P8" s="18">
        <f>M8-J8</f>
        <v>0</v>
      </c>
      <c r="Q8" s="19">
        <f>O8-L8</f>
        <v>-1.4957264957264158</v>
      </c>
      <c r="R8" s="193">
        <f>O8/L8</f>
        <v>0.99027777777777826</v>
      </c>
      <c r="S8" s="409"/>
      <c r="T8" s="80">
        <v>0.54722222222222228</v>
      </c>
      <c r="U8" s="80">
        <v>0.62222222222222223</v>
      </c>
      <c r="V8" s="185">
        <f>(T8-U7)*24*60</f>
        <v>89.000000000000085</v>
      </c>
      <c r="W8" s="190">
        <f t="shared" si="0"/>
        <v>107.99999999999994</v>
      </c>
      <c r="X8" s="22"/>
      <c r="Y8" s="22"/>
      <c r="Z8" s="447"/>
      <c r="AA8" s="447"/>
      <c r="AB8" s="18">
        <f>N8-K8</f>
        <v>-19.444444444443661</v>
      </c>
      <c r="AC8" s="193">
        <f>N8/K8</f>
        <v>0.99027777777777815</v>
      </c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67"/>
      <c r="H9" s="77"/>
      <c r="I9" s="185"/>
      <c r="J9" s="16"/>
      <c r="K9" s="14"/>
      <c r="L9" s="17"/>
      <c r="M9" s="188"/>
      <c r="N9" s="78"/>
      <c r="O9" s="79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/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3">AVERAGE(J5:J14)</f>
        <v>13.25</v>
      </c>
      <c r="K15" s="121">
        <f t="shared" si="3"/>
        <v>1973.75</v>
      </c>
      <c r="L15" s="118">
        <f t="shared" si="3"/>
        <v>149.22390109890108</v>
      </c>
      <c r="M15" s="121">
        <f t="shared" si="3"/>
        <v>13.25</v>
      </c>
      <c r="N15" s="121">
        <f t="shared" si="3"/>
        <v>1935.4859466698185</v>
      </c>
      <c r="O15" s="118">
        <f t="shared" si="3"/>
        <v>146.29809479877724</v>
      </c>
      <c r="P15" s="122">
        <f t="shared" ref="P15:P17" si="4">M15-J15</f>
        <v>0</v>
      </c>
      <c r="Q15" s="123">
        <f t="shared" ref="Q15:Q17" si="5">O15-L15</f>
        <v>-2.9258063001238384</v>
      </c>
      <c r="R15" s="124">
        <f t="shared" ref="R15:R17" si="6">O15/L15</f>
        <v>0.98039317911823853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-38.264053330181468</v>
      </c>
      <c r="AC15" s="195">
        <f>N15/K15</f>
        <v>0.98061352586184602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2388</v>
      </c>
      <c r="H16" s="128">
        <f t="shared" ref="H16:H25" si="7">F16*G16</f>
        <v>136617.48000000001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1813.6708860759502</v>
      </c>
      <c r="O16" s="131">
        <f>N16/M16</f>
        <v>139.51314508276539</v>
      </c>
      <c r="P16" s="132">
        <f t="shared" si="4"/>
        <v>0</v>
      </c>
      <c r="Q16" s="133">
        <f t="shared" si="5"/>
        <v>-14.333008763388449</v>
      </c>
      <c r="R16" s="197">
        <f t="shared" si="6"/>
        <v>0.90683544303797503</v>
      </c>
      <c r="S16" s="433">
        <f>R26</f>
        <v>0.94709377861567479</v>
      </c>
      <c r="T16" s="288">
        <v>0.28958333333333336</v>
      </c>
      <c r="U16" s="288">
        <v>0.34444444444444444</v>
      </c>
      <c r="V16" s="129"/>
      <c r="W16" s="134">
        <f t="shared" ref="W16:W68" si="8">(U16-T16)*24*60</f>
        <v>78.999999999999957</v>
      </c>
      <c r="X16" s="131"/>
      <c r="Y16" s="131"/>
      <c r="Z16" s="423"/>
      <c r="AA16" s="423"/>
      <c r="AB16" s="114">
        <f>N16-K16</f>
        <v>-186.32911392404981</v>
      </c>
      <c r="AC16" s="192">
        <f>N16/K16</f>
        <v>0.90683544303797514</v>
      </c>
      <c r="AD16" s="391">
        <f>AC26</f>
        <v>0.94554538109345576</v>
      </c>
    </row>
    <row r="17" spans="1:30" ht="15" customHeight="1" x14ac:dyDescent="0.25">
      <c r="A17" s="439"/>
      <c r="B17" s="56" t="s">
        <v>63</v>
      </c>
      <c r="C17" s="10"/>
      <c r="D17" s="11" t="s">
        <v>136</v>
      </c>
      <c r="E17" s="89"/>
      <c r="F17" s="56">
        <f>VLOOKUP(D17,廠價表!$C$1:$E$39,3,0)</f>
        <v>50.39</v>
      </c>
      <c r="G17" s="99">
        <v>6168</v>
      </c>
      <c r="H17" s="15">
        <f t="shared" si="7"/>
        <v>310805.52</v>
      </c>
      <c r="I17" s="185"/>
      <c r="J17" s="16">
        <f>VLOOKUP(D17,產線配置圖!$A$2:$C$38,2,0)</f>
        <v>12</v>
      </c>
      <c r="K17" s="14">
        <f>VLOOKUP(D17,產線配置圖!$A$2:$C$38,3,0)</f>
        <v>2000</v>
      </c>
      <c r="L17" s="17">
        <f>K17/J17</f>
        <v>166.66666666666666</v>
      </c>
      <c r="M17" s="37">
        <v>12</v>
      </c>
      <c r="N17" s="36">
        <f>G17/W17*60</f>
        <v>1968.5106382978724</v>
      </c>
      <c r="O17" s="38">
        <f>N17/M17</f>
        <v>164.04255319148936</v>
      </c>
      <c r="P17" s="39">
        <f t="shared" si="4"/>
        <v>0</v>
      </c>
      <c r="Q17" s="40">
        <f t="shared" si="5"/>
        <v>-2.6241134751772961</v>
      </c>
      <c r="R17" s="198">
        <f t="shared" si="6"/>
        <v>0.98425531914893627</v>
      </c>
      <c r="S17" s="434"/>
      <c r="T17" s="41">
        <v>0.35416666666666669</v>
      </c>
      <c r="U17" s="41">
        <v>0.48472222222222222</v>
      </c>
      <c r="V17" s="185">
        <f>(T17-U16)*24*60</f>
        <v>14.00000000000003</v>
      </c>
      <c r="W17" s="43">
        <f t="shared" si="8"/>
        <v>187.99999999999997</v>
      </c>
      <c r="X17" s="44"/>
      <c r="Y17" s="44"/>
      <c r="Z17" s="399"/>
      <c r="AA17" s="400"/>
      <c r="AB17" s="18">
        <f>N17-K17</f>
        <v>-31.489361702127553</v>
      </c>
      <c r="AC17" s="193">
        <f>N17/K17</f>
        <v>0.98425531914893627</v>
      </c>
      <c r="AD17" s="392"/>
    </row>
    <row r="18" spans="1:30" ht="15" customHeight="1" x14ac:dyDescent="0.25">
      <c r="A18" s="439"/>
      <c r="B18" s="56"/>
      <c r="C18" s="10"/>
      <c r="D18" s="11"/>
      <c r="E18" s="89"/>
      <c r="F18" s="56"/>
      <c r="G18" s="99"/>
      <c r="H18" s="15"/>
      <c r="I18" s="42"/>
      <c r="J18" s="16"/>
      <c r="K18" s="14"/>
      <c r="L18" s="17"/>
      <c r="M18" s="37"/>
      <c r="N18" s="36"/>
      <c r="O18" s="38"/>
      <c r="P18" s="39"/>
      <c r="Q18" s="40"/>
      <c r="R18" s="198"/>
      <c r="S18" s="434"/>
      <c r="T18" s="41"/>
      <c r="U18" s="41"/>
      <c r="V18" s="185"/>
      <c r="W18" s="43">
        <f t="shared" si="8"/>
        <v>0</v>
      </c>
      <c r="X18" s="22"/>
      <c r="Y18" s="22"/>
      <c r="Z18" s="399"/>
      <c r="AA18" s="400"/>
      <c r="AB18" s="18">
        <f>N18-K18</f>
        <v>0</v>
      </c>
      <c r="AC18" s="193" t="e">
        <f>N18/K18</f>
        <v>#DIV/0!</v>
      </c>
      <c r="AD18" s="392"/>
    </row>
    <row r="19" spans="1:30" ht="15" customHeight="1" x14ac:dyDescent="0.25">
      <c r="A19" s="439"/>
      <c r="B19" s="56"/>
      <c r="C19" s="23"/>
      <c r="D19" s="11"/>
      <c r="E19" s="12"/>
      <c r="F19" s="56"/>
      <c r="G19" s="99"/>
      <c r="H19" s="15"/>
      <c r="I19" s="42"/>
      <c r="J19" s="16"/>
      <c r="K19" s="14"/>
      <c r="L19" s="17"/>
      <c r="M19" s="37"/>
      <c r="N19" s="36"/>
      <c r="O19" s="38"/>
      <c r="P19" s="39"/>
      <c r="Q19" s="40"/>
      <c r="R19" s="198"/>
      <c r="S19" s="434"/>
      <c r="T19" s="41"/>
      <c r="U19" s="41"/>
      <c r="V19" s="185"/>
      <c r="W19" s="43">
        <f t="shared" si="8"/>
        <v>0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7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7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8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8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8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9">AVERAGE(J16:J25)</f>
        <v>12.5</v>
      </c>
      <c r="K26" s="137">
        <f t="shared" si="9"/>
        <v>2000</v>
      </c>
      <c r="L26" s="140">
        <f t="shared" si="9"/>
        <v>160.25641025641025</v>
      </c>
      <c r="M26" s="137">
        <f t="shared" si="9"/>
        <v>12.5</v>
      </c>
      <c r="N26" s="137">
        <f t="shared" si="9"/>
        <v>1891.0907621869114</v>
      </c>
      <c r="O26" s="140">
        <f t="shared" si="9"/>
        <v>151.77784913712736</v>
      </c>
      <c r="P26" s="141">
        <f t="shared" ref="P26:P29" si="10">M26-J26</f>
        <v>0</v>
      </c>
      <c r="Q26" s="142">
        <f t="shared" ref="Q26:Q29" si="11">O26-L26</f>
        <v>-8.4785611192828867</v>
      </c>
      <c r="R26" s="143">
        <f t="shared" ref="R26:R29" si="12">O26/L26</f>
        <v>0.94709377861567479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-108.90923781308857</v>
      </c>
      <c r="AC26" s="195">
        <f>N26/K26</f>
        <v>0.94554538109345576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168</v>
      </c>
      <c r="E27" s="107"/>
      <c r="F27" s="207">
        <f>VLOOKUP(D27,廠價表!$C$1:$E$39,3,0)</f>
        <v>57.21</v>
      </c>
      <c r="G27" s="289">
        <v>1960</v>
      </c>
      <c r="H27" s="128">
        <f t="shared" ref="H27:H36" si="13">F27*G27</f>
        <v>112131.6</v>
      </c>
      <c r="I27" s="129"/>
      <c r="J27" s="111">
        <f>VLOOKUP(D27,產線配置圖!$A$2:$C$38,2,0)</f>
        <v>17</v>
      </c>
      <c r="K27" s="252">
        <f>VLOOKUP(D27,產線配置圖!$A$2:$C$38,3,0)</f>
        <v>1565</v>
      </c>
      <c r="L27" s="112">
        <f>K27/J27</f>
        <v>92.058823529411768</v>
      </c>
      <c r="M27" s="147">
        <v>17</v>
      </c>
      <c r="N27" s="130">
        <f>G27/W27*60</f>
        <v>1152.9411764705878</v>
      </c>
      <c r="O27" s="131">
        <f>N27/M27</f>
        <v>67.820069204152219</v>
      </c>
      <c r="P27" s="132">
        <f t="shared" si="10"/>
        <v>0</v>
      </c>
      <c r="Q27" s="133">
        <f t="shared" si="11"/>
        <v>-24.238754325259549</v>
      </c>
      <c r="R27" s="197">
        <f t="shared" si="12"/>
        <v>0.73670362713775572</v>
      </c>
      <c r="S27" s="433">
        <f>R37</f>
        <v>0.82844468528695214</v>
      </c>
      <c r="T27" s="97">
        <v>0.29722222222222222</v>
      </c>
      <c r="U27" s="97">
        <v>0.36805555555555558</v>
      </c>
      <c r="V27" s="129"/>
      <c r="W27" s="134">
        <f t="shared" si="8"/>
        <v>102.00000000000004</v>
      </c>
      <c r="X27" s="129"/>
      <c r="Y27" s="129" t="s">
        <v>158</v>
      </c>
      <c r="Z27" s="414" t="s">
        <v>217</v>
      </c>
      <c r="AA27" s="423"/>
      <c r="AB27" s="114">
        <f>N27-K27</f>
        <v>-412.05882352941217</v>
      </c>
      <c r="AC27" s="148">
        <f>N27/K27</f>
        <v>0.73670362713775583</v>
      </c>
      <c r="AD27" s="391">
        <f>AC37</f>
        <v>0.76596608958033519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3194</v>
      </c>
      <c r="H28" s="50">
        <f t="shared" si="13"/>
        <v>176085.22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16</v>
      </c>
      <c r="N28" s="36">
        <f>G28/W28*60</f>
        <v>1101.3793103448274</v>
      </c>
      <c r="O28" s="38">
        <f>N28/M28</f>
        <v>68.836206896551715</v>
      </c>
      <c r="P28" s="39">
        <f t="shared" si="10"/>
        <v>-2</v>
      </c>
      <c r="Q28" s="40">
        <f t="shared" si="11"/>
        <v>-8.1082375478927275</v>
      </c>
      <c r="R28" s="198">
        <f t="shared" si="12"/>
        <v>0.89462218349309086</v>
      </c>
      <c r="S28" s="434"/>
      <c r="T28" s="291">
        <v>0.375</v>
      </c>
      <c r="U28" s="291">
        <v>0.49583333333333335</v>
      </c>
      <c r="V28" s="42">
        <f>(T28-U27)*24*60</f>
        <v>9.9999999999999645</v>
      </c>
      <c r="W28" s="43">
        <f t="shared" si="8"/>
        <v>174.00000000000003</v>
      </c>
      <c r="X28" s="54"/>
      <c r="Y28" s="54"/>
      <c r="Z28" s="399"/>
      <c r="AA28" s="400"/>
      <c r="AB28" s="34">
        <f>N28-K28</f>
        <v>-283.62068965517255</v>
      </c>
      <c r="AC28" s="194">
        <f>N28/K28</f>
        <v>0.79521971866052521</v>
      </c>
      <c r="AD28" s="392"/>
    </row>
    <row r="29" spans="1:30" ht="15" customHeight="1" x14ac:dyDescent="0.25">
      <c r="A29" s="431"/>
      <c r="B29" s="56" t="str">
        <f>VLOOKUP(D29,廠價表!$C$1:$E$39,2,0)</f>
        <v>熱乾麵</v>
      </c>
      <c r="C29" s="10"/>
      <c r="D29" s="28" t="s">
        <v>170</v>
      </c>
      <c r="E29" s="89"/>
      <c r="F29" s="56">
        <f>VLOOKUP(D29,廠價表!$C$1:$E$39,3,0)</f>
        <v>47.6</v>
      </c>
      <c r="G29" s="256">
        <v>1573</v>
      </c>
      <c r="H29" s="50">
        <f t="shared" si="13"/>
        <v>74874.8</v>
      </c>
      <c r="I29" s="42"/>
      <c r="J29" s="16">
        <f>VLOOKUP(D29,產線配置圖!$A$2:$C$38,2,0)</f>
        <v>18</v>
      </c>
      <c r="K29" s="14">
        <f>VLOOKUP(D29,產線配置圖!$A$2:$C$38,3,0)</f>
        <v>1636</v>
      </c>
      <c r="L29" s="251">
        <f>K29/J29</f>
        <v>90.888888888888886</v>
      </c>
      <c r="M29" s="21">
        <v>16</v>
      </c>
      <c r="N29" s="36">
        <f>G29/W29*60</f>
        <v>1258.4000000000019</v>
      </c>
      <c r="O29" s="38">
        <f>N29/M29</f>
        <v>78.650000000000119</v>
      </c>
      <c r="P29" s="39">
        <f t="shared" si="10"/>
        <v>-2</v>
      </c>
      <c r="Q29" s="40">
        <f t="shared" si="11"/>
        <v>-12.238888888888766</v>
      </c>
      <c r="R29" s="198">
        <f t="shared" si="12"/>
        <v>0.86534229828850995</v>
      </c>
      <c r="S29" s="434"/>
      <c r="T29" s="41">
        <v>0.55694444444444446</v>
      </c>
      <c r="U29" s="41">
        <v>0.60902777777777772</v>
      </c>
      <c r="V29" s="42">
        <f>(T29-U28)*24*60</f>
        <v>88</v>
      </c>
      <c r="W29" s="43">
        <f t="shared" si="8"/>
        <v>74.999999999999886</v>
      </c>
      <c r="X29" s="54">
        <v>0.50347222222222221</v>
      </c>
      <c r="Y29" s="54">
        <v>0.54513888888888884</v>
      </c>
      <c r="Z29" s="399"/>
      <c r="AA29" s="398"/>
      <c r="AB29" s="275">
        <f t="shared" ref="AB29" si="14">N29-K29</f>
        <v>-377.59999999999809</v>
      </c>
      <c r="AC29" s="276">
        <f t="shared" ref="AC29" si="15">N29/K29</f>
        <v>0.76919315403423094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257"/>
      <c r="I30" s="8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8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8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3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8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3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8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8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8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8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6">AVERAGE(J27:J36)</f>
        <v>17.666666666666668</v>
      </c>
      <c r="K37" s="314">
        <f t="shared" si="16"/>
        <v>1528.6666666666667</v>
      </c>
      <c r="L37" s="315">
        <f t="shared" si="16"/>
        <v>86.630718954248366</v>
      </c>
      <c r="M37" s="314">
        <f t="shared" si="16"/>
        <v>16.333333333333332</v>
      </c>
      <c r="N37" s="314">
        <f t="shared" si="16"/>
        <v>1170.9068289384725</v>
      </c>
      <c r="O37" s="315">
        <f t="shared" si="16"/>
        <v>71.768758700234685</v>
      </c>
      <c r="P37" s="74">
        <f>M37-J37</f>
        <v>-1.3333333333333357</v>
      </c>
      <c r="Q37" s="75">
        <f>N37-K37</f>
        <v>-357.75983772819427</v>
      </c>
      <c r="R37" s="316">
        <f t="shared" ref="R37:R38" si="17">O37/L37</f>
        <v>0.82844468528695214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8" si="18">N37-K37</f>
        <v>-357.75983772819427</v>
      </c>
      <c r="AC37" s="195">
        <f t="shared" ref="AC37:AC38" si="19">N37/K37</f>
        <v>0.76596608958033519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3296</v>
      </c>
      <c r="H38" s="64">
        <f>F38*G38</f>
        <v>164503.35999999999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17</v>
      </c>
      <c r="N38" s="130">
        <f>G38/W38*60</f>
        <v>1086.5934065934066</v>
      </c>
      <c r="O38" s="131">
        <f>N38/M38</f>
        <v>63.917259211376859</v>
      </c>
      <c r="P38" s="132">
        <f t="shared" ref="P38" si="20">M38-J38</f>
        <v>0</v>
      </c>
      <c r="Q38" s="133">
        <f t="shared" ref="Q38" si="21">O38-L38</f>
        <v>-28.141564318034909</v>
      </c>
      <c r="R38" s="197">
        <f t="shared" si="17"/>
        <v>0.69430888600217666</v>
      </c>
      <c r="S38" s="493">
        <f>R48</f>
        <v>0.8087127300830399</v>
      </c>
      <c r="T38" s="157">
        <v>0.33333333333333331</v>
      </c>
      <c r="U38" s="157">
        <v>0.4597222222222222</v>
      </c>
      <c r="V38" s="153"/>
      <c r="W38" s="158">
        <f t="shared" si="8"/>
        <v>182</v>
      </c>
      <c r="X38" s="155"/>
      <c r="Y38" s="159"/>
      <c r="Z38" s="427" t="s">
        <v>218</v>
      </c>
      <c r="AA38" s="427"/>
      <c r="AB38" s="319">
        <f t="shared" si="18"/>
        <v>-478.4065934065934</v>
      </c>
      <c r="AC38" s="161">
        <f t="shared" si="19"/>
        <v>0.69430888600217677</v>
      </c>
      <c r="AD38" s="388">
        <f>AC48</f>
        <v>0.73141445179359876</v>
      </c>
    </row>
    <row r="39" spans="1:30" s="63" customFormat="1" ht="15" customHeight="1" x14ac:dyDescent="0.25">
      <c r="A39" s="425"/>
      <c r="B39" s="56" t="s">
        <v>140</v>
      </c>
      <c r="C39" s="306" t="e">
        <v>#N/A</v>
      </c>
      <c r="D39" s="308" t="s">
        <v>173</v>
      </c>
      <c r="E39" s="307"/>
      <c r="F39" s="56">
        <v>56.87</v>
      </c>
      <c r="G39" s="305">
        <v>3685</v>
      </c>
      <c r="H39" s="64">
        <v>209565.94999999998</v>
      </c>
      <c r="I39" s="65"/>
      <c r="J39" s="37">
        <v>19</v>
      </c>
      <c r="K39" s="36">
        <v>1600</v>
      </c>
      <c r="L39" s="38">
        <v>88.235294117647058</v>
      </c>
      <c r="M39" s="66">
        <v>19</v>
      </c>
      <c r="N39" s="67">
        <v>1228.3333333333333</v>
      </c>
      <c r="O39" s="68">
        <v>81.888888888888886</v>
      </c>
      <c r="P39" s="39">
        <v>-2</v>
      </c>
      <c r="Q39" s="40">
        <v>-6.3464052287581723</v>
      </c>
      <c r="R39" s="198">
        <v>0.92807407407407405</v>
      </c>
      <c r="S39" s="494"/>
      <c r="T39" s="59">
        <v>0.52430555555555558</v>
      </c>
      <c r="U39" s="59">
        <v>0.64930555555555558</v>
      </c>
      <c r="V39" s="42">
        <f>(T39-U38)*24*60</f>
        <v>93.000000000000071</v>
      </c>
      <c r="W39" s="70">
        <f t="shared" si="8"/>
        <v>180</v>
      </c>
      <c r="X39" s="22">
        <v>0.47222222222222221</v>
      </c>
      <c r="Y39" s="22">
        <v>0.51388888888888884</v>
      </c>
      <c r="Z39" s="428"/>
      <c r="AA39" s="475"/>
      <c r="AB39" s="292">
        <f t="shared" ref="AB39" si="22">N39-K39</f>
        <v>-371.66666666666674</v>
      </c>
      <c r="AC39" s="62">
        <f t="shared" ref="AC39" si="23">N39/K39</f>
        <v>0.76770833333333333</v>
      </c>
      <c r="AD39" s="389"/>
    </row>
    <row r="40" spans="1:30" s="63" customFormat="1" ht="15" customHeight="1" x14ac:dyDescent="0.25">
      <c r="A40" s="425"/>
      <c r="B40" s="297"/>
      <c r="C40" s="298"/>
      <c r="D40" s="260"/>
      <c r="E40" s="261"/>
      <c r="F40" s="298"/>
      <c r="G40" s="102"/>
      <c r="H40" s="299"/>
      <c r="I40" s="300"/>
      <c r="J40" s="301"/>
      <c r="K40" s="78"/>
      <c r="L40" s="79"/>
      <c r="M40" s="302"/>
      <c r="N40" s="303"/>
      <c r="O40" s="58"/>
      <c r="P40" s="47"/>
      <c r="Q40" s="48"/>
      <c r="R40" s="304"/>
      <c r="S40" s="409"/>
      <c r="T40" s="59"/>
      <c r="U40" s="59"/>
      <c r="V40" s="42"/>
      <c r="W40" s="70">
        <f t="shared" si="8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8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8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24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18</v>
      </c>
      <c r="K48" s="137">
        <f t="shared" si="26"/>
        <v>1582.5</v>
      </c>
      <c r="L48" s="140">
        <f t="shared" si="26"/>
        <v>90.14705882352942</v>
      </c>
      <c r="M48" s="137">
        <f t="shared" si="26"/>
        <v>18</v>
      </c>
      <c r="N48" s="137">
        <f t="shared" si="26"/>
        <v>1157.46336996337</v>
      </c>
      <c r="O48" s="140">
        <f t="shared" si="26"/>
        <v>72.903074050132872</v>
      </c>
      <c r="P48" s="164">
        <f>M48-J48</f>
        <v>0</v>
      </c>
      <c r="Q48" s="165">
        <f>N48-K48</f>
        <v>-425.03663003662996</v>
      </c>
      <c r="R48" s="166">
        <f>O48/L48</f>
        <v>0.8087127300830399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-425.03663003662996</v>
      </c>
      <c r="AC48" s="199">
        <f>N48/K48</f>
        <v>0.73141445179359876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3252</v>
      </c>
      <c r="H49" s="128">
        <f t="shared" ref="H49:H57" si="27">F49*G49</f>
        <v>162502.44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1548.5714285714282</v>
      </c>
      <c r="O49" s="131">
        <f>N49/M49</f>
        <v>86.03174603174601</v>
      </c>
      <c r="P49" s="171">
        <f>M49-J49</f>
        <v>0</v>
      </c>
      <c r="Q49" s="115">
        <f>O49-L49</f>
        <v>-0.91269841269843255</v>
      </c>
      <c r="R49" s="192">
        <f>O49/L49</f>
        <v>0.98950251026928315</v>
      </c>
      <c r="S49" s="408">
        <f>R58</f>
        <v>0.98348064239812205</v>
      </c>
      <c r="T49" s="157">
        <v>0.28819444444444442</v>
      </c>
      <c r="U49" s="157">
        <v>0.37569444444444444</v>
      </c>
      <c r="V49" s="196"/>
      <c r="W49" s="158">
        <f t="shared" si="8"/>
        <v>126.00000000000003</v>
      </c>
      <c r="X49" s="196"/>
      <c r="Y49" s="196"/>
      <c r="Z49" s="423"/>
      <c r="AA49" s="423"/>
      <c r="AB49" s="114">
        <f>N49-K49</f>
        <v>-16.428571428571786</v>
      </c>
      <c r="AC49" s="192">
        <f>N49/K49</f>
        <v>0.98950251026928315</v>
      </c>
      <c r="AD49" s="391">
        <f>AC58</f>
        <v>0.96609986117719138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3456</v>
      </c>
      <c r="H50" s="77">
        <f t="shared" si="27"/>
        <v>196542.72</v>
      </c>
      <c r="I50" s="201"/>
      <c r="J50" s="16">
        <v>19</v>
      </c>
      <c r="K50" s="14">
        <v>1600</v>
      </c>
      <c r="L50" s="17">
        <f>K50/J50</f>
        <v>84.21052631578948</v>
      </c>
      <c r="M50" s="182">
        <v>18</v>
      </c>
      <c r="N50" s="78">
        <f>G50/W50*60</f>
        <v>1502.608695652174</v>
      </c>
      <c r="O50" s="79">
        <f>N50/M50</f>
        <v>83.478260869565219</v>
      </c>
      <c r="P50" s="18">
        <f>M50-J50</f>
        <v>-1</v>
      </c>
      <c r="Q50" s="19">
        <f>O50-L50</f>
        <v>-0.73226544622426104</v>
      </c>
      <c r="R50" s="193">
        <f>O50/L50</f>
        <v>0.9913043478260869</v>
      </c>
      <c r="S50" s="409"/>
      <c r="T50" s="80">
        <v>0.37986111111111109</v>
      </c>
      <c r="U50" s="80">
        <v>0.47569444444444442</v>
      </c>
      <c r="V50" s="185">
        <f t="shared" ref="V50:V51" si="28">(T50-U49)*24*60</f>
        <v>5.9999999999999787</v>
      </c>
      <c r="W50" s="81">
        <f t="shared" si="8"/>
        <v>138</v>
      </c>
      <c r="X50" s="22"/>
      <c r="Y50" s="22"/>
      <c r="Z50" s="398"/>
      <c r="AA50" s="399"/>
      <c r="AB50" s="18">
        <f>N50-K50</f>
        <v>-97.391304347826008</v>
      </c>
      <c r="AC50" s="193">
        <f>N50/K50</f>
        <v>0.93913043478260871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3622</v>
      </c>
      <c r="H51" s="77">
        <f t="shared" si="27"/>
        <v>180991.34</v>
      </c>
      <c r="I51" s="185"/>
      <c r="J51" s="16">
        <v>18</v>
      </c>
      <c r="K51" s="14">
        <v>1600</v>
      </c>
      <c r="L51" s="17">
        <f t="shared" ref="L51" si="29">K51/J51</f>
        <v>88.888888888888886</v>
      </c>
      <c r="M51" s="182">
        <v>18</v>
      </c>
      <c r="N51" s="78">
        <f t="shared" ref="N51" si="30">G51/W51*60</f>
        <v>1552.2857142857147</v>
      </c>
      <c r="O51" s="79">
        <f t="shared" ref="O51" si="31">N51/M51</f>
        <v>86.238095238095255</v>
      </c>
      <c r="P51" s="18">
        <f t="shared" ref="P51" si="32">M51-J51</f>
        <v>0</v>
      </c>
      <c r="Q51" s="19">
        <f t="shared" ref="Q51" si="33">O51-L51</f>
        <v>-2.6507936507936307</v>
      </c>
      <c r="R51" s="193">
        <f t="shared" ref="R51" si="34">O51/L51</f>
        <v>0.97017857142857167</v>
      </c>
      <c r="S51" s="409"/>
      <c r="T51" s="80">
        <v>0.53125</v>
      </c>
      <c r="U51" s="44">
        <v>0.62847222222222221</v>
      </c>
      <c r="V51" s="185">
        <f t="shared" si="28"/>
        <v>80.000000000000028</v>
      </c>
      <c r="W51" s="81">
        <f t="shared" si="8"/>
        <v>139.99999999999997</v>
      </c>
      <c r="X51" s="22">
        <v>0.4826388888888889</v>
      </c>
      <c r="Y51" s="22">
        <v>0.52430555555555558</v>
      </c>
      <c r="Z51" s="400"/>
      <c r="AA51" s="400"/>
      <c r="AB51" s="51">
        <f>N51-K51</f>
        <v>-47.714285714285325</v>
      </c>
      <c r="AC51" s="52">
        <f>N51/K51</f>
        <v>0.97017857142857167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8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8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8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8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8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8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5">AVERAGE(J49:J57)</f>
        <v>18.333333333333332</v>
      </c>
      <c r="K58" s="121">
        <f t="shared" si="35"/>
        <v>1588.3333333333333</v>
      </c>
      <c r="L58" s="118">
        <f t="shared" si="35"/>
        <v>86.681286549707622</v>
      </c>
      <c r="M58" s="121">
        <f t="shared" si="35"/>
        <v>18</v>
      </c>
      <c r="N58" s="121">
        <f t="shared" si="35"/>
        <v>1534.488612836439</v>
      </c>
      <c r="O58" s="118">
        <f t="shared" si="35"/>
        <v>85.249367379802152</v>
      </c>
      <c r="P58" s="122">
        <f>M58-J58</f>
        <v>-0.33333333333333215</v>
      </c>
      <c r="Q58" s="123">
        <f>N58-K58</f>
        <v>-53.844720496894297</v>
      </c>
      <c r="R58" s="124">
        <f t="shared" ref="R58:R60" si="36">O58/L58</f>
        <v>0.98348064239812205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7">N58-K58</f>
        <v>-53.844720496894297</v>
      </c>
      <c r="AC58" s="195">
        <f t="shared" ref="AC58:AC61" si="38">N58/K58</f>
        <v>0.96609986117719138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2626</v>
      </c>
      <c r="H59" s="109">
        <f t="shared" ref="H59:H68" si="39">F59*G59</f>
        <v>70875.739999999991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0">G59/W59*60</f>
        <v>1544.7058823529419</v>
      </c>
      <c r="O59" s="112">
        <f t="shared" ref="O59:O61" si="41">N59/M59</f>
        <v>118.82352941176477</v>
      </c>
      <c r="P59" s="114">
        <f t="shared" ref="P59:P61" si="42">M59-J59</f>
        <v>0</v>
      </c>
      <c r="Q59" s="115">
        <f t="shared" ref="Q59:Q61" si="43">O59-L59</f>
        <v>-1.5610859728506199</v>
      </c>
      <c r="R59" s="192">
        <f t="shared" si="36"/>
        <v>0.98703251268558589</v>
      </c>
      <c r="S59" s="408">
        <f>R69</f>
        <v>0.92665792225165877</v>
      </c>
      <c r="T59" s="176">
        <v>0.2951388888888889</v>
      </c>
      <c r="U59" s="176">
        <v>0.3659722222222222</v>
      </c>
      <c r="V59" s="196"/>
      <c r="W59" s="110">
        <f t="shared" si="8"/>
        <v>101.99999999999996</v>
      </c>
      <c r="X59" s="196"/>
      <c r="Y59" s="196"/>
      <c r="Z59" s="400"/>
      <c r="AA59" s="400"/>
      <c r="AB59" s="240">
        <f t="shared" si="37"/>
        <v>-20.294117647058101</v>
      </c>
      <c r="AC59" s="241">
        <f t="shared" si="38"/>
        <v>0.98703251268558589</v>
      </c>
      <c r="AD59" s="391">
        <f>AC69</f>
        <v>0.92903142279963291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1403</v>
      </c>
      <c r="H60" s="15">
        <f t="shared" si="39"/>
        <v>39943.409999999996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0"/>
        <v>1357.7419354838705</v>
      </c>
      <c r="O60" s="17">
        <f t="shared" si="41"/>
        <v>113.14516129032255</v>
      </c>
      <c r="P60" s="18">
        <f t="shared" si="42"/>
        <v>0</v>
      </c>
      <c r="Q60" s="19">
        <f t="shared" si="43"/>
        <v>-17.271505376344109</v>
      </c>
      <c r="R60" s="193">
        <f t="shared" si="36"/>
        <v>0.86756673193857547</v>
      </c>
      <c r="S60" s="419"/>
      <c r="T60" s="206">
        <v>0.37847222222222221</v>
      </c>
      <c r="U60" s="206">
        <v>0.42152777777777778</v>
      </c>
      <c r="V60" s="185">
        <f t="shared" ref="V60:V62" si="44">(T60-U59)*24*60</f>
        <v>18.000000000000014</v>
      </c>
      <c r="W60" s="93">
        <f t="shared" si="8"/>
        <v>62.000000000000021</v>
      </c>
      <c r="X60" s="201"/>
      <c r="Y60" s="201"/>
      <c r="Z60" s="400"/>
      <c r="AA60" s="400"/>
      <c r="AB60" s="242">
        <f t="shared" si="37"/>
        <v>-207.25806451612948</v>
      </c>
      <c r="AC60" s="243">
        <f t="shared" si="38"/>
        <v>0.86756673193857536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2274</v>
      </c>
      <c r="H61" s="15">
        <f t="shared" si="39"/>
        <v>64263.240000000005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5">K61/J61</f>
        <v>130.41666666666666</v>
      </c>
      <c r="M61" s="188">
        <v>12</v>
      </c>
      <c r="N61" s="14">
        <f t="shared" si="40"/>
        <v>1364.4000000000003</v>
      </c>
      <c r="O61" s="17">
        <f t="shared" si="41"/>
        <v>113.70000000000003</v>
      </c>
      <c r="P61" s="18">
        <f t="shared" si="42"/>
        <v>0</v>
      </c>
      <c r="Q61" s="19">
        <f t="shared" si="43"/>
        <v>-16.716666666666626</v>
      </c>
      <c r="R61" s="193">
        <f>O61/L61</f>
        <v>0.87182108626198118</v>
      </c>
      <c r="S61" s="409"/>
      <c r="T61" s="20">
        <v>0.43055555555555558</v>
      </c>
      <c r="U61" s="20">
        <v>0.5</v>
      </c>
      <c r="V61" s="185">
        <f t="shared" si="44"/>
        <v>13.000000000000034</v>
      </c>
      <c r="W61" s="91">
        <f t="shared" si="8"/>
        <v>99.999999999999972</v>
      </c>
      <c r="X61" s="22">
        <v>0.50694444444444442</v>
      </c>
      <c r="Y61" s="22">
        <v>0.54861111111111116</v>
      </c>
      <c r="Z61" s="400"/>
      <c r="AA61" s="400"/>
      <c r="AB61" s="51">
        <f t="shared" si="37"/>
        <v>-200.59999999999968</v>
      </c>
      <c r="AC61" s="52">
        <f t="shared" si="38"/>
        <v>0.87182108626198107</v>
      </c>
      <c r="AD61" s="392"/>
    </row>
    <row r="62" spans="1:30" ht="15" customHeight="1" x14ac:dyDescent="0.25">
      <c r="A62" s="417"/>
      <c r="B62" s="56" t="s">
        <v>216</v>
      </c>
      <c r="C62" s="10"/>
      <c r="D62" s="11" t="s">
        <v>128</v>
      </c>
      <c r="E62" s="89"/>
      <c r="F62" s="56">
        <v>26.99</v>
      </c>
      <c r="G62" s="185">
        <v>1938</v>
      </c>
      <c r="H62" s="15">
        <v>94060.15</v>
      </c>
      <c r="I62" s="82"/>
      <c r="J62" s="16">
        <v>13</v>
      </c>
      <c r="K62" s="14">
        <v>1565</v>
      </c>
      <c r="L62" s="17">
        <v>120.38461538461539</v>
      </c>
      <c r="M62" s="188">
        <v>13</v>
      </c>
      <c r="N62" s="14">
        <v>1548.8888888888887</v>
      </c>
      <c r="O62" s="17">
        <v>119.14529914529913</v>
      </c>
      <c r="P62" s="18">
        <v>0</v>
      </c>
      <c r="Q62" s="19">
        <v>-1.2393162393162527</v>
      </c>
      <c r="R62" s="193">
        <v>0.98970536031238898</v>
      </c>
      <c r="S62" s="409"/>
      <c r="T62" s="20">
        <v>0.55694444444444446</v>
      </c>
      <c r="U62" s="20">
        <v>0.60902777777777772</v>
      </c>
      <c r="V62" s="185">
        <f t="shared" si="44"/>
        <v>82.000000000000028</v>
      </c>
      <c r="W62" s="93">
        <f t="shared" si="8"/>
        <v>74.999999999999886</v>
      </c>
      <c r="X62" s="22"/>
      <c r="Y62" s="22"/>
      <c r="Z62" s="400"/>
      <c r="AA62" s="400"/>
      <c r="AB62" s="51">
        <f t="shared" ref="AB62" si="46">N62-K62</f>
        <v>-16.111111111111313</v>
      </c>
      <c r="AC62" s="52">
        <f t="shared" ref="AC62" si="47">N62/K62</f>
        <v>0.98970536031238898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8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9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8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9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8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9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8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9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8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9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8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8">AVERAGE(J59:J68)</f>
        <v>12.5</v>
      </c>
      <c r="K69" s="173">
        <f t="shared" si="48"/>
        <v>1565</v>
      </c>
      <c r="L69" s="178">
        <f t="shared" si="48"/>
        <v>125.40064102564102</v>
      </c>
      <c r="M69" s="173">
        <f t="shared" si="48"/>
        <v>12.5</v>
      </c>
      <c r="N69" s="173">
        <f t="shared" si="48"/>
        <v>1453.9341766814255</v>
      </c>
      <c r="O69" s="178">
        <f t="shared" si="48"/>
        <v>116.20349746184662</v>
      </c>
      <c r="P69" s="179">
        <f>M69-J69</f>
        <v>0</v>
      </c>
      <c r="Q69" s="165">
        <f>N69-K69</f>
        <v>-111.06582331857453</v>
      </c>
      <c r="R69" s="124">
        <f>O69/L69</f>
        <v>0.92665792225165877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-111.06582331857453</v>
      </c>
      <c r="AC69" s="195">
        <f>N69/K69</f>
        <v>0.92903142279963291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49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50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9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50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9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50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9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50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9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0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9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0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9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0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9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0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9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98" priority="1" operator="greaterThan">
      <formula>0</formula>
    </cfRule>
  </conditionalFormatting>
  <conditionalFormatting sqref="Q5:Q79 AB5:AB79">
    <cfRule type="cellIs" dxfId="197" priority="4" operator="lessThan">
      <formula>0</formula>
    </cfRule>
  </conditionalFormatting>
  <conditionalFormatting sqref="R5:R79 AC5:AC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D59:AD62 S69:S76 AD69:AD76">
    <cfRule type="cellIs" dxfId="194" priority="7" operator="lessThan">
      <formula>0.8</formula>
    </cfRule>
  </conditionalFormatting>
  <conditionalFormatting sqref="S19:S25 AD19:AD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D5:AD8 S15:S16 AD15:AD16 AD49 AD79">
    <cfRule type="cellIs" dxfId="191" priority="9" operator="lessThan">
      <formula>0.8</formula>
    </cfRule>
  </conditionalFormatting>
  <conditionalFormatting sqref="AD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3E4C54-012D-4891-B5BB-78DF220AFB69}">
          <x14:formula1>
            <xm:f>廠價表!$C$2:$C$37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9B14-8D66-4EC1-BD0E-1744D407BDC6}">
  <sheetPr>
    <pageSetUpPr fitToPage="1"/>
  </sheetPr>
  <dimension ref="B1:O22"/>
  <sheetViews>
    <sheetView zoomScale="70" zoomScaleNormal="70" workbookViewId="0">
      <selection activeCell="D3" sqref="D3:E4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45943</v>
      </c>
      <c r="E3" s="383"/>
      <c r="F3" s="214" t="s">
        <v>76</v>
      </c>
      <c r="G3" s="384">
        <f>'1013'!E1</f>
        <v>53335</v>
      </c>
      <c r="H3" s="384"/>
      <c r="I3" s="214" t="s">
        <v>77</v>
      </c>
      <c r="J3" s="385">
        <f>'1013'!G1</f>
        <v>2824055.73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116.17769371581291</v>
      </c>
      <c r="G6" s="362"/>
      <c r="H6" s="363">
        <f>AVERAGE(D13:H13)</f>
        <v>114.3331042538473</v>
      </c>
      <c r="I6" s="363"/>
      <c r="J6" s="363">
        <f>AVERAGE(I13)</f>
        <v>125.40064102564102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103.06279503558568</v>
      </c>
      <c r="G7" s="380"/>
      <c r="H7" s="381">
        <f>AVERAGE(D14:H14)</f>
        <v>100.37746473688668</v>
      </c>
      <c r="I7" s="381"/>
      <c r="J7" s="381">
        <f>AVERAGE(I14)</f>
        <v>116.48944652908071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0.89016687802107786</v>
      </c>
      <c r="G8" s="360"/>
      <c r="H8" s="360">
        <f>AVERAGE(D15:H15)</f>
        <v>0.88241261238785851</v>
      </c>
      <c r="I8" s="360"/>
      <c r="J8" s="360">
        <f>AVERAGE(I15)</f>
        <v>0.92893820618717404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VALUE('1013'!L15)</f>
        <v>146.45054945054943</v>
      </c>
      <c r="E13" s="227">
        <f>VALUE('1013'!L26)</f>
        <v>162.39316239316238</v>
      </c>
      <c r="F13" s="227">
        <f>VALUE('1013'!L37)</f>
        <v>86.630718954248366</v>
      </c>
      <c r="G13" s="227">
        <f>VALUE('1013'!L48)</f>
        <v>89.509803921568633</v>
      </c>
      <c r="H13" s="227">
        <f>VALUE('1013'!L58)</f>
        <v>86.681286549707622</v>
      </c>
      <c r="I13" s="227">
        <f>VALUE('1013'!L69)</f>
        <v>125.40064102564102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VALUE('1013'!O15)</f>
        <v>140.35927847385378</v>
      </c>
      <c r="E14" s="227">
        <f>VALUE('1013'!O26)</f>
        <v>128.25204147492477</v>
      </c>
      <c r="F14" s="227">
        <f>VALUE('1013'!O37)</f>
        <v>73.283429945491235</v>
      </c>
      <c r="G14" s="227">
        <f>VALUE('1013'!O48)</f>
        <v>76.236915438009831</v>
      </c>
      <c r="H14" s="227">
        <f>VALUE('1013'!O58)</f>
        <v>83.755658352153759</v>
      </c>
      <c r="I14" s="227">
        <f>VALUE('1013'!O69)</f>
        <v>116.48944652908071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0.95840731906060594</v>
      </c>
      <c r="E15" s="248">
        <f t="shared" ref="E15:I15" si="0">E14/E13</f>
        <v>0.78976257118769466</v>
      </c>
      <c r="F15" s="248">
        <f t="shared" si="0"/>
        <v>0.84592891332454334</v>
      </c>
      <c r="G15" s="248">
        <f t="shared" si="0"/>
        <v>0.85171581321763445</v>
      </c>
      <c r="H15" s="248">
        <f t="shared" si="0"/>
        <v>0.96624844514881358</v>
      </c>
      <c r="I15" s="248">
        <f t="shared" si="0"/>
        <v>0.92893820618717404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'1013'!T5</f>
        <v>0.2902777777777778</v>
      </c>
      <c r="E16" s="98">
        <f>'1013'!T16</f>
        <v>0.2902777777777778</v>
      </c>
      <c r="F16" s="98">
        <f>'1013'!T27</f>
        <v>0.29375000000000001</v>
      </c>
      <c r="G16" s="98">
        <f>'1013'!T38</f>
        <v>0.33194444444444443</v>
      </c>
      <c r="H16" s="98">
        <f>'1013'!T49</f>
        <v>0.2902777777777778</v>
      </c>
      <c r="I16" s="98">
        <f>'1013'!T59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20">
        <v>0.65</v>
      </c>
      <c r="E17" s="41">
        <v>0.61458333333333337</v>
      </c>
      <c r="F17" s="41">
        <v>0.59305555555555556</v>
      </c>
      <c r="G17" s="59">
        <v>0.65416666666666667</v>
      </c>
      <c r="H17" s="44">
        <v>0.6118055555555556</v>
      </c>
      <c r="I17" s="20">
        <v>0.60763888888888884</v>
      </c>
      <c r="J17" s="294"/>
    </row>
    <row r="18" spans="2:10" ht="17.25" customHeight="1" x14ac:dyDescent="0.25">
      <c r="B18" s="481" t="s">
        <v>105</v>
      </c>
      <c r="C18" s="355"/>
      <c r="D18" s="229">
        <f>VALUE('1013'!M15)</f>
        <v>13.4</v>
      </c>
      <c r="E18" s="229">
        <f>VALUE('1013'!M26)</f>
        <v>12.333333333333334</v>
      </c>
      <c r="F18" s="229">
        <f>VALUE('1013'!M37)</f>
        <v>16</v>
      </c>
      <c r="G18" s="229">
        <f>VALUE('1013'!M48)</f>
        <v>16.666666666666668</v>
      </c>
      <c r="H18" s="229">
        <f>VALUE('1013'!M58)</f>
        <v>18.333333333333332</v>
      </c>
      <c r="I18" s="229">
        <f>VALUE('1013'!M69)</f>
        <v>12.5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4BB2-D395-4F4D-86A1-978577CC3D76}">
  <sheetPr>
    <tabColor theme="9" tint="0.79998168889431442"/>
    <pageSetUpPr fitToPage="1"/>
  </sheetPr>
  <dimension ref="A1:AF92"/>
  <sheetViews>
    <sheetView zoomScale="69" zoomScaleNormal="69" workbookViewId="0">
      <pane xSplit="5" ySplit="4" topLeftCell="M41" activePane="bottomRight" state="frozen"/>
      <selection activeCell="D4" sqref="D4:E4"/>
      <selection pane="topRight" activeCell="D4" sqref="D4:E4"/>
      <selection pane="bottomLeft" activeCell="D4" sqref="D4:E4"/>
      <selection pane="bottomRight" activeCell="U63" sqref="U63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53335</v>
      </c>
      <c r="F1" s="185" t="s">
        <v>9</v>
      </c>
      <c r="G1" s="4">
        <f>SUM(H5:H79)</f>
        <v>2824055.73</v>
      </c>
      <c r="H1" s="183" t="s">
        <v>10</v>
      </c>
      <c r="I1" s="5">
        <f>M15+M26+M48+M58+M69+M79+M37</f>
        <v>89.233333333333334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220</v>
      </c>
      <c r="B2" s="461"/>
      <c r="C2" s="184"/>
      <c r="D2" s="184" t="s">
        <v>1</v>
      </c>
      <c r="E2" s="7">
        <f>AVERAGE(O15,O26,O37,O48,O58,O69,O79)</f>
        <v>103.06279503558568</v>
      </c>
      <c r="F2" s="8" t="s">
        <v>2</v>
      </c>
      <c r="G2" s="9">
        <f>G1/E1</f>
        <v>52.949390269054092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1986</v>
      </c>
      <c r="H5" s="109">
        <f>F5*G5</f>
        <v>113619.06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1953.4426229508217</v>
      </c>
      <c r="O5" s="112">
        <f>N5/M5</f>
        <v>150.26481715006321</v>
      </c>
      <c r="P5" s="114">
        <f>M5-J5</f>
        <v>0</v>
      </c>
      <c r="Q5" s="115">
        <f>O5-L5</f>
        <v>-3.5813366960906308</v>
      </c>
      <c r="R5" s="192">
        <f>O5/L5</f>
        <v>0.97672131147541086</v>
      </c>
      <c r="S5" s="408">
        <f>R15</f>
        <v>0.95840731906060594</v>
      </c>
      <c r="T5" s="97">
        <v>0.2902777777777778</v>
      </c>
      <c r="U5" s="97">
        <v>0.33263888888888887</v>
      </c>
      <c r="V5" s="202"/>
      <c r="W5" s="110">
        <f t="shared" ref="W5:W14" si="0">(U5-T5)*24*60</f>
        <v>60.999999999999943</v>
      </c>
      <c r="X5" s="196"/>
      <c r="Y5" s="196"/>
      <c r="Z5" s="423"/>
      <c r="AA5" s="423"/>
      <c r="AB5" s="114">
        <f>N5-K5</f>
        <v>-46.557377049178285</v>
      </c>
      <c r="AC5" s="192">
        <f>N5/K5</f>
        <v>0.97672131147541086</v>
      </c>
      <c r="AD5" s="391">
        <f>AC15</f>
        <v>0.95772885038309208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1920</v>
      </c>
      <c r="H6" s="15">
        <f t="shared" ref="H6:H14" si="1">F6*G6</f>
        <v>109843.2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1645.714285714286</v>
      </c>
      <c r="O6" s="17">
        <f>N6/M6</f>
        <v>117.55102040816328</v>
      </c>
      <c r="P6" s="18">
        <f>M6-J6</f>
        <v>0</v>
      </c>
      <c r="Q6" s="19">
        <f>O6-L6</f>
        <v>-17.806122448979579</v>
      </c>
      <c r="R6" s="193">
        <f>O6/L6</f>
        <v>0.86845081040331706</v>
      </c>
      <c r="S6" s="409"/>
      <c r="T6" s="98">
        <v>0.34236111111111112</v>
      </c>
      <c r="U6" s="98">
        <v>0.39097222222222222</v>
      </c>
      <c r="V6" s="185">
        <f>(T6-U5)*24*60</f>
        <v>14.00000000000003</v>
      </c>
      <c r="W6" s="190">
        <f t="shared" si="0"/>
        <v>69.999999999999986</v>
      </c>
      <c r="X6" s="22"/>
      <c r="Y6" s="22"/>
      <c r="Z6" s="446"/>
      <c r="AA6" s="446"/>
      <c r="AB6" s="18">
        <f>N6-K6</f>
        <v>-249.28571428571399</v>
      </c>
      <c r="AC6" s="193">
        <f>N6/K6</f>
        <v>0.86845081040331717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3316</v>
      </c>
      <c r="H7" s="15">
        <f t="shared" si="1"/>
        <v>162948.24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1989.6000000000006</v>
      </c>
      <c r="O7" s="17">
        <f>N7/M7</f>
        <v>153.04615384615389</v>
      </c>
      <c r="P7" s="18">
        <f>M7-J7</f>
        <v>0</v>
      </c>
      <c r="Q7" s="19">
        <f>O7-L7</f>
        <v>-0.79999999999995453</v>
      </c>
      <c r="R7" s="193">
        <f>O7/L7</f>
        <v>0.99480000000000035</v>
      </c>
      <c r="S7" s="409"/>
      <c r="T7" s="98">
        <v>0.40277777777777779</v>
      </c>
      <c r="U7" s="98">
        <v>0.47222222222222221</v>
      </c>
      <c r="V7" s="185">
        <f>(T7-U6)*24*60</f>
        <v>17.000000000000021</v>
      </c>
      <c r="W7" s="190">
        <f t="shared" si="0"/>
        <v>99.999999999999972</v>
      </c>
      <c r="X7" s="22"/>
      <c r="Y7" s="22"/>
      <c r="Z7" s="400"/>
      <c r="AA7" s="400"/>
      <c r="AB7" s="18">
        <f>N7-K7</f>
        <v>-10.399999999999409</v>
      </c>
      <c r="AC7" s="193">
        <f>N7/K7</f>
        <v>0.99480000000000035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3535</v>
      </c>
      <c r="H8" s="15">
        <f t="shared" si="1"/>
        <v>173709.9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1893.7499999999984</v>
      </c>
      <c r="O8" s="17">
        <f>N8/M8</f>
        <v>145.67307692307679</v>
      </c>
      <c r="P8" s="18">
        <f>M8-J8</f>
        <v>0</v>
      </c>
      <c r="Q8" s="19">
        <f>O8-L8</f>
        <v>-8.1730769230770477</v>
      </c>
      <c r="R8" s="193">
        <f>O8/L8</f>
        <v>0.94687499999999913</v>
      </c>
      <c r="S8" s="409"/>
      <c r="T8" s="80">
        <v>0.53333333333333333</v>
      </c>
      <c r="U8" s="80">
        <v>0.61111111111111116</v>
      </c>
      <c r="V8" s="185">
        <f>(T8-U7)*24*60</f>
        <v>88</v>
      </c>
      <c r="W8" s="190">
        <f t="shared" si="0"/>
        <v>112.00000000000009</v>
      </c>
      <c r="X8" s="22">
        <v>0.47916666666666669</v>
      </c>
      <c r="Y8" s="22">
        <v>0.52083333333333337</v>
      </c>
      <c r="Z8" s="447"/>
      <c r="AA8" s="447"/>
      <c r="AB8" s="18">
        <f>N8-K8</f>
        <v>-106.25000000000159</v>
      </c>
      <c r="AC8" s="193">
        <f>N8/K8</f>
        <v>0.94687499999999925</v>
      </c>
      <c r="AD8" s="392"/>
    </row>
    <row r="9" spans="1:30" ht="15" customHeight="1" x14ac:dyDescent="0.25">
      <c r="A9" s="466"/>
      <c r="B9" s="56" t="str">
        <f>VLOOKUP(D9,廠價表!$C$1:$E$39,2,0)</f>
        <v>義大利麵</v>
      </c>
      <c r="C9" s="23"/>
      <c r="D9" s="11" t="s">
        <v>148</v>
      </c>
      <c r="E9" s="12"/>
      <c r="F9" s="56">
        <f>VLOOKUP(D9,廠價表!$C$1:$E$39,3,0)</f>
        <v>57.21</v>
      </c>
      <c r="G9" s="25">
        <v>1294</v>
      </c>
      <c r="H9" s="15">
        <f t="shared" ref="H9" si="2">F9*G9</f>
        <v>74029.740000000005</v>
      </c>
      <c r="I9" s="190"/>
      <c r="J9" s="16">
        <f>VLOOKUP(D9,產線配置圖!$A$2:$C$38,2,0)</f>
        <v>14</v>
      </c>
      <c r="K9" s="14">
        <f>VLOOKUP(D9,產線配置圖!$A$2:$C$38,3,0)</f>
        <v>1895</v>
      </c>
      <c r="L9" s="17">
        <f>K9/J9</f>
        <v>135.35714285714286</v>
      </c>
      <c r="M9" s="188">
        <v>14</v>
      </c>
      <c r="N9" s="14">
        <f>G9/W9*60</f>
        <v>1893.6585365853653</v>
      </c>
      <c r="O9" s="17">
        <f>N9/M9</f>
        <v>135.2613240418118</v>
      </c>
      <c r="P9" s="18">
        <f>M9-J9</f>
        <v>0</v>
      </c>
      <c r="Q9" s="19">
        <f>O9-L9</f>
        <v>-9.5818815331057294E-2</v>
      </c>
      <c r="R9" s="193">
        <f>O9/L9</f>
        <v>0.99929210373897903</v>
      </c>
      <c r="S9" s="410"/>
      <c r="T9" s="20">
        <v>0.62152777777777779</v>
      </c>
      <c r="U9" s="20">
        <v>0.65</v>
      </c>
      <c r="V9" s="185">
        <f>(T9-U8)*24*60</f>
        <v>14.999999999999947</v>
      </c>
      <c r="W9" s="24">
        <f t="shared" si="0"/>
        <v>41.000000000000014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/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3">AVERAGE(J5:J14)</f>
        <v>13.4</v>
      </c>
      <c r="K15" s="121">
        <f t="shared" si="3"/>
        <v>1958</v>
      </c>
      <c r="L15" s="118">
        <f t="shared" si="3"/>
        <v>146.45054945054943</v>
      </c>
      <c r="M15" s="121">
        <f t="shared" si="3"/>
        <v>13.4</v>
      </c>
      <c r="N15" s="121">
        <f t="shared" si="3"/>
        <v>1875.2330890500943</v>
      </c>
      <c r="O15" s="118">
        <f t="shared" si="3"/>
        <v>140.35927847385378</v>
      </c>
      <c r="P15" s="122">
        <f t="shared" ref="P15:P16" si="4">M15-J15</f>
        <v>0</v>
      </c>
      <c r="Q15" s="123">
        <f t="shared" ref="Q15:Q16" si="5">O15-L15</f>
        <v>-6.0912709766956539</v>
      </c>
      <c r="R15" s="124">
        <f t="shared" ref="R15:R16" si="6">O15/L15</f>
        <v>0.95840731906060594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-82.76691094990565</v>
      </c>
      <c r="AC15" s="195">
        <f>N15/K15</f>
        <v>0.95772885038309208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2464</v>
      </c>
      <c r="H16" s="128">
        <f t="shared" ref="H16:H25" si="7">F16*G16</f>
        <v>140965.44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1945.2631578947376</v>
      </c>
      <c r="O16" s="131">
        <f>N16/M16</f>
        <v>149.63562753036442</v>
      </c>
      <c r="P16" s="132">
        <f t="shared" si="4"/>
        <v>0</v>
      </c>
      <c r="Q16" s="133">
        <f t="shared" si="5"/>
        <v>-4.2105263157894228</v>
      </c>
      <c r="R16" s="197">
        <f t="shared" si="6"/>
        <v>0.97263157894736874</v>
      </c>
      <c r="S16" s="433">
        <f>R26</f>
        <v>0.78976257118769466</v>
      </c>
      <c r="T16" s="288">
        <v>0.2902777777777778</v>
      </c>
      <c r="U16" s="288">
        <v>0.34305555555555556</v>
      </c>
      <c r="V16" s="129"/>
      <c r="W16" s="134">
        <f t="shared" ref="W16:W68" si="8">(U16-T16)*24*60</f>
        <v>75.999999999999972</v>
      </c>
      <c r="X16" s="131"/>
      <c r="Y16" s="131"/>
      <c r="Z16" s="423" t="s">
        <v>221</v>
      </c>
      <c r="AA16" s="423"/>
      <c r="AB16" s="114">
        <f>N16-K16</f>
        <v>-54.73684210526244</v>
      </c>
      <c r="AC16" s="192">
        <f>N16/K16</f>
        <v>0.97263157894736874</v>
      </c>
      <c r="AD16" s="391">
        <f>AC26</f>
        <v>0.79445152010460929</v>
      </c>
    </row>
    <row r="17" spans="1:30" ht="15" customHeight="1" x14ac:dyDescent="0.25">
      <c r="A17" s="439"/>
      <c r="B17" s="56" t="s">
        <v>63</v>
      </c>
      <c r="C17" s="10"/>
      <c r="D17" s="11" t="s">
        <v>137</v>
      </c>
      <c r="E17" s="89"/>
      <c r="F17" s="56">
        <f>VLOOKUP(D17,廠價表!$C$1:$E$39,3,0)</f>
        <v>50.39</v>
      </c>
      <c r="G17" s="99">
        <v>2999</v>
      </c>
      <c r="H17" s="15">
        <f>F17*G17</f>
        <v>151119.61000000002</v>
      </c>
      <c r="I17" s="185"/>
      <c r="J17" s="16">
        <f>VLOOKUP(D17,產線配置圖!$A$2:$C$38,2,0)</f>
        <v>12</v>
      </c>
      <c r="K17" s="14">
        <f>VLOOKUP(D17,產線配置圖!$A$2:$C$38,3,0)</f>
        <v>2000</v>
      </c>
      <c r="L17" s="17">
        <f>K17/J17</f>
        <v>166.66666666666666</v>
      </c>
      <c r="M17" s="37">
        <v>12</v>
      </c>
      <c r="N17" s="36">
        <f>G17/W17*60</f>
        <v>1028.2285714285713</v>
      </c>
      <c r="O17" s="38">
        <f>N17/M17</f>
        <v>85.685714285714269</v>
      </c>
      <c r="P17" s="39">
        <f>M17-J17</f>
        <v>0</v>
      </c>
      <c r="Q17" s="40">
        <f>O17-L17</f>
        <v>-80.980952380952388</v>
      </c>
      <c r="R17" s="198">
        <f>O17/L17</f>
        <v>0.51411428571428563</v>
      </c>
      <c r="S17" s="434"/>
      <c r="T17" s="41">
        <v>0.35069444444444442</v>
      </c>
      <c r="U17" s="41">
        <v>0.47222222222222221</v>
      </c>
      <c r="V17" s="185">
        <f>(T17-U16)*24*60</f>
        <v>10.999999999999961</v>
      </c>
      <c r="W17" s="43">
        <f t="shared" si="8"/>
        <v>175.00000000000003</v>
      </c>
      <c r="X17" s="44"/>
      <c r="Y17" s="44"/>
      <c r="Z17" s="399" t="s">
        <v>219</v>
      </c>
      <c r="AA17" s="400"/>
      <c r="AB17" s="18">
        <f>N17-K17</f>
        <v>-971.77142857142871</v>
      </c>
      <c r="AC17" s="193">
        <f>N17/K17</f>
        <v>0.51411428571428563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3437</v>
      </c>
      <c r="H18" s="15">
        <f>F18*G18</f>
        <v>173190.43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1793.2173913043466</v>
      </c>
      <c r="O18" s="38">
        <f>N18/M18</f>
        <v>149.43478260869554</v>
      </c>
      <c r="P18" s="39">
        <f>M18-J18</f>
        <v>0</v>
      </c>
      <c r="Q18" s="40">
        <f>O18-L18</f>
        <v>-17.231884057971115</v>
      </c>
      <c r="R18" s="198">
        <f>O18/L18</f>
        <v>0.89660869565217327</v>
      </c>
      <c r="S18" s="434"/>
      <c r="T18" s="41">
        <v>0.53472222222222221</v>
      </c>
      <c r="U18" s="41">
        <v>0.61458333333333337</v>
      </c>
      <c r="V18" s="185">
        <f>(T18-U17)*24*60</f>
        <v>90</v>
      </c>
      <c r="W18" s="43">
        <f t="shared" si="8"/>
        <v>115.00000000000007</v>
      </c>
      <c r="X18" s="22">
        <v>0.47916666666666669</v>
      </c>
      <c r="Y18" s="22">
        <v>0.52083333333333337</v>
      </c>
      <c r="Z18" s="399"/>
      <c r="AA18" s="400"/>
      <c r="AB18" s="18">
        <f>N18-K18</f>
        <v>-206.78260869565338</v>
      </c>
      <c r="AC18" s="193">
        <f>N18/K18</f>
        <v>0.89660869565217327</v>
      </c>
      <c r="AD18" s="392"/>
    </row>
    <row r="19" spans="1:30" ht="15" customHeight="1" x14ac:dyDescent="0.25">
      <c r="A19" s="439"/>
      <c r="B19" s="56"/>
      <c r="C19" s="23"/>
      <c r="D19" s="11"/>
      <c r="E19" s="12"/>
      <c r="F19" s="56"/>
      <c r="G19" s="99"/>
      <c r="H19" s="15"/>
      <c r="I19" s="42"/>
      <c r="J19" s="16"/>
      <c r="K19" s="14"/>
      <c r="L19" s="17"/>
      <c r="M19" s="37"/>
      <c r="N19" s="36"/>
      <c r="O19" s="38"/>
      <c r="P19" s="39"/>
      <c r="Q19" s="40"/>
      <c r="R19" s="198"/>
      <c r="S19" s="434"/>
      <c r="T19" s="41"/>
      <c r="U19" s="41"/>
      <c r="V19" s="185"/>
      <c r="W19" s="43">
        <f t="shared" si="8"/>
        <v>0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42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7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7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8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8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8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9">AVERAGE(J16:J25)</f>
        <v>12.333333333333334</v>
      </c>
      <c r="K26" s="137">
        <f t="shared" si="9"/>
        <v>2000</v>
      </c>
      <c r="L26" s="140">
        <f t="shared" si="9"/>
        <v>162.39316239316238</v>
      </c>
      <c r="M26" s="137">
        <f t="shared" si="9"/>
        <v>12.333333333333334</v>
      </c>
      <c r="N26" s="137">
        <f t="shared" si="9"/>
        <v>1588.9030402092185</v>
      </c>
      <c r="O26" s="140">
        <f t="shared" si="9"/>
        <v>128.25204147492477</v>
      </c>
      <c r="P26" s="141">
        <f t="shared" ref="P26:P29" si="10">M26-J26</f>
        <v>0</v>
      </c>
      <c r="Q26" s="142">
        <f t="shared" ref="Q26:Q29" si="11">O26-L26</f>
        <v>-34.141120918237618</v>
      </c>
      <c r="R26" s="143">
        <f t="shared" ref="R26:R29" si="12">O26/L26</f>
        <v>0.78976257118769466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-411.09695979078151</v>
      </c>
      <c r="AC26" s="195">
        <f>N26/K26</f>
        <v>0.79445152010460929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168</v>
      </c>
      <c r="E27" s="107"/>
      <c r="F27" s="207">
        <f>VLOOKUP(D27,廠價表!$C$1:$E$39,3,0)</f>
        <v>57.21</v>
      </c>
      <c r="G27" s="289">
        <v>1772</v>
      </c>
      <c r="H27" s="128">
        <f t="shared" ref="H27:H36" si="13">F27*G27</f>
        <v>101376.12</v>
      </c>
      <c r="I27" s="129"/>
      <c r="J27" s="111">
        <f>VLOOKUP(D27,產線配置圖!$A$2:$C$38,2,0)</f>
        <v>17</v>
      </c>
      <c r="K27" s="252">
        <f>VLOOKUP(D27,產線配置圖!$A$2:$C$38,3,0)</f>
        <v>1565</v>
      </c>
      <c r="L27" s="112">
        <f>K27/J27</f>
        <v>92.058823529411768</v>
      </c>
      <c r="M27" s="147">
        <v>16</v>
      </c>
      <c r="N27" s="130">
        <f>G27/W27*60</f>
        <v>1222.0689655172412</v>
      </c>
      <c r="O27" s="131">
        <f>N27/M27</f>
        <v>76.379310344827573</v>
      </c>
      <c r="P27" s="132">
        <f t="shared" si="10"/>
        <v>-1</v>
      </c>
      <c r="Q27" s="133">
        <f t="shared" si="11"/>
        <v>-15.679513184584195</v>
      </c>
      <c r="R27" s="197">
        <f t="shared" si="12"/>
        <v>0.82967940949652952</v>
      </c>
      <c r="S27" s="433">
        <f>R37</f>
        <v>0.84592891332454334</v>
      </c>
      <c r="T27" s="97">
        <v>0.29375000000000001</v>
      </c>
      <c r="U27" s="97">
        <v>0.35416666666666669</v>
      </c>
      <c r="V27" s="129"/>
      <c r="W27" s="134">
        <f t="shared" si="8"/>
        <v>87.000000000000014</v>
      </c>
      <c r="X27" s="129"/>
      <c r="Y27" s="129" t="s">
        <v>158</v>
      </c>
      <c r="Z27" s="414"/>
      <c r="AA27" s="423"/>
      <c r="AB27" s="114">
        <f>N27-K27</f>
        <v>-342.93103448275883</v>
      </c>
      <c r="AC27" s="148">
        <f>N27/K27</f>
        <v>0.78087473834967491</v>
      </c>
      <c r="AD27" s="391">
        <f>AC37</f>
        <v>0.76703110278752273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3237</v>
      </c>
      <c r="H28" s="50">
        <f t="shared" si="13"/>
        <v>178455.81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16</v>
      </c>
      <c r="N28" s="36">
        <f>G28/W28*60</f>
        <v>1122.6589595375719</v>
      </c>
      <c r="O28" s="38">
        <f>N28/M28</f>
        <v>70.166184971098247</v>
      </c>
      <c r="P28" s="39">
        <f t="shared" si="10"/>
        <v>-2</v>
      </c>
      <c r="Q28" s="40">
        <f t="shared" si="11"/>
        <v>-6.7782594733461963</v>
      </c>
      <c r="R28" s="198">
        <f t="shared" si="12"/>
        <v>0.91190709709730577</v>
      </c>
      <c r="S28" s="434"/>
      <c r="T28" s="291">
        <v>0.35902777777777778</v>
      </c>
      <c r="U28" s="291">
        <v>0.47916666666666669</v>
      </c>
      <c r="V28" s="42">
        <f>(T28-U27)*24*60</f>
        <v>6.9999999999999751</v>
      </c>
      <c r="W28" s="43">
        <f t="shared" si="8"/>
        <v>173.00000000000003</v>
      </c>
      <c r="X28" s="54"/>
      <c r="Y28" s="54"/>
      <c r="Z28" s="399"/>
      <c r="AA28" s="400"/>
      <c r="AB28" s="34">
        <f>N28-K28</f>
        <v>-262.34104046242805</v>
      </c>
      <c r="AC28" s="194">
        <f>N28/K28</f>
        <v>0.81058408630871626</v>
      </c>
      <c r="AD28" s="392"/>
    </row>
    <row r="29" spans="1:30" ht="15" customHeight="1" x14ac:dyDescent="0.25">
      <c r="A29" s="431"/>
      <c r="B29" s="56" t="str">
        <f>VLOOKUP(D29,廠價表!$C$1:$E$39,2,0)</f>
        <v>熱乾麵</v>
      </c>
      <c r="C29" s="10"/>
      <c r="D29" s="28" t="s">
        <v>170</v>
      </c>
      <c r="E29" s="89"/>
      <c r="F29" s="56">
        <f>VLOOKUP(D29,廠價表!$C$1:$E$39,3,0)</f>
        <v>47.6</v>
      </c>
      <c r="G29" s="256">
        <v>1427</v>
      </c>
      <c r="H29" s="50">
        <f t="shared" si="13"/>
        <v>67925.2</v>
      </c>
      <c r="I29" s="42"/>
      <c r="J29" s="16">
        <f>VLOOKUP(D29,產線配置圖!$A$2:$C$38,2,0)</f>
        <v>18</v>
      </c>
      <c r="K29" s="14">
        <f>VLOOKUP(D29,產線配置圖!$A$2:$C$38,3,0)</f>
        <v>1636</v>
      </c>
      <c r="L29" s="251">
        <f>K29/J29</f>
        <v>90.888888888888886</v>
      </c>
      <c r="M29" s="21">
        <v>16</v>
      </c>
      <c r="N29" s="36">
        <f>G29/W29*60</f>
        <v>1172.8767123287662</v>
      </c>
      <c r="O29" s="38">
        <f>N29/M29</f>
        <v>73.304794520547887</v>
      </c>
      <c r="P29" s="39">
        <f t="shared" si="10"/>
        <v>-2</v>
      </c>
      <c r="Q29" s="40">
        <f t="shared" si="11"/>
        <v>-17.584094368340999</v>
      </c>
      <c r="R29" s="198">
        <f t="shared" si="12"/>
        <v>0.80653196905248292</v>
      </c>
      <c r="S29" s="434"/>
      <c r="T29" s="41">
        <v>0.54236111111111107</v>
      </c>
      <c r="U29" s="41">
        <v>0.59305555555555556</v>
      </c>
      <c r="V29" s="42">
        <f>(T29-U28)*24*60</f>
        <v>90.999999999999915</v>
      </c>
      <c r="W29" s="43">
        <f t="shared" si="8"/>
        <v>73.000000000000057</v>
      </c>
      <c r="X29" s="54">
        <v>0.48958333333333331</v>
      </c>
      <c r="Y29" s="54">
        <v>0.53125</v>
      </c>
      <c r="Z29" s="399"/>
      <c r="AA29" s="398"/>
      <c r="AB29" s="275">
        <f t="shared" ref="AB29" si="14">N29-K29</f>
        <v>-463.12328767123381</v>
      </c>
      <c r="AC29" s="276">
        <f t="shared" ref="AC29" si="15">N29/K29</f>
        <v>0.71691730582442925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8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8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3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8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3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8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3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8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3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8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3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8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6">AVERAGE(J27:J36)</f>
        <v>17.666666666666668</v>
      </c>
      <c r="K37" s="314">
        <f t="shared" si="16"/>
        <v>1528.6666666666667</v>
      </c>
      <c r="L37" s="315">
        <f t="shared" si="16"/>
        <v>86.630718954248366</v>
      </c>
      <c r="M37" s="314">
        <f t="shared" si="16"/>
        <v>16</v>
      </c>
      <c r="N37" s="314">
        <f t="shared" si="16"/>
        <v>1172.5348791278598</v>
      </c>
      <c r="O37" s="315">
        <f t="shared" si="16"/>
        <v>73.283429945491235</v>
      </c>
      <c r="P37" s="74">
        <f>M37-J37</f>
        <v>-1.6666666666666679</v>
      </c>
      <c r="Q37" s="75">
        <f>N37-K37</f>
        <v>-356.13178753880698</v>
      </c>
      <c r="R37" s="316">
        <f t="shared" ref="R37:R40" si="17">O37/L37</f>
        <v>0.84592891332454334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18">N37-K37</f>
        <v>-356.13178753880698</v>
      </c>
      <c r="AC37" s="195">
        <f t="shared" ref="AC37:AC39" si="19">N37/K37</f>
        <v>0.76703110278752273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3427</v>
      </c>
      <c r="H38" s="64">
        <f>F38*G38</f>
        <v>171041.56999999998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17</v>
      </c>
      <c r="N38" s="130">
        <f>G38/W38*60</f>
        <v>1370.7999999999997</v>
      </c>
      <c r="O38" s="131">
        <f>N38/M38</f>
        <v>80.635294117647049</v>
      </c>
      <c r="P38" s="132">
        <f t="shared" ref="P38:P40" si="20">M38-J38</f>
        <v>0</v>
      </c>
      <c r="Q38" s="133">
        <f t="shared" ref="Q38:Q40" si="21">O38-L38</f>
        <v>-11.423529411764719</v>
      </c>
      <c r="R38" s="197">
        <f t="shared" si="17"/>
        <v>0.87591054313099026</v>
      </c>
      <c r="S38" s="493">
        <f>R48</f>
        <v>0.85171581321763445</v>
      </c>
      <c r="T38" s="157">
        <v>0.33194444444444443</v>
      </c>
      <c r="U38" s="157">
        <v>0.43611111111111112</v>
      </c>
      <c r="V38" s="153"/>
      <c r="W38" s="158">
        <f t="shared" si="8"/>
        <v>150.00000000000003</v>
      </c>
      <c r="X38" s="155"/>
      <c r="Y38" s="159"/>
      <c r="Z38" s="427"/>
      <c r="AA38" s="427"/>
      <c r="AB38" s="319">
        <f t="shared" si="18"/>
        <v>-194.20000000000027</v>
      </c>
      <c r="AC38" s="161">
        <f t="shared" si="19"/>
        <v>0.87591054313099026</v>
      </c>
      <c r="AD38" s="388">
        <f>AC48</f>
        <v>0.79972538780025548</v>
      </c>
    </row>
    <row r="39" spans="1:30" s="63" customFormat="1" ht="15" customHeight="1" x14ac:dyDescent="0.25">
      <c r="A39" s="425"/>
      <c r="B39" s="56" t="s">
        <v>140</v>
      </c>
      <c r="C39" s="306" t="e">
        <v>#N/A</v>
      </c>
      <c r="D39" s="308" t="s">
        <v>173</v>
      </c>
      <c r="E39" s="307"/>
      <c r="F39" s="56">
        <v>56.87</v>
      </c>
      <c r="G39" s="305">
        <v>1691</v>
      </c>
      <c r="H39" s="64">
        <v>209565.94999999998</v>
      </c>
      <c r="I39" s="65"/>
      <c r="J39" s="37">
        <v>19</v>
      </c>
      <c r="K39" s="36">
        <v>1600</v>
      </c>
      <c r="L39" s="38">
        <v>88.235294117647058</v>
      </c>
      <c r="M39" s="66">
        <v>15</v>
      </c>
      <c r="N39" s="67">
        <f>G39/W39*60</f>
        <v>1127.3333333333333</v>
      </c>
      <c r="O39" s="68">
        <f>N39/M39</f>
        <v>75.155555555555551</v>
      </c>
      <c r="P39" s="39">
        <f t="shared" si="20"/>
        <v>-4</v>
      </c>
      <c r="Q39" s="40">
        <f t="shared" si="21"/>
        <v>-13.079738562091507</v>
      </c>
      <c r="R39" s="198">
        <f t="shared" si="17"/>
        <v>0.85176296296296294</v>
      </c>
      <c r="S39" s="494"/>
      <c r="T39" s="59">
        <v>0.44097222222222221</v>
      </c>
      <c r="U39" s="59">
        <v>0.50347222222222221</v>
      </c>
      <c r="V39" s="42">
        <f>(T39-U38)*24*60</f>
        <v>6.9999999999999751</v>
      </c>
      <c r="W39" s="70">
        <f t="shared" si="8"/>
        <v>90</v>
      </c>
      <c r="X39" s="22"/>
      <c r="Y39" s="22"/>
      <c r="Z39" s="428"/>
      <c r="AA39" s="475"/>
      <c r="AB39" s="292">
        <f t="shared" si="18"/>
        <v>-472.66666666666674</v>
      </c>
      <c r="AC39" s="62">
        <f t="shared" si="19"/>
        <v>0.70458333333333334</v>
      </c>
      <c r="AD39" s="389"/>
    </row>
    <row r="40" spans="1:30" s="63" customFormat="1" ht="15" customHeight="1" x14ac:dyDescent="0.25">
      <c r="A40" s="425"/>
      <c r="B40" s="56" t="s">
        <v>140</v>
      </c>
      <c r="C40" s="298"/>
      <c r="D40" s="308" t="s">
        <v>173</v>
      </c>
      <c r="E40" s="261"/>
      <c r="F40" s="56">
        <v>56.87</v>
      </c>
      <c r="G40" s="305">
        <v>2822</v>
      </c>
      <c r="H40" s="64">
        <v>209566.95</v>
      </c>
      <c r="I40" s="65"/>
      <c r="J40" s="37">
        <v>19</v>
      </c>
      <c r="K40" s="36">
        <v>1600</v>
      </c>
      <c r="L40" s="38">
        <v>88.235294117647058</v>
      </c>
      <c r="M40" s="302">
        <v>18</v>
      </c>
      <c r="N40" s="67">
        <f>G40/W40*60</f>
        <v>1312.5581395348836</v>
      </c>
      <c r="O40" s="68">
        <f>N40/M40</f>
        <v>72.919896640826863</v>
      </c>
      <c r="P40" s="39">
        <f t="shared" si="20"/>
        <v>-1</v>
      </c>
      <c r="Q40" s="40">
        <f t="shared" si="21"/>
        <v>-15.315397476820195</v>
      </c>
      <c r="R40" s="198">
        <f t="shared" si="17"/>
        <v>0.82642549526270448</v>
      </c>
      <c r="S40" s="409"/>
      <c r="T40" s="59">
        <v>0.56458333333333333</v>
      </c>
      <c r="U40" s="59">
        <v>0.65416666666666667</v>
      </c>
      <c r="V40" s="42">
        <f>(T40-U39)*24*60</f>
        <v>88</v>
      </c>
      <c r="W40" s="70">
        <f t="shared" si="8"/>
        <v>129.00000000000003</v>
      </c>
      <c r="X40" s="71">
        <v>0.50694444444444442</v>
      </c>
      <c r="Y40" s="278">
        <v>0.54861111111111116</v>
      </c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102"/>
      <c r="H41" s="64"/>
      <c r="I41" s="65"/>
      <c r="J41" s="16"/>
      <c r="K41" s="14"/>
      <c r="L41" s="17"/>
      <c r="M41" s="66"/>
      <c r="N41" s="67"/>
      <c r="O41" s="68"/>
      <c r="P41" s="39"/>
      <c r="Q41" s="40"/>
      <c r="R41" s="69"/>
      <c r="S41" s="409"/>
      <c r="T41" s="59"/>
      <c r="U41" s="59"/>
      <c r="V41" s="42"/>
      <c r="W41" s="70">
        <f t="shared" si="8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8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22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2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3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2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3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2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3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2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3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4">AVERAGE(J38:J47)</f>
        <v>18.333333333333332</v>
      </c>
      <c r="K48" s="137">
        <f t="shared" si="24"/>
        <v>1588.3333333333333</v>
      </c>
      <c r="L48" s="140">
        <f t="shared" si="24"/>
        <v>89.509803921568633</v>
      </c>
      <c r="M48" s="137">
        <f t="shared" si="24"/>
        <v>16.666666666666668</v>
      </c>
      <c r="N48" s="137">
        <f t="shared" si="24"/>
        <v>1270.2304909560723</v>
      </c>
      <c r="O48" s="140">
        <f t="shared" si="24"/>
        <v>76.236915438009831</v>
      </c>
      <c r="P48" s="164">
        <f>M48-J48</f>
        <v>-1.6666666666666643</v>
      </c>
      <c r="Q48" s="165">
        <f>N48-K48</f>
        <v>-318.10284237726091</v>
      </c>
      <c r="R48" s="166">
        <f>O48/L48</f>
        <v>0.85171581321763445</v>
      </c>
      <c r="S48" s="412"/>
      <c r="T48" s="167"/>
      <c r="U48" s="167"/>
      <c r="V48" s="204"/>
      <c r="W48" s="168">
        <f t="shared" si="23"/>
        <v>0</v>
      </c>
      <c r="X48" s="169"/>
      <c r="Y48" s="169"/>
      <c r="Z48" s="401"/>
      <c r="AA48" s="401"/>
      <c r="AB48" s="170">
        <f>N48-K48</f>
        <v>-318.10284237726091</v>
      </c>
      <c r="AC48" s="199">
        <f>N48/K48</f>
        <v>0.79972538780025548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4106</v>
      </c>
      <c r="H49" s="128">
        <f t="shared" ref="H49:H57" si="25">F49*G49</f>
        <v>205176.82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1559.2405063291139</v>
      </c>
      <c r="O49" s="131">
        <f>N49/M49</f>
        <v>86.624472573839668</v>
      </c>
      <c r="P49" s="171">
        <f>M49-J49</f>
        <v>0</v>
      </c>
      <c r="Q49" s="115">
        <f>O49-L49</f>
        <v>-0.31997187060477472</v>
      </c>
      <c r="R49" s="192">
        <f>O49/L49</f>
        <v>0.99631981235087164</v>
      </c>
      <c r="S49" s="408">
        <f>R58</f>
        <v>0.96624844514881358</v>
      </c>
      <c r="T49" s="157">
        <v>0.2902777777777778</v>
      </c>
      <c r="U49" s="157">
        <v>0.4</v>
      </c>
      <c r="V49" s="196"/>
      <c r="W49" s="158">
        <f t="shared" si="8"/>
        <v>158</v>
      </c>
      <c r="X49" s="196"/>
      <c r="Y49" s="196"/>
      <c r="Z49" s="423"/>
      <c r="AA49" s="423"/>
      <c r="AB49" s="114">
        <f>N49-K49</f>
        <v>-5.7594936708860587</v>
      </c>
      <c r="AC49" s="192">
        <f>N49/K49</f>
        <v>0.99631981235087153</v>
      </c>
      <c r="AD49" s="391">
        <f>AC58</f>
        <v>0.9653339925606621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2585</v>
      </c>
      <c r="H50" s="77">
        <f t="shared" si="25"/>
        <v>147008.94999999998</v>
      </c>
      <c r="I50" s="201"/>
      <c r="J50" s="16">
        <v>19</v>
      </c>
      <c r="K50" s="14">
        <v>1600</v>
      </c>
      <c r="L50" s="17">
        <f>K50/J50</f>
        <v>84.21052631578948</v>
      </c>
      <c r="M50" s="182">
        <v>19</v>
      </c>
      <c r="N50" s="78">
        <f>G50/W50*60</f>
        <v>1463.2075471698108</v>
      </c>
      <c r="O50" s="79">
        <f>N50/M50</f>
        <v>77.010923535253198</v>
      </c>
      <c r="P50" s="18">
        <f>M50-J50</f>
        <v>0</v>
      </c>
      <c r="Q50" s="19">
        <f>O50-L50</f>
        <v>-7.1996027805362814</v>
      </c>
      <c r="R50" s="193">
        <f>O50/L50</f>
        <v>0.91450471698113167</v>
      </c>
      <c r="S50" s="409"/>
      <c r="T50" s="80">
        <v>0.40555555555555556</v>
      </c>
      <c r="U50" s="80">
        <v>0.47916666666666669</v>
      </c>
      <c r="V50" s="185">
        <f t="shared" ref="V50:V51" si="26">(T50-U49)*24*60</f>
        <v>7.9999999999999716</v>
      </c>
      <c r="W50" s="81">
        <f t="shared" si="8"/>
        <v>106.00000000000003</v>
      </c>
      <c r="X50" s="22"/>
      <c r="Y50" s="22"/>
      <c r="Z50" s="398"/>
      <c r="AA50" s="399"/>
      <c r="AB50" s="18">
        <f>N50-K50</f>
        <v>-136.79245283018918</v>
      </c>
      <c r="AC50" s="193">
        <f>N50/K50</f>
        <v>0.91450471698113178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2997</v>
      </c>
      <c r="H51" s="77">
        <f t="shared" si="25"/>
        <v>149760.09</v>
      </c>
      <c r="I51" s="185"/>
      <c r="J51" s="16">
        <v>18</v>
      </c>
      <c r="K51" s="14">
        <v>1600</v>
      </c>
      <c r="L51" s="17">
        <f t="shared" ref="L51" si="27">K51/J51</f>
        <v>88.888888888888886</v>
      </c>
      <c r="M51" s="182">
        <v>18</v>
      </c>
      <c r="N51" s="78">
        <f t="shared" ref="N51" si="28">G51/W51*60</f>
        <v>1577.3684210526305</v>
      </c>
      <c r="O51" s="79">
        <f t="shared" ref="O51" si="29">N51/M51</f>
        <v>87.631578947368368</v>
      </c>
      <c r="P51" s="18">
        <f t="shared" ref="P51" si="30">M51-J51</f>
        <v>0</v>
      </c>
      <c r="Q51" s="19">
        <f t="shared" ref="Q51" si="31">O51-L51</f>
        <v>-1.2573099415205178</v>
      </c>
      <c r="R51" s="193">
        <f t="shared" ref="R51" si="32">O51/L51</f>
        <v>0.98585526315789418</v>
      </c>
      <c r="S51" s="409"/>
      <c r="T51" s="80">
        <v>0.53263888888888888</v>
      </c>
      <c r="U51" s="44">
        <v>0.6118055555555556</v>
      </c>
      <c r="V51" s="185">
        <f t="shared" si="26"/>
        <v>76.999999999999972</v>
      </c>
      <c r="W51" s="81">
        <f t="shared" si="8"/>
        <v>114.00000000000007</v>
      </c>
      <c r="X51" s="22">
        <v>0.4861111111111111</v>
      </c>
      <c r="Y51" s="22">
        <v>0.52777777777777779</v>
      </c>
      <c r="Z51" s="400"/>
      <c r="AA51" s="400"/>
      <c r="AB51" s="51">
        <f>N51-K51</f>
        <v>-22.631578947369462</v>
      </c>
      <c r="AC51" s="52">
        <f>N51/K51</f>
        <v>0.98585526315789407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8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5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8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5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8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5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8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5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8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5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8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3">AVERAGE(J49:J57)</f>
        <v>18.333333333333332</v>
      </c>
      <c r="K58" s="121">
        <f t="shared" si="33"/>
        <v>1588.3333333333333</v>
      </c>
      <c r="L58" s="118">
        <f t="shared" si="33"/>
        <v>86.681286549707622</v>
      </c>
      <c r="M58" s="121">
        <f t="shared" si="33"/>
        <v>18.333333333333332</v>
      </c>
      <c r="N58" s="121">
        <f t="shared" si="33"/>
        <v>1533.2721581838516</v>
      </c>
      <c r="O58" s="118">
        <f t="shared" si="33"/>
        <v>83.755658352153759</v>
      </c>
      <c r="P58" s="122">
        <f>M58-J58</f>
        <v>0</v>
      </c>
      <c r="Q58" s="123">
        <f>N58-K58</f>
        <v>-55.061175149481642</v>
      </c>
      <c r="R58" s="124">
        <f t="shared" ref="R58:R60" si="34">O58/L58</f>
        <v>0.96624844514881358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35">N58-K58</f>
        <v>-55.061175149481642</v>
      </c>
      <c r="AC58" s="195">
        <f t="shared" ref="AC58:AC62" si="36">N58/K58</f>
        <v>0.9653339925606621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3202</v>
      </c>
      <c r="H59" s="109">
        <f t="shared" ref="H59:H68" si="37">F59*G59</f>
        <v>86421.98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38">G59/W59*60</f>
        <v>1561.9512195121956</v>
      </c>
      <c r="O59" s="112">
        <f t="shared" ref="O59:O61" si="39">N59/M59</f>
        <v>120.15009380863043</v>
      </c>
      <c r="P59" s="114">
        <f t="shared" ref="P59:P61" si="40">M59-J59</f>
        <v>0</v>
      </c>
      <c r="Q59" s="115">
        <f t="shared" ref="Q59:Q61" si="41">O59-L59</f>
        <v>-0.2345215759849566</v>
      </c>
      <c r="R59" s="192">
        <f t="shared" si="34"/>
        <v>0.99805189745188216</v>
      </c>
      <c r="S59" s="408">
        <f>R69</f>
        <v>0.92893820618717404</v>
      </c>
      <c r="T59" s="176">
        <v>0.29166666666666669</v>
      </c>
      <c r="U59" s="176">
        <v>0.37708333333333333</v>
      </c>
      <c r="V59" s="196"/>
      <c r="W59" s="110">
        <f t="shared" si="8"/>
        <v>122.99999999999996</v>
      </c>
      <c r="X59" s="196"/>
      <c r="Y59" s="196"/>
      <c r="Z59" s="400"/>
      <c r="AA59" s="400"/>
      <c r="AB59" s="240">
        <f t="shared" si="35"/>
        <v>-3.0487804878043789</v>
      </c>
      <c r="AC59" s="241">
        <f t="shared" si="36"/>
        <v>0.99805189745188216</v>
      </c>
      <c r="AD59" s="391">
        <f>AC69</f>
        <v>0.93008559662888379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1438</v>
      </c>
      <c r="H60" s="15">
        <f t="shared" si="37"/>
        <v>40939.86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8"/>
        <v>1327.3846153846152</v>
      </c>
      <c r="O60" s="17">
        <f t="shared" si="39"/>
        <v>110.6153846153846</v>
      </c>
      <c r="P60" s="18">
        <f t="shared" si="40"/>
        <v>0</v>
      </c>
      <c r="Q60" s="19">
        <f t="shared" si="41"/>
        <v>-19.801282051282058</v>
      </c>
      <c r="R60" s="193">
        <f t="shared" si="34"/>
        <v>0.84816908331285323</v>
      </c>
      <c r="S60" s="419"/>
      <c r="T60" s="206">
        <v>0.38541666666666669</v>
      </c>
      <c r="U60" s="206">
        <v>0.43055555555555558</v>
      </c>
      <c r="V60" s="185">
        <f t="shared" ref="V60:V62" si="42">(T60-U59)*24*60</f>
        <v>12.000000000000037</v>
      </c>
      <c r="W60" s="93">
        <f t="shared" si="8"/>
        <v>65.000000000000014</v>
      </c>
      <c r="X60" s="201"/>
      <c r="Y60" s="201"/>
      <c r="Z60" s="400"/>
      <c r="AA60" s="400"/>
      <c r="AB60" s="242">
        <f t="shared" si="35"/>
        <v>-237.61538461538476</v>
      </c>
      <c r="AC60" s="243">
        <f t="shared" si="36"/>
        <v>0.84816908331285323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2241</v>
      </c>
      <c r="H61" s="15">
        <f t="shared" si="37"/>
        <v>63330.66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3">K61/J61</f>
        <v>130.41666666666666</v>
      </c>
      <c r="M61" s="188">
        <v>12</v>
      </c>
      <c r="N61" s="14">
        <f t="shared" si="38"/>
        <v>1494</v>
      </c>
      <c r="O61" s="17">
        <f t="shared" si="39"/>
        <v>124.5</v>
      </c>
      <c r="P61" s="18">
        <f t="shared" si="40"/>
        <v>0</v>
      </c>
      <c r="Q61" s="19">
        <f t="shared" si="41"/>
        <v>-5.9166666666666572</v>
      </c>
      <c r="R61" s="193">
        <f>O61/L61</f>
        <v>0.95463258785942495</v>
      </c>
      <c r="S61" s="409"/>
      <c r="T61" s="20">
        <v>0.4375</v>
      </c>
      <c r="U61" s="20">
        <v>0.5</v>
      </c>
      <c r="V61" s="185">
        <f t="shared" si="42"/>
        <v>9.9999999999999645</v>
      </c>
      <c r="W61" s="91">
        <f t="shared" si="8"/>
        <v>90</v>
      </c>
      <c r="X61" s="22"/>
      <c r="Y61" s="22"/>
      <c r="Z61" s="400"/>
      <c r="AA61" s="400"/>
      <c r="AB61" s="51">
        <f t="shared" si="35"/>
        <v>-71</v>
      </c>
      <c r="AC61" s="52">
        <f t="shared" si="36"/>
        <v>0.95463258785942495</v>
      </c>
      <c r="AD61" s="392"/>
    </row>
    <row r="62" spans="1:30" ht="15" customHeight="1" x14ac:dyDescent="0.25">
      <c r="A62" s="417"/>
      <c r="B62" s="56" t="s">
        <v>216</v>
      </c>
      <c r="C62" s="10"/>
      <c r="D62" s="11" t="s">
        <v>128</v>
      </c>
      <c r="E62" s="89"/>
      <c r="F62" s="56">
        <v>26.99</v>
      </c>
      <c r="G62" s="185">
        <v>1439</v>
      </c>
      <c r="H62" s="15">
        <v>94060.15</v>
      </c>
      <c r="I62" s="82"/>
      <c r="J62" s="16">
        <v>13</v>
      </c>
      <c r="K62" s="14">
        <v>1565</v>
      </c>
      <c r="L62" s="17">
        <v>120.38461538461539</v>
      </c>
      <c r="M62" s="188">
        <v>13</v>
      </c>
      <c r="N62" s="14">
        <f t="shared" ref="N62" si="44">G62/W62*60</f>
        <v>1439.0000000000014</v>
      </c>
      <c r="O62" s="17">
        <f t="shared" ref="O62" si="45">N62/M62</f>
        <v>110.69230769230779</v>
      </c>
      <c r="P62" s="18">
        <f t="shared" ref="P62" si="46">M62-J62</f>
        <v>0</v>
      </c>
      <c r="Q62" s="19">
        <f t="shared" ref="Q62" si="47">O62-L62</f>
        <v>-9.6923076923075939</v>
      </c>
      <c r="R62" s="193">
        <f>O62/L62</f>
        <v>0.9194888178913746</v>
      </c>
      <c r="S62" s="409"/>
      <c r="T62" s="20">
        <v>0.55208333333333337</v>
      </c>
      <c r="U62" s="20">
        <v>0.59375</v>
      </c>
      <c r="V62" s="185">
        <f t="shared" si="42"/>
        <v>75.000000000000057</v>
      </c>
      <c r="W62" s="93">
        <f t="shared" si="8"/>
        <v>59.999999999999943</v>
      </c>
      <c r="X62" s="22">
        <v>0.5</v>
      </c>
      <c r="Y62" s="22">
        <v>0.54166666666666663</v>
      </c>
      <c r="Z62" s="400"/>
      <c r="AA62" s="400"/>
      <c r="AB62" s="51">
        <f t="shared" si="35"/>
        <v>-125.99999999999864</v>
      </c>
      <c r="AC62" s="52">
        <f t="shared" si="36"/>
        <v>0.91948881789137471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8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7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8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7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8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7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8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7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8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7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8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8">AVERAGE(J59:J68)</f>
        <v>12.5</v>
      </c>
      <c r="K69" s="173">
        <f t="shared" si="48"/>
        <v>1565</v>
      </c>
      <c r="L69" s="178">
        <f t="shared" si="48"/>
        <v>125.40064102564102</v>
      </c>
      <c r="M69" s="173">
        <f t="shared" si="48"/>
        <v>12.5</v>
      </c>
      <c r="N69" s="173">
        <f t="shared" si="48"/>
        <v>1455.5839587242031</v>
      </c>
      <c r="O69" s="178">
        <f t="shared" si="48"/>
        <v>116.48944652908071</v>
      </c>
      <c r="P69" s="179">
        <f>M69-J69</f>
        <v>0</v>
      </c>
      <c r="Q69" s="165">
        <f>N69-K69</f>
        <v>-109.41604127579694</v>
      </c>
      <c r="R69" s="124">
        <f>O69/L69</f>
        <v>0.92893820618717404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-109.41604127579694</v>
      </c>
      <c r="AC69" s="195">
        <f>N69/K69</f>
        <v>0.93008559662888379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49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>
        <f t="shared" ref="H71:H78" si="50">F71*G71</f>
        <v>0</v>
      </c>
      <c r="I71" s="185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9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50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9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50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9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50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9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0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9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0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9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0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9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0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9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88" priority="1" operator="greaterThan">
      <formula>0</formula>
    </cfRule>
  </conditionalFormatting>
  <conditionalFormatting sqref="Q5:Q79 AB5:AB79">
    <cfRule type="cellIs" dxfId="187" priority="4" operator="lessThan">
      <formula>0</formula>
    </cfRule>
  </conditionalFormatting>
  <conditionalFormatting sqref="R5:R79 AC5:AC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D59:AD62 S69:S76 AD69:AD76">
    <cfRule type="cellIs" dxfId="184" priority="7" operator="lessThan">
      <formula>0.8</formula>
    </cfRule>
  </conditionalFormatting>
  <conditionalFormatting sqref="S19:S25 AD19:AD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D5:AD8 S15:S16 AD15:AD16 AD49 AD79">
    <cfRule type="cellIs" dxfId="181" priority="9" operator="lessThan">
      <formula>0.8</formula>
    </cfRule>
  </conditionalFormatting>
  <conditionalFormatting sqref="AD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2CA1B2-F352-4DBA-B46A-E1F31460F49F}">
          <x14:formula1>
            <xm:f>廠價表!$C$2:$C$37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99A0-927E-4590-9EE7-11AB00E59BF7}">
  <sheetPr>
    <pageSetUpPr fitToPage="1"/>
  </sheetPr>
  <dimension ref="B1:O22"/>
  <sheetViews>
    <sheetView zoomScale="70" zoomScaleNormal="70" workbookViewId="0">
      <selection activeCell="J13" sqref="J13:J15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45944</v>
      </c>
      <c r="E3" s="383"/>
      <c r="F3" s="214" t="s">
        <v>76</v>
      </c>
      <c r="G3" s="384">
        <f>'1014'!E1</f>
        <v>74492</v>
      </c>
      <c r="H3" s="384"/>
      <c r="I3" s="214" t="s">
        <v>77</v>
      </c>
      <c r="J3" s="385">
        <f>'1014'!G1</f>
        <v>3734000.7399999993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111.25985392470079</v>
      </c>
      <c r="G6" s="362"/>
      <c r="H6" s="363">
        <f>AVERAGE(D13:H13)</f>
        <v>111.59199781127026</v>
      </c>
      <c r="I6" s="363"/>
      <c r="J6" s="363">
        <f>AVERAGE(I13:J13)</f>
        <v>110.42949420827711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101.73463845007858</v>
      </c>
      <c r="G7" s="380"/>
      <c r="H7" s="381">
        <f>AVERAGE(D14:H14)</f>
        <v>104.11440527406205</v>
      </c>
      <c r="I7" s="381"/>
      <c r="J7" s="381">
        <f>AVERAGE(I14:J14)</f>
        <v>95.785221390119858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0.9120296462416857</v>
      </c>
      <c r="G8" s="360"/>
      <c r="H8" s="360">
        <f>AVERAGE(D15:H15)</f>
        <v>0.92941081587318952</v>
      </c>
      <c r="I8" s="360"/>
      <c r="J8" s="360">
        <f>AVERAGE(I15:J15)</f>
        <v>0.86857672216292614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VALUE('1014'!L15)</f>
        <v>144.09569597069597</v>
      </c>
      <c r="E13" s="227">
        <f>VALUE('1014'!L26)</f>
        <v>150</v>
      </c>
      <c r="F13" s="227">
        <f>VALUE('1014'!L37)</f>
        <v>90.638888888888886</v>
      </c>
      <c r="G13" s="227">
        <f>VALUE('1014'!L48)</f>
        <v>86.544117647058826</v>
      </c>
      <c r="H13" s="227">
        <f>VALUE('1014'!L58)</f>
        <v>86.681286549707622</v>
      </c>
      <c r="I13" s="227">
        <f>VALUE('1014'!L69)</f>
        <v>125.40064102564102</v>
      </c>
      <c r="J13" s="227">
        <f>VALUE('1014'!L79)</f>
        <v>95.45834739091319</v>
      </c>
    </row>
    <row r="14" spans="2:15" ht="39.950000000000003" customHeight="1" x14ac:dyDescent="0.25">
      <c r="B14" s="489"/>
      <c r="C14" s="226" t="s">
        <v>100</v>
      </c>
      <c r="D14" s="227">
        <f>VALUE('1014'!O15)</f>
        <v>134.22468693488153</v>
      </c>
      <c r="E14" s="227">
        <f>VALUE('1014'!O26)</f>
        <v>144.34551886792457</v>
      </c>
      <c r="F14" s="227">
        <f>VALUE('1014'!O37)</f>
        <v>79.460279143330027</v>
      </c>
      <c r="G14" s="227">
        <f>VALUE('1014'!O48)</f>
        <v>77.771466375292789</v>
      </c>
      <c r="H14" s="227">
        <f>VALUE('1014'!O58)</f>
        <v>84.770075048881395</v>
      </c>
      <c r="I14" s="227">
        <f>VALUE('1014'!O69)</f>
        <v>107.82056739699928</v>
      </c>
      <c r="J14" s="227">
        <f>VALUE('1014'!O79)</f>
        <v>83.749875383240436</v>
      </c>
    </row>
    <row r="15" spans="2:15" ht="39.950000000000003" customHeight="1" x14ac:dyDescent="0.25">
      <c r="B15" s="490"/>
      <c r="C15" s="222" t="s">
        <v>101</v>
      </c>
      <c r="D15" s="248">
        <f>D14/D13</f>
        <v>0.93149685027495999</v>
      </c>
      <c r="E15" s="248">
        <f t="shared" ref="E15:J15" si="0">E14/E13</f>
        <v>0.96230345911949711</v>
      </c>
      <c r="F15" s="248">
        <f t="shared" si="0"/>
        <v>0.87666872484213332</v>
      </c>
      <c r="G15" s="248">
        <f t="shared" si="0"/>
        <v>0.89863376610363799</v>
      </c>
      <c r="H15" s="248">
        <f t="shared" si="0"/>
        <v>0.97795127902571866</v>
      </c>
      <c r="I15" s="248">
        <f t="shared" si="0"/>
        <v>0.85980874192623069</v>
      </c>
      <c r="J15" s="248">
        <f t="shared" si="0"/>
        <v>0.8773447023996217</v>
      </c>
    </row>
    <row r="16" spans="2:15" ht="17.25" customHeight="1" x14ac:dyDescent="0.25">
      <c r="B16" s="491" t="s">
        <v>102</v>
      </c>
      <c r="C16" s="222" t="s">
        <v>103</v>
      </c>
      <c r="D16" s="98">
        <f>'1014'!T5</f>
        <v>0.29305555555555557</v>
      </c>
      <c r="E16" s="98">
        <f>'1014'!T16</f>
        <v>0.29305555555555557</v>
      </c>
      <c r="F16" s="98">
        <f>'1014'!T27</f>
        <v>0.29375000000000001</v>
      </c>
      <c r="G16" s="98">
        <f>'1014'!T38</f>
        <v>0.33680555555555558</v>
      </c>
      <c r="H16" s="98">
        <f>'1014'!T49</f>
        <v>0.2902777777777778</v>
      </c>
      <c r="I16" s="98">
        <f>'1014'!T59</f>
        <v>0.2951388888888889</v>
      </c>
      <c r="J16" s="293">
        <f>'1014'!T70</f>
        <v>0.33680555555555558</v>
      </c>
    </row>
    <row r="17" spans="2:10" ht="17.25" customHeight="1" x14ac:dyDescent="0.25">
      <c r="B17" s="492"/>
      <c r="C17" s="222" t="s">
        <v>104</v>
      </c>
      <c r="D17" s="20">
        <v>0.66527777777777775</v>
      </c>
      <c r="E17" s="41">
        <v>0.70138888888888884</v>
      </c>
      <c r="F17" s="41">
        <v>0.6381944444444444</v>
      </c>
      <c r="G17" s="59">
        <v>0.71527777777777779</v>
      </c>
      <c r="H17" s="44">
        <v>0.67152777777777772</v>
      </c>
      <c r="I17" s="20">
        <v>0.63194444444444442</v>
      </c>
      <c r="J17" s="20">
        <v>0.67638888888888893</v>
      </c>
    </row>
    <row r="18" spans="2:10" ht="17.25" customHeight="1" x14ac:dyDescent="0.25">
      <c r="B18" s="481" t="s">
        <v>105</v>
      </c>
      <c r="C18" s="355"/>
      <c r="D18" s="229">
        <f>VALUE('1014'!M15)</f>
        <v>14</v>
      </c>
      <c r="E18" s="229">
        <f>VALUE('1014'!M26)</f>
        <v>13.5</v>
      </c>
      <c r="F18" s="229">
        <f>VALUE('1014'!M37)</f>
        <v>15</v>
      </c>
      <c r="G18" s="229">
        <f>VALUE('1014'!M48)</f>
        <v>17</v>
      </c>
      <c r="H18" s="229">
        <f>VALUE('1014'!M58)</f>
        <v>18.333333333333332</v>
      </c>
      <c r="I18" s="229">
        <f>VALUE('1014'!M69)</f>
        <v>12.5</v>
      </c>
      <c r="J18" s="229">
        <f>VALUE('1014'!M79)</f>
        <v>15.625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 t="s">
        <v>145</v>
      </c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E442-9B36-4662-908F-FC0D1A553B79}">
  <sheetPr>
    <tabColor theme="9" tint="0.79998168889431442"/>
    <pageSetUpPr fitToPage="1"/>
  </sheetPr>
  <dimension ref="A1:AF92"/>
  <sheetViews>
    <sheetView zoomScale="69" zoomScaleNormal="69" workbookViewId="0">
      <pane xSplit="5" ySplit="4" topLeftCell="J5" activePane="bottomRight" state="frozen"/>
      <selection activeCell="L15" sqref="L15"/>
      <selection pane="topRight" activeCell="L15" sqref="L15"/>
      <selection pane="bottomLeft" activeCell="L15" sqref="L15"/>
      <selection pane="bottomRight" activeCell="I65" sqref="I65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74492</v>
      </c>
      <c r="F1" s="185" t="s">
        <v>9</v>
      </c>
      <c r="G1" s="4">
        <f>SUM(H5:H79)</f>
        <v>3734000.7399999993</v>
      </c>
      <c r="H1" s="183" t="s">
        <v>10</v>
      </c>
      <c r="I1" s="5">
        <f>M15+M26+M48+M58+M69+M79+M37</f>
        <v>105.95833333333333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225</v>
      </c>
      <c r="B2" s="461"/>
      <c r="C2" s="184"/>
      <c r="D2" s="184" t="s">
        <v>1</v>
      </c>
      <c r="E2" s="7">
        <f>AVERAGE(O15,O26,O37,O48,O58,O69,O79)</f>
        <v>101.73463845007858</v>
      </c>
      <c r="F2" s="8" t="s">
        <v>2</v>
      </c>
      <c r="G2" s="9">
        <f>G1/E1</f>
        <v>50.126197980991236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222</v>
      </c>
      <c r="E5" s="107"/>
      <c r="F5" s="207">
        <f>VLOOKUP(D5,廠價表!$C$1:$E$39,3,0)</f>
        <v>50.67</v>
      </c>
      <c r="G5" s="108">
        <v>3009</v>
      </c>
      <c r="H5" s="109">
        <f>F5*G5</f>
        <v>152466.03</v>
      </c>
      <c r="I5" s="110"/>
      <c r="J5" s="111">
        <f>VLOOKUP(D5,產線配置圖!$A$2:$C$38,2,0)</f>
        <v>15</v>
      </c>
      <c r="K5" s="108">
        <f>VLOOKUP(D5,產線配置圖!$A$2:$C$38,3,0)</f>
        <v>2000</v>
      </c>
      <c r="L5" s="112">
        <f>K5/J5</f>
        <v>133.33333333333334</v>
      </c>
      <c r="M5" s="113">
        <v>15</v>
      </c>
      <c r="N5" s="108">
        <f>G5/W5*60</f>
        <v>1735.9615384615395</v>
      </c>
      <c r="O5" s="112">
        <f>N5/M5</f>
        <v>115.7307692307693</v>
      </c>
      <c r="P5" s="114">
        <f>M5-J5</f>
        <v>0</v>
      </c>
      <c r="Q5" s="115">
        <f>O5-L5</f>
        <v>-17.602564102564045</v>
      </c>
      <c r="R5" s="192">
        <f>O5/L5</f>
        <v>0.86798076923076972</v>
      </c>
      <c r="S5" s="408">
        <f>R15</f>
        <v>0.93149685027495999</v>
      </c>
      <c r="T5" s="97">
        <v>0.29305555555555557</v>
      </c>
      <c r="U5" s="97">
        <v>0.36527777777777776</v>
      </c>
      <c r="V5" s="202"/>
      <c r="W5" s="110">
        <f t="shared" ref="W5:W14" si="0">(U5-T5)*24*60</f>
        <v>103.99999999999994</v>
      </c>
      <c r="X5" s="196"/>
      <c r="Y5" s="196"/>
      <c r="Z5" s="423"/>
      <c r="AA5" s="423"/>
      <c r="AB5" s="114">
        <f>N5-K5</f>
        <v>-264.03846153846052</v>
      </c>
      <c r="AC5" s="192">
        <f>N5/K5</f>
        <v>0.86798076923076972</v>
      </c>
      <c r="AD5" s="391">
        <f>AC15</f>
        <v>0.94386651173390856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1414</v>
      </c>
      <c r="H6" s="15">
        <f t="shared" ref="H6:H14" si="1">F6*G6</f>
        <v>80894.94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15</v>
      </c>
      <c r="N6" s="14">
        <f>G6/W6*60</f>
        <v>1805.1063829787238</v>
      </c>
      <c r="O6" s="17">
        <f>N6/M6</f>
        <v>120.34042553191492</v>
      </c>
      <c r="P6" s="18">
        <f>M6-J6</f>
        <v>1</v>
      </c>
      <c r="Q6" s="19">
        <f>O6-L6</f>
        <v>-15.016717325227944</v>
      </c>
      <c r="R6" s="193">
        <f>O6/L6</f>
        <v>0.88905855274237933</v>
      </c>
      <c r="S6" s="409"/>
      <c r="T6" s="98">
        <v>0.39305555555555555</v>
      </c>
      <c r="U6" s="98">
        <v>0.42569444444444443</v>
      </c>
      <c r="V6" s="185">
        <f>(T6-U5)*24*60</f>
        <v>40.000000000000014</v>
      </c>
      <c r="W6" s="190">
        <f t="shared" si="0"/>
        <v>46.999999999999993</v>
      </c>
      <c r="X6" s="22"/>
      <c r="Y6" s="22"/>
      <c r="Z6" s="446"/>
      <c r="AA6" s="446"/>
      <c r="AB6" s="18">
        <f>N6-K6</f>
        <v>-89.893617021276214</v>
      </c>
      <c r="AC6" s="193">
        <f>N6/K6</f>
        <v>0.95256273508112077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3157</v>
      </c>
      <c r="H7" s="15">
        <f t="shared" si="1"/>
        <v>155134.98000000001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1952.7835051546397</v>
      </c>
      <c r="O7" s="17">
        <f>N7/M7</f>
        <v>150.21411578112614</v>
      </c>
      <c r="P7" s="18">
        <f>M7-J7</f>
        <v>0</v>
      </c>
      <c r="Q7" s="19">
        <f>O7-L7</f>
        <v>-3.6320380650277002</v>
      </c>
      <c r="R7" s="193">
        <f>O7/L7</f>
        <v>0.97639175257731992</v>
      </c>
      <c r="S7" s="409"/>
      <c r="T7" s="98">
        <v>0.43263888888888891</v>
      </c>
      <c r="U7" s="98">
        <v>0.5</v>
      </c>
      <c r="V7" s="185">
        <f>(T7-U6)*24*60</f>
        <v>10.000000000000044</v>
      </c>
      <c r="W7" s="190">
        <f t="shared" si="0"/>
        <v>96.999999999999972</v>
      </c>
      <c r="X7" s="22"/>
      <c r="Y7" s="22"/>
      <c r="Z7" s="400"/>
      <c r="AA7" s="400"/>
      <c r="AB7" s="18">
        <f>N7-K7</f>
        <v>-47.21649484536033</v>
      </c>
      <c r="AC7" s="193">
        <f>N7/K7</f>
        <v>0.9763917525773198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5156</v>
      </c>
      <c r="H8" s="15">
        <f t="shared" si="1"/>
        <v>253365.84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1957.974683544305</v>
      </c>
      <c r="O8" s="17">
        <f>N8/M8</f>
        <v>150.61343719571576</v>
      </c>
      <c r="P8" s="18">
        <f>M8-J8</f>
        <v>0</v>
      </c>
      <c r="Q8" s="19">
        <f>O8-L8</f>
        <v>-3.2327166504380784</v>
      </c>
      <c r="R8" s="193">
        <f>O8/L8</f>
        <v>0.97898734177215252</v>
      </c>
      <c r="S8" s="409"/>
      <c r="T8" s="80">
        <v>0.55555555555555558</v>
      </c>
      <c r="U8" s="80">
        <v>0.66527777777777775</v>
      </c>
      <c r="V8" s="185">
        <f>(T8-U7)*24*60</f>
        <v>80.000000000000028</v>
      </c>
      <c r="W8" s="190">
        <f t="shared" si="0"/>
        <v>157.99999999999991</v>
      </c>
      <c r="X8" s="22">
        <v>0.5</v>
      </c>
      <c r="Y8" s="22">
        <v>0.54166666666666663</v>
      </c>
      <c r="Z8" s="447"/>
      <c r="AA8" s="447"/>
      <c r="AB8" s="18">
        <f>N8-K8</f>
        <v>-42.02531645569502</v>
      </c>
      <c r="AC8" s="193">
        <f>N8/K8</f>
        <v>0.97898734177215252</v>
      </c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/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13.75</v>
      </c>
      <c r="K15" s="121">
        <f t="shared" si="2"/>
        <v>1973.75</v>
      </c>
      <c r="L15" s="118">
        <f t="shared" si="2"/>
        <v>144.09569597069597</v>
      </c>
      <c r="M15" s="121">
        <f t="shared" si="2"/>
        <v>14</v>
      </c>
      <c r="N15" s="121">
        <f t="shared" si="2"/>
        <v>1862.956527534802</v>
      </c>
      <c r="O15" s="118">
        <f t="shared" si="2"/>
        <v>134.22468693488153</v>
      </c>
      <c r="P15" s="122">
        <f t="shared" ref="P15:P16" si="3">M15-J15</f>
        <v>0.25</v>
      </c>
      <c r="Q15" s="123">
        <f t="shared" ref="Q15:Q16" si="4">O15-L15</f>
        <v>-9.8710090358144384</v>
      </c>
      <c r="R15" s="124">
        <f t="shared" ref="R15:R16" si="5">O15/L15</f>
        <v>0.93149685027495999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-110.79347246519796</v>
      </c>
      <c r="AC15" s="195">
        <f>N15/K15</f>
        <v>0.94386651173390856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222</v>
      </c>
      <c r="E16" s="107"/>
      <c r="F16" s="207">
        <f>VLOOKUP(D16,廠價表!$C$1:$E$39,3,0)</f>
        <v>50.67</v>
      </c>
      <c r="G16" s="285">
        <v>3051</v>
      </c>
      <c r="H16" s="128">
        <f t="shared" ref="H16:H25" si="6">F16*G16</f>
        <v>154594.17000000001</v>
      </c>
      <c r="I16" s="129"/>
      <c r="J16" s="111">
        <f>VLOOKUP(D16,產線配置圖!$A$2:$C$38,2,0)</f>
        <v>15</v>
      </c>
      <c r="K16" s="108">
        <f>VLOOKUP(D16,產線配置圖!$A$2:$C$38,3,0)</f>
        <v>2000</v>
      </c>
      <c r="L16" s="112">
        <f>K16/J16</f>
        <v>133.33333333333334</v>
      </c>
      <c r="M16" s="287">
        <v>15</v>
      </c>
      <c r="N16" s="130">
        <f>G16/W16*60</f>
        <v>1726.9811320754725</v>
      </c>
      <c r="O16" s="131">
        <f>N16/M16</f>
        <v>115.13207547169817</v>
      </c>
      <c r="P16" s="132">
        <f t="shared" si="3"/>
        <v>0</v>
      </c>
      <c r="Q16" s="133">
        <f t="shared" si="4"/>
        <v>-18.20125786163517</v>
      </c>
      <c r="R16" s="197">
        <f t="shared" si="5"/>
        <v>0.86349056603773622</v>
      </c>
      <c r="S16" s="433">
        <f>R26</f>
        <v>0.96230345911949711</v>
      </c>
      <c r="T16" s="288">
        <v>0.29305555555555557</v>
      </c>
      <c r="U16" s="288">
        <v>0.36666666666666664</v>
      </c>
      <c r="V16" s="129"/>
      <c r="W16" s="134">
        <f t="shared" ref="W16:W68" si="7">(U16-T16)*24*60</f>
        <v>105.99999999999994</v>
      </c>
      <c r="X16" s="131"/>
      <c r="Y16" s="131"/>
      <c r="Z16" s="423"/>
      <c r="AA16" s="423"/>
      <c r="AB16" s="114">
        <f>N16-K16</f>
        <v>-273.01886792452751</v>
      </c>
      <c r="AC16" s="192">
        <f>N16/K16</f>
        <v>0.86349056603773622</v>
      </c>
      <c r="AD16" s="391">
        <f>AC26</f>
        <v>0.95893514150943415</v>
      </c>
    </row>
    <row r="17" spans="1:30" ht="15" customHeight="1" x14ac:dyDescent="0.25">
      <c r="A17" s="439"/>
      <c r="B17" s="56" t="s">
        <v>63</v>
      </c>
      <c r="C17" s="10"/>
      <c r="D17" s="11" t="s">
        <v>137</v>
      </c>
      <c r="E17" s="89"/>
      <c r="F17" s="56">
        <f>VLOOKUP(D17,廠價表!$C$1:$E$39,3,0)</f>
        <v>50.39</v>
      </c>
      <c r="G17" s="99">
        <v>5901</v>
      </c>
      <c r="H17" s="15">
        <f>F17*G17</f>
        <v>297351.39</v>
      </c>
      <c r="I17" s="185"/>
      <c r="J17" s="16">
        <f>VLOOKUP(D17,產線配置圖!$A$2:$C$38,2,0)</f>
        <v>12</v>
      </c>
      <c r="K17" s="14">
        <f>VLOOKUP(D17,產線配置圖!$A$2:$C$38,3,0)</f>
        <v>2000</v>
      </c>
      <c r="L17" s="17">
        <f>K17/J17</f>
        <v>166.66666666666666</v>
      </c>
      <c r="M17" s="37">
        <v>12</v>
      </c>
      <c r="N17" s="36">
        <f>G17/W17*60</f>
        <v>1967</v>
      </c>
      <c r="O17" s="38">
        <f>N17/M17</f>
        <v>163.91666666666666</v>
      </c>
      <c r="P17" s="39">
        <f>M17-J17</f>
        <v>0</v>
      </c>
      <c r="Q17" s="40">
        <f>O17-L17</f>
        <v>-2.75</v>
      </c>
      <c r="R17" s="198">
        <f>O17/L17</f>
        <v>0.98350000000000004</v>
      </c>
      <c r="S17" s="434"/>
      <c r="T17" s="41">
        <v>0.375</v>
      </c>
      <c r="U17" s="41">
        <v>0.5</v>
      </c>
      <c r="V17" s="185">
        <f>(T17-U16)*24*60</f>
        <v>12.000000000000037</v>
      </c>
      <c r="W17" s="43">
        <f t="shared" si="7"/>
        <v>180</v>
      </c>
      <c r="X17" s="44"/>
      <c r="Y17" s="44"/>
      <c r="Z17" s="399"/>
      <c r="AA17" s="400"/>
      <c r="AB17" s="18">
        <f>N17-K17</f>
        <v>-33</v>
      </c>
      <c r="AC17" s="193">
        <f>N17/K17</f>
        <v>0.98350000000000004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2587</v>
      </c>
      <c r="H18" s="15">
        <f>F18*G18</f>
        <v>130358.93000000001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1989.9999999999991</v>
      </c>
      <c r="O18" s="38">
        <f>N18/M18</f>
        <v>165.83333333333326</v>
      </c>
      <c r="P18" s="39">
        <f>M18-J18</f>
        <v>0</v>
      </c>
      <c r="Q18" s="40">
        <f>O18-L18</f>
        <v>-0.83333333333339965</v>
      </c>
      <c r="R18" s="198">
        <f>O18/L18</f>
        <v>0.99499999999999955</v>
      </c>
      <c r="S18" s="434"/>
      <c r="T18" s="41">
        <v>0.55555555555555558</v>
      </c>
      <c r="U18" s="41">
        <v>0.60972222222222228</v>
      </c>
      <c r="V18" s="185">
        <f>(T18-U17)*24*60</f>
        <v>80.000000000000028</v>
      </c>
      <c r="W18" s="43">
        <f t="shared" si="7"/>
        <v>78.000000000000043</v>
      </c>
      <c r="X18" s="22">
        <v>0.5</v>
      </c>
      <c r="Y18" s="22">
        <v>0.54166666666666663</v>
      </c>
      <c r="Z18" s="399"/>
      <c r="AA18" s="400"/>
      <c r="AB18" s="18">
        <f>N18-K18</f>
        <v>-10.000000000000909</v>
      </c>
      <c r="AC18" s="193">
        <f>N18/K18</f>
        <v>0.99499999999999955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222</v>
      </c>
      <c r="E19" s="12"/>
      <c r="F19" s="56">
        <f>VLOOKUP(D19,廠價表!$C$1:$E$39,3,0)</f>
        <v>50.67</v>
      </c>
      <c r="G19" s="99">
        <v>3975</v>
      </c>
      <c r="H19" s="15">
        <f t="shared" ref="H19" si="8">F19*G19</f>
        <v>201413.25</v>
      </c>
      <c r="I19" s="185"/>
      <c r="J19" s="16">
        <f>VLOOKUP(D19,產線配置圖!$A$2:$C$38,2,0)</f>
        <v>15</v>
      </c>
      <c r="K19" s="14">
        <f>VLOOKUP(D19,產線配置圖!$A$2:$C$38,3,0)</f>
        <v>2000</v>
      </c>
      <c r="L19" s="17">
        <f t="shared" ref="L19" si="9">K19/J19</f>
        <v>133.33333333333334</v>
      </c>
      <c r="M19" s="37">
        <v>15</v>
      </c>
      <c r="N19" s="36">
        <f>G19/W19*60</f>
        <v>1987.5000000000018</v>
      </c>
      <c r="O19" s="38">
        <f>N19/M19</f>
        <v>132.50000000000011</v>
      </c>
      <c r="P19" s="39">
        <f>M19-J19</f>
        <v>0</v>
      </c>
      <c r="Q19" s="40">
        <f>O19-L19</f>
        <v>-0.83333333333322912</v>
      </c>
      <c r="R19" s="198">
        <f>O19/L19</f>
        <v>0.9937500000000008</v>
      </c>
      <c r="S19" s="434"/>
      <c r="T19" s="41">
        <v>0.61805555555555558</v>
      </c>
      <c r="U19" s="41">
        <v>0.70138888888888884</v>
      </c>
      <c r="V19" s="185">
        <f>(T19-U18)*24*60</f>
        <v>11.999999999999957</v>
      </c>
      <c r="W19" s="43">
        <f t="shared" si="7"/>
        <v>119.99999999999989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13.5</v>
      </c>
      <c r="K26" s="137">
        <f t="shared" si="10"/>
        <v>2000</v>
      </c>
      <c r="L26" s="140">
        <f t="shared" si="10"/>
        <v>150</v>
      </c>
      <c r="M26" s="137">
        <f t="shared" si="10"/>
        <v>13.5</v>
      </c>
      <c r="N26" s="137">
        <f t="shared" si="10"/>
        <v>1917.8702830188683</v>
      </c>
      <c r="O26" s="140">
        <f t="shared" si="10"/>
        <v>144.34551886792457</v>
      </c>
      <c r="P26" s="141">
        <f t="shared" ref="P26:P29" si="11">M26-J26</f>
        <v>0</v>
      </c>
      <c r="Q26" s="142">
        <f t="shared" ref="Q26:Q29" si="12">O26-L26</f>
        <v>-5.654481132075432</v>
      </c>
      <c r="R26" s="143">
        <f t="shared" ref="R26:R29" si="13">O26/L26</f>
        <v>0.96230345911949711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-82.129716981131651</v>
      </c>
      <c r="AC26" s="195">
        <f>N26/K26</f>
        <v>0.95893514150943415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130</v>
      </c>
      <c r="E27" s="107"/>
      <c r="F27" s="207">
        <f>VLOOKUP(D27,廠價表!$C$1:$E$39,3,0)</f>
        <v>57.21</v>
      </c>
      <c r="G27" s="289">
        <v>2463</v>
      </c>
      <c r="H27" s="128">
        <f t="shared" ref="H27:H36" si="14">F27*G27</f>
        <v>140908.23000000001</v>
      </c>
      <c r="I27" s="129"/>
      <c r="J27" s="111">
        <v>15</v>
      </c>
      <c r="K27" s="252">
        <v>1565</v>
      </c>
      <c r="L27" s="112">
        <f>K27/J27</f>
        <v>104.33333333333333</v>
      </c>
      <c r="M27" s="147">
        <v>15</v>
      </c>
      <c r="N27" s="130">
        <f>G27/W27*60</f>
        <v>1252.3728813559323</v>
      </c>
      <c r="O27" s="131">
        <f>N27/M27</f>
        <v>83.491525423728817</v>
      </c>
      <c r="P27" s="132">
        <f t="shared" si="11"/>
        <v>0</v>
      </c>
      <c r="Q27" s="133">
        <f t="shared" si="12"/>
        <v>-20.841807909604512</v>
      </c>
      <c r="R27" s="197">
        <f>O27/L27</f>
        <v>0.80023826284724109</v>
      </c>
      <c r="S27" s="433">
        <f>R37</f>
        <v>0.87666872484213332</v>
      </c>
      <c r="T27" s="97">
        <v>0.29375000000000001</v>
      </c>
      <c r="U27" s="97">
        <v>0.37569444444444444</v>
      </c>
      <c r="V27" s="129"/>
      <c r="W27" s="134">
        <f t="shared" si="7"/>
        <v>117.99999999999999</v>
      </c>
      <c r="X27" s="129"/>
      <c r="Y27" s="129" t="s">
        <v>158</v>
      </c>
      <c r="Z27" s="414"/>
      <c r="AA27" s="423"/>
      <c r="AB27" s="114">
        <f>N27-K27</f>
        <v>-312.62711864406765</v>
      </c>
      <c r="AC27" s="148">
        <f>N27/K27</f>
        <v>0.80023826284724109</v>
      </c>
      <c r="AD27" s="391">
        <f>AC37</f>
        <v>0.80807063535589851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2824</v>
      </c>
      <c r="H28" s="50">
        <f t="shared" si="14"/>
        <v>155687.12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15</v>
      </c>
      <c r="N28" s="36">
        <f>G28/W28*60</f>
        <v>1100.2597402597403</v>
      </c>
      <c r="O28" s="38">
        <f>N28/M28</f>
        <v>73.350649350649348</v>
      </c>
      <c r="P28" s="39">
        <f t="shared" si="11"/>
        <v>-3</v>
      </c>
      <c r="Q28" s="40">
        <f t="shared" si="12"/>
        <v>-3.5937950937950944</v>
      </c>
      <c r="R28" s="198">
        <f t="shared" si="13"/>
        <v>0.95329363777017206</v>
      </c>
      <c r="S28" s="434"/>
      <c r="T28" s="291">
        <v>0.38055555555555554</v>
      </c>
      <c r="U28" s="291">
        <v>0.48749999999999999</v>
      </c>
      <c r="V28" s="42">
        <f>(T28-U27)*24*60</f>
        <v>6.9999999999999751</v>
      </c>
      <c r="W28" s="43">
        <f t="shared" si="7"/>
        <v>154</v>
      </c>
      <c r="X28" s="54"/>
      <c r="Y28" s="54"/>
      <c r="Z28" s="399"/>
      <c r="AA28" s="400"/>
      <c r="AB28" s="34">
        <f>N28-K28</f>
        <v>-284.74025974025972</v>
      </c>
      <c r="AC28" s="194">
        <f>N28/K28</f>
        <v>0.79441136480847674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146</v>
      </c>
      <c r="E29" s="89"/>
      <c r="F29" s="56">
        <f>VLOOKUP(D29,廠價表!$C$1:$E$39,3,0)</f>
        <v>55.13</v>
      </c>
      <c r="G29" s="256">
        <v>1031</v>
      </c>
      <c r="H29" s="50">
        <f t="shared" si="14"/>
        <v>56839.030000000006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15</v>
      </c>
      <c r="N29" s="36">
        <f>G29/W29*60</f>
        <v>1145.5555555555561</v>
      </c>
      <c r="O29" s="38">
        <f>N29/M29</f>
        <v>76.370370370370409</v>
      </c>
      <c r="P29" s="39">
        <f t="shared" si="11"/>
        <v>-3</v>
      </c>
      <c r="Q29" s="40">
        <f t="shared" si="12"/>
        <v>-0.57407407407403355</v>
      </c>
      <c r="R29" s="198">
        <f t="shared" si="13"/>
        <v>0.99253910950661905</v>
      </c>
      <c r="S29" s="434"/>
      <c r="T29" s="41">
        <v>0.54791666666666672</v>
      </c>
      <c r="U29" s="41">
        <v>0.5854166666666667</v>
      </c>
      <c r="V29" s="42">
        <f>(T29-U28)*24*60</f>
        <v>87.000000000000085</v>
      </c>
      <c r="W29" s="43">
        <f t="shared" si="7"/>
        <v>53.999999999999972</v>
      </c>
      <c r="X29" s="54">
        <v>0.5</v>
      </c>
      <c r="Y29" s="54">
        <v>0.54166666666666663</v>
      </c>
      <c r="Z29" s="399"/>
      <c r="AA29" s="398"/>
      <c r="AB29" s="275">
        <f t="shared" ref="AB29" si="15">N29-K29</f>
        <v>-239.44444444444389</v>
      </c>
      <c r="AC29" s="276">
        <f t="shared" ref="AC29" si="16">N29/K29</f>
        <v>0.82711592458884919</v>
      </c>
      <c r="AD29" s="393"/>
    </row>
    <row r="30" spans="1:30" ht="15" customHeight="1" x14ac:dyDescent="0.25">
      <c r="A30" s="431"/>
      <c r="B30" s="56" t="str">
        <f>VLOOKUP(D30,廠價表!$C$1:$E$39,2,0)</f>
        <v>義大利麵</v>
      </c>
      <c r="C30" s="255"/>
      <c r="D30" s="11" t="s">
        <v>130</v>
      </c>
      <c r="E30" s="29"/>
      <c r="F30" s="56">
        <f>VLOOKUP(D30,廠價表!$C$1:$E$39,3,0)</f>
        <v>57.21</v>
      </c>
      <c r="G30" s="256">
        <v>1481</v>
      </c>
      <c r="H30" s="50">
        <f t="shared" ref="H30" si="17">F30*G30</f>
        <v>84728.01</v>
      </c>
      <c r="I30" s="42"/>
      <c r="J30" s="16">
        <v>15</v>
      </c>
      <c r="K30" s="14">
        <v>1565</v>
      </c>
      <c r="L30" s="251">
        <f>K30/J30</f>
        <v>104.33333333333333</v>
      </c>
      <c r="M30" s="21">
        <v>15</v>
      </c>
      <c r="N30" s="36">
        <f>G30/W30*60</f>
        <v>1269.4285714285729</v>
      </c>
      <c r="O30" s="38">
        <f>N30/M30</f>
        <v>84.628571428571533</v>
      </c>
      <c r="P30" s="39">
        <f t="shared" ref="P30" si="18">M30-J30</f>
        <v>0</v>
      </c>
      <c r="Q30" s="40">
        <f t="shared" ref="Q30" si="19">O30-L30</f>
        <v>-19.704761904761796</v>
      </c>
      <c r="R30" s="198">
        <f t="shared" ref="R30" si="20">O30/L30</f>
        <v>0.81113646736650036</v>
      </c>
      <c r="S30" s="434"/>
      <c r="T30" s="41">
        <v>0.58958333333333335</v>
      </c>
      <c r="U30" s="41">
        <v>0.6381944444444444</v>
      </c>
      <c r="V30" s="42">
        <f>(T30-U29)*24*60</f>
        <v>5.9999999999999787</v>
      </c>
      <c r="W30" s="43">
        <f t="shared" si="7"/>
        <v>69.999999999999915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21">AVERAGE(J27:J36)</f>
        <v>16.5</v>
      </c>
      <c r="K37" s="314">
        <f t="shared" si="21"/>
        <v>1475</v>
      </c>
      <c r="L37" s="315">
        <f t="shared" si="21"/>
        <v>90.638888888888886</v>
      </c>
      <c r="M37" s="314">
        <f t="shared" si="21"/>
        <v>15</v>
      </c>
      <c r="N37" s="314">
        <f t="shared" si="21"/>
        <v>1191.9041871499503</v>
      </c>
      <c r="O37" s="315">
        <f t="shared" si="21"/>
        <v>79.460279143330027</v>
      </c>
      <c r="P37" s="74">
        <f>M37-J37</f>
        <v>-1.5</v>
      </c>
      <c r="Q37" s="75">
        <f>N37-K37</f>
        <v>-283.0958128500497</v>
      </c>
      <c r="R37" s="316">
        <f t="shared" ref="R37:R40" si="22">O37/L37</f>
        <v>0.87666872484213332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23">N37-K37</f>
        <v>-283.0958128500497</v>
      </c>
      <c r="AC37" s="195">
        <f t="shared" ref="AC37:AC39" si="24">N37/K37</f>
        <v>0.80807063535589851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28" t="s">
        <v>223</v>
      </c>
      <c r="E38" s="309"/>
      <c r="F38" s="56">
        <f>VLOOKUP(D38,廠價表!$C$1:$E$39,3,0)</f>
        <v>57.3</v>
      </c>
      <c r="G38" s="305">
        <v>2168</v>
      </c>
      <c r="H38" s="64">
        <f>F38*G38</f>
        <v>124226.4</v>
      </c>
      <c r="I38" s="129"/>
      <c r="J38" s="296">
        <f>VLOOKUP(D38,產線配置圖!$A$2:$C$38,2,0)</f>
        <v>17</v>
      </c>
      <c r="K38" s="252">
        <f>VLOOKUP(D38,產線配置圖!$A$2:$C$38,3,0)</f>
        <v>1385</v>
      </c>
      <c r="L38" s="317">
        <f>K38/J38</f>
        <v>81.470588235294116</v>
      </c>
      <c r="M38" s="318">
        <v>17</v>
      </c>
      <c r="N38" s="130">
        <f>G38/W38*60</f>
        <v>1238.8571428571436</v>
      </c>
      <c r="O38" s="131">
        <f>N38/M38</f>
        <v>72.873949579831972</v>
      </c>
      <c r="P38" s="132">
        <f t="shared" ref="P38:P40" si="25">M38-J38</f>
        <v>0</v>
      </c>
      <c r="Q38" s="133">
        <f t="shared" ref="Q38:Q40" si="26">O38-L38</f>
        <v>-8.5966386554621437</v>
      </c>
      <c r="R38" s="197">
        <f t="shared" si="22"/>
        <v>0.89448169159360547</v>
      </c>
      <c r="S38" s="493">
        <f>R48</f>
        <v>0.89863376610363799</v>
      </c>
      <c r="T38" s="157">
        <v>0.33680555555555558</v>
      </c>
      <c r="U38" s="157">
        <v>0.40972222222222221</v>
      </c>
      <c r="V38" s="153"/>
      <c r="W38" s="158">
        <f t="shared" si="7"/>
        <v>104.99999999999994</v>
      </c>
      <c r="X38" s="155"/>
      <c r="Y38" s="159"/>
      <c r="Z38" s="427"/>
      <c r="AA38" s="427"/>
      <c r="AB38" s="319">
        <f t="shared" si="23"/>
        <v>-146.14285714285643</v>
      </c>
      <c r="AC38" s="161">
        <f t="shared" si="24"/>
        <v>0.89448169159360547</v>
      </c>
      <c r="AD38" s="388">
        <f>AC48</f>
        <v>0.8564669961078929</v>
      </c>
    </row>
    <row r="39" spans="1:30" s="63" customFormat="1" ht="15" customHeight="1" x14ac:dyDescent="0.25">
      <c r="A39" s="425"/>
      <c r="B39" s="56" t="s">
        <v>140</v>
      </c>
      <c r="C39" s="306" t="e">
        <v>#N/A</v>
      </c>
      <c r="D39" s="308" t="s">
        <v>154</v>
      </c>
      <c r="E39" s="307"/>
      <c r="F39" s="56">
        <v>56.87</v>
      </c>
      <c r="G39" s="305">
        <v>2266</v>
      </c>
      <c r="H39" s="64">
        <f t="shared" ref="H39:H41" si="27">F39*G39</f>
        <v>128867.42</v>
      </c>
      <c r="I39" s="65"/>
      <c r="J39" s="37">
        <v>19</v>
      </c>
      <c r="K39" s="36">
        <v>1600</v>
      </c>
      <c r="L39" s="38">
        <v>88.235294117647058</v>
      </c>
      <c r="M39" s="66">
        <v>17</v>
      </c>
      <c r="N39" s="67">
        <f>G39/W39*60</f>
        <v>1431.1578947368412</v>
      </c>
      <c r="O39" s="68">
        <f>N39/M39</f>
        <v>84.18575851393183</v>
      </c>
      <c r="P39" s="39">
        <f t="shared" si="25"/>
        <v>-2</v>
      </c>
      <c r="Q39" s="40">
        <f t="shared" si="26"/>
        <v>-4.0495356037152277</v>
      </c>
      <c r="R39" s="198">
        <f t="shared" si="22"/>
        <v>0.95410526315789412</v>
      </c>
      <c r="S39" s="494"/>
      <c r="T39" s="59">
        <v>0.41319444444444442</v>
      </c>
      <c r="U39" s="59">
        <v>0.47916666666666669</v>
      </c>
      <c r="V39" s="42">
        <f>(T39-U38)*24*60</f>
        <v>4.9999999999999822</v>
      </c>
      <c r="W39" s="70">
        <f t="shared" si="7"/>
        <v>95.000000000000057</v>
      </c>
      <c r="X39" s="22"/>
      <c r="Y39" s="22"/>
      <c r="Z39" s="428"/>
      <c r="AA39" s="475"/>
      <c r="AB39" s="292">
        <f t="shared" si="23"/>
        <v>-168.84210526315883</v>
      </c>
      <c r="AC39" s="62">
        <f t="shared" si="24"/>
        <v>0.89447368421052575</v>
      </c>
      <c r="AD39" s="389"/>
    </row>
    <row r="40" spans="1:30" s="63" customFormat="1" ht="15" customHeight="1" x14ac:dyDescent="0.25">
      <c r="A40" s="425"/>
      <c r="B40" s="56" t="s">
        <v>140</v>
      </c>
      <c r="C40" s="298"/>
      <c r="D40" s="308" t="s">
        <v>223</v>
      </c>
      <c r="E40" s="261"/>
      <c r="F40" s="56">
        <v>56.87</v>
      </c>
      <c r="G40" s="305">
        <v>3873</v>
      </c>
      <c r="H40" s="64">
        <f t="shared" si="27"/>
        <v>220257.50999999998</v>
      </c>
      <c r="I40" s="65"/>
      <c r="J40" s="37">
        <v>19</v>
      </c>
      <c r="K40" s="36">
        <v>1600</v>
      </c>
      <c r="L40" s="38">
        <v>88.235294117647058</v>
      </c>
      <c r="M40" s="302">
        <v>16</v>
      </c>
      <c r="N40" s="67">
        <f>G40/W40*60</f>
        <v>1161.8999999999994</v>
      </c>
      <c r="O40" s="68">
        <f>N40/M40</f>
        <v>72.618749999999963</v>
      </c>
      <c r="P40" s="39">
        <f t="shared" si="25"/>
        <v>-3</v>
      </c>
      <c r="Q40" s="40">
        <f t="shared" si="26"/>
        <v>-15.616544117647095</v>
      </c>
      <c r="R40" s="198">
        <f t="shared" si="22"/>
        <v>0.82301249999999959</v>
      </c>
      <c r="S40" s="409"/>
      <c r="T40" s="59">
        <v>0.54166666666666663</v>
      </c>
      <c r="U40" s="59">
        <v>0.68055555555555558</v>
      </c>
      <c r="V40" s="42">
        <f>(T40-U39)*24*60</f>
        <v>89.999999999999915</v>
      </c>
      <c r="W40" s="70">
        <f t="shared" si="7"/>
        <v>200.00000000000009</v>
      </c>
      <c r="X40" s="71">
        <v>0.48958333333333331</v>
      </c>
      <c r="Y40" s="278">
        <v>0.53125</v>
      </c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 t="s">
        <v>140</v>
      </c>
      <c r="C41" s="10"/>
      <c r="D41" s="11" t="s">
        <v>154</v>
      </c>
      <c r="E41" s="89"/>
      <c r="F41" s="56">
        <v>56.87</v>
      </c>
      <c r="G41" s="305">
        <v>1099</v>
      </c>
      <c r="H41" s="64">
        <f t="shared" si="27"/>
        <v>62500.13</v>
      </c>
      <c r="I41" s="65"/>
      <c r="J41" s="37">
        <v>19</v>
      </c>
      <c r="K41" s="36">
        <v>1600</v>
      </c>
      <c r="L41" s="38">
        <v>88.235294117647058</v>
      </c>
      <c r="M41" s="66">
        <v>18</v>
      </c>
      <c r="N41" s="67">
        <f>G41/W41*60</f>
        <v>1465.3333333333333</v>
      </c>
      <c r="O41" s="68">
        <f>N41/M41</f>
        <v>81.407407407407405</v>
      </c>
      <c r="P41" s="39">
        <f t="shared" ref="P41" si="28">M41-J41</f>
        <v>-1</v>
      </c>
      <c r="Q41" s="40">
        <f t="shared" ref="Q41" si="29">O41-L41</f>
        <v>-6.8278867102396532</v>
      </c>
      <c r="R41" s="198">
        <f t="shared" ref="R41" si="30">O41/L41</f>
        <v>0.92261728395061726</v>
      </c>
      <c r="S41" s="409"/>
      <c r="T41" s="59">
        <v>0.68402777777777779</v>
      </c>
      <c r="U41" s="59">
        <v>0.71527777777777779</v>
      </c>
      <c r="V41" s="42">
        <f>(T41-U40)*24*60</f>
        <v>4.9999999999999822</v>
      </c>
      <c r="W41" s="70">
        <f t="shared" si="7"/>
        <v>45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/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31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31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32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31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32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31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32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31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32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3">AVERAGE(J38:J47)</f>
        <v>18.5</v>
      </c>
      <c r="K48" s="137">
        <f t="shared" si="33"/>
        <v>1546.25</v>
      </c>
      <c r="L48" s="140">
        <f t="shared" si="33"/>
        <v>86.544117647058826</v>
      </c>
      <c r="M48" s="137">
        <f t="shared" si="33"/>
        <v>17</v>
      </c>
      <c r="N48" s="137">
        <f t="shared" si="33"/>
        <v>1324.3120927318294</v>
      </c>
      <c r="O48" s="140">
        <f t="shared" si="33"/>
        <v>77.771466375292789</v>
      </c>
      <c r="P48" s="164">
        <f>M48-J48</f>
        <v>-1.5</v>
      </c>
      <c r="Q48" s="165">
        <f>N48-K48</f>
        <v>-221.93790726817065</v>
      </c>
      <c r="R48" s="166">
        <f>O48/L48</f>
        <v>0.89863376610363799</v>
      </c>
      <c r="S48" s="412"/>
      <c r="T48" s="167"/>
      <c r="U48" s="167"/>
      <c r="V48" s="204"/>
      <c r="W48" s="168">
        <f t="shared" si="32"/>
        <v>0</v>
      </c>
      <c r="X48" s="169"/>
      <c r="Y48" s="169"/>
      <c r="Z48" s="401"/>
      <c r="AA48" s="401"/>
      <c r="AB48" s="170">
        <f>N48-K48</f>
        <v>-221.93790726817065</v>
      </c>
      <c r="AC48" s="199">
        <f>N48/K48</f>
        <v>0.8564669961078929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4258</v>
      </c>
      <c r="H49" s="128">
        <f t="shared" ref="H49:H57" si="34">F49*G49</f>
        <v>212772.26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1494.0350877192986</v>
      </c>
      <c r="O49" s="131">
        <f>N49/M49</f>
        <v>83.00194931773882</v>
      </c>
      <c r="P49" s="171">
        <f>M49-J49</f>
        <v>0</v>
      </c>
      <c r="Q49" s="115">
        <f>O49-L49</f>
        <v>-3.942495126705623</v>
      </c>
      <c r="R49" s="192">
        <f>O49/L49</f>
        <v>0.95465500812734749</v>
      </c>
      <c r="S49" s="408">
        <f>R58</f>
        <v>0.97795127902571866</v>
      </c>
      <c r="T49" s="157">
        <v>0.2902777777777778</v>
      </c>
      <c r="U49" s="157">
        <v>0.40902777777777777</v>
      </c>
      <c r="V49" s="196"/>
      <c r="W49" s="158">
        <f t="shared" si="7"/>
        <v>170.99999999999994</v>
      </c>
      <c r="X49" s="196"/>
      <c r="Y49" s="196"/>
      <c r="Z49" s="423"/>
      <c r="AA49" s="423"/>
      <c r="AB49" s="114">
        <f>N49-K49</f>
        <v>-70.964912280701355</v>
      </c>
      <c r="AC49" s="192">
        <f>N49/K49</f>
        <v>0.95465500812734738</v>
      </c>
      <c r="AD49" s="391">
        <f>AC58</f>
        <v>0.97802714871865293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2305</v>
      </c>
      <c r="H50" s="77">
        <f t="shared" si="34"/>
        <v>131085.35</v>
      </c>
      <c r="I50" s="201"/>
      <c r="J50" s="16">
        <v>19</v>
      </c>
      <c r="K50" s="14">
        <v>1600</v>
      </c>
      <c r="L50" s="17">
        <f>K50/J50</f>
        <v>84.21052631578948</v>
      </c>
      <c r="M50" s="182">
        <v>19</v>
      </c>
      <c r="N50" s="78">
        <f>G50/W50*60</f>
        <v>1571.5909090909104</v>
      </c>
      <c r="O50" s="79">
        <f>N50/M50</f>
        <v>82.715311004784752</v>
      </c>
      <c r="P50" s="18">
        <f>M50-J50</f>
        <v>0</v>
      </c>
      <c r="Q50" s="19">
        <f>O50-L50</f>
        <v>-1.4952153110047277</v>
      </c>
      <c r="R50" s="193">
        <f>O50/L50</f>
        <v>0.9822443181818189</v>
      </c>
      <c r="S50" s="409"/>
      <c r="T50" s="80">
        <v>0.41458333333333336</v>
      </c>
      <c r="U50" s="80">
        <v>0.47569444444444442</v>
      </c>
      <c r="V50" s="185">
        <f t="shared" ref="V50:V51" si="35">(T50-U49)*24*60</f>
        <v>8.0000000000000515</v>
      </c>
      <c r="W50" s="81">
        <f t="shared" si="7"/>
        <v>87.999999999999929</v>
      </c>
      <c r="X50" s="22"/>
      <c r="Y50" s="22"/>
      <c r="Z50" s="398"/>
      <c r="AA50" s="399"/>
      <c r="AB50" s="18">
        <f>N50-K50</f>
        <v>-28.409090909089628</v>
      </c>
      <c r="AC50" s="193">
        <f>N50/K50</f>
        <v>0.98224431818181901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5289</v>
      </c>
      <c r="H51" s="77">
        <f t="shared" si="34"/>
        <v>264291.33</v>
      </c>
      <c r="I51" s="185"/>
      <c r="J51" s="16">
        <v>18</v>
      </c>
      <c r="K51" s="14">
        <v>1600</v>
      </c>
      <c r="L51" s="17">
        <f t="shared" ref="L51" si="36">K51/J51</f>
        <v>88.888888888888886</v>
      </c>
      <c r="M51" s="182">
        <v>18</v>
      </c>
      <c r="N51" s="78">
        <f t="shared" ref="N51" si="37">G51/W51*60</f>
        <v>1594.6733668341712</v>
      </c>
      <c r="O51" s="79">
        <f t="shared" ref="O51" si="38">N51/M51</f>
        <v>88.592964824120628</v>
      </c>
      <c r="P51" s="18">
        <f t="shared" ref="P51" si="39">M51-J51</f>
        <v>0</v>
      </c>
      <c r="Q51" s="19">
        <f t="shared" ref="Q51" si="40">O51-L51</f>
        <v>-0.29592406476825772</v>
      </c>
      <c r="R51" s="193">
        <f t="shared" ref="R51" si="41">O51/L51</f>
        <v>0.99667085427135715</v>
      </c>
      <c r="S51" s="409"/>
      <c r="T51" s="80">
        <v>0.53333333333333333</v>
      </c>
      <c r="U51" s="44">
        <v>0.67152777777777772</v>
      </c>
      <c r="V51" s="185">
        <f t="shared" si="35"/>
        <v>83.000000000000028</v>
      </c>
      <c r="W51" s="81">
        <f t="shared" si="7"/>
        <v>198.99999999999994</v>
      </c>
      <c r="X51" s="22">
        <v>0.47916666666666669</v>
      </c>
      <c r="Y51" s="22">
        <v>0.52083333333333337</v>
      </c>
      <c r="Z51" s="400"/>
      <c r="AA51" s="400"/>
      <c r="AB51" s="51">
        <f>N51-K51</f>
        <v>-5.3266331658287527</v>
      </c>
      <c r="AC51" s="52">
        <f>N51/K51</f>
        <v>0.99667085427135704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34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4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4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4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4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2">AVERAGE(J49:J57)</f>
        <v>18.333333333333332</v>
      </c>
      <c r="K58" s="121">
        <f t="shared" si="42"/>
        <v>1588.3333333333333</v>
      </c>
      <c r="L58" s="118">
        <f t="shared" si="42"/>
        <v>86.681286549707622</v>
      </c>
      <c r="M58" s="121">
        <f t="shared" si="42"/>
        <v>18.333333333333332</v>
      </c>
      <c r="N58" s="121">
        <f t="shared" si="42"/>
        <v>1553.4331212147936</v>
      </c>
      <c r="O58" s="118">
        <f t="shared" si="42"/>
        <v>84.770075048881395</v>
      </c>
      <c r="P58" s="122">
        <f>M58-J58</f>
        <v>0</v>
      </c>
      <c r="Q58" s="123">
        <f>N58-K58</f>
        <v>-34.900212118539685</v>
      </c>
      <c r="R58" s="124">
        <f t="shared" ref="R58:R60" si="43">O58/L58</f>
        <v>0.97795127902571866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44">N58-K58</f>
        <v>-34.900212118539685</v>
      </c>
      <c r="AC58" s="195">
        <f t="shared" ref="AC58:AC62" si="45">N58/K58</f>
        <v>0.97802714871865293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2826</v>
      </c>
      <c r="H59" s="109">
        <f t="shared" ref="H59:H68" si="46">F59*G59</f>
        <v>76273.739999999991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7">G59/W59*60</f>
        <v>1413.0000000000002</v>
      </c>
      <c r="O59" s="112">
        <f t="shared" ref="O59:O61" si="48">N59/M59</f>
        <v>108.69230769230771</v>
      </c>
      <c r="P59" s="114">
        <f t="shared" ref="P59:P61" si="49">M59-J59</f>
        <v>0</v>
      </c>
      <c r="Q59" s="115">
        <f t="shared" ref="Q59:Q61" si="50">O59-L59</f>
        <v>-11.692307692307679</v>
      </c>
      <c r="R59" s="192">
        <f t="shared" si="43"/>
        <v>0.90287539936102246</v>
      </c>
      <c r="S59" s="408">
        <f>R69</f>
        <v>0.85980874192623069</v>
      </c>
      <c r="T59" s="176">
        <v>0.2951388888888889</v>
      </c>
      <c r="U59" s="176">
        <v>0.37847222222222221</v>
      </c>
      <c r="V59" s="196"/>
      <c r="W59" s="110">
        <f t="shared" si="7"/>
        <v>119.99999999999997</v>
      </c>
      <c r="X59" s="196"/>
      <c r="Y59" s="196"/>
      <c r="Z59" s="400"/>
      <c r="AA59" s="400"/>
      <c r="AB59" s="240">
        <f t="shared" si="44"/>
        <v>-151.99999999999977</v>
      </c>
      <c r="AC59" s="241">
        <f t="shared" si="45"/>
        <v>0.90287539936102246</v>
      </c>
      <c r="AD59" s="391">
        <f>AC69</f>
        <v>0.86052186470687142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1468</v>
      </c>
      <c r="H60" s="15">
        <f t="shared" si="46"/>
        <v>41793.96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7"/>
        <v>1101.0000000000005</v>
      </c>
      <c r="O60" s="17">
        <f t="shared" si="48"/>
        <v>91.750000000000043</v>
      </c>
      <c r="P60" s="18">
        <f t="shared" si="49"/>
        <v>0</v>
      </c>
      <c r="Q60" s="19">
        <f t="shared" si="50"/>
        <v>-38.666666666666615</v>
      </c>
      <c r="R60" s="193">
        <f t="shared" si="43"/>
        <v>0.70351437699680552</v>
      </c>
      <c r="S60" s="419"/>
      <c r="T60" s="206">
        <v>0.3888888888888889</v>
      </c>
      <c r="U60" s="206">
        <v>0.44444444444444442</v>
      </c>
      <c r="V60" s="185">
        <f t="shared" ref="V60:V62" si="51">(T60-U59)*24*60</f>
        <v>15.000000000000027</v>
      </c>
      <c r="W60" s="93">
        <f t="shared" si="7"/>
        <v>79.999999999999957</v>
      </c>
      <c r="X60" s="201"/>
      <c r="Y60" s="201"/>
      <c r="Z60" s="400" t="s">
        <v>226</v>
      </c>
      <c r="AA60" s="400"/>
      <c r="AB60" s="242">
        <f t="shared" si="44"/>
        <v>-463.99999999999955</v>
      </c>
      <c r="AC60" s="243">
        <f t="shared" si="45"/>
        <v>0.70351437699680541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2433</v>
      </c>
      <c r="H61" s="15">
        <f t="shared" si="46"/>
        <v>68756.58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52">K61/J61</f>
        <v>130.41666666666666</v>
      </c>
      <c r="M61" s="188">
        <v>12</v>
      </c>
      <c r="N61" s="14">
        <f t="shared" si="47"/>
        <v>1536.6315789473674</v>
      </c>
      <c r="O61" s="17">
        <f t="shared" si="48"/>
        <v>128.05263157894728</v>
      </c>
      <c r="P61" s="18">
        <f t="shared" si="49"/>
        <v>0</v>
      </c>
      <c r="Q61" s="19">
        <f t="shared" si="50"/>
        <v>-2.3640350877193725</v>
      </c>
      <c r="R61" s="193">
        <f>O61/L61</f>
        <v>0.98187321338489941</v>
      </c>
      <c r="S61" s="409"/>
      <c r="T61" s="20">
        <v>0.4548611111111111</v>
      </c>
      <c r="U61" s="20">
        <v>0.52083333333333337</v>
      </c>
      <c r="V61" s="185">
        <f t="shared" si="51"/>
        <v>15.000000000000027</v>
      </c>
      <c r="W61" s="91">
        <f t="shared" si="7"/>
        <v>95.000000000000057</v>
      </c>
      <c r="X61" s="22"/>
      <c r="Y61" s="22"/>
      <c r="Z61" s="400"/>
      <c r="AA61" s="400"/>
      <c r="AB61" s="51">
        <f t="shared" si="44"/>
        <v>-28.368421052632584</v>
      </c>
      <c r="AC61" s="52">
        <f t="shared" si="45"/>
        <v>0.9818732133848993</v>
      </c>
      <c r="AD61" s="392"/>
    </row>
    <row r="62" spans="1:30" ht="15" customHeight="1" x14ac:dyDescent="0.25">
      <c r="A62" s="417"/>
      <c r="B62" s="56" t="s">
        <v>216</v>
      </c>
      <c r="C62" s="10"/>
      <c r="D62" s="11" t="s">
        <v>128</v>
      </c>
      <c r="E62" s="89"/>
      <c r="F62" s="56">
        <v>26.99</v>
      </c>
      <c r="G62" s="185">
        <v>1893</v>
      </c>
      <c r="H62" s="15">
        <f t="shared" si="46"/>
        <v>51092.07</v>
      </c>
      <c r="I62" s="82"/>
      <c r="J62" s="16">
        <v>13</v>
      </c>
      <c r="K62" s="14">
        <v>1565</v>
      </c>
      <c r="L62" s="17">
        <v>120.38461538461539</v>
      </c>
      <c r="M62" s="188">
        <v>13</v>
      </c>
      <c r="N62" s="14">
        <f t="shared" ref="N62" si="53">G62/W62*60</f>
        <v>1336.2352941176468</v>
      </c>
      <c r="O62" s="17">
        <f t="shared" ref="O62" si="54">N62/M62</f>
        <v>102.78733031674207</v>
      </c>
      <c r="P62" s="18">
        <f t="shared" ref="P62" si="55">M62-J62</f>
        <v>0</v>
      </c>
      <c r="Q62" s="19">
        <f t="shared" ref="Q62" si="56">O62-L62</f>
        <v>-17.597285067873315</v>
      </c>
      <c r="R62" s="193">
        <f>O62/L62</f>
        <v>0.8538244690847584</v>
      </c>
      <c r="S62" s="409"/>
      <c r="T62" s="20">
        <v>0.57291666666666663</v>
      </c>
      <c r="U62" s="20">
        <v>0.63194444444444442</v>
      </c>
      <c r="V62" s="185">
        <f t="shared" si="51"/>
        <v>74.999999999999886</v>
      </c>
      <c r="W62" s="93">
        <f t="shared" si="7"/>
        <v>85.000000000000014</v>
      </c>
      <c r="X62" s="22">
        <v>0.52083333333333337</v>
      </c>
      <c r="Y62" s="22">
        <v>0.5625</v>
      </c>
      <c r="Z62" s="400"/>
      <c r="AA62" s="400"/>
      <c r="AB62" s="51">
        <f t="shared" si="44"/>
        <v>-228.76470588235316</v>
      </c>
      <c r="AC62" s="52">
        <f t="shared" si="45"/>
        <v>0.8538244690847584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6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6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6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6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6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7">AVERAGE(J59:J68)</f>
        <v>12.5</v>
      </c>
      <c r="K69" s="173">
        <f t="shared" si="57"/>
        <v>1565</v>
      </c>
      <c r="L69" s="178">
        <f t="shared" si="57"/>
        <v>125.40064102564102</v>
      </c>
      <c r="M69" s="173">
        <f t="shared" si="57"/>
        <v>12.5</v>
      </c>
      <c r="N69" s="173">
        <f t="shared" si="57"/>
        <v>1346.7167182662538</v>
      </c>
      <c r="O69" s="178">
        <f t="shared" si="57"/>
        <v>107.82056739699928</v>
      </c>
      <c r="P69" s="179">
        <f>M69-J69</f>
        <v>0</v>
      </c>
      <c r="Q69" s="165">
        <f>N69-K69</f>
        <v>-218.28328173374621</v>
      </c>
      <c r="R69" s="124">
        <f>O69/L69</f>
        <v>0.85980874192623069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-218.28328173374621</v>
      </c>
      <c r="AC69" s="195">
        <f>N69/K69</f>
        <v>0.86052186470687142</v>
      </c>
      <c r="AD69" s="396"/>
    </row>
    <row r="70" spans="1:32" ht="15" customHeight="1" x14ac:dyDescent="0.25">
      <c r="A70" s="405" t="s">
        <v>58</v>
      </c>
      <c r="B70" s="207" t="str">
        <f>VLOOKUP(D70,廠價表!$C$1:$E$39,2,0)</f>
        <v>義大利麵</v>
      </c>
      <c r="C70" s="207"/>
      <c r="D70" s="106" t="s">
        <v>148</v>
      </c>
      <c r="E70" s="107"/>
      <c r="F70" s="207">
        <f>VLOOKUP(D70,廠價表!$C$1:$E$39,3,0)</f>
        <v>57.21</v>
      </c>
      <c r="G70" s="154">
        <v>2165</v>
      </c>
      <c r="H70" s="128">
        <f t="shared" ref="H70:H72" si="58">F70*G70</f>
        <v>123859.65000000001</v>
      </c>
      <c r="I70" s="129"/>
      <c r="J70" s="111">
        <v>18</v>
      </c>
      <c r="K70" s="108">
        <v>1500</v>
      </c>
      <c r="L70" s="112">
        <f>K70/J70</f>
        <v>83.333333333333329</v>
      </c>
      <c r="M70" s="113">
        <v>16</v>
      </c>
      <c r="N70" s="83">
        <f t="shared" ref="N70:N71" si="59">G70/W70*60</f>
        <v>1039.2000000000005</v>
      </c>
      <c r="O70" s="112">
        <f t="shared" ref="O70:O71" si="60">N70/M70</f>
        <v>64.950000000000031</v>
      </c>
      <c r="P70" s="208">
        <f t="shared" ref="P70:P71" si="61">M70-J70</f>
        <v>-2</v>
      </c>
      <c r="Q70" s="209">
        <f t="shared" ref="Q70:Q71" si="62">O70-L70</f>
        <v>-18.383333333333297</v>
      </c>
      <c r="R70" s="192">
        <f t="shared" ref="R70" si="63">O70/L70</f>
        <v>0.77940000000000043</v>
      </c>
      <c r="S70" s="408">
        <f>R79</f>
        <v>0.8773447023996217</v>
      </c>
      <c r="T70" s="176">
        <v>0.33680555555555558</v>
      </c>
      <c r="U70" s="176">
        <v>0.4236111111111111</v>
      </c>
      <c r="V70" s="196"/>
      <c r="W70" s="110">
        <f t="shared" ref="W70:W78" si="64">(U70-T70)*24*60</f>
        <v>124.99999999999996</v>
      </c>
      <c r="X70" s="180"/>
      <c r="Y70" s="180"/>
      <c r="Z70" s="413" t="s">
        <v>227</v>
      </c>
      <c r="AA70" s="414"/>
      <c r="AB70" s="240"/>
      <c r="AC70" s="241"/>
      <c r="AD70" s="391">
        <f>AC79</f>
        <v>0.86052186470687142</v>
      </c>
    </row>
    <row r="71" spans="1:32" ht="15" customHeight="1" x14ac:dyDescent="0.25">
      <c r="A71" s="406"/>
      <c r="B71" s="56" t="str">
        <f>VLOOKUP(D71,廠價表!$C$1:$E$39,2,0)</f>
        <v>義大利麵</v>
      </c>
      <c r="C71" s="10"/>
      <c r="D71" s="11" t="s">
        <v>130</v>
      </c>
      <c r="E71" s="89"/>
      <c r="F71" s="56">
        <f>VLOOKUP(D71,廠價表!$C$1:$E$39,3,0)</f>
        <v>57.21</v>
      </c>
      <c r="G71" s="67">
        <v>1513</v>
      </c>
      <c r="H71" s="77">
        <f t="shared" si="58"/>
        <v>86558.73</v>
      </c>
      <c r="I71" s="201"/>
      <c r="J71" s="16">
        <v>19</v>
      </c>
      <c r="K71" s="14">
        <v>1600</v>
      </c>
      <c r="L71" s="17">
        <f>K71/J71</f>
        <v>84.21052631578948</v>
      </c>
      <c r="M71" s="188">
        <v>17</v>
      </c>
      <c r="N71" s="14">
        <f t="shared" si="59"/>
        <v>1354.9253731343283</v>
      </c>
      <c r="O71" s="17">
        <f t="shared" si="60"/>
        <v>79.701492537313428</v>
      </c>
      <c r="P71" s="18">
        <f t="shared" si="61"/>
        <v>-2</v>
      </c>
      <c r="Q71" s="19">
        <f t="shared" si="62"/>
        <v>-4.5090337784760521</v>
      </c>
      <c r="R71" s="193">
        <f>O71/L71</f>
        <v>0.94645522388059689</v>
      </c>
      <c r="S71" s="409"/>
      <c r="T71" s="20">
        <v>0.43055555555555558</v>
      </c>
      <c r="U71" s="20">
        <v>0.47708333333333336</v>
      </c>
      <c r="V71" s="185">
        <f t="shared" ref="V71:V72" si="65">(T71-U70)*24*60</f>
        <v>10.000000000000044</v>
      </c>
      <c r="W71" s="93">
        <f t="shared" si="64"/>
        <v>67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 t="str">
        <f>VLOOKUP(D72,廠價表!$C$1:$E$39,2,0)</f>
        <v>義大利麵</v>
      </c>
      <c r="C72" s="10"/>
      <c r="D72" s="11" t="s">
        <v>173</v>
      </c>
      <c r="E72" s="89"/>
      <c r="F72" s="56">
        <f>VLOOKUP(D72,廠價表!$C$1:$E$39,3,0)</f>
        <v>56.87</v>
      </c>
      <c r="G72" s="67">
        <v>4887</v>
      </c>
      <c r="H72" s="77">
        <f t="shared" si="58"/>
        <v>277923.69</v>
      </c>
      <c r="I72" s="185"/>
      <c r="J72" s="16">
        <v>18</v>
      </c>
      <c r="K72" s="14">
        <v>1600</v>
      </c>
      <c r="L72" s="17">
        <f t="shared" ref="L72" si="66">K72/J72</f>
        <v>88.888888888888886</v>
      </c>
      <c r="M72" s="188">
        <v>17</v>
      </c>
      <c r="N72" s="14">
        <f t="shared" ref="N72" si="67">G72/W72*60</f>
        <v>1402.966507177033</v>
      </c>
      <c r="O72" s="17">
        <f t="shared" ref="O72" si="68">N72/M72</f>
        <v>82.527441598649006</v>
      </c>
      <c r="P72" s="18">
        <f t="shared" ref="P72" si="69">M72-J72</f>
        <v>-1</v>
      </c>
      <c r="Q72" s="19">
        <f t="shared" ref="Q72" si="70">O72-L72</f>
        <v>-6.3614472902398802</v>
      </c>
      <c r="R72" s="193">
        <f>O72/L72</f>
        <v>0.92843371798480134</v>
      </c>
      <c r="S72" s="409"/>
      <c r="T72" s="20">
        <v>0.53125</v>
      </c>
      <c r="U72" s="20">
        <v>0.67638888888888893</v>
      </c>
      <c r="V72" s="185">
        <f t="shared" si="65"/>
        <v>77.999999999999957</v>
      </c>
      <c r="W72" s="190">
        <f t="shared" si="64"/>
        <v>209.00000000000006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ref="H73:H78" si="71">F73*G73</f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64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71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64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71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64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71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64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71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64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71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64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72">AVERAGE(J69:J78)</f>
        <v>16.875</v>
      </c>
      <c r="K79" s="173">
        <f t="shared" si="72"/>
        <v>1566.25</v>
      </c>
      <c r="L79" s="178">
        <f t="shared" si="72"/>
        <v>95.45834739091319</v>
      </c>
      <c r="M79" s="173">
        <f t="shared" si="72"/>
        <v>15.625</v>
      </c>
      <c r="N79" s="173">
        <f t="shared" si="72"/>
        <v>1285.9521496444038</v>
      </c>
      <c r="O79" s="178">
        <f t="shared" si="72"/>
        <v>83.749875383240436</v>
      </c>
      <c r="P79" s="179">
        <f>M79-J79</f>
        <v>-1.25</v>
      </c>
      <c r="Q79" s="165">
        <f>N79-K79</f>
        <v>-280.29785035559621</v>
      </c>
      <c r="R79" s="166">
        <f>O79/L79</f>
        <v>0.8773447023996217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v>-218.28328173374621</v>
      </c>
      <c r="AC79" s="195">
        <v>0.86052186470687142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78" priority="1" operator="greaterThan">
      <formula>0</formula>
    </cfRule>
  </conditionalFormatting>
  <conditionalFormatting sqref="Q5:Q79 AB5:AB79">
    <cfRule type="cellIs" dxfId="177" priority="4" operator="lessThan">
      <formula>0</formula>
    </cfRule>
  </conditionalFormatting>
  <conditionalFormatting sqref="R5:R79 AC5:AC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D59:AD62 S69:S76 AD69:AD76">
    <cfRule type="cellIs" dxfId="174" priority="7" operator="lessThan">
      <formula>0.8</formula>
    </cfRule>
  </conditionalFormatting>
  <conditionalFormatting sqref="S19:S25 AD19:AD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D5:AD8 S15:S16 AD15:AD16 AD49 AD79">
    <cfRule type="cellIs" dxfId="171" priority="9" operator="lessThan">
      <formula>0.8</formula>
    </cfRule>
  </conditionalFormatting>
  <conditionalFormatting sqref="AD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58DE98-4C05-4DEA-B595-E098D41D4D65}">
          <x14:formula1>
            <xm:f>廠價表!$C$2:$C$37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DA86-F661-4AF8-B41B-89BE0BBF6780}">
  <sheetPr>
    <pageSetUpPr fitToPage="1"/>
  </sheetPr>
  <dimension ref="B1:O22"/>
  <sheetViews>
    <sheetView zoomScale="70" zoomScaleNormal="70" workbookViewId="0">
      <selection activeCell="J15" sqref="J15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45945</v>
      </c>
      <c r="E3" s="383"/>
      <c r="F3" s="214" t="s">
        <v>76</v>
      </c>
      <c r="G3" s="384">
        <f>'1015'!E1</f>
        <v>70428</v>
      </c>
      <c r="H3" s="384"/>
      <c r="I3" s="214" t="s">
        <v>77</v>
      </c>
      <c r="J3" s="385">
        <f>'1015'!G1</f>
        <v>3493652.84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112.01511225272834</v>
      </c>
      <c r="G6" s="362"/>
      <c r="H6" s="363">
        <f>AVERAGE(D13:H13)</f>
        <v>112.21139557037388</v>
      </c>
      <c r="I6" s="363"/>
      <c r="J6" s="363">
        <f>AVERAGE(I13:J13)</f>
        <v>111.52440395861449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99.628562368302212</v>
      </c>
      <c r="G7" s="380"/>
      <c r="H7" s="381">
        <f>AVERAGE(D14:H14)</f>
        <v>100.01630988548877</v>
      </c>
      <c r="I7" s="381"/>
      <c r="J7" s="381">
        <f>AVERAGE(I14:J14)</f>
        <v>98.659193575335848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0.89041400511025959</v>
      </c>
      <c r="G8" s="360"/>
      <c r="H8" s="360">
        <f>AVERAGE(D15:H15)</f>
        <v>0.89356025300150554</v>
      </c>
      <c r="I8" s="360"/>
      <c r="J8" s="360">
        <f>AVERAGE(I15:J15)</f>
        <v>0.88254838538214486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VALUE('1015'!L15)</f>
        <v>143.58974358974359</v>
      </c>
      <c r="E13" s="227">
        <f>VALUE('1015'!L26)</f>
        <v>150</v>
      </c>
      <c r="F13" s="227">
        <f>VALUE('1015'!L37)</f>
        <v>90.638888888888886</v>
      </c>
      <c r="G13" s="227">
        <f>VALUE('1015'!L48)</f>
        <v>90.14705882352942</v>
      </c>
      <c r="H13" s="227">
        <f>VALUE('1015'!L58)</f>
        <v>86.681286549707622</v>
      </c>
      <c r="I13" s="227">
        <f>VALUE('1015'!L69)</f>
        <v>125.40064102564102</v>
      </c>
      <c r="J13" s="227">
        <f>VALUE('1015'!L79)</f>
        <v>97.648166891587948</v>
      </c>
    </row>
    <row r="14" spans="2:15" ht="39.950000000000003" customHeight="1" x14ac:dyDescent="0.25">
      <c r="B14" s="489"/>
      <c r="C14" s="226" t="s">
        <v>100</v>
      </c>
      <c r="D14" s="227">
        <f>VALUE('1015'!O15)</f>
        <v>121.01375998736623</v>
      </c>
      <c r="E14" s="227">
        <f>VALUE('1015'!O26)</f>
        <v>138.53048365207587</v>
      </c>
      <c r="F14" s="227">
        <f>VALUE('1015'!O37)</f>
        <v>80.45105920770601</v>
      </c>
      <c r="G14" s="227">
        <f>VALUE('1015'!O48)</f>
        <v>74.283438375350144</v>
      </c>
      <c r="H14" s="227">
        <f>VALUE('1015'!O58)</f>
        <v>85.802808204945507</v>
      </c>
      <c r="I14" s="227">
        <f>VALUE('1015'!O69)</f>
        <v>112.78238983238985</v>
      </c>
      <c r="J14" s="227">
        <f>VALUE('1015'!O79)</f>
        <v>84.535997318281858</v>
      </c>
    </row>
    <row r="15" spans="2:15" ht="39.950000000000003" customHeight="1" x14ac:dyDescent="0.25">
      <c r="B15" s="490"/>
      <c r="C15" s="222" t="s">
        <v>101</v>
      </c>
      <c r="D15" s="248">
        <f>D14/D13</f>
        <v>0.84277439991201475</v>
      </c>
      <c r="E15" s="248">
        <f t="shared" ref="E15:J15" si="0">E14/E13</f>
        <v>0.9235365576805058</v>
      </c>
      <c r="F15" s="248">
        <f t="shared" si="0"/>
        <v>0.88759979512026244</v>
      </c>
      <c r="G15" s="248">
        <f t="shared" si="0"/>
        <v>0.82402509127631474</v>
      </c>
      <c r="H15" s="248">
        <f t="shared" si="0"/>
        <v>0.98986542101843</v>
      </c>
      <c r="I15" s="248">
        <f t="shared" si="0"/>
        <v>0.89937650166659766</v>
      </c>
      <c r="J15" s="248">
        <f t="shared" si="0"/>
        <v>0.86572026909769206</v>
      </c>
    </row>
    <row r="16" spans="2:15" ht="17.25" customHeight="1" x14ac:dyDescent="0.25">
      <c r="B16" s="491" t="s">
        <v>102</v>
      </c>
      <c r="C16" s="222" t="s">
        <v>103</v>
      </c>
      <c r="D16" s="98">
        <f>'1015'!T5</f>
        <v>0.33055555555555555</v>
      </c>
      <c r="E16" s="98">
        <f>'1015'!T16</f>
        <v>0.33055555555555555</v>
      </c>
      <c r="F16" s="98">
        <f>'1015'!T27</f>
        <v>0.29375000000000001</v>
      </c>
      <c r="G16" s="98">
        <f>'1015'!T38</f>
        <v>0.34722222222222221</v>
      </c>
      <c r="H16" s="98">
        <f>'1015'!T49</f>
        <v>0.28680555555555554</v>
      </c>
      <c r="I16" s="98">
        <f>'1015'!T59</f>
        <v>0.2951388888888889</v>
      </c>
      <c r="J16" s="293">
        <f>'1015'!T70</f>
        <v>0.33333333333333331</v>
      </c>
    </row>
    <row r="17" spans="2:10" ht="17.25" customHeight="1" x14ac:dyDescent="0.25">
      <c r="B17" s="492"/>
      <c r="C17" s="222" t="s">
        <v>104</v>
      </c>
      <c r="D17" s="80">
        <v>0.7</v>
      </c>
      <c r="E17" s="41">
        <v>0.69652777777777775</v>
      </c>
      <c r="F17" s="41">
        <v>0.65694444444444444</v>
      </c>
      <c r="G17" s="59">
        <v>0.70833333333333337</v>
      </c>
      <c r="H17" s="44">
        <v>0.67708333333333337</v>
      </c>
      <c r="I17" s="20">
        <v>0.61458333333333337</v>
      </c>
      <c r="J17" s="20">
        <v>0.65277777777777779</v>
      </c>
    </row>
    <row r="18" spans="2:10" ht="17.25" customHeight="1" x14ac:dyDescent="0.25">
      <c r="B18" s="481" t="s">
        <v>105</v>
      </c>
      <c r="C18" s="355"/>
      <c r="D18" s="229">
        <f>VALUE('1015'!M15)</f>
        <v>14.5</v>
      </c>
      <c r="E18" s="229">
        <f>VALUE('1015'!M26)</f>
        <v>13.5</v>
      </c>
      <c r="F18" s="229">
        <f>VALUE('1015'!M37)</f>
        <v>15.25</v>
      </c>
      <c r="G18" s="229">
        <f>VALUE('1015'!M48)</f>
        <v>16.5</v>
      </c>
      <c r="H18" s="229">
        <f>VALUE('1015'!M58)</f>
        <v>18.333333333333332</v>
      </c>
      <c r="I18" s="229">
        <f>VALUE('1015'!M69)</f>
        <v>12.5</v>
      </c>
      <c r="J18" s="229">
        <f>VALUE('1015'!M79)</f>
        <v>15.833333333333334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 t="s">
        <v>145</v>
      </c>
    </row>
    <row r="22" spans="2:10" x14ac:dyDescent="0.25">
      <c r="B22" s="482"/>
      <c r="C22" s="482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C17E-FDC8-45EC-B47F-AE929AD5E5ED}">
  <sheetPr>
    <tabColor theme="9" tint="0.79998168889431442"/>
    <pageSetUpPr fitToPage="1"/>
  </sheetPr>
  <dimension ref="A1:AF92"/>
  <sheetViews>
    <sheetView zoomScale="69" zoomScaleNormal="69" workbookViewId="0">
      <pane xSplit="5" ySplit="4" topLeftCell="G29" activePane="bottomRight" state="frozen"/>
      <selection activeCell="U71" sqref="U71"/>
      <selection pane="topRight" activeCell="U71" sqref="U71"/>
      <selection pane="bottomLeft" activeCell="U71" sqref="U71"/>
      <selection pane="bottomRight" activeCell="D38" sqref="D38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70428</v>
      </c>
      <c r="F1" s="185" t="s">
        <v>9</v>
      </c>
      <c r="G1" s="4">
        <f>SUM(H5:H79)</f>
        <v>3493652.84</v>
      </c>
      <c r="H1" s="183" t="s">
        <v>10</v>
      </c>
      <c r="I1" s="5">
        <f>M15+M26+M48+M58+M69+M79+M37</f>
        <v>106.41666666666666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232</v>
      </c>
      <c r="B2" s="461"/>
      <c r="C2" s="184"/>
      <c r="D2" s="184" t="s">
        <v>1</v>
      </c>
      <c r="E2" s="7">
        <f>AVERAGE(O15,O26,O37,O48,O58,O69,O79)</f>
        <v>99.628562368302212</v>
      </c>
      <c r="F2" s="8" t="s">
        <v>2</v>
      </c>
      <c r="G2" s="9">
        <f>G1/E1</f>
        <v>49.606020900778098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222</v>
      </c>
      <c r="E5" s="107"/>
      <c r="F5" s="207">
        <f>VLOOKUP(D5,廠價表!$C$1:$E$39,3,0)</f>
        <v>50.67</v>
      </c>
      <c r="G5" s="108">
        <v>3157</v>
      </c>
      <c r="H5" s="109">
        <f>F5*G5</f>
        <v>159965.19</v>
      </c>
      <c r="I5" s="110"/>
      <c r="J5" s="111">
        <f>VLOOKUP(D5,產線配置圖!$A$2:$C$38,2,0)</f>
        <v>15</v>
      </c>
      <c r="K5" s="108">
        <f>VLOOKUP(D5,產線配置圖!$A$2:$C$38,3,0)</f>
        <v>2000</v>
      </c>
      <c r="L5" s="112">
        <f>K5/J5</f>
        <v>133.33333333333334</v>
      </c>
      <c r="M5" s="113">
        <v>15</v>
      </c>
      <c r="N5" s="108">
        <f>G5/W5*60</f>
        <v>1737.7981651376144</v>
      </c>
      <c r="O5" s="112">
        <f>N5/M5</f>
        <v>115.8532110091743</v>
      </c>
      <c r="P5" s="114">
        <f>M5-J5</f>
        <v>0</v>
      </c>
      <c r="Q5" s="115">
        <f>O5-L5</f>
        <v>-17.480122324159041</v>
      </c>
      <c r="R5" s="192">
        <f>O5/L5</f>
        <v>0.86889908256880721</v>
      </c>
      <c r="S5" s="408">
        <f>R15</f>
        <v>0.84277439991201475</v>
      </c>
      <c r="T5" s="97">
        <v>0.33055555555555555</v>
      </c>
      <c r="U5" s="97">
        <v>0.40625</v>
      </c>
      <c r="V5" s="202"/>
      <c r="W5" s="110">
        <f t="shared" ref="W5:W14" si="0">(U5-T5)*24*60</f>
        <v>109.00000000000001</v>
      </c>
      <c r="X5" s="196"/>
      <c r="Y5" s="196"/>
      <c r="Z5" s="423" t="s">
        <v>230</v>
      </c>
      <c r="AA5" s="423"/>
      <c r="AB5" s="114">
        <f>N5-K5</f>
        <v>-262.20183486238557</v>
      </c>
      <c r="AC5" s="192">
        <f>N5/K5</f>
        <v>0.86889908256880721</v>
      </c>
      <c r="AD5" s="391">
        <f>AC15</f>
        <v>0.87022826714569868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150</v>
      </c>
      <c r="E6" s="89"/>
      <c r="F6" s="56">
        <f>VLOOKUP(D6,廠價表!$C$1:$E$39,3,0)</f>
        <v>49.14</v>
      </c>
      <c r="G6" s="25">
        <v>3177</v>
      </c>
      <c r="H6" s="15">
        <f t="shared" ref="H6:H14" si="1">F6*G6</f>
        <v>156117.78</v>
      </c>
      <c r="I6" s="190"/>
      <c r="J6" s="16">
        <f>VLOOKUP(D6,產線配置圖!$A$2:$C$38,2,0)</f>
        <v>13</v>
      </c>
      <c r="K6" s="14">
        <f>VLOOKUP(D6,產線配置圖!$A$2:$C$38,3,0)</f>
        <v>2000</v>
      </c>
      <c r="L6" s="17">
        <f>K6/J6</f>
        <v>153.84615384615384</v>
      </c>
      <c r="M6" s="188">
        <v>15</v>
      </c>
      <c r="N6" s="14">
        <f>G6/W6*60</f>
        <v>1925.454545454546</v>
      </c>
      <c r="O6" s="17">
        <f>N6/M6</f>
        <v>128.3636363636364</v>
      </c>
      <c r="P6" s="18">
        <f>M6-J6</f>
        <v>2</v>
      </c>
      <c r="Q6" s="19">
        <f>O6-L6</f>
        <v>-25.482517482517437</v>
      </c>
      <c r="R6" s="193">
        <f>O6/L6</f>
        <v>0.83436363636363664</v>
      </c>
      <c r="S6" s="409"/>
      <c r="T6" s="98">
        <v>0.41736111111111113</v>
      </c>
      <c r="U6" s="98">
        <v>0.4861111111111111</v>
      </c>
      <c r="V6" s="185">
        <f>(T6-U5)*24*60</f>
        <v>16.000000000000021</v>
      </c>
      <c r="W6" s="190">
        <f t="shared" si="0"/>
        <v>98.999999999999972</v>
      </c>
      <c r="X6" s="22"/>
      <c r="Y6" s="22"/>
      <c r="Z6" s="446"/>
      <c r="AA6" s="446"/>
      <c r="AB6" s="18">
        <f>N6-K6</f>
        <v>-74.545454545454049</v>
      </c>
      <c r="AC6" s="193">
        <f>N6/K6</f>
        <v>0.96272727272727299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4632</v>
      </c>
      <c r="H7" s="15">
        <f t="shared" si="1"/>
        <v>227616.48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1943.4965034965039</v>
      </c>
      <c r="O7" s="17">
        <f>N7/M7</f>
        <v>149.49973103819261</v>
      </c>
      <c r="P7" s="18">
        <f>M7-J7</f>
        <v>0</v>
      </c>
      <c r="Q7" s="19">
        <f>O7-L7</f>
        <v>-4.3464228079612326</v>
      </c>
      <c r="R7" s="193">
        <f>O7/L7</f>
        <v>0.97174825174825197</v>
      </c>
      <c r="S7" s="409"/>
      <c r="T7" s="98">
        <v>0.54722222222222228</v>
      </c>
      <c r="U7" s="98">
        <v>0.64652777777777781</v>
      </c>
      <c r="V7" s="185">
        <f>(T7-U6)*24*60</f>
        <v>88.000000000000085</v>
      </c>
      <c r="W7" s="190">
        <f t="shared" si="0"/>
        <v>142.99999999999997</v>
      </c>
      <c r="X7" s="22">
        <v>0.5</v>
      </c>
      <c r="Y7" s="22">
        <v>0.54166666666666663</v>
      </c>
      <c r="Z7" s="400" t="s">
        <v>229</v>
      </c>
      <c r="AA7" s="400"/>
      <c r="AB7" s="18">
        <f>N7-K7</f>
        <v>-56.503496503496081</v>
      </c>
      <c r="AC7" s="193">
        <f>N7/K7</f>
        <v>0.97174825174825197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222</v>
      </c>
      <c r="E8" s="89"/>
      <c r="F8" s="56">
        <f>VLOOKUP(D8,廠價表!$C$1:$E$39,3,0)</f>
        <v>50.67</v>
      </c>
      <c r="G8" s="25">
        <v>1468</v>
      </c>
      <c r="H8" s="15">
        <f t="shared" si="1"/>
        <v>74383.56</v>
      </c>
      <c r="I8" s="190"/>
      <c r="J8" s="16">
        <f>VLOOKUP(D8,產線配置圖!$A$2:$C$38,2,0)</f>
        <v>15</v>
      </c>
      <c r="K8" s="14">
        <f>VLOOKUP(D8,產線配置圖!$A$2:$C$38,3,0)</f>
        <v>2000</v>
      </c>
      <c r="L8" s="17">
        <f>K8/J8</f>
        <v>133.33333333333334</v>
      </c>
      <c r="M8" s="188">
        <v>15</v>
      </c>
      <c r="N8" s="14">
        <f>G8/W8*60</f>
        <v>1355.0769230769247</v>
      </c>
      <c r="O8" s="17">
        <f>N8/M8</f>
        <v>90.338461538461644</v>
      </c>
      <c r="P8" s="18">
        <f>M8-J8</f>
        <v>0</v>
      </c>
      <c r="Q8" s="19">
        <f>O8-L8</f>
        <v>-42.994871794871699</v>
      </c>
      <c r="R8" s="193">
        <f>O8/L8</f>
        <v>0.67753846153846231</v>
      </c>
      <c r="S8" s="409"/>
      <c r="T8" s="80">
        <v>0.65486111111111112</v>
      </c>
      <c r="U8" s="80">
        <v>0.7</v>
      </c>
      <c r="V8" s="185">
        <f>(T8-U7)*24*60</f>
        <v>11.999999999999957</v>
      </c>
      <c r="W8" s="190">
        <f t="shared" si="0"/>
        <v>64.999999999999929</v>
      </c>
      <c r="X8" s="22"/>
      <c r="Y8" s="22"/>
      <c r="Z8" s="447" t="s">
        <v>228</v>
      </c>
      <c r="AA8" s="447"/>
      <c r="AB8" s="18">
        <f>N8-K8</f>
        <v>-644.92307692307531</v>
      </c>
      <c r="AC8" s="193">
        <f>N8/K8</f>
        <v>0.67753846153846231</v>
      </c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59"/>
      <c r="AA9" s="460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59"/>
      <c r="AA10" s="460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446"/>
      <c r="AA11" s="446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46"/>
      <c r="AA12" s="446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14</v>
      </c>
      <c r="K15" s="121">
        <f t="shared" si="2"/>
        <v>2000</v>
      </c>
      <c r="L15" s="118">
        <f t="shared" si="2"/>
        <v>143.58974358974359</v>
      </c>
      <c r="M15" s="121">
        <f t="shared" si="2"/>
        <v>14.5</v>
      </c>
      <c r="N15" s="121">
        <f t="shared" si="2"/>
        <v>1740.4565342913972</v>
      </c>
      <c r="O15" s="118">
        <f t="shared" si="2"/>
        <v>121.01375998736623</v>
      </c>
      <c r="P15" s="122">
        <f t="shared" ref="P15:P16" si="3">M15-J15</f>
        <v>0.5</v>
      </c>
      <c r="Q15" s="123">
        <f t="shared" ref="Q15:Q16" si="4">O15-L15</f>
        <v>-22.575983602377363</v>
      </c>
      <c r="R15" s="124">
        <f t="shared" ref="R15:R16" si="5">O15/L15</f>
        <v>0.84277439991201475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-259.54346570860275</v>
      </c>
      <c r="AC15" s="195">
        <f>N15/K15</f>
        <v>0.87022826714569868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222</v>
      </c>
      <c r="E16" s="107"/>
      <c r="F16" s="207">
        <f>VLOOKUP(D16,廠價表!$C$1:$E$39,3,0)</f>
        <v>50.67</v>
      </c>
      <c r="G16" s="285">
        <v>3289</v>
      </c>
      <c r="H16" s="128">
        <f t="shared" ref="H16:H25" si="6">F16*G16</f>
        <v>166653.63</v>
      </c>
      <c r="I16" s="129"/>
      <c r="J16" s="111">
        <f>VLOOKUP(D16,產線配置圖!$A$2:$C$38,2,0)</f>
        <v>15</v>
      </c>
      <c r="K16" s="108">
        <f>VLOOKUP(D16,產線配置圖!$A$2:$C$38,3,0)</f>
        <v>2000</v>
      </c>
      <c r="L16" s="112">
        <f>K16/J16</f>
        <v>133.33333333333334</v>
      </c>
      <c r="M16" s="287">
        <v>15</v>
      </c>
      <c r="N16" s="130">
        <f>G16/W16*60</f>
        <v>1672.3728813559323</v>
      </c>
      <c r="O16" s="131">
        <f>N16/M16</f>
        <v>111.49152542372882</v>
      </c>
      <c r="P16" s="132">
        <f t="shared" si="3"/>
        <v>0</v>
      </c>
      <c r="Q16" s="133">
        <f t="shared" si="4"/>
        <v>-21.841807909604526</v>
      </c>
      <c r="R16" s="197">
        <f t="shared" si="5"/>
        <v>0.8361864406779661</v>
      </c>
      <c r="S16" s="433">
        <f>R26</f>
        <v>0.9235365576805058</v>
      </c>
      <c r="T16" s="288">
        <v>0.33055555555555555</v>
      </c>
      <c r="U16" s="288">
        <v>0.41249999999999998</v>
      </c>
      <c r="V16" s="129"/>
      <c r="W16" s="134">
        <f t="shared" ref="W16:W68" si="7">(U16-T16)*24*60</f>
        <v>117.99999999999999</v>
      </c>
      <c r="X16" s="131"/>
      <c r="Y16" s="131"/>
      <c r="Z16" s="423"/>
      <c r="AA16" s="423"/>
      <c r="AB16" s="114">
        <f>N16-K16</f>
        <v>-327.62711864406765</v>
      </c>
      <c r="AC16" s="192">
        <f>N16/K16</f>
        <v>0.83618644067796621</v>
      </c>
      <c r="AD16" s="391">
        <f>AC26</f>
        <v>0.91792245650449322</v>
      </c>
    </row>
    <row r="17" spans="1:30" ht="15" customHeight="1" x14ac:dyDescent="0.25">
      <c r="A17" s="439"/>
      <c r="B17" s="56" t="s">
        <v>63</v>
      </c>
      <c r="C17" s="10"/>
      <c r="D17" s="11" t="s">
        <v>137</v>
      </c>
      <c r="E17" s="89"/>
      <c r="F17" s="56">
        <f>VLOOKUP(D17,廠價表!$C$1:$E$39,3,0)</f>
        <v>50.39</v>
      </c>
      <c r="G17" s="99">
        <v>3040</v>
      </c>
      <c r="H17" s="15">
        <f>F17*G17</f>
        <v>153185.60000000001</v>
      </c>
      <c r="I17" s="185"/>
      <c r="J17" s="16">
        <f>VLOOKUP(D17,產線配置圖!$A$2:$C$38,2,0)</f>
        <v>12</v>
      </c>
      <c r="K17" s="14">
        <f>VLOOKUP(D17,產線配置圖!$A$2:$C$38,3,0)</f>
        <v>2000</v>
      </c>
      <c r="L17" s="17">
        <f>K17/J17</f>
        <v>166.66666666666666</v>
      </c>
      <c r="M17" s="37">
        <v>12</v>
      </c>
      <c r="N17" s="36">
        <f>G17/W17*60</f>
        <v>1920.0000000000005</v>
      </c>
      <c r="O17" s="38">
        <f>N17/M17</f>
        <v>160.00000000000003</v>
      </c>
      <c r="P17" s="39">
        <f>M17-J17</f>
        <v>0</v>
      </c>
      <c r="Q17" s="40">
        <f>O17-L17</f>
        <v>-6.6666666666666288</v>
      </c>
      <c r="R17" s="198">
        <f>O17/L17</f>
        <v>0.96000000000000019</v>
      </c>
      <c r="S17" s="434"/>
      <c r="T17" s="41">
        <v>0.4201388888888889</v>
      </c>
      <c r="U17" s="41">
        <v>0.4861111111111111</v>
      </c>
      <c r="V17" s="185">
        <f>(T17-U16)*24*60</f>
        <v>11.000000000000041</v>
      </c>
      <c r="W17" s="43">
        <f t="shared" si="7"/>
        <v>94.999999999999986</v>
      </c>
      <c r="X17" s="44"/>
      <c r="Y17" s="44"/>
      <c r="Z17" s="399"/>
      <c r="AA17" s="400"/>
      <c r="AB17" s="18">
        <f>N17-K17</f>
        <v>-79.999999999999545</v>
      </c>
      <c r="AC17" s="193">
        <f>N17/K17</f>
        <v>0.96000000000000019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5145</v>
      </c>
      <c r="H18" s="15">
        <f>F18*G18</f>
        <v>259256.55000000002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1953.7974683544317</v>
      </c>
      <c r="O18" s="38">
        <f>N18/M18</f>
        <v>162.81645569620264</v>
      </c>
      <c r="P18" s="39">
        <f>M18-J18</f>
        <v>0</v>
      </c>
      <c r="Q18" s="40">
        <f>O18-L18</f>
        <v>-3.8502109704640191</v>
      </c>
      <c r="R18" s="198">
        <f>O18/L18</f>
        <v>0.97689873417721584</v>
      </c>
      <c r="S18" s="434"/>
      <c r="T18" s="41">
        <v>0.54861111111111116</v>
      </c>
      <c r="U18" s="41">
        <v>0.65833333333333333</v>
      </c>
      <c r="V18" s="185">
        <f>(T18-U17)*24*60</f>
        <v>90.000000000000085</v>
      </c>
      <c r="W18" s="43">
        <f t="shared" si="7"/>
        <v>157.99999999999991</v>
      </c>
      <c r="X18" s="22">
        <v>0.5</v>
      </c>
      <c r="Y18" s="22">
        <v>0.54166666666666663</v>
      </c>
      <c r="Z18" s="399"/>
      <c r="AA18" s="400"/>
      <c r="AB18" s="18">
        <f>N18-K18</f>
        <v>-46.202531645568342</v>
      </c>
      <c r="AC18" s="193">
        <f>N18/K18</f>
        <v>0.97689873417721584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222</v>
      </c>
      <c r="E19" s="12"/>
      <c r="F19" s="56">
        <f>VLOOKUP(D19,廠價表!$C$1:$E$39,3,0)</f>
        <v>50.67</v>
      </c>
      <c r="G19" s="99">
        <v>1288</v>
      </c>
      <c r="H19" s="15">
        <f t="shared" ref="H19" si="8">F19*G19</f>
        <v>65262.96</v>
      </c>
      <c r="I19" s="185"/>
      <c r="J19" s="16">
        <f>VLOOKUP(D19,產線配置圖!$A$2:$C$38,2,0)</f>
        <v>15</v>
      </c>
      <c r="K19" s="14">
        <f>VLOOKUP(D19,產線配置圖!$A$2:$C$38,3,0)</f>
        <v>2000</v>
      </c>
      <c r="L19" s="17">
        <f t="shared" ref="L19" si="9">K19/J19</f>
        <v>133.33333333333334</v>
      </c>
      <c r="M19" s="37">
        <v>15</v>
      </c>
      <c r="N19" s="36">
        <f>G19/W19*60</f>
        <v>1797.2093023255811</v>
      </c>
      <c r="O19" s="38">
        <f>N19/M19</f>
        <v>119.81395348837208</v>
      </c>
      <c r="P19" s="39">
        <f>M19-J19</f>
        <v>0</v>
      </c>
      <c r="Q19" s="40">
        <f>O19-L19</f>
        <v>-13.519379844961264</v>
      </c>
      <c r="R19" s="198">
        <f>O19/L19</f>
        <v>0.89860465116279054</v>
      </c>
      <c r="S19" s="434"/>
      <c r="T19" s="41">
        <v>0.66666666666666663</v>
      </c>
      <c r="U19" s="41">
        <v>0.69652777777777775</v>
      </c>
      <c r="V19" s="185">
        <f>(T19-U18)*24*60</f>
        <v>11.999999999999957</v>
      </c>
      <c r="W19" s="43">
        <f t="shared" si="7"/>
        <v>43.000000000000007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13.5</v>
      </c>
      <c r="K26" s="137">
        <f t="shared" si="10"/>
        <v>2000</v>
      </c>
      <c r="L26" s="140">
        <f t="shared" si="10"/>
        <v>150</v>
      </c>
      <c r="M26" s="137">
        <f t="shared" si="10"/>
        <v>13.5</v>
      </c>
      <c r="N26" s="137">
        <f t="shared" si="10"/>
        <v>1835.8449130089864</v>
      </c>
      <c r="O26" s="140">
        <f t="shared" si="10"/>
        <v>138.53048365207587</v>
      </c>
      <c r="P26" s="141">
        <f t="shared" ref="P26:P30" si="11">M26-J26</f>
        <v>0</v>
      </c>
      <c r="Q26" s="142">
        <f t="shared" ref="Q26:Q30" si="12">O26-L26</f>
        <v>-11.469516347924127</v>
      </c>
      <c r="R26" s="143">
        <f t="shared" ref="R26:R30" si="13">O26/L26</f>
        <v>0.9235365576805058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-164.1550869910136</v>
      </c>
      <c r="AC26" s="195">
        <f>N26/K26</f>
        <v>0.91792245650449322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130</v>
      </c>
      <c r="E27" s="107"/>
      <c r="F27" s="207">
        <f>VLOOKUP(D27,廠價表!$C$1:$E$39,3,0)</f>
        <v>57.21</v>
      </c>
      <c r="G27" s="289">
        <v>2840</v>
      </c>
      <c r="H27" s="128">
        <f t="shared" ref="H27:H36" si="14">F27*G27</f>
        <v>162476.4</v>
      </c>
      <c r="I27" s="129"/>
      <c r="J27" s="111">
        <v>15</v>
      </c>
      <c r="K27" s="252">
        <v>1565</v>
      </c>
      <c r="L27" s="112">
        <f>K27/J27</f>
        <v>104.33333333333333</v>
      </c>
      <c r="M27" s="147">
        <v>13</v>
      </c>
      <c r="N27" s="130">
        <f>G27/W27*60</f>
        <v>1159.1836734693884</v>
      </c>
      <c r="O27" s="131">
        <f>N27/M27</f>
        <v>89.167974882260651</v>
      </c>
      <c r="P27" s="132">
        <f t="shared" si="11"/>
        <v>-2</v>
      </c>
      <c r="Q27" s="133">
        <f t="shared" si="12"/>
        <v>-15.165358451072677</v>
      </c>
      <c r="R27" s="197">
        <f>O27/L27</f>
        <v>0.85464512666703507</v>
      </c>
      <c r="S27" s="433">
        <f>R37</f>
        <v>0.88759979512026244</v>
      </c>
      <c r="T27" s="97">
        <v>0.29375000000000001</v>
      </c>
      <c r="U27" s="97">
        <v>0.39583333333333331</v>
      </c>
      <c r="V27" s="129"/>
      <c r="W27" s="134">
        <f t="shared" si="7"/>
        <v>146.99999999999994</v>
      </c>
      <c r="X27" s="129"/>
      <c r="Y27" s="129" t="s">
        <v>158</v>
      </c>
      <c r="Z27" s="414"/>
      <c r="AA27" s="423"/>
      <c r="AB27" s="114">
        <f>N27-K27</f>
        <v>-405.8163265306116</v>
      </c>
      <c r="AC27" s="148">
        <f>N27/K27</f>
        <v>0.74069244311143023</v>
      </c>
      <c r="AD27" s="391">
        <f>AC37</f>
        <v>0.81945454199220258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2134</v>
      </c>
      <c r="H28" s="50">
        <f t="shared" si="14"/>
        <v>117647.42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17</v>
      </c>
      <c r="N28" s="36">
        <f>G28/W28*60</f>
        <v>1219.428571428572</v>
      </c>
      <c r="O28" s="38">
        <f>N28/M28</f>
        <v>71.731092436974819</v>
      </c>
      <c r="P28" s="39">
        <f t="shared" si="11"/>
        <v>-1</v>
      </c>
      <c r="Q28" s="40">
        <f t="shared" si="12"/>
        <v>-5.2133520074696236</v>
      </c>
      <c r="R28" s="198">
        <f t="shared" si="13"/>
        <v>0.93224524466826486</v>
      </c>
      <c r="S28" s="434"/>
      <c r="T28" s="291">
        <v>0.4</v>
      </c>
      <c r="U28" s="291">
        <v>0.47291666666666665</v>
      </c>
      <c r="V28" s="42">
        <f>(T28-U27)*24*60</f>
        <v>6.0000000000000586</v>
      </c>
      <c r="W28" s="43">
        <f t="shared" si="7"/>
        <v>104.99999999999994</v>
      </c>
      <c r="X28" s="54"/>
      <c r="Y28" s="54"/>
      <c r="Z28" s="399"/>
      <c r="AA28" s="400"/>
      <c r="AB28" s="34">
        <f>N28-K28</f>
        <v>-165.57142857142799</v>
      </c>
      <c r="AC28" s="194">
        <f>N28/K28</f>
        <v>0.88045384218669465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146</v>
      </c>
      <c r="E29" s="89"/>
      <c r="F29" s="56">
        <f>VLOOKUP(D29,廠價表!$C$1:$E$39,3,0)</f>
        <v>55.13</v>
      </c>
      <c r="G29" s="256">
        <v>1403</v>
      </c>
      <c r="H29" s="50">
        <f t="shared" si="14"/>
        <v>77347.39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17</v>
      </c>
      <c r="N29" s="36">
        <f>G29/W29*60</f>
        <v>1153.150684931506</v>
      </c>
      <c r="O29" s="38">
        <f>N29/M29</f>
        <v>67.832393231265058</v>
      </c>
      <c r="P29" s="39">
        <f t="shared" si="11"/>
        <v>-1</v>
      </c>
      <c r="Q29" s="40">
        <f t="shared" si="12"/>
        <v>-9.1120512131793845</v>
      </c>
      <c r="R29" s="198">
        <f t="shared" si="13"/>
        <v>0.88157622972041227</v>
      </c>
      <c r="S29" s="434"/>
      <c r="T29" s="41">
        <v>0.52847222222222223</v>
      </c>
      <c r="U29" s="41">
        <v>0.57916666666666672</v>
      </c>
      <c r="V29" s="42">
        <f>(T29-U28)*24*60</f>
        <v>80.000000000000028</v>
      </c>
      <c r="W29" s="43">
        <f t="shared" si="7"/>
        <v>73.000000000000057</v>
      </c>
      <c r="X29" s="54">
        <v>0.47916666666666669</v>
      </c>
      <c r="Y29" s="54">
        <v>0.52083333333333337</v>
      </c>
      <c r="Z29" s="399"/>
      <c r="AA29" s="398"/>
      <c r="AB29" s="275">
        <f t="shared" ref="AB29" si="15">N29-K29</f>
        <v>-231.84931506849398</v>
      </c>
      <c r="AC29" s="276">
        <f t="shared" ref="AC29" si="16">N29/K29</f>
        <v>0.83259977251372275</v>
      </c>
      <c r="AD29" s="393"/>
    </row>
    <row r="30" spans="1:30" ht="15" customHeight="1" x14ac:dyDescent="0.25">
      <c r="A30" s="431"/>
      <c r="B30" s="56" t="str">
        <f>VLOOKUP(D30,廠價表!$C$1:$E$39,2,0)</f>
        <v>義大利麵</v>
      </c>
      <c r="C30" s="255"/>
      <c r="D30" s="11" t="s">
        <v>130</v>
      </c>
      <c r="E30" s="29"/>
      <c r="F30" s="56">
        <f>VLOOKUP(D30,廠價表!$C$1:$E$39,3,0)</f>
        <v>57.21</v>
      </c>
      <c r="G30" s="256">
        <v>2302</v>
      </c>
      <c r="H30" s="50">
        <f t="shared" si="14"/>
        <v>131697.42000000001</v>
      </c>
      <c r="I30" s="42"/>
      <c r="J30" s="16">
        <v>15</v>
      </c>
      <c r="K30" s="14">
        <v>1565</v>
      </c>
      <c r="L30" s="251">
        <f>K30/J30</f>
        <v>104.33333333333333</v>
      </c>
      <c r="M30" s="21">
        <v>14</v>
      </c>
      <c r="N30" s="36">
        <f>G30/W30*60</f>
        <v>1303.0188679245289</v>
      </c>
      <c r="O30" s="38">
        <f>N30/M30</f>
        <v>93.072776280323495</v>
      </c>
      <c r="P30" s="39">
        <f t="shared" si="11"/>
        <v>-1</v>
      </c>
      <c r="Q30" s="40">
        <f t="shared" si="12"/>
        <v>-11.260557053009833</v>
      </c>
      <c r="R30" s="198">
        <f t="shared" si="13"/>
        <v>0.89207133815006545</v>
      </c>
      <c r="S30" s="434"/>
      <c r="T30" s="41">
        <v>0.58333333333333337</v>
      </c>
      <c r="U30" s="41">
        <v>0.65694444444444444</v>
      </c>
      <c r="V30" s="42">
        <f>(T30-U29)*24*60</f>
        <v>5.9999999999999787</v>
      </c>
      <c r="W30" s="43">
        <f t="shared" si="7"/>
        <v>105.99999999999994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7">AVERAGE(J27:J36)</f>
        <v>16.5</v>
      </c>
      <c r="K37" s="314">
        <f t="shared" si="17"/>
        <v>1475</v>
      </c>
      <c r="L37" s="315">
        <f t="shared" si="17"/>
        <v>90.638888888888886</v>
      </c>
      <c r="M37" s="314">
        <f t="shared" si="17"/>
        <v>15.25</v>
      </c>
      <c r="N37" s="314">
        <f t="shared" si="17"/>
        <v>1208.6954494384988</v>
      </c>
      <c r="O37" s="315">
        <f t="shared" si="17"/>
        <v>80.45105920770601</v>
      </c>
      <c r="P37" s="74">
        <f>M37-J37</f>
        <v>-1.25</v>
      </c>
      <c r="Q37" s="75">
        <f>N37-K37</f>
        <v>-266.30455056150117</v>
      </c>
      <c r="R37" s="316">
        <f t="shared" ref="R37:R39" si="18">O37/L37</f>
        <v>0.88759979512026244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19">N37-K37</f>
        <v>-266.30455056150117</v>
      </c>
      <c r="AC37" s="195">
        <f t="shared" ref="AC37:AC39" si="20">N37/K37</f>
        <v>0.81945454199220258</v>
      </c>
      <c r="AD37" s="396"/>
    </row>
    <row r="38" spans="1:30" s="63" customFormat="1" ht="15" customHeight="1" x14ac:dyDescent="0.25">
      <c r="A38" s="424" t="s">
        <v>55</v>
      </c>
      <c r="B38" s="244" t="s">
        <v>153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3333</v>
      </c>
      <c r="H38" s="64">
        <f>F38*G38</f>
        <v>166350.03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17</v>
      </c>
      <c r="N38" s="130">
        <f>G38/W38*60</f>
        <v>1428.4285714285716</v>
      </c>
      <c r="O38" s="131">
        <f>N38/M38</f>
        <v>84.025210084033617</v>
      </c>
      <c r="P38" s="132">
        <f t="shared" ref="P38:P39" si="21">M38-J38</f>
        <v>0</v>
      </c>
      <c r="Q38" s="133">
        <f t="shared" ref="Q38:Q39" si="22">O38-L38</f>
        <v>-8.0336134453781511</v>
      </c>
      <c r="R38" s="197">
        <f t="shared" si="18"/>
        <v>0.91273391145595617</v>
      </c>
      <c r="S38" s="493">
        <f>R48</f>
        <v>0.82402509127631474</v>
      </c>
      <c r="T38" s="157">
        <v>0.34722222222222221</v>
      </c>
      <c r="U38" s="157">
        <v>0.44444444444444442</v>
      </c>
      <c r="V38" s="153"/>
      <c r="W38" s="158">
        <f t="shared" si="7"/>
        <v>139.99999999999997</v>
      </c>
      <c r="X38" s="155"/>
      <c r="Y38" s="159"/>
      <c r="Z38" s="427"/>
      <c r="AA38" s="427"/>
      <c r="AB38" s="319">
        <f t="shared" si="19"/>
        <v>-136.57142857142844</v>
      </c>
      <c r="AC38" s="161">
        <f t="shared" si="20"/>
        <v>0.91273391145595628</v>
      </c>
      <c r="AD38" s="388">
        <f>AC48</f>
        <v>0.83426957223567411</v>
      </c>
    </row>
    <row r="39" spans="1:30" s="63" customFormat="1" ht="15" customHeight="1" x14ac:dyDescent="0.25">
      <c r="A39" s="425"/>
      <c r="B39" s="56" t="s">
        <v>140</v>
      </c>
      <c r="C39" s="306" t="e">
        <v>#N/A</v>
      </c>
      <c r="D39" s="308" t="s">
        <v>223</v>
      </c>
      <c r="E39" s="307"/>
      <c r="F39" s="56">
        <v>56.87</v>
      </c>
      <c r="G39" s="305">
        <v>4647</v>
      </c>
      <c r="H39" s="64">
        <f t="shared" ref="H39:H42" si="23">F39*G39</f>
        <v>264274.89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v>88.235294117647058</v>
      </c>
      <c r="M39" s="66">
        <v>16</v>
      </c>
      <c r="N39" s="67">
        <f>G39/W39*60</f>
        <v>1032.6666666666667</v>
      </c>
      <c r="O39" s="68">
        <f>N39/M39</f>
        <v>64.541666666666671</v>
      </c>
      <c r="P39" s="39">
        <f t="shared" si="21"/>
        <v>-1</v>
      </c>
      <c r="Q39" s="40">
        <f t="shared" si="22"/>
        <v>-23.693627450980387</v>
      </c>
      <c r="R39" s="198">
        <f t="shared" si="18"/>
        <v>0.7314722222222223</v>
      </c>
      <c r="S39" s="494"/>
      <c r="T39" s="59">
        <v>0.52083333333333337</v>
      </c>
      <c r="U39" s="59">
        <v>0.70833333333333337</v>
      </c>
      <c r="V39" s="42">
        <f>(T39-U38)*24*60</f>
        <v>110.00000000000009</v>
      </c>
      <c r="W39" s="70">
        <f t="shared" si="7"/>
        <v>270</v>
      </c>
      <c r="X39" s="22">
        <v>0.45833333333333331</v>
      </c>
      <c r="Y39" s="22">
        <v>0.5</v>
      </c>
      <c r="Z39" s="428" t="s">
        <v>231</v>
      </c>
      <c r="AA39" s="475"/>
      <c r="AB39" s="292">
        <f t="shared" si="19"/>
        <v>-352.33333333333326</v>
      </c>
      <c r="AC39" s="62">
        <f t="shared" si="20"/>
        <v>0.74560770156438028</v>
      </c>
      <c r="AD39" s="389"/>
    </row>
    <row r="40" spans="1:30" s="63" customFormat="1" ht="15" customHeight="1" x14ac:dyDescent="0.25">
      <c r="A40" s="425"/>
      <c r="B40" s="56"/>
      <c r="C40" s="298"/>
      <c r="D40" s="308"/>
      <c r="E40" s="261"/>
      <c r="F40" s="56"/>
      <c r="G40" s="305"/>
      <c r="H40" s="64">
        <f t="shared" si="23"/>
        <v>0</v>
      </c>
      <c r="I40" s="65"/>
      <c r="J40" s="37"/>
      <c r="K40" s="36"/>
      <c r="L40" s="38"/>
      <c r="M40" s="302"/>
      <c r="N40" s="67"/>
      <c r="O40" s="68"/>
      <c r="P40" s="39"/>
      <c r="Q40" s="40"/>
      <c r="R40" s="198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305"/>
      <c r="H41" s="64">
        <f t="shared" si="23"/>
        <v>0</v>
      </c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si="23"/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ref="H43:H47" si="24">F43*G43</f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17</v>
      </c>
      <c r="K48" s="137">
        <f t="shared" si="26"/>
        <v>1475</v>
      </c>
      <c r="L48" s="140">
        <f t="shared" si="26"/>
        <v>90.14705882352942</v>
      </c>
      <c r="M48" s="137">
        <f t="shared" si="26"/>
        <v>16.5</v>
      </c>
      <c r="N48" s="137">
        <f t="shared" si="26"/>
        <v>1230.5476190476193</v>
      </c>
      <c r="O48" s="140">
        <f t="shared" si="26"/>
        <v>74.283438375350144</v>
      </c>
      <c r="P48" s="164">
        <f>M48-J48</f>
        <v>-0.5</v>
      </c>
      <c r="Q48" s="165">
        <f>N48-K48</f>
        <v>-244.45238095238074</v>
      </c>
      <c r="R48" s="166">
        <f>O48/L48</f>
        <v>0.82402509127631474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-244.45238095238074</v>
      </c>
      <c r="AC48" s="199">
        <f>N48/K48</f>
        <v>0.83426957223567411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5131</v>
      </c>
      <c r="H49" s="128">
        <f t="shared" ref="H49:H57" si="27">F49*G49</f>
        <v>256396.07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1562.7411167512689</v>
      </c>
      <c r="O49" s="131">
        <f>N49/M49</f>
        <v>86.818950930626045</v>
      </c>
      <c r="P49" s="171">
        <f>M49-J49</f>
        <v>0</v>
      </c>
      <c r="Q49" s="115">
        <f>O49-L49</f>
        <v>-0.12549351381839813</v>
      </c>
      <c r="R49" s="192">
        <f>O49/L49</f>
        <v>0.99855662412221646</v>
      </c>
      <c r="S49" s="408">
        <f>R58</f>
        <v>0.98986542101843</v>
      </c>
      <c r="T49" s="157">
        <v>0.28680555555555554</v>
      </c>
      <c r="U49" s="157">
        <v>0.4236111111111111</v>
      </c>
      <c r="V49" s="196"/>
      <c r="W49" s="158">
        <f t="shared" si="7"/>
        <v>197.00000000000003</v>
      </c>
      <c r="X49" s="196"/>
      <c r="Y49" s="196"/>
      <c r="Z49" s="423"/>
      <c r="AA49" s="423"/>
      <c r="AB49" s="114">
        <f>N49-K49</f>
        <v>-2.258883248731081</v>
      </c>
      <c r="AC49" s="192">
        <f>N49/K49</f>
        <v>0.99855662412221657</v>
      </c>
      <c r="AD49" s="391">
        <f>AC58</f>
        <v>0.99000862890897545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2129</v>
      </c>
      <c r="H50" s="77">
        <f t="shared" si="27"/>
        <v>121076.23</v>
      </c>
      <c r="I50" s="201"/>
      <c r="J50" s="16">
        <v>19</v>
      </c>
      <c r="K50" s="14">
        <v>1600</v>
      </c>
      <c r="L50" s="17">
        <f>K50/J50</f>
        <v>84.21052631578948</v>
      </c>
      <c r="M50" s="182">
        <v>19</v>
      </c>
      <c r="N50" s="78">
        <f>G50/W50*60</f>
        <v>1596.7499999999993</v>
      </c>
      <c r="O50" s="79">
        <f>N50/M50</f>
        <v>84.039473684210492</v>
      </c>
      <c r="P50" s="18">
        <f>M50-J50</f>
        <v>0</v>
      </c>
      <c r="Q50" s="19">
        <f>O50-L50</f>
        <v>-0.17105263157898776</v>
      </c>
      <c r="R50" s="193">
        <f>O50/L50</f>
        <v>0.99796874999999952</v>
      </c>
      <c r="S50" s="409"/>
      <c r="T50" s="80">
        <v>0.42708333333333331</v>
      </c>
      <c r="U50" s="80">
        <v>0.4826388888888889</v>
      </c>
      <c r="V50" s="185">
        <f t="shared" ref="V50:V51" si="28">(T50-U49)*24*60</f>
        <v>4.9999999999999822</v>
      </c>
      <c r="W50" s="81">
        <f t="shared" si="7"/>
        <v>80.000000000000028</v>
      </c>
      <c r="X50" s="22"/>
      <c r="Y50" s="22"/>
      <c r="Z50" s="398"/>
      <c r="AA50" s="399"/>
      <c r="AB50" s="18">
        <f>N50-K50</f>
        <v>-3.2500000000006821</v>
      </c>
      <c r="AC50" s="193">
        <f>N50/K50</f>
        <v>0.99796874999999963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5193</v>
      </c>
      <c r="H51" s="77">
        <f t="shared" si="27"/>
        <v>259494.21</v>
      </c>
      <c r="I51" s="185"/>
      <c r="J51" s="16">
        <v>18</v>
      </c>
      <c r="K51" s="14">
        <v>1600</v>
      </c>
      <c r="L51" s="17">
        <f t="shared" ref="L51" si="29">K51/J51</f>
        <v>88.888888888888886</v>
      </c>
      <c r="M51" s="182">
        <v>18</v>
      </c>
      <c r="N51" s="78">
        <f t="shared" ref="N51" si="30">G51/W51*60</f>
        <v>1557.8999999999994</v>
      </c>
      <c r="O51" s="79">
        <f t="shared" ref="O51" si="31">N51/M51</f>
        <v>86.549999999999969</v>
      </c>
      <c r="P51" s="18">
        <f t="shared" ref="P51" si="32">M51-J51</f>
        <v>0</v>
      </c>
      <c r="Q51" s="19">
        <f t="shared" ref="Q51" si="33">O51-L51</f>
        <v>-2.338888888888917</v>
      </c>
      <c r="R51" s="193">
        <f t="shared" ref="R51" si="34">O51/L51</f>
        <v>0.97368749999999971</v>
      </c>
      <c r="S51" s="409"/>
      <c r="T51" s="80">
        <v>0.53819444444444442</v>
      </c>
      <c r="U51" s="44">
        <v>0.67708333333333337</v>
      </c>
      <c r="V51" s="185">
        <f t="shared" si="28"/>
        <v>79.999999999999957</v>
      </c>
      <c r="W51" s="81">
        <f t="shared" si="7"/>
        <v>200.00000000000009</v>
      </c>
      <c r="X51" s="22">
        <v>0.4861111111111111</v>
      </c>
      <c r="Y51" s="22">
        <v>0.52777777777777779</v>
      </c>
      <c r="Z51" s="400"/>
      <c r="AA51" s="400"/>
      <c r="AB51" s="51">
        <f>N51-K51</f>
        <v>-42.100000000000591</v>
      </c>
      <c r="AC51" s="52">
        <f>N51/K51</f>
        <v>0.97368749999999959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5">AVERAGE(J49:J57)</f>
        <v>18.333333333333332</v>
      </c>
      <c r="K58" s="121">
        <f t="shared" si="35"/>
        <v>1588.3333333333333</v>
      </c>
      <c r="L58" s="118">
        <f t="shared" si="35"/>
        <v>86.681286549707622</v>
      </c>
      <c r="M58" s="121">
        <f t="shared" si="35"/>
        <v>18.333333333333332</v>
      </c>
      <c r="N58" s="121">
        <f t="shared" si="35"/>
        <v>1572.4637055837559</v>
      </c>
      <c r="O58" s="118">
        <f t="shared" si="35"/>
        <v>85.802808204945507</v>
      </c>
      <c r="P58" s="122">
        <f>M58-J58</f>
        <v>0</v>
      </c>
      <c r="Q58" s="123">
        <f>N58-K58</f>
        <v>-15.869627749577376</v>
      </c>
      <c r="R58" s="124">
        <f t="shared" ref="R58:R60" si="36">O58/L58</f>
        <v>0.98986542101843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37">N58-K58</f>
        <v>-15.869627749577376</v>
      </c>
      <c r="AC58" s="195">
        <f t="shared" ref="AC58:AC62" si="38">N58/K58</f>
        <v>0.99000862890897545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2736</v>
      </c>
      <c r="H59" s="109">
        <f t="shared" ref="H59:H68" si="39">F59*G59</f>
        <v>73844.639999999999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2" si="40">G59/W59*60</f>
        <v>1492.3636363636363</v>
      </c>
      <c r="O59" s="112">
        <f t="shared" ref="O59:O62" si="41">N59/M59</f>
        <v>114.79720279720279</v>
      </c>
      <c r="P59" s="114">
        <f t="shared" ref="P59:P62" si="42">M59-J59</f>
        <v>0</v>
      </c>
      <c r="Q59" s="115">
        <f t="shared" ref="Q59:Q62" si="43">O59-L59</f>
        <v>-5.5874125874126008</v>
      </c>
      <c r="R59" s="192">
        <f t="shared" si="36"/>
        <v>0.95358698809178033</v>
      </c>
      <c r="S59" s="408">
        <f>R69</f>
        <v>0.89937650166659766</v>
      </c>
      <c r="T59" s="176">
        <v>0.2951388888888889</v>
      </c>
      <c r="U59" s="176">
        <v>0.37152777777777779</v>
      </c>
      <c r="V59" s="196"/>
      <c r="W59" s="110">
        <f t="shared" si="7"/>
        <v>110.00000000000001</v>
      </c>
      <c r="X59" s="196"/>
      <c r="Y59" s="196"/>
      <c r="Z59" s="400"/>
      <c r="AA59" s="400"/>
      <c r="AB59" s="240">
        <f t="shared" si="37"/>
        <v>-72.63636363636374</v>
      </c>
      <c r="AC59" s="241">
        <f t="shared" si="38"/>
        <v>0.95358698809178033</v>
      </c>
      <c r="AD59" s="391">
        <f>AC69</f>
        <v>0.89942215399084424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1484</v>
      </c>
      <c r="H60" s="15">
        <f t="shared" si="39"/>
        <v>42249.479999999996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0"/>
        <v>1413.3333333333346</v>
      </c>
      <c r="O60" s="17">
        <f t="shared" si="41"/>
        <v>117.77777777777789</v>
      </c>
      <c r="P60" s="18">
        <f t="shared" si="42"/>
        <v>0</v>
      </c>
      <c r="Q60" s="19">
        <f t="shared" si="43"/>
        <v>-12.638888888888772</v>
      </c>
      <c r="R60" s="193">
        <f t="shared" si="36"/>
        <v>0.9030883919062842</v>
      </c>
      <c r="S60" s="419"/>
      <c r="T60" s="206">
        <v>0.38333333333333336</v>
      </c>
      <c r="U60" s="206">
        <v>0.42708333333333331</v>
      </c>
      <c r="V60" s="185">
        <f t="shared" ref="V60:V62" si="44">(T60-U59)*24*60</f>
        <v>17.000000000000021</v>
      </c>
      <c r="W60" s="93">
        <f t="shared" si="7"/>
        <v>62.999999999999936</v>
      </c>
      <c r="X60" s="201"/>
      <c r="Y60" s="201"/>
      <c r="Z60" s="400"/>
      <c r="AA60" s="400"/>
      <c r="AB60" s="242">
        <f t="shared" si="37"/>
        <v>-151.66666666666538</v>
      </c>
      <c r="AC60" s="243">
        <f t="shared" si="38"/>
        <v>0.90308839190628409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2447</v>
      </c>
      <c r="H61" s="15">
        <f t="shared" si="39"/>
        <v>69152.22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5">K61/J61</f>
        <v>130.41666666666666</v>
      </c>
      <c r="M61" s="188">
        <v>12</v>
      </c>
      <c r="N61" s="14">
        <f t="shared" si="40"/>
        <v>1398.2857142857151</v>
      </c>
      <c r="O61" s="17">
        <f t="shared" si="41"/>
        <v>116.52380952380959</v>
      </c>
      <c r="P61" s="18">
        <f t="shared" si="42"/>
        <v>0</v>
      </c>
      <c r="Q61" s="19">
        <f t="shared" si="43"/>
        <v>-13.892857142857068</v>
      </c>
      <c r="R61" s="193">
        <f>O61/L61</f>
        <v>0.89347329986307678</v>
      </c>
      <c r="S61" s="409"/>
      <c r="T61" s="20">
        <v>0.4375</v>
      </c>
      <c r="U61" s="20">
        <v>0.51041666666666663</v>
      </c>
      <c r="V61" s="185">
        <f t="shared" si="44"/>
        <v>15.000000000000027</v>
      </c>
      <c r="W61" s="91">
        <f t="shared" si="7"/>
        <v>104.99999999999994</v>
      </c>
      <c r="X61" s="22"/>
      <c r="Y61" s="22"/>
      <c r="Z61" s="400"/>
      <c r="AA61" s="400"/>
      <c r="AB61" s="51">
        <f t="shared" si="37"/>
        <v>-166.71428571428487</v>
      </c>
      <c r="AC61" s="52">
        <f t="shared" si="38"/>
        <v>0.89347329986307678</v>
      </c>
      <c r="AD61" s="392"/>
    </row>
    <row r="62" spans="1:30" ht="15" customHeight="1" x14ac:dyDescent="0.25">
      <c r="A62" s="417"/>
      <c r="B62" s="56" t="s">
        <v>216</v>
      </c>
      <c r="C62" s="10"/>
      <c r="D62" s="11" t="s">
        <v>128</v>
      </c>
      <c r="E62" s="89"/>
      <c r="F62" s="56">
        <v>26.99</v>
      </c>
      <c r="G62" s="185">
        <v>1658</v>
      </c>
      <c r="H62" s="15">
        <f t="shared" si="39"/>
        <v>44749.42</v>
      </c>
      <c r="I62" s="82"/>
      <c r="J62" s="16">
        <v>13</v>
      </c>
      <c r="K62" s="14">
        <v>1565</v>
      </c>
      <c r="L62" s="17">
        <v>120.38461538461539</v>
      </c>
      <c r="M62" s="188">
        <v>13</v>
      </c>
      <c r="N62" s="14">
        <f t="shared" si="40"/>
        <v>1326.3999999999992</v>
      </c>
      <c r="O62" s="17">
        <f t="shared" si="41"/>
        <v>102.03076923076917</v>
      </c>
      <c r="P62" s="18">
        <f t="shared" si="42"/>
        <v>0</v>
      </c>
      <c r="Q62" s="19">
        <f t="shared" si="43"/>
        <v>-18.35384615384622</v>
      </c>
      <c r="R62" s="193">
        <f>O62/L62</f>
        <v>0.84753993610223588</v>
      </c>
      <c r="S62" s="409"/>
      <c r="T62" s="20">
        <v>0.5625</v>
      </c>
      <c r="U62" s="20">
        <v>0.61458333333333337</v>
      </c>
      <c r="V62" s="185">
        <f t="shared" si="44"/>
        <v>75.000000000000057</v>
      </c>
      <c r="W62" s="93">
        <f t="shared" si="7"/>
        <v>75.000000000000057</v>
      </c>
      <c r="X62" s="22">
        <v>0.52083333333333337</v>
      </c>
      <c r="Y62" s="22">
        <v>0.5625</v>
      </c>
      <c r="Z62" s="400"/>
      <c r="AA62" s="400"/>
      <c r="AB62" s="51">
        <f t="shared" si="37"/>
        <v>-238.60000000000082</v>
      </c>
      <c r="AC62" s="52">
        <f t="shared" si="38"/>
        <v>0.84753993610223588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>
        <f t="shared" si="39"/>
        <v>0</v>
      </c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9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9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9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9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9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6">AVERAGE(J59:J68)</f>
        <v>12.5</v>
      </c>
      <c r="K69" s="173">
        <f t="shared" si="46"/>
        <v>1565</v>
      </c>
      <c r="L69" s="178">
        <f t="shared" si="46"/>
        <v>125.40064102564102</v>
      </c>
      <c r="M69" s="173">
        <f t="shared" si="46"/>
        <v>12.5</v>
      </c>
      <c r="N69" s="173">
        <f t="shared" si="46"/>
        <v>1407.5956709956713</v>
      </c>
      <c r="O69" s="178">
        <f t="shared" si="46"/>
        <v>112.78238983238985</v>
      </c>
      <c r="P69" s="179">
        <f>M69-J69</f>
        <v>0</v>
      </c>
      <c r="Q69" s="165">
        <f>N69-K69</f>
        <v>-157.4043290043287</v>
      </c>
      <c r="R69" s="124">
        <f>O69/L69</f>
        <v>0.89937650166659766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-157.4043290043287</v>
      </c>
      <c r="AC69" s="195">
        <f>N69/K69</f>
        <v>0.89942215399084424</v>
      </c>
      <c r="AD69" s="396"/>
    </row>
    <row r="70" spans="1:32" ht="15" customHeight="1" x14ac:dyDescent="0.25">
      <c r="A70" s="405" t="s">
        <v>58</v>
      </c>
      <c r="B70" s="207" t="str">
        <f>VLOOKUP(D70,廠價表!$C$1:$E$39,2,0)</f>
        <v>義大利麵</v>
      </c>
      <c r="C70" s="207"/>
      <c r="D70" s="106" t="s">
        <v>148</v>
      </c>
      <c r="E70" s="107"/>
      <c r="F70" s="207">
        <f>VLOOKUP(D70,廠價表!$C$1:$E$39,3,0)</f>
        <v>57.21</v>
      </c>
      <c r="G70" s="154">
        <v>3393</v>
      </c>
      <c r="H70" s="128">
        <f t="shared" ref="H70:H78" si="47">F70*G70</f>
        <v>194113.53</v>
      </c>
      <c r="I70" s="129"/>
      <c r="J70" s="111">
        <v>18</v>
      </c>
      <c r="K70" s="108">
        <v>1500</v>
      </c>
      <c r="L70" s="112">
        <f>K70/J70</f>
        <v>83.333333333333329</v>
      </c>
      <c r="M70" s="113">
        <v>17</v>
      </c>
      <c r="N70" s="83">
        <f t="shared" ref="N70:N71" si="48">G70/W70*60</f>
        <v>1233.8181818181813</v>
      </c>
      <c r="O70" s="112">
        <f t="shared" ref="O70:O71" si="49">N70/M70</f>
        <v>72.577540106951844</v>
      </c>
      <c r="P70" s="208">
        <f t="shared" ref="P70:P71" si="50">M70-J70</f>
        <v>-1</v>
      </c>
      <c r="Q70" s="209">
        <f t="shared" ref="Q70:Q71" si="51">O70-L70</f>
        <v>-10.755793226381485</v>
      </c>
      <c r="R70" s="192">
        <f t="shared" ref="R70" si="52">O70/L70</f>
        <v>0.87093048128342221</v>
      </c>
      <c r="S70" s="408">
        <f>R79</f>
        <v>0.86572026909769206</v>
      </c>
      <c r="T70" s="176">
        <v>0.33333333333333331</v>
      </c>
      <c r="U70" s="176">
        <v>0.44791666666666669</v>
      </c>
      <c r="V70" s="196"/>
      <c r="W70" s="110">
        <f t="shared" ref="W70:W78" si="53">(U70-T70)*24*60</f>
        <v>165.00000000000006</v>
      </c>
      <c r="X70" s="180"/>
      <c r="Y70" s="180"/>
      <c r="Z70" s="413"/>
      <c r="AA70" s="414"/>
      <c r="AB70" s="240"/>
      <c r="AC70" s="241"/>
      <c r="AD70" s="391">
        <f>AC79</f>
        <v>0.86052186470687142</v>
      </c>
    </row>
    <row r="71" spans="1:32" ht="15" customHeight="1" x14ac:dyDescent="0.25">
      <c r="A71" s="406"/>
      <c r="B71" s="56" t="str">
        <f>VLOOKUP(D71,廠價表!$C$1:$E$39,2,0)</f>
        <v>義大利麵</v>
      </c>
      <c r="C71" s="10"/>
      <c r="D71" s="11" t="s">
        <v>173</v>
      </c>
      <c r="E71" s="89"/>
      <c r="F71" s="56">
        <f>VLOOKUP(D71,廠價表!$C$1:$E$39,3,0)</f>
        <v>56.87</v>
      </c>
      <c r="G71" s="67">
        <v>4402</v>
      </c>
      <c r="H71" s="77">
        <f t="shared" si="47"/>
        <v>250341.74</v>
      </c>
      <c r="I71" s="201"/>
      <c r="J71" s="16">
        <v>19</v>
      </c>
      <c r="K71" s="14">
        <v>1600</v>
      </c>
      <c r="L71" s="17">
        <f>K71/J71</f>
        <v>84.21052631578948</v>
      </c>
      <c r="M71" s="188">
        <v>18</v>
      </c>
      <c r="N71" s="14">
        <f t="shared" si="48"/>
        <v>1228.4651162790697</v>
      </c>
      <c r="O71" s="17">
        <f t="shared" si="49"/>
        <v>68.248062015503876</v>
      </c>
      <c r="P71" s="18">
        <f t="shared" si="50"/>
        <v>-1</v>
      </c>
      <c r="Q71" s="19">
        <f t="shared" si="51"/>
        <v>-15.962464300285603</v>
      </c>
      <c r="R71" s="193">
        <f>O71/L71</f>
        <v>0.81044573643410844</v>
      </c>
      <c r="S71" s="409"/>
      <c r="T71" s="20">
        <v>0.50347222222222221</v>
      </c>
      <c r="U71" s="20">
        <v>0.65277777777777779</v>
      </c>
      <c r="V71" s="185">
        <f t="shared" ref="V71" si="54">(T71-U70)*24*60</f>
        <v>79.999999999999957</v>
      </c>
      <c r="W71" s="93">
        <f t="shared" si="53"/>
        <v>215.00000000000003</v>
      </c>
      <c r="X71" s="22">
        <v>0.45833333333333331</v>
      </c>
      <c r="Y71" s="22">
        <v>0.5</v>
      </c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>
        <f t="shared" si="47"/>
        <v>0</v>
      </c>
      <c r="I72" s="185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3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185"/>
      <c r="H73" s="77">
        <f t="shared" si="47"/>
        <v>0</v>
      </c>
      <c r="I73" s="185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3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47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3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7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3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7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3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7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3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7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3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55">AVERAGE(J69:J78)</f>
        <v>16.5</v>
      </c>
      <c r="K79" s="173">
        <f t="shared" si="55"/>
        <v>1555</v>
      </c>
      <c r="L79" s="178">
        <f t="shared" si="55"/>
        <v>97.648166891587948</v>
      </c>
      <c r="M79" s="173">
        <f t="shared" si="55"/>
        <v>15.833333333333334</v>
      </c>
      <c r="N79" s="173">
        <f t="shared" si="55"/>
        <v>1289.9596563643074</v>
      </c>
      <c r="O79" s="178">
        <f t="shared" si="55"/>
        <v>84.535997318281858</v>
      </c>
      <c r="P79" s="179">
        <f>M79-J79</f>
        <v>-0.66666666666666607</v>
      </c>
      <c r="Q79" s="165">
        <f>N79-K79</f>
        <v>-265.04034363569258</v>
      </c>
      <c r="R79" s="166">
        <f>O79/L79</f>
        <v>0.86572026909769206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v>-218.28328173374621</v>
      </c>
      <c r="AC79" s="195">
        <v>0.86052186470687142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68" priority="1" operator="greaterThan">
      <formula>0</formula>
    </cfRule>
  </conditionalFormatting>
  <conditionalFormatting sqref="Q5:Q79 AB5:AB79">
    <cfRule type="cellIs" dxfId="167" priority="4" operator="lessThan">
      <formula>0</formula>
    </cfRule>
  </conditionalFormatting>
  <conditionalFormatting sqref="R5:R79 AC5:AC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D59:AD62 S69:S76 AD69:AD76">
    <cfRule type="cellIs" dxfId="164" priority="7" operator="lessThan">
      <formula>0.8</formula>
    </cfRule>
  </conditionalFormatting>
  <conditionalFormatting sqref="S19:S25 AD19:AD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D5:AD8 S15:S16 AD15:AD16 AD49 AD79">
    <cfRule type="cellIs" dxfId="161" priority="9" operator="lessThan">
      <formula>0.8</formula>
    </cfRule>
  </conditionalFormatting>
  <conditionalFormatting sqref="AD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1E121B-3E49-43F7-AB7A-4DCC9CC6946B}">
          <x14:formula1>
            <xm:f>廠價表!$C$2:$C$37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7862-481D-48A1-BB82-5C997F7C3491}">
  <sheetPr>
    <pageSetUpPr fitToPage="1"/>
  </sheetPr>
  <dimension ref="B1:O22"/>
  <sheetViews>
    <sheetView zoomScale="70" zoomScaleNormal="70" workbookViewId="0">
      <selection activeCell="F8" sqref="F8:G8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45946</v>
      </c>
      <c r="E3" s="383"/>
      <c r="F3" s="214" t="s">
        <v>76</v>
      </c>
      <c r="G3" s="384">
        <f>'1016'!E1</f>
        <v>64717</v>
      </c>
      <c r="H3" s="384"/>
      <c r="I3" s="214" t="s">
        <v>77</v>
      </c>
      <c r="J3" s="385">
        <f>'1016'!G1</f>
        <v>3199660.4499999997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109.98743759762114</v>
      </c>
      <c r="G6" s="362"/>
      <c r="H6" s="363">
        <f>AVERAGE(D13:H13)</f>
        <v>110.44766229928769</v>
      </c>
      <c r="I6" s="363"/>
      <c r="J6" s="363">
        <f>AVERAGE(I13:J13)</f>
        <v>108.83687584345479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98.435720785492364</v>
      </c>
      <c r="G7" s="380"/>
      <c r="H7" s="381">
        <f>AVERAGE(D14:H14)</f>
        <v>98.308830239221649</v>
      </c>
      <c r="I7" s="381"/>
      <c r="J7" s="381">
        <f>AVERAGE(I14:J14)</f>
        <v>98.752947151169124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0.89618273042944729</v>
      </c>
      <c r="G8" s="360"/>
      <c r="H8" s="360">
        <f>AVERAGE(D15:H15)</f>
        <v>0.89183171164853636</v>
      </c>
      <c r="I8" s="360"/>
      <c r="J8" s="360">
        <f>AVERAGE(I15:J15)</f>
        <v>0.90706027738172434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VALUE('1016'!L15)</f>
        <v>144.09569597069597</v>
      </c>
      <c r="E13" s="227">
        <f>VALUE('1016'!L26)</f>
        <v>150</v>
      </c>
      <c r="F13" s="227">
        <f>VALUE('1016'!L37)</f>
        <v>90.638888888888886</v>
      </c>
      <c r="G13" s="227">
        <f>VALUE('1016'!L48)</f>
        <v>81.470588235294116</v>
      </c>
      <c r="H13" s="227">
        <f>VALUE('1016'!L58)</f>
        <v>86.033138401559469</v>
      </c>
      <c r="I13" s="227">
        <f>VALUE('1016'!L69)</f>
        <v>125.40064102564102</v>
      </c>
      <c r="J13" s="227">
        <f>VALUE('1016'!L79)</f>
        <v>92.273110661268561</v>
      </c>
    </row>
    <row r="14" spans="2:15" ht="39.950000000000003" customHeight="1" x14ac:dyDescent="0.25">
      <c r="B14" s="489"/>
      <c r="C14" s="226" t="s">
        <v>100</v>
      </c>
      <c r="D14" s="227">
        <f>VALUE('1016'!O15)</f>
        <v>124.65664860170354</v>
      </c>
      <c r="E14" s="227">
        <f>VALUE('1016'!O26)</f>
        <v>135.86385863955411</v>
      </c>
      <c r="F14" s="227">
        <f>VALUE('1016'!O37)</f>
        <v>74.924672190435516</v>
      </c>
      <c r="G14" s="227">
        <f>VALUE('1016'!O48)</f>
        <v>72.617647058823536</v>
      </c>
      <c r="H14" s="227">
        <f>VALUE('1016'!O58)</f>
        <v>83.481324705591561</v>
      </c>
      <c r="I14" s="227">
        <f>VALUE('1016'!O69)</f>
        <v>113.98321123321119</v>
      </c>
      <c r="J14" s="227">
        <f>VALUE('1016'!O79)</f>
        <v>83.522683069127055</v>
      </c>
    </row>
    <row r="15" spans="2:15" ht="39.950000000000003" customHeight="1" x14ac:dyDescent="0.25">
      <c r="B15" s="490"/>
      <c r="C15" s="222" t="s">
        <v>101</v>
      </c>
      <c r="D15" s="248">
        <f>D14/D13</f>
        <v>0.86509626649122362</v>
      </c>
      <c r="E15" s="248">
        <f t="shared" ref="E15:J15" si="0">E14/E13</f>
        <v>0.90575905759702735</v>
      </c>
      <c r="F15" s="248">
        <f t="shared" si="0"/>
        <v>0.82662831714853779</v>
      </c>
      <c r="G15" s="248">
        <f t="shared" si="0"/>
        <v>0.89133574007220229</v>
      </c>
      <c r="H15" s="248">
        <f t="shared" si="0"/>
        <v>0.97033917693369121</v>
      </c>
      <c r="I15" s="248">
        <f t="shared" si="0"/>
        <v>0.90895238095238062</v>
      </c>
      <c r="J15" s="248">
        <f t="shared" si="0"/>
        <v>0.90516817381106807</v>
      </c>
    </row>
    <row r="16" spans="2:15" ht="17.25" customHeight="1" x14ac:dyDescent="0.25">
      <c r="B16" s="491" t="s">
        <v>102</v>
      </c>
      <c r="C16" s="222" t="s">
        <v>103</v>
      </c>
      <c r="D16" s="98">
        <f>'1016'!T5</f>
        <v>0.29166666666666669</v>
      </c>
      <c r="E16" s="98">
        <f>'1016'!T16</f>
        <v>0.28958333333333336</v>
      </c>
      <c r="F16" s="98">
        <f>'1016'!T27</f>
        <v>0.2951388888888889</v>
      </c>
      <c r="G16" s="98">
        <f>'1016'!T38</f>
        <v>0.33333333333333331</v>
      </c>
      <c r="H16" s="98">
        <f>'1016'!T49</f>
        <v>0.28611111111111109</v>
      </c>
      <c r="I16" s="98">
        <f>'1016'!T59</f>
        <v>0.29375000000000001</v>
      </c>
      <c r="J16" s="293">
        <f>'1016'!T70</f>
        <v>0.33333333333333331</v>
      </c>
    </row>
    <row r="17" spans="2:10" ht="17.25" customHeight="1" x14ac:dyDescent="0.25">
      <c r="B17" s="492"/>
      <c r="C17" s="222" t="s">
        <v>104</v>
      </c>
      <c r="D17" s="80">
        <v>0.70486111111111116</v>
      </c>
      <c r="E17" s="41">
        <v>0.69513888888888886</v>
      </c>
      <c r="F17" s="41">
        <v>0.64513888888888893</v>
      </c>
      <c r="G17" s="59">
        <v>0.5</v>
      </c>
      <c r="H17" s="44">
        <v>0.625</v>
      </c>
      <c r="I17" s="20">
        <v>0.61111111111111116</v>
      </c>
      <c r="J17" s="20">
        <v>0.65138888888888891</v>
      </c>
    </row>
    <row r="18" spans="2:10" ht="17.25" customHeight="1" x14ac:dyDescent="0.25">
      <c r="B18" s="481" t="s">
        <v>105</v>
      </c>
      <c r="C18" s="355"/>
      <c r="D18" s="229">
        <f>VALUE('1016'!M15)</f>
        <v>13.75</v>
      </c>
      <c r="E18" s="229">
        <f>VALUE('1016'!M26)</f>
        <v>13.5</v>
      </c>
      <c r="F18" s="229">
        <f>VALUE('1016'!M37)</f>
        <v>15.5</v>
      </c>
      <c r="G18" s="229">
        <f>VALUE('1016'!M48)</f>
        <v>17</v>
      </c>
      <c r="H18" s="229">
        <f>VALUE('1016'!M58)</f>
        <v>18.333333333333332</v>
      </c>
      <c r="I18" s="229">
        <f>VALUE('1016'!M69)</f>
        <v>12.5</v>
      </c>
      <c r="J18" s="229">
        <f>VALUE('1016'!M79)</f>
        <v>14.9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 t="s">
        <v>145</v>
      </c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6A86-6C31-4DF2-AA21-8E1B324CE0A0}">
  <sheetPr>
    <tabColor theme="9" tint="0.79998168889431442"/>
    <pageSetUpPr fitToPage="1"/>
  </sheetPr>
  <dimension ref="A1:AF92"/>
  <sheetViews>
    <sheetView zoomScale="69" zoomScaleNormal="69" workbookViewId="0">
      <pane xSplit="5" ySplit="4" topLeftCell="F37" activePane="bottomRight" state="frozen"/>
      <selection activeCell="M15" sqref="M15"/>
      <selection pane="topRight" activeCell="M15" sqref="M15"/>
      <selection pane="bottomLeft" activeCell="M15" sqref="M15"/>
      <selection pane="bottomRight" activeCell="D27" sqref="D27:E79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64717</v>
      </c>
      <c r="F1" s="185" t="s">
        <v>9</v>
      </c>
      <c r="G1" s="4">
        <f>SUM(H5:H79)</f>
        <v>3199660.4499999997</v>
      </c>
      <c r="H1" s="183" t="s">
        <v>10</v>
      </c>
      <c r="I1" s="5">
        <f>M15+M26+M48+M58+M69+M79+M37</f>
        <v>105.48333333333333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234</v>
      </c>
      <c r="B2" s="461"/>
      <c r="C2" s="184"/>
      <c r="D2" s="184" t="s">
        <v>1</v>
      </c>
      <c r="E2" s="7">
        <f>AVERAGE(O15,O26,O37,O48,O58,O69,O79)</f>
        <v>98.435720785492364</v>
      </c>
      <c r="F2" s="8" t="s">
        <v>2</v>
      </c>
      <c r="G2" s="9">
        <f>G1/E1</f>
        <v>49.440803034751298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222</v>
      </c>
      <c r="E5" s="107"/>
      <c r="F5" s="207">
        <f>VLOOKUP(D5,廠價表!$C$1:$E$39,3,0)</f>
        <v>50.67</v>
      </c>
      <c r="G5" s="108">
        <v>2063</v>
      </c>
      <c r="H5" s="109">
        <f>F5*G5</f>
        <v>104532.21</v>
      </c>
      <c r="I5" s="110"/>
      <c r="J5" s="111">
        <f>VLOOKUP(D5,產線配置圖!$A$2:$C$38,2,0)</f>
        <v>15</v>
      </c>
      <c r="K5" s="108">
        <f>VLOOKUP(D5,產線配置圖!$A$2:$C$38,3,0)</f>
        <v>2000</v>
      </c>
      <c r="L5" s="112">
        <f>K5/J5</f>
        <v>133.33333333333334</v>
      </c>
      <c r="M5" s="113">
        <v>15</v>
      </c>
      <c r="N5" s="108">
        <f>G5/W5*60</f>
        <v>1875.4545454545455</v>
      </c>
      <c r="O5" s="112">
        <f>N5/M5</f>
        <v>125.03030303030303</v>
      </c>
      <c r="P5" s="114">
        <f>M5-J5</f>
        <v>0</v>
      </c>
      <c r="Q5" s="115">
        <f>O5-L5</f>
        <v>-8.3030303030303116</v>
      </c>
      <c r="R5" s="192">
        <f>O5/L5</f>
        <v>0.93772727272727263</v>
      </c>
      <c r="S5" s="408">
        <f>R15</f>
        <v>0.86509626649122362</v>
      </c>
      <c r="T5" s="97">
        <v>0.29166666666666669</v>
      </c>
      <c r="U5" s="97">
        <v>0.33750000000000002</v>
      </c>
      <c r="V5" s="202"/>
      <c r="W5" s="110">
        <f t="shared" ref="W5:W14" si="0">(U5-T5)*24*60</f>
        <v>66</v>
      </c>
      <c r="X5" s="196"/>
      <c r="Y5" s="196"/>
      <c r="Z5" s="423"/>
      <c r="AA5" s="423"/>
      <c r="AB5" s="114">
        <f>N5-K5</f>
        <v>-124.5454545454545</v>
      </c>
      <c r="AC5" s="192">
        <f>N5/K5</f>
        <v>0.93772727272727274</v>
      </c>
      <c r="AD5" s="391">
        <f>AC15</f>
        <v>0.86905458203748243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3160</v>
      </c>
      <c r="H6" s="15">
        <f t="shared" ref="H6:H14" si="1">F6*G6</f>
        <v>180783.6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1805.7142857142853</v>
      </c>
      <c r="O6" s="17">
        <f>N6/M6</f>
        <v>128.97959183673467</v>
      </c>
      <c r="P6" s="18">
        <f>M6-J6</f>
        <v>0</v>
      </c>
      <c r="Q6" s="19">
        <f>O6-L6</f>
        <v>-6.3775510204081911</v>
      </c>
      <c r="R6" s="193">
        <f>O6/L6</f>
        <v>0.95288352808141707</v>
      </c>
      <c r="S6" s="409"/>
      <c r="T6" s="98">
        <v>0.34722222222222221</v>
      </c>
      <c r="U6" s="98">
        <v>0.4201388888888889</v>
      </c>
      <c r="V6" s="185">
        <f>(T6-U5)*24*60</f>
        <v>13.99999999999995</v>
      </c>
      <c r="W6" s="190">
        <f t="shared" si="0"/>
        <v>105.00000000000003</v>
      </c>
      <c r="X6" s="22"/>
      <c r="Y6" s="22"/>
      <c r="Z6" s="446"/>
      <c r="AA6" s="446"/>
      <c r="AB6" s="18">
        <f>N6-K6</f>
        <v>-89.285714285714675</v>
      </c>
      <c r="AC6" s="193">
        <f>N6/K6</f>
        <v>0.95288352808141707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3358</v>
      </c>
      <c r="H7" s="15">
        <f t="shared" si="1"/>
        <v>165012.12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1865.5555555555566</v>
      </c>
      <c r="O7" s="17">
        <f>N7/M7</f>
        <v>143.50427350427358</v>
      </c>
      <c r="P7" s="18">
        <f>M7-J7</f>
        <v>0</v>
      </c>
      <c r="Q7" s="19">
        <f>O7-L7</f>
        <v>-10.341880341880255</v>
      </c>
      <c r="R7" s="193">
        <f>O7/L7</f>
        <v>0.93277777777777837</v>
      </c>
      <c r="S7" s="409"/>
      <c r="T7" s="98">
        <v>0.43055555555555558</v>
      </c>
      <c r="U7" s="98">
        <v>0.50555555555555554</v>
      </c>
      <c r="V7" s="185">
        <f>(T7-U6)*24*60</f>
        <v>15.000000000000027</v>
      </c>
      <c r="W7" s="190">
        <f t="shared" si="0"/>
        <v>107.99999999999994</v>
      </c>
      <c r="X7" s="22">
        <v>0.5</v>
      </c>
      <c r="Y7" s="22">
        <v>0.54166666666666663</v>
      </c>
      <c r="Z7" s="400"/>
      <c r="AA7" s="400"/>
      <c r="AB7" s="18">
        <f>N7-K7</f>
        <v>-134.44444444444343</v>
      </c>
      <c r="AC7" s="193">
        <f>N7/K7</f>
        <v>0.93277777777777826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4272</v>
      </c>
      <c r="H8" s="15">
        <f t="shared" si="1"/>
        <v>209926.08000000002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1314.4615384615377</v>
      </c>
      <c r="O8" s="17">
        <f>N8/M8</f>
        <v>101.11242603550289</v>
      </c>
      <c r="P8" s="18">
        <f>M8-J8</f>
        <v>0</v>
      </c>
      <c r="Q8" s="19">
        <f>O8-L8</f>
        <v>-52.733727810650947</v>
      </c>
      <c r="R8" s="193">
        <f>O8/L8</f>
        <v>0.65723076923076884</v>
      </c>
      <c r="S8" s="409"/>
      <c r="T8" s="80">
        <v>0.56944444444444442</v>
      </c>
      <c r="U8" s="80">
        <v>0.70486111111111116</v>
      </c>
      <c r="V8" s="185">
        <f>(T8-U7)*24*60</f>
        <v>92</v>
      </c>
      <c r="W8" s="190">
        <f t="shared" si="0"/>
        <v>195.00000000000011</v>
      </c>
      <c r="X8" s="22"/>
      <c r="Y8" s="22"/>
      <c r="Z8" s="447"/>
      <c r="AA8" s="447"/>
      <c r="AB8" s="18">
        <f>N8-K8</f>
        <v>-685.53846153846234</v>
      </c>
      <c r="AC8" s="193">
        <f>N8/K8</f>
        <v>0.65723076923076884</v>
      </c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6" t="s">
        <v>233</v>
      </c>
      <c r="AA9" s="497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498"/>
      <c r="AA10" s="4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500"/>
      <c r="AA11" s="501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13.75</v>
      </c>
      <c r="K15" s="121">
        <f t="shared" si="2"/>
        <v>1973.75</v>
      </c>
      <c r="L15" s="118">
        <f t="shared" si="2"/>
        <v>144.09569597069597</v>
      </c>
      <c r="M15" s="121">
        <f t="shared" si="2"/>
        <v>13.75</v>
      </c>
      <c r="N15" s="121">
        <f t="shared" si="2"/>
        <v>1715.296481296481</v>
      </c>
      <c r="O15" s="118">
        <f t="shared" si="2"/>
        <v>124.65664860170354</v>
      </c>
      <c r="P15" s="122">
        <f t="shared" ref="P15:P16" si="3">M15-J15</f>
        <v>0</v>
      </c>
      <c r="Q15" s="123">
        <f t="shared" ref="Q15:Q16" si="4">O15-L15</f>
        <v>-19.439047368992433</v>
      </c>
      <c r="R15" s="124">
        <f t="shared" ref="R15:R16" si="5">O15/L15</f>
        <v>0.86509626649122362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-258.45351870351897</v>
      </c>
      <c r="AC15" s="195">
        <f>N15/K15</f>
        <v>0.86905458203748243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222</v>
      </c>
      <c r="E16" s="107"/>
      <c r="F16" s="207">
        <f>VLOOKUP(D16,廠價表!$C$1:$E$39,3,0)</f>
        <v>50.67</v>
      </c>
      <c r="G16" s="285">
        <v>3955</v>
      </c>
      <c r="H16" s="128">
        <f t="shared" ref="H16:H25" si="6">F16*G16</f>
        <v>200399.85</v>
      </c>
      <c r="I16" s="129"/>
      <c r="J16" s="111">
        <f>VLOOKUP(D16,產線配置圖!$A$2:$C$38,2,0)</f>
        <v>15</v>
      </c>
      <c r="K16" s="108">
        <f>VLOOKUP(D16,產線配置圖!$A$2:$C$38,3,0)</f>
        <v>2000</v>
      </c>
      <c r="L16" s="112">
        <f>K16/J16</f>
        <v>133.33333333333334</v>
      </c>
      <c r="M16" s="287">
        <v>15</v>
      </c>
      <c r="N16" s="130">
        <f>G16/W16*60</f>
        <v>1853.9062500000009</v>
      </c>
      <c r="O16" s="131">
        <f>N16/M16</f>
        <v>123.59375000000006</v>
      </c>
      <c r="P16" s="132">
        <f t="shared" si="3"/>
        <v>0</v>
      </c>
      <c r="Q16" s="133">
        <f t="shared" si="4"/>
        <v>-9.739583333333286</v>
      </c>
      <c r="R16" s="197">
        <f t="shared" si="5"/>
        <v>0.92695312500000038</v>
      </c>
      <c r="S16" s="433">
        <f>R26</f>
        <v>0.90575905759702735</v>
      </c>
      <c r="T16" s="288">
        <v>0.28958333333333336</v>
      </c>
      <c r="U16" s="288">
        <v>0.37847222222222221</v>
      </c>
      <c r="V16" s="129"/>
      <c r="W16" s="134">
        <f t="shared" ref="W16:W68" si="7">(U16-T16)*24*60</f>
        <v>127.99999999999994</v>
      </c>
      <c r="X16" s="131"/>
      <c r="Y16" s="131"/>
      <c r="Z16" s="423"/>
      <c r="AA16" s="423"/>
      <c r="AB16" s="114">
        <f>N16-K16</f>
        <v>-146.09374999999909</v>
      </c>
      <c r="AC16" s="192">
        <f>N16/K16</f>
        <v>0.92695312500000049</v>
      </c>
      <c r="AD16" s="391">
        <f>AC26</f>
        <v>0.90832058081459732</v>
      </c>
    </row>
    <row r="17" spans="1:30" ht="15" customHeight="1" x14ac:dyDescent="0.25">
      <c r="A17" s="439"/>
      <c r="B17" s="56" t="s">
        <v>63</v>
      </c>
      <c r="C17" s="10"/>
      <c r="D17" s="11" t="s">
        <v>137</v>
      </c>
      <c r="E17" s="89"/>
      <c r="F17" s="56">
        <f>VLOOKUP(D17,廠價表!$C$1:$E$39,3,0)</f>
        <v>50.39</v>
      </c>
      <c r="G17" s="99">
        <v>5074</v>
      </c>
      <c r="H17" s="15">
        <f>F17*G17</f>
        <v>255678.86000000002</v>
      </c>
      <c r="I17" s="185"/>
      <c r="J17" s="16">
        <f>VLOOKUP(D17,產線配置圖!$A$2:$C$38,2,0)</f>
        <v>12</v>
      </c>
      <c r="K17" s="14">
        <f>VLOOKUP(D17,產線配置圖!$A$2:$C$38,3,0)</f>
        <v>2000</v>
      </c>
      <c r="L17" s="17">
        <f>K17/J17</f>
        <v>166.66666666666666</v>
      </c>
      <c r="M17" s="37">
        <v>12</v>
      </c>
      <c r="N17" s="36">
        <f>G17/W17*60</f>
        <v>1759.7687861271681</v>
      </c>
      <c r="O17" s="38">
        <f>N17/M17</f>
        <v>146.64739884393069</v>
      </c>
      <c r="P17" s="39">
        <f>M17-J17</f>
        <v>0</v>
      </c>
      <c r="Q17" s="40">
        <f>O17-L17</f>
        <v>-20.019267822735969</v>
      </c>
      <c r="R17" s="198">
        <f>O17/L17</f>
        <v>0.87988439306358412</v>
      </c>
      <c r="S17" s="434"/>
      <c r="T17" s="41">
        <v>0.38680555555555557</v>
      </c>
      <c r="U17" s="41">
        <v>0.50694444444444442</v>
      </c>
      <c r="V17" s="185">
        <f>(T17-U16)*24*60</f>
        <v>12.000000000000037</v>
      </c>
      <c r="W17" s="43">
        <f t="shared" si="7"/>
        <v>172.99999999999994</v>
      </c>
      <c r="X17" s="44"/>
      <c r="Y17" s="44"/>
      <c r="Z17" s="399"/>
      <c r="AA17" s="400"/>
      <c r="AB17" s="18">
        <f>N17-K17</f>
        <v>-240.23121387283186</v>
      </c>
      <c r="AC17" s="193">
        <f>N17/K17</f>
        <v>0.87988439306358412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2286</v>
      </c>
      <c r="H18" s="15">
        <f>F18*G18</f>
        <v>115191.54000000001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1781.2987012987003</v>
      </c>
      <c r="O18" s="38">
        <f>N18/M18</f>
        <v>148.44155844155836</v>
      </c>
      <c r="P18" s="39">
        <f>M18-J18</f>
        <v>0</v>
      </c>
      <c r="Q18" s="40">
        <f>O18-L18</f>
        <v>-18.225108225108301</v>
      </c>
      <c r="R18" s="198">
        <f>O18/L18</f>
        <v>0.89064935064935014</v>
      </c>
      <c r="S18" s="434"/>
      <c r="T18" s="41">
        <v>0.56805555555555554</v>
      </c>
      <c r="U18" s="41">
        <v>0.62152777777777779</v>
      </c>
      <c r="V18" s="185">
        <f>(T18-U17)*24*60</f>
        <v>88</v>
      </c>
      <c r="W18" s="43">
        <f t="shared" si="7"/>
        <v>77.000000000000043</v>
      </c>
      <c r="X18" s="22">
        <v>0.5</v>
      </c>
      <c r="Y18" s="22">
        <v>0.54166666666666663</v>
      </c>
      <c r="Z18" s="399"/>
      <c r="AA18" s="400"/>
      <c r="AB18" s="18">
        <f>N18-K18</f>
        <v>-218.70129870129972</v>
      </c>
      <c r="AC18" s="193">
        <f>N18/K18</f>
        <v>0.89064935064935014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222</v>
      </c>
      <c r="E19" s="12"/>
      <c r="F19" s="56">
        <f>VLOOKUP(D19,廠價表!$C$1:$E$39,3,0)</f>
        <v>50.67</v>
      </c>
      <c r="G19" s="99">
        <v>2745</v>
      </c>
      <c r="H19" s="15">
        <f t="shared" ref="H19" si="8">F19*G19</f>
        <v>139089.15</v>
      </c>
      <c r="I19" s="185"/>
      <c r="J19" s="16">
        <f>VLOOKUP(D19,產線配置圖!$A$2:$C$38,2,0)</f>
        <v>15</v>
      </c>
      <c r="K19" s="14">
        <f>VLOOKUP(D19,產線配置圖!$A$2:$C$38,3,0)</f>
        <v>2000</v>
      </c>
      <c r="L19" s="17">
        <f t="shared" ref="L19" si="9">K19/J19</f>
        <v>133.33333333333334</v>
      </c>
      <c r="M19" s="37">
        <v>15</v>
      </c>
      <c r="N19" s="36">
        <f>G19/W19*60</f>
        <v>1871.590909090909</v>
      </c>
      <c r="O19" s="38">
        <f>N19/M19</f>
        <v>124.77272727272727</v>
      </c>
      <c r="P19" s="39">
        <f>M19-J19</f>
        <v>0</v>
      </c>
      <c r="Q19" s="40">
        <f>O19-L19</f>
        <v>-8.5606060606060765</v>
      </c>
      <c r="R19" s="198">
        <f>O19/L19</f>
        <v>0.93579545454545443</v>
      </c>
      <c r="S19" s="434"/>
      <c r="T19" s="41">
        <v>0.63402777777777775</v>
      </c>
      <c r="U19" s="41">
        <v>0.69513888888888886</v>
      </c>
      <c r="V19" s="185">
        <f>(T19-U18)*24*60</f>
        <v>17.999999999999936</v>
      </c>
      <c r="W19" s="43">
        <f t="shared" si="7"/>
        <v>88</v>
      </c>
      <c r="X19" s="22"/>
      <c r="Y19" s="22"/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13.5</v>
      </c>
      <c r="K26" s="137">
        <f t="shared" si="10"/>
        <v>2000</v>
      </c>
      <c r="L26" s="140">
        <f t="shared" si="10"/>
        <v>150</v>
      </c>
      <c r="M26" s="137">
        <f t="shared" si="10"/>
        <v>13.5</v>
      </c>
      <c r="N26" s="137">
        <f t="shared" si="10"/>
        <v>1816.6411616291946</v>
      </c>
      <c r="O26" s="140">
        <f t="shared" si="10"/>
        <v>135.86385863955411</v>
      </c>
      <c r="P26" s="141">
        <f t="shared" ref="P26:P30" si="11">M26-J26</f>
        <v>0</v>
      </c>
      <c r="Q26" s="142">
        <f t="shared" ref="Q26:Q30" si="12">O26-L26</f>
        <v>-14.13614136044589</v>
      </c>
      <c r="R26" s="143">
        <f t="shared" ref="R26:R30" si="13">O26/L26</f>
        <v>0.90575905759702735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-183.35883837080542</v>
      </c>
      <c r="AC26" s="195">
        <f>N26/K26</f>
        <v>0.90832058081459732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130</v>
      </c>
      <c r="E27" s="107"/>
      <c r="F27" s="207">
        <f>VLOOKUP(D27,廠價表!$C$1:$E$39,3,0)</f>
        <v>57.21</v>
      </c>
      <c r="G27" s="289">
        <v>2670</v>
      </c>
      <c r="H27" s="128">
        <f t="shared" ref="H27:H36" si="14">F27*G27</f>
        <v>152750.70000000001</v>
      </c>
      <c r="I27" s="129"/>
      <c r="J27" s="111">
        <v>15</v>
      </c>
      <c r="K27" s="252">
        <v>1565</v>
      </c>
      <c r="L27" s="112">
        <f>K27/J27</f>
        <v>104.33333333333333</v>
      </c>
      <c r="M27" s="147">
        <v>15</v>
      </c>
      <c r="N27" s="130">
        <f>G27/W27*60</f>
        <v>1261.4173228346453</v>
      </c>
      <c r="O27" s="131">
        <f>N27/M27</f>
        <v>84.094488188976356</v>
      </c>
      <c r="P27" s="132">
        <f t="shared" si="11"/>
        <v>0</v>
      </c>
      <c r="Q27" s="133">
        <f t="shared" si="12"/>
        <v>-20.238845144356972</v>
      </c>
      <c r="R27" s="197">
        <f>O27/L27</f>
        <v>0.80601745868028463</v>
      </c>
      <c r="S27" s="433">
        <f>R37</f>
        <v>0.82662831714853779</v>
      </c>
      <c r="T27" s="97">
        <v>0.2951388888888889</v>
      </c>
      <c r="U27" s="97">
        <v>0.38333333333333336</v>
      </c>
      <c r="V27" s="129"/>
      <c r="W27" s="134">
        <f t="shared" si="7"/>
        <v>127.00000000000003</v>
      </c>
      <c r="X27" s="129"/>
      <c r="Y27" s="129" t="s">
        <v>158</v>
      </c>
      <c r="Z27" s="414"/>
      <c r="AA27" s="423"/>
      <c r="AB27" s="114">
        <f>N27-K27</f>
        <v>-303.58267716535465</v>
      </c>
      <c r="AC27" s="148">
        <f>N27/K27</f>
        <v>0.80601745868028452</v>
      </c>
      <c r="AD27" s="391">
        <f>AC37</f>
        <v>0.78423734262247136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2370</v>
      </c>
      <c r="H28" s="50">
        <f t="shared" si="14"/>
        <v>130658.1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16</v>
      </c>
      <c r="N28" s="36">
        <f>G28/W28*60</f>
        <v>1037.956204379562</v>
      </c>
      <c r="O28" s="38">
        <f>N28/M28</f>
        <v>64.872262773722625</v>
      </c>
      <c r="P28" s="39">
        <f t="shared" si="11"/>
        <v>-2</v>
      </c>
      <c r="Q28" s="40">
        <f t="shared" si="12"/>
        <v>-12.072181670721818</v>
      </c>
      <c r="R28" s="198">
        <f t="shared" si="13"/>
        <v>0.84310522016390421</v>
      </c>
      <c r="S28" s="434"/>
      <c r="T28" s="291">
        <v>0.39097222222222222</v>
      </c>
      <c r="U28" s="291">
        <v>0.4861111111111111</v>
      </c>
      <c r="V28" s="42">
        <f>(T28-U27)*24*60</f>
        <v>10.999999999999961</v>
      </c>
      <c r="W28" s="43">
        <f t="shared" si="7"/>
        <v>137</v>
      </c>
      <c r="X28" s="54"/>
      <c r="Y28" s="54"/>
      <c r="Z28" s="399"/>
      <c r="AA28" s="400"/>
      <c r="AB28" s="34">
        <f>N28-K28</f>
        <v>-347.043795620438</v>
      </c>
      <c r="AC28" s="194">
        <f>N28/K28</f>
        <v>0.74942686236791478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146</v>
      </c>
      <c r="E29" s="89"/>
      <c r="F29" s="56">
        <f>VLOOKUP(D29,廠價表!$C$1:$E$39,3,0)</f>
        <v>55.13</v>
      </c>
      <c r="G29" s="256">
        <v>782</v>
      </c>
      <c r="H29" s="50">
        <f t="shared" si="14"/>
        <v>43111.66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>K29/J29</f>
        <v>76.944444444444443</v>
      </c>
      <c r="M29" s="21">
        <v>16</v>
      </c>
      <c r="N29" s="36">
        <f>G29/W29*60</f>
        <v>1066.3636363636365</v>
      </c>
      <c r="O29" s="38">
        <f>N29/M29</f>
        <v>66.64772727272728</v>
      </c>
      <c r="P29" s="39">
        <f t="shared" si="11"/>
        <v>-2</v>
      </c>
      <c r="Q29" s="40">
        <f t="shared" si="12"/>
        <v>-10.296717171717162</v>
      </c>
      <c r="R29" s="198">
        <f t="shared" si="13"/>
        <v>0.86617984903183476</v>
      </c>
      <c r="S29" s="434"/>
      <c r="T29" s="41">
        <v>0.54236111111111107</v>
      </c>
      <c r="U29" s="41">
        <v>0.57291666666666663</v>
      </c>
      <c r="V29" s="42">
        <f>(T29-U28)*24*60</f>
        <v>80.999999999999957</v>
      </c>
      <c r="W29" s="43">
        <f t="shared" si="7"/>
        <v>44</v>
      </c>
      <c r="X29" s="54">
        <v>0.47916666666666669</v>
      </c>
      <c r="Y29" s="54">
        <v>0.52083333333333337</v>
      </c>
      <c r="Z29" s="399"/>
      <c r="AA29" s="398"/>
      <c r="AB29" s="275">
        <f t="shared" ref="AB29" si="15">N29-K29</f>
        <v>-318.63636363636351</v>
      </c>
      <c r="AC29" s="276">
        <f t="shared" ref="AC29" si="16">N29/K29</f>
        <v>0.76993764358385308</v>
      </c>
      <c r="AD29" s="393"/>
    </row>
    <row r="30" spans="1:30" ht="15" customHeight="1" x14ac:dyDescent="0.25">
      <c r="A30" s="431"/>
      <c r="B30" s="56" t="str">
        <f>VLOOKUP(D30,廠價表!$C$1:$E$39,2,0)</f>
        <v>義大利麵</v>
      </c>
      <c r="C30" s="255"/>
      <c r="D30" s="11" t="s">
        <v>130</v>
      </c>
      <c r="E30" s="29"/>
      <c r="F30" s="56">
        <f>VLOOKUP(D30,廠價表!$C$1:$E$39,3,0)</f>
        <v>57.21</v>
      </c>
      <c r="G30" s="256">
        <v>1997</v>
      </c>
      <c r="H30" s="50">
        <f t="shared" si="14"/>
        <v>114248.37</v>
      </c>
      <c r="I30" s="42"/>
      <c r="J30" s="16">
        <v>15</v>
      </c>
      <c r="K30" s="14">
        <v>1565</v>
      </c>
      <c r="L30" s="251">
        <f>K30/J30</f>
        <v>104.33333333333333</v>
      </c>
      <c r="M30" s="21">
        <v>15</v>
      </c>
      <c r="N30" s="36">
        <f>G30/W30*60</f>
        <v>1261.2631578947371</v>
      </c>
      <c r="O30" s="38">
        <f>N30/M30</f>
        <v>84.0842105263158</v>
      </c>
      <c r="P30" s="39">
        <f t="shared" si="11"/>
        <v>0</v>
      </c>
      <c r="Q30" s="40">
        <f t="shared" si="12"/>
        <v>-20.249122807017528</v>
      </c>
      <c r="R30" s="198">
        <f t="shared" si="13"/>
        <v>0.80591895073146136</v>
      </c>
      <c r="S30" s="434"/>
      <c r="T30" s="41">
        <v>0.57916666666666672</v>
      </c>
      <c r="U30" s="41">
        <v>0.64513888888888893</v>
      </c>
      <c r="V30" s="42">
        <f>(T30-U29)*24*60</f>
        <v>9.0000000000001279</v>
      </c>
      <c r="W30" s="43">
        <f t="shared" si="7"/>
        <v>94.999999999999986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7">AVERAGE(J27:J36)</f>
        <v>16.5</v>
      </c>
      <c r="K37" s="314">
        <f t="shared" si="17"/>
        <v>1475</v>
      </c>
      <c r="L37" s="315">
        <f t="shared" si="17"/>
        <v>90.638888888888886</v>
      </c>
      <c r="M37" s="314">
        <f t="shared" si="17"/>
        <v>15.5</v>
      </c>
      <c r="N37" s="314">
        <f t="shared" si="17"/>
        <v>1156.7500803681453</v>
      </c>
      <c r="O37" s="315">
        <f t="shared" si="17"/>
        <v>74.924672190435516</v>
      </c>
      <c r="P37" s="74">
        <f>M37-J37</f>
        <v>-1</v>
      </c>
      <c r="Q37" s="75">
        <f>N37-K37</f>
        <v>-318.24991963185471</v>
      </c>
      <c r="R37" s="316">
        <f t="shared" ref="R37:R38" si="18">O37/L37</f>
        <v>0.82662831714853779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8" si="19">N37-K37</f>
        <v>-318.24991963185471</v>
      </c>
      <c r="AC37" s="195">
        <f t="shared" ref="AC37:AC38" si="20">N37/K37</f>
        <v>0.78423734262247136</v>
      </c>
      <c r="AD37" s="396"/>
    </row>
    <row r="38" spans="1:30" s="63" customFormat="1" ht="15" customHeight="1" x14ac:dyDescent="0.25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223</v>
      </c>
      <c r="E38" s="309"/>
      <c r="F38" s="56">
        <f>VLOOKUP(D38,廠價表!$C$1:$E$39,3,0)</f>
        <v>57.3</v>
      </c>
      <c r="G38" s="305">
        <v>4938</v>
      </c>
      <c r="H38" s="64">
        <f>F38*G38</f>
        <v>282947.39999999997</v>
      </c>
      <c r="I38" s="129"/>
      <c r="J38" s="296">
        <f>VLOOKUP(D38,產線配置圖!$A$2:$C$38,2,0)</f>
        <v>17</v>
      </c>
      <c r="K38" s="252">
        <f>VLOOKUP(D38,產線配置圖!$A$2:$C$38,3,0)</f>
        <v>1385</v>
      </c>
      <c r="L38" s="317">
        <f>K38/J38</f>
        <v>81.470588235294116</v>
      </c>
      <c r="M38" s="318">
        <v>17</v>
      </c>
      <c r="N38" s="130">
        <f>G38/W38*60</f>
        <v>1234.5</v>
      </c>
      <c r="O38" s="131">
        <f>N38/M38</f>
        <v>72.617647058823536</v>
      </c>
      <c r="P38" s="132">
        <f t="shared" ref="P38" si="21">M38-J38</f>
        <v>0</v>
      </c>
      <c r="Q38" s="133">
        <f t="shared" ref="Q38" si="22">O38-L38</f>
        <v>-8.8529411764705799</v>
      </c>
      <c r="R38" s="197">
        <f t="shared" si="18"/>
        <v>0.89133574007220229</v>
      </c>
      <c r="S38" s="493">
        <f>R48</f>
        <v>0.89133574007220229</v>
      </c>
      <c r="T38" s="157">
        <v>0.33333333333333331</v>
      </c>
      <c r="U38" s="157">
        <v>0.5</v>
      </c>
      <c r="V38" s="153"/>
      <c r="W38" s="158">
        <f t="shared" si="7"/>
        <v>240</v>
      </c>
      <c r="X38" s="155"/>
      <c r="Y38" s="159"/>
      <c r="Z38" s="427"/>
      <c r="AA38" s="427"/>
      <c r="AB38" s="319">
        <f t="shared" si="19"/>
        <v>-150.5</v>
      </c>
      <c r="AC38" s="161">
        <f t="shared" si="20"/>
        <v>0.89133574007220218</v>
      </c>
      <c r="AD38" s="388">
        <f>AC48</f>
        <v>0.89133574007220218</v>
      </c>
    </row>
    <row r="39" spans="1:30" s="63" customFormat="1" ht="15" customHeight="1" x14ac:dyDescent="0.25">
      <c r="A39" s="425"/>
      <c r="B39" s="56"/>
      <c r="C39" s="306"/>
      <c r="D39" s="308"/>
      <c r="E39" s="307"/>
      <c r="F39" s="56"/>
      <c r="G39" s="305"/>
      <c r="H39" s="64"/>
      <c r="I39" s="65"/>
      <c r="J39" s="37"/>
      <c r="K39" s="36"/>
      <c r="L39" s="38"/>
      <c r="M39" s="66"/>
      <c r="N39" s="67"/>
      <c r="O39" s="68"/>
      <c r="P39" s="39"/>
      <c r="Q39" s="40"/>
      <c r="R39" s="198"/>
      <c r="S39" s="494"/>
      <c r="T39" s="59"/>
      <c r="U39" s="59"/>
      <c r="V39" s="42"/>
      <c r="W39" s="70">
        <f t="shared" si="7"/>
        <v>0</v>
      </c>
      <c r="X39" s="22"/>
      <c r="Y39" s="22"/>
      <c r="Z39" s="428"/>
      <c r="AA39" s="475"/>
      <c r="AB39" s="292"/>
      <c r="AC39" s="62"/>
      <c r="AD39" s="389"/>
    </row>
    <row r="40" spans="1:30" s="63" customFormat="1" ht="15" customHeight="1" x14ac:dyDescent="0.25">
      <c r="A40" s="425"/>
      <c r="B40" s="56"/>
      <c r="C40" s="298"/>
      <c r="D40" s="308"/>
      <c r="E40" s="261"/>
      <c r="F40" s="56"/>
      <c r="G40" s="305"/>
      <c r="H40" s="64">
        <f t="shared" ref="H40:H47" si="23">F40*G40</f>
        <v>0</v>
      </c>
      <c r="I40" s="65"/>
      <c r="J40" s="37"/>
      <c r="K40" s="36"/>
      <c r="L40" s="38"/>
      <c r="M40" s="302"/>
      <c r="N40" s="67"/>
      <c r="O40" s="68"/>
      <c r="P40" s="39"/>
      <c r="Q40" s="40"/>
      <c r="R40" s="198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11"/>
      <c r="E41" s="89"/>
      <c r="F41" s="56"/>
      <c r="G41" s="305"/>
      <c r="H41" s="64">
        <f t="shared" si="23"/>
        <v>0</v>
      </c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si="23"/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3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3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4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3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4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3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4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3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4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5">AVERAGE(J38:J47)</f>
        <v>17</v>
      </c>
      <c r="K48" s="137">
        <f t="shared" si="25"/>
        <v>1385</v>
      </c>
      <c r="L48" s="140">
        <f t="shared" si="25"/>
        <v>81.470588235294116</v>
      </c>
      <c r="M48" s="137">
        <f t="shared" si="25"/>
        <v>17</v>
      </c>
      <c r="N48" s="137">
        <f t="shared" si="25"/>
        <v>1234.5</v>
      </c>
      <c r="O48" s="140">
        <f t="shared" si="25"/>
        <v>72.617647058823536</v>
      </c>
      <c r="P48" s="164">
        <f>M48-J48</f>
        <v>0</v>
      </c>
      <c r="Q48" s="165">
        <f>N48-K48</f>
        <v>-150.5</v>
      </c>
      <c r="R48" s="166">
        <f>O48/L48</f>
        <v>0.89133574007220229</v>
      </c>
      <c r="S48" s="412"/>
      <c r="T48" s="167"/>
      <c r="U48" s="167"/>
      <c r="V48" s="204"/>
      <c r="W48" s="168">
        <f t="shared" si="24"/>
        <v>0</v>
      </c>
      <c r="X48" s="169"/>
      <c r="Y48" s="169"/>
      <c r="Z48" s="401"/>
      <c r="AA48" s="401"/>
      <c r="AB48" s="170">
        <f>N48-K48</f>
        <v>-150.5</v>
      </c>
      <c r="AC48" s="199">
        <f>N48/K48</f>
        <v>0.89133574007220218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7056</v>
      </c>
      <c r="H49" s="128">
        <f t="shared" ref="H49:H57" si="26">F49*G49</f>
        <v>352588.32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1562.2140221402215</v>
      </c>
      <c r="O49" s="131">
        <f>N49/M49</f>
        <v>86.789667896678964</v>
      </c>
      <c r="P49" s="171">
        <f>M49-J49</f>
        <v>0</v>
      </c>
      <c r="Q49" s="115">
        <f>O49-L49</f>
        <v>-0.15477654776547922</v>
      </c>
      <c r="R49" s="192">
        <f>O49/L49</f>
        <v>0.99821982245381558</v>
      </c>
      <c r="S49" s="408">
        <f>R58</f>
        <v>0.97033917693369121</v>
      </c>
      <c r="T49" s="157">
        <v>0.28611111111111109</v>
      </c>
      <c r="U49" s="157">
        <v>0.47430555555555554</v>
      </c>
      <c r="V49" s="196"/>
      <c r="W49" s="158">
        <f t="shared" si="7"/>
        <v>271</v>
      </c>
      <c r="X49" s="196"/>
      <c r="Y49" s="196"/>
      <c r="Z49" s="423"/>
      <c r="AA49" s="423"/>
      <c r="AB49" s="114">
        <f>N49-K49</f>
        <v>-2.7859778597785407</v>
      </c>
      <c r="AC49" s="192">
        <f>N49/K49</f>
        <v>0.99821982245381558</v>
      </c>
      <c r="AD49" s="391">
        <f>AC58</f>
        <v>0.96947634525355442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66</v>
      </c>
      <c r="E50" s="89"/>
      <c r="F50" s="56">
        <f>VLOOKUP(D50,廠價表!$C$1:$E$39,3,0)</f>
        <v>49.97</v>
      </c>
      <c r="G50" s="67">
        <v>2271</v>
      </c>
      <c r="H50" s="77">
        <f t="shared" si="26"/>
        <v>113481.87</v>
      </c>
      <c r="I50" s="201"/>
      <c r="J50" s="16">
        <f>VLOOKUP(D50,產線配置圖!$A$2:$C$38,2,0)</f>
        <v>18</v>
      </c>
      <c r="K50" s="14">
        <f>VLOOKUP(D50,產線配置圖!$A$2:$C$38,3,0)</f>
        <v>1565</v>
      </c>
      <c r="L50" s="17">
        <f>K50/J50</f>
        <v>86.944444444444443</v>
      </c>
      <c r="M50" s="182">
        <v>18</v>
      </c>
      <c r="N50" s="78">
        <f>G50/W50*60</f>
        <v>1548.409090909091</v>
      </c>
      <c r="O50" s="79">
        <f>N50/M50</f>
        <v>86.02272727272728</v>
      </c>
      <c r="P50" s="18">
        <f>M50-J50</f>
        <v>0</v>
      </c>
      <c r="Q50" s="19">
        <f>O50-L50</f>
        <v>-0.92171717171716239</v>
      </c>
      <c r="R50" s="193">
        <f>O50/L50</f>
        <v>0.98939878013360449</v>
      </c>
      <c r="S50" s="409"/>
      <c r="T50" s="80">
        <v>0.52430555555555558</v>
      </c>
      <c r="U50" s="80">
        <v>0.5854166666666667</v>
      </c>
      <c r="V50" s="185">
        <f t="shared" ref="V50:V51" si="27">(T50-U49)*24*60</f>
        <v>72.000000000000057</v>
      </c>
      <c r="W50" s="81">
        <f t="shared" si="7"/>
        <v>88</v>
      </c>
      <c r="X50" s="22"/>
      <c r="Y50" s="22"/>
      <c r="Z50" s="398"/>
      <c r="AA50" s="399"/>
      <c r="AB50" s="18">
        <f>N50-K50</f>
        <v>-16.590909090909008</v>
      </c>
      <c r="AC50" s="193">
        <f>N50/K50</f>
        <v>0.98939878013360449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1180</v>
      </c>
      <c r="H51" s="77">
        <f t="shared" si="26"/>
        <v>67106.599999999991</v>
      </c>
      <c r="I51" s="185"/>
      <c r="J51" s="16">
        <v>19</v>
      </c>
      <c r="K51" s="14">
        <v>1600</v>
      </c>
      <c r="L51" s="17">
        <f t="shared" ref="L51" si="28">K51/J51</f>
        <v>84.21052631578948</v>
      </c>
      <c r="M51" s="182">
        <v>19</v>
      </c>
      <c r="N51" s="78">
        <f t="shared" ref="N51" si="29">G51/W51*60</f>
        <v>1475.0000000000005</v>
      </c>
      <c r="O51" s="79">
        <f t="shared" ref="O51" si="30">N51/M51</f>
        <v>77.631578947368439</v>
      </c>
      <c r="P51" s="18">
        <f t="shared" ref="P51" si="31">M51-J51</f>
        <v>0</v>
      </c>
      <c r="Q51" s="19">
        <f t="shared" ref="Q51" si="32">O51-L51</f>
        <v>-6.5789473684210407</v>
      </c>
      <c r="R51" s="193">
        <f t="shared" ref="R51" si="33">O51/L51</f>
        <v>0.92187500000000011</v>
      </c>
      <c r="S51" s="409"/>
      <c r="T51" s="80">
        <v>0.59166666666666667</v>
      </c>
      <c r="U51" s="44">
        <v>0.625</v>
      </c>
      <c r="V51" s="185">
        <f t="shared" si="27"/>
        <v>8.999999999999968</v>
      </c>
      <c r="W51" s="81">
        <f t="shared" si="7"/>
        <v>47.999999999999986</v>
      </c>
      <c r="X51" s="22">
        <v>0.4861111111111111</v>
      </c>
      <c r="Y51" s="22">
        <v>0.52777777777777779</v>
      </c>
      <c r="Z51" s="400"/>
      <c r="AA51" s="400"/>
      <c r="AB51" s="51">
        <f>N51-K51</f>
        <v>-124.99999999999955</v>
      </c>
      <c r="AC51" s="52">
        <f>N51/K51</f>
        <v>0.92187500000000033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6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6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6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6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6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4">AVERAGE(J49:J57)</f>
        <v>18.333333333333332</v>
      </c>
      <c r="K58" s="121">
        <f t="shared" si="34"/>
        <v>1576.6666666666667</v>
      </c>
      <c r="L58" s="118">
        <f t="shared" si="34"/>
        <v>86.033138401559469</v>
      </c>
      <c r="M58" s="121">
        <f t="shared" si="34"/>
        <v>18.333333333333332</v>
      </c>
      <c r="N58" s="121">
        <f t="shared" si="34"/>
        <v>1528.5410376831042</v>
      </c>
      <c r="O58" s="118">
        <f t="shared" si="34"/>
        <v>83.481324705591561</v>
      </c>
      <c r="P58" s="122">
        <f>M58-J58</f>
        <v>0</v>
      </c>
      <c r="Q58" s="123">
        <f>N58-K58</f>
        <v>-48.125628983562592</v>
      </c>
      <c r="R58" s="124">
        <f t="shared" ref="R58:R60" si="35">O58/L58</f>
        <v>0.97033917693369121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36">N58-K58</f>
        <v>-48.125628983562592</v>
      </c>
      <c r="AC58" s="195">
        <f t="shared" ref="AC58:AC62" si="37">N58/K58</f>
        <v>0.96947634525355442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2773</v>
      </c>
      <c r="H59" s="109">
        <f t="shared" ref="H59:H68" si="38">F59*G59</f>
        <v>74843.26999999999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2" si="39">G59/W59*60</f>
        <v>1485.5357142857144</v>
      </c>
      <c r="O59" s="112">
        <f t="shared" ref="O59:O62" si="40">N59/M59</f>
        <v>114.27197802197803</v>
      </c>
      <c r="P59" s="114">
        <f t="shared" ref="P59:P62" si="41">M59-J59</f>
        <v>0</v>
      </c>
      <c r="Q59" s="115">
        <f t="shared" ref="Q59:Q62" si="42">O59-L59</f>
        <v>-6.1126373626373578</v>
      </c>
      <c r="R59" s="192">
        <f t="shared" si="35"/>
        <v>0.94922409858512102</v>
      </c>
      <c r="S59" s="408">
        <f>R69</f>
        <v>0.90895238095238062</v>
      </c>
      <c r="T59" s="176">
        <v>0.29375000000000001</v>
      </c>
      <c r="U59" s="176">
        <v>0.37152777777777779</v>
      </c>
      <c r="V59" s="196"/>
      <c r="W59" s="110">
        <f t="shared" si="7"/>
        <v>112</v>
      </c>
      <c r="X59" s="196"/>
      <c r="Y59" s="196"/>
      <c r="Z59" s="400"/>
      <c r="AA59" s="400"/>
      <c r="AB59" s="240">
        <f t="shared" si="36"/>
        <v>-79.464285714285552</v>
      </c>
      <c r="AC59" s="241">
        <f t="shared" si="37"/>
        <v>0.94922409858512102</v>
      </c>
      <c r="AD59" s="391">
        <f>AC69</f>
        <v>0.90822493534154847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1341</v>
      </c>
      <c r="H60" s="15">
        <f t="shared" si="38"/>
        <v>38178.269999999997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9"/>
        <v>1340.9999999999995</v>
      </c>
      <c r="O60" s="17">
        <f t="shared" si="40"/>
        <v>111.74999999999996</v>
      </c>
      <c r="P60" s="18">
        <f t="shared" si="41"/>
        <v>0</v>
      </c>
      <c r="Q60" s="19">
        <f t="shared" si="42"/>
        <v>-18.6666666666667</v>
      </c>
      <c r="R60" s="193">
        <f t="shared" si="35"/>
        <v>0.85686900958466428</v>
      </c>
      <c r="S60" s="419"/>
      <c r="T60" s="206">
        <v>0.38194444444444442</v>
      </c>
      <c r="U60" s="206">
        <v>0.4236111111111111</v>
      </c>
      <c r="V60" s="185">
        <f t="shared" ref="V60:V62" si="43">(T60-U59)*24*60</f>
        <v>14.999999999999947</v>
      </c>
      <c r="W60" s="93">
        <f t="shared" si="7"/>
        <v>60.000000000000028</v>
      </c>
      <c r="X60" s="201"/>
      <c r="Y60" s="201"/>
      <c r="Z60" s="400"/>
      <c r="AA60" s="400"/>
      <c r="AB60" s="242">
        <f t="shared" si="36"/>
        <v>-224.00000000000045</v>
      </c>
      <c r="AC60" s="243">
        <f t="shared" si="37"/>
        <v>0.85686900958466428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2338</v>
      </c>
      <c r="H61" s="15">
        <f t="shared" si="38"/>
        <v>66071.88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4">K61/J61</f>
        <v>130.41666666666666</v>
      </c>
      <c r="M61" s="188">
        <v>12</v>
      </c>
      <c r="N61" s="14">
        <f t="shared" si="39"/>
        <v>1558.6666666666667</v>
      </c>
      <c r="O61" s="17">
        <f t="shared" si="40"/>
        <v>129.88888888888889</v>
      </c>
      <c r="P61" s="18">
        <f t="shared" si="41"/>
        <v>0</v>
      </c>
      <c r="Q61" s="19">
        <f t="shared" si="42"/>
        <v>-0.52777777777777146</v>
      </c>
      <c r="R61" s="193">
        <f>O61/L61</f>
        <v>0.99595314164004267</v>
      </c>
      <c r="S61" s="409"/>
      <c r="T61" s="20">
        <v>0.4375</v>
      </c>
      <c r="U61" s="20">
        <v>0.5</v>
      </c>
      <c r="V61" s="185">
        <f t="shared" si="43"/>
        <v>20.000000000000007</v>
      </c>
      <c r="W61" s="91">
        <f t="shared" si="7"/>
        <v>90</v>
      </c>
      <c r="X61" s="22"/>
      <c r="Y61" s="22"/>
      <c r="Z61" s="400"/>
      <c r="AA61" s="400"/>
      <c r="AB61" s="51">
        <f t="shared" si="36"/>
        <v>-6.3333333333332575</v>
      </c>
      <c r="AC61" s="52">
        <f t="shared" si="37"/>
        <v>0.99595314164004267</v>
      </c>
      <c r="AD61" s="392"/>
    </row>
    <row r="62" spans="1:30" ht="15" customHeight="1" x14ac:dyDescent="0.25">
      <c r="A62" s="417"/>
      <c r="B62" s="56" t="s">
        <v>216</v>
      </c>
      <c r="C62" s="10"/>
      <c r="D62" s="11" t="s">
        <v>128</v>
      </c>
      <c r="E62" s="89"/>
      <c r="F62" s="56">
        <v>26.99</v>
      </c>
      <c r="G62" s="185">
        <v>1517</v>
      </c>
      <c r="H62" s="15">
        <f t="shared" si="38"/>
        <v>40943.829999999994</v>
      </c>
      <c r="I62" s="82"/>
      <c r="J62" s="16">
        <v>13</v>
      </c>
      <c r="K62" s="14">
        <v>1565</v>
      </c>
      <c r="L62" s="17">
        <v>120.38461538461539</v>
      </c>
      <c r="M62" s="188">
        <v>13</v>
      </c>
      <c r="N62" s="14">
        <f t="shared" si="39"/>
        <v>1300.2857142857129</v>
      </c>
      <c r="O62" s="17">
        <f t="shared" si="40"/>
        <v>100.02197802197792</v>
      </c>
      <c r="P62" s="18">
        <f t="shared" si="41"/>
        <v>0</v>
      </c>
      <c r="Q62" s="19">
        <f t="shared" si="42"/>
        <v>-20.362637362637471</v>
      </c>
      <c r="R62" s="193">
        <f>O62/L62</f>
        <v>0.83085349155636601</v>
      </c>
      <c r="S62" s="409"/>
      <c r="T62" s="20">
        <v>0.5625</v>
      </c>
      <c r="U62" s="20">
        <v>0.61111111111111116</v>
      </c>
      <c r="V62" s="185">
        <f t="shared" si="43"/>
        <v>90</v>
      </c>
      <c r="W62" s="93">
        <f t="shared" si="7"/>
        <v>70.000000000000071</v>
      </c>
      <c r="X62" s="22">
        <v>0.52083333333333337</v>
      </c>
      <c r="Y62" s="22">
        <v>0.5625</v>
      </c>
      <c r="Z62" s="400"/>
      <c r="AA62" s="400"/>
      <c r="AB62" s="51">
        <f t="shared" si="36"/>
        <v>-264.71428571428714</v>
      </c>
      <c r="AC62" s="52">
        <f t="shared" si="37"/>
        <v>0.83085349155636601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>
        <f t="shared" si="38"/>
        <v>0</v>
      </c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8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8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8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8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8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5">AVERAGE(J59:J68)</f>
        <v>12.5</v>
      </c>
      <c r="K69" s="173">
        <f t="shared" si="45"/>
        <v>1565</v>
      </c>
      <c r="L69" s="178">
        <f t="shared" si="45"/>
        <v>125.40064102564102</v>
      </c>
      <c r="M69" s="173">
        <f t="shared" si="45"/>
        <v>12.5</v>
      </c>
      <c r="N69" s="173">
        <f t="shared" si="45"/>
        <v>1421.3720238095234</v>
      </c>
      <c r="O69" s="178">
        <f t="shared" si="45"/>
        <v>113.98321123321119</v>
      </c>
      <c r="P69" s="179">
        <f>M69-J69</f>
        <v>0</v>
      </c>
      <c r="Q69" s="165">
        <f>N69-K69</f>
        <v>-143.6279761904766</v>
      </c>
      <c r="R69" s="124">
        <f>O69/L69</f>
        <v>0.90895238095238062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-143.6279761904766</v>
      </c>
      <c r="AC69" s="195">
        <f>N69/K69</f>
        <v>0.90822493534154847</v>
      </c>
      <c r="AD69" s="396"/>
    </row>
    <row r="70" spans="1:32" ht="15" customHeight="1" x14ac:dyDescent="0.25">
      <c r="A70" s="405" t="s">
        <v>58</v>
      </c>
      <c r="B70" s="207" t="str">
        <f>VLOOKUP(D70,廠價表!$C$1:$E$39,2,0)</f>
        <v>義大利麵</v>
      </c>
      <c r="C70" s="207"/>
      <c r="D70" s="106" t="s">
        <v>173</v>
      </c>
      <c r="E70" s="107"/>
      <c r="F70" s="207">
        <f>VLOOKUP(D70,廠價表!$C$1:$E$39,3,0)</f>
        <v>56.87</v>
      </c>
      <c r="G70" s="154">
        <v>2476</v>
      </c>
      <c r="H70" s="128">
        <f t="shared" ref="H70:H78" si="46">F70*G70</f>
        <v>140810.12</v>
      </c>
      <c r="I70" s="129"/>
      <c r="J70" s="111">
        <v>18</v>
      </c>
      <c r="K70" s="108">
        <v>1500</v>
      </c>
      <c r="L70" s="112">
        <f>K70/J70</f>
        <v>83.333333333333329</v>
      </c>
      <c r="M70" s="113">
        <v>15</v>
      </c>
      <c r="N70" s="83">
        <f t="shared" ref="N70:N71" si="47">G70/W70*60</f>
        <v>1017.5342465753423</v>
      </c>
      <c r="O70" s="112">
        <f t="shared" ref="O70:O71" si="48">N70/M70</f>
        <v>67.835616438356155</v>
      </c>
      <c r="P70" s="208">
        <f t="shared" ref="P70:P71" si="49">M70-J70</f>
        <v>-3</v>
      </c>
      <c r="Q70" s="209">
        <f t="shared" ref="Q70:Q71" si="50">O70-L70</f>
        <v>-15.497716894977174</v>
      </c>
      <c r="R70" s="192">
        <f t="shared" ref="R70" si="51">O70/L70</f>
        <v>0.81402739726027395</v>
      </c>
      <c r="S70" s="408">
        <f>R79</f>
        <v>0.90516817381106807</v>
      </c>
      <c r="T70" s="176">
        <v>0.33333333333333331</v>
      </c>
      <c r="U70" s="176">
        <v>0.43472222222222223</v>
      </c>
      <c r="V70" s="196"/>
      <c r="W70" s="110">
        <f t="shared" ref="W70:W78" si="52">(U70-T70)*24*60</f>
        <v>146.00000000000003</v>
      </c>
      <c r="X70" s="180"/>
      <c r="Y70" s="180"/>
      <c r="Z70" s="413"/>
      <c r="AA70" s="414"/>
      <c r="AB70" s="240"/>
      <c r="AC70" s="241"/>
      <c r="AD70" s="391">
        <f>AC79</f>
        <v>0.86052186470687142</v>
      </c>
    </row>
    <row r="71" spans="1:32" ht="15" customHeight="1" x14ac:dyDescent="0.25">
      <c r="A71" s="406"/>
      <c r="B71" s="56" t="str">
        <f>VLOOKUP(D71,廠價表!$C$1:$E$39,2,0)</f>
        <v>熱乾麵</v>
      </c>
      <c r="C71" s="10"/>
      <c r="D71" s="11" t="s">
        <v>154</v>
      </c>
      <c r="E71" s="89"/>
      <c r="F71" s="56">
        <f>VLOOKUP(D71,廠價表!$C$1:$E$39,3,0)</f>
        <v>49.91</v>
      </c>
      <c r="G71" s="67">
        <v>1256</v>
      </c>
      <c r="H71" s="77">
        <f t="shared" si="46"/>
        <v>62686.96</v>
      </c>
      <c r="I71" s="201"/>
      <c r="J71" s="16">
        <v>19</v>
      </c>
      <c r="K71" s="14">
        <v>1600</v>
      </c>
      <c r="L71" s="17">
        <f>K71/J71</f>
        <v>84.21052631578948</v>
      </c>
      <c r="M71" s="188">
        <v>15</v>
      </c>
      <c r="N71" s="14">
        <f t="shared" si="47"/>
        <v>1159.384615384615</v>
      </c>
      <c r="O71" s="17">
        <f t="shared" si="48"/>
        <v>77.292307692307674</v>
      </c>
      <c r="P71" s="18">
        <f t="shared" si="49"/>
        <v>-4</v>
      </c>
      <c r="Q71" s="19">
        <f t="shared" si="50"/>
        <v>-6.9182186234818062</v>
      </c>
      <c r="R71" s="193">
        <f>O71/L71</f>
        <v>0.91784615384615353</v>
      </c>
      <c r="S71" s="409"/>
      <c r="T71" s="20">
        <v>0.44097222222222221</v>
      </c>
      <c r="U71" s="20">
        <v>0.4861111111111111</v>
      </c>
      <c r="V71" s="185">
        <f t="shared" ref="V71" si="53">(T71-U70)*24*60</f>
        <v>8.999999999999968</v>
      </c>
      <c r="W71" s="93">
        <f t="shared" si="52"/>
        <v>65.000000000000014</v>
      </c>
      <c r="X71" s="22">
        <v>0.45833333333333331</v>
      </c>
      <c r="Y71" s="22">
        <v>0.5</v>
      </c>
      <c r="Z71" s="400"/>
      <c r="AA71" s="400"/>
      <c r="AB71" s="39"/>
      <c r="AC71" s="198"/>
      <c r="AD71" s="393"/>
    </row>
    <row r="72" spans="1:32" ht="15" customHeight="1" x14ac:dyDescent="0.25">
      <c r="A72" s="406"/>
      <c r="B72" s="56" t="str">
        <f>VLOOKUP(D72,廠價表!$C$1:$E$39,2,0)</f>
        <v>熱乾麵</v>
      </c>
      <c r="C72" s="10"/>
      <c r="D72" s="11" t="s">
        <v>154</v>
      </c>
      <c r="E72" s="89"/>
      <c r="F72" s="56">
        <f>VLOOKUP(D72,廠價表!$C$1:$E$39,3,0)</f>
        <v>49.91</v>
      </c>
      <c r="G72" s="67">
        <v>1844</v>
      </c>
      <c r="H72" s="77">
        <f>F72*G72</f>
        <v>92034.04</v>
      </c>
      <c r="I72" s="201"/>
      <c r="J72" s="16">
        <v>19</v>
      </c>
      <c r="K72" s="14">
        <v>1600</v>
      </c>
      <c r="L72" s="17">
        <f t="shared" ref="L72:L73" si="54">K72/J72</f>
        <v>84.21052631578948</v>
      </c>
      <c r="M72" s="188">
        <v>15</v>
      </c>
      <c r="N72" s="14">
        <f t="shared" ref="N72:N73" si="55">G72/W72*60</f>
        <v>1152.5000000000005</v>
      </c>
      <c r="O72" s="17">
        <f t="shared" ref="O72:O73" si="56">N72/M72</f>
        <v>76.833333333333357</v>
      </c>
      <c r="P72" s="18">
        <f t="shared" ref="P72:P73" si="57">M72-J72</f>
        <v>-4</v>
      </c>
      <c r="Q72" s="19">
        <f t="shared" ref="Q72:Q73" si="58">O72-L72</f>
        <v>-7.3771929824561226</v>
      </c>
      <c r="R72" s="193">
        <f t="shared" ref="R72:R73" si="59">O72/L72</f>
        <v>0.91239583333333352</v>
      </c>
      <c r="S72" s="409"/>
      <c r="T72" s="20">
        <v>0.54861111111111116</v>
      </c>
      <c r="U72" s="20">
        <v>0.61527777777777781</v>
      </c>
      <c r="V72" s="185"/>
      <c r="W72" s="190">
        <f t="shared" si="52"/>
        <v>95.999999999999972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 t="str">
        <f>VLOOKUP(D73,廠價表!$C$1:$E$39,2,0)</f>
        <v>義大利麵</v>
      </c>
      <c r="C73" s="23"/>
      <c r="D73" s="11" t="s">
        <v>173</v>
      </c>
      <c r="E73" s="12"/>
      <c r="F73" s="56">
        <f>VLOOKUP(D73,廠價表!$C$1:$E$39,3,0)</f>
        <v>56.87</v>
      </c>
      <c r="G73" s="67">
        <v>995</v>
      </c>
      <c r="H73" s="77">
        <f t="shared" si="46"/>
        <v>56585.649999999994</v>
      </c>
      <c r="I73" s="201"/>
      <c r="J73" s="16">
        <v>19</v>
      </c>
      <c r="K73" s="14">
        <v>1600</v>
      </c>
      <c r="L73" s="17">
        <f t="shared" si="54"/>
        <v>84.21052631578948</v>
      </c>
      <c r="M73" s="277">
        <v>17</v>
      </c>
      <c r="N73" s="14">
        <f t="shared" si="55"/>
        <v>1388.3720930232557</v>
      </c>
      <c r="O73" s="17">
        <f t="shared" si="56"/>
        <v>81.668946648426811</v>
      </c>
      <c r="P73" s="18">
        <f t="shared" si="57"/>
        <v>-2</v>
      </c>
      <c r="Q73" s="19">
        <f t="shared" si="58"/>
        <v>-2.5415796673626687</v>
      </c>
      <c r="R73" s="193">
        <f t="shared" si="59"/>
        <v>0.9698187414500683</v>
      </c>
      <c r="S73" s="409"/>
      <c r="T73" s="20">
        <v>0.62152777777777779</v>
      </c>
      <c r="U73" s="20">
        <v>0.65138888888888891</v>
      </c>
      <c r="V73" s="185"/>
      <c r="W73" s="190">
        <f t="shared" si="52"/>
        <v>43.000000000000007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46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2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6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2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6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2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6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2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6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2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60">AVERAGE(J69:J78)</f>
        <v>17.5</v>
      </c>
      <c r="K79" s="173">
        <f t="shared" si="60"/>
        <v>1573</v>
      </c>
      <c r="L79" s="178">
        <f t="shared" si="60"/>
        <v>92.273110661268561</v>
      </c>
      <c r="M79" s="173">
        <f t="shared" si="60"/>
        <v>14.9</v>
      </c>
      <c r="N79" s="173">
        <f t="shared" si="60"/>
        <v>1227.8325957585475</v>
      </c>
      <c r="O79" s="178">
        <f t="shared" si="60"/>
        <v>83.522683069127055</v>
      </c>
      <c r="P79" s="179">
        <f>M79-J79</f>
        <v>-2.5999999999999996</v>
      </c>
      <c r="Q79" s="165">
        <f>N79-K79</f>
        <v>-345.16740424145246</v>
      </c>
      <c r="R79" s="166">
        <f>O79/L79</f>
        <v>0.90516817381106807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v>-218.28328173374621</v>
      </c>
      <c r="AC79" s="195">
        <v>0.86052186470687142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3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Z9:AA11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T3:U3"/>
    <mergeCell ref="V3:V4"/>
    <mergeCell ref="W3:W4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158" priority="1" operator="greaterThan">
      <formula>0</formula>
    </cfRule>
  </conditionalFormatting>
  <conditionalFormatting sqref="Q5:Q79 AB5:AB79">
    <cfRule type="cellIs" dxfId="157" priority="4" operator="lessThan">
      <formula>0</formula>
    </cfRule>
  </conditionalFormatting>
  <conditionalFormatting sqref="R5:R79 AC5:AC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D59:AD62 S69:S76 AD69:AD76">
    <cfRule type="cellIs" dxfId="154" priority="7" operator="lessThan">
      <formula>0.8</formula>
    </cfRule>
  </conditionalFormatting>
  <conditionalFormatting sqref="S19:S25 AD19:AD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D5:AD8 S15:S16 AD15:AD16 AD49 AD79">
    <cfRule type="cellIs" dxfId="151" priority="9" operator="lessThan">
      <formula>0.8</formula>
    </cfRule>
  </conditionalFormatting>
  <conditionalFormatting sqref="AD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A1704C-7363-428B-976F-21BBBA477CFA}">
          <x14:formula1>
            <xm:f>廠價表!$C$2:$C$37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2E60-905B-4D1B-8285-B48E94CAC398}">
  <sheetPr>
    <pageSetUpPr fitToPage="1"/>
  </sheetPr>
  <dimension ref="B1:O22"/>
  <sheetViews>
    <sheetView zoomScale="70" zoomScaleNormal="70" workbookViewId="0">
      <selection activeCell="F18" sqref="F18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45947</v>
      </c>
      <c r="E3" s="383"/>
      <c r="F3" s="214" t="s">
        <v>76</v>
      </c>
      <c r="G3" s="384">
        <f>'1017'!E1</f>
        <v>47292</v>
      </c>
      <c r="H3" s="384"/>
      <c r="I3" s="214" t="s">
        <v>77</v>
      </c>
      <c r="J3" s="385">
        <f>'1017'!G1</f>
        <v>2315473.2800000003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115.96722300031125</v>
      </c>
      <c r="G6" s="362"/>
      <c r="H6" s="363">
        <f>AVERAGE(D13:H13)</f>
        <v>113.87989836960426</v>
      </c>
      <c r="I6" s="363"/>
      <c r="J6" s="363">
        <f>AVERAGE(I13:J13)</f>
        <v>126.40384615384615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105.32496506155343</v>
      </c>
      <c r="G7" s="380"/>
      <c r="H7" s="381">
        <f>AVERAGE(D14:H14)</f>
        <v>105.16360842351446</v>
      </c>
      <c r="I7" s="381"/>
      <c r="J7" s="381">
        <f>AVERAGE(I14:J14)</f>
        <v>106.13174825174823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0.91034373395593782</v>
      </c>
      <c r="G8" s="360"/>
      <c r="H8" s="360">
        <f>AVERAGE(D15:H15)</f>
        <v>0.92448760902672655</v>
      </c>
      <c r="I8" s="360"/>
      <c r="J8" s="360">
        <f>AVERAGE(I15:J15)</f>
        <v>0.83962435860199425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VALUE('1017'!L15)</f>
        <v>149.22390109890108</v>
      </c>
      <c r="E13" s="227">
        <f>VALUE('1017'!L26)</f>
        <v>155.12820512820511</v>
      </c>
      <c r="F13" s="227">
        <f>VALUE('1017'!L37)</f>
        <v>89.143246187363843</v>
      </c>
      <c r="G13" s="227">
        <f>VALUE('1017'!L48)</f>
        <v>88.529411764705898</v>
      </c>
      <c r="H13" s="227">
        <f>VALUE('1017'!L58)</f>
        <v>87.37472766884531</v>
      </c>
      <c r="I13" s="227">
        <f>VALUE('1017'!L69)</f>
        <v>126.40384615384615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VALUE('1017'!O15)</f>
        <v>139.54302949675906</v>
      </c>
      <c r="E14" s="227">
        <f>VALUE('1017'!O26)</f>
        <v>140.77260259818837</v>
      </c>
      <c r="F14" s="227">
        <f>VALUE('1017'!O37)</f>
        <v>77.723796760561456</v>
      </c>
      <c r="G14" s="227">
        <f>VALUE('1017'!O48)</f>
        <v>82.154404187570663</v>
      </c>
      <c r="H14" s="227">
        <f>VALUE('1017'!O58)</f>
        <v>85.624209074492754</v>
      </c>
      <c r="I14" s="227">
        <f>VALUE('1017'!O69)</f>
        <v>106.13174825174823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0.93512519421586604</v>
      </c>
      <c r="E15" s="248">
        <f t="shared" ref="E15:I15" si="0">E14/E13</f>
        <v>0.90745975228584252</v>
      </c>
      <c r="F15" s="248">
        <f t="shared" si="0"/>
        <v>0.87189776101713123</v>
      </c>
      <c r="G15" s="248">
        <f t="shared" si="0"/>
        <v>0.92798994763368836</v>
      </c>
      <c r="H15" s="248">
        <f t="shared" si="0"/>
        <v>0.97996538998110405</v>
      </c>
      <c r="I15" s="248">
        <f t="shared" si="0"/>
        <v>0.83962435860199425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'1017'!T5</f>
        <v>0.2902777777777778</v>
      </c>
      <c r="E16" s="98">
        <f>'1017'!T16</f>
        <v>0.2902777777777778</v>
      </c>
      <c r="F16" s="98">
        <f>'1017'!T27</f>
        <v>0.29166666666666669</v>
      </c>
      <c r="G16" s="98">
        <f>'1017'!T38</f>
        <v>0.33194444444444443</v>
      </c>
      <c r="H16" s="98">
        <f>'1017'!T49</f>
        <v>0.28888888888888886</v>
      </c>
      <c r="I16" s="98">
        <f>'1017'!T59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0.60486111111111107</v>
      </c>
      <c r="E17" s="41">
        <v>0.60069444444444442</v>
      </c>
      <c r="F17" s="41">
        <v>0.56666666666666665</v>
      </c>
      <c r="G17" s="59">
        <v>0.5</v>
      </c>
      <c r="H17" s="44">
        <v>0.62847222222222221</v>
      </c>
      <c r="I17" s="20">
        <v>0.58333333333333337</v>
      </c>
      <c r="J17" s="20"/>
    </row>
    <row r="18" spans="2:10" ht="17.25" customHeight="1" x14ac:dyDescent="0.25">
      <c r="B18" s="481" t="s">
        <v>105</v>
      </c>
      <c r="C18" s="355"/>
      <c r="D18" s="229">
        <f>VALUE('1017'!M15)</f>
        <v>13.25</v>
      </c>
      <c r="E18" s="229">
        <f>VALUE('1017'!M26)</f>
        <v>13</v>
      </c>
      <c r="F18" s="229">
        <f>VALUE('1017'!M37)</f>
        <v>16.666666666666668</v>
      </c>
      <c r="G18" s="229">
        <f>VALUE('1017'!M48)</f>
        <v>16</v>
      </c>
      <c r="H18" s="229">
        <f>VALUE('1017'!M58)</f>
        <v>17.666666666666668</v>
      </c>
      <c r="I18" s="229">
        <f>VALUE('1017'!M69)</f>
        <v>12.4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CB3B-D1B2-4E75-946F-9F33CA1DBE0A}">
  <sheetPr>
    <tabColor theme="9" tint="0.79998168889431442"/>
    <pageSetUpPr fitToPage="1"/>
  </sheetPr>
  <dimension ref="A1:AF92"/>
  <sheetViews>
    <sheetView zoomScale="69" zoomScaleNormal="69" workbookViewId="0">
      <pane xSplit="5" ySplit="4" topLeftCell="I38" activePane="bottomRight" state="frozen"/>
      <selection activeCell="U73" sqref="U73"/>
      <selection pane="topRight" activeCell="U73" sqref="U73"/>
      <selection pane="bottomLeft" activeCell="U73" sqref="U73"/>
      <selection pane="bottomRight" activeCell="U65" sqref="U65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47292</v>
      </c>
      <c r="F1" s="185" t="s">
        <v>9</v>
      </c>
      <c r="G1" s="4">
        <f>SUM(H5:H79)</f>
        <v>2315473.2800000003</v>
      </c>
      <c r="H1" s="183" t="s">
        <v>10</v>
      </c>
      <c r="I1" s="5">
        <f>M15+M26+M48+M58+M69+M79+M37</f>
        <v>88.983333333333348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235</v>
      </c>
      <c r="B2" s="461"/>
      <c r="C2" s="184"/>
      <c r="D2" s="184" t="s">
        <v>1</v>
      </c>
      <c r="E2" s="7">
        <f>AVERAGE(O15,O26,O37,O48,O58,O69,O79)</f>
        <v>105.32496506155343</v>
      </c>
      <c r="F2" s="8" t="s">
        <v>2</v>
      </c>
      <c r="G2" s="9">
        <f>G1/E1</f>
        <v>48.961204432039253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1675</v>
      </c>
      <c r="H5" s="109">
        <f>F5*G5</f>
        <v>95826.75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1896.2264150943406</v>
      </c>
      <c r="O5" s="112">
        <f>N5/M5</f>
        <v>145.86357039187234</v>
      </c>
      <c r="P5" s="114">
        <f>M5-J5</f>
        <v>0</v>
      </c>
      <c r="Q5" s="115">
        <f>O5-L5</f>
        <v>-7.982583454281496</v>
      </c>
      <c r="R5" s="192">
        <f>O5/L5</f>
        <v>0.94811320754717032</v>
      </c>
      <c r="S5" s="408">
        <f>R15</f>
        <v>0.93512519421586604</v>
      </c>
      <c r="T5" s="97">
        <v>0.2902777777777778</v>
      </c>
      <c r="U5" s="97">
        <v>0.32708333333333334</v>
      </c>
      <c r="V5" s="202"/>
      <c r="W5" s="110">
        <f t="shared" ref="W5:W14" si="0">(U5-T5)*24*60</f>
        <v>52.999999999999972</v>
      </c>
      <c r="X5" s="196"/>
      <c r="Y5" s="196"/>
      <c r="Z5" s="423"/>
      <c r="AA5" s="423"/>
      <c r="AB5" s="114">
        <f>N5-K5</f>
        <v>-103.77358490565939</v>
      </c>
      <c r="AC5" s="192">
        <f>N5/K5</f>
        <v>0.94811320754717032</v>
      </c>
      <c r="AD5" s="391">
        <f>AC15</f>
        <v>0.933685915109426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2527</v>
      </c>
      <c r="H6" s="15">
        <f t="shared" ref="H6:H14" si="1">F6*G6</f>
        <v>144569.67000000001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1612.9787234042556</v>
      </c>
      <c r="O6" s="17">
        <f>N6/M6</f>
        <v>115.21276595744682</v>
      </c>
      <c r="P6" s="18">
        <f>M6-J6</f>
        <v>0</v>
      </c>
      <c r="Q6" s="19">
        <f>O6-L6</f>
        <v>-20.144376899696042</v>
      </c>
      <c r="R6" s="193">
        <f>O6/L6</f>
        <v>0.85117610733733795</v>
      </c>
      <c r="S6" s="409"/>
      <c r="T6" s="98">
        <v>0.33611111111111114</v>
      </c>
      <c r="U6" s="98">
        <v>0.40138888888888891</v>
      </c>
      <c r="V6" s="185">
        <f>(T6-U5)*24*60</f>
        <v>13.000000000000034</v>
      </c>
      <c r="W6" s="190">
        <f t="shared" si="0"/>
        <v>93.999999999999986</v>
      </c>
      <c r="X6" s="22"/>
      <c r="Y6" s="22"/>
      <c r="Z6" s="446"/>
      <c r="AA6" s="446"/>
      <c r="AB6" s="18">
        <f>N6-K6</f>
        <v>-282.02127659574444</v>
      </c>
      <c r="AC6" s="193">
        <f>N6/K6</f>
        <v>0.85117610733733806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3136</v>
      </c>
      <c r="H7" s="15">
        <f t="shared" si="1"/>
        <v>154103.04000000001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1881.599999999999</v>
      </c>
      <c r="O7" s="17">
        <f>N7/M7</f>
        <v>144.73846153846145</v>
      </c>
      <c r="P7" s="18">
        <f>M7-J7</f>
        <v>0</v>
      </c>
      <c r="Q7" s="19">
        <f>O7-L7</f>
        <v>-9.107692307692389</v>
      </c>
      <c r="R7" s="193">
        <f>O7/L7</f>
        <v>0.94079999999999941</v>
      </c>
      <c r="S7" s="409"/>
      <c r="T7" s="98">
        <v>0.40972222222222221</v>
      </c>
      <c r="U7" s="98">
        <v>0.47916666666666669</v>
      </c>
      <c r="V7" s="185">
        <f>(T7-U6)*24*60</f>
        <v>11.999999999999957</v>
      </c>
      <c r="W7" s="190">
        <f t="shared" si="0"/>
        <v>100.00000000000004</v>
      </c>
      <c r="X7" s="22"/>
      <c r="Y7" s="22"/>
      <c r="Z7" s="400"/>
      <c r="AA7" s="400"/>
      <c r="AB7" s="18">
        <f>N7-K7</f>
        <v>-118.400000000001</v>
      </c>
      <c r="AC7" s="193">
        <f>N7/K7</f>
        <v>0.94079999999999953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3070</v>
      </c>
      <c r="H8" s="15">
        <f t="shared" si="1"/>
        <v>150859.79999999999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1980.6451612903229</v>
      </c>
      <c r="O8" s="17">
        <f>N8/M8</f>
        <v>152.35732009925562</v>
      </c>
      <c r="P8" s="18">
        <f>M8-J8</f>
        <v>0</v>
      </c>
      <c r="Q8" s="19">
        <f>O8-L8</f>
        <v>-1.4888337468982229</v>
      </c>
      <c r="R8" s="193">
        <f>O8/L8</f>
        <v>0.99032258064516154</v>
      </c>
      <c r="S8" s="409"/>
      <c r="T8" s="80">
        <v>0.54027777777777775</v>
      </c>
      <c r="U8" s="80">
        <v>0.60486111111111107</v>
      </c>
      <c r="V8" s="185">
        <f>(T8-U7)*24*60</f>
        <v>87.999999999999929</v>
      </c>
      <c r="W8" s="190">
        <f t="shared" si="0"/>
        <v>92.999999999999986</v>
      </c>
      <c r="X8" s="22">
        <v>0.47916666666666669</v>
      </c>
      <c r="Y8" s="22">
        <v>0.52083333333333337</v>
      </c>
      <c r="Z8" s="447"/>
      <c r="AA8" s="447"/>
      <c r="AB8" s="18">
        <f>N8-K8</f>
        <v>-19.354838709677097</v>
      </c>
      <c r="AC8" s="193">
        <f>N8/K8</f>
        <v>0.99032258064516143</v>
      </c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13.25</v>
      </c>
      <c r="K15" s="121">
        <f t="shared" si="2"/>
        <v>1973.75</v>
      </c>
      <c r="L15" s="118">
        <f t="shared" si="2"/>
        <v>149.22390109890108</v>
      </c>
      <c r="M15" s="121">
        <f t="shared" si="2"/>
        <v>13.25</v>
      </c>
      <c r="N15" s="121">
        <f t="shared" si="2"/>
        <v>1842.8625749472296</v>
      </c>
      <c r="O15" s="118">
        <f t="shared" si="2"/>
        <v>139.54302949675906</v>
      </c>
      <c r="P15" s="122">
        <f t="shared" ref="P15:P16" si="3">M15-J15</f>
        <v>0</v>
      </c>
      <c r="Q15" s="123">
        <f t="shared" ref="Q15:Q16" si="4">O15-L15</f>
        <v>-9.6808716021420196</v>
      </c>
      <c r="R15" s="124">
        <f t="shared" ref="R15:R16" si="5">O15/L15</f>
        <v>0.93512519421586604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-130.88742505277037</v>
      </c>
      <c r="AC15" s="195">
        <f>N15/K15</f>
        <v>0.933685915109426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1803</v>
      </c>
      <c r="H16" s="128">
        <f t="shared" ref="H16:H25" si="6">F16*G16</f>
        <v>103149.63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1833.5593220338997</v>
      </c>
      <c r="O16" s="131">
        <f>N16/M16</f>
        <v>141.04302477183845</v>
      </c>
      <c r="P16" s="132">
        <f t="shared" si="3"/>
        <v>0</v>
      </c>
      <c r="Q16" s="133">
        <f t="shared" si="4"/>
        <v>-12.803129074315393</v>
      </c>
      <c r="R16" s="197">
        <f t="shared" si="5"/>
        <v>0.91677966101694996</v>
      </c>
      <c r="S16" s="433">
        <f>R26</f>
        <v>0.90745975228584252</v>
      </c>
      <c r="T16" s="288">
        <v>0.2902777777777778</v>
      </c>
      <c r="U16" s="288">
        <v>0.33124999999999999</v>
      </c>
      <c r="V16" s="129"/>
      <c r="W16" s="134">
        <f t="shared" ref="W16:W68" si="7">(U16-T16)*24*60</f>
        <v>58.99999999999995</v>
      </c>
      <c r="X16" s="131"/>
      <c r="Y16" s="131"/>
      <c r="Z16" s="423"/>
      <c r="AA16" s="423"/>
      <c r="AB16" s="114">
        <f>N16-K16</f>
        <v>-166.44067796610034</v>
      </c>
      <c r="AC16" s="192">
        <f>N16/K16</f>
        <v>0.91677966101694985</v>
      </c>
      <c r="AD16" s="391">
        <f>AC26</f>
        <v>0.90285974368560995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3031</v>
      </c>
      <c r="H17" s="15">
        <f>F17*G17</f>
        <v>153580.77000000002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1623.75</v>
      </c>
      <c r="O17" s="38">
        <f>N17/M17</f>
        <v>108.25</v>
      </c>
      <c r="P17" s="39">
        <f>M17-J17</f>
        <v>0</v>
      </c>
      <c r="Q17" s="40">
        <f>O17-L17</f>
        <v>-25.083333333333343</v>
      </c>
      <c r="R17" s="198">
        <f>O17/L17</f>
        <v>0.8118749999999999</v>
      </c>
      <c r="S17" s="434"/>
      <c r="T17" s="41">
        <v>0.33819444444444446</v>
      </c>
      <c r="U17" s="41">
        <v>0.41597222222222224</v>
      </c>
      <c r="V17" s="185">
        <f>(T17-U16)*24*60</f>
        <v>10.000000000000044</v>
      </c>
      <c r="W17" s="43">
        <f t="shared" si="7"/>
        <v>112</v>
      </c>
      <c r="X17" s="44"/>
      <c r="Y17" s="44"/>
      <c r="Z17" s="399"/>
      <c r="AA17" s="400"/>
      <c r="AB17" s="18">
        <f>N17-K17</f>
        <v>-376.25</v>
      </c>
      <c r="AC17" s="193">
        <f>N17/K17</f>
        <v>0.81187500000000001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2502</v>
      </c>
      <c r="H18" s="15">
        <f>F18*G18</f>
        <v>126075.78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1853.3333333333328</v>
      </c>
      <c r="O18" s="38">
        <f>N18/M18</f>
        <v>154.4444444444444</v>
      </c>
      <c r="P18" s="39">
        <f>M18-J18</f>
        <v>0</v>
      </c>
      <c r="Q18" s="40">
        <f>O18-L18</f>
        <v>-12.222222222222257</v>
      </c>
      <c r="R18" s="198">
        <f>O18/L18</f>
        <v>0.92666666666666642</v>
      </c>
      <c r="S18" s="434"/>
      <c r="T18" s="41">
        <v>0.42291666666666666</v>
      </c>
      <c r="U18" s="41">
        <v>0.47916666666666669</v>
      </c>
      <c r="V18" s="185">
        <f>(T18-U17)*24*60</f>
        <v>9.9999999999999645</v>
      </c>
      <c r="W18" s="43">
        <f t="shared" si="7"/>
        <v>81.000000000000028</v>
      </c>
      <c r="X18" s="22"/>
      <c r="Y18" s="22"/>
      <c r="Z18" s="399"/>
      <c r="AA18" s="400"/>
      <c r="AB18" s="18">
        <f>N18-K18</f>
        <v>-146.6666666666672</v>
      </c>
      <c r="AC18" s="193">
        <f>N18/K18</f>
        <v>0.92666666666666642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2709</v>
      </c>
      <c r="H19" s="15">
        <f t="shared" ref="H19" si="8">F19*G19</f>
        <v>136506.51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1912.2352941176466</v>
      </c>
      <c r="O19" s="38">
        <f>N19/M19</f>
        <v>159.35294117647055</v>
      </c>
      <c r="P19" s="39">
        <f>M19-J19</f>
        <v>0</v>
      </c>
      <c r="Q19" s="40">
        <f>O19-L19</f>
        <v>-7.3137254901961057</v>
      </c>
      <c r="R19" s="198">
        <f>O19/L19</f>
        <v>0.95611764705882341</v>
      </c>
      <c r="S19" s="434"/>
      <c r="T19" s="41">
        <v>0.54166666666666663</v>
      </c>
      <c r="U19" s="41">
        <v>0.60069444444444442</v>
      </c>
      <c r="V19" s="185">
        <f>(T19-U18)*24*60</f>
        <v>89.999999999999915</v>
      </c>
      <c r="W19" s="43">
        <f t="shared" si="7"/>
        <v>85.000000000000014</v>
      </c>
      <c r="X19" s="22">
        <v>0.47916666666666669</v>
      </c>
      <c r="Y19" s="22">
        <v>0.52083333333333337</v>
      </c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1805.7194873712199</v>
      </c>
      <c r="O26" s="140">
        <f t="shared" si="10"/>
        <v>140.77260259818837</v>
      </c>
      <c r="P26" s="141">
        <f t="shared" ref="P26:P29" si="11">M26-J26</f>
        <v>0</v>
      </c>
      <c r="Q26" s="142">
        <f t="shared" ref="Q26:Q29" si="12">O26-L26</f>
        <v>-14.355602530016739</v>
      </c>
      <c r="R26" s="143">
        <f t="shared" ref="R26:R29" si="13">O26/L26</f>
        <v>0.90745975228584252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-194.28051262878012</v>
      </c>
      <c r="AC26" s="195">
        <f>N26/K26</f>
        <v>0.90285974368560995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2468</v>
      </c>
      <c r="H27" s="128">
        <f t="shared" ref="H27:H36" si="14">F27*G27</f>
        <v>136060.84</v>
      </c>
      <c r="I27" s="129"/>
      <c r="J27" s="111">
        <f>VLOOKUP(D27,產線配置圖!$A$2:$C$38,2,0)</f>
        <v>18</v>
      </c>
      <c r="K27" s="252">
        <f>VLOOKUP(D27,產線配置圖!$A$2:$C$38,3,0)</f>
        <v>1385</v>
      </c>
      <c r="L27" s="112">
        <f>K27/J27</f>
        <v>76.944444444444443</v>
      </c>
      <c r="M27" s="147">
        <v>17</v>
      </c>
      <c r="N27" s="130">
        <f>G27/W27*60</f>
        <v>1139.0769230769235</v>
      </c>
      <c r="O27" s="131">
        <f>N27/M27</f>
        <v>67.00452488687786</v>
      </c>
      <c r="P27" s="132">
        <f t="shared" si="11"/>
        <v>-1</v>
      </c>
      <c r="Q27" s="133">
        <f t="shared" si="12"/>
        <v>-9.9399195575665829</v>
      </c>
      <c r="R27" s="197">
        <f>O27/L27</f>
        <v>0.87081692993776283</v>
      </c>
      <c r="S27" s="433">
        <f>R37</f>
        <v>0.87189776101713123</v>
      </c>
      <c r="T27" s="97">
        <v>0.29166666666666669</v>
      </c>
      <c r="U27" s="97">
        <v>0.38194444444444442</v>
      </c>
      <c r="V27" s="129"/>
      <c r="W27" s="134">
        <f t="shared" si="7"/>
        <v>129.99999999999994</v>
      </c>
      <c r="X27" s="129"/>
      <c r="Y27" s="129" t="s">
        <v>158</v>
      </c>
      <c r="Z27" s="414"/>
      <c r="AA27" s="423"/>
      <c r="AB27" s="114">
        <f>N27-K27</f>
        <v>-245.92307692307645</v>
      </c>
      <c r="AC27" s="148">
        <f>N27/K27</f>
        <v>0.82243821160788699</v>
      </c>
      <c r="AD27" s="391">
        <f>AC37</f>
        <v>0.85594062236397994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1835</v>
      </c>
      <c r="H28" s="50">
        <f t="shared" si="14"/>
        <v>104356.45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17</v>
      </c>
      <c r="N28" s="36">
        <f>G28/W28*60</f>
        <v>1223.3333333333333</v>
      </c>
      <c r="O28" s="38">
        <f>N28/M28</f>
        <v>71.960784313725483</v>
      </c>
      <c r="P28" s="39">
        <f t="shared" si="11"/>
        <v>0</v>
      </c>
      <c r="Q28" s="40">
        <f t="shared" si="12"/>
        <v>-16.274509803921575</v>
      </c>
      <c r="R28" s="198">
        <f t="shared" si="13"/>
        <v>0.81555555555555548</v>
      </c>
      <c r="S28" s="434"/>
      <c r="T28" s="291">
        <v>0.3888888888888889</v>
      </c>
      <c r="U28" s="291">
        <v>0.4513888888888889</v>
      </c>
      <c r="V28" s="42">
        <f>(T28-U27)*24*60</f>
        <v>10.000000000000044</v>
      </c>
      <c r="W28" s="43">
        <f t="shared" si="7"/>
        <v>90</v>
      </c>
      <c r="X28" s="54"/>
      <c r="Y28" s="54"/>
      <c r="Z28" s="399"/>
      <c r="AA28" s="400"/>
      <c r="AB28" s="34">
        <f>N28-K28</f>
        <v>-276.66666666666674</v>
      </c>
      <c r="AC28" s="194">
        <f>N28/K28</f>
        <v>0.81555555555555548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222</v>
      </c>
      <c r="E29" s="89"/>
      <c r="F29" s="56">
        <f>VLOOKUP(D29,廠價表!$C$1:$E$39,3,0)</f>
        <v>50.67</v>
      </c>
      <c r="G29" s="256">
        <v>1859</v>
      </c>
      <c r="H29" s="50">
        <f t="shared" si="14"/>
        <v>94195.53</v>
      </c>
      <c r="I29" s="42"/>
      <c r="J29" s="16">
        <v>16</v>
      </c>
      <c r="K29" s="14">
        <v>1636</v>
      </c>
      <c r="L29" s="251">
        <f>K29/J29</f>
        <v>102.25</v>
      </c>
      <c r="M29" s="21">
        <v>16</v>
      </c>
      <c r="N29" s="36">
        <f>G29/W29*60</f>
        <v>1507.2972972972962</v>
      </c>
      <c r="O29" s="38">
        <f>N29/M29</f>
        <v>94.20608108108101</v>
      </c>
      <c r="P29" s="39">
        <f t="shared" si="11"/>
        <v>0</v>
      </c>
      <c r="Q29" s="40">
        <f t="shared" si="12"/>
        <v>-8.0439189189189904</v>
      </c>
      <c r="R29" s="198">
        <f t="shared" si="13"/>
        <v>0.9213308663186407</v>
      </c>
      <c r="S29" s="434"/>
      <c r="T29" s="41">
        <v>0.51527777777777772</v>
      </c>
      <c r="U29" s="41">
        <v>0.56666666666666665</v>
      </c>
      <c r="V29" s="42">
        <f>(T29-U28)*24*60</f>
        <v>91.999999999999915</v>
      </c>
      <c r="W29" s="43">
        <f t="shared" si="7"/>
        <v>74.000000000000057</v>
      </c>
      <c r="X29" s="54">
        <v>0.45833333333333331</v>
      </c>
      <c r="Y29" s="54">
        <v>0.5</v>
      </c>
      <c r="Z29" s="399"/>
      <c r="AA29" s="398"/>
      <c r="AB29" s="275">
        <f t="shared" ref="AB29" si="15">N29-K29</f>
        <v>-128.70270270270385</v>
      </c>
      <c r="AC29" s="276">
        <f t="shared" ref="AC29" si="16">N29/K29</f>
        <v>0.9213308663186407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7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7">AVERAGE(J27:J36)</f>
        <v>17</v>
      </c>
      <c r="K37" s="314">
        <f t="shared" si="17"/>
        <v>1507</v>
      </c>
      <c r="L37" s="315">
        <f t="shared" si="17"/>
        <v>89.143246187363843</v>
      </c>
      <c r="M37" s="314">
        <f t="shared" si="17"/>
        <v>16.666666666666668</v>
      </c>
      <c r="N37" s="314">
        <f t="shared" si="17"/>
        <v>1289.9025179025177</v>
      </c>
      <c r="O37" s="315">
        <f t="shared" si="17"/>
        <v>77.723796760561456</v>
      </c>
      <c r="P37" s="74">
        <f>M37-J37</f>
        <v>-0.33333333333333215</v>
      </c>
      <c r="Q37" s="75">
        <f>N37-K37</f>
        <v>-217.09748209748227</v>
      </c>
      <c r="R37" s="316">
        <f t="shared" ref="R37:R40" si="18">O37/L37</f>
        <v>0.87189776101713123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8" si="19">N37-K37</f>
        <v>-217.09748209748227</v>
      </c>
      <c r="AC37" s="195">
        <f t="shared" ref="AC37:AC38" si="20">N37/K37</f>
        <v>0.85594062236397994</v>
      </c>
      <c r="AD37" s="396"/>
    </row>
    <row r="38" spans="1:30" s="63" customFormat="1" ht="15" customHeight="1" x14ac:dyDescent="0.25">
      <c r="A38" s="424" t="s">
        <v>55</v>
      </c>
      <c r="B38" s="244" t="str">
        <f>VLOOKUP(D38,廠價表!$C$1:$E$39,2,0)</f>
        <v>熱乾麵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1056</v>
      </c>
      <c r="H38" s="64">
        <f>F38*G38</f>
        <v>52704.959999999999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16</v>
      </c>
      <c r="N38" s="130">
        <f>G38/W38*60</f>
        <v>1348.0851063829789</v>
      </c>
      <c r="O38" s="131">
        <f>N38/M38</f>
        <v>84.255319148936181</v>
      </c>
      <c r="P38" s="132">
        <f t="shared" ref="P38:P40" si="21">M38-J38</f>
        <v>-1</v>
      </c>
      <c r="Q38" s="133">
        <f t="shared" ref="Q38:Q40" si="22">O38-L38</f>
        <v>-7.8035043804755873</v>
      </c>
      <c r="R38" s="197">
        <f t="shared" si="18"/>
        <v>0.91523349874243776</v>
      </c>
      <c r="S38" s="493">
        <f>R48</f>
        <v>0.92798994763368836</v>
      </c>
      <c r="T38" s="157">
        <v>0.33194444444444443</v>
      </c>
      <c r="U38" s="157">
        <v>0.36458333333333331</v>
      </c>
      <c r="V38" s="153"/>
      <c r="W38" s="158">
        <f t="shared" si="7"/>
        <v>46.999999999999993</v>
      </c>
      <c r="X38" s="155"/>
      <c r="Y38" s="159"/>
      <c r="Z38" s="427"/>
      <c r="AA38" s="427"/>
      <c r="AB38" s="319">
        <f t="shared" si="19"/>
        <v>-216.91489361702111</v>
      </c>
      <c r="AC38" s="161">
        <f t="shared" si="20"/>
        <v>0.86139623411052968</v>
      </c>
      <c r="AD38" s="388">
        <f>AC48</f>
        <v>0.87283311553474863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306"/>
      <c r="D39" s="308" t="s">
        <v>223</v>
      </c>
      <c r="E39" s="307"/>
      <c r="F39" s="56">
        <f>VLOOKUP(D39,廠價表!$C$1:$E$39,3,0)</f>
        <v>57.3</v>
      </c>
      <c r="G39" s="53">
        <v>2352</v>
      </c>
      <c r="H39" s="50">
        <f t="shared" ref="H39:H40" si="23">F39*G39</f>
        <v>134769.60000000001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 t="shared" ref="L39:L40" si="24">K39/J39</f>
        <v>81.470588235294116</v>
      </c>
      <c r="M39" s="66">
        <v>17</v>
      </c>
      <c r="N39" s="67">
        <f>G39/W39*60</f>
        <v>1356.9230769230776</v>
      </c>
      <c r="O39" s="68">
        <f>N39/M39</f>
        <v>79.819004524886921</v>
      </c>
      <c r="P39" s="39">
        <f t="shared" si="21"/>
        <v>0</v>
      </c>
      <c r="Q39" s="40">
        <f t="shared" si="22"/>
        <v>-1.6515837104071949</v>
      </c>
      <c r="R39" s="198">
        <f t="shared" si="18"/>
        <v>0.97972785337406332</v>
      </c>
      <c r="S39" s="494"/>
      <c r="T39" s="59">
        <v>0.36944444444444446</v>
      </c>
      <c r="U39" s="59">
        <v>0.44166666666666665</v>
      </c>
      <c r="V39" s="42">
        <f>(T39-U38)*24*60</f>
        <v>7.0000000000000551</v>
      </c>
      <c r="W39" s="70">
        <f t="shared" si="7"/>
        <v>103.99999999999994</v>
      </c>
      <c r="X39" s="22"/>
      <c r="Y39" s="22"/>
      <c r="Z39" s="428"/>
      <c r="AA39" s="475"/>
      <c r="AB39" s="292"/>
      <c r="AC39" s="62"/>
      <c r="AD39" s="389"/>
    </row>
    <row r="40" spans="1:30" s="63" customFormat="1" ht="15" customHeight="1" x14ac:dyDescent="0.25">
      <c r="A40" s="425"/>
      <c r="B40" s="56" t="str">
        <f>VLOOKUP(D40,廠價表!$C$1:$E$39,2,0)</f>
        <v>熱乾麵</v>
      </c>
      <c r="C40" s="298"/>
      <c r="D40" s="308" t="s">
        <v>154</v>
      </c>
      <c r="E40" s="261"/>
      <c r="F40" s="56">
        <f>VLOOKUP(D40,廠價表!$C$1:$E$39,3,0)</f>
        <v>49.91</v>
      </c>
      <c r="G40" s="256">
        <v>1483</v>
      </c>
      <c r="H40" s="50">
        <f t="shared" si="23"/>
        <v>74016.53</v>
      </c>
      <c r="I40" s="65"/>
      <c r="J40" s="37">
        <f>VLOOKUP(D40,產線配置圖!$A$2:$C$38,2,0)</f>
        <v>17</v>
      </c>
      <c r="K40" s="36">
        <f>VLOOKUP(D40,產線配置圖!$A$2:$C$38,3,0)</f>
        <v>1565</v>
      </c>
      <c r="L40" s="38">
        <f t="shared" si="24"/>
        <v>92.058823529411768</v>
      </c>
      <c r="M40" s="302">
        <v>15</v>
      </c>
      <c r="N40" s="67">
        <f>G40/W40*60</f>
        <v>1235.8333333333335</v>
      </c>
      <c r="O40" s="68">
        <f>N40/M40</f>
        <v>82.3888888888889</v>
      </c>
      <c r="P40" s="39">
        <f t="shared" si="21"/>
        <v>-2</v>
      </c>
      <c r="Q40" s="40">
        <f t="shared" si="22"/>
        <v>-9.6699346405228681</v>
      </c>
      <c r="R40" s="198">
        <f t="shared" si="18"/>
        <v>0.89495917642882505</v>
      </c>
      <c r="S40" s="409"/>
      <c r="T40" s="59">
        <v>0.45</v>
      </c>
      <c r="U40" s="59">
        <v>0.5</v>
      </c>
      <c r="V40" s="42">
        <f>(T40-U39)*24*60</f>
        <v>12.000000000000037</v>
      </c>
      <c r="W40" s="70">
        <f t="shared" si="7"/>
        <v>71.999999999999986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308"/>
      <c r="E41" s="89"/>
      <c r="F41" s="56"/>
      <c r="G41" s="53"/>
      <c r="H41" s="50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5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5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5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6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5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6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5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6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5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6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7">AVERAGE(J38:J47)</f>
        <v>17</v>
      </c>
      <c r="K48" s="137">
        <f t="shared" si="27"/>
        <v>1505</v>
      </c>
      <c r="L48" s="140">
        <f t="shared" si="27"/>
        <v>88.529411764705898</v>
      </c>
      <c r="M48" s="137">
        <f t="shared" si="27"/>
        <v>16</v>
      </c>
      <c r="N48" s="137">
        <f t="shared" si="27"/>
        <v>1313.6138388797967</v>
      </c>
      <c r="O48" s="140">
        <f t="shared" si="27"/>
        <v>82.154404187570663</v>
      </c>
      <c r="P48" s="164">
        <f>M48-J48</f>
        <v>-1</v>
      </c>
      <c r="Q48" s="165">
        <f>N48-K48</f>
        <v>-191.38616112020327</v>
      </c>
      <c r="R48" s="166">
        <f>O48/L48</f>
        <v>0.92798994763368836</v>
      </c>
      <c r="S48" s="412"/>
      <c r="T48" s="167"/>
      <c r="U48" s="167"/>
      <c r="V48" s="204"/>
      <c r="W48" s="168">
        <f t="shared" si="26"/>
        <v>0</v>
      </c>
      <c r="X48" s="169"/>
      <c r="Y48" s="169"/>
      <c r="Z48" s="401"/>
      <c r="AA48" s="401"/>
      <c r="AB48" s="170">
        <f>N48-K48</f>
        <v>-191.38616112020327</v>
      </c>
      <c r="AC48" s="199">
        <f>N48/K48</f>
        <v>0.87283311553474863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4938</v>
      </c>
      <c r="H49" s="128">
        <f t="shared" ref="H49:H57" si="28">F49*G49</f>
        <v>246751.86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1503.959390862944</v>
      </c>
      <c r="O49" s="131">
        <f>N49/M49</f>
        <v>83.553299492385776</v>
      </c>
      <c r="P49" s="171">
        <f>M49-J49</f>
        <v>0</v>
      </c>
      <c r="Q49" s="115">
        <f>O49-L49</f>
        <v>-3.3911449520586672</v>
      </c>
      <c r="R49" s="192">
        <f>O49/L49</f>
        <v>0.96099641588686513</v>
      </c>
      <c r="S49" s="408">
        <f>R58</f>
        <v>0.97996538998110405</v>
      </c>
      <c r="T49" s="157">
        <v>0.28888888888888886</v>
      </c>
      <c r="U49" s="157">
        <v>0.42569444444444443</v>
      </c>
      <c r="V49" s="196"/>
      <c r="W49" s="158">
        <f t="shared" si="7"/>
        <v>197.00000000000003</v>
      </c>
      <c r="X49" s="196"/>
      <c r="Y49" s="196"/>
      <c r="Z49" s="423"/>
      <c r="AA49" s="423"/>
      <c r="AB49" s="114">
        <f>N49-K49</f>
        <v>-61.040609137055981</v>
      </c>
      <c r="AC49" s="192">
        <f>N49/K49</f>
        <v>0.96099641588686524</v>
      </c>
      <c r="AD49" s="391">
        <f>AC58</f>
        <v>0.97969248327983449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1740</v>
      </c>
      <c r="H50" s="77">
        <f t="shared" si="28"/>
        <v>98953.799999999988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1491.4285714285716</v>
      </c>
      <c r="O50" s="79">
        <f>N50/M50</f>
        <v>87.731092436974791</v>
      </c>
      <c r="P50" s="18">
        <f>M50-J50</f>
        <v>0</v>
      </c>
      <c r="Q50" s="19">
        <f>O50-L50</f>
        <v>-0.50420168067226712</v>
      </c>
      <c r="R50" s="193">
        <f>O50/L50</f>
        <v>0.99428571428571433</v>
      </c>
      <c r="S50" s="409"/>
      <c r="T50" s="80">
        <v>0.43125000000000002</v>
      </c>
      <c r="U50" s="80">
        <v>0.47986111111111113</v>
      </c>
      <c r="V50" s="185">
        <f t="shared" ref="V50:V51" si="29">(T50-U49)*24*60</f>
        <v>8.0000000000000515</v>
      </c>
      <c r="W50" s="81">
        <f t="shared" si="7"/>
        <v>69.999999999999986</v>
      </c>
      <c r="X50" s="22"/>
      <c r="Y50" s="22"/>
      <c r="Z50" s="398"/>
      <c r="AA50" s="399"/>
      <c r="AB50" s="18">
        <f>N50-K50</f>
        <v>-8.5714285714284415</v>
      </c>
      <c r="AC50" s="193">
        <f>N50/K50</f>
        <v>0.99428571428571433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2619</v>
      </c>
      <c r="H51" s="77">
        <f t="shared" si="28"/>
        <v>130871.43</v>
      </c>
      <c r="I51" s="185"/>
      <c r="J51" s="16">
        <f>VLOOKUP(D51,產線配置圖!$A$2:$C$38,2,0)</f>
        <v>18</v>
      </c>
      <c r="K51" s="14">
        <f>VLOOKUP(D51,產線配置圖!$A$2:$C$38,3,0)</f>
        <v>1565</v>
      </c>
      <c r="L51" s="17">
        <f t="shared" ref="L51" si="30">K51/J51</f>
        <v>86.944444444444443</v>
      </c>
      <c r="M51" s="182">
        <v>18</v>
      </c>
      <c r="N51" s="78">
        <f t="shared" ref="N51" si="31">G51/W51*60</f>
        <v>1540.5882352941182</v>
      </c>
      <c r="O51" s="79">
        <f t="shared" ref="O51" si="32">N51/M51</f>
        <v>85.58823529411768</v>
      </c>
      <c r="P51" s="18">
        <f t="shared" ref="P51" si="33">M51-J51</f>
        <v>0</v>
      </c>
      <c r="Q51" s="19">
        <f t="shared" ref="Q51" si="34">O51-L51</f>
        <v>-1.3562091503267624</v>
      </c>
      <c r="R51" s="193">
        <f t="shared" ref="R51" si="35">O51/L51</f>
        <v>0.98440142830295096</v>
      </c>
      <c r="S51" s="409"/>
      <c r="T51" s="80">
        <v>0.55763888888888891</v>
      </c>
      <c r="U51" s="44">
        <v>0.62847222222222221</v>
      </c>
      <c r="V51" s="185">
        <f t="shared" si="29"/>
        <v>112</v>
      </c>
      <c r="W51" s="81">
        <f t="shared" si="7"/>
        <v>101.99999999999996</v>
      </c>
      <c r="X51" s="22">
        <v>0.5</v>
      </c>
      <c r="Y51" s="22">
        <v>0.52777777777777779</v>
      </c>
      <c r="Z51" s="400"/>
      <c r="AA51" s="400"/>
      <c r="AB51" s="51">
        <f>N51-K51</f>
        <v>-24.411764705881751</v>
      </c>
      <c r="AC51" s="52">
        <f>N51/K51</f>
        <v>0.98440142830295096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8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8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8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8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8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6">AVERAGE(J49:J57)</f>
        <v>17.666666666666668</v>
      </c>
      <c r="K58" s="121">
        <f t="shared" si="36"/>
        <v>1543.3333333333333</v>
      </c>
      <c r="L58" s="118">
        <f t="shared" si="36"/>
        <v>87.37472766884531</v>
      </c>
      <c r="M58" s="121">
        <f t="shared" si="36"/>
        <v>17.666666666666668</v>
      </c>
      <c r="N58" s="121">
        <f t="shared" si="36"/>
        <v>1511.9920658618778</v>
      </c>
      <c r="O58" s="118">
        <f t="shared" si="36"/>
        <v>85.624209074492754</v>
      </c>
      <c r="P58" s="122">
        <f>M58-J58</f>
        <v>0</v>
      </c>
      <c r="Q58" s="123">
        <f>N58-K58</f>
        <v>-31.341267471455467</v>
      </c>
      <c r="R58" s="124">
        <f t="shared" ref="R58:R60" si="37">O58/L58</f>
        <v>0.97996538998110405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38">N58-K58</f>
        <v>-31.341267471455467</v>
      </c>
      <c r="AC58" s="195">
        <f t="shared" ref="AC58:AC62" si="39">N58/K58</f>
        <v>0.97969248327983449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2648</v>
      </c>
      <c r="H59" s="109">
        <f t="shared" ref="H59:H68" si="40">F59*G59</f>
        <v>71469.51999999999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2" si="41">G59/W59*60</f>
        <v>1444.3636363636363</v>
      </c>
      <c r="O59" s="112">
        <f t="shared" ref="O59:O62" si="42">N59/M59</f>
        <v>111.10489510489509</v>
      </c>
      <c r="P59" s="114">
        <f t="shared" ref="P59:P62" si="43">M59-J59</f>
        <v>0</v>
      </c>
      <c r="Q59" s="115">
        <f t="shared" ref="Q59:Q62" si="44">O59-L59</f>
        <v>-9.2797202797202942</v>
      </c>
      <c r="R59" s="192">
        <f t="shared" si="37"/>
        <v>0.92291606157420847</v>
      </c>
      <c r="S59" s="408">
        <f>R69</f>
        <v>0.83962435860199425</v>
      </c>
      <c r="T59" s="176">
        <v>0.29166666666666669</v>
      </c>
      <c r="U59" s="176">
        <v>0.36805555555555558</v>
      </c>
      <c r="V59" s="196"/>
      <c r="W59" s="110">
        <f t="shared" si="7"/>
        <v>110.00000000000001</v>
      </c>
      <c r="X59" s="196"/>
      <c r="Y59" s="196"/>
      <c r="Z59" s="400"/>
      <c r="AA59" s="400"/>
      <c r="AB59" s="240">
        <f t="shared" si="38"/>
        <v>-120.63636363636374</v>
      </c>
      <c r="AC59" s="241">
        <f t="shared" si="39"/>
        <v>0.92291606157420847</v>
      </c>
      <c r="AD59" s="391">
        <f>AC69</f>
        <v>0.84249817913715652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1114</v>
      </c>
      <c r="H60" s="15">
        <f t="shared" si="40"/>
        <v>31715.579999999998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1"/>
        <v>1285.3846153846162</v>
      </c>
      <c r="O60" s="17">
        <f t="shared" si="42"/>
        <v>107.11538461538468</v>
      </c>
      <c r="P60" s="18">
        <f t="shared" si="43"/>
        <v>0</v>
      </c>
      <c r="Q60" s="19">
        <f t="shared" si="44"/>
        <v>-23.301282051281973</v>
      </c>
      <c r="R60" s="193">
        <f t="shared" si="37"/>
        <v>0.82133202260997851</v>
      </c>
      <c r="S60" s="419"/>
      <c r="T60" s="206">
        <v>0.37708333333333333</v>
      </c>
      <c r="U60" s="206">
        <v>0.41319444444444442</v>
      </c>
      <c r="V60" s="185">
        <f t="shared" ref="V60:V63" si="45">(T60-U59)*24*60</f>
        <v>12.999999999999954</v>
      </c>
      <c r="W60" s="93">
        <f t="shared" si="7"/>
        <v>51.999999999999972</v>
      </c>
      <c r="X60" s="201"/>
      <c r="Y60" s="201"/>
      <c r="Z60" s="400"/>
      <c r="AA60" s="400"/>
      <c r="AB60" s="242">
        <f t="shared" si="38"/>
        <v>-279.61538461538385</v>
      </c>
      <c r="AC60" s="243">
        <f t="shared" si="39"/>
        <v>0.8213320226099784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1050</v>
      </c>
      <c r="H61" s="15">
        <f t="shared" si="40"/>
        <v>29673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6">K61/J61</f>
        <v>130.41666666666666</v>
      </c>
      <c r="M61" s="188">
        <v>12</v>
      </c>
      <c r="N61" s="14">
        <f t="shared" si="41"/>
        <v>1260.0000000000005</v>
      </c>
      <c r="O61" s="17">
        <f t="shared" si="42"/>
        <v>105.00000000000004</v>
      </c>
      <c r="P61" s="18">
        <f t="shared" si="43"/>
        <v>0</v>
      </c>
      <c r="Q61" s="19">
        <f t="shared" si="44"/>
        <v>-25.416666666666615</v>
      </c>
      <c r="R61" s="193">
        <f>O61/L61</f>
        <v>0.80511182108626234</v>
      </c>
      <c r="S61" s="409"/>
      <c r="T61" s="20">
        <v>0.4236111111111111</v>
      </c>
      <c r="U61" s="20">
        <v>0.45833333333333331</v>
      </c>
      <c r="V61" s="185">
        <f t="shared" si="45"/>
        <v>15.000000000000027</v>
      </c>
      <c r="W61" s="91">
        <f t="shared" si="7"/>
        <v>49.999999999999986</v>
      </c>
      <c r="X61" s="22"/>
      <c r="Y61" s="22"/>
      <c r="Z61" s="400"/>
      <c r="AA61" s="400"/>
      <c r="AB61" s="51">
        <f t="shared" si="38"/>
        <v>-304.99999999999955</v>
      </c>
      <c r="AC61" s="52">
        <f t="shared" si="39"/>
        <v>0.80511182108626222</v>
      </c>
      <c r="AD61" s="392"/>
    </row>
    <row r="62" spans="1:30" ht="15" customHeight="1" x14ac:dyDescent="0.25">
      <c r="A62" s="417"/>
      <c r="B62" s="56" t="s">
        <v>216</v>
      </c>
      <c r="C62" s="10"/>
      <c r="D62" s="260" t="s">
        <v>143</v>
      </c>
      <c r="E62" s="89"/>
      <c r="F62" s="56">
        <v>26.99</v>
      </c>
      <c r="G62" s="185">
        <v>939</v>
      </c>
      <c r="H62" s="15">
        <f t="shared" si="40"/>
        <v>25343.609999999997</v>
      </c>
      <c r="I62" s="82"/>
      <c r="J62" s="16">
        <f>VLOOKUP(D62,產線配置圖!$A$2:$C$38,2,0)</f>
        <v>12</v>
      </c>
      <c r="K62" s="14">
        <f>VLOOKUP(D62,產線配置圖!$A$2:$C$38,3,0)</f>
        <v>1565</v>
      </c>
      <c r="L62" s="17">
        <f t="shared" ref="L62:L63" si="47">K62/J62</f>
        <v>130.41666666666666</v>
      </c>
      <c r="M62" s="188">
        <v>12</v>
      </c>
      <c r="N62" s="14">
        <f t="shared" si="41"/>
        <v>1126.8000000000002</v>
      </c>
      <c r="O62" s="17">
        <f t="shared" si="42"/>
        <v>93.90000000000002</v>
      </c>
      <c r="P62" s="18">
        <f t="shared" si="43"/>
        <v>0</v>
      </c>
      <c r="Q62" s="19">
        <f t="shared" si="44"/>
        <v>-36.516666666666637</v>
      </c>
      <c r="R62" s="193">
        <f>O62/L62</f>
        <v>0.7200000000000002</v>
      </c>
      <c r="S62" s="409"/>
      <c r="T62" s="20">
        <v>0.51736111111111116</v>
      </c>
      <c r="U62" s="20">
        <v>0.55208333333333337</v>
      </c>
      <c r="V62" s="185">
        <f t="shared" si="45"/>
        <v>85.000000000000099</v>
      </c>
      <c r="W62" s="93">
        <f t="shared" si="7"/>
        <v>49.999999999999986</v>
      </c>
      <c r="X62" s="22">
        <v>0.45833333333333331</v>
      </c>
      <c r="Y62" s="22">
        <v>0.5</v>
      </c>
      <c r="Z62" s="400" t="s">
        <v>193</v>
      </c>
      <c r="AA62" s="400"/>
      <c r="AB62" s="51">
        <f t="shared" si="38"/>
        <v>-438.19999999999982</v>
      </c>
      <c r="AC62" s="52">
        <f t="shared" si="39"/>
        <v>0.72000000000000008</v>
      </c>
      <c r="AD62" s="392"/>
    </row>
    <row r="63" spans="1:30" ht="15" customHeight="1" x14ac:dyDescent="0.25">
      <c r="A63" s="417"/>
      <c r="B63" s="56" t="s">
        <v>216</v>
      </c>
      <c r="C63" s="23"/>
      <c r="D63" s="11" t="s">
        <v>128</v>
      </c>
      <c r="E63" s="12"/>
      <c r="F63" s="56">
        <v>26.99</v>
      </c>
      <c r="G63" s="185">
        <v>738</v>
      </c>
      <c r="H63" s="15">
        <f t="shared" ref="H63" si="48">F63*G63</f>
        <v>19918.62</v>
      </c>
      <c r="I63" s="82"/>
      <c r="J63" s="16">
        <f>VLOOKUP(D63,產線配置圖!$A$2:$C$38,2,0)</f>
        <v>13</v>
      </c>
      <c r="K63" s="14">
        <f>VLOOKUP(D63,產線配置圖!$A$2:$C$38,3,0)</f>
        <v>1565</v>
      </c>
      <c r="L63" s="17">
        <f t="shared" si="47"/>
        <v>120.38461538461539</v>
      </c>
      <c r="M63" s="188">
        <v>13</v>
      </c>
      <c r="N63" s="14">
        <f t="shared" ref="N63" si="49">G63/W63*60</f>
        <v>1475.9999999999973</v>
      </c>
      <c r="O63" s="17">
        <f t="shared" ref="O63" si="50">N63/M63</f>
        <v>113.53846153846133</v>
      </c>
      <c r="P63" s="18">
        <f t="shared" ref="P63" si="51">M63-J63</f>
        <v>0</v>
      </c>
      <c r="Q63" s="19">
        <f t="shared" ref="Q63" si="52">O63-L63</f>
        <v>-6.8461538461540528</v>
      </c>
      <c r="R63" s="193">
        <f>O63/L63</f>
        <v>0.94313099041533377</v>
      </c>
      <c r="S63" s="409"/>
      <c r="T63" s="20">
        <v>0.5625</v>
      </c>
      <c r="U63" s="20">
        <v>0.58333333333333337</v>
      </c>
      <c r="V63" s="185">
        <f t="shared" si="45"/>
        <v>14.999999999999947</v>
      </c>
      <c r="W63" s="93">
        <f t="shared" si="7"/>
        <v>30.000000000000053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0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0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0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0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0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3">AVERAGE(J59:J68)</f>
        <v>12.4</v>
      </c>
      <c r="K69" s="173">
        <f t="shared" si="53"/>
        <v>1565</v>
      </c>
      <c r="L69" s="178">
        <f t="shared" si="53"/>
        <v>126.40384615384615</v>
      </c>
      <c r="M69" s="173">
        <f t="shared" si="53"/>
        <v>12.4</v>
      </c>
      <c r="N69" s="173">
        <f t="shared" si="53"/>
        <v>1318.50965034965</v>
      </c>
      <c r="O69" s="178">
        <f t="shared" si="53"/>
        <v>106.13174825174823</v>
      </c>
      <c r="P69" s="179">
        <f>M69-J69</f>
        <v>0</v>
      </c>
      <c r="Q69" s="165">
        <f>N69-K69</f>
        <v>-246.49034965035003</v>
      </c>
      <c r="R69" s="124">
        <f>O69/L69</f>
        <v>0.83962435860199425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-246.49034965035003</v>
      </c>
      <c r="AC69" s="195">
        <f>N69/K69</f>
        <v>0.84249817913715652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54"/>
      <c r="H70" s="128"/>
      <c r="I70" s="129"/>
      <c r="J70" s="111"/>
      <c r="K70" s="108"/>
      <c r="L70" s="112"/>
      <c r="M70" s="113"/>
      <c r="N70" s="83"/>
      <c r="O70" s="112"/>
      <c r="P70" s="208"/>
      <c r="Q70" s="209"/>
      <c r="R70" s="192"/>
      <c r="S70" s="408"/>
      <c r="T70" s="176"/>
      <c r="U70" s="176"/>
      <c r="V70" s="196"/>
      <c r="W70" s="110">
        <f t="shared" ref="W70:W78" si="54">(U70-T70)*24*60</f>
        <v>0</v>
      </c>
      <c r="X70" s="180"/>
      <c r="Y70" s="180"/>
      <c r="Z70" s="413"/>
      <c r="AA70" s="414"/>
      <c r="AB70" s="240"/>
      <c r="AC70" s="241"/>
      <c r="AD70" s="391"/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54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4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4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55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4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5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4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5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4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5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4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5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4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C3:AC4"/>
    <mergeCell ref="AD3:AD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AD5:AD15"/>
    <mergeCell ref="Z6:AA6"/>
    <mergeCell ref="Z7:AA7"/>
    <mergeCell ref="Z8:AA8"/>
    <mergeCell ref="T3:U3"/>
    <mergeCell ref="V3:V4"/>
    <mergeCell ref="W3:W4"/>
    <mergeCell ref="X3:Y3"/>
    <mergeCell ref="Z3:AA4"/>
    <mergeCell ref="AB3:AB4"/>
    <mergeCell ref="Z12:AA12"/>
    <mergeCell ref="Z13:AA13"/>
    <mergeCell ref="AD27:AD37"/>
    <mergeCell ref="Z28:AA28"/>
    <mergeCell ref="Z29:AA29"/>
    <mergeCell ref="Z30:AA30"/>
    <mergeCell ref="Z31:AA31"/>
    <mergeCell ref="Z32:AA32"/>
    <mergeCell ref="Z33:AA33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A38:A48"/>
    <mergeCell ref="S38:S48"/>
    <mergeCell ref="Z38:AA38"/>
    <mergeCell ref="D48:E48"/>
    <mergeCell ref="Z48:AA48"/>
    <mergeCell ref="A27:A37"/>
    <mergeCell ref="S27:S37"/>
    <mergeCell ref="Z27:AA27"/>
    <mergeCell ref="Z14:AA14"/>
    <mergeCell ref="D15:E15"/>
    <mergeCell ref="Z15:AA15"/>
    <mergeCell ref="A16:A26"/>
    <mergeCell ref="S16:S26"/>
    <mergeCell ref="Z16:AA16"/>
    <mergeCell ref="D26:E26"/>
    <mergeCell ref="Z26:AA26"/>
    <mergeCell ref="A5:A15"/>
    <mergeCell ref="S5:S15"/>
    <mergeCell ref="Z5:AA5"/>
    <mergeCell ref="AD49:AD58"/>
    <mergeCell ref="Z50:AA50"/>
    <mergeCell ref="Z51:AA51"/>
    <mergeCell ref="Z52:AA52"/>
    <mergeCell ref="Z53:AA53"/>
    <mergeCell ref="Z54:AA54"/>
    <mergeCell ref="Z55:AA55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70:AD79"/>
    <mergeCell ref="Z71:AA71"/>
    <mergeCell ref="Z72:AA72"/>
    <mergeCell ref="Z73:AA73"/>
    <mergeCell ref="Z74:AA74"/>
    <mergeCell ref="Z75:AA75"/>
    <mergeCell ref="Z76:AA76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Z59:AA59"/>
    <mergeCell ref="Z69:AA69"/>
    <mergeCell ref="Z77:AA77"/>
    <mergeCell ref="Z78:AA78"/>
    <mergeCell ref="D79:E79"/>
    <mergeCell ref="Z79:AA79"/>
    <mergeCell ref="Z9:AA9"/>
    <mergeCell ref="Z10:AA10"/>
    <mergeCell ref="Z11:AA11"/>
    <mergeCell ref="A70:A79"/>
    <mergeCell ref="S70:S79"/>
    <mergeCell ref="Z70:AA70"/>
    <mergeCell ref="Z56:AA56"/>
    <mergeCell ref="Z57:AA57"/>
    <mergeCell ref="D58:E58"/>
    <mergeCell ref="Z58:AA58"/>
    <mergeCell ref="A59:A69"/>
    <mergeCell ref="S59:S69"/>
    <mergeCell ref="D69:E69"/>
    <mergeCell ref="A49:A58"/>
    <mergeCell ref="S49:S58"/>
    <mergeCell ref="Z49:AA49"/>
    <mergeCell ref="Z34:AA34"/>
    <mergeCell ref="Z35:AA35"/>
    <mergeCell ref="Z36:AA36"/>
    <mergeCell ref="D37:E37"/>
    <mergeCell ref="Z25:AA25"/>
    <mergeCell ref="Z37:AA37"/>
  </mergeCells>
  <phoneticPr fontId="2" type="noConversion"/>
  <conditionalFormatting sqref="P5:P79">
    <cfRule type="cellIs" dxfId="148" priority="1" operator="greaterThan">
      <formula>0</formula>
    </cfRule>
  </conditionalFormatting>
  <conditionalFormatting sqref="Q5:Q79 AB5:AB79">
    <cfRule type="cellIs" dxfId="147" priority="4" operator="lessThan">
      <formula>0</formula>
    </cfRule>
  </conditionalFormatting>
  <conditionalFormatting sqref="R5:R79 AC5:AC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D59:AD62 S69:S76 AD69:AD76">
    <cfRule type="cellIs" dxfId="144" priority="7" operator="lessThan">
      <formula>0.8</formula>
    </cfRule>
  </conditionalFormatting>
  <conditionalFormatting sqref="S19:S25 AD19:AD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D5:AD8 S15:S16 AD15:AD16 AD49 AD79">
    <cfRule type="cellIs" dxfId="141" priority="9" operator="lessThan">
      <formula>0.8</formula>
    </cfRule>
  </conditionalFormatting>
  <conditionalFormatting sqref="AD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1A90CD-8FE2-46BF-970F-F97C11D9BEFA}">
          <x14:formula1>
            <xm:f>廠價表!$C$2:$C$37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A735-1760-4CB5-889C-B2B2E0C1DA34}">
  <sheetPr>
    <pageSetUpPr fitToPage="1"/>
  </sheetPr>
  <dimension ref="B1:O22"/>
  <sheetViews>
    <sheetView topLeftCell="A3" zoomScale="70" zoomScaleNormal="70" workbookViewId="0">
      <selection activeCell="J13" sqref="J13:J15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45948</v>
      </c>
      <c r="E3" s="383"/>
      <c r="F3" s="214" t="s">
        <v>76</v>
      </c>
      <c r="G3" s="384">
        <f>'1018'!E1</f>
        <v>46062</v>
      </c>
      <c r="H3" s="384"/>
      <c r="I3" s="214" t="s">
        <v>77</v>
      </c>
      <c r="J3" s="385">
        <f>'1018'!G1</f>
        <v>2244632.4100000006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115.86582196981355</v>
      </c>
      <c r="G6" s="362"/>
      <c r="H6" s="363">
        <f>AVERAGE(D13:H13)</f>
        <v>115.2668264741794</v>
      </c>
      <c r="I6" s="363"/>
      <c r="J6" s="363">
        <f>AVERAGE(I13:J13)</f>
        <v>117.36331070889895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99.646666598166732</v>
      </c>
      <c r="G7" s="380"/>
      <c r="H7" s="381">
        <f>AVERAGE(D14:H14)</f>
        <v>101.77911058112798</v>
      </c>
      <c r="I7" s="381"/>
      <c r="J7" s="381">
        <f>AVERAGE(I14:J14)</f>
        <v>94.315556640763603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0.85878853641785402</v>
      </c>
      <c r="G8" s="360"/>
      <c r="H8" s="360">
        <f>AVERAGE(D15:H15)</f>
        <v>0.88082647659582314</v>
      </c>
      <c r="I8" s="360"/>
      <c r="J8" s="360">
        <f>AVERAGE(I15:J15)</f>
        <v>0.80369368597293156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VALUE('1018'!L15)</f>
        <v>149.22390109890108</v>
      </c>
      <c r="E13" s="227">
        <f>VALUE('1018'!L26)</f>
        <v>155.12820512820511</v>
      </c>
      <c r="F13" s="227">
        <f>VALUE('1018'!L37)</f>
        <v>98.272875816993462</v>
      </c>
      <c r="G13" s="227">
        <f>VALUE('1018'!L48)</f>
        <v>86.764705882352942</v>
      </c>
      <c r="H13" s="227">
        <f>VALUE('1018'!L58)</f>
        <v>86.944444444444443</v>
      </c>
      <c r="I13" s="227">
        <f>VALUE('1018'!L69)</f>
        <v>127.07264957264958</v>
      </c>
      <c r="J13" s="227">
        <f>VALUE('1018'!L79)</f>
        <v>107.65397184514832</v>
      </c>
    </row>
    <row r="14" spans="2:15" ht="39.950000000000003" customHeight="1" x14ac:dyDescent="0.25">
      <c r="B14" s="489"/>
      <c r="C14" s="226" t="s">
        <v>100</v>
      </c>
      <c r="D14" s="227">
        <f>VALUE('1018'!O15)</f>
        <v>131.24518442478168</v>
      </c>
      <c r="E14" s="227">
        <f>VALUE('1018'!O26)</f>
        <v>141.27272078929079</v>
      </c>
      <c r="F14" s="227">
        <f>VALUE('1018'!O37)</f>
        <v>80.453791409070092</v>
      </c>
      <c r="G14" s="227">
        <f>VALUE('1018'!O48)</f>
        <v>78.874733475479758</v>
      </c>
      <c r="H14" s="227">
        <f>VALUE('1018'!O58)</f>
        <v>77.049122807017568</v>
      </c>
      <c r="I14" s="227">
        <f>VALUE('1018'!O69)</f>
        <v>102.01499573068615</v>
      </c>
      <c r="J14" s="227">
        <f>VALUE('1018'!O79)</f>
        <v>86.616117550841054</v>
      </c>
    </row>
    <row r="15" spans="2:15" ht="39.950000000000003" customHeight="1" x14ac:dyDescent="0.25">
      <c r="B15" s="490"/>
      <c r="C15" s="222" t="s">
        <v>101</v>
      </c>
      <c r="D15" s="248">
        <f>D14/D13</f>
        <v>0.87951851853676144</v>
      </c>
      <c r="E15" s="248">
        <f t="shared" ref="E15:J15" si="0">E14/E13</f>
        <v>0.9106836546747672</v>
      </c>
      <c r="F15" s="248">
        <f t="shared" si="0"/>
        <v>0.81867749101891985</v>
      </c>
      <c r="G15" s="248">
        <f t="shared" si="0"/>
        <v>0.90906472480213962</v>
      </c>
      <c r="H15" s="248">
        <f t="shared" si="0"/>
        <v>0.88618799394652792</v>
      </c>
      <c r="I15" s="248">
        <f t="shared" si="0"/>
        <v>0.80280844126384932</v>
      </c>
      <c r="J15" s="248">
        <f t="shared" si="0"/>
        <v>0.8045789306820138</v>
      </c>
    </row>
    <row r="16" spans="2:15" ht="17.25" customHeight="1" x14ac:dyDescent="0.25">
      <c r="B16" s="491" t="s">
        <v>102</v>
      </c>
      <c r="C16" s="222" t="s">
        <v>103</v>
      </c>
      <c r="D16" s="98">
        <f>'1018'!T5</f>
        <v>0.29166666666666669</v>
      </c>
      <c r="E16" s="98">
        <f>'1018'!T16</f>
        <v>0.2902777777777778</v>
      </c>
      <c r="F16" s="98">
        <f>'1018'!T27</f>
        <v>0.29444444444444445</v>
      </c>
      <c r="G16" s="98">
        <f>'1018'!T38</f>
        <v>0.33194444444444443</v>
      </c>
      <c r="H16" s="98">
        <f>'1018'!T49</f>
        <v>0.2902777777777778</v>
      </c>
      <c r="I16" s="98">
        <f>'1018'!T59</f>
        <v>0.29166666666666669</v>
      </c>
      <c r="J16" s="293">
        <f>'1018'!T70</f>
        <v>0.34027777777777779</v>
      </c>
    </row>
    <row r="17" spans="2:10" ht="17.25" customHeight="1" x14ac:dyDescent="0.25">
      <c r="B17" s="492"/>
      <c r="C17" s="222" t="s">
        <v>104</v>
      </c>
      <c r="D17" s="80">
        <v>0.60902777777777772</v>
      </c>
      <c r="E17" s="41">
        <v>0.59097222222222223</v>
      </c>
      <c r="F17" s="41">
        <v>0.57152777777777775</v>
      </c>
      <c r="G17" s="59">
        <v>0.50972222222222219</v>
      </c>
      <c r="H17" s="80">
        <v>0.65277777777777779</v>
      </c>
      <c r="I17" s="20">
        <v>0.53819444444444442</v>
      </c>
      <c r="J17" s="20">
        <v>0.41041666666666665</v>
      </c>
    </row>
    <row r="18" spans="2:10" ht="17.25" customHeight="1" x14ac:dyDescent="0.25">
      <c r="B18" s="481" t="s">
        <v>105</v>
      </c>
      <c r="C18" s="355"/>
      <c r="D18" s="229">
        <f>VALUE('1018'!M15)</f>
        <v>13.25</v>
      </c>
      <c r="E18" s="229">
        <f>VALUE('1018'!M26)</f>
        <v>13</v>
      </c>
      <c r="F18" s="229">
        <f>VALUE('1018'!M37)</f>
        <v>16</v>
      </c>
      <c r="G18" s="229">
        <f>VALUE('1018'!M48)</f>
        <v>15.5</v>
      </c>
      <c r="H18" s="229">
        <f>VALUE('1018'!M58)</f>
        <v>18</v>
      </c>
      <c r="I18" s="229">
        <f>VALUE('1018'!M69)</f>
        <v>12.333333333333334</v>
      </c>
      <c r="J18" s="229">
        <f>VALUE('1018'!M79)</f>
        <v>14.666666666666668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 t="s">
        <v>145</v>
      </c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F369-797A-4202-AF43-A09A98F2C512}">
  <sheetPr>
    <tabColor theme="9" tint="0.79998168889431442"/>
    <pageSetUpPr fitToPage="1"/>
  </sheetPr>
  <dimension ref="A1:AF92"/>
  <sheetViews>
    <sheetView zoomScale="69" zoomScaleNormal="69" workbookViewId="0">
      <pane xSplit="5" ySplit="4" topLeftCell="G41" activePane="bottomRight" state="frozen"/>
      <selection activeCell="M15" sqref="M15"/>
      <selection pane="topRight" activeCell="M15" sqref="M15"/>
      <selection pane="bottomLeft" activeCell="M15" sqref="M15"/>
      <selection pane="bottomRight" activeCell="B70" sqref="B70:D70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46062</v>
      </c>
      <c r="F1" s="185" t="s">
        <v>9</v>
      </c>
      <c r="G1" s="4">
        <f>SUM(H5:H79)</f>
        <v>2244632.4100000006</v>
      </c>
      <c r="H1" s="183" t="s">
        <v>10</v>
      </c>
      <c r="I1" s="5">
        <f>M15+M26+M48+M58+M69+M79+M37</f>
        <v>102.75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236</v>
      </c>
      <c r="B2" s="461"/>
      <c r="C2" s="184"/>
      <c r="D2" s="184" t="s">
        <v>1</v>
      </c>
      <c r="E2" s="7">
        <f>AVERAGE(O15,O26,O37,O48,O58,O69,O79)</f>
        <v>99.646666598166732</v>
      </c>
      <c r="F2" s="8" t="s">
        <v>2</v>
      </c>
      <c r="G2" s="9">
        <f>G1/E1</f>
        <v>48.730676262428915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1614</v>
      </c>
      <c r="H5" s="109">
        <f>F5*G5</f>
        <v>92336.94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1760.7272727272739</v>
      </c>
      <c r="O5" s="112">
        <f>N5/M5</f>
        <v>135.44055944055953</v>
      </c>
      <c r="P5" s="114">
        <f>M5-J5</f>
        <v>0</v>
      </c>
      <c r="Q5" s="115">
        <f>O5-L5</f>
        <v>-18.405594405594314</v>
      </c>
      <c r="R5" s="192">
        <f>O5/L5</f>
        <v>0.8803636363636369</v>
      </c>
      <c r="S5" s="408">
        <f>R15</f>
        <v>0.87951851853676144</v>
      </c>
      <c r="T5" s="97">
        <v>0.29166666666666669</v>
      </c>
      <c r="U5" s="97">
        <v>0.3298611111111111</v>
      </c>
      <c r="V5" s="202"/>
      <c r="W5" s="110">
        <f t="shared" ref="W5:W14" si="0">(U5-T5)*24*60</f>
        <v>54.999999999999964</v>
      </c>
      <c r="X5" s="196"/>
      <c r="Y5" s="196"/>
      <c r="Z5" s="423"/>
      <c r="AA5" s="423"/>
      <c r="AB5" s="114">
        <f>N5-K5</f>
        <v>-239.27272727272612</v>
      </c>
      <c r="AC5" s="192">
        <f>N5/K5</f>
        <v>0.8803636363636369</v>
      </c>
      <c r="AD5" s="391">
        <f>AC15</f>
        <v>0.87969576885016276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2417</v>
      </c>
      <c r="H6" s="15">
        <f t="shared" ref="H6:H14" si="1">F6*G6</f>
        <v>138276.57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1686.2790697674432</v>
      </c>
      <c r="O6" s="17">
        <f>N6/M6</f>
        <v>120.4485049833888</v>
      </c>
      <c r="P6" s="18">
        <f>M6-J6</f>
        <v>0</v>
      </c>
      <c r="Q6" s="19">
        <f>O6-L6</f>
        <v>-14.90863787375406</v>
      </c>
      <c r="R6" s="193">
        <f>O6/L6</f>
        <v>0.88985702890102547</v>
      </c>
      <c r="S6" s="409"/>
      <c r="T6" s="98">
        <v>0.33680555555555558</v>
      </c>
      <c r="U6" s="98">
        <v>0.39652777777777776</v>
      </c>
      <c r="V6" s="185">
        <f>(T6-U5)*24*60</f>
        <v>10.000000000000044</v>
      </c>
      <c r="W6" s="190">
        <f t="shared" si="0"/>
        <v>85.999999999999929</v>
      </c>
      <c r="X6" s="22"/>
      <c r="Y6" s="22"/>
      <c r="Z6" s="446"/>
      <c r="AA6" s="446"/>
      <c r="AB6" s="18">
        <f>N6-K6</f>
        <v>-208.72093023255684</v>
      </c>
      <c r="AC6" s="193">
        <f>N6/K6</f>
        <v>0.88985702890102536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2953</v>
      </c>
      <c r="H7" s="15">
        <f t="shared" si="1"/>
        <v>145110.42000000001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1771.7999999999993</v>
      </c>
      <c r="O7" s="17">
        <f>N7/M7</f>
        <v>136.29230769230765</v>
      </c>
      <c r="P7" s="18">
        <f>M7-J7</f>
        <v>0</v>
      </c>
      <c r="Q7" s="19">
        <f>O7-L7</f>
        <v>-17.553846153846195</v>
      </c>
      <c r="R7" s="193">
        <f>O7/L7</f>
        <v>0.88589999999999969</v>
      </c>
      <c r="S7" s="409"/>
      <c r="T7" s="98">
        <v>0.40833333333333333</v>
      </c>
      <c r="U7" s="98">
        <v>0.4777777777777778</v>
      </c>
      <c r="V7" s="185">
        <f>(T7-U6)*24*60</f>
        <v>17.000000000000021</v>
      </c>
      <c r="W7" s="190">
        <f t="shared" si="0"/>
        <v>100.00000000000004</v>
      </c>
      <c r="X7" s="22"/>
      <c r="Y7" s="22"/>
      <c r="Z7" s="400"/>
      <c r="AA7" s="400"/>
      <c r="AB7" s="18">
        <f>N7-K7</f>
        <v>-228.20000000000073</v>
      </c>
      <c r="AC7" s="193">
        <f>N7/K7</f>
        <v>0.88589999999999969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2791</v>
      </c>
      <c r="H8" s="15">
        <f t="shared" si="1"/>
        <v>137149.74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1726.3917525773199</v>
      </c>
      <c r="O8" s="17">
        <f>N8/M8</f>
        <v>132.79936558287076</v>
      </c>
      <c r="P8" s="18">
        <f>M8-J8</f>
        <v>0</v>
      </c>
      <c r="Q8" s="19">
        <f>O8-L8</f>
        <v>-21.046788263283077</v>
      </c>
      <c r="R8" s="193">
        <f>O8/L8</f>
        <v>0.86319587628866001</v>
      </c>
      <c r="S8" s="409"/>
      <c r="T8" s="80">
        <v>0.54166666666666663</v>
      </c>
      <c r="U8" s="80">
        <v>0.60902777777777772</v>
      </c>
      <c r="V8" s="185">
        <f>(T8-U7)*24*60</f>
        <v>91.999999999999915</v>
      </c>
      <c r="W8" s="190">
        <f t="shared" si="0"/>
        <v>96.999999999999972</v>
      </c>
      <c r="X8" s="22">
        <v>0.5</v>
      </c>
      <c r="Y8" s="22">
        <v>0.54166666666666663</v>
      </c>
      <c r="Z8" s="447"/>
      <c r="AA8" s="447"/>
      <c r="AB8" s="18">
        <f>N8-K8</f>
        <v>-273.60824742268005</v>
      </c>
      <c r="AC8" s="193">
        <f>N8/K8</f>
        <v>0.86319587628866001</v>
      </c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13.25</v>
      </c>
      <c r="K15" s="121">
        <f t="shared" si="2"/>
        <v>1973.75</v>
      </c>
      <c r="L15" s="118">
        <f t="shared" si="2"/>
        <v>149.22390109890108</v>
      </c>
      <c r="M15" s="121">
        <f t="shared" si="2"/>
        <v>13.25</v>
      </c>
      <c r="N15" s="121">
        <f t="shared" si="2"/>
        <v>1736.2995237680088</v>
      </c>
      <c r="O15" s="118">
        <f t="shared" si="2"/>
        <v>131.24518442478168</v>
      </c>
      <c r="P15" s="122">
        <f t="shared" ref="P15:P16" si="3">M15-J15</f>
        <v>0</v>
      </c>
      <c r="Q15" s="123">
        <f t="shared" ref="Q15:Q16" si="4">O15-L15</f>
        <v>-17.978716674119397</v>
      </c>
      <c r="R15" s="124">
        <f t="shared" ref="R15:R16" si="5">O15/L15</f>
        <v>0.87951851853676144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-237.45047623199116</v>
      </c>
      <c r="AC15" s="195">
        <f>N15/K15</f>
        <v>0.87969576885016276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1680</v>
      </c>
      <c r="H16" s="128">
        <f t="shared" ref="H16:H25" si="6">F16*G16</f>
        <v>96112.8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1800.0000000000014</v>
      </c>
      <c r="O16" s="131">
        <f>N16/M16</f>
        <v>138.46153846153857</v>
      </c>
      <c r="P16" s="132">
        <f t="shared" si="3"/>
        <v>0</v>
      </c>
      <c r="Q16" s="133">
        <f t="shared" si="4"/>
        <v>-15.384615384615273</v>
      </c>
      <c r="R16" s="197">
        <f t="shared" si="5"/>
        <v>0.90000000000000069</v>
      </c>
      <c r="S16" s="433">
        <f>R26</f>
        <v>0.9106836546747672</v>
      </c>
      <c r="T16" s="288">
        <v>0.2902777777777778</v>
      </c>
      <c r="U16" s="288">
        <v>0.32916666666666666</v>
      </c>
      <c r="V16" s="129"/>
      <c r="W16" s="134">
        <f t="shared" ref="W16:W68" si="7">(U16-T16)*24*60</f>
        <v>55.999999999999957</v>
      </c>
      <c r="X16" s="131"/>
      <c r="Y16" s="131"/>
      <c r="Z16" s="423"/>
      <c r="AA16" s="423"/>
      <c r="AB16" s="114">
        <f>N16-K16</f>
        <v>-199.99999999999864</v>
      </c>
      <c r="AC16" s="192">
        <f>N16/K16</f>
        <v>0.90000000000000069</v>
      </c>
      <c r="AD16" s="391">
        <f>AC26</f>
        <v>0.90951754645520166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3031</v>
      </c>
      <c r="H17" s="15">
        <f>F17*G17</f>
        <v>153580.77000000002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1782.941176470589</v>
      </c>
      <c r="O17" s="38">
        <f>N17/M17</f>
        <v>118.86274509803927</v>
      </c>
      <c r="P17" s="39">
        <f>M17-J17</f>
        <v>0</v>
      </c>
      <c r="Q17" s="40">
        <f>O17-L17</f>
        <v>-14.470588235294073</v>
      </c>
      <c r="R17" s="198">
        <f>O17/L17</f>
        <v>0.89147058823529446</v>
      </c>
      <c r="S17" s="434"/>
      <c r="T17" s="41">
        <v>0.33888888888888891</v>
      </c>
      <c r="U17" s="41">
        <v>0.40972222222222221</v>
      </c>
      <c r="V17" s="185">
        <f>(T17-U16)*24*60</f>
        <v>14.00000000000003</v>
      </c>
      <c r="W17" s="43">
        <f t="shared" si="7"/>
        <v>101.99999999999996</v>
      </c>
      <c r="X17" s="44"/>
      <c r="Y17" s="44"/>
      <c r="Z17" s="399"/>
      <c r="AA17" s="400"/>
      <c r="AB17" s="18">
        <f>N17-K17</f>
        <v>-217.05882352941103</v>
      </c>
      <c r="AC17" s="193">
        <f>N17/K17</f>
        <v>0.89147058823529446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2544</v>
      </c>
      <c r="H18" s="15">
        <f>F18*G18</f>
        <v>128192.16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1817.1428571428564</v>
      </c>
      <c r="O18" s="38">
        <f>N18/M18</f>
        <v>151.42857142857136</v>
      </c>
      <c r="P18" s="39">
        <f>M18-J18</f>
        <v>0</v>
      </c>
      <c r="Q18" s="40">
        <f>O18-L18</f>
        <v>-15.238095238095298</v>
      </c>
      <c r="R18" s="198">
        <f>O18/L18</f>
        <v>0.90857142857142825</v>
      </c>
      <c r="S18" s="434"/>
      <c r="T18" s="41">
        <v>0.42083333333333334</v>
      </c>
      <c r="U18" s="41">
        <v>0.47916666666666669</v>
      </c>
      <c r="V18" s="185">
        <f>(T18-U17)*24*60</f>
        <v>16.000000000000021</v>
      </c>
      <c r="W18" s="43">
        <f t="shared" si="7"/>
        <v>84.000000000000028</v>
      </c>
      <c r="X18" s="22"/>
      <c r="Y18" s="22"/>
      <c r="Z18" s="399"/>
      <c r="AA18" s="400"/>
      <c r="AB18" s="18">
        <f>N18-K18</f>
        <v>-182.85714285714357</v>
      </c>
      <c r="AC18" s="193">
        <f>N18/K18</f>
        <v>0.90857142857142825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2220</v>
      </c>
      <c r="H19" s="15">
        <f t="shared" ref="H19" si="8">F19*G19</f>
        <v>111865.8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1876.0563380281671</v>
      </c>
      <c r="O19" s="38">
        <f>N19/M19</f>
        <v>156.33802816901394</v>
      </c>
      <c r="P19" s="39">
        <f>M19-J19</f>
        <v>0</v>
      </c>
      <c r="Q19" s="40">
        <f>O19-L19</f>
        <v>-10.328638497652719</v>
      </c>
      <c r="R19" s="198">
        <f>O19/L19</f>
        <v>0.9380281690140837</v>
      </c>
      <c r="S19" s="434"/>
      <c r="T19" s="41">
        <v>0.54166666666666663</v>
      </c>
      <c r="U19" s="41">
        <v>0.59097222222222223</v>
      </c>
      <c r="V19" s="185">
        <f>(T19-U18)*24*60</f>
        <v>89.999999999999915</v>
      </c>
      <c r="W19" s="43">
        <f t="shared" si="7"/>
        <v>71.000000000000071</v>
      </c>
      <c r="X19" s="22">
        <v>0.5</v>
      </c>
      <c r="Y19" s="22">
        <v>0.54166666666666663</v>
      </c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1819.0350929104034</v>
      </c>
      <c r="O26" s="140">
        <f t="shared" si="10"/>
        <v>141.27272078929079</v>
      </c>
      <c r="P26" s="141">
        <f t="shared" ref="P26:P29" si="11">M26-J26</f>
        <v>0</v>
      </c>
      <c r="Q26" s="142">
        <f t="shared" ref="Q26:Q29" si="12">O26-L26</f>
        <v>-13.855484338914323</v>
      </c>
      <c r="R26" s="143">
        <f t="shared" ref="R26:R29" si="13">O26/L26</f>
        <v>0.9106836546747672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-180.96490708959664</v>
      </c>
      <c r="AC26" s="195">
        <f>N26/K26</f>
        <v>0.90951754645520166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2410</v>
      </c>
      <c r="H27" s="128">
        <f t="shared" ref="H27:H36" si="14">F27*G27</f>
        <v>132863.30000000002</v>
      </c>
      <c r="I27" s="129"/>
      <c r="J27" s="111">
        <v>15</v>
      </c>
      <c r="K27" s="252">
        <v>1565</v>
      </c>
      <c r="L27" s="112">
        <f>K27/J27</f>
        <v>104.33333333333333</v>
      </c>
      <c r="M27" s="147">
        <v>15</v>
      </c>
      <c r="N27" s="130">
        <f>G27/W27*60</f>
        <v>1279.646017699115</v>
      </c>
      <c r="O27" s="131">
        <f>N27/M27</f>
        <v>85.309734513274336</v>
      </c>
      <c r="P27" s="132">
        <f t="shared" si="11"/>
        <v>0</v>
      </c>
      <c r="Q27" s="133">
        <f t="shared" si="12"/>
        <v>-19.023598820058993</v>
      </c>
      <c r="R27" s="197">
        <f>O27/L27</f>
        <v>0.81766518702818858</v>
      </c>
      <c r="S27" s="433">
        <f>R37</f>
        <v>0.81867749101891985</v>
      </c>
      <c r="T27" s="97">
        <v>0.29444444444444445</v>
      </c>
      <c r="U27" s="97">
        <v>0.37291666666666667</v>
      </c>
      <c r="V27" s="129"/>
      <c r="W27" s="134">
        <f t="shared" si="7"/>
        <v>113</v>
      </c>
      <c r="X27" s="129"/>
      <c r="Y27" s="129" t="s">
        <v>158</v>
      </c>
      <c r="Z27" s="414"/>
      <c r="AA27" s="423"/>
      <c r="AB27" s="114">
        <f>N27-K27</f>
        <v>-285.35398230088504</v>
      </c>
      <c r="AC27" s="148">
        <f>N27/K27</f>
        <v>0.81766518702818847</v>
      </c>
      <c r="AD27" s="391">
        <f>AC37</f>
        <v>0.81863377724142306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1345</v>
      </c>
      <c r="H28" s="50">
        <f t="shared" si="14"/>
        <v>76490.149999999994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17</v>
      </c>
      <c r="N28" s="36">
        <f>G28/W28*60</f>
        <v>1222.7272727272727</v>
      </c>
      <c r="O28" s="38">
        <f>N28/M28</f>
        <v>71.925133689839569</v>
      </c>
      <c r="P28" s="39">
        <f t="shared" si="11"/>
        <v>0</v>
      </c>
      <c r="Q28" s="40">
        <f t="shared" si="12"/>
        <v>-16.310160427807489</v>
      </c>
      <c r="R28" s="198">
        <f t="shared" si="13"/>
        <v>0.81515151515151507</v>
      </c>
      <c r="S28" s="434"/>
      <c r="T28" s="291">
        <v>0.37986111111111109</v>
      </c>
      <c r="U28" s="291">
        <v>0.42569444444444443</v>
      </c>
      <c r="V28" s="42">
        <f>(T28-U27)*24*60</f>
        <v>9.9999999999999645</v>
      </c>
      <c r="W28" s="43">
        <f t="shared" si="7"/>
        <v>66</v>
      </c>
      <c r="X28" s="54"/>
      <c r="Y28" s="54"/>
      <c r="Z28" s="399"/>
      <c r="AA28" s="400"/>
      <c r="AB28" s="34">
        <f>N28-K28</f>
        <v>-277.27272727272725</v>
      </c>
      <c r="AC28" s="194">
        <f>N28/K28</f>
        <v>0.81515151515151518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222</v>
      </c>
      <c r="E29" s="89"/>
      <c r="F29" s="56">
        <f>VLOOKUP(D29,廠價表!$C$1:$E$39,3,0)</f>
        <v>50.67</v>
      </c>
      <c r="G29" s="256">
        <v>1862</v>
      </c>
      <c r="H29" s="50">
        <f t="shared" si="14"/>
        <v>94347.540000000008</v>
      </c>
      <c r="I29" s="42"/>
      <c r="J29" s="16">
        <v>16</v>
      </c>
      <c r="K29" s="14">
        <v>1636</v>
      </c>
      <c r="L29" s="251">
        <f>K29/J29</f>
        <v>102.25</v>
      </c>
      <c r="M29" s="21">
        <v>16</v>
      </c>
      <c r="N29" s="36">
        <f>G29/W29*60</f>
        <v>1346.0240963855417</v>
      </c>
      <c r="O29" s="38">
        <f>N29/M29</f>
        <v>84.126506024096358</v>
      </c>
      <c r="P29" s="39">
        <f t="shared" si="11"/>
        <v>0</v>
      </c>
      <c r="Q29" s="40">
        <f t="shared" si="12"/>
        <v>-18.123493975903642</v>
      </c>
      <c r="R29" s="198">
        <f t="shared" si="13"/>
        <v>0.82275311515008664</v>
      </c>
      <c r="S29" s="434"/>
      <c r="T29" s="41">
        <v>0.51388888888888884</v>
      </c>
      <c r="U29" s="41">
        <v>0.57152777777777775</v>
      </c>
      <c r="V29" s="42">
        <f>(T29-U28)*24*60</f>
        <v>126.99999999999994</v>
      </c>
      <c r="W29" s="43">
        <f t="shared" si="7"/>
        <v>83.000000000000028</v>
      </c>
      <c r="X29" s="54">
        <v>0.45833333333333331</v>
      </c>
      <c r="Y29" s="54">
        <v>0.5</v>
      </c>
      <c r="Z29" s="399"/>
      <c r="AA29" s="398"/>
      <c r="AB29" s="275">
        <f t="shared" ref="AB29" si="15">N29-K29</f>
        <v>-289.97590361445828</v>
      </c>
      <c r="AC29" s="276">
        <f t="shared" ref="AC29" si="16">N29/K29</f>
        <v>0.82275311515008664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7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7">AVERAGE(J27:J36)</f>
        <v>16</v>
      </c>
      <c r="K37" s="314">
        <f t="shared" si="17"/>
        <v>1567</v>
      </c>
      <c r="L37" s="315">
        <f t="shared" si="17"/>
        <v>98.272875816993462</v>
      </c>
      <c r="M37" s="314">
        <f t="shared" si="17"/>
        <v>16</v>
      </c>
      <c r="N37" s="314">
        <f t="shared" si="17"/>
        <v>1282.7991289373099</v>
      </c>
      <c r="O37" s="315">
        <f t="shared" si="17"/>
        <v>80.453791409070092</v>
      </c>
      <c r="P37" s="74">
        <f>M37-J37</f>
        <v>0</v>
      </c>
      <c r="Q37" s="75">
        <f>N37-K37</f>
        <v>-284.20087106269011</v>
      </c>
      <c r="R37" s="316">
        <f t="shared" ref="R37:R38" si="18">O37/L37</f>
        <v>0.81867749101891985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8" si="19">N37-K37</f>
        <v>-284.20087106269011</v>
      </c>
      <c r="AC37" s="195">
        <f t="shared" ref="AC37:AC38" si="20">N37/K37</f>
        <v>0.81863377724142306</v>
      </c>
      <c r="AD37" s="396"/>
    </row>
    <row r="38" spans="1:30" s="63" customFormat="1" ht="15" customHeight="1" x14ac:dyDescent="0.25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2574</v>
      </c>
      <c r="H38" s="64">
        <f>F38*G38</f>
        <v>128468.34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15</v>
      </c>
      <c r="N38" s="130">
        <f>G38/W38*60</f>
        <v>1378.9285714285716</v>
      </c>
      <c r="O38" s="131">
        <f>N38/M38</f>
        <v>91.928571428571431</v>
      </c>
      <c r="P38" s="132">
        <f t="shared" ref="P38" si="21">M38-J38</f>
        <v>-2</v>
      </c>
      <c r="Q38" s="133">
        <f t="shared" ref="Q38" si="22">O38-L38</f>
        <v>-0.13025210084033745</v>
      </c>
      <c r="R38" s="197">
        <f t="shared" si="18"/>
        <v>0.99858512094933816</v>
      </c>
      <c r="S38" s="493">
        <f>R48</f>
        <v>0.90906472480213962</v>
      </c>
      <c r="T38" s="157">
        <v>0.33194444444444443</v>
      </c>
      <c r="U38" s="157">
        <v>0.40972222222222221</v>
      </c>
      <c r="V38" s="153"/>
      <c r="W38" s="158">
        <f t="shared" si="7"/>
        <v>112</v>
      </c>
      <c r="X38" s="155"/>
      <c r="Y38" s="159"/>
      <c r="Z38" s="427"/>
      <c r="AA38" s="427"/>
      <c r="AB38" s="319">
        <f t="shared" si="19"/>
        <v>-186.07142857142844</v>
      </c>
      <c r="AC38" s="161">
        <f t="shared" si="20"/>
        <v>0.88110451848471028</v>
      </c>
      <c r="AD38" s="388">
        <f>AC48</f>
        <v>0.82442810162263769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306"/>
      <c r="D39" s="308" t="s">
        <v>223</v>
      </c>
      <c r="E39" s="307"/>
      <c r="F39" s="56">
        <f>VLOOKUP(D39,廠價表!$C$1:$E$39,3,0)</f>
        <v>57.3</v>
      </c>
      <c r="G39" s="305">
        <v>2352</v>
      </c>
      <c r="H39" s="64">
        <f>F39*G39</f>
        <v>134769.60000000001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>K39/J39</f>
        <v>81.470588235294116</v>
      </c>
      <c r="M39" s="66">
        <v>16</v>
      </c>
      <c r="N39" s="67">
        <f>G39/W39*60</f>
        <v>1053.1343283582096</v>
      </c>
      <c r="O39" s="68">
        <f>N39/M39</f>
        <v>65.820895522388099</v>
      </c>
      <c r="P39" s="39">
        <f>M39-J39</f>
        <v>-1</v>
      </c>
      <c r="Q39" s="40">
        <f>O39-L39</f>
        <v>-15.649692712906017</v>
      </c>
      <c r="R39" s="198">
        <f>O39/L39</f>
        <v>0.80790990893905967</v>
      </c>
      <c r="S39" s="494"/>
      <c r="T39" s="59">
        <v>0.41666666666666669</v>
      </c>
      <c r="U39" s="59">
        <v>0.50972222222222219</v>
      </c>
      <c r="V39" s="42">
        <f t="shared" ref="V39" si="23">(T39-U38)*24*60</f>
        <v>10.000000000000044</v>
      </c>
      <c r="W39" s="70">
        <f t="shared" si="7"/>
        <v>133.99999999999991</v>
      </c>
      <c r="X39" s="22"/>
      <c r="Y39" s="22"/>
      <c r="Z39" s="428"/>
      <c r="AA39" s="475"/>
      <c r="AB39" s="292"/>
      <c r="AC39" s="62"/>
      <c r="AD39" s="389"/>
    </row>
    <row r="40" spans="1:30" s="63" customFormat="1" ht="15" customHeight="1" x14ac:dyDescent="0.25">
      <c r="A40" s="425"/>
      <c r="B40" s="56"/>
      <c r="C40" s="298"/>
      <c r="D40" s="308"/>
      <c r="E40" s="261"/>
      <c r="F40" s="56"/>
      <c r="G40" s="305"/>
      <c r="H40" s="64">
        <f t="shared" ref="H40:H47" si="24">F40*G40</f>
        <v>0</v>
      </c>
      <c r="I40" s="65"/>
      <c r="J40" s="37"/>
      <c r="K40" s="36"/>
      <c r="L40" s="38"/>
      <c r="M40" s="302"/>
      <c r="N40" s="67"/>
      <c r="O40" s="68"/>
      <c r="P40" s="39"/>
      <c r="Q40" s="40"/>
      <c r="R40" s="198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308"/>
      <c r="E41" s="89"/>
      <c r="F41" s="56"/>
      <c r="G41" s="305"/>
      <c r="H41" s="64">
        <f t="shared" si="24"/>
        <v>0</v>
      </c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si="24"/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4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17</v>
      </c>
      <c r="K48" s="137">
        <f t="shared" si="26"/>
        <v>1475</v>
      </c>
      <c r="L48" s="140">
        <f t="shared" si="26"/>
        <v>86.764705882352942</v>
      </c>
      <c r="M48" s="137">
        <f t="shared" si="26"/>
        <v>15.5</v>
      </c>
      <c r="N48" s="137">
        <f t="shared" si="26"/>
        <v>1216.0314498933906</v>
      </c>
      <c r="O48" s="140">
        <f t="shared" si="26"/>
        <v>78.874733475479758</v>
      </c>
      <c r="P48" s="164">
        <f>M48-J48</f>
        <v>-1.5</v>
      </c>
      <c r="Q48" s="165">
        <f>N48-K48</f>
        <v>-258.96855010660943</v>
      </c>
      <c r="R48" s="166">
        <f>O48/L48</f>
        <v>0.90906472480213962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-258.96855010660943</v>
      </c>
      <c r="AC48" s="199">
        <f>N48/K48</f>
        <v>0.82442810162263769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6210</v>
      </c>
      <c r="H49" s="128">
        <f t="shared" ref="H49:H57" si="27">F49*G49</f>
        <v>310313.7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1307.3684210526319</v>
      </c>
      <c r="O49" s="131">
        <f>N49/M49</f>
        <v>72.631578947368439</v>
      </c>
      <c r="P49" s="171">
        <f>M49-J49</f>
        <v>0</v>
      </c>
      <c r="Q49" s="115">
        <f>O49-L49</f>
        <v>-14.312865497076004</v>
      </c>
      <c r="R49" s="192">
        <f>O49/L49</f>
        <v>0.83537918278123446</v>
      </c>
      <c r="S49" s="408">
        <f>R58</f>
        <v>0.88618799394652792</v>
      </c>
      <c r="T49" s="157">
        <v>0.2902777777777778</v>
      </c>
      <c r="U49" s="157">
        <v>0.48819444444444443</v>
      </c>
      <c r="V49" s="196"/>
      <c r="W49" s="158">
        <f t="shared" si="7"/>
        <v>284.99999999999994</v>
      </c>
      <c r="X49" s="196"/>
      <c r="Y49" s="196"/>
      <c r="Z49" s="423"/>
      <c r="AA49" s="423"/>
      <c r="AB49" s="114">
        <f>N49-K49</f>
        <v>-257.6315789473681</v>
      </c>
      <c r="AC49" s="192">
        <f>N49/K49</f>
        <v>0.83537918278123446</v>
      </c>
      <c r="AD49" s="391">
        <f>AC58</f>
        <v>0.88618799394652792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66</v>
      </c>
      <c r="E50" s="89"/>
      <c r="F50" s="56">
        <f>VLOOKUP(D50,廠價表!$C$1:$E$39,3,0)</f>
        <v>49.97</v>
      </c>
      <c r="G50" s="67">
        <v>1222</v>
      </c>
      <c r="H50" s="77">
        <f t="shared" si="27"/>
        <v>61063.34</v>
      </c>
      <c r="I50" s="201"/>
      <c r="J50" s="16">
        <f>VLOOKUP(D50,產線配置圖!$A$2:$C$38,2,0)</f>
        <v>18</v>
      </c>
      <c r="K50" s="14">
        <f>VLOOKUP(D50,產線配置圖!$A$2:$C$38,3,0)</f>
        <v>1565</v>
      </c>
      <c r="L50" s="17">
        <f>K50/J50</f>
        <v>86.944444444444443</v>
      </c>
      <c r="M50" s="182">
        <v>18</v>
      </c>
      <c r="N50" s="78">
        <f>G50/W50*60</f>
        <v>1466.4000000000005</v>
      </c>
      <c r="O50" s="79">
        <f>N50/M50</f>
        <v>81.466666666666697</v>
      </c>
      <c r="P50" s="18">
        <f>M50-J50</f>
        <v>0</v>
      </c>
      <c r="Q50" s="19">
        <f>O50-L50</f>
        <v>-5.4777777777777459</v>
      </c>
      <c r="R50" s="193">
        <f>O50/L50</f>
        <v>0.93699680511182148</v>
      </c>
      <c r="S50" s="409"/>
      <c r="T50" s="80">
        <v>0.61805555555555558</v>
      </c>
      <c r="U50" s="80">
        <v>0.65277777777777779</v>
      </c>
      <c r="V50" s="185">
        <f t="shared" ref="V50" si="28">(T50-U49)*24*60</f>
        <v>187.00000000000006</v>
      </c>
      <c r="W50" s="81">
        <f t="shared" si="7"/>
        <v>49.999999999999986</v>
      </c>
      <c r="X50" s="22">
        <v>0.5</v>
      </c>
      <c r="Y50" s="22">
        <v>0.54166666666666663</v>
      </c>
      <c r="Z50" s="398"/>
      <c r="AA50" s="399"/>
      <c r="AB50" s="18">
        <f>N50-K50</f>
        <v>-98.599999999999454</v>
      </c>
      <c r="AC50" s="193">
        <f>N50/K50</f>
        <v>0.93699680511182148</v>
      </c>
      <c r="AD50" s="392"/>
    </row>
    <row r="51" spans="1:30" ht="15" customHeight="1" x14ac:dyDescent="0.25">
      <c r="A51" s="421"/>
      <c r="B51" s="56"/>
      <c r="C51" s="10"/>
      <c r="D51" s="11"/>
      <c r="E51" s="89"/>
      <c r="F51" s="56"/>
      <c r="G51" s="67"/>
      <c r="H51" s="77"/>
      <c r="I51" s="185"/>
      <c r="J51" s="16"/>
      <c r="K51" s="14"/>
      <c r="L51" s="17"/>
      <c r="M51" s="182"/>
      <c r="N51" s="78"/>
      <c r="O51" s="79"/>
      <c r="P51" s="18"/>
      <c r="Q51" s="19"/>
      <c r="R51" s="193"/>
      <c r="S51" s="409"/>
      <c r="T51" s="80"/>
      <c r="U51" s="44"/>
      <c r="V51" s="185"/>
      <c r="W51" s="81">
        <f t="shared" si="7"/>
        <v>0</v>
      </c>
      <c r="X51" s="22"/>
      <c r="Y51" s="22"/>
      <c r="Z51" s="400"/>
      <c r="AA51" s="400"/>
      <c r="AB51" s="51"/>
      <c r="AC51" s="52"/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29">AVERAGE(J49:J57)</f>
        <v>18</v>
      </c>
      <c r="K58" s="121">
        <f t="shared" si="29"/>
        <v>1565</v>
      </c>
      <c r="L58" s="118">
        <f t="shared" si="29"/>
        <v>86.944444444444443</v>
      </c>
      <c r="M58" s="121">
        <f t="shared" si="29"/>
        <v>18</v>
      </c>
      <c r="N58" s="121">
        <f t="shared" si="29"/>
        <v>1386.8842105263161</v>
      </c>
      <c r="O58" s="118">
        <f t="shared" si="29"/>
        <v>77.049122807017568</v>
      </c>
      <c r="P58" s="122">
        <f>M58-J58</f>
        <v>0</v>
      </c>
      <c r="Q58" s="123">
        <f>N58-K58</f>
        <v>-178.11578947368389</v>
      </c>
      <c r="R58" s="124">
        <f t="shared" ref="R58:R60" si="30">O58/L58</f>
        <v>0.88618799394652792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1">N58-K58</f>
        <v>-178.11578947368389</v>
      </c>
      <c r="AC58" s="195">
        <f t="shared" ref="AC58:AC61" si="32">N58/K58</f>
        <v>0.88618799394652792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3616</v>
      </c>
      <c r="H59" s="109">
        <f t="shared" ref="H59:H68" si="33">F59*G59</f>
        <v>97595.839999999997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34">G59/W59*60</f>
        <v>1254.104046242775</v>
      </c>
      <c r="O59" s="112">
        <f t="shared" ref="O59:O61" si="35">N59/M59</f>
        <v>96.469542018675</v>
      </c>
      <c r="P59" s="114">
        <f t="shared" ref="P59:P61" si="36">M59-J59</f>
        <v>0</v>
      </c>
      <c r="Q59" s="115">
        <f t="shared" ref="Q59:Q61" si="37">O59-L59</f>
        <v>-23.915073365940387</v>
      </c>
      <c r="R59" s="192">
        <f t="shared" si="30"/>
        <v>0.80134443849378589</v>
      </c>
      <c r="S59" s="408">
        <f>R69</f>
        <v>0.80280844126384932</v>
      </c>
      <c r="T59" s="176">
        <v>0.29166666666666669</v>
      </c>
      <c r="U59" s="176">
        <v>0.41180555555555554</v>
      </c>
      <c r="V59" s="196"/>
      <c r="W59" s="110">
        <f t="shared" si="7"/>
        <v>172.99999999999994</v>
      </c>
      <c r="X59" s="196"/>
      <c r="Y59" s="196"/>
      <c r="Z59" s="400"/>
      <c r="AA59" s="400"/>
      <c r="AB59" s="240">
        <f t="shared" si="31"/>
        <v>-310.89595375722502</v>
      </c>
      <c r="AC59" s="241">
        <f t="shared" si="32"/>
        <v>0.80134443849378589</v>
      </c>
      <c r="AD59" s="391">
        <f>AC69</f>
        <v>0.80277090273128349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1156</v>
      </c>
      <c r="H60" s="15">
        <f t="shared" si="33"/>
        <v>32911.32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4"/>
        <v>1261.0909090909099</v>
      </c>
      <c r="O60" s="17">
        <f t="shared" si="35"/>
        <v>105.09090909090916</v>
      </c>
      <c r="P60" s="18">
        <f t="shared" si="36"/>
        <v>0</v>
      </c>
      <c r="Q60" s="19">
        <f t="shared" si="37"/>
        <v>-25.325757575757493</v>
      </c>
      <c r="R60" s="193">
        <f t="shared" si="30"/>
        <v>0.8058088875980256</v>
      </c>
      <c r="S60" s="419"/>
      <c r="T60" s="206">
        <v>0.42222222222222222</v>
      </c>
      <c r="U60" s="206">
        <v>0.46041666666666664</v>
      </c>
      <c r="V60" s="185">
        <f t="shared" ref="V60:V61" si="38">(T60-U59)*24*60</f>
        <v>15.000000000000027</v>
      </c>
      <c r="W60" s="93">
        <f t="shared" si="7"/>
        <v>54.999999999999964</v>
      </c>
      <c r="X60" s="201"/>
      <c r="Y60" s="201"/>
      <c r="Z60" s="400"/>
      <c r="AA60" s="400"/>
      <c r="AB60" s="242">
        <f t="shared" si="31"/>
        <v>-303.90909090909008</v>
      </c>
      <c r="AC60" s="243">
        <f t="shared" si="32"/>
        <v>0.80580888759802549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2027</v>
      </c>
      <c r="H61" s="15">
        <f t="shared" si="33"/>
        <v>57283.020000000004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39">K61/J61</f>
        <v>130.41666666666666</v>
      </c>
      <c r="M61" s="188">
        <v>12</v>
      </c>
      <c r="N61" s="14">
        <f t="shared" si="34"/>
        <v>1253.8144329896911</v>
      </c>
      <c r="O61" s="17">
        <f t="shared" si="35"/>
        <v>104.48453608247426</v>
      </c>
      <c r="P61" s="18">
        <f t="shared" si="36"/>
        <v>0</v>
      </c>
      <c r="Q61" s="19">
        <f t="shared" si="37"/>
        <v>-25.932130584192393</v>
      </c>
      <c r="R61" s="193">
        <f>O61/L61</f>
        <v>0.80115938210203919</v>
      </c>
      <c r="S61" s="409"/>
      <c r="T61" s="20">
        <v>0.47083333333333333</v>
      </c>
      <c r="U61" s="20">
        <v>0.53819444444444442</v>
      </c>
      <c r="V61" s="185">
        <f t="shared" si="38"/>
        <v>15.000000000000027</v>
      </c>
      <c r="W61" s="91">
        <f t="shared" si="7"/>
        <v>96.999999999999972</v>
      </c>
      <c r="X61" s="22"/>
      <c r="Y61" s="22"/>
      <c r="Z61" s="400"/>
      <c r="AA61" s="400"/>
      <c r="AB61" s="51">
        <f t="shared" si="31"/>
        <v>-311.18556701030889</v>
      </c>
      <c r="AC61" s="52">
        <f t="shared" si="32"/>
        <v>0.80115938210203907</v>
      </c>
      <c r="AD61" s="392"/>
    </row>
    <row r="62" spans="1:30" ht="15" customHeight="1" x14ac:dyDescent="0.25">
      <c r="A62" s="417"/>
      <c r="B62" s="56"/>
      <c r="C62" s="10"/>
      <c r="D62" s="260"/>
      <c r="E62" s="89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7"/>
        <v>0</v>
      </c>
      <c r="X62" s="22"/>
      <c r="Y62" s="22"/>
      <c r="Z62" s="400"/>
      <c r="AA62" s="400"/>
      <c r="AB62" s="51"/>
      <c r="AC62" s="52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3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3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3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3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3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0">AVERAGE(J59:J68)</f>
        <v>12.333333333333334</v>
      </c>
      <c r="K69" s="173">
        <f t="shared" si="40"/>
        <v>1565</v>
      </c>
      <c r="L69" s="178">
        <f t="shared" si="40"/>
        <v>127.07264957264958</v>
      </c>
      <c r="M69" s="173">
        <f t="shared" si="40"/>
        <v>12.333333333333334</v>
      </c>
      <c r="N69" s="173">
        <f t="shared" si="40"/>
        <v>1256.3364627744586</v>
      </c>
      <c r="O69" s="178">
        <f t="shared" si="40"/>
        <v>102.01499573068615</v>
      </c>
      <c r="P69" s="179">
        <f>M69-J69</f>
        <v>0</v>
      </c>
      <c r="Q69" s="165">
        <f>N69-K69</f>
        <v>-308.6635372255414</v>
      </c>
      <c r="R69" s="124">
        <f>O69/L69</f>
        <v>0.80280844126384932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-308.6635372255414</v>
      </c>
      <c r="AC69" s="195">
        <f>N69/K69</f>
        <v>0.80277090273128349</v>
      </c>
      <c r="AD69" s="396"/>
    </row>
    <row r="70" spans="1:32" ht="15" customHeight="1" x14ac:dyDescent="0.25">
      <c r="A70" s="405" t="s">
        <v>58</v>
      </c>
      <c r="B70" s="207" t="str">
        <f>VLOOKUP(D70,廠價表!$C$1:$E$39,2,0)</f>
        <v>義大利麵</v>
      </c>
      <c r="C70" s="207"/>
      <c r="D70" s="106" t="s">
        <v>173</v>
      </c>
      <c r="E70" s="107"/>
      <c r="F70" s="207">
        <f>VLOOKUP(D70,廠價表!$C$1:$E$39,3,0)</f>
        <v>56.87</v>
      </c>
      <c r="G70" s="154">
        <v>2038</v>
      </c>
      <c r="H70" s="128">
        <f t="shared" ref="H70:H78" si="41">F70*G70</f>
        <v>115901.06</v>
      </c>
      <c r="I70" s="129"/>
      <c r="J70" s="111">
        <f>VLOOKUP(D70,產線配置圖!$A$2:$C$38,2,0)</f>
        <v>17</v>
      </c>
      <c r="K70" s="108">
        <f>VLOOKUP(D70,產線配置圖!$A$2:$C$38,3,0)</f>
        <v>1500</v>
      </c>
      <c r="L70" s="112">
        <f>K70/J70</f>
        <v>88.235294117647058</v>
      </c>
      <c r="M70" s="113">
        <v>17</v>
      </c>
      <c r="N70" s="83">
        <f t="shared" ref="N70" si="42">G70/W70*60</f>
        <v>1210.6930693069312</v>
      </c>
      <c r="O70" s="112">
        <f t="shared" ref="O70" si="43">N70/M70</f>
        <v>71.217239370995955</v>
      </c>
      <c r="P70" s="208">
        <f t="shared" ref="P70" si="44">M70-J70</f>
        <v>0</v>
      </c>
      <c r="Q70" s="209">
        <f t="shared" ref="Q70" si="45">O70-L70</f>
        <v>-17.018054746651103</v>
      </c>
      <c r="R70" s="192">
        <f t="shared" ref="R70" si="46">O70/L70</f>
        <v>0.80712871287128751</v>
      </c>
      <c r="S70" s="408">
        <f>R79</f>
        <v>0.8045789306820138</v>
      </c>
      <c r="T70" s="176">
        <v>0.34027777777777779</v>
      </c>
      <c r="U70" s="176">
        <v>0.41041666666666665</v>
      </c>
      <c r="V70" s="196"/>
      <c r="W70" s="110">
        <f t="shared" ref="W70:W78" si="47">(U70-T70)*24*60</f>
        <v>100.99999999999996</v>
      </c>
      <c r="X70" s="180"/>
      <c r="Y70" s="180"/>
      <c r="Z70" s="413"/>
      <c r="AA70" s="414"/>
      <c r="AB70" s="240"/>
      <c r="AC70" s="241"/>
      <c r="AD70" s="391">
        <f>AC79</f>
        <v>0.86052186470687142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7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7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7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si="41"/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7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1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7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1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7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1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7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1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7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48">AVERAGE(J69:J78)</f>
        <v>14.666666666666668</v>
      </c>
      <c r="K79" s="173">
        <f t="shared" si="48"/>
        <v>1532.5</v>
      </c>
      <c r="L79" s="178">
        <f t="shared" si="48"/>
        <v>107.65397184514832</v>
      </c>
      <c r="M79" s="173">
        <f t="shared" si="48"/>
        <v>14.666666666666668</v>
      </c>
      <c r="N79" s="173">
        <f t="shared" si="48"/>
        <v>1233.5147660406949</v>
      </c>
      <c r="O79" s="178">
        <f t="shared" si="48"/>
        <v>86.616117550841054</v>
      </c>
      <c r="P79" s="179">
        <f>M79-J79</f>
        <v>0</v>
      </c>
      <c r="Q79" s="165">
        <f>N79-K79</f>
        <v>-298.98523395930511</v>
      </c>
      <c r="R79" s="166">
        <f>O79/L79</f>
        <v>0.8045789306820138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v>-218.28328173374621</v>
      </c>
      <c r="AC79" s="195">
        <v>0.86052186470687142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C3:AC4"/>
    <mergeCell ref="AD3:AD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AD5:AD15"/>
    <mergeCell ref="Z6:AA6"/>
    <mergeCell ref="Z7:AA7"/>
    <mergeCell ref="Z8:AA8"/>
    <mergeCell ref="T3:U3"/>
    <mergeCell ref="V3:V4"/>
    <mergeCell ref="W3:W4"/>
    <mergeCell ref="X3:Y3"/>
    <mergeCell ref="Z3:AA4"/>
    <mergeCell ref="AB3:AB4"/>
    <mergeCell ref="Z12:AA12"/>
    <mergeCell ref="Z13:AA13"/>
    <mergeCell ref="AD27:AD37"/>
    <mergeCell ref="Z28:AA28"/>
    <mergeCell ref="Z29:AA29"/>
    <mergeCell ref="Z30:AA30"/>
    <mergeCell ref="Z31:AA31"/>
    <mergeCell ref="Z32:AA32"/>
    <mergeCell ref="Z33:AA33"/>
    <mergeCell ref="AD16:AD2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A38:A48"/>
    <mergeCell ref="S38:S48"/>
    <mergeCell ref="Z38:AA38"/>
    <mergeCell ref="D48:E48"/>
    <mergeCell ref="Z48:AA48"/>
    <mergeCell ref="A27:A37"/>
    <mergeCell ref="S27:S37"/>
    <mergeCell ref="Z27:AA27"/>
    <mergeCell ref="Z14:AA14"/>
    <mergeCell ref="D15:E15"/>
    <mergeCell ref="Z15:AA15"/>
    <mergeCell ref="A16:A26"/>
    <mergeCell ref="S16:S26"/>
    <mergeCell ref="Z16:AA16"/>
    <mergeCell ref="D26:E26"/>
    <mergeCell ref="Z26:AA26"/>
    <mergeCell ref="A5:A15"/>
    <mergeCell ref="S5:S15"/>
    <mergeCell ref="Z5:AA5"/>
    <mergeCell ref="AD49:AD58"/>
    <mergeCell ref="Z50:AA50"/>
    <mergeCell ref="Z51:AA51"/>
    <mergeCell ref="Z52:AA52"/>
    <mergeCell ref="Z53:AA53"/>
    <mergeCell ref="Z54:AA54"/>
    <mergeCell ref="Z55:AA55"/>
    <mergeCell ref="AD38:AD4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AD70:AD79"/>
    <mergeCell ref="Z71:AA71"/>
    <mergeCell ref="Z72:AA72"/>
    <mergeCell ref="Z73:AA73"/>
    <mergeCell ref="Z74:AA74"/>
    <mergeCell ref="Z75:AA75"/>
    <mergeCell ref="Z76:AA76"/>
    <mergeCell ref="AD59:AD6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Z59:AA59"/>
    <mergeCell ref="Z69:AA69"/>
    <mergeCell ref="Z77:AA77"/>
    <mergeCell ref="Z78:AA78"/>
    <mergeCell ref="D79:E79"/>
    <mergeCell ref="Z79:AA79"/>
    <mergeCell ref="Z9:AA9"/>
    <mergeCell ref="Z10:AA10"/>
    <mergeCell ref="Z11:AA11"/>
    <mergeCell ref="A70:A79"/>
    <mergeCell ref="S70:S79"/>
    <mergeCell ref="Z70:AA70"/>
    <mergeCell ref="Z56:AA56"/>
    <mergeCell ref="Z57:AA57"/>
    <mergeCell ref="D58:E58"/>
    <mergeCell ref="Z58:AA58"/>
    <mergeCell ref="A59:A69"/>
    <mergeCell ref="S59:S69"/>
    <mergeCell ref="D69:E69"/>
    <mergeCell ref="A49:A58"/>
    <mergeCell ref="S49:S58"/>
    <mergeCell ref="Z49:AA49"/>
    <mergeCell ref="Z34:AA34"/>
    <mergeCell ref="Z35:AA35"/>
    <mergeCell ref="Z36:AA36"/>
    <mergeCell ref="D37:E37"/>
    <mergeCell ref="Z25:AA25"/>
    <mergeCell ref="Z37:AA37"/>
  </mergeCells>
  <phoneticPr fontId="2" type="noConversion"/>
  <conditionalFormatting sqref="P5:P79">
    <cfRule type="cellIs" dxfId="138" priority="1" operator="greaterThan">
      <formula>0</formula>
    </cfRule>
  </conditionalFormatting>
  <conditionalFormatting sqref="Q5:Q79 AB5:AB79">
    <cfRule type="cellIs" dxfId="137" priority="4" operator="lessThan">
      <formula>0</formula>
    </cfRule>
  </conditionalFormatting>
  <conditionalFormatting sqref="R5:R79 AC5:AC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D59:AD62 S69:S76 AD69:AD76">
    <cfRule type="cellIs" dxfId="134" priority="7" operator="lessThan">
      <formula>0.8</formula>
    </cfRule>
  </conditionalFormatting>
  <conditionalFormatting sqref="S19:S25 AD19:AD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D5:AD8 S15:S16 AD15:AD16 AD49 AD79">
    <cfRule type="cellIs" dxfId="131" priority="9" operator="lessThan">
      <formula>0.8</formula>
    </cfRule>
  </conditionalFormatting>
  <conditionalFormatting sqref="AD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91DBE7-F3FD-4810-A02D-F0799F0C6E68}">
          <x14:formula1>
            <xm:f>廠價表!$C$2:$C$37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8074-2D44-4F33-A26B-ABF7F5D25C93}">
  <sheetPr>
    <pageSetUpPr fitToPage="1"/>
  </sheetPr>
  <dimension ref="B1:O22"/>
  <sheetViews>
    <sheetView zoomScale="70" zoomScaleNormal="70" workbookViewId="0">
      <selection activeCell="E18" sqref="E18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45949</v>
      </c>
      <c r="E3" s="383"/>
      <c r="F3" s="214" t="s">
        <v>76</v>
      </c>
      <c r="G3" s="384">
        <f>'1019'!E1</f>
        <v>56207</v>
      </c>
      <c r="H3" s="384"/>
      <c r="I3" s="214" t="s">
        <v>77</v>
      </c>
      <c r="J3" s="385">
        <f>'1019'!G1</f>
        <v>2830519.3800000004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116.9040526466997</v>
      </c>
      <c r="G6" s="362"/>
      <c r="H6" s="363">
        <f>AVERAGE(D13:H13)</f>
        <v>115.20473497091143</v>
      </c>
      <c r="I6" s="363"/>
      <c r="J6" s="363">
        <f>AVERAGE(I13:J13)</f>
        <v>125.40064102564102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107.27437790826151</v>
      </c>
      <c r="G7" s="380"/>
      <c r="H7" s="381">
        <f>AVERAGE(D14:H14)</f>
        <v>106.8926217854776</v>
      </c>
      <c r="I7" s="381"/>
      <c r="J7" s="381">
        <f>AVERAGE(I14:J14)</f>
        <v>109.1831585221811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0.91651615122201513</v>
      </c>
      <c r="G8" s="360"/>
      <c r="H8" s="360">
        <f>AVERAGE(D15:H15)</f>
        <v>0.92568445260292676</v>
      </c>
      <c r="I8" s="360"/>
      <c r="J8" s="360">
        <f>AVERAGE(I15:J15)</f>
        <v>0.870674644317457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VALUE('1019'!L15)</f>
        <v>149.22390109890108</v>
      </c>
      <c r="E13" s="227">
        <f>VALUE('1019'!L26)</f>
        <v>155.12820512820511</v>
      </c>
      <c r="F13" s="227">
        <f>VALUE('1019'!L37)</f>
        <v>98.272875816993462</v>
      </c>
      <c r="G13" s="227">
        <f>VALUE('1019'!L48)</f>
        <v>85.808823529411768</v>
      </c>
      <c r="H13" s="227">
        <f>VALUE('1019'!L58)</f>
        <v>87.58986928104575</v>
      </c>
      <c r="I13" s="227">
        <f>VALUE('1019'!L69)</f>
        <v>125.40064102564102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VALUE('1019'!O15)</f>
        <v>141.21125036093872</v>
      </c>
      <c r="E14" s="227">
        <f>VALUE('1019'!O26)</f>
        <v>143.6064283215743</v>
      </c>
      <c r="F14" s="227">
        <f>VALUE('1019'!O37)</f>
        <v>89.864588975513527</v>
      </c>
      <c r="G14" s="227">
        <f>VALUE('1019'!O48)</f>
        <v>74.937631926801032</v>
      </c>
      <c r="H14" s="227">
        <f>VALUE('1019'!O58)</f>
        <v>84.843209342560499</v>
      </c>
      <c r="I14" s="227">
        <f>VALUE('1019'!O69)</f>
        <v>109.1831585221811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0.94630450833307311</v>
      </c>
      <c r="E15" s="248">
        <f t="shared" ref="E15:I15" si="0">E14/E13</f>
        <v>0.92572738918039643</v>
      </c>
      <c r="F15" s="248">
        <f t="shared" si="0"/>
        <v>0.91443939366201021</v>
      </c>
      <c r="G15" s="248">
        <f t="shared" si="0"/>
        <v>0.87330916384275403</v>
      </c>
      <c r="H15" s="248">
        <f t="shared" si="0"/>
        <v>0.96864180799640009</v>
      </c>
      <c r="I15" s="248">
        <f t="shared" si="0"/>
        <v>0.870674644317457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'1019'!T5</f>
        <v>0.2902777777777778</v>
      </c>
      <c r="E16" s="98">
        <f>'1019'!T16</f>
        <v>0.28958333333333336</v>
      </c>
      <c r="F16" s="98">
        <f>'1019'!T27</f>
        <v>0.2951388888888889</v>
      </c>
      <c r="G16" s="98">
        <f>'1019'!T38</f>
        <v>0.3298611111111111</v>
      </c>
      <c r="H16" s="98">
        <f>'1019'!T49</f>
        <v>0.29166666666666669</v>
      </c>
      <c r="I16" s="98">
        <f>'1019'!T59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0.63749999999999996</v>
      </c>
      <c r="E17" s="41">
        <v>0.62152777777777779</v>
      </c>
      <c r="F17" s="41">
        <v>0.60624999999999996</v>
      </c>
      <c r="G17" s="59">
        <v>0.6875</v>
      </c>
      <c r="H17" s="80">
        <v>0.58472222222222225</v>
      </c>
      <c r="I17" s="20">
        <v>0.625</v>
      </c>
      <c r="J17" s="20"/>
    </row>
    <row r="18" spans="2:10" ht="17.25" customHeight="1" x14ac:dyDescent="0.25">
      <c r="B18" s="481" t="s">
        <v>105</v>
      </c>
      <c r="C18" s="355"/>
      <c r="D18" s="229">
        <f>VALUE('1019'!M15)</f>
        <v>13.25</v>
      </c>
      <c r="E18" s="229">
        <f>VALUE('1019'!M26)</f>
        <v>13</v>
      </c>
      <c r="F18" s="229">
        <f>VALUE('1019'!M37)</f>
        <v>15.666666666666666</v>
      </c>
      <c r="G18" s="229">
        <f>VALUE('1019'!M48)</f>
        <v>17</v>
      </c>
      <c r="H18" s="229">
        <f>VALUE('1019'!M58)</f>
        <v>17</v>
      </c>
      <c r="I18" s="229">
        <f>VALUE('1019'!M69)</f>
        <v>12.75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 t="s">
        <v>145</v>
      </c>
    </row>
    <row r="22" spans="2:10" x14ac:dyDescent="0.25">
      <c r="B22" s="482"/>
      <c r="C22" s="482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1691-C078-45B0-AF35-18E7ACAE137F}">
  <sheetPr>
    <tabColor theme="9" tint="0.79998168889431442"/>
    <pageSetUpPr fitToPage="1"/>
  </sheetPr>
  <dimension ref="A1:AF92"/>
  <sheetViews>
    <sheetView zoomScale="69" zoomScaleNormal="69" workbookViewId="0">
      <pane xSplit="5" ySplit="4" topLeftCell="F38" activePane="bottomRight" state="frozen"/>
      <selection activeCell="M15" sqref="M15"/>
      <selection pane="topRight" activeCell="M15" sqref="M15"/>
      <selection pane="bottomLeft" activeCell="M15" sqref="M15"/>
      <selection pane="bottomRight" activeCell="U19" sqref="U19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26.2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56207</v>
      </c>
      <c r="F1" s="185" t="s">
        <v>9</v>
      </c>
      <c r="G1" s="4">
        <f>SUM(H5:H79)</f>
        <v>2830519.3800000004</v>
      </c>
      <c r="H1" s="183" t="s">
        <v>10</v>
      </c>
      <c r="I1" s="5">
        <f>M15+M26+M48+M58+M69+M79+M37</f>
        <v>101.41666666666667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237</v>
      </c>
      <c r="B2" s="461"/>
      <c r="C2" s="184"/>
      <c r="D2" s="184" t="s">
        <v>1</v>
      </c>
      <c r="E2" s="7">
        <f>AVERAGE(O15,O26,O37,O48,O58,O69,O79)</f>
        <v>107.54706085310717</v>
      </c>
      <c r="F2" s="8" t="s">
        <v>2</v>
      </c>
      <c r="G2" s="9">
        <f>G1/E1</f>
        <v>50.358841069617668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1890</v>
      </c>
      <c r="H5" s="109">
        <f>F5*G5</f>
        <v>108126.90000000001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1955.1724137931051</v>
      </c>
      <c r="O5" s="112">
        <f>N5/M5</f>
        <v>150.397877984085</v>
      </c>
      <c r="P5" s="114">
        <f>M5-J5</f>
        <v>0</v>
      </c>
      <c r="Q5" s="115">
        <f>O5-L5</f>
        <v>-3.4482758620688401</v>
      </c>
      <c r="R5" s="192">
        <f>O5/L5</f>
        <v>0.97758620689655251</v>
      </c>
      <c r="S5" s="408">
        <f>R15</f>
        <v>0.94630450833307311</v>
      </c>
      <c r="T5" s="97">
        <v>0.2902777777777778</v>
      </c>
      <c r="U5" s="97">
        <v>0.33055555555555555</v>
      </c>
      <c r="V5" s="202"/>
      <c r="W5" s="110">
        <f t="shared" ref="W5:W14" si="0">(U5-T5)*24*60</f>
        <v>57.999999999999957</v>
      </c>
      <c r="X5" s="196"/>
      <c r="Y5" s="196"/>
      <c r="Z5" s="423"/>
      <c r="AA5" s="423"/>
      <c r="AB5" s="114">
        <f>N5-K5</f>
        <v>-44.827586206894921</v>
      </c>
      <c r="AC5" s="192">
        <f>N5/K5</f>
        <v>0.97758620689655251</v>
      </c>
      <c r="AD5" s="391">
        <f>AC15</f>
        <v>0.9465027427621483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2874</v>
      </c>
      <c r="H6" s="15">
        <f t="shared" ref="H6:H14" si="1">F6*G6</f>
        <v>164421.54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1815.1578947368423</v>
      </c>
      <c r="O6" s="17">
        <f>N6/M6</f>
        <v>129.65413533834587</v>
      </c>
      <c r="P6" s="18">
        <f>M6-J6</f>
        <v>0</v>
      </c>
      <c r="Q6" s="19">
        <f>O6-L6</f>
        <v>-5.7030075187969942</v>
      </c>
      <c r="R6" s="193">
        <f>O6/L6</f>
        <v>0.95786696292181639</v>
      </c>
      <c r="S6" s="409"/>
      <c r="T6" s="98">
        <v>0.34027777777777779</v>
      </c>
      <c r="U6" s="98">
        <v>0.40625</v>
      </c>
      <c r="V6" s="185">
        <f>(T6-U5)*24*60</f>
        <v>14.00000000000003</v>
      </c>
      <c r="W6" s="190">
        <f t="shared" si="0"/>
        <v>94.999999999999986</v>
      </c>
      <c r="X6" s="22"/>
      <c r="Y6" s="22"/>
      <c r="Z6" s="446"/>
      <c r="AA6" s="446"/>
      <c r="AB6" s="18">
        <f>N6-K6</f>
        <v>-79.842105263157691</v>
      </c>
      <c r="AC6" s="193">
        <f>N6/K6</f>
        <v>0.9578669629218165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2805</v>
      </c>
      <c r="H7" s="15">
        <f t="shared" si="1"/>
        <v>137837.70000000001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1934.4827586206911</v>
      </c>
      <c r="O7" s="17">
        <f>N7/M7</f>
        <v>148.80636604774548</v>
      </c>
      <c r="P7" s="18">
        <f>M7-J7</f>
        <v>0</v>
      </c>
      <c r="Q7" s="19">
        <f>O7-L7</f>
        <v>-5.039787798408355</v>
      </c>
      <c r="R7" s="193">
        <f>O7/L7</f>
        <v>0.96724137931034571</v>
      </c>
      <c r="S7" s="409"/>
      <c r="T7" s="98">
        <v>0.4152777777777778</v>
      </c>
      <c r="U7" s="98">
        <v>0.47569444444444442</v>
      </c>
      <c r="V7" s="185">
        <f>(T7-U6)*24*60</f>
        <v>13.000000000000034</v>
      </c>
      <c r="W7" s="190">
        <f t="shared" si="0"/>
        <v>86.999999999999929</v>
      </c>
      <c r="X7" s="22"/>
      <c r="Y7" s="22"/>
      <c r="Z7" s="400"/>
      <c r="AA7" s="400"/>
      <c r="AB7" s="18">
        <f>N7-K7</f>
        <v>-65.517241379308871</v>
      </c>
      <c r="AC7" s="193">
        <f>N7/K7</f>
        <v>0.96724137931034559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4066</v>
      </c>
      <c r="H8" s="15">
        <f t="shared" si="1"/>
        <v>199803.24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1767.8260869565217</v>
      </c>
      <c r="O8" s="17">
        <f>N8/M8</f>
        <v>135.98662207357859</v>
      </c>
      <c r="P8" s="18">
        <f>M8-J8</f>
        <v>0</v>
      </c>
      <c r="Q8" s="19">
        <f>O8-L8</f>
        <v>-17.859531772575252</v>
      </c>
      <c r="R8" s="193">
        <f>O8/L8</f>
        <v>0.88391304347826083</v>
      </c>
      <c r="S8" s="409"/>
      <c r="T8" s="80">
        <v>0.54166666666666663</v>
      </c>
      <c r="U8" s="80">
        <v>0.63749999999999996</v>
      </c>
      <c r="V8" s="185">
        <f>(T8-U7)*24*60</f>
        <v>94.999999999999986</v>
      </c>
      <c r="W8" s="190">
        <f t="shared" si="0"/>
        <v>138</v>
      </c>
      <c r="X8" s="22">
        <v>0.4861111111111111</v>
      </c>
      <c r="Y8" s="22">
        <v>0.52777777777777779</v>
      </c>
      <c r="Z8" s="447"/>
      <c r="AA8" s="447"/>
      <c r="AB8" s="18">
        <f>N8-K8</f>
        <v>-232.17391304347825</v>
      </c>
      <c r="AC8" s="193">
        <f>N8/K8</f>
        <v>0.88391304347826083</v>
      </c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13.25</v>
      </c>
      <c r="K15" s="121">
        <f t="shared" si="2"/>
        <v>1973.75</v>
      </c>
      <c r="L15" s="118">
        <f t="shared" si="2"/>
        <v>149.22390109890108</v>
      </c>
      <c r="M15" s="121">
        <f t="shared" si="2"/>
        <v>13.25</v>
      </c>
      <c r="N15" s="121">
        <f t="shared" si="2"/>
        <v>1868.1597885267902</v>
      </c>
      <c r="O15" s="118">
        <f t="shared" si="2"/>
        <v>141.21125036093872</v>
      </c>
      <c r="P15" s="122">
        <f t="shared" ref="P15:P16" si="3">M15-J15</f>
        <v>0</v>
      </c>
      <c r="Q15" s="123">
        <f t="shared" ref="Q15:Q16" si="4">O15-L15</f>
        <v>-8.0126507379623604</v>
      </c>
      <c r="R15" s="124">
        <f t="shared" ref="R15:R16" si="5">O15/L15</f>
        <v>0.94630450833307311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-105.59021147320982</v>
      </c>
      <c r="AC15" s="195">
        <f>N15/K15</f>
        <v>0.9465027427621483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2094</v>
      </c>
      <c r="H16" s="128">
        <f t="shared" ref="H16:H25" si="6">F16*G16</f>
        <v>119797.74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1847.6470588235293</v>
      </c>
      <c r="O16" s="131">
        <f>N16/M16</f>
        <v>142.12669683257917</v>
      </c>
      <c r="P16" s="132">
        <f t="shared" si="3"/>
        <v>0</v>
      </c>
      <c r="Q16" s="133">
        <f t="shared" si="4"/>
        <v>-11.719457013574669</v>
      </c>
      <c r="R16" s="197">
        <f t="shared" si="5"/>
        <v>0.9238235294117646</v>
      </c>
      <c r="S16" s="433">
        <f>R26</f>
        <v>0.92572738918039643</v>
      </c>
      <c r="T16" s="288">
        <v>0.28958333333333336</v>
      </c>
      <c r="U16" s="288">
        <v>0.33680555555555558</v>
      </c>
      <c r="V16" s="129"/>
      <c r="W16" s="134">
        <f t="shared" ref="W16:W68" si="7">(U16-T16)*24*60</f>
        <v>68</v>
      </c>
      <c r="X16" s="131"/>
      <c r="Y16" s="131"/>
      <c r="Z16" s="423"/>
      <c r="AA16" s="423"/>
      <c r="AB16" s="114">
        <f>N16-K16</f>
        <v>-152.35294117647072</v>
      </c>
      <c r="AC16" s="192">
        <f>N16/K16</f>
        <v>0.9238235294117646</v>
      </c>
      <c r="AD16" s="391">
        <f>AC26</f>
        <v>0.92555556982421572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3969</v>
      </c>
      <c r="H17" s="15">
        <f>F17*G17</f>
        <v>201109.23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1846.0465116279065</v>
      </c>
      <c r="O17" s="38">
        <f>N17/M17</f>
        <v>123.06976744186044</v>
      </c>
      <c r="P17" s="39">
        <f>M17-J17</f>
        <v>0</v>
      </c>
      <c r="Q17" s="40">
        <f>O17-L17</f>
        <v>-10.263565891472908</v>
      </c>
      <c r="R17" s="198">
        <f>O17/L17</f>
        <v>0.92302325581395317</v>
      </c>
      <c r="S17" s="434"/>
      <c r="T17" s="41">
        <v>0.34375</v>
      </c>
      <c r="U17" s="41">
        <v>0.43333333333333335</v>
      </c>
      <c r="V17" s="185">
        <f>(T17-U16)*24*60</f>
        <v>9.9999999999999645</v>
      </c>
      <c r="W17" s="43">
        <f t="shared" si="7"/>
        <v>129.00000000000003</v>
      </c>
      <c r="X17" s="44"/>
      <c r="Y17" s="44"/>
      <c r="Z17" s="399"/>
      <c r="AA17" s="400"/>
      <c r="AB17" s="18">
        <f>N17-K17</f>
        <v>-153.95348837209349</v>
      </c>
      <c r="AC17" s="193">
        <f>N17/K17</f>
        <v>0.92302325581395328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1741</v>
      </c>
      <c r="H18" s="15">
        <f>F18*G18</f>
        <v>87728.99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1899.2727272727259</v>
      </c>
      <c r="O18" s="38">
        <f>N18/M18</f>
        <v>158.27272727272717</v>
      </c>
      <c r="P18" s="39">
        <f>M18-J18</f>
        <v>0</v>
      </c>
      <c r="Q18" s="40">
        <f>O18-L18</f>
        <v>-8.3939393939394904</v>
      </c>
      <c r="R18" s="198">
        <f>O18/L18</f>
        <v>0.94963636363636306</v>
      </c>
      <c r="S18" s="434"/>
      <c r="T18" s="41">
        <v>0.44097222222222221</v>
      </c>
      <c r="U18" s="41">
        <v>0.47916666666666669</v>
      </c>
      <c r="V18" s="185">
        <f>(T18-U17)*24*60</f>
        <v>10.999999999999961</v>
      </c>
      <c r="W18" s="43">
        <f t="shared" si="7"/>
        <v>55.000000000000043</v>
      </c>
      <c r="X18" s="22"/>
      <c r="Y18" s="22"/>
      <c r="Z18" s="399"/>
      <c r="AA18" s="400"/>
      <c r="AB18" s="18">
        <f>N18-K18</f>
        <v>-100.72727272727411</v>
      </c>
      <c r="AC18" s="193">
        <f>N18/K18</f>
        <v>0.94963636363636295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3472</v>
      </c>
      <c r="H19" s="15">
        <f t="shared" ref="H19" si="8">F19*G19</f>
        <v>174954.08000000002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1811.4782608695641</v>
      </c>
      <c r="O19" s="38">
        <f>N19/M19</f>
        <v>150.95652173913035</v>
      </c>
      <c r="P19" s="39">
        <f>M19-J19</f>
        <v>0</v>
      </c>
      <c r="Q19" s="40">
        <f>O19-L19</f>
        <v>-15.710144927536305</v>
      </c>
      <c r="R19" s="198">
        <f>O19/L19</f>
        <v>0.90573913043478216</v>
      </c>
      <c r="S19" s="434"/>
      <c r="T19" s="41">
        <v>0.54166666666666663</v>
      </c>
      <c r="U19" s="41">
        <v>0.62152777777777779</v>
      </c>
      <c r="V19" s="185">
        <f>(T19-U18)*24*60</f>
        <v>89.999999999999915</v>
      </c>
      <c r="W19" s="43">
        <f t="shared" si="7"/>
        <v>115.00000000000007</v>
      </c>
      <c r="X19" s="22">
        <v>0.4861111111111111</v>
      </c>
      <c r="Y19" s="22">
        <v>0.52777777777777779</v>
      </c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1851.1111396484314</v>
      </c>
      <c r="O26" s="140">
        <f t="shared" si="10"/>
        <v>143.6064283215743</v>
      </c>
      <c r="P26" s="141">
        <f t="shared" ref="P26:P29" si="11">M26-J26</f>
        <v>0</v>
      </c>
      <c r="Q26" s="142">
        <f t="shared" ref="Q26:Q29" si="12">O26-L26</f>
        <v>-11.521776806630811</v>
      </c>
      <c r="R26" s="143">
        <f t="shared" ref="R26:R29" si="13">O26/L26</f>
        <v>0.92572738918039643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-148.88886035156861</v>
      </c>
      <c r="AC26" s="195">
        <f>N26/K26</f>
        <v>0.92555556982421572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3085</v>
      </c>
      <c r="H27" s="128">
        <f t="shared" ref="H27:H36" si="14">F27*G27</f>
        <v>170076.05000000002</v>
      </c>
      <c r="I27" s="129"/>
      <c r="J27" s="111">
        <v>15</v>
      </c>
      <c r="K27" s="252">
        <v>1565</v>
      </c>
      <c r="L27" s="112">
        <f>K27/J27</f>
        <v>104.33333333333333</v>
      </c>
      <c r="M27" s="147">
        <v>14</v>
      </c>
      <c r="N27" s="130">
        <f>G27/W27*60</f>
        <v>1351.094890510949</v>
      </c>
      <c r="O27" s="131">
        <f>N27/M27</f>
        <v>96.50677789363921</v>
      </c>
      <c r="P27" s="132">
        <f t="shared" si="11"/>
        <v>-1</v>
      </c>
      <c r="Q27" s="133">
        <f t="shared" si="12"/>
        <v>-7.8265554396941184</v>
      </c>
      <c r="R27" s="197">
        <f>O27/L27</f>
        <v>0.92498509163232479</v>
      </c>
      <c r="S27" s="433">
        <f>R37</f>
        <v>0.91443939366201021</v>
      </c>
      <c r="T27" s="97">
        <v>0.2951388888888889</v>
      </c>
      <c r="U27" s="97">
        <v>0.39027777777777778</v>
      </c>
      <c r="V27" s="129"/>
      <c r="W27" s="134">
        <f t="shared" si="7"/>
        <v>137</v>
      </c>
      <c r="X27" s="129"/>
      <c r="Y27" s="129" t="s">
        <v>158</v>
      </c>
      <c r="Z27" s="414"/>
      <c r="AA27" s="423"/>
      <c r="AB27" s="114">
        <f>N27-K27</f>
        <v>-213.90510948905103</v>
      </c>
      <c r="AC27" s="148">
        <f>N27/K27</f>
        <v>0.86331941885683638</v>
      </c>
      <c r="AD27" s="391">
        <f>AC37</f>
        <v>0.89528228231334139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2750</v>
      </c>
      <c r="H28" s="50">
        <f t="shared" si="14"/>
        <v>156392.5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17</v>
      </c>
      <c r="N28" s="36">
        <f>G28/W28*60</f>
        <v>1499.9999999999998</v>
      </c>
      <c r="O28" s="38">
        <f>N28/M28</f>
        <v>88.235294117647044</v>
      </c>
      <c r="P28" s="39">
        <f t="shared" si="11"/>
        <v>0</v>
      </c>
      <c r="Q28" s="40">
        <f t="shared" si="12"/>
        <v>0</v>
      </c>
      <c r="R28" s="198">
        <f t="shared" si="13"/>
        <v>0.99999999999999989</v>
      </c>
      <c r="S28" s="434"/>
      <c r="T28" s="291">
        <v>0.3972222222222222</v>
      </c>
      <c r="U28" s="291">
        <v>0.47361111111111109</v>
      </c>
      <c r="V28" s="42">
        <f>(T28-U27)*24*60</f>
        <v>9.9999999999999645</v>
      </c>
      <c r="W28" s="43">
        <f t="shared" si="7"/>
        <v>110.00000000000001</v>
      </c>
      <c r="X28" s="54"/>
      <c r="Y28" s="54"/>
      <c r="Z28" s="399"/>
      <c r="AA28" s="400"/>
      <c r="AB28" s="34">
        <f>N28-K28</f>
        <v>0</v>
      </c>
      <c r="AC28" s="194">
        <f>N28/K28</f>
        <v>0.99999999999999989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222</v>
      </c>
      <c r="E29" s="89"/>
      <c r="F29" s="56">
        <f>VLOOKUP(D29,廠價表!$C$1:$E$39,3,0)</f>
        <v>50.67</v>
      </c>
      <c r="G29" s="256">
        <v>2670</v>
      </c>
      <c r="H29" s="50">
        <f t="shared" si="14"/>
        <v>135288.9</v>
      </c>
      <c r="I29" s="42"/>
      <c r="J29" s="16">
        <v>16</v>
      </c>
      <c r="K29" s="14">
        <v>1636</v>
      </c>
      <c r="L29" s="251">
        <f>K29/J29</f>
        <v>102.25</v>
      </c>
      <c r="M29" s="21">
        <v>16</v>
      </c>
      <c r="N29" s="36">
        <f>G29/W29*60</f>
        <v>1357.627118644069</v>
      </c>
      <c r="O29" s="38">
        <f>N29/M29</f>
        <v>84.851694915254313</v>
      </c>
      <c r="P29" s="39">
        <f t="shared" si="11"/>
        <v>0</v>
      </c>
      <c r="Q29" s="40">
        <f t="shared" si="12"/>
        <v>-17.398305084745687</v>
      </c>
      <c r="R29" s="198">
        <f t="shared" si="13"/>
        <v>0.82984542704405195</v>
      </c>
      <c r="S29" s="434"/>
      <c r="T29" s="41">
        <v>0.52430555555555558</v>
      </c>
      <c r="U29" s="41">
        <v>0.60624999999999996</v>
      </c>
      <c r="V29" s="42">
        <f>(T29-U28)*24*60</f>
        <v>73.000000000000057</v>
      </c>
      <c r="W29" s="43">
        <f t="shared" si="7"/>
        <v>117.9999999999999</v>
      </c>
      <c r="X29" s="54">
        <v>0.47569444444444442</v>
      </c>
      <c r="Y29" s="54">
        <v>0.51736111111111116</v>
      </c>
      <c r="Z29" s="399"/>
      <c r="AA29" s="398"/>
      <c r="AB29" s="275">
        <f t="shared" ref="AB29" si="15">N29-K29</f>
        <v>-278.37288135593099</v>
      </c>
      <c r="AC29" s="276">
        <f t="shared" ref="AC29" si="16">N29/K29</f>
        <v>0.82984542704405195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7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7">AVERAGE(J27:J36)</f>
        <v>16</v>
      </c>
      <c r="K37" s="314">
        <f t="shared" si="17"/>
        <v>1567</v>
      </c>
      <c r="L37" s="315">
        <f t="shared" si="17"/>
        <v>98.272875816993462</v>
      </c>
      <c r="M37" s="314">
        <f t="shared" si="17"/>
        <v>15.666666666666666</v>
      </c>
      <c r="N37" s="314">
        <f t="shared" si="17"/>
        <v>1402.9073363850059</v>
      </c>
      <c r="O37" s="315">
        <f t="shared" si="17"/>
        <v>89.864588975513527</v>
      </c>
      <c r="P37" s="74">
        <f>M37-J37</f>
        <v>-0.33333333333333393</v>
      </c>
      <c r="Q37" s="75">
        <f>N37-K37</f>
        <v>-164.09266361499408</v>
      </c>
      <c r="R37" s="316">
        <f t="shared" ref="R37:R38" si="18">O37/L37</f>
        <v>0.91443939366201021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8" si="19">N37-K37</f>
        <v>-164.09266361499408</v>
      </c>
      <c r="AC37" s="195">
        <f t="shared" ref="AC37:AC38" si="20">N37/K37</f>
        <v>0.89528228231334139</v>
      </c>
      <c r="AD37" s="396"/>
    </row>
    <row r="38" spans="1:30" s="63" customFormat="1" ht="15" customHeight="1" x14ac:dyDescent="0.25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3344</v>
      </c>
      <c r="H38" s="64">
        <f>F38*G38</f>
        <v>166899.03999999998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17</v>
      </c>
      <c r="N38" s="130">
        <f>G38/W38*60</f>
        <v>1383.7241379310337</v>
      </c>
      <c r="O38" s="131">
        <f>N38/M38</f>
        <v>81.395537525354925</v>
      </c>
      <c r="P38" s="132">
        <f t="shared" ref="P38" si="21">M38-J38</f>
        <v>0</v>
      </c>
      <c r="Q38" s="133">
        <f t="shared" ref="Q38" si="22">O38-L38</f>
        <v>-10.663286004056843</v>
      </c>
      <c r="R38" s="197">
        <f t="shared" si="18"/>
        <v>0.8841687782306924</v>
      </c>
      <c r="S38" s="493">
        <f>R48</f>
        <v>0.87330916384275403</v>
      </c>
      <c r="T38" s="157">
        <v>0.3298611111111111</v>
      </c>
      <c r="U38" s="157">
        <v>0.43055555555555558</v>
      </c>
      <c r="V38" s="153"/>
      <c r="W38" s="158">
        <f t="shared" si="7"/>
        <v>145.00000000000006</v>
      </c>
      <c r="X38" s="155"/>
      <c r="Y38" s="159"/>
      <c r="Z38" s="427"/>
      <c r="AA38" s="427"/>
      <c r="AB38" s="319">
        <f t="shared" si="19"/>
        <v>-181.27586206896626</v>
      </c>
      <c r="AC38" s="161">
        <f t="shared" si="20"/>
        <v>0.88416877823069251</v>
      </c>
      <c r="AD38" s="388">
        <f>AC48</f>
        <v>0.87330916384275425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306"/>
      <c r="D39" s="308" t="s">
        <v>223</v>
      </c>
      <c r="E39" s="307"/>
      <c r="F39" s="56">
        <f>VLOOKUP(D39,廠價表!$C$1:$E$39,3,0)</f>
        <v>57.3</v>
      </c>
      <c r="G39" s="305">
        <v>1217</v>
      </c>
      <c r="H39" s="64">
        <f>F39*G39</f>
        <v>69734.099999999991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>K39/J39</f>
        <v>81.470588235294116</v>
      </c>
      <c r="M39" s="66">
        <v>17</v>
      </c>
      <c r="N39" s="67">
        <f>G39/W39*60</f>
        <v>1123.3846153846152</v>
      </c>
      <c r="O39" s="68">
        <f>N39/M39</f>
        <v>66.081447963800898</v>
      </c>
      <c r="P39" s="39">
        <f>M39-J39</f>
        <v>0</v>
      </c>
      <c r="Q39" s="40">
        <f>O39-L39</f>
        <v>-15.389140271493218</v>
      </c>
      <c r="R39" s="198">
        <f>O39/L39</f>
        <v>0.81110802554845873</v>
      </c>
      <c r="S39" s="494"/>
      <c r="T39" s="59">
        <v>0.4375</v>
      </c>
      <c r="U39" s="59">
        <v>0.4826388888888889</v>
      </c>
      <c r="V39" s="42">
        <f t="shared" ref="V39:V41" si="23">(T39-U38)*24*60</f>
        <v>9.9999999999999645</v>
      </c>
      <c r="W39" s="70">
        <f t="shared" si="7"/>
        <v>65.000000000000014</v>
      </c>
      <c r="X39" s="22"/>
      <c r="Y39" s="22"/>
      <c r="Z39" s="428" t="s">
        <v>238</v>
      </c>
      <c r="AA39" s="475"/>
      <c r="AB39" s="292"/>
      <c r="AC39" s="62"/>
      <c r="AD39" s="389"/>
    </row>
    <row r="40" spans="1:30" s="63" customFormat="1" ht="15" customHeight="1" x14ac:dyDescent="0.25">
      <c r="A40" s="425"/>
      <c r="B40" s="56" t="str">
        <f>VLOOKUP(D40,廠價表!$C$1:$E$39,2,0)</f>
        <v>義大利麵</v>
      </c>
      <c r="C40" s="306"/>
      <c r="D40" s="308" t="s">
        <v>223</v>
      </c>
      <c r="E40" s="307"/>
      <c r="F40" s="56">
        <f>VLOOKUP(D40,廠價表!$C$1:$E$39,3,0)</f>
        <v>57.3</v>
      </c>
      <c r="G40" s="305">
        <v>2454</v>
      </c>
      <c r="H40" s="64">
        <f>F40*G40</f>
        <v>140614.19999999998</v>
      </c>
      <c r="I40" s="65"/>
      <c r="J40" s="37">
        <f>VLOOKUP(D40,產線配置圖!$A$2:$C$38,2,0)</f>
        <v>17</v>
      </c>
      <c r="K40" s="36">
        <f>VLOOKUP(D40,產線配置圖!$A$2:$C$38,3,0)</f>
        <v>1385</v>
      </c>
      <c r="L40" s="38">
        <f>K40/J40</f>
        <v>81.470588235294116</v>
      </c>
      <c r="M40" s="66">
        <v>17</v>
      </c>
      <c r="N40" s="67">
        <f>G40/W40*60</f>
        <v>1258.4615384615379</v>
      </c>
      <c r="O40" s="68">
        <f>N40/M40</f>
        <v>74.027149321266933</v>
      </c>
      <c r="P40" s="39">
        <f>M40-J40</f>
        <v>0</v>
      </c>
      <c r="Q40" s="40">
        <f>O40-L40</f>
        <v>-7.4434389140271833</v>
      </c>
      <c r="R40" s="198">
        <f>O40/L40</f>
        <v>0.90863648986392631</v>
      </c>
      <c r="S40" s="409"/>
      <c r="T40" s="59">
        <v>0.54513888888888884</v>
      </c>
      <c r="U40" s="59">
        <v>0.62638888888888888</v>
      </c>
      <c r="V40" s="42">
        <f t="shared" si="23"/>
        <v>89.999999999999915</v>
      </c>
      <c r="W40" s="70">
        <f t="shared" si="7"/>
        <v>117.00000000000006</v>
      </c>
      <c r="X40" s="71"/>
      <c r="Y40" s="278"/>
      <c r="Z40" s="476"/>
      <c r="AA40" s="476"/>
      <c r="AB40" s="292"/>
      <c r="AC40" s="62"/>
      <c r="AD40" s="389"/>
    </row>
    <row r="41" spans="1:30" s="63" customFormat="1" ht="15" customHeight="1" x14ac:dyDescent="0.25">
      <c r="A41" s="425"/>
      <c r="B41" s="56" t="s">
        <v>140</v>
      </c>
      <c r="C41" s="10"/>
      <c r="D41" s="308" t="s">
        <v>173</v>
      </c>
      <c r="E41" s="89"/>
      <c r="F41" s="56">
        <v>56.87</v>
      </c>
      <c r="G41" s="305">
        <v>1175</v>
      </c>
      <c r="H41" s="64">
        <v>156392.5</v>
      </c>
      <c r="I41" s="65"/>
      <c r="J41" s="37">
        <v>17</v>
      </c>
      <c r="K41" s="36">
        <v>1500</v>
      </c>
      <c r="L41" s="38">
        <v>88.235294117647058</v>
      </c>
      <c r="M41" s="66">
        <v>17</v>
      </c>
      <c r="N41" s="67">
        <f>G41/W41*60</f>
        <v>1330.1886792452838</v>
      </c>
      <c r="O41" s="68">
        <f>N41/M41</f>
        <v>78.246392896781401</v>
      </c>
      <c r="P41" s="39">
        <f>M41-J41</f>
        <v>0</v>
      </c>
      <c r="Q41" s="40">
        <f>O41-L41</f>
        <v>-9.9889012208656567</v>
      </c>
      <c r="R41" s="198">
        <f>O41/L41</f>
        <v>0.88679245283018926</v>
      </c>
      <c r="S41" s="409"/>
      <c r="T41" s="59">
        <v>0.65069444444444446</v>
      </c>
      <c r="U41" s="59">
        <v>0.6875</v>
      </c>
      <c r="V41" s="42">
        <f t="shared" si="23"/>
        <v>35.000000000000036</v>
      </c>
      <c r="W41" s="70">
        <f t="shared" si="7"/>
        <v>52.999999999999972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4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4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17</v>
      </c>
      <c r="K48" s="137">
        <f t="shared" si="26"/>
        <v>1458.75</v>
      </c>
      <c r="L48" s="140">
        <f t="shared" si="26"/>
        <v>85.808823529411768</v>
      </c>
      <c r="M48" s="137">
        <f t="shared" si="26"/>
        <v>17</v>
      </c>
      <c r="N48" s="137">
        <f t="shared" si="26"/>
        <v>1273.9397427556178</v>
      </c>
      <c r="O48" s="140">
        <f t="shared" si="26"/>
        <v>74.937631926801032</v>
      </c>
      <c r="P48" s="164">
        <f>M48-J48</f>
        <v>0</v>
      </c>
      <c r="Q48" s="165">
        <f>N48-K48</f>
        <v>-184.81025724438223</v>
      </c>
      <c r="R48" s="166">
        <f>O48/L48</f>
        <v>0.87330916384275403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-184.81025724438223</v>
      </c>
      <c r="AC48" s="199">
        <f>N48/K48</f>
        <v>0.87330916384275425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7167</v>
      </c>
      <c r="H49" s="128">
        <f t="shared" ref="H49:H57" si="27">F49*G49</f>
        <v>358134.99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1487.9584775086505</v>
      </c>
      <c r="O49" s="131">
        <f>N49/M49</f>
        <v>82.664359861591691</v>
      </c>
      <c r="P49" s="171">
        <f>M49-J49</f>
        <v>0</v>
      </c>
      <c r="Q49" s="115">
        <f>O49-L49</f>
        <v>-4.2800845828527514</v>
      </c>
      <c r="R49" s="192">
        <f>O49/L49</f>
        <v>0.95077219010137415</v>
      </c>
      <c r="S49" s="408">
        <f>R58</f>
        <v>0.96864180799640009</v>
      </c>
      <c r="T49" s="157">
        <v>0.29166666666666669</v>
      </c>
      <c r="U49" s="157">
        <v>0.49236111111111114</v>
      </c>
      <c r="V49" s="196"/>
      <c r="W49" s="158">
        <f t="shared" si="7"/>
        <v>289</v>
      </c>
      <c r="X49" s="196"/>
      <c r="Y49" s="196"/>
      <c r="Z49" s="423"/>
      <c r="AA49" s="423"/>
      <c r="AB49" s="114">
        <f>N49-K49</f>
        <v>-77.041522491349497</v>
      </c>
      <c r="AC49" s="192">
        <f>N49/K49</f>
        <v>0.95077219010137415</v>
      </c>
      <c r="AD49" s="391">
        <f>AC58</f>
        <v>0.93974271408976162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789</v>
      </c>
      <c r="H50" s="77">
        <f t="shared" si="27"/>
        <v>44870.43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16</v>
      </c>
      <c r="N50" s="78">
        <f>G50/W50*60</f>
        <v>1392.3529411764689</v>
      </c>
      <c r="O50" s="79">
        <f>N50/M50</f>
        <v>87.022058823529306</v>
      </c>
      <c r="P50" s="18">
        <f>M50-J50</f>
        <v>-1</v>
      </c>
      <c r="Q50" s="19">
        <f>O50-L50</f>
        <v>-1.2132352941177516</v>
      </c>
      <c r="R50" s="193">
        <f>O50/L50</f>
        <v>0.98624999999999885</v>
      </c>
      <c r="S50" s="409"/>
      <c r="T50" s="80">
        <v>0.56111111111111112</v>
      </c>
      <c r="U50" s="80">
        <v>0.58472222222222225</v>
      </c>
      <c r="V50" s="185">
        <f t="shared" ref="V50" si="28">(T50-U49)*24*60</f>
        <v>98.999999999999972</v>
      </c>
      <c r="W50" s="81">
        <f t="shared" si="7"/>
        <v>34.000000000000043</v>
      </c>
      <c r="X50" s="22">
        <v>0.5</v>
      </c>
      <c r="Y50" s="22">
        <v>0.54166666666666663</v>
      </c>
      <c r="Z50" s="398"/>
      <c r="AA50" s="399"/>
      <c r="AB50" s="18">
        <f>N50-K50</f>
        <v>-107.6470588235311</v>
      </c>
      <c r="AC50" s="193">
        <f>N50/K50</f>
        <v>0.92823529411764594</v>
      </c>
      <c r="AD50" s="392"/>
    </row>
    <row r="51" spans="1:30" ht="15" customHeight="1" x14ac:dyDescent="0.25">
      <c r="A51" s="421"/>
      <c r="B51" s="56"/>
      <c r="C51" s="10"/>
      <c r="D51" s="11"/>
      <c r="E51" s="89"/>
      <c r="F51" s="56"/>
      <c r="G51" s="67"/>
      <c r="H51" s="77"/>
      <c r="I51" s="185"/>
      <c r="J51" s="16"/>
      <c r="K51" s="14"/>
      <c r="L51" s="17"/>
      <c r="M51" s="182"/>
      <c r="N51" s="78"/>
      <c r="O51" s="79"/>
      <c r="P51" s="18"/>
      <c r="Q51" s="19"/>
      <c r="R51" s="193"/>
      <c r="S51" s="409"/>
      <c r="T51" s="80"/>
      <c r="U51" s="44"/>
      <c r="V51" s="185"/>
      <c r="W51" s="81">
        <f t="shared" si="7"/>
        <v>0</v>
      </c>
      <c r="X51" s="22"/>
      <c r="Y51" s="22"/>
      <c r="Z51" s="400"/>
      <c r="AA51" s="400"/>
      <c r="AB51" s="51"/>
      <c r="AC51" s="52"/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29">AVERAGE(J49:J57)</f>
        <v>17.5</v>
      </c>
      <c r="K58" s="121">
        <f t="shared" si="29"/>
        <v>1532.5</v>
      </c>
      <c r="L58" s="118">
        <f t="shared" si="29"/>
        <v>87.58986928104575</v>
      </c>
      <c r="M58" s="121">
        <f t="shared" si="29"/>
        <v>17</v>
      </c>
      <c r="N58" s="121">
        <f t="shared" si="29"/>
        <v>1440.1557093425597</v>
      </c>
      <c r="O58" s="118">
        <f t="shared" si="29"/>
        <v>84.843209342560499</v>
      </c>
      <c r="P58" s="122">
        <f>M58-J58</f>
        <v>-0.5</v>
      </c>
      <c r="Q58" s="123">
        <f>N58-K58</f>
        <v>-92.344290657440297</v>
      </c>
      <c r="R58" s="124">
        <f t="shared" ref="R58:R60" si="30">O58/L58</f>
        <v>0.96864180799640009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1">N58-K58</f>
        <v>-92.344290657440297</v>
      </c>
      <c r="AC58" s="195">
        <f t="shared" ref="AC58:AC61" si="32">N58/K58</f>
        <v>0.93974271408976162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3345</v>
      </c>
      <c r="H59" s="109">
        <f t="shared" ref="H59:H68" si="33">F59*G59</f>
        <v>90281.549999999988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14</v>
      </c>
      <c r="N59" s="108">
        <f t="shared" ref="N59:N61" si="34">G59/W59*60</f>
        <v>1433.5714285714289</v>
      </c>
      <c r="O59" s="112">
        <f t="shared" ref="O59:O61" si="35">N59/M59</f>
        <v>102.39795918367349</v>
      </c>
      <c r="P59" s="114">
        <f t="shared" ref="P59:P61" si="36">M59-J59</f>
        <v>1</v>
      </c>
      <c r="Q59" s="115">
        <f t="shared" ref="Q59:Q61" si="37">O59-L59</f>
        <v>-17.986656200941894</v>
      </c>
      <c r="R59" s="192">
        <f t="shared" si="30"/>
        <v>0.85059007628610572</v>
      </c>
      <c r="S59" s="408">
        <f>R69</f>
        <v>0.870674644317457</v>
      </c>
      <c r="T59" s="176">
        <v>0.29166666666666669</v>
      </c>
      <c r="U59" s="176">
        <v>0.3888888888888889</v>
      </c>
      <c r="V59" s="196"/>
      <c r="W59" s="110">
        <f t="shared" si="7"/>
        <v>139.99999999999997</v>
      </c>
      <c r="X59" s="196"/>
      <c r="Y59" s="196"/>
      <c r="Z59" s="400"/>
      <c r="AA59" s="400"/>
      <c r="AB59" s="240">
        <f t="shared" si="31"/>
        <v>-131.4285714285711</v>
      </c>
      <c r="AC59" s="241">
        <f t="shared" si="32"/>
        <v>0.91602008215426767</v>
      </c>
      <c r="AD59" s="391">
        <f>AC69</f>
        <v>0.88910835409949041</v>
      </c>
    </row>
    <row r="60" spans="1:30" ht="15" customHeight="1" x14ac:dyDescent="0.25">
      <c r="A60" s="416"/>
      <c r="B60" s="320" t="str">
        <f>VLOOKUP(D60,廠價表!$C$1:$E$39,2,0)</f>
        <v>小吃、微波</v>
      </c>
      <c r="C60" s="321"/>
      <c r="D60" s="322" t="s">
        <v>157</v>
      </c>
      <c r="E60" s="323"/>
      <c r="F60" s="320">
        <f>VLOOKUP(D60,廠價表!$C$1:$E$39,3,0)</f>
        <v>28.47</v>
      </c>
      <c r="G60" s="186">
        <v>1251</v>
      </c>
      <c r="H60" s="324">
        <f t="shared" si="33"/>
        <v>35615.97</v>
      </c>
      <c r="I60" s="186"/>
      <c r="J60" s="31">
        <f>VLOOKUP(D60,產線配置圖!$A$2:$C$38,2,0)</f>
        <v>12</v>
      </c>
      <c r="K60" s="30">
        <f>VLOOKUP(D60,產線配置圖!$A$2:$C$38,3,0)</f>
        <v>1565</v>
      </c>
      <c r="L60" s="35">
        <f>K60/J60</f>
        <v>130.41666666666666</v>
      </c>
      <c r="M60" s="189">
        <v>12</v>
      </c>
      <c r="N60" s="30">
        <f t="shared" si="34"/>
        <v>1272.2033898305094</v>
      </c>
      <c r="O60" s="35">
        <f t="shared" si="35"/>
        <v>106.01694915254245</v>
      </c>
      <c r="P60" s="34">
        <f t="shared" si="36"/>
        <v>0</v>
      </c>
      <c r="Q60" s="325">
        <f t="shared" si="37"/>
        <v>-24.399717514124205</v>
      </c>
      <c r="R60" s="194">
        <f t="shared" si="30"/>
        <v>0.81290951426869618</v>
      </c>
      <c r="S60" s="419"/>
      <c r="T60" s="206">
        <v>0.39930555555555558</v>
      </c>
      <c r="U60" s="206">
        <v>0.44027777777777777</v>
      </c>
      <c r="V60" s="185">
        <f t="shared" ref="V60:V62" si="38">(T60-U59)*24*60</f>
        <v>15.000000000000027</v>
      </c>
      <c r="W60" s="93">
        <f t="shared" si="7"/>
        <v>58.99999999999995</v>
      </c>
      <c r="X60" s="201"/>
      <c r="Y60" s="201"/>
      <c r="Z60" s="400"/>
      <c r="AA60" s="400"/>
      <c r="AB60" s="242">
        <f t="shared" si="31"/>
        <v>-292.79661016949058</v>
      </c>
      <c r="AC60" s="243">
        <f t="shared" si="32"/>
        <v>0.81290951426869607</v>
      </c>
      <c r="AD60" s="397"/>
    </row>
    <row r="61" spans="1:30" ht="15" customHeight="1" x14ac:dyDescent="0.25">
      <c r="A61" s="502"/>
      <c r="B61" s="56" t="str">
        <f>VLOOKUP(D61,廠價表!$C$1:$E$39,2,0)</f>
        <v>小吃、微波</v>
      </c>
      <c r="C61" s="329"/>
      <c r="D61" s="330" t="s">
        <v>143</v>
      </c>
      <c r="E61" s="330"/>
      <c r="F61" s="56">
        <f>VLOOKUP(D61,廠價表!$C$1:$E$39,3,0)</f>
        <v>28.26</v>
      </c>
      <c r="G61" s="42">
        <v>2486</v>
      </c>
      <c r="H61" s="50">
        <f t="shared" si="33"/>
        <v>70254.36</v>
      </c>
      <c r="I61" s="42"/>
      <c r="J61" s="37">
        <f>VLOOKUP(D61,產線配置圖!$A$2:$C$38,2,0)</f>
        <v>12</v>
      </c>
      <c r="K61" s="36">
        <f>VLOOKUP(D61,產線配置圖!$A$2:$C$38,3,0)</f>
        <v>1565</v>
      </c>
      <c r="L61" s="38">
        <f t="shared" ref="L61" si="39">K61/J61</f>
        <v>130.41666666666666</v>
      </c>
      <c r="M61" s="21">
        <v>12</v>
      </c>
      <c r="N61" s="36">
        <f t="shared" si="34"/>
        <v>1297.0434782608697</v>
      </c>
      <c r="O61" s="38">
        <f t="shared" si="35"/>
        <v>108.08695652173914</v>
      </c>
      <c r="P61" s="39">
        <f t="shared" si="36"/>
        <v>0</v>
      </c>
      <c r="Q61" s="40">
        <f t="shared" si="37"/>
        <v>-22.329710144927517</v>
      </c>
      <c r="R61" s="198">
        <f>O61/L61</f>
        <v>0.82878177524656216</v>
      </c>
      <c r="S61" s="494"/>
      <c r="T61" s="20">
        <v>0.4513888888888889</v>
      </c>
      <c r="U61" s="20">
        <v>0.53125</v>
      </c>
      <c r="V61" s="185">
        <f t="shared" si="38"/>
        <v>16.000000000000021</v>
      </c>
      <c r="W61" s="91">
        <f t="shared" si="7"/>
        <v>114.99999999999999</v>
      </c>
      <c r="X61" s="22">
        <v>0.53819444444444442</v>
      </c>
      <c r="Y61" s="22">
        <v>0.57986111111111116</v>
      </c>
      <c r="Z61" s="400"/>
      <c r="AA61" s="400"/>
      <c r="AB61" s="51">
        <f t="shared" si="31"/>
        <v>-267.95652173913027</v>
      </c>
      <c r="AC61" s="52">
        <f t="shared" si="32"/>
        <v>0.82878177524656216</v>
      </c>
      <c r="AD61" s="392"/>
    </row>
    <row r="62" spans="1:30" ht="15" customHeight="1" x14ac:dyDescent="0.25">
      <c r="A62" s="502"/>
      <c r="B62" s="56" t="str">
        <f>VLOOKUP(D62,廠價表!$C$1:$E$39,2,0)</f>
        <v>小吃、微波</v>
      </c>
      <c r="C62" s="329"/>
      <c r="D62" s="330" t="s">
        <v>128</v>
      </c>
      <c r="E62" s="330"/>
      <c r="F62" s="56">
        <f>VLOOKUP(D62,廠價表!$C$1:$E$39,3,0)</f>
        <v>26.99</v>
      </c>
      <c r="G62" s="42">
        <v>1563</v>
      </c>
      <c r="H62" s="50">
        <f t="shared" ref="H62" si="40">F62*G62</f>
        <v>42185.369999999995</v>
      </c>
      <c r="I62" s="42"/>
      <c r="J62" s="37">
        <f>VLOOKUP(D62,產線配置圖!$A$2:$C$38,2,0)</f>
        <v>13</v>
      </c>
      <c r="K62" s="36">
        <f>VLOOKUP(D62,產線配置圖!$A$2:$C$38,3,0)</f>
        <v>1565</v>
      </c>
      <c r="L62" s="38">
        <f>K62/J62</f>
        <v>120.38461538461539</v>
      </c>
      <c r="M62" s="21">
        <v>13</v>
      </c>
      <c r="N62" s="36">
        <f t="shared" ref="N62" si="41">G62/W62*60</f>
        <v>1563.0000000000016</v>
      </c>
      <c r="O62" s="38">
        <f t="shared" ref="O62" si="42">N62/M62</f>
        <v>120.23076923076935</v>
      </c>
      <c r="P62" s="39">
        <f t="shared" ref="P62" si="43">M62-J62</f>
        <v>0</v>
      </c>
      <c r="Q62" s="40">
        <f t="shared" ref="Q62" si="44">O62-L62</f>
        <v>-0.15384615384603251</v>
      </c>
      <c r="R62" s="198">
        <f t="shared" ref="R62" si="45">O62/L62</f>
        <v>0.99872204472843551</v>
      </c>
      <c r="S62" s="494"/>
      <c r="T62" s="20">
        <v>0.58333333333333337</v>
      </c>
      <c r="U62" s="20">
        <v>0.625</v>
      </c>
      <c r="V62" s="185">
        <f t="shared" si="38"/>
        <v>75.000000000000057</v>
      </c>
      <c r="W62" s="93">
        <f t="shared" si="7"/>
        <v>59.999999999999943</v>
      </c>
      <c r="X62" s="22"/>
      <c r="Y62" s="22"/>
      <c r="Z62" s="400"/>
      <c r="AA62" s="400"/>
      <c r="AB62" s="51"/>
      <c r="AC62" s="52"/>
      <c r="AD62" s="392"/>
    </row>
    <row r="63" spans="1:30" ht="15" customHeight="1" x14ac:dyDescent="0.25">
      <c r="A63" s="502"/>
      <c r="B63" s="56"/>
      <c r="C63" s="329"/>
      <c r="D63" s="330"/>
      <c r="E63" s="330"/>
      <c r="F63" s="56"/>
      <c r="G63" s="42"/>
      <c r="H63" s="50"/>
      <c r="I63" s="42"/>
      <c r="J63" s="37"/>
      <c r="K63" s="36"/>
      <c r="L63" s="38"/>
      <c r="M63" s="21"/>
      <c r="N63" s="36"/>
      <c r="O63" s="38"/>
      <c r="P63" s="39"/>
      <c r="Q63" s="40"/>
      <c r="R63" s="198"/>
      <c r="S63" s="494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201"/>
      <c r="C64" s="326"/>
      <c r="D64" s="260"/>
      <c r="E64" s="261"/>
      <c r="F64" s="238"/>
      <c r="G64" s="201"/>
      <c r="H64" s="77">
        <f t="shared" si="33"/>
        <v>0</v>
      </c>
      <c r="I64" s="201"/>
      <c r="J64" s="301"/>
      <c r="K64" s="78"/>
      <c r="L64" s="79"/>
      <c r="M64" s="327"/>
      <c r="N64" s="78"/>
      <c r="O64" s="79"/>
      <c r="P64" s="51"/>
      <c r="Q64" s="328"/>
      <c r="R64" s="52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3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3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3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3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6">AVERAGE(J59:J68)</f>
        <v>12.5</v>
      </c>
      <c r="K69" s="173">
        <f t="shared" si="46"/>
        <v>1565</v>
      </c>
      <c r="L69" s="178">
        <f t="shared" si="46"/>
        <v>125.40064102564102</v>
      </c>
      <c r="M69" s="173">
        <f t="shared" si="46"/>
        <v>12.75</v>
      </c>
      <c r="N69" s="173">
        <f t="shared" si="46"/>
        <v>1391.4545741657025</v>
      </c>
      <c r="O69" s="178">
        <f t="shared" si="46"/>
        <v>109.1831585221811</v>
      </c>
      <c r="P69" s="179">
        <f>M69-J69</f>
        <v>0.25</v>
      </c>
      <c r="Q69" s="165">
        <f>N69-K69</f>
        <v>-173.54542583429748</v>
      </c>
      <c r="R69" s="124">
        <f>O69/L69</f>
        <v>0.870674644317457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-173.54542583429748</v>
      </c>
      <c r="AC69" s="195">
        <f>N69/K69</f>
        <v>0.88910835409949041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54"/>
      <c r="H70" s="128"/>
      <c r="I70" s="129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0.870674644317457</v>
      </c>
      <c r="T70" s="176"/>
      <c r="U70" s="176"/>
      <c r="V70" s="196"/>
      <c r="W70" s="110">
        <f t="shared" ref="W70:W78" si="47">(U70-T70)*24*60</f>
        <v>0</v>
      </c>
      <c r="X70" s="180"/>
      <c r="Y70" s="180"/>
      <c r="Z70" s="413"/>
      <c r="AA70" s="414"/>
      <c r="AB70" s="240"/>
      <c r="AC70" s="241"/>
      <c r="AD70" s="391">
        <f>AC79</f>
        <v>0.86052186470687142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7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7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7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48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7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8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7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8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7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8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7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8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7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49">AVERAGE(J69:J78)</f>
        <v>12.5</v>
      </c>
      <c r="K79" s="173">
        <f t="shared" si="49"/>
        <v>1565</v>
      </c>
      <c r="L79" s="178">
        <f t="shared" si="49"/>
        <v>125.40064102564102</v>
      </c>
      <c r="M79" s="173">
        <f t="shared" si="49"/>
        <v>12.75</v>
      </c>
      <c r="N79" s="173">
        <f t="shared" si="49"/>
        <v>1391.4545741657025</v>
      </c>
      <c r="O79" s="178">
        <f t="shared" si="49"/>
        <v>109.1831585221811</v>
      </c>
      <c r="P79" s="179">
        <f>M79-J79</f>
        <v>0.25</v>
      </c>
      <c r="Q79" s="165">
        <f>N79-K79</f>
        <v>-173.54542583429748</v>
      </c>
      <c r="R79" s="166">
        <f>O79/L79</f>
        <v>0.870674644317457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v>-218.28328173374621</v>
      </c>
      <c r="AC79" s="195">
        <v>0.86052186470687142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28" priority="1" operator="greaterThan">
      <formula>0</formula>
    </cfRule>
  </conditionalFormatting>
  <conditionalFormatting sqref="Q5:Q79 AB5:AB79">
    <cfRule type="cellIs" dxfId="127" priority="4" operator="lessThan">
      <formula>0</formula>
    </cfRule>
  </conditionalFormatting>
  <conditionalFormatting sqref="R5:R79 AC5:AC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D59:AD62 S69:S76 AD69:AD76">
    <cfRule type="cellIs" dxfId="124" priority="7" operator="lessThan">
      <formula>0.8</formula>
    </cfRule>
  </conditionalFormatting>
  <conditionalFormatting sqref="S19:S25 AD19:AD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D5:AD8 S15:S16 AD15:AD16 AD49 AD79">
    <cfRule type="cellIs" dxfId="121" priority="9" operator="lessThan">
      <formula>0.8</formula>
    </cfRule>
  </conditionalFormatting>
  <conditionalFormatting sqref="AD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88C3C2-E09D-4F63-BA9C-67DB410A7902}">
          <x14:formula1>
            <xm:f>廠價表!$C$2:$C$37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6FD3-9545-4288-A277-CA26224DB728}">
  <sheetPr>
    <pageSetUpPr fitToPage="1"/>
  </sheetPr>
  <dimension ref="B1:O22"/>
  <sheetViews>
    <sheetView zoomScale="70" zoomScaleNormal="70" workbookViewId="0">
      <selection activeCell="I18" sqref="I18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45950</v>
      </c>
      <c r="E3" s="383"/>
      <c r="F3" s="214" t="s">
        <v>76</v>
      </c>
      <c r="G3" s="384">
        <f>'1020'!E1</f>
        <v>56180</v>
      </c>
      <c r="H3" s="384"/>
      <c r="I3" s="214" t="s">
        <v>77</v>
      </c>
      <c r="J3" s="385">
        <f>'1020'!G1</f>
        <v>2744415.9999999995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116.93644957983194</v>
      </c>
      <c r="G6" s="362"/>
      <c r="H6" s="363">
        <f>AVERAGE(D13:H13)</f>
        <v>115.04297026502908</v>
      </c>
      <c r="I6" s="363"/>
      <c r="J6" s="363">
        <f>AVERAGE(I13:J13)</f>
        <v>126.40384615384615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108.0425563984482</v>
      </c>
      <c r="G7" s="380"/>
      <c r="H7" s="381">
        <f>AVERAGE(D14:H14)</f>
        <v>106.97292274744059</v>
      </c>
      <c r="I7" s="381"/>
      <c r="J7" s="381">
        <f>AVERAGE(I14:J14)</f>
        <v>113.39072465348629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0.92674166355153609</v>
      </c>
      <c r="G8" s="360"/>
      <c r="H8" s="360">
        <f>AVERAGE(D15:H15)</f>
        <v>0.93267975186868068</v>
      </c>
      <c r="I8" s="360"/>
      <c r="J8" s="360">
        <f>AVERAGE(I15:J15)</f>
        <v>0.89705122196581277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VALUE('1020'!L15)</f>
        <v>149.22390109890108</v>
      </c>
      <c r="E13" s="227">
        <f>VALUE('1020'!L26)</f>
        <v>155.12820512820511</v>
      </c>
      <c r="F13" s="227">
        <f>VALUE('1020'!L37)</f>
        <v>98.272875816993462</v>
      </c>
      <c r="G13" s="227">
        <f>VALUE('1020'!L48)</f>
        <v>85</v>
      </c>
      <c r="H13" s="227">
        <f>VALUE('1020'!L58)</f>
        <v>87.58986928104575</v>
      </c>
      <c r="I13" s="227">
        <f>VALUE('1020'!L69)</f>
        <v>126.40384615384615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VALUE('1020'!O15)</f>
        <v>135.38768762467643</v>
      </c>
      <c r="E14" s="227">
        <f>VALUE('1020'!O26)</f>
        <v>145.24012264888944</v>
      </c>
      <c r="F14" s="227">
        <f>VALUE('1020'!O37)</f>
        <v>88.5920408422121</v>
      </c>
      <c r="G14" s="227">
        <f>VALUE('1020'!O48)</f>
        <v>78.279557079748884</v>
      </c>
      <c r="H14" s="227">
        <f>VALUE('1020'!O58)</f>
        <v>87.365205541676119</v>
      </c>
      <c r="I14" s="227">
        <f>VALUE('1020'!O69)</f>
        <v>113.39072465348629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0.90727883822676347</v>
      </c>
      <c r="E15" s="248">
        <f t="shared" ref="E15:I15" si="0">E14/E13</f>
        <v>0.9362586418688742</v>
      </c>
      <c r="F15" s="248">
        <f t="shared" si="0"/>
        <v>0.90149026479280725</v>
      </c>
      <c r="G15" s="248">
        <f t="shared" si="0"/>
        <v>0.92093596564410451</v>
      </c>
      <c r="H15" s="248">
        <f t="shared" si="0"/>
        <v>0.99743504881085321</v>
      </c>
      <c r="I15" s="248">
        <f t="shared" si="0"/>
        <v>0.89705122196581277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'1020'!T5</f>
        <v>0.2902777777777778</v>
      </c>
      <c r="E16" s="98">
        <f>'1020'!T16</f>
        <v>0.28888888888888886</v>
      </c>
      <c r="F16" s="98">
        <f>'1020'!T27</f>
        <v>0.29236111111111113</v>
      </c>
      <c r="G16" s="98">
        <f>'1020'!T38</f>
        <v>0.33333333333333331</v>
      </c>
      <c r="H16" s="98">
        <f>'1020'!T49</f>
        <v>0.29166666666666669</v>
      </c>
      <c r="I16" s="98">
        <f>'1020'!T59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0.63749999999999996</v>
      </c>
      <c r="E17" s="41">
        <v>0.62569444444444444</v>
      </c>
      <c r="F17" s="41">
        <v>0.62847222222222221</v>
      </c>
      <c r="G17" s="59">
        <v>0.64583333333333337</v>
      </c>
      <c r="H17" s="80">
        <v>0.59375</v>
      </c>
      <c r="I17" s="20">
        <v>0.62083333333333335</v>
      </c>
      <c r="J17" s="20"/>
    </row>
    <row r="18" spans="2:10" ht="17.25" customHeight="1" x14ac:dyDescent="0.25">
      <c r="B18" s="481" t="s">
        <v>105</v>
      </c>
      <c r="C18" s="355"/>
      <c r="D18" s="229">
        <f>VALUE('1020'!M15)</f>
        <v>13.25</v>
      </c>
      <c r="E18" s="229">
        <f>VALUE('1020'!M26)</f>
        <v>13</v>
      </c>
      <c r="F18" s="229">
        <f>VALUE('1020'!M37)</f>
        <v>15.333333333333334</v>
      </c>
      <c r="G18" s="229">
        <f>VALUE('1020'!M48)</f>
        <v>16.333333333333332</v>
      </c>
      <c r="H18" s="229">
        <f>VALUE('1020'!M58)</f>
        <v>17.5</v>
      </c>
      <c r="I18" s="229">
        <f>VALUE('1020'!M69)</f>
        <v>12.4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303D-E9FD-4241-B2EF-425C1DCD86AC}">
  <sheetPr>
    <tabColor theme="9" tint="0.79998168889431442"/>
    <pageSetUpPr fitToPage="1"/>
  </sheetPr>
  <dimension ref="A1:AF92"/>
  <sheetViews>
    <sheetView zoomScale="69" zoomScaleNormal="69" workbookViewId="0">
      <pane xSplit="5" ySplit="4" topLeftCell="J5" activePane="bottomRight" state="frozen"/>
      <selection activeCell="M15" sqref="M15"/>
      <selection pane="topRight" activeCell="M15" sqref="M15"/>
      <selection pane="bottomLeft" activeCell="M15" sqref="M15"/>
      <selection pane="bottomRight" activeCell="AB85" sqref="AB85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56180</v>
      </c>
      <c r="F1" s="185" t="s">
        <v>9</v>
      </c>
      <c r="G1" s="4">
        <f>SUM(H5:H79)</f>
        <v>2744415.9999999995</v>
      </c>
      <c r="H1" s="183" t="s">
        <v>10</v>
      </c>
      <c r="I1" s="5">
        <f>M15+M26+M48+M58+M69+M79+M37</f>
        <v>87.816666666666663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239</v>
      </c>
      <c r="B2" s="461"/>
      <c r="C2" s="184"/>
      <c r="D2" s="184" t="s">
        <v>1</v>
      </c>
      <c r="E2" s="7">
        <f>AVERAGE(O15,O26,O37,O48,O58,O69,O79)</f>
        <v>108.0425563984482</v>
      </c>
      <c r="F2" s="8" t="s">
        <v>2</v>
      </c>
      <c r="G2" s="9">
        <f>G1/E1</f>
        <v>48.850409398362402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1994</v>
      </c>
      <c r="H5" s="109">
        <f>F5*G5</f>
        <v>114076.74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1840.6153846153866</v>
      </c>
      <c r="O5" s="112">
        <f>N5/M5</f>
        <v>141.5857988165682</v>
      </c>
      <c r="P5" s="114">
        <f>M5-J5</f>
        <v>0</v>
      </c>
      <c r="Q5" s="115">
        <f>O5-L5</f>
        <v>-12.260355029585639</v>
      </c>
      <c r="R5" s="192">
        <f>O5/L5</f>
        <v>0.92030769230769338</v>
      </c>
      <c r="S5" s="408">
        <f>R15</f>
        <v>0.90727883822676347</v>
      </c>
      <c r="T5" s="97">
        <v>0.2902777777777778</v>
      </c>
      <c r="U5" s="97">
        <v>0.33541666666666664</v>
      </c>
      <c r="V5" s="202"/>
      <c r="W5" s="110">
        <f t="shared" ref="W5:W14" si="0">(U5-T5)*24*60</f>
        <v>64.999999999999929</v>
      </c>
      <c r="X5" s="196"/>
      <c r="Y5" s="196"/>
      <c r="Z5" s="423"/>
      <c r="AA5" s="423"/>
      <c r="AB5" s="114">
        <f>N5-K5</f>
        <v>-159.38461538461343</v>
      </c>
      <c r="AC5" s="192">
        <f>N5/K5</f>
        <v>0.92030769230769327</v>
      </c>
      <c r="AD5" s="391">
        <f>AC15</f>
        <v>0.9050372027005632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2894</v>
      </c>
      <c r="H6" s="15">
        <f t="shared" ref="H6:H14" si="1">F6*G6</f>
        <v>165565.74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1471.5254237288136</v>
      </c>
      <c r="O6" s="17">
        <f>N6/M6</f>
        <v>105.10895883777241</v>
      </c>
      <c r="P6" s="18">
        <f>M6-J6</f>
        <v>0</v>
      </c>
      <c r="Q6" s="19">
        <f>O6-L6</f>
        <v>-30.248184019370456</v>
      </c>
      <c r="R6" s="193">
        <f>O6/L6</f>
        <v>0.7765305666115111</v>
      </c>
      <c r="S6" s="409"/>
      <c r="T6" s="98">
        <v>0.34375</v>
      </c>
      <c r="U6" s="98">
        <v>0.42569444444444443</v>
      </c>
      <c r="V6" s="185">
        <f>(T6-U5)*24*60</f>
        <v>12.000000000000037</v>
      </c>
      <c r="W6" s="190">
        <f t="shared" si="0"/>
        <v>117.99999999999999</v>
      </c>
      <c r="X6" s="22"/>
      <c r="Y6" s="22"/>
      <c r="Z6" s="446" t="s">
        <v>240</v>
      </c>
      <c r="AA6" s="446"/>
      <c r="AB6" s="18">
        <f>N6-K6</f>
        <v>-423.47457627118638</v>
      </c>
      <c r="AC6" s="193">
        <f>N6/K6</f>
        <v>0.7765305666115111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2697</v>
      </c>
      <c r="H7" s="15">
        <f t="shared" si="1"/>
        <v>132530.57999999999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1881.627906976744</v>
      </c>
      <c r="O7" s="17">
        <f>N7/M7</f>
        <v>144.74060822898031</v>
      </c>
      <c r="P7" s="18">
        <f>M7-J7</f>
        <v>0</v>
      </c>
      <c r="Q7" s="19">
        <f>O7-L7</f>
        <v>-9.1055456171735329</v>
      </c>
      <c r="R7" s="193">
        <f>O7/L7</f>
        <v>0.94081395348837205</v>
      </c>
      <c r="S7" s="409"/>
      <c r="T7" s="98">
        <v>0.43333333333333335</v>
      </c>
      <c r="U7" s="98">
        <v>0.49305555555555558</v>
      </c>
      <c r="V7" s="185">
        <f>(T7-U6)*24*60</f>
        <v>11.000000000000041</v>
      </c>
      <c r="W7" s="190">
        <f t="shared" si="0"/>
        <v>86.000000000000014</v>
      </c>
      <c r="X7" s="22"/>
      <c r="Y7" s="22"/>
      <c r="Z7" s="400"/>
      <c r="AA7" s="400"/>
      <c r="AB7" s="18">
        <f>N7-K7</f>
        <v>-118.37209302325596</v>
      </c>
      <c r="AC7" s="193">
        <f>N7/K7</f>
        <v>0.94081395348837205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3903</v>
      </c>
      <c r="H8" s="15">
        <f t="shared" si="1"/>
        <v>191793.42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1951.500000000002</v>
      </c>
      <c r="O8" s="17">
        <f>N8/M8</f>
        <v>150.11538461538478</v>
      </c>
      <c r="P8" s="18">
        <f>M8-J8</f>
        <v>0</v>
      </c>
      <c r="Q8" s="19">
        <f>O8-L8</f>
        <v>-3.7307692307690559</v>
      </c>
      <c r="R8" s="193">
        <f>O8/L8</f>
        <v>0.97575000000000112</v>
      </c>
      <c r="S8" s="409"/>
      <c r="T8" s="80">
        <v>0.5541666666666667</v>
      </c>
      <c r="U8" s="80">
        <v>0.63749999999999996</v>
      </c>
      <c r="V8" s="185">
        <f>(T8-U7)*24*60</f>
        <v>88</v>
      </c>
      <c r="W8" s="190">
        <f t="shared" si="0"/>
        <v>119.99999999999989</v>
      </c>
      <c r="X8" s="22">
        <v>0.5</v>
      </c>
      <c r="Y8" s="22">
        <v>0.54166666666666663</v>
      </c>
      <c r="Z8" s="447"/>
      <c r="AA8" s="447"/>
      <c r="AB8" s="18">
        <f>N8-K8</f>
        <v>-48.499999999997954</v>
      </c>
      <c r="AC8" s="193">
        <f>N8/K8</f>
        <v>0.97575000000000101</v>
      </c>
      <c r="AD8" s="392"/>
    </row>
    <row r="9" spans="1:30" ht="15" customHeight="1" x14ac:dyDescent="0.25">
      <c r="A9" s="466"/>
      <c r="B9" s="56"/>
      <c r="C9" s="23"/>
      <c r="D9" s="11"/>
      <c r="E9" s="12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13.25</v>
      </c>
      <c r="K15" s="121">
        <f t="shared" si="2"/>
        <v>1973.75</v>
      </c>
      <c r="L15" s="118">
        <f t="shared" si="2"/>
        <v>149.22390109890108</v>
      </c>
      <c r="M15" s="121">
        <f t="shared" si="2"/>
        <v>13.25</v>
      </c>
      <c r="N15" s="121">
        <f t="shared" si="2"/>
        <v>1786.3171788302366</v>
      </c>
      <c r="O15" s="118">
        <f t="shared" si="2"/>
        <v>135.38768762467643</v>
      </c>
      <c r="P15" s="122">
        <f t="shared" ref="P15:P16" si="3">M15-J15</f>
        <v>0</v>
      </c>
      <c r="Q15" s="123">
        <f t="shared" ref="Q15:Q16" si="4">O15-L15</f>
        <v>-13.83621347422465</v>
      </c>
      <c r="R15" s="124">
        <f t="shared" ref="R15:R16" si="5">O15/L15</f>
        <v>0.90727883822676347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-187.43282116976343</v>
      </c>
      <c r="AC15" s="195">
        <f>N15/K15</f>
        <v>0.9050372027005632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2199</v>
      </c>
      <c r="H16" s="128">
        <f t="shared" ref="H16:H25" si="6">F16*G16</f>
        <v>125804.79000000001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1832.4999999999986</v>
      </c>
      <c r="O16" s="131">
        <f>N16/M16</f>
        <v>140.96153846153837</v>
      </c>
      <c r="P16" s="132">
        <f t="shared" si="3"/>
        <v>0</v>
      </c>
      <c r="Q16" s="133">
        <f t="shared" si="4"/>
        <v>-12.884615384615472</v>
      </c>
      <c r="R16" s="197">
        <f t="shared" si="5"/>
        <v>0.91624999999999945</v>
      </c>
      <c r="S16" s="433">
        <f>R26</f>
        <v>0.9362586418688742</v>
      </c>
      <c r="T16" s="288">
        <v>0.28888888888888886</v>
      </c>
      <c r="U16" s="288">
        <v>0.33888888888888891</v>
      </c>
      <c r="V16" s="129"/>
      <c r="W16" s="134">
        <f t="shared" ref="W16:W68" si="7">(U16-T16)*24*60</f>
        <v>72.000000000000057</v>
      </c>
      <c r="X16" s="131"/>
      <c r="Y16" s="131"/>
      <c r="Z16" s="423"/>
      <c r="AA16" s="423"/>
      <c r="AB16" s="114">
        <f>N16-K16</f>
        <v>-167.50000000000136</v>
      </c>
      <c r="AC16" s="192">
        <f>N16/K16</f>
        <v>0.91624999999999934</v>
      </c>
      <c r="AD16" s="391">
        <f>AC26</f>
        <v>0.93460638274648355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4008</v>
      </c>
      <c r="H17" s="15">
        <f>F17*G17</f>
        <v>203085.36000000002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1821.8181818181818</v>
      </c>
      <c r="O17" s="38">
        <f>N17/M17</f>
        <v>121.45454545454545</v>
      </c>
      <c r="P17" s="39">
        <f>M17-J17</f>
        <v>0</v>
      </c>
      <c r="Q17" s="40">
        <f>O17-L17</f>
        <v>-11.87878787878789</v>
      </c>
      <c r="R17" s="198">
        <f>O17/L17</f>
        <v>0.91090909090909078</v>
      </c>
      <c r="S17" s="434"/>
      <c r="T17" s="41">
        <v>0.34722222222222221</v>
      </c>
      <c r="U17" s="41">
        <v>0.43888888888888888</v>
      </c>
      <c r="V17" s="185">
        <f>(T17-U16)*24*60</f>
        <v>11.999999999999957</v>
      </c>
      <c r="W17" s="43">
        <f t="shared" si="7"/>
        <v>132</v>
      </c>
      <c r="X17" s="44"/>
      <c r="Y17" s="44"/>
      <c r="Z17" s="399"/>
      <c r="AA17" s="400"/>
      <c r="AB17" s="18">
        <f>N17-K17</f>
        <v>-178.18181818181824</v>
      </c>
      <c r="AC17" s="193">
        <f>N17/K17</f>
        <v>0.91090909090909089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2157</v>
      </c>
      <c r="H18" s="15">
        <f>F18*G18</f>
        <v>108691.23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1931.641791044776</v>
      </c>
      <c r="O18" s="38">
        <f>N18/M18</f>
        <v>160.97014925373134</v>
      </c>
      <c r="P18" s="39">
        <f>M18-J18</f>
        <v>0</v>
      </c>
      <c r="Q18" s="40">
        <f>O18-L18</f>
        <v>-5.6965174129353215</v>
      </c>
      <c r="R18" s="198">
        <f>O18/L18</f>
        <v>0.96582089552238803</v>
      </c>
      <c r="S18" s="434"/>
      <c r="T18" s="41">
        <v>0.4465277777777778</v>
      </c>
      <c r="U18" s="41">
        <v>0.49305555555555558</v>
      </c>
      <c r="V18" s="185">
        <f>(T18-U17)*24*60</f>
        <v>11.000000000000041</v>
      </c>
      <c r="W18" s="43">
        <f t="shared" si="7"/>
        <v>67</v>
      </c>
      <c r="X18" s="22"/>
      <c r="Y18" s="22"/>
      <c r="Z18" s="399"/>
      <c r="AA18" s="400"/>
      <c r="AB18" s="18">
        <f>N18-K18</f>
        <v>-68.358208955223972</v>
      </c>
      <c r="AC18" s="193">
        <f>N18/K18</f>
        <v>0.96582089552238803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3183</v>
      </c>
      <c r="H19" s="15">
        <f t="shared" ref="H19" si="8">F19*G19</f>
        <v>160391.37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1890.8910891089117</v>
      </c>
      <c r="O19" s="38">
        <f>N19/M19</f>
        <v>157.57425742574264</v>
      </c>
      <c r="P19" s="39">
        <f>M19-J19</f>
        <v>0</v>
      </c>
      <c r="Q19" s="40">
        <f>O19-L19</f>
        <v>-9.0924092409240131</v>
      </c>
      <c r="R19" s="198">
        <f>O19/L19</f>
        <v>0.94544554455445595</v>
      </c>
      <c r="S19" s="434"/>
      <c r="T19" s="41">
        <v>0.55555555555555558</v>
      </c>
      <c r="U19" s="41">
        <v>0.62569444444444444</v>
      </c>
      <c r="V19" s="185">
        <f>(T19-U18)*24*60</f>
        <v>90</v>
      </c>
      <c r="W19" s="43">
        <f t="shared" si="7"/>
        <v>100.99999999999996</v>
      </c>
      <c r="X19" s="22">
        <v>0.5</v>
      </c>
      <c r="Y19" s="22">
        <v>0.54166666666666663</v>
      </c>
      <c r="Z19" s="398"/>
      <c r="AA19" s="399"/>
      <c r="AB19" s="18"/>
      <c r="AC19" s="193"/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1869.212765492967</v>
      </c>
      <c r="O26" s="140">
        <f t="shared" si="10"/>
        <v>145.24012264888944</v>
      </c>
      <c r="P26" s="141">
        <f t="shared" ref="P26:P29" si="11">M26-J26</f>
        <v>0</v>
      </c>
      <c r="Q26" s="142">
        <f t="shared" ref="Q26:Q29" si="12">O26-L26</f>
        <v>-9.8880824793156705</v>
      </c>
      <c r="R26" s="143">
        <f t="shared" ref="R26:R29" si="13">O26/L26</f>
        <v>0.9362586418688742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-130.78723450703296</v>
      </c>
      <c r="AC26" s="195">
        <f>N26/K26</f>
        <v>0.93460638274648355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3076</v>
      </c>
      <c r="H27" s="128">
        <f t="shared" ref="H27:H36" si="14">F27*G27</f>
        <v>169579.88</v>
      </c>
      <c r="I27" s="129"/>
      <c r="J27" s="111">
        <v>15</v>
      </c>
      <c r="K27" s="252">
        <v>1565</v>
      </c>
      <c r="L27" s="112">
        <f>K27/J27</f>
        <v>104.33333333333333</v>
      </c>
      <c r="M27" s="147">
        <v>15</v>
      </c>
      <c r="N27" s="130">
        <f>G27/W27*60</f>
        <v>1281.666666666667</v>
      </c>
      <c r="O27" s="131">
        <f>N27/M27</f>
        <v>85.444444444444471</v>
      </c>
      <c r="P27" s="132">
        <f t="shared" si="11"/>
        <v>0</v>
      </c>
      <c r="Q27" s="133">
        <f t="shared" si="12"/>
        <v>-18.888888888888857</v>
      </c>
      <c r="R27" s="197">
        <f>O27/L27</f>
        <v>0.81895633652822186</v>
      </c>
      <c r="S27" s="433">
        <f>R37</f>
        <v>0.90149026479280725</v>
      </c>
      <c r="T27" s="97">
        <v>0.29236111111111113</v>
      </c>
      <c r="U27" s="97">
        <v>0.3923611111111111</v>
      </c>
      <c r="V27" s="129"/>
      <c r="W27" s="134">
        <f t="shared" si="7"/>
        <v>143.99999999999997</v>
      </c>
      <c r="X27" s="129"/>
      <c r="Y27" s="129" t="s">
        <v>158</v>
      </c>
      <c r="Z27" s="414"/>
      <c r="AA27" s="423"/>
      <c r="AB27" s="114">
        <f>N27-K27</f>
        <v>-283.33333333333303</v>
      </c>
      <c r="AC27" s="148">
        <f>N27/K27</f>
        <v>0.81895633652822175</v>
      </c>
      <c r="AD27" s="391">
        <f>AC37</f>
        <v>0.86976267557956699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2855</v>
      </c>
      <c r="H28" s="50">
        <f t="shared" si="14"/>
        <v>162363.85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15</v>
      </c>
      <c r="N28" s="36">
        <f>G28/W28*60</f>
        <v>1173.2876712328771</v>
      </c>
      <c r="O28" s="38">
        <f>N28/M28</f>
        <v>78.219178082191803</v>
      </c>
      <c r="P28" s="39">
        <f t="shared" si="11"/>
        <v>-2</v>
      </c>
      <c r="Q28" s="40">
        <f t="shared" si="12"/>
        <v>-10.016116035455255</v>
      </c>
      <c r="R28" s="198">
        <f t="shared" si="13"/>
        <v>0.88648401826484047</v>
      </c>
      <c r="S28" s="434"/>
      <c r="T28" s="291">
        <v>0.39861111111111114</v>
      </c>
      <c r="U28" s="291">
        <v>0.5</v>
      </c>
      <c r="V28" s="42">
        <f>(T28-U27)*24*60</f>
        <v>9.000000000000048</v>
      </c>
      <c r="W28" s="43">
        <f t="shared" si="7"/>
        <v>145.99999999999997</v>
      </c>
      <c r="X28" s="54"/>
      <c r="Y28" s="54"/>
      <c r="Z28" s="399"/>
      <c r="AA28" s="400"/>
      <c r="AB28" s="34">
        <f>N28-K28</f>
        <v>-326.71232876712293</v>
      </c>
      <c r="AC28" s="194">
        <f>N28/K28</f>
        <v>0.78219178082191809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222</v>
      </c>
      <c r="E29" s="89"/>
      <c r="F29" s="56">
        <f>VLOOKUP(D29,廠價表!$C$1:$E$39,3,0)</f>
        <v>50.67</v>
      </c>
      <c r="G29" s="256">
        <v>2723</v>
      </c>
      <c r="H29" s="50">
        <f t="shared" si="14"/>
        <v>137974.41</v>
      </c>
      <c r="I29" s="42"/>
      <c r="J29" s="16">
        <v>16</v>
      </c>
      <c r="K29" s="14">
        <v>1636</v>
      </c>
      <c r="L29" s="251">
        <f>K29/J29</f>
        <v>102.25</v>
      </c>
      <c r="M29" s="21">
        <v>16</v>
      </c>
      <c r="N29" s="36">
        <f>G29/W29*60</f>
        <v>1633.8000000000004</v>
      </c>
      <c r="O29" s="38">
        <f>N29/M29</f>
        <v>102.11250000000003</v>
      </c>
      <c r="P29" s="39">
        <f t="shared" si="11"/>
        <v>0</v>
      </c>
      <c r="Q29" s="40">
        <f t="shared" si="12"/>
        <v>-0.13749999999997442</v>
      </c>
      <c r="R29" s="198">
        <f t="shared" si="13"/>
        <v>0.99865525672371658</v>
      </c>
      <c r="S29" s="434"/>
      <c r="T29" s="41">
        <v>0.55902777777777779</v>
      </c>
      <c r="U29" s="41">
        <v>0.62847222222222221</v>
      </c>
      <c r="V29" s="42">
        <f>(T29-U28)*24*60</f>
        <v>85.000000000000014</v>
      </c>
      <c r="W29" s="43">
        <f t="shared" si="7"/>
        <v>99.999999999999972</v>
      </c>
      <c r="X29" s="54">
        <v>0.5</v>
      </c>
      <c r="Y29" s="54">
        <v>0.54166666666666663</v>
      </c>
      <c r="Z29" s="399"/>
      <c r="AA29" s="398"/>
      <c r="AB29" s="275">
        <f t="shared" ref="AB29" si="15">N29-K29</f>
        <v>-2.1999999999995907</v>
      </c>
      <c r="AC29" s="276">
        <f t="shared" ref="AC29" si="16">N29/K29</f>
        <v>0.99865525672371658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7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7">AVERAGE(J27:J36)</f>
        <v>16</v>
      </c>
      <c r="K37" s="314">
        <f t="shared" si="17"/>
        <v>1567</v>
      </c>
      <c r="L37" s="315">
        <f t="shared" si="17"/>
        <v>98.272875816993462</v>
      </c>
      <c r="M37" s="314">
        <f t="shared" si="17"/>
        <v>15.333333333333334</v>
      </c>
      <c r="N37" s="314">
        <f t="shared" si="17"/>
        <v>1362.9181126331814</v>
      </c>
      <c r="O37" s="315">
        <f t="shared" si="17"/>
        <v>88.5920408422121</v>
      </c>
      <c r="P37" s="74">
        <f>M37-J37</f>
        <v>-0.66666666666666607</v>
      </c>
      <c r="Q37" s="75">
        <f>N37-K37</f>
        <v>-204.08188736681859</v>
      </c>
      <c r="R37" s="316">
        <f t="shared" ref="R37:R38" si="18">O37/L37</f>
        <v>0.90149026479280725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8" si="19">N37-K37</f>
        <v>-204.08188736681859</v>
      </c>
      <c r="AC37" s="195">
        <f t="shared" ref="AC37:AC38" si="20">N37/K37</f>
        <v>0.86976267557956699</v>
      </c>
      <c r="AD37" s="396"/>
    </row>
    <row r="38" spans="1:30" s="63" customFormat="1" ht="15" customHeight="1" x14ac:dyDescent="0.25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3382</v>
      </c>
      <c r="H38" s="64">
        <f>F38*G38</f>
        <v>168795.62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16</v>
      </c>
      <c r="N38" s="130">
        <f>G38/W38*60</f>
        <v>1470.4347826086955</v>
      </c>
      <c r="O38" s="131">
        <f>N38/M38</f>
        <v>91.90217391304347</v>
      </c>
      <c r="P38" s="132">
        <f t="shared" ref="P38" si="21">M38-J38</f>
        <v>-1</v>
      </c>
      <c r="Q38" s="133">
        <f t="shared" ref="Q38" si="22">O38-L38</f>
        <v>-0.15664961636829844</v>
      </c>
      <c r="R38" s="197">
        <f t="shared" si="18"/>
        <v>0.99829837477427408</v>
      </c>
      <c r="S38" s="493">
        <f>R48</f>
        <v>0.92093596564410451</v>
      </c>
      <c r="T38" s="157">
        <v>0.33333333333333331</v>
      </c>
      <c r="U38" s="157">
        <v>0.42916666666666664</v>
      </c>
      <c r="V38" s="153"/>
      <c r="W38" s="158">
        <f t="shared" si="7"/>
        <v>138</v>
      </c>
      <c r="X38" s="155"/>
      <c r="Y38" s="159"/>
      <c r="Z38" s="428"/>
      <c r="AA38" s="475"/>
      <c r="AB38" s="319">
        <f t="shared" si="19"/>
        <v>-94.565217391304486</v>
      </c>
      <c r="AC38" s="161">
        <f t="shared" si="20"/>
        <v>0.93957494096402272</v>
      </c>
      <c r="AD38" s="388">
        <f>AC48</f>
        <v>0.88105866852669912</v>
      </c>
    </row>
    <row r="39" spans="1:30" s="63" customFormat="1" ht="15" customHeight="1" x14ac:dyDescent="0.25">
      <c r="A39" s="425"/>
      <c r="B39" s="56" t="str">
        <f>VLOOKUP(D39,廠價表!$C$1:$E$39,2,0)</f>
        <v>義大利麵</v>
      </c>
      <c r="C39" s="306"/>
      <c r="D39" s="308" t="s">
        <v>223</v>
      </c>
      <c r="E39" s="307"/>
      <c r="F39" s="56">
        <f>VLOOKUP(D39,廠價表!$C$1:$E$39,3,0)</f>
        <v>57.3</v>
      </c>
      <c r="G39" s="305">
        <v>1425</v>
      </c>
      <c r="H39" s="64">
        <f>F39*G39</f>
        <v>81652.5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>K39/J39</f>
        <v>81.470588235294116</v>
      </c>
      <c r="M39" s="66">
        <v>16</v>
      </c>
      <c r="N39" s="67">
        <f>G39/W39*60</f>
        <v>1295.4545454545455</v>
      </c>
      <c r="O39" s="68">
        <f>N39/M39</f>
        <v>80.965909090909093</v>
      </c>
      <c r="P39" s="39">
        <f>M39-J39</f>
        <v>-1</v>
      </c>
      <c r="Q39" s="40">
        <f>O39-L39</f>
        <v>-0.50467914438502248</v>
      </c>
      <c r="R39" s="198">
        <f>O39/L39</f>
        <v>0.99380538234328852</v>
      </c>
      <c r="S39" s="494"/>
      <c r="T39" s="59">
        <v>0.45069444444444445</v>
      </c>
      <c r="U39" s="59">
        <v>0.49652777777777779</v>
      </c>
      <c r="V39" s="42">
        <f t="shared" ref="V39:V40" si="23">(T39-U38)*24*60</f>
        <v>31.00000000000005</v>
      </c>
      <c r="W39" s="70">
        <f t="shared" si="7"/>
        <v>66</v>
      </c>
      <c r="X39" s="22"/>
      <c r="Y39" s="22"/>
      <c r="Z39" s="63" t="s">
        <v>241</v>
      </c>
      <c r="AB39" s="292"/>
      <c r="AC39" s="62"/>
      <c r="AD39" s="389"/>
    </row>
    <row r="40" spans="1:30" s="63" customFormat="1" ht="15" customHeight="1" x14ac:dyDescent="0.25">
      <c r="A40" s="425"/>
      <c r="B40" s="56" t="str">
        <f>VLOOKUP(D40,廠價表!$C$1:$E$39,2,0)</f>
        <v>義大利麵</v>
      </c>
      <c r="C40" s="298"/>
      <c r="D40" s="308" t="s">
        <v>223</v>
      </c>
      <c r="E40" s="261"/>
      <c r="F40" s="56">
        <f>VLOOKUP(D40,廠價表!$C$1:$E$39,3,0)</f>
        <v>57.3</v>
      </c>
      <c r="G40" s="305">
        <v>2107</v>
      </c>
      <c r="H40" s="64">
        <f>F40*G40</f>
        <v>120731.09999999999</v>
      </c>
      <c r="I40" s="65"/>
      <c r="J40" s="37">
        <f>VLOOKUP(D40,產線配置圖!$A$2:$C$38,2,0)</f>
        <v>17</v>
      </c>
      <c r="K40" s="36">
        <f>VLOOKUP(D40,產線配置圖!$A$2:$C$38,3,0)</f>
        <v>1385</v>
      </c>
      <c r="L40" s="38">
        <f>K40/J40</f>
        <v>81.470588235294116</v>
      </c>
      <c r="M40" s="66">
        <v>17</v>
      </c>
      <c r="N40" s="67">
        <f>G40/W40*60</f>
        <v>1053.4999999999995</v>
      </c>
      <c r="O40" s="68">
        <f>N40/M40</f>
        <v>61.970588235294088</v>
      </c>
      <c r="P40" s="39">
        <f>M40-J40</f>
        <v>0</v>
      </c>
      <c r="Q40" s="40">
        <f>O40-L40</f>
        <v>-19.500000000000028</v>
      </c>
      <c r="R40" s="198">
        <f>O40/L40</f>
        <v>0.76064981949458443</v>
      </c>
      <c r="S40" s="409"/>
      <c r="T40" s="59">
        <v>0.5625</v>
      </c>
      <c r="U40" s="59">
        <v>0.64583333333333337</v>
      </c>
      <c r="V40" s="42">
        <f t="shared" si="23"/>
        <v>94.999999999999986</v>
      </c>
      <c r="W40" s="70">
        <f t="shared" si="7"/>
        <v>120.00000000000006</v>
      </c>
      <c r="X40" s="71">
        <v>0.5</v>
      </c>
      <c r="Y40" s="278">
        <v>0.54166666666666663</v>
      </c>
      <c r="Z40" s="476" t="s">
        <v>242</v>
      </c>
      <c r="AA40" s="476"/>
      <c r="AB40" s="292"/>
      <c r="AC40" s="62"/>
      <c r="AD40" s="389"/>
    </row>
    <row r="41" spans="1:30" s="63" customFormat="1" ht="15" customHeight="1" x14ac:dyDescent="0.25">
      <c r="A41" s="425"/>
      <c r="B41" s="56"/>
      <c r="C41" s="10"/>
      <c r="D41" s="308"/>
      <c r="E41" s="89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4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4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17</v>
      </c>
      <c r="K48" s="137">
        <f t="shared" si="26"/>
        <v>1445</v>
      </c>
      <c r="L48" s="140">
        <f t="shared" si="26"/>
        <v>85</v>
      </c>
      <c r="M48" s="137">
        <f t="shared" si="26"/>
        <v>16.333333333333332</v>
      </c>
      <c r="N48" s="137">
        <f t="shared" si="26"/>
        <v>1273.1297760210803</v>
      </c>
      <c r="O48" s="140">
        <f t="shared" si="26"/>
        <v>78.279557079748884</v>
      </c>
      <c r="P48" s="164">
        <f>M48-J48</f>
        <v>-0.66666666666666785</v>
      </c>
      <c r="Q48" s="165">
        <f>N48-K48</f>
        <v>-171.87022397891974</v>
      </c>
      <c r="R48" s="166">
        <f>O48/L48</f>
        <v>0.92093596564410451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-171.87022397891974</v>
      </c>
      <c r="AC48" s="199">
        <f>N48/K48</f>
        <v>0.88105866852669912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6742</v>
      </c>
      <c r="H49" s="128">
        <f t="shared" ref="H49:H57" si="27">F49*G49</f>
        <v>336897.74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1561.8532818532819</v>
      </c>
      <c r="O49" s="131">
        <f>N49/M49</f>
        <v>86.769626769626768</v>
      </c>
      <c r="P49" s="171">
        <f>M49-J49</f>
        <v>0</v>
      </c>
      <c r="Q49" s="115">
        <f>O49-L49</f>
        <v>-0.17481767481767463</v>
      </c>
      <c r="R49" s="192">
        <f>O49/L49</f>
        <v>0.99798931747813535</v>
      </c>
      <c r="S49" s="408">
        <f>R58</f>
        <v>0.99743504881085321</v>
      </c>
      <c r="T49" s="157">
        <v>0.29166666666666669</v>
      </c>
      <c r="U49" s="157">
        <v>0.47152777777777777</v>
      </c>
      <c r="V49" s="196"/>
      <c r="W49" s="158">
        <f t="shared" si="7"/>
        <v>259</v>
      </c>
      <c r="X49" s="196"/>
      <c r="Y49" s="196"/>
      <c r="Z49" s="423"/>
      <c r="AA49" s="423"/>
      <c r="AB49" s="114">
        <f>N49-K49</f>
        <v>-3.1467181467180581</v>
      </c>
      <c r="AC49" s="192">
        <f>N49/K49</f>
        <v>0.99798931747813546</v>
      </c>
      <c r="AD49" s="391">
        <f>AC58</f>
        <v>0.99745077167589402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2243</v>
      </c>
      <c r="H50" s="77">
        <f t="shared" si="27"/>
        <v>127559.40999999999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1495.3333333333333</v>
      </c>
      <c r="O50" s="79">
        <f>N50/M50</f>
        <v>87.960784313725483</v>
      </c>
      <c r="P50" s="18">
        <f>M50-J50</f>
        <v>0</v>
      </c>
      <c r="Q50" s="19">
        <f>O50-L50</f>
        <v>-0.27450980392157476</v>
      </c>
      <c r="R50" s="193">
        <f>O50/L50</f>
        <v>0.99688888888888882</v>
      </c>
      <c r="S50" s="409"/>
      <c r="T50" s="80">
        <v>0.53125</v>
      </c>
      <c r="U50" s="80">
        <v>0.59375</v>
      </c>
      <c r="V50" s="185">
        <f t="shared" ref="V50" si="28">(T50-U49)*24*60</f>
        <v>86.000000000000014</v>
      </c>
      <c r="W50" s="81">
        <f t="shared" si="7"/>
        <v>90</v>
      </c>
      <c r="X50" s="22">
        <v>0.47916666666666669</v>
      </c>
      <c r="Y50" s="22">
        <v>0.52083333333333337</v>
      </c>
      <c r="Z50" s="398"/>
      <c r="AA50" s="399"/>
      <c r="AB50" s="18">
        <f>N50-K50</f>
        <v>-4.6666666666667425</v>
      </c>
      <c r="AC50" s="193">
        <f>N50/K50</f>
        <v>0.99688888888888882</v>
      </c>
      <c r="AD50" s="392"/>
    </row>
    <row r="51" spans="1:30" ht="15" customHeight="1" x14ac:dyDescent="0.25">
      <c r="A51" s="421"/>
      <c r="B51" s="56"/>
      <c r="C51" s="10"/>
      <c r="D51" s="11"/>
      <c r="E51" s="89"/>
      <c r="F51" s="56"/>
      <c r="G51" s="67"/>
      <c r="H51" s="77"/>
      <c r="I51" s="185"/>
      <c r="J51" s="16"/>
      <c r="K51" s="14"/>
      <c r="L51" s="17"/>
      <c r="M51" s="182"/>
      <c r="N51" s="78"/>
      <c r="O51" s="79"/>
      <c r="P51" s="18"/>
      <c r="Q51" s="19"/>
      <c r="R51" s="193"/>
      <c r="S51" s="409"/>
      <c r="T51" s="80"/>
      <c r="U51" s="44"/>
      <c r="V51" s="185"/>
      <c r="W51" s="81">
        <f t="shared" si="7"/>
        <v>0</v>
      </c>
      <c r="X51" s="22"/>
      <c r="Y51" s="22"/>
      <c r="Z51" s="400"/>
      <c r="AA51" s="400"/>
      <c r="AB51" s="51"/>
      <c r="AC51" s="52"/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29">AVERAGE(J49:J57)</f>
        <v>17.5</v>
      </c>
      <c r="K58" s="121">
        <f t="shared" si="29"/>
        <v>1532.5</v>
      </c>
      <c r="L58" s="118">
        <f t="shared" si="29"/>
        <v>87.58986928104575</v>
      </c>
      <c r="M58" s="121">
        <f t="shared" si="29"/>
        <v>17.5</v>
      </c>
      <c r="N58" s="121">
        <f t="shared" si="29"/>
        <v>1528.5933075933076</v>
      </c>
      <c r="O58" s="118">
        <f t="shared" si="29"/>
        <v>87.365205541676119</v>
      </c>
      <c r="P58" s="122">
        <f>M58-J58</f>
        <v>0</v>
      </c>
      <c r="Q58" s="123">
        <f>N58-K58</f>
        <v>-3.9066924066924003</v>
      </c>
      <c r="R58" s="124">
        <f t="shared" ref="R58:R60" si="30">O58/L58</f>
        <v>0.99743504881085321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1">N58-K58</f>
        <v>-3.9066924066924003</v>
      </c>
      <c r="AC58" s="195">
        <f t="shared" ref="AC58:AC61" si="32">N58/K58</f>
        <v>0.99745077167589402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3145</v>
      </c>
      <c r="H59" s="109">
        <f t="shared" ref="H59:H68" si="33">F59*G59</f>
        <v>84883.549999999988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34">G59/W59*60</f>
        <v>1559.5041322314053</v>
      </c>
      <c r="O59" s="112">
        <f t="shared" ref="O59:O61" si="35">N59/M59</f>
        <v>119.96185632549272</v>
      </c>
      <c r="P59" s="114">
        <f t="shared" ref="P59:P61" si="36">M59-J59</f>
        <v>0</v>
      </c>
      <c r="Q59" s="115">
        <f t="shared" ref="Q59:Q61" si="37">O59-L59</f>
        <v>-0.42275905912266865</v>
      </c>
      <c r="R59" s="192">
        <f t="shared" si="30"/>
        <v>0.99648826340664876</v>
      </c>
      <c r="S59" s="408">
        <f>R69</f>
        <v>0.89705122196581277</v>
      </c>
      <c r="T59" s="176">
        <v>0.29166666666666669</v>
      </c>
      <c r="U59" s="176">
        <v>0.37569444444444444</v>
      </c>
      <c r="V59" s="196"/>
      <c r="W59" s="110">
        <f t="shared" si="7"/>
        <v>120.99999999999997</v>
      </c>
      <c r="X59" s="196"/>
      <c r="Y59" s="196"/>
      <c r="Z59" s="400"/>
      <c r="AA59" s="400"/>
      <c r="AB59" s="240">
        <f t="shared" si="31"/>
        <v>-5.495867768594735</v>
      </c>
      <c r="AC59" s="241">
        <f t="shared" si="32"/>
        <v>0.99648826340664876</v>
      </c>
      <c r="AD59" s="391">
        <f>AC69</f>
        <v>0.89926942644806074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1234</v>
      </c>
      <c r="H60" s="15">
        <f t="shared" si="33"/>
        <v>35131.979999999996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4"/>
        <v>1276.5517241379321</v>
      </c>
      <c r="O60" s="17">
        <f t="shared" si="35"/>
        <v>106.37931034482767</v>
      </c>
      <c r="P60" s="18">
        <f t="shared" si="36"/>
        <v>0</v>
      </c>
      <c r="Q60" s="19">
        <f t="shared" si="37"/>
        <v>-24.037356321838985</v>
      </c>
      <c r="R60" s="193">
        <f t="shared" si="30"/>
        <v>0.81568800264404606</v>
      </c>
      <c r="S60" s="419"/>
      <c r="T60" s="206">
        <v>0.38541666666666669</v>
      </c>
      <c r="U60" s="206">
        <v>0.42569444444444443</v>
      </c>
      <c r="V60" s="185">
        <f t="shared" ref="V60:V63" si="38">(T60-U59)*24*60</f>
        <v>14.00000000000003</v>
      </c>
      <c r="W60" s="93">
        <f t="shared" si="7"/>
        <v>57.999999999999957</v>
      </c>
      <c r="X60" s="201"/>
      <c r="Y60" s="201"/>
      <c r="Z60" s="400"/>
      <c r="AA60" s="400"/>
      <c r="AB60" s="242">
        <f t="shared" si="31"/>
        <v>-288.44827586206793</v>
      </c>
      <c r="AC60" s="243">
        <f t="shared" si="32"/>
        <v>0.81568800264404606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1742</v>
      </c>
      <c r="H61" s="15">
        <f t="shared" si="33"/>
        <v>49228.920000000006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39">K61/J61</f>
        <v>130.41666666666666</v>
      </c>
      <c r="M61" s="188">
        <v>12</v>
      </c>
      <c r="N61" s="14">
        <f t="shared" si="34"/>
        <v>1357.4025974025978</v>
      </c>
      <c r="O61" s="17">
        <f t="shared" si="35"/>
        <v>113.11688311688316</v>
      </c>
      <c r="P61" s="18">
        <f t="shared" si="36"/>
        <v>0</v>
      </c>
      <c r="Q61" s="19">
        <f t="shared" si="37"/>
        <v>-17.299783549783498</v>
      </c>
      <c r="R61" s="193">
        <f>O61/L61</f>
        <v>0.86734990249367283</v>
      </c>
      <c r="S61" s="409"/>
      <c r="T61" s="20">
        <v>0.43611111111111112</v>
      </c>
      <c r="U61" s="20">
        <v>0.48958333333333331</v>
      </c>
      <c r="V61" s="185">
        <f t="shared" si="38"/>
        <v>15.000000000000027</v>
      </c>
      <c r="W61" s="91">
        <f t="shared" si="7"/>
        <v>76.999999999999972</v>
      </c>
      <c r="X61" s="22"/>
      <c r="Y61" s="22"/>
      <c r="Z61" s="400"/>
      <c r="AA61" s="400"/>
      <c r="AB61" s="51">
        <f t="shared" si="31"/>
        <v>-207.59740259740215</v>
      </c>
      <c r="AC61" s="52">
        <f t="shared" si="32"/>
        <v>0.86734990249367272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260" t="s">
        <v>143</v>
      </c>
      <c r="E62" s="89"/>
      <c r="F62" s="56">
        <f>VLOOKUP(D62,廠價表!$C$1:$E$39,3,0)</f>
        <v>28.26</v>
      </c>
      <c r="G62" s="185">
        <v>776</v>
      </c>
      <c r="H62" s="15">
        <f t="shared" ref="H62:H63" si="40">F62*G62</f>
        <v>21929.760000000002</v>
      </c>
      <c r="I62" s="185"/>
      <c r="J62" s="16">
        <f>VLOOKUP(D62,產線配置圖!$A$2:$C$38,2,0)</f>
        <v>12</v>
      </c>
      <c r="K62" s="14">
        <f>VLOOKUP(D62,產線配置圖!$A$2:$C$38,3,0)</f>
        <v>1565</v>
      </c>
      <c r="L62" s="17">
        <f>K62/J62</f>
        <v>130.41666666666666</v>
      </c>
      <c r="M62" s="188">
        <v>12</v>
      </c>
      <c r="N62" s="14">
        <f t="shared" ref="N62:N63" si="41">G62/W62*60</f>
        <v>1369.4117647058806</v>
      </c>
      <c r="O62" s="17">
        <f t="shared" ref="O62:O63" si="42">N62/M62</f>
        <v>114.11764705882338</v>
      </c>
      <c r="P62" s="18">
        <f t="shared" ref="P62:P63" si="43">M62-J62</f>
        <v>0</v>
      </c>
      <c r="Q62" s="19">
        <f t="shared" ref="Q62:Q63" si="44">O62-L62</f>
        <v>-16.299019607843277</v>
      </c>
      <c r="R62" s="193">
        <f t="shared" ref="R62:R63" si="45">O62/L62</f>
        <v>0.87502349182484385</v>
      </c>
      <c r="S62" s="409"/>
      <c r="T62" s="20">
        <v>0.54166666666666663</v>
      </c>
      <c r="U62" s="20">
        <v>0.56527777777777777</v>
      </c>
      <c r="V62" s="185">
        <f t="shared" si="38"/>
        <v>74.999999999999972</v>
      </c>
      <c r="W62" s="93">
        <f t="shared" si="7"/>
        <v>34.000000000000043</v>
      </c>
      <c r="X62" s="22">
        <v>0.5</v>
      </c>
      <c r="Y62" s="22">
        <v>0.54166666666666663</v>
      </c>
      <c r="Z62" s="400"/>
      <c r="AA62" s="400"/>
      <c r="AB62" s="51"/>
      <c r="AC62" s="52"/>
      <c r="AD62" s="392"/>
    </row>
    <row r="63" spans="1:30" ht="15" customHeight="1" x14ac:dyDescent="0.25">
      <c r="A63" s="417"/>
      <c r="B63" s="56" t="str">
        <f>VLOOKUP(D63,廠價表!$C$1:$E$39,2,0)</f>
        <v>小吃、微波</v>
      </c>
      <c r="C63" s="23"/>
      <c r="D63" s="11" t="s">
        <v>128</v>
      </c>
      <c r="E63" s="12"/>
      <c r="F63" s="56">
        <f>VLOOKUP(D63,廠價表!$C$1:$E$39,3,0)</f>
        <v>26.99</v>
      </c>
      <c r="G63" s="185">
        <v>1695</v>
      </c>
      <c r="H63" s="15">
        <f t="shared" si="40"/>
        <v>45748.049999999996</v>
      </c>
      <c r="I63" s="82"/>
      <c r="J63" s="16">
        <f>VLOOKUP(D63,產線配置圖!$A$2:$C$38,2,0)</f>
        <v>13</v>
      </c>
      <c r="K63" s="14">
        <f>VLOOKUP(D63,產線配置圖!$A$2:$C$38,3,0)</f>
        <v>1565</v>
      </c>
      <c r="L63" s="17">
        <f t="shared" ref="L63" si="46">K63/J63</f>
        <v>120.38461538461539</v>
      </c>
      <c r="M63" s="188">
        <v>13</v>
      </c>
      <c r="N63" s="14">
        <f t="shared" si="41"/>
        <v>1473.9130434782594</v>
      </c>
      <c r="O63" s="17">
        <f t="shared" si="42"/>
        <v>113.37792642140457</v>
      </c>
      <c r="P63" s="18">
        <f t="shared" si="43"/>
        <v>0</v>
      </c>
      <c r="Q63" s="19">
        <f t="shared" si="44"/>
        <v>-7.00668896321082</v>
      </c>
      <c r="R63" s="193">
        <f t="shared" si="45"/>
        <v>0.9417974718710922</v>
      </c>
      <c r="S63" s="409"/>
      <c r="T63" s="20">
        <v>0.57291666666666663</v>
      </c>
      <c r="U63" s="20">
        <v>0.62083333333333335</v>
      </c>
      <c r="V63" s="185">
        <f t="shared" si="38"/>
        <v>10.999999999999961</v>
      </c>
      <c r="W63" s="93">
        <f t="shared" si="7"/>
        <v>69.000000000000071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3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3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3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3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3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7">AVERAGE(J59:J68)</f>
        <v>12.4</v>
      </c>
      <c r="K69" s="173">
        <f t="shared" si="47"/>
        <v>1565</v>
      </c>
      <c r="L69" s="178">
        <f t="shared" si="47"/>
        <v>126.40384615384615</v>
      </c>
      <c r="M69" s="173">
        <f t="shared" si="47"/>
        <v>12.4</v>
      </c>
      <c r="N69" s="173">
        <f t="shared" si="47"/>
        <v>1407.356652391215</v>
      </c>
      <c r="O69" s="178">
        <f t="shared" si="47"/>
        <v>113.39072465348629</v>
      </c>
      <c r="P69" s="179">
        <f>M69-J69</f>
        <v>0</v>
      </c>
      <c r="Q69" s="165">
        <f>N69-K69</f>
        <v>-157.64334760878501</v>
      </c>
      <c r="R69" s="124">
        <f>O69/L69</f>
        <v>0.89705122196581277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-157.64334760878501</v>
      </c>
      <c r="AC69" s="195">
        <f>N69/K69</f>
        <v>0.89926942644806074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54"/>
      <c r="H70" s="128"/>
      <c r="I70" s="129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48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8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8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8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49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8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9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8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9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8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9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8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9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8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4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D48:E48"/>
    <mergeCell ref="Z48:AA48"/>
    <mergeCell ref="A49:A58"/>
    <mergeCell ref="S49:S58"/>
    <mergeCell ref="Z49:AA49"/>
    <mergeCell ref="D58:E58"/>
    <mergeCell ref="A38:A48"/>
    <mergeCell ref="S38:S4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AD38:AD48"/>
    <mergeCell ref="Z38:AA38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18" priority="1" operator="greaterThan">
      <formula>0</formula>
    </cfRule>
  </conditionalFormatting>
  <conditionalFormatting sqref="Q5:Q79 AB5:AB79">
    <cfRule type="cellIs" dxfId="117" priority="4" operator="lessThan">
      <formula>0</formula>
    </cfRule>
  </conditionalFormatting>
  <conditionalFormatting sqref="R5:R79 AC5:AC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D59:AD62 S69:S76 AD69:AD76">
    <cfRule type="cellIs" dxfId="114" priority="7" operator="lessThan">
      <formula>0.8</formula>
    </cfRule>
  </conditionalFormatting>
  <conditionalFormatting sqref="S19:S25 AD19:AD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D5:AD8 S15:S16 AD15:AD16 AD49 AD79">
    <cfRule type="cellIs" dxfId="111" priority="9" operator="lessThan">
      <formula>0.8</formula>
    </cfRule>
  </conditionalFormatting>
  <conditionalFormatting sqref="AD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F4450C-9C5B-46BA-B61C-7830AEBADF93}">
          <x14:formula1>
            <xm:f>廠價表!$C$2:$C$37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1E31-C402-4FBA-82D9-1FD2C4CA643A}">
  <sheetPr>
    <pageSetUpPr fitToPage="1"/>
  </sheetPr>
  <dimension ref="B1:O22"/>
  <sheetViews>
    <sheetView zoomScale="70" zoomScaleNormal="70" workbookViewId="0">
      <selection activeCell="U62" sqref="U62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45951</v>
      </c>
      <c r="E3" s="383"/>
      <c r="F3" s="214" t="s">
        <v>76</v>
      </c>
      <c r="G3" s="384">
        <f>'1021'!E1</f>
        <v>57979</v>
      </c>
      <c r="H3" s="384"/>
      <c r="I3" s="214" t="s">
        <v>77</v>
      </c>
      <c r="J3" s="385">
        <f>'1021'!G1</f>
        <v>2839408.4299999997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116.23956313294548</v>
      </c>
      <c r="G6" s="362"/>
      <c r="H6" s="363">
        <f>AVERAGE(D13:H13)</f>
        <v>114.40734755440637</v>
      </c>
      <c r="I6" s="363"/>
      <c r="J6" s="363">
        <f>AVERAGE(I13:J13)</f>
        <v>125.40064102564102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107.57858382876124</v>
      </c>
      <c r="G7" s="380"/>
      <c r="H7" s="381">
        <f>AVERAGE(D14:H14)</f>
        <v>107.24103365880239</v>
      </c>
      <c r="I7" s="381"/>
      <c r="J7" s="381">
        <f>AVERAGE(I14:J14)</f>
        <v>109.26633467855552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0.92029031304940123</v>
      </c>
      <c r="G8" s="360"/>
      <c r="H8" s="360">
        <f>AVERAGE(D15:H15)</f>
        <v>0.93008079012722111</v>
      </c>
      <c r="I8" s="360"/>
      <c r="J8" s="360">
        <f>AVERAGE(I15:J15)</f>
        <v>0.87133792766030227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VALUE('1021'!L15)</f>
        <v>146.04578754578753</v>
      </c>
      <c r="E13" s="227">
        <f>VALUE('1021'!L26)</f>
        <v>155.12820512820511</v>
      </c>
      <c r="F13" s="227">
        <f>VALUE('1021'!L37)</f>
        <v>98.272875816993462</v>
      </c>
      <c r="G13" s="227">
        <f>VALUE('1021'!L48)</f>
        <v>85</v>
      </c>
      <c r="H13" s="227">
        <f>VALUE('1021'!L58)</f>
        <v>87.58986928104575</v>
      </c>
      <c r="I13" s="227">
        <f>VALUE('1021'!L69)</f>
        <v>125.40064102564102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VALUE('1021'!O15)</f>
        <v>145.29462270291589</v>
      </c>
      <c r="E14" s="227">
        <f>VALUE('1021'!O26)</f>
        <v>145.62160589725374</v>
      </c>
      <c r="F14" s="227">
        <f>VALUE('1021'!O37)</f>
        <v>87.343868849578996</v>
      </c>
      <c r="G14" s="227">
        <f>VALUE('1021'!O48)</f>
        <v>71.309829059829084</v>
      </c>
      <c r="H14" s="227">
        <f>VALUE('1021'!O58)</f>
        <v>86.635241784434243</v>
      </c>
      <c r="I14" s="227">
        <f>VALUE('1021'!O69)</f>
        <v>109.26633467855552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0.99485664834642251</v>
      </c>
      <c r="E15" s="248">
        <f t="shared" ref="E15:I15" si="0">E14/E13</f>
        <v>0.93871779008147049</v>
      </c>
      <c r="F15" s="248">
        <f t="shared" si="0"/>
        <v>0.88878918138340868</v>
      </c>
      <c r="G15" s="248">
        <f t="shared" si="0"/>
        <v>0.83893916540975388</v>
      </c>
      <c r="H15" s="248">
        <f t="shared" si="0"/>
        <v>0.98910116541505</v>
      </c>
      <c r="I15" s="248">
        <f t="shared" si="0"/>
        <v>0.87133792766030227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'1021'!T5</f>
        <v>0.2902777777777778</v>
      </c>
      <c r="E16" s="98">
        <f>'1021'!T16</f>
        <v>0.28958333333333336</v>
      </c>
      <c r="F16" s="98">
        <f>'1021'!T27</f>
        <v>0.2951388888888889</v>
      </c>
      <c r="G16" s="98">
        <f>'1021'!T38</f>
        <v>0.33194444444444443</v>
      </c>
      <c r="H16" s="98">
        <f>'1021'!T49</f>
        <v>0.29166666666666669</v>
      </c>
      <c r="I16" s="98">
        <f>'1021'!T59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20">
        <v>0.65972222222222221</v>
      </c>
      <c r="E17" s="41">
        <v>0.64930555555555558</v>
      </c>
      <c r="F17" s="41">
        <v>0.68333333333333335</v>
      </c>
      <c r="G17" s="59">
        <v>0.65208333333333335</v>
      </c>
      <c r="H17" s="80">
        <v>0.60902777777777772</v>
      </c>
      <c r="I17" s="20">
        <v>0.61111111111111116</v>
      </c>
      <c r="J17" s="20"/>
    </row>
    <row r="18" spans="2:10" ht="17.25" customHeight="1" x14ac:dyDescent="0.25">
      <c r="B18" s="481" t="s">
        <v>105</v>
      </c>
      <c r="C18" s="355"/>
      <c r="D18" s="229">
        <f>VALUE('1021'!M15)</f>
        <v>13.6</v>
      </c>
      <c r="E18" s="229">
        <f>VALUE('1021'!M26)</f>
        <v>13</v>
      </c>
      <c r="F18" s="229">
        <f>VALUE('1021'!M37)</f>
        <v>15.666666666666666</v>
      </c>
      <c r="G18" s="229">
        <f>VALUE('1021'!M48)</f>
        <v>17</v>
      </c>
      <c r="H18" s="229">
        <f>VALUE('1021'!M58)</f>
        <v>17.5</v>
      </c>
      <c r="I18" s="229">
        <f>VALUE('1021'!M69)</f>
        <v>13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BEFF-BBFD-4097-A7F3-AC484B424755}">
  <sheetPr>
    <tabColor theme="9" tint="0.79998168889431442"/>
    <pageSetUpPr fitToPage="1"/>
  </sheetPr>
  <dimension ref="A1:AF92"/>
  <sheetViews>
    <sheetView zoomScale="69" zoomScaleNormal="69" workbookViewId="0">
      <pane xSplit="5" ySplit="4" topLeftCell="F26" activePane="bottomRight" state="frozen"/>
      <selection activeCell="U62" sqref="U62"/>
      <selection pane="topRight" activeCell="U62" sqref="U62"/>
      <selection pane="bottomLeft" activeCell="U62" sqref="U62"/>
      <selection pane="bottomRight" activeCell="U62" sqref="U62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57979</v>
      </c>
      <c r="F1" s="185" t="s">
        <v>9</v>
      </c>
      <c r="G1" s="4">
        <f>SUM(H5:H79)</f>
        <v>2839408.4299999997</v>
      </c>
      <c r="H1" s="183" t="s">
        <v>10</v>
      </c>
      <c r="I1" s="5">
        <f>M15+M26+M48+M58+M69+M79+M37</f>
        <v>89.766666666666666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243</v>
      </c>
      <c r="B2" s="461"/>
      <c r="C2" s="184"/>
      <c r="D2" s="184" t="s">
        <v>1</v>
      </c>
      <c r="E2" s="7">
        <f>AVERAGE(O15,O26,O37,O48,O58,O69,O79)</f>
        <v>107.57858382876124</v>
      </c>
      <c r="F2" s="8" t="s">
        <v>2</v>
      </c>
      <c r="G2" s="9">
        <f>G1/E1</f>
        <v>48.973049379947909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2075</v>
      </c>
      <c r="H5" s="109">
        <f>F5*G5</f>
        <v>118710.75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1976.1904761904784</v>
      </c>
      <c r="O5" s="112">
        <f>N5/M5</f>
        <v>152.0146520146522</v>
      </c>
      <c r="P5" s="114">
        <f>M5-J5</f>
        <v>0</v>
      </c>
      <c r="Q5" s="115">
        <f>O5-L5</f>
        <v>-1.8315018315016403</v>
      </c>
      <c r="R5" s="192">
        <f>O5/L5</f>
        <v>0.98809523809523936</v>
      </c>
      <c r="S5" s="408">
        <f>R15</f>
        <v>0.99485664834642251</v>
      </c>
      <c r="T5" s="97">
        <v>0.2902777777777778</v>
      </c>
      <c r="U5" s="97">
        <v>0.33402777777777776</v>
      </c>
      <c r="V5" s="202"/>
      <c r="W5" s="110">
        <f t="shared" ref="W5:W14" si="0">(U5-T5)*24*60</f>
        <v>62.999999999999936</v>
      </c>
      <c r="X5" s="196"/>
      <c r="Y5" s="196"/>
      <c r="Z5" s="423"/>
      <c r="AA5" s="423"/>
      <c r="AB5" s="114">
        <f>N5-K5</f>
        <v>-23.809523809521579</v>
      </c>
      <c r="AC5" s="192">
        <f>N5/K5</f>
        <v>0.98809523809523925</v>
      </c>
      <c r="AD5" s="391">
        <f>AC15</f>
        <v>0.9949782859580677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222</v>
      </c>
      <c r="E6" s="89"/>
      <c r="F6" s="56">
        <f>VLOOKUP(D6,廠價表!$C$1:$E$39,3,0)</f>
        <v>50.67</v>
      </c>
      <c r="G6" s="25">
        <v>2266</v>
      </c>
      <c r="H6" s="15">
        <f t="shared" ref="H6:H14" si="1">F6*G6</f>
        <v>114818.22</v>
      </c>
      <c r="I6" s="190"/>
      <c r="J6" s="16">
        <f>VLOOKUP(D6,產線配置圖!$A$2:$C$38,2,0)</f>
        <v>15</v>
      </c>
      <c r="K6" s="14">
        <f>VLOOKUP(D6,產線配置圖!$A$2:$C$38,3,0)</f>
        <v>2000</v>
      </c>
      <c r="L6" s="17">
        <f>K6/J6</f>
        <v>133.33333333333334</v>
      </c>
      <c r="M6" s="188">
        <v>15</v>
      </c>
      <c r="N6" s="14">
        <f>G6/W6*60</f>
        <v>1999.4117647058822</v>
      </c>
      <c r="O6" s="17">
        <f>N6/M6</f>
        <v>133.29411764705881</v>
      </c>
      <c r="P6" s="18">
        <f>M6-J6</f>
        <v>0</v>
      </c>
      <c r="Q6" s="19">
        <f>O6-L6</f>
        <v>-3.9215686274530981E-2</v>
      </c>
      <c r="R6" s="193">
        <f>O6/L6</f>
        <v>0.999705882352941</v>
      </c>
      <c r="S6" s="409"/>
      <c r="T6" s="98">
        <v>0.33888888888888891</v>
      </c>
      <c r="U6" s="98">
        <v>0.38611111111111113</v>
      </c>
      <c r="V6" s="185">
        <f>(T6-U5)*24*60</f>
        <v>7.0000000000000551</v>
      </c>
      <c r="W6" s="190">
        <f t="shared" si="0"/>
        <v>68</v>
      </c>
      <c r="X6" s="22"/>
      <c r="Y6" s="22"/>
      <c r="Z6" s="446"/>
      <c r="AA6" s="446"/>
      <c r="AB6" s="18">
        <f>N6-K6</f>
        <v>-0.58823529411779418</v>
      </c>
      <c r="AC6" s="193">
        <f>N6/K6</f>
        <v>0.99970588235294111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148</v>
      </c>
      <c r="E7" s="89"/>
      <c r="F7" s="56">
        <f>VLOOKUP(D7,廠價表!$C$1:$E$39,3,0)</f>
        <v>57.21</v>
      </c>
      <c r="G7" s="25">
        <v>2826</v>
      </c>
      <c r="H7" s="15">
        <f t="shared" si="1"/>
        <v>161675.46</v>
      </c>
      <c r="I7" s="190"/>
      <c r="J7" s="16">
        <f>VLOOKUP(D7,產線配置圖!$A$2:$C$38,2,0)</f>
        <v>14</v>
      </c>
      <c r="K7" s="14">
        <f>VLOOKUP(D7,產線配置圖!$A$2:$C$38,3,0)</f>
        <v>1895</v>
      </c>
      <c r="L7" s="17">
        <f>K7/J7</f>
        <v>135.35714285714286</v>
      </c>
      <c r="M7" s="188">
        <v>14</v>
      </c>
      <c r="N7" s="14">
        <f>G7/W7*60</f>
        <v>1884</v>
      </c>
      <c r="O7" s="17">
        <f>N7/M7</f>
        <v>134.57142857142858</v>
      </c>
      <c r="P7" s="18">
        <f>M7-J7</f>
        <v>0</v>
      </c>
      <c r="Q7" s="19">
        <f>O7-L7</f>
        <v>-0.78571428571427759</v>
      </c>
      <c r="R7" s="193">
        <f>O7/L7</f>
        <v>0.99419525065963066</v>
      </c>
      <c r="S7" s="409"/>
      <c r="T7" s="98">
        <v>0.39097222222222222</v>
      </c>
      <c r="U7" s="98">
        <v>0.45347222222222222</v>
      </c>
      <c r="V7" s="185">
        <f>(T7-U6)*24*60</f>
        <v>6.9999999999999751</v>
      </c>
      <c r="W7" s="190">
        <f t="shared" si="0"/>
        <v>90</v>
      </c>
      <c r="X7" s="22"/>
      <c r="Y7" s="22"/>
      <c r="Z7" s="400"/>
      <c r="AA7" s="400"/>
      <c r="AB7" s="18">
        <f>N7-K7</f>
        <v>-11</v>
      </c>
      <c r="AC7" s="193">
        <f>N7/K7</f>
        <v>0.99419525065963066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2562</v>
      </c>
      <c r="H8" s="15">
        <f t="shared" si="1"/>
        <v>125896.68000000001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1996.3636363636372</v>
      </c>
      <c r="O8" s="17">
        <f>N8/M8</f>
        <v>153.56643356643363</v>
      </c>
      <c r="P8" s="18">
        <f>M8-J8</f>
        <v>0</v>
      </c>
      <c r="Q8" s="19">
        <f>O8-L8</f>
        <v>-0.27972027972020896</v>
      </c>
      <c r="R8" s="193">
        <f>O8/L8</f>
        <v>0.99818181818181861</v>
      </c>
      <c r="S8" s="409"/>
      <c r="T8" s="80">
        <v>0.45833333333333331</v>
      </c>
      <c r="U8" s="80">
        <v>0.51180555555555551</v>
      </c>
      <c r="V8" s="185">
        <f>(T8-U7)*24*60</f>
        <v>6.9999999999999751</v>
      </c>
      <c r="W8" s="190">
        <f t="shared" si="0"/>
        <v>76.999999999999972</v>
      </c>
      <c r="X8" s="22">
        <v>0.52083333333333337</v>
      </c>
      <c r="Y8" s="22">
        <v>0.5625</v>
      </c>
      <c r="Z8" s="447"/>
      <c r="AA8" s="447"/>
      <c r="AB8" s="18">
        <f>N8-K8</f>
        <v>-3.6363636363628302</v>
      </c>
      <c r="AC8" s="193">
        <f>N8/K8</f>
        <v>0.99818181818181861</v>
      </c>
      <c r="AD8" s="392"/>
    </row>
    <row r="9" spans="1:30" ht="15" customHeight="1" x14ac:dyDescent="0.25">
      <c r="A9" s="466"/>
      <c r="B9" s="56" t="str">
        <f>VLOOKUP(D9,廠價表!$C$1:$E$39,2,0)</f>
        <v>義大利麵</v>
      </c>
      <c r="C9" s="10"/>
      <c r="D9" s="11" t="s">
        <v>150</v>
      </c>
      <c r="E9" s="89"/>
      <c r="F9" s="56">
        <f>VLOOKUP(D9,廠價表!$C$1:$E$39,3,0)</f>
        <v>49.14</v>
      </c>
      <c r="G9" s="25">
        <v>4045</v>
      </c>
      <c r="H9" s="15">
        <f t="shared" ref="H9" si="2">F9*G9</f>
        <v>198771.3</v>
      </c>
      <c r="I9" s="190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8">
        <v>13</v>
      </c>
      <c r="N9" s="14">
        <f>G9/W9*60</f>
        <v>1989.3442622950815</v>
      </c>
      <c r="O9" s="17">
        <f>N9/M9</f>
        <v>153.02648171500627</v>
      </c>
      <c r="P9" s="18">
        <f>M9-J9</f>
        <v>0</v>
      </c>
      <c r="Q9" s="19">
        <f>O9-L9</f>
        <v>-0.81967213114756987</v>
      </c>
      <c r="R9" s="193">
        <f>O9/L9</f>
        <v>0.99467213114754083</v>
      </c>
      <c r="S9" s="410"/>
      <c r="T9" s="20">
        <v>0.57499999999999996</v>
      </c>
      <c r="U9" s="20">
        <v>0.65972222222222221</v>
      </c>
      <c r="V9" s="185">
        <f>(T9-U8)*24*60</f>
        <v>91</v>
      </c>
      <c r="W9" s="24">
        <f t="shared" si="0"/>
        <v>122.00000000000004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3">AVERAGE(J5:J14)</f>
        <v>13.6</v>
      </c>
      <c r="K15" s="121">
        <f t="shared" si="3"/>
        <v>1979</v>
      </c>
      <c r="L15" s="118">
        <f t="shared" si="3"/>
        <v>146.04578754578753</v>
      </c>
      <c r="M15" s="121">
        <f t="shared" si="3"/>
        <v>13.6</v>
      </c>
      <c r="N15" s="121">
        <f t="shared" si="3"/>
        <v>1969.062027911016</v>
      </c>
      <c r="O15" s="118">
        <f t="shared" si="3"/>
        <v>145.29462270291589</v>
      </c>
      <c r="P15" s="122">
        <f t="shared" ref="P15:P16" si="4">M15-J15</f>
        <v>0</v>
      </c>
      <c r="Q15" s="123">
        <f t="shared" ref="Q15:Q16" si="5">O15-L15</f>
        <v>-0.75116484287164553</v>
      </c>
      <c r="R15" s="124">
        <f t="shared" ref="R15:R16" si="6">O15/L15</f>
        <v>0.99485664834642251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-9.9379720889839973</v>
      </c>
      <c r="AC15" s="195">
        <f>N15/K15</f>
        <v>0.9949782859580677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1882</v>
      </c>
      <c r="H16" s="128">
        <f t="shared" ref="H16:H25" si="7">F16*G16</f>
        <v>107669.22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1821.2903225806469</v>
      </c>
      <c r="O16" s="131">
        <f>N16/M16</f>
        <v>140.09925558312668</v>
      </c>
      <c r="P16" s="132">
        <f t="shared" si="4"/>
        <v>0</v>
      </c>
      <c r="Q16" s="133">
        <f t="shared" si="5"/>
        <v>-13.746898263027163</v>
      </c>
      <c r="R16" s="197">
        <f t="shared" si="6"/>
        <v>0.91064516129032347</v>
      </c>
      <c r="S16" s="433">
        <f>R26</f>
        <v>0.93871779008147049</v>
      </c>
      <c r="T16" s="288">
        <v>0.28958333333333336</v>
      </c>
      <c r="U16" s="288">
        <v>0.33263888888888887</v>
      </c>
      <c r="V16" s="129"/>
      <c r="W16" s="134">
        <f t="shared" ref="W16:W68" si="8">(U16-T16)*24*60</f>
        <v>61.999999999999943</v>
      </c>
      <c r="X16" s="131"/>
      <c r="Y16" s="131"/>
      <c r="Z16" s="423"/>
      <c r="AA16" s="423"/>
      <c r="AB16" s="114">
        <f>N16-K16</f>
        <v>-178.70967741935306</v>
      </c>
      <c r="AC16" s="192">
        <f>N16/K16</f>
        <v>0.91064516129032347</v>
      </c>
      <c r="AD16" s="391">
        <f>AC26</f>
        <v>0.93878218831681481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4342</v>
      </c>
      <c r="H17" s="15">
        <f>F17*G17</f>
        <v>220009.14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1901.6058394160584</v>
      </c>
      <c r="O17" s="38">
        <f>N17/M17</f>
        <v>126.77372262773723</v>
      </c>
      <c r="P17" s="39">
        <f>M17-J17</f>
        <v>0</v>
      </c>
      <c r="Q17" s="40">
        <f>O17-L17</f>
        <v>-6.5596107055961141</v>
      </c>
      <c r="R17" s="198">
        <f>O17/L17</f>
        <v>0.9508029197080291</v>
      </c>
      <c r="S17" s="434"/>
      <c r="T17" s="41">
        <v>0.34166666666666667</v>
      </c>
      <c r="U17" s="41">
        <v>0.43680555555555556</v>
      </c>
      <c r="V17" s="185">
        <f>(T17-U16)*24*60</f>
        <v>13.000000000000034</v>
      </c>
      <c r="W17" s="43">
        <f t="shared" si="8"/>
        <v>137</v>
      </c>
      <c r="X17" s="44"/>
      <c r="Y17" s="44"/>
      <c r="Z17" s="399"/>
      <c r="AA17" s="400"/>
      <c r="AB17" s="18">
        <f>N17-K17</f>
        <v>-98.394160583941584</v>
      </c>
      <c r="AC17" s="193">
        <f>N17/K17</f>
        <v>0.95080291970802921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2060</v>
      </c>
      <c r="H18" s="15">
        <f>F18*G18</f>
        <v>103803.4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1817.6470588235293</v>
      </c>
      <c r="O18" s="38">
        <f>N18/M18</f>
        <v>151.47058823529412</v>
      </c>
      <c r="P18" s="39">
        <f>M18-J18</f>
        <v>0</v>
      </c>
      <c r="Q18" s="40">
        <f>O18-L18</f>
        <v>-15.196078431372541</v>
      </c>
      <c r="R18" s="198">
        <f>O18/L18</f>
        <v>0.9088235294117647</v>
      </c>
      <c r="S18" s="434"/>
      <c r="T18" s="41">
        <v>0.44583333333333336</v>
      </c>
      <c r="U18" s="41">
        <v>0.49305555555555558</v>
      </c>
      <c r="V18" s="185">
        <f>(T18-U17)*24*60</f>
        <v>13.000000000000034</v>
      </c>
      <c r="W18" s="43">
        <f t="shared" si="8"/>
        <v>68</v>
      </c>
      <c r="X18" s="22"/>
      <c r="Y18" s="22"/>
      <c r="Z18" s="399"/>
      <c r="AA18" s="400"/>
      <c r="AB18" s="18">
        <f>N18-K18</f>
        <v>-182.35294117647072</v>
      </c>
      <c r="AC18" s="193">
        <f>N18/K18</f>
        <v>0.90882352941176459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3447</v>
      </c>
      <c r="H19" s="15">
        <f t="shared" ref="H19" si="9">F19*G19</f>
        <v>173694.33000000002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10">K19/J19</f>
        <v>166.66666666666666</v>
      </c>
      <c r="M19" s="37">
        <v>12</v>
      </c>
      <c r="N19" s="36">
        <f>G19/W19*60</f>
        <v>1969.7142857142835</v>
      </c>
      <c r="O19" s="38">
        <f>N19/M19</f>
        <v>164.14285714285697</v>
      </c>
      <c r="P19" s="39">
        <f>M19-J19</f>
        <v>0</v>
      </c>
      <c r="Q19" s="40">
        <f>O19-L19</f>
        <v>-2.5238095238096889</v>
      </c>
      <c r="R19" s="198">
        <f>O19/L19</f>
        <v>0.98485714285714188</v>
      </c>
      <c r="S19" s="434"/>
      <c r="T19" s="41">
        <v>0.57638888888888884</v>
      </c>
      <c r="U19" s="41">
        <v>0.64930555555555558</v>
      </c>
      <c r="V19" s="185">
        <f>(T19-U18)*24*60</f>
        <v>119.99999999999989</v>
      </c>
      <c r="W19" s="43">
        <f t="shared" si="8"/>
        <v>105.00000000000011</v>
      </c>
      <c r="X19" s="22">
        <v>0.52083333333333337</v>
      </c>
      <c r="Y19" s="22">
        <v>0.5625</v>
      </c>
      <c r="Z19" s="398"/>
      <c r="AA19" s="399"/>
      <c r="AB19" s="18">
        <f>N19-K19</f>
        <v>-30.285714285716494</v>
      </c>
      <c r="AC19" s="193">
        <f>N19/K19</f>
        <v>0.98485714285714177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7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7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8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8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8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1">AVERAGE(J16:J25)</f>
        <v>13</v>
      </c>
      <c r="K26" s="137">
        <f t="shared" si="11"/>
        <v>2000</v>
      </c>
      <c r="L26" s="140">
        <f t="shared" si="11"/>
        <v>155.12820512820511</v>
      </c>
      <c r="M26" s="137">
        <f t="shared" si="11"/>
        <v>13</v>
      </c>
      <c r="N26" s="137">
        <f t="shared" si="11"/>
        <v>1877.5643766336295</v>
      </c>
      <c r="O26" s="140">
        <f t="shared" si="11"/>
        <v>145.62160589725374</v>
      </c>
      <c r="P26" s="141">
        <f t="shared" ref="P26:P29" si="12">M26-J26</f>
        <v>0</v>
      </c>
      <c r="Q26" s="142">
        <f t="shared" ref="Q26:Q29" si="13">O26-L26</f>
        <v>-9.5065992309513661</v>
      </c>
      <c r="R26" s="143">
        <f t="shared" ref="R26:R29" si="14">O26/L26</f>
        <v>0.93871779008147049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-122.43562336637046</v>
      </c>
      <c r="AC26" s="195">
        <f>N26/K26</f>
        <v>0.93878218831681481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3043</v>
      </c>
      <c r="H27" s="128">
        <f t="shared" ref="H27:H36" si="15">F27*G27</f>
        <v>167760.59</v>
      </c>
      <c r="I27" s="129"/>
      <c r="J27" s="111">
        <v>15</v>
      </c>
      <c r="K27" s="252">
        <v>1565</v>
      </c>
      <c r="L27" s="112">
        <f>K27/J27</f>
        <v>104.33333333333333</v>
      </c>
      <c r="M27" s="147">
        <v>15</v>
      </c>
      <c r="N27" s="130">
        <f>G27/W27*60</f>
        <v>1508.9256198347111</v>
      </c>
      <c r="O27" s="131">
        <f>N27/M27</f>
        <v>100.59504132231407</v>
      </c>
      <c r="P27" s="132">
        <f t="shared" si="12"/>
        <v>0</v>
      </c>
      <c r="Q27" s="133">
        <f t="shared" si="13"/>
        <v>-3.7382920110192543</v>
      </c>
      <c r="R27" s="197">
        <f>O27/L27</f>
        <v>0.96416972513400079</v>
      </c>
      <c r="S27" s="433">
        <f>R37</f>
        <v>0.88878918138340868</v>
      </c>
      <c r="T27" s="97">
        <v>0.2951388888888889</v>
      </c>
      <c r="U27" s="97">
        <v>0.37916666666666665</v>
      </c>
      <c r="V27" s="129"/>
      <c r="W27" s="134">
        <f t="shared" si="8"/>
        <v>120.99999999999997</v>
      </c>
      <c r="X27" s="129"/>
      <c r="Y27" s="129" t="s">
        <v>158</v>
      </c>
      <c r="Z27" s="414"/>
      <c r="AA27" s="423"/>
      <c r="AB27" s="114">
        <f>N27-K27</f>
        <v>-56.074380165288858</v>
      </c>
      <c r="AC27" s="148">
        <f>N27/K27</f>
        <v>0.96416972513400068</v>
      </c>
      <c r="AD27" s="391">
        <f>AC37</f>
        <v>0.87043409135449423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2425</v>
      </c>
      <c r="H28" s="50">
        <f t="shared" si="15"/>
        <v>137909.75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16</v>
      </c>
      <c r="N28" s="36">
        <f>G28/W28*60</f>
        <v>1254.3103448275865</v>
      </c>
      <c r="O28" s="38">
        <f>N28/M28</f>
        <v>78.394396551724157</v>
      </c>
      <c r="P28" s="39">
        <f t="shared" si="12"/>
        <v>-1</v>
      </c>
      <c r="Q28" s="40">
        <f t="shared" si="13"/>
        <v>-9.8408975659229014</v>
      </c>
      <c r="R28" s="198">
        <f t="shared" si="14"/>
        <v>0.88846982758620707</v>
      </c>
      <c r="S28" s="434"/>
      <c r="T28" s="291">
        <v>0.38611111111111113</v>
      </c>
      <c r="U28" s="291">
        <v>0.46666666666666667</v>
      </c>
      <c r="V28" s="42">
        <f>(T28-U27)*24*60</f>
        <v>10.000000000000044</v>
      </c>
      <c r="W28" s="43">
        <f t="shared" si="8"/>
        <v>115.99999999999999</v>
      </c>
      <c r="X28" s="54"/>
      <c r="Y28" s="54"/>
      <c r="Z28" s="399"/>
      <c r="AA28" s="400"/>
      <c r="AB28" s="34">
        <f>N28-K28</f>
        <v>-245.6896551724135</v>
      </c>
      <c r="AC28" s="194">
        <f>N28/K28</f>
        <v>0.83620689655172431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222</v>
      </c>
      <c r="E29" s="89"/>
      <c r="F29" s="56">
        <f>VLOOKUP(D29,廠價表!$C$1:$E$39,3,0)</f>
        <v>50.67</v>
      </c>
      <c r="G29" s="256">
        <v>1838</v>
      </c>
      <c r="H29" s="50">
        <f t="shared" si="15"/>
        <v>93131.46</v>
      </c>
      <c r="I29" s="42"/>
      <c r="J29" s="16">
        <v>16</v>
      </c>
      <c r="K29" s="14">
        <v>1636</v>
      </c>
      <c r="L29" s="251">
        <f>K29/J29</f>
        <v>102.25</v>
      </c>
      <c r="M29" s="21">
        <v>16</v>
      </c>
      <c r="N29" s="36">
        <f>G29/W29*60</f>
        <v>1328.6746987951801</v>
      </c>
      <c r="O29" s="38">
        <f>N29/M29</f>
        <v>83.042168674698758</v>
      </c>
      <c r="P29" s="39">
        <f t="shared" si="12"/>
        <v>0</v>
      </c>
      <c r="Q29" s="40">
        <f t="shared" si="13"/>
        <v>-19.207831325301242</v>
      </c>
      <c r="R29" s="198">
        <f t="shared" si="14"/>
        <v>0.81214834889680931</v>
      </c>
      <c r="S29" s="434"/>
      <c r="T29" s="41">
        <v>0.62569444444444444</v>
      </c>
      <c r="U29" s="41">
        <v>0.68333333333333335</v>
      </c>
      <c r="V29" s="42">
        <f>(T29-U28)*24*60</f>
        <v>229</v>
      </c>
      <c r="W29" s="43">
        <f t="shared" si="8"/>
        <v>83.000000000000028</v>
      </c>
      <c r="X29" s="54">
        <v>0.47916666666666669</v>
      </c>
      <c r="Y29" s="54">
        <v>0.52083333333333337</v>
      </c>
      <c r="Z29" s="399" t="s">
        <v>185</v>
      </c>
      <c r="AA29" s="398"/>
      <c r="AB29" s="275">
        <f t="shared" ref="AB29" si="16">N29-K29</f>
        <v>-307.32530120481988</v>
      </c>
      <c r="AC29" s="276">
        <f t="shared" ref="AC29" si="17">N29/K29</f>
        <v>0.81214834889680931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8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8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5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8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5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8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8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8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8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8">AVERAGE(J27:J36)</f>
        <v>16</v>
      </c>
      <c r="K37" s="314">
        <f t="shared" si="18"/>
        <v>1567</v>
      </c>
      <c r="L37" s="315">
        <f t="shared" si="18"/>
        <v>98.272875816993462</v>
      </c>
      <c r="M37" s="314">
        <f t="shared" si="18"/>
        <v>15.666666666666666</v>
      </c>
      <c r="N37" s="314">
        <f t="shared" si="18"/>
        <v>1363.9702211524925</v>
      </c>
      <c r="O37" s="315">
        <f t="shared" si="18"/>
        <v>87.343868849578996</v>
      </c>
      <c r="P37" s="74">
        <f>M37-J37</f>
        <v>-0.33333333333333393</v>
      </c>
      <c r="Q37" s="75">
        <f>N37-K37</f>
        <v>-203.02977884750749</v>
      </c>
      <c r="R37" s="316">
        <f t="shared" ref="R37:R38" si="19">O37/L37</f>
        <v>0.88878918138340868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8" si="20">N37-K37</f>
        <v>-203.02977884750749</v>
      </c>
      <c r="AC37" s="195">
        <f t="shared" ref="AC37:AC38" si="21">N37/K37</f>
        <v>0.87043409135449423</v>
      </c>
      <c r="AD37" s="396"/>
    </row>
    <row r="38" spans="1:30" s="63" customFormat="1" ht="15" customHeight="1" thickBot="1" x14ac:dyDescent="0.3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3292</v>
      </c>
      <c r="H38" s="64">
        <f>F38*G38</f>
        <v>164303.72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17</v>
      </c>
      <c r="N38" s="130">
        <f>G38/W38*60</f>
        <v>1519.384615384615</v>
      </c>
      <c r="O38" s="131">
        <f>N38/M38</f>
        <v>89.375565610859709</v>
      </c>
      <c r="P38" s="132">
        <f t="shared" ref="P38" si="22">M38-J38</f>
        <v>0</v>
      </c>
      <c r="Q38" s="133">
        <f t="shared" ref="Q38" si="23">O38-L38</f>
        <v>-2.6832579185520586</v>
      </c>
      <c r="R38" s="197">
        <f t="shared" si="19"/>
        <v>0.97085278938314057</v>
      </c>
      <c r="S38" s="493">
        <f>R48</f>
        <v>0.83893916540975388</v>
      </c>
      <c r="T38" s="157">
        <v>0.33194444444444443</v>
      </c>
      <c r="U38" s="157">
        <v>0.42222222222222222</v>
      </c>
      <c r="V38" s="153"/>
      <c r="W38" s="158">
        <f t="shared" si="8"/>
        <v>130.00000000000003</v>
      </c>
      <c r="X38" s="155"/>
      <c r="Y38" s="159"/>
      <c r="Z38" s="428"/>
      <c r="AA38" s="475"/>
      <c r="AB38" s="319">
        <f t="shared" si="20"/>
        <v>-45.615384615384983</v>
      </c>
      <c r="AC38" s="161">
        <f t="shared" si="21"/>
        <v>0.97085278938314057</v>
      </c>
      <c r="AD38" s="388">
        <f>AC48</f>
        <v>0.83893916540975377</v>
      </c>
    </row>
    <row r="39" spans="1:30" s="63" customFormat="1" ht="15" customHeight="1" thickBot="1" x14ac:dyDescent="0.3">
      <c r="A39" s="425"/>
      <c r="B39" s="56" t="str">
        <f>VLOOKUP(D39,廠價表!$C$1:$E$39,2,0)</f>
        <v>義大利麵</v>
      </c>
      <c r="C39" s="306"/>
      <c r="D39" s="308" t="s">
        <v>223</v>
      </c>
      <c r="E39" s="307"/>
      <c r="F39" s="56">
        <f>VLOOKUP(D39,廠價表!$C$1:$E$39,3,0)</f>
        <v>57.3</v>
      </c>
      <c r="G39" s="305">
        <v>1321</v>
      </c>
      <c r="H39" s="64">
        <f>F39*G39</f>
        <v>75693.3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>K39/J39</f>
        <v>81.470588235294116</v>
      </c>
      <c r="M39" s="66">
        <v>17</v>
      </c>
      <c r="N39" s="67">
        <f>G39/W39*60</f>
        <v>990.75000000000057</v>
      </c>
      <c r="O39" s="68">
        <f>N39/M39</f>
        <v>58.279411764705912</v>
      </c>
      <c r="P39" s="39">
        <f>M39-J39</f>
        <v>0</v>
      </c>
      <c r="Q39" s="40">
        <f>O39-L39</f>
        <v>-23.191176470588204</v>
      </c>
      <c r="R39" s="198">
        <f>O39/L39</f>
        <v>0.71534296028880906</v>
      </c>
      <c r="S39" s="494"/>
      <c r="T39" s="59">
        <v>0.43402777777777779</v>
      </c>
      <c r="U39" s="59">
        <v>0.48958333333333331</v>
      </c>
      <c r="V39" s="42">
        <f t="shared" ref="V39:V40" si="24">(T39-U38)*24*60</f>
        <v>17.000000000000021</v>
      </c>
      <c r="W39" s="70">
        <f t="shared" si="8"/>
        <v>79.999999999999957</v>
      </c>
      <c r="X39" s="22"/>
      <c r="Y39" s="22"/>
      <c r="Z39" s="63" t="s">
        <v>244</v>
      </c>
      <c r="AB39" s="319">
        <f t="shared" ref="AB39:AB40" si="25">N39-K39</f>
        <v>-394.24999999999943</v>
      </c>
      <c r="AC39" s="161">
        <f t="shared" ref="AC39:AC40" si="26">N39/K39</f>
        <v>0.71534296028880906</v>
      </c>
      <c r="AD39" s="389"/>
    </row>
    <row r="40" spans="1:30" s="63" customFormat="1" ht="15" customHeight="1" x14ac:dyDescent="0.25">
      <c r="A40" s="425"/>
      <c r="B40" s="56" t="str">
        <f>VLOOKUP(D40,廠價表!$C$1:$E$39,2,0)</f>
        <v>義大利麵</v>
      </c>
      <c r="C40" s="298"/>
      <c r="D40" s="308" t="s">
        <v>223</v>
      </c>
      <c r="E40" s="261"/>
      <c r="F40" s="56">
        <f>VLOOKUP(D40,廠價表!$C$1:$E$39,3,0)</f>
        <v>57.3</v>
      </c>
      <c r="G40" s="305">
        <v>2704</v>
      </c>
      <c r="H40" s="64">
        <f>F40*G40</f>
        <v>154939.19999999998</v>
      </c>
      <c r="I40" s="65"/>
      <c r="J40" s="37">
        <f>VLOOKUP(D40,產線配置圖!$A$2:$C$38,2,0)</f>
        <v>17</v>
      </c>
      <c r="K40" s="36">
        <f>VLOOKUP(D40,產線配置圖!$A$2:$C$38,3,0)</f>
        <v>1385</v>
      </c>
      <c r="L40" s="38">
        <f>K40/J40</f>
        <v>81.470588235294116</v>
      </c>
      <c r="M40" s="66">
        <v>17</v>
      </c>
      <c r="N40" s="67">
        <f>G40/W40*60</f>
        <v>1126.666666666667</v>
      </c>
      <c r="O40" s="68">
        <f>N40/M40</f>
        <v>66.274509803921589</v>
      </c>
      <c r="P40" s="39">
        <f>M40-J40</f>
        <v>0</v>
      </c>
      <c r="Q40" s="40">
        <f>O40-L40</f>
        <v>-15.196078431372527</v>
      </c>
      <c r="R40" s="198">
        <f>O40/L40</f>
        <v>0.81347773766546361</v>
      </c>
      <c r="S40" s="409"/>
      <c r="T40" s="59">
        <v>0.55208333333333337</v>
      </c>
      <c r="U40" s="59">
        <v>0.65208333333333335</v>
      </c>
      <c r="V40" s="42">
        <f t="shared" si="24"/>
        <v>90.000000000000085</v>
      </c>
      <c r="W40" s="70">
        <f t="shared" si="8"/>
        <v>143.99999999999997</v>
      </c>
      <c r="X40" s="71">
        <v>0.5</v>
      </c>
      <c r="Y40" s="278">
        <v>0.54166666666666663</v>
      </c>
      <c r="Z40" s="476"/>
      <c r="AA40" s="476"/>
      <c r="AB40" s="319">
        <f t="shared" si="25"/>
        <v>-258.33333333333303</v>
      </c>
      <c r="AC40" s="161">
        <f t="shared" si="26"/>
        <v>0.8134777376654635</v>
      </c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8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7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8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7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7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8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7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8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7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8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7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8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9">AVERAGE(J38:J47)</f>
        <v>17</v>
      </c>
      <c r="K48" s="137">
        <f t="shared" si="29"/>
        <v>1445</v>
      </c>
      <c r="L48" s="140">
        <f t="shared" si="29"/>
        <v>85</v>
      </c>
      <c r="M48" s="137">
        <f t="shared" si="29"/>
        <v>17</v>
      </c>
      <c r="N48" s="137">
        <f t="shared" si="29"/>
        <v>1212.2670940170942</v>
      </c>
      <c r="O48" s="140">
        <f t="shared" si="29"/>
        <v>71.309829059829084</v>
      </c>
      <c r="P48" s="164">
        <f>M48-J48</f>
        <v>0</v>
      </c>
      <c r="Q48" s="165">
        <f>N48-K48</f>
        <v>-232.73290598290578</v>
      </c>
      <c r="R48" s="166">
        <f>O48/L48</f>
        <v>0.83893916540975388</v>
      </c>
      <c r="S48" s="412"/>
      <c r="T48" s="167"/>
      <c r="U48" s="167"/>
      <c r="V48" s="204"/>
      <c r="W48" s="168">
        <f t="shared" si="28"/>
        <v>0</v>
      </c>
      <c r="X48" s="169"/>
      <c r="Y48" s="169"/>
      <c r="Z48" s="401"/>
      <c r="AA48" s="401"/>
      <c r="AB48" s="170">
        <f>N48-K48</f>
        <v>-232.73290598290578</v>
      </c>
      <c r="AC48" s="199">
        <f>N48/K48</f>
        <v>0.83893916540975377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6847</v>
      </c>
      <c r="H49" s="128">
        <f t="shared" ref="H49:H57" si="30">F49*G49</f>
        <v>342144.58999999997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1538.6516853932583</v>
      </c>
      <c r="O49" s="131">
        <f>N49/M49</f>
        <v>85.480649188514349</v>
      </c>
      <c r="P49" s="171">
        <f>M49-J49</f>
        <v>0</v>
      </c>
      <c r="Q49" s="115">
        <f>O49-L49</f>
        <v>-1.4637952559300942</v>
      </c>
      <c r="R49" s="192">
        <f>O49/L49</f>
        <v>0.98316401622572414</v>
      </c>
      <c r="S49" s="408">
        <f>R58</f>
        <v>0.98910116541505</v>
      </c>
      <c r="T49" s="157">
        <v>0.29166666666666669</v>
      </c>
      <c r="U49" s="157">
        <v>0.47708333333333336</v>
      </c>
      <c r="V49" s="196"/>
      <c r="W49" s="158">
        <f t="shared" si="8"/>
        <v>267</v>
      </c>
      <c r="X49" s="196"/>
      <c r="Y49" s="196"/>
      <c r="Z49" s="423"/>
      <c r="AA49" s="423"/>
      <c r="AB49" s="114">
        <f>N49-K49</f>
        <v>-26.348314606741724</v>
      </c>
      <c r="AC49" s="192">
        <f>N49/K49</f>
        <v>0.98316401622572414</v>
      </c>
      <c r="AD49" s="391">
        <f>AC58</f>
        <v>0.98893274709927514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2562</v>
      </c>
      <c r="H50" s="77">
        <f t="shared" si="30"/>
        <v>145700.94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1492.42718446602</v>
      </c>
      <c r="O50" s="79">
        <f>N50/M50</f>
        <v>87.789834380354122</v>
      </c>
      <c r="P50" s="18">
        <f>M50-J50</f>
        <v>0</v>
      </c>
      <c r="Q50" s="19">
        <f>O50-L50</f>
        <v>-0.44545973729293564</v>
      </c>
      <c r="R50" s="193">
        <f>O50/L50</f>
        <v>0.99495145631068005</v>
      </c>
      <c r="S50" s="409"/>
      <c r="T50" s="80">
        <v>0.53749999999999998</v>
      </c>
      <c r="U50" s="80">
        <v>0.60902777777777772</v>
      </c>
      <c r="V50" s="185">
        <f t="shared" ref="V50" si="31">(T50-U49)*24*60</f>
        <v>86.999999999999929</v>
      </c>
      <c r="W50" s="81">
        <f t="shared" si="8"/>
        <v>102.99999999999996</v>
      </c>
      <c r="X50" s="22">
        <v>0.4861111111111111</v>
      </c>
      <c r="Y50" s="22">
        <v>0.52777777777777779</v>
      </c>
      <c r="Z50" s="398"/>
      <c r="AA50" s="399"/>
      <c r="AB50" s="18">
        <f>N50-K50</f>
        <v>-7.5728155339800196</v>
      </c>
      <c r="AC50" s="193">
        <f>N50/K50</f>
        <v>0.99495145631067994</v>
      </c>
      <c r="AD50" s="392"/>
    </row>
    <row r="51" spans="1:30" ht="15" customHeight="1" x14ac:dyDescent="0.25">
      <c r="A51" s="421"/>
      <c r="B51" s="56"/>
      <c r="C51" s="10"/>
      <c r="D51" s="11"/>
      <c r="E51" s="89"/>
      <c r="F51" s="56"/>
      <c r="G51" s="67"/>
      <c r="H51" s="77"/>
      <c r="I51" s="185"/>
      <c r="J51" s="16"/>
      <c r="K51" s="14"/>
      <c r="L51" s="17"/>
      <c r="M51" s="182"/>
      <c r="N51" s="78"/>
      <c r="O51" s="79"/>
      <c r="P51" s="18"/>
      <c r="Q51" s="19"/>
      <c r="R51" s="193"/>
      <c r="S51" s="409"/>
      <c r="T51" s="80"/>
      <c r="U51" s="44"/>
      <c r="V51" s="185"/>
      <c r="W51" s="81">
        <f t="shared" si="8"/>
        <v>0</v>
      </c>
      <c r="X51" s="22"/>
      <c r="Y51" s="22"/>
      <c r="Z51" s="400"/>
      <c r="AA51" s="400"/>
      <c r="AB51" s="51"/>
      <c r="AC51" s="52"/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8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30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8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0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8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0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8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0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8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0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8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2">AVERAGE(J49:J57)</f>
        <v>17.5</v>
      </c>
      <c r="K58" s="121">
        <f t="shared" si="32"/>
        <v>1532.5</v>
      </c>
      <c r="L58" s="118">
        <f t="shared" si="32"/>
        <v>87.58986928104575</v>
      </c>
      <c r="M58" s="121">
        <f t="shared" si="32"/>
        <v>17.5</v>
      </c>
      <c r="N58" s="121">
        <f t="shared" si="32"/>
        <v>1515.5394349296391</v>
      </c>
      <c r="O58" s="118">
        <f t="shared" si="32"/>
        <v>86.635241784434243</v>
      </c>
      <c r="P58" s="122">
        <f>M58-J58</f>
        <v>0</v>
      </c>
      <c r="Q58" s="123">
        <f>N58-K58</f>
        <v>-16.960565070360872</v>
      </c>
      <c r="R58" s="124">
        <f t="shared" ref="R58:R60" si="33">O58/L58</f>
        <v>0.98910116541505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4">N58-K58</f>
        <v>-16.960565070360872</v>
      </c>
      <c r="AC58" s="195">
        <f t="shared" ref="AC58:AC61" si="35">N58/K58</f>
        <v>0.98893274709927514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3110</v>
      </c>
      <c r="H59" s="109">
        <f t="shared" ref="H59:H68" si="36">F59*G59</f>
        <v>83938.9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14</v>
      </c>
      <c r="N59" s="108">
        <f t="shared" ref="N59:N61" si="37">G59/W59*60</f>
        <v>1555.0000000000002</v>
      </c>
      <c r="O59" s="112">
        <f t="shared" ref="O59:O61" si="38">N59/M59</f>
        <v>111.07142857142858</v>
      </c>
      <c r="P59" s="114">
        <f t="shared" ref="P59:P61" si="39">M59-J59</f>
        <v>1</v>
      </c>
      <c r="Q59" s="115">
        <f t="shared" ref="Q59:Q61" si="40">O59-L59</f>
        <v>-9.3131868131868032</v>
      </c>
      <c r="R59" s="192">
        <f t="shared" si="33"/>
        <v>0.92263806481058885</v>
      </c>
      <c r="S59" s="408">
        <f>R69</f>
        <v>0.87133792766030227</v>
      </c>
      <c r="T59" s="176">
        <v>0.29166666666666669</v>
      </c>
      <c r="U59" s="176">
        <v>0.375</v>
      </c>
      <c r="V59" s="196"/>
      <c r="W59" s="110">
        <f t="shared" si="8"/>
        <v>119.99999999999997</v>
      </c>
      <c r="X59" s="196"/>
      <c r="Y59" s="196"/>
      <c r="Z59" s="400"/>
      <c r="AA59" s="400"/>
      <c r="AB59" s="240">
        <f t="shared" si="34"/>
        <v>-9.9999999999997726</v>
      </c>
      <c r="AC59" s="241">
        <f t="shared" si="35"/>
        <v>0.99361022364217266</v>
      </c>
      <c r="AD59" s="391">
        <f>AC69</f>
        <v>0.90688679042281006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1242</v>
      </c>
      <c r="H60" s="15">
        <f t="shared" si="36"/>
        <v>35359.74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13</v>
      </c>
      <c r="N60" s="14">
        <f t="shared" si="37"/>
        <v>1201.9354838709687</v>
      </c>
      <c r="O60" s="17">
        <f t="shared" si="38"/>
        <v>92.456575682382208</v>
      </c>
      <c r="P60" s="18">
        <f t="shared" si="39"/>
        <v>1</v>
      </c>
      <c r="Q60" s="19">
        <f t="shared" si="40"/>
        <v>-37.960090984284449</v>
      </c>
      <c r="R60" s="193">
        <f t="shared" si="33"/>
        <v>0.70893220970516713</v>
      </c>
      <c r="S60" s="419"/>
      <c r="T60" s="206">
        <v>0.3840277777777778</v>
      </c>
      <c r="U60" s="206">
        <v>0.42708333333333331</v>
      </c>
      <c r="V60" s="185">
        <f t="shared" ref="V60:V62" si="41">(T60-U59)*24*60</f>
        <v>13.000000000000034</v>
      </c>
      <c r="W60" s="93">
        <f t="shared" si="8"/>
        <v>61.999999999999943</v>
      </c>
      <c r="X60" s="201"/>
      <c r="Y60" s="201"/>
      <c r="Z60" s="400" t="s">
        <v>245</v>
      </c>
      <c r="AA60" s="400"/>
      <c r="AB60" s="242">
        <f t="shared" si="34"/>
        <v>-363.06451612903129</v>
      </c>
      <c r="AC60" s="243">
        <f t="shared" si="35"/>
        <v>0.76800989384726437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2432</v>
      </c>
      <c r="H61" s="15">
        <f t="shared" si="36"/>
        <v>68728.320000000007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2">K61/J61</f>
        <v>130.41666666666666</v>
      </c>
      <c r="M61" s="188">
        <v>12</v>
      </c>
      <c r="N61" s="14">
        <f t="shared" si="37"/>
        <v>1389.7142857142865</v>
      </c>
      <c r="O61" s="17">
        <f t="shared" si="38"/>
        <v>115.80952380952387</v>
      </c>
      <c r="P61" s="18">
        <f t="shared" si="39"/>
        <v>0</v>
      </c>
      <c r="Q61" s="19">
        <f t="shared" si="40"/>
        <v>-14.60714285714279</v>
      </c>
      <c r="R61" s="193">
        <f>O61/L61</f>
        <v>0.88799634869922461</v>
      </c>
      <c r="S61" s="409"/>
      <c r="T61" s="20">
        <v>0.4375</v>
      </c>
      <c r="U61" s="20">
        <v>0.51041666666666663</v>
      </c>
      <c r="V61" s="185">
        <f t="shared" si="41"/>
        <v>15.000000000000027</v>
      </c>
      <c r="W61" s="91">
        <f t="shared" si="8"/>
        <v>104.99999999999994</v>
      </c>
      <c r="X61" s="22"/>
      <c r="Y61" s="22"/>
      <c r="Z61" s="400"/>
      <c r="AA61" s="400"/>
      <c r="AB61" s="51">
        <f t="shared" si="34"/>
        <v>-175.28571428571354</v>
      </c>
      <c r="AC61" s="52">
        <f t="shared" si="35"/>
        <v>0.88799634869922461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23"/>
      <c r="D62" s="11" t="s">
        <v>128</v>
      </c>
      <c r="E62" s="12"/>
      <c r="F62" s="56">
        <f>VLOOKUP(D62,廠價表!$C$1:$E$39,3,0)</f>
        <v>26.99</v>
      </c>
      <c r="G62" s="185">
        <v>1658</v>
      </c>
      <c r="H62" s="15">
        <f t="shared" ref="H62" si="43">F62*G62</f>
        <v>44749.42</v>
      </c>
      <c r="I62" s="82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42"/>
        <v>120.38461538461539</v>
      </c>
      <c r="M62" s="188">
        <v>13</v>
      </c>
      <c r="N62" s="14">
        <f t="shared" ref="N62" si="44">G62/W62*60</f>
        <v>1530.4615384615365</v>
      </c>
      <c r="O62" s="17">
        <f t="shared" ref="O62" si="45">N62/M62</f>
        <v>117.72781065088742</v>
      </c>
      <c r="P62" s="18">
        <f t="shared" ref="P62" si="46">M62-J62</f>
        <v>0</v>
      </c>
      <c r="Q62" s="19">
        <f t="shared" ref="Q62" si="47">O62-L62</f>
        <v>-2.6568047337279665</v>
      </c>
      <c r="R62" s="193">
        <f t="shared" ref="R62" si="48">O62/L62</f>
        <v>0.97793069550257916</v>
      </c>
      <c r="S62" s="409"/>
      <c r="T62" s="20">
        <v>0.56597222222222221</v>
      </c>
      <c r="U62" s="20">
        <v>0.61111111111111116</v>
      </c>
      <c r="V62" s="185">
        <f t="shared" si="41"/>
        <v>80.000000000000028</v>
      </c>
      <c r="W62" s="93">
        <f t="shared" si="8"/>
        <v>65.000000000000085</v>
      </c>
      <c r="X62" s="22">
        <v>0.52083333333333337</v>
      </c>
      <c r="Y62" s="22">
        <v>0.5625</v>
      </c>
      <c r="Z62" s="400"/>
      <c r="AA62" s="400"/>
      <c r="AB62" s="51">
        <f t="shared" ref="AB62" si="49">N62-K62</f>
        <v>-34.53846153846348</v>
      </c>
      <c r="AC62" s="52">
        <f t="shared" ref="AC62" si="50">N62/K62</f>
        <v>0.97793069550257927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8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6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8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6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8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6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8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6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8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6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8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1">AVERAGE(J59:J68)</f>
        <v>12.5</v>
      </c>
      <c r="K69" s="173">
        <f t="shared" si="51"/>
        <v>1565</v>
      </c>
      <c r="L69" s="178">
        <f t="shared" si="51"/>
        <v>125.40064102564102</v>
      </c>
      <c r="M69" s="173">
        <f t="shared" si="51"/>
        <v>13</v>
      </c>
      <c r="N69" s="173">
        <f t="shared" si="51"/>
        <v>1419.2778270116978</v>
      </c>
      <c r="O69" s="178">
        <f t="shared" si="51"/>
        <v>109.26633467855552</v>
      </c>
      <c r="P69" s="179">
        <f>M69-J69</f>
        <v>0.5</v>
      </c>
      <c r="Q69" s="165">
        <f>N69-K69</f>
        <v>-145.72217298830219</v>
      </c>
      <c r="R69" s="124">
        <f>O69/L69</f>
        <v>0.87133792766030227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-145.72217298830219</v>
      </c>
      <c r="AC69" s="195">
        <f>N69/K69</f>
        <v>0.90688679042281006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54"/>
      <c r="H70" s="128"/>
      <c r="I70" s="129"/>
      <c r="J70" s="111"/>
      <c r="K70" s="108"/>
      <c r="L70" s="112"/>
      <c r="M70" s="113"/>
      <c r="N70" s="83"/>
      <c r="O70" s="112"/>
      <c r="P70" s="208"/>
      <c r="Q70" s="209"/>
      <c r="R70" s="192"/>
      <c r="S70" s="408">
        <f>R79</f>
        <v>0</v>
      </c>
      <c r="T70" s="176"/>
      <c r="U70" s="176"/>
      <c r="V70" s="196"/>
      <c r="W70" s="110">
        <f t="shared" ref="W70:W78" si="52">(U70-T70)*24*60</f>
        <v>0</v>
      </c>
      <c r="X70" s="180"/>
      <c r="Y70" s="180"/>
      <c r="Z70" s="413"/>
      <c r="AA70" s="414"/>
      <c r="AB70" s="240"/>
      <c r="AC70" s="241"/>
      <c r="AD70" s="391">
        <f>AC79</f>
        <v>0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52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2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2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53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2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53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2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3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2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3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2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3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2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/>
      <c r="K79" s="173"/>
      <c r="L79" s="178"/>
      <c r="M79" s="173"/>
      <c r="N79" s="173"/>
      <c r="O79" s="178"/>
      <c r="P79" s="179"/>
      <c r="Q79" s="165"/>
      <c r="R79" s="166"/>
      <c r="S79" s="412"/>
      <c r="T79" s="125"/>
      <c r="U79" s="125"/>
      <c r="V79" s="203"/>
      <c r="W79" s="175"/>
      <c r="X79" s="127"/>
      <c r="Y79" s="127"/>
      <c r="Z79" s="401"/>
      <c r="AA79" s="401"/>
      <c r="AB79" s="122"/>
      <c r="AC79" s="195"/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4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40:AA40"/>
    <mergeCell ref="Z41:AA41"/>
    <mergeCell ref="Z42:AA42"/>
    <mergeCell ref="Z43:AA43"/>
    <mergeCell ref="Z44:AA44"/>
    <mergeCell ref="Z45:AA45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108" priority="1" operator="greaterThan">
      <formula>0</formula>
    </cfRule>
  </conditionalFormatting>
  <conditionalFormatting sqref="Q5:Q79 AB5:AB79">
    <cfRule type="cellIs" dxfId="107" priority="4" operator="lessThan">
      <formula>0</formula>
    </cfRule>
  </conditionalFormatting>
  <conditionalFormatting sqref="R5:R79 AC5:AC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D59:AD62 S69:S76 AD69:AD76">
    <cfRule type="cellIs" dxfId="104" priority="7" operator="lessThan">
      <formula>0.8</formula>
    </cfRule>
  </conditionalFormatting>
  <conditionalFormatting sqref="S19:S25 AD19:AD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D5:AD8 S15:S16 AD15:AD16 AD49 AD79">
    <cfRule type="cellIs" dxfId="101" priority="9" operator="lessThan">
      <formula>0.8</formula>
    </cfRule>
  </conditionalFormatting>
  <conditionalFormatting sqref="AD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D7A370-37E7-4259-A362-AFDC557DA12D}">
          <x14:formula1>
            <xm:f>廠價表!$C$2:$C$37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86D8-FA2F-4E28-8594-CB41D8D5C90F}">
  <sheetPr>
    <pageSetUpPr fitToPage="1"/>
  </sheetPr>
  <dimension ref="B1:O22"/>
  <sheetViews>
    <sheetView zoomScale="70" zoomScaleNormal="70" workbookViewId="0">
      <selection activeCell="L20" sqref="L20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45952</v>
      </c>
      <c r="E3" s="383"/>
      <c r="F3" s="214" t="s">
        <v>76</v>
      </c>
      <c r="G3" s="384">
        <f>'1022'!E1</f>
        <v>58226</v>
      </c>
      <c r="H3" s="384"/>
      <c r="I3" s="214" t="s">
        <v>77</v>
      </c>
      <c r="J3" s="385">
        <f>'1022'!G1</f>
        <v>2860770.43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114.31651357124045</v>
      </c>
      <c r="G6" s="362"/>
      <c r="H6" s="363">
        <f>AVERAGE(D13:H13)</f>
        <v>113.21704433910315</v>
      </c>
      <c r="I6" s="363"/>
      <c r="J6" s="363">
        <f>AVERAGE(I13:J13)</f>
        <v>117.0651866515837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106.83306637752221</v>
      </c>
      <c r="G7" s="380"/>
      <c r="H7" s="381">
        <f>AVERAGE(D14:H14)</f>
        <v>107.42073175568142</v>
      </c>
      <c r="I7" s="381"/>
      <c r="J7" s="381">
        <f>AVERAGE(I14:J14)</f>
        <v>105.36390293212426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0.9292750706624443</v>
      </c>
      <c r="G8" s="360"/>
      <c r="H8" s="360">
        <f>AVERAGE(D15:H15)</f>
        <v>0.94094427395325986</v>
      </c>
      <c r="I8" s="360"/>
      <c r="J8" s="360">
        <f>AVERAGE(I15:J15)</f>
        <v>0.9001020624354048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VALUE('1022'!L15)</f>
        <v>149.22390109890108</v>
      </c>
      <c r="E13" s="227">
        <f>VALUE('1022'!L26)</f>
        <v>155.12820512820511</v>
      </c>
      <c r="F13" s="227">
        <f>VALUE('1022'!L37)</f>
        <v>89.143246187363843</v>
      </c>
      <c r="G13" s="227">
        <f>VALUE('1022'!L48)</f>
        <v>85</v>
      </c>
      <c r="H13" s="227">
        <f>VALUE('1022'!L58)</f>
        <v>87.58986928104575</v>
      </c>
      <c r="I13" s="227">
        <f>VALUE('1022'!L69)</f>
        <v>125.40064102564102</v>
      </c>
      <c r="J13" s="227">
        <f>VALUE('1022'!L79)</f>
        <v>108.7297322775264</v>
      </c>
    </row>
    <row r="14" spans="2:15" ht="39.950000000000003" customHeight="1" x14ac:dyDescent="0.25">
      <c r="B14" s="489"/>
      <c r="C14" s="226" t="s">
        <v>100</v>
      </c>
      <c r="D14" s="227">
        <f>VALUE('1022'!O15)</f>
        <v>147.23915409856755</v>
      </c>
      <c r="E14" s="227">
        <f>VALUE('1022'!O26)</f>
        <v>149.39982934878373</v>
      </c>
      <c r="F14" s="227">
        <f>VALUE('1022'!O37)</f>
        <v>80.127386634461814</v>
      </c>
      <c r="G14" s="227">
        <f>VALUE('1022'!O48)</f>
        <v>73.424611754159244</v>
      </c>
      <c r="H14" s="227">
        <f>VALUE('1022'!O58)</f>
        <v>86.912676942434743</v>
      </c>
      <c r="I14" s="227">
        <f>VALUE('1022'!O69)</f>
        <v>112.77238339667853</v>
      </c>
      <c r="J14" s="227">
        <f>VALUE('1022'!O79)</f>
        <v>97.955422467569974</v>
      </c>
    </row>
    <row r="15" spans="2:15" ht="39.950000000000003" customHeight="1" x14ac:dyDescent="0.25">
      <c r="B15" s="490"/>
      <c r="C15" s="222" t="s">
        <v>101</v>
      </c>
      <c r="D15" s="248">
        <f>D14/D13</f>
        <v>0.98669953683211853</v>
      </c>
      <c r="E15" s="248">
        <f t="shared" ref="E15:J15" si="0">E14/E13</f>
        <v>0.96307328009959769</v>
      </c>
      <c r="F15" s="248">
        <f t="shared" si="0"/>
        <v>0.89886099128640395</v>
      </c>
      <c r="G15" s="248">
        <f t="shared" si="0"/>
        <v>0.86381896181363815</v>
      </c>
      <c r="H15" s="248">
        <f t="shared" si="0"/>
        <v>0.99226859973454085</v>
      </c>
      <c r="I15" s="248">
        <f t="shared" si="0"/>
        <v>0.8992967059364525</v>
      </c>
      <c r="J15" s="248">
        <f t="shared" si="0"/>
        <v>0.90090741893435722</v>
      </c>
    </row>
    <row r="16" spans="2:15" ht="17.25" customHeight="1" x14ac:dyDescent="0.25">
      <c r="B16" s="491" t="s">
        <v>102</v>
      </c>
      <c r="C16" s="222" t="s">
        <v>103</v>
      </c>
      <c r="D16" s="98">
        <f>'1022'!T5</f>
        <v>0.28888888888888886</v>
      </c>
      <c r="E16" s="98">
        <f>'1022'!T16</f>
        <v>0.2902777777777778</v>
      </c>
      <c r="F16" s="98">
        <f>'1022'!T27</f>
        <v>0.29236111111111113</v>
      </c>
      <c r="G16" s="98">
        <f>'1022'!T38</f>
        <v>0.33194444444444443</v>
      </c>
      <c r="H16" s="98">
        <f>'1022'!T49</f>
        <v>0.2902777777777778</v>
      </c>
      <c r="I16" s="98">
        <f>'1022'!T59</f>
        <v>0.2951388888888889</v>
      </c>
      <c r="J16" s="293">
        <v>0.53472222222222221</v>
      </c>
    </row>
    <row r="17" spans="2:10" ht="17.25" customHeight="1" x14ac:dyDescent="0.25">
      <c r="B17" s="492"/>
      <c r="C17" s="222" t="s">
        <v>104</v>
      </c>
      <c r="D17" s="80">
        <v>0.62083333333333335</v>
      </c>
      <c r="E17" s="41">
        <v>0.63611111111111107</v>
      </c>
      <c r="F17" s="41">
        <v>0.6430555555555556</v>
      </c>
      <c r="G17" s="59">
        <v>0.59027777777777779</v>
      </c>
      <c r="H17" s="80">
        <v>0.60902777777777772</v>
      </c>
      <c r="I17" s="20">
        <v>0.59722222222222221</v>
      </c>
      <c r="J17" s="20">
        <v>0.57986111111111116</v>
      </c>
    </row>
    <row r="18" spans="2:10" ht="17.25" customHeight="1" x14ac:dyDescent="0.25">
      <c r="B18" s="481" t="s">
        <v>105</v>
      </c>
      <c r="C18" s="355"/>
      <c r="D18" s="229">
        <f>VALUE('1022'!M15)</f>
        <v>13.25</v>
      </c>
      <c r="E18" s="229">
        <f>VALUE('1022'!M26)</f>
        <v>13</v>
      </c>
      <c r="F18" s="229">
        <f>VALUE('1022'!M37)</f>
        <v>16.666666666666668</v>
      </c>
      <c r="G18" s="229">
        <f>VALUE('1022'!M48)</f>
        <v>16.333333333333332</v>
      </c>
      <c r="H18" s="229">
        <f>VALUE('1022'!M58)</f>
        <v>17.5</v>
      </c>
      <c r="I18" s="229">
        <f>VALUE('1022'!M69)</f>
        <v>12.5</v>
      </c>
      <c r="J18" s="229">
        <v>15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86B2-2B76-4672-8758-F421AE3BEBEE}">
  <sheetPr>
    <tabColor theme="9" tint="0.79998168889431442"/>
    <pageSetUpPr fitToPage="1"/>
  </sheetPr>
  <dimension ref="A1:AF92"/>
  <sheetViews>
    <sheetView zoomScale="69" zoomScaleNormal="69" workbookViewId="0">
      <pane xSplit="5" ySplit="4" topLeftCell="J35" activePane="bottomRight" state="frozen"/>
      <selection activeCell="U62" sqref="U62"/>
      <selection pane="topRight" activeCell="U62" sqref="U62"/>
      <selection pane="bottomLeft" activeCell="U62" sqref="U62"/>
      <selection pane="bottomRight" activeCell="N6" sqref="N6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58226</v>
      </c>
      <c r="F1" s="185" t="s">
        <v>9</v>
      </c>
      <c r="G1" s="4">
        <f>SUM(H5:H79)</f>
        <v>2860770.43</v>
      </c>
      <c r="H1" s="183" t="s">
        <v>10</v>
      </c>
      <c r="I1" s="5">
        <f>M15+M26+M48+M58+M69+M79+M37</f>
        <v>103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246</v>
      </c>
      <c r="B2" s="461"/>
      <c r="C2" s="184"/>
      <c r="D2" s="184" t="s">
        <v>1</v>
      </c>
      <c r="E2" s="7">
        <f>AVERAGE(O15,O26,O37,O48,O58,O69,O79)</f>
        <v>106.83306637752221</v>
      </c>
      <c r="F2" s="8" t="s">
        <v>2</v>
      </c>
      <c r="G2" s="9">
        <f>G1/E1</f>
        <v>49.132182014907436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2261</v>
      </c>
      <c r="H5" s="109">
        <f>F5*G5</f>
        <v>129351.81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1966.086956521737</v>
      </c>
      <c r="O5" s="112">
        <f>N5/M5</f>
        <v>151.23745819397976</v>
      </c>
      <c r="P5" s="114">
        <f>M5-J5</f>
        <v>0</v>
      </c>
      <c r="Q5" s="115">
        <f>O5-L5</f>
        <v>-2.6086956521740774</v>
      </c>
      <c r="R5" s="192">
        <f>O5/L5</f>
        <v>0.98304347826086846</v>
      </c>
      <c r="S5" s="408">
        <f>R15</f>
        <v>0.98669953683211853</v>
      </c>
      <c r="T5" s="97">
        <v>0.28888888888888886</v>
      </c>
      <c r="U5" s="97">
        <v>0.33680555555555558</v>
      </c>
      <c r="V5" s="202"/>
      <c r="W5" s="110">
        <f t="shared" ref="W5:W14" si="0">(U5-T5)*24*60</f>
        <v>69.000000000000071</v>
      </c>
      <c r="X5" s="196"/>
      <c r="Y5" s="196"/>
      <c r="Z5" s="423"/>
      <c r="AA5" s="423"/>
      <c r="AB5" s="114">
        <f>N5-K5</f>
        <v>-33.913043478263035</v>
      </c>
      <c r="AC5" s="192">
        <f>N5/K5</f>
        <v>0.98304347826086846</v>
      </c>
      <c r="AD5" s="391">
        <f>AC15</f>
        <v>0.98669233858461214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3115</v>
      </c>
      <c r="H6" s="15">
        <f t="shared" ref="H6:H14" si="1">F6*G6</f>
        <v>178209.15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1869.0000000000005</v>
      </c>
      <c r="O6" s="17">
        <f>N6/M6</f>
        <v>133.50000000000003</v>
      </c>
      <c r="P6" s="18">
        <f>M6-J6</f>
        <v>0</v>
      </c>
      <c r="Q6" s="19">
        <f>O6-L6</f>
        <v>-1.8571428571428328</v>
      </c>
      <c r="R6" s="193">
        <f>O6/L6</f>
        <v>0.98627968337730887</v>
      </c>
      <c r="S6" s="409"/>
      <c r="T6" s="98">
        <v>0.34166666666666667</v>
      </c>
      <c r="U6" s="98">
        <v>0.41111111111111109</v>
      </c>
      <c r="V6" s="185">
        <f>(T6-U5)*24*60</f>
        <v>6.9999999999999751</v>
      </c>
      <c r="W6" s="190">
        <f t="shared" si="0"/>
        <v>99.999999999999972</v>
      </c>
      <c r="X6" s="22"/>
      <c r="Y6" s="22"/>
      <c r="Z6" s="446"/>
      <c r="AA6" s="446"/>
      <c r="AB6" s="18">
        <f>N6-K6</f>
        <v>-25.999999999999545</v>
      </c>
      <c r="AC6" s="193">
        <f>N6/K6</f>
        <v>0.98627968337730898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3265</v>
      </c>
      <c r="H7" s="15">
        <f t="shared" si="1"/>
        <v>160442.1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1959.0000000000007</v>
      </c>
      <c r="O7" s="17">
        <f>N7/M7</f>
        <v>150.69230769230774</v>
      </c>
      <c r="P7" s="18">
        <f>M7-J7</f>
        <v>0</v>
      </c>
      <c r="Q7" s="19">
        <f>O7-L7</f>
        <v>-3.1538461538461036</v>
      </c>
      <c r="R7" s="193">
        <f>O7/L7</f>
        <v>0.97950000000000037</v>
      </c>
      <c r="S7" s="409"/>
      <c r="T7" s="98">
        <v>0.41666666666666669</v>
      </c>
      <c r="U7" s="98">
        <v>0.4861111111111111</v>
      </c>
      <c r="V7" s="185">
        <f>(T7-U6)*24*60</f>
        <v>8.0000000000000515</v>
      </c>
      <c r="W7" s="190">
        <f t="shared" si="0"/>
        <v>99.999999999999972</v>
      </c>
      <c r="X7" s="22"/>
      <c r="Y7" s="22"/>
      <c r="Z7" s="400"/>
      <c r="AA7" s="400"/>
      <c r="AB7" s="18">
        <f>N7-K7</f>
        <v>-40.999999999999318</v>
      </c>
      <c r="AC7" s="193">
        <f>N7/K7</f>
        <v>0.97950000000000037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3526</v>
      </c>
      <c r="H8" s="15">
        <f t="shared" si="1"/>
        <v>173267.64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1995.8490566037747</v>
      </c>
      <c r="O8" s="17">
        <f>N8/M8</f>
        <v>153.52685050798266</v>
      </c>
      <c r="P8" s="18">
        <f>M8-J8</f>
        <v>0</v>
      </c>
      <c r="Q8" s="19">
        <f>O8-L8</f>
        <v>-0.31930333817118139</v>
      </c>
      <c r="R8" s="193">
        <f>O8/L8</f>
        <v>0.99792452830188727</v>
      </c>
      <c r="S8" s="409"/>
      <c r="T8" s="80">
        <v>0.54722222222222228</v>
      </c>
      <c r="U8" s="80">
        <v>0.62083333333333335</v>
      </c>
      <c r="V8" s="185">
        <f>(T8-U7)*24*60</f>
        <v>88.000000000000085</v>
      </c>
      <c r="W8" s="190">
        <f t="shared" si="0"/>
        <v>105.99999999999994</v>
      </c>
      <c r="X8" s="22">
        <v>0.52083333333333337</v>
      </c>
      <c r="Y8" s="22">
        <v>0.5625</v>
      </c>
      <c r="Z8" s="447"/>
      <c r="AA8" s="447"/>
      <c r="AB8" s="18">
        <f>N8-K8</f>
        <v>-4.1509433962253297</v>
      </c>
      <c r="AC8" s="193">
        <f>N8/K8</f>
        <v>0.99792452830188738</v>
      </c>
      <c r="AD8" s="392"/>
    </row>
    <row r="9" spans="1:30" ht="15" customHeight="1" x14ac:dyDescent="0.25">
      <c r="A9" s="466"/>
      <c r="B9" s="56"/>
      <c r="C9" s="10"/>
      <c r="D9" s="11"/>
      <c r="E9" s="89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13.25</v>
      </c>
      <c r="K15" s="121">
        <f t="shared" si="2"/>
        <v>1973.75</v>
      </c>
      <c r="L15" s="118">
        <f t="shared" si="2"/>
        <v>149.22390109890108</v>
      </c>
      <c r="M15" s="121">
        <f t="shared" si="2"/>
        <v>13.25</v>
      </c>
      <c r="N15" s="121">
        <f t="shared" si="2"/>
        <v>1947.4840032813781</v>
      </c>
      <c r="O15" s="118">
        <f t="shared" si="2"/>
        <v>147.23915409856755</v>
      </c>
      <c r="P15" s="122">
        <f t="shared" ref="P15:P16" si="3">M15-J15</f>
        <v>0</v>
      </c>
      <c r="Q15" s="123">
        <f t="shared" ref="Q15:Q16" si="4">O15-L15</f>
        <v>-1.9847470003335275</v>
      </c>
      <c r="R15" s="124">
        <f t="shared" ref="R15:R16" si="5">O15/L15</f>
        <v>0.98669953683211853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-26.265996718621864</v>
      </c>
      <c r="AC15" s="195">
        <f>N15/K15</f>
        <v>0.98669233858461214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1984</v>
      </c>
      <c r="H16" s="128">
        <f t="shared" ref="H16:H25" si="6">F16*G16</f>
        <v>113504.64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1860.000000000002</v>
      </c>
      <c r="O16" s="131">
        <f>N16/M16</f>
        <v>143.07692307692324</v>
      </c>
      <c r="P16" s="132">
        <f t="shared" si="3"/>
        <v>0</v>
      </c>
      <c r="Q16" s="133">
        <f t="shared" si="4"/>
        <v>-10.769230769230603</v>
      </c>
      <c r="R16" s="197">
        <f t="shared" si="5"/>
        <v>0.93000000000000105</v>
      </c>
      <c r="S16" s="433">
        <f>R26</f>
        <v>0.96307328009959769</v>
      </c>
      <c r="T16" s="288">
        <v>0.2902777777777778</v>
      </c>
      <c r="U16" s="288">
        <v>0.3347222222222222</v>
      </c>
      <c r="V16" s="129"/>
      <c r="W16" s="134">
        <f t="shared" ref="W16:W68" si="7">(U16-T16)*24*60</f>
        <v>63.999999999999929</v>
      </c>
      <c r="X16" s="131"/>
      <c r="Y16" s="131"/>
      <c r="Z16" s="423"/>
      <c r="AA16" s="423"/>
      <c r="AB16" s="114">
        <f>N16-K16</f>
        <v>-139.99999999999795</v>
      </c>
      <c r="AC16" s="192">
        <f>N16/K16</f>
        <v>0.93000000000000105</v>
      </c>
      <c r="AD16" s="391">
        <f>AC26</f>
        <v>0.9642401132164482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3830</v>
      </c>
      <c r="H17" s="15">
        <f>F17*G17</f>
        <v>194066.1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1998.2608695652177</v>
      </c>
      <c r="O17" s="38">
        <f>N17/M17</f>
        <v>133.21739130434784</v>
      </c>
      <c r="P17" s="39">
        <f>M17-J17</f>
        <v>0</v>
      </c>
      <c r="Q17" s="40">
        <f>O17-L17</f>
        <v>-0.11594202898550066</v>
      </c>
      <c r="R17" s="198">
        <f>O17/L17</f>
        <v>0.99913043478260877</v>
      </c>
      <c r="S17" s="434"/>
      <c r="T17" s="41">
        <v>0.34375</v>
      </c>
      <c r="U17" s="41">
        <v>0.4236111111111111</v>
      </c>
      <c r="V17" s="185">
        <f>(T17-U16)*24*60</f>
        <v>13.000000000000034</v>
      </c>
      <c r="W17" s="43">
        <f t="shared" si="7"/>
        <v>114.99999999999999</v>
      </c>
      <c r="X17" s="44"/>
      <c r="Y17" s="44"/>
      <c r="Z17" s="399"/>
      <c r="AA17" s="400"/>
      <c r="AB17" s="18">
        <f>N17-K17</f>
        <v>-1.7391304347822825</v>
      </c>
      <c r="AC17" s="193">
        <f>N17/K17</f>
        <v>0.99913043478260888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2511</v>
      </c>
      <c r="H18" s="15">
        <f>F18*G18</f>
        <v>126529.29000000001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1907.0886075949356</v>
      </c>
      <c r="O18" s="38">
        <f>N18/M18</f>
        <v>158.9240506329113</v>
      </c>
      <c r="P18" s="39">
        <f>M18-J18</f>
        <v>0</v>
      </c>
      <c r="Q18" s="40">
        <f>O18-L18</f>
        <v>-7.742616033755354</v>
      </c>
      <c r="R18" s="198">
        <f>O18/L18</f>
        <v>0.95354430379746791</v>
      </c>
      <c r="S18" s="434"/>
      <c r="T18" s="41">
        <v>0.42916666666666664</v>
      </c>
      <c r="U18" s="41">
        <v>0.48402777777777778</v>
      </c>
      <c r="V18" s="185">
        <f>(T18-U17)*24*60</f>
        <v>7.9999999999999716</v>
      </c>
      <c r="W18" s="43">
        <f t="shared" si="7"/>
        <v>79.000000000000043</v>
      </c>
      <c r="X18" s="22"/>
      <c r="Y18" s="22"/>
      <c r="Z18" s="399"/>
      <c r="AA18" s="400"/>
      <c r="AB18" s="18">
        <f>N18-K18</f>
        <v>-92.911392405064362</v>
      </c>
      <c r="AC18" s="193">
        <f>N18/K18</f>
        <v>0.9535443037974678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4092</v>
      </c>
      <c r="H19" s="15">
        <f t="shared" ref="H19" si="8">F19*G19</f>
        <v>206195.88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1948.5714285714307</v>
      </c>
      <c r="O19" s="38">
        <f>N19/M19</f>
        <v>162.38095238095255</v>
      </c>
      <c r="P19" s="39">
        <f>M19-J19</f>
        <v>0</v>
      </c>
      <c r="Q19" s="40">
        <f>O19-L19</f>
        <v>-4.2857142857141071</v>
      </c>
      <c r="R19" s="198">
        <f>O19/L19</f>
        <v>0.97428571428571531</v>
      </c>
      <c r="S19" s="434"/>
      <c r="T19" s="41">
        <v>0.54861111111111116</v>
      </c>
      <c r="U19" s="41">
        <v>0.63611111111111107</v>
      </c>
      <c r="V19" s="185">
        <f>(T19-U18)*24*60</f>
        <v>93.000000000000071</v>
      </c>
      <c r="W19" s="43">
        <f t="shared" si="7"/>
        <v>125.99999999999987</v>
      </c>
      <c r="X19" s="22">
        <v>0.52083333333333337</v>
      </c>
      <c r="Y19" s="22">
        <v>0.5625</v>
      </c>
      <c r="Z19" s="398"/>
      <c r="AA19" s="399"/>
      <c r="AB19" s="18">
        <f>N19-K19</f>
        <v>-51.428571428569285</v>
      </c>
      <c r="AC19" s="193">
        <f>N19/K19</f>
        <v>0.97428571428571531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1928.4802264328964</v>
      </c>
      <c r="O26" s="140">
        <f t="shared" si="10"/>
        <v>149.39982934878373</v>
      </c>
      <c r="P26" s="141">
        <f t="shared" ref="P26:P29" si="11">M26-J26</f>
        <v>0</v>
      </c>
      <c r="Q26" s="142">
        <f t="shared" ref="Q26:Q29" si="12">O26-L26</f>
        <v>-5.7283757794213841</v>
      </c>
      <c r="R26" s="143">
        <f t="shared" ref="R26:R29" si="13">O26/L26</f>
        <v>0.96307328009959769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-71.519773567103584</v>
      </c>
      <c r="AC26" s="195">
        <f>N26/K26</f>
        <v>0.9642401132164482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2843</v>
      </c>
      <c r="H27" s="128">
        <f t="shared" ref="H27:H36" si="14">F27*G27</f>
        <v>156734.59</v>
      </c>
      <c r="I27" s="129"/>
      <c r="J27" s="111">
        <f>VLOOKUP(D27,產線配置圖!$A$2:$C$38,2,0)</f>
        <v>18</v>
      </c>
      <c r="K27" s="252">
        <f>VLOOKUP(D27,產線配置圖!$A$2:$C$38,3,0)</f>
        <v>1385</v>
      </c>
      <c r="L27" s="112">
        <f>K27/J27</f>
        <v>76.944444444444443</v>
      </c>
      <c r="M27" s="147">
        <v>17</v>
      </c>
      <c r="N27" s="130">
        <f>G27/W27*60</f>
        <v>1302.1374045801526</v>
      </c>
      <c r="O27" s="131">
        <f>N27/M27</f>
        <v>76.596317916479563</v>
      </c>
      <c r="P27" s="132">
        <f t="shared" si="11"/>
        <v>-1</v>
      </c>
      <c r="Q27" s="133">
        <f t="shared" si="12"/>
        <v>-0.34812652796487953</v>
      </c>
      <c r="R27" s="197">
        <f>O27/L27</f>
        <v>0.99547561191092571</v>
      </c>
      <c r="S27" s="433">
        <f>R37</f>
        <v>0.89886099128640395</v>
      </c>
      <c r="T27" s="97">
        <v>0.29236111111111113</v>
      </c>
      <c r="U27" s="97">
        <v>0.38333333333333336</v>
      </c>
      <c r="V27" s="129"/>
      <c r="W27" s="134">
        <f t="shared" si="7"/>
        <v>131</v>
      </c>
      <c r="X27" s="129"/>
      <c r="Y27" s="129" t="s">
        <v>158</v>
      </c>
      <c r="Z27" s="414"/>
      <c r="AA27" s="423"/>
      <c r="AB27" s="114">
        <f>N27-K27</f>
        <v>-82.862595419847366</v>
      </c>
      <c r="AC27" s="148">
        <f>N27/K27</f>
        <v>0.94017141124920767</v>
      </c>
      <c r="AD27" s="391">
        <f>AC37</f>
        <v>0.8833776243053113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2677</v>
      </c>
      <c r="H28" s="50">
        <f t="shared" si="14"/>
        <v>152240.99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17</v>
      </c>
      <c r="N28" s="36">
        <f>G28/W28*60</f>
        <v>1207.6691729323309</v>
      </c>
      <c r="O28" s="38">
        <f>N28/M28</f>
        <v>71.039363113666525</v>
      </c>
      <c r="P28" s="39">
        <f t="shared" si="11"/>
        <v>0</v>
      </c>
      <c r="Q28" s="40">
        <f t="shared" si="12"/>
        <v>-17.195931003980533</v>
      </c>
      <c r="R28" s="198">
        <f t="shared" si="13"/>
        <v>0.80511278195488734</v>
      </c>
      <c r="S28" s="434"/>
      <c r="T28" s="291">
        <v>0.39027777777777778</v>
      </c>
      <c r="U28" s="291">
        <v>0.4826388888888889</v>
      </c>
      <c r="V28" s="42">
        <f>(T28-U27)*24*60</f>
        <v>9.9999999999999645</v>
      </c>
      <c r="W28" s="43">
        <f t="shared" si="7"/>
        <v>133</v>
      </c>
      <c r="X28" s="54"/>
      <c r="Y28" s="54"/>
      <c r="Z28" s="399"/>
      <c r="AA28" s="400"/>
      <c r="AB28" s="34">
        <f>N28-K28</f>
        <v>-292.33082706766913</v>
      </c>
      <c r="AC28" s="194">
        <f>N28/K28</f>
        <v>0.80511278195488722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222</v>
      </c>
      <c r="E29" s="89"/>
      <c r="F29" s="56">
        <f>VLOOKUP(D29,廠價表!$C$1:$E$39,3,0)</f>
        <v>50.67</v>
      </c>
      <c r="G29" s="256">
        <v>3512</v>
      </c>
      <c r="H29" s="50">
        <f t="shared" si="14"/>
        <v>177953.04</v>
      </c>
      <c r="I29" s="42"/>
      <c r="J29" s="16">
        <v>16</v>
      </c>
      <c r="K29" s="14">
        <v>1636</v>
      </c>
      <c r="L29" s="251">
        <f>K29/J29</f>
        <v>102.25</v>
      </c>
      <c r="M29" s="21">
        <v>16</v>
      </c>
      <c r="N29" s="36">
        <f>G29/W29*60</f>
        <v>1483.9436619718294</v>
      </c>
      <c r="O29" s="38">
        <f>N29/M29</f>
        <v>92.74647887323934</v>
      </c>
      <c r="P29" s="39">
        <f t="shared" si="11"/>
        <v>0</v>
      </c>
      <c r="Q29" s="40">
        <f t="shared" si="12"/>
        <v>-9.5035211267606599</v>
      </c>
      <c r="R29" s="198">
        <f t="shared" si="13"/>
        <v>0.9070560281001403</v>
      </c>
      <c r="S29" s="434"/>
      <c r="T29" s="41">
        <v>0.5444444444444444</v>
      </c>
      <c r="U29" s="41">
        <v>0.6430555555555556</v>
      </c>
      <c r="V29" s="42">
        <f>(T29-U28)*24*60</f>
        <v>88.999999999999929</v>
      </c>
      <c r="W29" s="43">
        <f t="shared" si="7"/>
        <v>142.00000000000014</v>
      </c>
      <c r="X29" s="54">
        <v>0.47916666666666669</v>
      </c>
      <c r="Y29" s="54">
        <v>0.52083333333333337</v>
      </c>
      <c r="Z29" s="399"/>
      <c r="AA29" s="398"/>
      <c r="AB29" s="275">
        <f t="shared" ref="AB29" si="15">N29-K29</f>
        <v>-152.05633802817056</v>
      </c>
      <c r="AC29" s="276">
        <f t="shared" ref="AC29" si="16">N29/K29</f>
        <v>0.9070560281001403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7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7">AVERAGE(J27:J36)</f>
        <v>17</v>
      </c>
      <c r="K37" s="314">
        <f t="shared" si="17"/>
        <v>1507</v>
      </c>
      <c r="L37" s="315">
        <f t="shared" si="17"/>
        <v>89.143246187363843</v>
      </c>
      <c r="M37" s="314">
        <f t="shared" si="17"/>
        <v>16.666666666666668</v>
      </c>
      <c r="N37" s="314">
        <f t="shared" si="17"/>
        <v>1331.2500798281042</v>
      </c>
      <c r="O37" s="315">
        <f t="shared" si="17"/>
        <v>80.127386634461814</v>
      </c>
      <c r="P37" s="74">
        <f>M37-J37</f>
        <v>-0.33333333333333215</v>
      </c>
      <c r="Q37" s="75">
        <f>N37-K37</f>
        <v>-175.74992017189584</v>
      </c>
      <c r="R37" s="316">
        <f t="shared" ref="R37:R38" si="18">O37/L37</f>
        <v>0.89886099128640395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40" si="19">N37-K37</f>
        <v>-175.74992017189584</v>
      </c>
      <c r="AC37" s="195">
        <f t="shared" ref="AC37:AC40" si="20">N37/K37</f>
        <v>0.8833776243053113</v>
      </c>
      <c r="AD37" s="396"/>
    </row>
    <row r="38" spans="1:30" s="63" customFormat="1" ht="15" customHeight="1" thickBot="1" x14ac:dyDescent="0.3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1960</v>
      </c>
      <c r="H38" s="64">
        <f>F38*G38</f>
        <v>97823.599999999991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16</v>
      </c>
      <c r="N38" s="130">
        <f>G38/W38*60</f>
        <v>1212.3711340206178</v>
      </c>
      <c r="O38" s="131">
        <f>N38/M38</f>
        <v>75.773195876288611</v>
      </c>
      <c r="P38" s="132">
        <f t="shared" ref="P38" si="21">M38-J38</f>
        <v>-1</v>
      </c>
      <c r="Q38" s="133">
        <f t="shared" ref="Q38" si="22">O38-L38</f>
        <v>-16.285627653123157</v>
      </c>
      <c r="R38" s="197">
        <f t="shared" si="18"/>
        <v>0.82309541846447687</v>
      </c>
      <c r="S38" s="493">
        <f>R48</f>
        <v>0.86381896181363815</v>
      </c>
      <c r="T38" s="157">
        <v>0.33194444444444443</v>
      </c>
      <c r="U38" s="157">
        <v>0.39930555555555558</v>
      </c>
      <c r="V38" s="153"/>
      <c r="W38" s="158">
        <f t="shared" si="7"/>
        <v>97.000000000000057</v>
      </c>
      <c r="X38" s="155"/>
      <c r="Y38" s="159"/>
      <c r="Z38" s="428"/>
      <c r="AA38" s="475"/>
      <c r="AB38" s="319">
        <f t="shared" si="19"/>
        <v>-352.62886597938223</v>
      </c>
      <c r="AC38" s="161">
        <f t="shared" si="20"/>
        <v>0.77467804090774295</v>
      </c>
      <c r="AD38" s="388">
        <f>AC48</f>
        <v>0.82921153485255683</v>
      </c>
    </row>
    <row r="39" spans="1:30" s="63" customFormat="1" ht="15" customHeight="1" thickBot="1" x14ac:dyDescent="0.3">
      <c r="A39" s="425"/>
      <c r="B39" s="56" t="str">
        <f>VLOOKUP(D39,廠價表!$C$1:$E$39,2,0)</f>
        <v>義大利麵</v>
      </c>
      <c r="C39" s="306"/>
      <c r="D39" s="308" t="s">
        <v>223</v>
      </c>
      <c r="E39" s="307"/>
      <c r="F39" s="56">
        <f>VLOOKUP(D39,廠價表!$C$1:$E$39,3,0)</f>
        <v>57.3</v>
      </c>
      <c r="G39" s="305">
        <v>2289</v>
      </c>
      <c r="H39" s="64">
        <f>F39*G39</f>
        <v>131159.69999999998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>K39/J39</f>
        <v>81.470588235294116</v>
      </c>
      <c r="M39" s="66">
        <v>17</v>
      </c>
      <c r="N39" s="67">
        <f>G39/W39*60</f>
        <v>1194.2608695652175</v>
      </c>
      <c r="O39" s="68">
        <f>N39/M39</f>
        <v>70.250639386189263</v>
      </c>
      <c r="P39" s="39">
        <f>M39-J39</f>
        <v>0</v>
      </c>
      <c r="Q39" s="40">
        <f>O39-L39</f>
        <v>-11.219948849104853</v>
      </c>
      <c r="R39" s="198">
        <f>O39/L39</f>
        <v>0.86228221629257584</v>
      </c>
      <c r="S39" s="494"/>
      <c r="T39" s="59">
        <v>0.40972222222222221</v>
      </c>
      <c r="U39" s="59">
        <v>0.48958333333333331</v>
      </c>
      <c r="V39" s="42">
        <f t="shared" ref="V39:V40" si="23">(T39-U38)*24*60</f>
        <v>14.999999999999947</v>
      </c>
      <c r="W39" s="70">
        <f t="shared" si="7"/>
        <v>114.99999999999999</v>
      </c>
      <c r="X39" s="22"/>
      <c r="Y39" s="22"/>
      <c r="AB39" s="319">
        <f t="shared" si="19"/>
        <v>-190.73913043478251</v>
      </c>
      <c r="AC39" s="161">
        <f t="shared" si="20"/>
        <v>0.86228221629257584</v>
      </c>
      <c r="AD39" s="389"/>
    </row>
    <row r="40" spans="1:30" s="63" customFormat="1" ht="15" customHeight="1" x14ac:dyDescent="0.25">
      <c r="A40" s="425"/>
      <c r="B40" s="56" t="str">
        <f>VLOOKUP(D40,廠價表!$C$1:$E$39,2,0)</f>
        <v>義大利麵</v>
      </c>
      <c r="C40" s="298"/>
      <c r="D40" s="308" t="s">
        <v>223</v>
      </c>
      <c r="E40" s="261"/>
      <c r="F40" s="56">
        <f>VLOOKUP(D40,廠價表!$C$1:$E$39,3,0)</f>
        <v>57.3</v>
      </c>
      <c r="G40" s="305">
        <v>1287</v>
      </c>
      <c r="H40" s="64">
        <f>F40*G40</f>
        <v>73745.099999999991</v>
      </c>
      <c r="I40" s="65"/>
      <c r="J40" s="37">
        <f>VLOOKUP(D40,產線配置圖!$A$2:$C$38,2,0)</f>
        <v>17</v>
      </c>
      <c r="K40" s="36">
        <f>VLOOKUP(D40,產線配置圖!$A$2:$C$38,3,0)</f>
        <v>1385</v>
      </c>
      <c r="L40" s="38">
        <f>K40/J40</f>
        <v>81.470588235294116</v>
      </c>
      <c r="M40" s="66">
        <v>16</v>
      </c>
      <c r="N40" s="67">
        <f>G40/W40*60</f>
        <v>1187.9999999999984</v>
      </c>
      <c r="O40" s="68">
        <f>N40/M40</f>
        <v>74.249999999999901</v>
      </c>
      <c r="P40" s="39">
        <f>M40-J40</f>
        <v>-1</v>
      </c>
      <c r="Q40" s="40">
        <f>O40-L40</f>
        <v>-7.2205882352942155</v>
      </c>
      <c r="R40" s="198">
        <f>O40/L40</f>
        <v>0.91137184115523351</v>
      </c>
      <c r="S40" s="409"/>
      <c r="T40" s="59">
        <v>0.54513888888888884</v>
      </c>
      <c r="U40" s="59">
        <v>0.59027777777777779</v>
      </c>
      <c r="V40" s="42">
        <f t="shared" si="23"/>
        <v>79.999999999999957</v>
      </c>
      <c r="W40" s="70">
        <f t="shared" si="7"/>
        <v>65.000000000000085</v>
      </c>
      <c r="X40" s="71">
        <v>0.5</v>
      </c>
      <c r="Y40" s="278">
        <v>0.54166666666666663</v>
      </c>
      <c r="Z40" s="476"/>
      <c r="AA40" s="476"/>
      <c r="AB40" s="319">
        <f t="shared" si="19"/>
        <v>-197.00000000000159</v>
      </c>
      <c r="AC40" s="161">
        <f t="shared" si="20"/>
        <v>0.85776173285198443</v>
      </c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4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4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17</v>
      </c>
      <c r="K48" s="137">
        <f t="shared" si="26"/>
        <v>1445</v>
      </c>
      <c r="L48" s="140">
        <f t="shared" si="26"/>
        <v>85</v>
      </c>
      <c r="M48" s="137">
        <f t="shared" si="26"/>
        <v>16.333333333333332</v>
      </c>
      <c r="N48" s="137">
        <f t="shared" si="26"/>
        <v>1198.2106678619446</v>
      </c>
      <c r="O48" s="140">
        <f t="shared" si="26"/>
        <v>73.424611754159244</v>
      </c>
      <c r="P48" s="164">
        <f>M48-J48</f>
        <v>-0.66666666666666785</v>
      </c>
      <c r="Q48" s="165">
        <f>N48-K48</f>
        <v>-246.78933213805544</v>
      </c>
      <c r="R48" s="166">
        <f>O48/L48</f>
        <v>0.86381896181363815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-246.78933213805544</v>
      </c>
      <c r="AC48" s="199">
        <f>N48/K48</f>
        <v>0.82921153485255683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7104</v>
      </c>
      <c r="H49" s="128">
        <f t="shared" ref="H49:H57" si="27">F49*G49</f>
        <v>354986.88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1549.9636363636364</v>
      </c>
      <c r="O49" s="131">
        <f>N49/M49</f>
        <v>86.109090909090909</v>
      </c>
      <c r="P49" s="171">
        <f>M49-J49</f>
        <v>0</v>
      </c>
      <c r="Q49" s="115">
        <f>O49-L49</f>
        <v>-0.83535353535353352</v>
      </c>
      <c r="R49" s="192">
        <f>O49/L49</f>
        <v>0.9903920999128667</v>
      </c>
      <c r="S49" s="408">
        <f>R58</f>
        <v>0.99226859973454085</v>
      </c>
      <c r="T49" s="157">
        <v>0.2902777777777778</v>
      </c>
      <c r="U49" s="157">
        <v>0.48125000000000001</v>
      </c>
      <c r="V49" s="196"/>
      <c r="W49" s="158">
        <f t="shared" si="7"/>
        <v>275</v>
      </c>
      <c r="X49" s="196"/>
      <c r="Y49" s="196"/>
      <c r="Z49" s="423"/>
      <c r="AA49" s="423"/>
      <c r="AB49" s="114">
        <f>N49-K49</f>
        <v>-15.036363636363603</v>
      </c>
      <c r="AC49" s="192">
        <f>N49/K49</f>
        <v>0.9903920999128667</v>
      </c>
      <c r="AD49" s="391">
        <f>AC58</f>
        <v>0.99221536931545595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2535</v>
      </c>
      <c r="H50" s="77">
        <f t="shared" si="27"/>
        <v>144165.44999999998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1491.1764705882358</v>
      </c>
      <c r="O50" s="79">
        <f>N50/M50</f>
        <v>87.716262975778577</v>
      </c>
      <c r="P50" s="18">
        <f>M50-J50</f>
        <v>0</v>
      </c>
      <c r="Q50" s="19">
        <f>O50-L50</f>
        <v>-0.51903114186848143</v>
      </c>
      <c r="R50" s="193">
        <f>O50/L50</f>
        <v>0.99411764705882388</v>
      </c>
      <c r="S50" s="409"/>
      <c r="T50" s="80">
        <v>0.53819444444444442</v>
      </c>
      <c r="U50" s="80">
        <v>0.60902777777777772</v>
      </c>
      <c r="V50" s="185">
        <f t="shared" ref="V50" si="28">(T50-U49)*24*60</f>
        <v>81.999999999999943</v>
      </c>
      <c r="W50" s="81">
        <f t="shared" si="7"/>
        <v>101.99999999999996</v>
      </c>
      <c r="X50" s="22">
        <v>0.4861111111111111</v>
      </c>
      <c r="Y50" s="22">
        <v>0.52777777777777779</v>
      </c>
      <c r="Z50" s="398"/>
      <c r="AA50" s="399"/>
      <c r="AB50" s="18">
        <f>N50-K50</f>
        <v>-8.8235294117641843</v>
      </c>
      <c r="AC50" s="193">
        <f>N50/K50</f>
        <v>0.99411764705882388</v>
      </c>
      <c r="AD50" s="392"/>
    </row>
    <row r="51" spans="1:30" ht="15" customHeight="1" x14ac:dyDescent="0.25">
      <c r="A51" s="421"/>
      <c r="B51" s="56"/>
      <c r="C51" s="10"/>
      <c r="D51" s="11"/>
      <c r="E51" s="89"/>
      <c r="F51" s="56"/>
      <c r="G51" s="67"/>
      <c r="H51" s="77"/>
      <c r="I51" s="185"/>
      <c r="J51" s="16"/>
      <c r="K51" s="14"/>
      <c r="L51" s="17"/>
      <c r="M51" s="182"/>
      <c r="N51" s="78"/>
      <c r="O51" s="79"/>
      <c r="P51" s="18"/>
      <c r="Q51" s="19"/>
      <c r="R51" s="193"/>
      <c r="S51" s="409"/>
      <c r="T51" s="80"/>
      <c r="U51" s="44"/>
      <c r="V51" s="185"/>
      <c r="W51" s="81">
        <f t="shared" si="7"/>
        <v>0</v>
      </c>
      <c r="X51" s="22"/>
      <c r="Y51" s="22"/>
      <c r="Z51" s="400"/>
      <c r="AA51" s="400"/>
      <c r="AB51" s="51"/>
      <c r="AC51" s="52"/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29">AVERAGE(J49:J57)</f>
        <v>17.5</v>
      </c>
      <c r="K58" s="121">
        <f t="shared" si="29"/>
        <v>1532.5</v>
      </c>
      <c r="L58" s="118">
        <f t="shared" si="29"/>
        <v>87.58986928104575</v>
      </c>
      <c r="M58" s="121">
        <f t="shared" si="29"/>
        <v>17.5</v>
      </c>
      <c r="N58" s="121">
        <f t="shared" si="29"/>
        <v>1520.5700534759362</v>
      </c>
      <c r="O58" s="118">
        <f t="shared" si="29"/>
        <v>86.912676942434743</v>
      </c>
      <c r="P58" s="122">
        <f>M58-J58</f>
        <v>0</v>
      </c>
      <c r="Q58" s="123">
        <f>N58-K58</f>
        <v>-11.92994652406378</v>
      </c>
      <c r="R58" s="124">
        <f t="shared" ref="R58:R60" si="30">O58/L58</f>
        <v>0.99226859973454085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31">N58-K58</f>
        <v>-11.92994652406378</v>
      </c>
      <c r="AC58" s="195">
        <f t="shared" ref="AC58:AC62" si="32">N58/K58</f>
        <v>0.99221536931545595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2949</v>
      </c>
      <c r="H59" s="109">
        <f t="shared" ref="H59:H68" si="33">F59*G59</f>
        <v>79593.509999999995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2" si="34">G59/W59*60</f>
        <v>1552.1052631578948</v>
      </c>
      <c r="O59" s="112">
        <f t="shared" ref="O59:O62" si="35">N59/M59</f>
        <v>119.39271255060729</v>
      </c>
      <c r="P59" s="114">
        <f t="shared" ref="P59:P62" si="36">M59-J59</f>
        <v>0</v>
      </c>
      <c r="Q59" s="115">
        <f t="shared" ref="Q59:Q62" si="37">O59-L59</f>
        <v>-0.99190283400810131</v>
      </c>
      <c r="R59" s="192">
        <f t="shared" si="30"/>
        <v>0.99176055153859088</v>
      </c>
      <c r="S59" s="408">
        <f>R69</f>
        <v>0.8992967059364525</v>
      </c>
      <c r="T59" s="176">
        <v>0.2951388888888889</v>
      </c>
      <c r="U59" s="176">
        <v>0.37430555555555556</v>
      </c>
      <c r="V59" s="196"/>
      <c r="W59" s="110">
        <f t="shared" si="7"/>
        <v>114</v>
      </c>
      <c r="X59" s="196"/>
      <c r="Y59" s="196"/>
      <c r="Z59" s="400"/>
      <c r="AA59" s="400"/>
      <c r="AB59" s="240">
        <f t="shared" si="31"/>
        <v>-12.894736842105203</v>
      </c>
      <c r="AC59" s="241">
        <f t="shared" si="32"/>
        <v>0.99176055153859088</v>
      </c>
      <c r="AD59" s="391">
        <f>AC69</f>
        <v>0.90033793406382268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1209</v>
      </c>
      <c r="H60" s="15">
        <f t="shared" si="33"/>
        <v>34420.229999999996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4"/>
        <v>1295.3571428571438</v>
      </c>
      <c r="O60" s="17">
        <f t="shared" si="35"/>
        <v>107.94642857142865</v>
      </c>
      <c r="P60" s="18">
        <f t="shared" si="36"/>
        <v>0</v>
      </c>
      <c r="Q60" s="19">
        <f t="shared" si="37"/>
        <v>-22.470238095238003</v>
      </c>
      <c r="R60" s="193">
        <f t="shared" si="30"/>
        <v>0.82770424463715264</v>
      </c>
      <c r="S60" s="419"/>
      <c r="T60" s="206">
        <v>0.38333333333333336</v>
      </c>
      <c r="U60" s="206">
        <v>0.42222222222222222</v>
      </c>
      <c r="V60" s="185">
        <f t="shared" ref="V60:V62" si="38">(T60-U59)*24*60</f>
        <v>13.000000000000034</v>
      </c>
      <c r="W60" s="93">
        <f t="shared" si="7"/>
        <v>55.999999999999957</v>
      </c>
      <c r="X60" s="201"/>
      <c r="Y60" s="201"/>
      <c r="Z60" s="400"/>
      <c r="AA60" s="400"/>
      <c r="AB60" s="242">
        <f t="shared" si="31"/>
        <v>-269.6428571428562</v>
      </c>
      <c r="AC60" s="243">
        <f t="shared" si="32"/>
        <v>0.82770424463715264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2354</v>
      </c>
      <c r="H61" s="15">
        <f t="shared" si="33"/>
        <v>66524.040000000008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39">K61/J61</f>
        <v>130.41666666666666</v>
      </c>
      <c r="M61" s="188">
        <v>12</v>
      </c>
      <c r="N61" s="14">
        <f t="shared" si="34"/>
        <v>1441.2244897959174</v>
      </c>
      <c r="O61" s="17">
        <f t="shared" si="35"/>
        <v>120.10204081632645</v>
      </c>
      <c r="P61" s="18">
        <f t="shared" si="36"/>
        <v>0</v>
      </c>
      <c r="Q61" s="19">
        <f t="shared" si="37"/>
        <v>-10.314625850340207</v>
      </c>
      <c r="R61" s="193">
        <f>O61/L61</f>
        <v>0.92091021712199206</v>
      </c>
      <c r="S61" s="409"/>
      <c r="T61" s="20">
        <v>0.4284722222222222</v>
      </c>
      <c r="U61" s="20">
        <v>0.49652777777777779</v>
      </c>
      <c r="V61" s="185">
        <f t="shared" si="38"/>
        <v>8.999999999999968</v>
      </c>
      <c r="W61" s="91">
        <f t="shared" si="7"/>
        <v>98.000000000000057</v>
      </c>
      <c r="X61" s="22"/>
      <c r="Y61" s="22"/>
      <c r="Z61" s="400"/>
      <c r="AA61" s="400"/>
      <c r="AB61" s="51">
        <f t="shared" si="31"/>
        <v>-123.77551020408259</v>
      </c>
      <c r="AC61" s="52">
        <f t="shared" si="32"/>
        <v>0.92091021712199195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23"/>
      <c r="D62" s="11" t="s">
        <v>128</v>
      </c>
      <c r="E62" s="12"/>
      <c r="F62" s="56">
        <f>VLOOKUP(D62,廠價表!$C$1:$E$39,3,0)</f>
        <v>26.99</v>
      </c>
      <c r="G62" s="185">
        <v>1572</v>
      </c>
      <c r="H62" s="15">
        <f t="shared" si="33"/>
        <v>42428.28</v>
      </c>
      <c r="I62" s="82"/>
      <c r="J62" s="16">
        <f>VLOOKUP(D62,產線配置圖!$A$2:$C$38,2,0)</f>
        <v>13</v>
      </c>
      <c r="K62" s="14">
        <f>VLOOKUP(D62,產線配置圖!$A$2:$C$38,3,0)</f>
        <v>1565</v>
      </c>
      <c r="L62" s="17">
        <f t="shared" si="39"/>
        <v>120.38461538461539</v>
      </c>
      <c r="M62" s="188">
        <v>13</v>
      </c>
      <c r="N62" s="14">
        <f t="shared" si="34"/>
        <v>1347.4285714285729</v>
      </c>
      <c r="O62" s="17">
        <f t="shared" si="35"/>
        <v>103.64835164835176</v>
      </c>
      <c r="P62" s="18">
        <f t="shared" si="36"/>
        <v>0</v>
      </c>
      <c r="Q62" s="19">
        <f t="shared" si="37"/>
        <v>-16.736263736263624</v>
      </c>
      <c r="R62" s="193">
        <f t="shared" ref="R62" si="40">O62/L62</f>
        <v>0.86097672295755456</v>
      </c>
      <c r="S62" s="409"/>
      <c r="T62" s="20">
        <v>0.54861111111111116</v>
      </c>
      <c r="U62" s="20">
        <v>0.59722222222222221</v>
      </c>
      <c r="V62" s="185">
        <f t="shared" si="38"/>
        <v>75.000000000000057</v>
      </c>
      <c r="W62" s="93">
        <f t="shared" si="7"/>
        <v>69.999999999999915</v>
      </c>
      <c r="X62" s="22">
        <v>0.52083333333333337</v>
      </c>
      <c r="Y62" s="22">
        <v>0.5625</v>
      </c>
      <c r="Z62" s="400"/>
      <c r="AA62" s="400"/>
      <c r="AB62" s="51">
        <f t="shared" si="31"/>
        <v>-217.57142857142708</v>
      </c>
      <c r="AC62" s="52">
        <f t="shared" si="32"/>
        <v>0.86097672295755456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3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3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3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3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3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1">AVERAGE(J59:J68)</f>
        <v>12.5</v>
      </c>
      <c r="K69" s="173">
        <f t="shared" si="41"/>
        <v>1565</v>
      </c>
      <c r="L69" s="178">
        <f t="shared" si="41"/>
        <v>125.40064102564102</v>
      </c>
      <c r="M69" s="173">
        <f t="shared" si="41"/>
        <v>12.5</v>
      </c>
      <c r="N69" s="173">
        <f t="shared" si="41"/>
        <v>1409.0288668098824</v>
      </c>
      <c r="O69" s="178">
        <f t="shared" si="41"/>
        <v>112.77238339667853</v>
      </c>
      <c r="P69" s="179">
        <f>M69-J69</f>
        <v>0</v>
      </c>
      <c r="Q69" s="165">
        <f>N69-K69</f>
        <v>-155.9711331901176</v>
      </c>
      <c r="R69" s="124">
        <f>O69/L69</f>
        <v>0.8992967059364525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-155.9711331901176</v>
      </c>
      <c r="AC69" s="195">
        <f>N69/K69</f>
        <v>0.90033793406382268</v>
      </c>
      <c r="AD69" s="396"/>
    </row>
    <row r="70" spans="1:32" ht="15" customHeight="1" x14ac:dyDescent="0.25">
      <c r="A70" s="405" t="s">
        <v>58</v>
      </c>
      <c r="B70" s="207" t="str">
        <f>VLOOKUP(D70,廠價表!$C$1:$E$39,2,0)</f>
        <v>熱乾麵</v>
      </c>
      <c r="C70" s="207"/>
      <c r="D70" s="106" t="s">
        <v>154</v>
      </c>
      <c r="E70" s="107"/>
      <c r="F70" s="207">
        <f>VLOOKUP(D70,廠價表!$C$1:$E$39,3,0)</f>
        <v>49.91</v>
      </c>
      <c r="G70" s="196">
        <v>1351</v>
      </c>
      <c r="H70" s="109">
        <f t="shared" ref="H70" si="42">F70*G70</f>
        <v>67428.409999999989</v>
      </c>
      <c r="I70" s="196"/>
      <c r="J70" s="111">
        <f>VLOOKUP(D70,產線配置圖!$A$2:$C$38,2,0)</f>
        <v>17</v>
      </c>
      <c r="K70" s="108">
        <f>VLOOKUP(D70,產線配置圖!$A$2:$C$38,3,0)</f>
        <v>1565</v>
      </c>
      <c r="L70" s="112">
        <f>K70/J70</f>
        <v>92.058823529411768</v>
      </c>
      <c r="M70" s="113">
        <v>15</v>
      </c>
      <c r="N70" s="108">
        <f t="shared" ref="N70" si="43">G70/W70*60</f>
        <v>1247.0769230769215</v>
      </c>
      <c r="O70" s="112">
        <f t="shared" ref="O70" si="44">N70/M70</f>
        <v>83.138461538461428</v>
      </c>
      <c r="P70" s="114">
        <f t="shared" ref="P70" si="45">M70-J70</f>
        <v>-2</v>
      </c>
      <c r="Q70" s="115">
        <f t="shared" ref="Q70" si="46">O70-L70</f>
        <v>-8.9203619909503402</v>
      </c>
      <c r="R70" s="192">
        <f t="shared" ref="R70" si="47">O70/L70</f>
        <v>0.90310149913983662</v>
      </c>
      <c r="S70" s="408">
        <f>R79</f>
        <v>0.90090741893435722</v>
      </c>
      <c r="T70" s="176">
        <v>0.53472222222222221</v>
      </c>
      <c r="U70" s="176">
        <v>0.57986111111111116</v>
      </c>
      <c r="V70" s="196"/>
      <c r="W70" s="110">
        <f t="shared" ref="W70:W78" si="48">(U70-T70)*24*60</f>
        <v>65.000000000000085</v>
      </c>
      <c r="X70" s="180"/>
      <c r="Y70" s="180"/>
      <c r="Z70" s="413"/>
      <c r="AA70" s="414"/>
      <c r="AB70" s="240"/>
      <c r="AC70" s="241"/>
      <c r="AD70" s="391">
        <f>AC79</f>
        <v>0.8485960990053687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8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8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8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49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8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9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8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9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8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9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8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9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8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50">AVERAGE(J69:J78)</f>
        <v>14.75</v>
      </c>
      <c r="K79" s="173">
        <f t="shared" si="50"/>
        <v>1565</v>
      </c>
      <c r="L79" s="178">
        <f t="shared" si="50"/>
        <v>108.7297322775264</v>
      </c>
      <c r="M79" s="173">
        <f t="shared" si="50"/>
        <v>13.75</v>
      </c>
      <c r="N79" s="173">
        <f t="shared" si="50"/>
        <v>1328.052894943402</v>
      </c>
      <c r="O79" s="178">
        <f t="shared" si="50"/>
        <v>97.955422467569974</v>
      </c>
      <c r="P79" s="179">
        <f>M79-J79</f>
        <v>-1</v>
      </c>
      <c r="Q79" s="165">
        <f>N79-K79</f>
        <v>-236.94710505659805</v>
      </c>
      <c r="R79" s="166">
        <f>O79/L79</f>
        <v>0.90090741893435722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-236.94710505659805</v>
      </c>
      <c r="AC79" s="195">
        <f>N79/K79</f>
        <v>0.8485960990053687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4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40:AA40"/>
    <mergeCell ref="Z41:AA41"/>
    <mergeCell ref="Z42:AA42"/>
    <mergeCell ref="Z43:AA43"/>
    <mergeCell ref="Z44:AA44"/>
    <mergeCell ref="Z45:AA45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98" priority="1" operator="greaterThan">
      <formula>0</formula>
    </cfRule>
  </conditionalFormatting>
  <conditionalFormatting sqref="Q5:Q79 AB5:AB79">
    <cfRule type="cellIs" dxfId="97" priority="4" operator="lessThan">
      <formula>0</formula>
    </cfRule>
  </conditionalFormatting>
  <conditionalFormatting sqref="R5:R79 AC5:AC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D59:AD62 S69:S76 AD69:AD76">
    <cfRule type="cellIs" dxfId="94" priority="7" operator="lessThan">
      <formula>0.8</formula>
    </cfRule>
  </conditionalFormatting>
  <conditionalFormatting sqref="S19:S25 AD19:AD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D5:AD8 S15:S16 AD15:AD16 AD49 AD79">
    <cfRule type="cellIs" dxfId="91" priority="9" operator="lessThan">
      <formula>0.8</formula>
    </cfRule>
  </conditionalFormatting>
  <conditionalFormatting sqref="AD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4E921C-223D-4EF9-B517-2E1400972C9B}">
          <x14:formula1>
            <xm:f>廠價表!$C$2:$C$37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FCD3-8A8C-4CD6-B280-F11ED8DE229D}">
  <sheetPr>
    <pageSetUpPr fitToPage="1"/>
  </sheetPr>
  <dimension ref="B1:O22"/>
  <sheetViews>
    <sheetView zoomScale="70" zoomScaleNormal="70" workbookViewId="0">
      <selection activeCell="J15" sqref="J15:J19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45953</v>
      </c>
      <c r="E3" s="383"/>
      <c r="F3" s="214" t="s">
        <v>76</v>
      </c>
      <c r="G3" s="384">
        <f>'1023'!E1</f>
        <v>43469</v>
      </c>
      <c r="H3" s="384"/>
      <c r="I3" s="214" t="s">
        <v>77</v>
      </c>
      <c r="J3" s="385">
        <f>'1023'!G1</f>
        <v>2118496.94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116.75525160206531</v>
      </c>
      <c r="G6" s="362"/>
      <c r="H6" s="363">
        <f>AVERAGE(D13:H13)</f>
        <v>114.69177200794847</v>
      </c>
      <c r="I6" s="363"/>
      <c r="J6" s="363">
        <f>AVERAGE(I13:J13)</f>
        <v>127.07264957264958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106.89756773377063</v>
      </c>
      <c r="G7" s="380"/>
      <c r="H7" s="381">
        <f>AVERAGE(D14:H14)</f>
        <v>105.75983371621835</v>
      </c>
      <c r="I7" s="381"/>
      <c r="J7" s="381">
        <f>AVERAGE(I14:J14)</f>
        <v>112.58623782153198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0.91402402389441317</v>
      </c>
      <c r="G8" s="360"/>
      <c r="H8" s="360">
        <f>AVERAGE(D15:H15)</f>
        <v>0.91962903280823127</v>
      </c>
      <c r="I8" s="360"/>
      <c r="J8" s="360">
        <f>AVERAGE(I15:J15)</f>
        <v>0.88599897932532312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VALUE('1023'!L15)</f>
        <v>149.22390109890108</v>
      </c>
      <c r="E13" s="227">
        <f>VALUE('1023'!L26)</f>
        <v>155.12820512820511</v>
      </c>
      <c r="F13" s="227">
        <f>VALUE('1023'!L37)</f>
        <v>94.537037037037024</v>
      </c>
      <c r="G13" s="227">
        <f>VALUE('1023'!L48)</f>
        <v>86.764705882352942</v>
      </c>
      <c r="H13" s="227">
        <f>VALUE('1023'!L58)</f>
        <v>87.805010893246177</v>
      </c>
      <c r="I13" s="227">
        <f>VALUE('1023'!L69)</f>
        <v>127.07264957264958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VALUE('1023'!O15)</f>
        <v>138.42234821507984</v>
      </c>
      <c r="E14" s="227">
        <f>VALUE('1023'!O26)</f>
        <v>146.25248753159269</v>
      </c>
      <c r="F14" s="227">
        <f>VALUE('1023'!O37)</f>
        <v>78.522244055167747</v>
      </c>
      <c r="G14" s="227">
        <f>VALUE('1023'!O48)</f>
        <v>81.483826096937662</v>
      </c>
      <c r="H14" s="227">
        <f>VALUE('1023'!O58)</f>
        <v>84.118262682313812</v>
      </c>
      <c r="I14" s="227">
        <f>VALUE('1023'!O69)</f>
        <v>112.58623782153198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0.92761512864710394</v>
      </c>
      <c r="E15" s="248">
        <f t="shared" ref="E15:I15" si="0">E14/E13</f>
        <v>0.94278463036894478</v>
      </c>
      <c r="F15" s="248">
        <f t="shared" si="0"/>
        <v>0.83059768442293025</v>
      </c>
      <c r="G15" s="248">
        <f t="shared" si="0"/>
        <v>0.9391356228121629</v>
      </c>
      <c r="H15" s="248">
        <f t="shared" si="0"/>
        <v>0.95801209779001417</v>
      </c>
      <c r="I15" s="248">
        <f t="shared" si="0"/>
        <v>0.88599897932532312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'1023'!T5</f>
        <v>0.2902777777777778</v>
      </c>
      <c r="E16" s="98">
        <f>'1023'!T16</f>
        <v>0.2902777777777778</v>
      </c>
      <c r="F16" s="98">
        <f>'1023'!T27</f>
        <v>0.29236111111111113</v>
      </c>
      <c r="G16" s="98">
        <f>'1023'!T38</f>
        <v>0.33194444444444443</v>
      </c>
      <c r="H16" s="98">
        <f>'1023'!T49</f>
        <v>0.2902777777777778</v>
      </c>
      <c r="I16" s="98">
        <f>'1023'!T59</f>
        <v>0.29305555555555557</v>
      </c>
      <c r="J16" s="293"/>
    </row>
    <row r="17" spans="2:10" ht="17.25" customHeight="1" x14ac:dyDescent="0.25">
      <c r="B17" s="492"/>
      <c r="C17" s="222" t="s">
        <v>104</v>
      </c>
      <c r="D17" s="80">
        <v>0.58611111111111114</v>
      </c>
      <c r="E17" s="41">
        <v>0.59097222222222223</v>
      </c>
      <c r="F17" s="41">
        <v>0.57499999999999996</v>
      </c>
      <c r="G17" s="59">
        <v>0.47708333333333336</v>
      </c>
      <c r="H17" s="80">
        <v>0.58750000000000002</v>
      </c>
      <c r="I17" s="20">
        <v>0.50694444444444442</v>
      </c>
      <c r="J17" s="20"/>
    </row>
    <row r="18" spans="2:10" ht="17.25" customHeight="1" x14ac:dyDescent="0.25">
      <c r="B18" s="481" t="s">
        <v>105</v>
      </c>
      <c r="C18" s="355"/>
      <c r="D18" s="229">
        <f>VALUE('1023'!M15)</f>
        <v>13.25</v>
      </c>
      <c r="E18" s="229">
        <f>VALUE('1023'!M26)</f>
        <v>13</v>
      </c>
      <c r="F18" s="229">
        <f>VALUE('1023'!M37)</f>
        <v>15.666666666666666</v>
      </c>
      <c r="G18" s="229">
        <f>VALUE('1023'!M48)</f>
        <v>16.5</v>
      </c>
      <c r="H18" s="229">
        <f>VALUE('1023'!M58)</f>
        <v>18</v>
      </c>
      <c r="I18" s="229">
        <f>VALUE('1023'!M69)</f>
        <v>12.333333333333334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B20:C20"/>
    <mergeCell ref="B21:C21"/>
    <mergeCell ref="B22:C22"/>
    <mergeCell ref="D8:E8"/>
    <mergeCell ref="F8:G8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J6:K6"/>
    <mergeCell ref="D7:E7"/>
    <mergeCell ref="F7:G7"/>
    <mergeCell ref="H7:I7"/>
    <mergeCell ref="J7:K7"/>
    <mergeCell ref="B1:K2"/>
    <mergeCell ref="B3:C3"/>
    <mergeCell ref="D3:E3"/>
    <mergeCell ref="G3:H3"/>
    <mergeCell ref="J3:K3"/>
    <mergeCell ref="J5:K5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0FE8-3237-409F-9CB7-756390F57510}">
  <sheetPr>
    <tabColor theme="9" tint="0.79998168889431442"/>
    <pageSetUpPr fitToPage="1"/>
  </sheetPr>
  <dimension ref="A1:AF92"/>
  <sheetViews>
    <sheetView zoomScale="71" zoomScaleNormal="71" workbookViewId="0">
      <pane xSplit="5" ySplit="4" topLeftCell="G7" activePane="bottomRight" state="frozen"/>
      <selection activeCell="U62" sqref="U62"/>
      <selection pane="topRight" activeCell="U62" sqref="U62"/>
      <selection pane="bottomLeft" activeCell="U62" sqref="U62"/>
      <selection pane="bottomRight" activeCell="N58" sqref="N58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43469</v>
      </c>
      <c r="F1" s="185" t="s">
        <v>9</v>
      </c>
      <c r="G1" s="4">
        <f>SUM(H5:H79)</f>
        <v>2118496.94</v>
      </c>
      <c r="H1" s="183" t="s">
        <v>10</v>
      </c>
      <c r="I1" s="5">
        <f>M15+M26+M48+M58+M69+M79+M37</f>
        <v>101.08333333333333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247</v>
      </c>
      <c r="B2" s="461"/>
      <c r="C2" s="184"/>
      <c r="D2" s="184" t="s">
        <v>1</v>
      </c>
      <c r="E2" s="7">
        <f>AVERAGE(O15,O26,O37,O48,O58,O69,O79)</f>
        <v>107.71023488916511</v>
      </c>
      <c r="F2" s="8" t="s">
        <v>2</v>
      </c>
      <c r="G2" s="9">
        <f>G1/E1</f>
        <v>48.735810347604037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1616</v>
      </c>
      <c r="H5" s="109">
        <f>F5*G5</f>
        <v>92451.36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1864.6153846153857</v>
      </c>
      <c r="O5" s="112">
        <f>N5/M5</f>
        <v>143.43195266272198</v>
      </c>
      <c r="P5" s="114">
        <f>M5-J5</f>
        <v>0</v>
      </c>
      <c r="Q5" s="115">
        <f>O5-L5</f>
        <v>-10.414201183431857</v>
      </c>
      <c r="R5" s="192">
        <f>O5/L5</f>
        <v>0.93230769230769295</v>
      </c>
      <c r="S5" s="408">
        <f>R15</f>
        <v>0.92761512864710394</v>
      </c>
      <c r="T5" s="97">
        <v>0.2902777777777778</v>
      </c>
      <c r="U5" s="97">
        <v>0.3263888888888889</v>
      </c>
      <c r="V5" s="202"/>
      <c r="W5" s="110">
        <f t="shared" ref="W5:W14" si="0">(U5-T5)*24*60</f>
        <v>51.999999999999972</v>
      </c>
      <c r="X5" s="196"/>
      <c r="Y5" s="196"/>
      <c r="Z5" s="423"/>
      <c r="AA5" s="423"/>
      <c r="AB5" s="114">
        <f>N5-K5</f>
        <v>-135.38461538461434</v>
      </c>
      <c r="AC5" s="192">
        <f>N5/K5</f>
        <v>0.93230769230769284</v>
      </c>
      <c r="AD5" s="391">
        <f>AC15</f>
        <v>0.92838749208882765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2304</v>
      </c>
      <c r="H6" s="15">
        <f t="shared" ref="H6:H14" si="1">F6*G6</f>
        <v>131811.84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1843.1999999999987</v>
      </c>
      <c r="O6" s="17">
        <f>N6/M6</f>
        <v>131.65714285714276</v>
      </c>
      <c r="P6" s="18">
        <f>M6-J6</f>
        <v>0</v>
      </c>
      <c r="Q6" s="19">
        <f>O6-L6</f>
        <v>-3.7000000000001023</v>
      </c>
      <c r="R6" s="193">
        <f>O6/L6</f>
        <v>0.97266490765171432</v>
      </c>
      <c r="S6" s="409"/>
      <c r="T6" s="98">
        <v>0.33194444444444443</v>
      </c>
      <c r="U6" s="98">
        <v>0.3840277777777778</v>
      </c>
      <c r="V6" s="185">
        <f>(T6-U5)*24*60</f>
        <v>7.9999999999999716</v>
      </c>
      <c r="W6" s="190">
        <f t="shared" si="0"/>
        <v>75.000000000000057</v>
      </c>
      <c r="X6" s="22"/>
      <c r="Y6" s="22"/>
      <c r="Z6" s="446"/>
      <c r="AA6" s="446"/>
      <c r="AB6" s="18">
        <f>N6-K6</f>
        <v>-51.800000000001319</v>
      </c>
      <c r="AC6" s="193">
        <f>N6/K6</f>
        <v>0.97266490765171432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3733</v>
      </c>
      <c r="H7" s="15">
        <f t="shared" si="1"/>
        <v>183439.62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1763.6220472440941</v>
      </c>
      <c r="O7" s="17">
        <f>N7/M7</f>
        <v>135.66323440339187</v>
      </c>
      <c r="P7" s="18">
        <f>M7-J7</f>
        <v>0</v>
      </c>
      <c r="Q7" s="19">
        <f>O7-L7</f>
        <v>-18.182919442761971</v>
      </c>
      <c r="R7" s="193">
        <f>O7/L7</f>
        <v>0.88181102362204722</v>
      </c>
      <c r="S7" s="409"/>
      <c r="T7" s="98">
        <v>0.39097222222222222</v>
      </c>
      <c r="U7" s="98">
        <v>0.47916666666666669</v>
      </c>
      <c r="V7" s="185">
        <f>(T7-U6)*24*60</f>
        <v>9.9999999999999645</v>
      </c>
      <c r="W7" s="190">
        <f t="shared" si="0"/>
        <v>127.00000000000003</v>
      </c>
      <c r="X7" s="22"/>
      <c r="Y7" s="22"/>
      <c r="Z7" s="400"/>
      <c r="AA7" s="400"/>
      <c r="AB7" s="18">
        <f>N7-K7</f>
        <v>-236.37795275590588</v>
      </c>
      <c r="AC7" s="193">
        <f>N7/K7</f>
        <v>0.88181102362204711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2044</v>
      </c>
      <c r="H8" s="15">
        <f t="shared" si="1"/>
        <v>100442.16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1858.1818181818157</v>
      </c>
      <c r="O8" s="17">
        <f>N8/M8</f>
        <v>142.93706293706276</v>
      </c>
      <c r="P8" s="18">
        <f>M8-J8</f>
        <v>0</v>
      </c>
      <c r="Q8" s="19">
        <f>O8-L8</f>
        <v>-10.909090909091077</v>
      </c>
      <c r="R8" s="193">
        <f>O8/L8</f>
        <v>0.92909090909090797</v>
      </c>
      <c r="S8" s="409"/>
      <c r="T8" s="80">
        <v>0.54027777777777775</v>
      </c>
      <c r="U8" s="80">
        <v>0.58611111111111114</v>
      </c>
      <c r="V8" s="185">
        <f>(T8-U7)*24*60</f>
        <v>87.999999999999929</v>
      </c>
      <c r="W8" s="190">
        <f t="shared" si="0"/>
        <v>66.000000000000085</v>
      </c>
      <c r="X8" s="22">
        <v>0.4861111111111111</v>
      </c>
      <c r="Y8" s="22">
        <v>0.52777777777777779</v>
      </c>
      <c r="Z8" s="447"/>
      <c r="AA8" s="447"/>
      <c r="AB8" s="18">
        <f>N8-K8</f>
        <v>-141.81818181818426</v>
      </c>
      <c r="AC8" s="193">
        <f>N8/K8</f>
        <v>0.92909090909090786</v>
      </c>
      <c r="AD8" s="392"/>
    </row>
    <row r="9" spans="1:30" ht="15" customHeight="1" x14ac:dyDescent="0.25">
      <c r="A9" s="466"/>
      <c r="B9" s="56"/>
      <c r="C9" s="10"/>
      <c r="D9" s="11"/>
      <c r="E9" s="89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13.25</v>
      </c>
      <c r="K15" s="121">
        <f t="shared" si="2"/>
        <v>1973.75</v>
      </c>
      <c r="L15" s="118">
        <f t="shared" si="2"/>
        <v>149.22390109890108</v>
      </c>
      <c r="M15" s="121">
        <f t="shared" si="2"/>
        <v>13.25</v>
      </c>
      <c r="N15" s="121">
        <f t="shared" si="2"/>
        <v>1832.4048125103236</v>
      </c>
      <c r="O15" s="118">
        <f t="shared" si="2"/>
        <v>138.42234821507984</v>
      </c>
      <c r="P15" s="122">
        <f t="shared" ref="P15:P16" si="3">M15-J15</f>
        <v>0</v>
      </c>
      <c r="Q15" s="123">
        <f t="shared" ref="Q15:Q16" si="4">O15-L15</f>
        <v>-10.801552883821245</v>
      </c>
      <c r="R15" s="124">
        <f t="shared" ref="R15:R16" si="5">O15/L15</f>
        <v>0.92761512864710394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-141.34518748967639</v>
      </c>
      <c r="AC15" s="195">
        <f>N15/K15</f>
        <v>0.92838749208882765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1677</v>
      </c>
      <c r="H16" s="128">
        <f t="shared" ref="H16:H25" si="6">F16*G16</f>
        <v>95941.17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1898.4905660377369</v>
      </c>
      <c r="O16" s="131">
        <f>N16/M16</f>
        <v>146.03773584905667</v>
      </c>
      <c r="P16" s="132">
        <f t="shared" si="3"/>
        <v>0</v>
      </c>
      <c r="Q16" s="133">
        <f t="shared" si="4"/>
        <v>-7.8084179970971661</v>
      </c>
      <c r="R16" s="197">
        <f t="shared" si="5"/>
        <v>0.94924528301886846</v>
      </c>
      <c r="S16" s="433">
        <f>R26</f>
        <v>0.94278463036894478</v>
      </c>
      <c r="T16" s="288">
        <v>0.2902777777777778</v>
      </c>
      <c r="U16" s="288">
        <v>0.32708333333333334</v>
      </c>
      <c r="V16" s="129"/>
      <c r="W16" s="134">
        <f t="shared" ref="W16:W68" si="7">(U16-T16)*24*60</f>
        <v>52.999999999999972</v>
      </c>
      <c r="X16" s="131"/>
      <c r="Y16" s="131"/>
      <c r="Z16" s="423"/>
      <c r="AA16" s="423"/>
      <c r="AB16" s="114">
        <f>N16-K16</f>
        <v>-101.50943396226307</v>
      </c>
      <c r="AC16" s="192">
        <f>N16/K16</f>
        <v>0.94924528301886846</v>
      </c>
      <c r="AD16" s="391">
        <f>AC26</f>
        <v>0.94346688987711025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3466</v>
      </c>
      <c r="H17" s="15">
        <f>F17*G17</f>
        <v>175622.22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1907.8899082568805</v>
      </c>
      <c r="O17" s="38">
        <f>N17/M17</f>
        <v>127.1926605504587</v>
      </c>
      <c r="P17" s="39">
        <f>M17-J17</f>
        <v>0</v>
      </c>
      <c r="Q17" s="40">
        <f>O17-L17</f>
        <v>-6.1406727828746455</v>
      </c>
      <c r="R17" s="198">
        <f>O17/L17</f>
        <v>0.95394495412844016</v>
      </c>
      <c r="S17" s="434"/>
      <c r="T17" s="41">
        <v>0.33541666666666664</v>
      </c>
      <c r="U17" s="41">
        <v>0.41111111111111109</v>
      </c>
      <c r="V17" s="185">
        <f>(T17-U16)*24*60</f>
        <v>11.999999999999957</v>
      </c>
      <c r="W17" s="43">
        <f t="shared" si="7"/>
        <v>109.00000000000001</v>
      </c>
      <c r="X17" s="44"/>
      <c r="Y17" s="44"/>
      <c r="Z17" s="399"/>
      <c r="AA17" s="400"/>
      <c r="AB17" s="18">
        <f>N17-K17</f>
        <v>-92.110091743119483</v>
      </c>
      <c r="AC17" s="193">
        <f>N17/K17</f>
        <v>0.95394495412844027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2728</v>
      </c>
      <c r="H18" s="15">
        <f>F18*G18</f>
        <v>137463.92000000001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1839.1011235955054</v>
      </c>
      <c r="O18" s="38">
        <f>N18/M18</f>
        <v>153.25842696629212</v>
      </c>
      <c r="P18" s="39">
        <f>M18-J18</f>
        <v>0</v>
      </c>
      <c r="Q18" s="40">
        <f>O18-L18</f>
        <v>-13.408239700374537</v>
      </c>
      <c r="R18" s="198">
        <f>O18/L18</f>
        <v>0.91955056179775274</v>
      </c>
      <c r="S18" s="434"/>
      <c r="T18" s="41">
        <v>0.41666666666666669</v>
      </c>
      <c r="U18" s="41">
        <v>0.47847222222222224</v>
      </c>
      <c r="V18" s="185">
        <f>(T18-U17)*24*60</f>
        <v>8.0000000000000515</v>
      </c>
      <c r="W18" s="43">
        <f t="shared" si="7"/>
        <v>89</v>
      </c>
      <c r="X18" s="22"/>
      <c r="Y18" s="22"/>
      <c r="Z18" s="399"/>
      <c r="AA18" s="400"/>
      <c r="AB18" s="18">
        <f>N18-K18</f>
        <v>-160.89887640449456</v>
      </c>
      <c r="AC18" s="193">
        <f>N18/K18</f>
        <v>0.91955056179775274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2251</v>
      </c>
      <c r="H19" s="15">
        <f t="shared" ref="H19" si="8">F19*G19</f>
        <v>113427.89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1902.2535211267586</v>
      </c>
      <c r="O19" s="38">
        <f>N19/M19</f>
        <v>158.52112676056322</v>
      </c>
      <c r="P19" s="39">
        <f>M19-J19</f>
        <v>0</v>
      </c>
      <c r="Q19" s="40">
        <f>O19-L19</f>
        <v>-8.145539906103437</v>
      </c>
      <c r="R19" s="198">
        <f>O19/L19</f>
        <v>0.95112676056337941</v>
      </c>
      <c r="S19" s="434"/>
      <c r="T19" s="41">
        <v>0.54166666666666663</v>
      </c>
      <c r="U19" s="41">
        <v>0.59097222222222223</v>
      </c>
      <c r="V19" s="185">
        <f>(T19-U18)*24*60</f>
        <v>90.999999999999915</v>
      </c>
      <c r="W19" s="43">
        <f t="shared" si="7"/>
        <v>71.000000000000071</v>
      </c>
      <c r="X19" s="22">
        <v>0.4861111111111111</v>
      </c>
      <c r="Y19" s="22">
        <v>0.52777777777777779</v>
      </c>
      <c r="Z19" s="398"/>
      <c r="AA19" s="399"/>
      <c r="AB19" s="18">
        <f>N19-K19</f>
        <v>-97.746478873241358</v>
      </c>
      <c r="AC19" s="193">
        <f>N19/K19</f>
        <v>0.9511267605633793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1886.9337797542205</v>
      </c>
      <c r="O26" s="140">
        <f t="shared" si="10"/>
        <v>146.25248753159269</v>
      </c>
      <c r="P26" s="141">
        <f t="shared" ref="P26:P29" si="11">M26-J26</f>
        <v>0</v>
      </c>
      <c r="Q26" s="142">
        <f t="shared" ref="Q26:Q29" si="12">O26-L26</f>
        <v>-8.875717596612418</v>
      </c>
      <c r="R26" s="143">
        <f t="shared" ref="R26:R29" si="13">O26/L26</f>
        <v>0.94278463036894478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-113.0662202457795</v>
      </c>
      <c r="AC26" s="195">
        <f>N26/K26</f>
        <v>0.94346688987711025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2364</v>
      </c>
      <c r="H27" s="128">
        <f t="shared" ref="H27:H36" si="14">F27*G27</f>
        <v>130327.32</v>
      </c>
      <c r="I27" s="129"/>
      <c r="J27" s="111">
        <f>VLOOKUP(D27,產線配置圖!$A$2:$C$38,2,0)</f>
        <v>18</v>
      </c>
      <c r="K27" s="252">
        <f>VLOOKUP(D27,產線配置圖!$A$2:$C$38,3,0)</f>
        <v>1385</v>
      </c>
      <c r="L27" s="112">
        <f>K27/J27</f>
        <v>76.944444444444443</v>
      </c>
      <c r="M27" s="147">
        <v>17</v>
      </c>
      <c r="N27" s="130">
        <f>G27/W27*60</f>
        <v>1058.5074626865671</v>
      </c>
      <c r="O27" s="131">
        <f>N27/M27</f>
        <v>62.265144863915715</v>
      </c>
      <c r="P27" s="132">
        <f t="shared" si="11"/>
        <v>-1</v>
      </c>
      <c r="Q27" s="133">
        <f t="shared" si="12"/>
        <v>-14.679299580528728</v>
      </c>
      <c r="R27" s="197">
        <f>O27/L27</f>
        <v>0.80922209931442812</v>
      </c>
      <c r="S27" s="433">
        <f>R37</f>
        <v>0.83059768442293025</v>
      </c>
      <c r="T27" s="97">
        <v>0.29236111111111113</v>
      </c>
      <c r="U27" s="97">
        <v>0.38541666666666669</v>
      </c>
      <c r="V27" s="129"/>
      <c r="W27" s="134">
        <f t="shared" si="7"/>
        <v>134</v>
      </c>
      <c r="X27" s="129"/>
      <c r="Y27" s="129" t="s">
        <v>158</v>
      </c>
      <c r="Z27" s="414"/>
      <c r="AA27" s="423"/>
      <c r="AB27" s="114">
        <f>N27-K27</f>
        <v>-326.49253731343288</v>
      </c>
      <c r="AC27" s="148">
        <f>N27/K27</f>
        <v>0.76426531601918202</v>
      </c>
      <c r="AD27" s="391">
        <f>AC37</f>
        <v>0.79782579546573174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222</v>
      </c>
      <c r="E28" s="89"/>
      <c r="F28" s="56">
        <f>VLOOKUP(D28,廠價表!$C$1:$E$39,3,0)</f>
        <v>50.67</v>
      </c>
      <c r="G28" s="53">
        <v>765</v>
      </c>
      <c r="H28" s="50">
        <f t="shared" si="14"/>
        <v>38762.550000000003</v>
      </c>
      <c r="I28" s="42"/>
      <c r="J28" s="16">
        <f>VLOOKUP(D28,產線配置圖!$A$2:$C$38,2,0)</f>
        <v>15</v>
      </c>
      <c r="K28" s="14">
        <v>1600</v>
      </c>
      <c r="L28" s="251">
        <f>K28/J28</f>
        <v>106.66666666666667</v>
      </c>
      <c r="M28" s="21">
        <v>15</v>
      </c>
      <c r="N28" s="36">
        <f>G28/W28*60</f>
        <v>1350.0000000000018</v>
      </c>
      <c r="O28" s="38">
        <f>N28/M28</f>
        <v>90.000000000000128</v>
      </c>
      <c r="P28" s="39">
        <f t="shared" si="11"/>
        <v>0</v>
      </c>
      <c r="Q28" s="40">
        <f t="shared" si="12"/>
        <v>-16.666666666666544</v>
      </c>
      <c r="R28" s="198">
        <f t="shared" si="13"/>
        <v>0.84375000000000111</v>
      </c>
      <c r="S28" s="434"/>
      <c r="T28" s="291">
        <v>0.44861111111111113</v>
      </c>
      <c r="U28" s="291">
        <v>0.47222222222222221</v>
      </c>
      <c r="V28" s="42">
        <f>(T28-U27)*24*60</f>
        <v>91</v>
      </c>
      <c r="W28" s="43">
        <f t="shared" si="7"/>
        <v>33.999999999999957</v>
      </c>
      <c r="X28" s="54"/>
      <c r="Y28" s="54"/>
      <c r="Z28" s="399"/>
      <c r="AA28" s="400"/>
      <c r="AB28" s="34">
        <f>N28-K28</f>
        <v>-249.99999999999818</v>
      </c>
      <c r="AC28" s="194">
        <f>N28/K28</f>
        <v>0.84375000000000111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222</v>
      </c>
      <c r="E29" s="89"/>
      <c r="F29" s="56">
        <f>VLOOKUP(D29,廠價表!$C$1:$E$39,3,0)</f>
        <v>50.67</v>
      </c>
      <c r="G29" s="256">
        <v>1312</v>
      </c>
      <c r="H29" s="50">
        <f t="shared" si="14"/>
        <v>66479.040000000008</v>
      </c>
      <c r="I29" s="42"/>
      <c r="J29" s="16">
        <v>16</v>
      </c>
      <c r="K29" s="14">
        <v>1600</v>
      </c>
      <c r="L29" s="251">
        <f>K29/J29</f>
        <v>100</v>
      </c>
      <c r="M29" s="21">
        <v>15</v>
      </c>
      <c r="N29" s="36">
        <f>G29/W29*60</f>
        <v>1249.5238095238108</v>
      </c>
      <c r="O29" s="38">
        <f>N29/M29</f>
        <v>83.301587301587389</v>
      </c>
      <c r="P29" s="39">
        <f t="shared" si="11"/>
        <v>-1</v>
      </c>
      <c r="Q29" s="40">
        <f t="shared" si="12"/>
        <v>-16.698412698412611</v>
      </c>
      <c r="R29" s="198">
        <f t="shared" si="13"/>
        <v>0.83301587301587388</v>
      </c>
      <c r="S29" s="434"/>
      <c r="T29" s="41">
        <v>0.53125</v>
      </c>
      <c r="U29" s="41">
        <v>0.57499999999999996</v>
      </c>
      <c r="V29" s="42">
        <f>(T29-U28)*24*60</f>
        <v>85.000000000000014</v>
      </c>
      <c r="W29" s="43">
        <f t="shared" si="7"/>
        <v>62.999999999999936</v>
      </c>
      <c r="X29" s="54">
        <v>0.47916666666666669</v>
      </c>
      <c r="Y29" s="54">
        <v>0.52083333333333337</v>
      </c>
      <c r="Z29" s="399" t="s">
        <v>248</v>
      </c>
      <c r="AA29" s="398"/>
      <c r="AB29" s="275">
        <f t="shared" ref="AB29" si="15">N29-K29</f>
        <v>-350.47619047618923</v>
      </c>
      <c r="AC29" s="276">
        <f t="shared" ref="AC29" si="16">N29/K29</f>
        <v>0.78095238095238173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7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7">AVERAGE(J27:J36)</f>
        <v>16.333333333333332</v>
      </c>
      <c r="K37" s="314">
        <f t="shared" si="17"/>
        <v>1528.3333333333333</v>
      </c>
      <c r="L37" s="315">
        <f t="shared" si="17"/>
        <v>94.537037037037024</v>
      </c>
      <c r="M37" s="314">
        <f t="shared" si="17"/>
        <v>15.666666666666666</v>
      </c>
      <c r="N37" s="314">
        <f t="shared" si="17"/>
        <v>1219.3437574034599</v>
      </c>
      <c r="O37" s="315">
        <f t="shared" si="17"/>
        <v>78.522244055167747</v>
      </c>
      <c r="P37" s="74">
        <f>M37-J37</f>
        <v>-0.66666666666666607</v>
      </c>
      <c r="Q37" s="75">
        <f>N37-K37</f>
        <v>-308.98957592987335</v>
      </c>
      <c r="R37" s="316">
        <f t="shared" ref="R37:R38" si="18">O37/L37</f>
        <v>0.83059768442293025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40" si="19">N37-K37</f>
        <v>-308.98957592987335</v>
      </c>
      <c r="AC37" s="195">
        <f t="shared" ref="AC37:AC40" si="20">N37/K37</f>
        <v>0.79782579546573174</v>
      </c>
      <c r="AD37" s="396"/>
    </row>
    <row r="38" spans="1:30" s="63" customFormat="1" ht="15" customHeight="1" thickBot="1" x14ac:dyDescent="0.3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2554</v>
      </c>
      <c r="H38" s="64">
        <f>F38*G38</f>
        <v>127470.13999999998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16</v>
      </c>
      <c r="N38" s="130">
        <f>G38/W38*60</f>
        <v>1432.1495327102803</v>
      </c>
      <c r="O38" s="131">
        <f>N38/M38</f>
        <v>89.509345794392516</v>
      </c>
      <c r="P38" s="132">
        <f t="shared" ref="P38" si="21">M38-J38</f>
        <v>-1</v>
      </c>
      <c r="Q38" s="133">
        <f t="shared" ref="Q38" si="22">O38-L38</f>
        <v>-2.5494777350192521</v>
      </c>
      <c r="R38" s="197">
        <f t="shared" si="18"/>
        <v>0.97230599265474293</v>
      </c>
      <c r="S38" s="493">
        <f>R48</f>
        <v>0.9391356228121629</v>
      </c>
      <c r="T38" s="157">
        <v>0.33194444444444443</v>
      </c>
      <c r="U38" s="157">
        <v>0.40625</v>
      </c>
      <c r="V38" s="153"/>
      <c r="W38" s="158">
        <f t="shared" si="7"/>
        <v>107.00000000000001</v>
      </c>
      <c r="X38" s="155"/>
      <c r="Y38" s="159"/>
      <c r="Z38" s="428"/>
      <c r="AA38" s="475"/>
      <c r="AB38" s="319">
        <f t="shared" si="19"/>
        <v>-132.85046728971975</v>
      </c>
      <c r="AC38" s="161">
        <f t="shared" si="20"/>
        <v>0.91511152249858163</v>
      </c>
      <c r="AD38" s="388">
        <f>AC48</f>
        <v>0.90879347169541969</v>
      </c>
    </row>
    <row r="39" spans="1:30" s="63" customFormat="1" ht="15" customHeight="1" thickBot="1" x14ac:dyDescent="0.3">
      <c r="A39" s="425"/>
      <c r="B39" s="56" t="str">
        <f>VLOOKUP(D39,廠價表!$C$1:$E$39,2,0)</f>
        <v>義大利麵</v>
      </c>
      <c r="C39" s="306"/>
      <c r="D39" s="308" t="s">
        <v>223</v>
      </c>
      <c r="E39" s="307"/>
      <c r="F39" s="56">
        <f>VLOOKUP(D39,廠價表!$C$1:$E$39,3,0)</f>
        <v>57.3</v>
      </c>
      <c r="G39" s="305">
        <v>1894</v>
      </c>
      <c r="H39" s="64">
        <f>F39*G39</f>
        <v>108526.2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>K39/J39</f>
        <v>81.470588235294116</v>
      </c>
      <c r="M39" s="66">
        <v>17</v>
      </c>
      <c r="N39" s="67">
        <f>G39/W39*60</f>
        <v>1248.7912087912077</v>
      </c>
      <c r="O39" s="68">
        <f>N39/M39</f>
        <v>73.458306399482808</v>
      </c>
      <c r="P39" s="39">
        <f>M39-J39</f>
        <v>0</v>
      </c>
      <c r="Q39" s="40">
        <f>O39-L39</f>
        <v>-8.0122818358113079</v>
      </c>
      <c r="R39" s="198">
        <f>O39/L39</f>
        <v>0.90165430237632327</v>
      </c>
      <c r="S39" s="494"/>
      <c r="T39" s="59">
        <v>0.41388888888888886</v>
      </c>
      <c r="U39" s="59">
        <v>0.47708333333333336</v>
      </c>
      <c r="V39" s="42">
        <f t="shared" ref="V39" si="23">(T39-U38)*24*60</f>
        <v>10.999999999999961</v>
      </c>
      <c r="W39" s="70">
        <f t="shared" si="7"/>
        <v>91.000000000000071</v>
      </c>
      <c r="X39" s="22"/>
      <c r="Y39" s="22"/>
      <c r="AB39" s="319">
        <f t="shared" si="19"/>
        <v>-136.20879120879226</v>
      </c>
      <c r="AC39" s="161">
        <f t="shared" si="20"/>
        <v>0.90165430237632327</v>
      </c>
      <c r="AD39" s="389"/>
    </row>
    <row r="40" spans="1:30" s="63" customFormat="1" ht="15" customHeight="1" x14ac:dyDescent="0.25">
      <c r="A40" s="425"/>
      <c r="B40" s="56"/>
      <c r="C40" s="298"/>
      <c r="D40" s="308"/>
      <c r="E40" s="261"/>
      <c r="F40" s="56"/>
      <c r="G40" s="305"/>
      <c r="H40" s="64"/>
      <c r="I40" s="65"/>
      <c r="J40" s="37"/>
      <c r="K40" s="36"/>
      <c r="L40" s="38"/>
      <c r="M40" s="66"/>
      <c r="N40" s="67"/>
      <c r="O40" s="68"/>
      <c r="P40" s="39"/>
      <c r="Q40" s="40"/>
      <c r="R40" s="198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476"/>
      <c r="AB40" s="319">
        <f t="shared" si="19"/>
        <v>0</v>
      </c>
      <c r="AC40" s="161" t="e">
        <f t="shared" si="20"/>
        <v>#DIV/0!</v>
      </c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4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4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17</v>
      </c>
      <c r="K48" s="137">
        <f t="shared" si="26"/>
        <v>1475</v>
      </c>
      <c r="L48" s="140">
        <f t="shared" si="26"/>
        <v>86.764705882352942</v>
      </c>
      <c r="M48" s="137">
        <f t="shared" si="26"/>
        <v>16.5</v>
      </c>
      <c r="N48" s="137">
        <f t="shared" si="26"/>
        <v>1340.470370750744</v>
      </c>
      <c r="O48" s="140">
        <f t="shared" si="26"/>
        <v>81.483826096937662</v>
      </c>
      <c r="P48" s="164">
        <f>M48-J48</f>
        <v>-0.5</v>
      </c>
      <c r="Q48" s="165">
        <f>N48-K48</f>
        <v>-134.529629249256</v>
      </c>
      <c r="R48" s="166">
        <f>O48/L48</f>
        <v>0.9391356228121629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-134.529629249256</v>
      </c>
      <c r="AC48" s="199">
        <f>N48/K48</f>
        <v>0.90879347169541969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4537</v>
      </c>
      <c r="H49" s="128">
        <f t="shared" ref="H49:H57" si="27">F49*G49</f>
        <v>226713.88999999998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1487.5409836065573</v>
      </c>
      <c r="O49" s="131">
        <f>N49/M49</f>
        <v>82.641165755919857</v>
      </c>
      <c r="P49" s="171">
        <f>M49-J49</f>
        <v>0</v>
      </c>
      <c r="Q49" s="115">
        <f>O49-L49</f>
        <v>-4.3032786885245855</v>
      </c>
      <c r="R49" s="192">
        <f>O49/L49</f>
        <v>0.950505420834861</v>
      </c>
      <c r="S49" s="408">
        <f>R58</f>
        <v>0.95801209779001417</v>
      </c>
      <c r="T49" s="157">
        <v>0.2902777777777778</v>
      </c>
      <c r="U49" s="157">
        <v>0.41736111111111113</v>
      </c>
      <c r="V49" s="196"/>
      <c r="W49" s="158">
        <f t="shared" si="7"/>
        <v>183</v>
      </c>
      <c r="X49" s="196"/>
      <c r="Y49" s="196"/>
      <c r="Z49" s="423"/>
      <c r="AA49" s="423"/>
      <c r="AB49" s="114">
        <f>N49-K49</f>
        <v>-77.459016393442653</v>
      </c>
      <c r="AC49" s="192">
        <f>N49/K49</f>
        <v>0.95050542083486089</v>
      </c>
      <c r="AD49" s="391">
        <f>AC58</f>
        <v>0.99504626174040434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1670</v>
      </c>
      <c r="H50" s="77">
        <f t="shared" si="27"/>
        <v>94972.9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18</v>
      </c>
      <c r="N50" s="78">
        <f>G50/W50*60</f>
        <v>1473.5294117647059</v>
      </c>
      <c r="O50" s="79">
        <f>N50/M50</f>
        <v>81.862745098039213</v>
      </c>
      <c r="P50" s="18">
        <f>M50-J50</f>
        <v>1</v>
      </c>
      <c r="Q50" s="19">
        <f>O50-L50</f>
        <v>-6.3725490196078454</v>
      </c>
      <c r="R50" s="193">
        <f>O50/L50</f>
        <v>0.9277777777777777</v>
      </c>
      <c r="S50" s="409"/>
      <c r="T50" s="80">
        <v>0.42291666666666666</v>
      </c>
      <c r="U50" s="80">
        <v>0.47013888888888888</v>
      </c>
      <c r="V50" s="185">
        <f t="shared" ref="V50:V51" si="28">(T50-U49)*24*60</f>
        <v>7.9999999999999716</v>
      </c>
      <c r="W50" s="81">
        <f t="shared" si="7"/>
        <v>68</v>
      </c>
      <c r="X50" s="22">
        <v>0.4861111111111111</v>
      </c>
      <c r="Y50" s="22">
        <v>0.52777777777777779</v>
      </c>
      <c r="Z50" s="398"/>
      <c r="AA50" s="399"/>
      <c r="AB50" s="18">
        <f>N50-K50</f>
        <v>-26.470588235294144</v>
      </c>
      <c r="AC50" s="193">
        <f>N50/K50</f>
        <v>0.98235294117647054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2003</v>
      </c>
      <c r="H51" s="77">
        <f t="shared" ref="H51" si="29">F51*G51</f>
        <v>113910.61</v>
      </c>
      <c r="I51" s="201"/>
      <c r="J51" s="16">
        <f>VLOOKUP(D51,產線配置圖!$A$2:$C$38,2,0)</f>
        <v>17</v>
      </c>
      <c r="K51" s="14">
        <f>VLOOKUP(D51,產線配置圖!$A$2:$C$38,3,0)</f>
        <v>1500</v>
      </c>
      <c r="L51" s="17">
        <f>K51/J51</f>
        <v>88.235294117647058</v>
      </c>
      <c r="M51" s="182">
        <v>18</v>
      </c>
      <c r="N51" s="78">
        <f>G51/W51*60</f>
        <v>1581.315789473683</v>
      </c>
      <c r="O51" s="79">
        <f>N51/M51</f>
        <v>87.850877192982395</v>
      </c>
      <c r="P51" s="18">
        <f>M51-J51</f>
        <v>1</v>
      </c>
      <c r="Q51" s="19">
        <f>O51-L51</f>
        <v>-0.38441692466466293</v>
      </c>
      <c r="R51" s="193">
        <f>O51/L51</f>
        <v>0.99564327485380044</v>
      </c>
      <c r="S51" s="409"/>
      <c r="T51" s="80">
        <v>0.53472222222222221</v>
      </c>
      <c r="U51" s="44">
        <v>0.58750000000000002</v>
      </c>
      <c r="V51" s="185">
        <f t="shared" si="28"/>
        <v>92.999999999999986</v>
      </c>
      <c r="W51" s="81">
        <f t="shared" si="7"/>
        <v>76.000000000000057</v>
      </c>
      <c r="X51" s="22"/>
      <c r="Y51" s="22"/>
      <c r="Z51" s="400"/>
      <c r="AA51" s="400"/>
      <c r="AB51" s="18">
        <f>N51-K51</f>
        <v>81.315789473683026</v>
      </c>
      <c r="AC51" s="193">
        <f>N51/K51</f>
        <v>1.0542105263157886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7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7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0">AVERAGE(J49:J57)</f>
        <v>17.333333333333332</v>
      </c>
      <c r="K58" s="121">
        <f t="shared" si="30"/>
        <v>1521.6666666666667</v>
      </c>
      <c r="L58" s="118">
        <f t="shared" si="30"/>
        <v>87.805010893246177</v>
      </c>
      <c r="M58" s="121">
        <f t="shared" si="30"/>
        <v>18</v>
      </c>
      <c r="N58" s="121">
        <f t="shared" si="30"/>
        <v>1514.1287282816486</v>
      </c>
      <c r="O58" s="118">
        <f t="shared" si="30"/>
        <v>84.118262682313812</v>
      </c>
      <c r="P58" s="122">
        <f>M58-J58</f>
        <v>0.66666666666666785</v>
      </c>
      <c r="Q58" s="123">
        <f>N58-K58</f>
        <v>-7.5379383850181512</v>
      </c>
      <c r="R58" s="124">
        <f t="shared" ref="R58:R60" si="31">O58/L58</f>
        <v>0.95801209779001417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2" si="32">N58-K58</f>
        <v>-7.5379383850181512</v>
      </c>
      <c r="AC58" s="195">
        <f t="shared" ref="AC58:AC61" si="33">N58/K58</f>
        <v>0.99504626174040434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3629</v>
      </c>
      <c r="H59" s="109">
        <f t="shared" ref="H59:H68" si="34">F59*G59</f>
        <v>97946.709999999992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35">G59/W59*60</f>
        <v>1471.2162162162169</v>
      </c>
      <c r="O59" s="112">
        <f t="shared" ref="O59:O61" si="36">N59/M59</f>
        <v>113.17047817047822</v>
      </c>
      <c r="P59" s="114">
        <f t="shared" ref="P59:P61" si="37">M59-J59</f>
        <v>0</v>
      </c>
      <c r="Q59" s="115">
        <f t="shared" ref="Q59:Q61" si="38">O59-L59</f>
        <v>-7.2141372141371676</v>
      </c>
      <c r="R59" s="192">
        <f t="shared" si="31"/>
        <v>0.94007425956307789</v>
      </c>
      <c r="S59" s="408">
        <f>R69</f>
        <v>0.88599897932532312</v>
      </c>
      <c r="T59" s="176">
        <v>0.29305555555555557</v>
      </c>
      <c r="U59" s="176">
        <v>0.39583333333333331</v>
      </c>
      <c r="V59" s="196"/>
      <c r="W59" s="110">
        <f t="shared" si="7"/>
        <v>147.99999999999994</v>
      </c>
      <c r="X59" s="196"/>
      <c r="Y59" s="196"/>
      <c r="Z59" s="400"/>
      <c r="AA59" s="400"/>
      <c r="AB59" s="240">
        <f t="shared" si="32"/>
        <v>-93.783783783783065</v>
      </c>
      <c r="AC59" s="241">
        <f t="shared" si="33"/>
        <v>0.94007425956307789</v>
      </c>
      <c r="AD59" s="391">
        <f>AC69</f>
        <v>0.88738552497244494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1008</v>
      </c>
      <c r="H60" s="15">
        <f t="shared" si="34"/>
        <v>28697.759999999998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5"/>
        <v>1344</v>
      </c>
      <c r="O60" s="17">
        <f t="shared" si="36"/>
        <v>112</v>
      </c>
      <c r="P60" s="18">
        <f t="shared" si="37"/>
        <v>0</v>
      </c>
      <c r="Q60" s="19">
        <f t="shared" si="38"/>
        <v>-18.416666666666657</v>
      </c>
      <c r="R60" s="193">
        <f t="shared" si="31"/>
        <v>0.85878594249201279</v>
      </c>
      <c r="S60" s="419"/>
      <c r="T60" s="206">
        <v>0.40625</v>
      </c>
      <c r="U60" s="206">
        <v>0.4375</v>
      </c>
      <c r="V60" s="185">
        <f t="shared" ref="V60:V61" si="39">(T60-U59)*24*60</f>
        <v>15.000000000000027</v>
      </c>
      <c r="W60" s="93">
        <f t="shared" si="7"/>
        <v>45</v>
      </c>
      <c r="X60" s="201"/>
      <c r="Y60" s="201"/>
      <c r="Z60" s="400"/>
      <c r="AA60" s="400"/>
      <c r="AB60" s="242">
        <f t="shared" si="32"/>
        <v>-221</v>
      </c>
      <c r="AC60" s="243">
        <f t="shared" si="33"/>
        <v>0.85878594249201279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1914</v>
      </c>
      <c r="H61" s="15">
        <f t="shared" si="34"/>
        <v>54089.64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0">K61/J61</f>
        <v>130.41666666666666</v>
      </c>
      <c r="M61" s="188">
        <v>12</v>
      </c>
      <c r="N61" s="14">
        <f t="shared" si="35"/>
        <v>1351.0588235294126</v>
      </c>
      <c r="O61" s="17">
        <f t="shared" si="36"/>
        <v>112.58823529411772</v>
      </c>
      <c r="P61" s="18">
        <f t="shared" si="37"/>
        <v>0</v>
      </c>
      <c r="Q61" s="19">
        <f t="shared" si="38"/>
        <v>-17.828431372548934</v>
      </c>
      <c r="R61" s="193">
        <f>O61/L61</f>
        <v>0.86329637286224459</v>
      </c>
      <c r="S61" s="409"/>
      <c r="T61" s="20">
        <v>0.44791666666666669</v>
      </c>
      <c r="U61" s="20">
        <v>0.50694444444444442</v>
      </c>
      <c r="V61" s="185">
        <f t="shared" si="39"/>
        <v>15.000000000000027</v>
      </c>
      <c r="W61" s="91">
        <f t="shared" si="7"/>
        <v>84.999999999999943</v>
      </c>
      <c r="X61" s="22">
        <v>0.52083333333333337</v>
      </c>
      <c r="Y61" s="22">
        <v>0.5625</v>
      </c>
      <c r="Z61" s="400"/>
      <c r="AA61" s="400"/>
      <c r="AB61" s="51">
        <f t="shared" si="32"/>
        <v>-213.94117647058738</v>
      </c>
      <c r="AC61" s="52">
        <f t="shared" si="33"/>
        <v>0.86329637286224448</v>
      </c>
      <c r="AD61" s="392"/>
    </row>
    <row r="62" spans="1:30" ht="15" customHeight="1" x14ac:dyDescent="0.25">
      <c r="A62" s="417"/>
      <c r="B62" s="56"/>
      <c r="C62" s="23"/>
      <c r="D62" s="11"/>
      <c r="E62" s="12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7"/>
        <v>0</v>
      </c>
      <c r="X62" s="22"/>
      <c r="Y62" s="22"/>
      <c r="Z62" s="400"/>
      <c r="AA62" s="400"/>
      <c r="AB62" s="51">
        <f t="shared" si="32"/>
        <v>0</v>
      </c>
      <c r="AC62" s="52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4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4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4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4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4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1">AVERAGE(J59:J68)</f>
        <v>12.333333333333334</v>
      </c>
      <c r="K69" s="173">
        <f t="shared" si="41"/>
        <v>1565</v>
      </c>
      <c r="L69" s="178">
        <f t="shared" si="41"/>
        <v>127.07264957264958</v>
      </c>
      <c r="M69" s="173">
        <f t="shared" si="41"/>
        <v>12.333333333333334</v>
      </c>
      <c r="N69" s="173">
        <f t="shared" si="41"/>
        <v>1388.7583465818764</v>
      </c>
      <c r="O69" s="178">
        <f t="shared" si="41"/>
        <v>112.58623782153198</v>
      </c>
      <c r="P69" s="179">
        <f>M69-J69</f>
        <v>0</v>
      </c>
      <c r="Q69" s="165">
        <f>N69-K69</f>
        <v>-176.24165341812363</v>
      </c>
      <c r="R69" s="124">
        <f>O69/L69</f>
        <v>0.88599897932532312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-176.24165341812363</v>
      </c>
      <c r="AC69" s="195">
        <f>N69/K69</f>
        <v>0.88738552497244494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108"/>
      <c r="O70" s="112"/>
      <c r="P70" s="114"/>
      <c r="Q70" s="115"/>
      <c r="R70" s="192"/>
      <c r="S70" s="408">
        <f>R79</f>
        <v>0.88599897932532312</v>
      </c>
      <c r="T70" s="176"/>
      <c r="U70" s="176"/>
      <c r="V70" s="196"/>
      <c r="W70" s="110">
        <f t="shared" ref="W70:W78" si="42">(U70-T70)*24*60</f>
        <v>0</v>
      </c>
      <c r="X70" s="180"/>
      <c r="Y70" s="180"/>
      <c r="Z70" s="413"/>
      <c r="AA70" s="414"/>
      <c r="AB70" s="240"/>
      <c r="AC70" s="241"/>
      <c r="AD70" s="391">
        <f>AC79</f>
        <v>0.88738552497244494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2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2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2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43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2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3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2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3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2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3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2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3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2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44">AVERAGE(J69:J78)</f>
        <v>12.333333333333334</v>
      </c>
      <c r="K79" s="173">
        <f t="shared" si="44"/>
        <v>1565</v>
      </c>
      <c r="L79" s="178">
        <f t="shared" si="44"/>
        <v>127.07264957264958</v>
      </c>
      <c r="M79" s="173">
        <f t="shared" si="44"/>
        <v>12.333333333333334</v>
      </c>
      <c r="N79" s="173">
        <f t="shared" si="44"/>
        <v>1388.7583465818764</v>
      </c>
      <c r="O79" s="178">
        <f t="shared" si="44"/>
        <v>112.58623782153198</v>
      </c>
      <c r="P79" s="179">
        <f>M79-J79</f>
        <v>0</v>
      </c>
      <c r="Q79" s="165">
        <f>N79-K79</f>
        <v>-176.24165341812363</v>
      </c>
      <c r="R79" s="166">
        <f>O79/L79</f>
        <v>0.88599897932532312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-176.24165341812363</v>
      </c>
      <c r="AC79" s="195">
        <f>N79/K79</f>
        <v>0.88738552497244494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4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40:AA40"/>
    <mergeCell ref="Z41:AA41"/>
    <mergeCell ref="Z42:AA42"/>
    <mergeCell ref="Z43:AA43"/>
    <mergeCell ref="Z44:AA44"/>
    <mergeCell ref="Z45:AA45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</mergeCells>
  <phoneticPr fontId="2" type="noConversion"/>
  <conditionalFormatting sqref="P5:P79">
    <cfRule type="cellIs" dxfId="88" priority="1" operator="greaterThan">
      <formula>0</formula>
    </cfRule>
  </conditionalFormatting>
  <conditionalFormatting sqref="Q5:Q79 AB5:AB79">
    <cfRule type="cellIs" dxfId="87" priority="4" operator="lessThan">
      <formula>0</formula>
    </cfRule>
  </conditionalFormatting>
  <conditionalFormatting sqref="R5:R79 AC5:AC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D59:AD62 S69:S76 AD69:AD76">
    <cfRule type="cellIs" dxfId="84" priority="7" operator="lessThan">
      <formula>0.8</formula>
    </cfRule>
  </conditionalFormatting>
  <conditionalFormatting sqref="S19:S25 AD19:AD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D5:AD8 S15:S16 AD15:AD16 AD49 AD79">
    <cfRule type="cellIs" dxfId="81" priority="9" operator="lessThan">
      <formula>0.8</formula>
    </cfRule>
  </conditionalFormatting>
  <conditionalFormatting sqref="AD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EB3B85-AD6C-443C-BE41-4D737B502506}">
          <x14:formula1>
            <xm:f>廠價表!$C$2:$C$37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BA9B-F263-4A8A-BBC7-E8CCCA7B7882}">
  <sheetPr>
    <pageSetUpPr fitToPage="1"/>
  </sheetPr>
  <dimension ref="B1:O22"/>
  <sheetViews>
    <sheetView topLeftCell="B1" zoomScale="78" zoomScaleNormal="78" workbookViewId="0">
      <selection activeCell="J15" sqref="J15:J19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45954</v>
      </c>
      <c r="E3" s="383"/>
      <c r="F3" s="214" t="s">
        <v>76</v>
      </c>
      <c r="G3" s="384">
        <f>'1024'!E1</f>
        <v>41715</v>
      </c>
      <c r="H3" s="384"/>
      <c r="I3" s="214" t="s">
        <v>77</v>
      </c>
      <c r="J3" s="385">
        <f>'1024'!G1</f>
        <v>2036773.28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116.11742310884466</v>
      </c>
      <c r="G6" s="362"/>
      <c r="H6" s="363">
        <f>AVERAGE(D13:H13)</f>
        <v>113.92637781608369</v>
      </c>
      <c r="I6" s="363"/>
      <c r="J6" s="363">
        <f>AVERAGE(I13:J13)</f>
        <v>127.07264957264958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102.66388613834977</v>
      </c>
      <c r="G7" s="380"/>
      <c r="H7" s="381">
        <f>AVERAGE(D14:H14)</f>
        <v>101.85279710156522</v>
      </c>
      <c r="I7" s="381"/>
      <c r="J7" s="381">
        <f>AVERAGE(I14:J14)</f>
        <v>106.71933132227248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0.88238500111738782</v>
      </c>
      <c r="G8" s="360"/>
      <c r="H8" s="360">
        <f>AVERAGE(D15:H15)</f>
        <v>0.89089614609007162</v>
      </c>
      <c r="I8" s="360"/>
      <c r="J8" s="360">
        <f>AVERAGE(I15:J15)</f>
        <v>0.83982927625396864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VALUE('1024'!L15)</f>
        <v>147.68315018315016</v>
      </c>
      <c r="E13" s="227">
        <f>VALUE('1024'!L26)</f>
        <v>155.12820512820511</v>
      </c>
      <c r="F13" s="227">
        <f>VALUE('1024'!L37)</f>
        <v>92.250816993464056</v>
      </c>
      <c r="G13" s="227">
        <f>VALUE('1024'!L48)</f>
        <v>86.764705882352942</v>
      </c>
      <c r="H13" s="227">
        <f>VALUE('1024'!L58)</f>
        <v>87.805010893246177</v>
      </c>
      <c r="I13" s="227">
        <f>VALUE('1024'!L69)</f>
        <v>127.07264957264958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VALUE('1024'!O15)</f>
        <v>135.10916028394135</v>
      </c>
      <c r="E14" s="227">
        <f>VALUE('1024'!O26)</f>
        <v>139.42270450854477</v>
      </c>
      <c r="F14" s="227">
        <f>VALUE('1024'!O37)</f>
        <v>77.421777343405751</v>
      </c>
      <c r="G14" s="227">
        <f>VALUE('1024'!O48)</f>
        <v>73.408862174229739</v>
      </c>
      <c r="H14" s="227">
        <f>VALUE('1024'!O58)</f>
        <v>83.90148119770447</v>
      </c>
      <c r="I14" s="227">
        <f>VALUE('1024'!O69)</f>
        <v>106.71933132227248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0.91485833093609459</v>
      </c>
      <c r="E15" s="248">
        <f t="shared" ref="E15:I15" si="0">E14/E13</f>
        <v>0.89875792988979286</v>
      </c>
      <c r="F15" s="248">
        <f t="shared" si="0"/>
        <v>0.83925302633245036</v>
      </c>
      <c r="G15" s="248">
        <f t="shared" si="0"/>
        <v>0.84606824200807151</v>
      </c>
      <c r="H15" s="248">
        <f t="shared" si="0"/>
        <v>0.9555432012839491</v>
      </c>
      <c r="I15" s="248">
        <f t="shared" si="0"/>
        <v>0.83982927625396864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'1024'!T5</f>
        <v>0.2902777777777778</v>
      </c>
      <c r="E16" s="98">
        <f>'1024'!T16</f>
        <v>0.2902777777777778</v>
      </c>
      <c r="F16" s="98">
        <f>'1024'!T27</f>
        <v>0.29166666666666669</v>
      </c>
      <c r="G16" s="98">
        <f>'1024'!T38</f>
        <v>0.33263888888888887</v>
      </c>
      <c r="H16" s="98">
        <f>'1024'!T49</f>
        <v>0.29166666666666669</v>
      </c>
      <c r="I16" s="98">
        <f>'1024'!T59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0.48819444444444443</v>
      </c>
      <c r="E17" s="41">
        <v>0.6118055555555556</v>
      </c>
      <c r="F17" s="41">
        <v>0.5625</v>
      </c>
      <c r="G17" s="59">
        <v>0.49930555555555556</v>
      </c>
      <c r="H17" s="80">
        <v>0.58194444444444449</v>
      </c>
      <c r="I17" s="20">
        <v>0.5</v>
      </c>
      <c r="J17" s="20"/>
    </row>
    <row r="18" spans="2:10" ht="17.25" customHeight="1" x14ac:dyDescent="0.25">
      <c r="B18" s="481" t="s">
        <v>105</v>
      </c>
      <c r="C18" s="355"/>
      <c r="D18" s="229">
        <f>VALUE('1024'!M15)</f>
        <v>13.333333333333334</v>
      </c>
      <c r="E18" s="229">
        <f>VALUE('1024'!M26)</f>
        <v>13</v>
      </c>
      <c r="F18" s="229">
        <f>VALUE('1024'!M37)</f>
        <v>16.25</v>
      </c>
      <c r="G18" s="229">
        <f>VALUE('1024'!M48)</f>
        <v>17</v>
      </c>
      <c r="H18" s="229">
        <f>VALUE('1024'!M58)</f>
        <v>16.666666666666668</v>
      </c>
      <c r="I18" s="229">
        <f>VALUE('1024'!M69)</f>
        <v>12.333333333333334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95BE-3819-4EE2-B738-81882C26AD5C}">
  <sheetPr>
    <tabColor theme="9" tint="0.79998168889431442"/>
    <pageSetUpPr fitToPage="1"/>
  </sheetPr>
  <dimension ref="A1:AF92"/>
  <sheetViews>
    <sheetView tabSelected="1" zoomScale="69" zoomScaleNormal="69" workbookViewId="0">
      <pane xSplit="5" ySplit="4" topLeftCell="F26" activePane="bottomRight" state="frozen"/>
      <selection activeCell="U62" sqref="U62"/>
      <selection pane="topRight" activeCell="U62" sqref="U62"/>
      <selection pane="bottomLeft" activeCell="U62" sqref="U62"/>
      <selection pane="bottomRight" activeCell="F50" sqref="F50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41715</v>
      </c>
      <c r="F1" s="185" t="s">
        <v>9</v>
      </c>
      <c r="G1" s="4">
        <f>SUM(H5:H79)</f>
        <v>2036773.28</v>
      </c>
      <c r="H1" s="183" t="s">
        <v>10</v>
      </c>
      <c r="I1" s="5">
        <f>M15+M26+M48+M58+M69+M79+M37</f>
        <v>100.91666666666666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249</v>
      </c>
      <c r="B2" s="461"/>
      <c r="C2" s="184"/>
      <c r="D2" s="184" t="s">
        <v>1</v>
      </c>
      <c r="E2" s="7">
        <f>AVERAGE(O15,O26,O37,O48,O58,O69,O79)</f>
        <v>103.24323545033873</v>
      </c>
      <c r="F2" s="8" t="s">
        <v>2</v>
      </c>
      <c r="G2" s="9">
        <f>G1/E1</f>
        <v>48.825920652043628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1740</v>
      </c>
      <c r="H5" s="109">
        <f>F5*G5</f>
        <v>99545.400000000009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1831.5789473684224</v>
      </c>
      <c r="O5" s="112">
        <f>N5/M5</f>
        <v>140.89068825910942</v>
      </c>
      <c r="P5" s="114">
        <f>M5-J5</f>
        <v>0</v>
      </c>
      <c r="Q5" s="115">
        <f>O5-L5</f>
        <v>-12.955465587044415</v>
      </c>
      <c r="R5" s="192">
        <f>O5/L5</f>
        <v>0.91578947368421126</v>
      </c>
      <c r="S5" s="408">
        <f>R15</f>
        <v>0.91485833093609459</v>
      </c>
      <c r="T5" s="97">
        <v>0.2902777777777778</v>
      </c>
      <c r="U5" s="97">
        <v>0.3298611111111111</v>
      </c>
      <c r="V5" s="202"/>
      <c r="W5" s="110">
        <f t="shared" ref="W5:W14" si="0">(U5-T5)*24*60</f>
        <v>56.999999999999957</v>
      </c>
      <c r="X5" s="196"/>
      <c r="Y5" s="196"/>
      <c r="Z5" s="423"/>
      <c r="AA5" s="423"/>
      <c r="AB5" s="114">
        <f>N5-K5</f>
        <v>-168.4210526315776</v>
      </c>
      <c r="AC5" s="192">
        <f>N5/K5</f>
        <v>0.91578947368421115</v>
      </c>
      <c r="AD5" s="391">
        <f>AC15</f>
        <v>0.91277088119928274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2264</v>
      </c>
      <c r="H6" s="15">
        <f t="shared" ref="H6:H14" si="1">F6*G6</f>
        <v>129523.44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1561.3793103448274</v>
      </c>
      <c r="O6" s="17">
        <f>N6/M6</f>
        <v>111.5270935960591</v>
      </c>
      <c r="P6" s="18">
        <f>M6-J6</f>
        <v>0</v>
      </c>
      <c r="Q6" s="19">
        <f>O6-L6</f>
        <v>-23.830049261083758</v>
      </c>
      <c r="R6" s="193">
        <f>O6/L6</f>
        <v>0.82394686561732322</v>
      </c>
      <c r="S6" s="409"/>
      <c r="T6" s="98">
        <v>0.34236111111111112</v>
      </c>
      <c r="U6" s="98">
        <v>0.40277777777777779</v>
      </c>
      <c r="V6" s="185">
        <f>(T6-U5)*24*60</f>
        <v>18.000000000000014</v>
      </c>
      <c r="W6" s="190">
        <f t="shared" si="0"/>
        <v>87.000000000000014</v>
      </c>
      <c r="X6" s="22"/>
      <c r="Y6" s="22"/>
      <c r="Z6" s="446"/>
      <c r="AA6" s="446"/>
      <c r="AB6" s="18">
        <f>N6-K6</f>
        <v>-333.62068965517255</v>
      </c>
      <c r="AC6" s="193">
        <f>N6/K6</f>
        <v>0.82394686561732322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3810</v>
      </c>
      <c r="H7" s="15">
        <f t="shared" si="1"/>
        <v>187223.4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1987.8260869565222</v>
      </c>
      <c r="O7" s="17">
        <f>N7/M7</f>
        <v>152.90969899665555</v>
      </c>
      <c r="P7" s="18">
        <f>M7-J7</f>
        <v>0</v>
      </c>
      <c r="Q7" s="19">
        <f>O7-L7</f>
        <v>-0.93645484949828983</v>
      </c>
      <c r="R7" s="193">
        <f>O7/L7</f>
        <v>0.99391304347826115</v>
      </c>
      <c r="S7" s="409"/>
      <c r="T7" s="98">
        <v>0.40833333333333333</v>
      </c>
      <c r="U7" s="98">
        <v>0.48819444444444443</v>
      </c>
      <c r="V7" s="185">
        <f>(T7-U6)*24*60</f>
        <v>7.9999999999999716</v>
      </c>
      <c r="W7" s="190">
        <f t="shared" si="0"/>
        <v>114.99999999999999</v>
      </c>
      <c r="X7" s="22">
        <v>0.5</v>
      </c>
      <c r="Y7" s="22">
        <v>0.54166666666666663</v>
      </c>
      <c r="Z7" s="400"/>
      <c r="AA7" s="400"/>
      <c r="AB7" s="18">
        <f>N7-K7</f>
        <v>-12.173913043477796</v>
      </c>
      <c r="AC7" s="193">
        <f>N7/K7</f>
        <v>0.99391304347826115</v>
      </c>
      <c r="AD7" s="392"/>
    </row>
    <row r="8" spans="1:30" ht="15" customHeight="1" x14ac:dyDescent="0.25">
      <c r="A8" s="465"/>
      <c r="B8" s="56"/>
      <c r="C8" s="10"/>
      <c r="D8" s="11"/>
      <c r="E8" s="89"/>
      <c r="F8" s="56"/>
      <c r="G8" s="25"/>
      <c r="H8" s="15"/>
      <c r="I8" s="190"/>
      <c r="J8" s="16"/>
      <c r="K8" s="14"/>
      <c r="L8" s="17"/>
      <c r="M8" s="188"/>
      <c r="N8" s="14"/>
      <c r="O8" s="17"/>
      <c r="P8" s="18"/>
      <c r="Q8" s="19"/>
      <c r="R8" s="193"/>
      <c r="S8" s="409"/>
      <c r="T8" s="80"/>
      <c r="U8" s="80"/>
      <c r="V8" s="185"/>
      <c r="W8" s="190">
        <f t="shared" si="0"/>
        <v>0</v>
      </c>
      <c r="X8" s="22"/>
      <c r="Y8" s="22"/>
      <c r="Z8" s="447"/>
      <c r="AA8" s="447"/>
      <c r="AB8" s="18"/>
      <c r="AC8" s="193"/>
      <c r="AD8" s="392"/>
    </row>
    <row r="9" spans="1:30" ht="15" customHeight="1" x14ac:dyDescent="0.25">
      <c r="A9" s="466"/>
      <c r="B9" s="56"/>
      <c r="C9" s="10"/>
      <c r="D9" s="11"/>
      <c r="E9" s="89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13.333333333333334</v>
      </c>
      <c r="K15" s="121">
        <f t="shared" si="2"/>
        <v>1965</v>
      </c>
      <c r="L15" s="118">
        <f t="shared" si="2"/>
        <v>147.68315018315016</v>
      </c>
      <c r="M15" s="121">
        <f t="shared" si="2"/>
        <v>13.333333333333334</v>
      </c>
      <c r="N15" s="121">
        <f t="shared" si="2"/>
        <v>1793.5947815565905</v>
      </c>
      <c r="O15" s="118">
        <f t="shared" si="2"/>
        <v>135.10916028394135</v>
      </c>
      <c r="P15" s="122">
        <f t="shared" ref="P15:P16" si="3">M15-J15</f>
        <v>0</v>
      </c>
      <c r="Q15" s="123">
        <f t="shared" ref="Q15:Q16" si="4">O15-L15</f>
        <v>-12.573989899208811</v>
      </c>
      <c r="R15" s="124">
        <f t="shared" ref="R15:R16" si="5">O15/L15</f>
        <v>0.91485833093609459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-171.40521844340947</v>
      </c>
      <c r="AC15" s="195">
        <f>N15/K15</f>
        <v>0.91277088119928274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1324</v>
      </c>
      <c r="H16" s="128">
        <f t="shared" ref="H16:H25" si="6">F16*G16</f>
        <v>75746.040000000008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1847.4418604651194</v>
      </c>
      <c r="O16" s="131">
        <f>N16/M16</f>
        <v>142.11091234347072</v>
      </c>
      <c r="P16" s="132">
        <f t="shared" si="3"/>
        <v>0</v>
      </c>
      <c r="Q16" s="133">
        <f t="shared" si="4"/>
        <v>-11.735241502683124</v>
      </c>
      <c r="R16" s="197">
        <f t="shared" si="5"/>
        <v>0.92372093023255974</v>
      </c>
      <c r="S16" s="433">
        <f>R26</f>
        <v>0.89875792988979286</v>
      </c>
      <c r="T16" s="288">
        <v>0.2902777777777778</v>
      </c>
      <c r="U16" s="288">
        <v>0.32013888888888886</v>
      </c>
      <c r="V16" s="129"/>
      <c r="W16" s="134">
        <f t="shared" ref="W16:W68" si="7">(U16-T16)*24*60</f>
        <v>42.999999999999929</v>
      </c>
      <c r="X16" s="131"/>
      <c r="Y16" s="131"/>
      <c r="Z16" s="423"/>
      <c r="AA16" s="423"/>
      <c r="AB16" s="114">
        <f>N16-K16</f>
        <v>-152.55813953488064</v>
      </c>
      <c r="AC16" s="192">
        <f>N16/K16</f>
        <v>0.92372093023255963</v>
      </c>
      <c r="AD16" s="391">
        <f>AC26</f>
        <v>0.89898937680848812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4171</v>
      </c>
      <c r="H17" s="15">
        <f>F17*G17</f>
        <v>211344.57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1787.5714285714289</v>
      </c>
      <c r="O17" s="38">
        <f>N17/M17</f>
        <v>119.17142857142859</v>
      </c>
      <c r="P17" s="39">
        <f>M17-J17</f>
        <v>0</v>
      </c>
      <c r="Q17" s="40">
        <f>O17-L17</f>
        <v>-14.161904761904751</v>
      </c>
      <c r="R17" s="198">
        <f>O17/L17</f>
        <v>0.89378571428571441</v>
      </c>
      <c r="S17" s="434"/>
      <c r="T17" s="41">
        <v>0.32847222222222222</v>
      </c>
      <c r="U17" s="41">
        <v>0.42569444444444443</v>
      </c>
      <c r="V17" s="185">
        <f>(T17-U16)*24*60</f>
        <v>12.000000000000037</v>
      </c>
      <c r="W17" s="43">
        <f t="shared" si="7"/>
        <v>139.99999999999997</v>
      </c>
      <c r="X17" s="44"/>
      <c r="Y17" s="44"/>
      <c r="Z17" s="399"/>
      <c r="AA17" s="400"/>
      <c r="AB17" s="18">
        <f>N17-K17</f>
        <v>-212.4285714285711</v>
      </c>
      <c r="AC17" s="193">
        <f>N17/K17</f>
        <v>0.89378571428571441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1889</v>
      </c>
      <c r="H18" s="15">
        <f>F18*G18</f>
        <v>95186.71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1828.0645161290317</v>
      </c>
      <c r="O18" s="38">
        <f>N18/M18</f>
        <v>152.3387096774193</v>
      </c>
      <c r="P18" s="39">
        <f>M18-J18</f>
        <v>0</v>
      </c>
      <c r="Q18" s="40">
        <f>O18-L18</f>
        <v>-14.327956989247355</v>
      </c>
      <c r="R18" s="198">
        <f>O18/L18</f>
        <v>0.91403225806451582</v>
      </c>
      <c r="S18" s="434"/>
      <c r="T18" s="41">
        <v>0.43402777777777779</v>
      </c>
      <c r="U18" s="41">
        <v>0.47708333333333336</v>
      </c>
      <c r="V18" s="185">
        <f>(T18-U17)*24*60</f>
        <v>12.000000000000037</v>
      </c>
      <c r="W18" s="43">
        <f t="shared" si="7"/>
        <v>62.000000000000021</v>
      </c>
      <c r="X18" s="22"/>
      <c r="Y18" s="22"/>
      <c r="Z18" s="399"/>
      <c r="AA18" s="400"/>
      <c r="AB18" s="18">
        <f>N18-K18</f>
        <v>-171.93548387096826</v>
      </c>
      <c r="AC18" s="193">
        <f>N18/K18</f>
        <v>0.91403225806451582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2478</v>
      </c>
      <c r="H19" s="15">
        <f t="shared" ref="H19" si="8">F19*G19</f>
        <v>124866.42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1728.8372093023254</v>
      </c>
      <c r="O19" s="38">
        <f>N19/M19</f>
        <v>144.06976744186045</v>
      </c>
      <c r="P19" s="39">
        <f>M19-J19</f>
        <v>0</v>
      </c>
      <c r="Q19" s="40">
        <f>O19-L19</f>
        <v>-22.596899224806208</v>
      </c>
      <c r="R19" s="198">
        <f>O19/L19</f>
        <v>0.86441860465116271</v>
      </c>
      <c r="S19" s="434"/>
      <c r="T19" s="41">
        <v>0.55208333333333337</v>
      </c>
      <c r="U19" s="41">
        <v>0.6118055555555556</v>
      </c>
      <c r="V19" s="185">
        <f>(T19-U18)*24*60</f>
        <v>108.00000000000001</v>
      </c>
      <c r="W19" s="43">
        <f t="shared" si="7"/>
        <v>86.000000000000014</v>
      </c>
      <c r="X19" s="22">
        <v>0.5</v>
      </c>
      <c r="Y19" s="22">
        <v>0.54166666666666663</v>
      </c>
      <c r="Z19" s="398"/>
      <c r="AA19" s="399"/>
      <c r="AB19" s="18">
        <f>N19-K19</f>
        <v>-271.16279069767461</v>
      </c>
      <c r="AC19" s="193">
        <f>N19/K19</f>
        <v>0.86441860465116271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1797.9787536169763</v>
      </c>
      <c r="O26" s="140">
        <f t="shared" si="10"/>
        <v>139.42270450854477</v>
      </c>
      <c r="P26" s="141">
        <f t="shared" ref="P26:P29" si="11">M26-J26</f>
        <v>0</v>
      </c>
      <c r="Q26" s="142">
        <f t="shared" ref="Q26:Q29" si="12">O26-L26</f>
        <v>-15.705500619660341</v>
      </c>
      <c r="R26" s="143">
        <f t="shared" ref="R26:R29" si="13">O26/L26</f>
        <v>0.89875792988979286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-202.02124638302371</v>
      </c>
      <c r="AC26" s="195">
        <f>N26/K26</f>
        <v>0.89898937680848812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2366</v>
      </c>
      <c r="H27" s="128">
        <f t="shared" ref="H27:H36" si="14">F27*G27</f>
        <v>130437.58</v>
      </c>
      <c r="I27" s="129"/>
      <c r="J27" s="111">
        <f>VLOOKUP(D27,產線配置圖!$A$2:$C$38,2,0)</f>
        <v>18</v>
      </c>
      <c r="K27" s="252">
        <f>VLOOKUP(D27,產線配置圖!$A$2:$C$38,3,0)</f>
        <v>1385</v>
      </c>
      <c r="L27" s="112">
        <f>K27/J27</f>
        <v>76.944444444444443</v>
      </c>
      <c r="M27" s="147">
        <v>17</v>
      </c>
      <c r="N27" s="130">
        <f>G27/W27*60</f>
        <v>1092.0000000000005</v>
      </c>
      <c r="O27" s="131">
        <f>N27/M27</f>
        <v>64.235294117647086</v>
      </c>
      <c r="P27" s="132">
        <f t="shared" si="11"/>
        <v>-1</v>
      </c>
      <c r="Q27" s="133">
        <f t="shared" si="12"/>
        <v>-12.709150326797356</v>
      </c>
      <c r="R27" s="197">
        <f>O27/L27</f>
        <v>0.83482692716075635</v>
      </c>
      <c r="S27" s="433">
        <f>R37</f>
        <v>0.83925302633245036</v>
      </c>
      <c r="T27" s="97">
        <v>0.29166666666666669</v>
      </c>
      <c r="U27" s="97">
        <v>0.38194444444444442</v>
      </c>
      <c r="V27" s="129"/>
      <c r="W27" s="134">
        <f t="shared" si="7"/>
        <v>129.99999999999994</v>
      </c>
      <c r="X27" s="129"/>
      <c r="Y27" s="129" t="s">
        <v>158</v>
      </c>
      <c r="Z27" s="414"/>
      <c r="AA27" s="423"/>
      <c r="AB27" s="114">
        <f>N27-K27</f>
        <v>-292.99999999999955</v>
      </c>
      <c r="AC27" s="148">
        <f>N27/K27</f>
        <v>0.78844765342960321</v>
      </c>
      <c r="AD27" s="391">
        <f>AC37</f>
        <v>0.81544979515235316</v>
      </c>
    </row>
    <row r="28" spans="1:30" ht="15" customHeight="1" x14ac:dyDescent="0.25">
      <c r="A28" s="431"/>
      <c r="B28" s="56" t="str">
        <f>VLOOKUP(D28,廠價表!$C$1:$E$39,2,0)</f>
        <v>熱乾麵</v>
      </c>
      <c r="C28" s="10"/>
      <c r="D28" s="11" t="s">
        <v>154</v>
      </c>
      <c r="E28" s="89"/>
      <c r="F28" s="56">
        <f>VLOOKUP(D28,廠價表!$C$1:$E$39,3,0)</f>
        <v>49.91</v>
      </c>
      <c r="G28" s="53">
        <v>903</v>
      </c>
      <c r="H28" s="50">
        <f t="shared" si="14"/>
        <v>45068.729999999996</v>
      </c>
      <c r="I28" s="42"/>
      <c r="J28" s="16">
        <f>VLOOKUP(D28,產線配置圖!$A$2:$C$38,2,0)</f>
        <v>17</v>
      </c>
      <c r="K28" s="14">
        <f>VLOOKUP(D28,產線配置圖!$A$2:$C$38,3,0)</f>
        <v>1565</v>
      </c>
      <c r="L28" s="251">
        <f>K28/J28</f>
        <v>92.058823529411768</v>
      </c>
      <c r="M28" s="21">
        <v>17</v>
      </c>
      <c r="N28" s="36">
        <f>G28/W28*60</f>
        <v>1321.4634146341459</v>
      </c>
      <c r="O28" s="38">
        <f>N28/M28</f>
        <v>77.733142037302699</v>
      </c>
      <c r="P28" s="39">
        <f t="shared" si="11"/>
        <v>0</v>
      </c>
      <c r="Q28" s="40">
        <f t="shared" si="12"/>
        <v>-14.325681492109069</v>
      </c>
      <c r="R28" s="198">
        <f t="shared" si="13"/>
        <v>0.84438556845632318</v>
      </c>
      <c r="S28" s="434"/>
      <c r="T28" s="291">
        <v>0.3888888888888889</v>
      </c>
      <c r="U28" s="291">
        <v>0.41736111111111113</v>
      </c>
      <c r="V28" s="42">
        <f>(T28-U27)*24*60</f>
        <v>10.000000000000044</v>
      </c>
      <c r="W28" s="43">
        <f t="shared" si="7"/>
        <v>41.000000000000014</v>
      </c>
      <c r="X28" s="54"/>
      <c r="Y28" s="54"/>
      <c r="Z28" s="399"/>
      <c r="AA28" s="400"/>
      <c r="AB28" s="34">
        <f>N28-K28</f>
        <v>-243.53658536585408</v>
      </c>
      <c r="AC28" s="194">
        <f>N28/K28</f>
        <v>0.84438556845632329</v>
      </c>
      <c r="AD28" s="392"/>
    </row>
    <row r="29" spans="1:30" ht="15" customHeight="1" x14ac:dyDescent="0.25">
      <c r="A29" s="431"/>
      <c r="B29" s="56" t="str">
        <f>VLOOKUP(D29,廠價表!$C$1:$E$39,2,0)</f>
        <v>義大利麵</v>
      </c>
      <c r="C29" s="10"/>
      <c r="D29" s="11" t="s">
        <v>222</v>
      </c>
      <c r="E29" s="89"/>
      <c r="F29" s="56">
        <f>VLOOKUP(D29,廠價表!$C$1:$E$39,3,0)</f>
        <v>50.67</v>
      </c>
      <c r="G29" s="256">
        <v>1258</v>
      </c>
      <c r="H29" s="50">
        <f t="shared" si="14"/>
        <v>63742.86</v>
      </c>
      <c r="I29" s="42"/>
      <c r="J29" s="16">
        <v>16</v>
      </c>
      <c r="K29" s="14">
        <v>1600</v>
      </c>
      <c r="L29" s="251">
        <f>K29/J29</f>
        <v>100</v>
      </c>
      <c r="M29" s="21">
        <v>16</v>
      </c>
      <c r="N29" s="36">
        <f>G29/W29*60</f>
        <v>1372.3636363636374</v>
      </c>
      <c r="O29" s="38">
        <f>N29/M29</f>
        <v>85.772727272727337</v>
      </c>
      <c r="P29" s="39">
        <f t="shared" si="11"/>
        <v>0</v>
      </c>
      <c r="Q29" s="40">
        <f t="shared" si="12"/>
        <v>-14.227272727272663</v>
      </c>
      <c r="R29" s="198">
        <f t="shared" si="13"/>
        <v>0.85772727272727334</v>
      </c>
      <c r="S29" s="434"/>
      <c r="T29" s="41">
        <v>0.43402777777777779</v>
      </c>
      <c r="U29" s="41">
        <v>0.47222222222222221</v>
      </c>
      <c r="V29" s="42">
        <f>(T29-U28)*24*60</f>
        <v>23.999999999999993</v>
      </c>
      <c r="W29" s="43">
        <f t="shared" si="7"/>
        <v>54.999999999999964</v>
      </c>
      <c r="X29" s="54">
        <v>0.47916666666666669</v>
      </c>
      <c r="Y29" s="54">
        <v>0.52083333333333337</v>
      </c>
      <c r="Z29" s="399" t="s">
        <v>250</v>
      </c>
      <c r="AA29" s="398"/>
      <c r="AB29" s="275">
        <f t="shared" ref="AB29" si="15">N29-K29</f>
        <v>-227.6363636363626</v>
      </c>
      <c r="AC29" s="276">
        <f t="shared" ref="AC29" si="16">N29/K29</f>
        <v>0.85772727272727334</v>
      </c>
      <c r="AD29" s="393"/>
    </row>
    <row r="30" spans="1:30" ht="15" customHeight="1" x14ac:dyDescent="0.25">
      <c r="A30" s="431"/>
      <c r="B30" s="56" t="str">
        <f>VLOOKUP(D30,廠價表!$C$1:$E$39,2,0)</f>
        <v>義大利麵</v>
      </c>
      <c r="C30" s="10"/>
      <c r="D30" s="11" t="s">
        <v>222</v>
      </c>
      <c r="E30" s="89"/>
      <c r="F30" s="56">
        <f>VLOOKUP(D30,廠價表!$C$1:$E$39,3,0)</f>
        <v>50.67</v>
      </c>
      <c r="G30" s="256">
        <v>758</v>
      </c>
      <c r="H30" s="50">
        <f t="shared" ref="H30" si="17">F30*G30</f>
        <v>38407.86</v>
      </c>
      <c r="I30" s="42"/>
      <c r="J30" s="16">
        <v>16</v>
      </c>
      <c r="K30" s="14">
        <v>1600</v>
      </c>
      <c r="L30" s="251">
        <f>K30/J30</f>
        <v>100</v>
      </c>
      <c r="M30" s="21">
        <v>15</v>
      </c>
      <c r="N30" s="36">
        <f>G30/W30*60</f>
        <v>1229.1891891891883</v>
      </c>
      <c r="O30" s="38">
        <f>N30/M30</f>
        <v>81.94594594594588</v>
      </c>
      <c r="P30" s="39">
        <f t="shared" ref="P30" si="18">M30-J30</f>
        <v>-1</v>
      </c>
      <c r="Q30" s="40">
        <f t="shared" ref="Q30" si="19">O30-L30</f>
        <v>-18.05405405405412</v>
      </c>
      <c r="R30" s="198">
        <f t="shared" ref="R30" si="20">O30/L30</f>
        <v>0.81945945945945875</v>
      </c>
      <c r="S30" s="434"/>
      <c r="T30" s="41">
        <v>0.53680555555555554</v>
      </c>
      <c r="U30" s="41">
        <v>0.5625</v>
      </c>
      <c r="V30" s="42">
        <f>(T30-U29)*24*60</f>
        <v>92.999999999999986</v>
      </c>
      <c r="W30" s="43">
        <f t="shared" si="7"/>
        <v>37.000000000000028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21">AVERAGE(J27:J36)</f>
        <v>16.75</v>
      </c>
      <c r="K37" s="314">
        <f t="shared" si="21"/>
        <v>1537.5</v>
      </c>
      <c r="L37" s="315">
        <f t="shared" si="21"/>
        <v>92.250816993464056</v>
      </c>
      <c r="M37" s="314">
        <f t="shared" si="21"/>
        <v>16.25</v>
      </c>
      <c r="N37" s="314">
        <f t="shared" si="21"/>
        <v>1253.754060046743</v>
      </c>
      <c r="O37" s="315">
        <f t="shared" si="21"/>
        <v>77.421777343405751</v>
      </c>
      <c r="P37" s="74">
        <f>M37-J37</f>
        <v>-0.5</v>
      </c>
      <c r="Q37" s="75">
        <f>N37-K37</f>
        <v>-283.74593995325699</v>
      </c>
      <c r="R37" s="316">
        <f t="shared" ref="R37:R38" si="22">O37/L37</f>
        <v>0.83925302633245036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39" si="23">N37-K37</f>
        <v>-283.74593995325699</v>
      </c>
      <c r="AC37" s="195">
        <f t="shared" ref="AC37:AC39" si="24">N37/K37</f>
        <v>0.81544979515235316</v>
      </c>
      <c r="AD37" s="396"/>
    </row>
    <row r="38" spans="1:30" s="63" customFormat="1" ht="15" customHeight="1" thickBot="1" x14ac:dyDescent="0.3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1594</v>
      </c>
      <c r="H38" s="64">
        <f>F38*G38</f>
        <v>79556.539999999994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17</v>
      </c>
      <c r="N38" s="130">
        <f>G38/W38*60</f>
        <v>1347.0422535211269</v>
      </c>
      <c r="O38" s="131">
        <f>N38/M38</f>
        <v>79.237779618889817</v>
      </c>
      <c r="P38" s="132">
        <f t="shared" ref="P38" si="25">M38-J38</f>
        <v>0</v>
      </c>
      <c r="Q38" s="133">
        <f t="shared" ref="Q38" si="26">O38-L38</f>
        <v>-12.821043910521951</v>
      </c>
      <c r="R38" s="197">
        <f t="shared" si="22"/>
        <v>0.86072987445439419</v>
      </c>
      <c r="S38" s="493">
        <f>R48</f>
        <v>0.84606824200807151</v>
      </c>
      <c r="T38" s="157">
        <v>0.33263888888888887</v>
      </c>
      <c r="U38" s="157">
        <v>0.38194444444444442</v>
      </c>
      <c r="V38" s="153"/>
      <c r="W38" s="158">
        <f t="shared" si="7"/>
        <v>70.999999999999986</v>
      </c>
      <c r="X38" s="155"/>
      <c r="Y38" s="159"/>
      <c r="Z38" s="428"/>
      <c r="AA38" s="475"/>
      <c r="AB38" s="319">
        <f t="shared" si="23"/>
        <v>-217.9577464788731</v>
      </c>
      <c r="AC38" s="161">
        <f t="shared" si="24"/>
        <v>0.86072987445439419</v>
      </c>
      <c r="AD38" s="388">
        <f>AC48</f>
        <v>0.84606824200807162</v>
      </c>
    </row>
    <row r="39" spans="1:30" s="63" customFormat="1" ht="15" customHeight="1" thickBot="1" x14ac:dyDescent="0.3">
      <c r="A39" s="425"/>
      <c r="B39" s="56" t="str">
        <f>VLOOKUP(D39,廠價表!$C$1:$E$39,2,0)</f>
        <v>義大利麵</v>
      </c>
      <c r="C39" s="306"/>
      <c r="D39" s="308" t="s">
        <v>223</v>
      </c>
      <c r="E39" s="307"/>
      <c r="F39" s="56">
        <f>VLOOKUP(D39,廠價表!$C$1:$E$39,3,0)</f>
        <v>57.3</v>
      </c>
      <c r="G39" s="305">
        <v>2853</v>
      </c>
      <c r="H39" s="64">
        <f>F39*G39</f>
        <v>163476.9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>K39/J39</f>
        <v>81.470588235294116</v>
      </c>
      <c r="M39" s="66">
        <v>17</v>
      </c>
      <c r="N39" s="67">
        <f>G39/W39*60</f>
        <v>1148.8590604026845</v>
      </c>
      <c r="O39" s="68">
        <f>N39/M39</f>
        <v>67.579944729569675</v>
      </c>
      <c r="P39" s="39">
        <f>M39-J39</f>
        <v>0</v>
      </c>
      <c r="Q39" s="40">
        <f>O39-L39</f>
        <v>-13.890643505724441</v>
      </c>
      <c r="R39" s="198">
        <f>O39/L39</f>
        <v>0.82950112664453757</v>
      </c>
      <c r="S39" s="494"/>
      <c r="T39" s="59">
        <v>0.39583333333333331</v>
      </c>
      <c r="U39" s="59">
        <v>0.49930555555555556</v>
      </c>
      <c r="V39" s="42">
        <f t="shared" ref="V39" si="27">(T39-U38)*24*60</f>
        <v>20.000000000000007</v>
      </c>
      <c r="W39" s="70">
        <f t="shared" si="7"/>
        <v>149.00000000000003</v>
      </c>
      <c r="X39" s="22"/>
      <c r="Y39" s="22"/>
      <c r="Z39" s="503"/>
      <c r="AA39" s="504"/>
      <c r="AB39" s="319">
        <f t="shared" si="23"/>
        <v>-236.14093959731554</v>
      </c>
      <c r="AC39" s="161">
        <f t="shared" si="24"/>
        <v>0.82950112664453757</v>
      </c>
      <c r="AD39" s="389"/>
    </row>
    <row r="40" spans="1:30" s="63" customFormat="1" ht="15" customHeight="1" x14ac:dyDescent="0.25">
      <c r="A40" s="425"/>
      <c r="B40" s="56"/>
      <c r="C40" s="298"/>
      <c r="D40" s="308"/>
      <c r="E40" s="261"/>
      <c r="F40" s="56"/>
      <c r="G40" s="305"/>
      <c r="H40" s="64"/>
      <c r="I40" s="65"/>
      <c r="J40" s="37"/>
      <c r="K40" s="36"/>
      <c r="L40" s="38"/>
      <c r="M40" s="66"/>
      <c r="N40" s="67"/>
      <c r="O40" s="68"/>
      <c r="P40" s="39"/>
      <c r="Q40" s="40"/>
      <c r="R40" s="198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476"/>
      <c r="AB40" s="319"/>
      <c r="AC40" s="161"/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8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8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8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9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8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9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8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9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8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9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0">AVERAGE(J38:J47)</f>
        <v>17</v>
      </c>
      <c r="K48" s="137">
        <f t="shared" si="30"/>
        <v>1475</v>
      </c>
      <c r="L48" s="140">
        <f t="shared" si="30"/>
        <v>86.764705882352942</v>
      </c>
      <c r="M48" s="137">
        <f t="shared" si="30"/>
        <v>17</v>
      </c>
      <c r="N48" s="137">
        <f t="shared" si="30"/>
        <v>1247.9506569619057</v>
      </c>
      <c r="O48" s="140">
        <f t="shared" si="30"/>
        <v>73.408862174229739</v>
      </c>
      <c r="P48" s="164">
        <f>M48-J48</f>
        <v>0</v>
      </c>
      <c r="Q48" s="165">
        <f>N48-K48</f>
        <v>-227.04934303809432</v>
      </c>
      <c r="R48" s="166">
        <f>O48/L48</f>
        <v>0.84606824200807151</v>
      </c>
      <c r="S48" s="412"/>
      <c r="T48" s="167"/>
      <c r="U48" s="167"/>
      <c r="V48" s="204"/>
      <c r="W48" s="168">
        <f t="shared" si="29"/>
        <v>0</v>
      </c>
      <c r="X48" s="169"/>
      <c r="Y48" s="169"/>
      <c r="Z48" s="401"/>
      <c r="AA48" s="401"/>
      <c r="AB48" s="170">
        <f>N48-K48</f>
        <v>-227.04934303809432</v>
      </c>
      <c r="AC48" s="199">
        <f>N48/K48</f>
        <v>0.84606824200807162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4624</v>
      </c>
      <c r="H49" s="128">
        <f t="shared" ref="H49:H57" si="31">F49*G49</f>
        <v>231061.28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1516.0655737704917</v>
      </c>
      <c r="O49" s="131">
        <f>N49/M49</f>
        <v>84.225865209471763</v>
      </c>
      <c r="P49" s="171">
        <f>M49-J49</f>
        <v>0</v>
      </c>
      <c r="Q49" s="115">
        <f>O49-L49</f>
        <v>-2.7185792349726796</v>
      </c>
      <c r="R49" s="192">
        <f>O49/L49</f>
        <v>0.96873199601948357</v>
      </c>
      <c r="S49" s="408">
        <f>R58</f>
        <v>0.9555432012839491</v>
      </c>
      <c r="T49" s="157">
        <v>0.29166666666666669</v>
      </c>
      <c r="U49" s="157">
        <v>0.41875000000000001</v>
      </c>
      <c r="V49" s="196"/>
      <c r="W49" s="158">
        <f t="shared" si="7"/>
        <v>183</v>
      </c>
      <c r="X49" s="196"/>
      <c r="Y49" s="196"/>
      <c r="Z49" s="423"/>
      <c r="AA49" s="423"/>
      <c r="AB49" s="114">
        <f>N49-K49</f>
        <v>-48.93442622950829</v>
      </c>
      <c r="AC49" s="192">
        <f>N49/K49</f>
        <v>0.96873199601948357</v>
      </c>
      <c r="AD49" s="391">
        <f>AC58</f>
        <v>0.91910686263061503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1431</v>
      </c>
      <c r="H50" s="77">
        <f t="shared" si="31"/>
        <v>81380.97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16</v>
      </c>
      <c r="N50" s="78">
        <f>G50/W50*60</f>
        <v>1320.9230769230767</v>
      </c>
      <c r="O50" s="79">
        <f>N50/M50</f>
        <v>82.557692307692292</v>
      </c>
      <c r="P50" s="18">
        <f>M50-J50</f>
        <v>-1</v>
      </c>
      <c r="Q50" s="19">
        <f>O50-L50</f>
        <v>-5.6776018099547656</v>
      </c>
      <c r="R50" s="193">
        <f>O50/L50</f>
        <v>0.93565384615384595</v>
      </c>
      <c r="S50" s="409"/>
      <c r="T50" s="80">
        <v>0.4236111111111111</v>
      </c>
      <c r="U50" s="80">
        <v>0.46875</v>
      </c>
      <c r="V50" s="185">
        <f t="shared" ref="V50:V51" si="32">(T50-U49)*24*60</f>
        <v>6.9999999999999751</v>
      </c>
      <c r="W50" s="81">
        <f t="shared" si="7"/>
        <v>65.000000000000014</v>
      </c>
      <c r="X50" s="22">
        <v>0.47569444444444442</v>
      </c>
      <c r="Y50" s="22">
        <v>0.51736111111111116</v>
      </c>
      <c r="Z50" s="398"/>
      <c r="AA50" s="399"/>
      <c r="AB50" s="18">
        <f>N50-K50</f>
        <v>-179.07692307692332</v>
      </c>
      <c r="AC50" s="193">
        <f>N50/K50</f>
        <v>0.88061538461538447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1789</v>
      </c>
      <c r="H51" s="77">
        <f t="shared" ref="H51" si="33">F51*G51</f>
        <v>101740.43</v>
      </c>
      <c r="I51" s="201"/>
      <c r="J51" s="16">
        <f>VLOOKUP(D51,產線配置圖!$A$2:$C$38,2,0)</f>
        <v>17</v>
      </c>
      <c r="K51" s="14">
        <f>VLOOKUP(D51,產線配置圖!$A$2:$C$38,3,0)</f>
        <v>1500</v>
      </c>
      <c r="L51" s="17">
        <f>K51/J51</f>
        <v>88.235294117647058</v>
      </c>
      <c r="M51" s="182">
        <v>16</v>
      </c>
      <c r="N51" s="78">
        <f>G51/W51*60</f>
        <v>1358.7341772151892</v>
      </c>
      <c r="O51" s="79">
        <f>N51/M51</f>
        <v>84.920886075949326</v>
      </c>
      <c r="P51" s="18">
        <f>M51-J51</f>
        <v>-1</v>
      </c>
      <c r="Q51" s="19">
        <f>O51-L51</f>
        <v>-3.3144080416977317</v>
      </c>
      <c r="R51" s="193">
        <f>O51/L51</f>
        <v>0.96243670886075905</v>
      </c>
      <c r="S51" s="409"/>
      <c r="T51" s="80">
        <v>0.52708333333333335</v>
      </c>
      <c r="U51" s="44">
        <v>0.58194444444444449</v>
      </c>
      <c r="V51" s="185">
        <f t="shared" si="32"/>
        <v>84.000000000000028</v>
      </c>
      <c r="W51" s="81">
        <f t="shared" si="7"/>
        <v>79.000000000000043</v>
      </c>
      <c r="X51" s="22"/>
      <c r="Y51" s="22"/>
      <c r="Z51" s="400"/>
      <c r="AA51" s="400"/>
      <c r="AB51" s="18">
        <f>N51-K51</f>
        <v>-141.26582278481078</v>
      </c>
      <c r="AC51" s="193">
        <f>N51/K51</f>
        <v>0.90582278481012612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31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1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1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1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1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4">AVERAGE(J49:J57)</f>
        <v>17.333333333333332</v>
      </c>
      <c r="K58" s="121">
        <f t="shared" si="34"/>
        <v>1521.6666666666667</v>
      </c>
      <c r="L58" s="118">
        <f t="shared" si="34"/>
        <v>87.805010893246177</v>
      </c>
      <c r="M58" s="121">
        <f t="shared" si="34"/>
        <v>16.666666666666668</v>
      </c>
      <c r="N58" s="121">
        <f t="shared" si="34"/>
        <v>1398.5742759695859</v>
      </c>
      <c r="O58" s="118">
        <f t="shared" si="34"/>
        <v>83.90148119770447</v>
      </c>
      <c r="P58" s="122">
        <f>M58-J58</f>
        <v>-0.6666666666666643</v>
      </c>
      <c r="Q58" s="123">
        <f>N58-K58</f>
        <v>-123.09239069708087</v>
      </c>
      <c r="R58" s="124">
        <f t="shared" ref="R58:R60" si="35">O58/L58</f>
        <v>0.9555432012839491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6">N58-K58</f>
        <v>-123.09239069708087</v>
      </c>
      <c r="AC58" s="195">
        <f t="shared" ref="AC58:AC61" si="37">N58/K58</f>
        <v>0.91910686263061503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3462</v>
      </c>
      <c r="H59" s="109">
        <f t="shared" ref="H59:H68" si="38">F59*G59</f>
        <v>93439.37999999999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39">G59/W59*60</f>
        <v>1538.6666666666667</v>
      </c>
      <c r="O59" s="112">
        <f t="shared" ref="O59:O61" si="40">N59/M59</f>
        <v>118.35897435897436</v>
      </c>
      <c r="P59" s="114">
        <f t="shared" ref="P59:P61" si="41">M59-J59</f>
        <v>0</v>
      </c>
      <c r="Q59" s="115">
        <f t="shared" ref="Q59:Q61" si="42">O59-L59</f>
        <v>-2.025641025641022</v>
      </c>
      <c r="R59" s="192">
        <f t="shared" si="35"/>
        <v>0.98317358892438766</v>
      </c>
      <c r="S59" s="408">
        <f>R69</f>
        <v>0.83982927625396864</v>
      </c>
      <c r="T59" s="176">
        <v>0.29166666666666669</v>
      </c>
      <c r="U59" s="176">
        <v>0.38541666666666669</v>
      </c>
      <c r="V59" s="196"/>
      <c r="W59" s="110">
        <f t="shared" si="7"/>
        <v>135</v>
      </c>
      <c r="X59" s="196"/>
      <c r="Y59" s="196"/>
      <c r="Z59" s="400"/>
      <c r="AA59" s="400"/>
      <c r="AB59" s="240">
        <f t="shared" si="36"/>
        <v>-26.333333333333258</v>
      </c>
      <c r="AC59" s="241">
        <f t="shared" si="37"/>
        <v>0.98317358892438766</v>
      </c>
      <c r="AD59" s="391">
        <f>AC69</f>
        <v>0.84350477145064606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1031</v>
      </c>
      <c r="H60" s="15">
        <f t="shared" si="38"/>
        <v>29352.57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9"/>
        <v>1030.9999999999995</v>
      </c>
      <c r="O60" s="17">
        <f t="shared" si="40"/>
        <v>85.916666666666629</v>
      </c>
      <c r="P60" s="18">
        <f t="shared" si="41"/>
        <v>0</v>
      </c>
      <c r="Q60" s="19">
        <f t="shared" si="42"/>
        <v>-44.500000000000028</v>
      </c>
      <c r="R60" s="193">
        <f t="shared" si="35"/>
        <v>0.6587859424920125</v>
      </c>
      <c r="S60" s="419"/>
      <c r="T60" s="206">
        <v>0.3923611111111111</v>
      </c>
      <c r="U60" s="206">
        <v>0.43402777777777779</v>
      </c>
      <c r="V60" s="185">
        <f t="shared" ref="V60:V61" si="43">(T60-U59)*24*60</f>
        <v>9.9999999999999645</v>
      </c>
      <c r="W60" s="93">
        <f t="shared" si="7"/>
        <v>60.000000000000028</v>
      </c>
      <c r="X60" s="201"/>
      <c r="Y60" s="201"/>
      <c r="Z60" s="400" t="s">
        <v>251</v>
      </c>
      <c r="AA60" s="400"/>
      <c r="AB60" s="242">
        <f t="shared" si="36"/>
        <v>-534.00000000000045</v>
      </c>
      <c r="AC60" s="243">
        <f t="shared" si="37"/>
        <v>0.6587859424920125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1970</v>
      </c>
      <c r="H61" s="15">
        <f t="shared" si="38"/>
        <v>55672.200000000004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44">K61/J61</f>
        <v>130.41666666666666</v>
      </c>
      <c r="M61" s="188">
        <v>12</v>
      </c>
      <c r="N61" s="14">
        <f t="shared" si="39"/>
        <v>1390.5882352941173</v>
      </c>
      <c r="O61" s="17">
        <f t="shared" si="40"/>
        <v>115.88235294117645</v>
      </c>
      <c r="P61" s="18">
        <f t="shared" si="41"/>
        <v>0</v>
      </c>
      <c r="Q61" s="19">
        <f t="shared" si="42"/>
        <v>-14.534313725490208</v>
      </c>
      <c r="R61" s="193">
        <f>O61/L61</f>
        <v>0.88855478293553836</v>
      </c>
      <c r="S61" s="409"/>
      <c r="T61" s="20">
        <v>0.44097222222222221</v>
      </c>
      <c r="U61" s="20">
        <v>0.5</v>
      </c>
      <c r="V61" s="185">
        <f t="shared" si="43"/>
        <v>9.9999999999999645</v>
      </c>
      <c r="W61" s="91">
        <f t="shared" si="7"/>
        <v>85.000000000000014</v>
      </c>
      <c r="X61" s="22"/>
      <c r="Y61" s="22"/>
      <c r="Z61" s="400"/>
      <c r="AA61" s="400"/>
      <c r="AB61" s="51">
        <f t="shared" si="36"/>
        <v>-174.41176470588266</v>
      </c>
      <c r="AC61" s="52">
        <f t="shared" si="37"/>
        <v>0.88855478293553825</v>
      </c>
      <c r="AD61" s="392"/>
    </row>
    <row r="62" spans="1:30" ht="15" customHeight="1" x14ac:dyDescent="0.25">
      <c r="A62" s="417"/>
      <c r="B62" s="56"/>
      <c r="C62" s="23"/>
      <c r="D62" s="11"/>
      <c r="E62" s="12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7"/>
        <v>0</v>
      </c>
      <c r="X62" s="22"/>
      <c r="Y62" s="22"/>
      <c r="Z62" s="400"/>
      <c r="AA62" s="400"/>
      <c r="AB62" s="51"/>
      <c r="AC62" s="52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8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8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8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8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8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5">AVERAGE(J59:J68)</f>
        <v>12.333333333333334</v>
      </c>
      <c r="K69" s="173">
        <f t="shared" si="45"/>
        <v>1565</v>
      </c>
      <c r="L69" s="178">
        <f t="shared" si="45"/>
        <v>127.07264957264958</v>
      </c>
      <c r="M69" s="173">
        <f t="shared" si="45"/>
        <v>12.333333333333334</v>
      </c>
      <c r="N69" s="173">
        <f t="shared" si="45"/>
        <v>1320.0849673202611</v>
      </c>
      <c r="O69" s="178">
        <f t="shared" si="45"/>
        <v>106.71933132227248</v>
      </c>
      <c r="P69" s="179">
        <f>M69-J69</f>
        <v>0</v>
      </c>
      <c r="Q69" s="165">
        <f>N69-K69</f>
        <v>-244.91503267973894</v>
      </c>
      <c r="R69" s="124">
        <f>O69/L69</f>
        <v>0.83982927625396864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-244.91503267973894</v>
      </c>
      <c r="AC69" s="195">
        <f>N69/K69</f>
        <v>0.84350477145064606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108"/>
      <c r="O70" s="112"/>
      <c r="P70" s="114"/>
      <c r="Q70" s="115"/>
      <c r="R70" s="192"/>
      <c r="S70" s="408">
        <f>R79</f>
        <v>0.83982927625396864</v>
      </c>
      <c r="T70" s="176"/>
      <c r="U70" s="176"/>
      <c r="V70" s="196"/>
      <c r="W70" s="110">
        <f t="shared" ref="W70:W78" si="46">(U70-T70)*24*60</f>
        <v>0</v>
      </c>
      <c r="X70" s="180"/>
      <c r="Y70" s="180"/>
      <c r="Z70" s="413"/>
      <c r="AA70" s="414"/>
      <c r="AB70" s="240"/>
      <c r="AC70" s="241"/>
      <c r="AD70" s="391">
        <f>AC79</f>
        <v>0.84350477145064606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6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6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6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47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6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7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6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7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6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7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6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7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6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48">AVERAGE(J69:J78)</f>
        <v>12.333333333333334</v>
      </c>
      <c r="K79" s="173">
        <f t="shared" si="48"/>
        <v>1565</v>
      </c>
      <c r="L79" s="178">
        <f t="shared" si="48"/>
        <v>127.07264957264958</v>
      </c>
      <c r="M79" s="173">
        <f t="shared" si="48"/>
        <v>12.333333333333334</v>
      </c>
      <c r="N79" s="173">
        <f t="shared" si="48"/>
        <v>1320.0849673202611</v>
      </c>
      <c r="O79" s="178">
        <f t="shared" si="48"/>
        <v>106.71933132227248</v>
      </c>
      <c r="P79" s="179">
        <f>M79-J79</f>
        <v>0</v>
      </c>
      <c r="Q79" s="165">
        <f>N79-K79</f>
        <v>-244.91503267973894</v>
      </c>
      <c r="R79" s="166">
        <f>O79/L79</f>
        <v>0.83982927625396864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-244.91503267973894</v>
      </c>
      <c r="AC79" s="195">
        <f>N79/K79</f>
        <v>0.84350477145064606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40:AA40"/>
    <mergeCell ref="Z41:AA41"/>
    <mergeCell ref="Z42:AA42"/>
    <mergeCell ref="Z43:AA43"/>
    <mergeCell ref="Z44:AA44"/>
    <mergeCell ref="Z45:AA45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Z39:AA3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Z68:AA68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AD59:AD69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</mergeCells>
  <phoneticPr fontId="2" type="noConversion"/>
  <conditionalFormatting sqref="P5:P79">
    <cfRule type="cellIs" dxfId="78" priority="1" operator="greaterThan">
      <formula>0</formula>
    </cfRule>
  </conditionalFormatting>
  <conditionalFormatting sqref="Q5:Q79 AB5:AB79">
    <cfRule type="cellIs" dxfId="77" priority="4" operator="lessThan">
      <formula>0</formula>
    </cfRule>
  </conditionalFormatting>
  <conditionalFormatting sqref="R5:R79 AC5:AC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D59:AD62 S69:S76 AD69:AD76">
    <cfRule type="cellIs" dxfId="74" priority="7" operator="lessThan">
      <formula>0.8</formula>
    </cfRule>
  </conditionalFormatting>
  <conditionalFormatting sqref="S19:S25 AD19:AD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D5:AD8 S15:S16 AD15:AD16 AD49 AD79">
    <cfRule type="cellIs" dxfId="71" priority="9" operator="lessThan">
      <formula>0.8</formula>
    </cfRule>
  </conditionalFormatting>
  <conditionalFormatting sqref="AD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65CF4C-F1B5-496F-880C-A00CFC25AE6E}">
          <x14:formula1>
            <xm:f>廠價表!$C$2:$C$37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2B04-4585-4B2E-A6D0-C53286EF921E}">
  <sheetPr>
    <pageSetUpPr fitToPage="1"/>
  </sheetPr>
  <dimension ref="B1:O22"/>
  <sheetViews>
    <sheetView zoomScale="70" zoomScaleNormal="70" workbookViewId="0">
      <selection activeCell="J14" sqref="J14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45955</v>
      </c>
      <c r="E3" s="383"/>
      <c r="F3" s="214" t="s">
        <v>76</v>
      </c>
      <c r="G3" s="384">
        <f>'1025'!E1</f>
        <v>44861</v>
      </c>
      <c r="H3" s="384"/>
      <c r="I3" s="214" t="s">
        <v>77</v>
      </c>
      <c r="J3" s="385">
        <f>'1025'!G1</f>
        <v>2200278.8299999996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113.56742355061682</v>
      </c>
      <c r="G6" s="362"/>
      <c r="H6" s="363">
        <f>AVERAGE(D13:H13)</f>
        <v>112.72553927553926</v>
      </c>
      <c r="I6" s="363"/>
      <c r="J6" s="363">
        <f>AVERAGE(I13:J13)</f>
        <v>115.67213423831072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102.15936472660883</v>
      </c>
      <c r="G7" s="380"/>
      <c r="H7" s="381">
        <f>AVERAGE(D14:H14)</f>
        <v>102.04534050482569</v>
      </c>
      <c r="I7" s="381"/>
      <c r="J7" s="381">
        <f>AVERAGE(I14:J14)</f>
        <v>102.44442528106666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0.90118433092840244</v>
      </c>
      <c r="G8" s="360"/>
      <c r="H8" s="360">
        <f>AVERAGE(D15:H15)</f>
        <v>0.9078590963784261</v>
      </c>
      <c r="I8" s="360"/>
      <c r="J8" s="360">
        <f>AVERAGE(I15:J15)</f>
        <v>0.88449741730334286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VALUE('1025'!L15)</f>
        <v>146.04578754578753</v>
      </c>
      <c r="E13" s="227">
        <f>VALUE('1025'!L26)</f>
        <v>155.12820512820511</v>
      </c>
      <c r="F13" s="227">
        <f>VALUE('1025'!L37)</f>
        <v>82.58986928104575</v>
      </c>
      <c r="G13" s="227">
        <f>VALUE('1025'!L48)</f>
        <v>92.058823529411768</v>
      </c>
      <c r="H13" s="227">
        <f>VALUE('1025'!L58)</f>
        <v>87.805010893246177</v>
      </c>
      <c r="I13" s="227">
        <f>VALUE('1025'!L69)</f>
        <v>127.07264957264958</v>
      </c>
      <c r="J13" s="227">
        <f>VALUE('1025'!L79)</f>
        <v>104.27161890397184</v>
      </c>
    </row>
    <row r="14" spans="2:15" ht="39.950000000000003" customHeight="1" x14ac:dyDescent="0.25">
      <c r="B14" s="489"/>
      <c r="C14" s="226" t="s">
        <v>100</v>
      </c>
      <c r="D14" s="227">
        <f>VALUE('1025'!O15)</f>
        <v>128.3748988775786</v>
      </c>
      <c r="E14" s="227">
        <f>VALUE('1025'!O26)</f>
        <v>139.49604885057465</v>
      </c>
      <c r="F14" s="227">
        <f>VALUE('1025'!O37)</f>
        <v>67.708333333333329</v>
      </c>
      <c r="G14" s="227">
        <f>VALUE('1025'!O48)</f>
        <v>90.81355932203391</v>
      </c>
      <c r="H14" s="227">
        <f>VALUE('1025'!O58)</f>
        <v>83.833862140607934</v>
      </c>
      <c r="I14" s="227">
        <f>VALUE('1025'!O69)</f>
        <v>113.87477106227107</v>
      </c>
      <c r="J14" s="227">
        <f>VALUE('1025'!O79)</f>
        <v>91.014079499862262</v>
      </c>
    </row>
    <row r="15" spans="2:15" ht="39.950000000000003" customHeight="1" x14ac:dyDescent="0.25">
      <c r="B15" s="490"/>
      <c r="C15" s="222" t="s">
        <v>101</v>
      </c>
      <c r="D15" s="248">
        <f>D14/D13</f>
        <v>0.87900446178450131</v>
      </c>
      <c r="E15" s="248">
        <f t="shared" ref="E15:J15" si="0">E14/E13</f>
        <v>0.89923072812767146</v>
      </c>
      <c r="F15" s="248">
        <f t="shared" si="0"/>
        <v>0.81981402710456019</v>
      </c>
      <c r="G15" s="248">
        <f t="shared" si="0"/>
        <v>0.98647316835436194</v>
      </c>
      <c r="H15" s="248">
        <f t="shared" si="0"/>
        <v>0.95477309652103581</v>
      </c>
      <c r="I15" s="248">
        <f t="shared" si="0"/>
        <v>0.89613910975521871</v>
      </c>
      <c r="J15" s="248">
        <f t="shared" si="0"/>
        <v>0.8728557248514669</v>
      </c>
    </row>
    <row r="16" spans="2:15" ht="17.25" customHeight="1" x14ac:dyDescent="0.25">
      <c r="B16" s="491" t="s">
        <v>102</v>
      </c>
      <c r="C16" s="222" t="s">
        <v>103</v>
      </c>
      <c r="D16" s="98">
        <f>'1025'!T5</f>
        <v>0.28888888888888886</v>
      </c>
      <c r="E16" s="98">
        <f>'1025'!T16</f>
        <v>0.28958333333333336</v>
      </c>
      <c r="F16" s="98">
        <f>'1025'!T27</f>
        <v>0.2951388888888889</v>
      </c>
      <c r="G16" s="98">
        <f>'1025'!T38</f>
        <v>0.37152777777777779</v>
      </c>
      <c r="H16" s="98">
        <f>'1025'!T49</f>
        <v>0.28819444444444442</v>
      </c>
      <c r="I16" s="98">
        <f>'1025'!T59</f>
        <v>0.29166666666666669</v>
      </c>
      <c r="J16" s="293">
        <f>'1025'!T70</f>
        <v>0.38194444444444442</v>
      </c>
    </row>
    <row r="17" spans="2:10" ht="17.25" customHeight="1" x14ac:dyDescent="0.25">
      <c r="B17" s="492"/>
      <c r="C17" s="222" t="s">
        <v>104</v>
      </c>
      <c r="D17" s="80">
        <v>0.62569444444444444</v>
      </c>
      <c r="E17" s="41">
        <v>0.61388888888888893</v>
      </c>
      <c r="F17" s="41">
        <v>0.44097222222222221</v>
      </c>
      <c r="G17" s="59">
        <v>0.45347222222222222</v>
      </c>
      <c r="H17" s="80">
        <v>0.56388888888888888</v>
      </c>
      <c r="I17" s="20">
        <v>0.5</v>
      </c>
      <c r="J17" s="20">
        <v>0.49166666666666664</v>
      </c>
    </row>
    <row r="18" spans="2:10" ht="17.25" customHeight="1" x14ac:dyDescent="0.25">
      <c r="B18" s="481" t="s">
        <v>105</v>
      </c>
      <c r="C18" s="355"/>
      <c r="D18" s="229">
        <f>VALUE('1025'!M15)</f>
        <v>13.6</v>
      </c>
      <c r="E18" s="229">
        <f>VALUE('1025'!M26)</f>
        <v>13</v>
      </c>
      <c r="F18" s="229">
        <f>VALUE('1025'!M37)</f>
        <v>17</v>
      </c>
      <c r="G18" s="229">
        <f>VALUE('1025'!M48)</f>
        <v>15</v>
      </c>
      <c r="H18" s="229">
        <f>VALUE('1025'!M58)</f>
        <v>17.333333333333332</v>
      </c>
      <c r="I18" s="229">
        <f>VALUE('1025'!M69)</f>
        <v>12.333333333333334</v>
      </c>
      <c r="J18" s="229">
        <f>VALUE('1025'!M79)</f>
        <v>14.666666666666668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DA5A-32E0-4AA9-9510-7B0BA512B814}">
  <sheetPr>
    <tabColor theme="9" tint="0.79998168889431442"/>
    <pageSetUpPr fitToPage="1"/>
  </sheetPr>
  <dimension ref="A1:AF92"/>
  <sheetViews>
    <sheetView zoomScale="69" zoomScaleNormal="69" workbookViewId="0">
      <pane xSplit="5" ySplit="4" topLeftCell="F17" activePane="bottomRight" state="frozen"/>
      <selection activeCell="U62" sqref="U62"/>
      <selection pane="topRight" activeCell="U62" sqref="U62"/>
      <selection pane="bottomLeft" activeCell="U62" sqref="U62"/>
      <selection pane="bottomRight" activeCell="H27" sqref="H27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44861</v>
      </c>
      <c r="F1" s="185" t="s">
        <v>9</v>
      </c>
      <c r="G1" s="4">
        <f>SUM(H5:H79)</f>
        <v>2200278.8299999996</v>
      </c>
      <c r="H1" s="183" t="s">
        <v>10</v>
      </c>
      <c r="I1" s="5">
        <f>M15+M26+M48+M58+M69+M79+M37</f>
        <v>102.93333333333334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252</v>
      </c>
      <c r="B2" s="461"/>
      <c r="C2" s="184"/>
      <c r="D2" s="184" t="s">
        <v>1</v>
      </c>
      <c r="E2" s="7">
        <f>AVERAGE(O15,O26,O37,O48,O58,O69,O79)</f>
        <v>102.15936472660883</v>
      </c>
      <c r="F2" s="8" t="s">
        <v>2</v>
      </c>
      <c r="G2" s="9">
        <f>G1/E1</f>
        <v>49.046584561200142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1629</v>
      </c>
      <c r="H5" s="109">
        <f>F5*G5</f>
        <v>93195.09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1745.3571428571415</v>
      </c>
      <c r="O5" s="112">
        <f>N5/M5</f>
        <v>134.25824175824167</v>
      </c>
      <c r="P5" s="114">
        <f>M5-J5</f>
        <v>0</v>
      </c>
      <c r="Q5" s="115">
        <f>O5-L5</f>
        <v>-19.587912087912173</v>
      </c>
      <c r="R5" s="192">
        <f>O5/L5</f>
        <v>0.87267857142857086</v>
      </c>
      <c r="S5" s="408">
        <f>R15</f>
        <v>0.87900446178450131</v>
      </c>
      <c r="T5" s="97">
        <v>0.28888888888888886</v>
      </c>
      <c r="U5" s="97">
        <v>0.32777777777777778</v>
      </c>
      <c r="V5" s="202"/>
      <c r="W5" s="110">
        <f t="shared" ref="W5:W14" si="0">(U5-T5)*24*60</f>
        <v>56.000000000000043</v>
      </c>
      <c r="X5" s="196"/>
      <c r="Y5" s="196"/>
      <c r="Z5" s="423"/>
      <c r="AA5" s="423"/>
      <c r="AB5" s="114">
        <f>N5-K5</f>
        <v>-254.64285714285847</v>
      </c>
      <c r="AC5" s="192">
        <f>N5/K5</f>
        <v>0.87267857142857075</v>
      </c>
      <c r="AD5" s="391">
        <f>AC15</f>
        <v>0.87821669528815893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2463</v>
      </c>
      <c r="H6" s="15">
        <f t="shared" ref="H6:H14" si="1">F6*G6</f>
        <v>140908.23000000001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1847.2500000000009</v>
      </c>
      <c r="O6" s="17">
        <f>N6/M6</f>
        <v>131.94642857142864</v>
      </c>
      <c r="P6" s="18">
        <f>M6-J6</f>
        <v>0</v>
      </c>
      <c r="Q6" s="19">
        <f>O6-L6</f>
        <v>-3.4107142857142208</v>
      </c>
      <c r="R6" s="193">
        <f>O6/L6</f>
        <v>0.97480211081794244</v>
      </c>
      <c r="S6" s="409"/>
      <c r="T6" s="98">
        <v>0.33750000000000002</v>
      </c>
      <c r="U6" s="98">
        <v>0.39305555555555555</v>
      </c>
      <c r="V6" s="185">
        <f>(T6-U5)*24*60</f>
        <v>14.00000000000003</v>
      </c>
      <c r="W6" s="190">
        <f t="shared" si="0"/>
        <v>79.999999999999957</v>
      </c>
      <c r="X6" s="22"/>
      <c r="Y6" s="22"/>
      <c r="Z6" s="446"/>
      <c r="AA6" s="446"/>
      <c r="AB6" s="18">
        <f>N6-K6</f>
        <v>-47.749999999999091</v>
      </c>
      <c r="AC6" s="193">
        <f>N6/K6</f>
        <v>0.97480211081794244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3392</v>
      </c>
      <c r="H7" s="15">
        <f t="shared" si="1"/>
        <v>166682.88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1833.5135135135135</v>
      </c>
      <c r="O7" s="17">
        <f>N7/M7</f>
        <v>141.03950103950103</v>
      </c>
      <c r="P7" s="18">
        <f>M7-J7</f>
        <v>0</v>
      </c>
      <c r="Q7" s="19">
        <f>O7-L7</f>
        <v>-12.806652806652806</v>
      </c>
      <c r="R7" s="193">
        <f>O7/L7</f>
        <v>0.91675675675675672</v>
      </c>
      <c r="S7" s="409"/>
      <c r="T7" s="98">
        <v>0.40069444444444446</v>
      </c>
      <c r="U7" s="98">
        <v>0.4777777777777778</v>
      </c>
      <c r="V7" s="185">
        <f>(T7-U6)*24*60</f>
        <v>11.000000000000041</v>
      </c>
      <c r="W7" s="190">
        <f t="shared" si="0"/>
        <v>111</v>
      </c>
      <c r="X7" s="22"/>
      <c r="Y7" s="22"/>
      <c r="Z7" s="400"/>
      <c r="AA7" s="400"/>
      <c r="AB7" s="18">
        <f>N7-K7</f>
        <v>-166.48648648648646</v>
      </c>
      <c r="AC7" s="193">
        <f>N7/K7</f>
        <v>0.91675675675675672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1440</v>
      </c>
      <c r="H8" s="15">
        <f t="shared" si="1"/>
        <v>70761.600000000006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1661.5384615384623</v>
      </c>
      <c r="O8" s="17">
        <f>N8/M8</f>
        <v>127.81065088757403</v>
      </c>
      <c r="P8" s="18">
        <f>M8-J8</f>
        <v>0</v>
      </c>
      <c r="Q8" s="19">
        <f>O8-L8</f>
        <v>-26.035502958579812</v>
      </c>
      <c r="R8" s="193">
        <f>O8/L8</f>
        <v>0.83076923076923126</v>
      </c>
      <c r="S8" s="409"/>
      <c r="T8" s="80">
        <v>0.54027777777777775</v>
      </c>
      <c r="U8" s="80">
        <v>0.57638888888888884</v>
      </c>
      <c r="V8" s="185">
        <f>(T8-U7)*24*60</f>
        <v>89.999999999999915</v>
      </c>
      <c r="W8" s="190">
        <f t="shared" si="0"/>
        <v>51.999999999999972</v>
      </c>
      <c r="X8" s="22">
        <v>0.4861111111111111</v>
      </c>
      <c r="Y8" s="22">
        <v>0.52777777777777779</v>
      </c>
      <c r="Z8" s="447"/>
      <c r="AA8" s="447"/>
      <c r="AB8" s="18">
        <f>N8-K8</f>
        <v>-338.46153846153766</v>
      </c>
      <c r="AC8" s="193">
        <f>N8/K8</f>
        <v>0.83076923076923115</v>
      </c>
      <c r="AD8" s="392"/>
    </row>
    <row r="9" spans="1:30" ht="15" customHeight="1" x14ac:dyDescent="0.25">
      <c r="A9" s="466"/>
      <c r="B9" s="56" t="s">
        <v>63</v>
      </c>
      <c r="C9" s="10"/>
      <c r="D9" s="11" t="s">
        <v>222</v>
      </c>
      <c r="E9" s="89"/>
      <c r="F9" s="56">
        <f>VLOOKUP(D9,廠價表!$C$1:$E$39,3,0)</f>
        <v>50.67</v>
      </c>
      <c r="G9" s="25">
        <v>1629</v>
      </c>
      <c r="H9" s="15">
        <f t="shared" ref="H9" si="2">F9*G9</f>
        <v>82541.430000000008</v>
      </c>
      <c r="I9" s="190"/>
      <c r="J9" s="16">
        <f>VLOOKUP(D9,產線配置圖!$A$2:$C$38,2,0)</f>
        <v>15</v>
      </c>
      <c r="K9" s="14">
        <f>VLOOKUP(D9,產線配置圖!$A$2:$C$38,3,0)</f>
        <v>2000</v>
      </c>
      <c r="L9" s="17">
        <f>K9/J9</f>
        <v>133.33333333333334</v>
      </c>
      <c r="M9" s="188">
        <v>15</v>
      </c>
      <c r="N9" s="14">
        <f>G9/W9*60</f>
        <v>1602.2950819672146</v>
      </c>
      <c r="O9" s="17">
        <f>N9/M9</f>
        <v>106.81967213114764</v>
      </c>
      <c r="P9" s="18">
        <f>M9-J9</f>
        <v>0</v>
      </c>
      <c r="Q9" s="19">
        <f>O9-L9</f>
        <v>-26.513661202185702</v>
      </c>
      <c r="R9" s="193">
        <f>O9/L9</f>
        <v>0.8011475409836073</v>
      </c>
      <c r="S9" s="410"/>
      <c r="T9" s="20">
        <v>0.58333333333333337</v>
      </c>
      <c r="U9" s="20">
        <v>0.62569444444444444</v>
      </c>
      <c r="V9" s="185">
        <f>(T9-U8)*24*60</f>
        <v>10.000000000000124</v>
      </c>
      <c r="W9" s="24">
        <f t="shared" si="0"/>
        <v>60.999999999999943</v>
      </c>
      <c r="X9" s="22"/>
      <c r="Y9" s="283"/>
      <c r="Z9" s="495"/>
      <c r="AA9" s="495"/>
      <c r="AB9" s="284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3">AVERAGE(J5:J14)</f>
        <v>13.6</v>
      </c>
      <c r="K15" s="121">
        <f t="shared" si="3"/>
        <v>1979</v>
      </c>
      <c r="L15" s="118">
        <f t="shared" si="3"/>
        <v>146.04578754578753</v>
      </c>
      <c r="M15" s="121">
        <f t="shared" si="3"/>
        <v>13.6</v>
      </c>
      <c r="N15" s="121">
        <f t="shared" si="3"/>
        <v>1737.9908399752665</v>
      </c>
      <c r="O15" s="118">
        <f t="shared" si="3"/>
        <v>128.3748988775786</v>
      </c>
      <c r="P15" s="122">
        <f t="shared" ref="P15:P16" si="4">M15-J15</f>
        <v>0</v>
      </c>
      <c r="Q15" s="123">
        <f t="shared" ref="Q15:Q16" si="5">O15-L15</f>
        <v>-17.670888668208931</v>
      </c>
      <c r="R15" s="124">
        <f t="shared" ref="R15:R16" si="6">O15/L15</f>
        <v>0.87900446178450131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-241.00916002473355</v>
      </c>
      <c r="AC15" s="195">
        <f>N15/K15</f>
        <v>0.87821669528815893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1470</v>
      </c>
      <c r="H16" s="128">
        <f t="shared" ref="H16:H25" si="7">F16*G16</f>
        <v>84098.7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1764.0000000000005</v>
      </c>
      <c r="O16" s="131">
        <f>N16/M16</f>
        <v>135.69230769230774</v>
      </c>
      <c r="P16" s="132">
        <f t="shared" si="4"/>
        <v>0</v>
      </c>
      <c r="Q16" s="133">
        <f t="shared" si="5"/>
        <v>-18.153846153846104</v>
      </c>
      <c r="R16" s="197">
        <f t="shared" si="6"/>
        <v>0.88200000000000034</v>
      </c>
      <c r="S16" s="433">
        <f>R26</f>
        <v>0.89923072812767146</v>
      </c>
      <c r="T16" s="288">
        <v>0.28958333333333336</v>
      </c>
      <c r="U16" s="288">
        <v>0.32430555555555557</v>
      </c>
      <c r="V16" s="129"/>
      <c r="W16" s="134">
        <f t="shared" ref="W16:W68" si="8">(U16-T16)*24*60</f>
        <v>49.999999999999986</v>
      </c>
      <c r="X16" s="131"/>
      <c r="Y16" s="131"/>
      <c r="Z16" s="423"/>
      <c r="AA16" s="423"/>
      <c r="AB16" s="114">
        <f>N16-K16</f>
        <v>-235.99999999999955</v>
      </c>
      <c r="AC16" s="192">
        <f>N16/K16</f>
        <v>0.88200000000000023</v>
      </c>
      <c r="AD16" s="391">
        <f>AC26</f>
        <v>0.89887533156498634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4314</v>
      </c>
      <c r="H17" s="15">
        <f>F17*G17</f>
        <v>218590.38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1797.4999999999993</v>
      </c>
      <c r="O17" s="38">
        <f>N17/M17</f>
        <v>119.83333333333329</v>
      </c>
      <c r="P17" s="39">
        <f>M17-J17</f>
        <v>0</v>
      </c>
      <c r="Q17" s="40">
        <f>O17-L17</f>
        <v>-13.500000000000057</v>
      </c>
      <c r="R17" s="198">
        <f>O17/L17</f>
        <v>0.8987499999999996</v>
      </c>
      <c r="S17" s="434"/>
      <c r="T17" s="41">
        <v>0.33194444444444443</v>
      </c>
      <c r="U17" s="41">
        <v>0.43194444444444446</v>
      </c>
      <c r="V17" s="185">
        <f>(T17-U16)*24*60</f>
        <v>10.999999999999961</v>
      </c>
      <c r="W17" s="43">
        <f t="shared" si="8"/>
        <v>144.00000000000006</v>
      </c>
      <c r="X17" s="44"/>
      <c r="Y17" s="44"/>
      <c r="Z17" s="399"/>
      <c r="AA17" s="400"/>
      <c r="AB17" s="18">
        <f>N17-K17</f>
        <v>-202.50000000000068</v>
      </c>
      <c r="AC17" s="193">
        <f>N17/K17</f>
        <v>0.8987499999999996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1778</v>
      </c>
      <c r="H18" s="15">
        <f>F18*G18</f>
        <v>89593.42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1839.3103448275851</v>
      </c>
      <c r="O18" s="38">
        <f>N18/M18</f>
        <v>153.27586206896544</v>
      </c>
      <c r="P18" s="39">
        <f>M18-J18</f>
        <v>0</v>
      </c>
      <c r="Q18" s="40">
        <f>O18-L18</f>
        <v>-13.390804597701219</v>
      </c>
      <c r="R18" s="198">
        <f>O18/L18</f>
        <v>0.91965517241379269</v>
      </c>
      <c r="S18" s="434"/>
      <c r="T18" s="41">
        <v>0.43958333333333333</v>
      </c>
      <c r="U18" s="41">
        <v>0.47986111111111113</v>
      </c>
      <c r="V18" s="185">
        <f>(T18-U17)*24*60</f>
        <v>10.999999999999961</v>
      </c>
      <c r="W18" s="43">
        <f t="shared" si="8"/>
        <v>58.000000000000036</v>
      </c>
      <c r="X18" s="22"/>
      <c r="Y18" s="22"/>
      <c r="Z18" s="399"/>
      <c r="AA18" s="400"/>
      <c r="AB18" s="18">
        <f>N18-K18</f>
        <v>-160.68965517241486</v>
      </c>
      <c r="AC18" s="193">
        <f>N18/K18</f>
        <v>0.91965517241379258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3103</v>
      </c>
      <c r="H19" s="15">
        <f t="shared" ref="H19" si="9">F19*G19</f>
        <v>156360.17000000001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10">K19/J19</f>
        <v>166.66666666666666</v>
      </c>
      <c r="M19" s="37">
        <v>12</v>
      </c>
      <c r="N19" s="36">
        <f>G19/W19*60</f>
        <v>1790.1923076923056</v>
      </c>
      <c r="O19" s="38">
        <f>N19/M19</f>
        <v>149.18269230769212</v>
      </c>
      <c r="P19" s="39">
        <f>M19-J19</f>
        <v>0</v>
      </c>
      <c r="Q19" s="40">
        <f>O19-L19</f>
        <v>-17.483974358974535</v>
      </c>
      <c r="R19" s="198">
        <f>O19/L19</f>
        <v>0.89509615384615282</v>
      </c>
      <c r="S19" s="434"/>
      <c r="T19" s="41">
        <v>0.54166666666666663</v>
      </c>
      <c r="U19" s="41">
        <v>0.61388888888888893</v>
      </c>
      <c r="V19" s="185">
        <f>(T19-U18)*24*60</f>
        <v>88.999999999999929</v>
      </c>
      <c r="W19" s="43">
        <f t="shared" si="8"/>
        <v>104.00000000000011</v>
      </c>
      <c r="X19" s="22">
        <v>0.4861111111111111</v>
      </c>
      <c r="Y19" s="22">
        <v>0.52777777777777779</v>
      </c>
      <c r="Z19" s="398"/>
      <c r="AA19" s="399"/>
      <c r="AB19" s="18">
        <f>N19-K19</f>
        <v>-209.80769230769442</v>
      </c>
      <c r="AC19" s="193">
        <f>N19/K19</f>
        <v>0.89509615384615282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7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7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8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8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8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1">AVERAGE(J16:J25)</f>
        <v>13</v>
      </c>
      <c r="K26" s="137">
        <f t="shared" si="11"/>
        <v>2000</v>
      </c>
      <c r="L26" s="140">
        <f t="shared" si="11"/>
        <v>155.12820512820511</v>
      </c>
      <c r="M26" s="137">
        <f t="shared" si="11"/>
        <v>13</v>
      </c>
      <c r="N26" s="137">
        <f t="shared" si="11"/>
        <v>1797.7506631299727</v>
      </c>
      <c r="O26" s="140">
        <f t="shared" si="11"/>
        <v>139.49604885057465</v>
      </c>
      <c r="P26" s="141">
        <f t="shared" ref="P26:P28" si="12">M26-J26</f>
        <v>0</v>
      </c>
      <c r="Q26" s="142">
        <f t="shared" ref="Q26:Q28" si="13">O26-L26</f>
        <v>-15.632156277630457</v>
      </c>
      <c r="R26" s="143">
        <f t="shared" ref="R26:R28" si="14">O26/L26</f>
        <v>0.89923072812767146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-202.24933687002726</v>
      </c>
      <c r="AC26" s="195">
        <f>N26/K26</f>
        <v>0.89887533156498634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2451</v>
      </c>
      <c r="H27" s="128">
        <f t="shared" ref="H27:H36" si="15">F27*G27</f>
        <v>135123.63</v>
      </c>
      <c r="I27" s="129"/>
      <c r="J27" s="111">
        <f>VLOOKUP(D27,產線配置圖!$A$2:$C$38,2,0)</f>
        <v>18</v>
      </c>
      <c r="K27" s="252">
        <f>VLOOKUP(D27,產線配置圖!$A$2:$C$38,3,0)</f>
        <v>1385</v>
      </c>
      <c r="L27" s="112">
        <f>K27/J27</f>
        <v>76.944444444444443</v>
      </c>
      <c r="M27" s="147">
        <v>18</v>
      </c>
      <c r="N27" s="130">
        <f>G27/W27*60</f>
        <v>1139.9999999999998</v>
      </c>
      <c r="O27" s="131">
        <f>N27/M27</f>
        <v>63.333333333333321</v>
      </c>
      <c r="P27" s="132">
        <f t="shared" si="12"/>
        <v>0</v>
      </c>
      <c r="Q27" s="133">
        <f t="shared" si="13"/>
        <v>-13.611111111111121</v>
      </c>
      <c r="R27" s="197">
        <f>O27/L27</f>
        <v>0.82310469314079404</v>
      </c>
      <c r="S27" s="433">
        <f>R37</f>
        <v>0.81981402710456019</v>
      </c>
      <c r="T27" s="97">
        <v>0.2951388888888889</v>
      </c>
      <c r="U27" s="97">
        <v>0.38472222222222224</v>
      </c>
      <c r="V27" s="129"/>
      <c r="W27" s="134">
        <f t="shared" si="8"/>
        <v>129.00000000000003</v>
      </c>
      <c r="X27" s="129"/>
      <c r="Y27" s="129" t="s">
        <v>158</v>
      </c>
      <c r="Z27" s="414"/>
      <c r="AA27" s="423"/>
      <c r="AB27" s="114">
        <f>N27-K27</f>
        <v>-245.00000000000023</v>
      </c>
      <c r="AC27" s="148">
        <f>N27/K27</f>
        <v>0.82310469314079404</v>
      </c>
      <c r="AD27" s="391">
        <f>AC37</f>
        <v>0.79491623339110329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1384</v>
      </c>
      <c r="H28" s="50">
        <f t="shared" si="15"/>
        <v>78708.08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16</v>
      </c>
      <c r="N28" s="36">
        <f>G28/W28*60</f>
        <v>1153.3333333333335</v>
      </c>
      <c r="O28" s="38">
        <f>N28/M28</f>
        <v>72.083333333333343</v>
      </c>
      <c r="P28" s="39">
        <f t="shared" si="12"/>
        <v>-1</v>
      </c>
      <c r="Q28" s="40">
        <f t="shared" si="13"/>
        <v>-16.151960784313715</v>
      </c>
      <c r="R28" s="198">
        <f t="shared" si="14"/>
        <v>0.81694444444444458</v>
      </c>
      <c r="S28" s="434"/>
      <c r="T28" s="291">
        <v>0.39097222222222222</v>
      </c>
      <c r="U28" s="291">
        <v>0.44097222222222221</v>
      </c>
      <c r="V28" s="42">
        <f>(T28-U27)*24*60</f>
        <v>8.999999999999968</v>
      </c>
      <c r="W28" s="43">
        <f t="shared" si="8"/>
        <v>71.999999999999986</v>
      </c>
      <c r="X28" s="54"/>
      <c r="Y28" s="54"/>
      <c r="Z28" s="399"/>
      <c r="AA28" s="400"/>
      <c r="AB28" s="34">
        <f>N28-K28</f>
        <v>-346.66666666666652</v>
      </c>
      <c r="AC28" s="194">
        <f>N28/K28</f>
        <v>0.76888888888888896</v>
      </c>
      <c r="AD28" s="392"/>
    </row>
    <row r="29" spans="1:30" ht="15" customHeight="1" x14ac:dyDescent="0.25">
      <c r="A29" s="431"/>
      <c r="B29" s="56"/>
      <c r="C29" s="10"/>
      <c r="D29" s="11"/>
      <c r="E29" s="89"/>
      <c r="F29" s="56"/>
      <c r="G29" s="256"/>
      <c r="H29" s="50"/>
      <c r="I29" s="42"/>
      <c r="J29" s="16"/>
      <c r="K29" s="14"/>
      <c r="L29" s="251"/>
      <c r="M29" s="21"/>
      <c r="N29" s="36"/>
      <c r="O29" s="38"/>
      <c r="P29" s="39"/>
      <c r="Q29" s="40"/>
      <c r="R29" s="198"/>
      <c r="S29" s="434"/>
      <c r="T29" s="41"/>
      <c r="U29" s="41"/>
      <c r="V29" s="42"/>
      <c r="W29" s="43">
        <f t="shared" si="8"/>
        <v>0</v>
      </c>
      <c r="X29" s="54"/>
      <c r="Y29" s="54"/>
      <c r="Z29" s="399"/>
      <c r="AA29" s="398"/>
      <c r="AB29" s="275"/>
      <c r="AC29" s="276"/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8"/>
        <v>0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8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5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8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5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8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8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8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8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6">AVERAGE(J27:J36)</f>
        <v>17.5</v>
      </c>
      <c r="K37" s="314">
        <f t="shared" si="16"/>
        <v>1442.5</v>
      </c>
      <c r="L37" s="315">
        <f t="shared" si="16"/>
        <v>82.58986928104575</v>
      </c>
      <c r="M37" s="314">
        <f t="shared" si="16"/>
        <v>17</v>
      </c>
      <c r="N37" s="314">
        <f t="shared" si="16"/>
        <v>1146.6666666666665</v>
      </c>
      <c r="O37" s="315">
        <f t="shared" si="16"/>
        <v>67.708333333333329</v>
      </c>
      <c r="P37" s="74">
        <f>M37-J37</f>
        <v>-0.5</v>
      </c>
      <c r="Q37" s="75">
        <f>N37-K37</f>
        <v>-295.83333333333348</v>
      </c>
      <c r="R37" s="316">
        <f t="shared" ref="R37:R38" si="17">O37/L37</f>
        <v>0.81981402710456019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40" si="18">N37-K37</f>
        <v>-295.83333333333348</v>
      </c>
      <c r="AC37" s="195">
        <f t="shared" ref="AC37:AC40" si="19">N37/K37</f>
        <v>0.79491623339110329</v>
      </c>
      <c r="AD37" s="396"/>
    </row>
    <row r="38" spans="1:30" s="63" customFormat="1" ht="15" customHeight="1" thickBot="1" x14ac:dyDescent="0.3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2679</v>
      </c>
      <c r="H38" s="64">
        <f>F38*G38</f>
        <v>133708.88999999998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15</v>
      </c>
      <c r="N38" s="130">
        <f>G38/W38*60</f>
        <v>1362.2033898305087</v>
      </c>
      <c r="O38" s="131">
        <f>N38/M38</f>
        <v>90.81355932203391</v>
      </c>
      <c r="P38" s="132">
        <f t="shared" ref="P38" si="20">M38-J38</f>
        <v>-2</v>
      </c>
      <c r="Q38" s="133">
        <f t="shared" ref="Q38" si="21">O38-L38</f>
        <v>-1.2452642073778577</v>
      </c>
      <c r="R38" s="197">
        <f t="shared" si="17"/>
        <v>0.98647316835436194</v>
      </c>
      <c r="S38" s="493">
        <f>R48</f>
        <v>0.98647316835436194</v>
      </c>
      <c r="T38" s="157">
        <v>0.37152777777777779</v>
      </c>
      <c r="U38" s="157">
        <v>0.45347222222222222</v>
      </c>
      <c r="V38" s="153"/>
      <c r="W38" s="158">
        <f t="shared" si="8"/>
        <v>117.99999999999999</v>
      </c>
      <c r="X38" s="155"/>
      <c r="Y38" s="159"/>
      <c r="Z38" s="428"/>
      <c r="AA38" s="475"/>
      <c r="AB38" s="319">
        <f t="shared" si="18"/>
        <v>-202.79661016949126</v>
      </c>
      <c r="AC38" s="161">
        <f t="shared" si="19"/>
        <v>0.87041750148914299</v>
      </c>
      <c r="AD38" s="388">
        <f>AC48</f>
        <v>0.87041750148914299</v>
      </c>
    </row>
    <row r="39" spans="1:30" s="63" customFormat="1" ht="15" customHeight="1" thickBot="1" x14ac:dyDescent="0.3">
      <c r="A39" s="425"/>
      <c r="B39" s="56"/>
      <c r="C39" s="306"/>
      <c r="D39" s="308"/>
      <c r="E39" s="307"/>
      <c r="F39" s="56"/>
      <c r="G39" s="305"/>
      <c r="H39" s="64"/>
      <c r="I39" s="65"/>
      <c r="J39" s="37"/>
      <c r="K39" s="36"/>
      <c r="L39" s="38"/>
      <c r="M39" s="66"/>
      <c r="N39" s="67"/>
      <c r="O39" s="68"/>
      <c r="P39" s="39"/>
      <c r="Q39" s="40"/>
      <c r="R39" s="198"/>
      <c r="S39" s="494"/>
      <c r="T39" s="59"/>
      <c r="U39" s="59"/>
      <c r="V39" s="42"/>
      <c r="W39" s="70">
        <f t="shared" si="8"/>
        <v>0</v>
      </c>
      <c r="X39" s="22"/>
      <c r="Y39" s="22"/>
      <c r="AB39" s="319">
        <f t="shared" si="18"/>
        <v>0</v>
      </c>
      <c r="AC39" s="161" t="e">
        <f t="shared" si="19"/>
        <v>#DIV/0!</v>
      </c>
      <c r="AD39" s="389"/>
    </row>
    <row r="40" spans="1:30" s="63" customFormat="1" ht="15" customHeight="1" x14ac:dyDescent="0.25">
      <c r="A40" s="425"/>
      <c r="B40" s="56"/>
      <c r="C40" s="298"/>
      <c r="D40" s="308"/>
      <c r="E40" s="261"/>
      <c r="F40" s="56"/>
      <c r="G40" s="305"/>
      <c r="H40" s="64"/>
      <c r="I40" s="65"/>
      <c r="J40" s="37"/>
      <c r="K40" s="36"/>
      <c r="L40" s="38"/>
      <c r="M40" s="66"/>
      <c r="N40" s="67"/>
      <c r="O40" s="68"/>
      <c r="P40" s="39"/>
      <c r="Q40" s="40"/>
      <c r="R40" s="198"/>
      <c r="S40" s="409"/>
      <c r="T40" s="59"/>
      <c r="U40" s="59"/>
      <c r="V40" s="42"/>
      <c r="W40" s="70">
        <f t="shared" si="8"/>
        <v>0</v>
      </c>
      <c r="X40" s="71"/>
      <c r="Y40" s="278"/>
      <c r="Z40" s="476"/>
      <c r="AA40" s="476"/>
      <c r="AB40" s="319">
        <f t="shared" si="18"/>
        <v>0</v>
      </c>
      <c r="AC40" s="161" t="e">
        <f t="shared" si="19"/>
        <v>#DIV/0!</v>
      </c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8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2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8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2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2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3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2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3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2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3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2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3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4">AVERAGE(J38:J47)</f>
        <v>17</v>
      </c>
      <c r="K48" s="137">
        <f t="shared" si="24"/>
        <v>1565</v>
      </c>
      <c r="L48" s="140">
        <f t="shared" si="24"/>
        <v>92.058823529411768</v>
      </c>
      <c r="M48" s="137">
        <f t="shared" si="24"/>
        <v>15</v>
      </c>
      <c r="N48" s="137">
        <f t="shared" si="24"/>
        <v>1362.2033898305087</v>
      </c>
      <c r="O48" s="140">
        <f t="shared" si="24"/>
        <v>90.81355932203391</v>
      </c>
      <c r="P48" s="164">
        <f>M48-J48</f>
        <v>-2</v>
      </c>
      <c r="Q48" s="165">
        <f>N48-K48</f>
        <v>-202.79661016949126</v>
      </c>
      <c r="R48" s="166">
        <f>O48/L48</f>
        <v>0.98647316835436194</v>
      </c>
      <c r="S48" s="412"/>
      <c r="T48" s="167"/>
      <c r="U48" s="167"/>
      <c r="V48" s="204"/>
      <c r="W48" s="168">
        <f t="shared" si="23"/>
        <v>0</v>
      </c>
      <c r="X48" s="169"/>
      <c r="Y48" s="169"/>
      <c r="Z48" s="401"/>
      <c r="AA48" s="401"/>
      <c r="AB48" s="170">
        <f>N48-K48</f>
        <v>-202.79661016949126</v>
      </c>
      <c r="AC48" s="199">
        <f>N48/K48</f>
        <v>0.87041750148914299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5666</v>
      </c>
      <c r="H49" s="128">
        <f t="shared" ref="H49:H57" si="25">F49*G49</f>
        <v>283130.02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1559.4495412844033</v>
      </c>
      <c r="O49" s="131">
        <f>N49/M49</f>
        <v>86.636085626911296</v>
      </c>
      <c r="P49" s="171">
        <f>M49-J49</f>
        <v>0</v>
      </c>
      <c r="Q49" s="115">
        <f>O49-L49</f>
        <v>-0.30835881753314709</v>
      </c>
      <c r="R49" s="192">
        <f>O49/L49</f>
        <v>0.99645338101239833</v>
      </c>
      <c r="S49" s="408">
        <f>R58</f>
        <v>0.95477309652103581</v>
      </c>
      <c r="T49" s="157">
        <v>0.28819444444444442</v>
      </c>
      <c r="U49" s="157">
        <v>0.43958333333333333</v>
      </c>
      <c r="V49" s="196"/>
      <c r="W49" s="158">
        <f t="shared" si="8"/>
        <v>218.00000000000003</v>
      </c>
      <c r="X49" s="196"/>
      <c r="Y49" s="196"/>
      <c r="Z49" s="423"/>
      <c r="AA49" s="423"/>
      <c r="AB49" s="114">
        <f>N49-K49</f>
        <v>-5.5504587155967329</v>
      </c>
      <c r="AC49" s="192">
        <f>N49/K49</f>
        <v>0.99645338101239822</v>
      </c>
      <c r="AD49" s="391">
        <f>AC58</f>
        <v>0.95556693423831685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1191</v>
      </c>
      <c r="H50" s="77">
        <f t="shared" si="25"/>
        <v>67732.17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1429.2000000000005</v>
      </c>
      <c r="O50" s="79">
        <f>N50/M50</f>
        <v>84.070588235294153</v>
      </c>
      <c r="P50" s="18">
        <f>M50-J50</f>
        <v>0</v>
      </c>
      <c r="Q50" s="19">
        <f>O50-L50</f>
        <v>-4.1647058823529051</v>
      </c>
      <c r="R50" s="193">
        <f>O50/L50</f>
        <v>0.95280000000000042</v>
      </c>
      <c r="S50" s="409"/>
      <c r="T50" s="80">
        <v>0.45</v>
      </c>
      <c r="U50" s="80">
        <v>0.48472222222222222</v>
      </c>
      <c r="V50" s="185">
        <f t="shared" ref="V50:V51" si="26">(T50-U49)*24*60</f>
        <v>15.000000000000027</v>
      </c>
      <c r="W50" s="81">
        <f t="shared" si="8"/>
        <v>49.999999999999986</v>
      </c>
      <c r="X50" s="22">
        <v>0.48958333333333331</v>
      </c>
      <c r="Y50" s="22">
        <v>0.53125</v>
      </c>
      <c r="Z50" s="398"/>
      <c r="AA50" s="399"/>
      <c r="AB50" s="18">
        <f>N50-K50</f>
        <v>-70.7999999999995</v>
      </c>
      <c r="AC50" s="193">
        <f>N50/K50</f>
        <v>0.95280000000000031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847</v>
      </c>
      <c r="H51" s="77">
        <f t="shared" ref="H51" si="27">F51*G51</f>
        <v>48168.89</v>
      </c>
      <c r="I51" s="201"/>
      <c r="J51" s="16">
        <f>VLOOKUP(D51,產線配置圖!$A$2:$C$38,2,0)</f>
        <v>17</v>
      </c>
      <c r="K51" s="14">
        <f>VLOOKUP(D51,產線配置圖!$A$2:$C$38,3,0)</f>
        <v>1500</v>
      </c>
      <c r="L51" s="17">
        <f>K51/J51</f>
        <v>88.235294117647058</v>
      </c>
      <c r="M51" s="182">
        <v>17</v>
      </c>
      <c r="N51" s="78">
        <f>G51/W51*60</f>
        <v>1373.5135135135124</v>
      </c>
      <c r="O51" s="79">
        <f>N51/M51</f>
        <v>80.794912559618382</v>
      </c>
      <c r="P51" s="18">
        <f>M51-J51</f>
        <v>0</v>
      </c>
      <c r="Q51" s="19">
        <f>O51-L51</f>
        <v>-7.4403815580286761</v>
      </c>
      <c r="R51" s="193">
        <f>O51/L51</f>
        <v>0.91567567567567498</v>
      </c>
      <c r="S51" s="409"/>
      <c r="T51" s="80">
        <v>0.53819444444444442</v>
      </c>
      <c r="U51" s="44">
        <v>0.56388888888888888</v>
      </c>
      <c r="V51" s="185">
        <f t="shared" si="26"/>
        <v>76.999999999999972</v>
      </c>
      <c r="W51" s="81">
        <f t="shared" si="8"/>
        <v>37.000000000000028</v>
      </c>
      <c r="X51" s="22"/>
      <c r="Y51" s="22"/>
      <c r="Z51" s="400"/>
      <c r="AA51" s="400"/>
      <c r="AB51" s="51"/>
      <c r="AC51" s="52"/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8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25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8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25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8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5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8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5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8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5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8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28">AVERAGE(J49:J57)</f>
        <v>17.333333333333332</v>
      </c>
      <c r="K58" s="121">
        <f t="shared" si="28"/>
        <v>1521.6666666666667</v>
      </c>
      <c r="L58" s="118">
        <f t="shared" si="28"/>
        <v>87.805010893246177</v>
      </c>
      <c r="M58" s="121">
        <f t="shared" si="28"/>
        <v>17.333333333333332</v>
      </c>
      <c r="N58" s="121">
        <f t="shared" si="28"/>
        <v>1454.0543515993056</v>
      </c>
      <c r="O58" s="118">
        <f t="shared" si="28"/>
        <v>83.833862140607934</v>
      </c>
      <c r="P58" s="122">
        <f>M58-J58</f>
        <v>0</v>
      </c>
      <c r="Q58" s="123">
        <f>N58-K58</f>
        <v>-67.612315067361124</v>
      </c>
      <c r="R58" s="124">
        <f t="shared" ref="R58:R60" si="29">O58/L58</f>
        <v>0.95477309652103581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0">N58-K58</f>
        <v>-67.612315067361124</v>
      </c>
      <c r="AC58" s="195">
        <f t="shared" ref="AC58:AC61" si="31">N58/K58</f>
        <v>0.95556693423831685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3312</v>
      </c>
      <c r="H59" s="109">
        <f t="shared" ref="H59:H68" si="32">F59*G59</f>
        <v>89390.87999999999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33">G59/W59*60</f>
        <v>1419.4285714285718</v>
      </c>
      <c r="O59" s="112">
        <f t="shared" ref="O59:O61" si="34">N59/M59</f>
        <v>109.18681318681321</v>
      </c>
      <c r="P59" s="114">
        <f t="shared" ref="P59:P61" si="35">M59-J59</f>
        <v>0</v>
      </c>
      <c r="Q59" s="115">
        <f t="shared" ref="Q59:Q61" si="36">O59-L59</f>
        <v>-11.197802197802176</v>
      </c>
      <c r="R59" s="192">
        <f t="shared" si="29"/>
        <v>0.90698311273391163</v>
      </c>
      <c r="S59" s="408">
        <f>R69</f>
        <v>0.89613910975521871</v>
      </c>
      <c r="T59" s="176">
        <v>0.29166666666666669</v>
      </c>
      <c r="U59" s="176">
        <v>0.3888888888888889</v>
      </c>
      <c r="V59" s="196"/>
      <c r="W59" s="110">
        <f t="shared" si="8"/>
        <v>139.99999999999997</v>
      </c>
      <c r="X59" s="196"/>
      <c r="Y59" s="196"/>
      <c r="Z59" s="400"/>
      <c r="AA59" s="400"/>
      <c r="AB59" s="240">
        <f t="shared" si="30"/>
        <v>-145.57142857142821</v>
      </c>
      <c r="AC59" s="241">
        <f t="shared" si="31"/>
        <v>0.90698311273391163</v>
      </c>
      <c r="AD59" s="391">
        <f>AC69</f>
        <v>0.896417161113647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1095</v>
      </c>
      <c r="H60" s="15">
        <f t="shared" si="32"/>
        <v>31174.649999999998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3"/>
        <v>1314.0000000000005</v>
      </c>
      <c r="O60" s="17">
        <f t="shared" si="34"/>
        <v>109.50000000000004</v>
      </c>
      <c r="P60" s="18">
        <f t="shared" si="35"/>
        <v>0</v>
      </c>
      <c r="Q60" s="19">
        <f t="shared" si="36"/>
        <v>-20.916666666666615</v>
      </c>
      <c r="R60" s="193">
        <f t="shared" si="29"/>
        <v>0.83961661341853078</v>
      </c>
      <c r="S60" s="419"/>
      <c r="T60" s="206">
        <v>0.39930555555555558</v>
      </c>
      <c r="U60" s="206">
        <v>0.43402777777777779</v>
      </c>
      <c r="V60" s="185">
        <f t="shared" ref="V60:V61" si="37">(T60-U59)*24*60</f>
        <v>15.000000000000027</v>
      </c>
      <c r="W60" s="93">
        <f t="shared" si="8"/>
        <v>49.999999999999986</v>
      </c>
      <c r="X60" s="201"/>
      <c r="Y60" s="201"/>
      <c r="Z60" s="400"/>
      <c r="AA60" s="400"/>
      <c r="AB60" s="242">
        <f t="shared" si="30"/>
        <v>-250.99999999999955</v>
      </c>
      <c r="AC60" s="243">
        <f t="shared" si="31"/>
        <v>0.83961661341853067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1967</v>
      </c>
      <c r="H61" s="15">
        <f t="shared" si="32"/>
        <v>55587.420000000006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38">K61/J61</f>
        <v>130.41666666666666</v>
      </c>
      <c r="M61" s="188">
        <v>12</v>
      </c>
      <c r="N61" s="14">
        <f t="shared" si="33"/>
        <v>1475.2499999999995</v>
      </c>
      <c r="O61" s="17">
        <f t="shared" si="34"/>
        <v>122.93749999999996</v>
      </c>
      <c r="P61" s="18">
        <f t="shared" si="35"/>
        <v>0</v>
      </c>
      <c r="Q61" s="19">
        <f t="shared" si="36"/>
        <v>-7.4791666666666998</v>
      </c>
      <c r="R61" s="193">
        <f>O61/L61</f>
        <v>0.94265175718849814</v>
      </c>
      <c r="S61" s="409"/>
      <c r="T61" s="20">
        <v>0.44444444444444442</v>
      </c>
      <c r="U61" s="20">
        <v>0.5</v>
      </c>
      <c r="V61" s="185">
        <f t="shared" si="37"/>
        <v>14.999999999999947</v>
      </c>
      <c r="W61" s="91">
        <f t="shared" si="8"/>
        <v>80.000000000000028</v>
      </c>
      <c r="X61" s="22"/>
      <c r="Y61" s="22"/>
      <c r="Z61" s="400"/>
      <c r="AA61" s="400"/>
      <c r="AB61" s="51">
        <f t="shared" si="30"/>
        <v>-89.750000000000455</v>
      </c>
      <c r="AC61" s="52">
        <f t="shared" si="31"/>
        <v>0.94265175718849814</v>
      </c>
      <c r="AD61" s="392"/>
    </row>
    <row r="62" spans="1:30" ht="15" customHeight="1" x14ac:dyDescent="0.25">
      <c r="A62" s="417"/>
      <c r="B62" s="56"/>
      <c r="C62" s="23"/>
      <c r="D62" s="11"/>
      <c r="E62" s="12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8"/>
        <v>0</v>
      </c>
      <c r="X62" s="22"/>
      <c r="Y62" s="22"/>
      <c r="Z62" s="400"/>
      <c r="AA62" s="400"/>
      <c r="AB62" s="51"/>
      <c r="AC62" s="52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8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2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8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2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8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2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8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2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8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2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8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39">AVERAGE(J59:J68)</f>
        <v>12.333333333333334</v>
      </c>
      <c r="K69" s="173">
        <f t="shared" si="39"/>
        <v>1565</v>
      </c>
      <c r="L69" s="178">
        <f t="shared" si="39"/>
        <v>127.07264957264958</v>
      </c>
      <c r="M69" s="173">
        <f t="shared" si="39"/>
        <v>12.333333333333334</v>
      </c>
      <c r="N69" s="173">
        <f t="shared" si="39"/>
        <v>1402.8928571428576</v>
      </c>
      <c r="O69" s="178">
        <f t="shared" si="39"/>
        <v>113.87477106227107</v>
      </c>
      <c r="P69" s="179">
        <f>M69-J69</f>
        <v>0</v>
      </c>
      <c r="Q69" s="165">
        <f>N69-K69</f>
        <v>-162.10714285714243</v>
      </c>
      <c r="R69" s="124">
        <f>O69/L69</f>
        <v>0.89613910975521871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-162.10714285714243</v>
      </c>
      <c r="AC69" s="195">
        <f>N69/K69</f>
        <v>0.896417161113647</v>
      </c>
      <c r="AD69" s="396"/>
    </row>
    <row r="70" spans="1:32" ht="15" customHeight="1" x14ac:dyDescent="0.25">
      <c r="A70" s="405" t="s">
        <v>58</v>
      </c>
      <c r="B70" s="207" t="s">
        <v>63</v>
      </c>
      <c r="C70" s="207"/>
      <c r="D70" s="106" t="s">
        <v>223</v>
      </c>
      <c r="E70" s="107"/>
      <c r="F70" s="207">
        <f>VLOOKUP(D70,廠價表!$C$1:$E$39,3,0)</f>
        <v>57.3</v>
      </c>
      <c r="G70" s="196">
        <v>3051</v>
      </c>
      <c r="H70" s="109">
        <f t="shared" ref="H70" si="40">F70*G70</f>
        <v>174822.3</v>
      </c>
      <c r="I70" s="196"/>
      <c r="J70" s="111">
        <f>VLOOKUP(D70,產線配置圖!$A$2:$C$38,2,0)</f>
        <v>17</v>
      </c>
      <c r="K70" s="108">
        <f>VLOOKUP(D70,產線配置圖!$A$2:$C$38,3,0)</f>
        <v>1385</v>
      </c>
      <c r="L70" s="112">
        <f>K70/J70</f>
        <v>81.470588235294116</v>
      </c>
      <c r="M70" s="113">
        <v>17</v>
      </c>
      <c r="N70" s="108">
        <f t="shared" ref="N70" si="41">G70/W70*60</f>
        <v>1158.6075949367089</v>
      </c>
      <c r="O70" s="112">
        <f t="shared" ref="O70" si="42">N70/M70</f>
        <v>68.153387937453459</v>
      </c>
      <c r="P70" s="114">
        <f t="shared" ref="P70" si="43">M70-J70</f>
        <v>0</v>
      </c>
      <c r="Q70" s="115">
        <f t="shared" ref="Q70" si="44">O70-L70</f>
        <v>-13.317200297840657</v>
      </c>
      <c r="R70" s="192">
        <f t="shared" ref="R70" si="45">O70/L70</f>
        <v>0.83653977973769589</v>
      </c>
      <c r="S70" s="408">
        <f>R79</f>
        <v>0.8728557248514669</v>
      </c>
      <c r="T70" s="176">
        <v>0.38194444444444442</v>
      </c>
      <c r="U70" s="176">
        <v>0.49166666666666664</v>
      </c>
      <c r="V70" s="196"/>
      <c r="W70" s="110">
        <f t="shared" ref="W70:W78" si="46">(U70-T70)*24*60</f>
        <v>158</v>
      </c>
      <c r="X70" s="180"/>
      <c r="Y70" s="180"/>
      <c r="Z70" s="413"/>
      <c r="AA70" s="414"/>
      <c r="AB70" s="240">
        <f t="shared" ref="AB70" si="47">N70-K70</f>
        <v>-226.39240506329111</v>
      </c>
      <c r="AC70" s="241">
        <f t="shared" ref="AC70" si="48">N70/K70</f>
        <v>0.836539779737696</v>
      </c>
      <c r="AD70" s="391">
        <f>AC79</f>
        <v>0.86830523799307335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46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46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46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49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46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49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46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49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46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49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46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49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46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50">AVERAGE(J69:J78)</f>
        <v>14.666666666666668</v>
      </c>
      <c r="K79" s="173">
        <f t="shared" si="50"/>
        <v>1475</v>
      </c>
      <c r="L79" s="178">
        <f t="shared" si="50"/>
        <v>104.27161890397184</v>
      </c>
      <c r="M79" s="173">
        <f t="shared" si="50"/>
        <v>14.666666666666668</v>
      </c>
      <c r="N79" s="173">
        <f t="shared" si="50"/>
        <v>1280.7502260397832</v>
      </c>
      <c r="O79" s="178">
        <f t="shared" si="50"/>
        <v>91.014079499862262</v>
      </c>
      <c r="P79" s="179">
        <f>M79-J79</f>
        <v>0</v>
      </c>
      <c r="Q79" s="165">
        <f>N79-K79</f>
        <v>-194.24977396021677</v>
      </c>
      <c r="R79" s="166">
        <f>O79/L79</f>
        <v>0.8728557248514669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-194.24977396021677</v>
      </c>
      <c r="AC79" s="195">
        <f>N79/K79</f>
        <v>0.86830523799307335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4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C3:AC4"/>
    <mergeCell ref="AD3:AD4"/>
    <mergeCell ref="P3:P4"/>
    <mergeCell ref="Q3:Q4"/>
    <mergeCell ref="R3:R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N3:N4"/>
    <mergeCell ref="O3:O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40:AA40"/>
    <mergeCell ref="Z41:AA41"/>
    <mergeCell ref="Z42:AA42"/>
    <mergeCell ref="Z43:AA43"/>
    <mergeCell ref="Z44:AA44"/>
    <mergeCell ref="Z45:AA45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68" priority="1" operator="greaterThan">
      <formula>0</formula>
    </cfRule>
  </conditionalFormatting>
  <conditionalFormatting sqref="Q5:Q79 AB5:AB79">
    <cfRule type="cellIs" dxfId="67" priority="4" operator="lessThan">
      <formula>0</formula>
    </cfRule>
  </conditionalFormatting>
  <conditionalFormatting sqref="R5:R79 AC5:AC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D59:AD62 S69:S76 AD69:AD76">
    <cfRule type="cellIs" dxfId="64" priority="7" operator="lessThan">
      <formula>0.8</formula>
    </cfRule>
  </conditionalFormatting>
  <conditionalFormatting sqref="S19:S25 AD19:AD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D5:AD8 S15:S16 AD15:AD16 AD49 AD79">
    <cfRule type="cellIs" dxfId="61" priority="9" operator="lessThan">
      <formula>0.8</formula>
    </cfRule>
  </conditionalFormatting>
  <conditionalFormatting sqref="AD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3628F0-09E1-4F8F-A24B-967310DCFF26}">
          <x14:formula1>
            <xm:f>廠價表!$C$2:$C$37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295B-D14F-4906-8680-91C31133BB38}">
  <sheetPr>
    <pageSetUpPr fitToPage="1"/>
  </sheetPr>
  <dimension ref="B1:O22"/>
  <sheetViews>
    <sheetView zoomScale="70" zoomScaleNormal="70" workbookViewId="0">
      <selection activeCell="J14" sqref="J14:J16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45956</v>
      </c>
      <c r="E3" s="383"/>
      <c r="F3" s="214" t="s">
        <v>76</v>
      </c>
      <c r="G3" s="384">
        <f>'1026'!E1</f>
        <v>62754</v>
      </c>
      <c r="H3" s="384"/>
      <c r="I3" s="214" t="s">
        <v>77</v>
      </c>
      <c r="J3" s="385">
        <f>'1026'!G1</f>
        <v>3084567.12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114.48737750085787</v>
      </c>
      <c r="G6" s="362"/>
      <c r="H6" s="363">
        <f>AVERAGE(D13:H13)</f>
        <v>112.30472479590125</v>
      </c>
      <c r="I6" s="363"/>
      <c r="J6" s="363">
        <f>AVERAGE(I13:J13)</f>
        <v>125.40064102564102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104.40651739752936</v>
      </c>
      <c r="G7" s="380"/>
      <c r="H7" s="381">
        <f>AVERAGE(D14:H14)</f>
        <v>101.8072000893961</v>
      </c>
      <c r="I7" s="381"/>
      <c r="J7" s="381">
        <f>AVERAGE(I14:J14)</f>
        <v>117.4031039381957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0.90334010840013867</v>
      </c>
      <c r="G8" s="360"/>
      <c r="H8" s="360">
        <f>AVERAGE(D15:H15)</f>
        <v>0.89676330744135713</v>
      </c>
      <c r="I8" s="360"/>
      <c r="J8" s="360">
        <f>AVERAGE(I15:J15)</f>
        <v>0.93622411319404619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VALUE('1026'!L15)</f>
        <v>146.04578754578753</v>
      </c>
      <c r="E13" s="227">
        <f>VALUE('1026'!L26)</f>
        <v>150.76923076923077</v>
      </c>
      <c r="F13" s="227">
        <f>VALUE('1026'!L37)</f>
        <v>90.629084967320253</v>
      </c>
      <c r="G13" s="227">
        <f>VALUE('1026'!L48)</f>
        <v>85</v>
      </c>
      <c r="H13" s="227">
        <f>VALUE('1026'!L58)</f>
        <v>89.079520697167752</v>
      </c>
      <c r="I13" s="227">
        <f>VALUE('1026'!L69)</f>
        <v>125.40064102564102</v>
      </c>
      <c r="J13" s="227"/>
    </row>
    <row r="14" spans="2:15" ht="39.950000000000003" customHeight="1" x14ac:dyDescent="0.25">
      <c r="B14" s="489"/>
      <c r="C14" s="226" t="s">
        <v>100</v>
      </c>
      <c r="D14" s="227">
        <f>VALUE('1026'!O15)</f>
        <v>138.84266212253343</v>
      </c>
      <c r="E14" s="227">
        <f>VALUE('1026'!O26)</f>
        <v>140.20420747022581</v>
      </c>
      <c r="F14" s="227">
        <f>VALUE('1026'!O37)</f>
        <v>78.231711437217598</v>
      </c>
      <c r="G14" s="227">
        <f>VALUE('1026'!O48)</f>
        <v>67.535296062869591</v>
      </c>
      <c r="H14" s="227">
        <f>VALUE('1026'!O58)</f>
        <v>84.222123354134098</v>
      </c>
      <c r="I14" s="227">
        <f>VALUE('1026'!O69)</f>
        <v>117.4031039381957</v>
      </c>
      <c r="J14" s="227"/>
    </row>
    <row r="15" spans="2:15" ht="39.950000000000003" customHeight="1" x14ac:dyDescent="0.25">
      <c r="B15" s="490"/>
      <c r="C15" s="222" t="s">
        <v>101</v>
      </c>
      <c r="D15" s="248">
        <f>D14/D13</f>
        <v>0.95067899222361463</v>
      </c>
      <c r="E15" s="248">
        <f t="shared" ref="E15:I15" si="0">E14/E13</f>
        <v>0.92992586587394666</v>
      </c>
      <c r="F15" s="248">
        <f t="shared" si="0"/>
        <v>0.86320756151766298</v>
      </c>
      <c r="G15" s="248">
        <f t="shared" si="0"/>
        <v>0.79453289485728928</v>
      </c>
      <c r="H15" s="248">
        <f t="shared" si="0"/>
        <v>0.9454712227342722</v>
      </c>
      <c r="I15" s="248">
        <f t="shared" si="0"/>
        <v>0.93622411319404619</v>
      </c>
      <c r="J15" s="248"/>
    </row>
    <row r="16" spans="2:15" ht="17.25" customHeight="1" x14ac:dyDescent="0.25">
      <c r="B16" s="491" t="s">
        <v>102</v>
      </c>
      <c r="C16" s="222" t="s">
        <v>103</v>
      </c>
      <c r="D16" s="98">
        <f>'1026'!T5</f>
        <v>0.2902777777777778</v>
      </c>
      <c r="E16" s="98">
        <f>'1026'!T16</f>
        <v>0.29097222222222224</v>
      </c>
      <c r="F16" s="98">
        <f>'1026'!T27</f>
        <v>0.29166666666666669</v>
      </c>
      <c r="G16" s="98">
        <f>'1026'!T38</f>
        <v>0.33333333333333331</v>
      </c>
      <c r="H16" s="98">
        <f>'1026'!T49</f>
        <v>0.29166666666666669</v>
      </c>
      <c r="I16" s="98">
        <f>'1026'!T59</f>
        <v>0.29166666666666669</v>
      </c>
      <c r="J16" s="293"/>
    </row>
    <row r="17" spans="2:10" ht="17.25" customHeight="1" x14ac:dyDescent="0.25">
      <c r="B17" s="492"/>
      <c r="C17" s="222" t="s">
        <v>104</v>
      </c>
      <c r="D17" s="80">
        <v>0.67152777777777772</v>
      </c>
      <c r="E17" s="41">
        <v>0.72222222222222221</v>
      </c>
      <c r="F17" s="41">
        <v>0.65277777777777779</v>
      </c>
      <c r="G17" s="59">
        <v>0.64930555555555558</v>
      </c>
      <c r="H17" s="80">
        <v>0.66111111111111109</v>
      </c>
      <c r="I17" s="20">
        <v>0.62430555555555556</v>
      </c>
      <c r="J17" s="20"/>
    </row>
    <row r="18" spans="2:10" ht="17.25" customHeight="1" x14ac:dyDescent="0.25">
      <c r="B18" s="481" t="s">
        <v>105</v>
      </c>
      <c r="C18" s="355"/>
      <c r="D18" s="229">
        <f>VALUE('1025'!M15)</f>
        <v>13.6</v>
      </c>
      <c r="E18" s="229">
        <f>VALUE('1025'!M26)</f>
        <v>13</v>
      </c>
      <c r="F18" s="229">
        <f>VALUE('1025'!M37)</f>
        <v>17</v>
      </c>
      <c r="G18" s="229">
        <f>VALUE('1025'!M48)</f>
        <v>15</v>
      </c>
      <c r="H18" s="229">
        <f>VALUE('1025'!M58)</f>
        <v>17.333333333333332</v>
      </c>
      <c r="I18" s="229">
        <f>VALUE('1025'!M69)</f>
        <v>12.333333333333334</v>
      </c>
      <c r="J18" s="229"/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/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F0A9-F6BC-4D6F-B6CF-08CCE725313B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U62" sqref="U62"/>
      <selection pane="topRight" activeCell="U62" sqref="U62"/>
      <selection pane="bottomLeft" activeCell="U62" sqref="U62"/>
      <selection pane="bottomRight" activeCell="H61" sqref="H61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62754</v>
      </c>
      <c r="F1" s="185" t="s">
        <v>9</v>
      </c>
      <c r="G1" s="4">
        <f>SUM(H5:H79)</f>
        <v>3084567.12</v>
      </c>
      <c r="H1" s="183" t="s">
        <v>10</v>
      </c>
      <c r="I1" s="5">
        <f>M15+M26+M48+M58+M69+M79+M37</f>
        <v>101.93333333333334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253</v>
      </c>
      <c r="B2" s="461"/>
      <c r="C2" s="184"/>
      <c r="D2" s="184" t="s">
        <v>1</v>
      </c>
      <c r="E2" s="7">
        <f>AVERAGE(O15,O26,O37,O48,O58,O69,O79)</f>
        <v>106.26317261762456</v>
      </c>
      <c r="F2" s="8" t="s">
        <v>2</v>
      </c>
      <c r="G2" s="9">
        <f>G1/E1</f>
        <v>49.153314848455878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2406</v>
      </c>
      <c r="H5" s="109">
        <f>F5*G5</f>
        <v>137647.26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1804.5000000000009</v>
      </c>
      <c r="O5" s="112">
        <f>N5/M5</f>
        <v>138.80769230769238</v>
      </c>
      <c r="P5" s="114">
        <f>M5-J5</f>
        <v>0</v>
      </c>
      <c r="Q5" s="115">
        <f>O5-L5</f>
        <v>-15.038461538461462</v>
      </c>
      <c r="R5" s="192">
        <f>O5/L5</f>
        <v>0.90225000000000044</v>
      </c>
      <c r="S5" s="408">
        <f>R15</f>
        <v>0.95067899222361463</v>
      </c>
      <c r="T5" s="97">
        <v>0.2902777777777778</v>
      </c>
      <c r="U5" s="97">
        <v>0.34583333333333333</v>
      </c>
      <c r="V5" s="202"/>
      <c r="W5" s="110">
        <f t="shared" ref="W5:W14" si="0">(U5-T5)*24*60</f>
        <v>79.999999999999957</v>
      </c>
      <c r="X5" s="196"/>
      <c r="Y5" s="196"/>
      <c r="Z5" s="423"/>
      <c r="AA5" s="423"/>
      <c r="AB5" s="114">
        <f>N5-K5</f>
        <v>-195.49999999999909</v>
      </c>
      <c r="AC5" s="192">
        <f>N5/K5</f>
        <v>0.90225000000000044</v>
      </c>
      <c r="AD5" s="391">
        <f>AC15</f>
        <v>0.92494289881530878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222</v>
      </c>
      <c r="E6" s="89"/>
      <c r="F6" s="56">
        <f>VLOOKUP(D6,廠價表!$C$1:$E$39,3,0)</f>
        <v>50.67</v>
      </c>
      <c r="G6" s="25">
        <v>1726</v>
      </c>
      <c r="H6" s="15">
        <f t="shared" ref="H6:H14" si="1">F6*G6</f>
        <v>87456.42</v>
      </c>
      <c r="I6" s="190"/>
      <c r="J6" s="16">
        <f>VLOOKUP(D6,產線配置圖!$A$2:$C$38,2,0)</f>
        <v>15</v>
      </c>
      <c r="K6" s="14">
        <f>VLOOKUP(D6,產線配置圖!$A$2:$C$38,3,0)</f>
        <v>2000</v>
      </c>
      <c r="L6" s="17">
        <f>K6/J6</f>
        <v>133.33333333333334</v>
      </c>
      <c r="M6" s="188">
        <v>14</v>
      </c>
      <c r="N6" s="14">
        <f>G6/W6*60</f>
        <v>1785.5172413793118</v>
      </c>
      <c r="O6" s="17">
        <f>N6/M6</f>
        <v>127.53694581280799</v>
      </c>
      <c r="P6" s="18">
        <f>M6-J6</f>
        <v>-1</v>
      </c>
      <c r="Q6" s="19">
        <f>O6-L6</f>
        <v>-5.7963875205253572</v>
      </c>
      <c r="R6" s="193">
        <f>O6/L6</f>
        <v>0.95652709359605981</v>
      </c>
      <c r="S6" s="409"/>
      <c r="T6" s="98">
        <v>0.35416666666666669</v>
      </c>
      <c r="U6" s="98">
        <v>0.39444444444444443</v>
      </c>
      <c r="V6" s="185">
        <f>(T6-U5)*24*60</f>
        <v>12.000000000000037</v>
      </c>
      <c r="W6" s="190">
        <f t="shared" si="0"/>
        <v>57.999999999999957</v>
      </c>
      <c r="X6" s="22"/>
      <c r="Y6" s="22"/>
      <c r="Z6" s="446"/>
      <c r="AA6" s="446"/>
      <c r="AB6" s="18">
        <f>N6-K6</f>
        <v>-214.48275862068817</v>
      </c>
      <c r="AC6" s="193">
        <f>N6/K6</f>
        <v>0.89275862068965595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148</v>
      </c>
      <c r="E7" s="89"/>
      <c r="F7" s="56">
        <f>VLOOKUP(D7,廠價表!$C$1:$E$39,3,0)</f>
        <v>57.21</v>
      </c>
      <c r="G7" s="25">
        <v>1709</v>
      </c>
      <c r="H7" s="15">
        <f t="shared" si="1"/>
        <v>97771.89</v>
      </c>
      <c r="I7" s="190"/>
      <c r="J7" s="16">
        <f>VLOOKUP(D7,產線配置圖!$A$2:$C$38,2,0)</f>
        <v>14</v>
      </c>
      <c r="K7" s="14">
        <f>VLOOKUP(D7,產線配置圖!$A$2:$C$38,3,0)</f>
        <v>1895</v>
      </c>
      <c r="L7" s="17">
        <f>K7/J7</f>
        <v>135.35714285714286</v>
      </c>
      <c r="M7" s="188">
        <v>13</v>
      </c>
      <c r="N7" s="14">
        <f>G7/W7*60</f>
        <v>1627.6190476190493</v>
      </c>
      <c r="O7" s="17">
        <f>N7/M7</f>
        <v>125.20146520146533</v>
      </c>
      <c r="P7" s="18">
        <f>M7-J7</f>
        <v>-1</v>
      </c>
      <c r="Q7" s="19">
        <f>O7-L7</f>
        <v>-10.155677655677536</v>
      </c>
      <c r="R7" s="193">
        <f>O7/L7</f>
        <v>0.92497124687098387</v>
      </c>
      <c r="S7" s="409"/>
      <c r="T7" s="98">
        <v>0.40138888888888891</v>
      </c>
      <c r="U7" s="98">
        <v>0.44513888888888886</v>
      </c>
      <c r="V7" s="185">
        <f>(T7-U6)*24*60</f>
        <v>10.000000000000044</v>
      </c>
      <c r="W7" s="190">
        <f t="shared" si="0"/>
        <v>62.999999999999936</v>
      </c>
      <c r="X7" s="22"/>
      <c r="Y7" s="22"/>
      <c r="Z7" s="400"/>
      <c r="AA7" s="400"/>
      <c r="AB7" s="18">
        <f>N7-K7</f>
        <v>-267.3809523809507</v>
      </c>
      <c r="AC7" s="193">
        <f>N7/K7</f>
        <v>0.8589018720944851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2708</v>
      </c>
      <c r="H8" s="15">
        <f t="shared" si="1"/>
        <v>133071.12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1957.5903614457845</v>
      </c>
      <c r="O8" s="17">
        <f>N8/M8</f>
        <v>150.58387395736804</v>
      </c>
      <c r="P8" s="18">
        <f>M8-J8</f>
        <v>0</v>
      </c>
      <c r="Q8" s="19">
        <f>O8-L8</f>
        <v>-3.2622798887857982</v>
      </c>
      <c r="R8" s="193">
        <f>O8/L8</f>
        <v>0.97879518072289229</v>
      </c>
      <c r="S8" s="409"/>
      <c r="T8" s="80">
        <v>0.45277777777777778</v>
      </c>
      <c r="U8" s="80">
        <v>0.51041666666666663</v>
      </c>
      <c r="V8" s="185">
        <f>(T8-U7)*24*60</f>
        <v>11.000000000000041</v>
      </c>
      <c r="W8" s="190">
        <f t="shared" si="0"/>
        <v>82.999999999999943</v>
      </c>
      <c r="X8" s="22">
        <v>0.52083333333333337</v>
      </c>
      <c r="Y8" s="22">
        <v>0.5625</v>
      </c>
      <c r="Z8" s="447"/>
      <c r="AA8" s="447"/>
      <c r="AB8" s="18">
        <f>N8-K8</f>
        <v>-42.409638554215462</v>
      </c>
      <c r="AC8" s="193">
        <f>N8/K8</f>
        <v>0.97879518072289229</v>
      </c>
      <c r="AD8" s="392"/>
    </row>
    <row r="9" spans="1:30" ht="15" customHeight="1" x14ac:dyDescent="0.25">
      <c r="A9" s="466"/>
      <c r="B9" s="56" t="s">
        <v>63</v>
      </c>
      <c r="C9" s="10"/>
      <c r="D9" s="11" t="s">
        <v>150</v>
      </c>
      <c r="E9" s="89"/>
      <c r="F9" s="56">
        <f>VLOOKUP(D9,廠價表!$C$1:$E$39,3,0)</f>
        <v>49.14</v>
      </c>
      <c r="G9" s="25">
        <v>4745</v>
      </c>
      <c r="H9" s="15">
        <f t="shared" si="1"/>
        <v>233169.3</v>
      </c>
      <c r="I9" s="190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8">
        <v>13</v>
      </c>
      <c r="N9" s="14">
        <f>G9/W9*60</f>
        <v>1977.0833333333335</v>
      </c>
      <c r="O9" s="17">
        <f>N9/M9</f>
        <v>152.08333333333334</v>
      </c>
      <c r="P9" s="18">
        <f>M9-J9</f>
        <v>0</v>
      </c>
      <c r="Q9" s="19">
        <f>O9-L9</f>
        <v>-1.7628205128204968</v>
      </c>
      <c r="R9" s="193">
        <f>O9/L9</f>
        <v>0.98854166666666676</v>
      </c>
      <c r="S9" s="410"/>
      <c r="T9" s="20">
        <v>0.57152777777777775</v>
      </c>
      <c r="U9" s="20">
        <v>0.67152777777777772</v>
      </c>
      <c r="V9" s="185">
        <f>(T9-U8)*24*60</f>
        <v>88</v>
      </c>
      <c r="W9" s="24">
        <f t="shared" si="0"/>
        <v>143.99999999999997</v>
      </c>
      <c r="X9" s="22"/>
      <c r="Y9" s="283"/>
      <c r="Z9" s="495"/>
      <c r="AA9" s="495"/>
      <c r="AB9" s="18">
        <f>N9-K9</f>
        <v>-22.916666666666515</v>
      </c>
      <c r="AC9" s="193">
        <f>N9/K9</f>
        <v>0.98854166666666676</v>
      </c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13.6</v>
      </c>
      <c r="K15" s="121">
        <f t="shared" si="2"/>
        <v>1979</v>
      </c>
      <c r="L15" s="118">
        <f t="shared" si="2"/>
        <v>146.04578754578753</v>
      </c>
      <c r="M15" s="121">
        <f t="shared" si="2"/>
        <v>13.2</v>
      </c>
      <c r="N15" s="121">
        <f t="shared" si="2"/>
        <v>1830.4619967554961</v>
      </c>
      <c r="O15" s="118">
        <f t="shared" si="2"/>
        <v>138.84266212253343</v>
      </c>
      <c r="P15" s="122">
        <f t="shared" ref="P15:P16" si="3">M15-J15</f>
        <v>-0.40000000000000036</v>
      </c>
      <c r="Q15" s="123">
        <f t="shared" ref="Q15:Q16" si="4">O15-L15</f>
        <v>-7.2031254232541073</v>
      </c>
      <c r="R15" s="124">
        <f t="shared" ref="R15:R16" si="5">O15/L15</f>
        <v>0.95067899222361463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 t="shared" ref="AB15:AB20" si="6">N15-K15</f>
        <v>-148.5380032445039</v>
      </c>
      <c r="AC15" s="195">
        <f t="shared" ref="AC15:AC20" si="7">N15/K15</f>
        <v>0.92494289881530878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2114</v>
      </c>
      <c r="H16" s="128">
        <f t="shared" ref="H16:H25" si="8">F16*G16</f>
        <v>120941.94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1838.2608695652173</v>
      </c>
      <c r="O16" s="131">
        <f>N16/M16</f>
        <v>141.40468227424748</v>
      </c>
      <c r="P16" s="132">
        <f t="shared" si="3"/>
        <v>0</v>
      </c>
      <c r="Q16" s="133">
        <f t="shared" si="4"/>
        <v>-12.441471571906362</v>
      </c>
      <c r="R16" s="197">
        <f t="shared" si="5"/>
        <v>0.9191304347826087</v>
      </c>
      <c r="S16" s="433">
        <f>R26</f>
        <v>0.92992586587394666</v>
      </c>
      <c r="T16" s="288">
        <v>0.29097222222222224</v>
      </c>
      <c r="U16" s="288">
        <v>0.33888888888888891</v>
      </c>
      <c r="V16" s="129"/>
      <c r="W16" s="134">
        <f t="shared" ref="W16:W68" si="9">(U16-T16)*24*60</f>
        <v>69</v>
      </c>
      <c r="X16" s="131"/>
      <c r="Y16" s="131"/>
      <c r="Z16" s="423"/>
      <c r="AA16" s="423"/>
      <c r="AB16" s="114">
        <f t="shared" si="6"/>
        <v>-161.73913043478274</v>
      </c>
      <c r="AC16" s="192">
        <f t="shared" si="7"/>
        <v>0.91913043478260859</v>
      </c>
      <c r="AD16" s="391">
        <f>AC26</f>
        <v>0.93006345740968177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3890</v>
      </c>
      <c r="H17" s="15">
        <f>F17*G17</f>
        <v>197106.30000000002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1754.8872180451126</v>
      </c>
      <c r="O17" s="38">
        <f>N17/M17</f>
        <v>116.9924812030075</v>
      </c>
      <c r="P17" s="39">
        <f>M17-J17</f>
        <v>0</v>
      </c>
      <c r="Q17" s="40">
        <f>O17-L17</f>
        <v>-16.340852130325842</v>
      </c>
      <c r="R17" s="198">
        <f>O17/L17</f>
        <v>0.87744360902255614</v>
      </c>
      <c r="S17" s="434"/>
      <c r="T17" s="41">
        <v>0.34722222222222221</v>
      </c>
      <c r="U17" s="41">
        <v>0.43958333333333333</v>
      </c>
      <c r="V17" s="185">
        <f>(T17-U16)*24*60</f>
        <v>11.999999999999957</v>
      </c>
      <c r="W17" s="43">
        <f t="shared" si="9"/>
        <v>133</v>
      </c>
      <c r="X17" s="44"/>
      <c r="Y17" s="44"/>
      <c r="Z17" s="399"/>
      <c r="AA17" s="400"/>
      <c r="AB17" s="18">
        <f t="shared" si="6"/>
        <v>-245.1127819548874</v>
      </c>
      <c r="AC17" s="193">
        <f t="shared" si="7"/>
        <v>0.87744360902255625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2814</v>
      </c>
      <c r="H18" s="15">
        <f>F18*G18</f>
        <v>141797.46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1876.0000000000018</v>
      </c>
      <c r="O18" s="38">
        <f>N18/M18</f>
        <v>156.33333333333348</v>
      </c>
      <c r="P18" s="39">
        <f>M18-J18</f>
        <v>0</v>
      </c>
      <c r="Q18" s="40">
        <f>O18-L18</f>
        <v>-10.333333333333172</v>
      </c>
      <c r="R18" s="198">
        <f>O18/L18</f>
        <v>0.93800000000000094</v>
      </c>
      <c r="S18" s="434"/>
      <c r="T18" s="41">
        <v>0.44791666666666669</v>
      </c>
      <c r="U18" s="41">
        <v>0.51041666666666663</v>
      </c>
      <c r="V18" s="185">
        <f>(T18-U17)*24*60</f>
        <v>12.000000000000037</v>
      </c>
      <c r="W18" s="43">
        <f t="shared" si="9"/>
        <v>89.999999999999915</v>
      </c>
      <c r="X18" s="22"/>
      <c r="Y18" s="22"/>
      <c r="Z18" s="399"/>
      <c r="AA18" s="400"/>
      <c r="AB18" s="18">
        <f t="shared" si="6"/>
        <v>-123.99999999999818</v>
      </c>
      <c r="AC18" s="193">
        <f t="shared" si="7"/>
        <v>0.93800000000000094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4567</v>
      </c>
      <c r="H19" s="15">
        <f t="shared" ref="H19:H20" si="10">F19*G19</f>
        <v>230131.13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11">K19/J19</f>
        <v>166.66666666666666</v>
      </c>
      <c r="M19" s="37">
        <v>12</v>
      </c>
      <c r="N19" s="36">
        <f>G19/W19*60</f>
        <v>1851.4864864864851</v>
      </c>
      <c r="O19" s="38">
        <f>N19/M19</f>
        <v>154.29054054054043</v>
      </c>
      <c r="P19" s="39">
        <f>M19-J19</f>
        <v>0</v>
      </c>
      <c r="Q19" s="40">
        <f>O19-L19</f>
        <v>-12.376126126126223</v>
      </c>
      <c r="R19" s="198">
        <f>O19/L19</f>
        <v>0.92574324324324264</v>
      </c>
      <c r="S19" s="434"/>
      <c r="T19" s="41">
        <v>0.57291666666666663</v>
      </c>
      <c r="U19" s="41">
        <v>0.67569444444444449</v>
      </c>
      <c r="V19" s="185">
        <f>(T19-U18)*24*60</f>
        <v>90</v>
      </c>
      <c r="W19" s="43">
        <f t="shared" si="9"/>
        <v>148.00000000000011</v>
      </c>
      <c r="X19" s="22">
        <v>0.52083333333333337</v>
      </c>
      <c r="Y19" s="22">
        <v>0.5625</v>
      </c>
      <c r="Z19" s="398"/>
      <c r="AA19" s="399"/>
      <c r="AB19" s="18">
        <f t="shared" si="6"/>
        <v>-148.51351351351491</v>
      </c>
      <c r="AC19" s="193">
        <f t="shared" si="7"/>
        <v>0.92574324324324253</v>
      </c>
      <c r="AD19" s="395"/>
    </row>
    <row r="20" spans="1:30" ht="15" customHeight="1" x14ac:dyDescent="0.25">
      <c r="A20" s="439"/>
      <c r="B20" s="56" t="s">
        <v>140</v>
      </c>
      <c r="C20" s="23"/>
      <c r="D20" s="11" t="s">
        <v>222</v>
      </c>
      <c r="E20" s="12"/>
      <c r="F20" s="56">
        <f>VLOOKUP(D20,廠價表!$C$1:$E$39,3,0)</f>
        <v>50.67</v>
      </c>
      <c r="G20" s="99">
        <v>1980</v>
      </c>
      <c r="H20" s="15">
        <f t="shared" si="10"/>
        <v>100326.6</v>
      </c>
      <c r="I20" s="185"/>
      <c r="J20" s="16">
        <v>15</v>
      </c>
      <c r="K20" s="14">
        <v>2000</v>
      </c>
      <c r="L20" s="17">
        <v>133.33333333333334</v>
      </c>
      <c r="M20" s="37">
        <v>15</v>
      </c>
      <c r="N20" s="36">
        <f>G20/W20*60</f>
        <v>1980.0000000000018</v>
      </c>
      <c r="O20" s="38">
        <f>N20/M20</f>
        <v>132.00000000000011</v>
      </c>
      <c r="P20" s="39">
        <v>0</v>
      </c>
      <c r="Q20" s="40">
        <v>-13.500000000000057</v>
      </c>
      <c r="R20" s="198">
        <v>0.8987499999999996</v>
      </c>
      <c r="S20" s="434"/>
      <c r="T20" s="41">
        <v>0.68055555555555558</v>
      </c>
      <c r="U20" s="41">
        <v>0.72222222222222221</v>
      </c>
      <c r="V20" s="185">
        <f>(T20-U19)*24*60</f>
        <v>6.9999999999999751</v>
      </c>
      <c r="W20" s="43">
        <f t="shared" si="9"/>
        <v>59.999999999999943</v>
      </c>
      <c r="X20" s="44"/>
      <c r="Y20" s="44"/>
      <c r="Z20" s="399"/>
      <c r="AA20" s="400"/>
      <c r="AB20" s="18">
        <f t="shared" si="6"/>
        <v>-19.999999999998181</v>
      </c>
      <c r="AC20" s="193">
        <f t="shared" si="7"/>
        <v>0.99000000000000088</v>
      </c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8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8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8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9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8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9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8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9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2">AVERAGE(J16:J25)</f>
        <v>13.4</v>
      </c>
      <c r="K26" s="137">
        <f t="shared" si="12"/>
        <v>2000</v>
      </c>
      <c r="L26" s="140">
        <f t="shared" si="12"/>
        <v>150.76923076923077</v>
      </c>
      <c r="M26" s="137">
        <f t="shared" si="12"/>
        <v>13.4</v>
      </c>
      <c r="N26" s="137">
        <f t="shared" si="12"/>
        <v>1860.1269148193635</v>
      </c>
      <c r="O26" s="140">
        <f t="shared" si="12"/>
        <v>140.20420747022581</v>
      </c>
      <c r="P26" s="141">
        <f t="shared" ref="P26:P28" si="13">M26-J26</f>
        <v>0</v>
      </c>
      <c r="Q26" s="142">
        <f t="shared" ref="Q26:Q28" si="14">O26-L26</f>
        <v>-10.565023299004963</v>
      </c>
      <c r="R26" s="143">
        <f t="shared" ref="R26:R28" si="15">O26/L26</f>
        <v>0.92992586587394666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-139.87308518063651</v>
      </c>
      <c r="AC26" s="195">
        <f>N26/K26</f>
        <v>0.93006345740968177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3275</v>
      </c>
      <c r="H27" s="128">
        <f t="shared" ref="H27:H36" si="16">F27*G27</f>
        <v>180550.75</v>
      </c>
      <c r="I27" s="129"/>
      <c r="J27" s="111">
        <f>VLOOKUP(D27,產線配置圖!$A$2:$C$38,2,0)</f>
        <v>18</v>
      </c>
      <c r="K27" s="252">
        <f>VLOOKUP(D27,產線配置圖!$A$2:$C$38,3,0)</f>
        <v>1385</v>
      </c>
      <c r="L27" s="112">
        <f>K27/J27</f>
        <v>76.944444444444443</v>
      </c>
      <c r="M27" s="147">
        <v>17</v>
      </c>
      <c r="N27" s="130">
        <f>G27/W27*60</f>
        <v>1190.909090909091</v>
      </c>
      <c r="O27" s="131">
        <f>N27/M27</f>
        <v>70.053475935828885</v>
      </c>
      <c r="P27" s="132">
        <f t="shared" si="13"/>
        <v>-1</v>
      </c>
      <c r="Q27" s="133">
        <f t="shared" si="14"/>
        <v>-6.8909685086155577</v>
      </c>
      <c r="R27" s="197">
        <f>O27/L27</f>
        <v>0.91044228653062809</v>
      </c>
      <c r="S27" s="433">
        <f>R37</f>
        <v>0.86320756151766298</v>
      </c>
      <c r="T27" s="97">
        <v>0.29166666666666669</v>
      </c>
      <c r="U27" s="97">
        <v>0.40625</v>
      </c>
      <c r="V27" s="129"/>
      <c r="W27" s="134">
        <f t="shared" si="9"/>
        <v>164.99999999999997</v>
      </c>
      <c r="X27" s="129"/>
      <c r="Y27" s="129" t="s">
        <v>158</v>
      </c>
      <c r="Z27" s="414"/>
      <c r="AA27" s="423"/>
      <c r="AB27" s="114">
        <f>N27-K27</f>
        <v>-194.09090909090901</v>
      </c>
      <c r="AC27" s="148">
        <f>N27/K27</f>
        <v>0.85986215950114875</v>
      </c>
      <c r="AD27" s="391">
        <f>AC37</f>
        <v>0.84001988103587966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2698</v>
      </c>
      <c r="H28" s="50">
        <f t="shared" si="16"/>
        <v>153435.25999999998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16</v>
      </c>
      <c r="N28" s="36">
        <f>G28/W28*60</f>
        <v>1254.8837209302321</v>
      </c>
      <c r="O28" s="38">
        <f>N28/M28</f>
        <v>78.430232558139508</v>
      </c>
      <c r="P28" s="39">
        <f t="shared" si="13"/>
        <v>-1</v>
      </c>
      <c r="Q28" s="40">
        <f t="shared" si="14"/>
        <v>-9.8050615595075499</v>
      </c>
      <c r="R28" s="198">
        <f t="shared" si="15"/>
        <v>0.88887596899224774</v>
      </c>
      <c r="S28" s="434"/>
      <c r="T28" s="291">
        <v>0.41249999999999998</v>
      </c>
      <c r="U28" s="291">
        <v>0.50208333333333333</v>
      </c>
      <c r="V28" s="42">
        <f>(T28-U27)*24*60</f>
        <v>8.999999999999968</v>
      </c>
      <c r="W28" s="43">
        <f t="shared" si="9"/>
        <v>129.00000000000003</v>
      </c>
      <c r="X28" s="54"/>
      <c r="Y28" s="54"/>
      <c r="Z28" s="399"/>
      <c r="AA28" s="400"/>
      <c r="AB28" s="34">
        <f>N28-K28</f>
        <v>-245.11627906976787</v>
      </c>
      <c r="AC28" s="194">
        <f>N28/K28</f>
        <v>0.83658914728682143</v>
      </c>
      <c r="AD28" s="392"/>
    </row>
    <row r="29" spans="1:30" ht="15" customHeight="1" x14ac:dyDescent="0.25">
      <c r="A29" s="431"/>
      <c r="B29" s="56" t="s">
        <v>63</v>
      </c>
      <c r="C29" s="10"/>
      <c r="D29" s="11" t="s">
        <v>154</v>
      </c>
      <c r="E29" s="89"/>
      <c r="F29" s="56">
        <f>VLOOKUP(D29,廠價表!$C$1:$E$39,3,0)</f>
        <v>49.91</v>
      </c>
      <c r="G29" s="53">
        <v>967</v>
      </c>
      <c r="H29" s="50">
        <f t="shared" ref="H29:H30" si="17">F29*G29</f>
        <v>48262.969999999994</v>
      </c>
      <c r="I29" s="42"/>
      <c r="J29" s="16">
        <f>VLOOKUP(D29,產線配置圖!$A$2:$C$38,2,0)</f>
        <v>17</v>
      </c>
      <c r="K29" s="14">
        <f>VLOOKUP(D29,產線配置圖!$A$2:$C$38,3,0)</f>
        <v>1565</v>
      </c>
      <c r="L29" s="251">
        <f>K29/J29</f>
        <v>92.058823529411768</v>
      </c>
      <c r="M29" s="21">
        <v>17</v>
      </c>
      <c r="N29" s="36">
        <f>G29/W29*60</f>
        <v>1289.3333333333333</v>
      </c>
      <c r="O29" s="38">
        <f>N29/M29</f>
        <v>75.843137254901961</v>
      </c>
      <c r="P29" s="39">
        <f t="shared" ref="P29:P30" si="18">M29-J29</f>
        <v>0</v>
      </c>
      <c r="Q29" s="40">
        <f t="shared" ref="Q29:Q30" si="19">O29-L29</f>
        <v>-16.215686274509807</v>
      </c>
      <c r="R29" s="198">
        <f t="shared" ref="R29:R30" si="20">O29/L29</f>
        <v>0.82385516506922252</v>
      </c>
      <c r="S29" s="434"/>
      <c r="T29" s="41">
        <v>0.57291666666666663</v>
      </c>
      <c r="U29" s="41">
        <v>0.60416666666666663</v>
      </c>
      <c r="V29" s="42">
        <f t="shared" ref="V29:V30" si="21">(T29-U28)*24*60</f>
        <v>101.99999999999996</v>
      </c>
      <c r="W29" s="43">
        <f t="shared" si="9"/>
        <v>45</v>
      </c>
      <c r="X29" s="54">
        <v>0.51041666666666663</v>
      </c>
      <c r="Y29" s="54">
        <v>0.55208333333333337</v>
      </c>
      <c r="Z29" s="399"/>
      <c r="AA29" s="398"/>
      <c r="AB29" s="34">
        <f t="shared" ref="AB29:AB30" si="22">N29-K29</f>
        <v>-275.66666666666674</v>
      </c>
      <c r="AC29" s="194">
        <f t="shared" ref="AC29:AC30" si="23">N29/K29</f>
        <v>0.82385516506922252</v>
      </c>
      <c r="AD29" s="393"/>
    </row>
    <row r="30" spans="1:30" ht="15" customHeight="1" x14ac:dyDescent="0.25">
      <c r="A30" s="431"/>
      <c r="B30" s="56" t="str">
        <f>VLOOKUP(D30,廠價表!$C$1:$E$39,2,0)</f>
        <v>義大利麵</v>
      </c>
      <c r="C30" s="10"/>
      <c r="D30" s="11" t="s">
        <v>148</v>
      </c>
      <c r="E30" s="89"/>
      <c r="F30" s="56">
        <f>VLOOKUP(D30,廠價表!$C$1:$E$39,3,0)</f>
        <v>57.21</v>
      </c>
      <c r="G30" s="53">
        <v>1329</v>
      </c>
      <c r="H30" s="50">
        <f t="shared" si="17"/>
        <v>76032.09</v>
      </c>
      <c r="I30" s="42"/>
      <c r="J30" s="16">
        <v>18</v>
      </c>
      <c r="K30" s="14">
        <f>VLOOKUP(D30,產線配置圖!$A$2:$C$38,3,0)</f>
        <v>1895</v>
      </c>
      <c r="L30" s="251">
        <f>K30/J30</f>
        <v>105.27777777777777</v>
      </c>
      <c r="M30" s="21">
        <v>18</v>
      </c>
      <c r="N30" s="36">
        <f>G30/W30*60</f>
        <v>1594.8000000000006</v>
      </c>
      <c r="O30" s="38">
        <f>N30/M30</f>
        <v>88.600000000000037</v>
      </c>
      <c r="P30" s="39">
        <f t="shared" si="18"/>
        <v>0</v>
      </c>
      <c r="Q30" s="40">
        <f t="shared" si="19"/>
        <v>-16.677777777777735</v>
      </c>
      <c r="R30" s="198">
        <f t="shared" si="20"/>
        <v>0.84158311345646475</v>
      </c>
      <c r="S30" s="434"/>
      <c r="T30" s="41">
        <v>0.61805555555555558</v>
      </c>
      <c r="U30" s="41">
        <v>0.65277777777777779</v>
      </c>
      <c r="V30" s="42">
        <f t="shared" si="21"/>
        <v>20.000000000000089</v>
      </c>
      <c r="W30" s="43">
        <f t="shared" si="9"/>
        <v>49.999999999999986</v>
      </c>
      <c r="X30" s="54"/>
      <c r="Y30" s="54"/>
      <c r="Z30" s="479"/>
      <c r="AA30" s="480"/>
      <c r="AB30" s="34">
        <f t="shared" si="22"/>
        <v>-300.19999999999936</v>
      </c>
      <c r="AC30" s="194">
        <f t="shared" si="23"/>
        <v>0.84158311345646475</v>
      </c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9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6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9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6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9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6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9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6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9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6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9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24">AVERAGE(J27:J36)</f>
        <v>17.5</v>
      </c>
      <c r="K37" s="314">
        <f t="shared" si="24"/>
        <v>1586.25</v>
      </c>
      <c r="L37" s="315">
        <f t="shared" si="24"/>
        <v>90.629084967320253</v>
      </c>
      <c r="M37" s="314">
        <f t="shared" si="24"/>
        <v>17</v>
      </c>
      <c r="N37" s="314">
        <f t="shared" si="24"/>
        <v>1332.481536293164</v>
      </c>
      <c r="O37" s="315">
        <f t="shared" si="24"/>
        <v>78.231711437217598</v>
      </c>
      <c r="P37" s="74">
        <f>M37-J37</f>
        <v>-0.5</v>
      </c>
      <c r="Q37" s="75">
        <f>N37-K37</f>
        <v>-253.76846370683597</v>
      </c>
      <c r="R37" s="316">
        <f t="shared" ref="R37:R38" si="25">O37/L37</f>
        <v>0.86320756151766298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122">
        <f t="shared" ref="AB37:AB40" si="26">N37-K37</f>
        <v>-253.76846370683597</v>
      </c>
      <c r="AC37" s="195">
        <f t="shared" ref="AC37:AC40" si="27">N37/K37</f>
        <v>0.84001988103587966</v>
      </c>
      <c r="AD37" s="396"/>
    </row>
    <row r="38" spans="1:30" s="63" customFormat="1" ht="15" customHeight="1" x14ac:dyDescent="0.25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2384</v>
      </c>
      <c r="H38" s="64">
        <f>F38*G38</f>
        <v>118985.43999999999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16</v>
      </c>
      <c r="N38" s="130">
        <f>G38/W38*60</f>
        <v>1362.285714285714</v>
      </c>
      <c r="O38" s="131">
        <f>N38/M38</f>
        <v>85.142857142857125</v>
      </c>
      <c r="P38" s="132">
        <f t="shared" ref="P38" si="28">M38-J38</f>
        <v>-1</v>
      </c>
      <c r="Q38" s="133">
        <f t="shared" ref="Q38" si="29">O38-L38</f>
        <v>-6.9159663865546435</v>
      </c>
      <c r="R38" s="197">
        <f t="shared" si="25"/>
        <v>0.92487448653582816</v>
      </c>
      <c r="S38" s="493">
        <f>R48</f>
        <v>0.79453289485728928</v>
      </c>
      <c r="T38" s="157">
        <v>0.33333333333333331</v>
      </c>
      <c r="U38" s="157">
        <v>0.40625</v>
      </c>
      <c r="V38" s="153"/>
      <c r="W38" s="158">
        <f t="shared" si="9"/>
        <v>105.00000000000003</v>
      </c>
      <c r="X38" s="155"/>
      <c r="Y38" s="159"/>
      <c r="Z38" s="428"/>
      <c r="AA38" s="475"/>
      <c r="AB38" s="335">
        <f t="shared" si="26"/>
        <v>-202.71428571428601</v>
      </c>
      <c r="AC38" s="336">
        <f t="shared" si="27"/>
        <v>0.87047010497489707</v>
      </c>
      <c r="AD38" s="388">
        <f>AC48</f>
        <v>0.76068361985317001</v>
      </c>
    </row>
    <row r="39" spans="1:30" s="63" customFormat="1" ht="15" customHeight="1" x14ac:dyDescent="0.25">
      <c r="A39" s="425"/>
      <c r="B39" s="56" t="s">
        <v>63</v>
      </c>
      <c r="C39" s="306"/>
      <c r="D39" s="308" t="s">
        <v>223</v>
      </c>
      <c r="E39" s="307"/>
      <c r="F39" s="56">
        <f>VLOOKUP(D39,廠價表!$C$1:$E$39,3,0)</f>
        <v>57.3</v>
      </c>
      <c r="G39" s="305">
        <v>1971</v>
      </c>
      <c r="H39" s="64">
        <f t="shared" ref="H39:H40" si="30">F39*G39</f>
        <v>112938.29999999999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 t="shared" ref="L39" si="31">K39/J39</f>
        <v>81.470588235294116</v>
      </c>
      <c r="M39" s="66">
        <v>16</v>
      </c>
      <c r="N39" s="67">
        <f t="shared" ref="N39:N40" si="32">G39/W39*60</f>
        <v>985.50000000000023</v>
      </c>
      <c r="O39" s="68">
        <f t="shared" ref="O39:O40" si="33">N39/M39</f>
        <v>61.593750000000014</v>
      </c>
      <c r="P39" s="39">
        <f t="shared" ref="P39:P40" si="34">M39-J39</f>
        <v>-1</v>
      </c>
      <c r="Q39" s="40">
        <f t="shared" ref="Q39:Q40" si="35">O39-L39</f>
        <v>-19.876838235294102</v>
      </c>
      <c r="R39" s="198">
        <f t="shared" ref="R39:R40" si="36">O39/L39</f>
        <v>0.75602436823104713</v>
      </c>
      <c r="S39" s="494"/>
      <c r="T39" s="59">
        <v>0.41666666666666669</v>
      </c>
      <c r="U39" s="59">
        <v>0.5</v>
      </c>
      <c r="V39" s="42">
        <f t="shared" ref="V39:V40" si="37">(T39-U38)*24*60</f>
        <v>15.000000000000027</v>
      </c>
      <c r="W39" s="70">
        <f t="shared" si="9"/>
        <v>119.99999999999997</v>
      </c>
      <c r="X39" s="22"/>
      <c r="Y39" s="22"/>
      <c r="Z39" s="505" t="s">
        <v>258</v>
      </c>
      <c r="AA39" s="506"/>
      <c r="AB39" s="292">
        <f t="shared" si="26"/>
        <v>-399.49999999999977</v>
      </c>
      <c r="AC39" s="62">
        <f t="shared" si="27"/>
        <v>0.71155234657039723</v>
      </c>
      <c r="AD39" s="389"/>
    </row>
    <row r="40" spans="1:30" s="63" customFormat="1" ht="15" customHeight="1" x14ac:dyDescent="0.25">
      <c r="A40" s="425"/>
      <c r="B40" s="56" t="s">
        <v>63</v>
      </c>
      <c r="C40" s="306"/>
      <c r="D40" s="308" t="s">
        <v>223</v>
      </c>
      <c r="E40" s="307"/>
      <c r="F40" s="56">
        <f>VLOOKUP(D40,廠價表!$C$1:$E$39,3,0)</f>
        <v>57.3</v>
      </c>
      <c r="G40" s="305">
        <v>2137</v>
      </c>
      <c r="H40" s="64">
        <f t="shared" si="30"/>
        <v>122450.09999999999</v>
      </c>
      <c r="I40" s="65"/>
      <c r="J40" s="332">
        <f>VLOOKUP(D40,產線配置圖!$A$2:$C$38,2,0)</f>
        <v>17</v>
      </c>
      <c r="K40" s="333">
        <f>VLOOKUP(D40,產線配置圖!$A$2:$C$38,3,0)</f>
        <v>1385</v>
      </c>
      <c r="L40" s="334">
        <f>K40/J40</f>
        <v>81.470588235294116</v>
      </c>
      <c r="M40" s="66">
        <v>17</v>
      </c>
      <c r="N40" s="67">
        <f t="shared" si="32"/>
        <v>949.77777777777771</v>
      </c>
      <c r="O40" s="68">
        <f t="shared" si="33"/>
        <v>55.869281045751627</v>
      </c>
      <c r="P40" s="39">
        <f t="shared" si="34"/>
        <v>0</v>
      </c>
      <c r="Q40" s="40">
        <f t="shared" si="35"/>
        <v>-25.601307189542489</v>
      </c>
      <c r="R40" s="198">
        <f t="shared" si="36"/>
        <v>0.68576012835940625</v>
      </c>
      <c r="S40" s="409"/>
      <c r="T40" s="59">
        <v>0.55555555555555558</v>
      </c>
      <c r="U40" s="59">
        <v>0.64930555555555558</v>
      </c>
      <c r="V40" s="42">
        <f t="shared" si="37"/>
        <v>80.000000000000028</v>
      </c>
      <c r="W40" s="70">
        <f t="shared" si="9"/>
        <v>135</v>
      </c>
      <c r="X40" s="71">
        <v>0.50694444444444442</v>
      </c>
      <c r="Y40" s="278">
        <v>0.54861111111111116</v>
      </c>
      <c r="Z40" s="505" t="s">
        <v>258</v>
      </c>
      <c r="AA40" s="506"/>
      <c r="AB40" s="292">
        <f t="shared" si="26"/>
        <v>-435.22222222222229</v>
      </c>
      <c r="AC40" s="62">
        <f t="shared" si="27"/>
        <v>0.68576012835940625</v>
      </c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9"/>
        <v>0</v>
      </c>
      <c r="X41" s="71"/>
      <c r="Y41" s="278"/>
      <c r="Z41" s="428"/>
      <c r="AA41" s="428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38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9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38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38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39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38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39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38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39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38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39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40">AVERAGE(J38:J47)</f>
        <v>17</v>
      </c>
      <c r="K48" s="137">
        <f t="shared" si="40"/>
        <v>1445</v>
      </c>
      <c r="L48" s="140">
        <f t="shared" si="40"/>
        <v>85</v>
      </c>
      <c r="M48" s="137">
        <f t="shared" si="40"/>
        <v>16.333333333333332</v>
      </c>
      <c r="N48" s="137">
        <f t="shared" si="40"/>
        <v>1099.1878306878307</v>
      </c>
      <c r="O48" s="140">
        <f t="shared" si="40"/>
        <v>67.535296062869591</v>
      </c>
      <c r="P48" s="164">
        <f>M48-J48</f>
        <v>-0.66666666666666785</v>
      </c>
      <c r="Q48" s="165">
        <f>N48-K48</f>
        <v>-345.81216931216932</v>
      </c>
      <c r="R48" s="166">
        <f>O48/L48</f>
        <v>0.79453289485728928</v>
      </c>
      <c r="S48" s="412"/>
      <c r="T48" s="167"/>
      <c r="U48" s="167"/>
      <c r="V48" s="204"/>
      <c r="W48" s="168">
        <f t="shared" si="39"/>
        <v>0</v>
      </c>
      <c r="X48" s="169"/>
      <c r="Y48" s="169"/>
      <c r="Z48" s="401"/>
      <c r="AA48" s="401"/>
      <c r="AB48" s="170">
        <f>N48-K48</f>
        <v>-345.81216931216932</v>
      </c>
      <c r="AC48" s="199">
        <f>N48/K48</f>
        <v>0.76068361985317001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7889</v>
      </c>
      <c r="H49" s="128">
        <f t="shared" ref="H49:H57" si="41">F49*G49</f>
        <v>394213.33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1512.2683706070293</v>
      </c>
      <c r="O49" s="131">
        <f>N49/M49</f>
        <v>84.014909478168292</v>
      </c>
      <c r="P49" s="171">
        <f>M49-J49</f>
        <v>0</v>
      </c>
      <c r="Q49" s="115">
        <f>O49-L49</f>
        <v>-2.929534966276151</v>
      </c>
      <c r="R49" s="192">
        <f>O49/L49</f>
        <v>0.96630566811950758</v>
      </c>
      <c r="S49" s="408">
        <f>R58</f>
        <v>0.9454712227342722</v>
      </c>
      <c r="T49" s="157">
        <v>0.29166666666666669</v>
      </c>
      <c r="U49" s="157">
        <v>0.50902777777777775</v>
      </c>
      <c r="V49" s="196"/>
      <c r="W49" s="158">
        <f t="shared" si="9"/>
        <v>312.99999999999989</v>
      </c>
      <c r="X49" s="196"/>
      <c r="Y49" s="196"/>
      <c r="Z49" s="423"/>
      <c r="AA49" s="423"/>
      <c r="AB49" s="114">
        <f>N49-K49</f>
        <v>-52.731629392970717</v>
      </c>
      <c r="AC49" s="192">
        <f>N49/K49</f>
        <v>0.96630566811950758</v>
      </c>
      <c r="AD49" s="391">
        <f>AC58</f>
        <v>0.92786390220424919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2369</v>
      </c>
      <c r="H50" s="77">
        <f t="shared" si="41"/>
        <v>134725.03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1450.4081632653065</v>
      </c>
      <c r="O50" s="79">
        <f>N50/M50</f>
        <v>85.318127250900375</v>
      </c>
      <c r="P50" s="18">
        <f>M50-J50</f>
        <v>0</v>
      </c>
      <c r="Q50" s="19">
        <f>O50-L50</f>
        <v>-2.9171668667466832</v>
      </c>
      <c r="R50" s="193">
        <f>O50/L50</f>
        <v>0.96693877551020424</v>
      </c>
      <c r="S50" s="409"/>
      <c r="T50" s="80">
        <v>0.56458333333333333</v>
      </c>
      <c r="U50" s="80">
        <v>0.63263888888888886</v>
      </c>
      <c r="V50" s="185">
        <f t="shared" ref="V50:V51" si="42">(T50-U49)*24*60</f>
        <v>80.000000000000028</v>
      </c>
      <c r="W50" s="81">
        <f t="shared" si="9"/>
        <v>97.999999999999972</v>
      </c>
      <c r="X50" s="22">
        <v>0.51736111111111116</v>
      </c>
      <c r="Y50" s="22">
        <v>0.55902777777777779</v>
      </c>
      <c r="Z50" s="398"/>
      <c r="AA50" s="399"/>
      <c r="AB50" s="18">
        <f>N50-K50</f>
        <v>-49.591836734693516</v>
      </c>
      <c r="AC50" s="193">
        <f>N50/K50</f>
        <v>0.96693877551020435</v>
      </c>
      <c r="AD50" s="392"/>
    </row>
    <row r="51" spans="1:30" ht="15" customHeight="1" x14ac:dyDescent="0.25">
      <c r="A51" s="421"/>
      <c r="B51" s="56" t="str">
        <f>VLOOKUP(D51,廠價表!$C$1:$E$39,2,0)</f>
        <v>熱乾麵</v>
      </c>
      <c r="C51" s="10"/>
      <c r="D51" s="11" t="s">
        <v>154</v>
      </c>
      <c r="E51" s="89"/>
      <c r="F51" s="56">
        <f>VLOOKUP(D51,廠價表!$C$1:$E$39,3,0)</f>
        <v>49.91</v>
      </c>
      <c r="G51" s="67">
        <v>600</v>
      </c>
      <c r="H51" s="77">
        <f t="shared" si="41"/>
        <v>29945.999999999996</v>
      </c>
      <c r="I51" s="201"/>
      <c r="J51" s="16">
        <f>VLOOKUP(D51,產線配置圖!$A$2:$C$38,2,0)</f>
        <v>17</v>
      </c>
      <c r="K51" s="14">
        <f>VLOOKUP(D51,產線配置圖!$A$2:$C$38,3,0)</f>
        <v>1565</v>
      </c>
      <c r="L51" s="17">
        <f>K51/J51</f>
        <v>92.058823529411768</v>
      </c>
      <c r="M51" s="182">
        <v>16</v>
      </c>
      <c r="N51" s="78">
        <f>G51/W51*60</f>
        <v>1333.333333333338</v>
      </c>
      <c r="O51" s="79">
        <f>N51/M51</f>
        <v>83.333333333333627</v>
      </c>
      <c r="P51" s="18">
        <f>M51-J51</f>
        <v>-1</v>
      </c>
      <c r="Q51" s="19">
        <f>O51-L51</f>
        <v>-8.725490196078141</v>
      </c>
      <c r="R51" s="193">
        <f>O51/L51</f>
        <v>0.90521831735889557</v>
      </c>
      <c r="S51" s="409"/>
      <c r="T51" s="80">
        <v>0.64236111111111116</v>
      </c>
      <c r="U51" s="44">
        <v>0.66111111111111109</v>
      </c>
      <c r="V51" s="185">
        <f t="shared" si="42"/>
        <v>14.00000000000011</v>
      </c>
      <c r="W51" s="81">
        <f t="shared" si="9"/>
        <v>26.999999999999904</v>
      </c>
      <c r="X51" s="22"/>
      <c r="Y51" s="22"/>
      <c r="Z51" s="400"/>
      <c r="AA51" s="400"/>
      <c r="AB51" s="51"/>
      <c r="AC51" s="52"/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9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41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9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41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9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41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9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41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9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41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9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3">AVERAGE(J49:J57)</f>
        <v>17.333333333333332</v>
      </c>
      <c r="K58" s="121">
        <f t="shared" si="43"/>
        <v>1543.3333333333333</v>
      </c>
      <c r="L58" s="118">
        <f t="shared" si="43"/>
        <v>89.079520697167752</v>
      </c>
      <c r="M58" s="121">
        <f t="shared" si="43"/>
        <v>17</v>
      </c>
      <c r="N58" s="121">
        <f t="shared" si="43"/>
        <v>1432.0032890685579</v>
      </c>
      <c r="O58" s="118">
        <f t="shared" si="43"/>
        <v>84.222123354134098</v>
      </c>
      <c r="P58" s="122">
        <f>M58-J58</f>
        <v>-0.33333333333333215</v>
      </c>
      <c r="Q58" s="123">
        <f>N58-K58</f>
        <v>-111.33004426477532</v>
      </c>
      <c r="R58" s="124">
        <f t="shared" ref="R58:R60" si="44">O58/L58</f>
        <v>0.9454712227342722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45">N58-K58</f>
        <v>-111.33004426477532</v>
      </c>
      <c r="AC58" s="195">
        <f t="shared" ref="AC58:AC61" si="46">N58/K58</f>
        <v>0.92786390220424919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2796</v>
      </c>
      <c r="H59" s="109">
        <f t="shared" ref="H59:H68" si="47">F59*G59</f>
        <v>75464.039999999994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8">G59/W59*60</f>
        <v>1539.0825688073392</v>
      </c>
      <c r="O59" s="112">
        <f t="shared" ref="O59:O61" si="49">N59/M59</f>
        <v>118.39096683133378</v>
      </c>
      <c r="P59" s="114">
        <f t="shared" ref="P59:P61" si="50">M59-J59</f>
        <v>0</v>
      </c>
      <c r="Q59" s="115">
        <f t="shared" ref="Q59:Q61" si="51">O59-L59</f>
        <v>-1.9936485532816022</v>
      </c>
      <c r="R59" s="192">
        <f t="shared" si="44"/>
        <v>0.98343934109095155</v>
      </c>
      <c r="S59" s="408">
        <f>R69</f>
        <v>0.93622411319404619</v>
      </c>
      <c r="T59" s="176">
        <v>0.29166666666666669</v>
      </c>
      <c r="U59" s="176">
        <v>0.36736111111111114</v>
      </c>
      <c r="V59" s="196"/>
      <c r="W59" s="110">
        <f t="shared" si="9"/>
        <v>109.00000000000001</v>
      </c>
      <c r="X59" s="196"/>
      <c r="Y59" s="196"/>
      <c r="Z59" s="400"/>
      <c r="AA59" s="400"/>
      <c r="AB59" s="240">
        <f t="shared" si="45"/>
        <v>-25.917431192660842</v>
      </c>
      <c r="AC59" s="241">
        <f t="shared" si="46"/>
        <v>0.98343934109095155</v>
      </c>
      <c r="AD59" s="391">
        <f>AC69</f>
        <v>0.93789661874722108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1173</v>
      </c>
      <c r="H60" s="15">
        <f t="shared" si="47"/>
        <v>33395.31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8"/>
        <v>1407.6000000000004</v>
      </c>
      <c r="O60" s="17">
        <f t="shared" si="49"/>
        <v>117.30000000000003</v>
      </c>
      <c r="P60" s="18">
        <f t="shared" si="50"/>
        <v>0</v>
      </c>
      <c r="Q60" s="19">
        <f t="shared" si="51"/>
        <v>-13.116666666666632</v>
      </c>
      <c r="R60" s="193">
        <f t="shared" si="44"/>
        <v>0.89942492012779574</v>
      </c>
      <c r="S60" s="419"/>
      <c r="T60" s="206">
        <v>0.375</v>
      </c>
      <c r="U60" s="206">
        <v>0.40972222222222221</v>
      </c>
      <c r="V60" s="185">
        <f t="shared" ref="V60:V62" si="52">(T60-U59)*24*60</f>
        <v>10.999999999999961</v>
      </c>
      <c r="W60" s="93">
        <f t="shared" si="9"/>
        <v>49.999999999999986</v>
      </c>
      <c r="X60" s="201"/>
      <c r="Y60" s="201"/>
      <c r="Z60" s="400"/>
      <c r="AA60" s="400"/>
      <c r="AB60" s="242">
        <f t="shared" si="45"/>
        <v>-157.39999999999964</v>
      </c>
      <c r="AC60" s="243">
        <f t="shared" si="46"/>
        <v>0.89942492012779574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2445</v>
      </c>
      <c r="H61" s="15">
        <f t="shared" si="47"/>
        <v>69095.7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53">K61/J61</f>
        <v>130.41666666666666</v>
      </c>
      <c r="M61" s="188">
        <v>12</v>
      </c>
      <c r="N61" s="14">
        <f t="shared" si="48"/>
        <v>1397.142857142858</v>
      </c>
      <c r="O61" s="17">
        <f t="shared" si="49"/>
        <v>116.4285714285715</v>
      </c>
      <c r="P61" s="18">
        <f t="shared" si="50"/>
        <v>0</v>
      </c>
      <c r="Q61" s="19">
        <f t="shared" si="51"/>
        <v>-13.988095238095156</v>
      </c>
      <c r="R61" s="193">
        <f>O61/L61</f>
        <v>0.89274303970789659</v>
      </c>
      <c r="S61" s="409"/>
      <c r="T61" s="20">
        <v>0.44097222222222221</v>
      </c>
      <c r="U61" s="20">
        <v>0.51388888888888884</v>
      </c>
      <c r="V61" s="185">
        <f t="shared" si="52"/>
        <v>45</v>
      </c>
      <c r="W61" s="91">
        <f t="shared" si="9"/>
        <v>104.99999999999994</v>
      </c>
      <c r="X61" s="22">
        <v>0.52083333333333337</v>
      </c>
      <c r="Y61" s="22">
        <v>0.5625</v>
      </c>
      <c r="Z61" s="400"/>
      <c r="AA61" s="400"/>
      <c r="AB61" s="51">
        <f t="shared" si="45"/>
        <v>-167.85714285714198</v>
      </c>
      <c r="AC61" s="52">
        <f t="shared" si="46"/>
        <v>0.89274303970789648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23"/>
      <c r="D62" s="11" t="s">
        <v>128</v>
      </c>
      <c r="E62" s="12"/>
      <c r="F62" s="56">
        <f>VLOOKUP(D62,廠價表!$C$1:$E$39,3,0)</f>
        <v>26.99</v>
      </c>
      <c r="G62" s="185">
        <v>2062</v>
      </c>
      <c r="H62" s="15">
        <f t="shared" ref="H62" si="54">F62*G62</f>
        <v>55653.38</v>
      </c>
      <c r="I62" s="82"/>
      <c r="J62" s="16">
        <f>VLOOKUP(D62,產線配置圖!$A$2:$C$38,2,0)</f>
        <v>13</v>
      </c>
      <c r="K62" s="14">
        <f>VLOOKUP(D62,產線配置圖!$A$2:$C$38,3,0)</f>
        <v>1565</v>
      </c>
      <c r="L62" s="17">
        <f>K62/J62</f>
        <v>120.38461538461539</v>
      </c>
      <c r="M62" s="188">
        <v>13</v>
      </c>
      <c r="N62" s="14">
        <f t="shared" ref="N62" si="55">G62/W62*60</f>
        <v>1527.4074074074069</v>
      </c>
      <c r="O62" s="17">
        <f t="shared" ref="O62" si="56">N62/M62</f>
        <v>117.49287749287745</v>
      </c>
      <c r="P62" s="18">
        <f t="shared" ref="P62" si="57">M62-J62</f>
        <v>0</v>
      </c>
      <c r="Q62" s="19">
        <f t="shared" ref="Q62" si="58">O62-L62</f>
        <v>-2.8917378917379324</v>
      </c>
      <c r="R62" s="193">
        <f t="shared" ref="R62" si="59">O62/L62</f>
        <v>0.97597917406224077</v>
      </c>
      <c r="S62" s="409"/>
      <c r="T62" s="20">
        <v>0.56805555555555554</v>
      </c>
      <c r="U62" s="20">
        <v>0.62430555555555556</v>
      </c>
      <c r="V62" s="185">
        <f t="shared" si="52"/>
        <v>78.000000000000043</v>
      </c>
      <c r="W62" s="93">
        <f t="shared" si="9"/>
        <v>81.000000000000028</v>
      </c>
      <c r="X62" s="22"/>
      <c r="Y62" s="22"/>
      <c r="Z62" s="400"/>
      <c r="AA62" s="400"/>
      <c r="AB62" s="51">
        <f t="shared" ref="AB62" si="60">N62-K62</f>
        <v>-37.592592592593064</v>
      </c>
      <c r="AC62" s="52">
        <f t="shared" ref="AC62" si="61">N62/K62</f>
        <v>0.97597917406224088</v>
      </c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9"/>
        <v>0</v>
      </c>
      <c r="X63" s="85"/>
      <c r="Y63" s="85"/>
      <c r="Z63" s="400"/>
      <c r="AA63" s="400"/>
      <c r="AB63" s="18"/>
      <c r="AC63" s="193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7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9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7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9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7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9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7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9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7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9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62">AVERAGE(J59:J68)</f>
        <v>12.5</v>
      </c>
      <c r="K69" s="173">
        <f t="shared" si="62"/>
        <v>1565</v>
      </c>
      <c r="L69" s="178">
        <f t="shared" si="62"/>
        <v>125.40064102564102</v>
      </c>
      <c r="M69" s="173">
        <f t="shared" si="62"/>
        <v>12.5</v>
      </c>
      <c r="N69" s="173">
        <f t="shared" si="62"/>
        <v>1467.8082083394011</v>
      </c>
      <c r="O69" s="178">
        <f t="shared" si="62"/>
        <v>117.4031039381957</v>
      </c>
      <c r="P69" s="179">
        <f>M69-J69</f>
        <v>0</v>
      </c>
      <c r="Q69" s="165">
        <f>N69-K69</f>
        <v>-97.191791660598938</v>
      </c>
      <c r="R69" s="124">
        <f>O69/L69</f>
        <v>0.93622411319404619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-97.191791660598938</v>
      </c>
      <c r="AC69" s="195">
        <f>N69/K69</f>
        <v>0.93789661874722108</v>
      </c>
      <c r="AD69" s="396"/>
    </row>
    <row r="70" spans="1:32" ht="15" customHeight="1" x14ac:dyDescent="0.25">
      <c r="A70" s="405" t="s">
        <v>58</v>
      </c>
      <c r="B70" s="207"/>
      <c r="C70" s="207"/>
      <c r="D70" s="106"/>
      <c r="E70" s="107"/>
      <c r="F70" s="207"/>
      <c r="G70" s="196"/>
      <c r="H70" s="109"/>
      <c r="I70" s="196"/>
      <c r="J70" s="111"/>
      <c r="K70" s="108"/>
      <c r="L70" s="112"/>
      <c r="M70" s="113"/>
      <c r="N70" s="108"/>
      <c r="O70" s="112"/>
      <c r="P70" s="114"/>
      <c r="Q70" s="115"/>
      <c r="R70" s="192"/>
      <c r="S70" s="408">
        <f>R79</f>
        <v>0.93622411319404619</v>
      </c>
      <c r="T70" s="176"/>
      <c r="U70" s="176"/>
      <c r="V70" s="196"/>
      <c r="W70" s="110">
        <f t="shared" ref="W70:W78" si="63">(U70-T70)*24*60</f>
        <v>0</v>
      </c>
      <c r="X70" s="180"/>
      <c r="Y70" s="180"/>
      <c r="Z70" s="413"/>
      <c r="AA70" s="414"/>
      <c r="AB70" s="240">
        <f t="shared" ref="AB70" si="64">N70-K70</f>
        <v>0</v>
      </c>
      <c r="AC70" s="241" t="e">
        <f t="shared" ref="AC70" si="65">N70/K70</f>
        <v>#DIV/0!</v>
      </c>
      <c r="AD70" s="391">
        <f>AC79</f>
        <v>0.93789661874722108</v>
      </c>
    </row>
    <row r="71" spans="1:32" ht="15" customHeight="1" x14ac:dyDescent="0.25">
      <c r="A71" s="406"/>
      <c r="B71" s="56"/>
      <c r="C71" s="10"/>
      <c r="D71" s="11"/>
      <c r="E71" s="89"/>
      <c r="F71" s="56"/>
      <c r="G71" s="67"/>
      <c r="H71" s="77"/>
      <c r="I71" s="201"/>
      <c r="J71" s="16"/>
      <c r="K71" s="14"/>
      <c r="L71" s="17"/>
      <c r="M71" s="188"/>
      <c r="N71" s="14"/>
      <c r="O71" s="17"/>
      <c r="P71" s="18"/>
      <c r="Q71" s="19"/>
      <c r="R71" s="193"/>
      <c r="S71" s="409"/>
      <c r="T71" s="20"/>
      <c r="U71" s="20"/>
      <c r="V71" s="185"/>
      <c r="W71" s="93">
        <f t="shared" si="63"/>
        <v>0</v>
      </c>
      <c r="X71" s="22"/>
      <c r="Y71" s="22"/>
      <c r="Z71" s="400"/>
      <c r="AA71" s="400"/>
      <c r="AB71" s="39"/>
      <c r="AC71" s="198"/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63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63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66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63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66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63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66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63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66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63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66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63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67">AVERAGE(J69:J78)</f>
        <v>12.5</v>
      </c>
      <c r="K79" s="173">
        <f t="shared" si="67"/>
        <v>1565</v>
      </c>
      <c r="L79" s="178">
        <f t="shared" si="67"/>
        <v>125.40064102564102</v>
      </c>
      <c r="M79" s="173">
        <f t="shared" si="67"/>
        <v>12.5</v>
      </c>
      <c r="N79" s="173">
        <f t="shared" si="67"/>
        <v>1467.8082083394011</v>
      </c>
      <c r="O79" s="178">
        <f t="shared" si="67"/>
        <v>117.4031039381957</v>
      </c>
      <c r="P79" s="179">
        <f>M79-J79</f>
        <v>0</v>
      </c>
      <c r="Q79" s="165">
        <f>N79-K79</f>
        <v>-97.191791660598938</v>
      </c>
      <c r="R79" s="166">
        <f>O79/L79</f>
        <v>0.93622411319404619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-97.191791660598938</v>
      </c>
      <c r="AC79" s="195">
        <f>N79/K79</f>
        <v>0.93789661874722108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Z39:AA39"/>
    <mergeCell ref="H3:H4"/>
    <mergeCell ref="I3:I4"/>
    <mergeCell ref="J3:J4"/>
    <mergeCell ref="K3:K4"/>
    <mergeCell ref="L3:L4"/>
    <mergeCell ref="M3:M4"/>
    <mergeCell ref="Z15:AA15"/>
    <mergeCell ref="AC3:AC4"/>
    <mergeCell ref="AD3:AD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40:AA40"/>
    <mergeCell ref="Z41:AA41"/>
    <mergeCell ref="Z42:AA42"/>
    <mergeCell ref="Z43:AA43"/>
    <mergeCell ref="Z44:AA44"/>
    <mergeCell ref="Z45:AA45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58" priority="1" operator="greaterThan">
      <formula>0</formula>
    </cfRule>
  </conditionalFormatting>
  <conditionalFormatting sqref="Q5:Q79 AB5:AB79">
    <cfRule type="cellIs" dxfId="57" priority="4" operator="lessThan">
      <formula>0</formula>
    </cfRule>
  </conditionalFormatting>
  <conditionalFormatting sqref="R5:R79 AC5:AC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D59:AD62 S69:S76 AD69:AD76">
    <cfRule type="cellIs" dxfId="54" priority="7" operator="lessThan">
      <formula>0.8</formula>
    </cfRule>
  </conditionalFormatting>
  <conditionalFormatting sqref="S19:S25 AD19:AD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D5:AD8 S15:S16 AD15:AD16 AD49 AD79">
    <cfRule type="cellIs" dxfId="51" priority="9" operator="lessThan">
      <formula>0.8</formula>
    </cfRule>
  </conditionalFormatting>
  <conditionalFormatting sqref="AD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E24FBE-BBFA-433C-9FE6-D0D1E35EE74A}">
          <x14:formula1>
            <xm:f>廠價表!$C$2:$C$37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5856-05FB-4BD8-B19B-E4431D0E715E}">
  <sheetPr>
    <pageSetUpPr fitToPage="1"/>
  </sheetPr>
  <dimension ref="B1:O22"/>
  <sheetViews>
    <sheetView zoomScale="70" zoomScaleNormal="70" workbookViewId="0">
      <selection activeCell="N30" sqref="N30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45957</v>
      </c>
      <c r="E3" s="383"/>
      <c r="F3" s="214" t="s">
        <v>76</v>
      </c>
      <c r="G3" s="384">
        <f>'1027'!E1</f>
        <v>61051</v>
      </c>
      <c r="H3" s="384"/>
      <c r="I3" s="214" t="s">
        <v>77</v>
      </c>
      <c r="J3" s="385">
        <f>'1027'!G1</f>
        <v>2995711.93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116.84116937373241</v>
      </c>
      <c r="G6" s="362"/>
      <c r="H6" s="363">
        <f>AVERAGE(D13:H13)</f>
        <v>118.55621932533697</v>
      </c>
      <c r="I6" s="363"/>
      <c r="J6" s="363">
        <f>AVERAGE(I13:J13)</f>
        <v>112.55354449472097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103.00509329106873</v>
      </c>
      <c r="G7" s="380"/>
      <c r="H7" s="381">
        <f>AVERAGE(D14:H14)</f>
        <v>104.52898066376981</v>
      </c>
      <c r="I7" s="381"/>
      <c r="J7" s="381">
        <f>AVERAGE(I14:J14)</f>
        <v>99.195374859316019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0.874795991422196</v>
      </c>
      <c r="G8" s="360"/>
      <c r="H8" s="360">
        <f>AVERAGE(D15:H15)</f>
        <v>0.87468674331221785</v>
      </c>
      <c r="I8" s="360"/>
      <c r="J8" s="360">
        <f>AVERAGE(I15:J15)</f>
        <v>0.87506911169714163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VALUE('1027'!L15)</f>
        <v>146.45054945054943</v>
      </c>
      <c r="E13" s="227">
        <f>VALUE('1027'!L26)</f>
        <v>155.12820512820511</v>
      </c>
      <c r="F13" s="227">
        <f>VALUE('1027'!L37)</f>
        <v>90.020424836601308</v>
      </c>
      <c r="G13" s="227">
        <f>VALUE('1027'!L48)</f>
        <v>98.774509803921575</v>
      </c>
      <c r="H13" s="227">
        <f>VALUE('1027'!L58)</f>
        <v>102.4074074074074</v>
      </c>
      <c r="I13" s="227">
        <f>VALUE('1027'!L69)</f>
        <v>126.40384615384615</v>
      </c>
      <c r="J13" s="227">
        <f>VALUE('1027'!L79)</f>
        <v>98.703242835595788</v>
      </c>
    </row>
    <row r="14" spans="2:15" ht="39.950000000000003" customHeight="1" x14ac:dyDescent="0.25">
      <c r="B14" s="489"/>
      <c r="C14" s="226" t="s">
        <v>100</v>
      </c>
      <c r="D14" s="227">
        <f>VALUE('1027'!O15)</f>
        <v>131.61737882312235</v>
      </c>
      <c r="E14" s="227">
        <f>VALUE('1027'!O26)</f>
        <v>144.63331181568884</v>
      </c>
      <c r="F14" s="227">
        <f>VALUE('1027'!O37)</f>
        <v>81.874300652662043</v>
      </c>
      <c r="G14" s="227">
        <f>VALUE('1027'!O48)</f>
        <v>73.338677784200954</v>
      </c>
      <c r="H14" s="227">
        <f>VALUE('1027'!O58)</f>
        <v>91.181234243174899</v>
      </c>
      <c r="I14" s="227">
        <f>VALUE('1027'!O69)</f>
        <v>117.03021643917165</v>
      </c>
      <c r="J14" s="227">
        <f>VALUE('1027'!O79)</f>
        <v>81.36053327946037</v>
      </c>
    </row>
    <row r="15" spans="2:15" ht="39.950000000000003" customHeight="1" x14ac:dyDescent="0.25">
      <c r="B15" s="490"/>
      <c r="C15" s="222" t="s">
        <v>101</v>
      </c>
      <c r="D15" s="248">
        <f>D14/D13</f>
        <v>0.8987155003304671</v>
      </c>
      <c r="E15" s="248">
        <f t="shared" ref="E15:J15" si="0">E14/E13</f>
        <v>0.93234696872923395</v>
      </c>
      <c r="F15" s="248">
        <f t="shared" si="0"/>
        <v>0.90950804554937914</v>
      </c>
      <c r="G15" s="248">
        <f t="shared" si="0"/>
        <v>0.7424858693785108</v>
      </c>
      <c r="H15" s="248">
        <f t="shared" si="0"/>
        <v>0.89037733257349816</v>
      </c>
      <c r="I15" s="248">
        <f t="shared" si="0"/>
        <v>0.92584379352455903</v>
      </c>
      <c r="J15" s="248">
        <f t="shared" si="0"/>
        <v>0.82429442986972423</v>
      </c>
    </row>
    <row r="16" spans="2:15" ht="17.25" customHeight="1" x14ac:dyDescent="0.25">
      <c r="B16" s="491" t="s">
        <v>102</v>
      </c>
      <c r="C16" s="222" t="s">
        <v>103</v>
      </c>
      <c r="D16" s="98">
        <f>'1027'!T5</f>
        <v>0.2902777777777778</v>
      </c>
      <c r="E16" s="98">
        <f>'1027'!T16</f>
        <v>0.28888888888888886</v>
      </c>
      <c r="F16" s="98">
        <f>'1027'!T27</f>
        <v>0.29236111111111113</v>
      </c>
      <c r="G16" s="98">
        <f>'1027'!T38</f>
        <v>0.33194444444444443</v>
      </c>
      <c r="H16" s="98">
        <f>'1027'!T49</f>
        <v>0.2902777777777778</v>
      </c>
      <c r="I16" s="98">
        <f>'1027'!T59</f>
        <v>0.29166666666666669</v>
      </c>
      <c r="J16" s="293">
        <f>'1027'!T70</f>
        <v>0.5625</v>
      </c>
    </row>
    <row r="17" spans="2:10" ht="17.25" customHeight="1" x14ac:dyDescent="0.25">
      <c r="B17" s="492"/>
      <c r="C17" s="222" t="s">
        <v>104</v>
      </c>
      <c r="D17" s="80">
        <v>0.6694444444444444</v>
      </c>
      <c r="E17" s="41">
        <v>0.65138888888888891</v>
      </c>
      <c r="F17" s="41">
        <v>0.59375</v>
      </c>
      <c r="G17" s="59">
        <v>0.69444444444444442</v>
      </c>
      <c r="H17" s="80">
        <v>0.60902777777777772</v>
      </c>
      <c r="I17" s="20">
        <v>0.61388888888888893</v>
      </c>
      <c r="J17" s="20">
        <v>0.6875</v>
      </c>
    </row>
    <row r="18" spans="2:10" ht="17.25" customHeight="1" x14ac:dyDescent="0.25">
      <c r="B18" s="481" t="s">
        <v>105</v>
      </c>
      <c r="C18" s="355"/>
      <c r="D18" s="229">
        <f>VALUE('1027'!M15)</f>
        <v>13.4</v>
      </c>
      <c r="E18" s="229">
        <f>VALUE('1027'!M26)</f>
        <v>13</v>
      </c>
      <c r="F18" s="229">
        <f>VALUE('1027'!M37)</f>
        <v>16.75</v>
      </c>
      <c r="G18" s="229">
        <f>VALUE('1027'!M48)</f>
        <v>15.5</v>
      </c>
      <c r="H18" s="229">
        <f>VALUE('1027'!M58)</f>
        <v>16.666666666666668</v>
      </c>
      <c r="I18" s="229">
        <f>VALUE('1027'!M69)</f>
        <v>12.4</v>
      </c>
      <c r="J18" s="229">
        <f>VALUE('1027'!M79)</f>
        <v>14.133333333333333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5"/>
    </row>
    <row r="21" spans="2:10" ht="17.25" customHeight="1" thickBot="1" x14ac:dyDescent="0.3">
      <c r="B21" s="481" t="s">
        <v>112</v>
      </c>
      <c r="C21" s="355"/>
      <c r="D21" s="295"/>
      <c r="E21" s="295"/>
      <c r="F21" s="295"/>
      <c r="G21" s="295"/>
      <c r="H21" s="295"/>
      <c r="I21" s="295"/>
      <c r="J21" s="232"/>
    </row>
    <row r="22" spans="2:10" x14ac:dyDescent="0.25">
      <c r="B22" s="482"/>
      <c r="C22" s="482"/>
    </row>
  </sheetData>
  <mergeCells count="37">
    <mergeCell ref="J5:K5"/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J6:K6"/>
    <mergeCell ref="D7:E7"/>
    <mergeCell ref="F7:G7"/>
    <mergeCell ref="H7:I7"/>
    <mergeCell ref="J7:K7"/>
    <mergeCell ref="H8:I8"/>
    <mergeCell ref="B18:C18"/>
    <mergeCell ref="B19:C19"/>
    <mergeCell ref="D6:E6"/>
    <mergeCell ref="F6:G6"/>
    <mergeCell ref="H6:I6"/>
    <mergeCell ref="D10:J10"/>
    <mergeCell ref="B11:C12"/>
    <mergeCell ref="B13:B15"/>
    <mergeCell ref="B16:B17"/>
    <mergeCell ref="B10:C10"/>
    <mergeCell ref="J8:K8"/>
    <mergeCell ref="B5:C8"/>
    <mergeCell ref="D5:E5"/>
    <mergeCell ref="F5:G5"/>
    <mergeCell ref="H5:I5"/>
    <mergeCell ref="B20:C20"/>
    <mergeCell ref="B21:C21"/>
    <mergeCell ref="B22:C22"/>
    <mergeCell ref="D8:E8"/>
    <mergeCell ref="F8:G8"/>
  </mergeCells>
  <phoneticPr fontId="2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14B9-1CF7-45CC-9D83-2B60E9BC97C8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U62" sqref="U62"/>
      <selection pane="topRight" activeCell="U62" sqref="U62"/>
      <selection pane="bottomLeft" activeCell="U62" sqref="U62"/>
      <selection pane="bottomRight" activeCell="F19" sqref="F19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61051</v>
      </c>
      <c r="F1" s="185" t="s">
        <v>9</v>
      </c>
      <c r="G1" s="4">
        <f>SUM(H5:H79)</f>
        <v>2995711.93</v>
      </c>
      <c r="H1" s="183" t="s">
        <v>10</v>
      </c>
      <c r="I1" s="5">
        <f>M15+M26+M48+M58+M69+M79+M37</f>
        <v>101.85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254</v>
      </c>
      <c r="B2" s="461"/>
      <c r="C2" s="184"/>
      <c r="D2" s="184" t="s">
        <v>1</v>
      </c>
      <c r="E2" s="7">
        <f>AVERAGE(O15,O26,O37,O48,O58,O69,O79)</f>
        <v>103.00509329106873</v>
      </c>
      <c r="F2" s="8" t="s">
        <v>2</v>
      </c>
      <c r="G2" s="9">
        <f>G1/E1</f>
        <v>49.069006732076467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2359</v>
      </c>
      <c r="H5" s="109">
        <f>F5*G5</f>
        <v>134958.39000000001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1685.0000000000011</v>
      </c>
      <c r="O5" s="112">
        <f>N5/M5</f>
        <v>129.6153846153847</v>
      </c>
      <c r="P5" s="114">
        <f>M5-J5</f>
        <v>0</v>
      </c>
      <c r="Q5" s="115">
        <f>O5-L5</f>
        <v>-24.230769230769141</v>
      </c>
      <c r="R5" s="192">
        <f>O5/L5</f>
        <v>0.84250000000000058</v>
      </c>
      <c r="S5" s="408">
        <f>R15</f>
        <v>0.8987155003304671</v>
      </c>
      <c r="T5" s="97">
        <v>0.2902777777777778</v>
      </c>
      <c r="U5" s="97">
        <v>0.34861111111111109</v>
      </c>
      <c r="V5" s="202"/>
      <c r="W5" s="110">
        <f t="shared" ref="W5:W14" si="0">(U5-T5)*24*60</f>
        <v>83.999999999999943</v>
      </c>
      <c r="X5" s="196"/>
      <c r="Y5" s="196"/>
      <c r="Z5" s="423"/>
      <c r="AA5" s="423"/>
      <c r="AB5" s="114">
        <f>N5-K5</f>
        <v>-314.99999999999886</v>
      </c>
      <c r="AC5" s="192">
        <f>N5/K5</f>
        <v>0.84250000000000058</v>
      </c>
      <c r="AD5" s="391">
        <f>AC15</f>
        <v>0.9002484315129069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2051</v>
      </c>
      <c r="H6" s="15">
        <f t="shared" ref="H6:H14" si="1">F6*G6</f>
        <v>117337.71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1758.0000000000002</v>
      </c>
      <c r="O6" s="17">
        <f>N6/M6</f>
        <v>125.57142857142858</v>
      </c>
      <c r="P6" s="18">
        <f>M6-J6</f>
        <v>0</v>
      </c>
      <c r="Q6" s="19">
        <f>O6-L6</f>
        <v>-9.7857142857142776</v>
      </c>
      <c r="R6" s="193">
        <f>O6/L6</f>
        <v>0.92770448548812667</v>
      </c>
      <c r="S6" s="409"/>
      <c r="T6" s="98">
        <v>0.35416666666666669</v>
      </c>
      <c r="U6" s="98">
        <v>0.40277777777777779</v>
      </c>
      <c r="V6" s="185">
        <f>(T6-U5)*24*60</f>
        <v>8.0000000000000515</v>
      </c>
      <c r="W6" s="190">
        <f t="shared" si="0"/>
        <v>69.999999999999986</v>
      </c>
      <c r="X6" s="22"/>
      <c r="Y6" s="22"/>
      <c r="Z6" s="446"/>
      <c r="AA6" s="446"/>
      <c r="AB6" s="18">
        <f>N6-K6</f>
        <v>-136.99999999999977</v>
      </c>
      <c r="AC6" s="193">
        <f>N6/K6</f>
        <v>0.92770448548812678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3948</v>
      </c>
      <c r="H7" s="15">
        <f t="shared" si="1"/>
        <v>194004.72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1865.1968503937005</v>
      </c>
      <c r="O7" s="17">
        <f>N7/M7</f>
        <v>143.47668079951544</v>
      </c>
      <c r="P7" s="18">
        <f>M7-J7</f>
        <v>0</v>
      </c>
      <c r="Q7" s="19">
        <f>O7-L7</f>
        <v>-10.369473046638404</v>
      </c>
      <c r="R7" s="193">
        <f>O7/L7</f>
        <v>0.93259842519685032</v>
      </c>
      <c r="S7" s="409"/>
      <c r="T7" s="98">
        <v>0.40833333333333333</v>
      </c>
      <c r="U7" s="98">
        <v>0.49652777777777779</v>
      </c>
      <c r="V7" s="185">
        <f>(T7-U6)*24*60</f>
        <v>7.9999999999999716</v>
      </c>
      <c r="W7" s="190">
        <f t="shared" si="0"/>
        <v>127.00000000000003</v>
      </c>
      <c r="X7" s="22"/>
      <c r="Y7" s="22"/>
      <c r="Z7" s="400"/>
      <c r="AA7" s="400"/>
      <c r="AB7" s="18">
        <f>N7-K7</f>
        <v>-134.80314960629948</v>
      </c>
      <c r="AC7" s="193">
        <f>N7/K7</f>
        <v>0.93259842519685021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3294</v>
      </c>
      <c r="H8" s="15">
        <f t="shared" si="1"/>
        <v>161867.16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1647.0000000000016</v>
      </c>
      <c r="O8" s="17">
        <f>N8/M8</f>
        <v>126.69230769230782</v>
      </c>
      <c r="P8" s="18">
        <f>M8-J8</f>
        <v>0</v>
      </c>
      <c r="Q8" s="19">
        <f>O8-L8</f>
        <v>-27.153846153846018</v>
      </c>
      <c r="R8" s="193">
        <f>O8/L8</f>
        <v>0.8235000000000009</v>
      </c>
      <c r="S8" s="409"/>
      <c r="T8" s="80">
        <v>0.55694444444444446</v>
      </c>
      <c r="U8" s="80">
        <v>0.64027777777777772</v>
      </c>
      <c r="V8" s="185">
        <f>(T8-U7)*24*60</f>
        <v>87.000000000000014</v>
      </c>
      <c r="W8" s="190">
        <f t="shared" si="0"/>
        <v>119.99999999999989</v>
      </c>
      <c r="X8" s="22">
        <v>0.50694444444444442</v>
      </c>
      <c r="Y8" s="22">
        <v>0.54861111111111116</v>
      </c>
      <c r="Z8" s="447"/>
      <c r="AA8" s="447"/>
      <c r="AB8" s="18">
        <f>N8-K8</f>
        <v>-352.99999999999841</v>
      </c>
      <c r="AC8" s="193">
        <f>N8/K8</f>
        <v>0.82350000000000079</v>
      </c>
      <c r="AD8" s="392"/>
    </row>
    <row r="9" spans="1:30" ht="15" customHeight="1" x14ac:dyDescent="0.25">
      <c r="A9" s="466"/>
      <c r="B9" s="56" t="s">
        <v>63</v>
      </c>
      <c r="C9" s="10"/>
      <c r="D9" s="11" t="s">
        <v>148</v>
      </c>
      <c r="E9" s="89"/>
      <c r="F9" s="56">
        <f>VLOOKUP(D9,廠價表!$C$1:$E$39,3,0)</f>
        <v>57.21</v>
      </c>
      <c r="G9" s="25">
        <v>1053</v>
      </c>
      <c r="H9" s="15">
        <f t="shared" si="1"/>
        <v>60242.13</v>
      </c>
      <c r="I9" s="190"/>
      <c r="J9" s="16">
        <f>VLOOKUP(D9,產線配置圖!$A$2:$C$38,2,0)</f>
        <v>14</v>
      </c>
      <c r="K9" s="14">
        <f>VLOOKUP(D9,產線配置圖!$A$2:$C$38,3,0)</f>
        <v>1895</v>
      </c>
      <c r="L9" s="17">
        <f>K9/J9</f>
        <v>135.35714285714286</v>
      </c>
      <c r="M9" s="188">
        <v>14</v>
      </c>
      <c r="N9" s="14">
        <f>G9/W9*60</f>
        <v>1858.2352941176537</v>
      </c>
      <c r="O9" s="17">
        <f>N9/M9</f>
        <v>132.73109243697527</v>
      </c>
      <c r="P9" s="18">
        <f>M9-J9</f>
        <v>0</v>
      </c>
      <c r="Q9" s="19">
        <f>O9-L9</f>
        <v>-2.6260504201675872</v>
      </c>
      <c r="R9" s="193">
        <f>O9/L9</f>
        <v>0.98059909979823423</v>
      </c>
      <c r="S9" s="410"/>
      <c r="T9" s="20">
        <v>0.64583333333333337</v>
      </c>
      <c r="U9" s="20">
        <v>0.6694444444444444</v>
      </c>
      <c r="V9" s="185">
        <f>(T9-U8)*24*60</f>
        <v>8.0000000000001315</v>
      </c>
      <c r="W9" s="24">
        <f t="shared" si="0"/>
        <v>33.999999999999879</v>
      </c>
      <c r="X9" s="22"/>
      <c r="Y9" s="283"/>
      <c r="Z9" s="495"/>
      <c r="AA9" s="495"/>
      <c r="AB9" s="18">
        <f>N9-K9</f>
        <v>-36.764705882346334</v>
      </c>
      <c r="AC9" s="193">
        <f>N9/K9</f>
        <v>0.98059909979823412</v>
      </c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13.4</v>
      </c>
      <c r="K15" s="121">
        <f t="shared" si="2"/>
        <v>1958</v>
      </c>
      <c r="L15" s="118">
        <f t="shared" si="2"/>
        <v>146.45054945054943</v>
      </c>
      <c r="M15" s="121">
        <f t="shared" si="2"/>
        <v>13.4</v>
      </c>
      <c r="N15" s="121">
        <f t="shared" si="2"/>
        <v>1762.6864289022717</v>
      </c>
      <c r="O15" s="118">
        <f t="shared" si="2"/>
        <v>131.61737882312235</v>
      </c>
      <c r="P15" s="122">
        <f t="shared" ref="P15:P16" si="3">M15-J15</f>
        <v>0</v>
      </c>
      <c r="Q15" s="123">
        <f t="shared" ref="Q15:Q16" si="4">O15-L15</f>
        <v>-14.83317062742708</v>
      </c>
      <c r="R15" s="124">
        <f t="shared" ref="R15:R16" si="5">O15/L15</f>
        <v>0.8987155003304671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-195.3135710977283</v>
      </c>
      <c r="AC15" s="195">
        <f>N15/K15</f>
        <v>0.9002484315129069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2035</v>
      </c>
      <c r="H16" s="128">
        <f t="shared" ref="H16:H25" si="6">F16*G16</f>
        <v>116422.35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1938.0952380952378</v>
      </c>
      <c r="O16" s="131">
        <f>N16/M16</f>
        <v>149.08424908424905</v>
      </c>
      <c r="P16" s="132">
        <f t="shared" si="3"/>
        <v>0</v>
      </c>
      <c r="Q16" s="133">
        <f t="shared" si="4"/>
        <v>-4.7619047619047876</v>
      </c>
      <c r="R16" s="197">
        <f t="shared" si="5"/>
        <v>0.96904761904761882</v>
      </c>
      <c r="S16" s="433">
        <f>R26</f>
        <v>0.93234696872923395</v>
      </c>
      <c r="T16" s="288">
        <v>0.28888888888888886</v>
      </c>
      <c r="U16" s="288">
        <v>0.33263888888888887</v>
      </c>
      <c r="V16" s="129"/>
      <c r="W16" s="134">
        <f t="shared" ref="W16:W68" si="7">(U16-T16)*24*60</f>
        <v>63.000000000000014</v>
      </c>
      <c r="X16" s="131"/>
      <c r="Y16" s="131"/>
      <c r="Z16" s="423"/>
      <c r="AA16" s="423"/>
      <c r="AB16" s="114">
        <f>N16-K16</f>
        <v>-61.904761904762154</v>
      </c>
      <c r="AC16" s="192">
        <f>N16/K16</f>
        <v>0.96904761904761894</v>
      </c>
      <c r="AD16" s="391">
        <f>AC26</f>
        <v>0.9338329430132708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3855</v>
      </c>
      <c r="H17" s="15">
        <f>F17*G17</f>
        <v>195332.85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1895.9016393442625</v>
      </c>
      <c r="O17" s="38">
        <f>N17/M17</f>
        <v>126.39344262295084</v>
      </c>
      <c r="P17" s="39">
        <f>M17-J17</f>
        <v>0</v>
      </c>
      <c r="Q17" s="40">
        <f>O17-L17</f>
        <v>-6.9398907103824996</v>
      </c>
      <c r="R17" s="198">
        <f>O17/L17</f>
        <v>0.94795081967213124</v>
      </c>
      <c r="S17" s="434"/>
      <c r="T17" s="41">
        <v>0.34097222222222223</v>
      </c>
      <c r="U17" s="41">
        <v>0.42569444444444443</v>
      </c>
      <c r="V17" s="185">
        <f>(T17-U16)*24*60</f>
        <v>12.000000000000037</v>
      </c>
      <c r="W17" s="43">
        <f t="shared" si="7"/>
        <v>121.99999999999997</v>
      </c>
      <c r="X17" s="44"/>
      <c r="Y17" s="44"/>
      <c r="Z17" s="399"/>
      <c r="AA17" s="400"/>
      <c r="AB17" s="18">
        <f>N17-K17</f>
        <v>-104.09836065573745</v>
      </c>
      <c r="AC17" s="193">
        <f>N17/K17</f>
        <v>0.94795081967213124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2501</v>
      </c>
      <c r="H18" s="15">
        <f>F18*G18</f>
        <v>126025.39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1667.3333333333333</v>
      </c>
      <c r="O18" s="38">
        <f>N18/M18</f>
        <v>138.94444444444443</v>
      </c>
      <c r="P18" s="39">
        <f>M18-J18</f>
        <v>0</v>
      </c>
      <c r="Q18" s="40">
        <f>O18-L18</f>
        <v>-27.722222222222229</v>
      </c>
      <c r="R18" s="198">
        <f>O18/L18</f>
        <v>0.83366666666666667</v>
      </c>
      <c r="S18" s="434"/>
      <c r="T18" s="41">
        <v>0.43402777777777779</v>
      </c>
      <c r="U18" s="41">
        <v>0.49652777777777779</v>
      </c>
      <c r="V18" s="185">
        <f>(T18-U17)*24*60</f>
        <v>12.000000000000037</v>
      </c>
      <c r="W18" s="43">
        <f t="shared" si="7"/>
        <v>90</v>
      </c>
      <c r="X18" s="22"/>
      <c r="Y18" s="22"/>
      <c r="Z18" s="399"/>
      <c r="AA18" s="400"/>
      <c r="AB18" s="18">
        <f>N18-K18</f>
        <v>-332.66666666666674</v>
      </c>
      <c r="AC18" s="193">
        <f>N18/K18</f>
        <v>0.83366666666666667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4431</v>
      </c>
      <c r="H19" s="15">
        <f t="shared" ref="H19" si="8">F19*G19</f>
        <v>223278.09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1969.3333333333335</v>
      </c>
      <c r="O19" s="38">
        <f>N19/M19</f>
        <v>164.11111111111111</v>
      </c>
      <c r="P19" s="39">
        <f>M19-J19</f>
        <v>0</v>
      </c>
      <c r="Q19" s="40">
        <f>O19-L19</f>
        <v>-2.5555555555555429</v>
      </c>
      <c r="R19" s="198">
        <f>O19/L19</f>
        <v>0.98466666666666669</v>
      </c>
      <c r="S19" s="434"/>
      <c r="T19" s="41">
        <v>0.55763888888888891</v>
      </c>
      <c r="U19" s="41">
        <v>0.65138888888888891</v>
      </c>
      <c r="V19" s="185">
        <f>(T19-U18)*24*60</f>
        <v>88</v>
      </c>
      <c r="W19" s="43">
        <f t="shared" si="7"/>
        <v>135</v>
      </c>
      <c r="X19" s="22">
        <v>0.50694444444444442</v>
      </c>
      <c r="Y19" s="22">
        <v>0.54861111111111116</v>
      </c>
      <c r="Z19" s="398"/>
      <c r="AA19" s="399"/>
      <c r="AB19" s="18">
        <f>N19-K19</f>
        <v>-30.666666666666515</v>
      </c>
      <c r="AC19" s="193">
        <f>N19/K19</f>
        <v>0.98466666666666669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f t="shared" si="7"/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1867.6658860265416</v>
      </c>
      <c r="O26" s="140">
        <f t="shared" si="10"/>
        <v>144.63331181568884</v>
      </c>
      <c r="P26" s="141">
        <f t="shared" ref="P26:P28" si="11">M26-J26</f>
        <v>0</v>
      </c>
      <c r="Q26" s="142">
        <f t="shared" ref="Q26:Q28" si="12">O26-L26</f>
        <v>-10.494893312516268</v>
      </c>
      <c r="R26" s="143">
        <f t="shared" ref="R26:R28" si="13">O26/L26</f>
        <v>0.93234696872923395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-132.33411397345844</v>
      </c>
      <c r="AC26" s="195">
        <f>N26/K26</f>
        <v>0.9338329430132708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146</v>
      </c>
      <c r="E27" s="107"/>
      <c r="F27" s="207">
        <f>VLOOKUP(D27,廠價表!$C$1:$E$39,3,0)</f>
        <v>55.13</v>
      </c>
      <c r="G27" s="289">
        <v>3265</v>
      </c>
      <c r="H27" s="128">
        <f t="shared" ref="H27:H36" si="14">F27*G27</f>
        <v>179999.45</v>
      </c>
      <c r="I27" s="129"/>
      <c r="J27" s="111">
        <f>VLOOKUP(D27,產線配置圖!$A$2:$C$38,2,0)</f>
        <v>18</v>
      </c>
      <c r="K27" s="252">
        <f>VLOOKUP(D27,產線配置圖!$A$2:$C$38,3,0)</f>
        <v>1385</v>
      </c>
      <c r="L27" s="112">
        <f>K27/J27</f>
        <v>76.944444444444443</v>
      </c>
      <c r="M27" s="147">
        <v>18</v>
      </c>
      <c r="N27" s="130">
        <f>G27/W27*60</f>
        <v>1332.6530612244903</v>
      </c>
      <c r="O27" s="131">
        <f>N27/M27</f>
        <v>74.036281179138356</v>
      </c>
      <c r="P27" s="132">
        <f t="shared" si="11"/>
        <v>0</v>
      </c>
      <c r="Q27" s="133">
        <f t="shared" si="12"/>
        <v>-2.9081632653060865</v>
      </c>
      <c r="R27" s="197">
        <f>O27/L27</f>
        <v>0.96220437633537215</v>
      </c>
      <c r="S27" s="433">
        <f>R37</f>
        <v>0.90950804554937914</v>
      </c>
      <c r="T27" s="97">
        <v>0.29236111111111113</v>
      </c>
      <c r="U27" s="97">
        <v>0.39444444444444443</v>
      </c>
      <c r="V27" s="129"/>
      <c r="W27" s="134">
        <f t="shared" si="7"/>
        <v>146.99999999999994</v>
      </c>
      <c r="X27" s="129"/>
      <c r="Y27" s="129" t="s">
        <v>158</v>
      </c>
      <c r="Z27" s="414"/>
      <c r="AA27" s="423"/>
      <c r="AB27" s="114">
        <f>N27-K27</f>
        <v>-52.34693877550967</v>
      </c>
      <c r="AC27" s="148">
        <f>N27/K27</f>
        <v>0.96220437633537204</v>
      </c>
      <c r="AD27" s="391">
        <f>AC37</f>
        <v>0.90833948245333884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173</v>
      </c>
      <c r="E28" s="89"/>
      <c r="F28" s="56">
        <f>VLOOKUP(D28,廠價表!$C$1:$E$39,3,0)</f>
        <v>56.87</v>
      </c>
      <c r="G28" s="53">
        <v>1827</v>
      </c>
      <c r="H28" s="50">
        <f t="shared" si="14"/>
        <v>103901.48999999999</v>
      </c>
      <c r="I28" s="42"/>
      <c r="J28" s="16">
        <f>VLOOKUP(D28,產線配置圖!$A$2:$C$38,2,0)</f>
        <v>17</v>
      </c>
      <c r="K28" s="14">
        <f>VLOOKUP(D28,產線配置圖!$A$2:$C$38,3,0)</f>
        <v>1500</v>
      </c>
      <c r="L28" s="251">
        <f>K28/J28</f>
        <v>88.235294117647058</v>
      </c>
      <c r="M28" s="21">
        <v>17</v>
      </c>
      <c r="N28" s="36">
        <f>G28/W28*60</f>
        <v>1245.6818181818194</v>
      </c>
      <c r="O28" s="38">
        <f>N28/M28</f>
        <v>73.275401069518793</v>
      </c>
      <c r="P28" s="39">
        <f t="shared" si="11"/>
        <v>0</v>
      </c>
      <c r="Q28" s="40">
        <f t="shared" si="12"/>
        <v>-14.959893048128265</v>
      </c>
      <c r="R28" s="198">
        <f t="shared" si="13"/>
        <v>0.83045454545454633</v>
      </c>
      <c r="S28" s="434"/>
      <c r="T28" s="291">
        <v>0.39861111111111114</v>
      </c>
      <c r="U28" s="291">
        <v>0.4597222222222222</v>
      </c>
      <c r="V28" s="42">
        <f>(T28-U27)*24*60</f>
        <v>6.0000000000000586</v>
      </c>
      <c r="W28" s="43">
        <f t="shared" si="7"/>
        <v>87.999999999999929</v>
      </c>
      <c r="X28" s="54"/>
      <c r="Y28" s="54"/>
      <c r="Z28" s="399"/>
      <c r="AA28" s="400"/>
      <c r="AB28" s="34">
        <f>N28-K28</f>
        <v>-254.31818181818062</v>
      </c>
      <c r="AC28" s="194">
        <f>N28/K28</f>
        <v>0.83045454545454622</v>
      </c>
      <c r="AD28" s="392"/>
    </row>
    <row r="29" spans="1:30" ht="15" customHeight="1" x14ac:dyDescent="0.25">
      <c r="A29" s="431"/>
      <c r="B29" s="56" t="s">
        <v>140</v>
      </c>
      <c r="C29" s="10"/>
      <c r="D29" s="11" t="s">
        <v>173</v>
      </c>
      <c r="E29" s="89"/>
      <c r="F29" s="56">
        <f>VLOOKUP(D29,廠價表!$C$1:$E$39,3,0)</f>
        <v>56.87</v>
      </c>
      <c r="G29" s="256">
        <v>968</v>
      </c>
      <c r="H29" s="50">
        <f t="shared" si="14"/>
        <v>55050.159999999996</v>
      </c>
      <c r="I29" s="42"/>
      <c r="J29" s="16">
        <v>17</v>
      </c>
      <c r="K29" s="14">
        <v>1500</v>
      </c>
      <c r="L29" s="251">
        <f t="shared" ref="L29:L30" si="15">K29/J29</f>
        <v>88.235294117647058</v>
      </c>
      <c r="M29" s="21">
        <v>17</v>
      </c>
      <c r="N29" s="36">
        <f>G29/W29*60</f>
        <v>1320</v>
      </c>
      <c r="O29" s="38">
        <f t="shared" ref="O29:O30" si="16">N29/M29</f>
        <v>77.647058823529406</v>
      </c>
      <c r="P29" s="39">
        <f t="shared" ref="P29:P30" si="17">M29-J29</f>
        <v>0</v>
      </c>
      <c r="Q29" s="40">
        <f t="shared" ref="Q29:Q30" si="18">O29-L29</f>
        <v>-10.588235294117652</v>
      </c>
      <c r="R29" s="198">
        <f t="shared" ref="R29:R30" si="19">O29/L29</f>
        <v>0.87999999999999989</v>
      </c>
      <c r="S29" s="434"/>
      <c r="T29" s="41">
        <v>0.51944444444444449</v>
      </c>
      <c r="U29" s="41">
        <v>0.55000000000000004</v>
      </c>
      <c r="V29" s="42">
        <f t="shared" ref="V29:V30" si="20">(T29-U28)*24*60</f>
        <v>86.000000000000099</v>
      </c>
      <c r="W29" s="43">
        <f t="shared" si="7"/>
        <v>44</v>
      </c>
      <c r="X29" s="54">
        <v>0.47222222222222221</v>
      </c>
      <c r="Y29" s="54">
        <v>0.51944444444444449</v>
      </c>
      <c r="Z29" s="399"/>
      <c r="AA29" s="398"/>
      <c r="AB29" s="275"/>
      <c r="AC29" s="276"/>
      <c r="AD29" s="393"/>
    </row>
    <row r="30" spans="1:30" ht="15" customHeight="1" x14ac:dyDescent="0.25">
      <c r="A30" s="431"/>
      <c r="B30" s="56" t="s">
        <v>140</v>
      </c>
      <c r="C30" s="255"/>
      <c r="D30" s="11" t="s">
        <v>222</v>
      </c>
      <c r="E30" s="29"/>
      <c r="F30" s="56">
        <f>VLOOKUP(D30,廠價表!$C$1:$E$39,3,0)</f>
        <v>50.67</v>
      </c>
      <c r="G30" s="256">
        <v>1333</v>
      </c>
      <c r="H30" s="50">
        <f t="shared" si="14"/>
        <v>67543.11</v>
      </c>
      <c r="I30" s="42"/>
      <c r="J30" s="16">
        <v>15</v>
      </c>
      <c r="K30" s="14">
        <v>1600</v>
      </c>
      <c r="L30" s="251">
        <f t="shared" si="15"/>
        <v>106.66666666666667</v>
      </c>
      <c r="M30" s="21">
        <v>15</v>
      </c>
      <c r="N30" s="36">
        <f>G30/W30*60</f>
        <v>1538.0769230769238</v>
      </c>
      <c r="O30" s="38">
        <f t="shared" si="16"/>
        <v>102.53846153846159</v>
      </c>
      <c r="P30" s="39">
        <f t="shared" si="17"/>
        <v>0</v>
      </c>
      <c r="Q30" s="40">
        <f t="shared" si="18"/>
        <v>-4.1282051282050816</v>
      </c>
      <c r="R30" s="198">
        <f t="shared" si="19"/>
        <v>0.96129807692307734</v>
      </c>
      <c r="S30" s="434"/>
      <c r="T30" s="41">
        <v>0.55763888888888891</v>
      </c>
      <c r="U30" s="41">
        <v>0.59375</v>
      </c>
      <c r="V30" s="42">
        <f t="shared" si="20"/>
        <v>10.999999999999961</v>
      </c>
      <c r="W30" s="43">
        <f t="shared" si="7"/>
        <v>51.999999999999972</v>
      </c>
      <c r="X30" s="54"/>
      <c r="Y30" s="54"/>
      <c r="Z30" s="479"/>
      <c r="AA30" s="480"/>
      <c r="AB30" s="275"/>
      <c r="AC30" s="276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21">AVERAGE(J27:J36)</f>
        <v>16.75</v>
      </c>
      <c r="K37" s="314">
        <f t="shared" si="21"/>
        <v>1496.25</v>
      </c>
      <c r="L37" s="315">
        <f t="shared" si="21"/>
        <v>90.020424836601308</v>
      </c>
      <c r="M37" s="314">
        <f t="shared" si="21"/>
        <v>16.75</v>
      </c>
      <c r="N37" s="314">
        <f t="shared" si="21"/>
        <v>1359.1029506208083</v>
      </c>
      <c r="O37" s="315">
        <f t="shared" si="21"/>
        <v>81.874300652662043</v>
      </c>
      <c r="P37" s="74">
        <f>M37-J37</f>
        <v>0</v>
      </c>
      <c r="Q37" s="75">
        <f>N37-K37</f>
        <v>-137.14704937919169</v>
      </c>
      <c r="R37" s="316">
        <f t="shared" ref="R37:R41" si="22">O37/L37</f>
        <v>0.90950804554937914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34">
        <f t="shared" ref="AB37:AB40" si="23">N37-K37</f>
        <v>-137.14704937919169</v>
      </c>
      <c r="AC37" s="194">
        <f t="shared" ref="AC37:AC40" si="24">N37/K37</f>
        <v>0.90833948245333884</v>
      </c>
      <c r="AD37" s="396"/>
    </row>
    <row r="38" spans="1:30" s="63" customFormat="1" ht="15" customHeight="1" x14ac:dyDescent="0.25">
      <c r="A38" s="424" t="s">
        <v>55</v>
      </c>
      <c r="B38" s="244" t="s">
        <v>63</v>
      </c>
      <c r="C38" s="207" t="e">
        <f>VLOOKUP(E38,廠價表!$C$1:$E$39,2,0)</f>
        <v>#N/A</v>
      </c>
      <c r="D38" s="28" t="s">
        <v>154</v>
      </c>
      <c r="E38" s="309"/>
      <c r="F38" s="56">
        <f>VLOOKUP(D38,廠價表!$C$1:$E$39,3,0)</f>
        <v>49.91</v>
      </c>
      <c r="G38" s="305">
        <v>3816</v>
      </c>
      <c r="H38" s="64">
        <f>F38*G38</f>
        <v>190456.56</v>
      </c>
      <c r="I38" s="129"/>
      <c r="J38" s="296">
        <f>VLOOKUP(D38,產線配置圖!$A$2:$C$38,2,0)</f>
        <v>17</v>
      </c>
      <c r="K38" s="252">
        <f>VLOOKUP(D38,產線配置圖!$A$2:$C$38,3,0)</f>
        <v>1565</v>
      </c>
      <c r="L38" s="317">
        <f>K38/J38</f>
        <v>92.058823529411768</v>
      </c>
      <c r="M38" s="318">
        <v>17</v>
      </c>
      <c r="N38" s="130">
        <f>G38/W38*60</f>
        <v>1547.0270270270266</v>
      </c>
      <c r="O38" s="131">
        <f>N38/M38</f>
        <v>91.001589825119211</v>
      </c>
      <c r="P38" s="132">
        <f t="shared" ref="P38" si="25">M38-J38</f>
        <v>0</v>
      </c>
      <c r="Q38" s="133">
        <f t="shared" ref="Q38" si="26">O38-L38</f>
        <v>-1.0572337042925568</v>
      </c>
      <c r="R38" s="197">
        <f t="shared" si="22"/>
        <v>0.98851567222174219</v>
      </c>
      <c r="S38" s="493">
        <f>R48</f>
        <v>0.7424858693785108</v>
      </c>
      <c r="T38" s="157">
        <v>0.33194444444444443</v>
      </c>
      <c r="U38" s="157">
        <v>0.43472222222222223</v>
      </c>
      <c r="V38" s="153"/>
      <c r="W38" s="158">
        <f t="shared" si="7"/>
        <v>148.00000000000003</v>
      </c>
      <c r="X38" s="155"/>
      <c r="Y38" s="159"/>
      <c r="Z38" s="428"/>
      <c r="AA38" s="475"/>
      <c r="AB38" s="331">
        <f t="shared" si="23"/>
        <v>-17.972972972973366</v>
      </c>
      <c r="AC38" s="161">
        <f t="shared" si="24"/>
        <v>0.9885156722217423</v>
      </c>
      <c r="AD38" s="388">
        <f>AC48</f>
        <v>0.75740890028137131</v>
      </c>
    </row>
    <row r="39" spans="1:30" s="63" customFormat="1" ht="15" customHeight="1" x14ac:dyDescent="0.25">
      <c r="A39" s="425"/>
      <c r="B39" s="56" t="s">
        <v>63</v>
      </c>
      <c r="C39" s="306"/>
      <c r="D39" s="308" t="s">
        <v>222</v>
      </c>
      <c r="E39" s="307"/>
      <c r="F39" s="56">
        <f>VLOOKUP(D39,廠價表!$C$1:$E$39,3,0)</f>
        <v>50.67</v>
      </c>
      <c r="G39" s="305">
        <v>613</v>
      </c>
      <c r="H39" s="64">
        <f>F39*G39</f>
        <v>31060.710000000003</v>
      </c>
      <c r="I39" s="65"/>
      <c r="J39" s="37">
        <v>15</v>
      </c>
      <c r="K39" s="36">
        <v>1600</v>
      </c>
      <c r="L39" s="38">
        <v>133.33333333333334</v>
      </c>
      <c r="M39" s="66">
        <v>15</v>
      </c>
      <c r="N39" s="67">
        <f t="shared" ref="N39:N41" si="27">G39/W39*60</f>
        <v>782.55319148936178</v>
      </c>
      <c r="O39" s="68">
        <f t="shared" ref="O39:O41" si="28">N39/M39</f>
        <v>52.170212765957451</v>
      </c>
      <c r="P39" s="39">
        <v>0</v>
      </c>
      <c r="Q39" s="40">
        <v>-6.9398907103824996</v>
      </c>
      <c r="R39" s="198">
        <f t="shared" si="22"/>
        <v>0.39127659574468088</v>
      </c>
      <c r="S39" s="494"/>
      <c r="T39" s="59">
        <v>0.44305555555555554</v>
      </c>
      <c r="U39" s="59">
        <v>0.47569444444444442</v>
      </c>
      <c r="V39" s="42">
        <f>(T39-U38)*24*60</f>
        <v>11.999999999999957</v>
      </c>
      <c r="W39" s="70">
        <f t="shared" si="7"/>
        <v>46.999999999999993</v>
      </c>
      <c r="X39" s="22"/>
      <c r="Y39" s="22"/>
      <c r="Z39" s="505" t="s">
        <v>257</v>
      </c>
      <c r="AA39" s="509"/>
      <c r="AB39" s="292">
        <f t="shared" si="23"/>
        <v>-817.44680851063822</v>
      </c>
      <c r="AC39" s="62">
        <f t="shared" si="24"/>
        <v>0.4890957446808511</v>
      </c>
      <c r="AD39" s="389"/>
    </row>
    <row r="40" spans="1:30" s="63" customFormat="1" ht="15" customHeight="1" x14ac:dyDescent="0.25">
      <c r="A40" s="425"/>
      <c r="B40" s="56" t="s">
        <v>140</v>
      </c>
      <c r="C40" s="298"/>
      <c r="D40" s="308" t="s">
        <v>223</v>
      </c>
      <c r="E40" s="261"/>
      <c r="F40" s="56">
        <f>VLOOKUP(D40,廠價表!$C$1:$E$39,3,0)</f>
        <v>57.3</v>
      </c>
      <c r="G40" s="305">
        <v>1875</v>
      </c>
      <c r="H40" s="64">
        <f t="shared" ref="H39:H41" si="29">F40*G40</f>
        <v>107437.5</v>
      </c>
      <c r="I40" s="65"/>
      <c r="J40" s="37">
        <f>VLOOKUP(D40,產線配置圖!$A$2:$C$38,2,0)</f>
        <v>17</v>
      </c>
      <c r="K40" s="36">
        <f>VLOOKUP(D40,產線配置圖!$A$2:$C$38,3,0)</f>
        <v>1385</v>
      </c>
      <c r="L40" s="38">
        <f>K40/J40</f>
        <v>81.470588235294116</v>
      </c>
      <c r="M40" s="66">
        <v>15</v>
      </c>
      <c r="N40" s="67">
        <f t="shared" si="27"/>
        <v>978.26086956521681</v>
      </c>
      <c r="O40" s="68">
        <f t="shared" si="28"/>
        <v>65.217391304347785</v>
      </c>
      <c r="P40" s="39">
        <f t="shared" ref="P40:P41" si="30">M40-J40</f>
        <v>-2</v>
      </c>
      <c r="Q40" s="40">
        <f t="shared" ref="Q40" si="31">O40-L40</f>
        <v>-16.253196930946331</v>
      </c>
      <c r="R40" s="198">
        <f t="shared" ref="R40" si="32">O40/L40</f>
        <v>0.80050227593784284</v>
      </c>
      <c r="S40" s="409"/>
      <c r="T40" s="59">
        <v>0.56944444444444442</v>
      </c>
      <c r="U40" s="59">
        <v>0.64930555555555558</v>
      </c>
      <c r="V40" s="42">
        <f t="shared" ref="V40:V41" si="33">(T40-U39)*24*60</f>
        <v>135</v>
      </c>
      <c r="W40" s="70">
        <f t="shared" si="7"/>
        <v>115.00000000000007</v>
      </c>
      <c r="X40" s="71"/>
      <c r="Y40" s="278"/>
      <c r="Z40" s="476" t="s">
        <v>255</v>
      </c>
      <c r="AA40" s="508"/>
      <c r="AB40" s="292">
        <f t="shared" si="23"/>
        <v>-406.73913043478319</v>
      </c>
      <c r="AC40" s="62">
        <f t="shared" si="24"/>
        <v>0.70632553759221428</v>
      </c>
      <c r="AD40" s="389"/>
    </row>
    <row r="41" spans="1:30" s="63" customFormat="1" ht="15" customHeight="1" x14ac:dyDescent="0.25">
      <c r="A41" s="425"/>
      <c r="B41" s="56" t="s">
        <v>140</v>
      </c>
      <c r="C41" s="298"/>
      <c r="D41" s="308" t="s">
        <v>173</v>
      </c>
      <c r="E41" s="261"/>
      <c r="F41" s="56">
        <f>VLOOKUP(D41,廠價表!$C$1:$E$39,3,0)</f>
        <v>56.87</v>
      </c>
      <c r="G41" s="305">
        <v>1232</v>
      </c>
      <c r="H41" s="64">
        <f t="shared" si="29"/>
        <v>70063.839999999997</v>
      </c>
      <c r="I41" s="65"/>
      <c r="J41" s="37">
        <v>17</v>
      </c>
      <c r="K41" s="36">
        <v>1500</v>
      </c>
      <c r="L41" s="38">
        <v>88.235294117647058</v>
      </c>
      <c r="M41" s="66">
        <v>15</v>
      </c>
      <c r="N41" s="67">
        <f t="shared" si="27"/>
        <v>1274.4827586206907</v>
      </c>
      <c r="O41" s="68">
        <f t="shared" si="28"/>
        <v>84.965517241379374</v>
      </c>
      <c r="P41" s="39">
        <f t="shared" si="30"/>
        <v>-2</v>
      </c>
      <c r="Q41" s="40">
        <v>-16.151960784313715</v>
      </c>
      <c r="R41" s="198">
        <f t="shared" si="22"/>
        <v>0.96294252873563291</v>
      </c>
      <c r="S41" s="409"/>
      <c r="T41" s="59">
        <v>0.65416666666666667</v>
      </c>
      <c r="U41" s="59">
        <v>0.69444444444444442</v>
      </c>
      <c r="V41" s="42">
        <f t="shared" si="33"/>
        <v>6.9999999999999751</v>
      </c>
      <c r="W41" s="70">
        <f t="shared" si="7"/>
        <v>57.999999999999957</v>
      </c>
      <c r="X41" s="71"/>
      <c r="Y41" s="278"/>
      <c r="Z41" s="428"/>
      <c r="AA41" s="475"/>
      <c r="AB41" s="292">
        <f t="shared" ref="AB41" si="34">N41-K41</f>
        <v>-225.51724137930933</v>
      </c>
      <c r="AC41" s="62">
        <f t="shared" ref="AC41" si="35">N41/K41</f>
        <v>0.84965517241379374</v>
      </c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36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36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36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37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36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37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36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37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36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37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8">AVERAGE(J38:J47)</f>
        <v>16.5</v>
      </c>
      <c r="K48" s="137">
        <f t="shared" si="38"/>
        <v>1512.5</v>
      </c>
      <c r="L48" s="140">
        <f t="shared" si="38"/>
        <v>98.774509803921575</v>
      </c>
      <c r="M48" s="137">
        <f t="shared" si="38"/>
        <v>15.5</v>
      </c>
      <c r="N48" s="137">
        <f t="shared" si="38"/>
        <v>1145.5809616755741</v>
      </c>
      <c r="O48" s="140">
        <f t="shared" si="38"/>
        <v>73.338677784200954</v>
      </c>
      <c r="P48" s="164">
        <f>M48-J48</f>
        <v>-1</v>
      </c>
      <c r="Q48" s="165">
        <f>N48-K48</f>
        <v>-366.91903832442586</v>
      </c>
      <c r="R48" s="166">
        <f>O48/L48</f>
        <v>0.7424858693785108</v>
      </c>
      <c r="S48" s="412"/>
      <c r="T48" s="167"/>
      <c r="U48" s="167"/>
      <c r="V48" s="204"/>
      <c r="W48" s="168">
        <f t="shared" si="37"/>
        <v>0</v>
      </c>
      <c r="X48" s="169"/>
      <c r="Y48" s="169"/>
      <c r="Z48" s="401"/>
      <c r="AA48" s="401"/>
      <c r="AB48" s="170">
        <f>N48-K48</f>
        <v>-366.91903832442586</v>
      </c>
      <c r="AC48" s="199">
        <f>N48/K48</f>
        <v>0.75740890028137131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6908</v>
      </c>
      <c r="H49" s="128">
        <f t="shared" ref="H49:H57" si="39">F49*G49</f>
        <v>345192.76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1564.0754716981135</v>
      </c>
      <c r="O49" s="131">
        <f>N49/M49</f>
        <v>86.8930817610063</v>
      </c>
      <c r="P49" s="171">
        <f>M49-J49</f>
        <v>0</v>
      </c>
      <c r="Q49" s="115">
        <f>O49-L49</f>
        <v>-5.1362683438142653E-2</v>
      </c>
      <c r="R49" s="192">
        <f>O49/L49</f>
        <v>0.9994092470914463</v>
      </c>
      <c r="S49" s="408">
        <f>R58</f>
        <v>0.89037733257349816</v>
      </c>
      <c r="T49" s="157">
        <v>0.2902777777777778</v>
      </c>
      <c r="U49" s="157">
        <v>0.47430555555555554</v>
      </c>
      <c r="V49" s="196"/>
      <c r="W49" s="158">
        <f t="shared" si="7"/>
        <v>264.99999999999994</v>
      </c>
      <c r="X49" s="196"/>
      <c r="Y49" s="196"/>
      <c r="Z49" s="423"/>
      <c r="AA49" s="423"/>
      <c r="AB49" s="114">
        <f>N49-K49</f>
        <v>-0.92452830188653934</v>
      </c>
      <c r="AC49" s="192">
        <f>N49/K49</f>
        <v>0.9994092470914463</v>
      </c>
      <c r="AD49" s="391">
        <f>AC58</f>
        <v>0.8796336537129712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66</v>
      </c>
      <c r="E50" s="89"/>
      <c r="F50" s="56">
        <f>VLOOKUP(D50,廠價表!$C$1:$E$39,3,0)</f>
        <v>49.97</v>
      </c>
      <c r="G50" s="67">
        <v>990</v>
      </c>
      <c r="H50" s="77">
        <f t="shared" si="39"/>
        <v>49470.299999999996</v>
      </c>
      <c r="I50" s="201"/>
      <c r="J50" s="16">
        <f>VLOOKUP(D50,產線配置圖!$A$2:$C$38,2,0)</f>
        <v>18</v>
      </c>
      <c r="K50" s="14">
        <f>VLOOKUP(D50,產線配置圖!$A$2:$C$38,3,0)</f>
        <v>1565</v>
      </c>
      <c r="L50" s="17">
        <f>K50/J50</f>
        <v>86.944444444444443</v>
      </c>
      <c r="M50" s="182">
        <v>17</v>
      </c>
      <c r="N50" s="78">
        <f>G50/W50*60</f>
        <v>1263.8297872340427</v>
      </c>
      <c r="O50" s="79">
        <f>N50/M50</f>
        <v>74.342928660826033</v>
      </c>
      <c r="P50" s="18">
        <f>M50-J50</f>
        <v>-1</v>
      </c>
      <c r="Q50" s="19">
        <f>O50-L50</f>
        <v>-12.60151578361841</v>
      </c>
      <c r="R50" s="193">
        <f>O50/L50</f>
        <v>0.85506243827148154</v>
      </c>
      <c r="S50" s="409"/>
      <c r="T50" s="80">
        <v>0.52500000000000002</v>
      </c>
      <c r="U50" s="80">
        <v>0.55763888888888891</v>
      </c>
      <c r="V50" s="185">
        <f t="shared" ref="V50:V51" si="40">(T50-U49)*24*60</f>
        <v>73.000000000000057</v>
      </c>
      <c r="W50" s="81">
        <f t="shared" si="7"/>
        <v>46.999999999999993</v>
      </c>
      <c r="X50" s="22">
        <v>0.47916666666666669</v>
      </c>
      <c r="Y50" s="22">
        <v>0.52083333333333337</v>
      </c>
      <c r="Z50" s="398"/>
      <c r="AA50" s="399"/>
      <c r="AB50" s="18">
        <f>N50-K50</f>
        <v>-301.17021276595733</v>
      </c>
      <c r="AC50" s="193">
        <f>N50/K50</f>
        <v>0.80755896947862149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222</v>
      </c>
      <c r="E51" s="89"/>
      <c r="F51" s="56">
        <f>VLOOKUP(D51,廠價表!$C$1:$E$39,3,0)</f>
        <v>50.67</v>
      </c>
      <c r="G51" s="67">
        <v>1460</v>
      </c>
      <c r="H51" s="77">
        <f t="shared" si="39"/>
        <v>73978.2</v>
      </c>
      <c r="I51" s="201"/>
      <c r="J51" s="16">
        <f>VLOOKUP(D51,產線配置圖!$A$2:$C$38,2,0)</f>
        <v>15</v>
      </c>
      <c r="K51" s="14">
        <f>VLOOKUP(D51,產線配置圖!$A$2:$C$38,3,0)</f>
        <v>2000</v>
      </c>
      <c r="L51" s="17">
        <f>K51/J51</f>
        <v>133.33333333333334</v>
      </c>
      <c r="M51" s="182">
        <v>15</v>
      </c>
      <c r="N51" s="78">
        <f>G51/W51*60</f>
        <v>1684.6153846153854</v>
      </c>
      <c r="O51" s="79">
        <f>N51/M51</f>
        <v>112.30769230769236</v>
      </c>
      <c r="P51" s="18">
        <f>M51-J51</f>
        <v>0</v>
      </c>
      <c r="Q51" s="19">
        <f>O51-L51</f>
        <v>-21.025641025640979</v>
      </c>
      <c r="R51" s="193">
        <f>O51/L51</f>
        <v>0.84230769230769265</v>
      </c>
      <c r="S51" s="409"/>
      <c r="T51" s="80">
        <v>0.57291666666666663</v>
      </c>
      <c r="U51" s="44">
        <v>0.60902777777777772</v>
      </c>
      <c r="V51" s="185">
        <f t="shared" si="40"/>
        <v>21.999999999999922</v>
      </c>
      <c r="W51" s="81">
        <f t="shared" si="7"/>
        <v>51.999999999999972</v>
      </c>
      <c r="X51" s="22"/>
      <c r="Y51" s="22"/>
      <c r="Z51" s="400"/>
      <c r="AA51" s="400"/>
      <c r="AB51" s="18">
        <f>N51-K51</f>
        <v>-315.38461538461456</v>
      </c>
      <c r="AC51" s="193">
        <f>N51/K51</f>
        <v>0.84230769230769276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185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>
        <f t="shared" si="39"/>
        <v>0</v>
      </c>
      <c r="I53" s="185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20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9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9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9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9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1">AVERAGE(J49:J57)</f>
        <v>17</v>
      </c>
      <c r="K58" s="121">
        <f t="shared" si="41"/>
        <v>1710</v>
      </c>
      <c r="L58" s="118">
        <f t="shared" si="41"/>
        <v>102.4074074074074</v>
      </c>
      <c r="M58" s="121">
        <f t="shared" si="41"/>
        <v>16.666666666666668</v>
      </c>
      <c r="N58" s="121">
        <f t="shared" si="41"/>
        <v>1504.1735478491807</v>
      </c>
      <c r="O58" s="118">
        <f t="shared" si="41"/>
        <v>91.181234243174899</v>
      </c>
      <c r="P58" s="122">
        <f>M58-J58</f>
        <v>-0.33333333333333215</v>
      </c>
      <c r="Q58" s="123">
        <f>N58-K58</f>
        <v>-205.82645215081925</v>
      </c>
      <c r="R58" s="124">
        <f t="shared" ref="R58:R60" si="42">O58/L58</f>
        <v>0.89037733257349816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43">N58-K58</f>
        <v>-205.82645215081925</v>
      </c>
      <c r="AC58" s="195">
        <f t="shared" ref="AC58:AC61" si="44">N58/K58</f>
        <v>0.8796336537129712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3069</v>
      </c>
      <c r="H59" s="109">
        <f t="shared" ref="H59:H68" si="45">F59*G59</f>
        <v>82832.31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46">G59/W59*60</f>
        <v>1534.5000000000005</v>
      </c>
      <c r="O59" s="112">
        <f t="shared" ref="O59:O61" si="47">N59/M59</f>
        <v>118.03846153846158</v>
      </c>
      <c r="P59" s="114">
        <f t="shared" ref="P59:P61" si="48">M59-J59</f>
        <v>0</v>
      </c>
      <c r="Q59" s="115">
        <f t="shared" ref="Q59:Q61" si="49">O59-L59</f>
        <v>-2.3461538461538112</v>
      </c>
      <c r="R59" s="192">
        <f t="shared" si="42"/>
        <v>0.98051118210862653</v>
      </c>
      <c r="S59" s="408">
        <f>R69</f>
        <v>0.92584379352455903</v>
      </c>
      <c r="T59" s="176">
        <v>0.29166666666666669</v>
      </c>
      <c r="U59" s="176">
        <v>0.375</v>
      </c>
      <c r="V59" s="196"/>
      <c r="W59" s="110">
        <f t="shared" si="7"/>
        <v>119.99999999999997</v>
      </c>
      <c r="X59" s="196"/>
      <c r="Y59" s="196"/>
      <c r="Z59" s="400"/>
      <c r="AA59" s="400"/>
      <c r="AB59" s="240">
        <f t="shared" si="43"/>
        <v>-30.499999999999545</v>
      </c>
      <c r="AC59" s="241">
        <f t="shared" si="44"/>
        <v>0.98051118210862653</v>
      </c>
      <c r="AD59" s="391">
        <f>AC69</f>
        <v>0.92767970583716153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1144</v>
      </c>
      <c r="H60" s="15">
        <f t="shared" si="45"/>
        <v>32569.68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6"/>
        <v>1271.1111111111118</v>
      </c>
      <c r="O60" s="17">
        <f t="shared" si="47"/>
        <v>105.92592592592598</v>
      </c>
      <c r="P60" s="18">
        <f t="shared" si="48"/>
        <v>0</v>
      </c>
      <c r="Q60" s="19">
        <f t="shared" si="49"/>
        <v>-24.490740740740677</v>
      </c>
      <c r="R60" s="193">
        <f t="shared" si="42"/>
        <v>0.81221157259495969</v>
      </c>
      <c r="S60" s="419"/>
      <c r="T60" s="206">
        <v>0.38541666666666669</v>
      </c>
      <c r="U60" s="206">
        <v>0.42291666666666666</v>
      </c>
      <c r="V60" s="185">
        <f t="shared" ref="V60:V63" si="50">(T60-U59)*24*60</f>
        <v>15.000000000000027</v>
      </c>
      <c r="W60" s="93">
        <f t="shared" si="7"/>
        <v>53.999999999999972</v>
      </c>
      <c r="X60" s="201"/>
      <c r="Y60" s="201"/>
      <c r="Z60" s="400"/>
      <c r="AA60" s="400"/>
      <c r="AB60" s="242">
        <f t="shared" si="43"/>
        <v>-293.88888888888823</v>
      </c>
      <c r="AC60" s="243">
        <f t="shared" si="44"/>
        <v>0.81221157259495957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1442</v>
      </c>
      <c r="H61" s="15">
        <f t="shared" si="45"/>
        <v>40750.920000000006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51">K61/J61</f>
        <v>130.41666666666666</v>
      </c>
      <c r="M61" s="188">
        <v>12</v>
      </c>
      <c r="N61" s="14">
        <f t="shared" si="46"/>
        <v>1373.3333333333346</v>
      </c>
      <c r="O61" s="17">
        <f t="shared" si="47"/>
        <v>114.44444444444456</v>
      </c>
      <c r="P61" s="18">
        <f t="shared" si="48"/>
        <v>0</v>
      </c>
      <c r="Q61" s="19">
        <f t="shared" si="49"/>
        <v>-15.972222222222101</v>
      </c>
      <c r="R61" s="193">
        <f>O61/L61</f>
        <v>0.8775292864749743</v>
      </c>
      <c r="S61" s="409"/>
      <c r="T61" s="20">
        <v>0.43194444444444446</v>
      </c>
      <c r="U61" s="20">
        <v>0.47569444444444442</v>
      </c>
      <c r="V61" s="185">
        <f t="shared" si="50"/>
        <v>13.000000000000034</v>
      </c>
      <c r="W61" s="91">
        <f t="shared" si="7"/>
        <v>62.999999999999936</v>
      </c>
      <c r="X61" s="22"/>
      <c r="Y61" s="22"/>
      <c r="Z61" s="400"/>
      <c r="AA61" s="400"/>
      <c r="AB61" s="51">
        <f t="shared" si="43"/>
        <v>-191.66666666666538</v>
      </c>
      <c r="AC61" s="52">
        <f t="shared" si="44"/>
        <v>0.87752928647497419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260" t="s">
        <v>143</v>
      </c>
      <c r="E62" s="89"/>
      <c r="F62" s="56">
        <f>VLOOKUP(D62,廠價表!$C$1:$E$39,3,0)</f>
        <v>28.26</v>
      </c>
      <c r="G62" s="185">
        <v>1071</v>
      </c>
      <c r="H62" s="15">
        <f t="shared" ref="H62:H63" si="52">F62*G62</f>
        <v>30266.460000000003</v>
      </c>
      <c r="I62" s="82"/>
      <c r="J62" s="16">
        <f>VLOOKUP(D62,產線配置圖!$A$2:$C$38,2,0)</f>
        <v>12</v>
      </c>
      <c r="K62" s="14">
        <f>VLOOKUP(D62,產線配置圖!$A$2:$C$38,3,0)</f>
        <v>1565</v>
      </c>
      <c r="L62" s="17">
        <f t="shared" ref="L62" si="53">K62/J62</f>
        <v>130.41666666666666</v>
      </c>
      <c r="M62" s="188">
        <v>12</v>
      </c>
      <c r="N62" s="14">
        <f t="shared" ref="N62:N63" si="54">G62/W62*60</f>
        <v>1529.9999999999995</v>
      </c>
      <c r="O62" s="17">
        <f t="shared" ref="O62:O63" si="55">N62/M62</f>
        <v>127.49999999999996</v>
      </c>
      <c r="P62" s="18">
        <f t="shared" ref="P62:P63" si="56">M62-J62</f>
        <v>0</v>
      </c>
      <c r="Q62" s="19">
        <f t="shared" ref="Q62:Q63" si="57">O62-L62</f>
        <v>-2.9166666666666998</v>
      </c>
      <c r="R62" s="193">
        <f>O62/L62</f>
        <v>0.97763578274760354</v>
      </c>
      <c r="S62" s="409"/>
      <c r="T62" s="20">
        <v>0.52777777777777779</v>
      </c>
      <c r="U62" s="20">
        <v>0.55694444444444446</v>
      </c>
      <c r="V62" s="185">
        <f t="shared" si="50"/>
        <v>75.000000000000057</v>
      </c>
      <c r="W62" s="93">
        <f t="shared" si="7"/>
        <v>42.000000000000014</v>
      </c>
      <c r="X62" s="22">
        <v>0.48055555555555557</v>
      </c>
      <c r="Y62" s="22">
        <v>0.52222222222222225</v>
      </c>
      <c r="Z62" s="400"/>
      <c r="AA62" s="400"/>
      <c r="AB62" s="51">
        <f t="shared" ref="AB62:AB63" si="58">N62-K62</f>
        <v>-35.000000000000455</v>
      </c>
      <c r="AC62" s="52">
        <f t="shared" ref="AC62:AC63" si="59">N62/K62</f>
        <v>0.97763578274760354</v>
      </c>
      <c r="AD62" s="392"/>
    </row>
    <row r="63" spans="1:30" ht="15" customHeight="1" x14ac:dyDescent="0.25">
      <c r="A63" s="417"/>
      <c r="B63" s="56" t="str">
        <f>VLOOKUP(D63,廠價表!$C$1:$E$39,2,0)</f>
        <v>小吃、微波</v>
      </c>
      <c r="C63" s="23"/>
      <c r="D63" s="11" t="s">
        <v>128</v>
      </c>
      <c r="E63" s="12"/>
      <c r="F63" s="56">
        <f>VLOOKUP(D63,廠價表!$C$1:$E$39,3,0)</f>
        <v>26.99</v>
      </c>
      <c r="G63" s="185">
        <v>1731</v>
      </c>
      <c r="H63" s="15">
        <f t="shared" si="52"/>
        <v>46719.689999999995</v>
      </c>
      <c r="I63" s="82"/>
      <c r="J63" s="16">
        <f>VLOOKUP(D63,產線配置圖!$A$2:$C$38,2,0)</f>
        <v>13</v>
      </c>
      <c r="K63" s="14">
        <f>VLOOKUP(D63,產線配置圖!$A$2:$C$38,3,0)</f>
        <v>1565</v>
      </c>
      <c r="L63" s="17">
        <f>K63/J63</f>
        <v>120.38461538461539</v>
      </c>
      <c r="M63" s="188">
        <v>13</v>
      </c>
      <c r="N63" s="14">
        <f t="shared" si="54"/>
        <v>1550.1492537313413</v>
      </c>
      <c r="O63" s="17">
        <f t="shared" si="55"/>
        <v>119.24225028702625</v>
      </c>
      <c r="P63" s="18">
        <f t="shared" si="56"/>
        <v>0</v>
      </c>
      <c r="Q63" s="19">
        <f t="shared" si="57"/>
        <v>-1.1423650975891348</v>
      </c>
      <c r="R63" s="193">
        <f t="shared" ref="R63" si="60">O63/L63</f>
        <v>0.99051070525964302</v>
      </c>
      <c r="S63" s="409"/>
      <c r="T63" s="20">
        <v>0.56736111111111109</v>
      </c>
      <c r="U63" s="20">
        <v>0.61388888888888893</v>
      </c>
      <c r="V63" s="185">
        <f t="shared" si="50"/>
        <v>14.999999999999947</v>
      </c>
      <c r="W63" s="93">
        <f t="shared" si="7"/>
        <v>67.000000000000085</v>
      </c>
      <c r="X63" s="85"/>
      <c r="Y63" s="85"/>
      <c r="Z63" s="400"/>
      <c r="AA63" s="400"/>
      <c r="AB63" s="51">
        <f t="shared" si="58"/>
        <v>-14.850746268658668</v>
      </c>
      <c r="AC63" s="52">
        <f t="shared" si="59"/>
        <v>0.99051070525964302</v>
      </c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5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5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5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5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5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61">AVERAGE(J59:J68)</f>
        <v>12.4</v>
      </c>
      <c r="K69" s="173">
        <f t="shared" si="61"/>
        <v>1565</v>
      </c>
      <c r="L69" s="178">
        <f t="shared" si="61"/>
        <v>126.40384615384615</v>
      </c>
      <c r="M69" s="173">
        <f t="shared" si="61"/>
        <v>12.4</v>
      </c>
      <c r="N69" s="173">
        <f t="shared" si="61"/>
        <v>1451.8187396351577</v>
      </c>
      <c r="O69" s="178">
        <f t="shared" si="61"/>
        <v>117.03021643917165</v>
      </c>
      <c r="P69" s="179">
        <f>M69-J69</f>
        <v>0</v>
      </c>
      <c r="Q69" s="165">
        <f>N69-K69</f>
        <v>-113.18126036484227</v>
      </c>
      <c r="R69" s="124">
        <f>O69/L69</f>
        <v>0.92584379352455903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-113.18126036484227</v>
      </c>
      <c r="AC69" s="195">
        <f>N69/K69</f>
        <v>0.92767970583716153</v>
      </c>
      <c r="AD69" s="396"/>
    </row>
    <row r="70" spans="1:32" ht="15" customHeight="1" thickBot="1" x14ac:dyDescent="0.3">
      <c r="A70" s="405" t="s">
        <v>58</v>
      </c>
      <c r="B70" s="207" t="s">
        <v>63</v>
      </c>
      <c r="C70" s="207"/>
      <c r="D70" s="106" t="s">
        <v>223</v>
      </c>
      <c r="E70" s="107"/>
      <c r="F70" s="207">
        <f>VLOOKUP(D70,廠價表!$C$1:$E$39,3,0)</f>
        <v>57.3</v>
      </c>
      <c r="G70" s="196">
        <v>1980</v>
      </c>
      <c r="H70" s="109">
        <f t="shared" ref="H70:H71" si="62">F70*G70</f>
        <v>113454</v>
      </c>
      <c r="I70" s="196"/>
      <c r="J70" s="111">
        <f>VLOOKUP(D70,產線配置圖!$A$2:$C$38,2,0)</f>
        <v>17</v>
      </c>
      <c r="K70" s="108">
        <f>VLOOKUP(D70,產線配置圖!$A$2:$C$38,3,0)</f>
        <v>1385</v>
      </c>
      <c r="L70" s="112">
        <f>K70/J70</f>
        <v>81.470588235294116</v>
      </c>
      <c r="M70" s="113">
        <v>15</v>
      </c>
      <c r="N70" s="108">
        <f t="shared" ref="N70" si="63">G70/W70*60</f>
        <v>1033.0434782608688</v>
      </c>
      <c r="O70" s="112">
        <f t="shared" ref="O70" si="64">N70/M70</f>
        <v>68.869565217391255</v>
      </c>
      <c r="P70" s="114">
        <f t="shared" ref="P70" si="65">M70-J70</f>
        <v>-2</v>
      </c>
      <c r="Q70" s="115">
        <f t="shared" ref="Q70" si="66">O70-L70</f>
        <v>-12.601023017902861</v>
      </c>
      <c r="R70" s="192">
        <f t="shared" ref="R70" si="67">O70/L70</f>
        <v>0.84533040339036203</v>
      </c>
      <c r="S70" s="408">
        <f>R79</f>
        <v>0.82429442986972423</v>
      </c>
      <c r="T70" s="176">
        <v>0.5625</v>
      </c>
      <c r="U70" s="176">
        <v>0.64236111111111116</v>
      </c>
      <c r="V70" s="196"/>
      <c r="W70" s="110">
        <f t="shared" ref="W70:W78" si="68">(U70-T70)*24*60</f>
        <v>115.00000000000007</v>
      </c>
      <c r="X70" s="180"/>
      <c r="Y70" s="180"/>
      <c r="Z70" s="413"/>
      <c r="AA70" s="414"/>
      <c r="AB70" s="240">
        <f t="shared" ref="AB70" si="69">N70-K70</f>
        <v>-351.95652173913118</v>
      </c>
      <c r="AC70" s="241">
        <f t="shared" ref="AC70" si="70">N70/K70</f>
        <v>0.74587976769737818</v>
      </c>
      <c r="AD70" s="391">
        <f>AC79</f>
        <v>0.75451449227489897</v>
      </c>
    </row>
    <row r="71" spans="1:32" ht="15" customHeight="1" x14ac:dyDescent="0.25">
      <c r="A71" s="406"/>
      <c r="B71" s="56" t="s">
        <v>140</v>
      </c>
      <c r="C71" s="10"/>
      <c r="D71" s="11" t="s">
        <v>173</v>
      </c>
      <c r="E71" s="89"/>
      <c r="F71" s="56">
        <f>VLOOKUP(D71,廠價表!$C$1:$E$39,3,0)</f>
        <v>56.87</v>
      </c>
      <c r="G71" s="67">
        <v>800</v>
      </c>
      <c r="H71" s="77">
        <f t="shared" si="62"/>
        <v>45496</v>
      </c>
      <c r="I71" s="201"/>
      <c r="J71" s="16">
        <v>17</v>
      </c>
      <c r="K71" s="14">
        <v>1500</v>
      </c>
      <c r="L71" s="17">
        <v>88.235294117647058</v>
      </c>
      <c r="M71" s="188">
        <v>15</v>
      </c>
      <c r="N71" s="14">
        <f t="shared" ref="N71" si="71">G71/W71*60</f>
        <v>872.72727272727332</v>
      </c>
      <c r="O71" s="17">
        <f t="shared" ref="O71" si="72">N71/M71</f>
        <v>58.181818181818223</v>
      </c>
      <c r="P71" s="18">
        <f t="shared" ref="P71" si="73">M71-J71</f>
        <v>-2</v>
      </c>
      <c r="Q71" s="19">
        <f t="shared" ref="Q71" si="74">O71-L71</f>
        <v>-30.053475935828835</v>
      </c>
      <c r="R71" s="193">
        <f t="shared" ref="R71" si="75">O71/L71</f>
        <v>0.65939393939393987</v>
      </c>
      <c r="S71" s="409"/>
      <c r="T71" s="20">
        <v>0.64930555555555558</v>
      </c>
      <c r="U71" s="20">
        <v>0.6875</v>
      </c>
      <c r="V71" s="185">
        <f t="shared" ref="V71" si="76">(T71-U70)*24*60</f>
        <v>9.9999999999999645</v>
      </c>
      <c r="W71" s="93">
        <f t="shared" si="68"/>
        <v>54.999999999999964</v>
      </c>
      <c r="X71" s="22"/>
      <c r="Y71" s="22"/>
      <c r="Z71" s="507" t="s">
        <v>256</v>
      </c>
      <c r="AA71" s="507"/>
      <c r="AB71" s="240">
        <f t="shared" ref="AB71" si="77">N71-K71</f>
        <v>-627.27272727272668</v>
      </c>
      <c r="AC71" s="241">
        <f t="shared" ref="AC71" si="78">N71/K71</f>
        <v>0.58181818181818223</v>
      </c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68"/>
        <v>0</v>
      </c>
      <c r="X72" s="22"/>
      <c r="Y72" s="22"/>
      <c r="Z72" s="400"/>
      <c r="AA72" s="400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277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68"/>
        <v>0</v>
      </c>
      <c r="X73" s="22"/>
      <c r="Y73" s="22"/>
      <c r="Z73" s="400"/>
      <c r="AA73" s="400"/>
      <c r="AB73" s="39"/>
      <c r="AC73" s="198"/>
      <c r="AD73" s="392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79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68"/>
        <v>0</v>
      </c>
      <c r="X74" s="22"/>
      <c r="Y74" s="22"/>
      <c r="Z74" s="400"/>
      <c r="AA74" s="400"/>
      <c r="AB74" s="18"/>
      <c r="AC74" s="193"/>
      <c r="AD74" s="392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79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68"/>
        <v>0</v>
      </c>
      <c r="X75" s="92"/>
      <c r="Y75" s="92"/>
      <c r="Z75" s="402"/>
      <c r="AA75" s="402"/>
      <c r="AB75" s="87"/>
      <c r="AC75" s="88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79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68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79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68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79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68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80">AVERAGE(J69:J78)</f>
        <v>15.466666666666667</v>
      </c>
      <c r="K79" s="173">
        <f t="shared" si="80"/>
        <v>1483.3333333333333</v>
      </c>
      <c r="L79" s="178">
        <f t="shared" si="80"/>
        <v>98.703242835595788</v>
      </c>
      <c r="M79" s="173">
        <f t="shared" si="80"/>
        <v>14.133333333333333</v>
      </c>
      <c r="N79" s="173">
        <f t="shared" si="80"/>
        <v>1119.1964968744335</v>
      </c>
      <c r="O79" s="178">
        <f t="shared" si="80"/>
        <v>81.36053327946037</v>
      </c>
      <c r="P79" s="179">
        <f>M79-J79</f>
        <v>-1.3333333333333339</v>
      </c>
      <c r="Q79" s="165">
        <f>N79-K79</f>
        <v>-364.13683645889978</v>
      </c>
      <c r="R79" s="166">
        <f>O79/L79</f>
        <v>0.82429442986972423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-364.13683645889978</v>
      </c>
      <c r="AC79" s="195">
        <f>N79/K79</f>
        <v>0.75451449227489897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Z39:AA39"/>
    <mergeCell ref="H3:H4"/>
    <mergeCell ref="I3:I4"/>
    <mergeCell ref="J3:J4"/>
    <mergeCell ref="K3:K4"/>
    <mergeCell ref="L3:L4"/>
    <mergeCell ref="M3:M4"/>
    <mergeCell ref="Z15:AA15"/>
    <mergeCell ref="AC3:AC4"/>
    <mergeCell ref="AD3:AD4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5:A15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40:AA40"/>
    <mergeCell ref="Z41:AA41"/>
    <mergeCell ref="Z42:AA42"/>
    <mergeCell ref="Z43:AA43"/>
    <mergeCell ref="Z44:AA44"/>
    <mergeCell ref="Z45:AA45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48" priority="1" operator="greaterThan">
      <formula>0</formula>
    </cfRule>
  </conditionalFormatting>
  <conditionalFormatting sqref="Q5:Q79 AB5:AB79">
    <cfRule type="cellIs" dxfId="47" priority="4" operator="lessThan">
      <formula>0</formula>
    </cfRule>
  </conditionalFormatting>
  <conditionalFormatting sqref="R5:R79 AC5:AC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D59:AD62 S69:S76 AD69:AD76">
    <cfRule type="cellIs" dxfId="44" priority="7" operator="lessThan">
      <formula>0.8</formula>
    </cfRule>
  </conditionalFormatting>
  <conditionalFormatting sqref="S19:S25 AD19:AD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D5:AD8 S15:S16 AD15:AD16 AD49 AD79">
    <cfRule type="cellIs" dxfId="41" priority="9" operator="lessThan">
      <formula>0.8</formula>
    </cfRule>
  </conditionalFormatting>
  <conditionalFormatting sqref="AD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2E5837-7E8A-4C29-A365-7243735C32B7}">
          <x14:formula1>
            <xm:f>廠價表!$C$2:$C$37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264F-677F-40E3-9EC9-0D3048C9A07E}">
  <sheetPr>
    <pageSetUpPr fitToPage="1"/>
  </sheetPr>
  <dimension ref="B1:O22"/>
  <sheetViews>
    <sheetView zoomScale="70" zoomScaleNormal="70" workbookViewId="0">
      <selection activeCell="U73" sqref="U73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45958</v>
      </c>
      <c r="E3" s="383"/>
      <c r="F3" s="214" t="s">
        <v>76</v>
      </c>
      <c r="G3" s="384">
        <f>'1028'!E1</f>
        <v>73385</v>
      </c>
      <c r="H3" s="384"/>
      <c r="I3" s="214" t="s">
        <v>77</v>
      </c>
      <c r="J3" s="385">
        <f>'1028'!G1</f>
        <v>3665952.7300000009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111.49002217339925</v>
      </c>
      <c r="G6" s="362"/>
      <c r="H6" s="363">
        <f>AVERAGE(D13:H13)</f>
        <v>112.10278443642412</v>
      </c>
      <c r="I6" s="363"/>
      <c r="J6" s="363">
        <f>AVERAGE(I13:J13)</f>
        <v>109.9581165158371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102.21936232622966</v>
      </c>
      <c r="G7" s="380"/>
      <c r="H7" s="381">
        <f>AVERAGE(D14:H14)</f>
        <v>102.13506264740036</v>
      </c>
      <c r="I7" s="381"/>
      <c r="J7" s="381">
        <f>AVERAGE(I14:J14)</f>
        <v>102.43011152330287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0.91831449032322432</v>
      </c>
      <c r="G8" s="360"/>
      <c r="H8" s="360">
        <f>AVERAGE(D15:H15)</f>
        <v>0.91193123392329711</v>
      </c>
      <c r="I8" s="360"/>
      <c r="J8" s="360">
        <f>AVERAGE(I15:J15)</f>
        <v>0.93427263132304217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VALUE('1028'!L15)</f>
        <v>146.04578754578753</v>
      </c>
      <c r="E13" s="227">
        <f>VALUE('1028'!L26)</f>
        <v>150.76923076923077</v>
      </c>
      <c r="F13" s="227">
        <f>VALUE('1028'!L37)</f>
        <v>83.127553104575171</v>
      </c>
      <c r="G13" s="227">
        <f>VALUE('1028'!L48)</f>
        <v>92.981481481481481</v>
      </c>
      <c r="H13" s="227">
        <f>VALUE('1028'!L58)</f>
        <v>87.58986928104575</v>
      </c>
      <c r="I13" s="227">
        <f>VALUE('1028'!L69)</f>
        <v>126.40384615384615</v>
      </c>
      <c r="J13" s="227">
        <f>VALUE('1028'!L79)</f>
        <v>93.51238687782805</v>
      </c>
    </row>
    <row r="14" spans="2:15" ht="39.950000000000003" customHeight="1" x14ac:dyDescent="0.25">
      <c r="B14" s="489"/>
      <c r="C14" s="226" t="s">
        <v>100</v>
      </c>
      <c r="D14" s="227">
        <f>VALUE('1028'!O15)</f>
        <v>137.33781806294897</v>
      </c>
      <c r="E14" s="227">
        <f>VALUE('1028'!O26)</f>
        <v>132.21625297626753</v>
      </c>
      <c r="F14" s="227">
        <f>VALUE('1028'!O37)</f>
        <v>72.607964827988923</v>
      </c>
      <c r="G14" s="227">
        <f>VALUE('1028'!O48)</f>
        <v>83.088554302839995</v>
      </c>
      <c r="H14" s="227">
        <f>VALUE('1028'!O58)</f>
        <v>85.424723066956403</v>
      </c>
      <c r="I14" s="227">
        <f>VALUE('1028'!O69)</f>
        <v>115.78407399052557</v>
      </c>
      <c r="J14" s="227">
        <f>VALUE('1028'!O79)</f>
        <v>89.076149056080169</v>
      </c>
    </row>
    <row r="15" spans="2:15" ht="39.950000000000003" customHeight="1" x14ac:dyDescent="0.25">
      <c r="B15" s="490"/>
      <c r="C15" s="222" t="s">
        <v>101</v>
      </c>
      <c r="D15" s="248">
        <f>D14/D13</f>
        <v>0.94037507257709518</v>
      </c>
      <c r="E15" s="248">
        <f t="shared" ref="E15:J15" si="0">E14/E13</f>
        <v>0.87694453504667236</v>
      </c>
      <c r="F15" s="248">
        <f t="shared" si="0"/>
        <v>0.87345244887272799</v>
      </c>
      <c r="G15" s="248">
        <f t="shared" si="0"/>
        <v>0.89360325280887465</v>
      </c>
      <c r="H15" s="248">
        <f t="shared" si="0"/>
        <v>0.97528086031111505</v>
      </c>
      <c r="I15" s="248">
        <f t="shared" si="0"/>
        <v>0.91598537159703786</v>
      </c>
      <c r="J15" s="248">
        <f t="shared" si="0"/>
        <v>0.95255989104904648</v>
      </c>
    </row>
    <row r="16" spans="2:15" ht="17.25" customHeight="1" x14ac:dyDescent="0.25">
      <c r="B16" s="491" t="s">
        <v>102</v>
      </c>
      <c r="C16" s="222" t="s">
        <v>103</v>
      </c>
      <c r="D16" s="98">
        <f>'1028'!T5</f>
        <v>0.2902777777777778</v>
      </c>
      <c r="E16" s="98">
        <f>'1028'!T16</f>
        <v>0.2902777777777778</v>
      </c>
      <c r="F16" s="98">
        <f>'1028'!T27</f>
        <v>0.30138888888888887</v>
      </c>
      <c r="G16" s="98">
        <f>'1028'!T38</f>
        <v>0.33194444444444443</v>
      </c>
      <c r="H16" s="98">
        <f>'1028'!T49</f>
        <v>0.33194444444444443</v>
      </c>
      <c r="I16" s="98">
        <f>'1028'!T59</f>
        <v>0.29583333333333334</v>
      </c>
      <c r="J16" s="293">
        <f>'1028'!T70</f>
        <v>0.34027777777777779</v>
      </c>
    </row>
    <row r="17" spans="2:10" ht="17.25" customHeight="1" x14ac:dyDescent="0.25">
      <c r="B17" s="492"/>
      <c r="C17" s="222" t="s">
        <v>104</v>
      </c>
      <c r="D17" s="20">
        <v>0.64930555555555558</v>
      </c>
      <c r="E17" s="41">
        <v>0.68611111111111112</v>
      </c>
      <c r="F17" s="41">
        <v>0.65833333333333333</v>
      </c>
      <c r="G17" s="59">
        <v>0.78125</v>
      </c>
      <c r="H17" s="80">
        <v>0.69722222222222219</v>
      </c>
      <c r="I17" s="20">
        <v>0.65277777777777779</v>
      </c>
      <c r="J17" s="294">
        <v>0.76041666666666663</v>
      </c>
    </row>
    <row r="18" spans="2:10" ht="17.25" customHeight="1" x14ac:dyDescent="0.25">
      <c r="B18" s="481" t="s">
        <v>105</v>
      </c>
      <c r="C18" s="355"/>
      <c r="D18" s="229">
        <f>VALUE('1028'!M15)</f>
        <v>13.6</v>
      </c>
      <c r="E18" s="229">
        <f>VALUE('1028'!M26)</f>
        <v>13.4</v>
      </c>
      <c r="F18" s="229">
        <f>VALUE('1028'!M37)</f>
        <v>15.75</v>
      </c>
      <c r="G18" s="229">
        <f>VALUE('1028'!M48)</f>
        <v>14</v>
      </c>
      <c r="H18" s="229">
        <f>VALUE('1028'!M58)</f>
        <v>17.25</v>
      </c>
      <c r="I18" s="229">
        <f>VALUE('1028'!M69)</f>
        <v>12.4</v>
      </c>
      <c r="J18" s="229">
        <f>VALUE('1028'!M79)</f>
        <v>14.88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F7:G7"/>
    <mergeCell ref="H7:I7"/>
    <mergeCell ref="J7:K7"/>
    <mergeCell ref="D8:E8"/>
    <mergeCell ref="F8:G8"/>
    <mergeCell ref="H8:I8"/>
    <mergeCell ref="J8:K8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8:C18"/>
    <mergeCell ref="B19:C19"/>
    <mergeCell ref="B20:C20"/>
    <mergeCell ref="B21:C21"/>
    <mergeCell ref="B22:C22"/>
  </mergeCells>
  <phoneticPr fontId="2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F989-367C-4D0D-9419-423C2D1381E7}">
  <sheetPr>
    <tabColor theme="9" tint="0.79998168889431442"/>
    <pageSetUpPr fitToPage="1"/>
  </sheetPr>
  <dimension ref="A1:AF92"/>
  <sheetViews>
    <sheetView zoomScale="69" zoomScaleNormal="69" workbookViewId="0">
      <pane xSplit="5" ySplit="4" topLeftCell="F41" activePane="bottomRight" state="frozen"/>
      <selection activeCell="U73" sqref="U73"/>
      <selection pane="topRight" activeCell="U73" sqref="U73"/>
      <selection pane="bottomLeft" activeCell="U73" sqref="U73"/>
      <selection pane="bottomRight" activeCell="H70" sqref="H70:H73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73385</v>
      </c>
      <c r="F1" s="185" t="s">
        <v>9</v>
      </c>
      <c r="G1" s="4">
        <f>SUM(H5:H79)</f>
        <v>3665952.7300000009</v>
      </c>
      <c r="H1" s="183" t="s">
        <v>10</v>
      </c>
      <c r="I1" s="5">
        <f>M15+M26+M48+M58+M69+M79+M37</f>
        <v>101.28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264</v>
      </c>
      <c r="B2" s="461"/>
      <c r="C2" s="184"/>
      <c r="D2" s="184" t="s">
        <v>1</v>
      </c>
      <c r="E2" s="7">
        <f>AVERAGE(O15,O26,O37,O48,O58,O69,O79)</f>
        <v>102.21936232622966</v>
      </c>
      <c r="F2" s="8" t="s">
        <v>2</v>
      </c>
      <c r="G2" s="9">
        <f>G1/E1</f>
        <v>49.955068883286785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2051</v>
      </c>
      <c r="H5" s="109">
        <f>F5*G5</f>
        <v>117337.71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1893.2307692307713</v>
      </c>
      <c r="O5" s="112">
        <f>N5/M5</f>
        <v>145.63313609467471</v>
      </c>
      <c r="P5" s="114">
        <f>M5-J5</f>
        <v>0</v>
      </c>
      <c r="Q5" s="115">
        <f>O5-L5</f>
        <v>-8.2130177514791285</v>
      </c>
      <c r="R5" s="192">
        <f>O5/L5</f>
        <v>0.94661538461538564</v>
      </c>
      <c r="S5" s="408">
        <f>R15</f>
        <v>0.94037507257709518</v>
      </c>
      <c r="T5" s="97">
        <v>0.2902777777777778</v>
      </c>
      <c r="U5" s="97">
        <v>0.33541666666666664</v>
      </c>
      <c r="V5" s="202"/>
      <c r="W5" s="110">
        <f t="shared" ref="W5:W14" si="0">(U5-T5)*24*60</f>
        <v>64.999999999999929</v>
      </c>
      <c r="X5" s="196"/>
      <c r="Y5" s="196"/>
      <c r="Z5" s="423"/>
      <c r="AA5" s="423"/>
      <c r="AB5" s="114">
        <f>N5-K5</f>
        <v>-106.76923076922867</v>
      </c>
      <c r="AC5" s="192">
        <f>N5/K5</f>
        <v>0.94661538461538564</v>
      </c>
      <c r="AD5" s="391">
        <f>AC15</f>
        <v>0.93931950690259225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222</v>
      </c>
      <c r="E6" s="89"/>
      <c r="F6" s="56">
        <f>VLOOKUP(D6,廠價表!$C$1:$E$39,3,0)</f>
        <v>50.67</v>
      </c>
      <c r="G6" s="25">
        <v>1410</v>
      </c>
      <c r="H6" s="15">
        <f t="shared" ref="H6:H14" si="1">F6*G6</f>
        <v>71444.7</v>
      </c>
      <c r="I6" s="190"/>
      <c r="J6" s="16">
        <f>VLOOKUP(D6,產線配置圖!$A$2:$C$38,2,0)</f>
        <v>15</v>
      </c>
      <c r="K6" s="14">
        <f>VLOOKUP(D6,產線配置圖!$A$2:$C$38,3,0)</f>
        <v>2000</v>
      </c>
      <c r="L6" s="17">
        <f>K6/J6</f>
        <v>133.33333333333334</v>
      </c>
      <c r="M6" s="188">
        <v>15</v>
      </c>
      <c r="N6" s="14">
        <f>G6/W6*60</f>
        <v>1800.0000000000002</v>
      </c>
      <c r="O6" s="17">
        <f>N6/M6</f>
        <v>120.00000000000001</v>
      </c>
      <c r="P6" s="18">
        <f>M6-J6</f>
        <v>0</v>
      </c>
      <c r="Q6" s="19">
        <f>O6-L6</f>
        <v>-13.333333333333329</v>
      </c>
      <c r="R6" s="193">
        <f>O6/L6</f>
        <v>0.9</v>
      </c>
      <c r="S6" s="409"/>
      <c r="T6" s="98">
        <v>0.34166666666666667</v>
      </c>
      <c r="U6" s="98">
        <v>0.37430555555555556</v>
      </c>
      <c r="V6" s="185">
        <f>(T6-U5)*24*60</f>
        <v>9.000000000000048</v>
      </c>
      <c r="W6" s="190">
        <f t="shared" si="0"/>
        <v>46.999999999999993</v>
      </c>
      <c r="X6" s="22"/>
      <c r="Y6" s="22"/>
      <c r="Z6" s="446"/>
      <c r="AA6" s="446"/>
      <c r="AB6" s="18">
        <f>N6-K6</f>
        <v>-199.99999999999977</v>
      </c>
      <c r="AC6" s="193">
        <f>N6/K6</f>
        <v>0.90000000000000013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148</v>
      </c>
      <c r="E7" s="89"/>
      <c r="F7" s="56">
        <f>VLOOKUP(D7,廠價表!$C$1:$E$39,3,0)</f>
        <v>57.21</v>
      </c>
      <c r="G7" s="25">
        <v>2650</v>
      </c>
      <c r="H7" s="15">
        <f t="shared" si="1"/>
        <v>151606.5</v>
      </c>
      <c r="I7" s="190"/>
      <c r="J7" s="16">
        <f>VLOOKUP(D7,產線配置圖!$A$2:$C$38,2,0)</f>
        <v>14</v>
      </c>
      <c r="K7" s="14">
        <f>VLOOKUP(D7,產線配置圖!$A$2:$C$38,3,0)</f>
        <v>1895</v>
      </c>
      <c r="L7" s="17">
        <f>K7/J7</f>
        <v>135.35714285714286</v>
      </c>
      <c r="M7" s="188">
        <v>14</v>
      </c>
      <c r="N7" s="14">
        <f>G7/W7*60</f>
        <v>1786.5168539325841</v>
      </c>
      <c r="O7" s="17">
        <f>N7/M7</f>
        <v>127.6083467094703</v>
      </c>
      <c r="P7" s="18">
        <f>M7-J7</f>
        <v>0</v>
      </c>
      <c r="Q7" s="19">
        <f>O7-L7</f>
        <v>-7.7487961476725644</v>
      </c>
      <c r="R7" s="193">
        <f>O7/L7</f>
        <v>0.94275295722036101</v>
      </c>
      <c r="S7" s="409"/>
      <c r="T7" s="98">
        <v>0.38055555555555554</v>
      </c>
      <c r="U7" s="98">
        <v>0.44236111111111109</v>
      </c>
      <c r="V7" s="185">
        <f>(T7-U6)*24*60</f>
        <v>8.999999999999968</v>
      </c>
      <c r="W7" s="190">
        <f t="shared" si="0"/>
        <v>89</v>
      </c>
      <c r="X7" s="22"/>
      <c r="Y7" s="22"/>
      <c r="Z7" s="400"/>
      <c r="AA7" s="400"/>
      <c r="AB7" s="18">
        <f>N7-K7</f>
        <v>-108.48314606741587</v>
      </c>
      <c r="AC7" s="193">
        <f>N7/K7</f>
        <v>0.94275295722036101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2568</v>
      </c>
      <c r="H8" s="15">
        <f t="shared" si="1"/>
        <v>126191.52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1926.0000000000009</v>
      </c>
      <c r="O8" s="17">
        <f>N8/M8</f>
        <v>148.15384615384622</v>
      </c>
      <c r="P8" s="18">
        <f>M8-J8</f>
        <v>0</v>
      </c>
      <c r="Q8" s="19">
        <f>O8-L8</f>
        <v>-5.6923076923076223</v>
      </c>
      <c r="R8" s="193">
        <f>O8/L8</f>
        <v>0.96300000000000041</v>
      </c>
      <c r="S8" s="409"/>
      <c r="T8" s="80">
        <v>0.44930555555555557</v>
      </c>
      <c r="U8" s="80">
        <v>0.50486111111111109</v>
      </c>
      <c r="V8" s="185">
        <f>(T8-U7)*24*60</f>
        <v>10.000000000000044</v>
      </c>
      <c r="W8" s="190">
        <f t="shared" si="0"/>
        <v>79.999999999999957</v>
      </c>
      <c r="X8" s="22">
        <v>0.51041666666666663</v>
      </c>
      <c r="Y8" s="22">
        <v>0.55208333333333337</v>
      </c>
      <c r="Z8" s="447"/>
      <c r="AA8" s="447"/>
      <c r="AB8" s="18">
        <f>N8-K8</f>
        <v>-73.999999999999091</v>
      </c>
      <c r="AC8" s="193">
        <f>N8/K8</f>
        <v>0.96300000000000041</v>
      </c>
      <c r="AD8" s="392"/>
    </row>
    <row r="9" spans="1:30" ht="15" customHeight="1" x14ac:dyDescent="0.25">
      <c r="A9" s="466"/>
      <c r="B9" s="56" t="s">
        <v>63</v>
      </c>
      <c r="C9" s="10"/>
      <c r="D9" s="11" t="s">
        <v>150</v>
      </c>
      <c r="E9" s="89"/>
      <c r="F9" s="56">
        <f>VLOOKUP(D9,廠價表!$C$1:$E$39,3,0)</f>
        <v>49.14</v>
      </c>
      <c r="G9" s="25">
        <v>3998</v>
      </c>
      <c r="H9" s="15">
        <f t="shared" si="1"/>
        <v>196461.72</v>
      </c>
      <c r="I9" s="190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8">
        <v>13</v>
      </c>
      <c r="N9" s="14">
        <f>G9/W9*60</f>
        <v>1888.8188976377949</v>
      </c>
      <c r="O9" s="17">
        <f>N9/M9</f>
        <v>145.29376135675346</v>
      </c>
      <c r="P9" s="18">
        <f>M9-J9</f>
        <v>0</v>
      </c>
      <c r="Q9" s="19">
        <f>O9-L9</f>
        <v>-8.5523924894003756</v>
      </c>
      <c r="R9" s="193">
        <f>O9/L9</f>
        <v>0.94440944881889755</v>
      </c>
      <c r="S9" s="410"/>
      <c r="T9" s="20">
        <v>0.56111111111111112</v>
      </c>
      <c r="U9" s="20">
        <v>0.64930555555555558</v>
      </c>
      <c r="V9" s="185">
        <f>(T9-U8)*24*60</f>
        <v>81.000000000000028</v>
      </c>
      <c r="W9" s="24">
        <f t="shared" si="0"/>
        <v>127.00000000000003</v>
      </c>
      <c r="X9" s="22"/>
      <c r="Y9" s="283"/>
      <c r="Z9" s="495"/>
      <c r="AA9" s="495"/>
      <c r="AB9" s="18">
        <f>N9-K9</f>
        <v>-111.18110236220514</v>
      </c>
      <c r="AC9" s="193">
        <f>N9/K9</f>
        <v>0.94440944881889743</v>
      </c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13.6</v>
      </c>
      <c r="K15" s="121">
        <f t="shared" si="2"/>
        <v>1979</v>
      </c>
      <c r="L15" s="118">
        <f t="shared" si="2"/>
        <v>146.04578754578753</v>
      </c>
      <c r="M15" s="121">
        <f t="shared" si="2"/>
        <v>13.6</v>
      </c>
      <c r="N15" s="121">
        <f t="shared" si="2"/>
        <v>1858.9133041602302</v>
      </c>
      <c r="O15" s="118">
        <f t="shared" si="2"/>
        <v>137.33781806294897</v>
      </c>
      <c r="P15" s="122">
        <f t="shared" ref="P15:P16" si="3">M15-J15</f>
        <v>0</v>
      </c>
      <c r="Q15" s="123">
        <f t="shared" ref="Q15:Q16" si="4">O15-L15</f>
        <v>-8.7079694828385641</v>
      </c>
      <c r="R15" s="124">
        <f t="shared" ref="R15:R16" si="5">O15/L15</f>
        <v>0.94037507257709518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-120.08669583976985</v>
      </c>
      <c r="AC15" s="195">
        <f>N15/K15</f>
        <v>0.93931950690259225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1694</v>
      </c>
      <c r="H16" s="128">
        <f t="shared" ref="H16:H25" si="6">F16*G16</f>
        <v>96913.74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1639.3548387096789</v>
      </c>
      <c r="O16" s="131">
        <f>N16/M16</f>
        <v>126.10421836228299</v>
      </c>
      <c r="P16" s="132">
        <f t="shared" si="3"/>
        <v>0</v>
      </c>
      <c r="Q16" s="133">
        <f t="shared" si="4"/>
        <v>-27.741935483870847</v>
      </c>
      <c r="R16" s="197">
        <f t="shared" si="5"/>
        <v>0.81967741935483951</v>
      </c>
      <c r="S16" s="433">
        <f>R26</f>
        <v>0.87694453504667236</v>
      </c>
      <c r="T16" s="288">
        <v>0.2902777777777778</v>
      </c>
      <c r="U16" s="288">
        <v>0.33333333333333331</v>
      </c>
      <c r="V16" s="129"/>
      <c r="W16" s="134">
        <f t="shared" ref="W16:W68" si="7">(U16-T16)*24*60</f>
        <v>61.999999999999943</v>
      </c>
      <c r="X16" s="131"/>
      <c r="Y16" s="131"/>
      <c r="Z16" s="423" t="s">
        <v>265</v>
      </c>
      <c r="AA16" s="423"/>
      <c r="AB16" s="114">
        <f>N16-K16</f>
        <v>-360.64516129032108</v>
      </c>
      <c r="AC16" s="192">
        <f>N16/K16</f>
        <v>0.81967741935483951</v>
      </c>
      <c r="AD16" s="391">
        <f>AC26</f>
        <v>0.88027597248071887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1701</v>
      </c>
      <c r="H17" s="15">
        <f>F17*G17</f>
        <v>86189.67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1822.5000000000016</v>
      </c>
      <c r="O17" s="38">
        <f>N17/M17</f>
        <v>121.5000000000001</v>
      </c>
      <c r="P17" s="39">
        <f>M17-J17</f>
        <v>0</v>
      </c>
      <c r="Q17" s="40">
        <f>O17-L17</f>
        <v>-11.833333333333243</v>
      </c>
      <c r="R17" s="198">
        <f>O17/L17</f>
        <v>0.91125000000000067</v>
      </c>
      <c r="S17" s="434"/>
      <c r="T17" s="41">
        <v>0.35555555555555557</v>
      </c>
      <c r="U17" s="41">
        <v>0.39444444444444443</v>
      </c>
      <c r="V17" s="185">
        <f>(T17-U16)*24*60</f>
        <v>32.000000000000043</v>
      </c>
      <c r="W17" s="43">
        <f t="shared" si="7"/>
        <v>55.999999999999957</v>
      </c>
      <c r="X17" s="44"/>
      <c r="Y17" s="44"/>
      <c r="Z17" s="399"/>
      <c r="AA17" s="400"/>
      <c r="AB17" s="18">
        <f>N17-K17</f>
        <v>-177.49999999999841</v>
      </c>
      <c r="AC17" s="193">
        <f>N17/K17</f>
        <v>0.91125000000000078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3145</v>
      </c>
      <c r="H18" s="15">
        <f>F18*G18</f>
        <v>158476.54999999999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1684.8214285714284</v>
      </c>
      <c r="O18" s="38">
        <f>N18/M18</f>
        <v>140.40178571428569</v>
      </c>
      <c r="P18" s="39">
        <f>M18-J18</f>
        <v>0</v>
      </c>
      <c r="Q18" s="40">
        <f>O18-L18</f>
        <v>-26.264880952380963</v>
      </c>
      <c r="R18" s="198">
        <f>O18/L18</f>
        <v>0.84241071428571423</v>
      </c>
      <c r="S18" s="434"/>
      <c r="T18" s="41">
        <v>0.40138888888888891</v>
      </c>
      <c r="U18" s="41">
        <v>0.47916666666666669</v>
      </c>
      <c r="V18" s="185">
        <f>(T18-U17)*24*60</f>
        <v>10.000000000000044</v>
      </c>
      <c r="W18" s="43">
        <f t="shared" si="7"/>
        <v>112</v>
      </c>
      <c r="X18" s="22"/>
      <c r="Y18" s="22"/>
      <c r="Z18" s="399"/>
      <c r="AA18" s="400"/>
      <c r="AB18" s="18">
        <f>N18-K18</f>
        <v>-315.17857142857156</v>
      </c>
      <c r="AC18" s="193">
        <f>N18/K18</f>
        <v>0.84241071428571423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3227</v>
      </c>
      <c r="H19" s="15">
        <f t="shared" ref="H19" si="8">F19*G19</f>
        <v>162608.53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1760.1818181818169</v>
      </c>
      <c r="O19" s="38">
        <f>N19/M19</f>
        <v>146.68181818181807</v>
      </c>
      <c r="P19" s="39">
        <f>M19-J19</f>
        <v>0</v>
      </c>
      <c r="Q19" s="40">
        <f>O19-L19</f>
        <v>-19.984848484848584</v>
      </c>
      <c r="R19" s="198">
        <f>O19/L19</f>
        <v>0.88009090909090848</v>
      </c>
      <c r="S19" s="434"/>
      <c r="T19" s="41">
        <v>0.54166666666666663</v>
      </c>
      <c r="U19" s="41">
        <v>0.61805555555555558</v>
      </c>
      <c r="V19" s="185">
        <f>(T19-U18)*24*60</f>
        <v>89.999999999999915</v>
      </c>
      <c r="W19" s="43">
        <f t="shared" si="7"/>
        <v>110.00000000000009</v>
      </c>
      <c r="X19" s="22">
        <v>0.4861111111111111</v>
      </c>
      <c r="Y19" s="22">
        <v>0.52777777777777779</v>
      </c>
      <c r="Z19" s="398"/>
      <c r="AA19" s="399"/>
      <c r="AB19" s="18">
        <f>N19-K19</f>
        <v>-239.81818181818312</v>
      </c>
      <c r="AC19" s="193">
        <f>N19/K19</f>
        <v>0.88009090909090848</v>
      </c>
      <c r="AD19" s="395"/>
    </row>
    <row r="20" spans="1:30" ht="15" customHeight="1" x14ac:dyDescent="0.25">
      <c r="A20" s="439"/>
      <c r="B20" s="56" t="s">
        <v>63</v>
      </c>
      <c r="C20" s="23"/>
      <c r="D20" s="11" t="s">
        <v>222</v>
      </c>
      <c r="E20" s="12"/>
      <c r="F20" s="56">
        <f>VLOOKUP(D20,廠價表!$C$1:$E$39,3,0)</f>
        <v>50.67</v>
      </c>
      <c r="G20" s="99">
        <v>2650</v>
      </c>
      <c r="H20" s="15">
        <v>195332.85</v>
      </c>
      <c r="I20" s="185"/>
      <c r="J20" s="16">
        <f>VLOOKUP(D20,產線配置圖!$A$2:$C$38,2,0)</f>
        <v>15</v>
      </c>
      <c r="K20" s="14">
        <f>VLOOKUP(D20,產線配置圖!$A$2:$C$38,3,0)</f>
        <v>2000</v>
      </c>
      <c r="L20" s="17">
        <f>K20/J20</f>
        <v>133.33333333333334</v>
      </c>
      <c r="M20" s="37">
        <v>15</v>
      </c>
      <c r="N20" s="36">
        <v>1895.9016393442625</v>
      </c>
      <c r="O20" s="38">
        <v>126.39344262295084</v>
      </c>
      <c r="P20" s="39">
        <v>0</v>
      </c>
      <c r="Q20" s="40">
        <v>-6.9398907103824996</v>
      </c>
      <c r="R20" s="198">
        <v>0.94795081967213124</v>
      </c>
      <c r="S20" s="434"/>
      <c r="T20" s="41">
        <v>0.62708333333333333</v>
      </c>
      <c r="U20" s="41">
        <v>0.68611111111111112</v>
      </c>
      <c r="V20" s="185">
        <f>(T20-U19)*24*60</f>
        <v>12.999999999999954</v>
      </c>
      <c r="W20" s="43">
        <f t="shared" si="7"/>
        <v>85.000000000000014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13.4</v>
      </c>
      <c r="K26" s="137">
        <f t="shared" si="10"/>
        <v>2000</v>
      </c>
      <c r="L26" s="140">
        <f t="shared" si="10"/>
        <v>150.76923076923077</v>
      </c>
      <c r="M26" s="137">
        <f t="shared" si="10"/>
        <v>13.4</v>
      </c>
      <c r="N26" s="137">
        <f t="shared" si="10"/>
        <v>1760.5519449614378</v>
      </c>
      <c r="O26" s="140">
        <f t="shared" si="10"/>
        <v>132.21625297626753</v>
      </c>
      <c r="P26" s="141">
        <f t="shared" ref="P26:P30" si="11">M26-J26</f>
        <v>0</v>
      </c>
      <c r="Q26" s="142">
        <f t="shared" ref="Q26:Q30" si="12">O26-L26</f>
        <v>-18.552977792963247</v>
      </c>
      <c r="R26" s="143">
        <f t="shared" ref="R26:R30" si="13">O26/L26</f>
        <v>0.87694453504667236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-239.44805503856219</v>
      </c>
      <c r="AC26" s="195">
        <f>N26/K26</f>
        <v>0.88027597248071887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154</v>
      </c>
      <c r="E27" s="107"/>
      <c r="F27" s="207">
        <f>VLOOKUP(D27,廠價表!$C$1:$E$39,3,0)</f>
        <v>49.91</v>
      </c>
      <c r="G27" s="289">
        <v>3873</v>
      </c>
      <c r="H27" s="128">
        <f t="shared" ref="H27:H40" si="14">F27*G27</f>
        <v>193301.43</v>
      </c>
      <c r="I27" s="129"/>
      <c r="J27" s="111">
        <f>VLOOKUP(D27,產線配置圖!$A$2:$C$38,2,0)</f>
        <v>17</v>
      </c>
      <c r="K27" s="252">
        <f>VLOOKUP(D27,產線配置圖!$A$2:$C$38,3,0)</f>
        <v>1565</v>
      </c>
      <c r="L27" s="112">
        <f>K27/J27</f>
        <v>92.058823529411768</v>
      </c>
      <c r="M27" s="147">
        <v>15</v>
      </c>
      <c r="N27" s="130">
        <f>G27/W27*60</f>
        <v>1156.1194029850747</v>
      </c>
      <c r="O27" s="131">
        <f>N27/M27</f>
        <v>77.074626865671647</v>
      </c>
      <c r="P27" s="132">
        <f t="shared" si="11"/>
        <v>-2</v>
      </c>
      <c r="Q27" s="133">
        <f t="shared" si="12"/>
        <v>-14.984196663740121</v>
      </c>
      <c r="R27" s="197">
        <f>O27/L27</f>
        <v>0.83723236850889327</v>
      </c>
      <c r="S27" s="433">
        <f>R37</f>
        <v>0.87345244887272799</v>
      </c>
      <c r="T27" s="97">
        <v>0.30138888888888887</v>
      </c>
      <c r="U27" s="97">
        <v>0.44097222222222221</v>
      </c>
      <c r="V27" s="129"/>
      <c r="W27" s="134">
        <f t="shared" si="7"/>
        <v>201</v>
      </c>
      <c r="X27" s="129"/>
      <c r="Y27" s="129" t="s">
        <v>158</v>
      </c>
      <c r="Z27" s="414"/>
      <c r="AA27" s="423"/>
      <c r="AB27" s="240">
        <f>N27-K27</f>
        <v>-408.88059701492534</v>
      </c>
      <c r="AC27" s="337">
        <f>N27/K27</f>
        <v>0.73873444280196465</v>
      </c>
      <c r="AD27" s="391">
        <f>AC37</f>
        <v>0.79810302477872919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1838</v>
      </c>
      <c r="H28" s="50">
        <f t="shared" si="14"/>
        <v>101328.94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17</v>
      </c>
      <c r="N28" s="36">
        <f>G28/W28*60</f>
        <v>1198.6956521739141</v>
      </c>
      <c r="O28" s="38">
        <f>N28/M28</f>
        <v>70.511508951406711</v>
      </c>
      <c r="P28" s="39">
        <f t="shared" si="11"/>
        <v>-1</v>
      </c>
      <c r="Q28" s="40">
        <f t="shared" si="12"/>
        <v>-6.432935493037732</v>
      </c>
      <c r="R28" s="198">
        <f t="shared" si="13"/>
        <v>0.91639506218434719</v>
      </c>
      <c r="S28" s="434"/>
      <c r="T28" s="291">
        <v>0.4465277777777778</v>
      </c>
      <c r="U28" s="291">
        <v>0.51041666666666663</v>
      </c>
      <c r="V28" s="42">
        <f>(T28-U27)*24*60</f>
        <v>8.0000000000000515</v>
      </c>
      <c r="W28" s="43">
        <f t="shared" si="7"/>
        <v>91.999999999999915</v>
      </c>
      <c r="X28" s="54"/>
      <c r="Y28" s="54"/>
      <c r="Z28" s="399"/>
      <c r="AA28" s="398"/>
      <c r="AB28" s="39">
        <f>N28-K28</f>
        <v>-186.30434782608586</v>
      </c>
      <c r="AC28" s="198">
        <f>N28/K28</f>
        <v>0.86548422539632786</v>
      </c>
      <c r="AD28" s="393"/>
    </row>
    <row r="29" spans="1:30" ht="15" customHeight="1" x14ac:dyDescent="0.25">
      <c r="A29" s="431"/>
      <c r="B29" s="56" t="s">
        <v>140</v>
      </c>
      <c r="C29" s="10"/>
      <c r="D29" s="11" t="s">
        <v>146</v>
      </c>
      <c r="E29" s="89"/>
      <c r="F29" s="56">
        <f>VLOOKUP(D29,廠價表!$C$1:$E$39,3,0)</f>
        <v>55.13</v>
      </c>
      <c r="G29" s="256">
        <v>994</v>
      </c>
      <c r="H29" s="50">
        <f t="shared" si="14"/>
        <v>54799.22</v>
      </c>
      <c r="I29" s="42"/>
      <c r="J29" s="16">
        <f>VLOOKUP(D29,產線配置圖!$A$2:$C$38,2,0)</f>
        <v>18</v>
      </c>
      <c r="K29" s="14">
        <f>VLOOKUP(D29,產線配置圖!$A$2:$C$38,3,0)</f>
        <v>1385</v>
      </c>
      <c r="L29" s="251">
        <f t="shared" ref="L29:L30" si="15">K29/J29</f>
        <v>76.944444444444443</v>
      </c>
      <c r="M29" s="21">
        <v>17</v>
      </c>
      <c r="N29" s="36">
        <f>G29/W29*60</f>
        <v>1192.8000000000004</v>
      </c>
      <c r="O29" s="38">
        <f t="shared" ref="O29:O30" si="16">N29/M29</f>
        <v>70.164705882352962</v>
      </c>
      <c r="P29" s="39">
        <f t="shared" si="11"/>
        <v>-1</v>
      </c>
      <c r="Q29" s="40">
        <f t="shared" si="12"/>
        <v>-6.779738562091481</v>
      </c>
      <c r="R29" s="198">
        <f t="shared" si="13"/>
        <v>0.91188787428328766</v>
      </c>
      <c r="S29" s="434"/>
      <c r="T29" s="41">
        <v>0.56597222222222221</v>
      </c>
      <c r="U29" s="41">
        <v>0.60069444444444442</v>
      </c>
      <c r="V29" s="42">
        <f t="shared" ref="V29:V30" si="17">(T29-U28)*24*60</f>
        <v>80.000000000000028</v>
      </c>
      <c r="W29" s="43">
        <f t="shared" si="7"/>
        <v>49.999999999999986</v>
      </c>
      <c r="X29" s="54">
        <v>0.51736111111111116</v>
      </c>
      <c r="Y29" s="54">
        <v>0.55902777777777779</v>
      </c>
      <c r="Z29" s="399"/>
      <c r="AA29" s="398"/>
      <c r="AB29" s="338">
        <f>N29-K29</f>
        <v>-192.19999999999959</v>
      </c>
      <c r="AC29" s="198">
        <f>N29/K29</f>
        <v>0.86122743682310499</v>
      </c>
      <c r="AD29" s="393"/>
    </row>
    <row r="30" spans="1:30" ht="15" customHeight="1" x14ac:dyDescent="0.25">
      <c r="A30" s="431"/>
      <c r="B30" s="56" t="s">
        <v>140</v>
      </c>
      <c r="C30" s="255"/>
      <c r="D30" s="11" t="s">
        <v>261</v>
      </c>
      <c r="E30" s="29"/>
      <c r="F30" s="56">
        <f>VLOOKUP(D30,廠價表!$C$1:$E$39,3,0)</f>
        <v>47.71</v>
      </c>
      <c r="G30" s="256">
        <v>1238</v>
      </c>
      <c r="H30" s="50">
        <f t="shared" si="14"/>
        <v>59064.98</v>
      </c>
      <c r="I30" s="42"/>
      <c r="J30" s="16">
        <f>VLOOKUP(D30,產線配置圖!$A$2:$C$38,2,0)</f>
        <v>16</v>
      </c>
      <c r="K30" s="14">
        <f>VLOOKUP(D30,產線配置圖!$A$2:$C$38,3,0)</f>
        <v>1385</v>
      </c>
      <c r="L30" s="251">
        <f t="shared" si="15"/>
        <v>86.5625</v>
      </c>
      <c r="M30" s="21">
        <v>14</v>
      </c>
      <c r="N30" s="36">
        <f>G30/W30*60</f>
        <v>1017.5342465753417</v>
      </c>
      <c r="O30" s="38">
        <f t="shared" si="16"/>
        <v>72.681017612524414</v>
      </c>
      <c r="P30" s="39">
        <f t="shared" si="11"/>
        <v>-2</v>
      </c>
      <c r="Q30" s="40">
        <f t="shared" si="12"/>
        <v>-13.881482387475586</v>
      </c>
      <c r="R30" s="198">
        <f t="shared" si="13"/>
        <v>0.8396363045490185</v>
      </c>
      <c r="S30" s="434"/>
      <c r="T30" s="41">
        <v>0.60763888888888884</v>
      </c>
      <c r="U30" s="41">
        <v>0.65833333333333333</v>
      </c>
      <c r="V30" s="42">
        <f t="shared" si="17"/>
        <v>9.9999999999999645</v>
      </c>
      <c r="W30" s="43">
        <f t="shared" si="7"/>
        <v>73.000000000000057</v>
      </c>
      <c r="X30" s="54"/>
      <c r="Y30" s="54"/>
      <c r="Z30" s="479"/>
      <c r="AA30" s="480"/>
      <c r="AB30" s="34">
        <f>N30-K30</f>
        <v>-367.46575342465826</v>
      </c>
      <c r="AC30" s="339">
        <f>N30/K30</f>
        <v>0.73468176648039119</v>
      </c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8">AVERAGE(J27:J36)</f>
        <v>17.25</v>
      </c>
      <c r="K37" s="314">
        <f t="shared" si="18"/>
        <v>1430</v>
      </c>
      <c r="L37" s="315">
        <f t="shared" si="18"/>
        <v>83.127553104575171</v>
      </c>
      <c r="M37" s="314">
        <f t="shared" si="18"/>
        <v>15.75</v>
      </c>
      <c r="N37" s="314">
        <f t="shared" si="18"/>
        <v>1141.2873254335827</v>
      </c>
      <c r="O37" s="315">
        <f t="shared" si="18"/>
        <v>72.607964827988923</v>
      </c>
      <c r="P37" s="74">
        <f>M37-J37</f>
        <v>-1.5</v>
      </c>
      <c r="Q37" s="75">
        <f>N37-K37</f>
        <v>-288.71267456641726</v>
      </c>
      <c r="R37" s="316">
        <f t="shared" ref="R37:R40" si="19">O37/L37</f>
        <v>0.87345244887272799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34">
        <f t="shared" ref="AB37:AB40" si="20">N37-K37</f>
        <v>-288.71267456641726</v>
      </c>
      <c r="AC37" s="194">
        <f t="shared" ref="AC37:AC40" si="21">N37/K37</f>
        <v>0.79810302477872919</v>
      </c>
      <c r="AD37" s="396"/>
    </row>
    <row r="38" spans="1:30" s="63" customFormat="1" ht="15" customHeight="1" x14ac:dyDescent="0.25">
      <c r="A38" s="424" t="s">
        <v>55</v>
      </c>
      <c r="B38" s="244" t="s">
        <v>140</v>
      </c>
      <c r="C38" s="207"/>
      <c r="D38" s="28" t="s">
        <v>259</v>
      </c>
      <c r="E38" s="309"/>
      <c r="F38" s="56">
        <f>VLOOKUP(D38,廠價表!$C$1:$E$39,3,0)</f>
        <v>56.43</v>
      </c>
      <c r="G38" s="305">
        <v>4211</v>
      </c>
      <c r="H38" s="64">
        <f t="shared" si="14"/>
        <v>237626.73</v>
      </c>
      <c r="I38" s="129"/>
      <c r="J38" s="296">
        <f>VLOOKUP(D38,產線配置圖!$A$2:$C$38,2,0)</f>
        <v>15</v>
      </c>
      <c r="K38" s="252">
        <f>VLOOKUP(D38,產線配置圖!$A$2:$C$38,3,0)</f>
        <v>1440</v>
      </c>
      <c r="L38" s="317">
        <f t="shared" ref="L38:L40" si="22">K38/J38</f>
        <v>96</v>
      </c>
      <c r="M38" s="318">
        <v>13</v>
      </c>
      <c r="N38" s="130">
        <f>G38/W38*60</f>
        <v>1031.2653061224489</v>
      </c>
      <c r="O38" s="131">
        <f>N38/M38</f>
        <v>79.328100470957608</v>
      </c>
      <c r="P38" s="132">
        <f t="shared" ref="P38:P40" si="23">M38-J38</f>
        <v>-2</v>
      </c>
      <c r="Q38" s="133">
        <f t="shared" ref="Q38:Q40" si="24">O38-L38</f>
        <v>-16.671899529042392</v>
      </c>
      <c r="R38" s="197">
        <f t="shared" si="19"/>
        <v>0.82633437990580838</v>
      </c>
      <c r="S38" s="493">
        <f>R48</f>
        <v>0.89360325280887465</v>
      </c>
      <c r="T38" s="157">
        <v>0.33194444444444443</v>
      </c>
      <c r="U38" s="157">
        <v>0.50208333333333333</v>
      </c>
      <c r="V38" s="153"/>
      <c r="W38" s="158">
        <f t="shared" si="7"/>
        <v>245.00000000000003</v>
      </c>
      <c r="X38" s="155"/>
      <c r="Y38" s="159"/>
      <c r="Z38" s="428"/>
      <c r="AA38" s="475"/>
      <c r="AB38" s="331">
        <f t="shared" si="20"/>
        <v>-408.73469387755108</v>
      </c>
      <c r="AC38" s="161">
        <f t="shared" si="21"/>
        <v>0.71615646258503396</v>
      </c>
      <c r="AD38" s="388">
        <f>AC48</f>
        <v>0.78324522978226963</v>
      </c>
    </row>
    <row r="39" spans="1:30" s="63" customFormat="1" ht="15" customHeight="1" x14ac:dyDescent="0.25">
      <c r="A39" s="425"/>
      <c r="B39" s="56" t="s">
        <v>140</v>
      </c>
      <c r="C39" s="306"/>
      <c r="D39" s="308" t="s">
        <v>66</v>
      </c>
      <c r="E39" s="307"/>
      <c r="F39" s="56">
        <f>VLOOKUP(D39,廠價表!$C$1:$E$39,3,0)</f>
        <v>49.97</v>
      </c>
      <c r="G39" s="305">
        <v>900</v>
      </c>
      <c r="H39" s="64">
        <f t="shared" si="14"/>
        <v>44973</v>
      </c>
      <c r="I39" s="65"/>
      <c r="J39" s="37">
        <f>VLOOKUP(D39,產線配置圖!$A$2:$C$38,2,0)</f>
        <v>18</v>
      </c>
      <c r="K39" s="36">
        <f>VLOOKUP(D39,產線配置圖!$A$2:$C$38,3,0)</f>
        <v>1565</v>
      </c>
      <c r="L39" s="38">
        <f t="shared" si="22"/>
        <v>86.944444444444443</v>
      </c>
      <c r="M39" s="66">
        <v>16</v>
      </c>
      <c r="N39" s="67">
        <f>G39/W39*60</f>
        <v>1285.7142857142851</v>
      </c>
      <c r="O39" s="68">
        <f t="shared" ref="O39:O40" si="25">N39/M39</f>
        <v>80.357142857142819</v>
      </c>
      <c r="P39" s="39">
        <f t="shared" si="23"/>
        <v>-2</v>
      </c>
      <c r="Q39" s="40">
        <f t="shared" si="24"/>
        <v>-6.5873015873016243</v>
      </c>
      <c r="R39" s="198">
        <f t="shared" si="19"/>
        <v>0.92423550890004524</v>
      </c>
      <c r="S39" s="494"/>
      <c r="T39" s="59">
        <v>0.5625</v>
      </c>
      <c r="U39" s="59">
        <v>0.59166666666666667</v>
      </c>
      <c r="V39" s="42">
        <f>(T39-U38)*24*60</f>
        <v>87.000000000000014</v>
      </c>
      <c r="W39" s="70">
        <f t="shared" si="7"/>
        <v>42.000000000000014</v>
      </c>
      <c r="X39" s="22">
        <v>0.51041666666666663</v>
      </c>
      <c r="Y39" s="22">
        <v>0.55208333333333337</v>
      </c>
      <c r="Z39" s="505"/>
      <c r="AA39" s="509"/>
      <c r="AB39" s="292">
        <f t="shared" si="20"/>
        <v>-279.2857142857149</v>
      </c>
      <c r="AC39" s="62">
        <f t="shared" si="21"/>
        <v>0.82154267457781793</v>
      </c>
      <c r="AD39" s="389"/>
    </row>
    <row r="40" spans="1:30" s="63" customFormat="1" ht="15" customHeight="1" x14ac:dyDescent="0.25">
      <c r="A40" s="425"/>
      <c r="B40" s="56" t="s">
        <v>140</v>
      </c>
      <c r="C40" s="298"/>
      <c r="D40" s="308" t="s">
        <v>259</v>
      </c>
      <c r="E40" s="261"/>
      <c r="F40" s="56">
        <f>VLOOKUP(D40,廠價表!$C$1:$E$39,3,0)</f>
        <v>56.43</v>
      </c>
      <c r="G40" s="305">
        <v>5124</v>
      </c>
      <c r="H40" s="64">
        <f t="shared" si="14"/>
        <v>289147.32</v>
      </c>
      <c r="I40" s="65"/>
      <c r="J40" s="37">
        <f>VLOOKUP(D40,產線配置圖!$A$2:$C$38,2,0)</f>
        <v>15</v>
      </c>
      <c r="K40" s="36">
        <f>VLOOKUP(D40,產線配置圖!$A$2:$C$38,3,0)</f>
        <v>1440</v>
      </c>
      <c r="L40" s="38">
        <f t="shared" si="22"/>
        <v>96</v>
      </c>
      <c r="M40" s="66">
        <v>13</v>
      </c>
      <c r="N40" s="67">
        <f>G40/W40*60</f>
        <v>1164.5454545454545</v>
      </c>
      <c r="O40" s="68">
        <f t="shared" si="25"/>
        <v>89.580419580419573</v>
      </c>
      <c r="P40" s="39">
        <f t="shared" si="23"/>
        <v>-2</v>
      </c>
      <c r="Q40" s="40">
        <f t="shared" si="24"/>
        <v>-6.4195804195804271</v>
      </c>
      <c r="R40" s="198">
        <f t="shared" si="19"/>
        <v>0.93312937062937051</v>
      </c>
      <c r="S40" s="409"/>
      <c r="T40" s="59">
        <v>0.59791666666666665</v>
      </c>
      <c r="U40" s="59">
        <v>0.78125</v>
      </c>
      <c r="V40" s="42">
        <f t="shared" ref="V40" si="26">(T40-U39)*24*60</f>
        <v>8.999999999999968</v>
      </c>
      <c r="W40" s="70">
        <f t="shared" si="7"/>
        <v>264</v>
      </c>
      <c r="X40" s="71"/>
      <c r="Y40" s="278"/>
      <c r="Z40" s="476"/>
      <c r="AA40" s="508"/>
      <c r="AB40" s="292">
        <f t="shared" si="20"/>
        <v>-275.4545454545455</v>
      </c>
      <c r="AC40" s="62">
        <f t="shared" si="21"/>
        <v>0.80871212121212122</v>
      </c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75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7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7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7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8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7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8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7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8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7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8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9">AVERAGE(J38:J47)</f>
        <v>16</v>
      </c>
      <c r="K48" s="137">
        <f t="shared" si="29"/>
        <v>1481.6666666666667</v>
      </c>
      <c r="L48" s="140">
        <f t="shared" si="29"/>
        <v>92.981481481481481</v>
      </c>
      <c r="M48" s="137">
        <f t="shared" si="29"/>
        <v>14</v>
      </c>
      <c r="N48" s="137">
        <f t="shared" si="29"/>
        <v>1160.5083487940628</v>
      </c>
      <c r="O48" s="140">
        <f t="shared" si="29"/>
        <v>83.088554302839995</v>
      </c>
      <c r="P48" s="164">
        <f>M48-J48</f>
        <v>-2</v>
      </c>
      <c r="Q48" s="165">
        <f>N48-K48</f>
        <v>-321.1583178726039</v>
      </c>
      <c r="R48" s="166">
        <f>O48/L48</f>
        <v>0.89360325280887465</v>
      </c>
      <c r="S48" s="412"/>
      <c r="T48" s="167"/>
      <c r="U48" s="167"/>
      <c r="V48" s="204"/>
      <c r="W48" s="168">
        <f t="shared" si="28"/>
        <v>0</v>
      </c>
      <c r="X48" s="169"/>
      <c r="Y48" s="169"/>
      <c r="Z48" s="401"/>
      <c r="AA48" s="401"/>
      <c r="AB48" s="170">
        <f>N48-K48</f>
        <v>-321.1583178726039</v>
      </c>
      <c r="AC48" s="199">
        <f>N48/K48</f>
        <v>0.78324522978226963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66</v>
      </c>
      <c r="E49" s="107"/>
      <c r="F49" s="207">
        <f>VLOOKUP(D49,廠價表!$C$1:$E$39,3,0)</f>
        <v>49.97</v>
      </c>
      <c r="G49" s="154">
        <v>4157</v>
      </c>
      <c r="H49" s="128">
        <f t="shared" ref="H49:H57" si="30">F49*G49</f>
        <v>207725.29</v>
      </c>
      <c r="I49" s="129"/>
      <c r="J49" s="111">
        <f>VLOOKUP(D49,產線配置圖!$A$2:$C$38,2,0)</f>
        <v>18</v>
      </c>
      <c r="K49" s="108">
        <f>VLOOKUP(D49,產線配置圖!$A$2:$C$38,3,0)</f>
        <v>1565</v>
      </c>
      <c r="L49" s="112">
        <f>K49/J49</f>
        <v>86.944444444444443</v>
      </c>
      <c r="M49" s="147">
        <v>18</v>
      </c>
      <c r="N49" s="130">
        <f>G49/W49*60</f>
        <v>1558.875</v>
      </c>
      <c r="O49" s="131">
        <f>N49/M49</f>
        <v>86.604166666666671</v>
      </c>
      <c r="P49" s="171">
        <f>M49-J49</f>
        <v>0</v>
      </c>
      <c r="Q49" s="115">
        <f>O49-L49</f>
        <v>-0.34027777777777146</v>
      </c>
      <c r="R49" s="192">
        <f>O49/L49</f>
        <v>0.99608626198083072</v>
      </c>
      <c r="S49" s="408">
        <f>R58</f>
        <v>0.97528086031111505</v>
      </c>
      <c r="T49" s="157">
        <v>0.33194444444444443</v>
      </c>
      <c r="U49" s="157">
        <v>0.44305555555555554</v>
      </c>
      <c r="V49" s="196"/>
      <c r="W49" s="158">
        <f t="shared" si="7"/>
        <v>160</v>
      </c>
      <c r="X49" s="196"/>
      <c r="Y49" s="196"/>
      <c r="Z49" s="423"/>
      <c r="AA49" s="423"/>
      <c r="AB49" s="114">
        <f>N49-K49</f>
        <v>-6.125</v>
      </c>
      <c r="AC49" s="192">
        <f>N49/K49</f>
        <v>0.99608626198083072</v>
      </c>
      <c r="AD49" s="391">
        <f>AC58</f>
        <v>0.96174312156928243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173</v>
      </c>
      <c r="E50" s="89"/>
      <c r="F50" s="56">
        <f>VLOOKUP(D50,廠價表!$C$1:$E$39,3,0)</f>
        <v>56.87</v>
      </c>
      <c r="G50" s="67">
        <v>1679</v>
      </c>
      <c r="H50" s="77">
        <f t="shared" si="30"/>
        <v>95484.73</v>
      </c>
      <c r="I50" s="201"/>
      <c r="J50" s="16">
        <f>VLOOKUP(D50,產線配置圖!$A$2:$C$38,2,0)</f>
        <v>17</v>
      </c>
      <c r="K50" s="14">
        <f>VLOOKUP(D50,產線配置圖!$A$2:$C$38,3,0)</f>
        <v>1500</v>
      </c>
      <c r="L50" s="17">
        <f>K50/J50</f>
        <v>88.235294117647058</v>
      </c>
      <c r="M50" s="182">
        <v>17</v>
      </c>
      <c r="N50" s="78">
        <f>G50/W50*60</f>
        <v>1481.4705882352941</v>
      </c>
      <c r="O50" s="79">
        <f>N50/M50</f>
        <v>87.145328719723182</v>
      </c>
      <c r="P50" s="18">
        <f>M50-J50</f>
        <v>0</v>
      </c>
      <c r="Q50" s="19">
        <f>O50-L50</f>
        <v>-1.0899653979238764</v>
      </c>
      <c r="R50" s="193">
        <f>O50/L50</f>
        <v>0.98764705882352943</v>
      </c>
      <c r="S50" s="409"/>
      <c r="T50" s="80">
        <v>0.45</v>
      </c>
      <c r="U50" s="80">
        <v>0.49722222222222223</v>
      </c>
      <c r="V50" s="185">
        <f t="shared" ref="V50:V52" si="31">(T50-U49)*24*60</f>
        <v>10.000000000000044</v>
      </c>
      <c r="W50" s="81">
        <f t="shared" si="7"/>
        <v>68</v>
      </c>
      <c r="X50" s="22"/>
      <c r="Y50" s="22"/>
      <c r="Z50" s="398"/>
      <c r="AA50" s="399"/>
      <c r="AB50" s="18">
        <f>N50-K50</f>
        <v>-18.529411764705856</v>
      </c>
      <c r="AC50" s="193">
        <f>N50/K50</f>
        <v>0.98764705882352943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173</v>
      </c>
      <c r="E51" s="89"/>
      <c r="F51" s="56">
        <f>VLOOKUP(D51,廠價表!$C$1:$E$39,3,0)</f>
        <v>56.87</v>
      </c>
      <c r="G51" s="67">
        <v>2421</v>
      </c>
      <c r="H51" s="77">
        <f t="shared" si="30"/>
        <v>137682.26999999999</v>
      </c>
      <c r="I51" s="201"/>
      <c r="J51" s="16">
        <f>VLOOKUP(D51,產線配置圖!$A$2:$C$38,2,0)</f>
        <v>17</v>
      </c>
      <c r="K51" s="14">
        <f>VLOOKUP(D51,產線配置圖!$A$2:$C$38,3,0)</f>
        <v>1500</v>
      </c>
      <c r="L51" s="17">
        <f>K51/J51</f>
        <v>88.235294117647058</v>
      </c>
      <c r="M51" s="182">
        <v>17</v>
      </c>
      <c r="N51" s="78">
        <f>G51/W51*60</f>
        <v>1410.2912621359228</v>
      </c>
      <c r="O51" s="79">
        <f>N51/M51</f>
        <v>82.958309537407217</v>
      </c>
      <c r="P51" s="18">
        <f>M51-J51</f>
        <v>0</v>
      </c>
      <c r="Q51" s="19">
        <f>O51-L51</f>
        <v>-5.2769845802398407</v>
      </c>
      <c r="R51" s="193">
        <f>O51/L51</f>
        <v>0.94019417475728184</v>
      </c>
      <c r="S51" s="409"/>
      <c r="T51" s="80">
        <v>0.55069444444444449</v>
      </c>
      <c r="U51" s="44">
        <v>0.62222222222222223</v>
      </c>
      <c r="V51" s="185">
        <f t="shared" si="31"/>
        <v>77.000000000000043</v>
      </c>
      <c r="W51" s="81">
        <f t="shared" si="7"/>
        <v>102.99999999999996</v>
      </c>
      <c r="X51" s="22">
        <v>0.50347222222222221</v>
      </c>
      <c r="Y51" s="22">
        <v>0.54513888888888884</v>
      </c>
      <c r="Z51" s="400"/>
      <c r="AA51" s="400"/>
      <c r="AB51" s="18">
        <f>N51-K51</f>
        <v>-89.708737864077193</v>
      </c>
      <c r="AC51" s="193">
        <f>N51/K51</f>
        <v>0.94019417475728184</v>
      </c>
      <c r="AD51" s="392"/>
    </row>
    <row r="52" spans="1:30" ht="15" customHeight="1" x14ac:dyDescent="0.25">
      <c r="A52" s="421"/>
      <c r="B52" s="56" t="s">
        <v>63</v>
      </c>
      <c r="C52" s="23"/>
      <c r="D52" s="11" t="s">
        <v>66</v>
      </c>
      <c r="E52" s="12"/>
      <c r="F52" s="56">
        <f>VLOOKUP(D52,廠價表!$C$1:$E$39,3,0)</f>
        <v>49.97</v>
      </c>
      <c r="G52" s="67">
        <v>2384</v>
      </c>
      <c r="H52" s="77">
        <f t="shared" ref="H52" si="32">F52*G52</f>
        <v>119128.48</v>
      </c>
      <c r="I52" s="201"/>
      <c r="J52" s="16">
        <f>VLOOKUP(D52,產線配置圖!$A$2:$C$38,2,0)</f>
        <v>18</v>
      </c>
      <c r="K52" s="14">
        <f>VLOOKUP(D52,產線配置圖!$A$2:$C$38,3,0)</f>
        <v>1565</v>
      </c>
      <c r="L52" s="17">
        <f t="shared" ref="L52" si="33">K52/J52</f>
        <v>86.944444444444443</v>
      </c>
      <c r="M52" s="182">
        <v>17</v>
      </c>
      <c r="N52" s="78">
        <f t="shared" ref="N52" si="34">G52/W52*60</f>
        <v>1444.8484848484852</v>
      </c>
      <c r="O52" s="79">
        <f t="shared" ref="O52" si="35">N52/M52</f>
        <v>84.991087344028543</v>
      </c>
      <c r="P52" s="18">
        <f t="shared" ref="P52" si="36">M52-J52</f>
        <v>-1</v>
      </c>
      <c r="Q52" s="19">
        <f t="shared" ref="Q52" si="37">O52-L52</f>
        <v>-1.9533571004159</v>
      </c>
      <c r="R52" s="193">
        <f t="shared" ref="R52" si="38">O52/L52</f>
        <v>0.97753327296646253</v>
      </c>
      <c r="S52" s="409"/>
      <c r="T52" s="80">
        <v>0.62847222222222221</v>
      </c>
      <c r="U52" s="80">
        <v>0.69722222222222219</v>
      </c>
      <c r="V52" s="185">
        <f t="shared" si="31"/>
        <v>8.999999999999968</v>
      </c>
      <c r="W52" s="81">
        <f t="shared" si="7"/>
        <v>98.999999999999972</v>
      </c>
      <c r="X52" s="22"/>
      <c r="Y52" s="22"/>
      <c r="Z52" s="400"/>
      <c r="AA52" s="400"/>
      <c r="AB52" s="18">
        <f t="shared" ref="AB52" si="39">N52-K52</f>
        <v>-120.15151515151479</v>
      </c>
      <c r="AC52" s="193">
        <f t="shared" ref="AC52" si="40">N52/K52</f>
        <v>0.92322586891277014</v>
      </c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/>
      <c r="I53" s="201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18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0"/>
        <v>0</v>
      </c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0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0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0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1">AVERAGE(J49:J57)</f>
        <v>17.5</v>
      </c>
      <c r="K58" s="121">
        <f t="shared" si="41"/>
        <v>1532.5</v>
      </c>
      <c r="L58" s="118">
        <f t="shared" si="41"/>
        <v>87.58986928104575</v>
      </c>
      <c r="M58" s="121">
        <f t="shared" si="41"/>
        <v>17.25</v>
      </c>
      <c r="N58" s="121">
        <f t="shared" si="41"/>
        <v>1473.8713338049254</v>
      </c>
      <c r="O58" s="118">
        <f t="shared" si="41"/>
        <v>85.424723066956403</v>
      </c>
      <c r="P58" s="122">
        <f>M58-J58</f>
        <v>-0.25</v>
      </c>
      <c r="Q58" s="123">
        <f>N58-K58</f>
        <v>-58.628666195074629</v>
      </c>
      <c r="R58" s="124">
        <f t="shared" ref="R58:R60" si="42">O58/L58</f>
        <v>0.97528086031111505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3" si="43">N58-K58</f>
        <v>-58.628666195074629</v>
      </c>
      <c r="AC58" s="195">
        <f t="shared" ref="AC58:AC63" si="44">N58/K58</f>
        <v>0.96174312156928243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3105</v>
      </c>
      <c r="H59" s="109">
        <f t="shared" ref="H59:H73" si="45">F59*G59</f>
        <v>83803.95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3" si="46">G59/W59*60</f>
        <v>1502.4193548387102</v>
      </c>
      <c r="O59" s="112">
        <f t="shared" ref="O59:O63" si="47">N59/M59</f>
        <v>115.5707196029777</v>
      </c>
      <c r="P59" s="114">
        <f t="shared" ref="P59:P63" si="48">M59-J59</f>
        <v>0</v>
      </c>
      <c r="Q59" s="115">
        <f t="shared" ref="Q59:Q63" si="49">O59-L59</f>
        <v>-4.8138957816376831</v>
      </c>
      <c r="R59" s="192">
        <f t="shared" si="42"/>
        <v>0.96001236730907991</v>
      </c>
      <c r="S59" s="408">
        <f>R69</f>
        <v>0.91598537159703786</v>
      </c>
      <c r="T59" s="176">
        <v>0.29583333333333334</v>
      </c>
      <c r="U59" s="176">
        <v>0.38194444444444442</v>
      </c>
      <c r="V59" s="196"/>
      <c r="W59" s="110">
        <f t="shared" si="7"/>
        <v>123.99999999999996</v>
      </c>
      <c r="X59" s="196"/>
      <c r="Y59" s="196"/>
      <c r="Z59" s="400"/>
      <c r="AA59" s="400"/>
      <c r="AB59" s="240">
        <f t="shared" si="43"/>
        <v>-62.580645161289794</v>
      </c>
      <c r="AC59" s="241">
        <f t="shared" si="44"/>
        <v>0.96001236730908002</v>
      </c>
      <c r="AD59" s="391">
        <f>AC69</f>
        <v>0.91727694340082244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1160</v>
      </c>
      <c r="H60" s="15">
        <f t="shared" si="45"/>
        <v>33025.199999999997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6"/>
        <v>1265.4545454545462</v>
      </c>
      <c r="O60" s="17">
        <f t="shared" si="47"/>
        <v>105.45454545454551</v>
      </c>
      <c r="P60" s="18">
        <f t="shared" si="48"/>
        <v>0</v>
      </c>
      <c r="Q60" s="19">
        <f t="shared" si="49"/>
        <v>-24.962121212121147</v>
      </c>
      <c r="R60" s="193">
        <f t="shared" si="42"/>
        <v>0.80859715364507745</v>
      </c>
      <c r="S60" s="419"/>
      <c r="T60" s="206">
        <v>0.40277777777777779</v>
      </c>
      <c r="U60" s="206">
        <v>0.44097222222222221</v>
      </c>
      <c r="V60" s="185">
        <f t="shared" ref="V60:V63" si="50">(T60-U59)*24*60</f>
        <v>30.000000000000053</v>
      </c>
      <c r="W60" s="93">
        <f t="shared" si="7"/>
        <v>54.999999999999964</v>
      </c>
      <c r="X60" s="201"/>
      <c r="Y60" s="201"/>
      <c r="Z60" s="400"/>
      <c r="AA60" s="400"/>
      <c r="AB60" s="242">
        <f t="shared" si="43"/>
        <v>-299.54545454545382</v>
      </c>
      <c r="AC60" s="243">
        <f t="shared" si="44"/>
        <v>0.80859715364507745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1367</v>
      </c>
      <c r="H61" s="15">
        <f t="shared" si="45"/>
        <v>38631.420000000006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1">K61/J61</f>
        <v>130.41666666666666</v>
      </c>
      <c r="M61" s="188">
        <v>12</v>
      </c>
      <c r="N61" s="14">
        <f t="shared" si="46"/>
        <v>1491.2727272727282</v>
      </c>
      <c r="O61" s="17">
        <f t="shared" si="47"/>
        <v>124.27272727272735</v>
      </c>
      <c r="P61" s="18">
        <f t="shared" si="48"/>
        <v>0</v>
      </c>
      <c r="Q61" s="19">
        <f t="shared" si="49"/>
        <v>-6.1439393939393057</v>
      </c>
      <c r="R61" s="193">
        <f>O61/L61</f>
        <v>0.95288992158001806</v>
      </c>
      <c r="S61" s="409"/>
      <c r="T61" s="20">
        <v>0.4513888888888889</v>
      </c>
      <c r="U61" s="20">
        <v>0.48958333333333331</v>
      </c>
      <c r="V61" s="185">
        <f t="shared" si="50"/>
        <v>15.000000000000027</v>
      </c>
      <c r="W61" s="91">
        <f t="shared" si="7"/>
        <v>54.999999999999964</v>
      </c>
      <c r="X61" s="22"/>
      <c r="Y61" s="22"/>
      <c r="Z61" s="400"/>
      <c r="AA61" s="400"/>
      <c r="AB61" s="51">
        <f t="shared" si="43"/>
        <v>-73.727272727271838</v>
      </c>
      <c r="AC61" s="52">
        <f t="shared" si="44"/>
        <v>0.95288992158001795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260" t="s">
        <v>143</v>
      </c>
      <c r="E62" s="89"/>
      <c r="F62" s="56">
        <f>VLOOKUP(D62,廠價表!$C$1:$E$39,3,0)</f>
        <v>28.26</v>
      </c>
      <c r="G62" s="185">
        <v>1304</v>
      </c>
      <c r="H62" s="15">
        <f t="shared" si="45"/>
        <v>36851.040000000001</v>
      </c>
      <c r="I62" s="82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51"/>
        <v>130.41666666666666</v>
      </c>
      <c r="M62" s="188">
        <v>12</v>
      </c>
      <c r="N62" s="14">
        <f t="shared" si="46"/>
        <v>1422.5454545454513</v>
      </c>
      <c r="O62" s="17">
        <f t="shared" si="47"/>
        <v>118.54545454545428</v>
      </c>
      <c r="P62" s="18">
        <f t="shared" si="48"/>
        <v>0</v>
      </c>
      <c r="Q62" s="19">
        <f t="shared" si="49"/>
        <v>-11.87121212121238</v>
      </c>
      <c r="R62" s="193">
        <f>O62/L62</f>
        <v>0.90897473133894657</v>
      </c>
      <c r="S62" s="409"/>
      <c r="T62" s="20">
        <v>0.54166666666666663</v>
      </c>
      <c r="U62" s="20">
        <v>0.57986111111111116</v>
      </c>
      <c r="V62" s="185">
        <f t="shared" si="50"/>
        <v>74.999999999999972</v>
      </c>
      <c r="W62" s="93">
        <f t="shared" si="7"/>
        <v>55.000000000000128</v>
      </c>
      <c r="X62" s="22">
        <v>0.49652777777777779</v>
      </c>
      <c r="Y62" s="22">
        <v>0.53819444444444442</v>
      </c>
      <c r="Z62" s="400"/>
      <c r="AA62" s="400"/>
      <c r="AB62" s="51">
        <f t="shared" si="43"/>
        <v>-142.45454545454868</v>
      </c>
      <c r="AC62" s="52">
        <f t="shared" si="44"/>
        <v>0.90897473133894657</v>
      </c>
      <c r="AD62" s="392"/>
    </row>
    <row r="63" spans="1:30" ht="15" customHeight="1" x14ac:dyDescent="0.25">
      <c r="A63" s="417"/>
      <c r="B63" s="56" t="str">
        <f>VLOOKUP(D63,廠價表!$C$1:$E$39,2,0)</f>
        <v>小吃、微波</v>
      </c>
      <c r="C63" s="23"/>
      <c r="D63" s="11" t="s">
        <v>128</v>
      </c>
      <c r="E63" s="12"/>
      <c r="F63" s="56">
        <f>VLOOKUP(D63,廠價表!$C$1:$E$39,3,0)</f>
        <v>26.99</v>
      </c>
      <c r="G63" s="185">
        <v>2244</v>
      </c>
      <c r="H63" s="15">
        <f t="shared" si="45"/>
        <v>60565.56</v>
      </c>
      <c r="I63" s="82"/>
      <c r="J63" s="16">
        <f>VLOOKUP(D63,產線配置圖!$A$2:$C$38,2,0)</f>
        <v>13</v>
      </c>
      <c r="K63" s="14">
        <f>VLOOKUP(D63,產線配置圖!$A$2:$C$38,3,0)</f>
        <v>1565</v>
      </c>
      <c r="L63" s="17">
        <f>K63/J63</f>
        <v>120.38461538461539</v>
      </c>
      <c r="M63" s="188">
        <v>13</v>
      </c>
      <c r="N63" s="14">
        <f t="shared" si="46"/>
        <v>1496</v>
      </c>
      <c r="O63" s="17">
        <f t="shared" si="47"/>
        <v>115.07692307692308</v>
      </c>
      <c r="P63" s="18">
        <f t="shared" si="48"/>
        <v>0</v>
      </c>
      <c r="Q63" s="19">
        <f t="shared" si="49"/>
        <v>-5.3076923076923066</v>
      </c>
      <c r="R63" s="193">
        <f t="shared" ref="R63" si="52">O63/L63</f>
        <v>0.95591054313099044</v>
      </c>
      <c r="S63" s="409"/>
      <c r="T63" s="20">
        <v>0.59027777777777779</v>
      </c>
      <c r="U63" s="20">
        <v>0.65277777777777779</v>
      </c>
      <c r="V63" s="185">
        <f t="shared" si="50"/>
        <v>14.999999999999947</v>
      </c>
      <c r="W63" s="93">
        <f t="shared" si="7"/>
        <v>90</v>
      </c>
      <c r="X63" s="85"/>
      <c r="Y63" s="85"/>
      <c r="Z63" s="400"/>
      <c r="AA63" s="400"/>
      <c r="AB63" s="51">
        <f t="shared" si="43"/>
        <v>-69</v>
      </c>
      <c r="AC63" s="52">
        <f t="shared" si="44"/>
        <v>0.95591054313099044</v>
      </c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5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5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5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5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5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3">AVERAGE(J59:J68)</f>
        <v>12.4</v>
      </c>
      <c r="K69" s="173">
        <f t="shared" si="53"/>
        <v>1565</v>
      </c>
      <c r="L69" s="178">
        <f t="shared" si="53"/>
        <v>126.40384615384615</v>
      </c>
      <c r="M69" s="173">
        <f t="shared" si="53"/>
        <v>12.4</v>
      </c>
      <c r="N69" s="173">
        <f t="shared" si="53"/>
        <v>1435.5384164222871</v>
      </c>
      <c r="O69" s="178">
        <f t="shared" si="53"/>
        <v>115.78407399052557</v>
      </c>
      <c r="P69" s="179">
        <f>M69-J69</f>
        <v>0</v>
      </c>
      <c r="Q69" s="165">
        <f>N69-K69</f>
        <v>-129.46158357771287</v>
      </c>
      <c r="R69" s="124">
        <f>O69/L69</f>
        <v>0.91598537159703786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-129.46158357771287</v>
      </c>
      <c r="AC69" s="195">
        <f>N69/K69</f>
        <v>0.91727694340082244</v>
      </c>
      <c r="AD69" s="396"/>
    </row>
    <row r="70" spans="1:32" ht="15" customHeight="1" x14ac:dyDescent="0.25">
      <c r="A70" s="405" t="s">
        <v>58</v>
      </c>
      <c r="B70" s="207" t="s">
        <v>63</v>
      </c>
      <c r="C70" s="207"/>
      <c r="D70" s="106" t="s">
        <v>261</v>
      </c>
      <c r="E70" s="107"/>
      <c r="F70" s="207">
        <f>VLOOKUP(D70,廠價表!$C$1:$E$39,3,0)</f>
        <v>47.71</v>
      </c>
      <c r="G70" s="196">
        <v>4907</v>
      </c>
      <c r="H70" s="109">
        <f t="shared" si="45"/>
        <v>234112.97</v>
      </c>
      <c r="I70" s="196"/>
      <c r="J70" s="111">
        <f>VLOOKUP(D70,產線配置圖!$A$2:$C$38,2,0)</f>
        <v>16</v>
      </c>
      <c r="K70" s="108">
        <f>VLOOKUP(D70,產線配置圖!$A$2:$C$38,3,0)</f>
        <v>1385</v>
      </c>
      <c r="L70" s="112">
        <f>K70/J70</f>
        <v>86.5625</v>
      </c>
      <c r="M70" s="113">
        <v>15</v>
      </c>
      <c r="N70" s="108">
        <f t="shared" ref="N70:N71" si="54">G70/W70*60</f>
        <v>1226.7500000000002</v>
      </c>
      <c r="O70" s="112">
        <f t="shared" ref="O70:O71" si="55">N70/M70</f>
        <v>81.783333333333346</v>
      </c>
      <c r="P70" s="114">
        <f t="shared" ref="P70:P71" si="56">M70-J70</f>
        <v>-1</v>
      </c>
      <c r="Q70" s="115">
        <f t="shared" ref="Q70:Q71" si="57">O70-L70</f>
        <v>-4.7791666666666544</v>
      </c>
      <c r="R70" s="192">
        <f t="shared" ref="R70:R71" si="58">O70/L70</f>
        <v>0.94478941034897723</v>
      </c>
      <c r="S70" s="408">
        <f>R79</f>
        <v>0.95255989104904648</v>
      </c>
      <c r="T70" s="176">
        <v>0.34027777777777779</v>
      </c>
      <c r="U70" s="176">
        <v>0.50694444444444442</v>
      </c>
      <c r="V70" s="196"/>
      <c r="W70" s="110">
        <f t="shared" ref="W70:W78" si="59">(U70-T70)*24*60</f>
        <v>239.99999999999994</v>
      </c>
      <c r="X70" s="342"/>
      <c r="Y70" s="342"/>
      <c r="Z70" s="413"/>
      <c r="AA70" s="414"/>
      <c r="AB70" s="240">
        <f t="shared" ref="AB70:AB71" si="60">N70-K70</f>
        <v>-158.24999999999977</v>
      </c>
      <c r="AC70" s="241">
        <f t="shared" ref="AC70:AC71" si="61">N70/K70</f>
        <v>0.88574007220216622</v>
      </c>
      <c r="AD70" s="391">
        <f>AC79</f>
        <v>0.92181232667255608</v>
      </c>
    </row>
    <row r="71" spans="1:32" ht="15" customHeight="1" x14ac:dyDescent="0.25">
      <c r="A71" s="406"/>
      <c r="B71" s="56" t="s">
        <v>140</v>
      </c>
      <c r="C71" s="10"/>
      <c r="D71" s="11" t="s">
        <v>261</v>
      </c>
      <c r="E71" s="89"/>
      <c r="F71" s="56">
        <f>VLOOKUP(D71,廠價表!$C$1:$E$39,3,0)</f>
        <v>47.71</v>
      </c>
      <c r="G71" s="67">
        <v>1034</v>
      </c>
      <c r="H71" s="77">
        <f t="shared" si="45"/>
        <v>49332.14</v>
      </c>
      <c r="I71" s="201"/>
      <c r="J71" s="16">
        <f>VLOOKUP(D71,產線配置圖!$A$2:$C$38,2,0)</f>
        <v>16</v>
      </c>
      <c r="K71" s="14">
        <f>VLOOKUP(D71,產線配置圖!$A$2:$C$38,3,0)</f>
        <v>1385</v>
      </c>
      <c r="L71" s="17">
        <f t="shared" ref="L71:L73" si="62">K71/J71</f>
        <v>86.5625</v>
      </c>
      <c r="M71" s="188">
        <v>16</v>
      </c>
      <c r="N71" s="14">
        <f t="shared" si="54"/>
        <v>1378.6666666666667</v>
      </c>
      <c r="O71" s="17">
        <f t="shared" si="55"/>
        <v>86.166666666666671</v>
      </c>
      <c r="P71" s="18">
        <f t="shared" si="56"/>
        <v>0</v>
      </c>
      <c r="Q71" s="19">
        <f t="shared" si="57"/>
        <v>-0.3958333333333286</v>
      </c>
      <c r="R71" s="193">
        <f t="shared" si="58"/>
        <v>0.99542719614921782</v>
      </c>
      <c r="S71" s="409"/>
      <c r="T71" s="20">
        <v>0.55555555555555558</v>
      </c>
      <c r="U71" s="20">
        <v>0.58680555555555558</v>
      </c>
      <c r="V71" s="185">
        <f t="shared" ref="V71:V73" si="63">(T71-U70)*24*60</f>
        <v>70.000000000000071</v>
      </c>
      <c r="W71" s="341">
        <f t="shared" si="59"/>
        <v>45</v>
      </c>
      <c r="X71" s="344">
        <v>0.51041666666666663</v>
      </c>
      <c r="Y71" s="345">
        <v>0.55208333333333337</v>
      </c>
      <c r="Z71" s="442"/>
      <c r="AA71" s="443"/>
      <c r="AB71" s="39">
        <f t="shared" si="60"/>
        <v>-6.3333333333332575</v>
      </c>
      <c r="AC71" s="198">
        <f t="shared" si="61"/>
        <v>0.99542719614921782</v>
      </c>
      <c r="AD71" s="393"/>
    </row>
    <row r="72" spans="1:32" ht="15" customHeight="1" x14ac:dyDescent="0.25">
      <c r="A72" s="406"/>
      <c r="B72" s="56" t="s">
        <v>63</v>
      </c>
      <c r="C72" s="10"/>
      <c r="D72" s="11" t="s">
        <v>223</v>
      </c>
      <c r="E72" s="89"/>
      <c r="F72" s="56">
        <f>VLOOKUP(D72,廠價表!$C$1:$E$39,3,0)</f>
        <v>57.3</v>
      </c>
      <c r="G72" s="67">
        <v>2004</v>
      </c>
      <c r="H72" s="77">
        <f t="shared" si="45"/>
        <v>114829.2</v>
      </c>
      <c r="I72" s="201"/>
      <c r="J72" s="16">
        <f>VLOOKUP(D72,產線配置圖!$A$2:$C$38,2,0)</f>
        <v>17</v>
      </c>
      <c r="K72" s="14">
        <f>VLOOKUP(D72,產線配置圖!$A$2:$C$38,3,0)</f>
        <v>1385</v>
      </c>
      <c r="L72" s="17">
        <f t="shared" si="62"/>
        <v>81.470588235294116</v>
      </c>
      <c r="M72" s="188">
        <v>15</v>
      </c>
      <c r="N72" s="14">
        <f t="shared" ref="N72:N73" si="64">G72/W72*60</f>
        <v>1167.3786407766995</v>
      </c>
      <c r="O72" s="17">
        <f t="shared" ref="O72:O73" si="65">N72/M72</f>
        <v>77.825242718446631</v>
      </c>
      <c r="P72" s="18">
        <f t="shared" ref="P72:P73" si="66">M72-J72</f>
        <v>-2</v>
      </c>
      <c r="Q72" s="19">
        <f t="shared" ref="Q72:Q73" si="67">O72-L72</f>
        <v>-3.6453455168474846</v>
      </c>
      <c r="R72" s="193">
        <f t="shared" ref="R72:R73" si="68">O72/L72</f>
        <v>0.95525568679681783</v>
      </c>
      <c r="S72" s="409"/>
      <c r="T72" s="20">
        <v>0.59166666666666667</v>
      </c>
      <c r="U72" s="20">
        <v>0.66319444444444442</v>
      </c>
      <c r="V72" s="185">
        <f t="shared" si="63"/>
        <v>6.9999999999999751</v>
      </c>
      <c r="W72" s="190">
        <f t="shared" si="59"/>
        <v>102.99999999999996</v>
      </c>
      <c r="X72" s="343"/>
      <c r="Y72" s="343"/>
      <c r="Z72" s="400"/>
      <c r="AA72" s="398"/>
      <c r="AB72" s="39">
        <f t="shared" ref="AB72:AB73" si="69">N72-K72</f>
        <v>-217.62135922330049</v>
      </c>
      <c r="AC72" s="198">
        <f t="shared" ref="AC72:AC73" si="70">N72/K72</f>
        <v>0.84287266482072165</v>
      </c>
      <c r="AD72" s="393"/>
    </row>
    <row r="73" spans="1:32" ht="15" customHeight="1" x14ac:dyDescent="0.25">
      <c r="A73" s="406"/>
      <c r="B73" s="56" t="s">
        <v>63</v>
      </c>
      <c r="C73" s="23"/>
      <c r="D73" s="11" t="s">
        <v>261</v>
      </c>
      <c r="E73" s="12"/>
      <c r="F73" s="56">
        <f>VLOOKUP(D73,廠價表!$C$1:$E$39,3,0)</f>
        <v>47.71</v>
      </c>
      <c r="G73" s="67">
        <v>2347</v>
      </c>
      <c r="H73" s="77">
        <f t="shared" si="45"/>
        <v>111975.37</v>
      </c>
      <c r="I73" s="201"/>
      <c r="J73" s="16">
        <f>VLOOKUP(D73,產線配置圖!$A$2:$C$38,2,0)</f>
        <v>16</v>
      </c>
      <c r="K73" s="14">
        <f>VLOOKUP(D73,產線配置圖!$A$2:$C$38,3,0)</f>
        <v>1385</v>
      </c>
      <c r="L73" s="17">
        <f t="shared" si="62"/>
        <v>86.5625</v>
      </c>
      <c r="M73" s="188">
        <v>16</v>
      </c>
      <c r="N73" s="14">
        <f t="shared" si="64"/>
        <v>1341.142857142858</v>
      </c>
      <c r="O73" s="17">
        <f t="shared" si="65"/>
        <v>83.821428571428626</v>
      </c>
      <c r="P73" s="18">
        <f t="shared" si="66"/>
        <v>0</v>
      </c>
      <c r="Q73" s="19">
        <f t="shared" si="67"/>
        <v>-2.7410714285713738</v>
      </c>
      <c r="R73" s="193">
        <f t="shared" si="68"/>
        <v>0.96833419288292999</v>
      </c>
      <c r="S73" s="409"/>
      <c r="T73" s="20">
        <v>0.6875</v>
      </c>
      <c r="U73" s="20">
        <v>0.76041666666666663</v>
      </c>
      <c r="V73" s="185">
        <f t="shared" si="63"/>
        <v>35.000000000000036</v>
      </c>
      <c r="W73" s="190">
        <f t="shared" si="59"/>
        <v>104.99999999999994</v>
      </c>
      <c r="X73" s="22"/>
      <c r="Y73" s="22"/>
      <c r="Z73" s="400"/>
      <c r="AA73" s="398"/>
      <c r="AB73" s="39">
        <f t="shared" si="69"/>
        <v>-43.85714285714198</v>
      </c>
      <c r="AC73" s="198">
        <f t="shared" si="70"/>
        <v>0.96833419288292999</v>
      </c>
      <c r="AD73" s="393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71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9"/>
        <v>0</v>
      </c>
      <c r="X74" s="22"/>
      <c r="Y74" s="22"/>
      <c r="Z74" s="400"/>
      <c r="AA74" s="398"/>
      <c r="AB74" s="39"/>
      <c r="AC74" s="198"/>
      <c r="AD74" s="393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71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9"/>
        <v>0</v>
      </c>
      <c r="X75" s="92"/>
      <c r="Y75" s="92"/>
      <c r="Z75" s="402"/>
      <c r="AA75" s="510"/>
      <c r="AB75" s="39"/>
      <c r="AC75" s="198"/>
      <c r="AD75" s="393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71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9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71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9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71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9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72">AVERAGE(J69:J78)</f>
        <v>15.48</v>
      </c>
      <c r="K79" s="173">
        <f t="shared" si="72"/>
        <v>1421</v>
      </c>
      <c r="L79" s="178">
        <f t="shared" si="72"/>
        <v>93.51238687782805</v>
      </c>
      <c r="M79" s="173">
        <f t="shared" si="72"/>
        <v>14.88</v>
      </c>
      <c r="N79" s="173">
        <f t="shared" si="72"/>
        <v>1309.8953162017021</v>
      </c>
      <c r="O79" s="178">
        <f t="shared" si="72"/>
        <v>89.076149056080169</v>
      </c>
      <c r="P79" s="179">
        <f>M79-J79</f>
        <v>-0.59999999999999964</v>
      </c>
      <c r="Q79" s="165">
        <f>N79-K79</f>
        <v>-111.10468379829786</v>
      </c>
      <c r="R79" s="166">
        <f>O79/L79</f>
        <v>0.95255989104904648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-111.10468379829786</v>
      </c>
      <c r="AC79" s="195">
        <f>N79/K79</f>
        <v>0.92181232667255608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38" priority="1" operator="greaterThan">
      <formula>0</formula>
    </cfRule>
  </conditionalFormatting>
  <conditionalFormatting sqref="Q5:Q79 AB5:AB79">
    <cfRule type="cellIs" dxfId="37" priority="4" operator="lessThan">
      <formula>0</formula>
    </cfRule>
  </conditionalFormatting>
  <conditionalFormatting sqref="R5:R79 AC5:AC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D59:AD62 S69:S76 AD69:AD76">
    <cfRule type="cellIs" dxfId="34" priority="7" operator="lessThan">
      <formula>0.8</formula>
    </cfRule>
  </conditionalFormatting>
  <conditionalFormatting sqref="S19:S25 AD19:AD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D5:AD8 S15:S16 AD15:AD16 AD49 AD79">
    <cfRule type="cellIs" dxfId="31" priority="9" operator="lessThan">
      <formula>0.8</formula>
    </cfRule>
  </conditionalFormatting>
  <conditionalFormatting sqref="AD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DF908-97A1-4651-8E69-93036BD1ED43}">
          <x14:formula1>
            <xm:f>廠價表!$C$2:$C$37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3327-8CC9-4EA1-A862-4BB03FCF0B0E}">
  <sheetPr>
    <pageSetUpPr fitToPage="1"/>
  </sheetPr>
  <dimension ref="B1:O22"/>
  <sheetViews>
    <sheetView zoomScale="70" zoomScaleNormal="70" workbookViewId="0">
      <selection activeCell="I17" sqref="I17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45959</v>
      </c>
      <c r="E3" s="383"/>
      <c r="F3" s="214" t="s">
        <v>76</v>
      </c>
      <c r="G3" s="384">
        <f>'1029'!E1</f>
        <v>62440</v>
      </c>
      <c r="H3" s="384"/>
      <c r="I3" s="214" t="s">
        <v>77</v>
      </c>
      <c r="J3" s="385">
        <f>'1029'!G1</f>
        <v>3063455.73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113.76661861325728</v>
      </c>
      <c r="G6" s="362"/>
      <c r="H6" s="363">
        <f>AVERAGE(D13:H13)</f>
        <v>114.02390708420121</v>
      </c>
      <c r="I6" s="363"/>
      <c r="J6" s="363">
        <f>AVERAGE(I13:J13)</f>
        <v>113.12339743589743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100.8911595587829</v>
      </c>
      <c r="G7" s="380"/>
      <c r="H7" s="381">
        <f>AVERAGE(D14:H14)</f>
        <v>103.73652248170249</v>
      </c>
      <c r="I7" s="381"/>
      <c r="J7" s="381">
        <f>AVERAGE(I14:J14)</f>
        <v>93.777752251483932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0.88157973122479294</v>
      </c>
      <c r="G8" s="360"/>
      <c r="H8" s="360">
        <f>AVERAGE(D15:H15)</f>
        <v>0.90326618406590686</v>
      </c>
      <c r="I8" s="360"/>
      <c r="J8" s="360">
        <f>AVERAGE(I15:J15)</f>
        <v>0.82736359912200785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VALUE('1029'!L15)</f>
        <v>149.22390109890108</v>
      </c>
      <c r="E13" s="227">
        <f>VALUE('1029'!L26)</f>
        <v>155.12820512820511</v>
      </c>
      <c r="F13" s="227">
        <f>VALUE('1029'!L37)</f>
        <v>87.020697167755998</v>
      </c>
      <c r="G13" s="227">
        <f>VALUE('1029'!L48)</f>
        <v>91.156862745098053</v>
      </c>
      <c r="H13" s="227">
        <f>VALUE('1029'!L58)</f>
        <v>87.58986928104575</v>
      </c>
      <c r="I13" s="227">
        <f>VALUE('1029'!L69)</f>
        <v>126.40384615384615</v>
      </c>
      <c r="J13" s="227">
        <f>VALUE('1029'!L79)</f>
        <v>99.842948717948715</v>
      </c>
    </row>
    <row r="14" spans="2:15" ht="39.950000000000003" customHeight="1" x14ac:dyDescent="0.25">
      <c r="B14" s="489"/>
      <c r="C14" s="226" t="s">
        <v>100</v>
      </c>
      <c r="D14" s="227">
        <f>VALUE('1029'!O15)</f>
        <v>133.67840369517356</v>
      </c>
      <c r="E14" s="227">
        <f>VALUE('1029'!O26)</f>
        <v>150.03124402523741</v>
      </c>
      <c r="F14" s="227">
        <f>VALUE('1029'!O37)</f>
        <v>70.855498271272538</v>
      </c>
      <c r="G14" s="227">
        <f>VALUE('1029'!O48)</f>
        <v>77.40006224712107</v>
      </c>
      <c r="H14" s="227">
        <f>VALUE('1029'!O58)</f>
        <v>86.717404169707805</v>
      </c>
      <c r="I14" s="227">
        <f>VALUE('1029'!O69)</f>
        <v>106.32917731154517</v>
      </c>
      <c r="J14" s="227">
        <f>VALUE('1029'!O79)</f>
        <v>81.226327191422698</v>
      </c>
    </row>
    <row r="15" spans="2:15" ht="39.950000000000003" customHeight="1" x14ac:dyDescent="0.25">
      <c r="B15" s="490"/>
      <c r="C15" s="222" t="s">
        <v>101</v>
      </c>
      <c r="D15" s="248">
        <f>D14/D13</f>
        <v>0.89582434657418297</v>
      </c>
      <c r="E15" s="248">
        <f t="shared" ref="E15:J15" si="0">E14/E13</f>
        <v>0.96714355652632389</v>
      </c>
      <c r="F15" s="248">
        <f t="shared" si="0"/>
        <v>0.81423730879424405</v>
      </c>
      <c r="G15" s="248">
        <f t="shared" si="0"/>
        <v>0.84908650776579353</v>
      </c>
      <c r="H15" s="248">
        <f t="shared" si="0"/>
        <v>0.99003920066898943</v>
      </c>
      <c r="I15" s="248">
        <f t="shared" si="0"/>
        <v>0.84118624984030865</v>
      </c>
      <c r="J15" s="248">
        <f t="shared" si="0"/>
        <v>0.81354094840370716</v>
      </c>
    </row>
    <row r="16" spans="2:15" ht="17.25" customHeight="1" x14ac:dyDescent="0.25">
      <c r="B16" s="491" t="s">
        <v>102</v>
      </c>
      <c r="C16" s="222" t="s">
        <v>103</v>
      </c>
      <c r="D16" s="98">
        <f>'1029'!T5</f>
        <v>0.2902777777777778</v>
      </c>
      <c r="E16" s="98">
        <f>'1029'!T16</f>
        <v>0.2902777777777778</v>
      </c>
      <c r="F16" s="98">
        <f>'1029'!T27</f>
        <v>0.29305555555555557</v>
      </c>
      <c r="G16" s="98">
        <f>'1029'!T38</f>
        <v>0.33333333333333331</v>
      </c>
      <c r="H16" s="98">
        <f>'1029'!T49</f>
        <v>0.33263888888888887</v>
      </c>
      <c r="I16" s="98">
        <f>'1029'!T59</f>
        <v>0.2951388888888889</v>
      </c>
      <c r="J16" s="293">
        <f>'1029'!T70</f>
        <v>0.34375</v>
      </c>
    </row>
    <row r="17" spans="2:10" ht="17.25" customHeight="1" x14ac:dyDescent="0.25">
      <c r="B17" s="492"/>
      <c r="C17" s="222" t="s">
        <v>104</v>
      </c>
      <c r="D17" s="80">
        <v>0.64583333333333337</v>
      </c>
      <c r="E17" s="41">
        <v>0.64236111111111116</v>
      </c>
      <c r="F17" s="41">
        <v>0.69236111111111109</v>
      </c>
      <c r="G17" s="59">
        <v>0.69444444444444442</v>
      </c>
      <c r="H17" s="80">
        <v>0.68541666666666667</v>
      </c>
      <c r="I17" s="20">
        <v>0.64930555555555558</v>
      </c>
      <c r="J17" s="20">
        <v>0.68055555555555558</v>
      </c>
    </row>
    <row r="18" spans="2:10" ht="17.25" customHeight="1" x14ac:dyDescent="0.25">
      <c r="B18" s="481" t="s">
        <v>105</v>
      </c>
      <c r="C18" s="355"/>
      <c r="D18" s="229">
        <f>VALUE('1029'!M15)</f>
        <v>13.25</v>
      </c>
      <c r="E18" s="229">
        <f>VALUE('1029'!M26)</f>
        <v>13</v>
      </c>
      <c r="F18" s="229">
        <f>VALUE('1029'!M37)</f>
        <v>15</v>
      </c>
      <c r="G18" s="229">
        <f>VALUE('1029'!M48)</f>
        <v>15.666666666666666</v>
      </c>
      <c r="H18" s="229">
        <f>VALUE('1029'!M58)</f>
        <v>17</v>
      </c>
      <c r="I18" s="229">
        <f>VALUE('1029'!M69)</f>
        <v>12.4</v>
      </c>
      <c r="J18" s="229">
        <f>VALUE('1029'!M79)</f>
        <v>12.799999999999999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B18:C18"/>
    <mergeCell ref="B19:C19"/>
    <mergeCell ref="B20:C20"/>
    <mergeCell ref="B21:C21"/>
    <mergeCell ref="B22:C22"/>
    <mergeCell ref="J8:K8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7548-7DA2-4536-A62F-BD76CAD1B52C}">
  <sheetPr>
    <tabColor theme="9" tint="0.79998168889431442"/>
    <pageSetUpPr fitToPage="1"/>
  </sheetPr>
  <dimension ref="A1:AF92"/>
  <sheetViews>
    <sheetView zoomScale="69" zoomScaleNormal="69" workbookViewId="0">
      <pane xSplit="5" ySplit="4" topLeftCell="F53" activePane="bottomRight" state="frozen"/>
      <selection activeCell="L43" sqref="L43"/>
      <selection pane="topRight" activeCell="L43" sqref="L43"/>
      <selection pane="bottomLeft" activeCell="L43" sqref="L43"/>
      <selection pane="bottomRight" activeCell="F71" sqref="F71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62440</v>
      </c>
      <c r="F1" s="185" t="s">
        <v>9</v>
      </c>
      <c r="G1" s="4">
        <f>SUM(H5:H79)</f>
        <v>3063455.73</v>
      </c>
      <c r="H1" s="183" t="s">
        <v>10</v>
      </c>
      <c r="I1" s="5">
        <f>M15+M26+M48+M58+M69+M79+M37</f>
        <v>99.11666666666666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266</v>
      </c>
      <c r="B2" s="461"/>
      <c r="C2" s="184"/>
      <c r="D2" s="184" t="s">
        <v>1</v>
      </c>
      <c r="E2" s="7">
        <f>AVERAGE(O15,O26,O37,O48,O58,O69,O79)</f>
        <v>100.8911595587829</v>
      </c>
      <c r="F2" s="8" t="s">
        <v>2</v>
      </c>
      <c r="G2" s="9">
        <f>G1/E1</f>
        <v>49.062391575912876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1955</v>
      </c>
      <c r="H5" s="109">
        <f>F5*G5</f>
        <v>111845.55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1804.6153846153866</v>
      </c>
      <c r="O5" s="112">
        <f>N5/M5</f>
        <v>138.81656804733743</v>
      </c>
      <c r="P5" s="114">
        <f>M5-J5</f>
        <v>0</v>
      </c>
      <c r="Q5" s="115">
        <f>O5-L5</f>
        <v>-15.029585798816413</v>
      </c>
      <c r="R5" s="192">
        <f>O5/L5</f>
        <v>0.90230769230769337</v>
      </c>
      <c r="S5" s="408">
        <f>R15</f>
        <v>0.89582434657418297</v>
      </c>
      <c r="T5" s="97">
        <v>0.2902777777777778</v>
      </c>
      <c r="U5" s="97">
        <v>0.33541666666666664</v>
      </c>
      <c r="V5" s="202"/>
      <c r="W5" s="110">
        <f t="shared" ref="W5:W14" si="0">(U5-T5)*24*60</f>
        <v>64.999999999999929</v>
      </c>
      <c r="X5" s="196"/>
      <c r="Y5" s="196"/>
      <c r="Z5" s="423"/>
      <c r="AA5" s="423"/>
      <c r="AB5" s="114">
        <f>N5-K5</f>
        <v>-195.38461538461343</v>
      </c>
      <c r="AC5" s="192">
        <f>N5/K5</f>
        <v>0.90230769230769325</v>
      </c>
      <c r="AD5" s="391">
        <f>AC15</f>
        <v>0.89557860691216185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2617</v>
      </c>
      <c r="H6" s="15">
        <f t="shared" ref="H6:H14" si="1">F6*G6</f>
        <v>149718.57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1670.425531914894</v>
      </c>
      <c r="O6" s="17">
        <f>N6/M6</f>
        <v>119.31610942249243</v>
      </c>
      <c r="P6" s="18">
        <f>M6-J6</f>
        <v>0</v>
      </c>
      <c r="Q6" s="19">
        <f>O6-L6</f>
        <v>-16.04103343465043</v>
      </c>
      <c r="R6" s="193">
        <f>O6/L6</f>
        <v>0.88149104586537941</v>
      </c>
      <c r="S6" s="409"/>
      <c r="T6" s="98">
        <v>0.3576388888888889</v>
      </c>
      <c r="U6" s="98">
        <v>0.42291666666666666</v>
      </c>
      <c r="V6" s="185">
        <f>(T6-U5)*24*60</f>
        <v>32.000000000000043</v>
      </c>
      <c r="W6" s="190">
        <f t="shared" si="0"/>
        <v>93.999999999999986</v>
      </c>
      <c r="X6" s="22"/>
      <c r="Y6" s="22"/>
      <c r="Z6" s="446" t="s">
        <v>267</v>
      </c>
      <c r="AA6" s="446"/>
      <c r="AB6" s="18">
        <f>N6-K6</f>
        <v>-224.57446808510599</v>
      </c>
      <c r="AC6" s="193">
        <f>N6/K6</f>
        <v>0.88149104586537941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2510</v>
      </c>
      <c r="H7" s="15">
        <f t="shared" si="1"/>
        <v>123341.4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1955.8441558441564</v>
      </c>
      <c r="O7" s="17">
        <f>N7/M7</f>
        <v>150.44955044955049</v>
      </c>
      <c r="P7" s="18">
        <f>M7-J7</f>
        <v>0</v>
      </c>
      <c r="Q7" s="19">
        <f>O7-L7</f>
        <v>-3.3966033966033535</v>
      </c>
      <c r="R7" s="193">
        <f>O7/L7</f>
        <v>0.97792207792207819</v>
      </c>
      <c r="S7" s="409"/>
      <c r="T7" s="98">
        <v>0.4375</v>
      </c>
      <c r="U7" s="98">
        <v>0.4909722222222222</v>
      </c>
      <c r="V7" s="185">
        <f>(T7-U6)*24*60</f>
        <v>21.000000000000007</v>
      </c>
      <c r="W7" s="190">
        <f t="shared" si="0"/>
        <v>76.999999999999972</v>
      </c>
      <c r="X7" s="22"/>
      <c r="Y7" s="22"/>
      <c r="Z7" s="400"/>
      <c r="AA7" s="400"/>
      <c r="AB7" s="18">
        <f>N7-K7</f>
        <v>-44.155844155843624</v>
      </c>
      <c r="AC7" s="193">
        <f>N7/K7</f>
        <v>0.97792207792207819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3744</v>
      </c>
      <c r="H8" s="15">
        <f t="shared" si="1"/>
        <v>183980.16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1639.7080291970801</v>
      </c>
      <c r="O8" s="17">
        <f>N8/M8</f>
        <v>126.13138686131386</v>
      </c>
      <c r="P8" s="18">
        <f>M8-J8</f>
        <v>0</v>
      </c>
      <c r="Q8" s="19">
        <f>O8-L8</f>
        <v>-27.714766984839983</v>
      </c>
      <c r="R8" s="193">
        <f>O8/L8</f>
        <v>0.81985401459854013</v>
      </c>
      <c r="S8" s="409"/>
      <c r="T8" s="80">
        <v>0.55069444444444449</v>
      </c>
      <c r="U8" s="80">
        <v>0.64583333333333337</v>
      </c>
      <c r="V8" s="185">
        <f>(T8-U7)*24*60</f>
        <v>86.000000000000099</v>
      </c>
      <c r="W8" s="190">
        <f t="shared" si="0"/>
        <v>137</v>
      </c>
      <c r="X8" s="22">
        <v>0.5</v>
      </c>
      <c r="Y8" s="22">
        <v>0.54166666666666663</v>
      </c>
      <c r="Z8" s="447"/>
      <c r="AA8" s="447"/>
      <c r="AB8" s="18">
        <f>N8-K8</f>
        <v>-360.29197080291988</v>
      </c>
      <c r="AC8" s="193">
        <f>N8/K8</f>
        <v>0.81985401459854002</v>
      </c>
      <c r="AD8" s="392"/>
    </row>
    <row r="9" spans="1:30" ht="15" customHeight="1" x14ac:dyDescent="0.25">
      <c r="A9" s="466"/>
      <c r="B9" s="56"/>
      <c r="C9" s="10"/>
      <c r="D9" s="11"/>
      <c r="E9" s="89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18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13.25</v>
      </c>
      <c r="K15" s="121">
        <f t="shared" si="2"/>
        <v>1973.75</v>
      </c>
      <c r="L15" s="118">
        <f t="shared" si="2"/>
        <v>149.22390109890108</v>
      </c>
      <c r="M15" s="121">
        <f t="shared" si="2"/>
        <v>13.25</v>
      </c>
      <c r="N15" s="121">
        <f t="shared" si="2"/>
        <v>1767.6482753928794</v>
      </c>
      <c r="O15" s="118">
        <f t="shared" si="2"/>
        <v>133.67840369517356</v>
      </c>
      <c r="P15" s="122">
        <f t="shared" ref="P15:P16" si="3">M15-J15</f>
        <v>0</v>
      </c>
      <c r="Q15" s="123">
        <f t="shared" ref="Q15:Q16" si="4">O15-L15</f>
        <v>-15.545497403727524</v>
      </c>
      <c r="R15" s="124">
        <f t="shared" ref="R15:R16" si="5">O15/L15</f>
        <v>0.89582434657418297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-206.10172460712056</v>
      </c>
      <c r="AC15" s="195">
        <f>N15/K15</f>
        <v>0.89557860691216185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1698</v>
      </c>
      <c r="H16" s="128">
        <f t="shared" ref="H16:H25" si="6">F16*G16</f>
        <v>97142.58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1997.6470588235304</v>
      </c>
      <c r="O16" s="131">
        <f>N16/M16</f>
        <v>153.6651583710408</v>
      </c>
      <c r="P16" s="132">
        <f t="shared" si="3"/>
        <v>0</v>
      </c>
      <c r="Q16" s="133">
        <f t="shared" si="4"/>
        <v>-0.18099547511303626</v>
      </c>
      <c r="R16" s="197">
        <f t="shared" si="5"/>
        <v>0.99882352941176522</v>
      </c>
      <c r="S16" s="433">
        <f>R26</f>
        <v>0.96714355652632389</v>
      </c>
      <c r="T16" s="288">
        <v>0.2902777777777778</v>
      </c>
      <c r="U16" s="288">
        <v>0.32569444444444445</v>
      </c>
      <c r="V16" s="129"/>
      <c r="W16" s="134">
        <f t="shared" ref="W16:W68" si="7">(U16-T16)*24*60</f>
        <v>50.999999999999979</v>
      </c>
      <c r="X16" s="131"/>
      <c r="Y16" s="131"/>
      <c r="Z16" s="423"/>
      <c r="AA16" s="423"/>
      <c r="AB16" s="114">
        <f>N16-K16</f>
        <v>-2.3529411764695851</v>
      </c>
      <c r="AC16" s="192">
        <f>N16/K16</f>
        <v>0.99882352941176522</v>
      </c>
      <c r="AD16" s="391">
        <f>AC26</f>
        <v>0.96922649130074567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4518</v>
      </c>
      <c r="H17" s="15">
        <f>F17*G17</f>
        <v>228927.06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1993.2352941176468</v>
      </c>
      <c r="O17" s="38">
        <f>N17/M17</f>
        <v>132.88235294117646</v>
      </c>
      <c r="P17" s="39">
        <f>M17-J17</f>
        <v>0</v>
      </c>
      <c r="Q17" s="40">
        <f>O17-L17</f>
        <v>-0.45098039215687891</v>
      </c>
      <c r="R17" s="198">
        <f>O17/L17</f>
        <v>0.99661764705882339</v>
      </c>
      <c r="S17" s="434"/>
      <c r="T17" s="41">
        <v>0.33055555555555555</v>
      </c>
      <c r="U17" s="41">
        <v>0.42499999999999999</v>
      </c>
      <c r="V17" s="185">
        <f>(T17-U16)*24*60</f>
        <v>6.9999999999999751</v>
      </c>
      <c r="W17" s="43">
        <f t="shared" si="7"/>
        <v>136</v>
      </c>
      <c r="X17" s="44"/>
      <c r="Y17" s="44"/>
      <c r="Z17" s="399"/>
      <c r="AA17" s="400"/>
      <c r="AB17" s="18">
        <f>N17-K17</f>
        <v>-6.7647058823531552</v>
      </c>
      <c r="AC17" s="193">
        <f>N17/K17</f>
        <v>0.99661764705882339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2337</v>
      </c>
      <c r="H18" s="15">
        <f>F18*G18</f>
        <v>117761.43000000001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1974.9295774647892</v>
      </c>
      <c r="O18" s="38">
        <f>N18/M18</f>
        <v>164.57746478873244</v>
      </c>
      <c r="P18" s="39">
        <f>M18-J18</f>
        <v>0</v>
      </c>
      <c r="Q18" s="40">
        <f>O18-L18</f>
        <v>-2.0892018779342152</v>
      </c>
      <c r="R18" s="198">
        <f>O18/L18</f>
        <v>0.98746478873239474</v>
      </c>
      <c r="S18" s="434"/>
      <c r="T18" s="41">
        <v>0.42986111111111114</v>
      </c>
      <c r="U18" s="41">
        <v>0.47916666666666669</v>
      </c>
      <c r="V18" s="185">
        <f>(T18-U17)*24*60</f>
        <v>7.0000000000000551</v>
      </c>
      <c r="W18" s="43">
        <f t="shared" si="7"/>
        <v>70.999999999999986</v>
      </c>
      <c r="X18" s="22"/>
      <c r="Y18" s="22"/>
      <c r="Z18" s="399"/>
      <c r="AA18" s="400"/>
      <c r="AB18" s="18">
        <f>N18-K18</f>
        <v>-25.07042253521081</v>
      </c>
      <c r="AC18" s="193">
        <f>N18/K18</f>
        <v>0.98746478873239463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3874</v>
      </c>
      <c r="H19" s="15">
        <f t="shared" ref="H19" si="8">F19*G19</f>
        <v>195210.86000000002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1787.9999999999995</v>
      </c>
      <c r="O19" s="38">
        <f>N19/M19</f>
        <v>148.99999999999997</v>
      </c>
      <c r="P19" s="39">
        <f>M19-J19</f>
        <v>0</v>
      </c>
      <c r="Q19" s="40">
        <f>O19-L19</f>
        <v>-17.666666666666686</v>
      </c>
      <c r="R19" s="198">
        <f>O19/L19</f>
        <v>0.89399999999999991</v>
      </c>
      <c r="S19" s="434"/>
      <c r="T19" s="41">
        <v>0.55208333333333337</v>
      </c>
      <c r="U19" s="41">
        <v>0.64236111111111116</v>
      </c>
      <c r="V19" s="185">
        <f>(T19-U18)*24*60</f>
        <v>105.00000000000003</v>
      </c>
      <c r="W19" s="43">
        <f t="shared" si="7"/>
        <v>130.00000000000003</v>
      </c>
      <c r="X19" s="22">
        <v>0.5</v>
      </c>
      <c r="Y19" s="22">
        <v>0.54166666666666663</v>
      </c>
      <c r="Z19" s="398"/>
      <c r="AA19" s="399"/>
      <c r="AB19" s="18">
        <f>N19-K19</f>
        <v>-212.00000000000045</v>
      </c>
      <c r="AC19" s="193">
        <f>N19/K19</f>
        <v>0.89399999999999979</v>
      </c>
      <c r="AD19" s="395"/>
    </row>
    <row r="20" spans="1:30" ht="15" customHeight="1" x14ac:dyDescent="0.25">
      <c r="A20" s="439"/>
      <c r="B20" s="56"/>
      <c r="C20" s="23"/>
      <c r="D20" s="11"/>
      <c r="E20" s="12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f t="shared" si="7"/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1938.4529826014914</v>
      </c>
      <c r="O26" s="140">
        <f t="shared" si="10"/>
        <v>150.03124402523741</v>
      </c>
      <c r="P26" s="141">
        <f t="shared" ref="P26:P29" si="11">M26-J26</f>
        <v>0</v>
      </c>
      <c r="Q26" s="142">
        <f t="shared" ref="Q26:Q29" si="12">O26-L26</f>
        <v>-5.0969611029676969</v>
      </c>
      <c r="R26" s="143">
        <f t="shared" ref="R26:R29" si="13">O26/L26</f>
        <v>0.96714355652632389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-61.547017398508615</v>
      </c>
      <c r="AC26" s="195">
        <f>N26/K26</f>
        <v>0.96922649130074567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154</v>
      </c>
      <c r="E27" s="107"/>
      <c r="F27" s="207">
        <f>VLOOKUP(D27,廠價表!$C$1:$E$39,3,0)</f>
        <v>49.91</v>
      </c>
      <c r="G27" s="289">
        <v>2773</v>
      </c>
      <c r="H27" s="128">
        <f t="shared" ref="H27:H36" si="14">F27*G27</f>
        <v>138400.43</v>
      </c>
      <c r="I27" s="129"/>
      <c r="J27" s="111">
        <f>VLOOKUP(D27,產線配置圖!$A$2:$C$38,2,0)</f>
        <v>17</v>
      </c>
      <c r="K27" s="252">
        <f>VLOOKUP(D27,產線配置圖!$A$2:$C$38,3,0)</f>
        <v>1565</v>
      </c>
      <c r="L27" s="112">
        <f>K27/J27</f>
        <v>92.058823529411768</v>
      </c>
      <c r="M27" s="147">
        <v>14</v>
      </c>
      <c r="N27" s="130">
        <f>G27/W27*60</f>
        <v>1033.416149068323</v>
      </c>
      <c r="O27" s="131">
        <f>N27/M27</f>
        <v>73.815439219165924</v>
      </c>
      <c r="P27" s="132">
        <f t="shared" si="11"/>
        <v>-3</v>
      </c>
      <c r="Q27" s="133">
        <f t="shared" si="12"/>
        <v>-18.243384310245844</v>
      </c>
      <c r="R27" s="197">
        <f>O27/L27</f>
        <v>0.80182905222097167</v>
      </c>
      <c r="S27" s="433">
        <f>R37</f>
        <v>0.81423730879424405</v>
      </c>
      <c r="T27" s="97">
        <v>0.29305555555555557</v>
      </c>
      <c r="U27" s="97">
        <v>0.40486111111111112</v>
      </c>
      <c r="V27" s="129"/>
      <c r="W27" s="134">
        <f t="shared" si="7"/>
        <v>161</v>
      </c>
      <c r="X27" s="129"/>
      <c r="Y27" s="129" t="s">
        <v>158</v>
      </c>
      <c r="Z27" s="414"/>
      <c r="AA27" s="423"/>
      <c r="AB27" s="240">
        <f>N27-K27</f>
        <v>-531.58385093167703</v>
      </c>
      <c r="AC27" s="337">
        <f>N27/K27</f>
        <v>0.66032980771138849</v>
      </c>
      <c r="AD27" s="391">
        <f>AC37</f>
        <v>0.70533897062588125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2741</v>
      </c>
      <c r="H28" s="50">
        <f t="shared" si="14"/>
        <v>151111.33000000002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16</v>
      </c>
      <c r="N28" s="36">
        <f>G28/W28*60</f>
        <v>1118.7755102040819</v>
      </c>
      <c r="O28" s="38">
        <f>N28/M28</f>
        <v>69.923469387755119</v>
      </c>
      <c r="P28" s="39">
        <f t="shared" si="11"/>
        <v>-2</v>
      </c>
      <c r="Q28" s="40">
        <f t="shared" si="12"/>
        <v>-7.0209750566893234</v>
      </c>
      <c r="R28" s="198">
        <f t="shared" si="13"/>
        <v>0.90875267074338784</v>
      </c>
      <c r="S28" s="434"/>
      <c r="T28" s="291">
        <v>0.40972222222222221</v>
      </c>
      <c r="U28" s="291">
        <v>0.51180555555555551</v>
      </c>
      <c r="V28" s="42">
        <f>(T28-U27)*24*60</f>
        <v>6.9999999999999751</v>
      </c>
      <c r="W28" s="43">
        <f t="shared" si="7"/>
        <v>146.99999999999994</v>
      </c>
      <c r="X28" s="54"/>
      <c r="Y28" s="54"/>
      <c r="Z28" s="399"/>
      <c r="AA28" s="398"/>
      <c r="AB28" s="39">
        <f>N28-K28</f>
        <v>-266.22448979591809</v>
      </c>
      <c r="AC28" s="198">
        <f>N28/K28</f>
        <v>0.80778015177190032</v>
      </c>
      <c r="AD28" s="393"/>
    </row>
    <row r="29" spans="1:30" ht="15" customHeight="1" x14ac:dyDescent="0.25">
      <c r="A29" s="431"/>
      <c r="B29" s="56" t="s">
        <v>140</v>
      </c>
      <c r="C29" s="10"/>
      <c r="D29" s="11" t="s">
        <v>154</v>
      </c>
      <c r="E29" s="89"/>
      <c r="F29" s="56">
        <f>VLOOKUP(D29,廠價表!$C$1:$E$39,3,0)</f>
        <v>49.91</v>
      </c>
      <c r="G29" s="256">
        <v>998</v>
      </c>
      <c r="H29" s="50">
        <f t="shared" si="14"/>
        <v>49810.179999999993</v>
      </c>
      <c r="I29" s="42"/>
      <c r="J29" s="16">
        <f>VLOOKUP(D29,產線配置圖!$A$2:$C$38,2,0)</f>
        <v>17</v>
      </c>
      <c r="K29" s="14">
        <f>VLOOKUP(D29,產線配置圖!$A$2:$C$38,3,0)</f>
        <v>1565</v>
      </c>
      <c r="L29" s="251">
        <f t="shared" ref="L29" si="15">K29/J29</f>
        <v>92.058823529411768</v>
      </c>
      <c r="M29" s="21">
        <v>15</v>
      </c>
      <c r="N29" s="36">
        <f>G29/W29*60</f>
        <v>1032.4137931034491</v>
      </c>
      <c r="O29" s="38">
        <f t="shared" ref="O29" si="16">N29/M29</f>
        <v>68.827586206896598</v>
      </c>
      <c r="P29" s="39">
        <f t="shared" si="11"/>
        <v>-2</v>
      </c>
      <c r="Q29" s="40">
        <f t="shared" si="12"/>
        <v>-23.23123732251517</v>
      </c>
      <c r="R29" s="198">
        <f t="shared" si="13"/>
        <v>0.74764790128897263</v>
      </c>
      <c r="S29" s="434"/>
      <c r="T29" s="41">
        <v>0.65208333333333335</v>
      </c>
      <c r="U29" s="41">
        <v>0.69236111111111109</v>
      </c>
      <c r="V29" s="42">
        <f t="shared" ref="V29" si="17">(T29-U28)*24*60</f>
        <v>202.00000000000009</v>
      </c>
      <c r="W29" s="43">
        <f t="shared" si="7"/>
        <v>57.999999999999957</v>
      </c>
      <c r="X29" s="54">
        <v>0.54166666666666663</v>
      </c>
      <c r="Y29" s="54">
        <v>0.58333333333333337</v>
      </c>
      <c r="Z29" s="399" t="s">
        <v>193</v>
      </c>
      <c r="AA29" s="398"/>
      <c r="AB29" s="338">
        <f>N29-K29</f>
        <v>-532.58620689655095</v>
      </c>
      <c r="AC29" s="198">
        <f>N29/K29</f>
        <v>0.65968932466674057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7"/>
        <v>0</v>
      </c>
      <c r="X30" s="54"/>
      <c r="Y30" s="54"/>
      <c r="Z30" s="479"/>
      <c r="AA30" s="480"/>
      <c r="AB30" s="34"/>
      <c r="AC30" s="339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432"/>
      <c r="B37" s="135"/>
      <c r="C37" s="1" t="s">
        <v>36</v>
      </c>
      <c r="D37" s="436" t="s">
        <v>7</v>
      </c>
      <c r="E37" s="437"/>
      <c r="F37" s="310"/>
      <c r="G37" s="311"/>
      <c r="H37" s="312"/>
      <c r="I37" s="313"/>
      <c r="J37" s="314">
        <f t="shared" ref="J37:O37" si="18">AVERAGE(J27:J36)</f>
        <v>17.333333333333332</v>
      </c>
      <c r="K37" s="314">
        <f t="shared" si="18"/>
        <v>1505</v>
      </c>
      <c r="L37" s="315">
        <f t="shared" si="18"/>
        <v>87.020697167755998</v>
      </c>
      <c r="M37" s="314">
        <f t="shared" si="18"/>
        <v>15</v>
      </c>
      <c r="N37" s="314">
        <f t="shared" si="18"/>
        <v>1061.5351507919513</v>
      </c>
      <c r="O37" s="315">
        <f t="shared" si="18"/>
        <v>70.855498271272538</v>
      </c>
      <c r="P37" s="74">
        <f>M37-J37</f>
        <v>-2.3333333333333321</v>
      </c>
      <c r="Q37" s="75">
        <f>N37-K37</f>
        <v>-443.46484920804869</v>
      </c>
      <c r="R37" s="316">
        <f t="shared" ref="R37:R40" si="19">O37/L37</f>
        <v>0.81423730879424405</v>
      </c>
      <c r="S37" s="435"/>
      <c r="T37" s="144"/>
      <c r="U37" s="144"/>
      <c r="V37" s="150"/>
      <c r="W37" s="150"/>
      <c r="X37" s="151"/>
      <c r="Y37" s="151"/>
      <c r="Z37" s="429"/>
      <c r="AA37" s="401"/>
      <c r="AB37" s="34">
        <f t="shared" ref="AB37:AB40" si="20">N37-K37</f>
        <v>-443.46484920804869</v>
      </c>
      <c r="AC37" s="194">
        <f t="shared" ref="AC37:AC40" si="21">N37/K37</f>
        <v>0.70533897062588125</v>
      </c>
      <c r="AD37" s="396"/>
    </row>
    <row r="38" spans="1:30" s="63" customFormat="1" ht="15" customHeight="1" x14ac:dyDescent="0.25">
      <c r="A38" s="424" t="s">
        <v>55</v>
      </c>
      <c r="B38" s="244" t="s">
        <v>140</v>
      </c>
      <c r="C38" s="207"/>
      <c r="D38" s="28" t="s">
        <v>259</v>
      </c>
      <c r="E38" s="309"/>
      <c r="F38" s="56">
        <f>VLOOKUP(D38,廠價表!$C$1:$E$39,3,0)</f>
        <v>56.43</v>
      </c>
      <c r="G38" s="305">
        <v>4125</v>
      </c>
      <c r="H38" s="64">
        <f t="shared" ref="H38:H40" si="22">F38*G38</f>
        <v>232773.75</v>
      </c>
      <c r="I38" s="129"/>
      <c r="J38" s="296">
        <f>VLOOKUP(D38,產線配置圖!$A$2:$C$38,2,0)</f>
        <v>15</v>
      </c>
      <c r="K38" s="252">
        <f>VLOOKUP(D38,產線配置圖!$A$2:$C$38,3,0)</f>
        <v>1440</v>
      </c>
      <c r="L38" s="317">
        <f t="shared" ref="L38:L40" si="23">K38/J38</f>
        <v>96</v>
      </c>
      <c r="M38" s="318">
        <v>15</v>
      </c>
      <c r="N38" s="130">
        <f>G38/W38*60</f>
        <v>1178.5714285714284</v>
      </c>
      <c r="O38" s="131">
        <f>N38/M38</f>
        <v>78.571428571428569</v>
      </c>
      <c r="P38" s="132">
        <f t="shared" ref="P38:P40" si="24">M38-J38</f>
        <v>0</v>
      </c>
      <c r="Q38" s="133">
        <f t="shared" ref="Q38:Q40" si="25">O38-L38</f>
        <v>-17.428571428571431</v>
      </c>
      <c r="R38" s="197">
        <f t="shared" si="19"/>
        <v>0.81845238095238093</v>
      </c>
      <c r="S38" s="493">
        <f>R48</f>
        <v>0.84908650776579353</v>
      </c>
      <c r="T38" s="157">
        <v>0.33333333333333331</v>
      </c>
      <c r="U38" s="157">
        <v>0.47916666666666669</v>
      </c>
      <c r="V38" s="153"/>
      <c r="W38" s="158">
        <f t="shared" si="7"/>
        <v>210.00000000000006</v>
      </c>
      <c r="X38" s="155"/>
      <c r="Y38" s="159"/>
      <c r="Z38" s="428"/>
      <c r="AA38" s="475"/>
      <c r="AB38" s="331">
        <f t="shared" si="20"/>
        <v>-261.42857142857156</v>
      </c>
      <c r="AC38" s="161">
        <f t="shared" si="21"/>
        <v>0.81845238095238082</v>
      </c>
      <c r="AD38" s="388">
        <f>AC48</f>
        <v>0.85084128844972917</v>
      </c>
    </row>
    <row r="39" spans="1:30" s="63" customFormat="1" ht="15" customHeight="1" x14ac:dyDescent="0.25">
      <c r="A39" s="425"/>
      <c r="B39" s="56" t="s">
        <v>140</v>
      </c>
      <c r="C39" s="306"/>
      <c r="D39" s="308" t="s">
        <v>223</v>
      </c>
      <c r="E39" s="307"/>
      <c r="F39" s="56">
        <f>VLOOKUP(D39,廠價表!$C$1:$E$39,3,0)</f>
        <v>57.3</v>
      </c>
      <c r="G39" s="305">
        <v>2066</v>
      </c>
      <c r="H39" s="64">
        <f t="shared" si="22"/>
        <v>118381.79999999999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 t="shared" si="23"/>
        <v>81.470588235294116</v>
      </c>
      <c r="M39" s="66">
        <v>17</v>
      </c>
      <c r="N39" s="67">
        <f>G39/W39*60</f>
        <v>1239.6000000000004</v>
      </c>
      <c r="O39" s="68">
        <f t="shared" ref="O39:O40" si="26">N39/M39</f>
        <v>72.917647058823547</v>
      </c>
      <c r="P39" s="39">
        <f t="shared" si="24"/>
        <v>0</v>
      </c>
      <c r="Q39" s="40">
        <f t="shared" si="25"/>
        <v>-8.5529411764705685</v>
      </c>
      <c r="R39" s="198">
        <f t="shared" si="19"/>
        <v>0.89501805054151651</v>
      </c>
      <c r="S39" s="494"/>
      <c r="T39" s="59">
        <v>0.55208333333333337</v>
      </c>
      <c r="U39" s="59">
        <v>0.62152777777777779</v>
      </c>
      <c r="V39" s="42">
        <f>(T39-U38)*24*60</f>
        <v>105.00000000000003</v>
      </c>
      <c r="W39" s="70">
        <f t="shared" si="7"/>
        <v>99.999999999999972</v>
      </c>
      <c r="X39" s="22">
        <v>0.5</v>
      </c>
      <c r="Y39" s="22">
        <v>0.54166666666666663</v>
      </c>
      <c r="Z39" s="505"/>
      <c r="AA39" s="509"/>
      <c r="AB39" s="292">
        <f t="shared" si="20"/>
        <v>-145.39999999999964</v>
      </c>
      <c r="AC39" s="62">
        <f t="shared" si="21"/>
        <v>0.89501805054151651</v>
      </c>
      <c r="AD39" s="389"/>
    </row>
    <row r="40" spans="1:30" s="63" customFormat="1" ht="15" customHeight="1" x14ac:dyDescent="0.25">
      <c r="A40" s="425"/>
      <c r="B40" s="56" t="s">
        <v>140</v>
      </c>
      <c r="C40" s="298"/>
      <c r="D40" s="308" t="s">
        <v>259</v>
      </c>
      <c r="E40" s="261"/>
      <c r="F40" s="56">
        <f>VLOOKUP(D40,廠價表!$C$1:$E$39,3,0)</f>
        <v>56.43</v>
      </c>
      <c r="G40" s="305">
        <v>1816</v>
      </c>
      <c r="H40" s="64">
        <f t="shared" si="22"/>
        <v>102476.88</v>
      </c>
      <c r="I40" s="65"/>
      <c r="J40" s="37">
        <f>VLOOKUP(D40,產線配置圖!$A$2:$C$38,2,0)</f>
        <v>15</v>
      </c>
      <c r="K40" s="36">
        <f>VLOOKUP(D40,產線配置圖!$A$2:$C$38,3,0)</f>
        <v>1440</v>
      </c>
      <c r="L40" s="38">
        <f t="shared" si="23"/>
        <v>96</v>
      </c>
      <c r="M40" s="66">
        <v>15</v>
      </c>
      <c r="N40" s="67">
        <f>G40/W40*60</f>
        <v>1210.6666666666665</v>
      </c>
      <c r="O40" s="68">
        <f t="shared" si="26"/>
        <v>80.711111111111094</v>
      </c>
      <c r="P40" s="39">
        <f t="shared" si="24"/>
        <v>0</v>
      </c>
      <c r="Q40" s="40">
        <f t="shared" si="25"/>
        <v>-15.288888888888906</v>
      </c>
      <c r="R40" s="198">
        <f t="shared" si="19"/>
        <v>0.84074074074074057</v>
      </c>
      <c r="S40" s="409"/>
      <c r="T40" s="59">
        <v>0.63194444444444442</v>
      </c>
      <c r="U40" s="59">
        <v>0.69444444444444442</v>
      </c>
      <c r="V40" s="42">
        <f t="shared" ref="V40" si="27">(T40-U39)*24*60</f>
        <v>14.999999999999947</v>
      </c>
      <c r="W40" s="70">
        <f t="shared" si="7"/>
        <v>90</v>
      </c>
      <c r="X40" s="71"/>
      <c r="Y40" s="278"/>
      <c r="Z40" s="476"/>
      <c r="AA40" s="508"/>
      <c r="AB40" s="292">
        <f t="shared" si="20"/>
        <v>-229.33333333333348</v>
      </c>
      <c r="AC40" s="62">
        <f t="shared" si="21"/>
        <v>0.84074074074074068</v>
      </c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75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8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8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8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9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8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9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8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9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8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9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30">AVERAGE(J38:J47)</f>
        <v>15.666666666666666</v>
      </c>
      <c r="K48" s="137">
        <f t="shared" si="30"/>
        <v>1421.6666666666667</v>
      </c>
      <c r="L48" s="140">
        <f t="shared" si="30"/>
        <v>91.156862745098053</v>
      </c>
      <c r="M48" s="137">
        <f t="shared" si="30"/>
        <v>15.666666666666666</v>
      </c>
      <c r="N48" s="137">
        <f t="shared" si="30"/>
        <v>1209.6126984126984</v>
      </c>
      <c r="O48" s="140">
        <f t="shared" si="30"/>
        <v>77.40006224712107</v>
      </c>
      <c r="P48" s="164">
        <f>M48-J48</f>
        <v>0</v>
      </c>
      <c r="Q48" s="165">
        <f>N48-K48</f>
        <v>-212.05396825396838</v>
      </c>
      <c r="R48" s="166">
        <f>O48/L48</f>
        <v>0.84908650776579353</v>
      </c>
      <c r="S48" s="412"/>
      <c r="T48" s="167"/>
      <c r="U48" s="167"/>
      <c r="V48" s="204"/>
      <c r="W48" s="168">
        <f t="shared" si="29"/>
        <v>0</v>
      </c>
      <c r="X48" s="169"/>
      <c r="Y48" s="169"/>
      <c r="Z48" s="401"/>
      <c r="AA48" s="401"/>
      <c r="AB48" s="170">
        <f>N48-K48</f>
        <v>-212.05396825396838</v>
      </c>
      <c r="AC48" s="199">
        <f>N48/K48</f>
        <v>0.85084128844972917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173</v>
      </c>
      <c r="E49" s="107"/>
      <c r="F49" s="207">
        <f>VLOOKUP(D49,廠價表!$C$1:$E$39,3,0)</f>
        <v>56.87</v>
      </c>
      <c r="G49" s="154">
        <v>3083</v>
      </c>
      <c r="H49" s="128">
        <f t="shared" ref="H49:H57" si="31">F49*G49</f>
        <v>175330.21</v>
      </c>
      <c r="I49" s="129"/>
      <c r="J49" s="111">
        <f>VLOOKUP(D49,產線配置圖!$A$2:$C$38,2,0)</f>
        <v>17</v>
      </c>
      <c r="K49" s="108">
        <f>VLOOKUP(D49,產線配置圖!$A$2:$C$38,3,0)</f>
        <v>1500</v>
      </c>
      <c r="L49" s="112">
        <f>K49/J49</f>
        <v>88.235294117647058</v>
      </c>
      <c r="M49" s="147">
        <v>17</v>
      </c>
      <c r="N49" s="130">
        <f>G49/W49*60</f>
        <v>1491.7741935483864</v>
      </c>
      <c r="O49" s="131">
        <f>N49/M49</f>
        <v>87.751423149905079</v>
      </c>
      <c r="P49" s="171">
        <f>M49-J49</f>
        <v>0</v>
      </c>
      <c r="Q49" s="115">
        <f>O49-L49</f>
        <v>-0.48387096774197857</v>
      </c>
      <c r="R49" s="192">
        <f>O49/L49</f>
        <v>0.99451612903225761</v>
      </c>
      <c r="S49" s="408">
        <f>R58</f>
        <v>0.99003920066898943</v>
      </c>
      <c r="T49" s="157">
        <v>0.33263888888888887</v>
      </c>
      <c r="U49" s="157">
        <v>0.41875000000000001</v>
      </c>
      <c r="V49" s="196"/>
      <c r="W49" s="158">
        <f t="shared" si="7"/>
        <v>124.00000000000004</v>
      </c>
      <c r="X49" s="196"/>
      <c r="Y49" s="196"/>
      <c r="Z49" s="423"/>
      <c r="AA49" s="423"/>
      <c r="AB49" s="114">
        <f>N49-K49</f>
        <v>-8.2258064516136074</v>
      </c>
      <c r="AC49" s="192">
        <f>N49/K49</f>
        <v>0.99451612903225761</v>
      </c>
      <c r="AD49" s="391">
        <f>AC58</f>
        <v>0.98999805135041363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66</v>
      </c>
      <c r="E50" s="89"/>
      <c r="F50" s="56">
        <f>VLOOKUP(D50,廠價表!$C$1:$E$39,3,0)</f>
        <v>49.97</v>
      </c>
      <c r="G50" s="67">
        <v>2845</v>
      </c>
      <c r="H50" s="77">
        <f t="shared" si="31"/>
        <v>142164.65</v>
      </c>
      <c r="I50" s="201"/>
      <c r="J50" s="16">
        <f>VLOOKUP(D50,產線配置圖!$A$2:$C$38,2,0)</f>
        <v>18</v>
      </c>
      <c r="K50" s="14">
        <f>VLOOKUP(D50,產線配置圖!$A$2:$C$38,3,0)</f>
        <v>1565</v>
      </c>
      <c r="L50" s="17">
        <f>K50/J50</f>
        <v>86.944444444444443</v>
      </c>
      <c r="M50" s="182">
        <v>18</v>
      </c>
      <c r="N50" s="78">
        <f>G50/W50*60</f>
        <v>1537.8378378378379</v>
      </c>
      <c r="O50" s="79">
        <f>N50/M50</f>
        <v>85.435435435435437</v>
      </c>
      <c r="P50" s="18">
        <f>M50-J50</f>
        <v>0</v>
      </c>
      <c r="Q50" s="19">
        <f>O50-L50</f>
        <v>-1.5090090090090058</v>
      </c>
      <c r="R50" s="193">
        <f>O50/L50</f>
        <v>0.98264398583887402</v>
      </c>
      <c r="S50" s="409"/>
      <c r="T50" s="80">
        <v>0.42291666666666666</v>
      </c>
      <c r="U50" s="80">
        <v>0.5</v>
      </c>
      <c r="V50" s="185">
        <f t="shared" ref="V50:V52" si="32">(T50-U49)*24*60</f>
        <v>5.9999999999999787</v>
      </c>
      <c r="W50" s="81">
        <f t="shared" si="7"/>
        <v>111</v>
      </c>
      <c r="X50" s="22"/>
      <c r="Y50" s="22"/>
      <c r="Z50" s="398"/>
      <c r="AA50" s="399"/>
      <c r="AB50" s="18">
        <f>N50-K50</f>
        <v>-27.162162162162076</v>
      </c>
      <c r="AC50" s="193">
        <f>N50/K50</f>
        <v>0.98264398583887402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3502</v>
      </c>
      <c r="H51" s="77">
        <f t="shared" si="31"/>
        <v>174994.94</v>
      </c>
      <c r="I51" s="201"/>
      <c r="J51" s="16">
        <f>VLOOKUP(D51,產線配置圖!$A$2:$C$38,2,0)</f>
        <v>18</v>
      </c>
      <c r="K51" s="14">
        <f>VLOOKUP(D51,產線配置圖!$A$2:$C$38,3,0)</f>
        <v>1565</v>
      </c>
      <c r="L51" s="17">
        <f>K51/J51</f>
        <v>86.944444444444443</v>
      </c>
      <c r="M51" s="182">
        <v>18</v>
      </c>
      <c r="N51" s="78">
        <f>G51/W51*60</f>
        <v>1556.4444444444443</v>
      </c>
      <c r="O51" s="79">
        <f>N51/M51</f>
        <v>86.469135802469125</v>
      </c>
      <c r="P51" s="18">
        <f>M51-J51</f>
        <v>0</v>
      </c>
      <c r="Q51" s="19">
        <f>O51-L51</f>
        <v>-0.47530864197531741</v>
      </c>
      <c r="R51" s="193">
        <f>O51/L51</f>
        <v>0.99453319133830309</v>
      </c>
      <c r="S51" s="409"/>
      <c r="T51" s="80">
        <v>0.55902777777777779</v>
      </c>
      <c r="U51" s="44">
        <v>0.65277777777777779</v>
      </c>
      <c r="V51" s="185">
        <f t="shared" si="32"/>
        <v>85.000000000000014</v>
      </c>
      <c r="W51" s="81">
        <f t="shared" si="7"/>
        <v>135</v>
      </c>
      <c r="X51" s="22">
        <v>0.50347222222222221</v>
      </c>
      <c r="Y51" s="22">
        <v>0.54513888888888884</v>
      </c>
      <c r="Z51" s="400"/>
      <c r="AA51" s="400"/>
      <c r="AB51" s="18">
        <f>N51-K51</f>
        <v>-8.5555555555556566</v>
      </c>
      <c r="AC51" s="193">
        <f>N51/K51</f>
        <v>0.99453319133830309</v>
      </c>
      <c r="AD51" s="392"/>
    </row>
    <row r="52" spans="1:30" ht="15" customHeight="1" x14ac:dyDescent="0.25">
      <c r="A52" s="421"/>
      <c r="B52" s="56" t="s">
        <v>63</v>
      </c>
      <c r="C52" s="23"/>
      <c r="D52" s="11" t="s">
        <v>173</v>
      </c>
      <c r="E52" s="12"/>
      <c r="F52" s="56">
        <f>VLOOKUP(D52,廠價表!$C$1:$E$39,3,0)</f>
        <v>56.87</v>
      </c>
      <c r="G52" s="67">
        <v>939</v>
      </c>
      <c r="H52" s="77">
        <f t="shared" si="31"/>
        <v>53400.93</v>
      </c>
      <c r="I52" s="201"/>
      <c r="J52" s="16">
        <f>VLOOKUP(D52,產線配置圖!$A$2:$C$38,2,0)</f>
        <v>17</v>
      </c>
      <c r="K52" s="14">
        <f>VLOOKUP(D52,產線配置圖!$A$2:$C$38,3,0)</f>
        <v>1500</v>
      </c>
      <c r="L52" s="17">
        <f t="shared" ref="L52" si="33">K52/J52</f>
        <v>88.235294117647058</v>
      </c>
      <c r="M52" s="182">
        <v>17</v>
      </c>
      <c r="N52" s="78">
        <f t="shared" ref="N52" si="34">G52/W52*60</f>
        <v>1482.6315789473672</v>
      </c>
      <c r="O52" s="79">
        <f t="shared" ref="O52" si="35">N52/M52</f>
        <v>87.213622291021593</v>
      </c>
      <c r="P52" s="18">
        <f t="shared" ref="P52" si="36">M52-J52</f>
        <v>0</v>
      </c>
      <c r="Q52" s="19">
        <f t="shared" ref="Q52" si="37">O52-L52</f>
        <v>-1.0216718266254645</v>
      </c>
      <c r="R52" s="193">
        <f t="shared" ref="R52" si="38">O52/L52</f>
        <v>0.98842105263157809</v>
      </c>
      <c r="S52" s="409"/>
      <c r="T52" s="80">
        <v>0.65902777777777777</v>
      </c>
      <c r="U52" s="80">
        <v>0.68541666666666667</v>
      </c>
      <c r="V52" s="185">
        <f t="shared" si="32"/>
        <v>8.999999999999968</v>
      </c>
      <c r="W52" s="81">
        <f t="shared" si="7"/>
        <v>38.000000000000028</v>
      </c>
      <c r="X52" s="22"/>
      <c r="Y52" s="22"/>
      <c r="Z52" s="400"/>
      <c r="AA52" s="400"/>
      <c r="AB52" s="18">
        <f t="shared" ref="AB52" si="39">N52-K52</f>
        <v>-17.368421052632812</v>
      </c>
      <c r="AC52" s="193">
        <f t="shared" ref="AC52" si="40">N52/K52</f>
        <v>0.98842105263157809</v>
      </c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/>
      <c r="I53" s="201"/>
      <c r="J53" s="16"/>
      <c r="K53" s="14"/>
      <c r="L53" s="17"/>
      <c r="M53" s="182">
        <v>17</v>
      </c>
      <c r="N53" s="78"/>
      <c r="O53" s="79"/>
      <c r="P53" s="18"/>
      <c r="Q53" s="19"/>
      <c r="R53" s="193"/>
      <c r="S53" s="409"/>
      <c r="T53" s="80"/>
      <c r="U53" s="80"/>
      <c r="V53" s="18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>
        <f t="shared" si="31"/>
        <v>0</v>
      </c>
      <c r="I54" s="185"/>
      <c r="J54" s="31"/>
      <c r="K54" s="30"/>
      <c r="L54" s="38"/>
      <c r="M54" s="189">
        <v>15</v>
      </c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1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1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1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41">AVERAGE(J49:J57)</f>
        <v>17.5</v>
      </c>
      <c r="K58" s="121">
        <f t="shared" si="41"/>
        <v>1532.5</v>
      </c>
      <c r="L58" s="118">
        <f t="shared" si="41"/>
        <v>87.58986928104575</v>
      </c>
      <c r="M58" s="121">
        <f t="shared" si="41"/>
        <v>17</v>
      </c>
      <c r="N58" s="121">
        <f t="shared" si="41"/>
        <v>1517.1720136945089</v>
      </c>
      <c r="O58" s="118">
        <f t="shared" si="41"/>
        <v>86.717404169707805</v>
      </c>
      <c r="P58" s="122">
        <f>M58-J58</f>
        <v>-0.5</v>
      </c>
      <c r="Q58" s="123">
        <f>N58-K58</f>
        <v>-15.327986305491095</v>
      </c>
      <c r="R58" s="124">
        <f t="shared" ref="R58:R60" si="42">O58/L58</f>
        <v>0.99003920066898943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3" si="43">N58-K58</f>
        <v>-15.327986305491095</v>
      </c>
      <c r="AC58" s="195">
        <f t="shared" ref="AC58:AC63" si="44">N58/K58</f>
        <v>0.98999805135041363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2194</v>
      </c>
      <c r="H59" s="109">
        <f t="shared" ref="H59:H71" si="45">F59*G59</f>
        <v>59216.06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3" si="46">G59/W59*60</f>
        <v>975.1111111111112</v>
      </c>
      <c r="O59" s="112">
        <f t="shared" ref="O59:O63" si="47">N59/M59</f>
        <v>75.008547008547012</v>
      </c>
      <c r="P59" s="114">
        <f t="shared" ref="P59:P63" si="48">M59-J59</f>
        <v>0</v>
      </c>
      <c r="Q59" s="115">
        <f t="shared" ref="Q59:Q63" si="49">O59-L59</f>
        <v>-45.376068376068375</v>
      </c>
      <c r="R59" s="192">
        <f t="shared" si="42"/>
        <v>0.62307419240326589</v>
      </c>
      <c r="S59" s="408">
        <f>R69</f>
        <v>0.84118624984030865</v>
      </c>
      <c r="T59" s="176">
        <v>0.2951388888888889</v>
      </c>
      <c r="U59" s="176">
        <v>0.3888888888888889</v>
      </c>
      <c r="V59" s="196"/>
      <c r="W59" s="110">
        <f t="shared" si="7"/>
        <v>135</v>
      </c>
      <c r="X59" s="196"/>
      <c r="Y59" s="196"/>
      <c r="Z59" s="400" t="s">
        <v>268</v>
      </c>
      <c r="AA59" s="400"/>
      <c r="AB59" s="240">
        <f t="shared" si="43"/>
        <v>-589.8888888888888</v>
      </c>
      <c r="AC59" s="241">
        <f t="shared" si="44"/>
        <v>0.62307419240326589</v>
      </c>
      <c r="AD59" s="391">
        <f>AC69</f>
        <v>0.83982234689256086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1170</v>
      </c>
      <c r="H60" s="15">
        <f t="shared" si="45"/>
        <v>33309.9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46"/>
        <v>1324.5283018867913</v>
      </c>
      <c r="O60" s="17">
        <f t="shared" si="47"/>
        <v>110.37735849056594</v>
      </c>
      <c r="P60" s="18">
        <f t="shared" si="48"/>
        <v>0</v>
      </c>
      <c r="Q60" s="19">
        <f t="shared" si="49"/>
        <v>-20.039308176100718</v>
      </c>
      <c r="R60" s="193">
        <f t="shared" si="42"/>
        <v>0.84634396286695934</v>
      </c>
      <c r="S60" s="419"/>
      <c r="T60" s="206">
        <v>0.3972222222222222</v>
      </c>
      <c r="U60" s="206">
        <v>0.43402777777777779</v>
      </c>
      <c r="V60" s="185">
        <f t="shared" ref="V60:V63" si="50">(T60-U59)*24*60</f>
        <v>11.999999999999957</v>
      </c>
      <c r="W60" s="93">
        <f t="shared" si="7"/>
        <v>53.00000000000005</v>
      </c>
      <c r="X60" s="201"/>
      <c r="Y60" s="201"/>
      <c r="Z60" s="400"/>
      <c r="AA60" s="400"/>
      <c r="AB60" s="242">
        <f t="shared" si="43"/>
        <v>-240.47169811320873</v>
      </c>
      <c r="AC60" s="243">
        <f t="shared" si="44"/>
        <v>0.84634396286695923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1758</v>
      </c>
      <c r="H61" s="15">
        <f t="shared" si="45"/>
        <v>49681.08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51">K61/J61</f>
        <v>130.41666666666666</v>
      </c>
      <c r="M61" s="188">
        <v>12</v>
      </c>
      <c r="N61" s="14">
        <f t="shared" si="46"/>
        <v>1406.399999999999</v>
      </c>
      <c r="O61" s="17">
        <f t="shared" si="47"/>
        <v>117.19999999999992</v>
      </c>
      <c r="P61" s="18">
        <f t="shared" si="48"/>
        <v>0</v>
      </c>
      <c r="Q61" s="19">
        <f t="shared" si="49"/>
        <v>-13.21666666666674</v>
      </c>
      <c r="R61" s="193">
        <f>O61/L61</f>
        <v>0.89865814696485569</v>
      </c>
      <c r="S61" s="409"/>
      <c r="T61" s="20">
        <v>0.44444444444444442</v>
      </c>
      <c r="U61" s="20">
        <v>0.49652777777777779</v>
      </c>
      <c r="V61" s="185">
        <f t="shared" si="50"/>
        <v>14.999999999999947</v>
      </c>
      <c r="W61" s="91">
        <f t="shared" si="7"/>
        <v>75.000000000000057</v>
      </c>
      <c r="X61" s="22"/>
      <c r="Y61" s="22"/>
      <c r="Z61" s="400"/>
      <c r="AA61" s="400"/>
      <c r="AB61" s="51">
        <f t="shared" si="43"/>
        <v>-158.60000000000105</v>
      </c>
      <c r="AC61" s="52">
        <f t="shared" si="44"/>
        <v>0.89865814696485558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260" t="s">
        <v>143</v>
      </c>
      <c r="E62" s="89"/>
      <c r="F62" s="56">
        <f>VLOOKUP(D62,廠價表!$C$1:$E$39,3,0)</f>
        <v>28.26</v>
      </c>
      <c r="G62" s="185">
        <v>965</v>
      </c>
      <c r="H62" s="15">
        <f t="shared" si="45"/>
        <v>27270.9</v>
      </c>
      <c r="I62" s="82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51"/>
        <v>130.41666666666666</v>
      </c>
      <c r="M62" s="188">
        <v>12</v>
      </c>
      <c r="N62" s="14">
        <f t="shared" si="46"/>
        <v>1346.5116279069764</v>
      </c>
      <c r="O62" s="17">
        <f t="shared" si="47"/>
        <v>112.20930232558136</v>
      </c>
      <c r="P62" s="18">
        <f t="shared" si="48"/>
        <v>0</v>
      </c>
      <c r="Q62" s="19">
        <f t="shared" si="49"/>
        <v>-18.207364341085295</v>
      </c>
      <c r="R62" s="193">
        <f>O62/L62</f>
        <v>0.86039081655397853</v>
      </c>
      <c r="S62" s="409"/>
      <c r="T62" s="20">
        <v>0.54861111111111116</v>
      </c>
      <c r="U62" s="20">
        <v>0.57847222222222228</v>
      </c>
      <c r="V62" s="185">
        <f t="shared" si="50"/>
        <v>75.000000000000057</v>
      </c>
      <c r="W62" s="93">
        <f t="shared" si="7"/>
        <v>43.000000000000007</v>
      </c>
      <c r="X62" s="22">
        <v>0.49652777777777779</v>
      </c>
      <c r="Y62" s="22">
        <v>0.53819444444444442</v>
      </c>
      <c r="Z62" s="400"/>
      <c r="AA62" s="400"/>
      <c r="AB62" s="51">
        <f t="shared" si="43"/>
        <v>-218.4883720930236</v>
      </c>
      <c r="AC62" s="52">
        <f t="shared" si="44"/>
        <v>0.86039081655397853</v>
      </c>
      <c r="AD62" s="392"/>
    </row>
    <row r="63" spans="1:30" ht="15" customHeight="1" x14ac:dyDescent="0.25">
      <c r="A63" s="417"/>
      <c r="B63" s="56" t="str">
        <f>VLOOKUP(D63,廠價表!$C$1:$E$39,2,0)</f>
        <v>小吃、微波</v>
      </c>
      <c r="C63" s="23"/>
      <c r="D63" s="11" t="s">
        <v>128</v>
      </c>
      <c r="E63" s="12"/>
      <c r="F63" s="56">
        <f>VLOOKUP(D63,廠價表!$C$1:$E$39,3,0)</f>
        <v>26.99</v>
      </c>
      <c r="G63" s="185">
        <v>2152</v>
      </c>
      <c r="H63" s="15">
        <f t="shared" si="45"/>
        <v>58082.479999999996</v>
      </c>
      <c r="I63" s="82"/>
      <c r="J63" s="16">
        <f>VLOOKUP(D63,產線配置圖!$A$2:$C$38,2,0)</f>
        <v>13</v>
      </c>
      <c r="K63" s="14">
        <f>VLOOKUP(D63,產線配置圖!$A$2:$C$38,3,0)</f>
        <v>1565</v>
      </c>
      <c r="L63" s="17">
        <f>K63/J63</f>
        <v>120.38461538461539</v>
      </c>
      <c r="M63" s="188">
        <v>13</v>
      </c>
      <c r="N63" s="14">
        <f t="shared" si="46"/>
        <v>1519.0588235294115</v>
      </c>
      <c r="O63" s="17">
        <f t="shared" si="47"/>
        <v>116.85067873303166</v>
      </c>
      <c r="P63" s="18">
        <f t="shared" si="48"/>
        <v>0</v>
      </c>
      <c r="Q63" s="19">
        <f t="shared" si="49"/>
        <v>-3.5339366515837298</v>
      </c>
      <c r="R63" s="193">
        <f t="shared" ref="R63" si="52">O63/L63</f>
        <v>0.97064461567374538</v>
      </c>
      <c r="S63" s="409"/>
      <c r="T63" s="20">
        <v>0.59027777777777779</v>
      </c>
      <c r="U63" s="20">
        <v>0.64930555555555558</v>
      </c>
      <c r="V63" s="185">
        <f t="shared" si="50"/>
        <v>16.99999999999994</v>
      </c>
      <c r="W63" s="93">
        <f t="shared" si="7"/>
        <v>85.000000000000014</v>
      </c>
      <c r="X63" s="85"/>
      <c r="Y63" s="85"/>
      <c r="Z63" s="400"/>
      <c r="AA63" s="400"/>
      <c r="AB63" s="51">
        <f t="shared" si="43"/>
        <v>-45.941176470588516</v>
      </c>
      <c r="AC63" s="52">
        <f t="shared" si="44"/>
        <v>0.97064461567374538</v>
      </c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45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45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45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45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45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53">AVERAGE(J59:J68)</f>
        <v>12.4</v>
      </c>
      <c r="K69" s="173">
        <f t="shared" si="53"/>
        <v>1565</v>
      </c>
      <c r="L69" s="178">
        <f t="shared" si="53"/>
        <v>126.40384615384615</v>
      </c>
      <c r="M69" s="173">
        <f t="shared" si="53"/>
        <v>12.4</v>
      </c>
      <c r="N69" s="173">
        <f t="shared" si="53"/>
        <v>1314.3219728868578</v>
      </c>
      <c r="O69" s="178">
        <f t="shared" si="53"/>
        <v>106.32917731154517</v>
      </c>
      <c r="P69" s="179">
        <f>M69-J69</f>
        <v>0</v>
      </c>
      <c r="Q69" s="165">
        <f>N69-K69</f>
        <v>-250.67802711314221</v>
      </c>
      <c r="R69" s="124">
        <f>O69/L69</f>
        <v>0.84118624984030865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-250.67802711314221</v>
      </c>
      <c r="AC69" s="195">
        <f>N69/K69</f>
        <v>0.83982234689256086</v>
      </c>
      <c r="AD69" s="396"/>
    </row>
    <row r="70" spans="1:32" ht="15" customHeight="1" x14ac:dyDescent="0.25">
      <c r="A70" s="405" t="s">
        <v>58</v>
      </c>
      <c r="B70" s="207" t="s">
        <v>63</v>
      </c>
      <c r="C70" s="207"/>
      <c r="D70" s="106" t="s">
        <v>261</v>
      </c>
      <c r="E70" s="107"/>
      <c r="F70" s="207">
        <f>VLOOKUP(D70,廠價表!$C$1:$E$39,3,0)</f>
        <v>47.71</v>
      </c>
      <c r="G70" s="196">
        <v>2612</v>
      </c>
      <c r="H70" s="109">
        <f t="shared" si="45"/>
        <v>124618.52</v>
      </c>
      <c r="I70" s="196"/>
      <c r="J70" s="111">
        <f>VLOOKUP(D70,產線配置圖!$A$2:$C$38,2,0)</f>
        <v>16</v>
      </c>
      <c r="K70" s="108">
        <f>VLOOKUP(D70,產線配置圖!$A$2:$C$38,3,0)</f>
        <v>1385</v>
      </c>
      <c r="L70" s="112">
        <f>K70/J70</f>
        <v>86.5625</v>
      </c>
      <c r="M70" s="113">
        <v>11</v>
      </c>
      <c r="N70" s="108">
        <f t="shared" ref="N70:N71" si="54">G70/W70*60</f>
        <v>712.36363636363626</v>
      </c>
      <c r="O70" s="112">
        <f t="shared" ref="O70:O71" si="55">N70/M70</f>
        <v>64.760330578512381</v>
      </c>
      <c r="P70" s="114">
        <f t="shared" ref="P70:P71" si="56">M70-J70</f>
        <v>-5</v>
      </c>
      <c r="Q70" s="115">
        <f t="shared" ref="Q70:Q71" si="57">O70-L70</f>
        <v>-21.802169421487619</v>
      </c>
      <c r="R70" s="192">
        <f t="shared" ref="R70:R71" si="58">O70/L70</f>
        <v>0.74813378285646071</v>
      </c>
      <c r="S70" s="408">
        <f>R79</f>
        <v>0.81354094840370716</v>
      </c>
      <c r="T70" s="176">
        <v>0.34375</v>
      </c>
      <c r="U70" s="176">
        <v>0.49652777777777779</v>
      </c>
      <c r="V70" s="196"/>
      <c r="W70" s="110">
        <f t="shared" ref="W70:W78" si="59">(U70-T70)*24*60</f>
        <v>220.00000000000003</v>
      </c>
      <c r="X70" s="342"/>
      <c r="Y70" s="342"/>
      <c r="Z70" s="413"/>
      <c r="AA70" s="414"/>
      <c r="AB70" s="240">
        <f t="shared" ref="AB70:AB71" si="60">N70-K70</f>
        <v>-672.63636363636374</v>
      </c>
      <c r="AC70" s="241">
        <f t="shared" ref="AC70:AC71" si="61">N70/K70</f>
        <v>0.51434197571381679</v>
      </c>
      <c r="AD70" s="391">
        <f>AC79</f>
        <v>0.71869151430534062</v>
      </c>
    </row>
    <row r="71" spans="1:32" ht="15" customHeight="1" x14ac:dyDescent="0.25">
      <c r="A71" s="406"/>
      <c r="B71" s="56" t="s">
        <v>140</v>
      </c>
      <c r="C71" s="10"/>
      <c r="D71" s="11" t="s">
        <v>261</v>
      </c>
      <c r="E71" s="89"/>
      <c r="F71" s="56">
        <f>VLOOKUP(D71,廠價表!$C$1:$E$39,3,0)</f>
        <v>47.71</v>
      </c>
      <c r="G71" s="67">
        <v>3448</v>
      </c>
      <c r="H71" s="77">
        <f t="shared" si="45"/>
        <v>164504.08000000002</v>
      </c>
      <c r="I71" s="201"/>
      <c r="J71" s="16">
        <f>VLOOKUP(D71,產線配置圖!$A$2:$C$38,2,0)</f>
        <v>16</v>
      </c>
      <c r="K71" s="14">
        <f>VLOOKUP(D71,產線配置圖!$A$2:$C$38,3,0)</f>
        <v>1385</v>
      </c>
      <c r="L71" s="17">
        <f t="shared" ref="L71" si="62">K71/J71</f>
        <v>86.5625</v>
      </c>
      <c r="M71" s="188">
        <v>15</v>
      </c>
      <c r="N71" s="14">
        <f t="shared" si="54"/>
        <v>1088.8421052631579</v>
      </c>
      <c r="O71" s="17">
        <f t="shared" si="55"/>
        <v>72.589473684210532</v>
      </c>
      <c r="P71" s="18">
        <f t="shared" si="56"/>
        <v>-1</v>
      </c>
      <c r="Q71" s="19">
        <f t="shared" si="57"/>
        <v>-13.973026315789468</v>
      </c>
      <c r="R71" s="193">
        <f t="shared" si="58"/>
        <v>0.83857875736272092</v>
      </c>
      <c r="S71" s="409"/>
      <c r="T71" s="20">
        <v>0.54861111111111116</v>
      </c>
      <c r="U71" s="20">
        <v>0.68055555555555558</v>
      </c>
      <c r="V71" s="185">
        <f t="shared" ref="V71" si="63">(T71-U70)*24*60</f>
        <v>75.000000000000057</v>
      </c>
      <c r="W71" s="341">
        <f t="shared" si="59"/>
        <v>189.99999999999997</v>
      </c>
      <c r="X71" s="344">
        <v>0.5</v>
      </c>
      <c r="Y71" s="345">
        <v>0.54166666666666663</v>
      </c>
      <c r="Z71" s="442"/>
      <c r="AA71" s="443"/>
      <c r="AB71" s="39">
        <f t="shared" si="60"/>
        <v>-296.15789473684208</v>
      </c>
      <c r="AC71" s="198">
        <f t="shared" si="61"/>
        <v>0.7861675850275508</v>
      </c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si="59"/>
        <v>0</v>
      </c>
      <c r="X72" s="343"/>
      <c r="Y72" s="343"/>
      <c r="Z72" s="400"/>
      <c r="AA72" s="398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188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9"/>
        <v>0</v>
      </c>
      <c r="X73" s="22"/>
      <c r="Y73" s="22"/>
      <c r="Z73" s="400"/>
      <c r="AA73" s="398"/>
      <c r="AB73" s="39"/>
      <c r="AC73" s="198"/>
      <c r="AD73" s="393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64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9"/>
        <v>0</v>
      </c>
      <c r="X74" s="22"/>
      <c r="Y74" s="22"/>
      <c r="Z74" s="400"/>
      <c r="AA74" s="398"/>
      <c r="AB74" s="39"/>
      <c r="AC74" s="198"/>
      <c r="AD74" s="393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64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9"/>
        <v>0</v>
      </c>
      <c r="X75" s="92"/>
      <c r="Y75" s="92"/>
      <c r="Z75" s="402"/>
      <c r="AA75" s="402"/>
      <c r="AB75" s="352"/>
      <c r="AC75" s="353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64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9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64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9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64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9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65">AVERAGE(J69:J78)</f>
        <v>14.799999999999999</v>
      </c>
      <c r="K79" s="173">
        <f t="shared" si="65"/>
        <v>1445</v>
      </c>
      <c r="L79" s="178">
        <f t="shared" si="65"/>
        <v>99.842948717948715</v>
      </c>
      <c r="M79" s="173">
        <f t="shared" si="65"/>
        <v>12.799999999999999</v>
      </c>
      <c r="N79" s="173">
        <f t="shared" si="65"/>
        <v>1038.5092381712172</v>
      </c>
      <c r="O79" s="178">
        <f t="shared" si="65"/>
        <v>81.226327191422698</v>
      </c>
      <c r="P79" s="179">
        <f>M79-J79</f>
        <v>-2</v>
      </c>
      <c r="Q79" s="165">
        <f>N79-K79</f>
        <v>-406.49076182878275</v>
      </c>
      <c r="R79" s="166">
        <f>O79/L79</f>
        <v>0.81354094840370716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-406.49076182878275</v>
      </c>
      <c r="AC79" s="195">
        <f>N79/K79</f>
        <v>0.71869151430534062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</mergeCells>
  <phoneticPr fontId="2" type="noConversion"/>
  <conditionalFormatting sqref="P5:P79">
    <cfRule type="cellIs" dxfId="28" priority="1" operator="greaterThan">
      <formula>0</formula>
    </cfRule>
  </conditionalFormatting>
  <conditionalFormatting sqref="Q5:Q79 AB5:AB79">
    <cfRule type="cellIs" dxfId="27" priority="4" operator="lessThan">
      <formula>0</formula>
    </cfRule>
  </conditionalFormatting>
  <conditionalFormatting sqref="R5:R79 AC5:AC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D59:AD62 S69:S76 AD69:AD76">
    <cfRule type="cellIs" dxfId="24" priority="7" operator="lessThan">
      <formula>0.8</formula>
    </cfRule>
  </conditionalFormatting>
  <conditionalFormatting sqref="S19:S25 AD19:AD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D5:AD8 S15:S16 AD15:AD16 AD49 AD79">
    <cfRule type="cellIs" dxfId="21" priority="9" operator="lessThan">
      <formula>0.8</formula>
    </cfRule>
  </conditionalFormatting>
  <conditionalFormatting sqref="AD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E98F1-19B1-4B55-8AC5-D319C005AFDD}">
          <x14:formula1>
            <xm:f>廠價表!$C$2:$C$37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FA4C-D890-48E0-A4E3-3ACEE306A5FB}">
  <sheetPr>
    <pageSetUpPr fitToPage="1"/>
  </sheetPr>
  <dimension ref="B1:O22"/>
  <sheetViews>
    <sheetView zoomScale="70" zoomScaleNormal="70" workbookViewId="0">
      <selection activeCell="U9" sqref="U9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45960</v>
      </c>
      <c r="E3" s="383"/>
      <c r="F3" s="214" t="s">
        <v>76</v>
      </c>
      <c r="G3" s="384">
        <f>'1030'!E1</f>
        <v>60196</v>
      </c>
      <c r="H3" s="384"/>
      <c r="I3" s="214" t="s">
        <v>77</v>
      </c>
      <c r="J3" s="385">
        <f>'1030'!G1</f>
        <v>2945579.2800000007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112.3195671858487</v>
      </c>
      <c r="G6" s="362"/>
      <c r="H6" s="363">
        <f>AVERAGE(D13:H13)</f>
        <v>113.46782392444156</v>
      </c>
      <c r="I6" s="363"/>
      <c r="J6" s="363">
        <f>AVERAGE(I13:J13)</f>
        <v>109.44892533936651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100.86886231532864</v>
      </c>
      <c r="G7" s="380"/>
      <c r="H7" s="381">
        <f>AVERAGE(D14:H14)</f>
        <v>103.99235501407532</v>
      </c>
      <c r="I7" s="381"/>
      <c r="J7" s="381">
        <f>AVERAGE(I14:J14)</f>
        <v>93.060130568461986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0.89344855842328008</v>
      </c>
      <c r="G8" s="360"/>
      <c r="H8" s="360">
        <f>AVERAGE(D15:H15)</f>
        <v>0.91102760233670599</v>
      </c>
      <c r="I8" s="360"/>
      <c r="J8" s="360">
        <f>AVERAGE(I15:J15)</f>
        <v>0.84950094863971515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VALUE('1030'!L15)</f>
        <v>146.04578754578753</v>
      </c>
      <c r="E13" s="227">
        <f>VALUE('1030'!L26)</f>
        <v>150.76923076923077</v>
      </c>
      <c r="F13" s="227">
        <f>VALUE('1030'!L37)</f>
        <v>85.188589324618746</v>
      </c>
      <c r="G13" s="227">
        <f>VALUE('1030'!L48)</f>
        <v>96</v>
      </c>
      <c r="H13" s="227">
        <f>VALUE('1030'!L58)</f>
        <v>89.335511982570821</v>
      </c>
      <c r="I13" s="227">
        <f>VALUE('1030'!L69)</f>
        <v>126.40384615384615</v>
      </c>
      <c r="J13" s="227">
        <f>VALUE('1030'!L79)</f>
        <v>92.494004524886876</v>
      </c>
    </row>
    <row r="14" spans="2:15" ht="39.950000000000003" customHeight="1" x14ac:dyDescent="0.25">
      <c r="B14" s="489"/>
      <c r="C14" s="226" t="s">
        <v>100</v>
      </c>
      <c r="D14" s="227">
        <f>VALUE('1030'!O15)</f>
        <v>138.77067246099335</v>
      </c>
      <c r="E14" s="227">
        <f>VALUE('1030'!O26)</f>
        <v>142.41575200162168</v>
      </c>
      <c r="F14" s="227">
        <f>VALUE('1030'!O37)</f>
        <v>79.03958019915467</v>
      </c>
      <c r="G14" s="227">
        <f>VALUE('1030'!O48)</f>
        <v>71.426160337552716</v>
      </c>
      <c r="H14" s="227">
        <f>VALUE('1030'!O58)</f>
        <v>88.309610071054166</v>
      </c>
      <c r="I14" s="227">
        <f>VALUE('1030'!O69)</f>
        <v>108.00020388856267</v>
      </c>
      <c r="J14" s="227">
        <f>VALUE('1030'!O79)</f>
        <v>78.120057248361306</v>
      </c>
    </row>
    <row r="15" spans="2:15" ht="39.950000000000003" customHeight="1" x14ac:dyDescent="0.25">
      <c r="B15" s="490"/>
      <c r="C15" s="222" t="s">
        <v>101</v>
      </c>
      <c r="D15" s="248">
        <f>D14/D13</f>
        <v>0.95018606693799146</v>
      </c>
      <c r="E15" s="248">
        <f t="shared" ref="E15:J15" si="0">E14/E13</f>
        <v>0.9445942734801438</v>
      </c>
      <c r="F15" s="248">
        <f t="shared" si="0"/>
        <v>0.92781886430783911</v>
      </c>
      <c r="G15" s="248">
        <f t="shared" si="0"/>
        <v>0.74402250351617416</v>
      </c>
      <c r="H15" s="248">
        <f t="shared" si="0"/>
        <v>0.98851630344138164</v>
      </c>
      <c r="I15" s="248">
        <f t="shared" si="0"/>
        <v>0.85440599455427646</v>
      </c>
      <c r="J15" s="248">
        <f t="shared" si="0"/>
        <v>0.84459590272515395</v>
      </c>
    </row>
    <row r="16" spans="2:15" ht="17.25" customHeight="1" x14ac:dyDescent="0.25">
      <c r="B16" s="491" t="s">
        <v>102</v>
      </c>
      <c r="C16" s="222" t="s">
        <v>103</v>
      </c>
      <c r="D16" s="98">
        <f>'1030'!T5</f>
        <v>0.2902777777777778</v>
      </c>
      <c r="E16" s="98">
        <f>'1030'!T16</f>
        <v>0.2902777777777778</v>
      </c>
      <c r="F16" s="98">
        <f>'1030'!T27</f>
        <v>0.29097222222222224</v>
      </c>
      <c r="G16" s="98">
        <f>'1030'!T38</f>
        <v>0.33194444444444443</v>
      </c>
      <c r="H16" s="98">
        <f>'1030'!T49</f>
        <v>0.29375000000000001</v>
      </c>
      <c r="I16" s="98">
        <f>'1030'!T59</f>
        <v>0.29305555555555557</v>
      </c>
      <c r="J16" s="293">
        <f>'1030'!T70</f>
        <v>0.33680555555555558</v>
      </c>
    </row>
    <row r="17" spans="2:10" ht="17.25" customHeight="1" x14ac:dyDescent="0.25">
      <c r="B17" s="492"/>
      <c r="C17" s="222" t="s">
        <v>104</v>
      </c>
      <c r="D17" s="20">
        <v>0.61111111111111116</v>
      </c>
      <c r="E17" s="41">
        <v>0.62916666666666665</v>
      </c>
      <c r="F17" s="41">
        <v>0.62777777777777777</v>
      </c>
      <c r="G17" s="59">
        <v>0.625</v>
      </c>
      <c r="H17" s="44">
        <v>0.62152777777777779</v>
      </c>
      <c r="I17" s="20">
        <v>0.62847222222222221</v>
      </c>
      <c r="J17" s="20">
        <v>0.67361111111111116</v>
      </c>
    </row>
    <row r="18" spans="2:10" ht="17.25" customHeight="1" x14ac:dyDescent="0.25">
      <c r="B18" s="481" t="s">
        <v>105</v>
      </c>
      <c r="C18" s="355"/>
      <c r="D18" s="229">
        <f>VALUE('1030'!M15)</f>
        <v>13.6</v>
      </c>
      <c r="E18" s="229">
        <f>VALUE('1030'!M26)</f>
        <v>13.4</v>
      </c>
      <c r="F18" s="229">
        <f>VALUE('1030'!M37)</f>
        <v>15.666666666666666</v>
      </c>
      <c r="G18" s="229">
        <f>VALUE('1030'!M48)</f>
        <v>15</v>
      </c>
      <c r="H18" s="229">
        <f>VALUE('1030'!M58)</f>
        <v>17.666666666666668</v>
      </c>
      <c r="I18" s="229">
        <f>VALUE('1030'!M69)</f>
        <v>12.4</v>
      </c>
      <c r="J18" s="229">
        <f>VALUE('1030'!M79)</f>
        <v>14.080000000000002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B18:C18"/>
    <mergeCell ref="B19:C19"/>
    <mergeCell ref="B20:C20"/>
    <mergeCell ref="B21:C21"/>
    <mergeCell ref="B22:C22"/>
    <mergeCell ref="J8:K8"/>
    <mergeCell ref="D10:J10"/>
    <mergeCell ref="B11:C12"/>
    <mergeCell ref="B13:B15"/>
    <mergeCell ref="B16:B17"/>
    <mergeCell ref="B10:C10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2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933A-85D4-4120-862E-7776290CCF25}">
  <sheetPr>
    <tabColor theme="9" tint="0.79998168889431442"/>
    <pageSetUpPr fitToPage="1"/>
  </sheetPr>
  <dimension ref="A1:AF92"/>
  <sheetViews>
    <sheetView zoomScale="69" zoomScaleNormal="69" workbookViewId="0">
      <pane xSplit="5" ySplit="4" topLeftCell="F26" activePane="bottomRight" state="frozen"/>
      <selection activeCell="U9" sqref="U9"/>
      <selection pane="topRight" activeCell="U9" sqref="U9"/>
      <selection pane="bottomLeft" activeCell="U9" sqref="U9"/>
      <selection pane="bottomRight" activeCell="J91" sqref="J91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60196</v>
      </c>
      <c r="F1" s="185" t="s">
        <v>9</v>
      </c>
      <c r="G1" s="4">
        <f>SUM(H5:H79)</f>
        <v>2945579.2800000007</v>
      </c>
      <c r="H1" s="183" t="s">
        <v>10</v>
      </c>
      <c r="I1" s="5">
        <f>M15+M26+M48+M58+M69+M79+M37</f>
        <v>101.81333333333335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269</v>
      </c>
      <c r="B2" s="461"/>
      <c r="C2" s="184"/>
      <c r="D2" s="184" t="s">
        <v>1</v>
      </c>
      <c r="E2" s="7">
        <f>AVERAGE(O15,O26,O37,O48,O58,O69,O79)</f>
        <v>100.86886231532864</v>
      </c>
      <c r="F2" s="8" t="s">
        <v>2</v>
      </c>
      <c r="G2" s="9">
        <f>G1/E1</f>
        <v>48.933139743504562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1609</v>
      </c>
      <c r="H5" s="109">
        <f>F5*G5</f>
        <v>92050.89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1856.5384615384623</v>
      </c>
      <c r="O5" s="112">
        <f>N5/M5</f>
        <v>142.81065088757401</v>
      </c>
      <c r="P5" s="114">
        <f>M5-J5</f>
        <v>0</v>
      </c>
      <c r="Q5" s="115">
        <f>O5-L5</f>
        <v>-11.035502958579826</v>
      </c>
      <c r="R5" s="192">
        <f>O5/L5</f>
        <v>0.92826923076923118</v>
      </c>
      <c r="S5" s="408">
        <f>R15</f>
        <v>0.95018606693799146</v>
      </c>
      <c r="T5" s="97">
        <v>0.2902777777777778</v>
      </c>
      <c r="U5" s="97">
        <v>0.3263888888888889</v>
      </c>
      <c r="V5" s="202"/>
      <c r="W5" s="110">
        <f t="shared" ref="W5:W14" si="0">(U5-T5)*24*60</f>
        <v>51.999999999999972</v>
      </c>
      <c r="X5" s="196"/>
      <c r="Y5" s="196"/>
      <c r="Z5" s="423"/>
      <c r="AA5" s="423"/>
      <c r="AB5" s="114">
        <f>N5-K5</f>
        <v>-143.46153846153766</v>
      </c>
      <c r="AC5" s="192">
        <f>N5/K5</f>
        <v>0.92826923076923118</v>
      </c>
      <c r="AD5" s="391">
        <f>AC15</f>
        <v>0.94736668705339466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222</v>
      </c>
      <c r="E6" s="89"/>
      <c r="F6" s="56">
        <f>VLOOKUP(D6,廠價表!$C$1:$E$39,3,0)</f>
        <v>50.67</v>
      </c>
      <c r="G6" s="25">
        <v>989</v>
      </c>
      <c r="H6" s="15">
        <f t="shared" ref="H6:H14" si="1">F6*G6</f>
        <v>50112.630000000005</v>
      </c>
      <c r="I6" s="190"/>
      <c r="J6" s="16">
        <f>VLOOKUP(D6,產線配置圖!$A$2:$C$38,2,0)</f>
        <v>15</v>
      </c>
      <c r="K6" s="14">
        <f>VLOOKUP(D6,產線配置圖!$A$2:$C$38,3,0)</f>
        <v>2000</v>
      </c>
      <c r="L6" s="17">
        <f>K6/J6</f>
        <v>133.33333333333334</v>
      </c>
      <c r="M6" s="188">
        <v>15</v>
      </c>
      <c r="N6" s="14">
        <f>G6/W6*60</f>
        <v>1648.3333333333321</v>
      </c>
      <c r="O6" s="17">
        <f>N6/M6</f>
        <v>109.88888888888881</v>
      </c>
      <c r="P6" s="18">
        <f>M6-J6</f>
        <v>0</v>
      </c>
      <c r="Q6" s="19">
        <f>O6-L6</f>
        <v>-23.444444444444528</v>
      </c>
      <c r="R6" s="193">
        <f>O6/L6</f>
        <v>0.82416666666666605</v>
      </c>
      <c r="S6" s="409"/>
      <c r="T6" s="98">
        <v>0.33541666666666664</v>
      </c>
      <c r="U6" s="98">
        <v>0.36041666666666666</v>
      </c>
      <c r="V6" s="185">
        <f>(T6-U5)*24*60</f>
        <v>12.999999999999954</v>
      </c>
      <c r="W6" s="190">
        <f t="shared" si="0"/>
        <v>36.000000000000028</v>
      </c>
      <c r="X6" s="22"/>
      <c r="Y6" s="22"/>
      <c r="Z6" s="446"/>
      <c r="AA6" s="446"/>
      <c r="AB6" s="18">
        <f>N6-K6</f>
        <v>-351.66666666666788</v>
      </c>
      <c r="AC6" s="193">
        <f>N6/K6</f>
        <v>0.82416666666666605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148</v>
      </c>
      <c r="E7" s="89"/>
      <c r="F7" s="56">
        <f>VLOOKUP(D7,廠價表!$C$1:$E$39,3,0)</f>
        <v>57.21</v>
      </c>
      <c r="G7" s="25">
        <v>2476</v>
      </c>
      <c r="H7" s="15">
        <f t="shared" si="1"/>
        <v>141651.96</v>
      </c>
      <c r="I7" s="190"/>
      <c r="J7" s="16">
        <f>VLOOKUP(D7,產線配置圖!$A$2:$C$38,2,0)</f>
        <v>14</v>
      </c>
      <c r="K7" s="14">
        <f>VLOOKUP(D7,產線配置圖!$A$2:$C$38,3,0)</f>
        <v>1895</v>
      </c>
      <c r="L7" s="17">
        <f>K7/J7</f>
        <v>135.35714285714286</v>
      </c>
      <c r="M7" s="188">
        <v>14</v>
      </c>
      <c r="N7" s="14">
        <f>G7/W7*60</f>
        <v>1880.5063291139252</v>
      </c>
      <c r="O7" s="17">
        <f>N7/M7</f>
        <v>134.32188065099464</v>
      </c>
      <c r="P7" s="18">
        <f>M7-J7</f>
        <v>0</v>
      </c>
      <c r="Q7" s="19">
        <f>O7-L7</f>
        <v>-1.035262206148218</v>
      </c>
      <c r="R7" s="193">
        <f>O7/L7</f>
        <v>0.9923516248622295</v>
      </c>
      <c r="S7" s="409"/>
      <c r="T7" s="98">
        <v>0.36805555555555558</v>
      </c>
      <c r="U7" s="98">
        <v>0.42291666666666666</v>
      </c>
      <c r="V7" s="185">
        <f>(T7-U6)*24*60</f>
        <v>11.000000000000041</v>
      </c>
      <c r="W7" s="190">
        <f t="shared" si="0"/>
        <v>78.999999999999957</v>
      </c>
      <c r="X7" s="22"/>
      <c r="Y7" s="22"/>
      <c r="Z7" s="400"/>
      <c r="AA7" s="400"/>
      <c r="AB7" s="18">
        <f>N7-K7</f>
        <v>-14.493670886074824</v>
      </c>
      <c r="AC7" s="193">
        <f>N7/K7</f>
        <v>0.99235162486222961</v>
      </c>
      <c r="AD7" s="392"/>
    </row>
    <row r="8" spans="1:30" ht="15" customHeight="1" x14ac:dyDescent="0.25">
      <c r="A8" s="465"/>
      <c r="B8" s="56" t="str">
        <f>VLOOKUP(D8,廠價表!$C$1:$E$39,2,0)</f>
        <v>義大利麵</v>
      </c>
      <c r="C8" s="10"/>
      <c r="D8" s="11" t="s">
        <v>150</v>
      </c>
      <c r="E8" s="89"/>
      <c r="F8" s="56">
        <f>VLOOKUP(D8,廠價表!$C$1:$E$39,3,0)</f>
        <v>49.14</v>
      </c>
      <c r="G8" s="25">
        <v>2359</v>
      </c>
      <c r="H8" s="15">
        <f t="shared" si="1"/>
        <v>115921.26</v>
      </c>
      <c r="I8" s="190"/>
      <c r="J8" s="16">
        <f>VLOOKUP(D8,產線配置圖!$A$2:$C$38,2,0)</f>
        <v>13</v>
      </c>
      <c r="K8" s="14">
        <f>VLOOKUP(D8,產線配置圖!$A$2:$C$38,3,0)</f>
        <v>2000</v>
      </c>
      <c r="L8" s="17">
        <f>K8/J8</f>
        <v>153.84615384615384</v>
      </c>
      <c r="M8" s="188">
        <v>13</v>
      </c>
      <c r="N8" s="14">
        <f>G8/W8*60</f>
        <v>1993.5211267605637</v>
      </c>
      <c r="O8" s="17">
        <f>N8/M8</f>
        <v>153.34777898158183</v>
      </c>
      <c r="P8" s="18">
        <f>M8-J8</f>
        <v>0</v>
      </c>
      <c r="Q8" s="19">
        <f>O8-L8</f>
        <v>-0.49837486457201408</v>
      </c>
      <c r="R8" s="193">
        <f>O8/L8</f>
        <v>0.99676056338028196</v>
      </c>
      <c r="S8" s="409"/>
      <c r="T8" s="80">
        <v>0.43125000000000002</v>
      </c>
      <c r="U8" s="80">
        <v>0.48055555555555557</v>
      </c>
      <c r="V8" s="185">
        <f>(T8-U7)*24*60</f>
        <v>12.000000000000037</v>
      </c>
      <c r="W8" s="190">
        <f t="shared" si="0"/>
        <v>70.999999999999986</v>
      </c>
      <c r="X8" s="22"/>
      <c r="Y8" s="22"/>
      <c r="Z8" s="402"/>
      <c r="AA8" s="402"/>
      <c r="AB8" s="18">
        <f>N8-K8</f>
        <v>-6.4788732394363251</v>
      </c>
      <c r="AC8" s="193">
        <f>N8/K8</f>
        <v>0.99676056338028185</v>
      </c>
      <c r="AD8" s="392"/>
    </row>
    <row r="9" spans="1:30" ht="15" customHeight="1" x14ac:dyDescent="0.25">
      <c r="A9" s="466"/>
      <c r="B9" s="56" t="str">
        <f>VLOOKUP(D9,廠價表!$C$1:$E$39,2,0)</f>
        <v>義大利麵</v>
      </c>
      <c r="C9" s="10"/>
      <c r="D9" s="11" t="s">
        <v>150</v>
      </c>
      <c r="E9" s="89"/>
      <c r="F9" s="56">
        <f>VLOOKUP(D9,廠價表!$C$1:$E$39,3,0)</f>
        <v>49.14</v>
      </c>
      <c r="G9" s="25">
        <v>3392</v>
      </c>
      <c r="H9" s="15">
        <f t="shared" ref="H9" si="2">F9*G9</f>
        <v>166682.88</v>
      </c>
      <c r="I9" s="190"/>
      <c r="J9" s="16">
        <f>VLOOKUP(D9,產線配置圖!$A$2:$C$38,2,0)</f>
        <v>13</v>
      </c>
      <c r="K9" s="14">
        <f>VLOOKUP(D9,產線配置圖!$A$2:$C$38,3,0)</f>
        <v>2000</v>
      </c>
      <c r="L9" s="17">
        <f>K9/J9</f>
        <v>153.84615384615384</v>
      </c>
      <c r="M9" s="188">
        <v>13</v>
      </c>
      <c r="N9" s="14">
        <f>G9/W9*60</f>
        <v>1995.2941176470565</v>
      </c>
      <c r="O9" s="17">
        <f>N9/M9</f>
        <v>153.48416289592743</v>
      </c>
      <c r="P9" s="18">
        <f>M9-J9</f>
        <v>0</v>
      </c>
      <c r="Q9" s="19">
        <f>O9-L9</f>
        <v>-0.36199095022641359</v>
      </c>
      <c r="R9" s="193">
        <f>O9/L9</f>
        <v>0.99764705882352833</v>
      </c>
      <c r="S9" s="410"/>
      <c r="T9" s="20">
        <v>0.54027777777777775</v>
      </c>
      <c r="U9" s="20">
        <v>0.61111111111111116</v>
      </c>
      <c r="V9" s="185">
        <f>(T9-U8)*24*60</f>
        <v>85.999999999999929</v>
      </c>
      <c r="W9" s="24">
        <f t="shared" si="0"/>
        <v>102.00000000000011</v>
      </c>
      <c r="X9" s="22">
        <v>0.4861111111111111</v>
      </c>
      <c r="Y9" s="22">
        <v>0.52777777777777779</v>
      </c>
      <c r="Z9" s="495"/>
      <c r="AA9" s="495"/>
      <c r="AB9" s="18">
        <f>N9-K9</f>
        <v>-4.7058823529434903</v>
      </c>
      <c r="AC9" s="193">
        <f>N9/K9</f>
        <v>0.99764705882352822</v>
      </c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3">AVERAGE(J5:J14)</f>
        <v>13.6</v>
      </c>
      <c r="K15" s="121">
        <f t="shared" si="3"/>
        <v>1979</v>
      </c>
      <c r="L15" s="118">
        <f t="shared" si="3"/>
        <v>146.04578754578753</v>
      </c>
      <c r="M15" s="121">
        <f t="shared" si="3"/>
        <v>13.6</v>
      </c>
      <c r="N15" s="121">
        <f t="shared" si="3"/>
        <v>1874.8386736786681</v>
      </c>
      <c r="O15" s="118">
        <f t="shared" si="3"/>
        <v>138.77067246099335</v>
      </c>
      <c r="P15" s="122">
        <f t="shared" ref="P15:P16" si="4">M15-J15</f>
        <v>0</v>
      </c>
      <c r="Q15" s="123">
        <f t="shared" ref="Q15:Q16" si="5">O15-L15</f>
        <v>-7.2751150847941801</v>
      </c>
      <c r="R15" s="124">
        <f t="shared" ref="R15:R16" si="6">O15/L15</f>
        <v>0.95018606693799146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-104.1613263213319</v>
      </c>
      <c r="AC15" s="195">
        <f>N15/K15</f>
        <v>0.94736668705339466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1738</v>
      </c>
      <c r="H16" s="128">
        <f t="shared" ref="H16:H25" si="7">F16*G16</f>
        <v>99430.98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1738.0000000000016</v>
      </c>
      <c r="O16" s="131">
        <f>N16/M16</f>
        <v>133.69230769230782</v>
      </c>
      <c r="P16" s="132">
        <f t="shared" si="4"/>
        <v>0</v>
      </c>
      <c r="Q16" s="133">
        <f t="shared" si="5"/>
        <v>-20.153846153846018</v>
      </c>
      <c r="R16" s="197">
        <f t="shared" si="6"/>
        <v>0.86900000000000088</v>
      </c>
      <c r="S16" s="433">
        <f>R26</f>
        <v>0.9445942734801438</v>
      </c>
      <c r="T16" s="288">
        <v>0.2902777777777778</v>
      </c>
      <c r="U16" s="288">
        <v>0.33194444444444443</v>
      </c>
      <c r="V16" s="129"/>
      <c r="W16" s="134">
        <f t="shared" ref="W16:W68" si="8">(U16-T16)*24*60</f>
        <v>59.999999999999943</v>
      </c>
      <c r="X16" s="131"/>
      <c r="Y16" s="131"/>
      <c r="Z16" s="423"/>
      <c r="AA16" s="423"/>
      <c r="AB16" s="114">
        <f>N16-K16</f>
        <v>-261.99999999999841</v>
      </c>
      <c r="AC16" s="192">
        <f>N16/K16</f>
        <v>0.86900000000000077</v>
      </c>
      <c r="AD16" s="391">
        <f>AC26</f>
        <v>0.94547528124049951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3148</v>
      </c>
      <c r="H17" s="15">
        <f>F17*G17</f>
        <v>159509.16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1967.5000000000007</v>
      </c>
      <c r="O17" s="38">
        <f>N17/M17</f>
        <v>131.16666666666671</v>
      </c>
      <c r="P17" s="39">
        <f>M17-J17</f>
        <v>0</v>
      </c>
      <c r="Q17" s="40">
        <f>O17-L17</f>
        <v>-2.1666666666666288</v>
      </c>
      <c r="R17" s="198">
        <f>O17/L17</f>
        <v>0.98375000000000024</v>
      </c>
      <c r="S17" s="434"/>
      <c r="T17" s="41">
        <v>0.34027777777777779</v>
      </c>
      <c r="U17" s="41">
        <v>0.40694444444444444</v>
      </c>
      <c r="V17" s="185">
        <f>(T17-U16)*24*60</f>
        <v>12.000000000000037</v>
      </c>
      <c r="W17" s="43">
        <f t="shared" si="8"/>
        <v>95.999999999999972</v>
      </c>
      <c r="X17" s="44"/>
      <c r="Y17" s="44"/>
      <c r="Z17" s="399"/>
      <c r="AA17" s="400"/>
      <c r="AB17" s="18">
        <f>N17-K17</f>
        <v>-32.499999999999318</v>
      </c>
      <c r="AC17" s="193">
        <f>N17/K17</f>
        <v>0.98375000000000035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2958</v>
      </c>
      <c r="H18" s="15">
        <f>F18*G18</f>
        <v>149053.62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1929.1304347826085</v>
      </c>
      <c r="O18" s="38">
        <f>N18/M18</f>
        <v>160.76086956521738</v>
      </c>
      <c r="P18" s="39">
        <f>M18-J18</f>
        <v>0</v>
      </c>
      <c r="Q18" s="40">
        <f>O18-L18</f>
        <v>-5.9057971014492807</v>
      </c>
      <c r="R18" s="198">
        <f>O18/L18</f>
        <v>0.9645652173913043</v>
      </c>
      <c r="S18" s="434"/>
      <c r="T18" s="41">
        <v>0.4152777777777778</v>
      </c>
      <c r="U18" s="41">
        <v>0.47916666666666669</v>
      </c>
      <c r="V18" s="185">
        <f>(T18-U17)*24*60</f>
        <v>12.000000000000037</v>
      </c>
      <c r="W18" s="43">
        <f t="shared" si="8"/>
        <v>92</v>
      </c>
      <c r="X18" s="22"/>
      <c r="Y18" s="22"/>
      <c r="Z18" s="399"/>
      <c r="AA18" s="400"/>
      <c r="AB18" s="18">
        <f>N18-K18</f>
        <v>-70.869565217391482</v>
      </c>
      <c r="AC18" s="193">
        <f>N18/K18</f>
        <v>0.9645652173913043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2797</v>
      </c>
      <c r="H19" s="15">
        <f t="shared" ref="H19" si="9">F19*G19</f>
        <v>140940.82999999999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10">K19/J19</f>
        <v>166.66666666666666</v>
      </c>
      <c r="M19" s="37">
        <v>12</v>
      </c>
      <c r="N19" s="36">
        <f>G19/W19*60</f>
        <v>1907.0454545454545</v>
      </c>
      <c r="O19" s="38">
        <f>N19/M19</f>
        <v>158.92045454545453</v>
      </c>
      <c r="P19" s="39">
        <f>M19-J19</f>
        <v>0</v>
      </c>
      <c r="Q19" s="40">
        <f>O19-L19</f>
        <v>-7.7462121212121247</v>
      </c>
      <c r="R19" s="198">
        <f>O19/L19</f>
        <v>0.95352272727272724</v>
      </c>
      <c r="S19" s="434"/>
      <c r="T19" s="41">
        <v>0.54166666666666663</v>
      </c>
      <c r="U19" s="41">
        <v>0.60277777777777775</v>
      </c>
      <c r="V19" s="185">
        <f>(T19-U18)*24*60</f>
        <v>89.999999999999915</v>
      </c>
      <c r="W19" s="43">
        <f t="shared" si="8"/>
        <v>88</v>
      </c>
      <c r="X19" s="22">
        <v>0.5</v>
      </c>
      <c r="Y19" s="22">
        <v>0.54166666666666663</v>
      </c>
      <c r="Z19" s="398"/>
      <c r="AA19" s="399"/>
      <c r="AB19" s="18">
        <f>N19-K19</f>
        <v>-92.954545454545496</v>
      </c>
      <c r="AC19" s="193">
        <f>N19/K19</f>
        <v>0.95352272727272724</v>
      </c>
      <c r="AD19" s="395"/>
    </row>
    <row r="20" spans="1:30" ht="15" customHeight="1" x14ac:dyDescent="0.25">
      <c r="A20" s="439"/>
      <c r="B20" s="56" t="s">
        <v>63</v>
      </c>
      <c r="C20" s="10"/>
      <c r="D20" s="11" t="s">
        <v>222</v>
      </c>
      <c r="E20" s="89"/>
      <c r="F20" s="56">
        <f>VLOOKUP(D20,廠價表!$C$1:$E$39,3,0)</f>
        <v>50.67</v>
      </c>
      <c r="G20" s="99">
        <v>829</v>
      </c>
      <c r="H20" s="15">
        <f>F20*G20</f>
        <v>42005.43</v>
      </c>
      <c r="I20" s="185"/>
      <c r="J20" s="16">
        <f>VLOOKUP(D20,產線配置圖!$A$2:$C$38,2,0)</f>
        <v>15</v>
      </c>
      <c r="K20" s="14">
        <f>VLOOKUP(D20,產線配置圖!$A$2:$C$38,3,0)</f>
        <v>2000</v>
      </c>
      <c r="L20" s="17">
        <f>K20/J20</f>
        <v>133.33333333333334</v>
      </c>
      <c r="M20" s="37">
        <v>15</v>
      </c>
      <c r="N20" s="36">
        <f>G20/W20*60</f>
        <v>1913.0769230769299</v>
      </c>
      <c r="O20" s="38">
        <f>N20/M20</f>
        <v>127.53846153846199</v>
      </c>
      <c r="P20" s="39">
        <f>M20-J20</f>
        <v>0</v>
      </c>
      <c r="Q20" s="40">
        <f>O20-L20</f>
        <v>-5.7948717948713551</v>
      </c>
      <c r="R20" s="198">
        <f>O20/L20</f>
        <v>0.95653846153846489</v>
      </c>
      <c r="S20" s="434"/>
      <c r="T20" s="41">
        <v>0.61111111111111116</v>
      </c>
      <c r="U20" s="41">
        <v>0.62916666666666665</v>
      </c>
      <c r="V20" s="185">
        <f>(T20-U19)*24*60</f>
        <v>12.000000000000117</v>
      </c>
      <c r="W20" s="43">
        <f t="shared" si="8"/>
        <v>25.999999999999908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7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7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7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8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7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8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7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8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1">AVERAGE(J16:J25)</f>
        <v>13.4</v>
      </c>
      <c r="K26" s="137">
        <f t="shared" si="11"/>
        <v>2000</v>
      </c>
      <c r="L26" s="140">
        <f t="shared" si="11"/>
        <v>150.76923076923077</v>
      </c>
      <c r="M26" s="137">
        <f t="shared" si="11"/>
        <v>13.4</v>
      </c>
      <c r="N26" s="137">
        <f t="shared" si="11"/>
        <v>1890.950562480999</v>
      </c>
      <c r="O26" s="140">
        <f t="shared" si="11"/>
        <v>142.41575200162168</v>
      </c>
      <c r="P26" s="141">
        <f t="shared" ref="P26:P29" si="12">M26-J26</f>
        <v>0</v>
      </c>
      <c r="Q26" s="142">
        <f t="shared" ref="Q26:Q29" si="13">O26-L26</f>
        <v>-8.35347876760909</v>
      </c>
      <c r="R26" s="143">
        <f t="shared" ref="R26:R29" si="14">O26/L26</f>
        <v>0.9445942734801438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-109.049437519001</v>
      </c>
      <c r="AC26" s="195">
        <f>N26/K26</f>
        <v>0.94547528124049951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154</v>
      </c>
      <c r="E27" s="107"/>
      <c r="F27" s="207">
        <f>VLOOKUP(D27,廠價表!$C$1:$E$39,3,0)</f>
        <v>49.91</v>
      </c>
      <c r="G27" s="289">
        <v>3416</v>
      </c>
      <c r="H27" s="128">
        <f t="shared" ref="H27:H39" si="15">F27*G27</f>
        <v>170492.56</v>
      </c>
      <c r="I27" s="129"/>
      <c r="J27" s="111">
        <f>VLOOKUP(D27,產線配置圖!$A$2:$C$38,2,0)</f>
        <v>17</v>
      </c>
      <c r="K27" s="252">
        <f>VLOOKUP(D27,產線配置圖!$A$2:$C$38,3,0)</f>
        <v>1565</v>
      </c>
      <c r="L27" s="112">
        <f>K27/J27</f>
        <v>92.058823529411768</v>
      </c>
      <c r="M27" s="147">
        <v>16</v>
      </c>
      <c r="N27" s="130">
        <f>G27/W27*60</f>
        <v>1453.617021276596</v>
      </c>
      <c r="O27" s="131">
        <f>N27/M27</f>
        <v>90.85106382978725</v>
      </c>
      <c r="P27" s="132">
        <f t="shared" si="12"/>
        <v>-1</v>
      </c>
      <c r="Q27" s="133">
        <f t="shared" si="13"/>
        <v>-1.2077596996245177</v>
      </c>
      <c r="R27" s="197">
        <f>O27/L27</f>
        <v>0.98688056556318415</v>
      </c>
      <c r="S27" s="433">
        <f>R37</f>
        <v>0.92781886430783911</v>
      </c>
      <c r="T27" s="97">
        <v>0.29097222222222224</v>
      </c>
      <c r="U27" s="97">
        <v>0.3888888888888889</v>
      </c>
      <c r="V27" s="129"/>
      <c r="W27" s="134">
        <f t="shared" si="8"/>
        <v>140.99999999999997</v>
      </c>
      <c r="X27" s="129"/>
      <c r="Y27" s="129" t="s">
        <v>158</v>
      </c>
      <c r="Z27" s="414"/>
      <c r="AA27" s="423"/>
      <c r="AB27" s="240">
        <f>N27-K27</f>
        <v>-111.38297872340399</v>
      </c>
      <c r="AC27" s="337">
        <f>N27/K27</f>
        <v>0.92882876758887922</v>
      </c>
      <c r="AD27" s="391">
        <f>AC37</f>
        <v>0.85853770719043476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2597</v>
      </c>
      <c r="H28" s="50">
        <f t="shared" si="15"/>
        <v>143172.61000000002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15</v>
      </c>
      <c r="N28" s="36">
        <f>G28/W28*60</f>
        <v>1082.0833333333328</v>
      </c>
      <c r="O28" s="38">
        <f>N28/M28</f>
        <v>72.138888888888857</v>
      </c>
      <c r="P28" s="39">
        <f t="shared" si="12"/>
        <v>-3</v>
      </c>
      <c r="Q28" s="40">
        <f t="shared" si="13"/>
        <v>-4.8055555555555856</v>
      </c>
      <c r="R28" s="198">
        <f t="shared" si="14"/>
        <v>0.93754512635379017</v>
      </c>
      <c r="S28" s="434"/>
      <c r="T28" s="291">
        <v>0.39444444444444443</v>
      </c>
      <c r="U28" s="291">
        <v>0.49444444444444446</v>
      </c>
      <c r="V28" s="42">
        <f>(T28-U27)*24*60</f>
        <v>7.9999999999999716</v>
      </c>
      <c r="W28" s="43">
        <f t="shared" si="8"/>
        <v>144.00000000000006</v>
      </c>
      <c r="X28" s="54"/>
      <c r="Y28" s="54"/>
      <c r="Z28" s="399"/>
      <c r="AA28" s="398"/>
      <c r="AB28" s="39">
        <f>N28-K28</f>
        <v>-302.9166666666672</v>
      </c>
      <c r="AC28" s="198">
        <f>N28/K28</f>
        <v>0.7812876052948251</v>
      </c>
      <c r="AD28" s="393"/>
    </row>
    <row r="29" spans="1:30" ht="15" customHeight="1" x14ac:dyDescent="0.25">
      <c r="A29" s="431"/>
      <c r="B29" s="56" t="s">
        <v>140</v>
      </c>
      <c r="C29" s="10"/>
      <c r="D29" s="11" t="s">
        <v>261</v>
      </c>
      <c r="E29" s="89"/>
      <c r="F29" s="56">
        <f>VLOOKUP(D29,廠價表!$C$1:$E$39,3,0)</f>
        <v>47.71</v>
      </c>
      <c r="G29" s="256">
        <v>1957</v>
      </c>
      <c r="H29" s="50">
        <f t="shared" si="15"/>
        <v>93368.47</v>
      </c>
      <c r="I29" s="42"/>
      <c r="J29" s="16">
        <f>VLOOKUP(D29,產線配置圖!$A$2:$C$38,2,0)</f>
        <v>16</v>
      </c>
      <c r="K29" s="14">
        <f>VLOOKUP(D29,產線配置圖!$A$2:$C$38,3,0)</f>
        <v>1385</v>
      </c>
      <c r="L29" s="251">
        <f t="shared" ref="L29" si="16">K29/J29</f>
        <v>86.5625</v>
      </c>
      <c r="M29" s="21">
        <v>16</v>
      </c>
      <c r="N29" s="36">
        <f>G29/W29*60</f>
        <v>1186.0606060606062</v>
      </c>
      <c r="O29" s="38">
        <f t="shared" ref="O29" si="17">N29/M29</f>
        <v>74.12878787878789</v>
      </c>
      <c r="P29" s="39">
        <f t="shared" si="12"/>
        <v>0</v>
      </c>
      <c r="Q29" s="40">
        <f t="shared" si="13"/>
        <v>-12.43371212121211</v>
      </c>
      <c r="R29" s="198">
        <f t="shared" si="14"/>
        <v>0.85636144841921025</v>
      </c>
      <c r="S29" s="434"/>
      <c r="T29" s="41">
        <v>0.55902777777777779</v>
      </c>
      <c r="U29" s="41">
        <v>0.62777777777777777</v>
      </c>
      <c r="V29" s="42">
        <f t="shared" ref="V29" si="18">(T29-U28)*24*60</f>
        <v>92.999999999999986</v>
      </c>
      <c r="W29" s="43">
        <f t="shared" si="8"/>
        <v>98.999999999999972</v>
      </c>
      <c r="X29" s="54">
        <v>0.5</v>
      </c>
      <c r="Y29" s="54">
        <v>0.54166666666666663</v>
      </c>
      <c r="Z29" s="399"/>
      <c r="AA29" s="398"/>
      <c r="AB29" s="338">
        <f>N29-K29</f>
        <v>-198.93939393939377</v>
      </c>
      <c r="AC29" s="198">
        <f>N29/K29</f>
        <v>0.85636144841921025</v>
      </c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8"/>
        <v>0</v>
      </c>
      <c r="X30" s="54"/>
      <c r="Y30" s="54"/>
      <c r="Z30" s="479"/>
      <c r="AA30" s="399"/>
      <c r="AB30" s="34"/>
      <c r="AC30" s="339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8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5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8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5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8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5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8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5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8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5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8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511"/>
      <c r="B37" s="346"/>
      <c r="C37" s="347" t="s">
        <v>36</v>
      </c>
      <c r="D37" s="513" t="s">
        <v>7</v>
      </c>
      <c r="E37" s="514"/>
      <c r="F37" s="310"/>
      <c r="G37" s="311"/>
      <c r="H37" s="312"/>
      <c r="I37" s="313"/>
      <c r="J37" s="314">
        <f t="shared" ref="J37:O37" si="19">AVERAGE(J27:J36)</f>
        <v>17</v>
      </c>
      <c r="K37" s="314">
        <f t="shared" si="19"/>
        <v>1445</v>
      </c>
      <c r="L37" s="315">
        <f t="shared" si="19"/>
        <v>85.188589324618746</v>
      </c>
      <c r="M37" s="314">
        <f t="shared" si="19"/>
        <v>15.666666666666666</v>
      </c>
      <c r="N37" s="314">
        <f t="shared" si="19"/>
        <v>1240.5869868901782</v>
      </c>
      <c r="O37" s="315">
        <f t="shared" si="19"/>
        <v>79.03958019915467</v>
      </c>
      <c r="P37" s="74">
        <f>M37-J37</f>
        <v>-1.3333333333333339</v>
      </c>
      <c r="Q37" s="75">
        <f>N37-K37</f>
        <v>-204.4130131098218</v>
      </c>
      <c r="R37" s="316">
        <f t="shared" ref="R37:R39" si="20">O37/L37</f>
        <v>0.92781886430783911</v>
      </c>
      <c r="S37" s="512"/>
      <c r="T37" s="348"/>
      <c r="U37" s="348"/>
      <c r="V37" s="82"/>
      <c r="W37" s="82"/>
      <c r="X37" s="349"/>
      <c r="Y37" s="349"/>
      <c r="Z37" s="515"/>
      <c r="AA37" s="447"/>
      <c r="AB37" s="34">
        <f t="shared" ref="AB37:AB39" si="21">N37-K37</f>
        <v>-204.4130131098218</v>
      </c>
      <c r="AC37" s="194">
        <f t="shared" ref="AC37:AC39" si="22">N37/K37</f>
        <v>0.85853770719043476</v>
      </c>
      <c r="AD37" s="395"/>
    </row>
    <row r="38" spans="1:30" s="63" customFormat="1" ht="15" customHeight="1" x14ac:dyDescent="0.25">
      <c r="A38" s="424" t="s">
        <v>55</v>
      </c>
      <c r="B38" s="244" t="s">
        <v>140</v>
      </c>
      <c r="C38" s="207"/>
      <c r="D38" s="350" t="s">
        <v>259</v>
      </c>
      <c r="E38" s="309"/>
      <c r="F38" s="351">
        <f>VLOOKUP(D38,廠價表!$C$1:$E$39,3,0)</f>
        <v>56.43</v>
      </c>
      <c r="G38" s="286">
        <v>4277</v>
      </c>
      <c r="H38" s="152">
        <f t="shared" si="15"/>
        <v>241351.11</v>
      </c>
      <c r="I38" s="129"/>
      <c r="J38" s="296">
        <f>VLOOKUP(D38,產線配置圖!$A$2:$C$38,2,0)</f>
        <v>15</v>
      </c>
      <c r="K38" s="252">
        <f>VLOOKUP(D38,產線配置圖!$A$2:$C$38,3,0)</f>
        <v>1440</v>
      </c>
      <c r="L38" s="317">
        <f t="shared" ref="L38:L39" si="23">K38/J38</f>
        <v>96</v>
      </c>
      <c r="M38" s="318">
        <v>15</v>
      </c>
      <c r="N38" s="130">
        <f>G38/W38*60</f>
        <v>1082.784810126582</v>
      </c>
      <c r="O38" s="131">
        <f>N38/M38</f>
        <v>72.185654008438803</v>
      </c>
      <c r="P38" s="132">
        <f t="shared" ref="P38:P39" si="24">M38-J38</f>
        <v>0</v>
      </c>
      <c r="Q38" s="133">
        <f t="shared" ref="Q38:Q39" si="25">O38-L38</f>
        <v>-23.814345991561197</v>
      </c>
      <c r="R38" s="197">
        <f t="shared" si="20"/>
        <v>0.75193389592123749</v>
      </c>
      <c r="S38" s="493">
        <f>R48</f>
        <v>0.74402250351617416</v>
      </c>
      <c r="T38" s="157">
        <v>0.33194444444444443</v>
      </c>
      <c r="U38" s="157">
        <v>0.49652777777777779</v>
      </c>
      <c r="V38" s="153"/>
      <c r="W38" s="158">
        <f t="shared" si="8"/>
        <v>237.00000000000003</v>
      </c>
      <c r="X38" s="155"/>
      <c r="Y38" s="159"/>
      <c r="Z38" s="518" t="s">
        <v>270</v>
      </c>
      <c r="AA38" s="519"/>
      <c r="AB38" s="331">
        <f t="shared" si="21"/>
        <v>-357.21518987341801</v>
      </c>
      <c r="AC38" s="161">
        <f t="shared" si="22"/>
        <v>0.75193389592123749</v>
      </c>
      <c r="AD38" s="388">
        <f>AC48</f>
        <v>0.74402250351617405</v>
      </c>
    </row>
    <row r="39" spans="1:30" s="63" customFormat="1" ht="15" customHeight="1" x14ac:dyDescent="0.25">
      <c r="A39" s="425"/>
      <c r="B39" s="56" t="s">
        <v>140</v>
      </c>
      <c r="C39" s="306"/>
      <c r="D39" s="308" t="s">
        <v>259</v>
      </c>
      <c r="E39" s="307"/>
      <c r="F39" s="56">
        <f>VLOOKUP(D39,廠價表!$C$1:$E$39,3,0)</f>
        <v>56.43</v>
      </c>
      <c r="G39" s="305">
        <v>1325</v>
      </c>
      <c r="H39" s="64">
        <f t="shared" si="15"/>
        <v>74769.75</v>
      </c>
      <c r="I39" s="65"/>
      <c r="J39" s="37">
        <f>VLOOKUP(D39,產線配置圖!$A$2:$C$38,2,0)</f>
        <v>15</v>
      </c>
      <c r="K39" s="36">
        <f>VLOOKUP(D39,產線配置圖!$A$2:$C$38,3,0)</f>
        <v>1440</v>
      </c>
      <c r="L39" s="38">
        <f t="shared" si="23"/>
        <v>96</v>
      </c>
      <c r="M39" s="66">
        <v>15</v>
      </c>
      <c r="N39" s="67">
        <f>G39/W39*60</f>
        <v>1059.9999999999993</v>
      </c>
      <c r="O39" s="68">
        <f t="shared" ref="O39" si="26">N39/M39</f>
        <v>70.666666666666615</v>
      </c>
      <c r="P39" s="39">
        <f t="shared" si="24"/>
        <v>0</v>
      </c>
      <c r="Q39" s="40">
        <f t="shared" si="25"/>
        <v>-25.333333333333385</v>
      </c>
      <c r="R39" s="198">
        <f t="shared" si="20"/>
        <v>0.73611111111111061</v>
      </c>
      <c r="S39" s="494"/>
      <c r="T39" s="59">
        <v>0.57291666666666663</v>
      </c>
      <c r="U39" s="59">
        <v>0.625</v>
      </c>
      <c r="V39" s="42">
        <f>(T39-U38)*24*60</f>
        <v>109.99999999999993</v>
      </c>
      <c r="W39" s="70">
        <f t="shared" si="8"/>
        <v>75.000000000000057</v>
      </c>
      <c r="X39" s="22">
        <v>0.5</v>
      </c>
      <c r="Y39" s="22">
        <v>0.54166666666666663</v>
      </c>
      <c r="Z39" s="516" t="s">
        <v>270</v>
      </c>
      <c r="AA39" s="517"/>
      <c r="AB39" s="292">
        <f t="shared" si="21"/>
        <v>-380.00000000000068</v>
      </c>
      <c r="AC39" s="62">
        <f t="shared" si="22"/>
        <v>0.73611111111111061</v>
      </c>
      <c r="AD39" s="389"/>
    </row>
    <row r="40" spans="1:30" s="63" customFormat="1" ht="15" customHeight="1" x14ac:dyDescent="0.25">
      <c r="A40" s="425"/>
      <c r="B40" s="56"/>
      <c r="C40" s="298"/>
      <c r="D40" s="308"/>
      <c r="E40" s="261"/>
      <c r="F40" s="56"/>
      <c r="G40" s="305"/>
      <c r="H40" s="64"/>
      <c r="I40" s="65"/>
      <c r="J40" s="37"/>
      <c r="K40" s="36"/>
      <c r="L40" s="38"/>
      <c r="M40" s="66"/>
      <c r="N40" s="67"/>
      <c r="O40" s="68"/>
      <c r="P40" s="39"/>
      <c r="Q40" s="40"/>
      <c r="R40" s="198"/>
      <c r="S40" s="409"/>
      <c r="T40" s="59"/>
      <c r="U40" s="59"/>
      <c r="V40" s="42"/>
      <c r="W40" s="70">
        <f t="shared" si="8"/>
        <v>0</v>
      </c>
      <c r="X40" s="71"/>
      <c r="Y40" s="278"/>
      <c r="Z40" s="476"/>
      <c r="AA40" s="508"/>
      <c r="AB40" s="292"/>
      <c r="AC40" s="62"/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8"/>
        <v>0</v>
      </c>
      <c r="X41" s="71"/>
      <c r="Y41" s="278"/>
      <c r="Z41" s="428"/>
      <c r="AA41" s="475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7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8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7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7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8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7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8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7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8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7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8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9">AVERAGE(J38:J47)</f>
        <v>15</v>
      </c>
      <c r="K48" s="137">
        <f t="shared" si="29"/>
        <v>1440</v>
      </c>
      <c r="L48" s="140">
        <f t="shared" si="29"/>
        <v>96</v>
      </c>
      <c r="M48" s="137">
        <f t="shared" si="29"/>
        <v>15</v>
      </c>
      <c r="N48" s="137">
        <f t="shared" si="29"/>
        <v>1071.3924050632907</v>
      </c>
      <c r="O48" s="140">
        <f t="shared" si="29"/>
        <v>71.426160337552716</v>
      </c>
      <c r="P48" s="164">
        <f>M48-J48</f>
        <v>0</v>
      </c>
      <c r="Q48" s="165">
        <f>N48-K48</f>
        <v>-368.60759493670935</v>
      </c>
      <c r="R48" s="166">
        <f>O48/L48</f>
        <v>0.74402250351617416</v>
      </c>
      <c r="S48" s="412"/>
      <c r="T48" s="167"/>
      <c r="U48" s="167"/>
      <c r="V48" s="204"/>
      <c r="W48" s="168">
        <f t="shared" si="28"/>
        <v>0</v>
      </c>
      <c r="X48" s="169"/>
      <c r="Y48" s="169"/>
      <c r="Z48" s="401"/>
      <c r="AA48" s="401"/>
      <c r="AB48" s="170">
        <f>N48-K48</f>
        <v>-368.60759493670935</v>
      </c>
      <c r="AC48" s="199">
        <f>N48/K48</f>
        <v>0.74402250351617405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173</v>
      </c>
      <c r="E49" s="107"/>
      <c r="F49" s="207">
        <f>VLOOKUP(D49,廠價表!$C$1:$E$39,3,0)</f>
        <v>56.87</v>
      </c>
      <c r="G49" s="154">
        <v>3709</v>
      </c>
      <c r="H49" s="128">
        <f t="shared" ref="H49:H57" si="30">F49*G49</f>
        <v>210930.83</v>
      </c>
      <c r="I49" s="129"/>
      <c r="J49" s="111">
        <f>VLOOKUP(D49,產線配置圖!$A$2:$C$38,2,0)</f>
        <v>17</v>
      </c>
      <c r="K49" s="108">
        <v>1600</v>
      </c>
      <c r="L49" s="112">
        <f>K49/J49</f>
        <v>94.117647058823536</v>
      </c>
      <c r="M49" s="147">
        <v>17</v>
      </c>
      <c r="N49" s="130">
        <f>G49/W49*60</f>
        <v>1567.1830985915497</v>
      </c>
      <c r="O49" s="131">
        <f>N49/M49</f>
        <v>92.187241093620571</v>
      </c>
      <c r="P49" s="171">
        <f>M49-J49</f>
        <v>0</v>
      </c>
      <c r="Q49" s="115">
        <f>O49-L49</f>
        <v>-1.930405965202965</v>
      </c>
      <c r="R49" s="192">
        <f>O49/L49</f>
        <v>0.97948943661971855</v>
      </c>
      <c r="S49" s="408">
        <f>R58</f>
        <v>0.98851630344138164</v>
      </c>
      <c r="T49" s="157">
        <v>0.29375000000000001</v>
      </c>
      <c r="U49" s="157">
        <v>0.3923611111111111</v>
      </c>
      <c r="V49" s="196"/>
      <c r="W49" s="158">
        <f t="shared" si="8"/>
        <v>141.99999999999997</v>
      </c>
      <c r="X49" s="196"/>
      <c r="Y49" s="196"/>
      <c r="Z49" s="423"/>
      <c r="AA49" s="423"/>
      <c r="AB49" s="114">
        <f>N49-K49</f>
        <v>-32.816901408450349</v>
      </c>
      <c r="AC49" s="192">
        <f>N49/K49</f>
        <v>0.97948943661971855</v>
      </c>
      <c r="AD49" s="391">
        <f>AC58</f>
        <v>0.98869592024171327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66</v>
      </c>
      <c r="E50" s="89"/>
      <c r="F50" s="56">
        <f>VLOOKUP(D50,廠價表!$C$1:$E$39,3,0)</f>
        <v>49.97</v>
      </c>
      <c r="G50" s="67">
        <v>2850</v>
      </c>
      <c r="H50" s="77">
        <f t="shared" si="30"/>
        <v>142414.5</v>
      </c>
      <c r="I50" s="201"/>
      <c r="J50" s="16">
        <f>VLOOKUP(D50,產線配置圖!$A$2:$C$38,2,0)</f>
        <v>18</v>
      </c>
      <c r="K50" s="14">
        <f>VLOOKUP(D50,產線配置圖!$A$2:$C$38,3,0)</f>
        <v>1565</v>
      </c>
      <c r="L50" s="17">
        <f>K50/J50</f>
        <v>86.944444444444443</v>
      </c>
      <c r="M50" s="182">
        <v>18</v>
      </c>
      <c r="N50" s="78">
        <f>G50/W50*60</f>
        <v>1554.5454545454554</v>
      </c>
      <c r="O50" s="79">
        <f>N50/M50</f>
        <v>86.363636363636417</v>
      </c>
      <c r="P50" s="18">
        <f>M50-J50</f>
        <v>0</v>
      </c>
      <c r="Q50" s="19">
        <f>O50-L50</f>
        <v>-0.58080808080802626</v>
      </c>
      <c r="R50" s="193">
        <f>O50/L50</f>
        <v>0.99331977926227188</v>
      </c>
      <c r="S50" s="409"/>
      <c r="T50" s="80">
        <v>0.4</v>
      </c>
      <c r="U50" s="80">
        <v>0.47638888888888886</v>
      </c>
      <c r="V50" s="185">
        <f t="shared" ref="V50:V51" si="31">(T50-U49)*24*60</f>
        <v>11.000000000000041</v>
      </c>
      <c r="W50" s="81">
        <f t="shared" si="8"/>
        <v>109.99999999999993</v>
      </c>
      <c r="X50" s="22"/>
      <c r="Y50" s="22"/>
      <c r="Z50" s="398"/>
      <c r="AA50" s="399"/>
      <c r="AB50" s="18">
        <f>N50-K50</f>
        <v>-10.454545454544586</v>
      </c>
      <c r="AC50" s="193">
        <f>N50/K50</f>
        <v>0.99331977926227188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3291</v>
      </c>
      <c r="H51" s="77">
        <f t="shared" si="30"/>
        <v>164451.26999999999</v>
      </c>
      <c r="I51" s="201"/>
      <c r="J51" s="16">
        <f>VLOOKUP(D51,產線配置圖!$A$2:$C$38,2,0)</f>
        <v>18</v>
      </c>
      <c r="K51" s="14">
        <f>VLOOKUP(D51,產線配置圖!$A$2:$C$38,3,0)</f>
        <v>1565</v>
      </c>
      <c r="L51" s="17">
        <f>K51/J51</f>
        <v>86.944444444444443</v>
      </c>
      <c r="M51" s="182">
        <v>18</v>
      </c>
      <c r="N51" s="78">
        <f>G51/W51*60</f>
        <v>1554.8031496062988</v>
      </c>
      <c r="O51" s="79">
        <f>N51/M51</f>
        <v>86.377952755905483</v>
      </c>
      <c r="P51" s="18">
        <f>M51-J51</f>
        <v>0</v>
      </c>
      <c r="Q51" s="19">
        <f>O51-L51</f>
        <v>-0.56649168853896015</v>
      </c>
      <c r="R51" s="193">
        <f>O51/L51</f>
        <v>0.99348444064300234</v>
      </c>
      <c r="S51" s="409"/>
      <c r="T51" s="80">
        <v>0.53333333333333333</v>
      </c>
      <c r="U51" s="44">
        <v>0.62152777777777779</v>
      </c>
      <c r="V51" s="185">
        <f t="shared" si="31"/>
        <v>82.000000000000028</v>
      </c>
      <c r="W51" s="81">
        <f t="shared" si="8"/>
        <v>127.00000000000003</v>
      </c>
      <c r="X51" s="22">
        <v>0.4861111111111111</v>
      </c>
      <c r="Y51" s="22">
        <v>0.52777777777777779</v>
      </c>
      <c r="Z51" s="400"/>
      <c r="AA51" s="400"/>
      <c r="AB51" s="18">
        <f>N51-K51</f>
        <v>-10.196850393701197</v>
      </c>
      <c r="AC51" s="193">
        <f>N51/K51</f>
        <v>0.99348444064300245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201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8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/>
      <c r="I53" s="201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185"/>
      <c r="W53" s="81">
        <f t="shared" si="8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/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8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30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8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30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8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30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8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32">AVERAGE(J49:J57)</f>
        <v>17.666666666666668</v>
      </c>
      <c r="K58" s="121">
        <f t="shared" si="32"/>
        <v>1576.6666666666667</v>
      </c>
      <c r="L58" s="118">
        <f t="shared" si="32"/>
        <v>89.335511982570821</v>
      </c>
      <c r="M58" s="121">
        <f t="shared" si="32"/>
        <v>17.666666666666668</v>
      </c>
      <c r="N58" s="121">
        <f t="shared" si="32"/>
        <v>1558.8439009144347</v>
      </c>
      <c r="O58" s="118">
        <f t="shared" si="32"/>
        <v>88.309610071054166</v>
      </c>
      <c r="P58" s="122">
        <f>M58-J58</f>
        <v>0</v>
      </c>
      <c r="Q58" s="123">
        <f>N58-K58</f>
        <v>-17.822765752232044</v>
      </c>
      <c r="R58" s="124">
        <f t="shared" ref="R58:R60" si="33">O58/L58</f>
        <v>0.98851630344138164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3" si="34">N58-K58</f>
        <v>-17.822765752232044</v>
      </c>
      <c r="AC58" s="195">
        <f t="shared" ref="AC58:AC63" si="35">N58/K58</f>
        <v>0.98869592024171327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3408</v>
      </c>
      <c r="H59" s="109">
        <f t="shared" ref="H59:H68" si="36">F59*G59</f>
        <v>91981.92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3" si="37">G59/W59*60</f>
        <v>1560.9160305343512</v>
      </c>
      <c r="O59" s="112">
        <f t="shared" ref="O59:O63" si="38">N59/M59</f>
        <v>120.07046388725779</v>
      </c>
      <c r="P59" s="114">
        <f t="shared" ref="P59:P63" si="39">M59-J59</f>
        <v>0</v>
      </c>
      <c r="Q59" s="115">
        <f t="shared" ref="Q59:Q63" si="40">O59-L59</f>
        <v>-0.3141514973575994</v>
      </c>
      <c r="R59" s="192">
        <f t="shared" si="33"/>
        <v>0.9973904348462308</v>
      </c>
      <c r="S59" s="408">
        <f>R69</f>
        <v>0.85440599455427646</v>
      </c>
      <c r="T59" s="176">
        <v>0.29305555555555557</v>
      </c>
      <c r="U59" s="176">
        <v>0.3840277777777778</v>
      </c>
      <c r="V59" s="196"/>
      <c r="W59" s="110">
        <f t="shared" si="8"/>
        <v>131</v>
      </c>
      <c r="X59" s="196"/>
      <c r="Y59" s="196"/>
      <c r="Z59" s="400"/>
      <c r="AA59" s="400"/>
      <c r="AB59" s="240">
        <f t="shared" si="34"/>
        <v>-4.0839694656488064</v>
      </c>
      <c r="AC59" s="241">
        <f t="shared" si="35"/>
        <v>0.9973904348462308</v>
      </c>
      <c r="AD59" s="391">
        <f>AC69</f>
        <v>0.85708601684554675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1151</v>
      </c>
      <c r="H60" s="15">
        <f t="shared" si="36"/>
        <v>32768.97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7"/>
        <v>959.16666666666686</v>
      </c>
      <c r="O60" s="17">
        <f t="shared" si="38"/>
        <v>79.930555555555571</v>
      </c>
      <c r="P60" s="18">
        <f t="shared" si="39"/>
        <v>0</v>
      </c>
      <c r="Q60" s="19">
        <f t="shared" si="40"/>
        <v>-50.486111111111086</v>
      </c>
      <c r="R60" s="193">
        <f t="shared" si="33"/>
        <v>0.61288604898828558</v>
      </c>
      <c r="S60" s="419"/>
      <c r="T60" s="206">
        <v>0.39444444444444443</v>
      </c>
      <c r="U60" s="206">
        <v>0.44444444444444442</v>
      </c>
      <c r="V60" s="185">
        <f t="shared" ref="V60:V63" si="41">(T60-U59)*24*60</f>
        <v>14.999999999999947</v>
      </c>
      <c r="W60" s="93">
        <f t="shared" si="8"/>
        <v>71.999999999999986</v>
      </c>
      <c r="X60" s="201"/>
      <c r="Y60" s="201"/>
      <c r="Z60" s="400" t="s">
        <v>271</v>
      </c>
      <c r="AA60" s="400"/>
      <c r="AB60" s="242">
        <f t="shared" si="34"/>
        <v>-605.83333333333314</v>
      </c>
      <c r="AC60" s="243">
        <f t="shared" si="35"/>
        <v>0.61288604898828558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1383</v>
      </c>
      <c r="H61" s="15">
        <f t="shared" si="36"/>
        <v>39083.58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:L62" si="42">K61/J61</f>
        <v>130.41666666666666</v>
      </c>
      <c r="M61" s="188">
        <v>12</v>
      </c>
      <c r="N61" s="14">
        <f t="shared" si="37"/>
        <v>1276.6153846153843</v>
      </c>
      <c r="O61" s="17">
        <f t="shared" si="38"/>
        <v>106.38461538461536</v>
      </c>
      <c r="P61" s="18">
        <f t="shared" si="39"/>
        <v>0</v>
      </c>
      <c r="Q61" s="19">
        <f t="shared" si="40"/>
        <v>-24.032051282051299</v>
      </c>
      <c r="R61" s="193">
        <f>O61/L61</f>
        <v>0.81572868026542134</v>
      </c>
      <c r="S61" s="409"/>
      <c r="T61" s="20">
        <v>0.4548611111111111</v>
      </c>
      <c r="U61" s="20">
        <v>0.5</v>
      </c>
      <c r="V61" s="185">
        <f t="shared" si="41"/>
        <v>15.000000000000027</v>
      </c>
      <c r="W61" s="91">
        <f t="shared" si="8"/>
        <v>65.000000000000014</v>
      </c>
      <c r="X61" s="22"/>
      <c r="Y61" s="22"/>
      <c r="Z61" s="400"/>
      <c r="AA61" s="400"/>
      <c r="AB61" s="51">
        <f t="shared" si="34"/>
        <v>-288.3846153846157</v>
      </c>
      <c r="AC61" s="52">
        <f t="shared" si="35"/>
        <v>0.81572868026542122</v>
      </c>
      <c r="AD61" s="392"/>
    </row>
    <row r="62" spans="1:30" ht="15" customHeight="1" x14ac:dyDescent="0.25">
      <c r="A62" s="417"/>
      <c r="B62" s="56" t="str">
        <f>VLOOKUP(D62,廠價表!$C$1:$E$39,2,0)</f>
        <v>小吃、微波</v>
      </c>
      <c r="C62" s="10"/>
      <c r="D62" s="260" t="s">
        <v>143</v>
      </c>
      <c r="E62" s="89"/>
      <c r="F62" s="56">
        <f>VLOOKUP(D62,廠價表!$C$1:$E$39,3,0)</f>
        <v>28.26</v>
      </c>
      <c r="G62" s="185">
        <v>1143</v>
      </c>
      <c r="H62" s="15">
        <f t="shared" si="36"/>
        <v>32301.18</v>
      </c>
      <c r="I62" s="82"/>
      <c r="J62" s="16">
        <f>VLOOKUP(D62,產線配置圖!$A$2:$C$38,2,0)</f>
        <v>12</v>
      </c>
      <c r="K62" s="14">
        <f>VLOOKUP(D62,產線配置圖!$A$2:$C$38,3,0)</f>
        <v>1565</v>
      </c>
      <c r="L62" s="17">
        <f t="shared" si="42"/>
        <v>130.41666666666666</v>
      </c>
      <c r="M62" s="188">
        <v>12</v>
      </c>
      <c r="N62" s="14">
        <f t="shared" si="37"/>
        <v>1524</v>
      </c>
      <c r="O62" s="17">
        <f t="shared" si="38"/>
        <v>127</v>
      </c>
      <c r="P62" s="18">
        <f t="shared" si="39"/>
        <v>0</v>
      </c>
      <c r="Q62" s="19">
        <f t="shared" si="40"/>
        <v>-3.4166666666666572</v>
      </c>
      <c r="R62" s="193">
        <f>O62/L62</f>
        <v>0.97380191693290741</v>
      </c>
      <c r="S62" s="409"/>
      <c r="T62" s="20">
        <v>0.55208333333333337</v>
      </c>
      <c r="U62" s="20">
        <v>0.58333333333333337</v>
      </c>
      <c r="V62" s="185">
        <f t="shared" si="41"/>
        <v>75.000000000000057</v>
      </c>
      <c r="W62" s="93">
        <f t="shared" si="8"/>
        <v>45</v>
      </c>
      <c r="X62" s="22">
        <v>0.5</v>
      </c>
      <c r="Y62" s="22">
        <v>0.54166666666666663</v>
      </c>
      <c r="Z62" s="400"/>
      <c r="AA62" s="400"/>
      <c r="AB62" s="51">
        <f t="shared" si="34"/>
        <v>-41</v>
      </c>
      <c r="AC62" s="52">
        <f t="shared" si="35"/>
        <v>0.9738019169329073</v>
      </c>
      <c r="AD62" s="392"/>
    </row>
    <row r="63" spans="1:30" ht="15" customHeight="1" x14ac:dyDescent="0.25">
      <c r="A63" s="417"/>
      <c r="B63" s="56" t="str">
        <f>VLOOKUP(D63,廠價表!$C$1:$E$39,2,0)</f>
        <v>小吃、微波</v>
      </c>
      <c r="C63" s="23"/>
      <c r="D63" s="11" t="s">
        <v>128</v>
      </c>
      <c r="E63" s="12"/>
      <c r="F63" s="56">
        <f>VLOOKUP(D63,廠價表!$C$1:$E$39,3,0)</f>
        <v>26.99</v>
      </c>
      <c r="G63" s="185">
        <v>1155</v>
      </c>
      <c r="H63" s="15">
        <f t="shared" si="36"/>
        <v>31173.449999999997</v>
      </c>
      <c r="I63" s="82"/>
      <c r="J63" s="16">
        <f>VLOOKUP(D63,產線配置圖!$A$2:$C$38,2,0)</f>
        <v>13</v>
      </c>
      <c r="K63" s="14">
        <f>VLOOKUP(D63,產線配置圖!$A$2:$C$38,3,0)</f>
        <v>1565</v>
      </c>
      <c r="L63" s="17">
        <f>K63/J63</f>
        <v>120.38461538461539</v>
      </c>
      <c r="M63" s="188">
        <v>13</v>
      </c>
      <c r="N63" s="14">
        <f t="shared" si="37"/>
        <v>1386.0000000000002</v>
      </c>
      <c r="O63" s="17">
        <f t="shared" si="38"/>
        <v>106.61538461538463</v>
      </c>
      <c r="P63" s="18">
        <f t="shared" si="39"/>
        <v>0</v>
      </c>
      <c r="Q63" s="19">
        <f t="shared" si="40"/>
        <v>-13.769230769230759</v>
      </c>
      <c r="R63" s="193">
        <f t="shared" ref="R63" si="43">O63/L63</f>
        <v>0.88562300319488829</v>
      </c>
      <c r="S63" s="409"/>
      <c r="T63" s="20">
        <v>0.59375</v>
      </c>
      <c r="U63" s="20">
        <v>0.62847222222222221</v>
      </c>
      <c r="V63" s="185">
        <f t="shared" si="41"/>
        <v>14.999999999999947</v>
      </c>
      <c r="W63" s="93">
        <f t="shared" si="8"/>
        <v>49.999999999999986</v>
      </c>
      <c r="X63" s="85"/>
      <c r="Y63" s="85"/>
      <c r="Z63" s="400"/>
      <c r="AA63" s="400"/>
      <c r="AB63" s="51">
        <f t="shared" si="34"/>
        <v>-178.99999999999977</v>
      </c>
      <c r="AC63" s="52">
        <f t="shared" si="35"/>
        <v>0.88562300319488829</v>
      </c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6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8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6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8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6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8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6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20"/>
      <c r="U67" s="20"/>
      <c r="V67" s="185"/>
      <c r="W67" s="190">
        <f t="shared" si="8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6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409"/>
      <c r="T68" s="20"/>
      <c r="U68" s="20"/>
      <c r="V68" s="185"/>
      <c r="W68" s="190">
        <f t="shared" si="8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4">AVERAGE(J59:J68)</f>
        <v>12.4</v>
      </c>
      <c r="K69" s="173">
        <f t="shared" si="44"/>
        <v>1565</v>
      </c>
      <c r="L69" s="178">
        <f t="shared" si="44"/>
        <v>126.40384615384615</v>
      </c>
      <c r="M69" s="173">
        <f t="shared" si="44"/>
        <v>12.4</v>
      </c>
      <c r="N69" s="173">
        <f t="shared" si="44"/>
        <v>1341.3396163632806</v>
      </c>
      <c r="O69" s="178">
        <f t="shared" si="44"/>
        <v>108.00020388856267</v>
      </c>
      <c r="P69" s="179">
        <f>M69-J69</f>
        <v>0</v>
      </c>
      <c r="Q69" s="165">
        <f>N69-K69</f>
        <v>-223.66038363671942</v>
      </c>
      <c r="R69" s="124">
        <f>O69/L69</f>
        <v>0.85440599455427646</v>
      </c>
      <c r="S69" s="412"/>
      <c r="T69" s="125"/>
      <c r="U69" s="125"/>
      <c r="V69" s="203"/>
      <c r="W69" s="175"/>
      <c r="X69" s="127"/>
      <c r="Y69" s="127"/>
      <c r="Z69" s="400"/>
      <c r="AA69" s="400"/>
      <c r="AB69" s="122">
        <f>N69-K69</f>
        <v>-223.66038363671942</v>
      </c>
      <c r="AC69" s="195">
        <f>N69/K69</f>
        <v>0.85708601684554675</v>
      </c>
      <c r="AD69" s="396"/>
    </row>
    <row r="70" spans="1:32" ht="15" customHeight="1" x14ac:dyDescent="0.25">
      <c r="A70" s="405" t="s">
        <v>58</v>
      </c>
      <c r="B70" s="207" t="s">
        <v>63</v>
      </c>
      <c r="C70" s="207"/>
      <c r="D70" s="106" t="s">
        <v>261</v>
      </c>
      <c r="E70" s="107"/>
      <c r="F70" s="207">
        <f>VLOOKUP(D70,廠價表!$C$1:$E$39,3,0)</f>
        <v>47.71</v>
      </c>
      <c r="G70" s="196">
        <v>2286</v>
      </c>
      <c r="H70" s="109">
        <f t="shared" ref="H70:H73" si="45">F70*G70</f>
        <v>109065.06</v>
      </c>
      <c r="I70" s="196"/>
      <c r="J70" s="111">
        <f>VLOOKUP(D70,產線配置圖!$A$2:$C$38,2,0)</f>
        <v>16</v>
      </c>
      <c r="K70" s="108">
        <f>VLOOKUP(D70,產線配置圖!$A$2:$C$38,3,0)</f>
        <v>1385</v>
      </c>
      <c r="L70" s="112">
        <f>K70/J70</f>
        <v>86.5625</v>
      </c>
      <c r="M70" s="113">
        <v>13</v>
      </c>
      <c r="N70" s="108">
        <f t="shared" ref="N70:N71" si="46">G70/W70*60</f>
        <v>1124.2622950819673</v>
      </c>
      <c r="O70" s="112">
        <f t="shared" ref="O70:O71" si="47">N70/M70</f>
        <v>86.48171500630518</v>
      </c>
      <c r="P70" s="114">
        <f t="shared" ref="P70:P71" si="48">M70-J70</f>
        <v>-3</v>
      </c>
      <c r="Q70" s="115">
        <f t="shared" ref="Q70:Q71" si="49">O70-L70</f>
        <v>-8.0784993694820173E-2</v>
      </c>
      <c r="R70" s="192">
        <f t="shared" ref="R70:R71" si="50">O70/L70</f>
        <v>0.99906674375515014</v>
      </c>
      <c r="S70" s="408">
        <f>R79</f>
        <v>0.84459590272515395</v>
      </c>
      <c r="T70" s="176">
        <v>0.33680555555555558</v>
      </c>
      <c r="U70" s="176">
        <v>0.42152777777777778</v>
      </c>
      <c r="V70" s="196"/>
      <c r="W70" s="110">
        <f t="shared" ref="W70:W78" si="51">(U70-T70)*24*60</f>
        <v>121.99999999999997</v>
      </c>
      <c r="X70" s="342"/>
      <c r="Y70" s="342"/>
      <c r="Z70" s="413"/>
      <c r="AA70" s="414"/>
      <c r="AB70" s="240">
        <f t="shared" ref="AB70:AB73" si="52">N70-K70</f>
        <v>-260.7377049180327</v>
      </c>
      <c r="AC70" s="241">
        <f t="shared" ref="AC70:AC73" si="53">N70/K70</f>
        <v>0.81174172930105937</v>
      </c>
      <c r="AD70" s="391">
        <f>AC79</f>
        <v>0.76106649143551419</v>
      </c>
    </row>
    <row r="71" spans="1:32" ht="15" customHeight="1" x14ac:dyDescent="0.25">
      <c r="A71" s="406"/>
      <c r="B71" s="56" t="s">
        <v>140</v>
      </c>
      <c r="C71" s="10"/>
      <c r="D71" s="11" t="s">
        <v>223</v>
      </c>
      <c r="E71" s="89"/>
      <c r="F71" s="56">
        <f>VLOOKUP(D71,廠價表!$C$1:$E$39,3,0)</f>
        <v>57.3</v>
      </c>
      <c r="G71" s="67">
        <v>1615</v>
      </c>
      <c r="H71" s="77">
        <f t="shared" si="45"/>
        <v>92539.5</v>
      </c>
      <c r="I71" s="201"/>
      <c r="J71" s="16">
        <f>VLOOKUP(D71,產線配置圖!$A$2:$C$38,2,0)</f>
        <v>17</v>
      </c>
      <c r="K71" s="14">
        <f>VLOOKUP(D71,產線配置圖!$A$2:$C$38,3,0)</f>
        <v>1385</v>
      </c>
      <c r="L71" s="17">
        <f t="shared" ref="L71" si="54">K71/J71</f>
        <v>81.470588235294116</v>
      </c>
      <c r="M71" s="188">
        <v>15</v>
      </c>
      <c r="N71" s="14">
        <f t="shared" si="46"/>
        <v>988.77551020408191</v>
      </c>
      <c r="O71" s="17">
        <f t="shared" si="47"/>
        <v>65.918367346938794</v>
      </c>
      <c r="P71" s="18">
        <f t="shared" si="48"/>
        <v>-2</v>
      </c>
      <c r="Q71" s="19">
        <f t="shared" si="49"/>
        <v>-15.552220888355322</v>
      </c>
      <c r="R71" s="193">
        <f t="shared" si="50"/>
        <v>0.80910631400574695</v>
      </c>
      <c r="S71" s="409"/>
      <c r="T71" s="20">
        <v>0.43541666666666667</v>
      </c>
      <c r="U71" s="20">
        <v>0.50347222222222221</v>
      </c>
      <c r="V71" s="185">
        <f t="shared" ref="V71:V73" si="55">(T71-U70)*24*60</f>
        <v>20.000000000000007</v>
      </c>
      <c r="W71" s="341">
        <f t="shared" si="51"/>
        <v>97.999999999999972</v>
      </c>
      <c r="X71" s="344"/>
      <c r="Y71" s="345"/>
      <c r="Z71" s="442"/>
      <c r="AA71" s="443"/>
      <c r="AB71" s="39">
        <f t="shared" si="52"/>
        <v>-396.22448979591809</v>
      </c>
      <c r="AC71" s="198">
        <f t="shared" si="53"/>
        <v>0.71391733588742379</v>
      </c>
      <c r="AD71" s="393"/>
    </row>
    <row r="72" spans="1:32" ht="15" customHeight="1" x14ac:dyDescent="0.25">
      <c r="A72" s="406"/>
      <c r="B72" s="56" t="s">
        <v>140</v>
      </c>
      <c r="C72" s="10"/>
      <c r="D72" s="11" t="s">
        <v>223</v>
      </c>
      <c r="E72" s="89"/>
      <c r="F72" s="56">
        <f>VLOOKUP(D72,廠價表!$C$1:$E$39,3,0)</f>
        <v>57.3</v>
      </c>
      <c r="G72" s="67">
        <v>710</v>
      </c>
      <c r="H72" s="77">
        <f t="shared" si="45"/>
        <v>40683</v>
      </c>
      <c r="I72" s="201"/>
      <c r="J72" s="16">
        <f>VLOOKUP(D72,產線配置圖!$A$2:$C$38,2,0)</f>
        <v>17</v>
      </c>
      <c r="K72" s="14">
        <f>VLOOKUP(D72,產線配置圖!$A$2:$C$38,3,0)</f>
        <v>1385</v>
      </c>
      <c r="L72" s="17">
        <f t="shared" ref="L72:L73" si="56">K72/J72</f>
        <v>81.470588235294116</v>
      </c>
      <c r="M72" s="188">
        <v>15</v>
      </c>
      <c r="N72" s="14">
        <f t="shared" ref="N72:N73" si="57">G72/W72*60</f>
        <v>1064.9999999999995</v>
      </c>
      <c r="O72" s="17">
        <f t="shared" ref="O72:O73" si="58">N72/M72</f>
        <v>70.999999999999972</v>
      </c>
      <c r="P72" s="18">
        <f t="shared" ref="P72:P73" si="59">M72-J72</f>
        <v>-2</v>
      </c>
      <c r="Q72" s="19">
        <f t="shared" ref="Q72:Q73" si="60">O72-L72</f>
        <v>-10.470588235294144</v>
      </c>
      <c r="R72" s="193">
        <f t="shared" ref="R72:R73" si="61">O72/L72</f>
        <v>0.87148014440433175</v>
      </c>
      <c r="S72" s="409"/>
      <c r="T72" s="20">
        <v>0.5625</v>
      </c>
      <c r="U72" s="20">
        <v>0.59027777777777779</v>
      </c>
      <c r="V72" s="185">
        <f t="shared" si="55"/>
        <v>85.000000000000014</v>
      </c>
      <c r="W72" s="190">
        <f t="shared" si="51"/>
        <v>40.000000000000014</v>
      </c>
      <c r="X72" s="343">
        <v>0.50694444444444442</v>
      </c>
      <c r="Y72" s="343">
        <v>0.54861111111111116</v>
      </c>
      <c r="Z72" s="400"/>
      <c r="AA72" s="398"/>
      <c r="AB72" s="39">
        <f t="shared" si="52"/>
        <v>-320.00000000000045</v>
      </c>
      <c r="AC72" s="198">
        <f t="shared" si="53"/>
        <v>0.76895306859205748</v>
      </c>
      <c r="AD72" s="393"/>
    </row>
    <row r="73" spans="1:32" ht="15" customHeight="1" x14ac:dyDescent="0.25">
      <c r="A73" s="406"/>
      <c r="B73" s="56" t="s">
        <v>140</v>
      </c>
      <c r="C73" s="23"/>
      <c r="D73" s="11" t="s">
        <v>261</v>
      </c>
      <c r="E73" s="12"/>
      <c r="F73" s="56">
        <f>VLOOKUP(D73,廠價表!$C$1:$E$39,3,0)</f>
        <v>47.71</v>
      </c>
      <c r="G73" s="67">
        <v>1628</v>
      </c>
      <c r="H73" s="77">
        <f t="shared" si="45"/>
        <v>77671.88</v>
      </c>
      <c r="I73" s="201"/>
      <c r="J73" s="16">
        <f>VLOOKUP(D73,產線配置圖!$A$2:$C$38,2,0)</f>
        <v>16</v>
      </c>
      <c r="K73" s="14">
        <f>VLOOKUP(D73,產線配置圖!$A$2:$C$38,3,0)</f>
        <v>1385</v>
      </c>
      <c r="L73" s="17">
        <f t="shared" si="56"/>
        <v>86.5625</v>
      </c>
      <c r="M73" s="188">
        <v>15</v>
      </c>
      <c r="N73" s="14">
        <f t="shared" si="57"/>
        <v>887.99999999999932</v>
      </c>
      <c r="O73" s="17">
        <f t="shared" si="58"/>
        <v>59.199999999999953</v>
      </c>
      <c r="P73" s="18">
        <f t="shared" si="59"/>
        <v>-1</v>
      </c>
      <c r="Q73" s="19">
        <f t="shared" si="60"/>
        <v>-27.362500000000047</v>
      </c>
      <c r="R73" s="193">
        <f t="shared" si="61"/>
        <v>0.68389891696750849</v>
      </c>
      <c r="S73" s="409"/>
      <c r="T73" s="20">
        <v>0.59722222222222221</v>
      </c>
      <c r="U73" s="20">
        <v>0.67361111111111116</v>
      </c>
      <c r="V73" s="185">
        <f t="shared" si="55"/>
        <v>9.9999999999999645</v>
      </c>
      <c r="W73" s="190">
        <f t="shared" si="51"/>
        <v>110.00000000000009</v>
      </c>
      <c r="X73" s="22"/>
      <c r="Y73" s="22"/>
      <c r="Z73" s="400" t="s">
        <v>272</v>
      </c>
      <c r="AA73" s="398"/>
      <c r="AB73" s="39">
        <f t="shared" si="52"/>
        <v>-497.00000000000068</v>
      </c>
      <c r="AC73" s="198">
        <f t="shared" si="53"/>
        <v>0.64115523465703916</v>
      </c>
      <c r="AD73" s="393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>
        <f t="shared" ref="H74:H78" si="62">F74*G74</f>
        <v>0</v>
      </c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1"/>
        <v>0</v>
      </c>
      <c r="X74" s="22"/>
      <c r="Y74" s="22"/>
      <c r="Z74" s="400"/>
      <c r="AA74" s="398"/>
      <c r="AB74" s="39"/>
      <c r="AC74" s="198"/>
      <c r="AD74" s="393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si="62"/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1"/>
        <v>0</v>
      </c>
      <c r="X75" s="92"/>
      <c r="Y75" s="92"/>
      <c r="Z75" s="402"/>
      <c r="AA75" s="402"/>
      <c r="AB75" s="352"/>
      <c r="AC75" s="353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62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1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62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1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62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1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63">AVERAGE(J69:J78)</f>
        <v>15.680000000000001</v>
      </c>
      <c r="K79" s="173">
        <f t="shared" si="63"/>
        <v>1421</v>
      </c>
      <c r="L79" s="178">
        <f t="shared" si="63"/>
        <v>92.494004524886876</v>
      </c>
      <c r="M79" s="173">
        <f t="shared" si="63"/>
        <v>14.080000000000002</v>
      </c>
      <c r="N79" s="173">
        <f t="shared" si="63"/>
        <v>1081.4754843298656</v>
      </c>
      <c r="O79" s="178">
        <f t="shared" si="63"/>
        <v>78.120057248361306</v>
      </c>
      <c r="P79" s="179">
        <f>M79-J79</f>
        <v>-1.5999999999999996</v>
      </c>
      <c r="Q79" s="165">
        <f>N79-K79</f>
        <v>-339.52451567013441</v>
      </c>
      <c r="R79" s="166">
        <f>O79/L79</f>
        <v>0.84459590272515395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-339.52451567013441</v>
      </c>
      <c r="AC79" s="195">
        <f>N79/K79</f>
        <v>0.76106649143551419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Z15:AA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</mergeCells>
  <phoneticPr fontId="2" type="noConversion"/>
  <conditionalFormatting sqref="P5:P79">
    <cfRule type="cellIs" dxfId="18" priority="1" operator="greaterThan">
      <formula>0</formula>
    </cfRule>
  </conditionalFormatting>
  <conditionalFormatting sqref="Q5:Q79 AB5:AB79">
    <cfRule type="cellIs" dxfId="17" priority="4" operator="lessThan">
      <formula>0</formula>
    </cfRule>
  </conditionalFormatting>
  <conditionalFormatting sqref="R5:R79 AC5:AC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D59:AD62 S69:S76 AD69:AD76">
    <cfRule type="cellIs" dxfId="14" priority="7" operator="lessThan">
      <formula>0.8</formula>
    </cfRule>
  </conditionalFormatting>
  <conditionalFormatting sqref="S19:S25 AD19:AD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D5:AD8 S15:S16 AD15:AD16 AD49 AD79">
    <cfRule type="cellIs" dxfId="11" priority="9" operator="lessThan">
      <formula>0.8</formula>
    </cfRule>
  </conditionalFormatting>
  <conditionalFormatting sqref="AD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A345D5-D972-4087-B0FB-7D0D2D93EDEA}">
          <x14:formula1>
            <xm:f>廠價表!$C$2:$C$37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FDC6-66A5-4228-A58C-3EFFD394D67B}">
  <sheetPr>
    <pageSetUpPr fitToPage="1"/>
  </sheetPr>
  <dimension ref="B1:O22"/>
  <sheetViews>
    <sheetView zoomScale="70" zoomScaleNormal="70" workbookViewId="0">
      <selection activeCell="J3" sqref="J3:K3"/>
    </sheetView>
  </sheetViews>
  <sheetFormatPr defaultColWidth="8.125" defaultRowHeight="15.75" x14ac:dyDescent="0.25"/>
  <cols>
    <col min="1" max="1" width="8.125" style="213"/>
    <col min="2" max="2" width="7.125" style="213" customWidth="1"/>
    <col min="3" max="3" width="7.125" style="233" customWidth="1"/>
    <col min="4" max="17" width="14.125" style="213" customWidth="1"/>
    <col min="18" max="21" width="9.625" style="213" customWidth="1"/>
    <col min="22" max="22" width="11.125" style="213" customWidth="1"/>
    <col min="23" max="23" width="11.5" style="213" customWidth="1"/>
    <col min="24" max="16384" width="8.125" style="213"/>
  </cols>
  <sheetData>
    <row r="1" spans="2:15" ht="27.75" customHeight="1" x14ac:dyDescent="0.25">
      <c r="B1" s="382" t="s">
        <v>74</v>
      </c>
      <c r="C1" s="382"/>
      <c r="D1" s="382"/>
      <c r="E1" s="382"/>
      <c r="F1" s="382"/>
      <c r="G1" s="382"/>
      <c r="H1" s="382"/>
      <c r="I1" s="382"/>
      <c r="J1" s="382"/>
      <c r="K1" s="382"/>
      <c r="L1" s="212"/>
      <c r="M1" s="212"/>
    </row>
    <row r="2" spans="2:15" ht="27.75" customHeight="1" x14ac:dyDescent="0.25"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212"/>
      <c r="M2" s="212"/>
    </row>
    <row r="3" spans="2:15" ht="46.5" customHeight="1" x14ac:dyDescent="0.25">
      <c r="B3" s="361" t="s">
        <v>75</v>
      </c>
      <c r="C3" s="361"/>
      <c r="D3" s="383">
        <v>45961</v>
      </c>
      <c r="E3" s="383"/>
      <c r="F3" s="214" t="s">
        <v>76</v>
      </c>
      <c r="G3" s="384">
        <f>'1031'!E1</f>
        <v>44760</v>
      </c>
      <c r="H3" s="384"/>
      <c r="I3" s="214" t="s">
        <v>77</v>
      </c>
      <c r="J3" s="385">
        <f>'1031'!G1</f>
        <v>2184554.0499999998</v>
      </c>
      <c r="K3" s="385"/>
      <c r="L3" s="215"/>
    </row>
    <row r="4" spans="2:15" ht="24" customHeight="1" x14ac:dyDescent="0.25">
      <c r="B4" s="361" t="s">
        <v>78</v>
      </c>
      <c r="C4" s="361"/>
      <c r="D4" s="378">
        <v>3</v>
      </c>
      <c r="E4" s="378"/>
      <c r="F4" s="387" t="s">
        <v>79</v>
      </c>
      <c r="G4" s="387"/>
      <c r="H4" s="387" t="s">
        <v>80</v>
      </c>
      <c r="I4" s="387"/>
      <c r="J4" s="378" t="s">
        <v>81</v>
      </c>
      <c r="K4" s="387"/>
      <c r="L4" s="216"/>
    </row>
    <row r="5" spans="2:15" ht="24" customHeight="1" x14ac:dyDescent="0.25">
      <c r="B5" s="361" t="s">
        <v>82</v>
      </c>
      <c r="C5" s="361"/>
      <c r="D5" s="378" t="s">
        <v>83</v>
      </c>
      <c r="E5" s="378"/>
      <c r="F5" s="378" t="s">
        <v>84</v>
      </c>
      <c r="G5" s="378"/>
      <c r="H5" s="379" t="s">
        <v>63</v>
      </c>
      <c r="I5" s="379"/>
      <c r="J5" s="386" t="s">
        <v>85</v>
      </c>
      <c r="K5" s="386"/>
      <c r="L5" s="217"/>
    </row>
    <row r="6" spans="2:15" ht="39.6" customHeight="1" x14ac:dyDescent="0.25">
      <c r="B6" s="361"/>
      <c r="C6" s="361"/>
      <c r="D6" s="361" t="s">
        <v>86</v>
      </c>
      <c r="E6" s="361"/>
      <c r="F6" s="362">
        <f>AVERAGE(D13:J13)</f>
        <v>112.97500346292361</v>
      </c>
      <c r="G6" s="362"/>
      <c r="H6" s="363">
        <f>AVERAGE(D13:H13)</f>
        <v>113.07675907970024</v>
      </c>
      <c r="I6" s="363"/>
      <c r="J6" s="363">
        <f>AVERAGE(I13:J13)</f>
        <v>112.72061442098207</v>
      </c>
      <c r="K6" s="363"/>
      <c r="L6" s="217"/>
    </row>
    <row r="7" spans="2:15" s="218" customFormat="1" ht="39.6" customHeight="1" x14ac:dyDescent="0.25">
      <c r="B7" s="361"/>
      <c r="C7" s="361"/>
      <c r="D7" s="359" t="s">
        <v>87</v>
      </c>
      <c r="E7" s="359"/>
      <c r="F7" s="380">
        <f>AVERAGE(D14:J14)</f>
        <v>98.344707866230436</v>
      </c>
      <c r="G7" s="380"/>
      <c r="H7" s="381">
        <f>AVERAGE(D14:H14)</f>
        <v>98.86167026680188</v>
      </c>
      <c r="I7" s="381"/>
      <c r="J7" s="381">
        <f>AVERAGE(I14:J14)</f>
        <v>97.052301864801834</v>
      </c>
      <c r="K7" s="381"/>
    </row>
    <row r="8" spans="2:15" s="218" customFormat="1" ht="39.6" customHeight="1" x14ac:dyDescent="0.25">
      <c r="B8" s="361"/>
      <c r="C8" s="361"/>
      <c r="D8" s="359" t="s">
        <v>88</v>
      </c>
      <c r="E8" s="359"/>
      <c r="F8" s="360">
        <f>AVERAGE(D15:J15)</f>
        <v>0.85964342241670366</v>
      </c>
      <c r="G8" s="360"/>
      <c r="H8" s="360">
        <f>AVERAGE(D15:H15)</f>
        <v>0.85964153936157894</v>
      </c>
      <c r="I8" s="360"/>
      <c r="J8" s="360">
        <f>AVERAGE(I15:J15)</f>
        <v>0.85964813005451557</v>
      </c>
      <c r="K8" s="360"/>
      <c r="L8" s="219" t="s">
        <v>89</v>
      </c>
    </row>
    <row r="9" spans="2:15" ht="25.5" customHeight="1" x14ac:dyDescent="0.25">
      <c r="B9" s="217"/>
      <c r="C9" s="217"/>
      <c r="D9" s="217"/>
      <c r="E9" s="217"/>
      <c r="F9" s="217"/>
      <c r="G9" s="217"/>
      <c r="H9" s="220"/>
      <c r="I9" s="221"/>
      <c r="J9" s="221"/>
      <c r="K9" s="221"/>
      <c r="L9" s="221"/>
      <c r="M9" s="221"/>
      <c r="N9" s="221"/>
      <c r="O9" s="217"/>
    </row>
    <row r="10" spans="2:15" ht="30" customHeight="1" x14ac:dyDescent="0.25">
      <c r="B10" s="481" t="s">
        <v>0</v>
      </c>
      <c r="C10" s="355"/>
      <c r="D10" s="483" t="s">
        <v>90</v>
      </c>
      <c r="E10" s="484"/>
      <c r="F10" s="484"/>
      <c r="G10" s="484"/>
      <c r="H10" s="484"/>
      <c r="I10" s="484"/>
      <c r="J10" s="485"/>
    </row>
    <row r="11" spans="2:15" ht="17.25" customHeight="1" x14ac:dyDescent="0.25">
      <c r="B11" s="486" t="s">
        <v>91</v>
      </c>
      <c r="C11" s="368"/>
      <c r="D11" s="222">
        <v>1</v>
      </c>
      <c r="E11" s="222">
        <v>2</v>
      </c>
      <c r="F11" s="222">
        <v>3</v>
      </c>
      <c r="G11" s="222">
        <v>4</v>
      </c>
      <c r="H11" s="222">
        <v>5</v>
      </c>
      <c r="I11" s="222">
        <v>6</v>
      </c>
      <c r="J11" s="222">
        <v>7</v>
      </c>
    </row>
    <row r="12" spans="2:15" ht="33.950000000000003" customHeight="1" x14ac:dyDescent="0.25">
      <c r="B12" s="487"/>
      <c r="C12" s="370"/>
      <c r="D12" s="224" t="s">
        <v>92</v>
      </c>
      <c r="E12" s="224" t="s">
        <v>93</v>
      </c>
      <c r="F12" s="224" t="s">
        <v>94</v>
      </c>
      <c r="G12" s="224" t="s">
        <v>95</v>
      </c>
      <c r="H12" s="224" t="s">
        <v>96</v>
      </c>
      <c r="I12" s="224" t="s">
        <v>97</v>
      </c>
      <c r="J12" s="224" t="s">
        <v>98</v>
      </c>
    </row>
    <row r="13" spans="2:15" ht="39.950000000000003" customHeight="1" x14ac:dyDescent="0.25">
      <c r="B13" s="488" t="s">
        <v>1</v>
      </c>
      <c r="C13" s="226" t="s">
        <v>99</v>
      </c>
      <c r="D13" s="227">
        <f>VALUE('1031'!L15)</f>
        <v>147.68315018315016</v>
      </c>
      <c r="E13" s="227">
        <f>VALUE('1031'!L26)</f>
        <v>155.12820512820511</v>
      </c>
      <c r="F13" s="227">
        <f>VALUE('1031'!L37)</f>
        <v>84.501633986928113</v>
      </c>
      <c r="G13" s="227">
        <f>VALUE('1031'!L48)</f>
        <v>88.735294117647058</v>
      </c>
      <c r="H13" s="227">
        <f>VALUE('1031'!L58)</f>
        <v>89.335511982570821</v>
      </c>
      <c r="I13" s="227">
        <f>VALUE('1031'!L69)</f>
        <v>127.07264957264958</v>
      </c>
      <c r="J13" s="227">
        <f>VALUE('1031'!L79)</f>
        <v>98.368579269314566</v>
      </c>
    </row>
    <row r="14" spans="2:15" ht="39.950000000000003" customHeight="1" x14ac:dyDescent="0.25">
      <c r="B14" s="489"/>
      <c r="C14" s="226" t="s">
        <v>100</v>
      </c>
      <c r="D14" s="227">
        <f>VALUE('1031'!O15)</f>
        <v>139.75754404325841</v>
      </c>
      <c r="E14" s="227">
        <f>VALUE('1031'!O26)</f>
        <v>140.45144930657253</v>
      </c>
      <c r="F14" s="227">
        <f>VALUE('1031'!O37)</f>
        <v>70.395735432330824</v>
      </c>
      <c r="G14" s="227">
        <f>VALUE('1031'!O48)</f>
        <v>63.811330049261031</v>
      </c>
      <c r="H14" s="227">
        <f>VALUE('1031'!O58)</f>
        <v>79.892292502586614</v>
      </c>
      <c r="I14" s="227">
        <f>VALUE('1031'!O69)</f>
        <v>110.5856643356643</v>
      </c>
      <c r="J14" s="227">
        <f>VALUE('1031'!O79)</f>
        <v>83.518939393939363</v>
      </c>
    </row>
    <row r="15" spans="2:15" ht="39.950000000000003" customHeight="1" x14ac:dyDescent="0.25">
      <c r="B15" s="490"/>
      <c r="C15" s="222" t="s">
        <v>101</v>
      </c>
      <c r="D15" s="248">
        <f>D14/D13</f>
        <v>0.9463337142384709</v>
      </c>
      <c r="E15" s="248">
        <f t="shared" ref="E15:J15" si="0">E14/E13</f>
        <v>0.90538950792666595</v>
      </c>
      <c r="F15" s="248">
        <f t="shared" si="0"/>
        <v>0.8330695172500524</v>
      </c>
      <c r="G15" s="248">
        <f t="shared" si="0"/>
        <v>0.71912006021706165</v>
      </c>
      <c r="H15" s="248">
        <f t="shared" si="0"/>
        <v>0.89429489717564314</v>
      </c>
      <c r="I15" s="248">
        <f t="shared" si="0"/>
        <v>0.87025543818884965</v>
      </c>
      <c r="J15" s="248">
        <f t="shared" si="0"/>
        <v>0.84904082192018149</v>
      </c>
    </row>
    <row r="16" spans="2:15" ht="17.25" customHeight="1" x14ac:dyDescent="0.25">
      <c r="B16" s="491" t="s">
        <v>102</v>
      </c>
      <c r="C16" s="222" t="s">
        <v>103</v>
      </c>
      <c r="D16" s="98">
        <f>'1031'!T5</f>
        <v>0.2902777777777778</v>
      </c>
      <c r="E16" s="98">
        <f>'1031'!T16</f>
        <v>0.29097222222222224</v>
      </c>
      <c r="F16" s="98">
        <f>'1031'!T27</f>
        <v>0.29444444444444445</v>
      </c>
      <c r="G16" s="98">
        <f>'1031'!T38</f>
        <v>0.33333333333333331</v>
      </c>
      <c r="H16" s="98">
        <f>'1031'!T49</f>
        <v>0.29166666666666669</v>
      </c>
      <c r="I16" s="98">
        <f>'1031'!T59</f>
        <v>0.29375000000000001</v>
      </c>
      <c r="J16" s="293">
        <f>'1031'!T70</f>
        <v>0.33333333333333331</v>
      </c>
    </row>
    <row r="17" spans="2:10" ht="17.25" customHeight="1" x14ac:dyDescent="0.25">
      <c r="B17" s="492"/>
      <c r="C17" s="222" t="s">
        <v>104</v>
      </c>
      <c r="D17" s="98">
        <v>0.4826388888888889</v>
      </c>
      <c r="E17" s="41">
        <v>0.60138888888888886</v>
      </c>
      <c r="F17" s="291">
        <v>0.4861111111111111</v>
      </c>
      <c r="G17" s="59">
        <v>0.58680555555555558</v>
      </c>
      <c r="H17" s="44">
        <v>0.55347222222222225</v>
      </c>
      <c r="I17" s="20">
        <v>0.5</v>
      </c>
      <c r="J17" s="20">
        <v>0.59375</v>
      </c>
    </row>
    <row r="18" spans="2:10" ht="17.25" customHeight="1" x14ac:dyDescent="0.25">
      <c r="B18" s="481" t="s">
        <v>105</v>
      </c>
      <c r="C18" s="355"/>
      <c r="D18" s="229">
        <f>VALUE('1031'!M15)</f>
        <v>13.333333333333334</v>
      </c>
      <c r="E18" s="229">
        <f>VALUE('1031'!M26)</f>
        <v>13</v>
      </c>
      <c r="F18" s="229">
        <f>VALUE('1031'!M37)</f>
        <v>14.5</v>
      </c>
      <c r="G18" s="229">
        <f>VALUE('1031'!M48)</f>
        <v>15</v>
      </c>
      <c r="H18" s="229">
        <f>VALUE('1031'!M58)</f>
        <v>17.666666666666668</v>
      </c>
      <c r="I18" s="229">
        <f>VALUE('1031'!M69)</f>
        <v>12.333333333333334</v>
      </c>
      <c r="J18" s="229">
        <f>VALUE('1031'!M79)</f>
        <v>14.777777777777779</v>
      </c>
    </row>
    <row r="19" spans="2:10" ht="17.25" customHeight="1" x14ac:dyDescent="0.25">
      <c r="B19" s="481" t="s">
        <v>106</v>
      </c>
      <c r="C19" s="355"/>
      <c r="D19" s="224" t="s">
        <v>107</v>
      </c>
      <c r="E19" s="224" t="s">
        <v>107</v>
      </c>
      <c r="F19" s="224" t="s">
        <v>108</v>
      </c>
      <c r="G19" s="224" t="s">
        <v>108</v>
      </c>
      <c r="H19" s="224" t="s">
        <v>108</v>
      </c>
      <c r="I19" s="224" t="s">
        <v>109</v>
      </c>
      <c r="J19" s="224" t="s">
        <v>108</v>
      </c>
    </row>
    <row r="20" spans="2:10" ht="17.25" customHeight="1" x14ac:dyDescent="0.25">
      <c r="B20" s="481" t="s">
        <v>111</v>
      </c>
      <c r="C20" s="355"/>
      <c r="D20" s="224"/>
      <c r="E20" s="224"/>
      <c r="F20" s="224"/>
      <c r="G20" s="231"/>
      <c r="H20" s="224" t="s">
        <v>110</v>
      </c>
      <c r="I20" s="224"/>
      <c r="J20" s="224"/>
    </row>
    <row r="21" spans="2:10" ht="17.25" customHeight="1" x14ac:dyDescent="0.25">
      <c r="B21" s="481" t="s">
        <v>112</v>
      </c>
      <c r="C21" s="355"/>
      <c r="D21" s="295"/>
      <c r="E21" s="295"/>
      <c r="F21" s="295"/>
      <c r="G21" s="295"/>
      <c r="H21" s="295"/>
      <c r="I21" s="295"/>
      <c r="J21" s="295"/>
    </row>
    <row r="22" spans="2:10" x14ac:dyDescent="0.25">
      <c r="B22" s="482"/>
      <c r="C22" s="482"/>
    </row>
  </sheetData>
  <mergeCells count="37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J8:K8"/>
    <mergeCell ref="D10:J10"/>
    <mergeCell ref="B11:C12"/>
    <mergeCell ref="B13:B15"/>
    <mergeCell ref="B16:B17"/>
    <mergeCell ref="B18:C18"/>
    <mergeCell ref="B19:C19"/>
    <mergeCell ref="B20:C20"/>
    <mergeCell ref="B21:C21"/>
    <mergeCell ref="B22:C22"/>
    <mergeCell ref="B10:C10"/>
  </mergeCells>
  <phoneticPr fontId="2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834F-CD51-4E8C-B0D6-75402B87E021}">
  <sheetPr>
    <tabColor theme="9" tint="0.79998168889431442"/>
    <pageSetUpPr fitToPage="1"/>
  </sheetPr>
  <dimension ref="A1:AF92"/>
  <sheetViews>
    <sheetView zoomScale="69" zoomScaleNormal="69" workbookViewId="0">
      <pane xSplit="5" ySplit="4" topLeftCell="F5" activePane="bottomRight" state="frozen"/>
      <selection activeCell="U9" sqref="U9"/>
      <selection pane="topRight" activeCell="U9" sqref="U9"/>
      <selection pane="bottomLeft" activeCell="U9" sqref="U9"/>
      <selection pane="bottomRight" activeCell="F27" sqref="F27:H28"/>
    </sheetView>
  </sheetViews>
  <sheetFormatPr defaultColWidth="7.875" defaultRowHeight="15.75" x14ac:dyDescent="0.25"/>
  <cols>
    <col min="1" max="1" width="15" style="6" customWidth="1"/>
    <col min="2" max="2" width="12.875" style="6" customWidth="1"/>
    <col min="3" max="3" width="12.875" style="6" hidden="1" customWidth="1"/>
    <col min="4" max="4" width="26.125" style="6" bestFit="1" customWidth="1"/>
    <col min="5" max="5" width="15" style="6" customWidth="1"/>
    <col min="6" max="6" width="8.875" style="6" bestFit="1" customWidth="1"/>
    <col min="7" max="7" width="20.125" style="6" bestFit="1" customWidth="1"/>
    <col min="8" max="8" width="16.375" style="6" bestFit="1" customWidth="1"/>
    <col min="9" max="9" width="10.875" style="6" bestFit="1" customWidth="1"/>
    <col min="10" max="10" width="10.125" style="6" bestFit="1" customWidth="1"/>
    <col min="11" max="11" width="10.625" style="6" customWidth="1"/>
    <col min="12" max="12" width="14.5" style="6" customWidth="1"/>
    <col min="13" max="13" width="10.125" style="6" bestFit="1" customWidth="1"/>
    <col min="14" max="14" width="10.25" style="6" bestFit="1" customWidth="1"/>
    <col min="15" max="15" width="11.875" style="6" customWidth="1"/>
    <col min="16" max="17" width="9.125" style="6" bestFit="1" customWidth="1"/>
    <col min="18" max="18" width="9.125" style="6" customWidth="1"/>
    <col min="19" max="19" width="8.375" style="6" customWidth="1"/>
    <col min="20" max="21" width="9.375" style="6" bestFit="1" customWidth="1"/>
    <col min="22" max="22" width="10.625" style="6" customWidth="1"/>
    <col min="23" max="23" width="8.625" style="95" customWidth="1"/>
    <col min="24" max="24" width="7.5" style="6" bestFit="1" customWidth="1"/>
    <col min="25" max="25" width="6.875" style="6" customWidth="1"/>
    <col min="26" max="26" width="12.625" style="6" customWidth="1"/>
    <col min="27" max="27" width="33.375" style="6" customWidth="1"/>
    <col min="28" max="28" width="13.125" style="6" bestFit="1" customWidth="1"/>
    <col min="29" max="29" width="10.375" style="6" customWidth="1"/>
    <col min="30" max="30" width="9.125" style="6" customWidth="1"/>
    <col min="31" max="31" width="7.875" style="6"/>
    <col min="32" max="32" width="24.5" style="6" bestFit="1" customWidth="1"/>
    <col min="33" max="16384" width="7.875" style="6"/>
  </cols>
  <sheetData>
    <row r="1" spans="1:30" ht="21" x14ac:dyDescent="0.25">
      <c r="A1" s="2" t="s">
        <v>73</v>
      </c>
      <c r="B1" s="2"/>
      <c r="C1" s="2"/>
      <c r="D1" s="184" t="s">
        <v>8</v>
      </c>
      <c r="E1" s="3">
        <f>SUM(G5:G79)</f>
        <v>44760</v>
      </c>
      <c r="F1" s="185" t="s">
        <v>9</v>
      </c>
      <c r="G1" s="4">
        <f>SUM(H5:H79)</f>
        <v>2184554.0499999998</v>
      </c>
      <c r="H1" s="183" t="s">
        <v>10</v>
      </c>
      <c r="I1" s="5">
        <f>M15+M26+M48+M58+M69+M79+M37</f>
        <v>100.61111111111111</v>
      </c>
      <c r="J1" s="463" t="s">
        <v>11</v>
      </c>
      <c r="K1" s="463"/>
      <c r="L1" s="463"/>
      <c r="M1" s="463" t="s">
        <v>12</v>
      </c>
      <c r="N1" s="463"/>
      <c r="O1" s="463"/>
      <c r="P1" s="463" t="s">
        <v>13</v>
      </c>
      <c r="Q1" s="463"/>
      <c r="R1" s="463"/>
      <c r="S1" s="463"/>
      <c r="T1" s="463" t="s">
        <v>14</v>
      </c>
      <c r="U1" s="463"/>
      <c r="V1" s="463"/>
      <c r="W1" s="463"/>
      <c r="X1" s="463"/>
      <c r="Y1" s="463"/>
      <c r="Z1" s="463" t="s">
        <v>15</v>
      </c>
      <c r="AA1" s="463"/>
      <c r="AB1" s="463" t="s">
        <v>16</v>
      </c>
      <c r="AC1" s="470"/>
      <c r="AD1" s="470"/>
    </row>
    <row r="2" spans="1:30" ht="18.75" x14ac:dyDescent="0.25">
      <c r="A2" s="461" t="s">
        <v>273</v>
      </c>
      <c r="B2" s="461"/>
      <c r="C2" s="184"/>
      <c r="D2" s="184" t="s">
        <v>1</v>
      </c>
      <c r="E2" s="7">
        <f>AVERAGE(O15,O26,O37,O48,O58,O69,O79)</f>
        <v>98.344707866230436</v>
      </c>
      <c r="F2" s="8" t="s">
        <v>2</v>
      </c>
      <c r="G2" s="9">
        <f>G1/E1</f>
        <v>48.805943923145662</v>
      </c>
      <c r="H2" s="183" t="s">
        <v>17</v>
      </c>
      <c r="I2" s="183">
        <f>COUNT(I5:I79)</f>
        <v>0</v>
      </c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70"/>
      <c r="AC2" s="470"/>
      <c r="AD2" s="470"/>
    </row>
    <row r="3" spans="1:30" x14ac:dyDescent="0.25">
      <c r="A3" s="400" t="s">
        <v>18</v>
      </c>
      <c r="B3" s="400" t="s">
        <v>19</v>
      </c>
      <c r="C3" s="185"/>
      <c r="D3" s="400" t="s">
        <v>20</v>
      </c>
      <c r="E3" s="400"/>
      <c r="F3" s="447" t="s">
        <v>21</v>
      </c>
      <c r="G3" s="448" t="s">
        <v>22</v>
      </c>
      <c r="H3" s="447" t="s">
        <v>23</v>
      </c>
      <c r="I3" s="446" t="s">
        <v>24</v>
      </c>
      <c r="J3" s="471" t="s">
        <v>25</v>
      </c>
      <c r="K3" s="455" t="s">
        <v>26</v>
      </c>
      <c r="L3" s="468" t="s">
        <v>1</v>
      </c>
      <c r="M3" s="448" t="s">
        <v>25</v>
      </c>
      <c r="N3" s="455" t="s">
        <v>26</v>
      </c>
      <c r="O3" s="468" t="s">
        <v>1</v>
      </c>
      <c r="P3" s="471" t="s">
        <v>25</v>
      </c>
      <c r="Q3" s="468" t="s">
        <v>1</v>
      </c>
      <c r="R3" s="473" t="s">
        <v>27</v>
      </c>
      <c r="S3" s="457" t="s">
        <v>28</v>
      </c>
      <c r="T3" s="448" t="s">
        <v>4</v>
      </c>
      <c r="U3" s="448"/>
      <c r="V3" s="449" t="s">
        <v>29</v>
      </c>
      <c r="W3" s="446" t="s">
        <v>30</v>
      </c>
      <c r="X3" s="448" t="s">
        <v>31</v>
      </c>
      <c r="Y3" s="448"/>
      <c r="Z3" s="452" t="s">
        <v>72</v>
      </c>
      <c r="AA3" s="453"/>
      <c r="AB3" s="455" t="s">
        <v>26</v>
      </c>
      <c r="AC3" s="473" t="s">
        <v>27</v>
      </c>
      <c r="AD3" s="457" t="s">
        <v>28</v>
      </c>
    </row>
    <row r="4" spans="1:30" ht="16.5" thickBot="1" x14ac:dyDescent="0.3">
      <c r="A4" s="447"/>
      <c r="B4" s="447"/>
      <c r="C4" s="186"/>
      <c r="D4" s="447"/>
      <c r="E4" s="447"/>
      <c r="F4" s="462"/>
      <c r="G4" s="450"/>
      <c r="H4" s="462"/>
      <c r="I4" s="451"/>
      <c r="J4" s="472"/>
      <c r="K4" s="456"/>
      <c r="L4" s="469"/>
      <c r="M4" s="450"/>
      <c r="N4" s="456"/>
      <c r="O4" s="469"/>
      <c r="P4" s="472"/>
      <c r="Q4" s="469"/>
      <c r="R4" s="474"/>
      <c r="S4" s="458"/>
      <c r="T4" s="187" t="s">
        <v>5</v>
      </c>
      <c r="U4" s="187" t="s">
        <v>6</v>
      </c>
      <c r="V4" s="450"/>
      <c r="W4" s="451"/>
      <c r="X4" s="186" t="s">
        <v>32</v>
      </c>
      <c r="Y4" s="186" t="s">
        <v>33</v>
      </c>
      <c r="Z4" s="454"/>
      <c r="AA4" s="454"/>
      <c r="AB4" s="456"/>
      <c r="AC4" s="474"/>
      <c r="AD4" s="458"/>
    </row>
    <row r="5" spans="1:30" ht="15" customHeight="1" x14ac:dyDescent="0.25">
      <c r="A5" s="464" t="s">
        <v>67</v>
      </c>
      <c r="B5" s="207" t="str">
        <f>VLOOKUP(D5,廠價表!$C$1:$E$39,2,0)</f>
        <v>義大利麵</v>
      </c>
      <c r="C5" s="105"/>
      <c r="D5" s="106" t="s">
        <v>130</v>
      </c>
      <c r="E5" s="107"/>
      <c r="F5" s="207">
        <f>VLOOKUP(D5,廠價表!$C$1:$E$39,3,0)</f>
        <v>57.21</v>
      </c>
      <c r="G5" s="108">
        <v>1333</v>
      </c>
      <c r="H5" s="109">
        <f>F5*G5</f>
        <v>76260.930000000008</v>
      </c>
      <c r="I5" s="110"/>
      <c r="J5" s="111">
        <f>VLOOKUP(D5,產線配置圖!$A$2:$C$38,2,0)</f>
        <v>13</v>
      </c>
      <c r="K5" s="108">
        <f>VLOOKUP(D5,產線配置圖!$A$2:$C$38,3,0)</f>
        <v>2000</v>
      </c>
      <c r="L5" s="112">
        <f>K5/J5</f>
        <v>153.84615384615384</v>
      </c>
      <c r="M5" s="113">
        <v>13</v>
      </c>
      <c r="N5" s="108">
        <f>G5/W5*60</f>
        <v>1904.2857142857174</v>
      </c>
      <c r="O5" s="112">
        <f>N5/M5</f>
        <v>146.48351648351672</v>
      </c>
      <c r="P5" s="114">
        <f>M5-J5</f>
        <v>0</v>
      </c>
      <c r="Q5" s="115">
        <f>O5-L5</f>
        <v>-7.3626373626371162</v>
      </c>
      <c r="R5" s="192">
        <f>O5/L5</f>
        <v>0.95214285714285873</v>
      </c>
      <c r="S5" s="408">
        <f>R15</f>
        <v>0.9463337142384709</v>
      </c>
      <c r="T5" s="97">
        <v>0.2902777777777778</v>
      </c>
      <c r="U5" s="97">
        <v>0.31944444444444442</v>
      </c>
      <c r="V5" s="202"/>
      <c r="W5" s="110">
        <f t="shared" ref="W5:W14" si="0">(U5-T5)*24*60</f>
        <v>41.999999999999929</v>
      </c>
      <c r="X5" s="196"/>
      <c r="Y5" s="196"/>
      <c r="Z5" s="423"/>
      <c r="AA5" s="423"/>
      <c r="AB5" s="114">
        <f>N5-K5</f>
        <v>-95.714285714282596</v>
      </c>
      <c r="AC5" s="192">
        <f>N5/K5</f>
        <v>0.95214285714285873</v>
      </c>
      <c r="AD5" s="391">
        <f>AC15</f>
        <v>0.9469918586603433</v>
      </c>
    </row>
    <row r="6" spans="1:30" ht="15" customHeight="1" x14ac:dyDescent="0.25">
      <c r="A6" s="465"/>
      <c r="B6" s="56" t="str">
        <f>VLOOKUP(D6,廠價表!$C$1:$E$39,2,0)</f>
        <v>義大利麵</v>
      </c>
      <c r="C6" s="10"/>
      <c r="D6" s="11" t="s">
        <v>148</v>
      </c>
      <c r="E6" s="89"/>
      <c r="F6" s="56">
        <f>VLOOKUP(D6,廠價表!$C$1:$E$39,3,0)</f>
        <v>57.21</v>
      </c>
      <c r="G6" s="25">
        <v>1940</v>
      </c>
      <c r="H6" s="15">
        <f t="shared" ref="H6:H14" si="1">F6*G6</f>
        <v>110987.40000000001</v>
      </c>
      <c r="I6" s="190"/>
      <c r="J6" s="16">
        <f>VLOOKUP(D6,產線配置圖!$A$2:$C$38,2,0)</f>
        <v>14</v>
      </c>
      <c r="K6" s="14">
        <f>VLOOKUP(D6,產線配置圖!$A$2:$C$38,3,0)</f>
        <v>1895</v>
      </c>
      <c r="L6" s="17">
        <f>K6/J6</f>
        <v>135.35714285714286</v>
      </c>
      <c r="M6" s="188">
        <v>14</v>
      </c>
      <c r="N6" s="14">
        <f>G6/W6*60</f>
        <v>1847.6190476190473</v>
      </c>
      <c r="O6" s="17">
        <f>N6/M6</f>
        <v>131.97278911564624</v>
      </c>
      <c r="P6" s="18">
        <f>M6-J6</f>
        <v>0</v>
      </c>
      <c r="Q6" s="19">
        <f>O6-L6</f>
        <v>-3.3843537414966249</v>
      </c>
      <c r="R6" s="193">
        <f>O6/L6</f>
        <v>0.97499685890187193</v>
      </c>
      <c r="S6" s="409"/>
      <c r="T6" s="98">
        <v>0.32847222222222222</v>
      </c>
      <c r="U6" s="98">
        <v>0.37222222222222223</v>
      </c>
      <c r="V6" s="185">
        <f>(T6-U5)*24*60</f>
        <v>13.000000000000034</v>
      </c>
      <c r="W6" s="190">
        <f t="shared" si="0"/>
        <v>63.000000000000014</v>
      </c>
      <c r="X6" s="22"/>
      <c r="Y6" s="22"/>
      <c r="Z6" s="446"/>
      <c r="AA6" s="446"/>
      <c r="AB6" s="18">
        <f>N6-K6</f>
        <v>-47.380952380952749</v>
      </c>
      <c r="AC6" s="193">
        <f>N6/K6</f>
        <v>0.97499685890187193</v>
      </c>
      <c r="AD6" s="392"/>
    </row>
    <row r="7" spans="1:30" ht="15" customHeight="1" x14ac:dyDescent="0.25">
      <c r="A7" s="465"/>
      <c r="B7" s="56" t="str">
        <f>VLOOKUP(D7,廠價表!$C$1:$E$39,2,0)</f>
        <v>義大利麵</v>
      </c>
      <c r="C7" s="10"/>
      <c r="D7" s="11" t="s">
        <v>150</v>
      </c>
      <c r="E7" s="89"/>
      <c r="F7" s="56">
        <f>VLOOKUP(D7,廠價表!$C$1:$E$39,3,0)</f>
        <v>49.14</v>
      </c>
      <c r="G7" s="25">
        <v>4485</v>
      </c>
      <c r="H7" s="15">
        <f t="shared" si="1"/>
        <v>220392.9</v>
      </c>
      <c r="I7" s="190"/>
      <c r="J7" s="16">
        <f>VLOOKUP(D7,產線配置圖!$A$2:$C$38,2,0)</f>
        <v>13</v>
      </c>
      <c r="K7" s="14">
        <f>VLOOKUP(D7,產線配置圖!$A$2:$C$38,3,0)</f>
        <v>2000</v>
      </c>
      <c r="L7" s="17">
        <f>K7/J7</f>
        <v>153.84615384615384</v>
      </c>
      <c r="M7" s="188">
        <v>13</v>
      </c>
      <c r="N7" s="14">
        <f>G7/W7*60</f>
        <v>1830.6122448979588</v>
      </c>
      <c r="O7" s="17">
        <f>N7/M7</f>
        <v>140.81632653061223</v>
      </c>
      <c r="P7" s="18">
        <f>M7-J7</f>
        <v>0</v>
      </c>
      <c r="Q7" s="19">
        <f>O7-L7</f>
        <v>-13.02982731554161</v>
      </c>
      <c r="R7" s="193">
        <f>O7/L7</f>
        <v>0.91530612244897958</v>
      </c>
      <c r="S7" s="409"/>
      <c r="T7" s="98">
        <v>0.38055555555555554</v>
      </c>
      <c r="U7" s="98">
        <v>0.4826388888888889</v>
      </c>
      <c r="V7" s="185">
        <f>(T7-U6)*24*60</f>
        <v>11.999999999999957</v>
      </c>
      <c r="W7" s="190">
        <f t="shared" si="0"/>
        <v>147.00000000000003</v>
      </c>
      <c r="X7" s="22"/>
      <c r="Y7" s="22"/>
      <c r="Z7" s="400"/>
      <c r="AA7" s="400"/>
      <c r="AB7" s="18">
        <f>N7-K7</f>
        <v>-169.38775510204118</v>
      </c>
      <c r="AC7" s="193">
        <f>N7/K7</f>
        <v>0.91530612244897935</v>
      </c>
      <c r="AD7" s="392"/>
    </row>
    <row r="8" spans="1:30" ht="15" customHeight="1" x14ac:dyDescent="0.25">
      <c r="A8" s="465"/>
      <c r="B8" s="56"/>
      <c r="C8" s="10"/>
      <c r="D8" s="11"/>
      <c r="E8" s="89"/>
      <c r="F8" s="56"/>
      <c r="G8" s="25"/>
      <c r="H8" s="15"/>
      <c r="I8" s="190"/>
      <c r="J8" s="16"/>
      <c r="K8" s="14"/>
      <c r="L8" s="17"/>
      <c r="M8" s="188"/>
      <c r="N8" s="14"/>
      <c r="O8" s="17"/>
      <c r="P8" s="18"/>
      <c r="Q8" s="19"/>
      <c r="R8" s="193"/>
      <c r="S8" s="409"/>
      <c r="T8" s="80"/>
      <c r="U8" s="80"/>
      <c r="V8" s="185"/>
      <c r="W8" s="190">
        <f t="shared" si="0"/>
        <v>0</v>
      </c>
      <c r="X8" s="22"/>
      <c r="Y8" s="22"/>
      <c r="Z8" s="402"/>
      <c r="AA8" s="402"/>
      <c r="AB8" s="18"/>
      <c r="AC8" s="193"/>
      <c r="AD8" s="392"/>
    </row>
    <row r="9" spans="1:30" ht="15" customHeight="1" x14ac:dyDescent="0.25">
      <c r="A9" s="466"/>
      <c r="B9" s="56"/>
      <c r="C9" s="10"/>
      <c r="D9" s="11"/>
      <c r="E9" s="89"/>
      <c r="F9" s="56"/>
      <c r="G9" s="25"/>
      <c r="H9" s="15"/>
      <c r="I9" s="190"/>
      <c r="J9" s="16"/>
      <c r="K9" s="14"/>
      <c r="L9" s="17"/>
      <c r="M9" s="188"/>
      <c r="N9" s="14"/>
      <c r="O9" s="17"/>
      <c r="P9" s="18"/>
      <c r="Q9" s="19"/>
      <c r="R9" s="193"/>
      <c r="S9" s="410"/>
      <c r="T9" s="20"/>
      <c r="U9" s="20"/>
      <c r="V9" s="185"/>
      <c r="W9" s="24">
        <f t="shared" si="0"/>
        <v>0</v>
      </c>
      <c r="X9" s="22"/>
      <c r="Y9" s="283"/>
      <c r="Z9" s="495"/>
      <c r="AA9" s="495"/>
      <c r="AB9" s="18"/>
      <c r="AC9" s="193"/>
      <c r="AD9" s="395"/>
    </row>
    <row r="10" spans="1:30" ht="15" customHeight="1" x14ac:dyDescent="0.25">
      <c r="A10" s="466"/>
      <c r="B10" s="185"/>
      <c r="C10" s="23"/>
      <c r="D10" s="11"/>
      <c r="E10" s="12"/>
      <c r="F10" s="13"/>
      <c r="G10" s="14"/>
      <c r="H10" s="15"/>
      <c r="I10" s="185"/>
      <c r="J10" s="16"/>
      <c r="K10" s="14"/>
      <c r="L10" s="17"/>
      <c r="M10" s="188"/>
      <c r="N10" s="14"/>
      <c r="O10" s="17"/>
      <c r="P10" s="18"/>
      <c r="Q10" s="19"/>
      <c r="R10" s="193"/>
      <c r="S10" s="410"/>
      <c r="T10" s="20"/>
      <c r="U10" s="20"/>
      <c r="V10" s="185"/>
      <c r="W10" s="190">
        <f t="shared" si="0"/>
        <v>0</v>
      </c>
      <c r="X10" s="22"/>
      <c r="Y10" s="283"/>
      <c r="Z10" s="398"/>
      <c r="AA10" s="399"/>
      <c r="AB10" s="284"/>
      <c r="AC10" s="193"/>
      <c r="AD10" s="395"/>
    </row>
    <row r="11" spans="1:30" ht="15" customHeight="1" x14ac:dyDescent="0.25">
      <c r="A11" s="466"/>
      <c r="B11" s="185"/>
      <c r="C11" s="191"/>
      <c r="D11" s="11"/>
      <c r="E11" s="12"/>
      <c r="F11" s="13"/>
      <c r="G11" s="14"/>
      <c r="H11" s="15">
        <f t="shared" si="1"/>
        <v>0</v>
      </c>
      <c r="I11" s="185"/>
      <c r="J11" s="16"/>
      <c r="K11" s="14"/>
      <c r="L11" s="17"/>
      <c r="M11" s="188"/>
      <c r="N11" s="25"/>
      <c r="O11" s="17"/>
      <c r="P11" s="18"/>
      <c r="Q11" s="19"/>
      <c r="R11" s="193"/>
      <c r="S11" s="410"/>
      <c r="T11" s="20"/>
      <c r="U11" s="20"/>
      <c r="V11" s="185"/>
      <c r="W11" s="24">
        <f t="shared" si="0"/>
        <v>0</v>
      </c>
      <c r="X11" s="22"/>
      <c r="Y11" s="283"/>
      <c r="Z11" s="398"/>
      <c r="AA11" s="399"/>
      <c r="AB11" s="284"/>
      <c r="AC11" s="193"/>
      <c r="AD11" s="395"/>
    </row>
    <row r="12" spans="1:30" ht="15" customHeight="1" x14ac:dyDescent="0.25">
      <c r="A12" s="466"/>
      <c r="B12" s="26"/>
      <c r="C12" s="27"/>
      <c r="D12" s="28"/>
      <c r="E12" s="29"/>
      <c r="F12" s="13"/>
      <c r="G12" s="30"/>
      <c r="H12" s="15">
        <f t="shared" si="1"/>
        <v>0</v>
      </c>
      <c r="I12" s="186"/>
      <c r="J12" s="31"/>
      <c r="K12" s="30"/>
      <c r="L12" s="17"/>
      <c r="M12" s="189"/>
      <c r="N12" s="25"/>
      <c r="O12" s="17"/>
      <c r="P12" s="18"/>
      <c r="Q12" s="19"/>
      <c r="R12" s="193"/>
      <c r="S12" s="410"/>
      <c r="T12" s="32"/>
      <c r="U12" s="32"/>
      <c r="V12" s="186"/>
      <c r="W12" s="24">
        <f t="shared" si="0"/>
        <v>0</v>
      </c>
      <c r="X12" s="33"/>
      <c r="Y12" s="33"/>
      <c r="Z12" s="495"/>
      <c r="AA12" s="495"/>
      <c r="AB12" s="34"/>
      <c r="AC12" s="194"/>
      <c r="AD12" s="395"/>
    </row>
    <row r="13" spans="1:30" ht="15" customHeight="1" x14ac:dyDescent="0.25">
      <c r="A13" s="466"/>
      <c r="B13" s="26"/>
      <c r="C13" s="27"/>
      <c r="D13" s="28"/>
      <c r="E13" s="29"/>
      <c r="F13" s="13"/>
      <c r="G13" s="30"/>
      <c r="H13" s="15">
        <f t="shared" si="1"/>
        <v>0</v>
      </c>
      <c r="I13" s="186"/>
      <c r="J13" s="31"/>
      <c r="K13" s="30"/>
      <c r="L13" s="17"/>
      <c r="M13" s="189"/>
      <c r="N13" s="25"/>
      <c r="O13" s="17"/>
      <c r="P13" s="18"/>
      <c r="Q13" s="19"/>
      <c r="R13" s="193"/>
      <c r="S13" s="410"/>
      <c r="T13" s="32"/>
      <c r="U13" s="32"/>
      <c r="V13" s="186"/>
      <c r="W13" s="24">
        <f t="shared" si="0"/>
        <v>0</v>
      </c>
      <c r="X13" s="33"/>
      <c r="Y13" s="33"/>
      <c r="Z13" s="398"/>
      <c r="AA13" s="399"/>
      <c r="AB13" s="34"/>
      <c r="AC13" s="194"/>
      <c r="AD13" s="395"/>
    </row>
    <row r="14" spans="1:30" ht="15" customHeight="1" x14ac:dyDescent="0.25">
      <c r="A14" s="466"/>
      <c r="B14" s="26"/>
      <c r="C14" s="27"/>
      <c r="D14" s="28"/>
      <c r="E14" s="29"/>
      <c r="F14" s="13"/>
      <c r="G14" s="30"/>
      <c r="H14" s="15">
        <f t="shared" si="1"/>
        <v>0</v>
      </c>
      <c r="I14" s="186"/>
      <c r="J14" s="31"/>
      <c r="K14" s="30"/>
      <c r="L14" s="17"/>
      <c r="M14" s="189"/>
      <c r="N14" s="25"/>
      <c r="O14" s="17"/>
      <c r="P14" s="18"/>
      <c r="Q14" s="19"/>
      <c r="R14" s="193"/>
      <c r="S14" s="410"/>
      <c r="T14" s="32"/>
      <c r="U14" s="32"/>
      <c r="V14" s="186"/>
      <c r="W14" s="24">
        <f t="shared" si="0"/>
        <v>0</v>
      </c>
      <c r="X14" s="33"/>
      <c r="Y14" s="33"/>
      <c r="Z14" s="398"/>
      <c r="AA14" s="399"/>
      <c r="AB14" s="34"/>
      <c r="AC14" s="194"/>
      <c r="AD14" s="395"/>
    </row>
    <row r="15" spans="1:30" ht="15" customHeight="1" thickBot="1" x14ac:dyDescent="0.3">
      <c r="A15" s="467"/>
      <c r="B15" s="116"/>
      <c r="C15" s="116" t="s">
        <v>34</v>
      </c>
      <c r="D15" s="404" t="s">
        <v>7</v>
      </c>
      <c r="E15" s="404"/>
      <c r="F15" s="117"/>
      <c r="G15" s="118"/>
      <c r="H15" s="119"/>
      <c r="I15" s="120"/>
      <c r="J15" s="121">
        <f t="shared" ref="J15:O15" si="2">AVERAGE(J5:J14)</f>
        <v>13.333333333333334</v>
      </c>
      <c r="K15" s="121">
        <f t="shared" si="2"/>
        <v>1965</v>
      </c>
      <c r="L15" s="118">
        <f t="shared" si="2"/>
        <v>147.68315018315016</v>
      </c>
      <c r="M15" s="121">
        <f t="shared" si="2"/>
        <v>13.333333333333334</v>
      </c>
      <c r="N15" s="121">
        <f t="shared" si="2"/>
        <v>1860.8390022675746</v>
      </c>
      <c r="O15" s="118">
        <f t="shared" si="2"/>
        <v>139.75754404325841</v>
      </c>
      <c r="P15" s="122">
        <f t="shared" ref="P15:P16" si="3">M15-J15</f>
        <v>0</v>
      </c>
      <c r="Q15" s="123">
        <f t="shared" ref="Q15:Q16" si="4">O15-L15</f>
        <v>-7.9256061398917552</v>
      </c>
      <c r="R15" s="124">
        <f t="shared" ref="R15:R16" si="5">O15/L15</f>
        <v>0.9463337142384709</v>
      </c>
      <c r="S15" s="412"/>
      <c r="T15" s="125"/>
      <c r="U15" s="125"/>
      <c r="V15" s="203"/>
      <c r="W15" s="126"/>
      <c r="X15" s="127"/>
      <c r="Y15" s="127"/>
      <c r="Z15" s="401"/>
      <c r="AA15" s="401"/>
      <c r="AB15" s="122">
        <f>N15-K15</f>
        <v>-104.16099773242536</v>
      </c>
      <c r="AC15" s="195">
        <f>N15/K15</f>
        <v>0.9469918586603433</v>
      </c>
      <c r="AD15" s="396"/>
    </row>
    <row r="16" spans="1:30" ht="15" customHeight="1" x14ac:dyDescent="0.25">
      <c r="A16" s="438" t="s">
        <v>68</v>
      </c>
      <c r="B16" s="207" t="s">
        <v>140</v>
      </c>
      <c r="C16" s="105"/>
      <c r="D16" s="106" t="s">
        <v>130</v>
      </c>
      <c r="E16" s="107"/>
      <c r="F16" s="207">
        <f>VLOOKUP(D16,廠價表!$C$1:$E$39,3,0)</f>
        <v>57.21</v>
      </c>
      <c r="G16" s="285">
        <v>1220</v>
      </c>
      <c r="H16" s="128">
        <f t="shared" ref="H16:H25" si="6">F16*G16</f>
        <v>69796.2</v>
      </c>
      <c r="I16" s="129"/>
      <c r="J16" s="111">
        <f>VLOOKUP(D16,產線配置圖!$A$2:$C$38,2,0)</f>
        <v>13</v>
      </c>
      <c r="K16" s="108">
        <f>VLOOKUP(D16,產線配置圖!$A$2:$C$38,3,0)</f>
        <v>2000</v>
      </c>
      <c r="L16" s="112">
        <f>K16/J16</f>
        <v>153.84615384615384</v>
      </c>
      <c r="M16" s="287">
        <v>13</v>
      </c>
      <c r="N16" s="130">
        <f>G16/W16*60</f>
        <v>1926.3157894736869</v>
      </c>
      <c r="O16" s="131">
        <f>N16/M16</f>
        <v>148.17813765182206</v>
      </c>
      <c r="P16" s="132">
        <f t="shared" si="3"/>
        <v>0</v>
      </c>
      <c r="Q16" s="133">
        <f t="shared" si="4"/>
        <v>-5.6680161943317842</v>
      </c>
      <c r="R16" s="197">
        <f t="shared" si="5"/>
        <v>0.96315789473684343</v>
      </c>
      <c r="S16" s="433">
        <f>R26</f>
        <v>0.90538950792666595</v>
      </c>
      <c r="T16" s="288">
        <v>0.29097222222222224</v>
      </c>
      <c r="U16" s="288">
        <v>0.31736111111111109</v>
      </c>
      <c r="V16" s="129"/>
      <c r="W16" s="134">
        <f t="shared" ref="W16:W71" si="7">(U16-T16)*24*60</f>
        <v>37.999999999999943</v>
      </c>
      <c r="X16" s="131"/>
      <c r="Y16" s="131"/>
      <c r="Z16" s="423"/>
      <c r="AA16" s="423"/>
      <c r="AB16" s="114">
        <f>N16-K16</f>
        <v>-73.684210526313109</v>
      </c>
      <c r="AC16" s="192">
        <f>N16/K16</f>
        <v>0.96315789473684343</v>
      </c>
      <c r="AD16" s="391">
        <f>AC26</f>
        <v>0.90852883538633866</v>
      </c>
    </row>
    <row r="17" spans="1:30" ht="15" customHeight="1" x14ac:dyDescent="0.25">
      <c r="A17" s="439"/>
      <c r="B17" s="56" t="s">
        <v>63</v>
      </c>
      <c r="C17" s="10"/>
      <c r="D17" s="11" t="s">
        <v>222</v>
      </c>
      <c r="E17" s="89"/>
      <c r="F17" s="56">
        <f>VLOOKUP(D17,廠價表!$C$1:$E$39,3,0)</f>
        <v>50.67</v>
      </c>
      <c r="G17" s="99">
        <v>4446</v>
      </c>
      <c r="H17" s="15">
        <f>F17*G17</f>
        <v>225278.82</v>
      </c>
      <c r="I17" s="185"/>
      <c r="J17" s="16">
        <f>VLOOKUP(D17,產線配置圖!$A$2:$C$38,2,0)</f>
        <v>15</v>
      </c>
      <c r="K17" s="14">
        <f>VLOOKUP(D17,產線配置圖!$A$2:$C$38,3,0)</f>
        <v>2000</v>
      </c>
      <c r="L17" s="17">
        <f>K17/J17</f>
        <v>133.33333333333334</v>
      </c>
      <c r="M17" s="37">
        <v>15</v>
      </c>
      <c r="N17" s="36">
        <f>G17/W17*60</f>
        <v>1891.9148936170218</v>
      </c>
      <c r="O17" s="38">
        <f>N17/M17</f>
        <v>126.12765957446813</v>
      </c>
      <c r="P17" s="39">
        <f>M17-J17</f>
        <v>0</v>
      </c>
      <c r="Q17" s="40">
        <f>O17-L17</f>
        <v>-7.2056737588652169</v>
      </c>
      <c r="R17" s="198">
        <f>O17/L17</f>
        <v>0.9459574468085109</v>
      </c>
      <c r="S17" s="434"/>
      <c r="T17" s="41">
        <v>0.32569444444444445</v>
      </c>
      <c r="U17" s="41">
        <v>0.4236111111111111</v>
      </c>
      <c r="V17" s="185">
        <f>(T17-U16)*24*60</f>
        <v>12.000000000000037</v>
      </c>
      <c r="W17" s="43">
        <f t="shared" si="7"/>
        <v>140.99999999999997</v>
      </c>
      <c r="X17" s="44"/>
      <c r="Y17" s="44"/>
      <c r="Z17" s="399"/>
      <c r="AA17" s="400"/>
      <c r="AB17" s="18">
        <f>N17-K17</f>
        <v>-108.08510638297821</v>
      </c>
      <c r="AC17" s="193">
        <f>N17/K17</f>
        <v>0.9459574468085109</v>
      </c>
      <c r="AD17" s="392"/>
    </row>
    <row r="18" spans="1:30" ht="15" customHeight="1" x14ac:dyDescent="0.25">
      <c r="A18" s="439"/>
      <c r="B18" s="56" t="s">
        <v>63</v>
      </c>
      <c r="C18" s="10"/>
      <c r="D18" s="11" t="s">
        <v>137</v>
      </c>
      <c r="E18" s="89"/>
      <c r="F18" s="56">
        <f>VLOOKUP(D18,廠價表!$C$1:$E$39,3,0)</f>
        <v>50.39</v>
      </c>
      <c r="G18" s="99">
        <v>2074</v>
      </c>
      <c r="H18" s="15">
        <f>F18*G18</f>
        <v>104508.86</v>
      </c>
      <c r="I18" s="185"/>
      <c r="J18" s="16">
        <f>VLOOKUP(D18,產線配置圖!$A$2:$C$38,2,0)</f>
        <v>12</v>
      </c>
      <c r="K18" s="14">
        <f>VLOOKUP(D18,產線配置圖!$A$2:$C$38,3,0)</f>
        <v>2000</v>
      </c>
      <c r="L18" s="17">
        <f>K18/J18</f>
        <v>166.66666666666666</v>
      </c>
      <c r="M18" s="37">
        <v>12</v>
      </c>
      <c r="N18" s="36">
        <f>G18/W18*60</f>
        <v>1830</v>
      </c>
      <c r="O18" s="38">
        <f>N18/M18</f>
        <v>152.5</v>
      </c>
      <c r="P18" s="39">
        <f>M18-J18</f>
        <v>0</v>
      </c>
      <c r="Q18" s="40">
        <f>O18-L18</f>
        <v>-14.166666666666657</v>
      </c>
      <c r="R18" s="198">
        <f>O18/L18</f>
        <v>0.91500000000000004</v>
      </c>
      <c r="S18" s="434"/>
      <c r="T18" s="41">
        <v>0.43194444444444446</v>
      </c>
      <c r="U18" s="41">
        <v>0.47916666666666669</v>
      </c>
      <c r="V18" s="185">
        <f>(T18-U17)*24*60</f>
        <v>12.000000000000037</v>
      </c>
      <c r="W18" s="43">
        <f t="shared" si="7"/>
        <v>68</v>
      </c>
      <c r="X18" s="22"/>
      <c r="Y18" s="22"/>
      <c r="Z18" s="399"/>
      <c r="AA18" s="400"/>
      <c r="AB18" s="18">
        <f>N18-K18</f>
        <v>-170</v>
      </c>
      <c r="AC18" s="193">
        <f>N18/K18</f>
        <v>0.91500000000000004</v>
      </c>
      <c r="AD18" s="392"/>
    </row>
    <row r="19" spans="1:30" ht="15" customHeight="1" x14ac:dyDescent="0.25">
      <c r="A19" s="439"/>
      <c r="B19" s="56" t="s">
        <v>63</v>
      </c>
      <c r="C19" s="23"/>
      <c r="D19" s="11" t="s">
        <v>137</v>
      </c>
      <c r="E19" s="12"/>
      <c r="F19" s="56">
        <f>VLOOKUP(D19,廠價表!$C$1:$E$39,3,0)</f>
        <v>50.39</v>
      </c>
      <c r="G19" s="99">
        <v>2322</v>
      </c>
      <c r="H19" s="15">
        <f t="shared" ref="H19" si="8">F19*G19</f>
        <v>117005.58</v>
      </c>
      <c r="I19" s="185"/>
      <c r="J19" s="16">
        <f>VLOOKUP(D19,產線配置圖!$A$2:$C$38,2,0)</f>
        <v>12</v>
      </c>
      <c r="K19" s="14">
        <f>VLOOKUP(D19,產線配置圖!$A$2:$C$38,3,0)</f>
        <v>2000</v>
      </c>
      <c r="L19" s="17">
        <f t="shared" ref="L19" si="9">K19/J19</f>
        <v>166.66666666666666</v>
      </c>
      <c r="M19" s="37">
        <v>12</v>
      </c>
      <c r="N19" s="36">
        <f>G19/W19*60</f>
        <v>1619.9999999999998</v>
      </c>
      <c r="O19" s="38">
        <f>N19/M19</f>
        <v>134.99999999999997</v>
      </c>
      <c r="P19" s="39">
        <f>M19-J19</f>
        <v>0</v>
      </c>
      <c r="Q19" s="40">
        <f>O19-L19</f>
        <v>-31.666666666666686</v>
      </c>
      <c r="R19" s="198">
        <f>O19/L19</f>
        <v>0.80999999999999983</v>
      </c>
      <c r="S19" s="434"/>
      <c r="T19" s="41">
        <v>0.54166666666666663</v>
      </c>
      <c r="U19" s="41">
        <v>0.60138888888888886</v>
      </c>
      <c r="V19" s="185">
        <f>(T19-U18)*24*60</f>
        <v>89.999999999999915</v>
      </c>
      <c r="W19" s="43">
        <f t="shared" si="7"/>
        <v>86.000000000000014</v>
      </c>
      <c r="X19" s="22">
        <v>0.5</v>
      </c>
      <c r="Y19" s="22">
        <v>0.54166666666666663</v>
      </c>
      <c r="Z19" s="398"/>
      <c r="AA19" s="399"/>
      <c r="AB19" s="18">
        <f>N19-K19</f>
        <v>-380.00000000000023</v>
      </c>
      <c r="AC19" s="193">
        <f>N19/K19</f>
        <v>0.80999999999999983</v>
      </c>
      <c r="AD19" s="395"/>
    </row>
    <row r="20" spans="1:30" ht="15" customHeight="1" x14ac:dyDescent="0.25">
      <c r="A20" s="439"/>
      <c r="B20" s="56"/>
      <c r="C20" s="10"/>
      <c r="D20" s="11"/>
      <c r="E20" s="89"/>
      <c r="F20" s="56"/>
      <c r="G20" s="99"/>
      <c r="H20" s="15"/>
      <c r="I20" s="185"/>
      <c r="J20" s="16"/>
      <c r="K20" s="14"/>
      <c r="L20" s="17"/>
      <c r="M20" s="37"/>
      <c r="N20" s="36"/>
      <c r="O20" s="38"/>
      <c r="P20" s="39"/>
      <c r="Q20" s="40"/>
      <c r="R20" s="198"/>
      <c r="S20" s="434"/>
      <c r="T20" s="41"/>
      <c r="U20" s="41"/>
      <c r="V20" s="185"/>
      <c r="W20" s="43">
        <f t="shared" si="7"/>
        <v>0</v>
      </c>
      <c r="X20" s="44"/>
      <c r="Y20" s="44"/>
      <c r="Z20" s="399"/>
      <c r="AA20" s="400"/>
      <c r="AB20" s="34"/>
      <c r="AC20" s="194"/>
      <c r="AD20" s="395"/>
    </row>
    <row r="21" spans="1:30" ht="15" customHeight="1" x14ac:dyDescent="0.25">
      <c r="A21" s="440"/>
      <c r="B21" s="185"/>
      <c r="C21" s="23"/>
      <c r="D21" s="11"/>
      <c r="E21" s="12"/>
      <c r="F21" s="13"/>
      <c r="G21" s="36"/>
      <c r="H21" s="15">
        <f t="shared" si="6"/>
        <v>0</v>
      </c>
      <c r="I21" s="43"/>
      <c r="J21" s="37"/>
      <c r="K21" s="36"/>
      <c r="L21" s="38"/>
      <c r="M21" s="37"/>
      <c r="N21" s="36"/>
      <c r="O21" s="38"/>
      <c r="P21" s="39"/>
      <c r="Q21" s="40"/>
      <c r="R21" s="198"/>
      <c r="S21" s="434"/>
      <c r="T21" s="41"/>
      <c r="U21" s="41"/>
      <c r="V21" s="42"/>
      <c r="W21" s="43">
        <v>0</v>
      </c>
      <c r="X21" s="42"/>
      <c r="Y21" s="42"/>
      <c r="Z21" s="399"/>
      <c r="AA21" s="400"/>
      <c r="AB21" s="34"/>
      <c r="AC21" s="194"/>
      <c r="AD21" s="395"/>
    </row>
    <row r="22" spans="1:30" ht="15" customHeight="1" x14ac:dyDescent="0.25">
      <c r="A22" s="440"/>
      <c r="B22" s="185"/>
      <c r="C22" s="191"/>
      <c r="D22" s="11"/>
      <c r="E22" s="12"/>
      <c r="F22" s="13"/>
      <c r="G22" s="36"/>
      <c r="H22" s="15">
        <f t="shared" si="6"/>
        <v>0</v>
      </c>
      <c r="I22" s="43"/>
      <c r="J22" s="37"/>
      <c r="K22" s="36"/>
      <c r="L22" s="38"/>
      <c r="M22" s="37"/>
      <c r="N22" s="36"/>
      <c r="O22" s="38"/>
      <c r="P22" s="39"/>
      <c r="Q22" s="40"/>
      <c r="R22" s="198"/>
      <c r="S22" s="434"/>
      <c r="T22" s="41"/>
      <c r="U22" s="41"/>
      <c r="V22" s="42"/>
      <c r="W22" s="43">
        <v>0</v>
      </c>
      <c r="X22" s="42"/>
      <c r="Y22" s="42"/>
      <c r="Z22" s="399"/>
      <c r="AA22" s="400"/>
      <c r="AB22" s="34"/>
      <c r="AC22" s="194"/>
      <c r="AD22" s="395"/>
    </row>
    <row r="23" spans="1:30" ht="15" customHeight="1" x14ac:dyDescent="0.25">
      <c r="A23" s="440"/>
      <c r="B23" s="26"/>
      <c r="C23" s="27"/>
      <c r="D23" s="28"/>
      <c r="E23" s="29"/>
      <c r="F23" s="13"/>
      <c r="G23" s="36"/>
      <c r="H23" s="15">
        <f t="shared" si="6"/>
        <v>0</v>
      </c>
      <c r="I23" s="43"/>
      <c r="J23" s="37"/>
      <c r="K23" s="36"/>
      <c r="L23" s="38"/>
      <c r="M23" s="37"/>
      <c r="N23" s="36"/>
      <c r="O23" s="38"/>
      <c r="P23" s="39"/>
      <c r="Q23" s="40"/>
      <c r="R23" s="198"/>
      <c r="S23" s="434"/>
      <c r="T23" s="41"/>
      <c r="U23" s="41"/>
      <c r="W23" s="43">
        <f t="shared" si="7"/>
        <v>0</v>
      </c>
      <c r="X23" s="42"/>
      <c r="Y23" s="42"/>
      <c r="Z23" s="399"/>
      <c r="AA23" s="400"/>
      <c r="AB23" s="34"/>
      <c r="AC23" s="194"/>
      <c r="AD23" s="395"/>
    </row>
    <row r="24" spans="1:30" ht="15" customHeight="1" x14ac:dyDescent="0.25">
      <c r="A24" s="440"/>
      <c r="B24" s="26"/>
      <c r="C24" s="27"/>
      <c r="D24" s="28"/>
      <c r="E24" s="29"/>
      <c r="F24" s="13"/>
      <c r="G24" s="36"/>
      <c r="H24" s="15">
        <f t="shared" si="6"/>
        <v>0</v>
      </c>
      <c r="I24" s="43"/>
      <c r="J24" s="37"/>
      <c r="K24" s="36"/>
      <c r="L24" s="38"/>
      <c r="M24" s="37"/>
      <c r="N24" s="36"/>
      <c r="O24" s="38"/>
      <c r="P24" s="39"/>
      <c r="Q24" s="40"/>
      <c r="R24" s="198"/>
      <c r="S24" s="434"/>
      <c r="T24" s="41"/>
      <c r="U24" s="41"/>
      <c r="V24" s="42"/>
      <c r="W24" s="43">
        <f t="shared" si="7"/>
        <v>0</v>
      </c>
      <c r="X24" s="42"/>
      <c r="Y24" s="42"/>
      <c r="Z24" s="399"/>
      <c r="AA24" s="400"/>
      <c r="AB24" s="34"/>
      <c r="AC24" s="194"/>
      <c r="AD24" s="395"/>
    </row>
    <row r="25" spans="1:30" ht="15" customHeight="1" x14ac:dyDescent="0.25">
      <c r="A25" s="440"/>
      <c r="B25" s="26"/>
      <c r="C25" s="27"/>
      <c r="D25" s="28"/>
      <c r="E25" s="29"/>
      <c r="F25" s="13"/>
      <c r="G25" s="36"/>
      <c r="H25" s="50">
        <f t="shared" si="6"/>
        <v>0</v>
      </c>
      <c r="I25" s="43"/>
      <c r="J25" s="37"/>
      <c r="K25" s="36"/>
      <c r="L25" s="38"/>
      <c r="M25" s="37"/>
      <c r="N25" s="36"/>
      <c r="O25" s="38"/>
      <c r="P25" s="39"/>
      <c r="Q25" s="40"/>
      <c r="R25" s="198"/>
      <c r="S25" s="434"/>
      <c r="T25" s="41"/>
      <c r="U25" s="41"/>
      <c r="V25" s="42"/>
      <c r="W25" s="43">
        <f t="shared" si="7"/>
        <v>0</v>
      </c>
      <c r="X25" s="42"/>
      <c r="Y25" s="42"/>
      <c r="Z25" s="399"/>
      <c r="AA25" s="400"/>
      <c r="AB25" s="34"/>
      <c r="AC25" s="194"/>
      <c r="AD25" s="395"/>
    </row>
    <row r="26" spans="1:30" ht="15" customHeight="1" thickBot="1" x14ac:dyDescent="0.3">
      <c r="A26" s="441"/>
      <c r="B26" s="135"/>
      <c r="C26" s="1" t="s">
        <v>35</v>
      </c>
      <c r="D26" s="404" t="s">
        <v>7</v>
      </c>
      <c r="E26" s="404"/>
      <c r="F26" s="136"/>
      <c r="G26" s="137"/>
      <c r="H26" s="138"/>
      <c r="I26" s="139"/>
      <c r="J26" s="137">
        <f t="shared" ref="J26:O26" si="10">AVERAGE(J16:J25)</f>
        <v>13</v>
      </c>
      <c r="K26" s="137">
        <f t="shared" si="10"/>
        <v>2000</v>
      </c>
      <c r="L26" s="140">
        <f t="shared" si="10"/>
        <v>155.12820512820511</v>
      </c>
      <c r="M26" s="137">
        <f t="shared" si="10"/>
        <v>13</v>
      </c>
      <c r="N26" s="137">
        <f t="shared" si="10"/>
        <v>1817.0576707726773</v>
      </c>
      <c r="O26" s="140">
        <f t="shared" si="10"/>
        <v>140.45144930657253</v>
      </c>
      <c r="P26" s="141">
        <f t="shared" ref="P26:P28" si="11">M26-J26</f>
        <v>0</v>
      </c>
      <c r="Q26" s="142">
        <f t="shared" ref="Q26:Q28" si="12">O26-L26</f>
        <v>-14.676755821632582</v>
      </c>
      <c r="R26" s="143">
        <f t="shared" ref="R26:R28" si="13">O26/L26</f>
        <v>0.90538950792666595</v>
      </c>
      <c r="S26" s="435"/>
      <c r="T26" s="144"/>
      <c r="U26" s="144"/>
      <c r="V26" s="150"/>
      <c r="W26" s="145"/>
      <c r="X26" s="146"/>
      <c r="Y26" s="146"/>
      <c r="Z26" s="429"/>
      <c r="AA26" s="401"/>
      <c r="AB26" s="122">
        <f>N26-K26</f>
        <v>-182.94232922732272</v>
      </c>
      <c r="AC26" s="195">
        <f>N26/K26</f>
        <v>0.90852883538633866</v>
      </c>
      <c r="AD26" s="396"/>
    </row>
    <row r="27" spans="1:30" ht="15" customHeight="1" x14ac:dyDescent="0.25">
      <c r="A27" s="430" t="s">
        <v>54</v>
      </c>
      <c r="B27" s="244" t="s">
        <v>63</v>
      </c>
      <c r="C27" s="105"/>
      <c r="D27" s="106" t="s">
        <v>154</v>
      </c>
      <c r="E27" s="107"/>
      <c r="F27" s="207">
        <f>VLOOKUP(D27,廠價表!$C$1:$E$39,3,0)</f>
        <v>49.91</v>
      </c>
      <c r="G27" s="289">
        <v>2467</v>
      </c>
      <c r="H27" s="128">
        <f t="shared" ref="H27:H36" si="14">F27*G27</f>
        <v>123127.96999999999</v>
      </c>
      <c r="I27" s="129"/>
      <c r="J27" s="111">
        <f>VLOOKUP(D27,產線配置圖!$A$2:$C$38,2,0)</f>
        <v>17</v>
      </c>
      <c r="K27" s="252">
        <f>VLOOKUP(D27,產線配置圖!$A$2:$C$38,3,0)</f>
        <v>1565</v>
      </c>
      <c r="L27" s="112">
        <f>K27/J27</f>
        <v>92.058823529411768</v>
      </c>
      <c r="M27" s="147">
        <v>15</v>
      </c>
      <c r="N27" s="130">
        <f>G27/W27*60</f>
        <v>1112.9323308270677</v>
      </c>
      <c r="O27" s="131">
        <f>N27/M27</f>
        <v>74.195488721804523</v>
      </c>
      <c r="P27" s="132">
        <f t="shared" si="11"/>
        <v>-2</v>
      </c>
      <c r="Q27" s="133">
        <f t="shared" si="12"/>
        <v>-17.863334807607245</v>
      </c>
      <c r="R27" s="197">
        <f>O27/L27</f>
        <v>0.80595738547647078</v>
      </c>
      <c r="S27" s="433">
        <f>R37</f>
        <v>0.8330695172500524</v>
      </c>
      <c r="T27" s="97">
        <v>0.29444444444444445</v>
      </c>
      <c r="U27" s="97">
        <v>0.38680555555555557</v>
      </c>
      <c r="V27" s="129"/>
      <c r="W27" s="134">
        <f t="shared" si="7"/>
        <v>133</v>
      </c>
      <c r="X27" s="129"/>
      <c r="Y27" s="129" t="s">
        <v>158</v>
      </c>
      <c r="Z27" s="414"/>
      <c r="AA27" s="423"/>
      <c r="AB27" s="240">
        <f>N27-K27</f>
        <v>-452.06766917293226</v>
      </c>
      <c r="AC27" s="337">
        <f>N27/K27</f>
        <v>0.71113886953806249</v>
      </c>
      <c r="AD27" s="391">
        <f>AC37</f>
        <v>0.69331392570409067</v>
      </c>
    </row>
    <row r="28" spans="1:30" ht="15" customHeight="1" x14ac:dyDescent="0.25">
      <c r="A28" s="431"/>
      <c r="B28" s="56" t="str">
        <f>VLOOKUP(D28,廠價表!$C$1:$E$39,2,0)</f>
        <v>義大利麵</v>
      </c>
      <c r="C28" s="10"/>
      <c r="D28" s="11" t="s">
        <v>146</v>
      </c>
      <c r="E28" s="89"/>
      <c r="F28" s="56">
        <f>VLOOKUP(D28,廠價表!$C$1:$E$39,3,0)</f>
        <v>55.13</v>
      </c>
      <c r="G28" s="53">
        <v>1989</v>
      </c>
      <c r="H28" s="50">
        <f t="shared" si="14"/>
        <v>109653.57</v>
      </c>
      <c r="I28" s="42"/>
      <c r="J28" s="16">
        <f>VLOOKUP(D28,產線配置圖!$A$2:$C$38,2,0)</f>
        <v>18</v>
      </c>
      <c r="K28" s="14">
        <f>VLOOKUP(D28,產線配置圖!$A$2:$C$38,3,0)</f>
        <v>1385</v>
      </c>
      <c r="L28" s="251">
        <f>K28/J28</f>
        <v>76.944444444444443</v>
      </c>
      <c r="M28" s="21">
        <v>14</v>
      </c>
      <c r="N28" s="36">
        <f>G28/W28*60</f>
        <v>932.34374999999977</v>
      </c>
      <c r="O28" s="38">
        <f>N28/M28</f>
        <v>66.595982142857125</v>
      </c>
      <c r="P28" s="39">
        <f t="shared" si="11"/>
        <v>-4</v>
      </c>
      <c r="Q28" s="40">
        <f t="shared" si="12"/>
        <v>-10.348462301587318</v>
      </c>
      <c r="R28" s="198">
        <f t="shared" si="13"/>
        <v>0.8655073491490457</v>
      </c>
      <c r="S28" s="434"/>
      <c r="T28" s="291">
        <v>0.3972222222222222</v>
      </c>
      <c r="U28" s="291">
        <v>0.4861111111111111</v>
      </c>
      <c r="V28" s="42">
        <f>(T28-U27)*24*60</f>
        <v>14.999999999999947</v>
      </c>
      <c r="W28" s="43">
        <f t="shared" si="7"/>
        <v>128.00000000000003</v>
      </c>
      <c r="X28" s="54"/>
      <c r="Y28" s="54"/>
      <c r="Z28" s="399"/>
      <c r="AA28" s="398"/>
      <c r="AB28" s="39">
        <f>N28-K28</f>
        <v>-452.65625000000023</v>
      </c>
      <c r="AC28" s="198">
        <f>N28/K28</f>
        <v>0.67317238267147994</v>
      </c>
      <c r="AD28" s="393"/>
    </row>
    <row r="29" spans="1:30" ht="15" customHeight="1" x14ac:dyDescent="0.25">
      <c r="A29" s="431"/>
      <c r="B29" s="56"/>
      <c r="C29" s="10"/>
      <c r="D29" s="11"/>
      <c r="E29" s="89"/>
      <c r="F29" s="56"/>
      <c r="G29" s="256"/>
      <c r="H29" s="50"/>
      <c r="I29" s="42"/>
      <c r="J29" s="16"/>
      <c r="K29" s="14"/>
      <c r="L29" s="251"/>
      <c r="M29" s="21"/>
      <c r="N29" s="36"/>
      <c r="O29" s="38"/>
      <c r="P29" s="39"/>
      <c r="Q29" s="40"/>
      <c r="R29" s="198"/>
      <c r="S29" s="434"/>
      <c r="T29" s="41"/>
      <c r="U29" s="41"/>
      <c r="V29" s="42"/>
      <c r="W29" s="43">
        <f t="shared" si="7"/>
        <v>0</v>
      </c>
      <c r="X29" s="54"/>
      <c r="Y29" s="54"/>
      <c r="Z29" s="399"/>
      <c r="AA29" s="398"/>
      <c r="AB29" s="338"/>
      <c r="AC29" s="198"/>
      <c r="AD29" s="393"/>
    </row>
    <row r="30" spans="1:30" ht="15" customHeight="1" x14ac:dyDescent="0.25">
      <c r="A30" s="431"/>
      <c r="B30" s="56"/>
      <c r="C30" s="255"/>
      <c r="D30" s="11"/>
      <c r="E30" s="29"/>
      <c r="F30" s="56"/>
      <c r="G30" s="256"/>
      <c r="H30" s="50"/>
      <c r="I30" s="42"/>
      <c r="J30" s="16"/>
      <c r="K30" s="14"/>
      <c r="L30" s="251"/>
      <c r="M30" s="21"/>
      <c r="N30" s="36"/>
      <c r="O30" s="38"/>
      <c r="P30" s="39"/>
      <c r="Q30" s="40"/>
      <c r="R30" s="198"/>
      <c r="S30" s="434"/>
      <c r="T30" s="41"/>
      <c r="U30" s="41"/>
      <c r="V30" s="42"/>
      <c r="W30" s="43">
        <f t="shared" si="7"/>
        <v>0</v>
      </c>
      <c r="X30" s="54"/>
      <c r="Y30" s="54"/>
      <c r="Z30" s="479"/>
      <c r="AA30" s="399"/>
      <c r="AB30" s="34"/>
      <c r="AC30" s="339"/>
      <c r="AD30" s="394"/>
    </row>
    <row r="31" spans="1:30" ht="15" customHeight="1" x14ac:dyDescent="0.25">
      <c r="A31" s="431"/>
      <c r="B31" s="56"/>
      <c r="C31" s="10"/>
      <c r="D31" s="28"/>
      <c r="E31" s="89"/>
      <c r="F31" s="56"/>
      <c r="G31" s="256"/>
      <c r="H31" s="257"/>
      <c r="I31" s="82"/>
      <c r="J31" s="16"/>
      <c r="K31" s="14"/>
      <c r="L31" s="251"/>
      <c r="M31" s="21"/>
      <c r="N31" s="36"/>
      <c r="O31" s="38"/>
      <c r="P31" s="39"/>
      <c r="Q31" s="40"/>
      <c r="R31" s="198"/>
      <c r="S31" s="434"/>
      <c r="T31" s="41"/>
      <c r="U31" s="41"/>
      <c r="V31" s="42"/>
      <c r="W31" s="43">
        <f t="shared" si="7"/>
        <v>0</v>
      </c>
      <c r="X31" s="54"/>
      <c r="Y31" s="54"/>
      <c r="Z31" s="479"/>
      <c r="AA31" s="480"/>
      <c r="AB31" s="275"/>
      <c r="AC31" s="276"/>
      <c r="AD31" s="395"/>
    </row>
    <row r="32" spans="1:30" ht="15" customHeight="1" x14ac:dyDescent="0.25">
      <c r="A32" s="431"/>
      <c r="B32" s="56"/>
      <c r="C32" s="270"/>
      <c r="D32" s="271"/>
      <c r="E32" s="272"/>
      <c r="F32" s="56"/>
      <c r="G32" s="53"/>
      <c r="H32" s="50">
        <f t="shared" si="14"/>
        <v>0</v>
      </c>
      <c r="I32" s="42"/>
      <c r="J32" s="273"/>
      <c r="K32" s="36"/>
      <c r="L32" s="274"/>
      <c r="M32" s="21"/>
      <c r="N32" s="36"/>
      <c r="O32" s="38"/>
      <c r="P32" s="39"/>
      <c r="Q32" s="40"/>
      <c r="R32" s="198"/>
      <c r="S32" s="434"/>
      <c r="T32" s="41"/>
      <c r="U32" s="41"/>
      <c r="V32" s="42"/>
      <c r="W32" s="43">
        <f t="shared" si="7"/>
        <v>0</v>
      </c>
      <c r="X32" s="54"/>
      <c r="Y32" s="54"/>
      <c r="Z32" s="399"/>
      <c r="AA32" s="400"/>
      <c r="AB32" s="18"/>
      <c r="AC32" s="193"/>
      <c r="AD32" s="395"/>
    </row>
    <row r="33" spans="1:30" ht="15" customHeight="1" x14ac:dyDescent="0.25">
      <c r="A33" s="431"/>
      <c r="B33" s="258"/>
      <c r="C33" s="259"/>
      <c r="D33" s="260"/>
      <c r="E33" s="261"/>
      <c r="F33" s="238"/>
      <c r="G33" s="262"/>
      <c r="H33" s="263">
        <f t="shared" si="14"/>
        <v>0</v>
      </c>
      <c r="I33" s="264"/>
      <c r="J33" s="265"/>
      <c r="K33" s="45"/>
      <c r="M33" s="266"/>
      <c r="N33" s="45"/>
      <c r="O33" s="46"/>
      <c r="P33" s="47"/>
      <c r="Q33" s="48"/>
      <c r="R33" s="49"/>
      <c r="S33" s="434"/>
      <c r="T33" s="41"/>
      <c r="U33" s="41"/>
      <c r="V33" s="42"/>
      <c r="W33" s="43">
        <f t="shared" si="7"/>
        <v>0</v>
      </c>
      <c r="X33" s="54"/>
      <c r="Y33" s="54"/>
      <c r="Z33" s="399"/>
      <c r="AA33" s="400"/>
      <c r="AB33" s="18"/>
      <c r="AC33" s="57"/>
      <c r="AD33" s="395"/>
    </row>
    <row r="34" spans="1:30" ht="15" customHeight="1" x14ac:dyDescent="0.25">
      <c r="A34" s="431"/>
      <c r="B34" s="246"/>
      <c r="C34" s="27"/>
      <c r="D34" s="28"/>
      <c r="E34" s="29"/>
      <c r="F34" s="13"/>
      <c r="G34" s="53"/>
      <c r="H34" s="50">
        <f t="shared" si="14"/>
        <v>0</v>
      </c>
      <c r="I34" s="42"/>
      <c r="J34" s="37"/>
      <c r="K34" s="36"/>
      <c r="L34" s="38"/>
      <c r="M34" s="21"/>
      <c r="N34" s="36"/>
      <c r="O34" s="38"/>
      <c r="P34" s="39"/>
      <c r="Q34" s="40"/>
      <c r="R34" s="198"/>
      <c r="S34" s="434"/>
      <c r="T34" s="41"/>
      <c r="U34" s="41"/>
      <c r="V34" s="42"/>
      <c r="W34" s="43">
        <f t="shared" si="7"/>
        <v>0</v>
      </c>
      <c r="X34" s="54"/>
      <c r="Y34" s="54"/>
      <c r="Z34" s="399"/>
      <c r="AA34" s="400"/>
      <c r="AB34" s="18"/>
      <c r="AC34" s="57"/>
      <c r="AD34" s="395"/>
    </row>
    <row r="35" spans="1:30" ht="15" customHeight="1" x14ac:dyDescent="0.25">
      <c r="A35" s="431"/>
      <c r="B35" s="246"/>
      <c r="C35" s="27"/>
      <c r="D35" s="28"/>
      <c r="E35" s="29"/>
      <c r="F35" s="13"/>
      <c r="G35" s="53"/>
      <c r="H35" s="50">
        <f t="shared" si="14"/>
        <v>0</v>
      </c>
      <c r="I35" s="42"/>
      <c r="J35" s="37"/>
      <c r="K35" s="36"/>
      <c r="L35" s="38"/>
      <c r="M35" s="21"/>
      <c r="N35" s="36"/>
      <c r="O35" s="38"/>
      <c r="P35" s="39"/>
      <c r="Q35" s="40"/>
      <c r="R35" s="198"/>
      <c r="S35" s="434"/>
      <c r="T35" s="41"/>
      <c r="U35" s="41"/>
      <c r="V35" s="42"/>
      <c r="W35" s="43">
        <f t="shared" si="7"/>
        <v>0</v>
      </c>
      <c r="X35" s="54"/>
      <c r="Y35" s="54"/>
      <c r="Z35" s="399"/>
      <c r="AA35" s="400"/>
      <c r="AB35" s="18"/>
      <c r="AC35" s="57"/>
      <c r="AD35" s="395"/>
    </row>
    <row r="36" spans="1:30" ht="15" customHeight="1" x14ac:dyDescent="0.25">
      <c r="A36" s="431"/>
      <c r="B36" s="247"/>
      <c r="C36" s="27"/>
      <c r="D36" s="28"/>
      <c r="E36" s="29"/>
      <c r="F36" s="13"/>
      <c r="G36" s="53"/>
      <c r="H36" s="50">
        <f t="shared" si="14"/>
        <v>0</v>
      </c>
      <c r="I36" s="42"/>
      <c r="J36" s="37"/>
      <c r="K36" s="36"/>
      <c r="L36" s="38"/>
      <c r="M36" s="21"/>
      <c r="N36" s="36"/>
      <c r="O36" s="38"/>
      <c r="P36" s="39"/>
      <c r="Q36" s="40"/>
      <c r="R36" s="198"/>
      <c r="S36" s="434"/>
      <c r="T36" s="41"/>
      <c r="U36" s="41"/>
      <c r="V36" s="42"/>
      <c r="W36" s="43">
        <f t="shared" si="7"/>
        <v>0</v>
      </c>
      <c r="X36" s="54"/>
      <c r="Y36" s="54"/>
      <c r="Z36" s="399"/>
      <c r="AA36" s="400"/>
      <c r="AB36" s="18"/>
      <c r="AC36" s="57"/>
      <c r="AD36" s="395"/>
    </row>
    <row r="37" spans="1:30" ht="15" customHeight="1" thickBot="1" x14ac:dyDescent="0.3">
      <c r="A37" s="511"/>
      <c r="B37" s="346"/>
      <c r="C37" s="347" t="s">
        <v>36</v>
      </c>
      <c r="D37" s="513" t="s">
        <v>7</v>
      </c>
      <c r="E37" s="514"/>
      <c r="F37" s="310"/>
      <c r="G37" s="311"/>
      <c r="H37" s="312"/>
      <c r="I37" s="313"/>
      <c r="J37" s="314">
        <f t="shared" ref="J37:O37" si="15">AVERAGE(J27:J36)</f>
        <v>17.5</v>
      </c>
      <c r="K37" s="314">
        <f t="shared" si="15"/>
        <v>1475</v>
      </c>
      <c r="L37" s="315">
        <f t="shared" si="15"/>
        <v>84.501633986928113</v>
      </c>
      <c r="M37" s="314">
        <f t="shared" si="15"/>
        <v>14.5</v>
      </c>
      <c r="N37" s="314">
        <f t="shared" si="15"/>
        <v>1022.6380404135338</v>
      </c>
      <c r="O37" s="315">
        <f t="shared" si="15"/>
        <v>70.395735432330824</v>
      </c>
      <c r="P37" s="74">
        <f>M37-J37</f>
        <v>-3</v>
      </c>
      <c r="Q37" s="75">
        <f>N37-K37</f>
        <v>-452.36195958646624</v>
      </c>
      <c r="R37" s="316">
        <f t="shared" ref="R37:R39" si="16">O37/L37</f>
        <v>0.8330695172500524</v>
      </c>
      <c r="S37" s="512"/>
      <c r="T37" s="348"/>
      <c r="U37" s="348"/>
      <c r="V37" s="82"/>
      <c r="W37" s="82"/>
      <c r="X37" s="349"/>
      <c r="Y37" s="349"/>
      <c r="Z37" s="515"/>
      <c r="AA37" s="447"/>
      <c r="AB37" s="34">
        <f t="shared" ref="AB37:AB39" si="17">N37-K37</f>
        <v>-452.36195958646624</v>
      </c>
      <c r="AC37" s="194">
        <f t="shared" ref="AC37:AC39" si="18">N37/K37</f>
        <v>0.69331392570409067</v>
      </c>
      <c r="AD37" s="395"/>
    </row>
    <row r="38" spans="1:30" s="63" customFormat="1" ht="15" customHeight="1" x14ac:dyDescent="0.25">
      <c r="A38" s="424" t="s">
        <v>55</v>
      </c>
      <c r="B38" s="244" t="s">
        <v>140</v>
      </c>
      <c r="C38" s="207"/>
      <c r="D38" s="350" t="s">
        <v>259</v>
      </c>
      <c r="E38" s="309"/>
      <c r="F38" s="351">
        <f>VLOOKUP(D38,廠價表!$C$1:$E$39,3,0)</f>
        <v>56.43</v>
      </c>
      <c r="G38" s="286">
        <v>3239</v>
      </c>
      <c r="H38" s="152">
        <f t="shared" ref="H38:H39" si="19">F38*G38</f>
        <v>182776.77</v>
      </c>
      <c r="I38" s="129"/>
      <c r="J38" s="296">
        <f>VLOOKUP(D38,產線配置圖!$A$2:$C$38,2,0)</f>
        <v>15</v>
      </c>
      <c r="K38" s="252">
        <f>VLOOKUP(D38,產線配置圖!$A$2:$C$38,3,0)</f>
        <v>1440</v>
      </c>
      <c r="L38" s="317">
        <f t="shared" ref="L38:L39" si="20">K38/J38</f>
        <v>96</v>
      </c>
      <c r="M38" s="318">
        <v>15</v>
      </c>
      <c r="N38" s="130">
        <f>G38/W38*60</f>
        <v>957.33990147783254</v>
      </c>
      <c r="O38" s="131">
        <f>N38/M38</f>
        <v>63.822660098522171</v>
      </c>
      <c r="P38" s="132">
        <f t="shared" ref="P38:P39" si="21">M38-J38</f>
        <v>0</v>
      </c>
      <c r="Q38" s="133">
        <f t="shared" ref="Q38:Q39" si="22">O38-L38</f>
        <v>-32.177339901477829</v>
      </c>
      <c r="R38" s="197">
        <f t="shared" si="16"/>
        <v>0.66481937602627261</v>
      </c>
      <c r="S38" s="493">
        <f>R48</f>
        <v>0.71912006021706165</v>
      </c>
      <c r="T38" s="157">
        <v>0.33333333333333331</v>
      </c>
      <c r="U38" s="157">
        <v>0.47430555555555554</v>
      </c>
      <c r="V38" s="153"/>
      <c r="W38" s="158">
        <f t="shared" si="7"/>
        <v>203</v>
      </c>
      <c r="X38" s="155"/>
      <c r="Y38" s="159"/>
      <c r="Z38" s="518" t="s">
        <v>270</v>
      </c>
      <c r="AA38" s="519"/>
      <c r="AB38" s="331">
        <f t="shared" si="17"/>
        <v>-482.66009852216746</v>
      </c>
      <c r="AC38" s="161">
        <f t="shared" si="18"/>
        <v>0.66481937602627261</v>
      </c>
      <c r="AD38" s="388">
        <f>AC48</f>
        <v>0.67764244300100207</v>
      </c>
    </row>
    <row r="39" spans="1:30" s="63" customFormat="1" ht="15" customHeight="1" x14ac:dyDescent="0.25">
      <c r="A39" s="425"/>
      <c r="B39" s="56" t="s">
        <v>140</v>
      </c>
      <c r="C39" s="306"/>
      <c r="D39" s="308" t="s">
        <v>223</v>
      </c>
      <c r="E39" s="307"/>
      <c r="F39" s="56">
        <f>VLOOKUP(D39,廠價表!$C$1:$E$39,3,0)</f>
        <v>57.3</v>
      </c>
      <c r="G39" s="305">
        <v>957</v>
      </c>
      <c r="H39" s="64">
        <f t="shared" si="19"/>
        <v>54836.1</v>
      </c>
      <c r="I39" s="65"/>
      <c r="J39" s="37">
        <f>VLOOKUP(D39,產線配置圖!$A$2:$C$38,2,0)</f>
        <v>17</v>
      </c>
      <c r="K39" s="36">
        <f>VLOOKUP(D39,產線配置圖!$A$2:$C$38,3,0)</f>
        <v>1385</v>
      </c>
      <c r="L39" s="38">
        <f t="shared" si="20"/>
        <v>81.470588235294116</v>
      </c>
      <c r="M39" s="66">
        <v>15</v>
      </c>
      <c r="N39" s="67">
        <f>G39/W39*60</f>
        <v>956.99999999999829</v>
      </c>
      <c r="O39" s="68">
        <f t="shared" ref="O39" si="23">N39/M39</f>
        <v>63.799999999999883</v>
      </c>
      <c r="P39" s="39">
        <f t="shared" si="21"/>
        <v>-2</v>
      </c>
      <c r="Q39" s="40">
        <f t="shared" si="22"/>
        <v>-17.670588235294233</v>
      </c>
      <c r="R39" s="198">
        <f t="shared" si="16"/>
        <v>0.78310469314079278</v>
      </c>
      <c r="S39" s="494"/>
      <c r="T39" s="59">
        <v>0.54513888888888884</v>
      </c>
      <c r="U39" s="59">
        <v>0.58680555555555558</v>
      </c>
      <c r="V39" s="42">
        <f>(T39-U38)*24*60</f>
        <v>101.99999999999996</v>
      </c>
      <c r="W39" s="70">
        <f t="shared" si="7"/>
        <v>60.000000000000107</v>
      </c>
      <c r="X39" s="22">
        <v>0.5</v>
      </c>
      <c r="Y39" s="22">
        <v>0.54166666666666663</v>
      </c>
      <c r="Z39" s="516" t="s">
        <v>270</v>
      </c>
      <c r="AA39" s="517"/>
      <c r="AB39" s="292">
        <f t="shared" si="17"/>
        <v>-428.00000000000171</v>
      </c>
      <c r="AC39" s="62">
        <f t="shared" si="18"/>
        <v>0.69097472924187597</v>
      </c>
      <c r="AD39" s="389"/>
    </row>
    <row r="40" spans="1:30" s="63" customFormat="1" ht="15" customHeight="1" x14ac:dyDescent="0.25">
      <c r="A40" s="425"/>
      <c r="B40" s="56"/>
      <c r="C40" s="298"/>
      <c r="D40" s="308"/>
      <c r="E40" s="261"/>
      <c r="F40" s="56"/>
      <c r="G40" s="305"/>
      <c r="H40" s="64"/>
      <c r="I40" s="65"/>
      <c r="J40" s="37"/>
      <c r="K40" s="36"/>
      <c r="L40" s="38"/>
      <c r="M40" s="66"/>
      <c r="N40" s="67"/>
      <c r="O40" s="68"/>
      <c r="P40" s="39"/>
      <c r="Q40" s="40"/>
      <c r="R40" s="198"/>
      <c r="S40" s="409"/>
      <c r="T40" s="59"/>
      <c r="U40" s="59"/>
      <c r="V40" s="42"/>
      <c r="W40" s="70">
        <f t="shared" si="7"/>
        <v>0</v>
      </c>
      <c r="X40" s="71"/>
      <c r="Y40" s="278"/>
      <c r="Z40" s="476"/>
      <c r="AA40" s="508"/>
      <c r="AB40" s="292"/>
      <c r="AC40" s="62"/>
      <c r="AD40" s="389"/>
    </row>
    <row r="41" spans="1:30" s="63" customFormat="1" ht="15" customHeight="1" x14ac:dyDescent="0.25">
      <c r="A41" s="425"/>
      <c r="B41" s="56"/>
      <c r="C41" s="298"/>
      <c r="D41" s="308"/>
      <c r="E41" s="261"/>
      <c r="F41" s="56"/>
      <c r="G41" s="305"/>
      <c r="H41" s="64"/>
      <c r="I41" s="65"/>
      <c r="J41" s="37"/>
      <c r="K41" s="36"/>
      <c r="L41" s="38"/>
      <c r="M41" s="66"/>
      <c r="N41" s="67"/>
      <c r="O41" s="68"/>
      <c r="P41" s="39"/>
      <c r="Q41" s="40"/>
      <c r="R41" s="198"/>
      <c r="S41" s="409"/>
      <c r="T41" s="59"/>
      <c r="U41" s="59"/>
      <c r="V41" s="42"/>
      <c r="W41" s="70">
        <f t="shared" si="7"/>
        <v>0</v>
      </c>
      <c r="X41" s="71"/>
      <c r="Y41" s="278"/>
      <c r="Z41" s="428"/>
      <c r="AA41" s="475"/>
      <c r="AB41" s="292"/>
      <c r="AC41" s="62"/>
      <c r="AD41" s="389"/>
    </row>
    <row r="42" spans="1:30" s="63" customFormat="1" ht="15" customHeight="1" x14ac:dyDescent="0.25">
      <c r="A42" s="425"/>
      <c r="B42" s="56"/>
      <c r="C42" s="23"/>
      <c r="D42" s="11"/>
      <c r="E42" s="12"/>
      <c r="F42" s="56"/>
      <c r="G42" s="102"/>
      <c r="H42" s="64">
        <f t="shared" ref="H42:H47" si="24">F42*G42</f>
        <v>0</v>
      </c>
      <c r="I42" s="65"/>
      <c r="J42" s="16"/>
      <c r="K42" s="14"/>
      <c r="L42" s="17"/>
      <c r="M42" s="66"/>
      <c r="N42" s="67"/>
      <c r="O42" s="68"/>
      <c r="P42" s="39"/>
      <c r="Q42" s="40"/>
      <c r="R42" s="69"/>
      <c r="S42" s="409"/>
      <c r="T42" s="76"/>
      <c r="U42" s="76"/>
      <c r="V42" s="42"/>
      <c r="W42" s="70">
        <f t="shared" si="7"/>
        <v>0</v>
      </c>
      <c r="X42" s="71"/>
      <c r="Y42" s="60"/>
      <c r="Z42" s="403"/>
      <c r="AA42" s="444"/>
      <c r="AB42" s="292"/>
      <c r="AC42" s="62"/>
      <c r="AD42" s="389"/>
    </row>
    <row r="43" spans="1:30" s="63" customFormat="1" ht="15" customHeight="1" x14ac:dyDescent="0.25">
      <c r="A43" s="425"/>
      <c r="B43" s="245"/>
      <c r="C43" s="23"/>
      <c r="D43" s="11"/>
      <c r="E43" s="12"/>
      <c r="F43" s="13"/>
      <c r="G43" s="103"/>
      <c r="H43" s="64">
        <f t="shared" si="24"/>
        <v>0</v>
      </c>
      <c r="I43" s="65"/>
      <c r="J43" s="66"/>
      <c r="K43" s="67"/>
      <c r="L43" s="68"/>
      <c r="M43" s="66"/>
      <c r="N43" s="67"/>
      <c r="O43" s="68"/>
      <c r="P43" s="39"/>
      <c r="Q43" s="40"/>
      <c r="R43" s="69"/>
      <c r="S43" s="409"/>
      <c r="T43" s="76"/>
      <c r="U43" s="76"/>
      <c r="V43" s="65"/>
      <c r="W43" s="70">
        <f>(U43-T43)*24*60</f>
        <v>0</v>
      </c>
      <c r="X43" s="71"/>
      <c r="Y43" s="68"/>
      <c r="Z43" s="400"/>
      <c r="AA43" s="400"/>
      <c r="AB43" s="72"/>
      <c r="AC43" s="62"/>
      <c r="AD43" s="389"/>
    </row>
    <row r="44" spans="1:30" s="63" customFormat="1" ht="15" customHeight="1" x14ac:dyDescent="0.25">
      <c r="A44" s="425"/>
      <c r="B44" s="245"/>
      <c r="C44" s="191"/>
      <c r="D44" s="11"/>
      <c r="E44" s="12"/>
      <c r="F44" s="13"/>
      <c r="G44" s="103"/>
      <c r="H44" s="64">
        <f t="shared" si="24"/>
        <v>0</v>
      </c>
      <c r="I44" s="65"/>
      <c r="J44" s="66"/>
      <c r="K44" s="67"/>
      <c r="L44" s="58"/>
      <c r="M44" s="66"/>
      <c r="N44" s="67"/>
      <c r="O44" s="68"/>
      <c r="P44" s="39"/>
      <c r="Q44" s="40"/>
      <c r="R44" s="69"/>
      <c r="S44" s="409"/>
      <c r="T44" s="59"/>
      <c r="U44" s="59"/>
      <c r="V44" s="65"/>
      <c r="W44" s="70">
        <f t="shared" ref="W44:W48" si="25">(U44-T44)*24*60</f>
        <v>0</v>
      </c>
      <c r="X44" s="71"/>
      <c r="Y44" s="68"/>
      <c r="Z44" s="400"/>
      <c r="AA44" s="400"/>
      <c r="AB44" s="72"/>
      <c r="AC44" s="62"/>
      <c r="AD44" s="389"/>
    </row>
    <row r="45" spans="1:30" s="63" customFormat="1" ht="15" customHeight="1" x14ac:dyDescent="0.25">
      <c r="A45" s="425"/>
      <c r="B45" s="246"/>
      <c r="C45" s="27"/>
      <c r="D45" s="28"/>
      <c r="E45" s="29"/>
      <c r="F45" s="13"/>
      <c r="G45" s="67"/>
      <c r="H45" s="64">
        <f t="shared" si="24"/>
        <v>0</v>
      </c>
      <c r="I45" s="65"/>
      <c r="J45" s="66"/>
      <c r="K45" s="67"/>
      <c r="L45" s="68"/>
      <c r="M45" s="66"/>
      <c r="N45" s="67"/>
      <c r="O45" s="68"/>
      <c r="P45" s="39"/>
      <c r="Q45" s="40"/>
      <c r="R45" s="69"/>
      <c r="S45" s="409"/>
      <c r="T45" s="76"/>
      <c r="U45" s="76"/>
      <c r="V45" s="65"/>
      <c r="W45" s="70">
        <f t="shared" si="25"/>
        <v>0</v>
      </c>
      <c r="X45" s="71"/>
      <c r="Y45" s="68"/>
      <c r="Z45" s="400"/>
      <c r="AA45" s="400"/>
      <c r="AB45" s="72"/>
      <c r="AC45" s="62"/>
      <c r="AD45" s="389"/>
    </row>
    <row r="46" spans="1:30" s="63" customFormat="1" ht="15" customHeight="1" x14ac:dyDescent="0.25">
      <c r="A46" s="425"/>
      <c r="B46" s="246"/>
      <c r="C46" s="27"/>
      <c r="D46" s="28"/>
      <c r="E46" s="29"/>
      <c r="F46" s="13"/>
      <c r="G46" s="67"/>
      <c r="H46" s="64">
        <f t="shared" si="24"/>
        <v>0</v>
      </c>
      <c r="I46" s="65"/>
      <c r="J46" s="66"/>
      <c r="K46" s="67"/>
      <c r="L46" s="68"/>
      <c r="M46" s="66"/>
      <c r="N46" s="67"/>
      <c r="O46" s="68"/>
      <c r="P46" s="39"/>
      <c r="Q46" s="40"/>
      <c r="R46" s="69"/>
      <c r="S46" s="409"/>
      <c r="T46" s="59"/>
      <c r="U46" s="59"/>
      <c r="V46" s="65"/>
      <c r="W46" s="70">
        <f t="shared" si="25"/>
        <v>0</v>
      </c>
      <c r="X46" s="71"/>
      <c r="Y46" s="68"/>
      <c r="Z46" s="400"/>
      <c r="AA46" s="400"/>
      <c r="AB46" s="72"/>
      <c r="AC46" s="62"/>
      <c r="AD46" s="389"/>
    </row>
    <row r="47" spans="1:30" s="63" customFormat="1" ht="15" customHeight="1" x14ac:dyDescent="0.25">
      <c r="A47" s="425"/>
      <c r="B47" s="245"/>
      <c r="C47" s="27"/>
      <c r="D47" s="28"/>
      <c r="E47" s="29"/>
      <c r="F47" s="13"/>
      <c r="G47" s="67"/>
      <c r="H47" s="64">
        <f t="shared" si="24"/>
        <v>0</v>
      </c>
      <c r="I47" s="65"/>
      <c r="J47" s="66"/>
      <c r="K47" s="67"/>
      <c r="L47" s="68"/>
      <c r="M47" s="66"/>
      <c r="N47" s="67"/>
      <c r="O47" s="68"/>
      <c r="P47" s="39"/>
      <c r="Q47" s="40"/>
      <c r="R47" s="69"/>
      <c r="S47" s="409"/>
      <c r="T47" s="76"/>
      <c r="U47" s="76"/>
      <c r="V47" s="65"/>
      <c r="W47" s="70">
        <f t="shared" si="25"/>
        <v>0</v>
      </c>
      <c r="X47" s="71"/>
      <c r="Y47" s="68"/>
      <c r="Z47" s="400"/>
      <c r="AA47" s="400"/>
      <c r="AB47" s="72"/>
      <c r="AC47" s="62"/>
      <c r="AD47" s="389"/>
    </row>
    <row r="48" spans="1:30" ht="15" customHeight="1" thickBot="1" x14ac:dyDescent="0.3">
      <c r="A48" s="426"/>
      <c r="B48" s="163"/>
      <c r="C48" s="1" t="s">
        <v>37</v>
      </c>
      <c r="D48" s="404" t="s">
        <v>7</v>
      </c>
      <c r="E48" s="404"/>
      <c r="F48" s="136"/>
      <c r="G48" s="149"/>
      <c r="H48" s="138"/>
      <c r="I48" s="139"/>
      <c r="J48" s="137">
        <f t="shared" ref="J48:O48" si="26">AVERAGE(J38:J47)</f>
        <v>16</v>
      </c>
      <c r="K48" s="137">
        <f t="shared" si="26"/>
        <v>1412.5</v>
      </c>
      <c r="L48" s="140">
        <f t="shared" si="26"/>
        <v>88.735294117647058</v>
      </c>
      <c r="M48" s="137">
        <f t="shared" si="26"/>
        <v>15</v>
      </c>
      <c r="N48" s="137">
        <f t="shared" si="26"/>
        <v>957.16995073891542</v>
      </c>
      <c r="O48" s="140">
        <f t="shared" si="26"/>
        <v>63.811330049261031</v>
      </c>
      <c r="P48" s="164">
        <f>M48-J48</f>
        <v>-1</v>
      </c>
      <c r="Q48" s="165">
        <f>N48-K48</f>
        <v>-455.33004926108458</v>
      </c>
      <c r="R48" s="166">
        <f>O48/L48</f>
        <v>0.71912006021706165</v>
      </c>
      <c r="S48" s="412"/>
      <c r="T48" s="167"/>
      <c r="U48" s="167"/>
      <c r="V48" s="204"/>
      <c r="W48" s="168">
        <f t="shared" si="25"/>
        <v>0</v>
      </c>
      <c r="X48" s="169"/>
      <c r="Y48" s="169"/>
      <c r="Z48" s="401"/>
      <c r="AA48" s="401"/>
      <c r="AB48" s="170">
        <f>N48-K48</f>
        <v>-455.33004926108458</v>
      </c>
      <c r="AC48" s="199">
        <f>N48/K48</f>
        <v>0.67764244300100207</v>
      </c>
      <c r="AD48" s="390"/>
    </row>
    <row r="49" spans="1:30" ht="15" customHeight="1" x14ac:dyDescent="0.25">
      <c r="A49" s="420" t="s">
        <v>56</v>
      </c>
      <c r="B49" s="207" t="str">
        <f>VLOOKUP(D49,廠價表!$C$1:$E$39,2,0)</f>
        <v>義大利麵</v>
      </c>
      <c r="C49" s="105"/>
      <c r="D49" s="106" t="s">
        <v>173</v>
      </c>
      <c r="E49" s="107"/>
      <c r="F49" s="207">
        <f>VLOOKUP(D49,廠價表!$C$1:$E$39,3,0)</f>
        <v>56.87</v>
      </c>
      <c r="G49" s="154">
        <v>2928</v>
      </c>
      <c r="H49" s="128">
        <f t="shared" ref="H49:H57" si="27">F49*G49</f>
        <v>166515.35999999999</v>
      </c>
      <c r="I49" s="129"/>
      <c r="J49" s="111">
        <f>VLOOKUP(D49,產線配置圖!$A$2:$C$38,2,0)</f>
        <v>17</v>
      </c>
      <c r="K49" s="108">
        <v>1600</v>
      </c>
      <c r="L49" s="112">
        <f>K49/J49</f>
        <v>94.117647058823536</v>
      </c>
      <c r="M49" s="147">
        <v>17</v>
      </c>
      <c r="N49" s="130">
        <f>G49/W49*60</f>
        <v>1394.2857142857147</v>
      </c>
      <c r="O49" s="131">
        <f>N49/M49</f>
        <v>82.016806722689097</v>
      </c>
      <c r="P49" s="171">
        <f>M49-J49</f>
        <v>0</v>
      </c>
      <c r="Q49" s="115">
        <f>O49-L49</f>
        <v>-12.100840336134439</v>
      </c>
      <c r="R49" s="192">
        <f>O49/L49</f>
        <v>0.87142857142857155</v>
      </c>
      <c r="S49" s="408">
        <f>R58</f>
        <v>0.89429489717564314</v>
      </c>
      <c r="T49" s="157">
        <v>0.29166666666666669</v>
      </c>
      <c r="U49" s="157">
        <v>0.37916666666666665</v>
      </c>
      <c r="V49" s="196"/>
      <c r="W49" s="158">
        <f t="shared" si="7"/>
        <v>125.99999999999996</v>
      </c>
      <c r="X49" s="196"/>
      <c r="Y49" s="196"/>
      <c r="Z49" s="423"/>
      <c r="AA49" s="423"/>
      <c r="AB49" s="114">
        <f>N49-K49</f>
        <v>-205.71428571428532</v>
      </c>
      <c r="AC49" s="192">
        <f>N49/K49</f>
        <v>0.87142857142857166</v>
      </c>
      <c r="AD49" s="391">
        <f>AC58</f>
        <v>0.89474989184291487</v>
      </c>
    </row>
    <row r="50" spans="1:30" ht="15" customHeight="1" x14ac:dyDescent="0.25">
      <c r="A50" s="421"/>
      <c r="B50" s="56" t="str">
        <f>VLOOKUP(D50,廠價表!$C$1:$E$39,2,0)</f>
        <v>義大利麵</v>
      </c>
      <c r="C50" s="10"/>
      <c r="D50" s="11" t="s">
        <v>66</v>
      </c>
      <c r="E50" s="89"/>
      <c r="F50" s="56">
        <f>VLOOKUP(D50,廠價表!$C$1:$E$39,3,0)</f>
        <v>49.97</v>
      </c>
      <c r="G50" s="67">
        <v>2679</v>
      </c>
      <c r="H50" s="77">
        <f t="shared" si="27"/>
        <v>133869.63</v>
      </c>
      <c r="I50" s="201"/>
      <c r="J50" s="16">
        <f>VLOOKUP(D50,產線配置圖!$A$2:$C$38,2,0)</f>
        <v>18</v>
      </c>
      <c r="K50" s="14">
        <f>VLOOKUP(D50,產線配置圖!$A$2:$C$38,3,0)</f>
        <v>1565</v>
      </c>
      <c r="L50" s="17">
        <f>K50/J50</f>
        <v>86.944444444444443</v>
      </c>
      <c r="M50" s="182">
        <v>18</v>
      </c>
      <c r="N50" s="78">
        <f>G50/W50*60</f>
        <v>1435.1785714285716</v>
      </c>
      <c r="O50" s="79">
        <f>N50/M50</f>
        <v>79.732142857142861</v>
      </c>
      <c r="P50" s="18">
        <f>M50-J50</f>
        <v>0</v>
      </c>
      <c r="Q50" s="19">
        <f>O50-L50</f>
        <v>-7.2123015873015817</v>
      </c>
      <c r="R50" s="193">
        <f>O50/L50</f>
        <v>0.91704701049748982</v>
      </c>
      <c r="S50" s="409"/>
      <c r="T50" s="80">
        <v>0.3840277777777778</v>
      </c>
      <c r="U50" s="80">
        <v>0.46180555555555558</v>
      </c>
      <c r="V50" s="185">
        <f t="shared" ref="V50:V51" si="28">(T50-U49)*24*60</f>
        <v>7.0000000000000551</v>
      </c>
      <c r="W50" s="81">
        <f t="shared" si="7"/>
        <v>112</v>
      </c>
      <c r="X50" s="22"/>
      <c r="Y50" s="22"/>
      <c r="Z50" s="398"/>
      <c r="AA50" s="399"/>
      <c r="AB50" s="18">
        <f>N50-K50</f>
        <v>-129.82142857142844</v>
      </c>
      <c r="AC50" s="193">
        <f>N50/K50</f>
        <v>0.91704701049748982</v>
      </c>
      <c r="AD50" s="392"/>
    </row>
    <row r="51" spans="1:30" ht="15" customHeight="1" x14ac:dyDescent="0.25">
      <c r="A51" s="421"/>
      <c r="B51" s="56" t="str">
        <f>VLOOKUP(D51,廠價表!$C$1:$E$39,2,0)</f>
        <v>義大利麵</v>
      </c>
      <c r="C51" s="10"/>
      <c r="D51" s="11" t="s">
        <v>66</v>
      </c>
      <c r="E51" s="89"/>
      <c r="F51" s="56">
        <f>VLOOKUP(D51,廠價表!$C$1:$E$39,3,0)</f>
        <v>49.97</v>
      </c>
      <c r="G51" s="67">
        <v>865</v>
      </c>
      <c r="H51" s="77">
        <f t="shared" si="27"/>
        <v>43224.049999999996</v>
      </c>
      <c r="I51" s="201"/>
      <c r="J51" s="16">
        <f>VLOOKUP(D51,產線配置圖!$A$2:$C$38,2,0)</f>
        <v>18</v>
      </c>
      <c r="K51" s="14">
        <f>VLOOKUP(D51,產線配置圖!$A$2:$C$38,3,0)</f>
        <v>1565</v>
      </c>
      <c r="L51" s="17">
        <f>K51/J51</f>
        <v>86.944444444444443</v>
      </c>
      <c r="M51" s="182">
        <v>18</v>
      </c>
      <c r="N51" s="78">
        <f>G51/W51*60</f>
        <v>1402.7027027027016</v>
      </c>
      <c r="O51" s="79">
        <f>N51/M51</f>
        <v>77.927927927927868</v>
      </c>
      <c r="P51" s="18">
        <f>M51-J51</f>
        <v>0</v>
      </c>
      <c r="Q51" s="19">
        <f>O51-L51</f>
        <v>-9.0165165165165746</v>
      </c>
      <c r="R51" s="193">
        <f>O51/L51</f>
        <v>0.89629565667904254</v>
      </c>
      <c r="S51" s="409"/>
      <c r="T51" s="80">
        <v>0.52777777777777779</v>
      </c>
      <c r="U51" s="44">
        <v>0.55347222222222225</v>
      </c>
      <c r="V51" s="185">
        <f t="shared" si="28"/>
        <v>94.999999999999986</v>
      </c>
      <c r="W51" s="81">
        <f t="shared" si="7"/>
        <v>37.000000000000028</v>
      </c>
      <c r="X51" s="22">
        <v>0.47916666666666669</v>
      </c>
      <c r="Y51" s="22">
        <v>0.52083333333333337</v>
      </c>
      <c r="Z51" s="400"/>
      <c r="AA51" s="400"/>
      <c r="AB51" s="18">
        <f>N51-K51</f>
        <v>-162.29729729729843</v>
      </c>
      <c r="AC51" s="193">
        <f>N51/K51</f>
        <v>0.89629565667904254</v>
      </c>
      <c r="AD51" s="392"/>
    </row>
    <row r="52" spans="1:30" ht="15" customHeight="1" x14ac:dyDescent="0.25">
      <c r="A52" s="421"/>
      <c r="B52" s="56"/>
      <c r="C52" s="23"/>
      <c r="D52" s="11"/>
      <c r="E52" s="12"/>
      <c r="F52" s="56"/>
      <c r="G52" s="67"/>
      <c r="H52" s="77"/>
      <c r="I52" s="201"/>
      <c r="J52" s="16"/>
      <c r="K52" s="14"/>
      <c r="L52" s="17"/>
      <c r="M52" s="182"/>
      <c r="N52" s="78"/>
      <c r="O52" s="79"/>
      <c r="P52" s="18"/>
      <c r="Q52" s="19"/>
      <c r="R52" s="193"/>
      <c r="S52" s="409"/>
      <c r="T52" s="80"/>
      <c r="U52" s="80"/>
      <c r="V52" s="185"/>
      <c r="W52" s="81">
        <f t="shared" si="7"/>
        <v>0</v>
      </c>
      <c r="X52" s="22"/>
      <c r="Y52" s="22"/>
      <c r="Z52" s="400"/>
      <c r="AA52" s="400"/>
      <c r="AB52" s="18"/>
      <c r="AC52" s="193"/>
      <c r="AD52" s="392"/>
    </row>
    <row r="53" spans="1:30" ht="15" customHeight="1" x14ac:dyDescent="0.25">
      <c r="A53" s="421"/>
      <c r="B53" s="56"/>
      <c r="C53" s="23"/>
      <c r="D53" s="11"/>
      <c r="E53" s="12"/>
      <c r="F53" s="56"/>
      <c r="G53" s="67"/>
      <c r="H53" s="77"/>
      <c r="I53" s="201"/>
      <c r="J53" s="16"/>
      <c r="K53" s="14"/>
      <c r="L53" s="17"/>
      <c r="M53" s="182"/>
      <c r="N53" s="78"/>
      <c r="O53" s="79"/>
      <c r="P53" s="18"/>
      <c r="Q53" s="19"/>
      <c r="R53" s="193"/>
      <c r="S53" s="409"/>
      <c r="T53" s="80"/>
      <c r="U53" s="80"/>
      <c r="V53" s="185"/>
      <c r="W53" s="81">
        <f t="shared" si="7"/>
        <v>0</v>
      </c>
      <c r="X53" s="185"/>
      <c r="Y53" s="185"/>
      <c r="Z53" s="398"/>
      <c r="AA53" s="399"/>
      <c r="AB53" s="18"/>
      <c r="AC53" s="193"/>
      <c r="AD53" s="392"/>
    </row>
    <row r="54" spans="1:30" ht="15" customHeight="1" x14ac:dyDescent="0.25">
      <c r="A54" s="421"/>
      <c r="B54" s="185"/>
      <c r="C54" s="191"/>
      <c r="D54" s="11"/>
      <c r="E54" s="12"/>
      <c r="F54" s="13"/>
      <c r="G54" s="67"/>
      <c r="H54" s="77"/>
      <c r="I54" s="185"/>
      <c r="J54" s="31"/>
      <c r="K54" s="30"/>
      <c r="L54" s="38"/>
      <c r="M54" s="189"/>
      <c r="N54" s="30"/>
      <c r="O54" s="35"/>
      <c r="P54" s="18"/>
      <c r="Q54" s="19"/>
      <c r="R54" s="193"/>
      <c r="S54" s="409"/>
      <c r="T54" s="80"/>
      <c r="U54" s="80"/>
      <c r="V54" s="205"/>
      <c r="W54" s="81">
        <f t="shared" si="7"/>
        <v>0</v>
      </c>
      <c r="X54" s="185"/>
      <c r="Y54" s="185"/>
      <c r="Z54" s="398"/>
      <c r="AA54" s="399"/>
      <c r="AB54" s="18"/>
      <c r="AC54" s="193"/>
      <c r="AD54" s="392"/>
    </row>
    <row r="55" spans="1:30" ht="15" customHeight="1" x14ac:dyDescent="0.25">
      <c r="A55" s="421"/>
      <c r="B55" s="26"/>
      <c r="C55" s="27"/>
      <c r="D55" s="28"/>
      <c r="E55" s="29"/>
      <c r="F55" s="13"/>
      <c r="G55" s="67"/>
      <c r="H55" s="15">
        <f t="shared" si="27"/>
        <v>0</v>
      </c>
      <c r="I55" s="185"/>
      <c r="J55" s="31"/>
      <c r="K55" s="30"/>
      <c r="L55" s="38"/>
      <c r="M55" s="189"/>
      <c r="N55" s="30"/>
      <c r="O55" s="35"/>
      <c r="P55" s="18"/>
      <c r="Q55" s="19"/>
      <c r="R55" s="193"/>
      <c r="S55" s="409"/>
      <c r="T55" s="80"/>
      <c r="U55" s="80"/>
      <c r="V55" s="205"/>
      <c r="W55" s="81">
        <f t="shared" si="7"/>
        <v>0</v>
      </c>
      <c r="X55" s="185"/>
      <c r="Y55" s="185"/>
      <c r="Z55" s="398"/>
      <c r="AA55" s="399"/>
      <c r="AB55" s="18"/>
      <c r="AC55" s="193"/>
      <c r="AD55" s="392"/>
    </row>
    <row r="56" spans="1:30" ht="15" customHeight="1" x14ac:dyDescent="0.25">
      <c r="A56" s="421"/>
      <c r="B56" s="26"/>
      <c r="C56" s="27"/>
      <c r="D56" s="28"/>
      <c r="E56" s="29"/>
      <c r="F56" s="13"/>
      <c r="G56" s="67"/>
      <c r="H56" s="15">
        <f t="shared" si="27"/>
        <v>0</v>
      </c>
      <c r="I56" s="185"/>
      <c r="J56" s="31"/>
      <c r="K56" s="30"/>
      <c r="L56" s="38"/>
      <c r="M56" s="189"/>
      <c r="N56" s="30"/>
      <c r="O56" s="35"/>
      <c r="P56" s="18"/>
      <c r="Q56" s="19"/>
      <c r="R56" s="193"/>
      <c r="S56" s="409"/>
      <c r="T56" s="80"/>
      <c r="U56" s="80"/>
      <c r="V56" s="205"/>
      <c r="W56" s="81">
        <f t="shared" si="7"/>
        <v>0</v>
      </c>
      <c r="X56" s="185"/>
      <c r="Y56" s="185"/>
      <c r="Z56" s="400"/>
      <c r="AA56" s="400"/>
      <c r="AB56" s="18"/>
      <c r="AC56" s="193"/>
      <c r="AD56" s="392"/>
    </row>
    <row r="57" spans="1:30" ht="15" customHeight="1" x14ac:dyDescent="0.25">
      <c r="A57" s="421"/>
      <c r="B57" s="26"/>
      <c r="C57" s="27"/>
      <c r="D57" s="28"/>
      <c r="E57" s="29"/>
      <c r="F57" s="13"/>
      <c r="G57" s="67"/>
      <c r="H57" s="15">
        <f t="shared" si="27"/>
        <v>0</v>
      </c>
      <c r="I57" s="185"/>
      <c r="J57" s="31"/>
      <c r="K57" s="30"/>
      <c r="L57" s="38"/>
      <c r="M57" s="189"/>
      <c r="N57" s="30"/>
      <c r="O57" s="35"/>
      <c r="P57" s="18"/>
      <c r="Q57" s="19"/>
      <c r="R57" s="193"/>
      <c r="S57" s="409"/>
      <c r="T57" s="80"/>
      <c r="U57" s="80"/>
      <c r="V57" s="205"/>
      <c r="W57" s="81">
        <f t="shared" si="7"/>
        <v>0</v>
      </c>
      <c r="X57" s="185"/>
      <c r="Y57" s="185"/>
      <c r="Z57" s="400"/>
      <c r="AA57" s="400"/>
      <c r="AB57" s="18"/>
      <c r="AC57" s="193"/>
      <c r="AD57" s="392"/>
    </row>
    <row r="58" spans="1:30" ht="15" customHeight="1" thickBot="1" x14ac:dyDescent="0.3">
      <c r="A58" s="422"/>
      <c r="B58" s="172"/>
      <c r="C58" s="1" t="s">
        <v>38</v>
      </c>
      <c r="D58" s="404" t="s">
        <v>7</v>
      </c>
      <c r="E58" s="404"/>
      <c r="F58" s="117"/>
      <c r="G58" s="173"/>
      <c r="H58" s="119"/>
      <c r="I58" s="118"/>
      <c r="J58" s="121">
        <f t="shared" ref="J58:O58" si="29">AVERAGE(J49:J57)</f>
        <v>17.666666666666668</v>
      </c>
      <c r="K58" s="121">
        <f t="shared" si="29"/>
        <v>1576.6666666666667</v>
      </c>
      <c r="L58" s="118">
        <f t="shared" si="29"/>
        <v>89.335511982570821</v>
      </c>
      <c r="M58" s="121">
        <f t="shared" si="29"/>
        <v>17.666666666666668</v>
      </c>
      <c r="N58" s="121">
        <f t="shared" si="29"/>
        <v>1410.7223294723292</v>
      </c>
      <c r="O58" s="118">
        <f t="shared" si="29"/>
        <v>79.892292502586614</v>
      </c>
      <c r="P58" s="122">
        <f>M58-J58</f>
        <v>0</v>
      </c>
      <c r="Q58" s="123">
        <f>N58-K58</f>
        <v>-165.94433719433755</v>
      </c>
      <c r="R58" s="124">
        <f t="shared" ref="R58:R60" si="30">O58/L58</f>
        <v>0.89429489717564314</v>
      </c>
      <c r="S58" s="412"/>
      <c r="T58" s="174"/>
      <c r="U58" s="174"/>
      <c r="V58" s="203"/>
      <c r="W58" s="175"/>
      <c r="X58" s="127"/>
      <c r="Y58" s="127"/>
      <c r="Z58" s="401"/>
      <c r="AA58" s="401"/>
      <c r="AB58" s="122">
        <f t="shared" ref="AB58:AB61" si="31">N58-K58</f>
        <v>-165.94433719433755</v>
      </c>
      <c r="AC58" s="195">
        <f t="shared" ref="AC58:AC61" si="32">N58/K58</f>
        <v>0.89474989184291487</v>
      </c>
      <c r="AD58" s="396"/>
    </row>
    <row r="59" spans="1:30" ht="15" customHeight="1" x14ac:dyDescent="0.25">
      <c r="A59" s="415" t="s">
        <v>57</v>
      </c>
      <c r="B59" s="207" t="str">
        <f>VLOOKUP(D59,廠價表!$C$1:$E$39,2,0)</f>
        <v>小吃、微波</v>
      </c>
      <c r="C59" s="105"/>
      <c r="D59" s="106" t="s">
        <v>128</v>
      </c>
      <c r="E59" s="107"/>
      <c r="F59" s="207">
        <f>VLOOKUP(D59,廠價表!$C$1:$E$39,3,0)</f>
        <v>26.99</v>
      </c>
      <c r="G59" s="196">
        <v>3310</v>
      </c>
      <c r="H59" s="109">
        <f t="shared" ref="H59:H68" si="33">F59*G59</f>
        <v>89336.9</v>
      </c>
      <c r="I59" s="196"/>
      <c r="J59" s="111">
        <f>VLOOKUP(D59,產線配置圖!$A$2:$C$38,2,0)</f>
        <v>13</v>
      </c>
      <c r="K59" s="108">
        <f>VLOOKUP(D59,產線配置圖!$A$2:$C$38,3,0)</f>
        <v>1565</v>
      </c>
      <c r="L59" s="112">
        <f>K59/J59</f>
        <v>120.38461538461539</v>
      </c>
      <c r="M59" s="113">
        <v>13</v>
      </c>
      <c r="N59" s="108">
        <f t="shared" ref="N59:N61" si="34">G59/W59*60</f>
        <v>1504.5454545454545</v>
      </c>
      <c r="O59" s="112">
        <f t="shared" ref="O59:O61" si="35">N59/M59</f>
        <v>115.73426573426573</v>
      </c>
      <c r="P59" s="114">
        <f t="shared" ref="P59:P61" si="36">M59-J59</f>
        <v>0</v>
      </c>
      <c r="Q59" s="115">
        <f t="shared" ref="Q59:Q61" si="37">O59-L59</f>
        <v>-4.6503496503496535</v>
      </c>
      <c r="R59" s="192">
        <f t="shared" si="30"/>
        <v>0.96137089747313387</v>
      </c>
      <c r="S59" s="408">
        <f>R69</f>
        <v>0.87025543818884965</v>
      </c>
      <c r="T59" s="176">
        <v>0.29375000000000001</v>
      </c>
      <c r="U59" s="176">
        <v>0.38541666666666669</v>
      </c>
      <c r="V59" s="196"/>
      <c r="W59" s="110">
        <f t="shared" si="7"/>
        <v>132</v>
      </c>
      <c r="X59" s="196"/>
      <c r="Y59" s="196"/>
      <c r="Z59" s="400"/>
      <c r="AA59" s="400"/>
      <c r="AB59" s="240">
        <f t="shared" si="31"/>
        <v>-60.454545454545496</v>
      </c>
      <c r="AC59" s="241">
        <f t="shared" si="32"/>
        <v>0.96137089747313387</v>
      </c>
      <c r="AD59" s="391">
        <f>AC69</f>
        <v>0.87259173201665174</v>
      </c>
    </row>
    <row r="60" spans="1:30" ht="15" customHeight="1" x14ac:dyDescent="0.25">
      <c r="A60" s="416"/>
      <c r="B60" s="56" t="str">
        <f>VLOOKUP(D60,廠價表!$C$1:$E$39,2,0)</f>
        <v>小吃、微波</v>
      </c>
      <c r="C60" s="10"/>
      <c r="D60" s="260" t="s">
        <v>157</v>
      </c>
      <c r="E60" s="89"/>
      <c r="F60" s="56">
        <f>VLOOKUP(D60,廠價表!$C$1:$E$39,3,0)</f>
        <v>28.47</v>
      </c>
      <c r="G60" s="185">
        <v>971</v>
      </c>
      <c r="H60" s="15">
        <f t="shared" si="33"/>
        <v>27644.37</v>
      </c>
      <c r="I60" s="185"/>
      <c r="J60" s="16">
        <f>VLOOKUP(D60,產線配置圖!$A$2:$C$38,2,0)</f>
        <v>12</v>
      </c>
      <c r="K60" s="14">
        <f>VLOOKUP(D60,產線配置圖!$A$2:$C$38,3,0)</f>
        <v>1565</v>
      </c>
      <c r="L60" s="17">
        <f>K60/J60</f>
        <v>130.41666666666666</v>
      </c>
      <c r="M60" s="188">
        <v>12</v>
      </c>
      <c r="N60" s="14">
        <f t="shared" si="34"/>
        <v>1059.2727272727266</v>
      </c>
      <c r="O60" s="17">
        <f t="shared" si="35"/>
        <v>88.272727272727209</v>
      </c>
      <c r="P60" s="18">
        <f t="shared" si="36"/>
        <v>0</v>
      </c>
      <c r="Q60" s="19">
        <f t="shared" si="37"/>
        <v>-42.143939393939448</v>
      </c>
      <c r="R60" s="193">
        <f t="shared" si="30"/>
        <v>0.67685158292186998</v>
      </c>
      <c r="S60" s="419"/>
      <c r="T60" s="206">
        <v>0.39583333333333331</v>
      </c>
      <c r="U60" s="206">
        <v>0.43402777777777779</v>
      </c>
      <c r="V60" s="185">
        <f t="shared" ref="V60:V61" si="38">(T60-U59)*24*60</f>
        <v>14.999999999999947</v>
      </c>
      <c r="W60" s="93">
        <f t="shared" si="7"/>
        <v>55.000000000000043</v>
      </c>
      <c r="X60" s="201"/>
      <c r="Y60" s="201"/>
      <c r="Z60" s="400" t="s">
        <v>274</v>
      </c>
      <c r="AA60" s="400"/>
      <c r="AB60" s="242">
        <f t="shared" si="31"/>
        <v>-505.72727272727343</v>
      </c>
      <c r="AC60" s="243">
        <f t="shared" si="32"/>
        <v>0.67685158292186998</v>
      </c>
      <c r="AD60" s="397"/>
    </row>
    <row r="61" spans="1:30" ht="15" customHeight="1" x14ac:dyDescent="0.25">
      <c r="A61" s="417"/>
      <c r="B61" s="56" t="str">
        <f>VLOOKUP(D61,廠價表!$C$1:$E$39,2,0)</f>
        <v>小吃、微波</v>
      </c>
      <c r="C61" s="10"/>
      <c r="D61" s="260" t="s">
        <v>143</v>
      </c>
      <c r="E61" s="89"/>
      <c r="F61" s="56">
        <f>VLOOKUP(D61,廠價表!$C$1:$E$39,3,0)</f>
        <v>28.26</v>
      </c>
      <c r="G61" s="185">
        <v>2044</v>
      </c>
      <c r="H61" s="15">
        <f t="shared" si="33"/>
        <v>57763.44</v>
      </c>
      <c r="I61" s="82"/>
      <c r="J61" s="16">
        <f>VLOOKUP(D61,產線配置圖!$A$2:$C$38,2,0)</f>
        <v>12</v>
      </c>
      <c r="K61" s="14">
        <f>VLOOKUP(D61,產線配置圖!$A$2:$C$38,3,0)</f>
        <v>1565</v>
      </c>
      <c r="L61" s="17">
        <f t="shared" ref="L61" si="39">K61/J61</f>
        <v>130.41666666666666</v>
      </c>
      <c r="M61" s="188">
        <v>12</v>
      </c>
      <c r="N61" s="14">
        <f t="shared" si="34"/>
        <v>1532.9999999999993</v>
      </c>
      <c r="O61" s="17">
        <f t="shared" si="35"/>
        <v>127.74999999999994</v>
      </c>
      <c r="P61" s="18">
        <f t="shared" si="36"/>
        <v>0</v>
      </c>
      <c r="Q61" s="19">
        <f t="shared" si="37"/>
        <v>-2.666666666666714</v>
      </c>
      <c r="R61" s="193">
        <f>O61/L61</f>
        <v>0.97955271565495172</v>
      </c>
      <c r="S61" s="409"/>
      <c r="T61" s="20">
        <v>0.44444444444444442</v>
      </c>
      <c r="U61" s="20">
        <v>0.5</v>
      </c>
      <c r="V61" s="185">
        <f t="shared" si="38"/>
        <v>14.999999999999947</v>
      </c>
      <c r="W61" s="91">
        <f t="shared" si="7"/>
        <v>80.000000000000028</v>
      </c>
      <c r="X61" s="22"/>
      <c r="Y61" s="22"/>
      <c r="Z61" s="400"/>
      <c r="AA61" s="400"/>
      <c r="AB61" s="51">
        <f t="shared" si="31"/>
        <v>-32.000000000000682</v>
      </c>
      <c r="AC61" s="52">
        <f t="shared" si="32"/>
        <v>0.97955271565495161</v>
      </c>
      <c r="AD61" s="392"/>
    </row>
    <row r="62" spans="1:30" ht="15" customHeight="1" x14ac:dyDescent="0.25">
      <c r="A62" s="417"/>
      <c r="B62" s="56"/>
      <c r="C62" s="10"/>
      <c r="D62" s="260"/>
      <c r="E62" s="89"/>
      <c r="F62" s="56"/>
      <c r="G62" s="185"/>
      <c r="H62" s="15"/>
      <c r="I62" s="82"/>
      <c r="J62" s="16"/>
      <c r="K62" s="14"/>
      <c r="L62" s="17"/>
      <c r="M62" s="188"/>
      <c r="N62" s="14"/>
      <c r="O62" s="17"/>
      <c r="P62" s="18"/>
      <c r="Q62" s="19"/>
      <c r="R62" s="193"/>
      <c r="S62" s="409"/>
      <c r="T62" s="20"/>
      <c r="U62" s="20"/>
      <c r="V62" s="185"/>
      <c r="W62" s="93">
        <f t="shared" si="7"/>
        <v>0</v>
      </c>
      <c r="X62" s="22"/>
      <c r="Y62" s="22"/>
      <c r="Z62" s="400"/>
      <c r="AA62" s="400"/>
      <c r="AB62" s="51"/>
      <c r="AC62" s="52"/>
      <c r="AD62" s="392"/>
    </row>
    <row r="63" spans="1:30" ht="15" customHeight="1" x14ac:dyDescent="0.25">
      <c r="A63" s="417"/>
      <c r="B63" s="56"/>
      <c r="C63" s="23"/>
      <c r="D63" s="11"/>
      <c r="E63" s="12"/>
      <c r="F63" s="56"/>
      <c r="G63" s="185"/>
      <c r="H63" s="15"/>
      <c r="I63" s="82"/>
      <c r="J63" s="16"/>
      <c r="K63" s="14"/>
      <c r="L63" s="17"/>
      <c r="M63" s="188"/>
      <c r="N63" s="14"/>
      <c r="O63" s="17"/>
      <c r="P63" s="18"/>
      <c r="Q63" s="19"/>
      <c r="R63" s="193"/>
      <c r="S63" s="409"/>
      <c r="T63" s="20"/>
      <c r="U63" s="20"/>
      <c r="V63" s="185"/>
      <c r="W63" s="93">
        <f t="shared" si="7"/>
        <v>0</v>
      </c>
      <c r="X63" s="85"/>
      <c r="Y63" s="85"/>
      <c r="Z63" s="400"/>
      <c r="AA63" s="400"/>
      <c r="AB63" s="51"/>
      <c r="AC63" s="52"/>
      <c r="AD63" s="392"/>
    </row>
    <row r="64" spans="1:30" ht="15" customHeight="1" x14ac:dyDescent="0.25">
      <c r="A64" s="417"/>
      <c r="B64" s="185"/>
      <c r="C64" s="23"/>
      <c r="D64" s="11"/>
      <c r="E64" s="12"/>
      <c r="F64" s="13"/>
      <c r="G64" s="185"/>
      <c r="H64" s="15">
        <f t="shared" si="33"/>
        <v>0</v>
      </c>
      <c r="I64" s="185"/>
      <c r="J64" s="16"/>
      <c r="K64" s="14"/>
      <c r="L64" s="17"/>
      <c r="M64" s="188"/>
      <c r="N64" s="14"/>
      <c r="O64" s="17"/>
      <c r="P64" s="18"/>
      <c r="Q64" s="19"/>
      <c r="R64" s="193"/>
      <c r="S64" s="409"/>
      <c r="T64" s="20"/>
      <c r="U64" s="20"/>
      <c r="V64" s="185"/>
      <c r="W64" s="190">
        <f t="shared" si="7"/>
        <v>0</v>
      </c>
      <c r="X64" s="85"/>
      <c r="Y64" s="85"/>
      <c r="Z64" s="398"/>
      <c r="AA64" s="399"/>
      <c r="AB64" s="18"/>
      <c r="AC64" s="55"/>
      <c r="AD64" s="392"/>
    </row>
    <row r="65" spans="1:32" ht="15" customHeight="1" x14ac:dyDescent="0.25">
      <c r="A65" s="417"/>
      <c r="B65" s="185"/>
      <c r="C65" s="191"/>
      <c r="D65" s="11"/>
      <c r="E65" s="12"/>
      <c r="F65" s="13"/>
      <c r="G65" s="185"/>
      <c r="H65" s="15">
        <f t="shared" si="33"/>
        <v>0</v>
      </c>
      <c r="I65" s="185"/>
      <c r="J65" s="16"/>
      <c r="K65" s="83"/>
      <c r="L65" s="84"/>
      <c r="M65" s="188"/>
      <c r="N65" s="14"/>
      <c r="O65" s="17"/>
      <c r="P65" s="18"/>
      <c r="Q65" s="19"/>
      <c r="R65" s="193"/>
      <c r="S65" s="409"/>
      <c r="T65" s="20"/>
      <c r="U65" s="20"/>
      <c r="V65" s="185"/>
      <c r="W65" s="190">
        <f t="shared" si="7"/>
        <v>0</v>
      </c>
      <c r="X65" s="85"/>
      <c r="Y65" s="85"/>
      <c r="Z65" s="398"/>
      <c r="AA65" s="399"/>
      <c r="AB65" s="18"/>
      <c r="AC65" s="55"/>
      <c r="AD65" s="392"/>
    </row>
    <row r="66" spans="1:32" ht="15" customHeight="1" x14ac:dyDescent="0.25">
      <c r="A66" s="417"/>
      <c r="B66" s="26"/>
      <c r="C66" s="27"/>
      <c r="D66" s="28"/>
      <c r="E66" s="29"/>
      <c r="F66" s="13"/>
      <c r="G66" s="191"/>
      <c r="H66" s="15">
        <f t="shared" si="33"/>
        <v>0</v>
      </c>
      <c r="I66" s="86"/>
      <c r="J66" s="16"/>
      <c r="K66" s="14"/>
      <c r="L66" s="17"/>
      <c r="M66" s="21"/>
      <c r="N66" s="36"/>
      <c r="O66" s="38"/>
      <c r="P66" s="39"/>
      <c r="Q66" s="40"/>
      <c r="R66" s="69"/>
      <c r="S66" s="409"/>
      <c r="T66" s="20"/>
      <c r="U66" s="20"/>
      <c r="V66" s="185"/>
      <c r="W66" s="190">
        <f t="shared" si="7"/>
        <v>0</v>
      </c>
      <c r="X66" s="85"/>
      <c r="Y66" s="85"/>
      <c r="Z66" s="400"/>
      <c r="AA66" s="400"/>
      <c r="AB66" s="18"/>
      <c r="AC66" s="55"/>
      <c r="AD66" s="392"/>
    </row>
    <row r="67" spans="1:32" ht="15" customHeight="1" x14ac:dyDescent="0.25">
      <c r="A67" s="417"/>
      <c r="B67" s="26"/>
      <c r="C67" s="27"/>
      <c r="D67" s="28"/>
      <c r="E67" s="29"/>
      <c r="F67" s="13"/>
      <c r="G67" s="185"/>
      <c r="H67" s="15">
        <f t="shared" si="33"/>
        <v>0</v>
      </c>
      <c r="I67" s="185"/>
      <c r="J67" s="16"/>
      <c r="K67" s="14"/>
      <c r="L67" s="17"/>
      <c r="M67" s="21"/>
      <c r="N67" s="36"/>
      <c r="O67" s="38"/>
      <c r="P67" s="39"/>
      <c r="Q67" s="40"/>
      <c r="R67" s="69"/>
      <c r="S67" s="409"/>
      <c r="T67" s="32"/>
      <c r="U67" s="32"/>
      <c r="V67" s="185"/>
      <c r="W67" s="190">
        <f t="shared" si="7"/>
        <v>0</v>
      </c>
      <c r="X67" s="85"/>
      <c r="Y67" s="85"/>
      <c r="Z67" s="398"/>
      <c r="AA67" s="399"/>
      <c r="AB67" s="18"/>
      <c r="AC67" s="55"/>
      <c r="AD67" s="392"/>
    </row>
    <row r="68" spans="1:32" ht="15" customHeight="1" x14ac:dyDescent="0.25">
      <c r="A68" s="417"/>
      <c r="B68" s="26"/>
      <c r="C68" s="27"/>
      <c r="D68" s="28"/>
      <c r="E68" s="29"/>
      <c r="F68" s="13"/>
      <c r="G68" s="191"/>
      <c r="H68" s="15">
        <f t="shared" si="33"/>
        <v>0</v>
      </c>
      <c r="I68" s="86"/>
      <c r="J68" s="16"/>
      <c r="K68" s="279"/>
      <c r="L68" s="280"/>
      <c r="M68" s="21"/>
      <c r="N68" s="36"/>
      <c r="O68" s="38"/>
      <c r="P68" s="39"/>
      <c r="Q68" s="40"/>
      <c r="R68" s="69"/>
      <c r="S68" s="521"/>
      <c r="T68" s="41"/>
      <c r="U68" s="41"/>
      <c r="V68" s="340"/>
      <c r="W68" s="190">
        <f t="shared" si="7"/>
        <v>0</v>
      </c>
      <c r="X68" s="85"/>
      <c r="Y68" s="85"/>
      <c r="Z68" s="398"/>
      <c r="AA68" s="399"/>
      <c r="AB68" s="18"/>
      <c r="AC68" s="55"/>
      <c r="AD68" s="392"/>
    </row>
    <row r="69" spans="1:32" ht="15" customHeight="1" thickBot="1" x14ac:dyDescent="0.3">
      <c r="A69" s="418"/>
      <c r="B69" s="172"/>
      <c r="C69" s="1" t="s">
        <v>39</v>
      </c>
      <c r="D69" s="404" t="s">
        <v>7</v>
      </c>
      <c r="E69" s="404"/>
      <c r="F69" s="117"/>
      <c r="G69" s="118"/>
      <c r="H69" s="119"/>
      <c r="I69" s="177"/>
      <c r="J69" s="173">
        <f t="shared" ref="J69:O69" si="40">AVERAGE(J59:J68)</f>
        <v>12.333333333333334</v>
      </c>
      <c r="K69" s="173">
        <f t="shared" si="40"/>
        <v>1565</v>
      </c>
      <c r="L69" s="178">
        <f t="shared" si="40"/>
        <v>127.07264957264958</v>
      </c>
      <c r="M69" s="173">
        <f t="shared" si="40"/>
        <v>12.333333333333334</v>
      </c>
      <c r="N69" s="173">
        <f t="shared" si="40"/>
        <v>1365.6060606060601</v>
      </c>
      <c r="O69" s="178">
        <f t="shared" si="40"/>
        <v>110.5856643356643</v>
      </c>
      <c r="P69" s="179">
        <f>M69-J69</f>
        <v>0</v>
      </c>
      <c r="Q69" s="165">
        <f>N69-K69</f>
        <v>-199.39393939393995</v>
      </c>
      <c r="R69" s="124">
        <f>O69/L69</f>
        <v>0.87025543818884965</v>
      </c>
      <c r="S69" s="412"/>
      <c r="T69" s="206"/>
      <c r="U69" s="206"/>
      <c r="V69" s="203"/>
      <c r="W69" s="175"/>
      <c r="X69" s="127"/>
      <c r="Y69" s="127"/>
      <c r="Z69" s="400"/>
      <c r="AA69" s="400"/>
      <c r="AB69" s="122">
        <f>N69-K69</f>
        <v>-199.39393939393995</v>
      </c>
      <c r="AC69" s="195">
        <f>N69/K69</f>
        <v>0.87259173201665174</v>
      </c>
      <c r="AD69" s="396"/>
    </row>
    <row r="70" spans="1:32" ht="15" customHeight="1" x14ac:dyDescent="0.25">
      <c r="A70" s="405" t="s">
        <v>58</v>
      </c>
      <c r="B70" s="207" t="s">
        <v>63</v>
      </c>
      <c r="C70" s="207"/>
      <c r="D70" s="106" t="s">
        <v>261</v>
      </c>
      <c r="E70" s="107"/>
      <c r="F70" s="207">
        <f>VLOOKUP(D70,廠價表!$C$1:$E$39,3,0)</f>
        <v>47.71</v>
      </c>
      <c r="G70" s="196">
        <v>4490</v>
      </c>
      <c r="H70" s="109">
        <f t="shared" ref="H70:H71" si="41">F70*G70</f>
        <v>214217.9</v>
      </c>
      <c r="I70" s="196"/>
      <c r="J70" s="111">
        <f>VLOOKUP(D70,產線配置圖!$A$2:$C$38,2,0)</f>
        <v>16</v>
      </c>
      <c r="K70" s="108">
        <f>VLOOKUP(D70,產線配置圖!$A$2:$C$38,3,0)</f>
        <v>1385</v>
      </c>
      <c r="L70" s="112">
        <f>K70/J70</f>
        <v>86.5625</v>
      </c>
      <c r="M70" s="113">
        <v>16</v>
      </c>
      <c r="N70" s="108">
        <f t="shared" ref="N70:N71" si="42">G70/W70*60</f>
        <v>1381.5384615384614</v>
      </c>
      <c r="O70" s="112">
        <f t="shared" ref="O70:O71" si="43">N70/M70</f>
        <v>86.34615384615384</v>
      </c>
      <c r="P70" s="114">
        <f t="shared" ref="P70:P71" si="44">M70-J70</f>
        <v>0</v>
      </c>
      <c r="Q70" s="115">
        <f t="shared" ref="Q70:Q71" si="45">O70-L70</f>
        <v>-0.21634615384616041</v>
      </c>
      <c r="R70" s="192">
        <f t="shared" ref="R70:R71" si="46">O70/L70</f>
        <v>0.99750069425159671</v>
      </c>
      <c r="S70" s="408">
        <f>R79</f>
        <v>0.84904082192018149</v>
      </c>
      <c r="T70" s="176">
        <v>0.33333333333333331</v>
      </c>
      <c r="U70" s="176">
        <v>0.46875</v>
      </c>
      <c r="V70" s="196"/>
      <c r="W70" s="110">
        <f t="shared" si="7"/>
        <v>195.00000000000003</v>
      </c>
      <c r="X70" s="342"/>
      <c r="Y70" s="342"/>
      <c r="Z70" s="413"/>
      <c r="AA70" s="414"/>
      <c r="AB70" s="240">
        <f t="shared" ref="AB70:AB71" si="47">N70-K70</f>
        <v>-3.4615384615385665</v>
      </c>
      <c r="AC70" s="241">
        <f t="shared" ref="AC70:AC71" si="48">N70/K70</f>
        <v>0.99750069425159671</v>
      </c>
      <c r="AD70" s="391">
        <f>AC79</f>
        <v>0.83163656796874752</v>
      </c>
    </row>
    <row r="71" spans="1:32" ht="15" customHeight="1" x14ac:dyDescent="0.25">
      <c r="A71" s="406"/>
      <c r="B71" s="56" t="s">
        <v>140</v>
      </c>
      <c r="C71" s="10"/>
      <c r="D71" s="11" t="s">
        <v>223</v>
      </c>
      <c r="E71" s="89"/>
      <c r="F71" s="56">
        <f>VLOOKUP(D71,廠價表!$C$1:$E$39,3,0)</f>
        <v>57.3</v>
      </c>
      <c r="G71" s="67">
        <v>1001</v>
      </c>
      <c r="H71" s="77">
        <f t="shared" si="41"/>
        <v>57357.299999999996</v>
      </c>
      <c r="I71" s="201"/>
      <c r="J71" s="16">
        <f>VLOOKUP(D71,產線配置圖!$A$2:$C$38,2,0)</f>
        <v>17</v>
      </c>
      <c r="K71" s="14">
        <f>VLOOKUP(D71,產線配置圖!$A$2:$C$38,3,0)</f>
        <v>1385</v>
      </c>
      <c r="L71" s="17">
        <f t="shared" ref="L71" si="49">K71/J71</f>
        <v>81.470588235294116</v>
      </c>
      <c r="M71" s="188">
        <v>16</v>
      </c>
      <c r="N71" s="14">
        <f t="shared" si="42"/>
        <v>857.99999999999909</v>
      </c>
      <c r="O71" s="17">
        <f t="shared" si="43"/>
        <v>53.624999999999943</v>
      </c>
      <c r="P71" s="18">
        <f t="shared" si="44"/>
        <v>-1</v>
      </c>
      <c r="Q71" s="19">
        <f t="shared" si="45"/>
        <v>-27.845588235294173</v>
      </c>
      <c r="R71" s="193">
        <f t="shared" si="46"/>
        <v>0.65821299638989106</v>
      </c>
      <c r="S71" s="409"/>
      <c r="T71" s="20">
        <v>0.54513888888888884</v>
      </c>
      <c r="U71" s="20">
        <v>0.59375</v>
      </c>
      <c r="V71" s="185">
        <f t="shared" ref="V71" si="50">(T71-U70)*24*60</f>
        <v>109.99999999999993</v>
      </c>
      <c r="W71" s="341">
        <f t="shared" si="7"/>
        <v>70.000000000000071</v>
      </c>
      <c r="X71" s="344">
        <v>0.5</v>
      </c>
      <c r="Y71" s="345">
        <v>0.54166666666666663</v>
      </c>
      <c r="Z71" s="516" t="s">
        <v>270</v>
      </c>
      <c r="AA71" s="520"/>
      <c r="AB71" s="39">
        <f t="shared" si="47"/>
        <v>-527.00000000000091</v>
      </c>
      <c r="AC71" s="198">
        <f t="shared" si="48"/>
        <v>0.61949458483754449</v>
      </c>
      <c r="AD71" s="393"/>
    </row>
    <row r="72" spans="1:32" ht="15" customHeight="1" x14ac:dyDescent="0.25">
      <c r="A72" s="406"/>
      <c r="B72" s="56"/>
      <c r="C72" s="10"/>
      <c r="D72" s="11"/>
      <c r="E72" s="89"/>
      <c r="F72" s="56"/>
      <c r="G72" s="67"/>
      <c r="H72" s="77"/>
      <c r="I72" s="201"/>
      <c r="J72" s="16"/>
      <c r="K72" s="14"/>
      <c r="L72" s="17"/>
      <c r="M72" s="188"/>
      <c r="N72" s="14"/>
      <c r="O72" s="17"/>
      <c r="P72" s="18"/>
      <c r="Q72" s="19"/>
      <c r="R72" s="193"/>
      <c r="S72" s="409"/>
      <c r="T72" s="20"/>
      <c r="U72" s="20"/>
      <c r="V72" s="185"/>
      <c r="W72" s="190">
        <f t="shared" ref="W72:W78" si="51">(U72-T72)*24*60</f>
        <v>0</v>
      </c>
      <c r="X72" s="343"/>
      <c r="Y72" s="343"/>
      <c r="Z72" s="400"/>
      <c r="AA72" s="398"/>
      <c r="AB72" s="39"/>
      <c r="AC72" s="198"/>
      <c r="AD72" s="393"/>
    </row>
    <row r="73" spans="1:32" ht="15" customHeight="1" x14ac:dyDescent="0.25">
      <c r="A73" s="406"/>
      <c r="B73" s="56"/>
      <c r="C73" s="23"/>
      <c r="D73" s="11"/>
      <c r="E73" s="12"/>
      <c r="F73" s="56"/>
      <c r="G73" s="67"/>
      <c r="H73" s="77"/>
      <c r="I73" s="201"/>
      <c r="J73" s="16"/>
      <c r="K73" s="14"/>
      <c r="L73" s="17"/>
      <c r="M73" s="188"/>
      <c r="N73" s="14"/>
      <c r="O73" s="17"/>
      <c r="P73" s="18"/>
      <c r="Q73" s="19"/>
      <c r="R73" s="193"/>
      <c r="S73" s="409"/>
      <c r="T73" s="20"/>
      <c r="U73" s="20"/>
      <c r="V73" s="185"/>
      <c r="W73" s="190">
        <f t="shared" si="51"/>
        <v>0</v>
      </c>
      <c r="X73" s="22"/>
      <c r="Y73" s="22"/>
      <c r="Z73" s="400"/>
      <c r="AA73" s="398"/>
      <c r="AB73" s="39"/>
      <c r="AC73" s="198"/>
      <c r="AD73" s="393"/>
    </row>
    <row r="74" spans="1:32" ht="15" customHeight="1" x14ac:dyDescent="0.25">
      <c r="A74" s="406"/>
      <c r="B74" s="56"/>
      <c r="C74" s="267"/>
      <c r="D74" s="268"/>
      <c r="E74" s="269"/>
      <c r="F74" s="56"/>
      <c r="G74" s="256"/>
      <c r="H74" s="77"/>
      <c r="I74" s="82"/>
      <c r="J74" s="250"/>
      <c r="K74" s="36"/>
      <c r="L74" s="251"/>
      <c r="M74" s="21"/>
      <c r="N74" s="36"/>
      <c r="O74" s="38"/>
      <c r="P74" s="39"/>
      <c r="Q74" s="40"/>
      <c r="R74" s="198"/>
      <c r="S74" s="409"/>
      <c r="T74" s="20"/>
      <c r="U74" s="20"/>
      <c r="V74" s="185"/>
      <c r="W74" s="190">
        <f t="shared" si="51"/>
        <v>0</v>
      </c>
      <c r="X74" s="22"/>
      <c r="Y74" s="22"/>
      <c r="Z74" s="400"/>
      <c r="AA74" s="398"/>
      <c r="AB74" s="39"/>
      <c r="AC74" s="198"/>
      <c r="AD74" s="393"/>
    </row>
    <row r="75" spans="1:32" ht="15" customHeight="1" x14ac:dyDescent="0.25">
      <c r="A75" s="406"/>
      <c r="B75" s="185"/>
      <c r="C75" s="191"/>
      <c r="D75" s="11"/>
      <c r="E75" s="12"/>
      <c r="F75" s="13"/>
      <c r="G75" s="185"/>
      <c r="H75" s="15">
        <f t="shared" ref="H75:H78" si="52">F75*G75</f>
        <v>0</v>
      </c>
      <c r="I75" s="82"/>
      <c r="J75" s="90"/>
      <c r="K75" s="83"/>
      <c r="L75" s="84"/>
      <c r="M75" s="189"/>
      <c r="N75" s="83"/>
      <c r="O75" s="84"/>
      <c r="P75" s="74"/>
      <c r="Q75" s="75"/>
      <c r="R75" s="200"/>
      <c r="S75" s="409"/>
      <c r="T75" s="20"/>
      <c r="U75" s="20"/>
      <c r="V75" s="185"/>
      <c r="W75" s="91">
        <f t="shared" si="51"/>
        <v>0</v>
      </c>
      <c r="X75" s="92"/>
      <c r="Y75" s="92"/>
      <c r="Z75" s="402"/>
      <c r="AA75" s="402"/>
      <c r="AB75" s="352"/>
      <c r="AC75" s="353"/>
      <c r="AD75" s="392"/>
    </row>
    <row r="76" spans="1:32" ht="15" customHeight="1" x14ac:dyDescent="0.25">
      <c r="A76" s="406"/>
      <c r="B76" s="26"/>
      <c r="C76" s="27"/>
      <c r="D76" s="28"/>
      <c r="E76" s="29"/>
      <c r="F76" s="13"/>
      <c r="G76" s="185"/>
      <c r="H76" s="15">
        <f t="shared" si="52"/>
        <v>0</v>
      </c>
      <c r="I76" s="82"/>
      <c r="J76" s="90"/>
      <c r="K76" s="83"/>
      <c r="L76" s="84"/>
      <c r="M76" s="189"/>
      <c r="N76" s="83"/>
      <c r="O76" s="84"/>
      <c r="P76" s="74"/>
      <c r="Q76" s="75"/>
      <c r="R76" s="200"/>
      <c r="S76" s="410"/>
      <c r="T76" s="20"/>
      <c r="U76" s="20"/>
      <c r="V76" s="185"/>
      <c r="W76" s="93">
        <f t="shared" si="51"/>
        <v>0</v>
      </c>
      <c r="X76" s="79"/>
      <c r="Y76" s="79"/>
      <c r="Z76" s="403"/>
      <c r="AA76" s="403"/>
      <c r="AB76" s="51"/>
      <c r="AC76" s="52"/>
      <c r="AD76" s="395"/>
    </row>
    <row r="77" spans="1:32" ht="15" customHeight="1" x14ac:dyDescent="0.25">
      <c r="A77" s="406"/>
      <c r="B77" s="26"/>
      <c r="C77" s="27"/>
      <c r="D77" s="28"/>
      <c r="E77" s="29"/>
      <c r="F77" s="13"/>
      <c r="G77" s="185"/>
      <c r="H77" s="15">
        <f t="shared" si="52"/>
        <v>0</v>
      </c>
      <c r="I77" s="82"/>
      <c r="J77" s="90"/>
      <c r="K77" s="83"/>
      <c r="L77" s="84"/>
      <c r="M77" s="189"/>
      <c r="N77" s="83"/>
      <c r="O77" s="84"/>
      <c r="P77" s="74"/>
      <c r="Q77" s="75"/>
      <c r="R77" s="200"/>
      <c r="S77" s="410"/>
      <c r="T77" s="20"/>
      <c r="U77" s="20"/>
      <c r="V77" s="185"/>
      <c r="W77" s="190">
        <f t="shared" si="51"/>
        <v>0</v>
      </c>
      <c r="X77" s="85"/>
      <c r="Y77" s="85"/>
      <c r="Z77" s="400"/>
      <c r="AA77" s="400"/>
      <c r="AB77" s="18"/>
      <c r="AC77" s="55"/>
      <c r="AD77" s="395"/>
    </row>
    <row r="78" spans="1:32" ht="15" customHeight="1" x14ac:dyDescent="0.25">
      <c r="A78" s="406"/>
      <c r="B78" s="26"/>
      <c r="C78" s="27"/>
      <c r="D78" s="28"/>
      <c r="E78" s="29"/>
      <c r="F78" s="13"/>
      <c r="G78" s="185"/>
      <c r="H78" s="15">
        <f t="shared" si="52"/>
        <v>0</v>
      </c>
      <c r="I78" s="86"/>
      <c r="J78" s="37"/>
      <c r="K78" s="36"/>
      <c r="L78" s="84"/>
      <c r="M78" s="21"/>
      <c r="N78" s="36"/>
      <c r="O78" s="38"/>
      <c r="P78" s="39"/>
      <c r="Q78" s="40"/>
      <c r="R78" s="198"/>
      <c r="S78" s="411"/>
      <c r="T78" s="32"/>
      <c r="U78" s="32"/>
      <c r="V78" s="186"/>
      <c r="W78" s="190">
        <f t="shared" si="51"/>
        <v>0</v>
      </c>
      <c r="X78" s="94"/>
      <c r="Y78" s="94"/>
      <c r="Z78" s="400"/>
      <c r="AA78" s="400"/>
      <c r="AB78" s="34"/>
      <c r="AC78" s="57"/>
      <c r="AD78" s="395"/>
    </row>
    <row r="79" spans="1:32" ht="15" customHeight="1" thickBot="1" x14ac:dyDescent="0.3">
      <c r="A79" s="407"/>
      <c r="B79" s="172"/>
      <c r="C79" s="1" t="s">
        <v>40</v>
      </c>
      <c r="D79" s="404" t="s">
        <v>7</v>
      </c>
      <c r="E79" s="404"/>
      <c r="F79" s="117"/>
      <c r="G79" s="118"/>
      <c r="H79" s="181"/>
      <c r="I79" s="178"/>
      <c r="J79" s="173">
        <f t="shared" ref="J79:O79" si="53">AVERAGE(J69:J78)</f>
        <v>15.111111111111112</v>
      </c>
      <c r="K79" s="173">
        <f t="shared" si="53"/>
        <v>1445</v>
      </c>
      <c r="L79" s="178">
        <f t="shared" si="53"/>
        <v>98.368579269314566</v>
      </c>
      <c r="M79" s="173">
        <f t="shared" si="53"/>
        <v>14.777777777777779</v>
      </c>
      <c r="N79" s="173">
        <f t="shared" si="53"/>
        <v>1201.7148407148402</v>
      </c>
      <c r="O79" s="178">
        <f t="shared" si="53"/>
        <v>83.518939393939363</v>
      </c>
      <c r="P79" s="179">
        <f>M79-J79</f>
        <v>-0.33333333333333393</v>
      </c>
      <c r="Q79" s="165">
        <f>N79-K79</f>
        <v>-243.28515928515981</v>
      </c>
      <c r="R79" s="166">
        <f>O79/L79</f>
        <v>0.84904082192018149</v>
      </c>
      <c r="S79" s="412"/>
      <c r="T79" s="125"/>
      <c r="U79" s="125"/>
      <c r="V79" s="203"/>
      <c r="W79" s="175"/>
      <c r="X79" s="127"/>
      <c r="Y79" s="127"/>
      <c r="Z79" s="401"/>
      <c r="AA79" s="401"/>
      <c r="AB79" s="122">
        <f>N79-K79</f>
        <v>-243.28515928515981</v>
      </c>
      <c r="AC79" s="195">
        <f>N79/K79</f>
        <v>0.83163656796874752</v>
      </c>
      <c r="AD79" s="396"/>
    </row>
    <row r="80" spans="1:32" x14ac:dyDescent="0.25">
      <c r="AF80" s="96" t="s">
        <v>41</v>
      </c>
    </row>
    <row r="81" spans="4:32" x14ac:dyDescent="0.25">
      <c r="AF81" s="96" t="s">
        <v>42</v>
      </c>
    </row>
    <row r="82" spans="4:32" x14ac:dyDescent="0.25">
      <c r="AF82" s="96" t="s">
        <v>43</v>
      </c>
    </row>
    <row r="83" spans="4:32" x14ac:dyDescent="0.25">
      <c r="D83" s="235"/>
      <c r="W83" s="6"/>
      <c r="AF83" s="96" t="s">
        <v>44</v>
      </c>
    </row>
    <row r="84" spans="4:32" x14ac:dyDescent="0.25">
      <c r="D84" s="239"/>
      <c r="W84" s="6"/>
      <c r="AF84" s="96" t="s">
        <v>45</v>
      </c>
    </row>
    <row r="85" spans="4:32" x14ac:dyDescent="0.25">
      <c r="D85" s="239"/>
      <c r="W85" s="6"/>
      <c r="AF85" s="96" t="s">
        <v>46</v>
      </c>
    </row>
    <row r="86" spans="4:32" x14ac:dyDescent="0.25">
      <c r="D86" s="162"/>
      <c r="W86" s="6"/>
      <c r="AF86" s="96" t="s">
        <v>47</v>
      </c>
    </row>
    <row r="87" spans="4:32" x14ac:dyDescent="0.25">
      <c r="W87" s="6"/>
      <c r="AF87" s="96" t="s">
        <v>48</v>
      </c>
    </row>
    <row r="88" spans="4:32" x14ac:dyDescent="0.25">
      <c r="W88" s="6"/>
      <c r="AF88" s="96" t="s">
        <v>49</v>
      </c>
    </row>
    <row r="89" spans="4:32" x14ac:dyDescent="0.25">
      <c r="W89" s="6"/>
      <c r="AF89" s="96" t="s">
        <v>50</v>
      </c>
    </row>
    <row r="90" spans="4:32" x14ac:dyDescent="0.25">
      <c r="W90" s="6"/>
      <c r="AF90" s="96" t="s">
        <v>51</v>
      </c>
    </row>
    <row r="91" spans="4:32" x14ac:dyDescent="0.25">
      <c r="W91" s="6"/>
      <c r="AF91" s="96" t="s">
        <v>52</v>
      </c>
    </row>
    <row r="92" spans="4:32" x14ac:dyDescent="0.25">
      <c r="W92" s="6"/>
      <c r="AF92" s="96" t="s">
        <v>53</v>
      </c>
    </row>
  </sheetData>
  <autoFilter ref="D1:D92" xr:uid="{EF5AD393-5A39-4C0E-A7B0-465235F2AB14}"/>
  <mergeCells count="135">
    <mergeCell ref="P1:S2"/>
    <mergeCell ref="T1:Y2"/>
    <mergeCell ref="Z1:AA2"/>
    <mergeCell ref="AB1:AD2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D15:E15"/>
    <mergeCell ref="Z15:AA15"/>
    <mergeCell ref="AC3:AC4"/>
    <mergeCell ref="AD3:AD4"/>
    <mergeCell ref="A5:A15"/>
    <mergeCell ref="S5:S15"/>
    <mergeCell ref="Z5:AA5"/>
    <mergeCell ref="AD5:AD15"/>
    <mergeCell ref="Z6:AA6"/>
    <mergeCell ref="Z7:AA7"/>
    <mergeCell ref="Z8:AA8"/>
    <mergeCell ref="Z9:AA9"/>
    <mergeCell ref="T3:U3"/>
    <mergeCell ref="V3:V4"/>
    <mergeCell ref="W3:W4"/>
    <mergeCell ref="X3:Y3"/>
    <mergeCell ref="Z3:AA4"/>
    <mergeCell ref="AB3:AB4"/>
    <mergeCell ref="N3:N4"/>
    <mergeCell ref="O3:O4"/>
    <mergeCell ref="P3:P4"/>
    <mergeCell ref="Q3:Q4"/>
    <mergeCell ref="R3:R4"/>
    <mergeCell ref="S3:S4"/>
    <mergeCell ref="AD16:AD26"/>
    <mergeCell ref="Z17:AA17"/>
    <mergeCell ref="Z18:AA18"/>
    <mergeCell ref="Z19:AA19"/>
    <mergeCell ref="Z20:AA20"/>
    <mergeCell ref="Z21:AA21"/>
    <mergeCell ref="Z22:AA22"/>
    <mergeCell ref="Z10:AA10"/>
    <mergeCell ref="Z11:AA11"/>
    <mergeCell ref="Z12:AA12"/>
    <mergeCell ref="Z13:AA13"/>
    <mergeCell ref="Z14:AA14"/>
    <mergeCell ref="Z23:AA23"/>
    <mergeCell ref="Z24:AA24"/>
    <mergeCell ref="Z25:AA25"/>
    <mergeCell ref="D26:E26"/>
    <mergeCell ref="Z26:AA26"/>
    <mergeCell ref="A27:A37"/>
    <mergeCell ref="S27:S37"/>
    <mergeCell ref="Z27:AA27"/>
    <mergeCell ref="D37:E37"/>
    <mergeCell ref="Z37:AA37"/>
    <mergeCell ref="A16:A26"/>
    <mergeCell ref="S16:S26"/>
    <mergeCell ref="Z16:AA16"/>
    <mergeCell ref="AD38:AD48"/>
    <mergeCell ref="Z39:AA39"/>
    <mergeCell ref="Z40:AA40"/>
    <mergeCell ref="Z41:AA41"/>
    <mergeCell ref="Z42:AA42"/>
    <mergeCell ref="Z43:AA43"/>
    <mergeCell ref="Z44:AA44"/>
    <mergeCell ref="AD27:AD3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45:AA45"/>
    <mergeCell ref="Z46:AA46"/>
    <mergeCell ref="Z47:AA47"/>
    <mergeCell ref="D48:E48"/>
    <mergeCell ref="Z48:AA48"/>
    <mergeCell ref="A49:A58"/>
    <mergeCell ref="S49:S58"/>
    <mergeCell ref="Z49:AA49"/>
    <mergeCell ref="D58:E58"/>
    <mergeCell ref="A38:A48"/>
    <mergeCell ref="S38:S48"/>
    <mergeCell ref="Z38:AA38"/>
    <mergeCell ref="AD59:AD69"/>
    <mergeCell ref="Z60:AA60"/>
    <mergeCell ref="Z61:AA61"/>
    <mergeCell ref="Z62:AA62"/>
    <mergeCell ref="Z63:AA63"/>
    <mergeCell ref="Z64:AA64"/>
    <mergeCell ref="Z65:AA65"/>
    <mergeCell ref="AD49:AD58"/>
    <mergeCell ref="Z50:AA50"/>
    <mergeCell ref="Z51:AA51"/>
    <mergeCell ref="Z52:AA52"/>
    <mergeCell ref="Z53:AA53"/>
    <mergeCell ref="Z54:AA54"/>
    <mergeCell ref="Z55:AA55"/>
    <mergeCell ref="Z56:AA56"/>
    <mergeCell ref="Z57:AA57"/>
    <mergeCell ref="Z58:AA58"/>
    <mergeCell ref="Z66:AA66"/>
    <mergeCell ref="Z67:AA67"/>
    <mergeCell ref="Z68:AA68"/>
    <mergeCell ref="D69:E69"/>
    <mergeCell ref="Z69:AA69"/>
    <mergeCell ref="A70:A79"/>
    <mergeCell ref="S70:S79"/>
    <mergeCell ref="Z70:AA70"/>
    <mergeCell ref="D79:E79"/>
    <mergeCell ref="A59:A69"/>
    <mergeCell ref="S59:S69"/>
    <mergeCell ref="Z59:AA59"/>
    <mergeCell ref="AD70:AD79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9:AA79"/>
  </mergeCells>
  <phoneticPr fontId="2" type="noConversion"/>
  <conditionalFormatting sqref="P5:P79">
    <cfRule type="cellIs" dxfId="8" priority="1" operator="greaterThan">
      <formula>0</formula>
    </cfRule>
  </conditionalFormatting>
  <conditionalFormatting sqref="Q5:Q79 AB5:AB79">
    <cfRule type="cellIs" dxfId="7" priority="4" operator="lessThan">
      <formula>0</formula>
    </cfRule>
  </conditionalFormatting>
  <conditionalFormatting sqref="R5:R79 AC5:AC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D59:AD62 S69:S76 AD69:AD76">
    <cfRule type="cellIs" dxfId="4" priority="7" operator="lessThan">
      <formula>0.8</formula>
    </cfRule>
  </conditionalFormatting>
  <conditionalFormatting sqref="S19:S25 AD19:AD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D5:AD8 S15:S16 AD15:AD16 AD49 AD79">
    <cfRule type="cellIs" dxfId="1" priority="9" operator="lessThan">
      <formula>0.8</formula>
    </cfRule>
  </conditionalFormatting>
  <conditionalFormatting sqref="AD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1264B3-2FA9-46A6-BE56-1E78516A8EAE}">
          <x14:formula1>
            <xm:f>廠價表!$C$2:$C$37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69FB83-3F99-4ED4-9D06-67E073BF6D27}"/>
</file>

<file path=customXml/itemProps2.xml><?xml version="1.0" encoding="utf-8"?>
<ds:datastoreItem xmlns:ds="http://schemas.openxmlformats.org/officeDocument/2006/customXml" ds:itemID="{91ED52B6-4DF8-4E19-9159-B7C4E5CB507C}"/>
</file>

<file path=customXml/itemProps3.xml><?xml version="1.0" encoding="utf-8"?>
<ds:datastoreItem xmlns:ds="http://schemas.openxmlformats.org/officeDocument/2006/customXml" ds:itemID="{A7D293A2-7E17-4C81-B18A-8DE6B8C60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具名範圍</vt:lpstr>
      </vt:variant>
      <vt:variant>
        <vt:i4>31</vt:i4>
      </vt:variant>
    </vt:vector>
  </HeadingPairs>
  <TitlesOfParts>
    <vt:vector size="95" baseType="lpstr">
      <vt:lpstr>廠價表</vt:lpstr>
      <vt:lpstr>產線配置圖</vt:lpstr>
      <vt:lpstr>1001總</vt:lpstr>
      <vt:lpstr>1001</vt:lpstr>
      <vt:lpstr>1002總 </vt:lpstr>
      <vt:lpstr>1002</vt:lpstr>
      <vt:lpstr>1003總</vt:lpstr>
      <vt:lpstr>1003</vt:lpstr>
      <vt:lpstr>1004總</vt:lpstr>
      <vt:lpstr>1004</vt:lpstr>
      <vt:lpstr>1005總</vt:lpstr>
      <vt:lpstr>1005</vt:lpstr>
      <vt:lpstr>1006總</vt:lpstr>
      <vt:lpstr>1006</vt:lpstr>
      <vt:lpstr>1007總</vt:lpstr>
      <vt:lpstr>1007</vt:lpstr>
      <vt:lpstr>1008總</vt:lpstr>
      <vt:lpstr>1008</vt:lpstr>
      <vt:lpstr>1009總 </vt:lpstr>
      <vt:lpstr>1009</vt:lpstr>
      <vt:lpstr>1010總 </vt:lpstr>
      <vt:lpstr>1010</vt:lpstr>
      <vt:lpstr>1011總</vt:lpstr>
      <vt:lpstr>1011</vt:lpstr>
      <vt:lpstr>1012總</vt:lpstr>
      <vt:lpstr>1012</vt:lpstr>
      <vt:lpstr>1013總 </vt:lpstr>
      <vt:lpstr>1013</vt:lpstr>
      <vt:lpstr>1014總</vt:lpstr>
      <vt:lpstr>1014</vt:lpstr>
      <vt:lpstr>1015總</vt:lpstr>
      <vt:lpstr>1015</vt:lpstr>
      <vt:lpstr>1016總</vt:lpstr>
      <vt:lpstr>1016</vt:lpstr>
      <vt:lpstr>1017總 </vt:lpstr>
      <vt:lpstr>1017</vt:lpstr>
      <vt:lpstr>1018總</vt:lpstr>
      <vt:lpstr>1018</vt:lpstr>
      <vt:lpstr>1019總</vt:lpstr>
      <vt:lpstr>1019</vt:lpstr>
      <vt:lpstr>1020總</vt:lpstr>
      <vt:lpstr>1020</vt:lpstr>
      <vt:lpstr>1021總</vt:lpstr>
      <vt:lpstr>1021</vt:lpstr>
      <vt:lpstr>1022總</vt:lpstr>
      <vt:lpstr>1022</vt:lpstr>
      <vt:lpstr>1023總</vt:lpstr>
      <vt:lpstr>1023</vt:lpstr>
      <vt:lpstr>1024總</vt:lpstr>
      <vt:lpstr>1024</vt:lpstr>
      <vt:lpstr>1025總 </vt:lpstr>
      <vt:lpstr>1025</vt:lpstr>
      <vt:lpstr>1026總</vt:lpstr>
      <vt:lpstr>1026</vt:lpstr>
      <vt:lpstr>1027總</vt:lpstr>
      <vt:lpstr>1027</vt:lpstr>
      <vt:lpstr>1028總</vt:lpstr>
      <vt:lpstr>1028</vt:lpstr>
      <vt:lpstr>1029總 </vt:lpstr>
      <vt:lpstr>1029</vt:lpstr>
      <vt:lpstr>1030總</vt:lpstr>
      <vt:lpstr>1030</vt:lpstr>
      <vt:lpstr>1031總</vt:lpstr>
      <vt:lpstr>1031</vt:lpstr>
      <vt:lpstr>'1001'!Print_Area</vt:lpstr>
      <vt:lpstr>'1002'!Print_Area</vt:lpstr>
      <vt:lpstr>'1003'!Print_Area</vt:lpstr>
      <vt:lpstr>'1004'!Print_Area</vt:lpstr>
      <vt:lpstr>'1005'!Print_Area</vt:lpstr>
      <vt:lpstr>'1006'!Print_Area</vt:lpstr>
      <vt:lpstr>'1007'!Print_Area</vt:lpstr>
      <vt:lpstr>'1008'!Print_Area</vt:lpstr>
      <vt:lpstr>'1009'!Print_Area</vt:lpstr>
      <vt:lpstr>'1010'!Print_Area</vt:lpstr>
      <vt:lpstr>'1011'!Print_Area</vt:lpstr>
      <vt:lpstr>'1012'!Print_Area</vt:lpstr>
      <vt:lpstr>'1013'!Print_Area</vt:lpstr>
      <vt:lpstr>'1014'!Print_Area</vt:lpstr>
      <vt:lpstr>'1015'!Print_Area</vt:lpstr>
      <vt:lpstr>'1016'!Print_Area</vt:lpstr>
      <vt:lpstr>'1017'!Print_Area</vt:lpstr>
      <vt:lpstr>'1018'!Print_Area</vt:lpstr>
      <vt:lpstr>'1019'!Print_Area</vt:lpstr>
      <vt:lpstr>'1020'!Print_Area</vt:lpstr>
      <vt:lpstr>'1021'!Print_Area</vt:lpstr>
      <vt:lpstr>'1022'!Print_Area</vt:lpstr>
      <vt:lpstr>'1023'!Print_Area</vt:lpstr>
      <vt:lpstr>'1024'!Print_Area</vt:lpstr>
      <vt:lpstr>'1025'!Print_Area</vt:lpstr>
      <vt:lpstr>'1026'!Print_Area</vt:lpstr>
      <vt:lpstr>'1027'!Print_Area</vt:lpstr>
      <vt:lpstr>'1028'!Print_Area</vt:lpstr>
      <vt:lpstr>'1029'!Print_Area</vt:lpstr>
      <vt:lpstr>'1030'!Print_Area</vt:lpstr>
      <vt:lpstr>'1031'!Print_Area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杜育頴</cp:lastModifiedBy>
  <cp:lastPrinted>2025-07-20T06:16:16Z</cp:lastPrinted>
  <dcterms:created xsi:type="dcterms:W3CDTF">2025-03-27T08:47:27Z</dcterms:created>
  <dcterms:modified xsi:type="dcterms:W3CDTF">2025-11-03T06:08:37Z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